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LAN\Desktop\C-1 Analysis Complete\STN-C1-RD-4-WERAGA ROAD\MCC DATA\"/>
    </mc:Choice>
  </mc:AlternateContent>
  <bookViews>
    <workbookView xWindow="-120" yWindow="-120" windowWidth="20730" windowHeight="11160" tabRatio="940" firstSheet="14" activeTab="16"/>
  </bookViews>
  <sheets>
    <sheet name="22.07 Ndeeba-Nyanama" sheetId="93" r:id="rId1"/>
    <sheet name="22.07 Nyanama-Ndeeba" sheetId="94" r:id="rId2"/>
    <sheet name="23.07 Ndeeba-Nyanama" sheetId="95" r:id="rId3"/>
    <sheet name="23.07 Nyanama-Ndeeba" sheetId="96" r:id="rId4"/>
    <sheet name="24.07 Ndeeba-Nyanama" sheetId="97" r:id="rId5"/>
    <sheet name="24.07 Nyanama-Ndeeba" sheetId="98" r:id="rId6"/>
    <sheet name="25.07 Ndeeba-Nyanama" sheetId="99" r:id="rId7"/>
    <sheet name="25.07 Nyanama-Ndeeba" sheetId="100" r:id="rId8"/>
    <sheet name="26.07 Ndeeba-Nyanama-24h" sheetId="101" r:id="rId9"/>
    <sheet name="26.07 Nyanama-Ndeeba-24h" sheetId="109" r:id="rId10"/>
    <sheet name="27.07 Ndeeba-Nyanama-24h" sheetId="105" r:id="rId11"/>
    <sheet name="27.07 Nyanama-Ndeeba-24h" sheetId="110" r:id="rId12"/>
    <sheet name="28.07 Ndeeba-Nyanama" sheetId="103" r:id="rId13"/>
    <sheet name="28.07 Nyanama-Ndeeba" sheetId="104" r:id="rId14"/>
    <sheet name="Avg Week Ndeeba-Nyanama" sheetId="107" r:id="rId15"/>
    <sheet name="Avg Week Nyanama-Ndeeba" sheetId="108" r:id="rId16"/>
    <sheet name="Avg Week Nyanama-Ndeeba-2Dir" sheetId="112" r:id="rId17"/>
  </sheets>
  <definedNames>
    <definedName name="_xlnm.Print_Area" localSheetId="0">'22.07 Ndeeba-Nyanama'!$A$1:$AF$60</definedName>
    <definedName name="_xlnm.Print_Area" localSheetId="1">'22.07 Nyanama-Ndeeba'!$A$1:$AF$60</definedName>
    <definedName name="_xlnm.Print_Area" localSheetId="2">'23.07 Ndeeba-Nyanama'!$A$1:$AF$60</definedName>
    <definedName name="_xlnm.Print_Area" localSheetId="3">'23.07 Nyanama-Ndeeba'!$A$1:$AF$60</definedName>
    <definedName name="_xlnm.Print_Area" localSheetId="4">'24.07 Ndeeba-Nyanama'!$A$1:$AF$60</definedName>
    <definedName name="_xlnm.Print_Area" localSheetId="5">'24.07 Nyanama-Ndeeba'!$A$1:$AF$60</definedName>
    <definedName name="_xlnm.Print_Area" localSheetId="6">'25.07 Ndeeba-Nyanama'!$A$1:$AF$60</definedName>
    <definedName name="_xlnm.Print_Area" localSheetId="7">'25.07 Nyanama-Ndeeba'!$A$1:$AF$60</definedName>
    <definedName name="_xlnm.Print_Area" localSheetId="8">'26.07 Ndeeba-Nyanama-24h'!$A$1:$AF$108</definedName>
    <definedName name="_xlnm.Print_Area" localSheetId="9">'26.07 Nyanama-Ndeeba-24h'!$A$1:$AF$108</definedName>
    <definedName name="_xlnm.Print_Area" localSheetId="10">'27.07 Ndeeba-Nyanama-24h'!$A$1:$AF$108</definedName>
    <definedName name="_xlnm.Print_Area" localSheetId="11">'27.07 Nyanama-Ndeeba-24h'!$A$1:$AF$108</definedName>
    <definedName name="_xlnm.Print_Area" localSheetId="12">'28.07 Ndeeba-Nyanama'!$A$1:$AF$60</definedName>
    <definedName name="_xlnm.Print_Area" localSheetId="13">'28.07 Nyanama-Ndeeba'!$A$1:$AF$60</definedName>
    <definedName name="_xlnm.Print_Area" localSheetId="14">'Avg Week Ndeeba-Nyanama'!$A$1:$AF$108</definedName>
    <definedName name="_xlnm.Print_Area" localSheetId="15">'Avg Week Nyanama-Ndeeba'!$A$1:$AF$108</definedName>
    <definedName name="_xlnm.Print_Area" localSheetId="16">'Avg Week Nyanama-Ndeeba-2Dir'!$A$1:$AF$108</definedName>
    <definedName name="_xlnm.Print_Titles" localSheetId="0">'22.07 Ndeeba-Nyanama'!$1:$8</definedName>
    <definedName name="_xlnm.Print_Titles" localSheetId="1">'22.07 Nyanama-Ndeeba'!$1:$8</definedName>
    <definedName name="_xlnm.Print_Titles" localSheetId="2">'23.07 Ndeeba-Nyanama'!$1:$8</definedName>
    <definedName name="_xlnm.Print_Titles" localSheetId="3">'23.07 Nyanama-Ndeeba'!$1:$8</definedName>
    <definedName name="_xlnm.Print_Titles" localSheetId="4">'24.07 Ndeeba-Nyanama'!$1:$8</definedName>
    <definedName name="_xlnm.Print_Titles" localSheetId="5">'24.07 Nyanama-Ndeeba'!$1:$8</definedName>
    <definedName name="_xlnm.Print_Titles" localSheetId="6">'25.07 Ndeeba-Nyanama'!$1:$8</definedName>
    <definedName name="_xlnm.Print_Titles" localSheetId="7">'25.07 Nyanama-Ndeeba'!$1:$8</definedName>
    <definedName name="_xlnm.Print_Titles" localSheetId="8">'26.07 Ndeeba-Nyanama-24h'!$1:$8</definedName>
    <definedName name="_xlnm.Print_Titles" localSheetId="9">'26.07 Nyanama-Ndeeba-24h'!$1:$8</definedName>
    <definedName name="_xlnm.Print_Titles" localSheetId="10">'27.07 Ndeeba-Nyanama-24h'!$1:$8</definedName>
    <definedName name="_xlnm.Print_Titles" localSheetId="11">'27.07 Nyanama-Ndeeba-24h'!$1:$8</definedName>
    <definedName name="_xlnm.Print_Titles" localSheetId="12">'28.07 Ndeeba-Nyanama'!$1:$8</definedName>
    <definedName name="_xlnm.Print_Titles" localSheetId="13">'28.07 Nyanama-Ndeeba'!$1:$8</definedName>
    <definedName name="_xlnm.Print_Titles" localSheetId="14">'Avg Week Ndeeba-Nyanama'!$1:$8</definedName>
    <definedName name="_xlnm.Print_Titles" localSheetId="15">'Avg Week Nyanama-Ndeeba'!$1:$8</definedName>
    <definedName name="_xlnm.Print_Titles" localSheetId="16">'Avg Week Nyanama-Ndeeba-2Dir'!$1:$8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6" i="112" l="1"/>
  <c r="G6" i="112"/>
  <c r="D6" i="112"/>
  <c r="K5" i="112"/>
  <c r="G5" i="112"/>
  <c r="C3" i="112"/>
  <c r="N105" i="112"/>
  <c r="M105" i="112"/>
  <c r="L105" i="112"/>
  <c r="K105" i="112"/>
  <c r="J105" i="112"/>
  <c r="I105" i="112"/>
  <c r="H105" i="112"/>
  <c r="G105" i="112"/>
  <c r="F105" i="112"/>
  <c r="E105" i="112"/>
  <c r="D105" i="112"/>
  <c r="C105" i="112"/>
  <c r="N104" i="112"/>
  <c r="M104" i="112"/>
  <c r="L104" i="112"/>
  <c r="K104" i="112"/>
  <c r="J104" i="112"/>
  <c r="I104" i="112"/>
  <c r="H104" i="112"/>
  <c r="G104" i="112"/>
  <c r="F104" i="112"/>
  <c r="E104" i="112"/>
  <c r="D104" i="112"/>
  <c r="C104" i="112"/>
  <c r="N103" i="112"/>
  <c r="M103" i="112"/>
  <c r="L103" i="112"/>
  <c r="K103" i="112"/>
  <c r="J103" i="112"/>
  <c r="I103" i="112"/>
  <c r="H103" i="112"/>
  <c r="G103" i="112"/>
  <c r="F103" i="112"/>
  <c r="E103" i="112"/>
  <c r="D103" i="112"/>
  <c r="C103" i="112"/>
  <c r="N102" i="112"/>
  <c r="M102" i="112"/>
  <c r="L102" i="112"/>
  <c r="K102" i="112"/>
  <c r="J102" i="112"/>
  <c r="I102" i="112"/>
  <c r="H102" i="112"/>
  <c r="G102" i="112"/>
  <c r="F102" i="112"/>
  <c r="E102" i="112"/>
  <c r="D102" i="112"/>
  <c r="C102" i="112"/>
  <c r="N101" i="112"/>
  <c r="M101" i="112"/>
  <c r="L101" i="112"/>
  <c r="K101" i="112"/>
  <c r="J101" i="112"/>
  <c r="I101" i="112"/>
  <c r="H101" i="112"/>
  <c r="G101" i="112"/>
  <c r="F101" i="112"/>
  <c r="E101" i="112"/>
  <c r="D101" i="112"/>
  <c r="C101" i="112"/>
  <c r="N100" i="112"/>
  <c r="M100" i="112"/>
  <c r="L100" i="112"/>
  <c r="K100" i="112"/>
  <c r="J100" i="112"/>
  <c r="I100" i="112"/>
  <c r="H100" i="112"/>
  <c r="G100" i="112"/>
  <c r="F100" i="112"/>
  <c r="E100" i="112"/>
  <c r="D100" i="112"/>
  <c r="C100" i="112"/>
  <c r="N99" i="112"/>
  <c r="M99" i="112"/>
  <c r="L99" i="112"/>
  <c r="K99" i="112"/>
  <c r="J99" i="112"/>
  <c r="I99" i="112"/>
  <c r="H99" i="112"/>
  <c r="G99" i="112"/>
  <c r="F99" i="112"/>
  <c r="E99" i="112"/>
  <c r="D99" i="112"/>
  <c r="C99" i="112"/>
  <c r="N98" i="112"/>
  <c r="M98" i="112"/>
  <c r="L98" i="112"/>
  <c r="K98" i="112"/>
  <c r="J98" i="112"/>
  <c r="I98" i="112"/>
  <c r="H98" i="112"/>
  <c r="G98" i="112"/>
  <c r="F98" i="112"/>
  <c r="E98" i="112"/>
  <c r="D98" i="112"/>
  <c r="C98" i="112"/>
  <c r="N97" i="112"/>
  <c r="M97" i="112"/>
  <c r="L97" i="112"/>
  <c r="K97" i="112"/>
  <c r="J97" i="112"/>
  <c r="I97" i="112"/>
  <c r="H97" i="112"/>
  <c r="G97" i="112"/>
  <c r="F97" i="112"/>
  <c r="E97" i="112"/>
  <c r="D97" i="112"/>
  <c r="C97" i="112"/>
  <c r="N96" i="112"/>
  <c r="M96" i="112"/>
  <c r="L96" i="112"/>
  <c r="K96" i="112"/>
  <c r="J96" i="112"/>
  <c r="I96" i="112"/>
  <c r="H96" i="112"/>
  <c r="G96" i="112"/>
  <c r="F96" i="112"/>
  <c r="E96" i="112"/>
  <c r="D96" i="112"/>
  <c r="C96" i="112"/>
  <c r="N95" i="112"/>
  <c r="M95" i="112"/>
  <c r="L95" i="112"/>
  <c r="K95" i="112"/>
  <c r="J95" i="112"/>
  <c r="I95" i="112"/>
  <c r="H95" i="112"/>
  <c r="G95" i="112"/>
  <c r="F95" i="112"/>
  <c r="E95" i="112"/>
  <c r="D95" i="112"/>
  <c r="C95" i="112"/>
  <c r="N94" i="112"/>
  <c r="M94" i="112"/>
  <c r="L94" i="112"/>
  <c r="K94" i="112"/>
  <c r="J94" i="112"/>
  <c r="I94" i="112"/>
  <c r="H94" i="112"/>
  <c r="G94" i="112"/>
  <c r="F94" i="112"/>
  <c r="E94" i="112"/>
  <c r="D94" i="112"/>
  <c r="C94" i="112"/>
  <c r="N93" i="112"/>
  <c r="M93" i="112"/>
  <c r="L93" i="112"/>
  <c r="K93" i="112"/>
  <c r="J93" i="112"/>
  <c r="I93" i="112"/>
  <c r="H93" i="112"/>
  <c r="G93" i="112"/>
  <c r="F93" i="112"/>
  <c r="E93" i="112"/>
  <c r="D93" i="112"/>
  <c r="C93" i="112"/>
  <c r="N92" i="112"/>
  <c r="M92" i="112"/>
  <c r="L92" i="112"/>
  <c r="K92" i="112"/>
  <c r="J92" i="112"/>
  <c r="I92" i="112"/>
  <c r="H92" i="112"/>
  <c r="G92" i="112"/>
  <c r="F92" i="112"/>
  <c r="E92" i="112"/>
  <c r="D92" i="112"/>
  <c r="C92" i="112"/>
  <c r="N91" i="112"/>
  <c r="M91" i="112"/>
  <c r="L91" i="112"/>
  <c r="K91" i="112"/>
  <c r="J91" i="112"/>
  <c r="I91" i="112"/>
  <c r="H91" i="112"/>
  <c r="G91" i="112"/>
  <c r="F91" i="112"/>
  <c r="E91" i="112"/>
  <c r="D91" i="112"/>
  <c r="C91" i="112"/>
  <c r="N90" i="112"/>
  <c r="M90" i="112"/>
  <c r="L90" i="112"/>
  <c r="K90" i="112"/>
  <c r="J90" i="112"/>
  <c r="I90" i="112"/>
  <c r="H90" i="112"/>
  <c r="G90" i="112"/>
  <c r="F90" i="112"/>
  <c r="E90" i="112"/>
  <c r="D90" i="112"/>
  <c r="C90" i="112"/>
  <c r="N89" i="112"/>
  <c r="M89" i="112"/>
  <c r="L89" i="112"/>
  <c r="K89" i="112"/>
  <c r="J89" i="112"/>
  <c r="I89" i="112"/>
  <c r="H89" i="112"/>
  <c r="G89" i="112"/>
  <c r="F89" i="112"/>
  <c r="E89" i="112"/>
  <c r="D89" i="112"/>
  <c r="C89" i="112"/>
  <c r="N88" i="112"/>
  <c r="M88" i="112"/>
  <c r="L88" i="112"/>
  <c r="K88" i="112"/>
  <c r="J88" i="112"/>
  <c r="I88" i="112"/>
  <c r="H88" i="112"/>
  <c r="G88" i="112"/>
  <c r="F88" i="112"/>
  <c r="E88" i="112"/>
  <c r="D88" i="112"/>
  <c r="C88" i="112"/>
  <c r="N87" i="112"/>
  <c r="M87" i="112"/>
  <c r="L87" i="112"/>
  <c r="K87" i="112"/>
  <c r="J87" i="112"/>
  <c r="I87" i="112"/>
  <c r="H87" i="112"/>
  <c r="G87" i="112"/>
  <c r="F87" i="112"/>
  <c r="E87" i="112"/>
  <c r="D87" i="112"/>
  <c r="C87" i="112"/>
  <c r="N86" i="112"/>
  <c r="M86" i="112"/>
  <c r="L86" i="112"/>
  <c r="K86" i="112"/>
  <c r="J86" i="112"/>
  <c r="I86" i="112"/>
  <c r="H86" i="112"/>
  <c r="G86" i="112"/>
  <c r="F86" i="112"/>
  <c r="E86" i="112"/>
  <c r="D86" i="112"/>
  <c r="C86" i="112"/>
  <c r="N85" i="112"/>
  <c r="M85" i="112"/>
  <c r="L85" i="112"/>
  <c r="K85" i="112"/>
  <c r="J85" i="112"/>
  <c r="I85" i="112"/>
  <c r="H85" i="112"/>
  <c r="G85" i="112"/>
  <c r="F85" i="112"/>
  <c r="E85" i="112"/>
  <c r="D85" i="112"/>
  <c r="C85" i="112"/>
  <c r="N84" i="112"/>
  <c r="M84" i="112"/>
  <c r="L84" i="112"/>
  <c r="K84" i="112"/>
  <c r="J84" i="112"/>
  <c r="I84" i="112"/>
  <c r="H84" i="112"/>
  <c r="G84" i="112"/>
  <c r="F84" i="112"/>
  <c r="E84" i="112"/>
  <c r="D84" i="112"/>
  <c r="C84" i="112"/>
  <c r="N83" i="112"/>
  <c r="M83" i="112"/>
  <c r="L83" i="112"/>
  <c r="K83" i="112"/>
  <c r="J83" i="112"/>
  <c r="I83" i="112"/>
  <c r="H83" i="112"/>
  <c r="G83" i="112"/>
  <c r="F83" i="112"/>
  <c r="E83" i="112"/>
  <c r="D83" i="112"/>
  <c r="C83" i="112"/>
  <c r="N82" i="112"/>
  <c r="M82" i="112"/>
  <c r="L82" i="112"/>
  <c r="K82" i="112"/>
  <c r="J82" i="112"/>
  <c r="I82" i="112"/>
  <c r="H82" i="112"/>
  <c r="G82" i="112"/>
  <c r="F82" i="112"/>
  <c r="E82" i="112"/>
  <c r="D82" i="112"/>
  <c r="C82" i="112"/>
  <c r="N81" i="112"/>
  <c r="M81" i="112"/>
  <c r="L81" i="112"/>
  <c r="K81" i="112"/>
  <c r="J81" i="112"/>
  <c r="I81" i="112"/>
  <c r="H81" i="112"/>
  <c r="G81" i="112"/>
  <c r="F81" i="112"/>
  <c r="E81" i="112"/>
  <c r="D81" i="112"/>
  <c r="C81" i="112"/>
  <c r="N80" i="112"/>
  <c r="M80" i="112"/>
  <c r="L80" i="112"/>
  <c r="K80" i="112"/>
  <c r="J80" i="112"/>
  <c r="I80" i="112"/>
  <c r="H80" i="112"/>
  <c r="G80" i="112"/>
  <c r="F80" i="112"/>
  <c r="E80" i="112"/>
  <c r="D80" i="112"/>
  <c r="C80" i="112"/>
  <c r="N79" i="112"/>
  <c r="M79" i="112"/>
  <c r="L79" i="112"/>
  <c r="K79" i="112"/>
  <c r="J79" i="112"/>
  <c r="I79" i="112"/>
  <c r="H79" i="112"/>
  <c r="G79" i="112"/>
  <c r="F79" i="112"/>
  <c r="E79" i="112"/>
  <c r="D79" i="112"/>
  <c r="C79" i="112"/>
  <c r="N78" i="112"/>
  <c r="M78" i="112"/>
  <c r="L78" i="112"/>
  <c r="K78" i="112"/>
  <c r="J78" i="112"/>
  <c r="I78" i="112"/>
  <c r="H78" i="112"/>
  <c r="G78" i="112"/>
  <c r="F78" i="112"/>
  <c r="E78" i="112"/>
  <c r="D78" i="112"/>
  <c r="C78" i="112"/>
  <c r="N77" i="112"/>
  <c r="M77" i="112"/>
  <c r="L77" i="112"/>
  <c r="K77" i="112"/>
  <c r="J77" i="112"/>
  <c r="I77" i="112"/>
  <c r="H77" i="112"/>
  <c r="G77" i="112"/>
  <c r="F77" i="112"/>
  <c r="E77" i="112"/>
  <c r="D77" i="112"/>
  <c r="C77" i="112"/>
  <c r="N76" i="112"/>
  <c r="M76" i="112"/>
  <c r="L76" i="112"/>
  <c r="K76" i="112"/>
  <c r="J76" i="112"/>
  <c r="I76" i="112"/>
  <c r="H76" i="112"/>
  <c r="G76" i="112"/>
  <c r="F76" i="112"/>
  <c r="E76" i="112"/>
  <c r="D76" i="112"/>
  <c r="C76" i="112"/>
  <c r="N75" i="112"/>
  <c r="M75" i="112"/>
  <c r="L75" i="112"/>
  <c r="K75" i="112"/>
  <c r="J75" i="112"/>
  <c r="I75" i="112"/>
  <c r="H75" i="112"/>
  <c r="G75" i="112"/>
  <c r="F75" i="112"/>
  <c r="E75" i="112"/>
  <c r="D75" i="112"/>
  <c r="C75" i="112"/>
  <c r="N74" i="112"/>
  <c r="M74" i="112"/>
  <c r="L74" i="112"/>
  <c r="K74" i="112"/>
  <c r="J74" i="112"/>
  <c r="I74" i="112"/>
  <c r="H74" i="112"/>
  <c r="G74" i="112"/>
  <c r="F74" i="112"/>
  <c r="E74" i="112"/>
  <c r="D74" i="112"/>
  <c r="C74" i="112"/>
  <c r="N73" i="112"/>
  <c r="M73" i="112"/>
  <c r="L73" i="112"/>
  <c r="K73" i="112"/>
  <c r="J73" i="112"/>
  <c r="I73" i="112"/>
  <c r="H73" i="112"/>
  <c r="G73" i="112"/>
  <c r="F73" i="112"/>
  <c r="E73" i="112"/>
  <c r="D73" i="112"/>
  <c r="C73" i="112"/>
  <c r="N72" i="112"/>
  <c r="M72" i="112"/>
  <c r="L72" i="112"/>
  <c r="K72" i="112"/>
  <c r="J72" i="112"/>
  <c r="I72" i="112"/>
  <c r="H72" i="112"/>
  <c r="G72" i="112"/>
  <c r="F72" i="112"/>
  <c r="E72" i="112"/>
  <c r="D72" i="112"/>
  <c r="C72" i="112"/>
  <c r="N71" i="112"/>
  <c r="M71" i="112"/>
  <c r="L71" i="112"/>
  <c r="K71" i="112"/>
  <c r="J71" i="112"/>
  <c r="I71" i="112"/>
  <c r="H71" i="112"/>
  <c r="G71" i="112"/>
  <c r="F71" i="112"/>
  <c r="E71" i="112"/>
  <c r="D71" i="112"/>
  <c r="C71" i="112"/>
  <c r="N70" i="112"/>
  <c r="M70" i="112"/>
  <c r="L70" i="112"/>
  <c r="K70" i="112"/>
  <c r="J70" i="112"/>
  <c r="I70" i="112"/>
  <c r="H70" i="112"/>
  <c r="G70" i="112"/>
  <c r="F70" i="112"/>
  <c r="E70" i="112"/>
  <c r="D70" i="112"/>
  <c r="C70" i="112"/>
  <c r="N69" i="112"/>
  <c r="M69" i="112"/>
  <c r="L69" i="112"/>
  <c r="K69" i="112"/>
  <c r="J69" i="112"/>
  <c r="I69" i="112"/>
  <c r="H69" i="112"/>
  <c r="G69" i="112"/>
  <c r="F69" i="112"/>
  <c r="E69" i="112"/>
  <c r="D69" i="112"/>
  <c r="C69" i="112"/>
  <c r="N68" i="112"/>
  <c r="M68" i="112"/>
  <c r="L68" i="112"/>
  <c r="K68" i="112"/>
  <c r="J68" i="112"/>
  <c r="I68" i="112"/>
  <c r="H68" i="112"/>
  <c r="G68" i="112"/>
  <c r="F68" i="112"/>
  <c r="E68" i="112"/>
  <c r="D68" i="112"/>
  <c r="C68" i="112"/>
  <c r="N67" i="112"/>
  <c r="M67" i="112"/>
  <c r="L67" i="112"/>
  <c r="K67" i="112"/>
  <c r="J67" i="112"/>
  <c r="I67" i="112"/>
  <c r="H67" i="112"/>
  <c r="G67" i="112"/>
  <c r="F67" i="112"/>
  <c r="E67" i="112"/>
  <c r="D67" i="112"/>
  <c r="C67" i="112"/>
  <c r="N66" i="112"/>
  <c r="M66" i="112"/>
  <c r="L66" i="112"/>
  <c r="K66" i="112"/>
  <c r="J66" i="112"/>
  <c r="I66" i="112"/>
  <c r="H66" i="112"/>
  <c r="G66" i="112"/>
  <c r="F66" i="112"/>
  <c r="E66" i="112"/>
  <c r="D66" i="112"/>
  <c r="C66" i="112"/>
  <c r="N65" i="112"/>
  <c r="M65" i="112"/>
  <c r="L65" i="112"/>
  <c r="K65" i="112"/>
  <c r="J65" i="112"/>
  <c r="I65" i="112"/>
  <c r="H65" i="112"/>
  <c r="G65" i="112"/>
  <c r="F65" i="112"/>
  <c r="E65" i="112"/>
  <c r="D65" i="112"/>
  <c r="C65" i="112"/>
  <c r="N64" i="112"/>
  <c r="M64" i="112"/>
  <c r="L64" i="112"/>
  <c r="K64" i="112"/>
  <c r="J64" i="112"/>
  <c r="I64" i="112"/>
  <c r="H64" i="112"/>
  <c r="G64" i="112"/>
  <c r="F64" i="112"/>
  <c r="E64" i="112"/>
  <c r="D64" i="112"/>
  <c r="C64" i="112"/>
  <c r="N63" i="112"/>
  <c r="M63" i="112"/>
  <c r="L63" i="112"/>
  <c r="K63" i="112"/>
  <c r="J63" i="112"/>
  <c r="I63" i="112"/>
  <c r="H63" i="112"/>
  <c r="G63" i="112"/>
  <c r="F63" i="112"/>
  <c r="E63" i="112"/>
  <c r="D63" i="112"/>
  <c r="C63" i="112"/>
  <c r="N62" i="112"/>
  <c r="M62" i="112"/>
  <c r="L62" i="112"/>
  <c r="K62" i="112"/>
  <c r="J62" i="112"/>
  <c r="I62" i="112"/>
  <c r="H62" i="112"/>
  <c r="G62" i="112"/>
  <c r="F62" i="112"/>
  <c r="E62" i="112"/>
  <c r="D62" i="112"/>
  <c r="C62" i="112"/>
  <c r="N61" i="112"/>
  <c r="M61" i="112"/>
  <c r="L61" i="112"/>
  <c r="K61" i="112"/>
  <c r="J61" i="112"/>
  <c r="I61" i="112"/>
  <c r="H61" i="112"/>
  <c r="G61" i="112"/>
  <c r="F61" i="112"/>
  <c r="E61" i="112"/>
  <c r="D61" i="112"/>
  <c r="C61" i="112"/>
  <c r="N60" i="112"/>
  <c r="M60" i="112"/>
  <c r="L60" i="112"/>
  <c r="K60" i="112"/>
  <c r="J60" i="112"/>
  <c r="I60" i="112"/>
  <c r="H60" i="112"/>
  <c r="G60" i="112"/>
  <c r="F60" i="112"/>
  <c r="E60" i="112"/>
  <c r="D60" i="112"/>
  <c r="C60" i="112"/>
  <c r="N59" i="112"/>
  <c r="M59" i="112"/>
  <c r="L59" i="112"/>
  <c r="K59" i="112"/>
  <c r="J59" i="112"/>
  <c r="I59" i="112"/>
  <c r="H59" i="112"/>
  <c r="G59" i="112"/>
  <c r="F59" i="112"/>
  <c r="E59" i="112"/>
  <c r="D59" i="112"/>
  <c r="C59" i="112"/>
  <c r="N58" i="112"/>
  <c r="M58" i="112"/>
  <c r="L58" i="112"/>
  <c r="K58" i="112"/>
  <c r="J58" i="112"/>
  <c r="I58" i="112"/>
  <c r="H58" i="112"/>
  <c r="G58" i="112"/>
  <c r="F58" i="112"/>
  <c r="E58" i="112"/>
  <c r="D58" i="112"/>
  <c r="C58" i="112"/>
  <c r="N57" i="112"/>
  <c r="M57" i="112"/>
  <c r="L57" i="112"/>
  <c r="K57" i="112"/>
  <c r="J57" i="112"/>
  <c r="I57" i="112"/>
  <c r="H57" i="112"/>
  <c r="G57" i="112"/>
  <c r="F57" i="112"/>
  <c r="E57" i="112"/>
  <c r="D57" i="112"/>
  <c r="C57" i="112"/>
  <c r="N56" i="112"/>
  <c r="M56" i="112"/>
  <c r="L56" i="112"/>
  <c r="K56" i="112"/>
  <c r="J56" i="112"/>
  <c r="I56" i="112"/>
  <c r="H56" i="112"/>
  <c r="G56" i="112"/>
  <c r="F56" i="112"/>
  <c r="E56" i="112"/>
  <c r="D56" i="112"/>
  <c r="C56" i="112"/>
  <c r="N55" i="112"/>
  <c r="M55" i="112"/>
  <c r="L55" i="112"/>
  <c r="K55" i="112"/>
  <c r="J55" i="112"/>
  <c r="I55" i="112"/>
  <c r="H55" i="112"/>
  <c r="G55" i="112"/>
  <c r="F55" i="112"/>
  <c r="E55" i="112"/>
  <c r="D55" i="112"/>
  <c r="C55" i="112"/>
  <c r="N54" i="112"/>
  <c r="M54" i="112"/>
  <c r="L54" i="112"/>
  <c r="K54" i="112"/>
  <c r="J54" i="112"/>
  <c r="I54" i="112"/>
  <c r="H54" i="112"/>
  <c r="G54" i="112"/>
  <c r="F54" i="112"/>
  <c r="E54" i="112"/>
  <c r="D54" i="112"/>
  <c r="C54" i="112"/>
  <c r="N53" i="112"/>
  <c r="M53" i="112"/>
  <c r="L53" i="112"/>
  <c r="K53" i="112"/>
  <c r="J53" i="112"/>
  <c r="I53" i="112"/>
  <c r="H53" i="112"/>
  <c r="G53" i="112"/>
  <c r="F53" i="112"/>
  <c r="E53" i="112"/>
  <c r="D53" i="112"/>
  <c r="C53" i="112"/>
  <c r="N52" i="112"/>
  <c r="M52" i="112"/>
  <c r="L52" i="112"/>
  <c r="K52" i="112"/>
  <c r="J52" i="112"/>
  <c r="I52" i="112"/>
  <c r="H52" i="112"/>
  <c r="G52" i="112"/>
  <c r="F52" i="112"/>
  <c r="E52" i="112"/>
  <c r="D52" i="112"/>
  <c r="C52" i="112"/>
  <c r="N51" i="112"/>
  <c r="M51" i="112"/>
  <c r="L51" i="112"/>
  <c r="K51" i="112"/>
  <c r="J51" i="112"/>
  <c r="I51" i="112"/>
  <c r="H51" i="112"/>
  <c r="G51" i="112"/>
  <c r="F51" i="112"/>
  <c r="E51" i="112"/>
  <c r="D51" i="112"/>
  <c r="C51" i="112"/>
  <c r="N50" i="112"/>
  <c r="M50" i="112"/>
  <c r="L50" i="112"/>
  <c r="K50" i="112"/>
  <c r="J50" i="112"/>
  <c r="I50" i="112"/>
  <c r="H50" i="112"/>
  <c r="G50" i="112"/>
  <c r="F50" i="112"/>
  <c r="E50" i="112"/>
  <c r="D50" i="112"/>
  <c r="C50" i="112"/>
  <c r="N49" i="112"/>
  <c r="M49" i="112"/>
  <c r="L49" i="112"/>
  <c r="K49" i="112"/>
  <c r="J49" i="112"/>
  <c r="I49" i="112"/>
  <c r="H49" i="112"/>
  <c r="G49" i="112"/>
  <c r="F49" i="112"/>
  <c r="E49" i="112"/>
  <c r="D49" i="112"/>
  <c r="C49" i="112"/>
  <c r="N48" i="112"/>
  <c r="M48" i="112"/>
  <c r="L48" i="112"/>
  <c r="K48" i="112"/>
  <c r="J48" i="112"/>
  <c r="I48" i="112"/>
  <c r="H48" i="112"/>
  <c r="G48" i="112"/>
  <c r="F48" i="112"/>
  <c r="E48" i="112"/>
  <c r="D48" i="112"/>
  <c r="C48" i="112"/>
  <c r="N47" i="112"/>
  <c r="M47" i="112"/>
  <c r="L47" i="112"/>
  <c r="K47" i="112"/>
  <c r="J47" i="112"/>
  <c r="I47" i="112"/>
  <c r="H47" i="112"/>
  <c r="G47" i="112"/>
  <c r="F47" i="112"/>
  <c r="E47" i="112"/>
  <c r="D47" i="112"/>
  <c r="C47" i="112"/>
  <c r="N46" i="112"/>
  <c r="M46" i="112"/>
  <c r="L46" i="112"/>
  <c r="K46" i="112"/>
  <c r="J46" i="112"/>
  <c r="I46" i="112"/>
  <c r="H46" i="112"/>
  <c r="G46" i="112"/>
  <c r="F46" i="112"/>
  <c r="E46" i="112"/>
  <c r="D46" i="112"/>
  <c r="C46" i="112"/>
  <c r="N45" i="112"/>
  <c r="M45" i="112"/>
  <c r="L45" i="112"/>
  <c r="K45" i="112"/>
  <c r="J45" i="112"/>
  <c r="I45" i="112"/>
  <c r="H45" i="112"/>
  <c r="G45" i="112"/>
  <c r="F45" i="112"/>
  <c r="E45" i="112"/>
  <c r="D45" i="112"/>
  <c r="C45" i="112"/>
  <c r="N44" i="112"/>
  <c r="M44" i="112"/>
  <c r="L44" i="112"/>
  <c r="K44" i="112"/>
  <c r="J44" i="112"/>
  <c r="I44" i="112"/>
  <c r="H44" i="112"/>
  <c r="G44" i="112"/>
  <c r="F44" i="112"/>
  <c r="E44" i="112"/>
  <c r="D44" i="112"/>
  <c r="C44" i="112"/>
  <c r="N43" i="112"/>
  <c r="M43" i="112"/>
  <c r="L43" i="112"/>
  <c r="K43" i="112"/>
  <c r="J43" i="112"/>
  <c r="I43" i="112"/>
  <c r="H43" i="112"/>
  <c r="G43" i="112"/>
  <c r="F43" i="112"/>
  <c r="E43" i="112"/>
  <c r="D43" i="112"/>
  <c r="C43" i="112"/>
  <c r="N42" i="112"/>
  <c r="M42" i="112"/>
  <c r="L42" i="112"/>
  <c r="K42" i="112"/>
  <c r="J42" i="112"/>
  <c r="I42" i="112"/>
  <c r="H42" i="112"/>
  <c r="G42" i="112"/>
  <c r="F42" i="112"/>
  <c r="E42" i="112"/>
  <c r="D42" i="112"/>
  <c r="C42" i="112"/>
  <c r="N41" i="112"/>
  <c r="M41" i="112"/>
  <c r="L41" i="112"/>
  <c r="K41" i="112"/>
  <c r="J41" i="112"/>
  <c r="I41" i="112"/>
  <c r="H41" i="112"/>
  <c r="G41" i="112"/>
  <c r="F41" i="112"/>
  <c r="E41" i="112"/>
  <c r="D41" i="112"/>
  <c r="C41" i="112"/>
  <c r="N40" i="112"/>
  <c r="M40" i="112"/>
  <c r="L40" i="112"/>
  <c r="K40" i="112"/>
  <c r="J40" i="112"/>
  <c r="I40" i="112"/>
  <c r="H40" i="112"/>
  <c r="G40" i="112"/>
  <c r="F40" i="112"/>
  <c r="E40" i="112"/>
  <c r="D40" i="112"/>
  <c r="C40" i="112"/>
  <c r="N39" i="112"/>
  <c r="M39" i="112"/>
  <c r="L39" i="112"/>
  <c r="K39" i="112"/>
  <c r="J39" i="112"/>
  <c r="I39" i="112"/>
  <c r="H39" i="112"/>
  <c r="G39" i="112"/>
  <c r="F39" i="112"/>
  <c r="E39" i="112"/>
  <c r="D39" i="112"/>
  <c r="C39" i="112"/>
  <c r="N38" i="112"/>
  <c r="M38" i="112"/>
  <c r="L38" i="112"/>
  <c r="K38" i="112"/>
  <c r="J38" i="112"/>
  <c r="I38" i="112"/>
  <c r="H38" i="112"/>
  <c r="G38" i="112"/>
  <c r="F38" i="112"/>
  <c r="E38" i="112"/>
  <c r="D38" i="112"/>
  <c r="C38" i="112"/>
  <c r="N37" i="112"/>
  <c r="M37" i="112"/>
  <c r="L37" i="112"/>
  <c r="K37" i="112"/>
  <c r="J37" i="112"/>
  <c r="I37" i="112"/>
  <c r="H37" i="112"/>
  <c r="G37" i="112"/>
  <c r="F37" i="112"/>
  <c r="E37" i="112"/>
  <c r="D37" i="112"/>
  <c r="C37" i="112"/>
  <c r="N36" i="112"/>
  <c r="M36" i="112"/>
  <c r="L36" i="112"/>
  <c r="K36" i="112"/>
  <c r="J36" i="112"/>
  <c r="I36" i="112"/>
  <c r="H36" i="112"/>
  <c r="G36" i="112"/>
  <c r="F36" i="112"/>
  <c r="E36" i="112"/>
  <c r="D36" i="112"/>
  <c r="C36" i="112"/>
  <c r="N35" i="112"/>
  <c r="M35" i="112"/>
  <c r="L35" i="112"/>
  <c r="K35" i="112"/>
  <c r="J35" i="112"/>
  <c r="I35" i="112"/>
  <c r="H35" i="112"/>
  <c r="G35" i="112"/>
  <c r="F35" i="112"/>
  <c r="E35" i="112"/>
  <c r="D35" i="112"/>
  <c r="C35" i="112"/>
  <c r="N34" i="112"/>
  <c r="M34" i="112"/>
  <c r="L34" i="112"/>
  <c r="K34" i="112"/>
  <c r="J34" i="112"/>
  <c r="I34" i="112"/>
  <c r="H34" i="112"/>
  <c r="G34" i="112"/>
  <c r="F34" i="112"/>
  <c r="E34" i="112"/>
  <c r="D34" i="112"/>
  <c r="C34" i="112"/>
  <c r="N33" i="112"/>
  <c r="M33" i="112"/>
  <c r="L33" i="112"/>
  <c r="K33" i="112"/>
  <c r="J33" i="112"/>
  <c r="I33" i="112"/>
  <c r="H33" i="112"/>
  <c r="G33" i="112"/>
  <c r="F33" i="112"/>
  <c r="E33" i="112"/>
  <c r="D33" i="112"/>
  <c r="C33" i="112"/>
  <c r="N32" i="112"/>
  <c r="M32" i="112"/>
  <c r="L32" i="112"/>
  <c r="K32" i="112"/>
  <c r="J32" i="112"/>
  <c r="I32" i="112"/>
  <c r="H32" i="112"/>
  <c r="G32" i="112"/>
  <c r="F32" i="112"/>
  <c r="E32" i="112"/>
  <c r="D32" i="112"/>
  <c r="C32" i="112"/>
  <c r="N31" i="112"/>
  <c r="M31" i="112"/>
  <c r="L31" i="112"/>
  <c r="K31" i="112"/>
  <c r="J31" i="112"/>
  <c r="I31" i="112"/>
  <c r="H31" i="112"/>
  <c r="G31" i="112"/>
  <c r="F31" i="112"/>
  <c r="E31" i="112"/>
  <c r="D31" i="112"/>
  <c r="C31" i="112"/>
  <c r="N30" i="112"/>
  <c r="M30" i="112"/>
  <c r="L30" i="112"/>
  <c r="K30" i="112"/>
  <c r="J30" i="112"/>
  <c r="I30" i="112"/>
  <c r="H30" i="112"/>
  <c r="G30" i="112"/>
  <c r="F30" i="112"/>
  <c r="E30" i="112"/>
  <c r="D30" i="112"/>
  <c r="C30" i="112"/>
  <c r="N29" i="112"/>
  <c r="M29" i="112"/>
  <c r="L29" i="112"/>
  <c r="K29" i="112"/>
  <c r="J29" i="112"/>
  <c r="I29" i="112"/>
  <c r="H29" i="112"/>
  <c r="G29" i="112"/>
  <c r="F29" i="112"/>
  <c r="E29" i="112"/>
  <c r="D29" i="112"/>
  <c r="C29" i="112"/>
  <c r="N28" i="112"/>
  <c r="M28" i="112"/>
  <c r="L28" i="112"/>
  <c r="K28" i="112"/>
  <c r="J28" i="112"/>
  <c r="I28" i="112"/>
  <c r="H28" i="112"/>
  <c r="G28" i="112"/>
  <c r="F28" i="112"/>
  <c r="E28" i="112"/>
  <c r="D28" i="112"/>
  <c r="C28" i="112"/>
  <c r="N27" i="112"/>
  <c r="M27" i="112"/>
  <c r="L27" i="112"/>
  <c r="K27" i="112"/>
  <c r="J27" i="112"/>
  <c r="I27" i="112"/>
  <c r="H27" i="112"/>
  <c r="G27" i="112"/>
  <c r="F27" i="112"/>
  <c r="E27" i="112"/>
  <c r="D27" i="112"/>
  <c r="C27" i="112"/>
  <c r="N26" i="112"/>
  <c r="M26" i="112"/>
  <c r="L26" i="112"/>
  <c r="K26" i="112"/>
  <c r="J26" i="112"/>
  <c r="I26" i="112"/>
  <c r="H26" i="112"/>
  <c r="G26" i="112"/>
  <c r="F26" i="112"/>
  <c r="E26" i="112"/>
  <c r="D26" i="112"/>
  <c r="C26" i="112"/>
  <c r="N25" i="112"/>
  <c r="M25" i="112"/>
  <c r="L25" i="112"/>
  <c r="K25" i="112"/>
  <c r="J25" i="112"/>
  <c r="I25" i="112"/>
  <c r="H25" i="112"/>
  <c r="G25" i="112"/>
  <c r="F25" i="112"/>
  <c r="E25" i="112"/>
  <c r="D25" i="112"/>
  <c r="C25" i="112"/>
  <c r="N24" i="112"/>
  <c r="M24" i="112"/>
  <c r="L24" i="112"/>
  <c r="K24" i="112"/>
  <c r="J24" i="112"/>
  <c r="I24" i="112"/>
  <c r="H24" i="112"/>
  <c r="G24" i="112"/>
  <c r="F24" i="112"/>
  <c r="E24" i="112"/>
  <c r="D24" i="112"/>
  <c r="C24" i="112"/>
  <c r="N23" i="112"/>
  <c r="M23" i="112"/>
  <c r="L23" i="112"/>
  <c r="K23" i="112"/>
  <c r="J23" i="112"/>
  <c r="I23" i="112"/>
  <c r="H23" i="112"/>
  <c r="G23" i="112"/>
  <c r="F23" i="112"/>
  <c r="E23" i="112"/>
  <c r="D23" i="112"/>
  <c r="C23" i="112"/>
  <c r="N22" i="112"/>
  <c r="M22" i="112"/>
  <c r="L22" i="112"/>
  <c r="K22" i="112"/>
  <c r="J22" i="112"/>
  <c r="I22" i="112"/>
  <c r="H22" i="112"/>
  <c r="G22" i="112"/>
  <c r="F22" i="112"/>
  <c r="E22" i="112"/>
  <c r="D22" i="112"/>
  <c r="C22" i="112"/>
  <c r="N21" i="112"/>
  <c r="M21" i="112"/>
  <c r="L21" i="112"/>
  <c r="K21" i="112"/>
  <c r="J21" i="112"/>
  <c r="I21" i="112"/>
  <c r="H21" i="112"/>
  <c r="G21" i="112"/>
  <c r="F21" i="112"/>
  <c r="E21" i="112"/>
  <c r="D21" i="112"/>
  <c r="C21" i="112"/>
  <c r="N20" i="112"/>
  <c r="M20" i="112"/>
  <c r="L20" i="112"/>
  <c r="K20" i="112"/>
  <c r="J20" i="112"/>
  <c r="I20" i="112"/>
  <c r="H20" i="112"/>
  <c r="G20" i="112"/>
  <c r="F20" i="112"/>
  <c r="E20" i="112"/>
  <c r="D20" i="112"/>
  <c r="C20" i="112"/>
  <c r="N19" i="112"/>
  <c r="M19" i="112"/>
  <c r="L19" i="112"/>
  <c r="K19" i="112"/>
  <c r="J19" i="112"/>
  <c r="I19" i="112"/>
  <c r="H19" i="112"/>
  <c r="G19" i="112"/>
  <c r="F19" i="112"/>
  <c r="E19" i="112"/>
  <c r="D19" i="112"/>
  <c r="C19" i="112"/>
  <c r="N18" i="112"/>
  <c r="M18" i="112"/>
  <c r="L18" i="112"/>
  <c r="K18" i="112"/>
  <c r="J18" i="112"/>
  <c r="I18" i="112"/>
  <c r="H18" i="112"/>
  <c r="G18" i="112"/>
  <c r="F18" i="112"/>
  <c r="E18" i="112"/>
  <c r="D18" i="112"/>
  <c r="C18" i="112"/>
  <c r="N17" i="112"/>
  <c r="M17" i="112"/>
  <c r="L17" i="112"/>
  <c r="K17" i="112"/>
  <c r="J17" i="112"/>
  <c r="I17" i="112"/>
  <c r="H17" i="112"/>
  <c r="G17" i="112"/>
  <c r="F17" i="112"/>
  <c r="E17" i="112"/>
  <c r="D17" i="112"/>
  <c r="C17" i="112"/>
  <c r="N16" i="112"/>
  <c r="M16" i="112"/>
  <c r="L16" i="112"/>
  <c r="K16" i="112"/>
  <c r="J16" i="112"/>
  <c r="I16" i="112"/>
  <c r="H16" i="112"/>
  <c r="G16" i="112"/>
  <c r="F16" i="112"/>
  <c r="E16" i="112"/>
  <c r="D16" i="112"/>
  <c r="C16" i="112"/>
  <c r="N15" i="112"/>
  <c r="M15" i="112"/>
  <c r="L15" i="112"/>
  <c r="K15" i="112"/>
  <c r="J15" i="112"/>
  <c r="I15" i="112"/>
  <c r="H15" i="112"/>
  <c r="G15" i="112"/>
  <c r="F15" i="112"/>
  <c r="E15" i="112"/>
  <c r="D15" i="112"/>
  <c r="C15" i="112"/>
  <c r="N14" i="112"/>
  <c r="M14" i="112"/>
  <c r="L14" i="112"/>
  <c r="K14" i="112"/>
  <c r="J14" i="112"/>
  <c r="I14" i="112"/>
  <c r="H14" i="112"/>
  <c r="G14" i="112"/>
  <c r="F14" i="112"/>
  <c r="E14" i="112"/>
  <c r="D14" i="112"/>
  <c r="C14" i="112"/>
  <c r="N13" i="112"/>
  <c r="M13" i="112"/>
  <c r="L13" i="112"/>
  <c r="K13" i="112"/>
  <c r="J13" i="112"/>
  <c r="I13" i="112"/>
  <c r="H13" i="112"/>
  <c r="G13" i="112"/>
  <c r="F13" i="112"/>
  <c r="E13" i="112"/>
  <c r="D13" i="112"/>
  <c r="C13" i="112"/>
  <c r="N12" i="112"/>
  <c r="M12" i="112"/>
  <c r="L12" i="112"/>
  <c r="K12" i="112"/>
  <c r="J12" i="112"/>
  <c r="I12" i="112"/>
  <c r="H12" i="112"/>
  <c r="G12" i="112"/>
  <c r="F12" i="112"/>
  <c r="E12" i="112"/>
  <c r="D12" i="112"/>
  <c r="C12" i="112"/>
  <c r="N11" i="112"/>
  <c r="M11" i="112"/>
  <c r="L11" i="112"/>
  <c r="K11" i="112"/>
  <c r="J11" i="112"/>
  <c r="I11" i="112"/>
  <c r="H11" i="112"/>
  <c r="G11" i="112"/>
  <c r="F11" i="112"/>
  <c r="E11" i="112"/>
  <c r="D11" i="112"/>
  <c r="C11" i="112"/>
  <c r="N10" i="112"/>
  <c r="M10" i="112"/>
  <c r="L10" i="112"/>
  <c r="K10" i="112"/>
  <c r="J10" i="112"/>
  <c r="I10" i="112"/>
  <c r="H10" i="112"/>
  <c r="G10" i="112"/>
  <c r="F10" i="112"/>
  <c r="E10" i="112"/>
  <c r="D10" i="112"/>
  <c r="C10" i="112"/>
  <c r="P104" i="112"/>
  <c r="O103" i="112"/>
  <c r="AA33" i="112"/>
  <c r="P102" i="112"/>
  <c r="P101" i="112"/>
  <c r="O101" i="112"/>
  <c r="P100" i="112"/>
  <c r="AC32" i="112"/>
  <c r="Y32" i="112"/>
  <c r="U32" i="112"/>
  <c r="P99" i="112"/>
  <c r="O99" i="112"/>
  <c r="P98" i="112"/>
  <c r="AC31" i="112"/>
  <c r="Y31" i="112"/>
  <c r="U31" i="112"/>
  <c r="P96" i="112"/>
  <c r="AA31" i="112"/>
  <c r="W31" i="112"/>
  <c r="P94" i="112"/>
  <c r="P93" i="112"/>
  <c r="O93" i="112"/>
  <c r="P92" i="112"/>
  <c r="P91" i="112"/>
  <c r="O91" i="112"/>
  <c r="P90" i="112"/>
  <c r="AC29" i="112"/>
  <c r="Y29" i="112"/>
  <c r="U29" i="112"/>
  <c r="P88" i="112"/>
  <c r="AA29" i="112"/>
  <c r="W29" i="112"/>
  <c r="P86" i="112"/>
  <c r="P85" i="112"/>
  <c r="O85" i="112"/>
  <c r="P84" i="112"/>
  <c r="P83" i="112"/>
  <c r="O83" i="112"/>
  <c r="P82" i="112"/>
  <c r="AC27" i="112"/>
  <c r="Y27" i="112"/>
  <c r="U27" i="112"/>
  <c r="P80" i="112"/>
  <c r="AA27" i="112"/>
  <c r="W27" i="112"/>
  <c r="P78" i="112"/>
  <c r="P77" i="112"/>
  <c r="O77" i="112"/>
  <c r="P76" i="112"/>
  <c r="P75" i="112"/>
  <c r="O75" i="112"/>
  <c r="P74" i="112"/>
  <c r="AC25" i="112"/>
  <c r="Y25" i="112"/>
  <c r="U25" i="112"/>
  <c r="P72" i="112"/>
  <c r="AA25" i="112"/>
  <c r="W25" i="112"/>
  <c r="P70" i="112"/>
  <c r="P69" i="112"/>
  <c r="O69" i="112"/>
  <c r="P68" i="112"/>
  <c r="P67" i="112"/>
  <c r="O67" i="112"/>
  <c r="P66" i="112"/>
  <c r="AC23" i="112"/>
  <c r="Y23" i="112"/>
  <c r="U23" i="112"/>
  <c r="P64" i="112"/>
  <c r="AA23" i="112"/>
  <c r="W23" i="112"/>
  <c r="P62" i="112"/>
  <c r="P61" i="112"/>
  <c r="O61" i="112"/>
  <c r="P60" i="112"/>
  <c r="P59" i="112"/>
  <c r="AF22" i="112" s="1"/>
  <c r="O59" i="112"/>
  <c r="P58" i="112"/>
  <c r="AC21" i="112"/>
  <c r="Y21" i="112"/>
  <c r="U21" i="112"/>
  <c r="P56" i="112"/>
  <c r="AA21" i="112"/>
  <c r="W21" i="112"/>
  <c r="P54" i="112"/>
  <c r="P53" i="112"/>
  <c r="O53" i="112"/>
  <c r="P52" i="112"/>
  <c r="P51" i="112"/>
  <c r="AF20" i="112" s="1"/>
  <c r="O51" i="112"/>
  <c r="P50" i="112"/>
  <c r="AC19" i="112"/>
  <c r="Y19" i="112"/>
  <c r="U19" i="112"/>
  <c r="P48" i="112"/>
  <c r="K106" i="112"/>
  <c r="W19" i="112"/>
  <c r="P46" i="112"/>
  <c r="P45" i="112"/>
  <c r="O45" i="112"/>
  <c r="P44" i="112"/>
  <c r="P43" i="112"/>
  <c r="O43" i="112"/>
  <c r="P42" i="112"/>
  <c r="AF18" i="112" s="1"/>
  <c r="O42" i="112"/>
  <c r="P41" i="112"/>
  <c r="O41" i="112"/>
  <c r="P40" i="112"/>
  <c r="O40" i="112"/>
  <c r="P39" i="112"/>
  <c r="O39" i="112"/>
  <c r="P38" i="112"/>
  <c r="O38" i="112"/>
  <c r="P37" i="112"/>
  <c r="O37" i="112"/>
  <c r="P36" i="112"/>
  <c r="O36" i="112"/>
  <c r="P35" i="112"/>
  <c r="AD33" i="112"/>
  <c r="AB33" i="112"/>
  <c r="Z33" i="112"/>
  <c r="X33" i="112"/>
  <c r="W33" i="112"/>
  <c r="V33" i="112"/>
  <c r="T33" i="112"/>
  <c r="AD32" i="112"/>
  <c r="AB32" i="112"/>
  <c r="AA32" i="112"/>
  <c r="Z32" i="112"/>
  <c r="X32" i="112"/>
  <c r="W32" i="112"/>
  <c r="V32" i="112"/>
  <c r="T32" i="112"/>
  <c r="S32" i="112"/>
  <c r="AD31" i="112"/>
  <c r="AB31" i="112"/>
  <c r="Z31" i="112"/>
  <c r="X31" i="112"/>
  <c r="V31" i="112"/>
  <c r="T31" i="112"/>
  <c r="P31" i="112"/>
  <c r="O31" i="112"/>
  <c r="AD30" i="112"/>
  <c r="AC30" i="112"/>
  <c r="AB30" i="112"/>
  <c r="AA30" i="112"/>
  <c r="Z30" i="112"/>
  <c r="Y30" i="112"/>
  <c r="X30" i="112"/>
  <c r="W30" i="112"/>
  <c r="V30" i="112"/>
  <c r="U30" i="112"/>
  <c r="T30" i="112"/>
  <c r="S30" i="112"/>
  <c r="AB15" i="112"/>
  <c r="X15" i="112"/>
  <c r="T15" i="112"/>
  <c r="AD29" i="112"/>
  <c r="AB29" i="112"/>
  <c r="Z29" i="112"/>
  <c r="X29" i="112"/>
  <c r="V29" i="112"/>
  <c r="T29" i="112"/>
  <c r="P29" i="112"/>
  <c r="O29" i="112"/>
  <c r="AD28" i="112"/>
  <c r="AC28" i="112"/>
  <c r="AB28" i="112"/>
  <c r="AA28" i="112"/>
  <c r="Z28" i="112"/>
  <c r="Y28" i="112"/>
  <c r="X28" i="112"/>
  <c r="W28" i="112"/>
  <c r="V28" i="112"/>
  <c r="U28" i="112"/>
  <c r="T28" i="112"/>
  <c r="S28" i="112"/>
  <c r="P28" i="112"/>
  <c r="AD27" i="112"/>
  <c r="AB27" i="112"/>
  <c r="Z27" i="112"/>
  <c r="X27" i="112"/>
  <c r="V27" i="112"/>
  <c r="T27" i="112"/>
  <c r="P27" i="112"/>
  <c r="O27" i="112"/>
  <c r="AD26" i="112"/>
  <c r="AC26" i="112"/>
  <c r="AB26" i="112"/>
  <c r="AA26" i="112"/>
  <c r="Z26" i="112"/>
  <c r="Y26" i="112"/>
  <c r="X26" i="112"/>
  <c r="W26" i="112"/>
  <c r="V26" i="112"/>
  <c r="U26" i="112"/>
  <c r="T26" i="112"/>
  <c r="S26" i="112"/>
  <c r="AB14" i="112"/>
  <c r="X14" i="112"/>
  <c r="T14" i="112"/>
  <c r="AD25" i="112"/>
  <c r="AB25" i="112"/>
  <c r="Z25" i="112"/>
  <c r="X25" i="112"/>
  <c r="V25" i="112"/>
  <c r="T25" i="112"/>
  <c r="P25" i="112"/>
  <c r="O25" i="112"/>
  <c r="AD24" i="112"/>
  <c r="AC24" i="112"/>
  <c r="AB24" i="112"/>
  <c r="AA24" i="112"/>
  <c r="Z24" i="112"/>
  <c r="Y24" i="112"/>
  <c r="X24" i="112"/>
  <c r="W24" i="112"/>
  <c r="V24" i="112"/>
  <c r="U24" i="112"/>
  <c r="T24" i="112"/>
  <c r="S24" i="112"/>
  <c r="P24" i="112"/>
  <c r="AD23" i="112"/>
  <c r="AB23" i="112"/>
  <c r="Z23" i="112"/>
  <c r="X23" i="112"/>
  <c r="V23" i="112"/>
  <c r="T23" i="112"/>
  <c r="P23" i="112"/>
  <c r="O23" i="112"/>
  <c r="AD22" i="112"/>
  <c r="AC22" i="112"/>
  <c r="AB22" i="112"/>
  <c r="AA22" i="112"/>
  <c r="Z22" i="112"/>
  <c r="Y22" i="112"/>
  <c r="X22" i="112"/>
  <c r="W22" i="112"/>
  <c r="V22" i="112"/>
  <c r="U22" i="112"/>
  <c r="T22" i="112"/>
  <c r="S22" i="112"/>
  <c r="AB13" i="112"/>
  <c r="X13" i="112"/>
  <c r="T13" i="112"/>
  <c r="AD21" i="112"/>
  <c r="AB21" i="112"/>
  <c r="Z21" i="112"/>
  <c r="X21" i="112"/>
  <c r="V21" i="112"/>
  <c r="T21" i="112"/>
  <c r="P21" i="112"/>
  <c r="O21" i="112"/>
  <c r="AD20" i="112"/>
  <c r="AC20" i="112"/>
  <c r="AB20" i="112"/>
  <c r="AA20" i="112"/>
  <c r="Z20" i="112"/>
  <c r="Y20" i="112"/>
  <c r="X20" i="112"/>
  <c r="W20" i="112"/>
  <c r="V20" i="112"/>
  <c r="U20" i="112"/>
  <c r="T20" i="112"/>
  <c r="S20" i="112"/>
  <c r="P20" i="112"/>
  <c r="AD19" i="112"/>
  <c r="AB19" i="112"/>
  <c r="Z19" i="112"/>
  <c r="X19" i="112"/>
  <c r="V19" i="112"/>
  <c r="T19" i="112"/>
  <c r="P19" i="112"/>
  <c r="O19" i="112"/>
  <c r="AD18" i="112"/>
  <c r="AC18" i="112"/>
  <c r="AB18" i="112"/>
  <c r="AA18" i="112"/>
  <c r="Z18" i="112"/>
  <c r="Y18" i="112"/>
  <c r="X18" i="112"/>
  <c r="W18" i="112"/>
  <c r="V18" i="112"/>
  <c r="U18" i="112"/>
  <c r="T18" i="112"/>
  <c r="S18" i="112"/>
  <c r="AB12" i="112"/>
  <c r="X12" i="112"/>
  <c r="T12" i="112"/>
  <c r="AE17" i="112"/>
  <c r="AD17" i="112"/>
  <c r="AC17" i="112"/>
  <c r="AB17" i="112"/>
  <c r="AA17" i="112"/>
  <c r="Z17" i="112"/>
  <c r="Y17" i="112"/>
  <c r="X17" i="112"/>
  <c r="W17" i="112"/>
  <c r="V17" i="112"/>
  <c r="U17" i="112"/>
  <c r="T17" i="112"/>
  <c r="S17" i="112"/>
  <c r="P17" i="112"/>
  <c r="AD16" i="112"/>
  <c r="AC16" i="112"/>
  <c r="AB16" i="112"/>
  <c r="AA16" i="112"/>
  <c r="Z16" i="112"/>
  <c r="Y16" i="112"/>
  <c r="X16" i="112"/>
  <c r="W16" i="112"/>
  <c r="V16" i="112"/>
  <c r="U16" i="112"/>
  <c r="T16" i="112"/>
  <c r="S16" i="112"/>
  <c r="P16" i="112"/>
  <c r="O16" i="112"/>
  <c r="AD15" i="112"/>
  <c r="AC15" i="112"/>
  <c r="AA15" i="112"/>
  <c r="Z15" i="112"/>
  <c r="Y15" i="112"/>
  <c r="W15" i="112"/>
  <c r="V15" i="112"/>
  <c r="U15" i="112"/>
  <c r="S15" i="112"/>
  <c r="P15" i="112"/>
  <c r="AD14" i="112"/>
  <c r="AC14" i="112"/>
  <c r="AA14" i="112"/>
  <c r="Z14" i="112"/>
  <c r="Y14" i="112"/>
  <c r="W14" i="112"/>
  <c r="V14" i="112"/>
  <c r="U14" i="112"/>
  <c r="S14" i="112"/>
  <c r="P14" i="112"/>
  <c r="AA11" i="112"/>
  <c r="W11" i="112"/>
  <c r="O14" i="112"/>
  <c r="AD13" i="112"/>
  <c r="AC13" i="112"/>
  <c r="AA13" i="112"/>
  <c r="AA38" i="112" s="1"/>
  <c r="Z13" i="112"/>
  <c r="Y13" i="112"/>
  <c r="W13" i="112"/>
  <c r="W35" i="112" s="1"/>
  <c r="V13" i="112"/>
  <c r="U13" i="112"/>
  <c r="S13" i="112"/>
  <c r="S38" i="112" s="1"/>
  <c r="P13" i="112"/>
  <c r="AD12" i="112"/>
  <c r="AC12" i="112"/>
  <c r="AA12" i="112"/>
  <c r="Z12" i="112"/>
  <c r="Y12" i="112"/>
  <c r="W12" i="112"/>
  <c r="V12" i="112"/>
  <c r="U12" i="112"/>
  <c r="S12" i="112"/>
  <c r="P12" i="112"/>
  <c r="O12" i="112"/>
  <c r="AD11" i="112"/>
  <c r="AC11" i="112"/>
  <c r="Z11" i="112"/>
  <c r="Y11" i="112"/>
  <c r="V11" i="112"/>
  <c r="U11" i="112"/>
  <c r="P11" i="112"/>
  <c r="AD10" i="112"/>
  <c r="AC10" i="112"/>
  <c r="Z10" i="112"/>
  <c r="Y10" i="112"/>
  <c r="V10" i="112"/>
  <c r="U10" i="112"/>
  <c r="N106" i="112"/>
  <c r="AA10" i="112"/>
  <c r="J106" i="112"/>
  <c r="G106" i="112"/>
  <c r="F106" i="112"/>
  <c r="P10" i="112"/>
  <c r="O10" i="112"/>
  <c r="W38" i="112" l="1"/>
  <c r="AF30" i="112"/>
  <c r="AF24" i="112"/>
  <c r="AF26" i="112"/>
  <c r="W36" i="112"/>
  <c r="AF28" i="112"/>
  <c r="AF10" i="112"/>
  <c r="Z38" i="112"/>
  <c r="Z35" i="112"/>
  <c r="X38" i="112"/>
  <c r="X35" i="112"/>
  <c r="O11" i="112"/>
  <c r="V38" i="112"/>
  <c r="V35" i="112"/>
  <c r="T11" i="112"/>
  <c r="X11" i="112"/>
  <c r="AB11" i="112"/>
  <c r="O17" i="112"/>
  <c r="AF17" i="112"/>
  <c r="W39" i="112"/>
  <c r="AD41" i="112"/>
  <c r="AD40" i="112"/>
  <c r="AD37" i="112"/>
  <c r="AD34" i="112"/>
  <c r="AF11" i="112"/>
  <c r="AB38" i="112"/>
  <c r="AB35" i="112"/>
  <c r="AA37" i="112"/>
  <c r="AA34" i="112"/>
  <c r="Z41" i="112"/>
  <c r="Z40" i="112"/>
  <c r="Z37" i="112"/>
  <c r="Z34" i="112"/>
  <c r="O13" i="112"/>
  <c r="O15" i="112"/>
  <c r="V39" i="112"/>
  <c r="V36" i="112"/>
  <c r="AD39" i="112"/>
  <c r="AD36" i="112"/>
  <c r="U39" i="112"/>
  <c r="U36" i="112"/>
  <c r="Y39" i="112"/>
  <c r="Y36" i="112"/>
  <c r="AC39" i="112"/>
  <c r="AC36" i="112"/>
  <c r="V41" i="112"/>
  <c r="V40" i="112"/>
  <c r="V37" i="112"/>
  <c r="V34" i="112"/>
  <c r="AE11" i="112"/>
  <c r="Z39" i="112"/>
  <c r="Z36" i="112"/>
  <c r="T38" i="112"/>
  <c r="T35" i="112"/>
  <c r="D106" i="112"/>
  <c r="T10" i="112"/>
  <c r="H106" i="112"/>
  <c r="X10" i="112"/>
  <c r="L106" i="112"/>
  <c r="AB10" i="112"/>
  <c r="AD38" i="112"/>
  <c r="AD35" i="112"/>
  <c r="O18" i="112"/>
  <c r="P18" i="112"/>
  <c r="AF12" i="112" s="1"/>
  <c r="O20" i="112"/>
  <c r="O22" i="112"/>
  <c r="AE13" i="112" s="1"/>
  <c r="P22" i="112"/>
  <c r="AF13" i="112" s="1"/>
  <c r="O24" i="112"/>
  <c r="O26" i="112"/>
  <c r="P26" i="112"/>
  <c r="AF14" i="112" s="1"/>
  <c r="O28" i="112"/>
  <c r="O30" i="112"/>
  <c r="P30" i="112"/>
  <c r="O46" i="112"/>
  <c r="O62" i="112"/>
  <c r="O78" i="112"/>
  <c r="O102" i="112"/>
  <c r="E106" i="112"/>
  <c r="I106" i="112"/>
  <c r="M106" i="112"/>
  <c r="S10" i="112"/>
  <c r="W10" i="112"/>
  <c r="S11" i="112"/>
  <c r="S19" i="112"/>
  <c r="AA19" i="112"/>
  <c r="AA41" i="112" s="1"/>
  <c r="S21" i="112"/>
  <c r="S36" i="112" s="1"/>
  <c r="S23" i="112"/>
  <c r="S25" i="112"/>
  <c r="S27" i="112"/>
  <c r="S29" i="112"/>
  <c r="S31" i="112"/>
  <c r="P33" i="112"/>
  <c r="S33" i="112"/>
  <c r="AA35" i="112"/>
  <c r="O47" i="112"/>
  <c r="O48" i="112"/>
  <c r="O55" i="112"/>
  <c r="O56" i="112"/>
  <c r="O63" i="112"/>
  <c r="O64" i="112"/>
  <c r="O71" i="112"/>
  <c r="O72" i="112"/>
  <c r="O79" i="112"/>
  <c r="O80" i="112"/>
  <c r="O87" i="112"/>
  <c r="O88" i="112"/>
  <c r="O95" i="112"/>
  <c r="O96" i="112"/>
  <c r="O104" i="112"/>
  <c r="O54" i="112"/>
  <c r="O86" i="112"/>
  <c r="O94" i="112"/>
  <c r="T39" i="112"/>
  <c r="T36" i="112"/>
  <c r="X39" i="112"/>
  <c r="X36" i="112"/>
  <c r="AB39" i="112"/>
  <c r="AB36" i="112"/>
  <c r="P47" i="112"/>
  <c r="O49" i="112"/>
  <c r="O50" i="112"/>
  <c r="P55" i="112"/>
  <c r="O57" i="112"/>
  <c r="O58" i="112"/>
  <c r="P63" i="112"/>
  <c r="AF23" i="112" s="1"/>
  <c r="O65" i="112"/>
  <c r="O66" i="112"/>
  <c r="P71" i="112"/>
  <c r="O73" i="112"/>
  <c r="O74" i="112"/>
  <c r="P79" i="112"/>
  <c r="O81" i="112"/>
  <c r="O82" i="112"/>
  <c r="P87" i="112"/>
  <c r="O89" i="112"/>
  <c r="O90" i="112"/>
  <c r="P95" i="112"/>
  <c r="O97" i="112"/>
  <c r="AF32" i="112"/>
  <c r="O98" i="112"/>
  <c r="P103" i="112"/>
  <c r="AF33" i="112" s="1"/>
  <c r="O105" i="112"/>
  <c r="C106" i="112"/>
  <c r="O70" i="112"/>
  <c r="AE25" i="112" s="1"/>
  <c r="U40" i="112"/>
  <c r="U37" i="112"/>
  <c r="U34" i="112"/>
  <c r="Y40" i="112"/>
  <c r="Y37" i="112"/>
  <c r="Y34" i="112"/>
  <c r="AC40" i="112"/>
  <c r="AC37" i="112"/>
  <c r="AC34" i="112"/>
  <c r="U38" i="112"/>
  <c r="U35" i="112"/>
  <c r="Y38" i="112"/>
  <c r="Y35" i="112"/>
  <c r="AC38" i="112"/>
  <c r="AC35" i="112"/>
  <c r="P32" i="112"/>
  <c r="O32" i="112"/>
  <c r="P34" i="112"/>
  <c r="AF16" i="112" s="1"/>
  <c r="S35" i="112"/>
  <c r="O44" i="112"/>
  <c r="AE18" i="112" s="1"/>
  <c r="P49" i="112"/>
  <c r="O52" i="112"/>
  <c r="P57" i="112"/>
  <c r="O60" i="112"/>
  <c r="P65" i="112"/>
  <c r="O68" i="112"/>
  <c r="P73" i="112"/>
  <c r="O76" i="112"/>
  <c r="P81" i="112"/>
  <c r="O84" i="112"/>
  <c r="P89" i="112"/>
  <c r="O92" i="112"/>
  <c r="P97" i="112"/>
  <c r="O100" i="112"/>
  <c r="U33" i="112"/>
  <c r="U41" i="112" s="1"/>
  <c r="U42" i="112" s="1"/>
  <c r="Y33" i="112"/>
  <c r="Y41" i="112" s="1"/>
  <c r="Y42" i="112" s="1"/>
  <c r="AC33" i="112"/>
  <c r="AC41" i="112" s="1"/>
  <c r="AC42" i="112" s="1"/>
  <c r="P105" i="112"/>
  <c r="O33" i="112"/>
  <c r="O34" i="112"/>
  <c r="O35" i="112"/>
  <c r="AF29" i="112" l="1"/>
  <c r="AF21" i="112"/>
  <c r="AF31" i="112"/>
  <c r="AF25" i="112"/>
  <c r="AE31" i="112"/>
  <c r="S39" i="112"/>
  <c r="AE14" i="112"/>
  <c r="O106" i="112"/>
  <c r="J108" i="112" s="1"/>
  <c r="AF27" i="112"/>
  <c r="AE24" i="112"/>
  <c r="AF19" i="112"/>
  <c r="AF39" i="112" s="1"/>
  <c r="AD42" i="112"/>
  <c r="K108" i="112"/>
  <c r="AE26" i="112"/>
  <c r="AE29" i="112"/>
  <c r="AE27" i="112"/>
  <c r="AE15" i="112"/>
  <c r="AB41" i="112"/>
  <c r="AB40" i="112"/>
  <c r="AB37" i="112"/>
  <c r="AB34" i="112"/>
  <c r="T41" i="112"/>
  <c r="T40" i="112"/>
  <c r="T37" i="112"/>
  <c r="T34" i="112"/>
  <c r="AA40" i="112"/>
  <c r="AA42" i="112" s="1"/>
  <c r="AE10" i="112"/>
  <c r="AF15" i="112"/>
  <c r="AE28" i="112"/>
  <c r="AE20" i="112"/>
  <c r="AE21" i="112"/>
  <c r="W41" i="112"/>
  <c r="W37" i="112"/>
  <c r="W40" i="112"/>
  <c r="W34" i="112"/>
  <c r="E108" i="112"/>
  <c r="AE23" i="112"/>
  <c r="AF38" i="112"/>
  <c r="AF35" i="112"/>
  <c r="AE12" i="112"/>
  <c r="L108" i="112"/>
  <c r="D108" i="112"/>
  <c r="V42" i="112"/>
  <c r="Z42" i="112"/>
  <c r="AF41" i="112"/>
  <c r="AF40" i="112"/>
  <c r="AF37" i="112"/>
  <c r="AF34" i="112"/>
  <c r="AE16" i="112"/>
  <c r="AE35" i="112" s="1"/>
  <c r="AE32" i="112"/>
  <c r="AE30" i="112"/>
  <c r="AE22" i="112"/>
  <c r="AA39" i="112"/>
  <c r="AA36" i="112"/>
  <c r="S41" i="112"/>
  <c r="S40" i="112"/>
  <c r="S37" i="112"/>
  <c r="S34" i="112"/>
  <c r="AE33" i="112"/>
  <c r="AE19" i="112"/>
  <c r="AE38" i="112"/>
  <c r="X41" i="112"/>
  <c r="X42" i="112" s="1"/>
  <c r="X40" i="112"/>
  <c r="X37" i="112"/>
  <c r="X34" i="112"/>
  <c r="P106" i="112"/>
  <c r="AF42" i="112" l="1"/>
  <c r="G108" i="112"/>
  <c r="F108" i="112"/>
  <c r="W42" i="112"/>
  <c r="H108" i="112"/>
  <c r="N108" i="112"/>
  <c r="AF36" i="112"/>
  <c r="S42" i="112"/>
  <c r="I108" i="112"/>
  <c r="C108" i="112"/>
  <c r="G107" i="112"/>
  <c r="N107" i="112"/>
  <c r="F107" i="112"/>
  <c r="K107" i="112"/>
  <c r="J107" i="112"/>
  <c r="AE41" i="112"/>
  <c r="AE40" i="112"/>
  <c r="AE37" i="112"/>
  <c r="AE34" i="112"/>
  <c r="T42" i="112"/>
  <c r="AB42" i="112"/>
  <c r="I107" i="112"/>
  <c r="L107" i="112"/>
  <c r="D107" i="112"/>
  <c r="C107" i="112"/>
  <c r="H107" i="112"/>
  <c r="AE39" i="112"/>
  <c r="AE36" i="112"/>
  <c r="M107" i="112"/>
  <c r="E107" i="112"/>
  <c r="AE42" i="112" l="1"/>
  <c r="O67" i="108" l="1"/>
  <c r="O59" i="108"/>
  <c r="N105" i="108"/>
  <c r="C59" i="108"/>
  <c r="D59" i="108"/>
  <c r="P59" i="108" s="1"/>
  <c r="E59" i="108"/>
  <c r="F59" i="108"/>
  <c r="G59" i="108"/>
  <c r="H59" i="108"/>
  <c r="I59" i="108"/>
  <c r="J59" i="108"/>
  <c r="K59" i="108"/>
  <c r="L59" i="108"/>
  <c r="M59" i="108"/>
  <c r="N59" i="108"/>
  <c r="C60" i="108"/>
  <c r="D60" i="108"/>
  <c r="E60" i="108"/>
  <c r="F60" i="108"/>
  <c r="G60" i="108"/>
  <c r="H60" i="108"/>
  <c r="I60" i="108"/>
  <c r="J60" i="108"/>
  <c r="K60" i="108"/>
  <c r="L60" i="108"/>
  <c r="M60" i="108"/>
  <c r="N60" i="108"/>
  <c r="C61" i="108"/>
  <c r="D61" i="108"/>
  <c r="P61" i="108" s="1"/>
  <c r="E61" i="108"/>
  <c r="O61" i="108" s="1"/>
  <c r="F61" i="108"/>
  <c r="G61" i="108"/>
  <c r="H61" i="108"/>
  <c r="I61" i="108"/>
  <c r="J61" i="108"/>
  <c r="K61" i="108"/>
  <c r="L61" i="108"/>
  <c r="M61" i="108"/>
  <c r="N61" i="108"/>
  <c r="C62" i="108"/>
  <c r="D62" i="108"/>
  <c r="E62" i="108"/>
  <c r="F62" i="108"/>
  <c r="G62" i="108"/>
  <c r="H62" i="108"/>
  <c r="I62" i="108"/>
  <c r="J62" i="108"/>
  <c r="K62" i="108"/>
  <c r="L62" i="108"/>
  <c r="M62" i="108"/>
  <c r="N62" i="108"/>
  <c r="C63" i="108"/>
  <c r="D63" i="108"/>
  <c r="P63" i="108" s="1"/>
  <c r="E63" i="108"/>
  <c r="O63" i="108" s="1"/>
  <c r="F63" i="108"/>
  <c r="G63" i="108"/>
  <c r="H63" i="108"/>
  <c r="I63" i="108"/>
  <c r="J63" i="108"/>
  <c r="K63" i="108"/>
  <c r="L63" i="108"/>
  <c r="M63" i="108"/>
  <c r="N63" i="108"/>
  <c r="C64" i="108"/>
  <c r="D64" i="108"/>
  <c r="E64" i="108"/>
  <c r="F64" i="108"/>
  <c r="G64" i="108"/>
  <c r="H64" i="108"/>
  <c r="I64" i="108"/>
  <c r="J64" i="108"/>
  <c r="K64" i="108"/>
  <c r="L64" i="108"/>
  <c r="M64" i="108"/>
  <c r="N64" i="108"/>
  <c r="C65" i="108"/>
  <c r="D65" i="108"/>
  <c r="P65" i="108" s="1"/>
  <c r="E65" i="108"/>
  <c r="O65" i="108" s="1"/>
  <c r="F65" i="108"/>
  <c r="G65" i="108"/>
  <c r="H65" i="108"/>
  <c r="I65" i="108"/>
  <c r="J65" i="108"/>
  <c r="K65" i="108"/>
  <c r="L65" i="108"/>
  <c r="M65" i="108"/>
  <c r="N65" i="108"/>
  <c r="C66" i="108"/>
  <c r="D66" i="108"/>
  <c r="E66" i="108"/>
  <c r="F66" i="108"/>
  <c r="G66" i="108"/>
  <c r="H66" i="108"/>
  <c r="I66" i="108"/>
  <c r="J66" i="108"/>
  <c r="K66" i="108"/>
  <c r="L66" i="108"/>
  <c r="M66" i="108"/>
  <c r="N66" i="108"/>
  <c r="C67" i="108"/>
  <c r="D67" i="108"/>
  <c r="P67" i="108" s="1"/>
  <c r="E67" i="108"/>
  <c r="F67" i="108"/>
  <c r="G67" i="108"/>
  <c r="H67" i="108"/>
  <c r="I67" i="108"/>
  <c r="J67" i="108"/>
  <c r="K67" i="108"/>
  <c r="L67" i="108"/>
  <c r="M67" i="108"/>
  <c r="N67" i="108"/>
  <c r="C68" i="108"/>
  <c r="D68" i="108"/>
  <c r="E68" i="108"/>
  <c r="F68" i="108"/>
  <c r="G68" i="108"/>
  <c r="H68" i="108"/>
  <c r="I68" i="108"/>
  <c r="J68" i="108"/>
  <c r="K68" i="108"/>
  <c r="L68" i="108"/>
  <c r="M68" i="108"/>
  <c r="N68" i="108"/>
  <c r="C69" i="108"/>
  <c r="D69" i="108"/>
  <c r="P69" i="108" s="1"/>
  <c r="E69" i="108"/>
  <c r="O69" i="108" s="1"/>
  <c r="F69" i="108"/>
  <c r="G69" i="108"/>
  <c r="H69" i="108"/>
  <c r="I69" i="108"/>
  <c r="J69" i="108"/>
  <c r="K69" i="108"/>
  <c r="L69" i="108"/>
  <c r="M69" i="108"/>
  <c r="N69" i="108"/>
  <c r="C70" i="108"/>
  <c r="D70" i="108"/>
  <c r="E70" i="108"/>
  <c r="F70" i="108"/>
  <c r="G70" i="108"/>
  <c r="H70" i="108"/>
  <c r="I70" i="108"/>
  <c r="J70" i="108"/>
  <c r="K70" i="108"/>
  <c r="L70" i="108"/>
  <c r="M70" i="108"/>
  <c r="N70" i="108"/>
  <c r="C71" i="108"/>
  <c r="D71" i="108"/>
  <c r="P71" i="108" s="1"/>
  <c r="E71" i="108"/>
  <c r="O71" i="108" s="1"/>
  <c r="F71" i="108"/>
  <c r="G71" i="108"/>
  <c r="H71" i="108"/>
  <c r="I71" i="108"/>
  <c r="J71" i="108"/>
  <c r="K71" i="108"/>
  <c r="L71" i="108"/>
  <c r="M71" i="108"/>
  <c r="N71" i="108"/>
  <c r="C72" i="108"/>
  <c r="D72" i="108"/>
  <c r="E72" i="108"/>
  <c r="F72" i="108"/>
  <c r="G72" i="108"/>
  <c r="H72" i="108"/>
  <c r="I72" i="108"/>
  <c r="J72" i="108"/>
  <c r="K72" i="108"/>
  <c r="L72" i="108"/>
  <c r="M72" i="108"/>
  <c r="N72" i="108"/>
  <c r="C73" i="108"/>
  <c r="D73" i="108"/>
  <c r="E73" i="108"/>
  <c r="O73" i="108" s="1"/>
  <c r="F73" i="108"/>
  <c r="G73" i="108"/>
  <c r="H73" i="108"/>
  <c r="I73" i="108"/>
  <c r="J73" i="108"/>
  <c r="K73" i="108"/>
  <c r="L73" i="108"/>
  <c r="M73" i="108"/>
  <c r="N73" i="108"/>
  <c r="C74" i="108"/>
  <c r="D74" i="108"/>
  <c r="E74" i="108"/>
  <c r="F74" i="108"/>
  <c r="G74" i="108"/>
  <c r="H74" i="108"/>
  <c r="I74" i="108"/>
  <c r="J74" i="108"/>
  <c r="K74" i="108"/>
  <c r="L74" i="108"/>
  <c r="M74" i="108"/>
  <c r="N74" i="108"/>
  <c r="C75" i="108"/>
  <c r="D75" i="108"/>
  <c r="E75" i="108"/>
  <c r="O75" i="108" s="1"/>
  <c r="F75" i="108"/>
  <c r="G75" i="108"/>
  <c r="H75" i="108"/>
  <c r="I75" i="108"/>
  <c r="J75" i="108"/>
  <c r="K75" i="108"/>
  <c r="L75" i="108"/>
  <c r="M75" i="108"/>
  <c r="N75" i="108"/>
  <c r="C76" i="108"/>
  <c r="D76" i="108"/>
  <c r="E76" i="108"/>
  <c r="F76" i="108"/>
  <c r="G76" i="108"/>
  <c r="H76" i="108"/>
  <c r="I76" i="108"/>
  <c r="J76" i="108"/>
  <c r="K76" i="108"/>
  <c r="L76" i="108"/>
  <c r="M76" i="108"/>
  <c r="N76" i="108"/>
  <c r="C77" i="108"/>
  <c r="D77" i="108"/>
  <c r="E77" i="108"/>
  <c r="O77" i="108" s="1"/>
  <c r="F77" i="108"/>
  <c r="G77" i="108"/>
  <c r="H77" i="108"/>
  <c r="I77" i="108"/>
  <c r="J77" i="108"/>
  <c r="K77" i="108"/>
  <c r="L77" i="108"/>
  <c r="M77" i="108"/>
  <c r="N77" i="108"/>
  <c r="C78" i="108"/>
  <c r="D78" i="108"/>
  <c r="E78" i="108"/>
  <c r="F78" i="108"/>
  <c r="G78" i="108"/>
  <c r="H78" i="108"/>
  <c r="I78" i="108"/>
  <c r="J78" i="108"/>
  <c r="K78" i="108"/>
  <c r="L78" i="108"/>
  <c r="M78" i="108"/>
  <c r="N78" i="108"/>
  <c r="C79" i="108"/>
  <c r="D79" i="108"/>
  <c r="E79" i="108"/>
  <c r="O79" i="108" s="1"/>
  <c r="F79" i="108"/>
  <c r="G79" i="108"/>
  <c r="H79" i="108"/>
  <c r="I79" i="108"/>
  <c r="J79" i="108"/>
  <c r="K79" i="108"/>
  <c r="L79" i="108"/>
  <c r="M79" i="108"/>
  <c r="N79" i="108"/>
  <c r="C80" i="108"/>
  <c r="D80" i="108"/>
  <c r="E80" i="108"/>
  <c r="F80" i="108"/>
  <c r="G80" i="108"/>
  <c r="H80" i="108"/>
  <c r="I80" i="108"/>
  <c r="J80" i="108"/>
  <c r="K80" i="108"/>
  <c r="L80" i="108"/>
  <c r="M80" i="108"/>
  <c r="N80" i="108"/>
  <c r="C81" i="108"/>
  <c r="D81" i="108"/>
  <c r="E81" i="108"/>
  <c r="O81" i="108" s="1"/>
  <c r="F81" i="108"/>
  <c r="G81" i="108"/>
  <c r="H81" i="108"/>
  <c r="I81" i="108"/>
  <c r="J81" i="108"/>
  <c r="K81" i="108"/>
  <c r="L81" i="108"/>
  <c r="M81" i="108"/>
  <c r="N81" i="108"/>
  <c r="C82" i="108"/>
  <c r="D82" i="108"/>
  <c r="E82" i="108"/>
  <c r="F82" i="108"/>
  <c r="G82" i="108"/>
  <c r="H82" i="108"/>
  <c r="I82" i="108"/>
  <c r="J82" i="108"/>
  <c r="K82" i="108"/>
  <c r="L82" i="108"/>
  <c r="M82" i="108"/>
  <c r="N82" i="108"/>
  <c r="C83" i="108"/>
  <c r="D83" i="108"/>
  <c r="E83" i="108"/>
  <c r="O83" i="108" s="1"/>
  <c r="F83" i="108"/>
  <c r="G83" i="108"/>
  <c r="H83" i="108"/>
  <c r="I83" i="108"/>
  <c r="J83" i="108"/>
  <c r="K83" i="108"/>
  <c r="L83" i="108"/>
  <c r="M83" i="108"/>
  <c r="N83" i="108"/>
  <c r="C84" i="108"/>
  <c r="D84" i="108"/>
  <c r="E84" i="108"/>
  <c r="F84" i="108"/>
  <c r="G84" i="108"/>
  <c r="H84" i="108"/>
  <c r="I84" i="108"/>
  <c r="J84" i="108"/>
  <c r="K84" i="108"/>
  <c r="L84" i="108"/>
  <c r="M84" i="108"/>
  <c r="N84" i="108"/>
  <c r="C85" i="108"/>
  <c r="D85" i="108"/>
  <c r="E85" i="108"/>
  <c r="O85" i="108" s="1"/>
  <c r="F85" i="108"/>
  <c r="G85" i="108"/>
  <c r="H85" i="108"/>
  <c r="I85" i="108"/>
  <c r="J85" i="108"/>
  <c r="K85" i="108"/>
  <c r="L85" i="108"/>
  <c r="M85" i="108"/>
  <c r="N85" i="108"/>
  <c r="C86" i="108"/>
  <c r="D86" i="108"/>
  <c r="E86" i="108"/>
  <c r="F86" i="108"/>
  <c r="G86" i="108"/>
  <c r="H86" i="108"/>
  <c r="I86" i="108"/>
  <c r="J86" i="108"/>
  <c r="K86" i="108"/>
  <c r="L86" i="108"/>
  <c r="M86" i="108"/>
  <c r="N86" i="108"/>
  <c r="C87" i="108"/>
  <c r="D87" i="108"/>
  <c r="E87" i="108"/>
  <c r="O87" i="108" s="1"/>
  <c r="F87" i="108"/>
  <c r="G87" i="108"/>
  <c r="H87" i="108"/>
  <c r="I87" i="108"/>
  <c r="J87" i="108"/>
  <c r="K87" i="108"/>
  <c r="L87" i="108"/>
  <c r="M87" i="108"/>
  <c r="N87" i="108"/>
  <c r="C88" i="108"/>
  <c r="D88" i="108"/>
  <c r="E88" i="108"/>
  <c r="F88" i="108"/>
  <c r="G88" i="108"/>
  <c r="H88" i="108"/>
  <c r="I88" i="108"/>
  <c r="J88" i="108"/>
  <c r="K88" i="108"/>
  <c r="L88" i="108"/>
  <c r="M88" i="108"/>
  <c r="N88" i="108"/>
  <c r="C89" i="108"/>
  <c r="D89" i="108"/>
  <c r="E89" i="108"/>
  <c r="O89" i="108" s="1"/>
  <c r="F89" i="108"/>
  <c r="G89" i="108"/>
  <c r="H89" i="108"/>
  <c r="I89" i="108"/>
  <c r="J89" i="108"/>
  <c r="K89" i="108"/>
  <c r="L89" i="108"/>
  <c r="M89" i="108"/>
  <c r="N89" i="108"/>
  <c r="C90" i="108"/>
  <c r="D90" i="108"/>
  <c r="E90" i="108"/>
  <c r="F90" i="108"/>
  <c r="G90" i="108"/>
  <c r="H90" i="108"/>
  <c r="I90" i="108"/>
  <c r="J90" i="108"/>
  <c r="K90" i="108"/>
  <c r="L90" i="108"/>
  <c r="M90" i="108"/>
  <c r="N90" i="108"/>
  <c r="C91" i="108"/>
  <c r="D91" i="108"/>
  <c r="E91" i="108"/>
  <c r="O91" i="108" s="1"/>
  <c r="F91" i="108"/>
  <c r="G91" i="108"/>
  <c r="H91" i="108"/>
  <c r="I91" i="108"/>
  <c r="J91" i="108"/>
  <c r="K91" i="108"/>
  <c r="L91" i="108"/>
  <c r="M91" i="108"/>
  <c r="N91" i="108"/>
  <c r="C92" i="108"/>
  <c r="D92" i="108"/>
  <c r="E92" i="108"/>
  <c r="F92" i="108"/>
  <c r="G92" i="108"/>
  <c r="H92" i="108"/>
  <c r="I92" i="108"/>
  <c r="J92" i="108"/>
  <c r="K92" i="108"/>
  <c r="L92" i="108"/>
  <c r="M92" i="108"/>
  <c r="N92" i="108"/>
  <c r="C93" i="108"/>
  <c r="D93" i="108"/>
  <c r="E93" i="108"/>
  <c r="O93" i="108" s="1"/>
  <c r="F93" i="108"/>
  <c r="G93" i="108"/>
  <c r="H93" i="108"/>
  <c r="I93" i="108"/>
  <c r="J93" i="108"/>
  <c r="K93" i="108"/>
  <c r="L93" i="108"/>
  <c r="M93" i="108"/>
  <c r="N93" i="108"/>
  <c r="C94" i="108"/>
  <c r="D94" i="108"/>
  <c r="E94" i="108"/>
  <c r="F94" i="108"/>
  <c r="G94" i="108"/>
  <c r="H94" i="108"/>
  <c r="I94" i="108"/>
  <c r="J94" i="108"/>
  <c r="K94" i="108"/>
  <c r="L94" i="108"/>
  <c r="M94" i="108"/>
  <c r="N94" i="108"/>
  <c r="C95" i="108"/>
  <c r="D95" i="108"/>
  <c r="E95" i="108"/>
  <c r="O95" i="108" s="1"/>
  <c r="F95" i="108"/>
  <c r="G95" i="108"/>
  <c r="H95" i="108"/>
  <c r="I95" i="108"/>
  <c r="J95" i="108"/>
  <c r="K95" i="108"/>
  <c r="L95" i="108"/>
  <c r="M95" i="108"/>
  <c r="N95" i="108"/>
  <c r="C96" i="108"/>
  <c r="D96" i="108"/>
  <c r="E96" i="108"/>
  <c r="F96" i="108"/>
  <c r="G96" i="108"/>
  <c r="H96" i="108"/>
  <c r="I96" i="108"/>
  <c r="J96" i="108"/>
  <c r="K96" i="108"/>
  <c r="L96" i="108"/>
  <c r="M96" i="108"/>
  <c r="N96" i="108"/>
  <c r="C97" i="108"/>
  <c r="D97" i="108"/>
  <c r="E97" i="108"/>
  <c r="O97" i="108" s="1"/>
  <c r="F97" i="108"/>
  <c r="G97" i="108"/>
  <c r="H97" i="108"/>
  <c r="I97" i="108"/>
  <c r="J97" i="108"/>
  <c r="K97" i="108"/>
  <c r="L97" i="108"/>
  <c r="M97" i="108"/>
  <c r="N97" i="108"/>
  <c r="C98" i="108"/>
  <c r="D98" i="108"/>
  <c r="E98" i="108"/>
  <c r="F98" i="108"/>
  <c r="G98" i="108"/>
  <c r="H98" i="108"/>
  <c r="I98" i="108"/>
  <c r="J98" i="108"/>
  <c r="K98" i="108"/>
  <c r="L98" i="108"/>
  <c r="M98" i="108"/>
  <c r="N98" i="108"/>
  <c r="C99" i="108"/>
  <c r="D99" i="108"/>
  <c r="E99" i="108"/>
  <c r="O99" i="108" s="1"/>
  <c r="F99" i="108"/>
  <c r="G99" i="108"/>
  <c r="H99" i="108"/>
  <c r="I99" i="108"/>
  <c r="J99" i="108"/>
  <c r="K99" i="108"/>
  <c r="L99" i="108"/>
  <c r="M99" i="108"/>
  <c r="N99" i="108"/>
  <c r="C100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C101" i="108"/>
  <c r="D101" i="108"/>
  <c r="E101" i="108"/>
  <c r="O101" i="108" s="1"/>
  <c r="F101" i="108"/>
  <c r="G101" i="108"/>
  <c r="H101" i="108"/>
  <c r="I101" i="108"/>
  <c r="J101" i="108"/>
  <c r="K101" i="108"/>
  <c r="L101" i="108"/>
  <c r="M101" i="108"/>
  <c r="N101" i="108"/>
  <c r="C102" i="108"/>
  <c r="D102" i="108"/>
  <c r="E102" i="108"/>
  <c r="F102" i="108"/>
  <c r="G102" i="108"/>
  <c r="H102" i="108"/>
  <c r="I102" i="108"/>
  <c r="J102" i="108"/>
  <c r="K102" i="108"/>
  <c r="L102" i="108"/>
  <c r="M102" i="108"/>
  <c r="N102" i="108"/>
  <c r="C103" i="108"/>
  <c r="D103" i="108"/>
  <c r="E103" i="108"/>
  <c r="O103" i="108" s="1"/>
  <c r="F103" i="108"/>
  <c r="G103" i="108"/>
  <c r="H103" i="108"/>
  <c r="I103" i="108"/>
  <c r="J103" i="108"/>
  <c r="K103" i="108"/>
  <c r="L103" i="108"/>
  <c r="M103" i="108"/>
  <c r="N103" i="108"/>
  <c r="C104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C105" i="108"/>
  <c r="D105" i="108"/>
  <c r="E105" i="108"/>
  <c r="O105" i="108" s="1"/>
  <c r="F105" i="108"/>
  <c r="G105" i="108"/>
  <c r="H105" i="108"/>
  <c r="I105" i="108"/>
  <c r="J105" i="108"/>
  <c r="K105" i="108"/>
  <c r="L105" i="108"/>
  <c r="M105" i="108"/>
  <c r="D58" i="108"/>
  <c r="E58" i="108"/>
  <c r="F58" i="108"/>
  <c r="G58" i="108"/>
  <c r="H58" i="108"/>
  <c r="I58" i="108"/>
  <c r="J58" i="108"/>
  <c r="K58" i="108"/>
  <c r="L58" i="108"/>
  <c r="M58" i="108"/>
  <c r="N58" i="108"/>
  <c r="C58" i="108"/>
  <c r="F105" i="107"/>
  <c r="C59" i="107"/>
  <c r="D59" i="107"/>
  <c r="E59" i="107"/>
  <c r="F59" i="107"/>
  <c r="G59" i="107"/>
  <c r="H59" i="107"/>
  <c r="I59" i="107"/>
  <c r="J59" i="107"/>
  <c r="K59" i="107"/>
  <c r="L59" i="107"/>
  <c r="M59" i="107"/>
  <c r="N59" i="107"/>
  <c r="C60" i="107"/>
  <c r="D60" i="107"/>
  <c r="E60" i="107"/>
  <c r="O60" i="107" s="1"/>
  <c r="F60" i="107"/>
  <c r="G60" i="107"/>
  <c r="H60" i="107"/>
  <c r="I60" i="107"/>
  <c r="J60" i="107"/>
  <c r="K60" i="107"/>
  <c r="L60" i="107"/>
  <c r="M60" i="107"/>
  <c r="N60" i="107"/>
  <c r="C61" i="107"/>
  <c r="D61" i="107"/>
  <c r="E61" i="107"/>
  <c r="F61" i="107"/>
  <c r="G61" i="107"/>
  <c r="H61" i="107"/>
  <c r="I61" i="107"/>
  <c r="J61" i="107"/>
  <c r="K61" i="107"/>
  <c r="L61" i="107"/>
  <c r="M61" i="107"/>
  <c r="N61" i="107"/>
  <c r="C62" i="107"/>
  <c r="D62" i="107"/>
  <c r="E62" i="107"/>
  <c r="O62" i="107" s="1"/>
  <c r="F62" i="107"/>
  <c r="G62" i="107"/>
  <c r="H62" i="107"/>
  <c r="I62" i="107"/>
  <c r="J62" i="107"/>
  <c r="K62" i="107"/>
  <c r="L62" i="107"/>
  <c r="M62" i="107"/>
  <c r="N62" i="107"/>
  <c r="C63" i="107"/>
  <c r="D63" i="107"/>
  <c r="E63" i="107"/>
  <c r="F63" i="107"/>
  <c r="G63" i="107"/>
  <c r="H63" i="107"/>
  <c r="I63" i="107"/>
  <c r="J63" i="107"/>
  <c r="K63" i="107"/>
  <c r="L63" i="107"/>
  <c r="M63" i="107"/>
  <c r="N63" i="107"/>
  <c r="C64" i="107"/>
  <c r="D64" i="107"/>
  <c r="E64" i="107"/>
  <c r="O64" i="107" s="1"/>
  <c r="F64" i="107"/>
  <c r="G64" i="107"/>
  <c r="H64" i="107"/>
  <c r="I64" i="107"/>
  <c r="J64" i="107"/>
  <c r="K64" i="107"/>
  <c r="L64" i="107"/>
  <c r="M64" i="107"/>
  <c r="N64" i="107"/>
  <c r="C65" i="107"/>
  <c r="D65" i="107"/>
  <c r="E65" i="107"/>
  <c r="F65" i="107"/>
  <c r="G65" i="107"/>
  <c r="H65" i="107"/>
  <c r="I65" i="107"/>
  <c r="J65" i="107"/>
  <c r="K65" i="107"/>
  <c r="L65" i="107"/>
  <c r="M65" i="107"/>
  <c r="N65" i="107"/>
  <c r="C66" i="107"/>
  <c r="D66" i="107"/>
  <c r="E66" i="107"/>
  <c r="O66" i="107" s="1"/>
  <c r="F66" i="107"/>
  <c r="G66" i="107"/>
  <c r="H66" i="107"/>
  <c r="I66" i="107"/>
  <c r="J66" i="107"/>
  <c r="K66" i="107"/>
  <c r="L66" i="107"/>
  <c r="M66" i="107"/>
  <c r="N66" i="107"/>
  <c r="C67" i="107"/>
  <c r="D67" i="107"/>
  <c r="E67" i="107"/>
  <c r="F67" i="107"/>
  <c r="G67" i="107"/>
  <c r="H67" i="107"/>
  <c r="I67" i="107"/>
  <c r="J67" i="107"/>
  <c r="K67" i="107"/>
  <c r="L67" i="107"/>
  <c r="M67" i="107"/>
  <c r="N67" i="107"/>
  <c r="C68" i="107"/>
  <c r="D68" i="107"/>
  <c r="E68" i="107"/>
  <c r="O68" i="107" s="1"/>
  <c r="F68" i="107"/>
  <c r="G68" i="107"/>
  <c r="H68" i="107"/>
  <c r="I68" i="107"/>
  <c r="J68" i="107"/>
  <c r="K68" i="107"/>
  <c r="L68" i="107"/>
  <c r="M68" i="107"/>
  <c r="N68" i="107"/>
  <c r="C69" i="107"/>
  <c r="D69" i="107"/>
  <c r="E69" i="107"/>
  <c r="F69" i="107"/>
  <c r="G69" i="107"/>
  <c r="H69" i="107"/>
  <c r="I69" i="107"/>
  <c r="J69" i="107"/>
  <c r="K69" i="107"/>
  <c r="L69" i="107"/>
  <c r="M69" i="107"/>
  <c r="N69" i="107"/>
  <c r="C70" i="107"/>
  <c r="D70" i="107"/>
  <c r="E70" i="107"/>
  <c r="O70" i="107" s="1"/>
  <c r="F70" i="107"/>
  <c r="G70" i="107"/>
  <c r="H70" i="107"/>
  <c r="I70" i="107"/>
  <c r="J70" i="107"/>
  <c r="K70" i="107"/>
  <c r="L70" i="107"/>
  <c r="M70" i="107"/>
  <c r="N70" i="107"/>
  <c r="C71" i="107"/>
  <c r="D71" i="107"/>
  <c r="E71" i="107"/>
  <c r="F71" i="107"/>
  <c r="G71" i="107"/>
  <c r="H71" i="107"/>
  <c r="I71" i="107"/>
  <c r="J71" i="107"/>
  <c r="K71" i="107"/>
  <c r="L71" i="107"/>
  <c r="M71" i="107"/>
  <c r="N71" i="107"/>
  <c r="C72" i="107"/>
  <c r="D72" i="107"/>
  <c r="E72" i="107"/>
  <c r="O72" i="107" s="1"/>
  <c r="F72" i="107"/>
  <c r="G72" i="107"/>
  <c r="H72" i="107"/>
  <c r="I72" i="107"/>
  <c r="J72" i="107"/>
  <c r="K72" i="107"/>
  <c r="L72" i="107"/>
  <c r="M72" i="107"/>
  <c r="N72" i="107"/>
  <c r="C73" i="107"/>
  <c r="D73" i="107"/>
  <c r="E73" i="107"/>
  <c r="F73" i="107"/>
  <c r="G73" i="107"/>
  <c r="H73" i="107"/>
  <c r="I73" i="107"/>
  <c r="J73" i="107"/>
  <c r="K73" i="107"/>
  <c r="L73" i="107"/>
  <c r="M73" i="107"/>
  <c r="N73" i="107"/>
  <c r="C74" i="107"/>
  <c r="D74" i="107"/>
  <c r="E74" i="107"/>
  <c r="F74" i="107"/>
  <c r="G74" i="107"/>
  <c r="H74" i="107"/>
  <c r="I74" i="107"/>
  <c r="J74" i="107"/>
  <c r="K74" i="107"/>
  <c r="L74" i="107"/>
  <c r="M74" i="107"/>
  <c r="N74" i="107"/>
  <c r="C75" i="107"/>
  <c r="D75" i="107"/>
  <c r="E75" i="107"/>
  <c r="F75" i="107"/>
  <c r="G75" i="107"/>
  <c r="H75" i="107"/>
  <c r="I75" i="107"/>
  <c r="J75" i="107"/>
  <c r="K75" i="107"/>
  <c r="L75" i="107"/>
  <c r="M75" i="107"/>
  <c r="N75" i="107"/>
  <c r="C76" i="107"/>
  <c r="D76" i="107"/>
  <c r="E76" i="107"/>
  <c r="O76" i="107" s="1"/>
  <c r="F76" i="107"/>
  <c r="G76" i="107"/>
  <c r="H76" i="107"/>
  <c r="I76" i="107"/>
  <c r="J76" i="107"/>
  <c r="K76" i="107"/>
  <c r="L76" i="107"/>
  <c r="M76" i="107"/>
  <c r="N76" i="107"/>
  <c r="C77" i="107"/>
  <c r="D77" i="107"/>
  <c r="E77" i="107"/>
  <c r="F77" i="107"/>
  <c r="G77" i="107"/>
  <c r="H77" i="107"/>
  <c r="I77" i="107"/>
  <c r="J77" i="107"/>
  <c r="K77" i="107"/>
  <c r="L77" i="107"/>
  <c r="M77" i="107"/>
  <c r="N77" i="107"/>
  <c r="C78" i="107"/>
  <c r="D78" i="107"/>
  <c r="E78" i="107"/>
  <c r="O78" i="107" s="1"/>
  <c r="F78" i="107"/>
  <c r="G78" i="107"/>
  <c r="H78" i="107"/>
  <c r="I78" i="107"/>
  <c r="J78" i="107"/>
  <c r="K78" i="107"/>
  <c r="L78" i="107"/>
  <c r="M78" i="107"/>
  <c r="N78" i="107"/>
  <c r="C79" i="107"/>
  <c r="D79" i="107"/>
  <c r="E79" i="107"/>
  <c r="F79" i="107"/>
  <c r="G79" i="107"/>
  <c r="H79" i="107"/>
  <c r="I79" i="107"/>
  <c r="J79" i="107"/>
  <c r="K79" i="107"/>
  <c r="L79" i="107"/>
  <c r="M79" i="107"/>
  <c r="N79" i="107"/>
  <c r="C80" i="107"/>
  <c r="D80" i="107"/>
  <c r="E80" i="107"/>
  <c r="F80" i="107"/>
  <c r="G80" i="107"/>
  <c r="H80" i="107"/>
  <c r="I80" i="107"/>
  <c r="J80" i="107"/>
  <c r="K80" i="107"/>
  <c r="L80" i="107"/>
  <c r="M80" i="107"/>
  <c r="N80" i="107"/>
  <c r="C81" i="107"/>
  <c r="D81" i="107"/>
  <c r="E81" i="107"/>
  <c r="F81" i="107"/>
  <c r="G81" i="107"/>
  <c r="H81" i="107"/>
  <c r="I81" i="107"/>
  <c r="J81" i="107"/>
  <c r="K81" i="107"/>
  <c r="L81" i="107"/>
  <c r="M81" i="107"/>
  <c r="N81" i="107"/>
  <c r="C82" i="107"/>
  <c r="D82" i="107"/>
  <c r="E82" i="107"/>
  <c r="O82" i="107" s="1"/>
  <c r="F82" i="107"/>
  <c r="G82" i="107"/>
  <c r="H82" i="107"/>
  <c r="I82" i="107"/>
  <c r="J82" i="107"/>
  <c r="K82" i="107"/>
  <c r="L82" i="107"/>
  <c r="M82" i="107"/>
  <c r="N82" i="107"/>
  <c r="C83" i="107"/>
  <c r="D83" i="107"/>
  <c r="E83" i="107"/>
  <c r="F83" i="107"/>
  <c r="G83" i="107"/>
  <c r="H83" i="107"/>
  <c r="I83" i="107"/>
  <c r="J83" i="107"/>
  <c r="K83" i="107"/>
  <c r="L83" i="107"/>
  <c r="M83" i="107"/>
  <c r="N83" i="107"/>
  <c r="C84" i="107"/>
  <c r="D84" i="107"/>
  <c r="E84" i="107"/>
  <c r="O84" i="107" s="1"/>
  <c r="F84" i="107"/>
  <c r="G84" i="107"/>
  <c r="H84" i="107"/>
  <c r="I84" i="107"/>
  <c r="J84" i="107"/>
  <c r="K84" i="107"/>
  <c r="L84" i="107"/>
  <c r="M84" i="107"/>
  <c r="N84" i="107"/>
  <c r="C85" i="107"/>
  <c r="D85" i="107"/>
  <c r="E85" i="107"/>
  <c r="F85" i="107"/>
  <c r="G85" i="107"/>
  <c r="H85" i="107"/>
  <c r="I85" i="107"/>
  <c r="J85" i="107"/>
  <c r="K85" i="107"/>
  <c r="L85" i="107"/>
  <c r="M85" i="107"/>
  <c r="N85" i="107"/>
  <c r="C86" i="107"/>
  <c r="D86" i="107"/>
  <c r="E86" i="107"/>
  <c r="F86" i="107"/>
  <c r="G86" i="107"/>
  <c r="H86" i="107"/>
  <c r="I86" i="107"/>
  <c r="J86" i="107"/>
  <c r="K86" i="107"/>
  <c r="L86" i="107"/>
  <c r="M86" i="107"/>
  <c r="N86" i="107"/>
  <c r="C87" i="107"/>
  <c r="D87" i="107"/>
  <c r="E87" i="107"/>
  <c r="F87" i="107"/>
  <c r="G87" i="107"/>
  <c r="H87" i="107"/>
  <c r="I87" i="107"/>
  <c r="J87" i="107"/>
  <c r="K87" i="107"/>
  <c r="L87" i="107"/>
  <c r="M87" i="107"/>
  <c r="N87" i="107"/>
  <c r="C88" i="107"/>
  <c r="D88" i="107"/>
  <c r="E88" i="107"/>
  <c r="O88" i="107" s="1"/>
  <c r="F88" i="107"/>
  <c r="G88" i="107"/>
  <c r="H88" i="107"/>
  <c r="I88" i="107"/>
  <c r="J88" i="107"/>
  <c r="K88" i="107"/>
  <c r="L88" i="107"/>
  <c r="M88" i="107"/>
  <c r="N88" i="107"/>
  <c r="C89" i="107"/>
  <c r="D89" i="107"/>
  <c r="E89" i="107"/>
  <c r="F89" i="107"/>
  <c r="G89" i="107"/>
  <c r="H89" i="107"/>
  <c r="I89" i="107"/>
  <c r="J89" i="107"/>
  <c r="K89" i="107"/>
  <c r="L89" i="107"/>
  <c r="M89" i="107"/>
  <c r="N89" i="107"/>
  <c r="C90" i="107"/>
  <c r="D90" i="107"/>
  <c r="E90" i="107"/>
  <c r="O90" i="107" s="1"/>
  <c r="F90" i="107"/>
  <c r="G90" i="107"/>
  <c r="H90" i="107"/>
  <c r="I90" i="107"/>
  <c r="J90" i="107"/>
  <c r="K90" i="107"/>
  <c r="L90" i="107"/>
  <c r="M90" i="107"/>
  <c r="N90" i="107"/>
  <c r="C91" i="107"/>
  <c r="D91" i="107"/>
  <c r="E91" i="107"/>
  <c r="F91" i="107"/>
  <c r="G91" i="107"/>
  <c r="H91" i="107"/>
  <c r="I91" i="107"/>
  <c r="J91" i="107"/>
  <c r="K91" i="107"/>
  <c r="L91" i="107"/>
  <c r="M91" i="107"/>
  <c r="N91" i="107"/>
  <c r="C92" i="107"/>
  <c r="D92" i="107"/>
  <c r="E92" i="107"/>
  <c r="F92" i="107"/>
  <c r="G92" i="107"/>
  <c r="H92" i="107"/>
  <c r="I92" i="107"/>
  <c r="J92" i="107"/>
  <c r="K92" i="107"/>
  <c r="L92" i="107"/>
  <c r="M92" i="107"/>
  <c r="N92" i="107"/>
  <c r="C93" i="107"/>
  <c r="D93" i="107"/>
  <c r="E93" i="107"/>
  <c r="F93" i="107"/>
  <c r="G93" i="107"/>
  <c r="H93" i="107"/>
  <c r="I93" i="107"/>
  <c r="J93" i="107"/>
  <c r="K93" i="107"/>
  <c r="L93" i="107"/>
  <c r="M93" i="107"/>
  <c r="N93" i="107"/>
  <c r="C94" i="107"/>
  <c r="D94" i="107"/>
  <c r="E94" i="107"/>
  <c r="O94" i="107" s="1"/>
  <c r="F94" i="107"/>
  <c r="G94" i="107"/>
  <c r="H94" i="107"/>
  <c r="I94" i="107"/>
  <c r="J94" i="107"/>
  <c r="K94" i="107"/>
  <c r="L94" i="107"/>
  <c r="M94" i="107"/>
  <c r="N94" i="107"/>
  <c r="C95" i="107"/>
  <c r="D95" i="107"/>
  <c r="E95" i="107"/>
  <c r="F95" i="107"/>
  <c r="G95" i="107"/>
  <c r="H95" i="107"/>
  <c r="I95" i="107"/>
  <c r="J95" i="107"/>
  <c r="K95" i="107"/>
  <c r="L95" i="107"/>
  <c r="M95" i="107"/>
  <c r="N95" i="107"/>
  <c r="C96" i="107"/>
  <c r="D96" i="107"/>
  <c r="E96" i="107"/>
  <c r="O96" i="107" s="1"/>
  <c r="F96" i="107"/>
  <c r="G96" i="107"/>
  <c r="H96" i="107"/>
  <c r="I96" i="107"/>
  <c r="J96" i="107"/>
  <c r="K96" i="107"/>
  <c r="L96" i="107"/>
  <c r="M96" i="107"/>
  <c r="N96" i="107"/>
  <c r="C97" i="107"/>
  <c r="D97" i="107"/>
  <c r="E97" i="107"/>
  <c r="F97" i="107"/>
  <c r="G97" i="107"/>
  <c r="H97" i="107"/>
  <c r="I97" i="107"/>
  <c r="J97" i="107"/>
  <c r="K97" i="107"/>
  <c r="L97" i="107"/>
  <c r="M97" i="107"/>
  <c r="N97" i="107"/>
  <c r="C98" i="107"/>
  <c r="D98" i="107"/>
  <c r="E98" i="107"/>
  <c r="F98" i="107"/>
  <c r="G98" i="107"/>
  <c r="H98" i="107"/>
  <c r="I98" i="107"/>
  <c r="J98" i="107"/>
  <c r="K98" i="107"/>
  <c r="L98" i="107"/>
  <c r="M98" i="107"/>
  <c r="N98" i="107"/>
  <c r="C99" i="107"/>
  <c r="D99" i="107"/>
  <c r="E99" i="107"/>
  <c r="F99" i="107"/>
  <c r="G99" i="107"/>
  <c r="H99" i="107"/>
  <c r="I99" i="107"/>
  <c r="J99" i="107"/>
  <c r="K99" i="107"/>
  <c r="L99" i="107"/>
  <c r="M99" i="107"/>
  <c r="N99" i="107"/>
  <c r="C100" i="107"/>
  <c r="D100" i="107"/>
  <c r="E100" i="107"/>
  <c r="O100" i="107" s="1"/>
  <c r="F100" i="107"/>
  <c r="G100" i="107"/>
  <c r="H100" i="107"/>
  <c r="I100" i="107"/>
  <c r="J100" i="107"/>
  <c r="K100" i="107"/>
  <c r="L100" i="107"/>
  <c r="M100" i="107"/>
  <c r="N100" i="107"/>
  <c r="C101" i="107"/>
  <c r="D101" i="107"/>
  <c r="E101" i="107"/>
  <c r="F101" i="107"/>
  <c r="G101" i="107"/>
  <c r="H101" i="107"/>
  <c r="I101" i="107"/>
  <c r="J101" i="107"/>
  <c r="K101" i="107"/>
  <c r="L101" i="107"/>
  <c r="M101" i="107"/>
  <c r="N101" i="107"/>
  <c r="C102" i="107"/>
  <c r="D102" i="107"/>
  <c r="E102" i="107"/>
  <c r="F102" i="107"/>
  <c r="G102" i="107"/>
  <c r="H102" i="107"/>
  <c r="I102" i="107"/>
  <c r="J102" i="107"/>
  <c r="K102" i="107"/>
  <c r="L102" i="107"/>
  <c r="M102" i="107"/>
  <c r="N102" i="107"/>
  <c r="C103" i="107"/>
  <c r="D103" i="107"/>
  <c r="E103" i="107"/>
  <c r="F103" i="107"/>
  <c r="G103" i="107"/>
  <c r="H103" i="107"/>
  <c r="I103" i="107"/>
  <c r="J103" i="107"/>
  <c r="K103" i="107"/>
  <c r="L103" i="107"/>
  <c r="M103" i="107"/>
  <c r="N103" i="107"/>
  <c r="C104" i="107"/>
  <c r="D104" i="107"/>
  <c r="E104" i="107"/>
  <c r="F104" i="107"/>
  <c r="G104" i="107"/>
  <c r="H104" i="107"/>
  <c r="I104" i="107"/>
  <c r="J104" i="107"/>
  <c r="K104" i="107"/>
  <c r="L104" i="107"/>
  <c r="M104" i="107"/>
  <c r="N104" i="107"/>
  <c r="C105" i="107"/>
  <c r="D105" i="107"/>
  <c r="E105" i="107"/>
  <c r="G105" i="107"/>
  <c r="H105" i="107"/>
  <c r="I105" i="107"/>
  <c r="J105" i="107"/>
  <c r="K105" i="107"/>
  <c r="L105" i="107"/>
  <c r="M105" i="107"/>
  <c r="N105" i="107"/>
  <c r="D58" i="107"/>
  <c r="E58" i="107"/>
  <c r="F58" i="107"/>
  <c r="G58" i="107"/>
  <c r="H58" i="107"/>
  <c r="I58" i="107"/>
  <c r="J58" i="107"/>
  <c r="K58" i="107"/>
  <c r="L58" i="107"/>
  <c r="M58" i="107"/>
  <c r="N58" i="107"/>
  <c r="C58" i="107"/>
  <c r="P58" i="107" s="1"/>
  <c r="P104" i="107" l="1"/>
  <c r="O98" i="107"/>
  <c r="P58" i="108"/>
  <c r="O58" i="108"/>
  <c r="O105" i="107"/>
  <c r="P100" i="107"/>
  <c r="P96" i="107"/>
  <c r="P94" i="107"/>
  <c r="P90" i="107"/>
  <c r="P86" i="107"/>
  <c r="P82" i="107"/>
  <c r="P80" i="107"/>
  <c r="P76" i="107"/>
  <c r="P74" i="107"/>
  <c r="P68" i="107"/>
  <c r="P66" i="107"/>
  <c r="P62" i="107"/>
  <c r="P103" i="108"/>
  <c r="P99" i="108"/>
  <c r="P97" i="108"/>
  <c r="P93" i="108"/>
  <c r="P89" i="108"/>
  <c r="P85" i="108"/>
  <c r="P81" i="108"/>
  <c r="P77" i="108"/>
  <c r="P73" i="108"/>
  <c r="O58" i="107"/>
  <c r="O104" i="107"/>
  <c r="O102" i="107"/>
  <c r="P99" i="107"/>
  <c r="P95" i="107"/>
  <c r="P91" i="107"/>
  <c r="P85" i="107"/>
  <c r="P81" i="107"/>
  <c r="P79" i="107"/>
  <c r="P75" i="107"/>
  <c r="P71" i="107"/>
  <c r="P69" i="107"/>
  <c r="P65" i="107"/>
  <c r="P63" i="107"/>
  <c r="P59" i="107"/>
  <c r="P104" i="108"/>
  <c r="P102" i="108"/>
  <c r="P100" i="108"/>
  <c r="P98" i="108"/>
  <c r="P96" i="108"/>
  <c r="P94" i="108"/>
  <c r="P92" i="108"/>
  <c r="P90" i="108"/>
  <c r="P88" i="108"/>
  <c r="P86" i="108"/>
  <c r="P84" i="108"/>
  <c r="P82" i="108"/>
  <c r="P80" i="108"/>
  <c r="P78" i="108"/>
  <c r="P76" i="108"/>
  <c r="P74" i="108"/>
  <c r="P72" i="108"/>
  <c r="P70" i="108"/>
  <c r="P68" i="108"/>
  <c r="P66" i="108"/>
  <c r="P64" i="108"/>
  <c r="P62" i="108"/>
  <c r="P60" i="108"/>
  <c r="P102" i="107"/>
  <c r="O92" i="107"/>
  <c r="O103" i="107"/>
  <c r="P98" i="107"/>
  <c r="P92" i="107"/>
  <c r="P88" i="107"/>
  <c r="P84" i="107"/>
  <c r="P78" i="107"/>
  <c r="P72" i="107"/>
  <c r="P70" i="107"/>
  <c r="P64" i="107"/>
  <c r="P60" i="107"/>
  <c r="P105" i="108"/>
  <c r="P101" i="108"/>
  <c r="P95" i="108"/>
  <c r="P91" i="108"/>
  <c r="P87" i="108"/>
  <c r="P83" i="108"/>
  <c r="P79" i="108"/>
  <c r="P75" i="108"/>
  <c r="P105" i="107"/>
  <c r="P103" i="107"/>
  <c r="O101" i="107"/>
  <c r="P97" i="107"/>
  <c r="P93" i="107"/>
  <c r="P89" i="107"/>
  <c r="P87" i="107"/>
  <c r="P83" i="107"/>
  <c r="P77" i="107"/>
  <c r="P73" i="107"/>
  <c r="P67" i="107"/>
  <c r="P61" i="107"/>
  <c r="O86" i="107"/>
  <c r="O80" i="107"/>
  <c r="O74" i="107"/>
  <c r="O60" i="108"/>
  <c r="O62" i="108"/>
  <c r="O64" i="108"/>
  <c r="O66" i="108"/>
  <c r="O68" i="108"/>
  <c r="O70" i="108"/>
  <c r="O72" i="108"/>
  <c r="O74" i="108"/>
  <c r="O76" i="108"/>
  <c r="O78" i="108"/>
  <c r="O80" i="108"/>
  <c r="O82" i="108"/>
  <c r="O84" i="108"/>
  <c r="O86" i="108"/>
  <c r="O88" i="108"/>
  <c r="O90" i="108"/>
  <c r="O92" i="108"/>
  <c r="O94" i="108"/>
  <c r="O96" i="108"/>
  <c r="O98" i="108"/>
  <c r="O100" i="108"/>
  <c r="O102" i="108"/>
  <c r="O104" i="108"/>
  <c r="O59" i="107"/>
  <c r="O61" i="107"/>
  <c r="O63" i="107"/>
  <c r="O65" i="107"/>
  <c r="O67" i="107"/>
  <c r="O69" i="107"/>
  <c r="O71" i="107"/>
  <c r="O73" i="107"/>
  <c r="O75" i="107"/>
  <c r="O77" i="107"/>
  <c r="O79" i="107"/>
  <c r="O81" i="107"/>
  <c r="O83" i="107"/>
  <c r="O85" i="107"/>
  <c r="O87" i="107"/>
  <c r="O89" i="107"/>
  <c r="O91" i="107"/>
  <c r="O93" i="107"/>
  <c r="O95" i="107"/>
  <c r="O97" i="107"/>
  <c r="O99" i="107"/>
  <c r="P101" i="107"/>
  <c r="C57" i="107"/>
  <c r="S23" i="107" l="1"/>
  <c r="S22" i="107"/>
  <c r="AF33" i="107"/>
  <c r="AE33" i="107"/>
  <c r="AD33" i="107"/>
  <c r="AC33" i="107"/>
  <c r="AB33" i="107"/>
  <c r="AA33" i="107"/>
  <c r="Z33" i="107"/>
  <c r="Y33" i="107"/>
  <c r="X33" i="107"/>
  <c r="W33" i="107"/>
  <c r="V33" i="107"/>
  <c r="U33" i="107"/>
  <c r="T33" i="107"/>
  <c r="S33" i="107"/>
  <c r="AF32" i="107"/>
  <c r="AE32" i="107"/>
  <c r="AD32" i="107"/>
  <c r="AC32" i="107"/>
  <c r="AB32" i="107"/>
  <c r="AA32" i="107"/>
  <c r="Z32" i="107"/>
  <c r="Y32" i="107"/>
  <c r="X32" i="107"/>
  <c r="W32" i="107"/>
  <c r="V32" i="107"/>
  <c r="U32" i="107"/>
  <c r="T32" i="107"/>
  <c r="S32" i="107"/>
  <c r="AF31" i="107"/>
  <c r="AE31" i="107"/>
  <c r="AD31" i="107"/>
  <c r="AC31" i="107"/>
  <c r="AB31" i="107"/>
  <c r="AA31" i="107"/>
  <c r="Z31" i="107"/>
  <c r="Y31" i="107"/>
  <c r="X31" i="107"/>
  <c r="W31" i="107"/>
  <c r="V31" i="107"/>
  <c r="U31" i="107"/>
  <c r="T31" i="107"/>
  <c r="S31" i="107"/>
  <c r="AF30" i="107"/>
  <c r="AE30" i="107"/>
  <c r="AD30" i="107"/>
  <c r="AC30" i="107"/>
  <c r="AB30" i="107"/>
  <c r="AA30" i="107"/>
  <c r="Z30" i="107"/>
  <c r="Y30" i="107"/>
  <c r="X30" i="107"/>
  <c r="W30" i="107"/>
  <c r="V30" i="107"/>
  <c r="U30" i="107"/>
  <c r="T30" i="107"/>
  <c r="S30" i="107"/>
  <c r="AF29" i="107"/>
  <c r="AE29" i="107"/>
  <c r="AD29" i="107"/>
  <c r="AC29" i="107"/>
  <c r="AB29" i="107"/>
  <c r="AA29" i="107"/>
  <c r="Z29" i="107"/>
  <c r="Y29" i="107"/>
  <c r="X29" i="107"/>
  <c r="W29" i="107"/>
  <c r="V29" i="107"/>
  <c r="U29" i="107"/>
  <c r="T29" i="107"/>
  <c r="S29" i="107"/>
  <c r="AF28" i="107"/>
  <c r="AE28" i="107"/>
  <c r="AD28" i="107"/>
  <c r="AC28" i="107"/>
  <c r="AB28" i="107"/>
  <c r="AA28" i="107"/>
  <c r="Z28" i="107"/>
  <c r="Y28" i="107"/>
  <c r="X28" i="107"/>
  <c r="W28" i="107"/>
  <c r="V28" i="107"/>
  <c r="U28" i="107"/>
  <c r="T28" i="107"/>
  <c r="S28" i="107"/>
  <c r="AF27" i="107"/>
  <c r="AE27" i="107"/>
  <c r="AD27" i="107"/>
  <c r="AC27" i="107"/>
  <c r="AB27" i="107"/>
  <c r="AA27" i="107"/>
  <c r="Z27" i="107"/>
  <c r="Y27" i="107"/>
  <c r="X27" i="107"/>
  <c r="W27" i="107"/>
  <c r="V27" i="107"/>
  <c r="U27" i="107"/>
  <c r="T27" i="107"/>
  <c r="S27" i="107"/>
  <c r="AF26" i="107"/>
  <c r="AE26" i="107"/>
  <c r="AD26" i="107"/>
  <c r="AC26" i="107"/>
  <c r="AB26" i="107"/>
  <c r="AA26" i="107"/>
  <c r="Z26" i="107"/>
  <c r="Y26" i="107"/>
  <c r="X26" i="107"/>
  <c r="W26" i="107"/>
  <c r="V26" i="107"/>
  <c r="U26" i="107"/>
  <c r="T26" i="107"/>
  <c r="S26" i="107"/>
  <c r="AF25" i="107"/>
  <c r="AE25" i="107"/>
  <c r="AD25" i="107"/>
  <c r="AC25" i="107"/>
  <c r="AB25" i="107"/>
  <c r="AA25" i="107"/>
  <c r="Z25" i="107"/>
  <c r="Y25" i="107"/>
  <c r="X25" i="107"/>
  <c r="W25" i="107"/>
  <c r="V25" i="107"/>
  <c r="U25" i="107"/>
  <c r="T25" i="107"/>
  <c r="S25" i="107"/>
  <c r="AF24" i="107"/>
  <c r="AE24" i="107"/>
  <c r="AD24" i="107"/>
  <c r="AC24" i="107"/>
  <c r="AB24" i="107"/>
  <c r="AA24" i="107"/>
  <c r="Z24" i="107"/>
  <c r="Y24" i="107"/>
  <c r="X24" i="107"/>
  <c r="W24" i="107"/>
  <c r="V24" i="107"/>
  <c r="U24" i="107"/>
  <c r="T24" i="107"/>
  <c r="S24" i="107"/>
  <c r="AF23" i="107"/>
  <c r="AE23" i="107"/>
  <c r="AD23" i="107"/>
  <c r="AC23" i="107"/>
  <c r="AB23" i="107"/>
  <c r="AA23" i="107"/>
  <c r="Z23" i="107"/>
  <c r="Y23" i="107"/>
  <c r="X23" i="107"/>
  <c r="W23" i="107"/>
  <c r="V23" i="107"/>
  <c r="U23" i="107"/>
  <c r="T23" i="107"/>
  <c r="AF22" i="107"/>
  <c r="AE22" i="107"/>
  <c r="AD22" i="107"/>
  <c r="AC22" i="107"/>
  <c r="AB22" i="107"/>
  <c r="AA22" i="107"/>
  <c r="Z22" i="107"/>
  <c r="Y22" i="107"/>
  <c r="X22" i="107"/>
  <c r="W22" i="107"/>
  <c r="V22" i="107"/>
  <c r="U22" i="107"/>
  <c r="T22" i="107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AF31" i="108"/>
  <c r="AE31" i="108"/>
  <c r="AD31" i="108"/>
  <c r="AC31" i="108"/>
  <c r="AB31" i="108"/>
  <c r="AA31" i="108"/>
  <c r="Z31" i="108"/>
  <c r="Y31" i="108"/>
  <c r="X31" i="108"/>
  <c r="W31" i="108"/>
  <c r="V31" i="108"/>
  <c r="U31" i="108"/>
  <c r="T31" i="108"/>
  <c r="S31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K6" i="94"/>
  <c r="C3" i="94"/>
  <c r="K6" i="98" l="1"/>
  <c r="K6" i="99" s="1"/>
  <c r="K6" i="100" s="1"/>
  <c r="K6" i="101" s="1"/>
  <c r="K6" i="109" s="1"/>
  <c r="K6" i="105" s="1"/>
  <c r="K6" i="110" s="1"/>
  <c r="K6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G5" i="96"/>
  <c r="K6" i="95"/>
  <c r="G5" i="95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K6" i="104" l="1"/>
  <c r="K6" i="108" s="1"/>
  <c r="K6" i="107"/>
  <c r="K5" i="107"/>
  <c r="K5" i="108"/>
  <c r="G5" i="107"/>
  <c r="G5" i="104"/>
  <c r="G5" i="108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Y39" i="109" s="1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AA39" i="105" s="1"/>
  <c r="Z19" i="105"/>
  <c r="Z39" i="105" s="1"/>
  <c r="Y19" i="105"/>
  <c r="X19" i="105"/>
  <c r="W19" i="105"/>
  <c r="W39" i="105" s="1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AA39" i="101" s="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AA27" i="99" l="1"/>
  <c r="X39" i="105"/>
  <c r="X26" i="98"/>
  <c r="AA26" i="95"/>
  <c r="Z39" i="101"/>
  <c r="AB39" i="101"/>
  <c r="AD39" i="101"/>
  <c r="W26" i="95"/>
  <c r="AD26" i="95"/>
  <c r="C3" i="108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T19" i="108" s="1"/>
  <c r="F46" i="108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L106" i="108" s="1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5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S38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V39" i="109" s="1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AF33" i="101" s="1"/>
  <c r="O101" i="101"/>
  <c r="P100" i="101"/>
  <c r="O99" i="101"/>
  <c r="P98" i="101"/>
  <c r="AF32" i="101" s="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E106" i="107" s="1"/>
  <c r="F10" i="107"/>
  <c r="F106" i="107" s="1"/>
  <c r="G10" i="107"/>
  <c r="H10" i="107"/>
  <c r="I10" i="107"/>
  <c r="I106" i="107" s="1"/>
  <c r="J10" i="107"/>
  <c r="J106" i="107" s="1"/>
  <c r="K10" i="107"/>
  <c r="L10" i="107"/>
  <c r="M10" i="107"/>
  <c r="M106" i="107" s="1"/>
  <c r="N10" i="107"/>
  <c r="N106" i="107" s="1"/>
  <c r="C10" i="107"/>
  <c r="J106" i="108" l="1"/>
  <c r="G106" i="108"/>
  <c r="L106" i="107"/>
  <c r="H106" i="107"/>
  <c r="D106" i="107"/>
  <c r="AF25" i="101"/>
  <c r="AF28" i="101"/>
  <c r="S38" i="105"/>
  <c r="C106" i="108"/>
  <c r="P57" i="108"/>
  <c r="O57" i="108"/>
  <c r="F106" i="108"/>
  <c r="M106" i="108"/>
  <c r="E106" i="108"/>
  <c r="S21" i="107"/>
  <c r="C106" i="107"/>
  <c r="K106" i="107"/>
  <c r="G106" i="107"/>
  <c r="Y38" i="105"/>
  <c r="U38" i="109"/>
  <c r="D106" i="108"/>
  <c r="V19" i="108"/>
  <c r="K106" i="108"/>
  <c r="AB26" i="98"/>
  <c r="P57" i="107"/>
  <c r="O57" i="107"/>
  <c r="H106" i="108"/>
  <c r="N106" i="108"/>
  <c r="I106" i="108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S24" i="94"/>
  <c r="AD21" i="108"/>
  <c r="Z20" i="108"/>
  <c r="W27" i="95"/>
  <c r="W24" i="95"/>
  <c r="AB24" i="98"/>
  <c r="W26" i="96"/>
  <c r="V21" i="108"/>
  <c r="AD19" i="108"/>
  <c r="Z21" i="108"/>
  <c r="AD20" i="108"/>
  <c r="V20" i="108"/>
  <c r="V36" i="108" s="1"/>
  <c r="Z19" i="108"/>
  <c r="AC26" i="97"/>
  <c r="AC23" i="97"/>
  <c r="AC24" i="94"/>
  <c r="Y24" i="94"/>
  <c r="S27" i="94"/>
  <c r="AA38" i="110"/>
  <c r="W24" i="94"/>
  <c r="W27" i="94"/>
  <c r="S26" i="94"/>
  <c r="U23" i="97"/>
  <c r="AA27" i="94"/>
  <c r="U27" i="95"/>
  <c r="U24" i="95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AA42" i="110" s="1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S42" i="110" s="1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P40" i="108"/>
  <c r="AB17" i="108"/>
  <c r="O35" i="108"/>
  <c r="X16" i="108"/>
  <c r="T15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Y34" i="108" s="1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AB11" i="108"/>
  <c r="O41" i="108"/>
  <c r="O33" i="108"/>
  <c r="O25" i="108"/>
  <c r="V15" i="108"/>
  <c r="O23" i="108"/>
  <c r="O19" i="108"/>
  <c r="O15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AC10" i="107"/>
  <c r="W10" i="107"/>
  <c r="U10" i="107"/>
  <c r="X38" i="105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AD39" i="107" s="1"/>
  <c r="Z19" i="107"/>
  <c r="V19" i="107"/>
  <c r="V39" i="107" s="1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Z10" i="107"/>
  <c r="X10" i="107"/>
  <c r="X41" i="107" s="1"/>
  <c r="T10" i="107"/>
  <c r="P56" i="107"/>
  <c r="O56" i="107"/>
  <c r="P55" i="107"/>
  <c r="O55" i="107"/>
  <c r="AC21" i="107"/>
  <c r="AA21" i="107"/>
  <c r="Y21" i="107"/>
  <c r="W21" i="107"/>
  <c r="U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S19" i="107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S38" i="107" s="1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AB38" i="105"/>
  <c r="T38" i="105"/>
  <c r="AD10" i="107"/>
  <c r="AD41" i="107" s="1"/>
  <c r="V10" i="107"/>
  <c r="V41" i="107" s="1"/>
  <c r="AA10" i="107"/>
  <c r="P10" i="107"/>
  <c r="P106" i="107" s="1"/>
  <c r="S10" i="107"/>
  <c r="O10" i="107"/>
  <c r="O106" i="107" s="1"/>
  <c r="X35" i="105"/>
  <c r="U39" i="107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U41" i="107" l="1"/>
  <c r="AE24" i="98"/>
  <c r="AA41" i="107"/>
  <c r="S36" i="107"/>
  <c r="S39" i="107"/>
  <c r="Z41" i="107"/>
  <c r="W41" i="107"/>
  <c r="Y41" i="107"/>
  <c r="U36" i="107"/>
  <c r="AB41" i="107"/>
  <c r="AC41" i="107"/>
  <c r="O106" i="108"/>
  <c r="S37" i="107"/>
  <c r="S41" i="107"/>
  <c r="S40" i="107"/>
  <c r="T41" i="107"/>
  <c r="AF10" i="108"/>
  <c r="P106" i="108"/>
  <c r="AD36" i="108"/>
  <c r="Z36" i="108"/>
  <c r="V39" i="108"/>
  <c r="AB36" i="108"/>
  <c r="AD37" i="108"/>
  <c r="AD39" i="108"/>
  <c r="Z39" i="108"/>
  <c r="T39" i="108"/>
  <c r="C108" i="110"/>
  <c r="X36" i="108"/>
  <c r="V34" i="108"/>
  <c r="X39" i="108"/>
  <c r="T36" i="108"/>
  <c r="AB39" i="108"/>
  <c r="V37" i="108"/>
  <c r="T34" i="108"/>
  <c r="F108" i="110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AC34" i="107"/>
  <c r="V34" i="107"/>
  <c r="AD40" i="108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H108" i="108"/>
  <c r="U36" i="108"/>
  <c r="V36" i="107"/>
  <c r="AD37" i="107"/>
  <c r="AD35" i="107"/>
  <c r="C107" i="107"/>
  <c r="V37" i="107"/>
  <c r="Y37" i="107"/>
  <c r="W34" i="107"/>
  <c r="U40" i="108"/>
  <c r="AF12" i="108"/>
  <c r="AF18" i="108"/>
  <c r="AA38" i="108"/>
  <c r="AE11" i="108"/>
  <c r="AD36" i="107"/>
  <c r="Y34" i="107"/>
  <c r="Z40" i="107"/>
  <c r="AB35" i="107"/>
  <c r="Z36" i="107"/>
  <c r="AD34" i="108"/>
  <c r="U37" i="108"/>
  <c r="AB38" i="108"/>
  <c r="AB40" i="108"/>
  <c r="S38" i="108"/>
  <c r="S40" i="108"/>
  <c r="AA34" i="108"/>
  <c r="Y40" i="108"/>
  <c r="V35" i="108"/>
  <c r="AD35" i="108"/>
  <c r="AF13" i="108"/>
  <c r="AF15" i="108"/>
  <c r="AE16" i="108"/>
  <c r="Z40" i="108"/>
  <c r="F107" i="105"/>
  <c r="AE12" i="107"/>
  <c r="AE16" i="107"/>
  <c r="AF18" i="107"/>
  <c r="S39" i="108"/>
  <c r="S36" i="108"/>
  <c r="W38" i="108"/>
  <c r="W35" i="108"/>
  <c r="H107" i="108"/>
  <c r="V40" i="108"/>
  <c r="Z35" i="108"/>
  <c r="U34" i="108"/>
  <c r="T40" i="108"/>
  <c r="S34" i="108"/>
  <c r="AF16" i="108"/>
  <c r="AA37" i="108"/>
  <c r="AA36" i="108"/>
  <c r="AB34" i="108"/>
  <c r="AB37" i="108"/>
  <c r="W40" i="108"/>
  <c r="W37" i="108"/>
  <c r="W34" i="108"/>
  <c r="Y38" i="108"/>
  <c r="Y35" i="108"/>
  <c r="T37" i="108"/>
  <c r="X37" i="108"/>
  <c r="Y40" i="107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V42" i="107" s="1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X42" i="107" s="1"/>
  <c r="AB40" i="107"/>
  <c r="X38" i="107"/>
  <c r="Z35" i="107"/>
  <c r="AF35" i="105"/>
  <c r="AE17" i="107"/>
  <c r="AE13" i="107"/>
  <c r="AF15" i="107"/>
  <c r="H108" i="107"/>
  <c r="T40" i="107"/>
  <c r="AE11" i="107"/>
  <c r="V35" i="107"/>
  <c r="AD40" i="107"/>
  <c r="AD42" i="107" s="1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AF20" i="107"/>
  <c r="X37" i="107"/>
  <c r="X34" i="107"/>
  <c r="AB34" i="107"/>
  <c r="AB37" i="107"/>
  <c r="AF11" i="107"/>
  <c r="AF12" i="107"/>
  <c r="AA40" i="107"/>
  <c r="AA37" i="107"/>
  <c r="AA34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Y42" i="107" l="1"/>
  <c r="AE41" i="107"/>
  <c r="AC42" i="107"/>
  <c r="AF41" i="107"/>
  <c r="S42" i="107"/>
  <c r="AB42" i="107"/>
  <c r="W42" i="107"/>
  <c r="AA42" i="107"/>
  <c r="U42" i="107"/>
  <c r="T42" i="107"/>
  <c r="Z42" i="107"/>
  <c r="M107" i="107"/>
  <c r="AF39" i="108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F40" i="107"/>
  <c r="AF42" i="107" s="1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40" i="107"/>
  <c r="AE42" i="107" s="1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</calcChain>
</file>

<file path=xl/sharedStrings.xml><?xml version="1.0" encoding="utf-8"?>
<sst xmlns="http://schemas.openxmlformats.org/spreadsheetml/2006/main" count="2333" uniqueCount="183">
  <si>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</si>
  <si>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</si>
  <si>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</si>
  <si>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</si>
  <si>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</si>
  <si>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</si>
  <si>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</si>
  <si>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</si>
  <si>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</si>
  <si>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</si>
  <si>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</si>
  <si>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</si>
  <si>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</si>
  <si>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</si>
  <si>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</si>
  <si>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</si>
  <si>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</si>
  <si>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</si>
  <si>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</si>
  <si>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</si>
  <si>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</si>
  <si>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</si>
  <si>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</si>
  <si>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</si>
  <si>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</si>
  <si>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</si>
  <si>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</si>
  <si>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</si>
  <si>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</si>
  <si>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</si>
  <si>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</si>
  <si>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</si>
  <si>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</si>
  <si>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</si>
  <si>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</si>
  <si>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</si>
  <si>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</si>
  <si>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</si>
  <si>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</si>
  <si>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</si>
  <si>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</si>
  <si>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</si>
  <si>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</si>
  <si>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</si>
  <si>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</si>
  <si>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</si>
  <si>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</si>
  <si>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</si>
  <si>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</si>
  <si>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</si>
  <si>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</si>
  <si>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</si>
  <si>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</si>
  <si>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</si>
  <si>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</si>
  <si>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</si>
  <si>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</si>
  <si>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</si>
  <si>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</si>
  <si>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</si>
  <si>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</si>
  <si>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</si>
  <si>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</si>
  <si>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</si>
  <si>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</si>
  <si>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</si>
  <si>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</si>
  <si>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</si>
  <si>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</si>
  <si>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</si>
  <si>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</si>
  <si>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</si>
  <si>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</si>
  <si>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</si>
  <si>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</si>
  <si>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</si>
  <si>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</si>
  <si>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</si>
  <si>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</si>
  <si>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</si>
  <si>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</si>
  <si>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</si>
  <si>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</si>
  <si>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</si>
  <si>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</si>
  <si>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</si>
  <si>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</si>
  <si>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</si>
  <si>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</si>
  <si>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</si>
  <si>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</si>
  <si>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</si>
  <si>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</si>
  <si>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</si>
  <si>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</si>
  <si>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</si>
  <si>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</si>
  <si>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</si>
  <si>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</si>
  <si>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</si>
  <si>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</si>
  <si>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</si>
  <si>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</si>
  <si>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</si>
  <si>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</si>
  <si>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</si>
  <si>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</si>
  <si>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</si>
  <si>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</si>
  <si>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</si>
  <si>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</si>
  <si>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</si>
  <si>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</si>
  <si>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</si>
  <si>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</si>
  <si>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</si>
  <si>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</si>
  <si>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</si>
  <si>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</si>
  <si>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</si>
  <si>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</si>
  <si>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</si>
  <si>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</si>
  <si>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</si>
  <si>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</si>
  <si>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</si>
  <si>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</si>
  <si>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</si>
  <si>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</si>
  <si>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</si>
  <si>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</si>
  <si>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</si>
  <si>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</si>
  <si>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</si>
  <si>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</si>
  <si>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</si>
  <si>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</si>
  <si>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</si>
  <si>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</si>
  <si>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</si>
  <si>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</si>
  <si>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</si>
  <si>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</si>
  <si>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</si>
  <si>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</si>
  <si>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</si>
  <si>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</si>
  <si>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</si>
  <si>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</si>
  <si>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</si>
  <si>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</si>
  <si>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</si>
  <si>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</si>
  <si>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</si>
  <si>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</si>
  <si>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</si>
  <si>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</si>
  <si>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</si>
  <si>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</si>
  <si>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</si>
  <si>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</si>
  <si>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22.07.19</t>
  </si>
  <si>
    <t>23.07.19</t>
  </si>
  <si>
    <t>24.07.19</t>
  </si>
  <si>
    <t>25.07.19</t>
  </si>
  <si>
    <t>26.07.19</t>
  </si>
  <si>
    <t>27.07.19</t>
  </si>
  <si>
    <t>28.07.19</t>
  </si>
  <si>
    <t>AVERAGE WEEK</t>
  </si>
  <si>
    <t>Ndeeba</t>
  </si>
  <si>
    <t>Nyanama</t>
  </si>
  <si>
    <t>Golden Mille Hotel</t>
  </si>
  <si>
    <t>Steven Dan</t>
  </si>
  <si>
    <t>Denis</t>
  </si>
  <si>
    <t>MCC - C1 - STN04 - WERAGA ROAD</t>
  </si>
  <si>
    <t>Walter</t>
  </si>
  <si>
    <t>Walter &amp; Kaala Richard</t>
  </si>
  <si>
    <t>Steven</t>
  </si>
  <si>
    <t>Steven &amp; Omeje Brian</t>
  </si>
  <si>
    <t>Steven &amp; Omeje</t>
  </si>
  <si>
    <t>Walter &amp; Kaala</t>
  </si>
  <si>
    <t>*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</si>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</sst>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_-;\-* #,##0_-;_-* &quot;-&quot;_-;_-@_-"/>
    <numFmt numFmtId="165" formatCode="0.0%"/>
    <numFmt numFmtId="166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73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164" fontId="1" fillId="0" borderId="8" xfId="2" applyFont="1" applyBorder="1" applyAlignment="1">
      <alignment horizontal="center"/>
    </xf>
    <xf numFmtId="164" fontId="1" fillId="0" borderId="1" xfId="2" applyFont="1" applyBorder="1" applyAlignment="1">
      <alignment horizontal="center"/>
    </xf>
    <xf numFmtId="164" fontId="1" fillId="3" borderId="1" xfId="2" applyFont="1" applyFill="1" applyBorder="1" applyAlignment="1">
      <alignment horizontal="center"/>
    </xf>
    <xf numFmtId="0" fontId="8" fillId="0" borderId="5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0" fillId="0" borderId="6" xfId="0" applyFont="1" applyBorder="1" applyAlignment="1">
      <alignment horizontal="center"/>
    </xf>
  </cellXfs>
  <cellStyles count="3">
    <cellStyle name="Comma [0] 2" xfId="2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Ndeeba-Nyanama'!$AE$9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'22.07 Ndeeba-Nyanama'!$R$10:$R$21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Ndeeba-Nyanama'!$AE$10:$AE$21</c:f>
              <c:numCache>
                <c:formatCode>0</c:formatCode>
                <c:ptCount val="12"/>
                <c:pt idx="0">
                  <c:v>77</c:v>
                </c:pt>
                <c:pt idx="1">
                  <c:v>140</c:v>
                </c:pt>
                <c:pt idx="2">
                  <c:v>128</c:v>
                </c:pt>
                <c:pt idx="3">
                  <c:v>161</c:v>
                </c:pt>
                <c:pt idx="4">
                  <c:v>149</c:v>
                </c:pt>
                <c:pt idx="5">
                  <c:v>183</c:v>
                </c:pt>
                <c:pt idx="6">
                  <c:v>173</c:v>
                </c:pt>
                <c:pt idx="7">
                  <c:v>180</c:v>
                </c:pt>
                <c:pt idx="8">
                  <c:v>202</c:v>
                </c:pt>
                <c:pt idx="9">
                  <c:v>302</c:v>
                </c:pt>
                <c:pt idx="10">
                  <c:v>307</c:v>
                </c:pt>
                <c:pt idx="11">
                  <c:v>641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'22.07 Ndeeba-Nyanama'!$AF$9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'22.07 Ndeeba-Nyanama'!$R$10:$R$21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Ndeeba-Nyanama'!$AF$10:$AF$21</c:f>
              <c:numCache>
                <c:formatCode>0</c:formatCode>
                <c:ptCount val="12"/>
                <c:pt idx="0">
                  <c:v>393</c:v>
                </c:pt>
                <c:pt idx="1">
                  <c:v>760</c:v>
                </c:pt>
                <c:pt idx="2">
                  <c:v>636</c:v>
                </c:pt>
                <c:pt idx="3">
                  <c:v>652</c:v>
                </c:pt>
                <c:pt idx="4">
                  <c:v>552</c:v>
                </c:pt>
                <c:pt idx="5">
                  <c:v>672</c:v>
                </c:pt>
                <c:pt idx="6">
                  <c:v>633</c:v>
                </c:pt>
                <c:pt idx="7">
                  <c:v>464</c:v>
                </c:pt>
                <c:pt idx="8">
                  <c:v>353</c:v>
                </c:pt>
                <c:pt idx="9">
                  <c:v>672</c:v>
                </c:pt>
                <c:pt idx="10">
                  <c:v>682</c:v>
                </c:pt>
                <c:pt idx="11">
                  <c:v>1236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68768"/>
        <c:axId val="87958656"/>
      </c:lineChart>
      <c:catAx>
        <c:axId val="879687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7958656"/>
        <c:crosses val="autoZero"/>
        <c:auto val="1"/>
        <c:lblAlgn val="ctr"/>
        <c:lblOffset val="100"/>
        <c:noMultiLvlLbl val="0"/>
      </c:catAx>
      <c:valAx>
        <c:axId val="879586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796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Ndeeba-Nyanama'!$C$9:$N$9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Ndeeba-Nyanama'!$C$59:$N$59</c:f>
              <c:numCache>
                <c:formatCode>0.0%</c:formatCode>
                <c:ptCount val="12"/>
                <c:pt idx="0">
                  <c:v>0.22634652822842311</c:v>
                </c:pt>
                <c:pt idx="1">
                  <c:v>1.3757300454250486E-2</c:v>
                </c:pt>
                <c:pt idx="2">
                  <c:v>1.518494484101233E-2</c:v>
                </c:pt>
                <c:pt idx="3">
                  <c:v>6.1778066190785207E-2</c:v>
                </c:pt>
                <c:pt idx="4">
                  <c:v>1.5574302401038286E-3</c:v>
                </c:pt>
                <c:pt idx="5">
                  <c:v>2.5957170668397143E-4</c:v>
                </c:pt>
                <c:pt idx="6">
                  <c:v>1.7391304347826087E-2</c:v>
                </c:pt>
                <c:pt idx="7">
                  <c:v>4.0233614536015578E-3</c:v>
                </c:pt>
                <c:pt idx="8">
                  <c:v>2.0765736534717714E-3</c:v>
                </c:pt>
                <c:pt idx="9">
                  <c:v>6.4892926670992858E-4</c:v>
                </c:pt>
                <c:pt idx="10">
                  <c:v>0.65697598961713177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Ndeeba-Nyanama'!$C$9:$N$9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Ndeeba-Nyanama'!$C$60:$N$60</c:f>
              <c:numCache>
                <c:formatCode>0.00%</c:formatCode>
                <c:ptCount val="12"/>
                <c:pt idx="0">
                  <c:v>0.65985622398789257</c:v>
                </c:pt>
                <c:pt idx="1">
                  <c:v>4.0105940219447599E-2</c:v>
                </c:pt>
                <c:pt idx="2">
                  <c:v>4.4267877412031781E-2</c:v>
                </c:pt>
                <c:pt idx="3">
                  <c:v>0.18009837306091564</c:v>
                </c:pt>
                <c:pt idx="4">
                  <c:v>4.5402951191827468E-3</c:v>
                </c:pt>
                <c:pt idx="5">
                  <c:v>7.5671585319712453E-4</c:v>
                </c:pt>
                <c:pt idx="6">
                  <c:v>5.0699962164207343E-2</c:v>
                </c:pt>
                <c:pt idx="7">
                  <c:v>1.172909572455543E-2</c:v>
                </c:pt>
                <c:pt idx="8">
                  <c:v>6.0537268255769962E-3</c:v>
                </c:pt>
                <c:pt idx="9">
                  <c:v>1.8917896329928112E-3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Nyanama-Ndeeba'!$AE$9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'22.07 Nyanama-Ndeeba'!$R$10:$R$21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Nyanama-Ndeeba'!$AE$10:$AE$21</c:f>
              <c:numCache>
                <c:formatCode>0</c:formatCode>
                <c:ptCount val="12"/>
                <c:pt idx="0">
                  <c:v>272</c:v>
                </c:pt>
                <c:pt idx="1">
                  <c:v>487</c:v>
                </c:pt>
                <c:pt idx="2">
                  <c:v>331</c:v>
                </c:pt>
                <c:pt idx="3">
                  <c:v>251</c:v>
                </c:pt>
                <c:pt idx="4">
                  <c:v>248</c:v>
                </c:pt>
                <c:pt idx="5">
                  <c:v>225</c:v>
                </c:pt>
                <c:pt idx="6">
                  <c:v>212</c:v>
                </c:pt>
                <c:pt idx="7">
                  <c:v>205</c:v>
                </c:pt>
                <c:pt idx="8">
                  <c:v>158</c:v>
                </c:pt>
                <c:pt idx="9">
                  <c:v>202</c:v>
                </c:pt>
                <c:pt idx="10">
                  <c:v>168</c:v>
                </c:pt>
                <c:pt idx="11">
                  <c:v>166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'22.07 Nyanama-Ndeeba'!$AF$9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'22.07 Nyanama-Ndeeba'!$R$10:$R$21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Nyanama-Ndeeba'!$AF$10:$AF$21</c:f>
              <c:numCache>
                <c:formatCode>0</c:formatCode>
                <c:ptCount val="12"/>
                <c:pt idx="0">
                  <c:v>469</c:v>
                </c:pt>
                <c:pt idx="1">
                  <c:v>984</c:v>
                </c:pt>
                <c:pt idx="2">
                  <c:v>770</c:v>
                </c:pt>
                <c:pt idx="3">
                  <c:v>667</c:v>
                </c:pt>
                <c:pt idx="4">
                  <c:v>548</c:v>
                </c:pt>
                <c:pt idx="5">
                  <c:v>540</c:v>
                </c:pt>
                <c:pt idx="6">
                  <c:v>504</c:v>
                </c:pt>
                <c:pt idx="7">
                  <c:v>461</c:v>
                </c:pt>
                <c:pt idx="8">
                  <c:v>339</c:v>
                </c:pt>
                <c:pt idx="9">
                  <c:v>475</c:v>
                </c:pt>
                <c:pt idx="10">
                  <c:v>404</c:v>
                </c:pt>
                <c:pt idx="11">
                  <c:v>504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459136"/>
        <c:axId val="88460672"/>
      </c:lineChart>
      <c:catAx>
        <c:axId val="884591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8460672"/>
        <c:crosses val="autoZero"/>
        <c:auto val="1"/>
        <c:lblAlgn val="ctr"/>
        <c:lblOffset val="100"/>
        <c:noMultiLvlLbl val="0"/>
      </c:catAx>
      <c:valAx>
        <c:axId val="884606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845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Nyanama-Ndeeba'!$C$9:$N$9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Nyanama-Ndeeba'!$C$59:$N$59</c:f>
              <c:numCache>
                <c:formatCode>0.0%</c:formatCode>
                <c:ptCount val="12"/>
                <c:pt idx="0">
                  <c:v>0.2693173293323331</c:v>
                </c:pt>
                <c:pt idx="1">
                  <c:v>3.04576144036009E-2</c:v>
                </c:pt>
                <c:pt idx="2">
                  <c:v>2.6706676669167293E-2</c:v>
                </c:pt>
                <c:pt idx="3">
                  <c:v>8.1770442610652666E-2</c:v>
                </c:pt>
                <c:pt idx="4">
                  <c:v>1.8004501125281321E-3</c:v>
                </c:pt>
                <c:pt idx="5">
                  <c:v>3.0007501875468868E-4</c:v>
                </c:pt>
                <c:pt idx="6">
                  <c:v>1.8754688672168042E-2</c:v>
                </c:pt>
                <c:pt idx="7">
                  <c:v>7.6519129782445612E-3</c:v>
                </c:pt>
                <c:pt idx="8">
                  <c:v>1.6504126031507878E-3</c:v>
                </c:pt>
                <c:pt idx="9">
                  <c:v>4.5011252813203302E-4</c:v>
                </c:pt>
                <c:pt idx="10">
                  <c:v>0.56114028507126779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65"/>
          <c:y val="2.296022663732378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Nyanama-Ndeeba'!$S$9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'22.07 Nyanama-Ndeeba'!$R$10:$R$21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Nyanama-Ndeeba'!$S$10:$S$21</c:f>
              <c:numCache>
                <c:formatCode>0</c:formatCode>
                <c:ptCount val="12"/>
                <c:pt idx="0">
                  <c:v>160</c:v>
                </c:pt>
                <c:pt idx="1">
                  <c:v>279</c:v>
                </c:pt>
                <c:pt idx="2">
                  <c:v>200</c:v>
                </c:pt>
                <c:pt idx="3">
                  <c:v>160</c:v>
                </c:pt>
                <c:pt idx="4">
                  <c:v>143</c:v>
                </c:pt>
                <c:pt idx="5">
                  <c:v>152</c:v>
                </c:pt>
                <c:pt idx="6">
                  <c:v>143</c:v>
                </c:pt>
                <c:pt idx="7">
                  <c:v>120</c:v>
                </c:pt>
                <c:pt idx="8">
                  <c:v>109</c:v>
                </c:pt>
                <c:pt idx="9">
                  <c:v>128</c:v>
                </c:pt>
                <c:pt idx="10">
                  <c:v>104</c:v>
                </c:pt>
                <c:pt idx="11">
                  <c:v>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'22.07 Nyanama-Ndeeba'!$T$9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'22.07 Nyanama-Ndeeba'!$R$10:$R$21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Nyanama-Ndeeba'!$T$10:$T$21</c:f>
              <c:numCache>
                <c:formatCode>0</c:formatCode>
                <c:ptCount val="12"/>
                <c:pt idx="0">
                  <c:v>15</c:v>
                </c:pt>
                <c:pt idx="1">
                  <c:v>24</c:v>
                </c:pt>
                <c:pt idx="2">
                  <c:v>31</c:v>
                </c:pt>
                <c:pt idx="3">
                  <c:v>16</c:v>
                </c:pt>
                <c:pt idx="4">
                  <c:v>24</c:v>
                </c:pt>
                <c:pt idx="5">
                  <c:v>11</c:v>
                </c:pt>
                <c:pt idx="6">
                  <c:v>9</c:v>
                </c:pt>
                <c:pt idx="7">
                  <c:v>18</c:v>
                </c:pt>
                <c:pt idx="8">
                  <c:v>8</c:v>
                </c:pt>
                <c:pt idx="9">
                  <c:v>22</c:v>
                </c:pt>
                <c:pt idx="10">
                  <c:v>14</c:v>
                </c:pt>
                <c:pt idx="11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'22.07 Nyanama-Ndeeba'!$U$9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'22.07 Nyanama-Ndeeba'!$U$10:$U$21</c:f>
              <c:numCache>
                <c:formatCode>0</c:formatCode>
                <c:ptCount val="12"/>
                <c:pt idx="0">
                  <c:v>13</c:v>
                </c:pt>
                <c:pt idx="1">
                  <c:v>18</c:v>
                </c:pt>
                <c:pt idx="2">
                  <c:v>18</c:v>
                </c:pt>
                <c:pt idx="3">
                  <c:v>17</c:v>
                </c:pt>
                <c:pt idx="4">
                  <c:v>17</c:v>
                </c:pt>
                <c:pt idx="5">
                  <c:v>12</c:v>
                </c:pt>
                <c:pt idx="6">
                  <c:v>10</c:v>
                </c:pt>
                <c:pt idx="7">
                  <c:v>18</c:v>
                </c:pt>
                <c:pt idx="8">
                  <c:v>14</c:v>
                </c:pt>
                <c:pt idx="9">
                  <c:v>14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'22.07 Nyanama-Ndeeba'!$V$9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'22.07 Nyanama-Ndeeba'!$V$10:$V$21</c:f>
              <c:numCache>
                <c:formatCode>0</c:formatCode>
                <c:ptCount val="12"/>
                <c:pt idx="0">
                  <c:v>75</c:v>
                </c:pt>
                <c:pt idx="1">
                  <c:v>146</c:v>
                </c:pt>
                <c:pt idx="2">
                  <c:v>63</c:v>
                </c:pt>
                <c:pt idx="3">
                  <c:v>37</c:v>
                </c:pt>
                <c:pt idx="4">
                  <c:v>35</c:v>
                </c:pt>
                <c:pt idx="5">
                  <c:v>26</c:v>
                </c:pt>
                <c:pt idx="6">
                  <c:v>34</c:v>
                </c:pt>
                <c:pt idx="7">
                  <c:v>34</c:v>
                </c:pt>
                <c:pt idx="8">
                  <c:v>19</c:v>
                </c:pt>
                <c:pt idx="9">
                  <c:v>23</c:v>
                </c:pt>
                <c:pt idx="10">
                  <c:v>25</c:v>
                </c:pt>
                <c:pt idx="1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'22.07 Nyanama-Ndeeba'!$W$9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'22.07 Nyanama-Ndeeba'!$W$10:$W$21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'22.07 Nyanama-Ndeeba'!$X$9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'22.07 Nyanama-Ndeeba'!$X$10:$X$21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'22.07 Nyanama-Ndeeba'!$Y$9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Nyanama-Ndeeba'!$Y$10:$Y$21</c:f>
              <c:numCache>
                <c:formatCode>0</c:formatCode>
                <c:ptCount val="12"/>
                <c:pt idx="0">
                  <c:v>2</c:v>
                </c:pt>
                <c:pt idx="1">
                  <c:v>7</c:v>
                </c:pt>
                <c:pt idx="2">
                  <c:v>12</c:v>
                </c:pt>
                <c:pt idx="3">
                  <c:v>14</c:v>
                </c:pt>
                <c:pt idx="4">
                  <c:v>19</c:v>
                </c:pt>
                <c:pt idx="5">
                  <c:v>15</c:v>
                </c:pt>
                <c:pt idx="6">
                  <c:v>10</c:v>
                </c:pt>
                <c:pt idx="7">
                  <c:v>11</c:v>
                </c:pt>
                <c:pt idx="8">
                  <c:v>7</c:v>
                </c:pt>
                <c:pt idx="9">
                  <c:v>13</c:v>
                </c:pt>
                <c:pt idx="10">
                  <c:v>8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'22.07 Nyanama-Ndeeba'!$Z$9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Nyanama-Ndeeba'!$Z$10:$Z$21</c:f>
              <c:numCache>
                <c:formatCode>0</c:formatCode>
                <c:ptCount val="12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6</c:v>
                </c:pt>
                <c:pt idx="4">
                  <c:v>4</c:v>
                </c:pt>
                <c:pt idx="5">
                  <c:v>8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'22.07 Nyanama-Ndeeba'!$AA$9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Nyanama-Ndeeba'!$AA$10:$AA$21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'22.07 Nyanama-Ndeeba'!$AB$9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Nyanama-Ndeeba'!$AB$10:$AB$21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'22.07 Nyanama-Ndeeba'!$AC$9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Nyanama-Ndeeba'!$AC$10:$AC$21</c:f>
              <c:numCache>
                <c:formatCode>0</c:formatCode>
                <c:ptCount val="12"/>
                <c:pt idx="0">
                  <c:v>197</c:v>
                </c:pt>
                <c:pt idx="1">
                  <c:v>497</c:v>
                </c:pt>
                <c:pt idx="2">
                  <c:v>439</c:v>
                </c:pt>
                <c:pt idx="3">
                  <c:v>416</c:v>
                </c:pt>
                <c:pt idx="4">
                  <c:v>300</c:v>
                </c:pt>
                <c:pt idx="5">
                  <c:v>315</c:v>
                </c:pt>
                <c:pt idx="6">
                  <c:v>292</c:v>
                </c:pt>
                <c:pt idx="7">
                  <c:v>256</c:v>
                </c:pt>
                <c:pt idx="8">
                  <c:v>181</c:v>
                </c:pt>
                <c:pt idx="9">
                  <c:v>273</c:v>
                </c:pt>
                <c:pt idx="10">
                  <c:v>236</c:v>
                </c:pt>
                <c:pt idx="11">
                  <c:v>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'22.07 Nyanama-Ndeeba'!$AD$9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Nyanama-Ndeeba'!$AD$10:$AD$21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522752"/>
        <c:axId val="88524288"/>
      </c:lineChart>
      <c:catAx>
        <c:axId val="8852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8524288"/>
        <c:crosses val="autoZero"/>
        <c:auto val="1"/>
        <c:lblAlgn val="ctr"/>
        <c:lblOffset val="100"/>
        <c:noMultiLvlLbl val="0"/>
      </c:catAx>
      <c:valAx>
        <c:axId val="8852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852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Nyanama-Ndeeba'!$C$9:$N$9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Nyanama-Ndeeba'!$C$60:$N$60</c:f>
              <c:numCache>
                <c:formatCode>0.00%</c:formatCode>
                <c:ptCount val="12"/>
                <c:pt idx="0">
                  <c:v>0.61367521367521372</c:v>
                </c:pt>
                <c:pt idx="1">
                  <c:v>6.9401709401709408E-2</c:v>
                </c:pt>
                <c:pt idx="2">
                  <c:v>6.0854700854700856E-2</c:v>
                </c:pt>
                <c:pt idx="3">
                  <c:v>0.18632478632478633</c:v>
                </c:pt>
                <c:pt idx="4">
                  <c:v>4.1025641025641026E-3</c:v>
                </c:pt>
                <c:pt idx="5">
                  <c:v>6.8376068376068376E-4</c:v>
                </c:pt>
                <c:pt idx="6">
                  <c:v>4.2735042735042736E-2</c:v>
                </c:pt>
                <c:pt idx="7">
                  <c:v>1.7435897435897435E-2</c:v>
                </c:pt>
                <c:pt idx="8">
                  <c:v>3.7606837606837607E-3</c:v>
                </c:pt>
                <c:pt idx="9">
                  <c:v>1.0256410256410256E-3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Ndeeba-Nyanama'!$AE$9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'23.07 Ndeeba-Nyanama'!$R$10:$R$21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Ndeeba-Nyanama'!$AE$10:$AE$21</c:f>
              <c:numCache>
                <c:formatCode>0</c:formatCode>
                <c:ptCount val="12"/>
                <c:pt idx="0">
                  <c:v>354</c:v>
                </c:pt>
                <c:pt idx="1">
                  <c:v>254</c:v>
                </c:pt>
                <c:pt idx="2">
                  <c:v>266</c:v>
                </c:pt>
                <c:pt idx="3">
                  <c:v>243</c:v>
                </c:pt>
                <c:pt idx="4">
                  <c:v>247</c:v>
                </c:pt>
                <c:pt idx="5">
                  <c:v>343</c:v>
                </c:pt>
                <c:pt idx="6">
                  <c:v>395</c:v>
                </c:pt>
                <c:pt idx="7">
                  <c:v>307</c:v>
                </c:pt>
                <c:pt idx="8">
                  <c:v>261</c:v>
                </c:pt>
                <c:pt idx="9">
                  <c:v>317</c:v>
                </c:pt>
                <c:pt idx="10">
                  <c:v>562</c:v>
                </c:pt>
                <c:pt idx="11">
                  <c:v>523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'23.07 Ndeeba-Nyanama'!$AF$9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'23.07 Ndeeba-Nyanama'!$R$10:$R$21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Ndeeba-Nyanama'!$AF$10:$AF$21</c:f>
              <c:numCache>
                <c:formatCode>0</c:formatCode>
                <c:ptCount val="12"/>
                <c:pt idx="0">
                  <c:v>942</c:v>
                </c:pt>
                <c:pt idx="1">
                  <c:v>762</c:v>
                </c:pt>
                <c:pt idx="2">
                  <c:v>679</c:v>
                </c:pt>
                <c:pt idx="3">
                  <c:v>800</c:v>
                </c:pt>
                <c:pt idx="4">
                  <c:v>637</c:v>
                </c:pt>
                <c:pt idx="5">
                  <c:v>779</c:v>
                </c:pt>
                <c:pt idx="6">
                  <c:v>770</c:v>
                </c:pt>
                <c:pt idx="7">
                  <c:v>811</c:v>
                </c:pt>
                <c:pt idx="8">
                  <c:v>612</c:v>
                </c:pt>
                <c:pt idx="9">
                  <c:v>696</c:v>
                </c:pt>
                <c:pt idx="10">
                  <c:v>1102</c:v>
                </c:pt>
                <c:pt idx="11">
                  <c:v>1073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849408"/>
        <c:axId val="88883968"/>
      </c:lineChart>
      <c:catAx>
        <c:axId val="888494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8883968"/>
        <c:crosses val="autoZero"/>
        <c:auto val="1"/>
        <c:lblAlgn val="ctr"/>
        <c:lblOffset val="100"/>
        <c:noMultiLvlLbl val="0"/>
      </c:catAx>
      <c:valAx>
        <c:axId val="888839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884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Ndeeba-Nyanama'!$C$9:$N$9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Ndeeba-Nyanama'!$C$59:$N$59</c:f>
              <c:numCache>
                <c:formatCode>0.0%</c:formatCode>
                <c:ptCount val="12"/>
                <c:pt idx="0">
                  <c:v>0.32122529235227154</c:v>
                </c:pt>
                <c:pt idx="1">
                  <c:v>8.6929524992238431E-3</c:v>
                </c:pt>
                <c:pt idx="2">
                  <c:v>1.7489392528200351E-2</c:v>
                </c:pt>
                <c:pt idx="3">
                  <c:v>5.1433302287074406E-2</c:v>
                </c:pt>
                <c:pt idx="4">
                  <c:v>1.2418503570319776E-3</c:v>
                </c:pt>
                <c:pt idx="5">
                  <c:v>2.0697505950532959E-4</c:v>
                </c:pt>
                <c:pt idx="6">
                  <c:v>1.334989133809376E-2</c:v>
                </c:pt>
                <c:pt idx="7">
                  <c:v>5.7953016661492288E-3</c:v>
                </c:pt>
                <c:pt idx="8">
                  <c:v>1.5523129462899721E-3</c:v>
                </c:pt>
                <c:pt idx="9">
                  <c:v>4.1395011901065919E-4</c:v>
                </c:pt>
                <c:pt idx="10">
                  <c:v>0.57859877884714894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65"/>
          <c:y val="2.296022663732378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Ndeeba-Nyanama'!$S$9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'23.07 Ndeeba-Nyanama'!$R$10:$R$21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Ndeeba-Nyanama'!$S$10:$S$21</c:f>
              <c:numCache>
                <c:formatCode>0</c:formatCode>
                <c:ptCount val="12"/>
                <c:pt idx="0">
                  <c:v>220</c:v>
                </c:pt>
                <c:pt idx="1">
                  <c:v>208</c:v>
                </c:pt>
                <c:pt idx="2">
                  <c:v>194</c:v>
                </c:pt>
                <c:pt idx="3">
                  <c:v>182</c:v>
                </c:pt>
                <c:pt idx="4">
                  <c:v>186</c:v>
                </c:pt>
                <c:pt idx="5">
                  <c:v>260</c:v>
                </c:pt>
                <c:pt idx="6">
                  <c:v>329</c:v>
                </c:pt>
                <c:pt idx="7">
                  <c:v>260</c:v>
                </c:pt>
                <c:pt idx="8">
                  <c:v>220</c:v>
                </c:pt>
                <c:pt idx="9">
                  <c:v>251</c:v>
                </c:pt>
                <c:pt idx="10">
                  <c:v>440</c:v>
                </c:pt>
                <c:pt idx="11">
                  <c:v>354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'23.07 Ndeeba-Nyanama'!$T$9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'23.07 Ndeeba-Nyanama'!$R$10:$R$21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Ndeeba-Nyanama'!$T$10:$T$21</c:f>
              <c:numCache>
                <c:formatCode>0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4</c:v>
                </c:pt>
                <c:pt idx="6">
                  <c:v>8</c:v>
                </c:pt>
                <c:pt idx="7">
                  <c:v>5</c:v>
                </c:pt>
                <c:pt idx="8">
                  <c:v>0</c:v>
                </c:pt>
                <c:pt idx="9">
                  <c:v>7</c:v>
                </c:pt>
                <c:pt idx="10">
                  <c:v>23</c:v>
                </c:pt>
                <c:pt idx="11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'23.07 Ndeeba-Nyanama'!$U$9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'23.07 Ndeeba-Nyanama'!$U$10:$U$21</c:f>
              <c:numCache>
                <c:formatCode>0</c:formatCode>
                <c:ptCount val="12"/>
                <c:pt idx="0">
                  <c:v>20</c:v>
                </c:pt>
                <c:pt idx="1">
                  <c:v>5</c:v>
                </c:pt>
                <c:pt idx="2">
                  <c:v>18</c:v>
                </c:pt>
                <c:pt idx="3">
                  <c:v>12</c:v>
                </c:pt>
                <c:pt idx="4">
                  <c:v>11</c:v>
                </c:pt>
                <c:pt idx="5">
                  <c:v>20</c:v>
                </c:pt>
                <c:pt idx="6">
                  <c:v>15</c:v>
                </c:pt>
                <c:pt idx="7">
                  <c:v>13</c:v>
                </c:pt>
                <c:pt idx="8">
                  <c:v>9</c:v>
                </c:pt>
                <c:pt idx="9">
                  <c:v>14</c:v>
                </c:pt>
                <c:pt idx="10">
                  <c:v>17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'23.07 Ndeeba-Nyanama'!$V$9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'23.07 Ndeeba-Nyanama'!$V$10:$V$21</c:f>
              <c:numCache>
                <c:formatCode>0</c:formatCode>
                <c:ptCount val="12"/>
                <c:pt idx="0">
                  <c:v>102</c:v>
                </c:pt>
                <c:pt idx="1">
                  <c:v>28</c:v>
                </c:pt>
                <c:pt idx="2">
                  <c:v>33</c:v>
                </c:pt>
                <c:pt idx="3">
                  <c:v>30</c:v>
                </c:pt>
                <c:pt idx="4">
                  <c:v>18</c:v>
                </c:pt>
                <c:pt idx="5">
                  <c:v>34</c:v>
                </c:pt>
                <c:pt idx="6">
                  <c:v>21</c:v>
                </c:pt>
                <c:pt idx="7">
                  <c:v>19</c:v>
                </c:pt>
                <c:pt idx="8">
                  <c:v>12</c:v>
                </c:pt>
                <c:pt idx="9">
                  <c:v>24</c:v>
                </c:pt>
                <c:pt idx="10">
                  <c:v>53</c:v>
                </c:pt>
                <c:pt idx="11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'23.07 Ndeeba-Nyanama'!$W$9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'23.07 Ndeeba-Nyanama'!$W$10:$W$21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'23.07 Ndeeba-Nyanama'!$X$9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'23.07 Ndeeba-Nyanama'!$X$10:$X$21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'23.07 Ndeeba-Nyanama'!$Y$9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Ndeeba-Nyanama'!$Y$10:$Y$21</c:f>
              <c:numCache>
                <c:formatCode>0</c:formatCode>
                <c:ptCount val="12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9</c:v>
                </c:pt>
                <c:pt idx="7">
                  <c:v>5</c:v>
                </c:pt>
                <c:pt idx="8">
                  <c:v>14</c:v>
                </c:pt>
                <c:pt idx="9">
                  <c:v>8</c:v>
                </c:pt>
                <c:pt idx="10">
                  <c:v>22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'23.07 Ndeeba-Nyanama'!$Z$9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Ndeeba-Nyanama'!$Z$10:$Z$21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8</c:v>
                </c:pt>
                <c:pt idx="5">
                  <c:v>6</c:v>
                </c:pt>
                <c:pt idx="6">
                  <c:v>7</c:v>
                </c:pt>
                <c:pt idx="7">
                  <c:v>3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'23.07 Ndeeba-Nyanama'!$AA$9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Ndeeba-Nyanama'!$AA$10:$AA$21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'23.07 Ndeeba-Nyanama'!$AB$9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Ndeeba-Nyanama'!$AB$10:$AB$21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'23.07 Ndeeba-Nyanama'!$AC$9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Ndeeba-Nyanama'!$AC$10:$AC$21</c:f>
              <c:numCache>
                <c:formatCode>0</c:formatCode>
                <c:ptCount val="12"/>
                <c:pt idx="0">
                  <c:v>588</c:v>
                </c:pt>
                <c:pt idx="1">
                  <c:v>508</c:v>
                </c:pt>
                <c:pt idx="2">
                  <c:v>413</c:v>
                </c:pt>
                <c:pt idx="3">
                  <c:v>557</c:v>
                </c:pt>
                <c:pt idx="4">
                  <c:v>390</c:v>
                </c:pt>
                <c:pt idx="5">
                  <c:v>436</c:v>
                </c:pt>
                <c:pt idx="6">
                  <c:v>375</c:v>
                </c:pt>
                <c:pt idx="7">
                  <c:v>504</c:v>
                </c:pt>
                <c:pt idx="8">
                  <c:v>351</c:v>
                </c:pt>
                <c:pt idx="9">
                  <c:v>379</c:v>
                </c:pt>
                <c:pt idx="10">
                  <c:v>540</c:v>
                </c:pt>
                <c:pt idx="11">
                  <c:v>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'23.07 Ndeeba-Nyanama'!$AD$9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Ndeeba-Nyanama'!$AD$10:$AD$21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773760"/>
        <c:axId val="88775296"/>
      </c:lineChart>
      <c:catAx>
        <c:axId val="8877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8775296"/>
        <c:crosses val="autoZero"/>
        <c:auto val="1"/>
        <c:lblAlgn val="ctr"/>
        <c:lblOffset val="100"/>
        <c:noMultiLvlLbl val="0"/>
      </c:catAx>
      <c:valAx>
        <c:axId val="8877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877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Ndeeba-Nyanama'!$C$9:$N$9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Ndeeba-Nyanama'!$C$60:$N$60</c:f>
              <c:numCache>
                <c:formatCode>0.00%</c:formatCode>
                <c:ptCount val="12"/>
                <c:pt idx="0">
                  <c:v>0.76227897838899805</c:v>
                </c:pt>
                <c:pt idx="1">
                  <c:v>2.0628683693516701E-2</c:v>
                </c:pt>
                <c:pt idx="2">
                  <c:v>4.1502946954813359E-2</c:v>
                </c:pt>
                <c:pt idx="3">
                  <c:v>0.12205304518664047</c:v>
                </c:pt>
                <c:pt idx="4">
                  <c:v>2.9469548133595285E-3</c:v>
                </c:pt>
                <c:pt idx="5">
                  <c:v>4.9115913555992138E-4</c:v>
                </c:pt>
                <c:pt idx="6">
                  <c:v>3.1679764243614933E-2</c:v>
                </c:pt>
                <c:pt idx="7">
                  <c:v>1.37524557956778E-2</c:v>
                </c:pt>
                <c:pt idx="8">
                  <c:v>3.6836935166994107E-3</c:v>
                </c:pt>
                <c:pt idx="9">
                  <c:v>9.8231827111984276E-4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Nyanama-Ndeeba'!$AE$9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'23.07 Nyanama-Ndeeba'!$R$10:$R$21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Nyanama-Ndeeba'!$AE$10:$AE$21</c:f>
              <c:numCache>
                <c:formatCode>0</c:formatCode>
                <c:ptCount val="12"/>
                <c:pt idx="0">
                  <c:v>428</c:v>
                </c:pt>
                <c:pt idx="1">
                  <c:v>358</c:v>
                </c:pt>
                <c:pt idx="2">
                  <c:v>300</c:v>
                </c:pt>
                <c:pt idx="3">
                  <c:v>233</c:v>
                </c:pt>
                <c:pt idx="4">
                  <c:v>207</c:v>
                </c:pt>
                <c:pt idx="5">
                  <c:v>212</c:v>
                </c:pt>
                <c:pt idx="6">
                  <c:v>176</c:v>
                </c:pt>
                <c:pt idx="7">
                  <c:v>169</c:v>
                </c:pt>
                <c:pt idx="8">
                  <c:v>169</c:v>
                </c:pt>
                <c:pt idx="9">
                  <c:v>149</c:v>
                </c:pt>
                <c:pt idx="10">
                  <c:v>224</c:v>
                </c:pt>
                <c:pt idx="11">
                  <c:v>178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'23.07 Nyanama-Ndeeba'!$AF$9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'23.07 Nyanama-Ndeeba'!$R$10:$R$21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Nyanama-Ndeeba'!$AF$10:$AF$21</c:f>
              <c:numCache>
                <c:formatCode>0</c:formatCode>
                <c:ptCount val="12"/>
                <c:pt idx="0">
                  <c:v>827</c:v>
                </c:pt>
                <c:pt idx="1">
                  <c:v>783</c:v>
                </c:pt>
                <c:pt idx="2">
                  <c:v>689</c:v>
                </c:pt>
                <c:pt idx="3">
                  <c:v>566</c:v>
                </c:pt>
                <c:pt idx="4">
                  <c:v>532</c:v>
                </c:pt>
                <c:pt idx="5">
                  <c:v>549</c:v>
                </c:pt>
                <c:pt idx="6">
                  <c:v>435</c:v>
                </c:pt>
                <c:pt idx="7">
                  <c:v>416</c:v>
                </c:pt>
                <c:pt idx="8">
                  <c:v>401</c:v>
                </c:pt>
                <c:pt idx="9">
                  <c:v>399</c:v>
                </c:pt>
                <c:pt idx="10">
                  <c:v>531</c:v>
                </c:pt>
                <c:pt idx="11">
                  <c:v>497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17056"/>
        <c:axId val="89118592"/>
      </c:lineChart>
      <c:catAx>
        <c:axId val="891170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8592"/>
        <c:crosses val="autoZero"/>
        <c:auto val="1"/>
        <c:lblAlgn val="ctr"/>
        <c:lblOffset val="100"/>
        <c:noMultiLvlLbl val="0"/>
      </c:catAx>
      <c:valAx>
        <c:axId val="89118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Nyanama-Ndeeba'!$C$9:$N$9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Nyanama-Ndeeba'!$C$59:$N$59</c:f>
              <c:numCache>
                <c:formatCode>0.0%</c:formatCode>
                <c:ptCount val="12"/>
                <c:pt idx="0">
                  <c:v>0.25313207547169814</c:v>
                </c:pt>
                <c:pt idx="1">
                  <c:v>3.5622641509433964E-2</c:v>
                </c:pt>
                <c:pt idx="2">
                  <c:v>3.0037735849056602E-2</c:v>
                </c:pt>
                <c:pt idx="3">
                  <c:v>7.6226415094339625E-2</c:v>
                </c:pt>
                <c:pt idx="4">
                  <c:v>1.5094339622641509E-3</c:v>
                </c:pt>
                <c:pt idx="5">
                  <c:v>3.0188679245283021E-4</c:v>
                </c:pt>
                <c:pt idx="6">
                  <c:v>1.7660377358490565E-2</c:v>
                </c:pt>
                <c:pt idx="7">
                  <c:v>5.2830188679245287E-3</c:v>
                </c:pt>
                <c:pt idx="8">
                  <c:v>2.8679245283018866E-3</c:v>
                </c:pt>
                <c:pt idx="9">
                  <c:v>4.5283018867924528E-4</c:v>
                </c:pt>
                <c:pt idx="10">
                  <c:v>0.57690566037735846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65"/>
          <c:y val="2.296022663732378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Nyanama-Ndeeba'!$S$9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'23.07 Nyanama-Ndeeba'!$R$10:$R$21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Nyanama-Ndeeba'!$S$10:$S$21</c:f>
              <c:numCache>
                <c:formatCode>0</c:formatCode>
                <c:ptCount val="12"/>
                <c:pt idx="0">
                  <c:v>222</c:v>
                </c:pt>
                <c:pt idx="1">
                  <c:v>207</c:v>
                </c:pt>
                <c:pt idx="2">
                  <c:v>182</c:v>
                </c:pt>
                <c:pt idx="3">
                  <c:v>153</c:v>
                </c:pt>
                <c:pt idx="4">
                  <c:v>132</c:v>
                </c:pt>
                <c:pt idx="5">
                  <c:v>133</c:v>
                </c:pt>
                <c:pt idx="6">
                  <c:v>109</c:v>
                </c:pt>
                <c:pt idx="7">
                  <c:v>99</c:v>
                </c:pt>
                <c:pt idx="8">
                  <c:v>113</c:v>
                </c:pt>
                <c:pt idx="9">
                  <c:v>89</c:v>
                </c:pt>
                <c:pt idx="10">
                  <c:v>133</c:v>
                </c:pt>
                <c:pt idx="11">
                  <c:v>105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'23.07 Nyanama-Ndeeba'!$T$9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'23.07 Nyanama-Ndeeba'!$R$10:$R$21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Nyanama-Ndeeba'!$T$10:$T$21</c:f>
              <c:numCache>
                <c:formatCode>0</c:formatCode>
                <c:ptCount val="12"/>
                <c:pt idx="0">
                  <c:v>29</c:v>
                </c:pt>
                <c:pt idx="1">
                  <c:v>24</c:v>
                </c:pt>
                <c:pt idx="2">
                  <c:v>27</c:v>
                </c:pt>
                <c:pt idx="3">
                  <c:v>21</c:v>
                </c:pt>
                <c:pt idx="4">
                  <c:v>10</c:v>
                </c:pt>
                <c:pt idx="5">
                  <c:v>13</c:v>
                </c:pt>
                <c:pt idx="6">
                  <c:v>20</c:v>
                </c:pt>
                <c:pt idx="7">
                  <c:v>20</c:v>
                </c:pt>
                <c:pt idx="8">
                  <c:v>15</c:v>
                </c:pt>
                <c:pt idx="9">
                  <c:v>17</c:v>
                </c:pt>
                <c:pt idx="10">
                  <c:v>28</c:v>
                </c:pt>
                <c:pt idx="11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'23.07 Nyanama-Ndeeba'!$U$9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'23.07 Nyanama-Ndeeba'!$U$10:$U$21</c:f>
              <c:numCache>
                <c:formatCode>0</c:formatCode>
                <c:ptCount val="12"/>
                <c:pt idx="0">
                  <c:v>26</c:v>
                </c:pt>
                <c:pt idx="1">
                  <c:v>14</c:v>
                </c:pt>
                <c:pt idx="2">
                  <c:v>22</c:v>
                </c:pt>
                <c:pt idx="3">
                  <c:v>19</c:v>
                </c:pt>
                <c:pt idx="4">
                  <c:v>18</c:v>
                </c:pt>
                <c:pt idx="5">
                  <c:v>22</c:v>
                </c:pt>
                <c:pt idx="6">
                  <c:v>13</c:v>
                </c:pt>
                <c:pt idx="7">
                  <c:v>14</c:v>
                </c:pt>
                <c:pt idx="8">
                  <c:v>9</c:v>
                </c:pt>
                <c:pt idx="9">
                  <c:v>17</c:v>
                </c:pt>
                <c:pt idx="10">
                  <c:v>15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'23.07 Nyanama-Ndeeba'!$V$9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'23.07 Nyanama-Ndeeba'!$V$10:$V$21</c:f>
              <c:numCache>
                <c:formatCode>0</c:formatCode>
                <c:ptCount val="12"/>
                <c:pt idx="0">
                  <c:v>121</c:v>
                </c:pt>
                <c:pt idx="1">
                  <c:v>99</c:v>
                </c:pt>
                <c:pt idx="2">
                  <c:v>49</c:v>
                </c:pt>
                <c:pt idx="3">
                  <c:v>27</c:v>
                </c:pt>
                <c:pt idx="4">
                  <c:v>28</c:v>
                </c:pt>
                <c:pt idx="5">
                  <c:v>27</c:v>
                </c:pt>
                <c:pt idx="6">
                  <c:v>22</c:v>
                </c:pt>
                <c:pt idx="7">
                  <c:v>26</c:v>
                </c:pt>
                <c:pt idx="8">
                  <c:v>17</c:v>
                </c:pt>
                <c:pt idx="9">
                  <c:v>17</c:v>
                </c:pt>
                <c:pt idx="10">
                  <c:v>35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'23.07 Nyanama-Ndeeba'!$W$9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'23.07 Nyanama-Ndeeba'!$W$10:$W$21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'23.07 Nyanama-Ndeeba'!$X$9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'23.07 Nyanama-Ndeeba'!$X$10:$X$21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'23.07 Nyanama-Ndeeba'!$Y$9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Nyanama-Ndeeba'!$Y$10:$Y$21</c:f>
              <c:numCache>
                <c:formatCode>0</c:formatCode>
                <c:ptCount val="12"/>
                <c:pt idx="0">
                  <c:v>16</c:v>
                </c:pt>
                <c:pt idx="1">
                  <c:v>11</c:v>
                </c:pt>
                <c:pt idx="2">
                  <c:v>15</c:v>
                </c:pt>
                <c:pt idx="3">
                  <c:v>10</c:v>
                </c:pt>
                <c:pt idx="4">
                  <c:v>7</c:v>
                </c:pt>
                <c:pt idx="5">
                  <c:v>13</c:v>
                </c:pt>
                <c:pt idx="6">
                  <c:v>9</c:v>
                </c:pt>
                <c:pt idx="7">
                  <c:v>6</c:v>
                </c:pt>
                <c:pt idx="8">
                  <c:v>9</c:v>
                </c:pt>
                <c:pt idx="9">
                  <c:v>5</c:v>
                </c:pt>
                <c:pt idx="10">
                  <c:v>10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'23.07 Nyanama-Ndeeba'!$Z$9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Nyanama-Ndeeba'!$Z$10:$Z$21</c:f>
              <c:numCache>
                <c:formatCode>0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9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6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'23.07 Nyanama-Ndeeba'!$AA$9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Nyanama-Ndeeba'!$AA$10:$AA$21</c:f>
              <c:numCache>
                <c:formatCode>0</c:formatCode>
                <c:ptCount val="12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'23.07 Nyanama-Ndeeba'!$AB$9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Nyanama-Ndeeba'!$AB$10:$AB$21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'23.07 Nyanama-Ndeeba'!$AC$9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Nyanama-Ndeeba'!$AC$10:$AC$21</c:f>
              <c:numCache>
                <c:formatCode>0</c:formatCode>
                <c:ptCount val="12"/>
                <c:pt idx="0">
                  <c:v>399</c:v>
                </c:pt>
                <c:pt idx="1">
                  <c:v>425</c:v>
                </c:pt>
                <c:pt idx="2">
                  <c:v>389</c:v>
                </c:pt>
                <c:pt idx="3">
                  <c:v>333</c:v>
                </c:pt>
                <c:pt idx="4">
                  <c:v>325</c:v>
                </c:pt>
                <c:pt idx="5">
                  <c:v>337</c:v>
                </c:pt>
                <c:pt idx="6">
                  <c:v>259</c:v>
                </c:pt>
                <c:pt idx="7">
                  <c:v>247</c:v>
                </c:pt>
                <c:pt idx="8">
                  <c:v>232</c:v>
                </c:pt>
                <c:pt idx="9">
                  <c:v>250</c:v>
                </c:pt>
                <c:pt idx="10">
                  <c:v>307</c:v>
                </c:pt>
                <c:pt idx="11">
                  <c:v>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'23.07 Nyanama-Ndeeba'!$AD$9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Nyanama-Ndeeba'!$AD$10:$AD$21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528576"/>
        <c:axId val="89542656"/>
      </c:lineChart>
      <c:catAx>
        <c:axId val="8952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542656"/>
        <c:crosses val="autoZero"/>
        <c:auto val="1"/>
        <c:lblAlgn val="ctr"/>
        <c:lblOffset val="100"/>
        <c:noMultiLvlLbl val="0"/>
      </c:catAx>
      <c:valAx>
        <c:axId val="8954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52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Nyanama-Ndeeba'!$C$9:$N$9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Nyanama-Ndeeba'!$C$60:$N$60</c:f>
              <c:numCache>
                <c:formatCode>0.00%</c:formatCode>
                <c:ptCount val="12"/>
                <c:pt idx="0">
                  <c:v>0.59828754905458437</c:v>
                </c:pt>
                <c:pt idx="1">
                  <c:v>8.419550481626828E-2</c:v>
                </c:pt>
                <c:pt idx="2">
                  <c:v>7.0995362112022828E-2</c:v>
                </c:pt>
                <c:pt idx="3">
                  <c:v>0.180164109882269</c:v>
                </c:pt>
                <c:pt idx="4">
                  <c:v>3.5676061362825543E-3</c:v>
                </c:pt>
                <c:pt idx="5">
                  <c:v>7.1352122725651087E-4</c:v>
                </c:pt>
                <c:pt idx="6">
                  <c:v>4.174099179450589E-2</c:v>
                </c:pt>
                <c:pt idx="7">
                  <c:v>1.2486621476988941E-2</c:v>
                </c:pt>
                <c:pt idx="8">
                  <c:v>6.7784516589368534E-3</c:v>
                </c:pt>
                <c:pt idx="9">
                  <c:v>1.0702818408847663E-3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Ndeeba-Nyanama'!$AE$9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'24.07 Ndeeba-Nyanama'!$R$10:$R$21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Ndeeba-Nyanama'!$AE$10:$AE$21</c:f>
              <c:numCache>
                <c:formatCode>0</c:formatCode>
                <c:ptCount val="12"/>
                <c:pt idx="0">
                  <c:v>327</c:v>
                </c:pt>
                <c:pt idx="1">
                  <c:v>224</c:v>
                </c:pt>
                <c:pt idx="2">
                  <c:v>275</c:v>
                </c:pt>
                <c:pt idx="3">
                  <c:v>239</c:v>
                </c:pt>
                <c:pt idx="4">
                  <c:v>280</c:v>
                </c:pt>
                <c:pt idx="5">
                  <c:v>262</c:v>
                </c:pt>
                <c:pt idx="6">
                  <c:v>200</c:v>
                </c:pt>
                <c:pt idx="7">
                  <c:v>164</c:v>
                </c:pt>
                <c:pt idx="8">
                  <c:v>330</c:v>
                </c:pt>
                <c:pt idx="9">
                  <c:v>304</c:v>
                </c:pt>
                <c:pt idx="10">
                  <c:v>547</c:v>
                </c:pt>
                <c:pt idx="11">
                  <c:v>533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'24.07 Ndeeba-Nyanama'!$AF$9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'24.07 Ndeeba-Nyanama'!$R$10:$R$21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Ndeeba-Nyanama'!$AF$10:$AF$21</c:f>
              <c:numCache>
                <c:formatCode>0</c:formatCode>
                <c:ptCount val="12"/>
                <c:pt idx="0">
                  <c:v>849</c:v>
                </c:pt>
                <c:pt idx="1">
                  <c:v>672</c:v>
                </c:pt>
                <c:pt idx="2">
                  <c:v>580</c:v>
                </c:pt>
                <c:pt idx="3">
                  <c:v>561</c:v>
                </c:pt>
                <c:pt idx="4">
                  <c:v>605</c:v>
                </c:pt>
                <c:pt idx="5">
                  <c:v>658</c:v>
                </c:pt>
                <c:pt idx="6">
                  <c:v>589</c:v>
                </c:pt>
                <c:pt idx="7">
                  <c:v>383</c:v>
                </c:pt>
                <c:pt idx="8">
                  <c:v>745</c:v>
                </c:pt>
                <c:pt idx="9">
                  <c:v>676</c:v>
                </c:pt>
                <c:pt idx="10">
                  <c:v>964</c:v>
                </c:pt>
                <c:pt idx="11">
                  <c:v>1008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655168"/>
        <c:axId val="89656704"/>
      </c:lineChart>
      <c:catAx>
        <c:axId val="896551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656704"/>
        <c:crosses val="autoZero"/>
        <c:auto val="1"/>
        <c:lblAlgn val="ctr"/>
        <c:lblOffset val="100"/>
        <c:noMultiLvlLbl val="0"/>
      </c:catAx>
      <c:valAx>
        <c:axId val="896567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65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Ndeeba-Nyanama'!$C$9:$N$9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Ndeeba-Nyanama'!$C$59:$N$59</c:f>
              <c:numCache>
                <c:formatCode>0.0%</c:formatCode>
                <c:ptCount val="12"/>
                <c:pt idx="0">
                  <c:v>0.31942098914354644</c:v>
                </c:pt>
                <c:pt idx="1">
                  <c:v>1.0012062726176116E-2</c:v>
                </c:pt>
                <c:pt idx="2">
                  <c:v>1.6164053075995177E-2</c:v>
                </c:pt>
                <c:pt idx="3">
                  <c:v>7.4065138721351023E-2</c:v>
                </c:pt>
                <c:pt idx="4">
                  <c:v>1.2062726176115801E-3</c:v>
                </c:pt>
                <c:pt idx="5">
                  <c:v>1.2062726176115802E-4</c:v>
                </c:pt>
                <c:pt idx="6">
                  <c:v>1.4113389626055489E-2</c:v>
                </c:pt>
                <c:pt idx="7">
                  <c:v>5.3075995174909534E-3</c:v>
                </c:pt>
                <c:pt idx="8">
                  <c:v>2.2919179734620025E-3</c:v>
                </c:pt>
                <c:pt idx="9">
                  <c:v>1.8094089264173703E-3</c:v>
                </c:pt>
                <c:pt idx="10">
                  <c:v>0.55548854041013274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65"/>
          <c:y val="2.296022663732378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Ndeeba-Nyanama'!$S$9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'24.07 Ndeeba-Nyanama'!$R$10:$R$21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Ndeeba-Nyanama'!$S$10:$S$21</c:f>
              <c:numCache>
                <c:formatCode>0</c:formatCode>
                <c:ptCount val="12"/>
                <c:pt idx="0">
                  <c:v>201</c:v>
                </c:pt>
                <c:pt idx="1">
                  <c:v>137</c:v>
                </c:pt>
                <c:pt idx="2">
                  <c:v>220</c:v>
                </c:pt>
                <c:pt idx="3">
                  <c:v>168</c:v>
                </c:pt>
                <c:pt idx="4">
                  <c:v>203</c:v>
                </c:pt>
                <c:pt idx="5">
                  <c:v>212</c:v>
                </c:pt>
                <c:pt idx="6">
                  <c:v>148</c:v>
                </c:pt>
                <c:pt idx="7">
                  <c:v>122</c:v>
                </c:pt>
                <c:pt idx="8">
                  <c:v>283</c:v>
                </c:pt>
                <c:pt idx="9">
                  <c:v>244</c:v>
                </c:pt>
                <c:pt idx="10">
                  <c:v>366</c:v>
                </c:pt>
                <c:pt idx="11">
                  <c:v>344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'24.07 Ndeeba-Nyanama'!$T$9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'24.07 Ndeeba-Nyanama'!$R$10:$R$21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Ndeeba-Nyanama'!$T$10:$T$21</c:f>
              <c:numCache>
                <c:formatCode>0</c:formatCode>
                <c:ptCount val="12"/>
                <c:pt idx="0">
                  <c:v>4</c:v>
                </c:pt>
                <c:pt idx="1">
                  <c:v>8</c:v>
                </c:pt>
                <c:pt idx="2">
                  <c:v>2</c:v>
                </c:pt>
                <c:pt idx="3">
                  <c:v>1</c:v>
                </c:pt>
                <c:pt idx="4">
                  <c:v>15</c:v>
                </c:pt>
                <c:pt idx="5">
                  <c:v>5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9</c:v>
                </c:pt>
                <c:pt idx="10">
                  <c:v>8</c:v>
                </c:pt>
                <c:pt idx="11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'24.07 Ndeeba-Nyanama'!$U$9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'24.07 Ndeeba-Nyanama'!$U$10:$U$21</c:f>
              <c:numCache>
                <c:formatCode>0</c:formatCode>
                <c:ptCount val="12"/>
                <c:pt idx="0">
                  <c:v>13</c:v>
                </c:pt>
                <c:pt idx="1">
                  <c:v>17</c:v>
                </c:pt>
                <c:pt idx="2">
                  <c:v>2</c:v>
                </c:pt>
                <c:pt idx="3">
                  <c:v>10</c:v>
                </c:pt>
                <c:pt idx="4">
                  <c:v>7</c:v>
                </c:pt>
                <c:pt idx="5">
                  <c:v>9</c:v>
                </c:pt>
                <c:pt idx="6">
                  <c:v>10</c:v>
                </c:pt>
                <c:pt idx="7">
                  <c:v>4</c:v>
                </c:pt>
                <c:pt idx="8">
                  <c:v>11</c:v>
                </c:pt>
                <c:pt idx="9">
                  <c:v>19</c:v>
                </c:pt>
                <c:pt idx="10">
                  <c:v>18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'24.07 Ndeeba-Nyanama'!$V$9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'24.07 Ndeeba-Nyanama'!$V$10:$V$21</c:f>
              <c:numCache>
                <c:formatCode>0</c:formatCode>
                <c:ptCount val="12"/>
                <c:pt idx="0">
                  <c:v>99</c:v>
                </c:pt>
                <c:pt idx="1">
                  <c:v>55</c:v>
                </c:pt>
                <c:pt idx="2">
                  <c:v>38</c:v>
                </c:pt>
                <c:pt idx="3">
                  <c:v>46</c:v>
                </c:pt>
                <c:pt idx="4">
                  <c:v>39</c:v>
                </c:pt>
                <c:pt idx="5">
                  <c:v>18</c:v>
                </c:pt>
                <c:pt idx="6">
                  <c:v>23</c:v>
                </c:pt>
                <c:pt idx="7">
                  <c:v>21</c:v>
                </c:pt>
                <c:pt idx="8">
                  <c:v>16</c:v>
                </c:pt>
                <c:pt idx="9">
                  <c:v>21</c:v>
                </c:pt>
                <c:pt idx="10">
                  <c:v>119</c:v>
                </c:pt>
                <c:pt idx="11">
                  <c:v>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'24.07 Ndeeba-Nyanama'!$W$9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'24.07 Ndeeba-Nyanama'!$W$10:$W$21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'24.07 Ndeeba-Nyanama'!$X$9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'24.07 Ndeeba-Nyanama'!$X$10:$X$21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'24.07 Ndeeba-Nyanama'!$Y$9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Ndeeba-Nyanama'!$Y$10:$Y$21</c:f>
              <c:numCache>
                <c:formatCode>0</c:formatCode>
                <c:ptCount val="12"/>
                <c:pt idx="0">
                  <c:v>8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28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'24.07 Ndeeba-Nyanama'!$Z$9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Ndeeba-Nyanama'!$Z$10:$Z$21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0</c:v>
                </c:pt>
                <c:pt idx="4">
                  <c:v>4</c:v>
                </c:pt>
                <c:pt idx="5">
                  <c:v>7</c:v>
                </c:pt>
                <c:pt idx="6">
                  <c:v>8</c:v>
                </c:pt>
                <c:pt idx="7">
                  <c:v>3</c:v>
                </c:pt>
                <c:pt idx="8">
                  <c:v>8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'24.07 Ndeeba-Nyanama'!$AA$9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Ndeeba-Nyanama'!$AA$10:$AA$21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'24.07 Ndeeba-Nyanama'!$AB$9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Ndeeba-Nyanama'!$AB$10:$AB$21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'24.07 Ndeeba-Nyanama'!$AC$9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Ndeeba-Nyanama'!$AC$10:$AC$21</c:f>
              <c:numCache>
                <c:formatCode>0</c:formatCode>
                <c:ptCount val="12"/>
                <c:pt idx="0">
                  <c:v>522</c:v>
                </c:pt>
                <c:pt idx="1">
                  <c:v>448</c:v>
                </c:pt>
                <c:pt idx="2">
                  <c:v>305</c:v>
                </c:pt>
                <c:pt idx="3">
                  <c:v>322</c:v>
                </c:pt>
                <c:pt idx="4">
                  <c:v>325</c:v>
                </c:pt>
                <c:pt idx="5">
                  <c:v>396</c:v>
                </c:pt>
                <c:pt idx="6">
                  <c:v>389</c:v>
                </c:pt>
                <c:pt idx="7">
                  <c:v>219</c:v>
                </c:pt>
                <c:pt idx="8">
                  <c:v>415</c:v>
                </c:pt>
                <c:pt idx="9">
                  <c:v>372</c:v>
                </c:pt>
                <c:pt idx="10">
                  <c:v>417</c:v>
                </c:pt>
                <c:pt idx="11">
                  <c:v>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'24.07 Ndeeba-Nyanama'!$AD$9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Ndeeba-Nyanama'!$AD$10:$AD$21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992576"/>
        <c:axId val="90010752"/>
      </c:lineChart>
      <c:catAx>
        <c:axId val="8999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010752"/>
        <c:crosses val="autoZero"/>
        <c:auto val="1"/>
        <c:lblAlgn val="ctr"/>
        <c:lblOffset val="100"/>
        <c:noMultiLvlLbl val="0"/>
      </c:catAx>
      <c:valAx>
        <c:axId val="9001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99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Ndeeba-Nyanama'!$C$9:$N$9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Ndeeba-Nyanama'!$C$60:$N$60</c:f>
              <c:numCache>
                <c:formatCode>0.00%</c:formatCode>
                <c:ptCount val="12"/>
                <c:pt idx="0">
                  <c:v>0.71858887381275438</c:v>
                </c:pt>
                <c:pt idx="1">
                  <c:v>2.2523744911804613E-2</c:v>
                </c:pt>
                <c:pt idx="2">
                  <c:v>3.6363636363636362E-2</c:v>
                </c:pt>
                <c:pt idx="3">
                  <c:v>0.16662143826322931</c:v>
                </c:pt>
                <c:pt idx="4">
                  <c:v>2.7137042062415195E-3</c:v>
                </c:pt>
                <c:pt idx="5">
                  <c:v>2.7137042062415199E-4</c:v>
                </c:pt>
                <c:pt idx="6">
                  <c:v>3.175033921302578E-2</c:v>
                </c:pt>
                <c:pt idx="7">
                  <c:v>1.1940298507462687E-2</c:v>
                </c:pt>
                <c:pt idx="8">
                  <c:v>5.1560379918588872E-3</c:v>
                </c:pt>
                <c:pt idx="9">
                  <c:v>4.0705563093622792E-3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Nyanama-Ndeeba'!$AE$9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'24.07 Nyanama-Ndeeba'!$R$10:$R$21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Nyanama-Ndeeba'!$AE$10:$AE$21</c:f>
              <c:numCache>
                <c:formatCode>0</c:formatCode>
                <c:ptCount val="12"/>
                <c:pt idx="0">
                  <c:v>517</c:v>
                </c:pt>
                <c:pt idx="1">
                  <c:v>362</c:v>
                </c:pt>
                <c:pt idx="2">
                  <c:v>345</c:v>
                </c:pt>
                <c:pt idx="3">
                  <c:v>243</c:v>
                </c:pt>
                <c:pt idx="4">
                  <c:v>246</c:v>
                </c:pt>
                <c:pt idx="5">
                  <c:v>197</c:v>
                </c:pt>
                <c:pt idx="6">
                  <c:v>174</c:v>
                </c:pt>
                <c:pt idx="7">
                  <c:v>157</c:v>
                </c:pt>
                <c:pt idx="8">
                  <c:v>157</c:v>
                </c:pt>
                <c:pt idx="9">
                  <c:v>178</c:v>
                </c:pt>
                <c:pt idx="10">
                  <c:v>240</c:v>
                </c:pt>
                <c:pt idx="11">
                  <c:v>194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'24.07 Nyanama-Ndeeba'!$AF$9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'24.07 Nyanama-Ndeeba'!$R$10:$R$21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Nyanama-Ndeeba'!$AF$10:$AF$21</c:f>
              <c:numCache>
                <c:formatCode>0</c:formatCode>
                <c:ptCount val="12"/>
                <c:pt idx="0">
                  <c:v>970</c:v>
                </c:pt>
                <c:pt idx="1">
                  <c:v>816</c:v>
                </c:pt>
                <c:pt idx="2">
                  <c:v>754</c:v>
                </c:pt>
                <c:pt idx="3">
                  <c:v>576</c:v>
                </c:pt>
                <c:pt idx="4">
                  <c:v>536</c:v>
                </c:pt>
                <c:pt idx="5">
                  <c:v>497</c:v>
                </c:pt>
                <c:pt idx="6">
                  <c:v>422</c:v>
                </c:pt>
                <c:pt idx="7">
                  <c:v>387</c:v>
                </c:pt>
                <c:pt idx="8">
                  <c:v>425</c:v>
                </c:pt>
                <c:pt idx="9">
                  <c:v>472</c:v>
                </c:pt>
                <c:pt idx="10">
                  <c:v>663</c:v>
                </c:pt>
                <c:pt idx="11">
                  <c:v>616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397312"/>
        <c:axId val="90403200"/>
      </c:lineChart>
      <c:catAx>
        <c:axId val="903973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403200"/>
        <c:crosses val="autoZero"/>
        <c:auto val="1"/>
        <c:lblAlgn val="ctr"/>
        <c:lblOffset val="100"/>
        <c:noMultiLvlLbl val="0"/>
      </c:catAx>
      <c:valAx>
        <c:axId val="90403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39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Nyanama-Ndeeba'!$C$9:$N$9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Nyanama-Ndeeba'!$C$59:$N$59</c:f>
              <c:numCache>
                <c:formatCode>0.0%</c:formatCode>
                <c:ptCount val="12"/>
                <c:pt idx="0">
                  <c:v>0.25749929913092234</c:v>
                </c:pt>
                <c:pt idx="1">
                  <c:v>3.2099803756658253E-2</c:v>
                </c:pt>
                <c:pt idx="2">
                  <c:v>2.9576675077095597E-2</c:v>
                </c:pt>
                <c:pt idx="3">
                  <c:v>7.653490328006729E-2</c:v>
                </c:pt>
                <c:pt idx="4">
                  <c:v>2.1026072329688814E-3</c:v>
                </c:pt>
                <c:pt idx="5">
                  <c:v>4.2052144659377626E-4</c:v>
                </c:pt>
                <c:pt idx="6">
                  <c:v>1.4998598261844687E-2</c:v>
                </c:pt>
                <c:pt idx="7">
                  <c:v>5.8873002523128683E-3</c:v>
                </c:pt>
                <c:pt idx="8">
                  <c:v>2.382954864031399E-3</c:v>
                </c:pt>
                <c:pt idx="9">
                  <c:v>2.8034763106251753E-4</c:v>
                </c:pt>
                <c:pt idx="10">
                  <c:v>0.57807681525091115</c:v>
                </c:pt>
                <c:pt idx="11">
                  <c:v>1.4017381553125876E-4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Nyanama-Ndeeba'!$C$9:$N$9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Nyanama-Ndeeba'!$C$60:$N$60</c:f>
              <c:numCache>
                <c:formatCode>0.00%</c:formatCode>
                <c:ptCount val="12"/>
                <c:pt idx="0">
                  <c:v>0.61029900332225917</c:v>
                </c:pt>
                <c:pt idx="1">
                  <c:v>7.6079734219269099E-2</c:v>
                </c:pt>
                <c:pt idx="2">
                  <c:v>7.0099667774086383E-2</c:v>
                </c:pt>
                <c:pt idx="3">
                  <c:v>0.18139534883720931</c:v>
                </c:pt>
                <c:pt idx="4">
                  <c:v>4.9833887043189366E-3</c:v>
                </c:pt>
                <c:pt idx="5">
                  <c:v>9.9667774086378727E-4</c:v>
                </c:pt>
                <c:pt idx="6">
                  <c:v>3.5548172757475086E-2</c:v>
                </c:pt>
                <c:pt idx="7">
                  <c:v>1.3953488372093023E-2</c:v>
                </c:pt>
                <c:pt idx="8">
                  <c:v>5.6478405315614618E-3</c:v>
                </c:pt>
                <c:pt idx="9">
                  <c:v>6.6445182724252495E-4</c:v>
                </c:pt>
                <c:pt idx="11">
                  <c:v>3.3222591362126248E-4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Ndeeba-Nyanama'!$AE$9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'25.07 Ndeeba-Nyanama'!$R$10:$R$21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Ndeeba-Nyanama'!$AE$10:$AE$21</c:f>
              <c:numCache>
                <c:formatCode>0</c:formatCode>
                <c:ptCount val="12"/>
                <c:pt idx="0">
                  <c:v>207</c:v>
                </c:pt>
                <c:pt idx="1">
                  <c:v>183</c:v>
                </c:pt>
                <c:pt idx="2">
                  <c:v>265</c:v>
                </c:pt>
                <c:pt idx="3">
                  <c:v>377</c:v>
                </c:pt>
                <c:pt idx="4">
                  <c:v>397</c:v>
                </c:pt>
                <c:pt idx="5">
                  <c:v>335</c:v>
                </c:pt>
                <c:pt idx="6">
                  <c:v>299</c:v>
                </c:pt>
                <c:pt idx="7">
                  <c:v>278</c:v>
                </c:pt>
                <c:pt idx="8">
                  <c:v>417</c:v>
                </c:pt>
                <c:pt idx="9">
                  <c:v>587</c:v>
                </c:pt>
                <c:pt idx="10">
                  <c:v>698</c:v>
                </c:pt>
                <c:pt idx="11">
                  <c:v>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'25.07 Ndeeba-Nyanama'!$AF$9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'25.07 Ndeeba-Nyanama'!$R$10:$R$21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Ndeeba-Nyanama'!$AF$10:$AF$21</c:f>
              <c:numCache>
                <c:formatCode>0</c:formatCode>
                <c:ptCount val="12"/>
                <c:pt idx="0">
                  <c:v>600</c:v>
                </c:pt>
                <c:pt idx="1">
                  <c:v>573</c:v>
                </c:pt>
                <c:pt idx="2">
                  <c:v>642</c:v>
                </c:pt>
                <c:pt idx="3">
                  <c:v>692</c:v>
                </c:pt>
                <c:pt idx="4">
                  <c:v>667</c:v>
                </c:pt>
                <c:pt idx="5">
                  <c:v>648</c:v>
                </c:pt>
                <c:pt idx="6">
                  <c:v>596</c:v>
                </c:pt>
                <c:pt idx="7">
                  <c:v>490</c:v>
                </c:pt>
                <c:pt idx="8">
                  <c:v>650</c:v>
                </c:pt>
                <c:pt idx="9">
                  <c:v>1050</c:v>
                </c:pt>
                <c:pt idx="10">
                  <c:v>1072</c:v>
                </c:pt>
                <c:pt idx="11">
                  <c:v>958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657536"/>
        <c:axId val="90659072"/>
      </c:lineChart>
      <c:catAx>
        <c:axId val="906575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659072"/>
        <c:crosses val="autoZero"/>
        <c:auto val="1"/>
        <c:lblAlgn val="ctr"/>
        <c:lblOffset val="100"/>
        <c:noMultiLvlLbl val="0"/>
      </c:catAx>
      <c:valAx>
        <c:axId val="906590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65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Ndeeba-Nyanama'!$C$9:$N$9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Ndeeba-Nyanama'!$C$59:$N$59</c:f>
              <c:numCache>
                <c:formatCode>0.0%</c:formatCode>
                <c:ptCount val="12"/>
                <c:pt idx="0">
                  <c:v>0.35691132206529291</c:v>
                </c:pt>
                <c:pt idx="1">
                  <c:v>6.5987497105811531E-3</c:v>
                </c:pt>
                <c:pt idx="2">
                  <c:v>1.5281315119240566E-2</c:v>
                </c:pt>
                <c:pt idx="3">
                  <c:v>0.13290113452188007</c:v>
                </c:pt>
                <c:pt idx="4">
                  <c:v>2.083815698078259E-3</c:v>
                </c:pt>
                <c:pt idx="5">
                  <c:v>0</c:v>
                </c:pt>
                <c:pt idx="6">
                  <c:v>1.8522806205140078E-2</c:v>
                </c:pt>
                <c:pt idx="7">
                  <c:v>3.5887937022458902E-3</c:v>
                </c:pt>
                <c:pt idx="8">
                  <c:v>1.5049780041676314E-3</c:v>
                </c:pt>
                <c:pt idx="9">
                  <c:v>2.7784209307710117E-3</c:v>
                </c:pt>
                <c:pt idx="10">
                  <c:v>0.45959712896503818</c:v>
                </c:pt>
                <c:pt idx="11">
                  <c:v>2.3153507756425097E-4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65"/>
          <c:y val="2.296022663732378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Ndeeba-Nyanama'!$S$9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'25.07 Ndeeba-Nyanama'!$R$10:$R$21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Ndeeba-Nyanama'!$S$10:$S$21</c:f>
              <c:numCache>
                <c:formatCode>0</c:formatCode>
                <c:ptCount val="12"/>
                <c:pt idx="0">
                  <c:v>143</c:v>
                </c:pt>
                <c:pt idx="1">
                  <c:v>125</c:v>
                </c:pt>
                <c:pt idx="2">
                  <c:v>144</c:v>
                </c:pt>
                <c:pt idx="3">
                  <c:v>310</c:v>
                </c:pt>
                <c:pt idx="4">
                  <c:v>287</c:v>
                </c:pt>
                <c:pt idx="5">
                  <c:v>264</c:v>
                </c:pt>
                <c:pt idx="6">
                  <c:v>245</c:v>
                </c:pt>
                <c:pt idx="7">
                  <c:v>200</c:v>
                </c:pt>
                <c:pt idx="8">
                  <c:v>253</c:v>
                </c:pt>
                <c:pt idx="9">
                  <c:v>358</c:v>
                </c:pt>
                <c:pt idx="10">
                  <c:v>386</c:v>
                </c:pt>
                <c:pt idx="11">
                  <c:v>368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'25.07 Ndeeba-Nyanama'!$T$9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'25.07 Ndeeba-Nyanama'!$R$10:$R$21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Ndeeba-Nyanama'!$T$10:$T$21</c:f>
              <c:numCache>
                <c:formatCode>0</c:formatCode>
                <c:ptCount val="12"/>
                <c:pt idx="0">
                  <c:v>6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8</c:v>
                </c:pt>
                <c:pt idx="8">
                  <c:v>6</c:v>
                </c:pt>
                <c:pt idx="9">
                  <c:v>11</c:v>
                </c:pt>
                <c:pt idx="10">
                  <c:v>12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'25.07 Ndeeba-Nyanama'!$U$9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'25.07 Ndeeba-Nyanama'!$U$10:$U$21</c:f>
              <c:numCache>
                <c:formatCode>0</c:formatCode>
                <c:ptCount val="12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18</c:v>
                </c:pt>
                <c:pt idx="5">
                  <c:v>5</c:v>
                </c:pt>
                <c:pt idx="6">
                  <c:v>9</c:v>
                </c:pt>
                <c:pt idx="7">
                  <c:v>11</c:v>
                </c:pt>
                <c:pt idx="8">
                  <c:v>14</c:v>
                </c:pt>
                <c:pt idx="9">
                  <c:v>24</c:v>
                </c:pt>
                <c:pt idx="10">
                  <c:v>16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'25.07 Ndeeba-Nyanama'!$V$9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'25.07 Ndeeba-Nyanama'!$V$10:$V$21</c:f>
              <c:numCache>
                <c:formatCode>0</c:formatCode>
                <c:ptCount val="12"/>
                <c:pt idx="0">
                  <c:v>44</c:v>
                </c:pt>
                <c:pt idx="1">
                  <c:v>37</c:v>
                </c:pt>
                <c:pt idx="2">
                  <c:v>103</c:v>
                </c:pt>
                <c:pt idx="3">
                  <c:v>46</c:v>
                </c:pt>
                <c:pt idx="4">
                  <c:v>62</c:v>
                </c:pt>
                <c:pt idx="5">
                  <c:v>42</c:v>
                </c:pt>
                <c:pt idx="6">
                  <c:v>22</c:v>
                </c:pt>
                <c:pt idx="7">
                  <c:v>44</c:v>
                </c:pt>
                <c:pt idx="8">
                  <c:v>113</c:v>
                </c:pt>
                <c:pt idx="9">
                  <c:v>169</c:v>
                </c:pt>
                <c:pt idx="10">
                  <c:v>259</c:v>
                </c:pt>
                <c:pt idx="11">
                  <c:v>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'25.07 Ndeeba-Nyanama'!$W$9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'25.07 Ndeeba-Nyanama'!$W$10:$W$21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'25.07 Ndeeba-Nyanama'!$X$9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'25.07 Ndeeba-Nyanama'!$X$10:$X$21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'25.07 Ndeeba-Nyanama'!$Y$9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Ndeeba-Nyanama'!$Y$10:$Y$21</c:f>
              <c:numCache>
                <c:formatCode>0</c:formatCode>
                <c:ptCount val="12"/>
                <c:pt idx="0">
                  <c:v>3</c:v>
                </c:pt>
                <c:pt idx="1">
                  <c:v>14</c:v>
                </c:pt>
                <c:pt idx="2">
                  <c:v>8</c:v>
                </c:pt>
                <c:pt idx="3">
                  <c:v>9</c:v>
                </c:pt>
                <c:pt idx="4">
                  <c:v>15</c:v>
                </c:pt>
                <c:pt idx="5">
                  <c:v>14</c:v>
                </c:pt>
                <c:pt idx="6">
                  <c:v>12</c:v>
                </c:pt>
                <c:pt idx="7">
                  <c:v>9</c:v>
                </c:pt>
                <c:pt idx="8">
                  <c:v>21</c:v>
                </c:pt>
                <c:pt idx="9">
                  <c:v>17</c:v>
                </c:pt>
                <c:pt idx="10">
                  <c:v>17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'25.07 Ndeeba-Nyanama'!$Z$9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Ndeeba-Nyanama'!$Z$10:$Z$21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3</c:v>
                </c:pt>
                <c:pt idx="8">
                  <c:v>7</c:v>
                </c:pt>
                <c:pt idx="9">
                  <c:v>3</c:v>
                </c:pt>
                <c:pt idx="10">
                  <c:v>0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'25.07 Ndeeba-Nyanama'!$AA$9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Ndeeba-Nyanama'!$AA$10:$AA$21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'25.07 Ndeeba-Nyanama'!$AB$9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Ndeeba-Nyanama'!$AB$10:$AB$21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7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'25.07 Ndeeba-Nyanama'!$AC$9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Ndeeba-Nyanama'!$AC$10:$AC$21</c:f>
              <c:numCache>
                <c:formatCode>0</c:formatCode>
                <c:ptCount val="12"/>
                <c:pt idx="0">
                  <c:v>393</c:v>
                </c:pt>
                <c:pt idx="1">
                  <c:v>390</c:v>
                </c:pt>
                <c:pt idx="2">
                  <c:v>377</c:v>
                </c:pt>
                <c:pt idx="3">
                  <c:v>315</c:v>
                </c:pt>
                <c:pt idx="4">
                  <c:v>270</c:v>
                </c:pt>
                <c:pt idx="5">
                  <c:v>313</c:v>
                </c:pt>
                <c:pt idx="6">
                  <c:v>297</c:v>
                </c:pt>
                <c:pt idx="7">
                  <c:v>212</c:v>
                </c:pt>
                <c:pt idx="8">
                  <c:v>233</c:v>
                </c:pt>
                <c:pt idx="9">
                  <c:v>463</c:v>
                </c:pt>
                <c:pt idx="10">
                  <c:v>374</c:v>
                </c:pt>
                <c:pt idx="11">
                  <c:v>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'25.07 Ndeeba-Nyanama'!$AD$9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Ndeeba-Nyanama'!$AD$10:$AD$21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536576"/>
        <c:axId val="90567040"/>
      </c:lineChart>
      <c:catAx>
        <c:axId val="9053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567040"/>
        <c:crosses val="autoZero"/>
        <c:auto val="1"/>
        <c:lblAlgn val="ctr"/>
        <c:lblOffset val="100"/>
        <c:noMultiLvlLbl val="0"/>
      </c:catAx>
      <c:valAx>
        <c:axId val="905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53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Ndeeba-Nyanama'!$C$9:$N$9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Ndeeba-Nyanama'!$C$60:$N$60</c:f>
              <c:numCache>
                <c:formatCode>0.00%</c:formatCode>
                <c:ptCount val="12"/>
                <c:pt idx="0">
                  <c:v>0.66045415595544132</c:v>
                </c:pt>
                <c:pt idx="1">
                  <c:v>1.2210796915167094E-2</c:v>
                </c:pt>
                <c:pt idx="2">
                  <c:v>2.8277634961439587E-2</c:v>
                </c:pt>
                <c:pt idx="3">
                  <c:v>0.24592973436161097</c:v>
                </c:pt>
                <c:pt idx="4">
                  <c:v>3.8560411311053984E-3</c:v>
                </c:pt>
                <c:pt idx="5">
                  <c:v>0</c:v>
                </c:pt>
                <c:pt idx="6">
                  <c:v>3.4275921165381321E-2</c:v>
                </c:pt>
                <c:pt idx="7">
                  <c:v>6.640959725792631E-3</c:v>
                </c:pt>
                <c:pt idx="8">
                  <c:v>2.7849185946872321E-3</c:v>
                </c:pt>
                <c:pt idx="9">
                  <c:v>5.1413881748071976E-3</c:v>
                </c:pt>
                <c:pt idx="11">
                  <c:v>4.2844901456726652E-4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Nyanama-Ndeeba'!$AE$9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'25.07 Nyanama-Ndeeba'!$R$10:$R$21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Nyanama-Ndeeba'!$AE$10:$AE$21</c:f>
              <c:numCache>
                <c:formatCode>0</c:formatCode>
                <c:ptCount val="12"/>
                <c:pt idx="0">
                  <c:v>440</c:v>
                </c:pt>
                <c:pt idx="1">
                  <c:v>376</c:v>
                </c:pt>
                <c:pt idx="2">
                  <c:v>328</c:v>
                </c:pt>
                <c:pt idx="3">
                  <c:v>251</c:v>
                </c:pt>
                <c:pt idx="4">
                  <c:v>201</c:v>
                </c:pt>
                <c:pt idx="5">
                  <c:v>185</c:v>
                </c:pt>
                <c:pt idx="6">
                  <c:v>168</c:v>
                </c:pt>
                <c:pt idx="7">
                  <c:v>179</c:v>
                </c:pt>
                <c:pt idx="8">
                  <c:v>178</c:v>
                </c:pt>
                <c:pt idx="9">
                  <c:v>187</c:v>
                </c:pt>
                <c:pt idx="10">
                  <c:v>181</c:v>
                </c:pt>
                <c:pt idx="11">
                  <c:v>217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'25.07 Nyanama-Ndeeba'!$AF$9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'25.07 Nyanama-Ndeeba'!$R$10:$R$21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Nyanama-Ndeeba'!$AF$10:$AF$21</c:f>
              <c:numCache>
                <c:formatCode>0</c:formatCode>
                <c:ptCount val="12"/>
                <c:pt idx="0">
                  <c:v>922</c:v>
                </c:pt>
                <c:pt idx="1">
                  <c:v>817</c:v>
                </c:pt>
                <c:pt idx="2">
                  <c:v>721</c:v>
                </c:pt>
                <c:pt idx="3">
                  <c:v>619</c:v>
                </c:pt>
                <c:pt idx="4">
                  <c:v>500</c:v>
                </c:pt>
                <c:pt idx="5">
                  <c:v>480</c:v>
                </c:pt>
                <c:pt idx="6">
                  <c:v>408</c:v>
                </c:pt>
                <c:pt idx="7">
                  <c:v>408</c:v>
                </c:pt>
                <c:pt idx="8">
                  <c:v>428</c:v>
                </c:pt>
                <c:pt idx="9">
                  <c:v>443</c:v>
                </c:pt>
                <c:pt idx="10">
                  <c:v>469</c:v>
                </c:pt>
                <c:pt idx="11">
                  <c:v>592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642304"/>
        <c:axId val="90643840"/>
      </c:lineChart>
      <c:catAx>
        <c:axId val="906423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643840"/>
        <c:crosses val="autoZero"/>
        <c:auto val="1"/>
        <c:lblAlgn val="ctr"/>
        <c:lblOffset val="100"/>
        <c:noMultiLvlLbl val="0"/>
      </c:catAx>
      <c:valAx>
        <c:axId val="906438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64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Nyanama-Ndeeba'!$C$9:$N$9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Nyanama-Ndeeba'!$C$59:$N$59</c:f>
              <c:numCache>
                <c:formatCode>0.0%</c:formatCode>
                <c:ptCount val="12"/>
                <c:pt idx="0">
                  <c:v>0.26061407374761275</c:v>
                </c:pt>
                <c:pt idx="1">
                  <c:v>3.3641839283090932E-2</c:v>
                </c:pt>
                <c:pt idx="2">
                  <c:v>2.3945938004994859E-2</c:v>
                </c:pt>
                <c:pt idx="3">
                  <c:v>7.2131629205229905E-2</c:v>
                </c:pt>
                <c:pt idx="4">
                  <c:v>3.2319670926986926E-3</c:v>
                </c:pt>
                <c:pt idx="5">
                  <c:v>8.8144557073600708E-4</c:v>
                </c:pt>
                <c:pt idx="6">
                  <c:v>1.8216541795210813E-2</c:v>
                </c:pt>
                <c:pt idx="7">
                  <c:v>8.8144557073600704E-3</c:v>
                </c:pt>
                <c:pt idx="8">
                  <c:v>2.4974291170853534E-3</c:v>
                </c:pt>
                <c:pt idx="9">
                  <c:v>2.9381519024533566E-4</c:v>
                </c:pt>
                <c:pt idx="10">
                  <c:v>0.57529014250036725</c:v>
                </c:pt>
                <c:pt idx="11">
                  <c:v>4.4072278536800354E-4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65"/>
          <c:y val="2.296022663732378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Nyanama-Ndeeba'!$S$9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'25.07 Nyanama-Ndeeba'!$R$10:$R$21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Nyanama-Ndeeba'!$S$10:$S$21</c:f>
              <c:numCache>
                <c:formatCode>0</c:formatCode>
                <c:ptCount val="12"/>
                <c:pt idx="0">
                  <c:v>262</c:v>
                </c:pt>
                <c:pt idx="1">
                  <c:v>221</c:v>
                </c:pt>
                <c:pt idx="2">
                  <c:v>208</c:v>
                </c:pt>
                <c:pt idx="3">
                  <c:v>176</c:v>
                </c:pt>
                <c:pt idx="4">
                  <c:v>119</c:v>
                </c:pt>
                <c:pt idx="5">
                  <c:v>118</c:v>
                </c:pt>
                <c:pt idx="6">
                  <c:v>96</c:v>
                </c:pt>
                <c:pt idx="7">
                  <c:v>99</c:v>
                </c:pt>
                <c:pt idx="8">
                  <c:v>108</c:v>
                </c:pt>
                <c:pt idx="9">
                  <c:v>105</c:v>
                </c:pt>
                <c:pt idx="10">
                  <c:v>111</c:v>
                </c:pt>
                <c:pt idx="11">
                  <c:v>151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'25.07 Nyanama-Ndeeba'!$T$9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'25.07 Nyanama-Ndeeba'!$R$10:$R$21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Nyanama-Ndeeba'!$T$10:$T$21</c:f>
              <c:numCache>
                <c:formatCode>0</c:formatCode>
                <c:ptCount val="12"/>
                <c:pt idx="0">
                  <c:v>21</c:v>
                </c:pt>
                <c:pt idx="1">
                  <c:v>43</c:v>
                </c:pt>
                <c:pt idx="2">
                  <c:v>28</c:v>
                </c:pt>
                <c:pt idx="3">
                  <c:v>19</c:v>
                </c:pt>
                <c:pt idx="4">
                  <c:v>19</c:v>
                </c:pt>
                <c:pt idx="5">
                  <c:v>16</c:v>
                </c:pt>
                <c:pt idx="6">
                  <c:v>14</c:v>
                </c:pt>
                <c:pt idx="7">
                  <c:v>11</c:v>
                </c:pt>
                <c:pt idx="8">
                  <c:v>16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'25.07 Nyanama-Ndeeba'!$U$9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'25.07 Nyanama-Ndeeba'!$U$10:$U$21</c:f>
              <c:numCache>
                <c:formatCode>0</c:formatCode>
                <c:ptCount val="12"/>
                <c:pt idx="0">
                  <c:v>13</c:v>
                </c:pt>
                <c:pt idx="1">
                  <c:v>22</c:v>
                </c:pt>
                <c:pt idx="2">
                  <c:v>21</c:v>
                </c:pt>
                <c:pt idx="3">
                  <c:v>8</c:v>
                </c:pt>
                <c:pt idx="4">
                  <c:v>12</c:v>
                </c:pt>
                <c:pt idx="5">
                  <c:v>10</c:v>
                </c:pt>
                <c:pt idx="6">
                  <c:v>16</c:v>
                </c:pt>
                <c:pt idx="7">
                  <c:v>14</c:v>
                </c:pt>
                <c:pt idx="8">
                  <c:v>15</c:v>
                </c:pt>
                <c:pt idx="9">
                  <c:v>15</c:v>
                </c:pt>
                <c:pt idx="10">
                  <c:v>12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'25.07 Nyanama-Ndeeba'!$V$9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'25.07 Nyanama-Ndeeba'!$V$10:$V$21</c:f>
              <c:numCache>
                <c:formatCode>0</c:formatCode>
                <c:ptCount val="12"/>
                <c:pt idx="0">
                  <c:v>121</c:v>
                </c:pt>
                <c:pt idx="1">
                  <c:v>75</c:v>
                </c:pt>
                <c:pt idx="2">
                  <c:v>48</c:v>
                </c:pt>
                <c:pt idx="3">
                  <c:v>25</c:v>
                </c:pt>
                <c:pt idx="4">
                  <c:v>29</c:v>
                </c:pt>
                <c:pt idx="5">
                  <c:v>21</c:v>
                </c:pt>
                <c:pt idx="6">
                  <c:v>25</c:v>
                </c:pt>
                <c:pt idx="7">
                  <c:v>32</c:v>
                </c:pt>
                <c:pt idx="8">
                  <c:v>23</c:v>
                </c:pt>
                <c:pt idx="9">
                  <c:v>29</c:v>
                </c:pt>
                <c:pt idx="10">
                  <c:v>26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'25.07 Nyanama-Ndeeba'!$W$9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'25.07 Nyanama-Ndeeba'!$W$10:$W$21</c:f>
              <c:numCache>
                <c:formatCode>0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'25.07 Nyanama-Ndeeba'!$X$9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'25.07 Nyanama-Ndeeba'!$X$10:$X$21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'25.07 Nyanama-Ndeeba'!$Y$9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Nyanama-Ndeeba'!$Y$10:$Y$21</c:f>
              <c:numCache>
                <c:formatCode>0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13</c:v>
                </c:pt>
                <c:pt idx="3">
                  <c:v>14</c:v>
                </c:pt>
                <c:pt idx="4">
                  <c:v>14</c:v>
                </c:pt>
                <c:pt idx="5">
                  <c:v>10</c:v>
                </c:pt>
                <c:pt idx="6">
                  <c:v>8</c:v>
                </c:pt>
                <c:pt idx="7">
                  <c:v>9</c:v>
                </c:pt>
                <c:pt idx="8">
                  <c:v>8</c:v>
                </c:pt>
                <c:pt idx="9">
                  <c:v>16</c:v>
                </c:pt>
                <c:pt idx="10">
                  <c:v>7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'25.07 Nyanama-Ndeeba'!$Z$9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Nyanama-Ndeeba'!$Z$10:$Z$21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9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5</c:v>
                </c:pt>
                <c:pt idx="9">
                  <c:v>2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'25.07 Nyanama-Ndeeba'!$AA$9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Nyanama-Ndeeba'!$AA$10:$AA$21</c:f>
              <c:numCache>
                <c:formatCode>0</c:formatCode>
                <c:ptCount val="12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'25.07 Nyanama-Ndeeba'!$AB$9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Nyanama-Ndeeba'!$AB$10:$AB$21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'25.07 Nyanama-Ndeeba'!$AC$9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Nyanama-Ndeeba'!$AC$10:$AC$21</c:f>
              <c:numCache>
                <c:formatCode>0</c:formatCode>
                <c:ptCount val="12"/>
                <c:pt idx="0">
                  <c:v>482</c:v>
                </c:pt>
                <c:pt idx="1">
                  <c:v>441</c:v>
                </c:pt>
                <c:pt idx="2">
                  <c:v>393</c:v>
                </c:pt>
                <c:pt idx="3">
                  <c:v>368</c:v>
                </c:pt>
                <c:pt idx="4">
                  <c:v>299</c:v>
                </c:pt>
                <c:pt idx="5">
                  <c:v>295</c:v>
                </c:pt>
                <c:pt idx="6">
                  <c:v>240</c:v>
                </c:pt>
                <c:pt idx="7">
                  <c:v>229</c:v>
                </c:pt>
                <c:pt idx="8">
                  <c:v>250</c:v>
                </c:pt>
                <c:pt idx="9">
                  <c:v>256</c:v>
                </c:pt>
                <c:pt idx="10">
                  <c:v>288</c:v>
                </c:pt>
                <c:pt idx="11">
                  <c:v>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'25.07 Nyanama-Ndeeba'!$AD$9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Nyanama-Ndeeba'!$AD$10:$AD$21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537600"/>
        <c:axId val="112539136"/>
      </c:lineChart>
      <c:catAx>
        <c:axId val="11253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39136"/>
        <c:crosses val="autoZero"/>
        <c:auto val="1"/>
        <c:lblAlgn val="ctr"/>
        <c:lblOffset val="100"/>
        <c:noMultiLvlLbl val="0"/>
      </c:catAx>
      <c:valAx>
        <c:axId val="11253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53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Nyanama-Ndeeba'!$C$9:$N$9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Nyanama-Ndeeba'!$C$60:$N$60</c:f>
              <c:numCache>
                <c:formatCode>0.00%</c:formatCode>
                <c:ptCount val="12"/>
                <c:pt idx="0">
                  <c:v>0.61362850224835697</c:v>
                </c:pt>
                <c:pt idx="1">
                  <c:v>7.9211345555171217E-2</c:v>
                </c:pt>
                <c:pt idx="2">
                  <c:v>5.6381874783811826E-2</c:v>
                </c:pt>
                <c:pt idx="3">
                  <c:v>0.16983742649602213</c:v>
                </c:pt>
                <c:pt idx="4">
                  <c:v>7.6098235904531308E-3</c:v>
                </c:pt>
                <c:pt idx="5">
                  <c:v>2.0754064337599448E-3</c:v>
                </c:pt>
                <c:pt idx="6">
                  <c:v>4.2891732964372188E-2</c:v>
                </c:pt>
                <c:pt idx="7">
                  <c:v>2.0754064337599448E-2</c:v>
                </c:pt>
                <c:pt idx="8">
                  <c:v>5.8803182289865101E-3</c:v>
                </c:pt>
                <c:pt idx="9">
                  <c:v>6.9180214458664825E-4</c:v>
                </c:pt>
                <c:pt idx="11">
                  <c:v>1.0377032168799724E-3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'26.07 Ndeeba-Nyanama-24h'!$AE$9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'26.07 Ndeeba-Nyanama-24h'!$R$10:$R$33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Ndeeba-Nyanama-24h'!$AE$10:$AE$33</c:f>
              <c:numCache>
                <c:formatCode>0</c:formatCode>
                <c:ptCount val="24"/>
                <c:pt idx="0">
                  <c:v>653</c:v>
                </c:pt>
                <c:pt idx="1">
                  <c:v>424</c:v>
                </c:pt>
                <c:pt idx="2">
                  <c:v>429</c:v>
                </c:pt>
                <c:pt idx="3">
                  <c:v>518</c:v>
                </c:pt>
                <c:pt idx="4">
                  <c:v>317</c:v>
                </c:pt>
                <c:pt idx="5">
                  <c:v>246</c:v>
                </c:pt>
                <c:pt idx="6">
                  <c:v>376</c:v>
                </c:pt>
                <c:pt idx="7">
                  <c:v>362</c:v>
                </c:pt>
                <c:pt idx="8">
                  <c:v>394</c:v>
                </c:pt>
                <c:pt idx="9">
                  <c:v>486</c:v>
                </c:pt>
                <c:pt idx="10">
                  <c:v>582</c:v>
                </c:pt>
                <c:pt idx="11">
                  <c:v>574</c:v>
                </c:pt>
                <c:pt idx="12">
                  <c:v>484</c:v>
                </c:pt>
                <c:pt idx="13">
                  <c:v>472</c:v>
                </c:pt>
                <c:pt idx="14">
                  <c:v>447</c:v>
                </c:pt>
                <c:pt idx="15">
                  <c:v>253</c:v>
                </c:pt>
                <c:pt idx="16">
                  <c:v>171</c:v>
                </c:pt>
                <c:pt idx="17">
                  <c:v>65</c:v>
                </c:pt>
                <c:pt idx="18">
                  <c:v>39</c:v>
                </c:pt>
                <c:pt idx="19">
                  <c:v>29</c:v>
                </c:pt>
                <c:pt idx="20">
                  <c:v>13</c:v>
                </c:pt>
                <c:pt idx="21">
                  <c:v>19</c:v>
                </c:pt>
                <c:pt idx="22">
                  <c:v>37</c:v>
                </c:pt>
                <c:pt idx="23">
                  <c:v>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'26.07 Ndeeba-Nyanama-24h'!$AF$9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'26.07 Ndeeba-Nyanama-24h'!$R$10:$R$33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Ndeeba-Nyanama-24h'!$AF$10:$AF$33</c:f>
              <c:numCache>
                <c:formatCode>0</c:formatCode>
                <c:ptCount val="24"/>
                <c:pt idx="0">
                  <c:v>992</c:v>
                </c:pt>
                <c:pt idx="1">
                  <c:v>734</c:v>
                </c:pt>
                <c:pt idx="2">
                  <c:v>714</c:v>
                </c:pt>
                <c:pt idx="3">
                  <c:v>832</c:v>
                </c:pt>
                <c:pt idx="4">
                  <c:v>653</c:v>
                </c:pt>
                <c:pt idx="5">
                  <c:v>560</c:v>
                </c:pt>
                <c:pt idx="6">
                  <c:v>650</c:v>
                </c:pt>
                <c:pt idx="7">
                  <c:v>667</c:v>
                </c:pt>
                <c:pt idx="8">
                  <c:v>683</c:v>
                </c:pt>
                <c:pt idx="9">
                  <c:v>806</c:v>
                </c:pt>
                <c:pt idx="10">
                  <c:v>934</c:v>
                </c:pt>
                <c:pt idx="11">
                  <c:v>927</c:v>
                </c:pt>
                <c:pt idx="12">
                  <c:v>942</c:v>
                </c:pt>
                <c:pt idx="13">
                  <c:v>867</c:v>
                </c:pt>
                <c:pt idx="14">
                  <c:v>773</c:v>
                </c:pt>
                <c:pt idx="15">
                  <c:v>526</c:v>
                </c:pt>
                <c:pt idx="16">
                  <c:v>375</c:v>
                </c:pt>
                <c:pt idx="17">
                  <c:v>149</c:v>
                </c:pt>
                <c:pt idx="18">
                  <c:v>113</c:v>
                </c:pt>
                <c:pt idx="19">
                  <c:v>81</c:v>
                </c:pt>
                <c:pt idx="20">
                  <c:v>35</c:v>
                </c:pt>
                <c:pt idx="21">
                  <c:v>34</c:v>
                </c:pt>
                <c:pt idx="22">
                  <c:v>79</c:v>
                </c:pt>
                <c:pt idx="23">
                  <c:v>177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65344"/>
        <c:axId val="112666112"/>
      </c:lineChart>
      <c:catAx>
        <c:axId val="1126653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666112"/>
        <c:crosses val="autoZero"/>
        <c:auto val="1"/>
        <c:lblAlgn val="ctr"/>
        <c:lblOffset val="100"/>
        <c:noMultiLvlLbl val="0"/>
      </c:catAx>
      <c:valAx>
        <c:axId val="1126661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66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Ndeeba-Nyanama-24h'!$C$9:$N$9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Ndeeba-Nyanama-24h'!$C$107:$N$107</c:f>
              <c:numCache>
                <c:formatCode>0.0%</c:formatCode>
                <c:ptCount val="12"/>
                <c:pt idx="0">
                  <c:v>0.33819439224235137</c:v>
                </c:pt>
                <c:pt idx="1">
                  <c:v>1.2102533263173721E-2</c:v>
                </c:pt>
                <c:pt idx="2">
                  <c:v>2.4505750582575359E-2</c:v>
                </c:pt>
                <c:pt idx="3">
                  <c:v>0.15718259039314442</c:v>
                </c:pt>
                <c:pt idx="4">
                  <c:v>2.2551304217093889E-3</c:v>
                </c:pt>
                <c:pt idx="5">
                  <c:v>1.5034202811395924E-4</c:v>
                </c:pt>
                <c:pt idx="6">
                  <c:v>1.7063820190934376E-2</c:v>
                </c:pt>
                <c:pt idx="7">
                  <c:v>4.0592347590768995E-3</c:v>
                </c:pt>
                <c:pt idx="8">
                  <c:v>1.804104337367511E-3</c:v>
                </c:pt>
                <c:pt idx="9">
                  <c:v>2.0296173795384498E-3</c:v>
                </c:pt>
                <c:pt idx="10">
                  <c:v>0.4406524844020146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Ndeeba-Nyanama-24h'!$C$9:$N$9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Ndeeba-Nyanama-24h'!$C$108:$N$108</c:f>
              <c:numCache>
                <c:formatCode>0.00%</c:formatCode>
                <c:ptCount val="12"/>
                <c:pt idx="0">
                  <c:v>0.60462303453836852</c:v>
                </c:pt>
                <c:pt idx="1">
                  <c:v>2.1636876763875823E-2</c:v>
                </c:pt>
                <c:pt idx="2">
                  <c:v>4.3811315683375887E-2</c:v>
                </c:pt>
                <c:pt idx="3">
                  <c:v>0.28101061685257356</c:v>
                </c:pt>
                <c:pt idx="4">
                  <c:v>4.0317161671818303E-3</c:v>
                </c:pt>
                <c:pt idx="5">
                  <c:v>2.6878107781212203E-4</c:v>
                </c:pt>
                <c:pt idx="6">
                  <c:v>3.0506652331675849E-2</c:v>
                </c:pt>
                <c:pt idx="7">
                  <c:v>7.2570891009272947E-3</c:v>
                </c:pt>
                <c:pt idx="8">
                  <c:v>3.2253729337454644E-3</c:v>
                </c:pt>
                <c:pt idx="9">
                  <c:v>3.6285445504636474E-3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'26.07 Nyanama-Ndeeba-24h'!$AE$9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'26.07 Nyanama-Ndeeba-24h'!$R$10:$R$33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Nyanama-Ndeeba-24h'!$AE$10:$AE$33</c:f>
              <c:numCache>
                <c:formatCode>0</c:formatCode>
                <c:ptCount val="24"/>
                <c:pt idx="0">
                  <c:v>485</c:v>
                </c:pt>
                <c:pt idx="1">
                  <c:v>347</c:v>
                </c:pt>
                <c:pt idx="2">
                  <c:v>293</c:v>
                </c:pt>
                <c:pt idx="3">
                  <c:v>243</c:v>
                </c:pt>
                <c:pt idx="4">
                  <c:v>179</c:v>
                </c:pt>
                <c:pt idx="5">
                  <c:v>196</c:v>
                </c:pt>
                <c:pt idx="6">
                  <c:v>182</c:v>
                </c:pt>
                <c:pt idx="7">
                  <c:v>202</c:v>
                </c:pt>
                <c:pt idx="8">
                  <c:v>214</c:v>
                </c:pt>
                <c:pt idx="9">
                  <c:v>226</c:v>
                </c:pt>
                <c:pt idx="10">
                  <c:v>808</c:v>
                </c:pt>
                <c:pt idx="11">
                  <c:v>201</c:v>
                </c:pt>
                <c:pt idx="12">
                  <c:v>557</c:v>
                </c:pt>
                <c:pt idx="13">
                  <c:v>202</c:v>
                </c:pt>
                <c:pt idx="14">
                  <c:v>134</c:v>
                </c:pt>
                <c:pt idx="15">
                  <c:v>138</c:v>
                </c:pt>
                <c:pt idx="16">
                  <c:v>94</c:v>
                </c:pt>
                <c:pt idx="17">
                  <c:v>41</c:v>
                </c:pt>
                <c:pt idx="18">
                  <c:v>54</c:v>
                </c:pt>
                <c:pt idx="19">
                  <c:v>24</c:v>
                </c:pt>
                <c:pt idx="20">
                  <c:v>14</c:v>
                </c:pt>
                <c:pt idx="21">
                  <c:v>15</c:v>
                </c:pt>
                <c:pt idx="22">
                  <c:v>41</c:v>
                </c:pt>
                <c:pt idx="23">
                  <c:v>170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'26.07 Nyanama-Ndeeba-24h'!$AF$9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'26.07 Nyanama-Ndeeba-24h'!$R$10:$R$33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Nyanama-Ndeeba-24h'!$AF$10:$AF$33</c:f>
              <c:numCache>
                <c:formatCode>0</c:formatCode>
                <c:ptCount val="24"/>
                <c:pt idx="0">
                  <c:v>908</c:v>
                </c:pt>
                <c:pt idx="1">
                  <c:v>816</c:v>
                </c:pt>
                <c:pt idx="2">
                  <c:v>777</c:v>
                </c:pt>
                <c:pt idx="3">
                  <c:v>643</c:v>
                </c:pt>
                <c:pt idx="4">
                  <c:v>548</c:v>
                </c:pt>
                <c:pt idx="5">
                  <c:v>493</c:v>
                </c:pt>
                <c:pt idx="6">
                  <c:v>456</c:v>
                </c:pt>
                <c:pt idx="7">
                  <c:v>482</c:v>
                </c:pt>
                <c:pt idx="8">
                  <c:v>485</c:v>
                </c:pt>
                <c:pt idx="9">
                  <c:v>495</c:v>
                </c:pt>
                <c:pt idx="10">
                  <c:v>1224</c:v>
                </c:pt>
                <c:pt idx="11">
                  <c:v>619</c:v>
                </c:pt>
                <c:pt idx="12">
                  <c:v>852</c:v>
                </c:pt>
                <c:pt idx="13">
                  <c:v>397</c:v>
                </c:pt>
                <c:pt idx="14">
                  <c:v>335</c:v>
                </c:pt>
                <c:pt idx="15">
                  <c:v>429</c:v>
                </c:pt>
                <c:pt idx="16">
                  <c:v>295</c:v>
                </c:pt>
                <c:pt idx="17">
                  <c:v>145</c:v>
                </c:pt>
                <c:pt idx="18">
                  <c:v>174</c:v>
                </c:pt>
                <c:pt idx="19">
                  <c:v>90</c:v>
                </c:pt>
                <c:pt idx="20">
                  <c:v>56</c:v>
                </c:pt>
                <c:pt idx="21">
                  <c:v>43</c:v>
                </c:pt>
                <c:pt idx="22">
                  <c:v>146</c:v>
                </c:pt>
                <c:pt idx="23">
                  <c:v>365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018752"/>
        <c:axId val="113020288"/>
      </c:lineChart>
      <c:catAx>
        <c:axId val="1130187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020288"/>
        <c:crosses val="autoZero"/>
        <c:auto val="1"/>
        <c:lblAlgn val="ctr"/>
        <c:lblOffset val="100"/>
        <c:noMultiLvlLbl val="0"/>
      </c:catAx>
      <c:valAx>
        <c:axId val="1130202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01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Nyanama-Ndeeba-24h'!$C$9:$N$9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Nyanama-Ndeeba-24h'!$C$107:$N$107</c:f>
              <c:numCache>
                <c:formatCode>0.0%</c:formatCode>
                <c:ptCount val="12"/>
                <c:pt idx="0">
                  <c:v>0.21618025370353944</c:v>
                </c:pt>
                <c:pt idx="1">
                  <c:v>3.9208728821076906E-2</c:v>
                </c:pt>
                <c:pt idx="2">
                  <c:v>8.1078683580235955E-2</c:v>
                </c:pt>
                <c:pt idx="3">
                  <c:v>7.4425618735030605E-2</c:v>
                </c:pt>
                <c:pt idx="4">
                  <c:v>3.193471125698572E-3</c:v>
                </c:pt>
                <c:pt idx="5">
                  <c:v>7.0966025015523819E-4</c:v>
                </c:pt>
                <c:pt idx="6">
                  <c:v>2.0757562317040717E-2</c:v>
                </c:pt>
                <c:pt idx="7">
                  <c:v>7.4514326266300005E-3</c:v>
                </c:pt>
                <c:pt idx="8">
                  <c:v>4.3466690322008341E-3</c:v>
                </c:pt>
                <c:pt idx="9">
                  <c:v>1.5080280315798811E-3</c:v>
                </c:pt>
                <c:pt idx="10">
                  <c:v>0.55113989177681189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Nyanama-Ndeeba-24h'!$C$9:$N$9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Nyanama-Ndeeba-24h'!$C$108:$N$108</c:f>
              <c:numCache>
                <c:formatCode>0.00%</c:formatCode>
                <c:ptCount val="12"/>
                <c:pt idx="0">
                  <c:v>0.48162055335968379</c:v>
                </c:pt>
                <c:pt idx="1">
                  <c:v>8.7351778656126478E-2</c:v>
                </c:pt>
                <c:pt idx="2">
                  <c:v>0.18063241106719369</c:v>
                </c:pt>
                <c:pt idx="3">
                  <c:v>0.16581027667984188</c:v>
                </c:pt>
                <c:pt idx="4">
                  <c:v>7.1146245059288534E-3</c:v>
                </c:pt>
                <c:pt idx="5">
                  <c:v>1.5810276679841897E-3</c:v>
                </c:pt>
                <c:pt idx="6">
                  <c:v>4.6245059288537546E-2</c:v>
                </c:pt>
                <c:pt idx="7">
                  <c:v>1.6600790513833993E-2</c:v>
                </c:pt>
                <c:pt idx="8">
                  <c:v>9.6837944664031617E-3</c:v>
                </c:pt>
                <c:pt idx="9">
                  <c:v>3.3596837944664033E-3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'27.07 Ndeeba-Nyanama-24h'!$AE$9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'27.07 Ndeeba-Nyanama-24h'!$R$10:$R$33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Ndeeba-Nyanama-24h'!$AE$10:$AE$33</c:f>
              <c:numCache>
                <c:formatCode>0</c:formatCode>
                <c:ptCount val="24"/>
                <c:pt idx="0">
                  <c:v>383</c:v>
                </c:pt>
                <c:pt idx="1">
                  <c:v>212</c:v>
                </c:pt>
                <c:pt idx="2">
                  <c:v>131</c:v>
                </c:pt>
                <c:pt idx="3">
                  <c:v>216</c:v>
                </c:pt>
                <c:pt idx="4">
                  <c:v>250</c:v>
                </c:pt>
                <c:pt idx="5">
                  <c:v>235</c:v>
                </c:pt>
                <c:pt idx="6">
                  <c:v>252</c:v>
                </c:pt>
                <c:pt idx="7">
                  <c:v>171</c:v>
                </c:pt>
                <c:pt idx="8">
                  <c:v>211</c:v>
                </c:pt>
                <c:pt idx="9">
                  <c:v>228</c:v>
                </c:pt>
                <c:pt idx="10">
                  <c:v>265</c:v>
                </c:pt>
                <c:pt idx="11">
                  <c:v>311</c:v>
                </c:pt>
                <c:pt idx="12">
                  <c:v>240</c:v>
                </c:pt>
                <c:pt idx="13">
                  <c:v>462</c:v>
                </c:pt>
                <c:pt idx="14">
                  <c:v>470</c:v>
                </c:pt>
                <c:pt idx="15">
                  <c:v>302</c:v>
                </c:pt>
                <c:pt idx="16">
                  <c:v>217</c:v>
                </c:pt>
                <c:pt idx="17">
                  <c:v>119</c:v>
                </c:pt>
                <c:pt idx="18">
                  <c:v>94</c:v>
                </c:pt>
                <c:pt idx="19">
                  <c:v>29</c:v>
                </c:pt>
                <c:pt idx="20">
                  <c:v>31</c:v>
                </c:pt>
                <c:pt idx="21">
                  <c:v>17</c:v>
                </c:pt>
                <c:pt idx="22">
                  <c:v>25</c:v>
                </c:pt>
                <c:pt idx="23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'27.07 Ndeeba-Nyanama-24h'!$AF$9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'27.07 Ndeeba-Nyanama-24h'!$R$10:$R$33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Ndeeba-Nyanama-24h'!$AF$10:$AF$33</c:f>
              <c:numCache>
                <c:formatCode>0</c:formatCode>
                <c:ptCount val="24"/>
                <c:pt idx="0">
                  <c:v>780</c:v>
                </c:pt>
                <c:pt idx="1">
                  <c:v>609</c:v>
                </c:pt>
                <c:pt idx="2">
                  <c:v>489</c:v>
                </c:pt>
                <c:pt idx="3">
                  <c:v>610</c:v>
                </c:pt>
                <c:pt idx="4">
                  <c:v>645</c:v>
                </c:pt>
                <c:pt idx="5">
                  <c:v>583</c:v>
                </c:pt>
                <c:pt idx="6">
                  <c:v>597</c:v>
                </c:pt>
                <c:pt idx="7">
                  <c:v>399</c:v>
                </c:pt>
                <c:pt idx="8">
                  <c:v>423</c:v>
                </c:pt>
                <c:pt idx="9">
                  <c:v>473</c:v>
                </c:pt>
                <c:pt idx="10">
                  <c:v>527</c:v>
                </c:pt>
                <c:pt idx="11">
                  <c:v>544</c:v>
                </c:pt>
                <c:pt idx="12">
                  <c:v>488</c:v>
                </c:pt>
                <c:pt idx="13">
                  <c:v>837</c:v>
                </c:pt>
                <c:pt idx="14">
                  <c:v>1060</c:v>
                </c:pt>
                <c:pt idx="15">
                  <c:v>648</c:v>
                </c:pt>
                <c:pt idx="16">
                  <c:v>434</c:v>
                </c:pt>
                <c:pt idx="17">
                  <c:v>244</c:v>
                </c:pt>
                <c:pt idx="18">
                  <c:v>210</c:v>
                </c:pt>
                <c:pt idx="19">
                  <c:v>99</c:v>
                </c:pt>
                <c:pt idx="20">
                  <c:v>69</c:v>
                </c:pt>
                <c:pt idx="21">
                  <c:v>45</c:v>
                </c:pt>
                <c:pt idx="22">
                  <c:v>109</c:v>
                </c:pt>
                <c:pt idx="23">
                  <c:v>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634752"/>
        <c:axId val="114636288"/>
      </c:lineChart>
      <c:catAx>
        <c:axId val="1146347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636288"/>
        <c:crosses val="autoZero"/>
        <c:auto val="1"/>
        <c:lblAlgn val="ctr"/>
        <c:lblOffset val="100"/>
        <c:noMultiLvlLbl val="0"/>
      </c:catAx>
      <c:valAx>
        <c:axId val="1146362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Ndeeba-Nyanama-24h'!$C$9:$N$9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Ndeeba-Nyanama-24h'!$C$107:$N$107</c:f>
              <c:numCache>
                <c:formatCode>0.0%</c:formatCode>
                <c:ptCount val="12"/>
                <c:pt idx="0">
                  <c:v>0.2853512434198584</c:v>
                </c:pt>
                <c:pt idx="1">
                  <c:v>1.2978762025776002E-2</c:v>
                </c:pt>
                <c:pt idx="2">
                  <c:v>1.3432564893810129E-2</c:v>
                </c:pt>
                <c:pt idx="3">
                  <c:v>9.9019785805046293E-2</c:v>
                </c:pt>
                <c:pt idx="4">
                  <c:v>5.4456344164095121E-4</c:v>
                </c:pt>
                <c:pt idx="5">
                  <c:v>1.8152114721365039E-4</c:v>
                </c:pt>
                <c:pt idx="6">
                  <c:v>2.0693410782356144E-2</c:v>
                </c:pt>
                <c:pt idx="7">
                  <c:v>7.8961699037937913E-3</c:v>
                </c:pt>
                <c:pt idx="8">
                  <c:v>2.4505354873842803E-3</c:v>
                </c:pt>
                <c:pt idx="9">
                  <c:v>2.0874931929569795E-3</c:v>
                </c:pt>
                <c:pt idx="10">
                  <c:v>0.55536394990016336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Ndeeba-Nyanama-24h'!$C$9:$N$9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Ndeeba-Nyanama-24h'!$C$108:$N$108</c:f>
              <c:numCache>
                <c:formatCode>0.00%</c:formatCode>
                <c:ptCount val="12"/>
                <c:pt idx="0">
                  <c:v>0.6417636252296387</c:v>
                </c:pt>
                <c:pt idx="1">
                  <c:v>2.9189630536844254E-2</c:v>
                </c:pt>
                <c:pt idx="2">
                  <c:v>3.0210246989181466E-2</c:v>
                </c:pt>
                <c:pt idx="3">
                  <c:v>0.22269850989997958</c:v>
                </c:pt>
                <c:pt idx="4">
                  <c:v>1.224739742804654E-3</c:v>
                </c:pt>
                <c:pt idx="5">
                  <c:v>4.0824658093488469E-4</c:v>
                </c:pt>
                <c:pt idx="6">
                  <c:v>4.654011022657685E-2</c:v>
                </c:pt>
                <c:pt idx="7">
                  <c:v>1.7758726270667484E-2</c:v>
                </c:pt>
                <c:pt idx="8">
                  <c:v>5.5113288426209429E-3</c:v>
                </c:pt>
                <c:pt idx="9">
                  <c:v>4.6948356807511738E-3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'27.07 Nyanama-Ndeeba-24h'!$AE$9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'27.07 Nyanama-Ndeeba-24h'!$R$10:$R$33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Nyanama-Ndeeba-24h'!$AE$10:$AE$33</c:f>
              <c:numCache>
                <c:formatCode>0</c:formatCode>
                <c:ptCount val="24"/>
                <c:pt idx="0">
                  <c:v>282</c:v>
                </c:pt>
                <c:pt idx="1">
                  <c:v>391</c:v>
                </c:pt>
                <c:pt idx="2">
                  <c:v>446</c:v>
                </c:pt>
                <c:pt idx="3">
                  <c:v>398</c:v>
                </c:pt>
                <c:pt idx="4">
                  <c:v>335</c:v>
                </c:pt>
                <c:pt idx="5">
                  <c:v>234</c:v>
                </c:pt>
                <c:pt idx="6">
                  <c:v>193</c:v>
                </c:pt>
                <c:pt idx="7">
                  <c:v>197</c:v>
                </c:pt>
                <c:pt idx="8">
                  <c:v>193</c:v>
                </c:pt>
                <c:pt idx="9">
                  <c:v>224</c:v>
                </c:pt>
                <c:pt idx="10">
                  <c:v>187</c:v>
                </c:pt>
                <c:pt idx="11">
                  <c:v>224</c:v>
                </c:pt>
                <c:pt idx="12">
                  <c:v>111</c:v>
                </c:pt>
                <c:pt idx="13">
                  <c:v>384</c:v>
                </c:pt>
                <c:pt idx="14">
                  <c:v>341</c:v>
                </c:pt>
                <c:pt idx="15">
                  <c:v>354</c:v>
                </c:pt>
                <c:pt idx="16">
                  <c:v>211</c:v>
                </c:pt>
                <c:pt idx="17">
                  <c:v>169</c:v>
                </c:pt>
                <c:pt idx="18">
                  <c:v>101</c:v>
                </c:pt>
                <c:pt idx="19">
                  <c:v>25</c:v>
                </c:pt>
                <c:pt idx="20">
                  <c:v>13</c:v>
                </c:pt>
                <c:pt idx="21">
                  <c:v>16</c:v>
                </c:pt>
                <c:pt idx="22">
                  <c:v>47</c:v>
                </c:pt>
                <c:pt idx="23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'27.07 Nyanama-Ndeeba-24h'!$AF$9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'27.07 Nyanama-Ndeeba-24h'!$R$10:$R$33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Nyanama-Ndeeba-24h'!$AF$10:$AF$33</c:f>
              <c:numCache>
                <c:formatCode>0</c:formatCode>
                <c:ptCount val="24"/>
                <c:pt idx="0">
                  <c:v>736</c:v>
                </c:pt>
                <c:pt idx="1">
                  <c:v>860</c:v>
                </c:pt>
                <c:pt idx="2">
                  <c:v>922</c:v>
                </c:pt>
                <c:pt idx="3">
                  <c:v>809</c:v>
                </c:pt>
                <c:pt idx="4">
                  <c:v>779</c:v>
                </c:pt>
                <c:pt idx="5">
                  <c:v>661</c:v>
                </c:pt>
                <c:pt idx="6">
                  <c:v>469</c:v>
                </c:pt>
                <c:pt idx="7">
                  <c:v>478</c:v>
                </c:pt>
                <c:pt idx="8">
                  <c:v>447</c:v>
                </c:pt>
                <c:pt idx="9">
                  <c:v>518</c:v>
                </c:pt>
                <c:pt idx="10">
                  <c:v>553</c:v>
                </c:pt>
                <c:pt idx="11">
                  <c:v>652</c:v>
                </c:pt>
                <c:pt idx="12">
                  <c:v>296</c:v>
                </c:pt>
                <c:pt idx="13">
                  <c:v>555</c:v>
                </c:pt>
                <c:pt idx="14">
                  <c:v>536</c:v>
                </c:pt>
                <c:pt idx="15">
                  <c:v>609</c:v>
                </c:pt>
                <c:pt idx="16">
                  <c:v>476</c:v>
                </c:pt>
                <c:pt idx="17">
                  <c:v>323</c:v>
                </c:pt>
                <c:pt idx="18">
                  <c:v>300</c:v>
                </c:pt>
                <c:pt idx="19">
                  <c:v>96</c:v>
                </c:pt>
                <c:pt idx="20">
                  <c:v>63</c:v>
                </c:pt>
                <c:pt idx="21">
                  <c:v>62</c:v>
                </c:pt>
                <c:pt idx="22">
                  <c:v>173</c:v>
                </c:pt>
                <c:pt idx="23">
                  <c:v>109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737472"/>
        <c:axId val="67739008"/>
      </c:lineChart>
      <c:catAx>
        <c:axId val="677374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7739008"/>
        <c:crosses val="autoZero"/>
        <c:auto val="1"/>
        <c:lblAlgn val="ctr"/>
        <c:lblOffset val="100"/>
        <c:noMultiLvlLbl val="0"/>
      </c:catAx>
      <c:valAx>
        <c:axId val="67739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773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Nyanama-Ndeeba-24h'!$C$9:$N$9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Nyanama-Ndeeba-24h'!$C$107:$N$107</c:f>
              <c:numCache>
                <c:formatCode>0.0%</c:formatCode>
                <c:ptCount val="12"/>
                <c:pt idx="0">
                  <c:v>0.25823027347152067</c:v>
                </c:pt>
                <c:pt idx="1">
                  <c:v>6.3316495384079435E-2</c:v>
                </c:pt>
                <c:pt idx="2">
                  <c:v>2.5692388085699354E-2</c:v>
                </c:pt>
                <c:pt idx="3">
                  <c:v>6.1313360041804564E-2</c:v>
                </c:pt>
                <c:pt idx="4">
                  <c:v>1.3934854554955582E-3</c:v>
                </c:pt>
                <c:pt idx="5">
                  <c:v>2.6998780700226441E-3</c:v>
                </c:pt>
                <c:pt idx="6">
                  <c:v>1.9247517854032399E-2</c:v>
                </c:pt>
                <c:pt idx="7">
                  <c:v>9.3189339836265463E-3</c:v>
                </c:pt>
                <c:pt idx="8">
                  <c:v>3.5708064797073682E-3</c:v>
                </c:pt>
                <c:pt idx="9">
                  <c:v>5.2255704581083439E-4</c:v>
                </c:pt>
                <c:pt idx="10">
                  <c:v>0.55469430412820064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Nyanama-Ndeeba-24h'!$C$9:$N$9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Nyanama-Ndeeba-24h'!$C$108:$N$108</c:f>
              <c:numCache>
                <c:formatCode>0.00%</c:formatCode>
                <c:ptCount val="12"/>
                <c:pt idx="0">
                  <c:v>0.5798943868570311</c:v>
                </c:pt>
                <c:pt idx="1">
                  <c:v>0.14218658321924507</c:v>
                </c:pt>
                <c:pt idx="2">
                  <c:v>5.7696068844122823E-2</c:v>
                </c:pt>
                <c:pt idx="3">
                  <c:v>0.13768824564834736</c:v>
                </c:pt>
                <c:pt idx="4">
                  <c:v>3.1292783101897126E-3</c:v>
                </c:pt>
                <c:pt idx="5">
                  <c:v>6.0629767259925676E-3</c:v>
                </c:pt>
                <c:pt idx="6">
                  <c:v>4.3223156659495401E-2</c:v>
                </c:pt>
                <c:pt idx="7">
                  <c:v>2.0927048699393703E-2</c:v>
                </c:pt>
                <c:pt idx="8">
                  <c:v>8.0187756698611376E-3</c:v>
                </c:pt>
                <c:pt idx="9">
                  <c:v>1.1734793663211421E-3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Ndeeba-Nyanama'!$AE$9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'28.07 Ndeeba-Nyanama'!$R$10:$R$21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Ndeeba-Nyanama'!$AE$10:$AE$21</c:f>
              <c:numCache>
                <c:formatCode>0</c:formatCode>
                <c:ptCount val="12"/>
                <c:pt idx="0">
                  <c:v>56</c:v>
                </c:pt>
                <c:pt idx="1">
                  <c:v>120</c:v>
                </c:pt>
                <c:pt idx="2">
                  <c:v>125</c:v>
                </c:pt>
                <c:pt idx="3">
                  <c:v>130</c:v>
                </c:pt>
                <c:pt idx="4">
                  <c:v>143</c:v>
                </c:pt>
                <c:pt idx="5">
                  <c:v>155</c:v>
                </c:pt>
                <c:pt idx="6">
                  <c:v>191</c:v>
                </c:pt>
                <c:pt idx="7">
                  <c:v>191</c:v>
                </c:pt>
                <c:pt idx="8">
                  <c:v>223</c:v>
                </c:pt>
                <c:pt idx="9">
                  <c:v>205</c:v>
                </c:pt>
                <c:pt idx="10">
                  <c:v>214</c:v>
                </c:pt>
                <c:pt idx="11">
                  <c:v>269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'28.07 Ndeeba-Nyanama'!$AF$9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'28.07 Ndeeba-Nyanama'!$R$10:$R$21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Ndeeba-Nyanama'!$AF$10:$AF$21</c:f>
              <c:numCache>
                <c:formatCode>0</c:formatCode>
                <c:ptCount val="12"/>
                <c:pt idx="0">
                  <c:v>181</c:v>
                </c:pt>
                <c:pt idx="1">
                  <c:v>327</c:v>
                </c:pt>
                <c:pt idx="2">
                  <c:v>349</c:v>
                </c:pt>
                <c:pt idx="3">
                  <c:v>337</c:v>
                </c:pt>
                <c:pt idx="4">
                  <c:v>357</c:v>
                </c:pt>
                <c:pt idx="5">
                  <c:v>360</c:v>
                </c:pt>
                <c:pt idx="6">
                  <c:v>488</c:v>
                </c:pt>
                <c:pt idx="7">
                  <c:v>505</c:v>
                </c:pt>
                <c:pt idx="8">
                  <c:v>464</c:v>
                </c:pt>
                <c:pt idx="9">
                  <c:v>420</c:v>
                </c:pt>
                <c:pt idx="10">
                  <c:v>503</c:v>
                </c:pt>
                <c:pt idx="11">
                  <c:v>537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963904"/>
        <c:axId val="68002560"/>
      </c:lineChart>
      <c:catAx>
        <c:axId val="679639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002560"/>
        <c:crosses val="autoZero"/>
        <c:auto val="1"/>
        <c:lblAlgn val="ctr"/>
        <c:lblOffset val="100"/>
        <c:noMultiLvlLbl val="0"/>
      </c:catAx>
      <c:valAx>
        <c:axId val="680025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796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Ndeeba-Nyanama'!$C$9:$N$9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Ndeeba-Nyanama'!$C$59:$N$59</c:f>
              <c:numCache>
                <c:formatCode>0.0%</c:formatCode>
                <c:ptCount val="12"/>
                <c:pt idx="0">
                  <c:v>0.28831814415907209</c:v>
                </c:pt>
                <c:pt idx="1">
                  <c:v>6.420878210439105E-3</c:v>
                </c:pt>
                <c:pt idx="2">
                  <c:v>1.4498757249378625E-2</c:v>
                </c:pt>
                <c:pt idx="3">
                  <c:v>8.0571665285832636E-2</c:v>
                </c:pt>
                <c:pt idx="4">
                  <c:v>2.0712510356255178E-3</c:v>
                </c:pt>
                <c:pt idx="5">
                  <c:v>0</c:v>
                </c:pt>
                <c:pt idx="6">
                  <c:v>1.4913007456503728E-2</c:v>
                </c:pt>
                <c:pt idx="7">
                  <c:v>6.2137531068765534E-3</c:v>
                </c:pt>
                <c:pt idx="8">
                  <c:v>4.1425020712510356E-3</c:v>
                </c:pt>
                <c:pt idx="9">
                  <c:v>1.4498757249378626E-3</c:v>
                </c:pt>
                <c:pt idx="10">
                  <c:v>0.58119304059652033</c:v>
                </c:pt>
                <c:pt idx="11">
                  <c:v>2.0712510356255177E-4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65"/>
          <c:y val="2.296022663732378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Ndeeba-Nyanama'!$S$9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'28.07 Ndeeba-Nyanama'!$R$10:$R$21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Ndeeba-Nyanama'!$S$10:$S$21</c:f>
              <c:numCache>
                <c:formatCode>0</c:formatCode>
                <c:ptCount val="12"/>
                <c:pt idx="0">
                  <c:v>17</c:v>
                </c:pt>
                <c:pt idx="1">
                  <c:v>62</c:v>
                </c:pt>
                <c:pt idx="2">
                  <c:v>73</c:v>
                </c:pt>
                <c:pt idx="3">
                  <c:v>83</c:v>
                </c:pt>
                <c:pt idx="4">
                  <c:v>104</c:v>
                </c:pt>
                <c:pt idx="5">
                  <c:v>109</c:v>
                </c:pt>
                <c:pt idx="6">
                  <c:v>145</c:v>
                </c:pt>
                <c:pt idx="7">
                  <c:v>167</c:v>
                </c:pt>
                <c:pt idx="8">
                  <c:v>166</c:v>
                </c:pt>
                <c:pt idx="9">
                  <c:v>148</c:v>
                </c:pt>
                <c:pt idx="10">
                  <c:v>152</c:v>
                </c:pt>
                <c:pt idx="11">
                  <c:v>166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'28.07 Ndeeba-Nyanama'!$T$9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'28.07 Ndeeba-Nyanama'!$R$10:$R$21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Ndeeba-Nyanama'!$T$10:$T$21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7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8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'28.07 Ndeeba-Nyanama'!$U$9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'28.07 Ndeeba-Nyanama'!$U$10:$U$21</c:f>
              <c:numCache>
                <c:formatCode>0</c:formatCode>
                <c:ptCount val="12"/>
                <c:pt idx="0">
                  <c:v>5</c:v>
                </c:pt>
                <c:pt idx="1">
                  <c:v>12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7</c:v>
                </c:pt>
                <c:pt idx="6">
                  <c:v>7</c:v>
                </c:pt>
                <c:pt idx="7">
                  <c:v>4</c:v>
                </c:pt>
                <c:pt idx="8">
                  <c:v>6</c:v>
                </c:pt>
                <c:pt idx="9">
                  <c:v>9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'28.07 Ndeeba-Nyanama'!$V$9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'28.07 Ndeeba-Nyanama'!$V$10:$V$21</c:f>
              <c:numCache>
                <c:formatCode>0</c:formatCode>
                <c:ptCount val="12"/>
                <c:pt idx="0">
                  <c:v>26</c:v>
                </c:pt>
                <c:pt idx="1">
                  <c:v>32</c:v>
                </c:pt>
                <c:pt idx="2">
                  <c:v>27</c:v>
                </c:pt>
                <c:pt idx="3">
                  <c:v>31</c:v>
                </c:pt>
                <c:pt idx="4">
                  <c:v>18</c:v>
                </c:pt>
                <c:pt idx="5">
                  <c:v>23</c:v>
                </c:pt>
                <c:pt idx="6">
                  <c:v>27</c:v>
                </c:pt>
                <c:pt idx="7">
                  <c:v>13</c:v>
                </c:pt>
                <c:pt idx="8">
                  <c:v>42</c:v>
                </c:pt>
                <c:pt idx="9">
                  <c:v>27</c:v>
                </c:pt>
                <c:pt idx="10">
                  <c:v>43</c:v>
                </c:pt>
                <c:pt idx="1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'28.07 Ndeeba-Nyanama'!$W$9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'28.07 Ndeeba-Nyanama'!$W$10:$W$21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'28.07 Ndeeba-Nyanama'!$X$9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'28.07 Ndeeba-Nyanama'!$X$10:$X$21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'28.07 Ndeeba-Nyanama'!$Y$9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Ndeeba-Nyanama'!$Y$10:$Y$21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4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12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'28.07 Ndeeba-Nyanama'!$Z$9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Ndeeba-Nyanama'!$Z$10:$Z$21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3</c:v>
                </c:pt>
                <c:pt idx="4">
                  <c:v>5</c:v>
                </c:pt>
                <c:pt idx="5">
                  <c:v>1</c:v>
                </c:pt>
                <c:pt idx="6">
                  <c:v>3</c:v>
                </c:pt>
                <c:pt idx="7">
                  <c:v>0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'28.07 Ndeeba-Nyanama'!$AA$9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Ndeeba-Nyanama'!$AA$10:$AA$21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'28.07 Ndeeba-Nyanama'!$AB$9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Ndeeba-Nyanama'!$AB$10:$AB$21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'28.07 Ndeeba-Nyanama'!$AC$9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Ndeeba-Nyanama'!$AC$10:$AC$21</c:f>
              <c:numCache>
                <c:formatCode>0</c:formatCode>
                <c:ptCount val="12"/>
                <c:pt idx="0">
                  <c:v>125</c:v>
                </c:pt>
                <c:pt idx="1">
                  <c:v>207</c:v>
                </c:pt>
                <c:pt idx="2">
                  <c:v>224</c:v>
                </c:pt>
                <c:pt idx="3">
                  <c:v>207</c:v>
                </c:pt>
                <c:pt idx="4">
                  <c:v>214</c:v>
                </c:pt>
                <c:pt idx="5">
                  <c:v>205</c:v>
                </c:pt>
                <c:pt idx="6">
                  <c:v>297</c:v>
                </c:pt>
                <c:pt idx="7">
                  <c:v>314</c:v>
                </c:pt>
                <c:pt idx="8">
                  <c:v>241</c:v>
                </c:pt>
                <c:pt idx="9">
                  <c:v>215</c:v>
                </c:pt>
                <c:pt idx="10">
                  <c:v>289</c:v>
                </c:pt>
                <c:pt idx="11">
                  <c:v>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'28.07 Ndeeba-Nyanama'!$AD$9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Ndeeba-Nyanama'!$AD$10:$AD$21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232320"/>
        <c:axId val="68233856"/>
      </c:lineChart>
      <c:catAx>
        <c:axId val="6823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233856"/>
        <c:crosses val="autoZero"/>
        <c:auto val="1"/>
        <c:lblAlgn val="ctr"/>
        <c:lblOffset val="100"/>
        <c:noMultiLvlLbl val="0"/>
      </c:catAx>
      <c:valAx>
        <c:axId val="6823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2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Ndeeba-Nyanama'!$C$9:$N$9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Ndeeba-Nyanama'!$C$60:$N$60</c:f>
              <c:numCache>
                <c:formatCode>0.00%</c:formatCode>
                <c:ptCount val="12"/>
                <c:pt idx="0">
                  <c:v>0.68842729970326411</c:v>
                </c:pt>
                <c:pt idx="1">
                  <c:v>1.5331355093966371E-2</c:v>
                </c:pt>
                <c:pt idx="2">
                  <c:v>3.4619188921859542E-2</c:v>
                </c:pt>
                <c:pt idx="3">
                  <c:v>0.1923837784371909</c:v>
                </c:pt>
                <c:pt idx="4">
                  <c:v>4.945598417408506E-3</c:v>
                </c:pt>
                <c:pt idx="5">
                  <c:v>0</c:v>
                </c:pt>
                <c:pt idx="6">
                  <c:v>3.5608308605341248E-2</c:v>
                </c:pt>
                <c:pt idx="7">
                  <c:v>1.483679525222552E-2</c:v>
                </c:pt>
                <c:pt idx="8">
                  <c:v>9.8911968348170121E-3</c:v>
                </c:pt>
                <c:pt idx="9">
                  <c:v>3.4619188921859545E-3</c:v>
                </c:pt>
                <c:pt idx="11">
                  <c:v>4.9455984174085062E-4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Nyanama-Ndeeba'!$AE$9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'28.07 Nyanama-Ndeeba'!$R$10:$R$21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Nyanama-Ndeeba'!$AE$10:$AE$21</c:f>
              <c:numCache>
                <c:formatCode>0</c:formatCode>
                <c:ptCount val="12"/>
                <c:pt idx="0">
                  <c:v>122</c:v>
                </c:pt>
                <c:pt idx="1">
                  <c:v>204</c:v>
                </c:pt>
                <c:pt idx="2">
                  <c:v>263</c:v>
                </c:pt>
                <c:pt idx="3">
                  <c:v>277</c:v>
                </c:pt>
                <c:pt idx="4">
                  <c:v>248</c:v>
                </c:pt>
                <c:pt idx="5">
                  <c:v>217</c:v>
                </c:pt>
                <c:pt idx="6">
                  <c:v>204</c:v>
                </c:pt>
                <c:pt idx="7">
                  <c:v>214</c:v>
                </c:pt>
                <c:pt idx="8">
                  <c:v>151</c:v>
                </c:pt>
                <c:pt idx="9">
                  <c:v>171</c:v>
                </c:pt>
                <c:pt idx="10">
                  <c:v>207</c:v>
                </c:pt>
                <c:pt idx="11">
                  <c:v>171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'28.07 Nyanama-Ndeeba'!$AF$9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'28.07 Nyanama-Ndeeba'!$R$10:$R$21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Nyanama-Ndeeba'!$AF$10:$AF$21</c:f>
              <c:numCache>
                <c:formatCode>0</c:formatCode>
                <c:ptCount val="12"/>
                <c:pt idx="0">
                  <c:v>390</c:v>
                </c:pt>
                <c:pt idx="1">
                  <c:v>582</c:v>
                </c:pt>
                <c:pt idx="2">
                  <c:v>675</c:v>
                </c:pt>
                <c:pt idx="3">
                  <c:v>683</c:v>
                </c:pt>
                <c:pt idx="4">
                  <c:v>645</c:v>
                </c:pt>
                <c:pt idx="5">
                  <c:v>636</c:v>
                </c:pt>
                <c:pt idx="6">
                  <c:v>619</c:v>
                </c:pt>
                <c:pt idx="7">
                  <c:v>611</c:v>
                </c:pt>
                <c:pt idx="8">
                  <c:v>593</c:v>
                </c:pt>
                <c:pt idx="9">
                  <c:v>526</c:v>
                </c:pt>
                <c:pt idx="10">
                  <c:v>539</c:v>
                </c:pt>
                <c:pt idx="11">
                  <c:v>504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559232"/>
        <c:axId val="68560768"/>
      </c:lineChart>
      <c:catAx>
        <c:axId val="685592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560768"/>
        <c:crosses val="autoZero"/>
        <c:auto val="1"/>
        <c:lblAlgn val="ctr"/>
        <c:lblOffset val="100"/>
        <c:noMultiLvlLbl val="0"/>
      </c:catAx>
      <c:valAx>
        <c:axId val="685607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55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Nyanama-Ndeeba'!$C$9:$N$9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Nyanama-Ndeeba'!$C$59:$N$59</c:f>
              <c:numCache>
                <c:formatCode>0.0%</c:formatCode>
                <c:ptCount val="12"/>
                <c:pt idx="0">
                  <c:v>0.23475653291446522</c:v>
                </c:pt>
                <c:pt idx="1">
                  <c:v>2.7131229473082965E-2</c:v>
                </c:pt>
                <c:pt idx="2">
                  <c:v>1.9134656575753247E-2</c:v>
                </c:pt>
                <c:pt idx="3">
                  <c:v>4.383835499071826E-2</c:v>
                </c:pt>
                <c:pt idx="4">
                  <c:v>1.4279594459517349E-3</c:v>
                </c:pt>
                <c:pt idx="5">
                  <c:v>0</c:v>
                </c:pt>
                <c:pt idx="6">
                  <c:v>1.6707125517635299E-2</c:v>
                </c:pt>
                <c:pt idx="7">
                  <c:v>5.140654005426246E-3</c:v>
                </c:pt>
                <c:pt idx="8">
                  <c:v>8.5677566757104103E-4</c:v>
                </c:pt>
                <c:pt idx="9">
                  <c:v>5.7118377838069395E-4</c:v>
                </c:pt>
                <c:pt idx="10">
                  <c:v>0.6502927316864201</c:v>
                </c:pt>
                <c:pt idx="11">
                  <c:v>1.4279594459517349E-4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65"/>
          <c:y val="2.296022663732378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Nyanama-Ndeeba'!$S$9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'28.07 Nyanama-Ndeeba'!$R$10:$R$21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Nyanama-Ndeeba'!$S$10:$S$21</c:f>
              <c:numCache>
                <c:formatCode>0</c:formatCode>
                <c:ptCount val="12"/>
                <c:pt idx="0">
                  <c:v>72</c:v>
                </c:pt>
                <c:pt idx="1">
                  <c:v>128</c:v>
                </c:pt>
                <c:pt idx="2">
                  <c:v>158</c:v>
                </c:pt>
                <c:pt idx="3">
                  <c:v>195</c:v>
                </c:pt>
                <c:pt idx="4">
                  <c:v>172</c:v>
                </c:pt>
                <c:pt idx="5">
                  <c:v>146</c:v>
                </c:pt>
                <c:pt idx="6">
                  <c:v>140</c:v>
                </c:pt>
                <c:pt idx="7">
                  <c:v>153</c:v>
                </c:pt>
                <c:pt idx="8">
                  <c:v>106</c:v>
                </c:pt>
                <c:pt idx="9">
                  <c:v>129</c:v>
                </c:pt>
                <c:pt idx="10">
                  <c:v>132</c:v>
                </c:pt>
                <c:pt idx="11">
                  <c:v>113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'28.07 Nyanama-Ndeeba'!$T$9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'28.07 Nyanama-Ndeeba'!$R$10:$R$21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Nyanama-Ndeeba'!$T$10:$T$21</c:f>
              <c:numCache>
                <c:formatCode>0</c:formatCode>
                <c:ptCount val="12"/>
                <c:pt idx="0">
                  <c:v>5</c:v>
                </c:pt>
                <c:pt idx="1">
                  <c:v>17</c:v>
                </c:pt>
                <c:pt idx="2">
                  <c:v>22</c:v>
                </c:pt>
                <c:pt idx="3">
                  <c:v>23</c:v>
                </c:pt>
                <c:pt idx="4">
                  <c:v>18</c:v>
                </c:pt>
                <c:pt idx="5">
                  <c:v>18</c:v>
                </c:pt>
                <c:pt idx="6">
                  <c:v>12</c:v>
                </c:pt>
                <c:pt idx="7">
                  <c:v>19</c:v>
                </c:pt>
                <c:pt idx="8">
                  <c:v>9</c:v>
                </c:pt>
                <c:pt idx="9">
                  <c:v>12</c:v>
                </c:pt>
                <c:pt idx="10">
                  <c:v>22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'28.07 Nyanama-Ndeeba'!$U$9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'28.07 Nyanama-Ndeeba'!$U$10:$U$21</c:f>
              <c:numCache>
                <c:formatCode>0</c:formatCode>
                <c:ptCount val="12"/>
                <c:pt idx="0">
                  <c:v>11</c:v>
                </c:pt>
                <c:pt idx="1">
                  <c:v>11</c:v>
                </c:pt>
                <c:pt idx="2">
                  <c:v>15</c:v>
                </c:pt>
                <c:pt idx="3">
                  <c:v>12</c:v>
                </c:pt>
                <c:pt idx="4">
                  <c:v>14</c:v>
                </c:pt>
                <c:pt idx="5">
                  <c:v>10</c:v>
                </c:pt>
                <c:pt idx="6">
                  <c:v>11</c:v>
                </c:pt>
                <c:pt idx="7">
                  <c:v>13</c:v>
                </c:pt>
                <c:pt idx="8">
                  <c:v>10</c:v>
                </c:pt>
                <c:pt idx="9">
                  <c:v>8</c:v>
                </c:pt>
                <c:pt idx="10">
                  <c:v>12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'28.07 Nyanama-Ndeeba'!$V$9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'28.07 Nyanama-Ndeeba'!$V$10:$V$21</c:f>
              <c:numCache>
                <c:formatCode>0</c:formatCode>
                <c:ptCount val="12"/>
                <c:pt idx="0">
                  <c:v>25</c:v>
                </c:pt>
                <c:pt idx="1">
                  <c:v>35</c:v>
                </c:pt>
                <c:pt idx="2">
                  <c:v>40</c:v>
                </c:pt>
                <c:pt idx="3">
                  <c:v>30</c:v>
                </c:pt>
                <c:pt idx="4">
                  <c:v>29</c:v>
                </c:pt>
                <c:pt idx="5">
                  <c:v>24</c:v>
                </c:pt>
                <c:pt idx="6">
                  <c:v>24</c:v>
                </c:pt>
                <c:pt idx="7">
                  <c:v>16</c:v>
                </c:pt>
                <c:pt idx="8">
                  <c:v>16</c:v>
                </c:pt>
                <c:pt idx="9">
                  <c:v>19</c:v>
                </c:pt>
                <c:pt idx="10">
                  <c:v>28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'28.07 Nyanama-Ndeeba'!$W$9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'28.07 Nyanama-Ndeeba'!$W$10:$W$21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'28.07 Nyanama-Ndeeba'!$X$9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'28.07 Nyanama-Ndeeba'!$X$10:$X$21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'28.07 Nyanama-Ndeeba'!$Y$9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Nyanama-Ndeeba'!$Y$10:$Y$21</c:f>
              <c:numCache>
                <c:formatCode>0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18</c:v>
                </c:pt>
                <c:pt idx="3">
                  <c:v>15</c:v>
                </c:pt>
                <c:pt idx="4">
                  <c:v>14</c:v>
                </c:pt>
                <c:pt idx="5">
                  <c:v>11</c:v>
                </c:pt>
                <c:pt idx="6">
                  <c:v>9</c:v>
                </c:pt>
                <c:pt idx="7">
                  <c:v>9</c:v>
                </c:pt>
                <c:pt idx="8">
                  <c:v>7</c:v>
                </c:pt>
                <c:pt idx="9">
                  <c:v>2</c:v>
                </c:pt>
                <c:pt idx="10">
                  <c:v>8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'28.07 Nyanama-Ndeeba'!$Z$9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Nyanama-Ndeeba'!$Z$10:$Z$21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6</c:v>
                </c:pt>
                <c:pt idx="7">
                  <c:v>2</c:v>
                </c:pt>
                <c:pt idx="8">
                  <c:v>3</c:v>
                </c:pt>
                <c:pt idx="9">
                  <c:v>0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'28.07 Nyanama-Ndeeba'!$AA$9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Nyanama-Ndeeba'!$AA$10:$AA$21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'28.07 Nyanama-Ndeeba'!$AB$9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Nyanama-Ndeeba'!$AB$10:$AB$21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'28.07 Nyanama-Ndeeba'!$AC$9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Nyanama-Ndeeba'!$AC$10:$AC$21</c:f>
              <c:numCache>
                <c:formatCode>0</c:formatCode>
                <c:ptCount val="12"/>
                <c:pt idx="0">
                  <c:v>268</c:v>
                </c:pt>
                <c:pt idx="1">
                  <c:v>378</c:v>
                </c:pt>
                <c:pt idx="2">
                  <c:v>412</c:v>
                </c:pt>
                <c:pt idx="3">
                  <c:v>406</c:v>
                </c:pt>
                <c:pt idx="4">
                  <c:v>397</c:v>
                </c:pt>
                <c:pt idx="5">
                  <c:v>419</c:v>
                </c:pt>
                <c:pt idx="6">
                  <c:v>415</c:v>
                </c:pt>
                <c:pt idx="7">
                  <c:v>397</c:v>
                </c:pt>
                <c:pt idx="8">
                  <c:v>442</c:v>
                </c:pt>
                <c:pt idx="9">
                  <c:v>355</c:v>
                </c:pt>
                <c:pt idx="10">
                  <c:v>332</c:v>
                </c:pt>
                <c:pt idx="11">
                  <c:v>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'28.07 Nyanama-Ndeeba'!$AD$9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Nyanama-Ndeeba'!$AD$10:$AD$21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655360"/>
        <c:axId val="68673536"/>
      </c:lineChart>
      <c:catAx>
        <c:axId val="6865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673536"/>
        <c:crosses val="autoZero"/>
        <c:auto val="1"/>
        <c:lblAlgn val="ctr"/>
        <c:lblOffset val="100"/>
        <c:noMultiLvlLbl val="0"/>
      </c:catAx>
      <c:valAx>
        <c:axId val="6867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65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Nyanama-Ndeeba'!$C$9:$N$9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Nyanama-Ndeeba'!$C$60:$N$60</c:f>
              <c:numCache>
                <c:formatCode>0.00%</c:formatCode>
                <c:ptCount val="12"/>
                <c:pt idx="0">
                  <c:v>0.67129440587995104</c:v>
                </c:pt>
                <c:pt idx="1">
                  <c:v>7.7582686810943241E-2</c:v>
                </c:pt>
                <c:pt idx="2">
                  <c:v>5.4716210698244179E-2</c:v>
                </c:pt>
                <c:pt idx="3">
                  <c:v>0.12535728868926091</c:v>
                </c:pt>
                <c:pt idx="4">
                  <c:v>4.0832993058391182E-3</c:v>
                </c:pt>
                <c:pt idx="5">
                  <c:v>0</c:v>
                </c:pt>
                <c:pt idx="6">
                  <c:v>4.7774601878317682E-2</c:v>
                </c:pt>
                <c:pt idx="7">
                  <c:v>1.4699877501020826E-2</c:v>
                </c:pt>
                <c:pt idx="8">
                  <c:v>2.4499795835034709E-3</c:v>
                </c:pt>
                <c:pt idx="9">
                  <c:v>1.6333197223356473E-3</c:v>
                </c:pt>
                <c:pt idx="11">
                  <c:v>4.0832993058391182E-4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Ndeeba-Nyanama'!$AE$9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Ndeeba-Nyanama'!$R$10:$R$33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Ndeeba-Nyanama'!$AE$10:$AE$33</c:f>
              <c:numCache>
                <c:formatCode>0</c:formatCode>
                <c:ptCount val="24"/>
                <c:pt idx="0">
                  <c:v>293.85714285714289</c:v>
                </c:pt>
                <c:pt idx="1">
                  <c:v>222.42857142857144</c:v>
                </c:pt>
                <c:pt idx="2">
                  <c:v>231.28571428571431</c:v>
                </c:pt>
                <c:pt idx="3">
                  <c:v>269.14285714285722</c:v>
                </c:pt>
                <c:pt idx="4">
                  <c:v>254.71428571428572</c:v>
                </c:pt>
                <c:pt idx="5">
                  <c:v>251.28571428571428</c:v>
                </c:pt>
                <c:pt idx="6">
                  <c:v>269.42857142857144</c:v>
                </c:pt>
                <c:pt idx="7">
                  <c:v>236.14285714285717</c:v>
                </c:pt>
                <c:pt idx="8">
                  <c:v>291.14285714285711</c:v>
                </c:pt>
                <c:pt idx="9">
                  <c:v>347</c:v>
                </c:pt>
                <c:pt idx="10">
                  <c:v>453.57142857142856</c:v>
                </c:pt>
                <c:pt idx="11">
                  <c:v>496.57142857142861</c:v>
                </c:pt>
                <c:pt idx="12">
                  <c:v>362</c:v>
                </c:pt>
                <c:pt idx="13">
                  <c:v>467</c:v>
                </c:pt>
                <c:pt idx="14">
                  <c:v>458.5</c:v>
                </c:pt>
                <c:pt idx="15">
                  <c:v>277.5</c:v>
                </c:pt>
                <c:pt idx="16">
                  <c:v>194</c:v>
                </c:pt>
                <c:pt idx="17">
                  <c:v>92</c:v>
                </c:pt>
                <c:pt idx="18">
                  <c:v>66.5</c:v>
                </c:pt>
                <c:pt idx="19">
                  <c:v>29</c:v>
                </c:pt>
                <c:pt idx="20">
                  <c:v>22</c:v>
                </c:pt>
                <c:pt idx="21">
                  <c:v>18</c:v>
                </c:pt>
                <c:pt idx="22">
                  <c:v>31</c:v>
                </c:pt>
                <c:pt idx="23">
                  <c:v>39.5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Ndeeba-Nyanama'!$AF$9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Ndeeba-Nyanama'!$R$10:$R$33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Ndeeba-Nyanama'!$AF$10:$AF$33</c:f>
              <c:numCache>
                <c:formatCode>0</c:formatCode>
                <c:ptCount val="24"/>
                <c:pt idx="0">
                  <c:v>676.71428571428567</c:v>
                </c:pt>
                <c:pt idx="1">
                  <c:v>633.85714285714289</c:v>
                </c:pt>
                <c:pt idx="2">
                  <c:v>584.14285714285711</c:v>
                </c:pt>
                <c:pt idx="3">
                  <c:v>640.57142857142867</c:v>
                </c:pt>
                <c:pt idx="4">
                  <c:v>588</c:v>
                </c:pt>
                <c:pt idx="5">
                  <c:v>608.57142857142856</c:v>
                </c:pt>
                <c:pt idx="6">
                  <c:v>617.57142857142867</c:v>
                </c:pt>
                <c:pt idx="7">
                  <c:v>531.28571428571422</c:v>
                </c:pt>
                <c:pt idx="8">
                  <c:v>561.42857142857144</c:v>
                </c:pt>
                <c:pt idx="9">
                  <c:v>684.71428571428578</c:v>
                </c:pt>
                <c:pt idx="10">
                  <c:v>826.28571428571422</c:v>
                </c:pt>
                <c:pt idx="11">
                  <c:v>897.57142857142867</c:v>
                </c:pt>
                <c:pt idx="12">
                  <c:v>715</c:v>
                </c:pt>
                <c:pt idx="13">
                  <c:v>852</c:v>
                </c:pt>
                <c:pt idx="14">
                  <c:v>916.5</c:v>
                </c:pt>
                <c:pt idx="15">
                  <c:v>587</c:v>
                </c:pt>
                <c:pt idx="16">
                  <c:v>404.5</c:v>
                </c:pt>
                <c:pt idx="17">
                  <c:v>196.5</c:v>
                </c:pt>
                <c:pt idx="18">
                  <c:v>161.5</c:v>
                </c:pt>
                <c:pt idx="19">
                  <c:v>90</c:v>
                </c:pt>
                <c:pt idx="20">
                  <c:v>52</c:v>
                </c:pt>
                <c:pt idx="21">
                  <c:v>39.5</c:v>
                </c:pt>
                <c:pt idx="22">
                  <c:v>94</c:v>
                </c:pt>
                <c:pt idx="23">
                  <c:v>136.5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359104"/>
        <c:axId val="69360640"/>
      </c:lineChart>
      <c:catAx>
        <c:axId val="693591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9360640"/>
        <c:crosses val="autoZero"/>
        <c:auto val="1"/>
        <c:lblAlgn val="ctr"/>
        <c:lblOffset val="100"/>
        <c:noMultiLvlLbl val="0"/>
      </c:catAx>
      <c:valAx>
        <c:axId val="69360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935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Ndeeba-Nyanama'!$C$9:$N$9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Ndeeba-Nyanama'!$C$107:$N$107</c:f>
              <c:numCache>
                <c:formatCode>0.0%</c:formatCode>
                <c:ptCount val="12"/>
                <c:pt idx="0">
                  <c:v>0.31267272942010155</c:v>
                </c:pt>
                <c:pt idx="1">
                  <c:v>1.2607771347584742E-2</c:v>
                </c:pt>
                <c:pt idx="2">
                  <c:v>1.6192275894649822E-2</c:v>
                </c:pt>
                <c:pt idx="3">
                  <c:v>9.7744183299870085E-2</c:v>
                </c:pt>
                <c:pt idx="4">
                  <c:v>1.4231723160505493E-3</c:v>
                </c:pt>
                <c:pt idx="5">
                  <c:v>1.3582142435337191E-4</c:v>
                </c:pt>
                <c:pt idx="6">
                  <c:v>1.8713830164166764E-2</c:v>
                </c:pt>
                <c:pt idx="7">
                  <c:v>5.7340262194401801E-3</c:v>
                </c:pt>
                <c:pt idx="8">
                  <c:v>2.5274595488366603E-3</c:v>
                </c:pt>
                <c:pt idx="9">
                  <c:v>1.2696350537380421E-3</c:v>
                </c:pt>
                <c:pt idx="10">
                  <c:v>0.53094366363529</c:v>
                </c:pt>
                <c:pt idx="11">
                  <c:v>3.5431675918270939E-5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Ndeeba-Nyanama'!$C$9:$N$9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Ndeeba-Nyanama'!$C$108:$N$108</c:f>
              <c:numCache>
                <c:formatCode>0.00%</c:formatCode>
                <c:ptCount val="12"/>
                <c:pt idx="0">
                  <c:v>0.66659952159133817</c:v>
                </c:pt>
                <c:pt idx="1">
                  <c:v>2.6879012967392674E-2</c:v>
                </c:pt>
                <c:pt idx="2">
                  <c:v>3.4520961853204093E-2</c:v>
                </c:pt>
                <c:pt idx="3">
                  <c:v>0.20838474128163162</c:v>
                </c:pt>
                <c:pt idx="4">
                  <c:v>3.0341180914012339E-3</c:v>
                </c:pt>
                <c:pt idx="5">
                  <c:v>2.8956313735364469E-4</c:v>
                </c:pt>
                <c:pt idx="6">
                  <c:v>3.9896764446682609E-2</c:v>
                </c:pt>
                <c:pt idx="7">
                  <c:v>1.2224600276973436E-2</c:v>
                </c:pt>
                <c:pt idx="8">
                  <c:v>5.3883922951026061E-3</c:v>
                </c:pt>
                <c:pt idx="9">
                  <c:v>2.7067858491753752E-3</c:v>
                </c:pt>
                <c:pt idx="11">
                  <c:v>7.5538209744429054E-5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Nyanama-Ndeeba'!$AE$9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Nyanama-Ndeeba'!$R$10:$R$33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Nyanama-Ndeeba'!$AE$10:$AE$33</c:f>
              <c:numCache>
                <c:formatCode>0</c:formatCode>
                <c:ptCount val="24"/>
                <c:pt idx="0">
                  <c:v>363.71428571428578</c:v>
                </c:pt>
                <c:pt idx="1">
                  <c:v>360.71428571428578</c:v>
                </c:pt>
                <c:pt idx="2">
                  <c:v>329.42857142857144</c:v>
                </c:pt>
                <c:pt idx="3">
                  <c:v>270.85714285714289</c:v>
                </c:pt>
                <c:pt idx="4">
                  <c:v>237.71428571428575</c:v>
                </c:pt>
                <c:pt idx="5">
                  <c:v>209.42857142857142</c:v>
                </c:pt>
                <c:pt idx="6">
                  <c:v>187</c:v>
                </c:pt>
                <c:pt idx="7">
                  <c:v>189</c:v>
                </c:pt>
                <c:pt idx="8">
                  <c:v>174.28571428571428</c:v>
                </c:pt>
                <c:pt idx="9">
                  <c:v>191</c:v>
                </c:pt>
                <c:pt idx="10">
                  <c:v>287.85714285714283</c:v>
                </c:pt>
                <c:pt idx="11">
                  <c:v>193</c:v>
                </c:pt>
                <c:pt idx="12">
                  <c:v>334</c:v>
                </c:pt>
                <c:pt idx="13">
                  <c:v>293</c:v>
                </c:pt>
                <c:pt idx="14">
                  <c:v>237.5</c:v>
                </c:pt>
                <c:pt idx="15">
                  <c:v>246</c:v>
                </c:pt>
                <c:pt idx="16">
                  <c:v>152.5</c:v>
                </c:pt>
                <c:pt idx="17">
                  <c:v>105</c:v>
                </c:pt>
                <c:pt idx="18">
                  <c:v>77.5</c:v>
                </c:pt>
                <c:pt idx="19">
                  <c:v>24.5</c:v>
                </c:pt>
                <c:pt idx="20">
                  <c:v>13.5</c:v>
                </c:pt>
                <c:pt idx="21">
                  <c:v>15.5</c:v>
                </c:pt>
                <c:pt idx="22">
                  <c:v>44</c:v>
                </c:pt>
                <c:pt idx="23">
                  <c:v>103.5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Nyanama-Ndeeba'!$AF$9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Nyanama-Ndeeba'!$R$10:$R$33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Nyanama-Ndeeba'!$AF$10:$AF$33</c:f>
              <c:numCache>
                <c:formatCode>0</c:formatCode>
                <c:ptCount val="24"/>
                <c:pt idx="0">
                  <c:v>746</c:v>
                </c:pt>
                <c:pt idx="1">
                  <c:v>808.28571428571445</c:v>
                </c:pt>
                <c:pt idx="2">
                  <c:v>758.28571428571422</c:v>
                </c:pt>
                <c:pt idx="3">
                  <c:v>651.85714285714278</c:v>
                </c:pt>
                <c:pt idx="4">
                  <c:v>584</c:v>
                </c:pt>
                <c:pt idx="5">
                  <c:v>550.85714285714289</c:v>
                </c:pt>
                <c:pt idx="6">
                  <c:v>473.28571428571433</c:v>
                </c:pt>
                <c:pt idx="7">
                  <c:v>463.28571428571433</c:v>
                </c:pt>
                <c:pt idx="8">
                  <c:v>445.42857142857144</c:v>
                </c:pt>
                <c:pt idx="9">
                  <c:v>475.42857142857144</c:v>
                </c:pt>
                <c:pt idx="10">
                  <c:v>626.14285714285711</c:v>
                </c:pt>
                <c:pt idx="11">
                  <c:v>569.14285714285711</c:v>
                </c:pt>
                <c:pt idx="12">
                  <c:v>574</c:v>
                </c:pt>
                <c:pt idx="13">
                  <c:v>476</c:v>
                </c:pt>
                <c:pt idx="14">
                  <c:v>435.5</c:v>
                </c:pt>
                <c:pt idx="15">
                  <c:v>519</c:v>
                </c:pt>
                <c:pt idx="16">
                  <c:v>385.5</c:v>
                </c:pt>
                <c:pt idx="17">
                  <c:v>234</c:v>
                </c:pt>
                <c:pt idx="18">
                  <c:v>237</c:v>
                </c:pt>
                <c:pt idx="19">
                  <c:v>93</c:v>
                </c:pt>
                <c:pt idx="20">
                  <c:v>59.5</c:v>
                </c:pt>
                <c:pt idx="21">
                  <c:v>52.5</c:v>
                </c:pt>
                <c:pt idx="22">
                  <c:v>159.5</c:v>
                </c:pt>
                <c:pt idx="23">
                  <c:v>237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50080"/>
        <c:axId val="69960064"/>
      </c:lineChart>
      <c:catAx>
        <c:axId val="699500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9960064"/>
        <c:crosses val="autoZero"/>
        <c:auto val="1"/>
        <c:lblAlgn val="ctr"/>
        <c:lblOffset val="100"/>
        <c:noMultiLvlLbl val="0"/>
      </c:catAx>
      <c:valAx>
        <c:axId val="699600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995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8937723693629191E-3"/>
          <c:y val="6.9101095372787136E-2"/>
          <c:w val="0.82166700071581966"/>
          <c:h val="0.75862177421997012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Nyanama-Ndeeba'!$C$9:$N$9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Nyanama-Ndeeba'!$C$107:$N$107</c:f>
              <c:numCache>
                <c:formatCode>0.0%</c:formatCode>
                <c:ptCount val="12"/>
                <c:pt idx="0">
                  <c:v>0.23786868367395003</c:v>
                </c:pt>
                <c:pt idx="1">
                  <c:v>5.26032448873845E-2</c:v>
                </c:pt>
                <c:pt idx="2">
                  <c:v>3.5685686022489449E-2</c:v>
                </c:pt>
                <c:pt idx="3">
                  <c:v>7.3208481659185892E-2</c:v>
                </c:pt>
                <c:pt idx="4">
                  <c:v>2.4696675033478465E-3</c:v>
                </c:pt>
                <c:pt idx="5">
                  <c:v>1.8438389534531602E-3</c:v>
                </c:pt>
                <c:pt idx="6">
                  <c:v>2.018801773853825E-2</c:v>
                </c:pt>
                <c:pt idx="7">
                  <c:v>8.277087272800682E-3</c:v>
                </c:pt>
                <c:pt idx="8">
                  <c:v>4.0039568514767532E-3</c:v>
                </c:pt>
                <c:pt idx="9">
                  <c:v>9.6902485144983606E-4</c:v>
                </c:pt>
                <c:pt idx="10">
                  <c:v>0.56281501719346172</c:v>
                </c:pt>
                <c:pt idx="11">
                  <c:v>6.7293392461794164E-5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306178190748665"/>
          <c:y val="0.23155797277917575"/>
          <c:w val="0.7541311998379624"/>
          <c:h val="0.76677046297047924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798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Nyanama-Ndeeba'!$C$9:$N$9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Nyanama-Ndeeba'!$C$108:$N$108</c:f>
              <c:numCache>
                <c:formatCode>0.00%</c:formatCode>
                <c:ptCount val="12"/>
                <c:pt idx="0">
                  <c:v>0.5440916157433775</c:v>
                </c:pt>
                <c:pt idx="1">
                  <c:v>0.12032262533286131</c:v>
                </c:pt>
                <c:pt idx="2">
                  <c:v>8.1626056305508968E-2</c:v>
                </c:pt>
                <c:pt idx="3">
                  <c:v>0.16745424600181635</c:v>
                </c:pt>
                <c:pt idx="4">
                  <c:v>5.6490218110733159E-3</c:v>
                </c:pt>
                <c:pt idx="5">
                  <c:v>4.2175258208013303E-3</c:v>
                </c:pt>
                <c:pt idx="6">
                  <c:v>4.6177290008773693E-2</c:v>
                </c:pt>
                <c:pt idx="7">
                  <c:v>1.8932688903597214E-2</c:v>
                </c:pt>
                <c:pt idx="8">
                  <c:v>9.1584958517401168E-3</c:v>
                </c:pt>
                <c:pt idx="9">
                  <c:v>2.2165099204211371E-3</c:v>
                </c:pt>
                <c:pt idx="11">
                  <c:v>1.5392430002924561E-4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Nyanama-Ndeeba-2Dir'!$AE$9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Nyanama-Ndeeba-2Dir'!$R$10:$R$33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Nyanama-Ndeeba-2Dir'!$AE$10:$AE$33</c:f>
              <c:numCache>
                <c:formatCode>0</c:formatCode>
                <c:ptCount val="24"/>
                <c:pt idx="0">
                  <c:v>657.57142857142856</c:v>
                </c:pt>
                <c:pt idx="1">
                  <c:v>583.14285714285711</c:v>
                </c:pt>
                <c:pt idx="2">
                  <c:v>560.71428571428567</c:v>
                </c:pt>
                <c:pt idx="3">
                  <c:v>540</c:v>
                </c:pt>
                <c:pt idx="4">
                  <c:v>492.42857142857144</c:v>
                </c:pt>
                <c:pt idx="5">
                  <c:v>460.71428571428572</c:v>
                </c:pt>
                <c:pt idx="6">
                  <c:v>456.42857142857144</c:v>
                </c:pt>
                <c:pt idx="7">
                  <c:v>425.14285714285711</c:v>
                </c:pt>
                <c:pt idx="8">
                  <c:v>465.42857142857144</c:v>
                </c:pt>
                <c:pt idx="9">
                  <c:v>537.99999999999989</c:v>
                </c:pt>
                <c:pt idx="10">
                  <c:v>741.42857142857144</c:v>
                </c:pt>
                <c:pt idx="11">
                  <c:v>689.57142857142867</c:v>
                </c:pt>
                <c:pt idx="12">
                  <c:v>696</c:v>
                </c:pt>
                <c:pt idx="13">
                  <c:v>760</c:v>
                </c:pt>
                <c:pt idx="14">
                  <c:v>696</c:v>
                </c:pt>
                <c:pt idx="15">
                  <c:v>523.5</c:v>
                </c:pt>
                <c:pt idx="16">
                  <c:v>346.5</c:v>
                </c:pt>
                <c:pt idx="17">
                  <c:v>197</c:v>
                </c:pt>
                <c:pt idx="18">
                  <c:v>144</c:v>
                </c:pt>
                <c:pt idx="19">
                  <c:v>53.5</c:v>
                </c:pt>
                <c:pt idx="20">
                  <c:v>35.5</c:v>
                </c:pt>
                <c:pt idx="21">
                  <c:v>33.5</c:v>
                </c:pt>
                <c:pt idx="22">
                  <c:v>75</c:v>
                </c:pt>
                <c:pt idx="23">
                  <c:v>143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0C8-43B9-AD20-67D620EFB4DD}"/>
            </c:ext>
          </c:extLst>
        </c:ser>
        <c:ser>
          <c:idx val="1"/>
          <c:order val="1"/>
          <c:tx>
            <c:strRef>
              <c:f>'Avg Week Nyanama-Ndeeba-2Dir'!$AF$9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Nyanama-Ndeeba-2Dir'!$R$10:$R$33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Nyanama-Ndeeba-2Dir'!$AF$10:$AF$33</c:f>
              <c:numCache>
                <c:formatCode>0</c:formatCode>
                <c:ptCount val="24"/>
                <c:pt idx="0">
                  <c:v>1422.7142857142858</c:v>
                </c:pt>
                <c:pt idx="1">
                  <c:v>1442.1428571428571</c:v>
                </c:pt>
                <c:pt idx="2">
                  <c:v>1342.4285714285713</c:v>
                </c:pt>
                <c:pt idx="3">
                  <c:v>1292.4285714285713</c:v>
                </c:pt>
                <c:pt idx="4">
                  <c:v>1172</c:v>
                </c:pt>
                <c:pt idx="5">
                  <c:v>1159.4285714285716</c:v>
                </c:pt>
                <c:pt idx="6">
                  <c:v>1090.8571428571431</c:v>
                </c:pt>
                <c:pt idx="7">
                  <c:v>994.57142857142867</c:v>
                </c:pt>
                <c:pt idx="8">
                  <c:v>1006.8571428571429</c:v>
                </c:pt>
                <c:pt idx="9">
                  <c:v>1160.1428571428571</c:v>
                </c:pt>
                <c:pt idx="10">
                  <c:v>1452.4285714285713</c:v>
                </c:pt>
                <c:pt idx="11">
                  <c:v>1466.7142857142858</c:v>
                </c:pt>
                <c:pt idx="12">
                  <c:v>1289</c:v>
                </c:pt>
                <c:pt idx="13">
                  <c:v>1328</c:v>
                </c:pt>
                <c:pt idx="14">
                  <c:v>1352</c:v>
                </c:pt>
                <c:pt idx="15">
                  <c:v>1106</c:v>
                </c:pt>
                <c:pt idx="16">
                  <c:v>790</c:v>
                </c:pt>
                <c:pt idx="17">
                  <c:v>430.5</c:v>
                </c:pt>
                <c:pt idx="18">
                  <c:v>398.5</c:v>
                </c:pt>
                <c:pt idx="19">
                  <c:v>183</c:v>
                </c:pt>
                <c:pt idx="20">
                  <c:v>111.5</c:v>
                </c:pt>
                <c:pt idx="21">
                  <c:v>92</c:v>
                </c:pt>
                <c:pt idx="22">
                  <c:v>253.5</c:v>
                </c:pt>
                <c:pt idx="23">
                  <c:v>373.5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0C8-43B9-AD20-67D620EFB4DD}"/>
            </c:ext>
          </c:extLst>
        </c:ser>
        <c:ser>
          <c:idx val="5"/>
          <c:order val="2"/>
          <c:tx>
            <c:strRef>
              <c:f>'Avg Week Nyanama-Ndeeba-2Dir'!$AC$9</c:f>
              <c:strCache>
                <c:ptCount val="1"/>
                <c:pt idx="0">
                  <c:v>11. Motorcycles</c:v>
                </c:pt>
              </c:strCache>
            </c:strRef>
          </c:tx>
          <c:val>
            <c:numRef>
              <c:f>'Avg Week Nyanama-Ndeeba-2Dir'!$AC$10:$AC$33</c:f>
              <c:numCache>
                <c:formatCode>0</c:formatCode>
                <c:ptCount val="24"/>
                <c:pt idx="0">
                  <c:v>765.14285714285711</c:v>
                </c:pt>
                <c:pt idx="1">
                  <c:v>859</c:v>
                </c:pt>
                <c:pt idx="2">
                  <c:v>781.71428571428578</c:v>
                </c:pt>
                <c:pt idx="3">
                  <c:v>752.42857142857144</c:v>
                </c:pt>
                <c:pt idx="4">
                  <c:v>679.57142857142856</c:v>
                </c:pt>
                <c:pt idx="5">
                  <c:v>698.71428571428578</c:v>
                </c:pt>
                <c:pt idx="6">
                  <c:v>634.42857142857144</c:v>
                </c:pt>
                <c:pt idx="7">
                  <c:v>569.42857142857144</c:v>
                </c:pt>
                <c:pt idx="8">
                  <c:v>541.42857142857144</c:v>
                </c:pt>
                <c:pt idx="9">
                  <c:v>622.14285714285711</c:v>
                </c:pt>
                <c:pt idx="10">
                  <c:v>711</c:v>
                </c:pt>
                <c:pt idx="11">
                  <c:v>777.14285714285711</c:v>
                </c:pt>
                <c:pt idx="12">
                  <c:v>593</c:v>
                </c:pt>
                <c:pt idx="13">
                  <c:v>568</c:v>
                </c:pt>
                <c:pt idx="14">
                  <c:v>656</c:v>
                </c:pt>
                <c:pt idx="15">
                  <c:v>582.5</c:v>
                </c:pt>
                <c:pt idx="16">
                  <c:v>443.5</c:v>
                </c:pt>
                <c:pt idx="17">
                  <c:v>233.5</c:v>
                </c:pt>
                <c:pt idx="18">
                  <c:v>254.5</c:v>
                </c:pt>
                <c:pt idx="19">
                  <c:v>129.5</c:v>
                </c:pt>
                <c:pt idx="20">
                  <c:v>76</c:v>
                </c:pt>
                <c:pt idx="21">
                  <c:v>58.5</c:v>
                </c:pt>
                <c:pt idx="22">
                  <c:v>178.5</c:v>
                </c:pt>
                <c:pt idx="23">
                  <c:v>230.5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C8-43B9-AD20-67D620EFB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Including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66"/>
      <c:depthPercent val="100"/>
      <c:rAngAx val="0"/>
      <c:perspective val="1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77465720024135E-2"/>
          <c:y val="8.013560502587487E-2"/>
          <c:w val="0.87655985254857882"/>
          <c:h val="0.80325343229815682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83F-4FA1-BF7D-19E4D31378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83F-4FA1-BF7D-19E4D31378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83F-4FA1-BF7D-19E4D31378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83F-4FA1-BF7D-19E4D31378D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83F-4FA1-BF7D-19E4D31378D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83F-4FA1-BF7D-19E4D31378D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83F-4FA1-BF7D-19E4D31378D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83F-4FA1-BF7D-19E4D31378D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83F-4FA1-BF7D-19E4D31378D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83F-4FA1-BF7D-19E4D31378D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83F-4FA1-BF7D-19E4D31378D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83F-4FA1-BF7D-19E4D31378D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83F-4FA1-BF7D-19E4D31378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Nyanama-Ndeeba-2Dir'!$C$9:$N$9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Nyanama-Ndeeba-2Dir'!$C$107:$N$107</c:f>
              <c:numCache>
                <c:formatCode>0.0%</c:formatCode>
                <c:ptCount val="12"/>
                <c:pt idx="0">
                  <c:v>0.2777101555939272</c:v>
                </c:pt>
                <c:pt idx="1">
                  <c:v>3.1301208078177531E-2</c:v>
                </c:pt>
                <c:pt idx="2">
                  <c:v>2.5303277631525151E-2</c:v>
                </c:pt>
                <c:pt idx="3">
                  <c:v>8.6276470939759625E-2</c:v>
                </c:pt>
                <c:pt idx="4">
                  <c:v>1.912292454936891E-3</c:v>
                </c:pt>
                <c:pt idx="5">
                  <c:v>9.3412970249384328E-4</c:v>
                </c:pt>
                <c:pt idx="6">
                  <c:v>1.9402848938331718E-2</c:v>
                </c:pt>
                <c:pt idx="7">
                  <c:v>6.9226244955856867E-3</c:v>
                </c:pt>
                <c:pt idx="8">
                  <c:v>3.2175578641454598E-3</c:v>
                </c:pt>
                <c:pt idx="9">
                  <c:v>1.1291332094117495E-3</c:v>
                </c:pt>
                <c:pt idx="10">
                  <c:v>0.54583997760604896</c:v>
                </c:pt>
                <c:pt idx="11">
                  <c:v>5.0323485656233964E-5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83F-4FA1-BF7D-19E4D3137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Excluding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32002508326287"/>
          <c:y val="0.20025722155197925"/>
          <c:w val="0.83261086583830202"/>
          <c:h val="0.76871916342946045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65-4B6D-B43F-82A2D24E92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65-4B6D-B43F-82A2D24E92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65-4B6D-B43F-82A2D24E92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65-4B6D-B43F-82A2D24E92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65-4B6D-B43F-82A2D24E92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65-4B6D-B43F-82A2D24E92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65-4B6D-B43F-82A2D24E92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65-4B6D-B43F-82A2D24E92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65-4B6D-B43F-82A2D24E92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65-4B6D-B43F-82A2D24E92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65-4B6D-B43F-82A2D24E92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65-4B6D-B43F-82A2D24E92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65-4B6D-B43F-82A2D24E92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Nyanama-Ndeeba-2Dir'!$C$9:$N$9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Nyanama-Ndeeba-2Dir'!$C$108:$N$108</c:f>
              <c:numCache>
                <c:formatCode>0.00%</c:formatCode>
                <c:ptCount val="12"/>
                <c:pt idx="0">
                  <c:v>0.61148084794005408</c:v>
                </c:pt>
                <c:pt idx="1">
                  <c:v>6.892109946882552E-2</c:v>
                </c:pt>
                <c:pt idx="2">
                  <c:v>5.571445390139685E-2</c:v>
                </c:pt>
                <c:pt idx="3">
                  <c:v>0.18996932069225808</c:v>
                </c:pt>
                <c:pt idx="4">
                  <c:v>4.210613793915385E-3</c:v>
                </c:pt>
                <c:pt idx="5">
                  <c:v>2.0568294355145884E-3</c:v>
                </c:pt>
                <c:pt idx="6">
                  <c:v>4.2722494234644769E-2</c:v>
                </c:pt>
                <c:pt idx="7">
                  <c:v>1.5242698948039087E-2</c:v>
                </c:pt>
                <c:pt idx="8">
                  <c:v>7.0846347223280258E-3</c:v>
                </c:pt>
                <c:pt idx="9">
                  <c:v>2.4862012368678009E-3</c:v>
                </c:pt>
                <c:pt idx="11">
                  <c:v>1.1080562615566801E-4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65-4B6D-B43F-82A2D24E9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Nyanama-Ndeeba-2Dir'!$S$9:$AF$9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Nyanama-Ndeeba-2Dir'!$S$41:$AF$41</c:f>
              <c:numCache>
                <c:formatCode>_-* #,##0_-;\-* #,##0_-;_-* "-"_-;_-@_-</c:formatCode>
                <c:ptCount val="14"/>
                <c:pt idx="0">
                  <c:v>6306.8571428571431</c:v>
                </c:pt>
                <c:pt idx="1">
                  <c:v>710.85714285714289</c:v>
                </c:pt>
                <c:pt idx="2">
                  <c:v>574.64285714285711</c:v>
                </c:pt>
                <c:pt idx="3">
                  <c:v>1959.3571428571427</c:v>
                </c:pt>
                <c:pt idx="4">
                  <c:v>43.428571428571431</c:v>
                </c:pt>
                <c:pt idx="5">
                  <c:v>21.214285714285715</c:v>
                </c:pt>
                <c:pt idx="6">
                  <c:v>440.64285714285711</c:v>
                </c:pt>
                <c:pt idx="7">
                  <c:v>157.21428571428572</c:v>
                </c:pt>
                <c:pt idx="8">
                  <c:v>73.071428571428569</c:v>
                </c:pt>
                <c:pt idx="9">
                  <c:v>25.642857142857139</c:v>
                </c:pt>
                <c:pt idx="10">
                  <c:v>12396.142857142859</c:v>
                </c:pt>
                <c:pt idx="11">
                  <c:v>1.1428571428571428</c:v>
                </c:pt>
                <c:pt idx="12">
                  <c:v>10314.071428571429</c:v>
                </c:pt>
                <c:pt idx="13">
                  <c:v>22710.214285714286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C-441C-A201-FB257C6633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Nyanama-Ndeeba-2Dir'!$S$9:$AF$9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Nyanama-Ndeeba-2Dir'!$S$42:$AF$42</c:f>
              <c:numCache>
                <c:formatCode>0.000</c:formatCode>
                <c:ptCount val="14"/>
                <c:pt idx="0">
                  <c:v>1.4924444744937628</c:v>
                </c:pt>
                <c:pt idx="1">
                  <c:v>2.37065269175798</c:v>
                </c:pt>
                <c:pt idx="2">
                  <c:v>1.4079453972698635</c:v>
                </c:pt>
                <c:pt idx="3">
                  <c:v>1.5490738649198104</c:v>
                </c:pt>
                <c:pt idx="4">
                  <c:v>1.6432432432432433</c:v>
                </c:pt>
                <c:pt idx="5">
                  <c:v>5.7115384615384626</c:v>
                </c:pt>
                <c:pt idx="6">
                  <c:v>1.7901915264074288</c:v>
                </c:pt>
                <c:pt idx="7">
                  <c:v>1.8130148270181221</c:v>
                </c:pt>
                <c:pt idx="8">
                  <c:v>2.4710144927536235</c:v>
                </c:pt>
                <c:pt idx="9">
                  <c:v>1.4133858267716537</c:v>
                </c:pt>
                <c:pt idx="10">
                  <c:v>1.4771129457826198</c:v>
                </c:pt>
                <c:pt idx="11">
                  <c:v>1</c:v>
                </c:pt>
                <c:pt idx="12">
                  <c:v>1.5602390111077493</c:v>
                </c:pt>
                <c:pt idx="13">
                  <c:v>1.5137403707900474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C-407F-B2C7-BA8B9B76FC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6.xml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0.xml"/><Relationship Id="rId1" Type="http://schemas.openxmlformats.org/officeDocument/2006/relationships/chart" Target="../charts/chart2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7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1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3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4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3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20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9.png"/><Relationship Id="rId17" Type="http://schemas.openxmlformats.org/officeDocument/2006/relationships/chart" Target="../charts/chart61.xml"/><Relationship Id="rId2" Type="http://schemas.openxmlformats.org/officeDocument/2006/relationships/image" Target="../media/image1.emf"/><Relationship Id="rId16" Type="http://schemas.openxmlformats.org/officeDocument/2006/relationships/chart" Target="../charts/chart60.xml"/><Relationship Id="rId1" Type="http://schemas.openxmlformats.org/officeDocument/2006/relationships/chart" Target="../charts/chart5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4086</xdr:colOff>
      <xdr:row>43</xdr:row>
      <xdr:rowOff>1</xdr:rowOff>
    </xdr:from>
    <xdr:to>
      <xdr:col>27</xdr:col>
      <xdr:colOff>698500</xdr:colOff>
      <xdr:row>58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59</xdr:row>
      <xdr:rowOff>9526</xdr:rowOff>
    </xdr:from>
    <xdr:to>
      <xdr:col>24</xdr:col>
      <xdr:colOff>0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1</xdr:colOff>
      <xdr:row>58</xdr:row>
      <xdr:rowOff>269876</xdr:rowOff>
    </xdr:from>
    <xdr:to>
      <xdr:col>31</xdr:col>
      <xdr:colOff>666751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19960</xdr:colOff>
      <xdr:row>41</xdr:row>
      <xdr:rowOff>15876</xdr:rowOff>
    </xdr:from>
    <xdr:to>
      <xdr:col>27</xdr:col>
      <xdr:colOff>698499</xdr:colOff>
      <xdr:row>58</xdr:row>
      <xdr:rowOff>15876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58</xdr:row>
      <xdr:rowOff>279400</xdr:rowOff>
    </xdr:from>
    <xdr:to>
      <xdr:col>24</xdr:col>
      <xdr:colOff>0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0</xdr:colOff>
      <xdr:row>58</xdr:row>
      <xdr:rowOff>269875</xdr:rowOff>
    </xdr:from>
    <xdr:to>
      <xdr:col>31</xdr:col>
      <xdr:colOff>650875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23136</xdr:colOff>
      <xdr:row>42</xdr:row>
      <xdr:rowOff>285746</xdr:rowOff>
    </xdr:from>
    <xdr:to>
      <xdr:col>28</xdr:col>
      <xdr:colOff>22225</xdr:colOff>
      <xdr:row>59</xdr:row>
      <xdr:rowOff>285749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DAA10D-2CA9-464A-83A2-DDF10C4B9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9BA53C-933D-4183-B16A-ECBB715F5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4674C8-25A5-478F-9286-21B0E0E04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7AF6C5-90F7-4C50-A2B2-B7D5D6331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1C270D-0A3B-4404-9D88-77C756E24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FC82B4-8562-4330-B8C0-FF4CA15BE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EA281C1-9A5D-43C0-86DD-F21782E73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6E09FD6-FF93-4ADE-B1E0-6AB9E5DFE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A19157B-D615-4428-97FB-6ABE52579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0F491A5-95BF-424E-9930-018520497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095FFBF-2611-44AF-A36C-181E1AE8A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39F46DD-887C-4F3F-B823-AFB1E1890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FFE855F-86D2-49A4-ADCC-C1AE273BD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6349</xdr:colOff>
      <xdr:row>75</xdr:row>
      <xdr:rowOff>263525</xdr:rowOff>
    </xdr:from>
    <xdr:to>
      <xdr:col>25</xdr:col>
      <xdr:colOff>16949</xdr:colOff>
      <xdr:row>92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CC6DD8F-635B-4D49-8A6B-13DEDB431A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3175</xdr:colOff>
      <xdr:row>59</xdr:row>
      <xdr:rowOff>279401</xdr:rowOff>
    </xdr:from>
    <xdr:to>
      <xdr:col>25</xdr:col>
      <xdr:colOff>20637</xdr:colOff>
      <xdr:row>75</xdr:row>
      <xdr:rowOff>276225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1C90B31-6735-4F2B-8E22-A6845FF98D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9525</xdr:colOff>
      <xdr:row>59</xdr:row>
      <xdr:rowOff>280987</xdr:rowOff>
    </xdr:from>
    <xdr:to>
      <xdr:col>31</xdr:col>
      <xdr:colOff>596900</xdr:colOff>
      <xdr:row>75</xdr:row>
      <xdr:rowOff>279400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087E424-F208-42B1-BE28-663E45AE2F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0</xdr:colOff>
      <xdr:row>75</xdr:row>
      <xdr:rowOff>274637</xdr:rowOff>
    </xdr:from>
    <xdr:to>
      <xdr:col>31</xdr:col>
      <xdr:colOff>666750</xdr:colOff>
      <xdr:row>92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83DEB06-8CA5-4C59-82DE-5003FAB60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T51" sqref="T5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1" t="s">
        <v>96</v>
      </c>
      <c r="C3" s="64" t="s">
        <v>174</v>
      </c>
      <c r="D3" s="64"/>
      <c r="E3" s="64"/>
      <c r="F3" s="64"/>
      <c r="G3" s="64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161</v>
      </c>
      <c r="E5" s="3"/>
      <c r="F5" s="41" t="s">
        <v>1</v>
      </c>
      <c r="G5" s="59" t="s">
        <v>171</v>
      </c>
      <c r="H5" s="60"/>
      <c r="I5" s="14"/>
      <c r="J5" s="2" t="s">
        <v>5</v>
      </c>
      <c r="K5" s="59" t="s">
        <v>172</v>
      </c>
      <c r="L5" s="60"/>
      <c r="M5" s="10"/>
      <c r="N5" s="10"/>
      <c r="O5" s="3"/>
      <c r="P5" s="3"/>
    </row>
    <row r="6" spans="2:32" ht="23.25" customHeight="1" x14ac:dyDescent="0.25">
      <c r="C6" s="2" t="s">
        <v>4</v>
      </c>
      <c r="D6" s="59" t="s">
        <v>169</v>
      </c>
      <c r="E6" s="60"/>
      <c r="F6" s="2" t="s">
        <v>2</v>
      </c>
      <c r="G6" s="59" t="s">
        <v>170</v>
      </c>
      <c r="H6" s="60"/>
      <c r="J6" s="2" t="s">
        <v>21</v>
      </c>
      <c r="K6" s="59" t="s">
        <v>173</v>
      </c>
      <c r="L6" s="6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11</v>
      </c>
      <c r="D10" s="50">
        <v>2</v>
      </c>
      <c r="E10" s="50">
        <v>1</v>
      </c>
      <c r="F10" s="50">
        <v>3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20</v>
      </c>
      <c r="N10" s="50">
        <v>0</v>
      </c>
      <c r="O10" s="15">
        <f t="shared" ref="O10:O57" si="0">SUM(C10:L10,N10)</f>
        <v>17</v>
      </c>
      <c r="P10" s="15">
        <f t="shared" ref="P10:P57" si="1">SUM(C10:N10)</f>
        <v>37</v>
      </c>
      <c r="R10" s="1" t="s">
        <v>6</v>
      </c>
      <c r="S10" s="17">
        <f t="shared" ref="S10:AF10" si="2">SUM(C10:C13)</f>
        <v>52</v>
      </c>
      <c r="T10" s="17">
        <f t="shared" si="2"/>
        <v>6</v>
      </c>
      <c r="U10" s="17">
        <f t="shared" si="2"/>
        <v>3</v>
      </c>
      <c r="V10" s="17">
        <f t="shared" si="2"/>
        <v>13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316</v>
      </c>
      <c r="AD10" s="17">
        <f t="shared" si="2"/>
        <v>0</v>
      </c>
      <c r="AE10" s="31">
        <f t="shared" si="2"/>
        <v>77</v>
      </c>
      <c r="AF10" s="31">
        <f t="shared" si="2"/>
        <v>393</v>
      </c>
    </row>
    <row r="11" spans="2:32" s="6" customFormat="1" ht="23.1" customHeight="1" x14ac:dyDescent="0.25">
      <c r="B11" s="23" t="s">
        <v>38</v>
      </c>
      <c r="C11" s="50">
        <v>17</v>
      </c>
      <c r="D11" s="50">
        <v>2</v>
      </c>
      <c r="E11" s="50">
        <v>0</v>
      </c>
      <c r="F11" s="50">
        <v>4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107</v>
      </c>
      <c r="N11" s="50">
        <v>0</v>
      </c>
      <c r="O11" s="15">
        <f t="shared" si="0"/>
        <v>23</v>
      </c>
      <c r="P11" s="15">
        <f t="shared" si="1"/>
        <v>130</v>
      </c>
      <c r="R11" s="1" t="s">
        <v>7</v>
      </c>
      <c r="S11" s="17">
        <f t="shared" ref="S11:AF11" si="3">SUM(C14:C17)</f>
        <v>66</v>
      </c>
      <c r="T11" s="17">
        <f t="shared" si="3"/>
        <v>5</v>
      </c>
      <c r="U11" s="17">
        <f t="shared" si="3"/>
        <v>15</v>
      </c>
      <c r="V11" s="17">
        <f t="shared" si="3"/>
        <v>51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1</v>
      </c>
      <c r="AA11" s="17">
        <f t="shared" si="3"/>
        <v>1</v>
      </c>
      <c r="AB11" s="17">
        <f t="shared" si="3"/>
        <v>0</v>
      </c>
      <c r="AC11" s="17">
        <f t="shared" si="3"/>
        <v>620</v>
      </c>
      <c r="AD11" s="17">
        <f t="shared" si="3"/>
        <v>0</v>
      </c>
      <c r="AE11" s="31">
        <f t="shared" si="3"/>
        <v>140</v>
      </c>
      <c r="AF11" s="31">
        <f t="shared" si="3"/>
        <v>760</v>
      </c>
    </row>
    <row r="12" spans="2:32" ht="23.1" customHeight="1" x14ac:dyDescent="0.25">
      <c r="B12" s="23" t="s">
        <v>39</v>
      </c>
      <c r="C12" s="50">
        <v>13</v>
      </c>
      <c r="D12" s="50">
        <v>0</v>
      </c>
      <c r="E12" s="50">
        <v>1</v>
      </c>
      <c r="F12" s="50">
        <v>3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65</v>
      </c>
      <c r="N12" s="50">
        <v>0</v>
      </c>
      <c r="O12" s="15">
        <f t="shared" si="0"/>
        <v>17</v>
      </c>
      <c r="P12" s="15">
        <f t="shared" si="1"/>
        <v>82</v>
      </c>
      <c r="R12" s="1" t="s">
        <v>8</v>
      </c>
      <c r="S12" s="17">
        <f t="shared" ref="S12:AF12" si="4">SUM(C18:C21)</f>
        <v>65</v>
      </c>
      <c r="T12" s="17">
        <f t="shared" si="4"/>
        <v>0</v>
      </c>
      <c r="U12" s="17">
        <f t="shared" si="4"/>
        <v>2</v>
      </c>
      <c r="V12" s="17">
        <f t="shared" si="4"/>
        <v>34</v>
      </c>
      <c r="W12" s="17">
        <f t="shared" si="4"/>
        <v>1</v>
      </c>
      <c r="X12" s="17">
        <f t="shared" si="4"/>
        <v>0</v>
      </c>
      <c r="Y12" s="17">
        <f t="shared" si="4"/>
        <v>18</v>
      </c>
      <c r="Z12" s="17">
        <f t="shared" si="4"/>
        <v>3</v>
      </c>
      <c r="AA12" s="17">
        <f t="shared" si="4"/>
        <v>3</v>
      </c>
      <c r="AB12" s="17">
        <f t="shared" si="4"/>
        <v>2</v>
      </c>
      <c r="AC12" s="17">
        <f t="shared" si="4"/>
        <v>508</v>
      </c>
      <c r="AD12" s="17">
        <f t="shared" si="4"/>
        <v>0</v>
      </c>
      <c r="AE12" s="31">
        <f t="shared" si="4"/>
        <v>128</v>
      </c>
      <c r="AF12" s="31">
        <f t="shared" si="4"/>
        <v>636</v>
      </c>
    </row>
    <row r="13" spans="2:32" ht="23.1" customHeight="1" x14ac:dyDescent="0.25">
      <c r="B13" s="23" t="s">
        <v>40</v>
      </c>
      <c r="C13" s="50">
        <v>11</v>
      </c>
      <c r="D13" s="50">
        <v>2</v>
      </c>
      <c r="E13" s="50">
        <v>1</v>
      </c>
      <c r="F13" s="50">
        <v>3</v>
      </c>
      <c r="G13" s="50">
        <v>0</v>
      </c>
      <c r="H13" s="50">
        <v>0</v>
      </c>
      <c r="I13" s="50">
        <v>3</v>
      </c>
      <c r="J13" s="50">
        <v>0</v>
      </c>
      <c r="K13" s="50">
        <v>0</v>
      </c>
      <c r="L13" s="50">
        <v>0</v>
      </c>
      <c r="M13" s="50">
        <v>124</v>
      </c>
      <c r="N13" s="50">
        <v>0</v>
      </c>
      <c r="O13" s="15">
        <f t="shared" si="0"/>
        <v>20</v>
      </c>
      <c r="P13" s="15">
        <f t="shared" si="1"/>
        <v>144</v>
      </c>
      <c r="R13" s="1" t="s">
        <v>9</v>
      </c>
      <c r="S13" s="17">
        <f t="shared" ref="S13:AF13" si="5">SUM(C22:C25)</f>
        <v>94</v>
      </c>
      <c r="T13" s="17">
        <f t="shared" si="5"/>
        <v>9</v>
      </c>
      <c r="U13" s="17">
        <f t="shared" si="5"/>
        <v>6</v>
      </c>
      <c r="V13" s="17">
        <f t="shared" si="5"/>
        <v>31</v>
      </c>
      <c r="W13" s="17">
        <f t="shared" si="5"/>
        <v>1</v>
      </c>
      <c r="X13" s="17">
        <f t="shared" si="5"/>
        <v>0</v>
      </c>
      <c r="Y13" s="17">
        <f t="shared" si="5"/>
        <v>12</v>
      </c>
      <c r="Z13" s="17">
        <f t="shared" si="5"/>
        <v>5</v>
      </c>
      <c r="AA13" s="17">
        <f t="shared" si="5"/>
        <v>2</v>
      </c>
      <c r="AB13" s="17">
        <f t="shared" si="5"/>
        <v>1</v>
      </c>
      <c r="AC13" s="17">
        <f t="shared" si="5"/>
        <v>491</v>
      </c>
      <c r="AD13" s="17">
        <f t="shared" si="5"/>
        <v>0</v>
      </c>
      <c r="AE13" s="31">
        <f t="shared" si="5"/>
        <v>161</v>
      </c>
      <c r="AF13" s="31">
        <f t="shared" si="5"/>
        <v>652</v>
      </c>
    </row>
    <row r="14" spans="2:32" ht="23.1" customHeight="1" x14ac:dyDescent="0.25">
      <c r="B14" s="23" t="s">
        <v>41</v>
      </c>
      <c r="C14" s="50">
        <v>15</v>
      </c>
      <c r="D14" s="50">
        <v>2</v>
      </c>
      <c r="E14" s="50">
        <v>6</v>
      </c>
      <c r="F14" s="50">
        <v>21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140</v>
      </c>
      <c r="N14" s="50">
        <v>0</v>
      </c>
      <c r="O14" s="15">
        <f t="shared" si="0"/>
        <v>44</v>
      </c>
      <c r="P14" s="15">
        <f t="shared" si="1"/>
        <v>184</v>
      </c>
      <c r="R14" s="1" t="s">
        <v>10</v>
      </c>
      <c r="S14" s="17">
        <f t="shared" ref="S14:AF14" si="6">SUM(C26:C29)</f>
        <v>97</v>
      </c>
      <c r="T14" s="17">
        <f t="shared" si="6"/>
        <v>2</v>
      </c>
      <c r="U14" s="17">
        <f t="shared" si="6"/>
        <v>8</v>
      </c>
      <c r="V14" s="17">
        <f t="shared" si="6"/>
        <v>25</v>
      </c>
      <c r="W14" s="17">
        <f t="shared" si="6"/>
        <v>1</v>
      </c>
      <c r="X14" s="17">
        <f t="shared" si="6"/>
        <v>1</v>
      </c>
      <c r="Y14" s="17">
        <f t="shared" si="6"/>
        <v>11</v>
      </c>
      <c r="Z14" s="17">
        <f t="shared" si="6"/>
        <v>2</v>
      </c>
      <c r="AA14" s="17">
        <f t="shared" si="6"/>
        <v>2</v>
      </c>
      <c r="AB14" s="17">
        <f t="shared" si="6"/>
        <v>0</v>
      </c>
      <c r="AC14" s="17">
        <f t="shared" si="6"/>
        <v>403</v>
      </c>
      <c r="AD14" s="17">
        <f t="shared" si="6"/>
        <v>0</v>
      </c>
      <c r="AE14" s="31">
        <f t="shared" si="6"/>
        <v>149</v>
      </c>
      <c r="AF14" s="31">
        <f t="shared" si="6"/>
        <v>552</v>
      </c>
    </row>
    <row r="15" spans="2:32" ht="23.1" customHeight="1" x14ac:dyDescent="0.25">
      <c r="B15" s="23" t="s">
        <v>42</v>
      </c>
      <c r="C15" s="50">
        <v>20</v>
      </c>
      <c r="D15" s="50">
        <v>1</v>
      </c>
      <c r="E15" s="50">
        <v>1</v>
      </c>
      <c r="F15" s="50">
        <v>10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140</v>
      </c>
      <c r="N15" s="50">
        <v>0</v>
      </c>
      <c r="O15" s="15">
        <f t="shared" si="0"/>
        <v>33</v>
      </c>
      <c r="P15" s="15">
        <f t="shared" si="1"/>
        <v>173</v>
      </c>
      <c r="R15" s="1" t="s">
        <v>11</v>
      </c>
      <c r="S15" s="17">
        <f t="shared" ref="S15:AF15" si="7">SUM(C30:C33)</f>
        <v>123</v>
      </c>
      <c r="T15" s="17">
        <f t="shared" si="7"/>
        <v>9</v>
      </c>
      <c r="U15" s="17">
        <f t="shared" si="7"/>
        <v>11</v>
      </c>
      <c r="V15" s="17">
        <f t="shared" si="7"/>
        <v>21</v>
      </c>
      <c r="W15" s="17">
        <f t="shared" si="7"/>
        <v>0</v>
      </c>
      <c r="X15" s="17">
        <f t="shared" si="7"/>
        <v>0</v>
      </c>
      <c r="Y15" s="17">
        <f t="shared" si="7"/>
        <v>10</v>
      </c>
      <c r="Z15" s="17">
        <f t="shared" si="7"/>
        <v>6</v>
      </c>
      <c r="AA15" s="17">
        <f t="shared" si="7"/>
        <v>2</v>
      </c>
      <c r="AB15" s="17">
        <f t="shared" si="7"/>
        <v>1</v>
      </c>
      <c r="AC15" s="17">
        <f t="shared" si="7"/>
        <v>489</v>
      </c>
      <c r="AD15" s="17">
        <f t="shared" si="7"/>
        <v>0</v>
      </c>
      <c r="AE15" s="31">
        <f t="shared" si="7"/>
        <v>183</v>
      </c>
      <c r="AF15" s="31">
        <f t="shared" si="7"/>
        <v>672</v>
      </c>
    </row>
    <row r="16" spans="2:32" ht="23.1" customHeight="1" x14ac:dyDescent="0.25">
      <c r="B16" s="23" t="s">
        <v>43</v>
      </c>
      <c r="C16" s="50">
        <v>18</v>
      </c>
      <c r="D16" s="50">
        <v>2</v>
      </c>
      <c r="E16" s="50">
        <v>6</v>
      </c>
      <c r="F16" s="50">
        <v>7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155</v>
      </c>
      <c r="N16" s="50">
        <v>0</v>
      </c>
      <c r="O16" s="15">
        <f t="shared" si="0"/>
        <v>33</v>
      </c>
      <c r="P16" s="15">
        <f t="shared" si="1"/>
        <v>188</v>
      </c>
      <c r="R16" s="1" t="s">
        <v>12</v>
      </c>
      <c r="S16" s="17">
        <f t="shared" ref="S16:AF16" si="8">SUM(C34:C37)</f>
        <v>110</v>
      </c>
      <c r="T16" s="17">
        <f t="shared" si="8"/>
        <v>8</v>
      </c>
      <c r="U16" s="17">
        <f t="shared" si="8"/>
        <v>14</v>
      </c>
      <c r="V16" s="17">
        <f t="shared" si="8"/>
        <v>33</v>
      </c>
      <c r="W16" s="17">
        <f t="shared" si="8"/>
        <v>1</v>
      </c>
      <c r="X16" s="17">
        <f t="shared" si="8"/>
        <v>0</v>
      </c>
      <c r="Y16" s="17">
        <f t="shared" si="8"/>
        <v>4</v>
      </c>
      <c r="Z16" s="17">
        <f t="shared" si="8"/>
        <v>2</v>
      </c>
      <c r="AA16" s="17">
        <f t="shared" si="8"/>
        <v>0</v>
      </c>
      <c r="AB16" s="17">
        <f t="shared" si="8"/>
        <v>1</v>
      </c>
      <c r="AC16" s="17">
        <f t="shared" si="8"/>
        <v>460</v>
      </c>
      <c r="AD16" s="17">
        <f t="shared" si="8"/>
        <v>0</v>
      </c>
      <c r="AE16" s="31">
        <f t="shared" si="8"/>
        <v>173</v>
      </c>
      <c r="AF16" s="31">
        <f t="shared" si="8"/>
        <v>633</v>
      </c>
    </row>
    <row r="17" spans="2:32" ht="23.1" customHeight="1" x14ac:dyDescent="0.25">
      <c r="B17" s="23" t="s">
        <v>44</v>
      </c>
      <c r="C17" s="50">
        <v>13</v>
      </c>
      <c r="D17" s="50">
        <v>0</v>
      </c>
      <c r="E17" s="50">
        <v>2</v>
      </c>
      <c r="F17" s="50">
        <v>13</v>
      </c>
      <c r="G17" s="50">
        <v>0</v>
      </c>
      <c r="H17" s="50">
        <v>0</v>
      </c>
      <c r="I17" s="50">
        <v>1</v>
      </c>
      <c r="J17" s="50">
        <v>0</v>
      </c>
      <c r="K17" s="50">
        <v>1</v>
      </c>
      <c r="L17" s="50">
        <v>0</v>
      </c>
      <c r="M17" s="50">
        <v>185</v>
      </c>
      <c r="N17" s="50">
        <v>0</v>
      </c>
      <c r="O17" s="15">
        <f t="shared" si="0"/>
        <v>30</v>
      </c>
      <c r="P17" s="15">
        <f t="shared" si="1"/>
        <v>215</v>
      </c>
      <c r="R17" s="1" t="s">
        <v>13</v>
      </c>
      <c r="S17" s="17">
        <f t="shared" ref="S17:AF17" si="9">SUM(C38:C41)</f>
        <v>124</v>
      </c>
      <c r="T17" s="17">
        <f t="shared" si="9"/>
        <v>4</v>
      </c>
      <c r="U17" s="17">
        <f t="shared" si="9"/>
        <v>13</v>
      </c>
      <c r="V17" s="17">
        <f t="shared" si="9"/>
        <v>18</v>
      </c>
      <c r="W17" s="17">
        <f t="shared" si="9"/>
        <v>1</v>
      </c>
      <c r="X17" s="17">
        <f t="shared" si="9"/>
        <v>0</v>
      </c>
      <c r="Y17" s="17">
        <f t="shared" si="9"/>
        <v>13</v>
      </c>
      <c r="Z17" s="17">
        <f t="shared" si="9"/>
        <v>2</v>
      </c>
      <c r="AA17" s="17">
        <f t="shared" si="9"/>
        <v>5</v>
      </c>
      <c r="AB17" s="17">
        <f t="shared" si="9"/>
        <v>0</v>
      </c>
      <c r="AC17" s="17">
        <f t="shared" si="9"/>
        <v>284</v>
      </c>
      <c r="AD17" s="17">
        <f t="shared" si="9"/>
        <v>0</v>
      </c>
      <c r="AE17" s="31">
        <f t="shared" si="9"/>
        <v>180</v>
      </c>
      <c r="AF17" s="31">
        <f t="shared" si="9"/>
        <v>464</v>
      </c>
    </row>
    <row r="18" spans="2:32" ht="23.1" customHeight="1" x14ac:dyDescent="0.25">
      <c r="B18" s="23" t="s">
        <v>45</v>
      </c>
      <c r="C18" s="50">
        <v>19</v>
      </c>
      <c r="D18" s="50">
        <v>0</v>
      </c>
      <c r="E18" s="50">
        <v>2</v>
      </c>
      <c r="F18" s="50">
        <v>7</v>
      </c>
      <c r="G18" s="50">
        <v>0</v>
      </c>
      <c r="H18" s="50">
        <v>0</v>
      </c>
      <c r="I18" s="50">
        <v>3</v>
      </c>
      <c r="J18" s="50">
        <v>0</v>
      </c>
      <c r="K18" s="50">
        <v>1</v>
      </c>
      <c r="L18" s="50">
        <v>0</v>
      </c>
      <c r="M18" s="50">
        <v>141</v>
      </c>
      <c r="N18" s="50">
        <v>0</v>
      </c>
      <c r="O18" s="15">
        <f t="shared" si="0"/>
        <v>32</v>
      </c>
      <c r="P18" s="15">
        <f t="shared" si="1"/>
        <v>173</v>
      </c>
      <c r="R18" s="1" t="s">
        <v>14</v>
      </c>
      <c r="S18" s="17">
        <f t="shared" ref="S18:AF18" si="10">SUM(C42:C45)</f>
        <v>136</v>
      </c>
      <c r="T18" s="17">
        <f t="shared" si="10"/>
        <v>7</v>
      </c>
      <c r="U18" s="17">
        <f t="shared" si="10"/>
        <v>8</v>
      </c>
      <c r="V18" s="17">
        <f t="shared" si="10"/>
        <v>26</v>
      </c>
      <c r="W18" s="17">
        <f t="shared" si="10"/>
        <v>1</v>
      </c>
      <c r="X18" s="17">
        <f t="shared" si="10"/>
        <v>1</v>
      </c>
      <c r="Y18" s="17">
        <f t="shared" si="10"/>
        <v>21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151</v>
      </c>
      <c r="AD18" s="17">
        <f t="shared" si="10"/>
        <v>0</v>
      </c>
      <c r="AE18" s="31">
        <f t="shared" si="10"/>
        <v>202</v>
      </c>
      <c r="AF18" s="31">
        <f t="shared" si="10"/>
        <v>353</v>
      </c>
    </row>
    <row r="19" spans="2:32" ht="23.1" customHeight="1" x14ac:dyDescent="0.25">
      <c r="B19" s="23" t="s">
        <v>46</v>
      </c>
      <c r="C19" s="50">
        <v>12</v>
      </c>
      <c r="D19" s="50">
        <v>0</v>
      </c>
      <c r="E19" s="50">
        <v>0</v>
      </c>
      <c r="F19" s="50">
        <v>9</v>
      </c>
      <c r="G19" s="50">
        <v>1</v>
      </c>
      <c r="H19" s="50">
        <v>0</v>
      </c>
      <c r="I19" s="50">
        <v>4</v>
      </c>
      <c r="J19" s="50">
        <v>0</v>
      </c>
      <c r="K19" s="50">
        <v>2</v>
      </c>
      <c r="L19" s="50">
        <v>1</v>
      </c>
      <c r="M19" s="50">
        <v>125</v>
      </c>
      <c r="N19" s="50">
        <v>0</v>
      </c>
      <c r="O19" s="15">
        <f t="shared" si="0"/>
        <v>29</v>
      </c>
      <c r="P19" s="15">
        <f t="shared" si="1"/>
        <v>154</v>
      </c>
      <c r="R19" s="1" t="s">
        <v>15</v>
      </c>
      <c r="S19" s="17">
        <f t="shared" ref="S19:AF19" si="11">SUM(C46:C49)</f>
        <v>225</v>
      </c>
      <c r="T19" s="17">
        <f t="shared" si="11"/>
        <v>9</v>
      </c>
      <c r="U19" s="17">
        <f t="shared" si="11"/>
        <v>8</v>
      </c>
      <c r="V19" s="17">
        <f t="shared" si="11"/>
        <v>36</v>
      </c>
      <c r="W19" s="17">
        <f t="shared" si="11"/>
        <v>5</v>
      </c>
      <c r="X19" s="17">
        <f t="shared" si="11"/>
        <v>0</v>
      </c>
      <c r="Y19" s="17">
        <f t="shared" si="11"/>
        <v>15</v>
      </c>
      <c r="Z19" s="17">
        <f t="shared" si="11"/>
        <v>3</v>
      </c>
      <c r="AA19" s="17">
        <f t="shared" si="11"/>
        <v>1</v>
      </c>
      <c r="AB19" s="17">
        <f t="shared" si="11"/>
        <v>0</v>
      </c>
      <c r="AC19" s="17">
        <f t="shared" si="11"/>
        <v>370</v>
      </c>
      <c r="AD19" s="17">
        <f t="shared" si="11"/>
        <v>0</v>
      </c>
      <c r="AE19" s="31">
        <f t="shared" si="11"/>
        <v>302</v>
      </c>
      <c r="AF19" s="31">
        <f t="shared" si="11"/>
        <v>672</v>
      </c>
    </row>
    <row r="20" spans="2:32" ht="23.1" customHeight="1" x14ac:dyDescent="0.25">
      <c r="B20" s="23" t="s">
        <v>47</v>
      </c>
      <c r="C20" s="50">
        <v>21</v>
      </c>
      <c r="D20" s="50">
        <v>0</v>
      </c>
      <c r="E20" s="50">
        <v>0</v>
      </c>
      <c r="F20" s="50">
        <v>7</v>
      </c>
      <c r="G20" s="50">
        <v>0</v>
      </c>
      <c r="H20" s="50">
        <v>0</v>
      </c>
      <c r="I20" s="50">
        <v>5</v>
      </c>
      <c r="J20" s="50">
        <v>2</v>
      </c>
      <c r="K20" s="50">
        <v>0</v>
      </c>
      <c r="L20" s="50">
        <v>1</v>
      </c>
      <c r="M20" s="50">
        <v>130</v>
      </c>
      <c r="N20" s="50">
        <v>0</v>
      </c>
      <c r="O20" s="15">
        <f t="shared" si="0"/>
        <v>36</v>
      </c>
      <c r="P20" s="15">
        <f t="shared" si="1"/>
        <v>166</v>
      </c>
      <c r="R20" s="1" t="s">
        <v>16</v>
      </c>
      <c r="S20" s="17">
        <f t="shared" ref="S20:AF20" si="12">SUM(C50:C53)</f>
        <v>228</v>
      </c>
      <c r="T20" s="17">
        <f t="shared" si="12"/>
        <v>4</v>
      </c>
      <c r="U20" s="17">
        <f t="shared" si="12"/>
        <v>7</v>
      </c>
      <c r="V20" s="17">
        <f t="shared" si="12"/>
        <v>59</v>
      </c>
      <c r="W20" s="17">
        <f t="shared" si="12"/>
        <v>0</v>
      </c>
      <c r="X20" s="17">
        <f t="shared" si="12"/>
        <v>0</v>
      </c>
      <c r="Y20" s="17">
        <f t="shared" si="12"/>
        <v>8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375</v>
      </c>
      <c r="AD20" s="17">
        <f t="shared" si="12"/>
        <v>0</v>
      </c>
      <c r="AE20" s="31">
        <f t="shared" si="12"/>
        <v>307</v>
      </c>
      <c r="AF20" s="31">
        <f t="shared" si="12"/>
        <v>682</v>
      </c>
    </row>
    <row r="21" spans="2:32" ht="23.1" customHeight="1" x14ac:dyDescent="0.25">
      <c r="B21" s="23" t="s">
        <v>48</v>
      </c>
      <c r="C21" s="50">
        <v>13</v>
      </c>
      <c r="D21" s="50">
        <v>0</v>
      </c>
      <c r="E21" s="50">
        <v>0</v>
      </c>
      <c r="F21" s="50">
        <v>11</v>
      </c>
      <c r="G21" s="50">
        <v>0</v>
      </c>
      <c r="H21" s="50">
        <v>0</v>
      </c>
      <c r="I21" s="50">
        <v>6</v>
      </c>
      <c r="J21" s="50">
        <v>1</v>
      </c>
      <c r="K21" s="50">
        <v>0</v>
      </c>
      <c r="L21" s="50">
        <v>0</v>
      </c>
      <c r="M21" s="50">
        <v>112</v>
      </c>
      <c r="N21" s="50">
        <v>0</v>
      </c>
      <c r="O21" s="15">
        <f t="shared" si="0"/>
        <v>31</v>
      </c>
      <c r="P21" s="15">
        <f t="shared" si="1"/>
        <v>143</v>
      </c>
      <c r="R21" s="36" t="s">
        <v>20</v>
      </c>
      <c r="S21" s="34">
        <f t="shared" ref="S21:AF21" si="13">SUM(C54:C57)</f>
        <v>424</v>
      </c>
      <c r="T21" s="17">
        <f t="shared" si="13"/>
        <v>43</v>
      </c>
      <c r="U21" s="17">
        <f t="shared" si="13"/>
        <v>22</v>
      </c>
      <c r="V21" s="17">
        <f t="shared" si="13"/>
        <v>129</v>
      </c>
      <c r="W21" s="17">
        <f t="shared" si="13"/>
        <v>1</v>
      </c>
      <c r="X21" s="17">
        <f t="shared" si="13"/>
        <v>0</v>
      </c>
      <c r="Y21" s="17">
        <f t="shared" si="13"/>
        <v>18</v>
      </c>
      <c r="Z21" s="17">
        <f t="shared" si="13"/>
        <v>4</v>
      </c>
      <c r="AA21" s="17">
        <f t="shared" si="13"/>
        <v>0</v>
      </c>
      <c r="AB21" s="17">
        <f t="shared" si="13"/>
        <v>0</v>
      </c>
      <c r="AC21" s="17">
        <f t="shared" si="13"/>
        <v>595</v>
      </c>
      <c r="AD21" s="17">
        <f t="shared" si="13"/>
        <v>0</v>
      </c>
      <c r="AE21" s="31">
        <f t="shared" si="13"/>
        <v>641</v>
      </c>
      <c r="AF21" s="31">
        <f t="shared" si="13"/>
        <v>1236</v>
      </c>
    </row>
    <row r="22" spans="2:32" ht="23.1" customHeight="1" x14ac:dyDescent="0.25">
      <c r="B22" s="23" t="s">
        <v>49</v>
      </c>
      <c r="C22" s="50">
        <v>18</v>
      </c>
      <c r="D22" s="50">
        <v>3</v>
      </c>
      <c r="E22" s="50">
        <v>1</v>
      </c>
      <c r="F22" s="50">
        <v>6</v>
      </c>
      <c r="G22" s="50">
        <v>1</v>
      </c>
      <c r="H22" s="50">
        <v>0</v>
      </c>
      <c r="I22" s="50">
        <v>5</v>
      </c>
      <c r="J22" s="50">
        <v>2</v>
      </c>
      <c r="K22" s="50">
        <v>0</v>
      </c>
      <c r="L22" s="50">
        <v>0</v>
      </c>
      <c r="M22" s="50">
        <v>138</v>
      </c>
      <c r="N22" s="50">
        <v>0</v>
      </c>
      <c r="O22" s="15">
        <f t="shared" si="0"/>
        <v>36</v>
      </c>
      <c r="P22" s="15">
        <f t="shared" si="1"/>
        <v>174</v>
      </c>
      <c r="R22" s="38" t="s">
        <v>90</v>
      </c>
      <c r="S22" s="39">
        <f>MAX(S10:S12)</f>
        <v>66</v>
      </c>
      <c r="T22" s="39">
        <f t="shared" ref="T22:AF22" si="14">MAX(T10:T12)</f>
        <v>6</v>
      </c>
      <c r="U22" s="39">
        <f t="shared" si="14"/>
        <v>15</v>
      </c>
      <c r="V22" s="39">
        <f t="shared" si="14"/>
        <v>51</v>
      </c>
      <c r="W22" s="39">
        <f t="shared" si="14"/>
        <v>1</v>
      </c>
      <c r="X22" s="39">
        <f t="shared" si="14"/>
        <v>0</v>
      </c>
      <c r="Y22" s="39">
        <f t="shared" si="14"/>
        <v>18</v>
      </c>
      <c r="Z22" s="39">
        <f t="shared" si="14"/>
        <v>3</v>
      </c>
      <c r="AA22" s="39">
        <f t="shared" si="14"/>
        <v>3</v>
      </c>
      <c r="AB22" s="39">
        <f t="shared" si="14"/>
        <v>2</v>
      </c>
      <c r="AC22" s="39">
        <f t="shared" si="14"/>
        <v>620</v>
      </c>
      <c r="AD22" s="39">
        <f t="shared" si="14"/>
        <v>0</v>
      </c>
      <c r="AE22" s="40">
        <f t="shared" si="14"/>
        <v>140</v>
      </c>
      <c r="AF22" s="40">
        <f t="shared" si="14"/>
        <v>760</v>
      </c>
    </row>
    <row r="23" spans="2:32" ht="23.1" customHeight="1" x14ac:dyDescent="0.25">
      <c r="B23" s="23" t="s">
        <v>50</v>
      </c>
      <c r="C23" s="50">
        <v>28</v>
      </c>
      <c r="D23" s="50">
        <v>4</v>
      </c>
      <c r="E23" s="50">
        <v>2</v>
      </c>
      <c r="F23" s="50">
        <v>7</v>
      </c>
      <c r="G23" s="50">
        <v>0</v>
      </c>
      <c r="H23" s="50">
        <v>0</v>
      </c>
      <c r="I23" s="50">
        <v>1</v>
      </c>
      <c r="J23" s="50">
        <v>3</v>
      </c>
      <c r="K23" s="50">
        <v>1</v>
      </c>
      <c r="L23" s="50">
        <v>1</v>
      </c>
      <c r="M23" s="50">
        <v>120</v>
      </c>
      <c r="N23" s="50">
        <v>0</v>
      </c>
      <c r="O23" s="15">
        <f t="shared" si="0"/>
        <v>47</v>
      </c>
      <c r="P23" s="15">
        <f t="shared" si="1"/>
        <v>167</v>
      </c>
      <c r="R23" s="38" t="s">
        <v>91</v>
      </c>
      <c r="S23" s="39">
        <f>MAX(S13:S18)</f>
        <v>136</v>
      </c>
      <c r="T23" s="39">
        <f t="shared" ref="T23:AF23" si="15">MAX(T13:T18)</f>
        <v>9</v>
      </c>
      <c r="U23" s="39">
        <f t="shared" si="15"/>
        <v>14</v>
      </c>
      <c r="V23" s="39">
        <f t="shared" si="15"/>
        <v>33</v>
      </c>
      <c r="W23" s="39">
        <f t="shared" si="15"/>
        <v>1</v>
      </c>
      <c r="X23" s="39">
        <f t="shared" si="15"/>
        <v>1</v>
      </c>
      <c r="Y23" s="39">
        <f t="shared" si="15"/>
        <v>21</v>
      </c>
      <c r="Z23" s="39">
        <f t="shared" si="15"/>
        <v>6</v>
      </c>
      <c r="AA23" s="39">
        <f t="shared" si="15"/>
        <v>5</v>
      </c>
      <c r="AB23" s="39">
        <f t="shared" si="15"/>
        <v>1</v>
      </c>
      <c r="AC23" s="39">
        <f t="shared" si="15"/>
        <v>491</v>
      </c>
      <c r="AD23" s="39">
        <f t="shared" si="15"/>
        <v>0</v>
      </c>
      <c r="AE23" s="40">
        <f t="shared" si="15"/>
        <v>202</v>
      </c>
      <c r="AF23" s="40">
        <f t="shared" si="15"/>
        <v>672</v>
      </c>
    </row>
    <row r="24" spans="2:32" ht="23.1" customHeight="1" x14ac:dyDescent="0.25">
      <c r="B24" s="23" t="s">
        <v>51</v>
      </c>
      <c r="C24" s="50">
        <v>25</v>
      </c>
      <c r="D24" s="50">
        <v>0</v>
      </c>
      <c r="E24" s="50">
        <v>3</v>
      </c>
      <c r="F24" s="50">
        <v>8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138</v>
      </c>
      <c r="N24" s="50">
        <v>0</v>
      </c>
      <c r="O24" s="15">
        <f t="shared" si="0"/>
        <v>38</v>
      </c>
      <c r="P24" s="15">
        <f t="shared" si="1"/>
        <v>176</v>
      </c>
      <c r="R24" s="38" t="s">
        <v>92</v>
      </c>
      <c r="S24" s="39">
        <f>MAX(S19:S21)</f>
        <v>424</v>
      </c>
      <c r="T24" s="39">
        <f t="shared" ref="T24:AF24" si="16">MAX(T19:T21)</f>
        <v>43</v>
      </c>
      <c r="U24" s="39">
        <f t="shared" si="16"/>
        <v>22</v>
      </c>
      <c r="V24" s="39">
        <f t="shared" si="16"/>
        <v>129</v>
      </c>
      <c r="W24" s="39">
        <f t="shared" si="16"/>
        <v>5</v>
      </c>
      <c r="X24" s="39">
        <f t="shared" si="16"/>
        <v>0</v>
      </c>
      <c r="Y24" s="39">
        <f t="shared" si="16"/>
        <v>18</v>
      </c>
      <c r="Z24" s="39">
        <f t="shared" si="16"/>
        <v>4</v>
      </c>
      <c r="AA24" s="39">
        <f t="shared" si="16"/>
        <v>1</v>
      </c>
      <c r="AB24" s="39">
        <f t="shared" si="16"/>
        <v>0</v>
      </c>
      <c r="AC24" s="39">
        <f t="shared" si="16"/>
        <v>595</v>
      </c>
      <c r="AD24" s="39">
        <f t="shared" si="16"/>
        <v>0</v>
      </c>
      <c r="AE24" s="40">
        <f t="shared" si="16"/>
        <v>641</v>
      </c>
      <c r="AF24" s="40">
        <f t="shared" si="16"/>
        <v>1236</v>
      </c>
    </row>
    <row r="25" spans="2:32" ht="23.1" customHeight="1" x14ac:dyDescent="0.25">
      <c r="B25" s="23" t="s">
        <v>52</v>
      </c>
      <c r="C25" s="50">
        <v>23</v>
      </c>
      <c r="D25" s="50">
        <v>2</v>
      </c>
      <c r="E25" s="50">
        <v>0</v>
      </c>
      <c r="F25" s="50">
        <v>10</v>
      </c>
      <c r="G25" s="50">
        <v>0</v>
      </c>
      <c r="H25" s="50">
        <v>0</v>
      </c>
      <c r="I25" s="50">
        <v>4</v>
      </c>
      <c r="J25" s="50">
        <v>0</v>
      </c>
      <c r="K25" s="50">
        <v>1</v>
      </c>
      <c r="L25" s="50">
        <v>0</v>
      </c>
      <c r="M25" s="50">
        <v>95</v>
      </c>
      <c r="N25" s="50">
        <v>0</v>
      </c>
      <c r="O25" s="15">
        <f t="shared" si="0"/>
        <v>40</v>
      </c>
      <c r="P25" s="15">
        <f t="shared" si="1"/>
        <v>135</v>
      </c>
      <c r="R25" s="37" t="s">
        <v>85</v>
      </c>
      <c r="S25" s="35">
        <f t="shared" ref="S25:AF25" si="17">SUM(S10:S12)</f>
        <v>183</v>
      </c>
      <c r="T25" s="16">
        <f t="shared" si="17"/>
        <v>11</v>
      </c>
      <c r="U25" s="16">
        <f t="shared" si="17"/>
        <v>20</v>
      </c>
      <c r="V25" s="16">
        <f t="shared" si="17"/>
        <v>98</v>
      </c>
      <c r="W25" s="16">
        <f t="shared" si="17"/>
        <v>1</v>
      </c>
      <c r="X25" s="16">
        <f t="shared" si="17"/>
        <v>0</v>
      </c>
      <c r="Y25" s="16">
        <f t="shared" si="17"/>
        <v>22</v>
      </c>
      <c r="Z25" s="16">
        <f t="shared" si="17"/>
        <v>4</v>
      </c>
      <c r="AA25" s="16">
        <f t="shared" si="17"/>
        <v>4</v>
      </c>
      <c r="AB25" s="16">
        <f t="shared" si="17"/>
        <v>2</v>
      </c>
      <c r="AC25" s="16">
        <f t="shared" si="17"/>
        <v>1444</v>
      </c>
      <c r="AD25" s="16">
        <f t="shared" si="17"/>
        <v>0</v>
      </c>
      <c r="AE25" s="32">
        <f t="shared" si="17"/>
        <v>345</v>
      </c>
      <c r="AF25" s="32">
        <f t="shared" si="17"/>
        <v>1789</v>
      </c>
    </row>
    <row r="26" spans="2:32" ht="23.1" customHeight="1" x14ac:dyDescent="0.25">
      <c r="B26" s="23" t="s">
        <v>53</v>
      </c>
      <c r="C26" s="50">
        <v>31</v>
      </c>
      <c r="D26" s="50">
        <v>0</v>
      </c>
      <c r="E26" s="50">
        <v>3</v>
      </c>
      <c r="F26" s="50">
        <v>6</v>
      </c>
      <c r="G26" s="50">
        <v>0</v>
      </c>
      <c r="H26" s="50">
        <v>0</v>
      </c>
      <c r="I26" s="50">
        <v>3</v>
      </c>
      <c r="J26" s="50">
        <v>1</v>
      </c>
      <c r="K26" s="50">
        <v>0</v>
      </c>
      <c r="L26" s="50">
        <v>0</v>
      </c>
      <c r="M26" s="50">
        <v>100</v>
      </c>
      <c r="N26" s="50">
        <v>0</v>
      </c>
      <c r="O26" s="15">
        <f t="shared" si="0"/>
        <v>44</v>
      </c>
      <c r="P26" s="15">
        <f t="shared" si="1"/>
        <v>144</v>
      </c>
      <c r="R26" s="28" t="s">
        <v>86</v>
      </c>
      <c r="S26" s="16">
        <f t="shared" ref="S26:AF26" si="18">SUM(S13:S18)</f>
        <v>684</v>
      </c>
      <c r="T26" s="16">
        <f t="shared" si="18"/>
        <v>39</v>
      </c>
      <c r="U26" s="16">
        <f t="shared" si="18"/>
        <v>60</v>
      </c>
      <c r="V26" s="16">
        <f t="shared" si="18"/>
        <v>154</v>
      </c>
      <c r="W26" s="16">
        <f t="shared" si="18"/>
        <v>5</v>
      </c>
      <c r="X26" s="16">
        <f t="shared" si="18"/>
        <v>2</v>
      </c>
      <c r="Y26" s="16">
        <f t="shared" si="18"/>
        <v>71</v>
      </c>
      <c r="Z26" s="16">
        <f t="shared" si="18"/>
        <v>19</v>
      </c>
      <c r="AA26" s="16">
        <f t="shared" si="18"/>
        <v>11</v>
      </c>
      <c r="AB26" s="16">
        <f t="shared" si="18"/>
        <v>3</v>
      </c>
      <c r="AC26" s="16">
        <f t="shared" si="18"/>
        <v>2278</v>
      </c>
      <c r="AD26" s="16">
        <f t="shared" si="18"/>
        <v>0</v>
      </c>
      <c r="AE26" s="32">
        <f t="shared" si="18"/>
        <v>1048</v>
      </c>
      <c r="AF26" s="32">
        <f t="shared" si="18"/>
        <v>3326</v>
      </c>
    </row>
    <row r="27" spans="2:32" ht="23.1" customHeight="1" x14ac:dyDescent="0.25">
      <c r="B27" s="23" t="s">
        <v>54</v>
      </c>
      <c r="C27" s="50">
        <v>20</v>
      </c>
      <c r="D27" s="50">
        <v>0</v>
      </c>
      <c r="E27" s="50">
        <v>2</v>
      </c>
      <c r="F27" s="50">
        <v>5</v>
      </c>
      <c r="G27" s="50">
        <v>1</v>
      </c>
      <c r="H27" s="50">
        <v>1</v>
      </c>
      <c r="I27" s="50">
        <v>4</v>
      </c>
      <c r="J27" s="50">
        <v>1</v>
      </c>
      <c r="K27" s="50">
        <v>0</v>
      </c>
      <c r="L27" s="50">
        <v>0</v>
      </c>
      <c r="M27" s="50">
        <v>105</v>
      </c>
      <c r="N27" s="50">
        <v>0</v>
      </c>
      <c r="O27" s="15">
        <f t="shared" si="0"/>
        <v>34</v>
      </c>
      <c r="P27" s="15">
        <f t="shared" si="1"/>
        <v>139</v>
      </c>
      <c r="R27" s="29" t="s">
        <v>87</v>
      </c>
      <c r="S27" s="16">
        <f t="shared" ref="S27:AF27" si="19">SUM(S19:S21)</f>
        <v>877</v>
      </c>
      <c r="T27" s="16">
        <f t="shared" si="19"/>
        <v>56</v>
      </c>
      <c r="U27" s="16">
        <f t="shared" si="19"/>
        <v>37</v>
      </c>
      <c r="V27" s="16">
        <f t="shared" si="19"/>
        <v>224</v>
      </c>
      <c r="W27" s="16">
        <f t="shared" si="19"/>
        <v>6</v>
      </c>
      <c r="X27" s="16">
        <f t="shared" si="19"/>
        <v>0</v>
      </c>
      <c r="Y27" s="16">
        <f t="shared" si="19"/>
        <v>41</v>
      </c>
      <c r="Z27" s="16">
        <f t="shared" si="19"/>
        <v>8</v>
      </c>
      <c r="AA27" s="16">
        <f t="shared" si="19"/>
        <v>1</v>
      </c>
      <c r="AB27" s="16">
        <f t="shared" si="19"/>
        <v>0</v>
      </c>
      <c r="AC27" s="16">
        <f t="shared" si="19"/>
        <v>1340</v>
      </c>
      <c r="AD27" s="16">
        <f t="shared" si="19"/>
        <v>0</v>
      </c>
      <c r="AE27" s="32">
        <f t="shared" si="19"/>
        <v>1250</v>
      </c>
      <c r="AF27" s="32">
        <f t="shared" si="19"/>
        <v>2590</v>
      </c>
    </row>
    <row r="28" spans="2:32" ht="23.1" customHeight="1" x14ac:dyDescent="0.25">
      <c r="B28" s="23" t="s">
        <v>55</v>
      </c>
      <c r="C28" s="50">
        <v>22</v>
      </c>
      <c r="D28" s="50">
        <v>2</v>
      </c>
      <c r="E28" s="50">
        <v>2</v>
      </c>
      <c r="F28" s="50">
        <v>9</v>
      </c>
      <c r="G28" s="50">
        <v>0</v>
      </c>
      <c r="H28" s="50">
        <v>0</v>
      </c>
      <c r="I28" s="50">
        <v>3</v>
      </c>
      <c r="J28" s="50">
        <v>0</v>
      </c>
      <c r="K28" s="50">
        <v>1</v>
      </c>
      <c r="L28" s="50">
        <v>0</v>
      </c>
      <c r="M28" s="50">
        <v>93</v>
      </c>
      <c r="N28" s="50">
        <v>0</v>
      </c>
      <c r="O28" s="15">
        <f t="shared" si="0"/>
        <v>39</v>
      </c>
      <c r="P28" s="15">
        <f t="shared" si="1"/>
        <v>132</v>
      </c>
      <c r="R28" s="5" t="s">
        <v>17</v>
      </c>
      <c r="S28" s="16">
        <f t="shared" ref="S28:AF28" si="20">SUM(S10:S21)</f>
        <v>1744</v>
      </c>
      <c r="T28" s="16">
        <f t="shared" si="20"/>
        <v>106</v>
      </c>
      <c r="U28" s="16">
        <f t="shared" si="20"/>
        <v>117</v>
      </c>
      <c r="V28" s="16">
        <f t="shared" si="20"/>
        <v>476</v>
      </c>
      <c r="W28" s="16">
        <f t="shared" si="20"/>
        <v>12</v>
      </c>
      <c r="X28" s="16">
        <f t="shared" si="20"/>
        <v>2</v>
      </c>
      <c r="Y28" s="16">
        <f t="shared" si="20"/>
        <v>134</v>
      </c>
      <c r="Z28" s="16">
        <f t="shared" si="20"/>
        <v>31</v>
      </c>
      <c r="AA28" s="16">
        <f t="shared" si="20"/>
        <v>16</v>
      </c>
      <c r="AB28" s="16">
        <f t="shared" si="20"/>
        <v>5</v>
      </c>
      <c r="AC28" s="16">
        <f t="shared" si="20"/>
        <v>5062</v>
      </c>
      <c r="AD28" s="16">
        <f t="shared" si="20"/>
        <v>0</v>
      </c>
      <c r="AE28" s="32">
        <f t="shared" si="20"/>
        <v>2643</v>
      </c>
      <c r="AF28" s="32">
        <f t="shared" si="20"/>
        <v>7705</v>
      </c>
    </row>
    <row r="29" spans="2:32" ht="23.1" customHeight="1" x14ac:dyDescent="0.25">
      <c r="B29" s="23" t="s">
        <v>56</v>
      </c>
      <c r="C29" s="50">
        <v>24</v>
      </c>
      <c r="D29" s="50">
        <v>0</v>
      </c>
      <c r="E29" s="50">
        <v>1</v>
      </c>
      <c r="F29" s="50">
        <v>5</v>
      </c>
      <c r="G29" s="50">
        <v>0</v>
      </c>
      <c r="H29" s="50">
        <v>0</v>
      </c>
      <c r="I29" s="50">
        <v>1</v>
      </c>
      <c r="J29" s="50">
        <v>0</v>
      </c>
      <c r="K29" s="50">
        <v>1</v>
      </c>
      <c r="L29" s="50">
        <v>0</v>
      </c>
      <c r="M29" s="50">
        <v>105</v>
      </c>
      <c r="N29" s="50">
        <v>0</v>
      </c>
      <c r="O29" s="15">
        <f t="shared" si="0"/>
        <v>32</v>
      </c>
      <c r="P29" s="15">
        <f t="shared" si="1"/>
        <v>137</v>
      </c>
      <c r="R29"/>
      <c r="S29" s="20"/>
      <c r="T29" s="19"/>
    </row>
    <row r="30" spans="2:32" ht="23.1" customHeight="1" x14ac:dyDescent="0.25">
      <c r="B30" s="23" t="s">
        <v>57</v>
      </c>
      <c r="C30" s="50">
        <v>33</v>
      </c>
      <c r="D30" s="50">
        <v>2</v>
      </c>
      <c r="E30" s="50">
        <v>4</v>
      </c>
      <c r="F30" s="50">
        <v>8</v>
      </c>
      <c r="G30" s="50">
        <v>0</v>
      </c>
      <c r="H30" s="50">
        <v>0</v>
      </c>
      <c r="I30" s="50">
        <v>4</v>
      </c>
      <c r="J30" s="50">
        <v>4</v>
      </c>
      <c r="K30" s="50">
        <v>1</v>
      </c>
      <c r="L30" s="50">
        <v>0</v>
      </c>
      <c r="M30" s="50">
        <v>125</v>
      </c>
      <c r="N30" s="50">
        <v>0</v>
      </c>
      <c r="O30" s="15">
        <f t="shared" si="0"/>
        <v>56</v>
      </c>
      <c r="P30" s="15">
        <f t="shared" si="1"/>
        <v>181</v>
      </c>
    </row>
    <row r="31" spans="2:32" ht="23.1" customHeight="1" x14ac:dyDescent="0.25">
      <c r="B31" s="24" t="s">
        <v>58</v>
      </c>
      <c r="C31" s="50">
        <v>33</v>
      </c>
      <c r="D31" s="50">
        <v>2</v>
      </c>
      <c r="E31" s="50">
        <v>2</v>
      </c>
      <c r="F31" s="50">
        <v>3</v>
      </c>
      <c r="G31" s="50">
        <v>0</v>
      </c>
      <c r="H31" s="50">
        <v>0</v>
      </c>
      <c r="I31" s="50">
        <v>4</v>
      </c>
      <c r="J31" s="50">
        <v>0</v>
      </c>
      <c r="K31" s="50">
        <v>1</v>
      </c>
      <c r="L31" s="50">
        <v>1</v>
      </c>
      <c r="M31" s="50">
        <v>118</v>
      </c>
      <c r="N31" s="50">
        <v>0</v>
      </c>
      <c r="O31" s="15">
        <f t="shared" si="0"/>
        <v>46</v>
      </c>
      <c r="P31" s="15">
        <f t="shared" si="1"/>
        <v>164</v>
      </c>
    </row>
    <row r="32" spans="2:32" ht="23.1" customHeight="1" x14ac:dyDescent="0.25">
      <c r="B32" s="24" t="s">
        <v>59</v>
      </c>
      <c r="C32" s="50">
        <v>37</v>
      </c>
      <c r="D32" s="50">
        <v>1</v>
      </c>
      <c r="E32" s="50">
        <v>1</v>
      </c>
      <c r="F32" s="50">
        <v>6</v>
      </c>
      <c r="G32" s="50">
        <v>0</v>
      </c>
      <c r="H32" s="50">
        <v>0</v>
      </c>
      <c r="I32" s="50">
        <v>1</v>
      </c>
      <c r="J32" s="50">
        <v>1</v>
      </c>
      <c r="K32" s="50">
        <v>0</v>
      </c>
      <c r="L32" s="50">
        <v>0</v>
      </c>
      <c r="M32" s="50">
        <v>131</v>
      </c>
      <c r="N32" s="50">
        <v>0</v>
      </c>
      <c r="O32" s="15">
        <f t="shared" si="0"/>
        <v>47</v>
      </c>
      <c r="P32" s="15">
        <f t="shared" si="1"/>
        <v>178</v>
      </c>
    </row>
    <row r="33" spans="2:20" ht="23.1" customHeight="1" x14ac:dyDescent="0.25">
      <c r="B33" s="23" t="s">
        <v>60</v>
      </c>
      <c r="C33" s="50">
        <v>20</v>
      </c>
      <c r="D33" s="50">
        <v>4</v>
      </c>
      <c r="E33" s="50">
        <v>4</v>
      </c>
      <c r="F33" s="50">
        <v>4</v>
      </c>
      <c r="G33" s="50">
        <v>0</v>
      </c>
      <c r="H33" s="50">
        <v>0</v>
      </c>
      <c r="I33" s="50">
        <v>1</v>
      </c>
      <c r="J33" s="50">
        <v>1</v>
      </c>
      <c r="K33" s="50">
        <v>0</v>
      </c>
      <c r="L33" s="50">
        <v>0</v>
      </c>
      <c r="M33" s="50">
        <v>115</v>
      </c>
      <c r="N33" s="50">
        <v>0</v>
      </c>
      <c r="O33" s="15">
        <f t="shared" si="0"/>
        <v>34</v>
      </c>
      <c r="P33" s="15">
        <f t="shared" si="1"/>
        <v>149</v>
      </c>
    </row>
    <row r="34" spans="2:20" ht="23.1" customHeight="1" x14ac:dyDescent="0.25">
      <c r="B34" s="24" t="s">
        <v>61</v>
      </c>
      <c r="C34" s="50">
        <v>17</v>
      </c>
      <c r="D34" s="50">
        <v>0</v>
      </c>
      <c r="E34" s="50">
        <v>2</v>
      </c>
      <c r="F34" s="50">
        <v>6</v>
      </c>
      <c r="G34" s="50">
        <v>0</v>
      </c>
      <c r="H34" s="50">
        <v>0</v>
      </c>
      <c r="I34" s="50">
        <v>1</v>
      </c>
      <c r="J34" s="50">
        <v>1</v>
      </c>
      <c r="K34" s="50">
        <v>0</v>
      </c>
      <c r="L34" s="50">
        <v>0</v>
      </c>
      <c r="M34" s="50">
        <v>105</v>
      </c>
      <c r="N34" s="50">
        <v>0</v>
      </c>
      <c r="O34" s="15">
        <f t="shared" si="0"/>
        <v>27</v>
      </c>
      <c r="P34" s="15">
        <f t="shared" si="1"/>
        <v>132</v>
      </c>
    </row>
    <row r="35" spans="2:20" ht="23.1" customHeight="1" x14ac:dyDescent="0.25">
      <c r="B35" s="24" t="s">
        <v>62</v>
      </c>
      <c r="C35" s="50">
        <v>32</v>
      </c>
      <c r="D35" s="50">
        <v>4</v>
      </c>
      <c r="E35" s="50">
        <v>7</v>
      </c>
      <c r="F35" s="50">
        <v>8</v>
      </c>
      <c r="G35" s="50">
        <v>0</v>
      </c>
      <c r="H35" s="50">
        <v>0</v>
      </c>
      <c r="I35" s="50">
        <v>2</v>
      </c>
      <c r="J35" s="50">
        <v>1</v>
      </c>
      <c r="K35" s="50">
        <v>0</v>
      </c>
      <c r="L35" s="50">
        <v>0</v>
      </c>
      <c r="M35" s="50">
        <v>110</v>
      </c>
      <c r="N35" s="50">
        <v>0</v>
      </c>
      <c r="O35" s="15">
        <f t="shared" si="0"/>
        <v>54</v>
      </c>
      <c r="P35" s="15">
        <f t="shared" si="1"/>
        <v>164</v>
      </c>
    </row>
    <row r="36" spans="2:20" ht="23.1" customHeight="1" x14ac:dyDescent="0.25">
      <c r="B36" s="24" t="s">
        <v>63</v>
      </c>
      <c r="C36" s="50">
        <v>28</v>
      </c>
      <c r="D36" s="50">
        <v>2</v>
      </c>
      <c r="E36" s="50">
        <v>0</v>
      </c>
      <c r="F36" s="50">
        <v>7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1</v>
      </c>
      <c r="M36" s="50">
        <v>140</v>
      </c>
      <c r="N36" s="50">
        <v>0</v>
      </c>
      <c r="O36" s="15">
        <f t="shared" si="0"/>
        <v>39</v>
      </c>
      <c r="P36" s="15">
        <f t="shared" si="1"/>
        <v>179</v>
      </c>
    </row>
    <row r="37" spans="2:20" ht="23.1" customHeight="1" x14ac:dyDescent="0.25">
      <c r="B37" s="23" t="s">
        <v>64</v>
      </c>
      <c r="C37" s="50">
        <v>33</v>
      </c>
      <c r="D37" s="50">
        <v>2</v>
      </c>
      <c r="E37" s="50">
        <v>5</v>
      </c>
      <c r="F37" s="50">
        <v>12</v>
      </c>
      <c r="G37" s="50">
        <v>1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105</v>
      </c>
      <c r="N37" s="50">
        <v>0</v>
      </c>
      <c r="O37" s="15">
        <f t="shared" si="0"/>
        <v>53</v>
      </c>
      <c r="P37" s="15">
        <f t="shared" si="1"/>
        <v>158</v>
      </c>
    </row>
    <row r="38" spans="2:20" ht="23.1" customHeight="1" x14ac:dyDescent="0.25">
      <c r="B38" s="24" t="s">
        <v>65</v>
      </c>
      <c r="C38" s="50">
        <v>26</v>
      </c>
      <c r="D38" s="50">
        <v>0</v>
      </c>
      <c r="E38" s="50">
        <v>3</v>
      </c>
      <c r="F38" s="50">
        <v>2</v>
      </c>
      <c r="G38" s="50">
        <v>0</v>
      </c>
      <c r="H38" s="50">
        <v>0</v>
      </c>
      <c r="I38" s="50">
        <v>1</v>
      </c>
      <c r="J38" s="50">
        <v>0</v>
      </c>
      <c r="K38" s="50">
        <v>1</v>
      </c>
      <c r="L38" s="50">
        <v>0</v>
      </c>
      <c r="M38" s="50">
        <v>80</v>
      </c>
      <c r="N38" s="50">
        <v>0</v>
      </c>
      <c r="O38" s="15">
        <f t="shared" si="0"/>
        <v>33</v>
      </c>
      <c r="P38" s="15">
        <f t="shared" si="1"/>
        <v>113</v>
      </c>
    </row>
    <row r="39" spans="2:20" ht="23.1" customHeight="1" x14ac:dyDescent="0.25">
      <c r="B39" s="24" t="s">
        <v>66</v>
      </c>
      <c r="C39" s="50">
        <v>46</v>
      </c>
      <c r="D39" s="50">
        <v>1</v>
      </c>
      <c r="E39" s="50">
        <v>4</v>
      </c>
      <c r="F39" s="50">
        <v>3</v>
      </c>
      <c r="G39" s="50">
        <v>0</v>
      </c>
      <c r="H39" s="50">
        <v>0</v>
      </c>
      <c r="I39" s="50">
        <v>2</v>
      </c>
      <c r="J39" s="50">
        <v>0</v>
      </c>
      <c r="K39" s="50">
        <v>1</v>
      </c>
      <c r="L39" s="50">
        <v>0</v>
      </c>
      <c r="M39" s="50">
        <v>75</v>
      </c>
      <c r="N39" s="50">
        <v>0</v>
      </c>
      <c r="O39" s="15">
        <f t="shared" si="0"/>
        <v>57</v>
      </c>
      <c r="P39" s="15">
        <f t="shared" si="1"/>
        <v>132</v>
      </c>
    </row>
    <row r="40" spans="2:20" ht="23.1" customHeight="1" x14ac:dyDescent="0.25">
      <c r="B40" s="24" t="s">
        <v>67</v>
      </c>
      <c r="C40" s="50">
        <v>16</v>
      </c>
      <c r="D40" s="50">
        <v>2</v>
      </c>
      <c r="E40" s="50">
        <v>3</v>
      </c>
      <c r="F40" s="50">
        <v>5</v>
      </c>
      <c r="G40" s="50">
        <v>1</v>
      </c>
      <c r="H40" s="50">
        <v>0</v>
      </c>
      <c r="I40" s="50">
        <v>4</v>
      </c>
      <c r="J40" s="50">
        <v>2</v>
      </c>
      <c r="K40" s="50">
        <v>3</v>
      </c>
      <c r="L40" s="50">
        <v>0</v>
      </c>
      <c r="M40" s="50">
        <v>79</v>
      </c>
      <c r="N40" s="50">
        <v>0</v>
      </c>
      <c r="O40" s="15">
        <f t="shared" si="0"/>
        <v>36</v>
      </c>
      <c r="P40" s="15">
        <f t="shared" si="1"/>
        <v>115</v>
      </c>
    </row>
    <row r="41" spans="2:20" ht="23.1" customHeight="1" x14ac:dyDescent="0.25">
      <c r="B41" s="23" t="s">
        <v>68</v>
      </c>
      <c r="C41" s="50">
        <v>36</v>
      </c>
      <c r="D41" s="50">
        <v>1</v>
      </c>
      <c r="E41" s="50">
        <v>3</v>
      </c>
      <c r="F41" s="50">
        <v>8</v>
      </c>
      <c r="G41" s="50">
        <v>0</v>
      </c>
      <c r="H41" s="50">
        <v>0</v>
      </c>
      <c r="I41" s="50">
        <v>6</v>
      </c>
      <c r="J41" s="50">
        <v>0</v>
      </c>
      <c r="K41" s="50">
        <v>0</v>
      </c>
      <c r="L41" s="50">
        <v>0</v>
      </c>
      <c r="M41" s="50">
        <v>50</v>
      </c>
      <c r="N41" s="50">
        <v>0</v>
      </c>
      <c r="O41" s="15">
        <f t="shared" si="0"/>
        <v>54</v>
      </c>
      <c r="P41" s="15">
        <f t="shared" si="1"/>
        <v>104</v>
      </c>
    </row>
    <row r="42" spans="2:20" ht="23.1" customHeight="1" x14ac:dyDescent="0.25">
      <c r="B42" s="24" t="s">
        <v>69</v>
      </c>
      <c r="C42" s="50">
        <v>34</v>
      </c>
      <c r="D42" s="50">
        <v>1</v>
      </c>
      <c r="E42" s="50">
        <v>1</v>
      </c>
      <c r="F42" s="50">
        <v>13</v>
      </c>
      <c r="G42" s="50">
        <v>0</v>
      </c>
      <c r="H42" s="50">
        <v>0</v>
      </c>
      <c r="I42" s="50">
        <v>3</v>
      </c>
      <c r="J42" s="50">
        <v>1</v>
      </c>
      <c r="K42" s="50">
        <v>0</v>
      </c>
      <c r="L42" s="50">
        <v>0</v>
      </c>
      <c r="M42" s="50">
        <v>10</v>
      </c>
      <c r="N42" s="50">
        <v>0</v>
      </c>
      <c r="O42" s="15">
        <f t="shared" si="0"/>
        <v>53</v>
      </c>
      <c r="P42" s="15">
        <f t="shared" si="1"/>
        <v>63</v>
      </c>
    </row>
    <row r="43" spans="2:20" ht="23.1" customHeight="1" x14ac:dyDescent="0.25">
      <c r="B43" s="23" t="s">
        <v>70</v>
      </c>
      <c r="C43" s="50">
        <v>45</v>
      </c>
      <c r="D43" s="50">
        <v>1</v>
      </c>
      <c r="E43" s="50">
        <v>2</v>
      </c>
      <c r="F43" s="50">
        <v>6</v>
      </c>
      <c r="G43" s="50">
        <v>0</v>
      </c>
      <c r="H43" s="50">
        <v>0</v>
      </c>
      <c r="I43" s="50">
        <v>4</v>
      </c>
      <c r="J43" s="50">
        <v>0</v>
      </c>
      <c r="K43" s="50">
        <v>0</v>
      </c>
      <c r="L43" s="50">
        <v>0</v>
      </c>
      <c r="M43" s="50">
        <v>28</v>
      </c>
      <c r="N43" s="50">
        <v>0</v>
      </c>
      <c r="O43" s="15">
        <f t="shared" si="0"/>
        <v>58</v>
      </c>
      <c r="P43" s="15">
        <f t="shared" si="1"/>
        <v>86</v>
      </c>
    </row>
    <row r="44" spans="2:20" ht="23.1" customHeight="1" x14ac:dyDescent="0.25">
      <c r="B44" s="25" t="s">
        <v>71</v>
      </c>
      <c r="C44" s="50">
        <v>35</v>
      </c>
      <c r="D44" s="50">
        <v>5</v>
      </c>
      <c r="E44" s="50">
        <v>2</v>
      </c>
      <c r="F44" s="50">
        <v>3</v>
      </c>
      <c r="G44" s="50">
        <v>0</v>
      </c>
      <c r="H44" s="50">
        <v>1</v>
      </c>
      <c r="I44" s="50">
        <v>3</v>
      </c>
      <c r="J44" s="50">
        <v>1</v>
      </c>
      <c r="K44" s="50">
        <v>0</v>
      </c>
      <c r="L44" s="50">
        <v>0</v>
      </c>
      <c r="M44" s="50">
        <v>43</v>
      </c>
      <c r="N44" s="50">
        <v>0</v>
      </c>
      <c r="O44" s="15">
        <f t="shared" si="0"/>
        <v>50</v>
      </c>
      <c r="P44" s="15">
        <f t="shared" si="1"/>
        <v>93</v>
      </c>
    </row>
    <row r="45" spans="2:20" ht="23.1" customHeight="1" x14ac:dyDescent="0.25">
      <c r="B45" s="23" t="s">
        <v>72</v>
      </c>
      <c r="C45" s="50">
        <v>22</v>
      </c>
      <c r="D45" s="50">
        <v>0</v>
      </c>
      <c r="E45" s="50">
        <v>3</v>
      </c>
      <c r="F45" s="50">
        <v>4</v>
      </c>
      <c r="G45" s="50">
        <v>1</v>
      </c>
      <c r="H45" s="50">
        <v>0</v>
      </c>
      <c r="I45" s="50">
        <v>11</v>
      </c>
      <c r="J45" s="50">
        <v>0</v>
      </c>
      <c r="K45" s="50">
        <v>0</v>
      </c>
      <c r="L45" s="50">
        <v>0</v>
      </c>
      <c r="M45" s="50">
        <v>70</v>
      </c>
      <c r="N45" s="50">
        <v>0</v>
      </c>
      <c r="O45" s="15">
        <f t="shared" si="0"/>
        <v>41</v>
      </c>
      <c r="P45" s="15">
        <f t="shared" si="1"/>
        <v>111</v>
      </c>
    </row>
    <row r="46" spans="2:20" ht="23.1" customHeight="1" x14ac:dyDescent="0.25">
      <c r="B46" s="24" t="s">
        <v>73</v>
      </c>
      <c r="C46" s="50">
        <v>48</v>
      </c>
      <c r="D46" s="50">
        <v>1</v>
      </c>
      <c r="E46" s="50">
        <v>4</v>
      </c>
      <c r="F46" s="50">
        <v>2</v>
      </c>
      <c r="G46" s="50">
        <v>0</v>
      </c>
      <c r="H46" s="50">
        <v>0</v>
      </c>
      <c r="I46" s="50">
        <v>5</v>
      </c>
      <c r="J46" s="50">
        <v>1</v>
      </c>
      <c r="K46" s="50">
        <v>0</v>
      </c>
      <c r="L46" s="50">
        <v>0</v>
      </c>
      <c r="M46" s="50">
        <v>125</v>
      </c>
      <c r="N46" s="50">
        <v>0</v>
      </c>
      <c r="O46" s="15">
        <f t="shared" si="0"/>
        <v>61</v>
      </c>
      <c r="P46" s="15">
        <f t="shared" si="1"/>
        <v>186</v>
      </c>
      <c r="R46" s="8"/>
      <c r="T46"/>
    </row>
    <row r="47" spans="2:20" ht="23.1" customHeight="1" x14ac:dyDescent="0.25">
      <c r="B47" s="24" t="s">
        <v>74</v>
      </c>
      <c r="C47" s="50">
        <v>70</v>
      </c>
      <c r="D47" s="50">
        <v>5</v>
      </c>
      <c r="E47" s="50">
        <v>2</v>
      </c>
      <c r="F47" s="50">
        <v>8</v>
      </c>
      <c r="G47" s="50">
        <v>3</v>
      </c>
      <c r="H47" s="50">
        <v>0</v>
      </c>
      <c r="I47" s="50">
        <v>7</v>
      </c>
      <c r="J47" s="50">
        <v>1</v>
      </c>
      <c r="K47" s="50">
        <v>1</v>
      </c>
      <c r="L47" s="50">
        <v>0</v>
      </c>
      <c r="M47" s="50">
        <v>110</v>
      </c>
      <c r="N47" s="50">
        <v>0</v>
      </c>
      <c r="O47" s="15">
        <f t="shared" si="0"/>
        <v>97</v>
      </c>
      <c r="P47" s="15">
        <f t="shared" si="1"/>
        <v>207</v>
      </c>
      <c r="R47" s="8"/>
      <c r="T47"/>
    </row>
    <row r="48" spans="2:20" ht="23.1" customHeight="1" x14ac:dyDescent="0.25">
      <c r="B48" s="24" t="s">
        <v>75</v>
      </c>
      <c r="C48" s="50">
        <v>37</v>
      </c>
      <c r="D48" s="50">
        <v>0</v>
      </c>
      <c r="E48" s="50">
        <v>0</v>
      </c>
      <c r="F48" s="50">
        <v>4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70</v>
      </c>
      <c r="N48" s="50">
        <v>0</v>
      </c>
      <c r="O48" s="15">
        <f t="shared" si="0"/>
        <v>42</v>
      </c>
      <c r="P48" s="15">
        <f t="shared" si="1"/>
        <v>112</v>
      </c>
      <c r="R48" s="8"/>
      <c r="T48"/>
    </row>
    <row r="49" spans="2:20" ht="23.1" customHeight="1" x14ac:dyDescent="0.25">
      <c r="B49" s="23" t="s">
        <v>76</v>
      </c>
      <c r="C49" s="50">
        <v>70</v>
      </c>
      <c r="D49" s="50">
        <v>3</v>
      </c>
      <c r="E49" s="50">
        <v>2</v>
      </c>
      <c r="F49" s="50">
        <v>22</v>
      </c>
      <c r="G49" s="50">
        <v>2</v>
      </c>
      <c r="H49" s="50">
        <v>0</v>
      </c>
      <c r="I49" s="50">
        <v>2</v>
      </c>
      <c r="J49" s="50">
        <v>1</v>
      </c>
      <c r="K49" s="50">
        <v>0</v>
      </c>
      <c r="L49" s="50">
        <v>0</v>
      </c>
      <c r="M49" s="50">
        <v>65</v>
      </c>
      <c r="N49" s="50">
        <v>0</v>
      </c>
      <c r="O49" s="15">
        <f t="shared" si="0"/>
        <v>102</v>
      </c>
      <c r="P49" s="15">
        <f t="shared" si="1"/>
        <v>167</v>
      </c>
      <c r="R49" s="8"/>
      <c r="T49"/>
    </row>
    <row r="50" spans="2:20" ht="23.1" customHeight="1" x14ac:dyDescent="0.25">
      <c r="B50" s="24" t="s">
        <v>77</v>
      </c>
      <c r="C50" s="50">
        <v>28</v>
      </c>
      <c r="D50" s="50">
        <v>1</v>
      </c>
      <c r="E50" s="50">
        <v>2</v>
      </c>
      <c r="F50" s="50">
        <v>9</v>
      </c>
      <c r="G50" s="50">
        <v>0</v>
      </c>
      <c r="H50" s="50">
        <v>0</v>
      </c>
      <c r="I50" s="50">
        <v>4</v>
      </c>
      <c r="J50" s="50">
        <v>0</v>
      </c>
      <c r="K50" s="50">
        <v>0</v>
      </c>
      <c r="L50" s="50">
        <v>0</v>
      </c>
      <c r="M50" s="50">
        <v>45</v>
      </c>
      <c r="N50" s="50">
        <v>0</v>
      </c>
      <c r="O50" s="15">
        <f t="shared" si="0"/>
        <v>44</v>
      </c>
      <c r="P50" s="15">
        <f t="shared" si="1"/>
        <v>89</v>
      </c>
      <c r="R50" s="8"/>
      <c r="T50"/>
    </row>
    <row r="51" spans="2:20" ht="23.1" customHeight="1" x14ac:dyDescent="0.25">
      <c r="B51" s="24" t="s">
        <v>78</v>
      </c>
      <c r="C51" s="50">
        <v>60</v>
      </c>
      <c r="D51" s="50">
        <v>0</v>
      </c>
      <c r="E51" s="50">
        <v>0</v>
      </c>
      <c r="F51" s="50">
        <v>16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85</v>
      </c>
      <c r="N51" s="50">
        <v>0</v>
      </c>
      <c r="O51" s="15">
        <f t="shared" si="0"/>
        <v>77</v>
      </c>
      <c r="P51" s="15">
        <f t="shared" si="1"/>
        <v>162</v>
      </c>
      <c r="R51" s="8"/>
      <c r="T51"/>
    </row>
    <row r="52" spans="2:20" ht="23.1" customHeight="1" x14ac:dyDescent="0.25">
      <c r="B52" s="24" t="s">
        <v>79</v>
      </c>
      <c r="C52" s="50">
        <v>80</v>
      </c>
      <c r="D52" s="50">
        <v>0</v>
      </c>
      <c r="E52" s="50">
        <v>3</v>
      </c>
      <c r="F52" s="50">
        <v>8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105</v>
      </c>
      <c r="N52" s="50">
        <v>0</v>
      </c>
      <c r="O52" s="15">
        <f t="shared" si="0"/>
        <v>92</v>
      </c>
      <c r="P52" s="15">
        <f t="shared" si="1"/>
        <v>197</v>
      </c>
      <c r="R52" s="8"/>
      <c r="T52"/>
    </row>
    <row r="53" spans="2:20" ht="23.1" customHeight="1" x14ac:dyDescent="0.25">
      <c r="B53" s="23" t="s">
        <v>80</v>
      </c>
      <c r="C53" s="50">
        <v>60</v>
      </c>
      <c r="D53" s="50">
        <v>3</v>
      </c>
      <c r="E53" s="50">
        <v>2</v>
      </c>
      <c r="F53" s="50">
        <v>26</v>
      </c>
      <c r="G53" s="50">
        <v>0</v>
      </c>
      <c r="H53" s="50">
        <v>0</v>
      </c>
      <c r="I53" s="50">
        <v>2</v>
      </c>
      <c r="J53" s="50">
        <v>1</v>
      </c>
      <c r="K53" s="50">
        <v>0</v>
      </c>
      <c r="L53" s="50">
        <v>0</v>
      </c>
      <c r="M53" s="50">
        <v>140</v>
      </c>
      <c r="N53" s="50">
        <v>0</v>
      </c>
      <c r="O53" s="15">
        <f t="shared" si="0"/>
        <v>94</v>
      </c>
      <c r="P53" s="15">
        <f t="shared" si="1"/>
        <v>234</v>
      </c>
      <c r="R53" s="8"/>
      <c r="T53"/>
    </row>
    <row r="54" spans="2:20" ht="23.1" customHeight="1" x14ac:dyDescent="0.25">
      <c r="B54" s="23" t="s">
        <v>81</v>
      </c>
      <c r="C54" s="50">
        <v>94</v>
      </c>
      <c r="D54" s="50">
        <v>14</v>
      </c>
      <c r="E54" s="50">
        <v>2</v>
      </c>
      <c r="F54" s="50">
        <v>18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115</v>
      </c>
      <c r="N54" s="50">
        <v>0</v>
      </c>
      <c r="O54" s="15">
        <f t="shared" si="0"/>
        <v>130</v>
      </c>
      <c r="P54" s="15">
        <f t="shared" si="1"/>
        <v>245</v>
      </c>
      <c r="R54" s="8"/>
      <c r="T54"/>
    </row>
    <row r="55" spans="2:20" ht="23.1" customHeight="1" x14ac:dyDescent="0.25">
      <c r="B55" s="23" t="s">
        <v>82</v>
      </c>
      <c r="C55" s="50">
        <v>85</v>
      </c>
      <c r="D55" s="50">
        <v>13</v>
      </c>
      <c r="E55" s="50">
        <v>8</v>
      </c>
      <c r="F55" s="50">
        <v>34</v>
      </c>
      <c r="G55" s="50">
        <v>1</v>
      </c>
      <c r="H55" s="50">
        <v>0</v>
      </c>
      <c r="I55" s="50">
        <v>5</v>
      </c>
      <c r="J55" s="50">
        <v>1</v>
      </c>
      <c r="K55" s="50">
        <v>0</v>
      </c>
      <c r="L55" s="50">
        <v>0</v>
      </c>
      <c r="M55" s="50">
        <v>125</v>
      </c>
      <c r="N55" s="50">
        <v>0</v>
      </c>
      <c r="O55" s="15">
        <f t="shared" si="0"/>
        <v>147</v>
      </c>
      <c r="P55" s="15">
        <f t="shared" si="1"/>
        <v>272</v>
      </c>
      <c r="R55" s="8"/>
      <c r="T55"/>
    </row>
    <row r="56" spans="2:20" ht="23.1" customHeight="1" x14ac:dyDescent="0.25">
      <c r="B56" s="23" t="s">
        <v>83</v>
      </c>
      <c r="C56" s="50">
        <v>120</v>
      </c>
      <c r="D56" s="50">
        <v>14</v>
      </c>
      <c r="E56" s="50">
        <v>11</v>
      </c>
      <c r="F56" s="50">
        <v>50</v>
      </c>
      <c r="G56" s="50">
        <v>0</v>
      </c>
      <c r="H56" s="50">
        <v>0</v>
      </c>
      <c r="I56" s="50">
        <v>7</v>
      </c>
      <c r="J56" s="50">
        <v>2</v>
      </c>
      <c r="K56" s="50">
        <v>0</v>
      </c>
      <c r="L56" s="50">
        <v>0</v>
      </c>
      <c r="M56" s="50">
        <v>170</v>
      </c>
      <c r="N56" s="50">
        <v>0</v>
      </c>
      <c r="O56" s="15">
        <f t="shared" si="0"/>
        <v>204</v>
      </c>
      <c r="P56" s="15">
        <f t="shared" si="1"/>
        <v>374</v>
      </c>
      <c r="R56" s="8"/>
      <c r="T56"/>
    </row>
    <row r="57" spans="2:20" ht="23.1" customHeight="1" x14ac:dyDescent="0.25">
      <c r="B57" s="23" t="s">
        <v>84</v>
      </c>
      <c r="C57" s="50">
        <v>125</v>
      </c>
      <c r="D57" s="50">
        <v>2</v>
      </c>
      <c r="E57" s="50">
        <v>1</v>
      </c>
      <c r="F57" s="50">
        <v>27</v>
      </c>
      <c r="G57" s="50">
        <v>0</v>
      </c>
      <c r="H57" s="50">
        <v>0</v>
      </c>
      <c r="I57" s="50">
        <v>4</v>
      </c>
      <c r="J57" s="50">
        <v>1</v>
      </c>
      <c r="K57" s="50">
        <v>0</v>
      </c>
      <c r="L57" s="50">
        <v>0</v>
      </c>
      <c r="M57" s="50">
        <v>185</v>
      </c>
      <c r="N57" s="50">
        <v>0</v>
      </c>
      <c r="O57" s="15">
        <f t="shared" si="0"/>
        <v>160</v>
      </c>
      <c r="P57" s="15">
        <f t="shared" si="1"/>
        <v>345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1744</v>
      </c>
      <c r="D58" s="16">
        <f t="shared" si="21"/>
        <v>106</v>
      </c>
      <c r="E58" s="16">
        <f t="shared" si="21"/>
        <v>117</v>
      </c>
      <c r="F58" s="16">
        <f t="shared" si="21"/>
        <v>476</v>
      </c>
      <c r="G58" s="16">
        <f t="shared" si="21"/>
        <v>12</v>
      </c>
      <c r="H58" s="16">
        <f t="shared" si="21"/>
        <v>2</v>
      </c>
      <c r="I58" s="16">
        <f t="shared" si="21"/>
        <v>134</v>
      </c>
      <c r="J58" s="16">
        <f t="shared" si="21"/>
        <v>31</v>
      </c>
      <c r="K58" s="16">
        <f t="shared" si="21"/>
        <v>16</v>
      </c>
      <c r="L58" s="16">
        <f t="shared" si="21"/>
        <v>5</v>
      </c>
      <c r="M58" s="16">
        <f t="shared" si="21"/>
        <v>5062</v>
      </c>
      <c r="N58" s="16">
        <f t="shared" si="21"/>
        <v>0</v>
      </c>
      <c r="O58" s="16">
        <f t="shared" si="21"/>
        <v>2643</v>
      </c>
      <c r="P58" s="16">
        <f t="shared" si="21"/>
        <v>7705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0.22634652822842311</v>
      </c>
      <c r="D59" s="43">
        <f t="shared" si="22"/>
        <v>1.3757300454250486E-2</v>
      </c>
      <c r="E59" s="43">
        <f t="shared" si="22"/>
        <v>1.518494484101233E-2</v>
      </c>
      <c r="F59" s="43">
        <f t="shared" si="22"/>
        <v>6.1778066190785207E-2</v>
      </c>
      <c r="G59" s="43">
        <f t="shared" si="22"/>
        <v>1.5574302401038286E-3</v>
      </c>
      <c r="H59" s="43">
        <f t="shared" si="22"/>
        <v>2.5957170668397143E-4</v>
      </c>
      <c r="I59" s="43">
        <f t="shared" si="22"/>
        <v>1.7391304347826087E-2</v>
      </c>
      <c r="J59" s="43">
        <f t="shared" si="22"/>
        <v>4.0233614536015578E-3</v>
      </c>
      <c r="K59" s="43">
        <f t="shared" si="22"/>
        <v>2.0765736534717714E-3</v>
      </c>
      <c r="L59" s="43">
        <f t="shared" si="22"/>
        <v>6.4892926670992858E-4</v>
      </c>
      <c r="M59" s="43">
        <f t="shared" si="22"/>
        <v>0.65697598961713177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0.65985622398789257</v>
      </c>
      <c r="D60" s="44">
        <f t="shared" ref="D60:N60" si="23">D58/$O$58</f>
        <v>4.0105940219447599E-2</v>
      </c>
      <c r="E60" s="44">
        <f t="shared" si="23"/>
        <v>4.4267877412031781E-2</v>
      </c>
      <c r="F60" s="44">
        <f t="shared" si="23"/>
        <v>0.18009837306091564</v>
      </c>
      <c r="G60" s="44">
        <f t="shared" si="23"/>
        <v>4.5402951191827468E-3</v>
      </c>
      <c r="H60" s="44">
        <f t="shared" si="23"/>
        <v>7.5671585319712453E-4</v>
      </c>
      <c r="I60" s="44">
        <f t="shared" si="23"/>
        <v>5.0699962164207343E-2</v>
      </c>
      <c r="J60" s="44">
        <f t="shared" si="23"/>
        <v>1.172909572455543E-2</v>
      </c>
      <c r="K60" s="44">
        <f t="shared" si="23"/>
        <v>6.0537268255769962E-3</v>
      </c>
      <c r="L60" s="44">
        <f t="shared" si="23"/>
        <v>1.8917896329928112E-3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'22.07 Ndeeba-Nyanama'!C3:G3</f>
        <v>MCC - C1 - STN04 - WERAGA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'22.07 Ndeeba-Nyanama'!D5</f>
        <v>22.07.19</v>
      </c>
      <c r="E5" s="3"/>
      <c r="F5" s="41" t="s">
        <v>1</v>
      </c>
      <c r="G5" s="65" t="str">
        <f>'22.07 Ndeeba-Nyanama'!G5:H5</f>
        <v>Golden Mille Hotel</v>
      </c>
      <c r="H5" s="66"/>
      <c r="I5" s="14"/>
      <c r="J5" s="2" t="s">
        <v>5</v>
      </c>
      <c r="K5" s="65" t="s">
        <v>175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59" t="s">
        <v>170</v>
      </c>
      <c r="E6" s="60"/>
      <c r="F6" s="2" t="s">
        <v>2</v>
      </c>
      <c r="G6" s="59" t="s">
        <v>169</v>
      </c>
      <c r="H6" s="60"/>
      <c r="J6" s="2" t="s">
        <v>21</v>
      </c>
      <c r="K6" s="65" t="str">
        <f>'22.07 Ndeeba-Nyanama'!K6:L6</f>
        <v>Denis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24</v>
      </c>
      <c r="D10" s="50">
        <v>2</v>
      </c>
      <c r="E10" s="50">
        <v>1</v>
      </c>
      <c r="F10" s="50">
        <v>10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20</v>
      </c>
      <c r="N10" s="50">
        <v>0</v>
      </c>
      <c r="O10" s="15">
        <f t="shared" ref="O10:O57" si="0">SUM(C10:L10,N10)</f>
        <v>37</v>
      </c>
      <c r="P10" s="15">
        <f t="shared" ref="P10:P57" si="1">SUM(C10:N10)</f>
        <v>57</v>
      </c>
      <c r="R10" s="1" t="s">
        <v>6</v>
      </c>
      <c r="S10" s="17">
        <f t="shared" ref="S10:AF10" si="2">SUM(C10:C13)</f>
        <v>160</v>
      </c>
      <c r="T10" s="17">
        <f t="shared" si="2"/>
        <v>15</v>
      </c>
      <c r="U10" s="17">
        <f t="shared" si="2"/>
        <v>13</v>
      </c>
      <c r="V10" s="17">
        <f t="shared" si="2"/>
        <v>75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4</v>
      </c>
      <c r="AA10" s="17">
        <f t="shared" si="2"/>
        <v>3</v>
      </c>
      <c r="AB10" s="17">
        <f t="shared" si="2"/>
        <v>0</v>
      </c>
      <c r="AC10" s="17">
        <f t="shared" si="2"/>
        <v>197</v>
      </c>
      <c r="AD10" s="17">
        <f t="shared" si="2"/>
        <v>0</v>
      </c>
      <c r="AE10" s="31">
        <f t="shared" si="2"/>
        <v>272</v>
      </c>
      <c r="AF10" s="31">
        <f t="shared" si="2"/>
        <v>469</v>
      </c>
    </row>
    <row r="11" spans="2:32" s="6" customFormat="1" ht="23.1" customHeight="1" x14ac:dyDescent="0.25">
      <c r="B11" s="23" t="s">
        <v>38</v>
      </c>
      <c r="C11" s="50">
        <v>38</v>
      </c>
      <c r="D11" s="50">
        <v>3</v>
      </c>
      <c r="E11" s="50">
        <v>3</v>
      </c>
      <c r="F11" s="50">
        <v>13</v>
      </c>
      <c r="G11" s="50">
        <v>0</v>
      </c>
      <c r="H11" s="50">
        <v>0</v>
      </c>
      <c r="I11" s="50">
        <v>0</v>
      </c>
      <c r="J11" s="50">
        <v>1</v>
      </c>
      <c r="K11" s="50">
        <v>1</v>
      </c>
      <c r="L11" s="50">
        <v>0</v>
      </c>
      <c r="M11" s="50">
        <v>35</v>
      </c>
      <c r="N11" s="50">
        <v>0</v>
      </c>
      <c r="O11" s="15">
        <f t="shared" si="0"/>
        <v>59</v>
      </c>
      <c r="P11" s="15">
        <f t="shared" si="1"/>
        <v>94</v>
      </c>
      <c r="R11" s="1" t="s">
        <v>7</v>
      </c>
      <c r="S11" s="17">
        <f t="shared" ref="S11:AF11" si="3">SUM(C14:C17)</f>
        <v>279</v>
      </c>
      <c r="T11" s="17">
        <f t="shared" si="3"/>
        <v>24</v>
      </c>
      <c r="U11" s="17">
        <f t="shared" si="3"/>
        <v>18</v>
      </c>
      <c r="V11" s="17">
        <f t="shared" si="3"/>
        <v>146</v>
      </c>
      <c r="W11" s="17">
        <f t="shared" si="3"/>
        <v>1</v>
      </c>
      <c r="X11" s="17">
        <f t="shared" si="3"/>
        <v>0</v>
      </c>
      <c r="Y11" s="17">
        <f t="shared" si="3"/>
        <v>7</v>
      </c>
      <c r="Z11" s="17">
        <f t="shared" si="3"/>
        <v>9</v>
      </c>
      <c r="AA11" s="17">
        <f t="shared" si="3"/>
        <v>3</v>
      </c>
      <c r="AB11" s="17">
        <f t="shared" si="3"/>
        <v>0</v>
      </c>
      <c r="AC11" s="17">
        <f t="shared" si="3"/>
        <v>497</v>
      </c>
      <c r="AD11" s="17">
        <f t="shared" si="3"/>
        <v>0</v>
      </c>
      <c r="AE11" s="31">
        <f t="shared" si="3"/>
        <v>487</v>
      </c>
      <c r="AF11" s="31">
        <f t="shared" si="3"/>
        <v>984</v>
      </c>
    </row>
    <row r="12" spans="2:32" ht="23.1" customHeight="1" x14ac:dyDescent="0.25">
      <c r="B12" s="23" t="s">
        <v>39</v>
      </c>
      <c r="C12" s="50">
        <v>37</v>
      </c>
      <c r="D12" s="50">
        <v>6</v>
      </c>
      <c r="E12" s="50">
        <v>3</v>
      </c>
      <c r="F12" s="50">
        <v>16</v>
      </c>
      <c r="G12" s="50">
        <v>0</v>
      </c>
      <c r="H12" s="50">
        <v>0</v>
      </c>
      <c r="I12" s="50">
        <v>1</v>
      </c>
      <c r="J12" s="50">
        <v>2</v>
      </c>
      <c r="K12" s="50">
        <v>1</v>
      </c>
      <c r="L12" s="50">
        <v>0</v>
      </c>
      <c r="M12" s="50">
        <v>36</v>
      </c>
      <c r="N12" s="50">
        <v>0</v>
      </c>
      <c r="O12" s="15">
        <f t="shared" si="0"/>
        <v>66</v>
      </c>
      <c r="P12" s="15">
        <f t="shared" si="1"/>
        <v>102</v>
      </c>
      <c r="R12" s="1" t="s">
        <v>8</v>
      </c>
      <c r="S12" s="17">
        <f t="shared" ref="S12:AF12" si="4">SUM(C18:C21)</f>
        <v>200</v>
      </c>
      <c r="T12" s="17">
        <f t="shared" si="4"/>
        <v>31</v>
      </c>
      <c r="U12" s="17">
        <f t="shared" si="4"/>
        <v>18</v>
      </c>
      <c r="V12" s="17">
        <f t="shared" si="4"/>
        <v>63</v>
      </c>
      <c r="W12" s="17">
        <f t="shared" si="4"/>
        <v>2</v>
      </c>
      <c r="X12" s="17">
        <f t="shared" si="4"/>
        <v>0</v>
      </c>
      <c r="Y12" s="17">
        <f t="shared" si="4"/>
        <v>12</v>
      </c>
      <c r="Z12" s="17">
        <f t="shared" si="4"/>
        <v>5</v>
      </c>
      <c r="AA12" s="17">
        <f t="shared" si="4"/>
        <v>0</v>
      </c>
      <c r="AB12" s="17">
        <f t="shared" si="4"/>
        <v>0</v>
      </c>
      <c r="AC12" s="17">
        <f t="shared" si="4"/>
        <v>439</v>
      </c>
      <c r="AD12" s="17">
        <f t="shared" si="4"/>
        <v>0</v>
      </c>
      <c r="AE12" s="31">
        <f t="shared" si="4"/>
        <v>331</v>
      </c>
      <c r="AF12" s="31">
        <f t="shared" si="4"/>
        <v>770</v>
      </c>
    </row>
    <row r="13" spans="2:32" ht="23.1" customHeight="1" x14ac:dyDescent="0.25">
      <c r="B13" s="23" t="s">
        <v>40</v>
      </c>
      <c r="C13" s="50">
        <v>61</v>
      </c>
      <c r="D13" s="50">
        <v>4</v>
      </c>
      <c r="E13" s="50">
        <v>6</v>
      </c>
      <c r="F13" s="50">
        <v>36</v>
      </c>
      <c r="G13" s="50">
        <v>0</v>
      </c>
      <c r="H13" s="50">
        <v>0</v>
      </c>
      <c r="I13" s="50">
        <v>1</v>
      </c>
      <c r="J13" s="50">
        <v>1</v>
      </c>
      <c r="K13" s="50">
        <v>1</v>
      </c>
      <c r="L13" s="50">
        <v>0</v>
      </c>
      <c r="M13" s="50">
        <v>106</v>
      </c>
      <c r="N13" s="50">
        <v>0</v>
      </c>
      <c r="O13" s="15">
        <f t="shared" si="0"/>
        <v>110</v>
      </c>
      <c r="P13" s="15">
        <f t="shared" si="1"/>
        <v>216</v>
      </c>
      <c r="R13" s="1" t="s">
        <v>9</v>
      </c>
      <c r="S13" s="17">
        <f t="shared" ref="S13:AF13" si="5">SUM(C22:C25)</f>
        <v>160</v>
      </c>
      <c r="T13" s="17">
        <f t="shared" si="5"/>
        <v>16</v>
      </c>
      <c r="U13" s="17">
        <f t="shared" si="5"/>
        <v>17</v>
      </c>
      <c r="V13" s="17">
        <f t="shared" si="5"/>
        <v>37</v>
      </c>
      <c r="W13" s="17">
        <f t="shared" si="5"/>
        <v>0</v>
      </c>
      <c r="X13" s="17">
        <f t="shared" si="5"/>
        <v>0</v>
      </c>
      <c r="Y13" s="17">
        <f t="shared" si="5"/>
        <v>14</v>
      </c>
      <c r="Z13" s="17">
        <f t="shared" si="5"/>
        <v>6</v>
      </c>
      <c r="AA13" s="17">
        <f t="shared" si="5"/>
        <v>1</v>
      </c>
      <c r="AB13" s="17">
        <f t="shared" si="5"/>
        <v>0</v>
      </c>
      <c r="AC13" s="17">
        <f t="shared" si="5"/>
        <v>416</v>
      </c>
      <c r="AD13" s="17">
        <f t="shared" si="5"/>
        <v>0</v>
      </c>
      <c r="AE13" s="31">
        <f t="shared" si="5"/>
        <v>251</v>
      </c>
      <c r="AF13" s="31">
        <f t="shared" si="5"/>
        <v>667</v>
      </c>
    </row>
    <row r="14" spans="2:32" ht="23.1" customHeight="1" x14ac:dyDescent="0.25">
      <c r="B14" s="23" t="s">
        <v>41</v>
      </c>
      <c r="C14" s="50">
        <v>80</v>
      </c>
      <c r="D14" s="50">
        <v>7</v>
      </c>
      <c r="E14" s="50">
        <v>6</v>
      </c>
      <c r="F14" s="50">
        <v>37</v>
      </c>
      <c r="G14" s="50">
        <v>0</v>
      </c>
      <c r="H14" s="50">
        <v>0</v>
      </c>
      <c r="I14" s="50">
        <v>3</v>
      </c>
      <c r="J14" s="50">
        <v>2</v>
      </c>
      <c r="K14" s="50">
        <v>2</v>
      </c>
      <c r="L14" s="50">
        <v>0</v>
      </c>
      <c r="M14" s="50">
        <v>103</v>
      </c>
      <c r="N14" s="50">
        <v>0</v>
      </c>
      <c r="O14" s="15">
        <f t="shared" si="0"/>
        <v>137</v>
      </c>
      <c r="P14" s="15">
        <f t="shared" si="1"/>
        <v>240</v>
      </c>
      <c r="R14" s="1" t="s">
        <v>10</v>
      </c>
      <c r="S14" s="17">
        <f t="shared" ref="S14:AF14" si="6">SUM(C26:C29)</f>
        <v>143</v>
      </c>
      <c r="T14" s="17">
        <f t="shared" si="6"/>
        <v>24</v>
      </c>
      <c r="U14" s="17">
        <f t="shared" si="6"/>
        <v>17</v>
      </c>
      <c r="V14" s="17">
        <f t="shared" si="6"/>
        <v>35</v>
      </c>
      <c r="W14" s="17">
        <f t="shared" si="6"/>
        <v>3</v>
      </c>
      <c r="X14" s="17">
        <f t="shared" si="6"/>
        <v>0</v>
      </c>
      <c r="Y14" s="17">
        <f t="shared" si="6"/>
        <v>19</v>
      </c>
      <c r="Z14" s="17">
        <f t="shared" si="6"/>
        <v>4</v>
      </c>
      <c r="AA14" s="17">
        <f t="shared" si="6"/>
        <v>2</v>
      </c>
      <c r="AB14" s="17">
        <f t="shared" si="6"/>
        <v>1</v>
      </c>
      <c r="AC14" s="17">
        <f t="shared" si="6"/>
        <v>300</v>
      </c>
      <c r="AD14" s="17">
        <f t="shared" si="6"/>
        <v>0</v>
      </c>
      <c r="AE14" s="31">
        <f t="shared" si="6"/>
        <v>248</v>
      </c>
      <c r="AF14" s="31">
        <f t="shared" si="6"/>
        <v>548</v>
      </c>
    </row>
    <row r="15" spans="2:32" ht="23.1" customHeight="1" x14ac:dyDescent="0.25">
      <c r="B15" s="23" t="s">
        <v>42</v>
      </c>
      <c r="C15" s="50">
        <v>70</v>
      </c>
      <c r="D15" s="50">
        <v>6</v>
      </c>
      <c r="E15" s="50">
        <v>4</v>
      </c>
      <c r="F15" s="50">
        <v>51</v>
      </c>
      <c r="G15" s="50">
        <v>1</v>
      </c>
      <c r="H15" s="50">
        <v>0</v>
      </c>
      <c r="I15" s="50">
        <v>0</v>
      </c>
      <c r="J15" s="50">
        <v>5</v>
      </c>
      <c r="K15" s="50">
        <v>0</v>
      </c>
      <c r="L15" s="50">
        <v>0</v>
      </c>
      <c r="M15" s="50">
        <v>143</v>
      </c>
      <c r="N15" s="50">
        <v>0</v>
      </c>
      <c r="O15" s="15">
        <f t="shared" si="0"/>
        <v>137</v>
      </c>
      <c r="P15" s="15">
        <f t="shared" si="1"/>
        <v>280</v>
      </c>
      <c r="R15" s="1" t="s">
        <v>11</v>
      </c>
      <c r="S15" s="17">
        <f t="shared" ref="S15:AF15" si="7">SUM(C30:C33)</f>
        <v>152</v>
      </c>
      <c r="T15" s="17">
        <f t="shared" si="7"/>
        <v>11</v>
      </c>
      <c r="U15" s="17">
        <f t="shared" si="7"/>
        <v>12</v>
      </c>
      <c r="V15" s="17">
        <f t="shared" si="7"/>
        <v>26</v>
      </c>
      <c r="W15" s="17">
        <f t="shared" si="7"/>
        <v>1</v>
      </c>
      <c r="X15" s="17">
        <f t="shared" si="7"/>
        <v>0</v>
      </c>
      <c r="Y15" s="17">
        <f t="shared" si="7"/>
        <v>15</v>
      </c>
      <c r="Z15" s="17">
        <f t="shared" si="7"/>
        <v>8</v>
      </c>
      <c r="AA15" s="17">
        <f t="shared" si="7"/>
        <v>0</v>
      </c>
      <c r="AB15" s="17">
        <f t="shared" si="7"/>
        <v>0</v>
      </c>
      <c r="AC15" s="17">
        <f t="shared" si="7"/>
        <v>315</v>
      </c>
      <c r="AD15" s="17">
        <f t="shared" si="7"/>
        <v>0</v>
      </c>
      <c r="AE15" s="31">
        <f t="shared" si="7"/>
        <v>225</v>
      </c>
      <c r="AF15" s="31">
        <f t="shared" si="7"/>
        <v>540</v>
      </c>
    </row>
    <row r="16" spans="2:32" ht="23.1" customHeight="1" x14ac:dyDescent="0.25">
      <c r="B16" s="23" t="s">
        <v>43</v>
      </c>
      <c r="C16" s="50">
        <v>68</v>
      </c>
      <c r="D16" s="50">
        <v>7</v>
      </c>
      <c r="E16" s="50">
        <v>3</v>
      </c>
      <c r="F16" s="50">
        <v>38</v>
      </c>
      <c r="G16" s="50">
        <v>0</v>
      </c>
      <c r="H16" s="50">
        <v>0</v>
      </c>
      <c r="I16" s="50">
        <v>2</v>
      </c>
      <c r="J16" s="50">
        <v>2</v>
      </c>
      <c r="K16" s="50">
        <v>0</v>
      </c>
      <c r="L16" s="50">
        <v>0</v>
      </c>
      <c r="M16" s="50">
        <v>148</v>
      </c>
      <c r="N16" s="50">
        <v>0</v>
      </c>
      <c r="O16" s="15">
        <f t="shared" si="0"/>
        <v>120</v>
      </c>
      <c r="P16" s="15">
        <f t="shared" si="1"/>
        <v>268</v>
      </c>
      <c r="R16" s="1" t="s">
        <v>12</v>
      </c>
      <c r="S16" s="17">
        <f t="shared" ref="S16:AF16" si="8">SUM(C34:C37)</f>
        <v>143</v>
      </c>
      <c r="T16" s="17">
        <f t="shared" si="8"/>
        <v>9</v>
      </c>
      <c r="U16" s="17">
        <f t="shared" si="8"/>
        <v>10</v>
      </c>
      <c r="V16" s="17">
        <f t="shared" si="8"/>
        <v>34</v>
      </c>
      <c r="W16" s="17">
        <f t="shared" si="8"/>
        <v>1</v>
      </c>
      <c r="X16" s="17">
        <f t="shared" si="8"/>
        <v>0</v>
      </c>
      <c r="Y16" s="17">
        <f t="shared" si="8"/>
        <v>10</v>
      </c>
      <c r="Z16" s="17">
        <f t="shared" si="8"/>
        <v>4</v>
      </c>
      <c r="AA16" s="17">
        <f t="shared" si="8"/>
        <v>1</v>
      </c>
      <c r="AB16" s="17">
        <f t="shared" si="8"/>
        <v>0</v>
      </c>
      <c r="AC16" s="17">
        <f t="shared" si="8"/>
        <v>292</v>
      </c>
      <c r="AD16" s="17">
        <f t="shared" si="8"/>
        <v>0</v>
      </c>
      <c r="AE16" s="31">
        <f t="shared" si="8"/>
        <v>212</v>
      </c>
      <c r="AF16" s="31">
        <f t="shared" si="8"/>
        <v>504</v>
      </c>
    </row>
    <row r="17" spans="2:32" ht="23.1" customHeight="1" x14ac:dyDescent="0.25">
      <c r="B17" s="23" t="s">
        <v>44</v>
      </c>
      <c r="C17" s="50">
        <v>61</v>
      </c>
      <c r="D17" s="50">
        <v>4</v>
      </c>
      <c r="E17" s="50">
        <v>5</v>
      </c>
      <c r="F17" s="50">
        <v>20</v>
      </c>
      <c r="G17" s="50">
        <v>0</v>
      </c>
      <c r="H17" s="50">
        <v>0</v>
      </c>
      <c r="I17" s="50">
        <v>2</v>
      </c>
      <c r="J17" s="50">
        <v>0</v>
      </c>
      <c r="K17" s="50">
        <v>1</v>
      </c>
      <c r="L17" s="50">
        <v>0</v>
      </c>
      <c r="M17" s="50">
        <v>103</v>
      </c>
      <c r="N17" s="50">
        <v>0</v>
      </c>
      <c r="O17" s="15">
        <f t="shared" si="0"/>
        <v>93</v>
      </c>
      <c r="P17" s="15">
        <f t="shared" si="1"/>
        <v>196</v>
      </c>
      <c r="R17" s="1" t="s">
        <v>13</v>
      </c>
      <c r="S17" s="17">
        <f t="shared" ref="S17:AF17" si="9">SUM(C38:C41)</f>
        <v>120</v>
      </c>
      <c r="T17" s="17">
        <f t="shared" si="9"/>
        <v>18</v>
      </c>
      <c r="U17" s="17">
        <f t="shared" si="9"/>
        <v>18</v>
      </c>
      <c r="V17" s="17">
        <f t="shared" si="9"/>
        <v>34</v>
      </c>
      <c r="W17" s="17">
        <f t="shared" si="9"/>
        <v>0</v>
      </c>
      <c r="X17" s="17">
        <f t="shared" si="9"/>
        <v>0</v>
      </c>
      <c r="Y17" s="17">
        <f t="shared" si="9"/>
        <v>11</v>
      </c>
      <c r="Z17" s="17">
        <f t="shared" si="9"/>
        <v>3</v>
      </c>
      <c r="AA17" s="17">
        <f t="shared" si="9"/>
        <v>0</v>
      </c>
      <c r="AB17" s="17">
        <f t="shared" si="9"/>
        <v>1</v>
      </c>
      <c r="AC17" s="17">
        <f t="shared" si="9"/>
        <v>256</v>
      </c>
      <c r="AD17" s="17">
        <f t="shared" si="9"/>
        <v>0</v>
      </c>
      <c r="AE17" s="31">
        <f t="shared" si="9"/>
        <v>205</v>
      </c>
      <c r="AF17" s="31">
        <f t="shared" si="9"/>
        <v>461</v>
      </c>
    </row>
    <row r="18" spans="2:32" ht="23.1" customHeight="1" x14ac:dyDescent="0.25">
      <c r="B18" s="23" t="s">
        <v>45</v>
      </c>
      <c r="C18" s="50">
        <v>48</v>
      </c>
      <c r="D18" s="50">
        <v>10</v>
      </c>
      <c r="E18" s="50">
        <v>4</v>
      </c>
      <c r="F18" s="50">
        <v>13</v>
      </c>
      <c r="G18" s="50">
        <v>2</v>
      </c>
      <c r="H18" s="50">
        <v>0</v>
      </c>
      <c r="I18" s="50">
        <v>2</v>
      </c>
      <c r="J18" s="50">
        <v>2</v>
      </c>
      <c r="K18" s="50">
        <v>0</v>
      </c>
      <c r="L18" s="50">
        <v>0</v>
      </c>
      <c r="M18" s="50">
        <v>126</v>
      </c>
      <c r="N18" s="50">
        <v>0</v>
      </c>
      <c r="O18" s="15">
        <f t="shared" si="0"/>
        <v>81</v>
      </c>
      <c r="P18" s="15">
        <f t="shared" si="1"/>
        <v>207</v>
      </c>
      <c r="R18" s="1" t="s">
        <v>14</v>
      </c>
      <c r="S18" s="17">
        <f t="shared" ref="S18:AF18" si="10">SUM(C42:C45)</f>
        <v>109</v>
      </c>
      <c r="T18" s="17">
        <f t="shared" si="10"/>
        <v>8</v>
      </c>
      <c r="U18" s="17">
        <f t="shared" si="10"/>
        <v>14</v>
      </c>
      <c r="V18" s="17">
        <f t="shared" si="10"/>
        <v>19</v>
      </c>
      <c r="W18" s="17">
        <f t="shared" si="10"/>
        <v>0</v>
      </c>
      <c r="X18" s="17">
        <f t="shared" si="10"/>
        <v>0</v>
      </c>
      <c r="Y18" s="17">
        <f t="shared" si="10"/>
        <v>7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181</v>
      </c>
      <c r="AD18" s="17">
        <f t="shared" si="10"/>
        <v>0</v>
      </c>
      <c r="AE18" s="31">
        <f t="shared" si="10"/>
        <v>158</v>
      </c>
      <c r="AF18" s="31">
        <f t="shared" si="10"/>
        <v>339</v>
      </c>
    </row>
    <row r="19" spans="2:32" ht="23.1" customHeight="1" x14ac:dyDescent="0.25">
      <c r="B19" s="23" t="s">
        <v>46</v>
      </c>
      <c r="C19" s="50">
        <v>43</v>
      </c>
      <c r="D19" s="50">
        <v>8</v>
      </c>
      <c r="E19" s="50">
        <v>4</v>
      </c>
      <c r="F19" s="50">
        <v>17</v>
      </c>
      <c r="G19" s="50">
        <v>0</v>
      </c>
      <c r="H19" s="50">
        <v>0</v>
      </c>
      <c r="I19" s="50">
        <v>3</v>
      </c>
      <c r="J19" s="50">
        <v>0</v>
      </c>
      <c r="K19" s="50">
        <v>0</v>
      </c>
      <c r="L19" s="50">
        <v>0</v>
      </c>
      <c r="M19" s="50">
        <v>90</v>
      </c>
      <c r="N19" s="50">
        <v>0</v>
      </c>
      <c r="O19" s="15">
        <f t="shared" si="0"/>
        <v>75</v>
      </c>
      <c r="P19" s="15">
        <f t="shared" si="1"/>
        <v>165</v>
      </c>
      <c r="R19" s="1" t="s">
        <v>15</v>
      </c>
      <c r="S19" s="17">
        <f t="shared" ref="S19:AF19" si="11">SUM(C46:C49)</f>
        <v>128</v>
      </c>
      <c r="T19" s="17">
        <f t="shared" si="11"/>
        <v>22</v>
      </c>
      <c r="U19" s="17">
        <f t="shared" si="11"/>
        <v>14</v>
      </c>
      <c r="V19" s="17">
        <f t="shared" si="11"/>
        <v>23</v>
      </c>
      <c r="W19" s="17">
        <f t="shared" si="11"/>
        <v>0</v>
      </c>
      <c r="X19" s="17">
        <f t="shared" si="11"/>
        <v>0</v>
      </c>
      <c r="Y19" s="17">
        <f t="shared" si="11"/>
        <v>13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273</v>
      </c>
      <c r="AD19" s="17">
        <f t="shared" si="11"/>
        <v>0</v>
      </c>
      <c r="AE19" s="31">
        <f t="shared" si="11"/>
        <v>202</v>
      </c>
      <c r="AF19" s="31">
        <f t="shared" si="11"/>
        <v>475</v>
      </c>
    </row>
    <row r="20" spans="2:32" ht="23.1" customHeight="1" x14ac:dyDescent="0.25">
      <c r="B20" s="23" t="s">
        <v>47</v>
      </c>
      <c r="C20" s="50">
        <v>55</v>
      </c>
      <c r="D20" s="50">
        <v>8</v>
      </c>
      <c r="E20" s="50">
        <v>3</v>
      </c>
      <c r="F20" s="50">
        <v>13</v>
      </c>
      <c r="G20" s="50">
        <v>0</v>
      </c>
      <c r="H20" s="50">
        <v>0</v>
      </c>
      <c r="I20" s="50">
        <v>2</v>
      </c>
      <c r="J20" s="50">
        <v>3</v>
      </c>
      <c r="K20" s="50">
        <v>0</v>
      </c>
      <c r="L20" s="50">
        <v>0</v>
      </c>
      <c r="M20" s="50">
        <v>115</v>
      </c>
      <c r="N20" s="50">
        <v>0</v>
      </c>
      <c r="O20" s="15">
        <f t="shared" si="0"/>
        <v>84</v>
      </c>
      <c r="P20" s="15">
        <f t="shared" si="1"/>
        <v>199</v>
      </c>
      <c r="R20" s="1" t="s">
        <v>16</v>
      </c>
      <c r="S20" s="17">
        <f t="shared" ref="S20:AF20" si="12">SUM(C50:C53)</f>
        <v>104</v>
      </c>
      <c r="T20" s="17">
        <f t="shared" si="12"/>
        <v>14</v>
      </c>
      <c r="U20" s="17">
        <f t="shared" si="12"/>
        <v>15</v>
      </c>
      <c r="V20" s="17">
        <f t="shared" si="12"/>
        <v>25</v>
      </c>
      <c r="W20" s="17">
        <f t="shared" si="12"/>
        <v>1</v>
      </c>
      <c r="X20" s="17">
        <f t="shared" si="12"/>
        <v>0</v>
      </c>
      <c r="Y20" s="17">
        <f t="shared" si="12"/>
        <v>8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236</v>
      </c>
      <c r="AD20" s="17">
        <f t="shared" si="12"/>
        <v>0</v>
      </c>
      <c r="AE20" s="31">
        <f t="shared" si="12"/>
        <v>168</v>
      </c>
      <c r="AF20" s="31">
        <f t="shared" si="12"/>
        <v>404</v>
      </c>
    </row>
    <row r="21" spans="2:32" ht="23.1" customHeight="1" x14ac:dyDescent="0.25">
      <c r="B21" s="23" t="s">
        <v>48</v>
      </c>
      <c r="C21" s="50">
        <v>54</v>
      </c>
      <c r="D21" s="50">
        <v>5</v>
      </c>
      <c r="E21" s="50">
        <v>7</v>
      </c>
      <c r="F21" s="50">
        <v>20</v>
      </c>
      <c r="G21" s="50">
        <v>0</v>
      </c>
      <c r="H21" s="50">
        <v>0</v>
      </c>
      <c r="I21" s="50">
        <v>5</v>
      </c>
      <c r="J21" s="50">
        <v>0</v>
      </c>
      <c r="K21" s="50">
        <v>0</v>
      </c>
      <c r="L21" s="50">
        <v>0</v>
      </c>
      <c r="M21" s="50">
        <v>108</v>
      </c>
      <c r="N21" s="50">
        <v>0</v>
      </c>
      <c r="O21" s="15">
        <f t="shared" si="0"/>
        <v>91</v>
      </c>
      <c r="P21" s="15">
        <f t="shared" si="1"/>
        <v>199</v>
      </c>
      <c r="R21" s="36" t="s">
        <v>20</v>
      </c>
      <c r="S21" s="34">
        <f t="shared" ref="S21:AF21" si="13">SUM(C54:C57)</f>
        <v>97</v>
      </c>
      <c r="T21" s="17">
        <f t="shared" si="13"/>
        <v>11</v>
      </c>
      <c r="U21" s="17">
        <f t="shared" si="13"/>
        <v>12</v>
      </c>
      <c r="V21" s="17">
        <f t="shared" si="13"/>
        <v>28</v>
      </c>
      <c r="W21" s="17">
        <f t="shared" si="13"/>
        <v>3</v>
      </c>
      <c r="X21" s="17">
        <f t="shared" si="13"/>
        <v>2</v>
      </c>
      <c r="Y21" s="17">
        <f t="shared" si="13"/>
        <v>7</v>
      </c>
      <c r="Z21" s="17">
        <f t="shared" si="13"/>
        <v>4</v>
      </c>
      <c r="AA21" s="17">
        <f t="shared" si="13"/>
        <v>1</v>
      </c>
      <c r="AB21" s="17">
        <f t="shared" si="13"/>
        <v>1</v>
      </c>
      <c r="AC21" s="17">
        <f t="shared" si="13"/>
        <v>338</v>
      </c>
      <c r="AD21" s="17">
        <f t="shared" si="13"/>
        <v>0</v>
      </c>
      <c r="AE21" s="31">
        <f t="shared" si="13"/>
        <v>166</v>
      </c>
      <c r="AF21" s="31">
        <f t="shared" si="13"/>
        <v>504</v>
      </c>
    </row>
    <row r="22" spans="2:32" ht="23.1" customHeight="1" x14ac:dyDescent="0.25">
      <c r="B22" s="23" t="s">
        <v>49</v>
      </c>
      <c r="C22" s="50">
        <v>37</v>
      </c>
      <c r="D22" s="50">
        <v>4</v>
      </c>
      <c r="E22" s="50">
        <v>2</v>
      </c>
      <c r="F22" s="50">
        <v>6</v>
      </c>
      <c r="G22" s="50">
        <v>0</v>
      </c>
      <c r="H22" s="50">
        <v>0</v>
      </c>
      <c r="I22" s="50">
        <v>5</v>
      </c>
      <c r="J22" s="50">
        <v>1</v>
      </c>
      <c r="K22" s="50">
        <v>1</v>
      </c>
      <c r="L22" s="50">
        <v>0</v>
      </c>
      <c r="M22" s="50">
        <v>93</v>
      </c>
      <c r="N22" s="50">
        <v>0</v>
      </c>
      <c r="O22" s="15">
        <f t="shared" si="0"/>
        <v>56</v>
      </c>
      <c r="P22" s="15">
        <f t="shared" si="1"/>
        <v>149</v>
      </c>
      <c r="R22" s="38" t="s">
        <v>90</v>
      </c>
      <c r="S22" s="39">
        <f>MAX(S10:S12)</f>
        <v>279</v>
      </c>
      <c r="T22" s="39">
        <f t="shared" ref="T22:AF22" si="14">MAX(T10:T12)</f>
        <v>31</v>
      </c>
      <c r="U22" s="39">
        <f t="shared" si="14"/>
        <v>18</v>
      </c>
      <c r="V22" s="39">
        <f t="shared" si="14"/>
        <v>146</v>
      </c>
      <c r="W22" s="39">
        <f t="shared" si="14"/>
        <v>2</v>
      </c>
      <c r="X22" s="39">
        <f t="shared" si="14"/>
        <v>0</v>
      </c>
      <c r="Y22" s="39">
        <f t="shared" si="14"/>
        <v>12</v>
      </c>
      <c r="Z22" s="39">
        <f t="shared" si="14"/>
        <v>9</v>
      </c>
      <c r="AA22" s="39">
        <f t="shared" si="14"/>
        <v>3</v>
      </c>
      <c r="AB22" s="39">
        <f t="shared" si="14"/>
        <v>0</v>
      </c>
      <c r="AC22" s="39">
        <f t="shared" si="14"/>
        <v>497</v>
      </c>
      <c r="AD22" s="39">
        <f t="shared" si="14"/>
        <v>0</v>
      </c>
      <c r="AE22" s="40">
        <f t="shared" si="14"/>
        <v>487</v>
      </c>
      <c r="AF22" s="40">
        <f t="shared" si="14"/>
        <v>984</v>
      </c>
    </row>
    <row r="23" spans="2:32" ht="23.1" customHeight="1" x14ac:dyDescent="0.25">
      <c r="B23" s="23" t="s">
        <v>50</v>
      </c>
      <c r="C23" s="50">
        <v>47</v>
      </c>
      <c r="D23" s="50">
        <v>5</v>
      </c>
      <c r="E23" s="50">
        <v>5</v>
      </c>
      <c r="F23" s="50">
        <v>8</v>
      </c>
      <c r="G23" s="50">
        <v>0</v>
      </c>
      <c r="H23" s="50">
        <v>0</v>
      </c>
      <c r="I23" s="50">
        <v>2</v>
      </c>
      <c r="J23" s="50">
        <v>2</v>
      </c>
      <c r="K23" s="50">
        <v>0</v>
      </c>
      <c r="L23" s="50">
        <v>0</v>
      </c>
      <c r="M23" s="50">
        <v>112</v>
      </c>
      <c r="N23" s="50">
        <v>0</v>
      </c>
      <c r="O23" s="15">
        <f t="shared" si="0"/>
        <v>69</v>
      </c>
      <c r="P23" s="15">
        <f t="shared" si="1"/>
        <v>181</v>
      </c>
      <c r="R23" s="38" t="s">
        <v>91</v>
      </c>
      <c r="S23" s="39">
        <f>MAX(S13:S18)</f>
        <v>160</v>
      </c>
      <c r="T23" s="39">
        <f t="shared" ref="T23:AF23" si="15">MAX(T13:T18)</f>
        <v>24</v>
      </c>
      <c r="U23" s="39">
        <f t="shared" si="15"/>
        <v>18</v>
      </c>
      <c r="V23" s="39">
        <f t="shared" si="15"/>
        <v>37</v>
      </c>
      <c r="W23" s="39">
        <f t="shared" si="15"/>
        <v>3</v>
      </c>
      <c r="X23" s="39">
        <f t="shared" si="15"/>
        <v>0</v>
      </c>
      <c r="Y23" s="39">
        <f t="shared" si="15"/>
        <v>19</v>
      </c>
      <c r="Z23" s="39">
        <f t="shared" si="15"/>
        <v>8</v>
      </c>
      <c r="AA23" s="39">
        <f t="shared" si="15"/>
        <v>2</v>
      </c>
      <c r="AB23" s="39">
        <f t="shared" si="15"/>
        <v>1</v>
      </c>
      <c r="AC23" s="39">
        <f t="shared" si="15"/>
        <v>416</v>
      </c>
      <c r="AD23" s="39">
        <f t="shared" si="15"/>
        <v>0</v>
      </c>
      <c r="AE23" s="40">
        <f t="shared" si="15"/>
        <v>251</v>
      </c>
      <c r="AF23" s="40">
        <f t="shared" si="15"/>
        <v>667</v>
      </c>
    </row>
    <row r="24" spans="2:32" ht="23.1" customHeight="1" x14ac:dyDescent="0.25">
      <c r="B24" s="23" t="s">
        <v>51</v>
      </c>
      <c r="C24" s="50">
        <v>41</v>
      </c>
      <c r="D24" s="50">
        <v>4</v>
      </c>
      <c r="E24" s="50">
        <v>6</v>
      </c>
      <c r="F24" s="50">
        <v>13</v>
      </c>
      <c r="G24" s="50">
        <v>0</v>
      </c>
      <c r="H24" s="50">
        <v>0</v>
      </c>
      <c r="I24" s="50">
        <v>1</v>
      </c>
      <c r="J24" s="50">
        <v>2</v>
      </c>
      <c r="K24" s="50">
        <v>0</v>
      </c>
      <c r="L24" s="50">
        <v>0</v>
      </c>
      <c r="M24" s="50">
        <v>109</v>
      </c>
      <c r="N24" s="50">
        <v>0</v>
      </c>
      <c r="O24" s="15">
        <f t="shared" si="0"/>
        <v>67</v>
      </c>
      <c r="P24" s="15">
        <f t="shared" si="1"/>
        <v>176</v>
      </c>
      <c r="R24" s="38" t="s">
        <v>92</v>
      </c>
      <c r="S24" s="39">
        <f>MAX(S19:S21)</f>
        <v>128</v>
      </c>
      <c r="T24" s="39">
        <f t="shared" ref="T24:AF24" si="16">MAX(T19:T21)</f>
        <v>22</v>
      </c>
      <c r="U24" s="39">
        <f t="shared" si="16"/>
        <v>15</v>
      </c>
      <c r="V24" s="39">
        <f t="shared" si="16"/>
        <v>28</v>
      </c>
      <c r="W24" s="39">
        <f t="shared" si="16"/>
        <v>3</v>
      </c>
      <c r="X24" s="39">
        <f t="shared" si="16"/>
        <v>2</v>
      </c>
      <c r="Y24" s="39">
        <f t="shared" si="16"/>
        <v>13</v>
      </c>
      <c r="Z24" s="39">
        <f t="shared" si="16"/>
        <v>4</v>
      </c>
      <c r="AA24" s="39">
        <f t="shared" si="16"/>
        <v>1</v>
      </c>
      <c r="AB24" s="39">
        <f t="shared" si="16"/>
        <v>1</v>
      </c>
      <c r="AC24" s="39">
        <f t="shared" si="16"/>
        <v>338</v>
      </c>
      <c r="AD24" s="39">
        <f t="shared" si="16"/>
        <v>0</v>
      </c>
      <c r="AE24" s="40">
        <f t="shared" si="16"/>
        <v>202</v>
      </c>
      <c r="AF24" s="40">
        <f t="shared" si="16"/>
        <v>504</v>
      </c>
    </row>
    <row r="25" spans="2:32" ht="23.1" customHeight="1" x14ac:dyDescent="0.25">
      <c r="B25" s="23" t="s">
        <v>52</v>
      </c>
      <c r="C25" s="50">
        <v>35</v>
      </c>
      <c r="D25" s="50">
        <v>3</v>
      </c>
      <c r="E25" s="50">
        <v>4</v>
      </c>
      <c r="F25" s="50">
        <v>10</v>
      </c>
      <c r="G25" s="50">
        <v>0</v>
      </c>
      <c r="H25" s="50">
        <v>0</v>
      </c>
      <c r="I25" s="50">
        <v>6</v>
      </c>
      <c r="J25" s="50">
        <v>1</v>
      </c>
      <c r="K25" s="50">
        <v>0</v>
      </c>
      <c r="L25" s="50">
        <v>0</v>
      </c>
      <c r="M25" s="50">
        <v>102</v>
      </c>
      <c r="N25" s="50">
        <v>0</v>
      </c>
      <c r="O25" s="15">
        <f t="shared" si="0"/>
        <v>59</v>
      </c>
      <c r="P25" s="15">
        <f t="shared" si="1"/>
        <v>161</v>
      </c>
      <c r="R25" s="37" t="s">
        <v>85</v>
      </c>
      <c r="S25" s="35">
        <f t="shared" ref="S25:AF25" si="17">SUM(S10:S12)</f>
        <v>639</v>
      </c>
      <c r="T25" s="16">
        <f t="shared" si="17"/>
        <v>70</v>
      </c>
      <c r="U25" s="16">
        <f t="shared" si="17"/>
        <v>49</v>
      </c>
      <c r="V25" s="16">
        <f t="shared" si="17"/>
        <v>284</v>
      </c>
      <c r="W25" s="16">
        <f t="shared" si="17"/>
        <v>3</v>
      </c>
      <c r="X25" s="16">
        <f t="shared" si="17"/>
        <v>0</v>
      </c>
      <c r="Y25" s="16">
        <f t="shared" si="17"/>
        <v>21</v>
      </c>
      <c r="Z25" s="16">
        <f t="shared" si="17"/>
        <v>18</v>
      </c>
      <c r="AA25" s="16">
        <f t="shared" si="17"/>
        <v>6</v>
      </c>
      <c r="AB25" s="16">
        <f t="shared" si="17"/>
        <v>0</v>
      </c>
      <c r="AC25" s="16">
        <f t="shared" si="17"/>
        <v>1133</v>
      </c>
      <c r="AD25" s="16">
        <f t="shared" si="17"/>
        <v>0</v>
      </c>
      <c r="AE25" s="32">
        <f t="shared" si="17"/>
        <v>1090</v>
      </c>
      <c r="AF25" s="32">
        <f t="shared" si="17"/>
        <v>2223</v>
      </c>
    </row>
    <row r="26" spans="2:32" ht="23.1" customHeight="1" x14ac:dyDescent="0.25">
      <c r="B26" s="23" t="s">
        <v>53</v>
      </c>
      <c r="C26" s="50">
        <v>43</v>
      </c>
      <c r="D26" s="50">
        <v>4</v>
      </c>
      <c r="E26" s="50">
        <v>5</v>
      </c>
      <c r="F26" s="50">
        <v>8</v>
      </c>
      <c r="G26" s="50">
        <v>1</v>
      </c>
      <c r="H26" s="50">
        <v>0</v>
      </c>
      <c r="I26" s="50">
        <v>5</v>
      </c>
      <c r="J26" s="50">
        <v>0</v>
      </c>
      <c r="K26" s="50">
        <v>0</v>
      </c>
      <c r="L26" s="50">
        <v>0</v>
      </c>
      <c r="M26" s="50">
        <v>85</v>
      </c>
      <c r="N26" s="50">
        <v>0</v>
      </c>
      <c r="O26" s="15">
        <f t="shared" si="0"/>
        <v>66</v>
      </c>
      <c r="P26" s="15">
        <f t="shared" si="1"/>
        <v>151</v>
      </c>
      <c r="R26" s="28" t="s">
        <v>86</v>
      </c>
      <c r="S26" s="16">
        <f t="shared" ref="S26:AF26" si="18">SUM(S13:S18)</f>
        <v>827</v>
      </c>
      <c r="T26" s="16">
        <f t="shared" si="18"/>
        <v>86</v>
      </c>
      <c r="U26" s="16">
        <f t="shared" si="18"/>
        <v>88</v>
      </c>
      <c r="V26" s="16">
        <f t="shared" si="18"/>
        <v>185</v>
      </c>
      <c r="W26" s="16">
        <f t="shared" si="18"/>
        <v>5</v>
      </c>
      <c r="X26" s="16">
        <f t="shared" si="18"/>
        <v>0</v>
      </c>
      <c r="Y26" s="16">
        <f t="shared" si="18"/>
        <v>76</v>
      </c>
      <c r="Z26" s="16">
        <f t="shared" si="18"/>
        <v>26</v>
      </c>
      <c r="AA26" s="16">
        <f t="shared" si="18"/>
        <v>4</v>
      </c>
      <c r="AB26" s="16">
        <f t="shared" si="18"/>
        <v>2</v>
      </c>
      <c r="AC26" s="16">
        <f t="shared" si="18"/>
        <v>1760</v>
      </c>
      <c r="AD26" s="16">
        <f t="shared" si="18"/>
        <v>0</v>
      </c>
      <c r="AE26" s="32">
        <f t="shared" si="18"/>
        <v>1299</v>
      </c>
      <c r="AF26" s="32">
        <f t="shared" si="18"/>
        <v>3059</v>
      </c>
    </row>
    <row r="27" spans="2:32" ht="23.1" customHeight="1" x14ac:dyDescent="0.25">
      <c r="B27" s="23" t="s">
        <v>54</v>
      </c>
      <c r="C27" s="50">
        <v>34</v>
      </c>
      <c r="D27" s="50">
        <v>6</v>
      </c>
      <c r="E27" s="50">
        <v>3</v>
      </c>
      <c r="F27" s="50">
        <v>7</v>
      </c>
      <c r="G27" s="50">
        <v>0</v>
      </c>
      <c r="H27" s="50">
        <v>0</v>
      </c>
      <c r="I27" s="50">
        <v>6</v>
      </c>
      <c r="J27" s="50">
        <v>2</v>
      </c>
      <c r="K27" s="50">
        <v>1</v>
      </c>
      <c r="L27" s="50">
        <v>0</v>
      </c>
      <c r="M27" s="50">
        <v>59</v>
      </c>
      <c r="N27" s="50">
        <v>0</v>
      </c>
      <c r="O27" s="15">
        <f t="shared" si="0"/>
        <v>59</v>
      </c>
      <c r="P27" s="15">
        <f t="shared" si="1"/>
        <v>118</v>
      </c>
      <c r="R27" s="29" t="s">
        <v>87</v>
      </c>
      <c r="S27" s="16">
        <f t="shared" ref="S27:AF27" si="19">SUM(S19:S21)</f>
        <v>329</v>
      </c>
      <c r="T27" s="16">
        <f t="shared" si="19"/>
        <v>47</v>
      </c>
      <c r="U27" s="16">
        <f t="shared" si="19"/>
        <v>41</v>
      </c>
      <c r="V27" s="16">
        <f t="shared" si="19"/>
        <v>76</v>
      </c>
      <c r="W27" s="16">
        <f t="shared" si="19"/>
        <v>4</v>
      </c>
      <c r="X27" s="16">
        <f t="shared" si="19"/>
        <v>2</v>
      </c>
      <c r="Y27" s="16">
        <f t="shared" si="19"/>
        <v>28</v>
      </c>
      <c r="Z27" s="16">
        <f t="shared" si="19"/>
        <v>7</v>
      </c>
      <c r="AA27" s="16">
        <f t="shared" si="19"/>
        <v>1</v>
      </c>
      <c r="AB27" s="16">
        <f t="shared" si="19"/>
        <v>1</v>
      </c>
      <c r="AC27" s="16">
        <f t="shared" si="19"/>
        <v>847</v>
      </c>
      <c r="AD27" s="16">
        <f t="shared" si="19"/>
        <v>0</v>
      </c>
      <c r="AE27" s="32">
        <f t="shared" si="19"/>
        <v>536</v>
      </c>
      <c r="AF27" s="32">
        <f t="shared" si="19"/>
        <v>1383</v>
      </c>
    </row>
    <row r="28" spans="2:32" ht="23.1" customHeight="1" x14ac:dyDescent="0.25">
      <c r="B28" s="23" t="s">
        <v>55</v>
      </c>
      <c r="C28" s="50">
        <v>38</v>
      </c>
      <c r="D28" s="50">
        <v>6</v>
      </c>
      <c r="E28" s="50">
        <v>3</v>
      </c>
      <c r="F28" s="50">
        <v>12</v>
      </c>
      <c r="G28" s="50">
        <v>1</v>
      </c>
      <c r="H28" s="50">
        <v>0</v>
      </c>
      <c r="I28" s="50">
        <v>7</v>
      </c>
      <c r="J28" s="50">
        <v>2</v>
      </c>
      <c r="K28" s="50">
        <v>1</v>
      </c>
      <c r="L28" s="50">
        <v>1</v>
      </c>
      <c r="M28" s="50">
        <v>75</v>
      </c>
      <c r="N28" s="50">
        <v>0</v>
      </c>
      <c r="O28" s="15">
        <f t="shared" si="0"/>
        <v>71</v>
      </c>
      <c r="P28" s="15">
        <f t="shared" si="1"/>
        <v>146</v>
      </c>
      <c r="R28" s="5" t="s">
        <v>17</v>
      </c>
      <c r="S28" s="16">
        <f t="shared" ref="S28:AF28" si="20">SUM(S10:S21)</f>
        <v>1795</v>
      </c>
      <c r="T28" s="16">
        <f t="shared" si="20"/>
        <v>203</v>
      </c>
      <c r="U28" s="16">
        <f t="shared" si="20"/>
        <v>178</v>
      </c>
      <c r="V28" s="16">
        <f t="shared" si="20"/>
        <v>545</v>
      </c>
      <c r="W28" s="16">
        <f t="shared" si="20"/>
        <v>12</v>
      </c>
      <c r="X28" s="16">
        <f t="shared" si="20"/>
        <v>2</v>
      </c>
      <c r="Y28" s="16">
        <f t="shared" si="20"/>
        <v>125</v>
      </c>
      <c r="Z28" s="16">
        <f t="shared" si="20"/>
        <v>51</v>
      </c>
      <c r="AA28" s="16">
        <f t="shared" si="20"/>
        <v>11</v>
      </c>
      <c r="AB28" s="16">
        <f t="shared" si="20"/>
        <v>3</v>
      </c>
      <c r="AC28" s="16">
        <f t="shared" si="20"/>
        <v>3740</v>
      </c>
      <c r="AD28" s="16">
        <f t="shared" si="20"/>
        <v>0</v>
      </c>
      <c r="AE28" s="32">
        <f t="shared" si="20"/>
        <v>2925</v>
      </c>
      <c r="AF28" s="32">
        <f t="shared" si="20"/>
        <v>6665</v>
      </c>
    </row>
    <row r="29" spans="2:32" ht="23.1" customHeight="1" x14ac:dyDescent="0.25">
      <c r="B29" s="23" t="s">
        <v>56</v>
      </c>
      <c r="C29" s="50">
        <v>28</v>
      </c>
      <c r="D29" s="50">
        <v>8</v>
      </c>
      <c r="E29" s="50">
        <v>6</v>
      </c>
      <c r="F29" s="50">
        <v>8</v>
      </c>
      <c r="G29" s="50">
        <v>1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81</v>
      </c>
      <c r="N29" s="50">
        <v>0</v>
      </c>
      <c r="O29" s="15">
        <f t="shared" si="0"/>
        <v>52</v>
      </c>
      <c r="P29" s="15">
        <f t="shared" si="1"/>
        <v>133</v>
      </c>
      <c r="R29"/>
      <c r="S29" s="20"/>
      <c r="T29" s="19"/>
    </row>
    <row r="30" spans="2:32" ht="23.1" customHeight="1" x14ac:dyDescent="0.25">
      <c r="B30" s="23" t="s">
        <v>57</v>
      </c>
      <c r="C30" s="50">
        <v>33</v>
      </c>
      <c r="D30" s="50">
        <v>5</v>
      </c>
      <c r="E30" s="50">
        <v>4</v>
      </c>
      <c r="F30" s="50">
        <v>5</v>
      </c>
      <c r="G30" s="50">
        <v>0</v>
      </c>
      <c r="H30" s="50">
        <v>0</v>
      </c>
      <c r="I30" s="50">
        <v>5</v>
      </c>
      <c r="J30" s="50">
        <v>3</v>
      </c>
      <c r="K30" s="50">
        <v>0</v>
      </c>
      <c r="L30" s="50">
        <v>0</v>
      </c>
      <c r="M30" s="50">
        <v>63</v>
      </c>
      <c r="N30" s="50">
        <v>0</v>
      </c>
      <c r="O30" s="15">
        <f t="shared" si="0"/>
        <v>55</v>
      </c>
      <c r="P30" s="15">
        <f t="shared" si="1"/>
        <v>118</v>
      </c>
    </row>
    <row r="31" spans="2:32" ht="23.1" customHeight="1" x14ac:dyDescent="0.25">
      <c r="B31" s="24" t="s">
        <v>58</v>
      </c>
      <c r="C31" s="50">
        <v>46</v>
      </c>
      <c r="D31" s="50">
        <v>2</v>
      </c>
      <c r="E31" s="50">
        <v>2</v>
      </c>
      <c r="F31" s="50">
        <v>5</v>
      </c>
      <c r="G31" s="50">
        <v>0</v>
      </c>
      <c r="H31" s="50">
        <v>0</v>
      </c>
      <c r="I31" s="50">
        <v>4</v>
      </c>
      <c r="J31" s="50">
        <v>1</v>
      </c>
      <c r="K31" s="50">
        <v>0</v>
      </c>
      <c r="L31" s="50">
        <v>0</v>
      </c>
      <c r="M31" s="50">
        <v>87</v>
      </c>
      <c r="N31" s="50">
        <v>0</v>
      </c>
      <c r="O31" s="15">
        <f t="shared" si="0"/>
        <v>60</v>
      </c>
      <c r="P31" s="15">
        <f t="shared" si="1"/>
        <v>147</v>
      </c>
    </row>
    <row r="32" spans="2:32" ht="23.1" customHeight="1" x14ac:dyDescent="0.25">
      <c r="B32" s="24" t="s">
        <v>59</v>
      </c>
      <c r="C32" s="50">
        <v>28</v>
      </c>
      <c r="D32" s="50">
        <v>1</v>
      </c>
      <c r="E32" s="50">
        <v>2</v>
      </c>
      <c r="F32" s="50">
        <v>5</v>
      </c>
      <c r="G32" s="50">
        <v>1</v>
      </c>
      <c r="H32" s="50">
        <v>0</v>
      </c>
      <c r="I32" s="50">
        <v>3</v>
      </c>
      <c r="J32" s="50">
        <v>3</v>
      </c>
      <c r="K32" s="50">
        <v>0</v>
      </c>
      <c r="L32" s="50">
        <v>0</v>
      </c>
      <c r="M32" s="50">
        <v>60</v>
      </c>
      <c r="N32" s="50">
        <v>0</v>
      </c>
      <c r="O32" s="15">
        <f t="shared" si="0"/>
        <v>43</v>
      </c>
      <c r="P32" s="15">
        <f t="shared" si="1"/>
        <v>103</v>
      </c>
    </row>
    <row r="33" spans="2:20" ht="23.1" customHeight="1" x14ac:dyDescent="0.25">
      <c r="B33" s="23" t="s">
        <v>60</v>
      </c>
      <c r="C33" s="50">
        <v>45</v>
      </c>
      <c r="D33" s="50">
        <v>3</v>
      </c>
      <c r="E33" s="50">
        <v>4</v>
      </c>
      <c r="F33" s="50">
        <v>11</v>
      </c>
      <c r="G33" s="50">
        <v>0</v>
      </c>
      <c r="H33" s="50">
        <v>0</v>
      </c>
      <c r="I33" s="50">
        <v>3</v>
      </c>
      <c r="J33" s="50">
        <v>1</v>
      </c>
      <c r="K33" s="50">
        <v>0</v>
      </c>
      <c r="L33" s="50">
        <v>0</v>
      </c>
      <c r="M33" s="50">
        <v>105</v>
      </c>
      <c r="N33" s="50">
        <v>0</v>
      </c>
      <c r="O33" s="15">
        <f t="shared" si="0"/>
        <v>67</v>
      </c>
      <c r="P33" s="15">
        <f t="shared" si="1"/>
        <v>172</v>
      </c>
    </row>
    <row r="34" spans="2:20" ht="23.1" customHeight="1" x14ac:dyDescent="0.25">
      <c r="B34" s="24" t="s">
        <v>61</v>
      </c>
      <c r="C34" s="50">
        <v>27</v>
      </c>
      <c r="D34" s="50">
        <v>1</v>
      </c>
      <c r="E34" s="50">
        <v>3</v>
      </c>
      <c r="F34" s="50">
        <v>9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68</v>
      </c>
      <c r="N34" s="50">
        <v>0</v>
      </c>
      <c r="O34" s="15">
        <f t="shared" si="0"/>
        <v>43</v>
      </c>
      <c r="P34" s="15">
        <f t="shared" si="1"/>
        <v>111</v>
      </c>
    </row>
    <row r="35" spans="2:20" ht="23.1" customHeight="1" x14ac:dyDescent="0.25">
      <c r="B35" s="24" t="s">
        <v>62</v>
      </c>
      <c r="C35" s="50">
        <v>27</v>
      </c>
      <c r="D35" s="50">
        <v>5</v>
      </c>
      <c r="E35" s="50">
        <v>1</v>
      </c>
      <c r="F35" s="50">
        <v>8</v>
      </c>
      <c r="G35" s="50">
        <v>0</v>
      </c>
      <c r="H35" s="50">
        <v>0</v>
      </c>
      <c r="I35" s="50">
        <v>2</v>
      </c>
      <c r="J35" s="50">
        <v>2</v>
      </c>
      <c r="K35" s="50">
        <v>0</v>
      </c>
      <c r="L35" s="50">
        <v>0</v>
      </c>
      <c r="M35" s="50">
        <v>65</v>
      </c>
      <c r="N35" s="50">
        <v>0</v>
      </c>
      <c r="O35" s="15">
        <f t="shared" si="0"/>
        <v>45</v>
      </c>
      <c r="P35" s="15">
        <f t="shared" si="1"/>
        <v>110</v>
      </c>
    </row>
    <row r="36" spans="2:20" ht="23.1" customHeight="1" x14ac:dyDescent="0.25">
      <c r="B36" s="24" t="s">
        <v>63</v>
      </c>
      <c r="C36" s="50">
        <v>42</v>
      </c>
      <c r="D36" s="50">
        <v>1</v>
      </c>
      <c r="E36" s="50">
        <v>1</v>
      </c>
      <c r="F36" s="50">
        <v>10</v>
      </c>
      <c r="G36" s="50">
        <v>1</v>
      </c>
      <c r="H36" s="50">
        <v>0</v>
      </c>
      <c r="I36" s="50">
        <v>2</v>
      </c>
      <c r="J36" s="50">
        <v>1</v>
      </c>
      <c r="K36" s="50">
        <v>0</v>
      </c>
      <c r="L36" s="50">
        <v>0</v>
      </c>
      <c r="M36" s="50">
        <v>87</v>
      </c>
      <c r="N36" s="50">
        <v>0</v>
      </c>
      <c r="O36" s="15">
        <f t="shared" si="0"/>
        <v>58</v>
      </c>
      <c r="P36" s="15">
        <f t="shared" si="1"/>
        <v>145</v>
      </c>
    </row>
    <row r="37" spans="2:20" ht="23.1" customHeight="1" x14ac:dyDescent="0.25">
      <c r="B37" s="23" t="s">
        <v>64</v>
      </c>
      <c r="C37" s="50">
        <v>47</v>
      </c>
      <c r="D37" s="50">
        <v>2</v>
      </c>
      <c r="E37" s="50">
        <v>5</v>
      </c>
      <c r="F37" s="50">
        <v>7</v>
      </c>
      <c r="G37" s="50">
        <v>0</v>
      </c>
      <c r="H37" s="50">
        <v>0</v>
      </c>
      <c r="I37" s="50">
        <v>3</v>
      </c>
      <c r="J37" s="50">
        <v>1</v>
      </c>
      <c r="K37" s="50">
        <v>1</v>
      </c>
      <c r="L37" s="50">
        <v>0</v>
      </c>
      <c r="M37" s="50">
        <v>72</v>
      </c>
      <c r="N37" s="50">
        <v>0</v>
      </c>
      <c r="O37" s="15">
        <f t="shared" si="0"/>
        <v>66</v>
      </c>
      <c r="P37" s="15">
        <f t="shared" si="1"/>
        <v>138</v>
      </c>
    </row>
    <row r="38" spans="2:20" ht="23.1" customHeight="1" x14ac:dyDescent="0.25">
      <c r="B38" s="24" t="s">
        <v>65</v>
      </c>
      <c r="C38" s="50">
        <v>26</v>
      </c>
      <c r="D38" s="50">
        <v>7</v>
      </c>
      <c r="E38" s="50">
        <v>0</v>
      </c>
      <c r="F38" s="50">
        <v>10</v>
      </c>
      <c r="G38" s="50">
        <v>0</v>
      </c>
      <c r="H38" s="50">
        <v>0</v>
      </c>
      <c r="I38" s="50">
        <v>2</v>
      </c>
      <c r="J38" s="50">
        <v>1</v>
      </c>
      <c r="K38" s="50">
        <v>0</v>
      </c>
      <c r="L38" s="50">
        <v>0</v>
      </c>
      <c r="M38" s="50">
        <v>87</v>
      </c>
      <c r="N38" s="50">
        <v>0</v>
      </c>
      <c r="O38" s="15">
        <f t="shared" si="0"/>
        <v>46</v>
      </c>
      <c r="P38" s="15">
        <f t="shared" si="1"/>
        <v>133</v>
      </c>
    </row>
    <row r="39" spans="2:20" ht="23.1" customHeight="1" x14ac:dyDescent="0.25">
      <c r="B39" s="24" t="s">
        <v>66</v>
      </c>
      <c r="C39" s="50">
        <v>30</v>
      </c>
      <c r="D39" s="50">
        <v>2</v>
      </c>
      <c r="E39" s="50">
        <v>6</v>
      </c>
      <c r="F39" s="50">
        <v>6</v>
      </c>
      <c r="G39" s="50">
        <v>0</v>
      </c>
      <c r="H39" s="50">
        <v>0</v>
      </c>
      <c r="I39" s="50">
        <v>1</v>
      </c>
      <c r="J39" s="50">
        <v>2</v>
      </c>
      <c r="K39" s="50">
        <v>0</v>
      </c>
      <c r="L39" s="50">
        <v>0</v>
      </c>
      <c r="M39" s="50">
        <v>80</v>
      </c>
      <c r="N39" s="50">
        <v>0</v>
      </c>
      <c r="O39" s="15">
        <f t="shared" si="0"/>
        <v>47</v>
      </c>
      <c r="P39" s="15">
        <f t="shared" si="1"/>
        <v>127</v>
      </c>
    </row>
    <row r="40" spans="2:20" ht="23.1" customHeight="1" x14ac:dyDescent="0.25">
      <c r="B40" s="24" t="s">
        <v>67</v>
      </c>
      <c r="C40" s="50">
        <v>27</v>
      </c>
      <c r="D40" s="50">
        <v>2</v>
      </c>
      <c r="E40" s="50">
        <v>5</v>
      </c>
      <c r="F40" s="50">
        <v>9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60</v>
      </c>
      <c r="N40" s="50">
        <v>0</v>
      </c>
      <c r="O40" s="15">
        <f t="shared" si="0"/>
        <v>46</v>
      </c>
      <c r="P40" s="15">
        <f t="shared" si="1"/>
        <v>106</v>
      </c>
    </row>
    <row r="41" spans="2:20" ht="23.1" customHeight="1" x14ac:dyDescent="0.25">
      <c r="B41" s="23" t="s">
        <v>68</v>
      </c>
      <c r="C41" s="50">
        <v>37</v>
      </c>
      <c r="D41" s="50">
        <v>7</v>
      </c>
      <c r="E41" s="50">
        <v>7</v>
      </c>
      <c r="F41" s="50">
        <v>9</v>
      </c>
      <c r="G41" s="50">
        <v>0</v>
      </c>
      <c r="H41" s="50">
        <v>0</v>
      </c>
      <c r="I41" s="50">
        <v>5</v>
      </c>
      <c r="J41" s="50">
        <v>0</v>
      </c>
      <c r="K41" s="50">
        <v>0</v>
      </c>
      <c r="L41" s="50">
        <v>1</v>
      </c>
      <c r="M41" s="50">
        <v>29</v>
      </c>
      <c r="N41" s="50">
        <v>0</v>
      </c>
      <c r="O41" s="15">
        <f t="shared" si="0"/>
        <v>66</v>
      </c>
      <c r="P41" s="15">
        <f t="shared" si="1"/>
        <v>95</v>
      </c>
    </row>
    <row r="42" spans="2:20" ht="23.1" customHeight="1" x14ac:dyDescent="0.25">
      <c r="B42" s="24" t="s">
        <v>69</v>
      </c>
      <c r="C42" s="50">
        <v>24</v>
      </c>
      <c r="D42" s="50">
        <v>1</v>
      </c>
      <c r="E42" s="50">
        <v>5</v>
      </c>
      <c r="F42" s="50">
        <v>5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0</v>
      </c>
      <c r="M42" s="50">
        <v>8</v>
      </c>
      <c r="N42" s="50">
        <v>0</v>
      </c>
      <c r="O42" s="15">
        <f t="shared" si="0"/>
        <v>38</v>
      </c>
      <c r="P42" s="15">
        <f t="shared" si="1"/>
        <v>46</v>
      </c>
    </row>
    <row r="43" spans="2:20" ht="23.1" customHeight="1" x14ac:dyDescent="0.25">
      <c r="B43" s="23" t="s">
        <v>70</v>
      </c>
      <c r="C43" s="50">
        <v>25</v>
      </c>
      <c r="D43" s="50">
        <v>3</v>
      </c>
      <c r="E43" s="50">
        <v>3</v>
      </c>
      <c r="F43" s="50">
        <v>5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40</v>
      </c>
      <c r="N43" s="50">
        <v>0</v>
      </c>
      <c r="O43" s="15">
        <f t="shared" si="0"/>
        <v>39</v>
      </c>
      <c r="P43" s="15">
        <f t="shared" si="1"/>
        <v>79</v>
      </c>
    </row>
    <row r="44" spans="2:20" ht="23.1" customHeight="1" x14ac:dyDescent="0.25">
      <c r="B44" s="25" t="s">
        <v>71</v>
      </c>
      <c r="C44" s="50">
        <v>22</v>
      </c>
      <c r="D44" s="50">
        <v>2</v>
      </c>
      <c r="E44" s="50">
        <v>2</v>
      </c>
      <c r="F44" s="50">
        <v>3</v>
      </c>
      <c r="G44" s="50">
        <v>0</v>
      </c>
      <c r="H44" s="50">
        <v>0</v>
      </c>
      <c r="I44" s="50">
        <v>1</v>
      </c>
      <c r="J44" s="50">
        <v>1</v>
      </c>
      <c r="K44" s="50">
        <v>0</v>
      </c>
      <c r="L44" s="50">
        <v>0</v>
      </c>
      <c r="M44" s="50">
        <v>40</v>
      </c>
      <c r="N44" s="50">
        <v>0</v>
      </c>
      <c r="O44" s="15">
        <f t="shared" si="0"/>
        <v>31</v>
      </c>
      <c r="P44" s="15">
        <f t="shared" si="1"/>
        <v>71</v>
      </c>
    </row>
    <row r="45" spans="2:20" ht="23.1" customHeight="1" x14ac:dyDescent="0.25">
      <c r="B45" s="23" t="s">
        <v>72</v>
      </c>
      <c r="C45" s="50">
        <v>38</v>
      </c>
      <c r="D45" s="50">
        <v>2</v>
      </c>
      <c r="E45" s="50">
        <v>4</v>
      </c>
      <c r="F45" s="50">
        <v>6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93</v>
      </c>
      <c r="N45" s="50">
        <v>0</v>
      </c>
      <c r="O45" s="15">
        <f t="shared" si="0"/>
        <v>50</v>
      </c>
      <c r="P45" s="15">
        <f t="shared" si="1"/>
        <v>143</v>
      </c>
    </row>
    <row r="46" spans="2:20" ht="23.1" customHeight="1" x14ac:dyDescent="0.25">
      <c r="B46" s="24" t="s">
        <v>73</v>
      </c>
      <c r="C46" s="50">
        <v>42</v>
      </c>
      <c r="D46" s="50">
        <v>6</v>
      </c>
      <c r="E46" s="50">
        <v>5</v>
      </c>
      <c r="F46" s="50">
        <v>5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0</v>
      </c>
      <c r="M46" s="50">
        <v>88</v>
      </c>
      <c r="N46" s="50">
        <v>0</v>
      </c>
      <c r="O46" s="15">
        <f t="shared" si="0"/>
        <v>61</v>
      </c>
      <c r="P46" s="15">
        <f t="shared" si="1"/>
        <v>149</v>
      </c>
      <c r="R46" s="8"/>
      <c r="T46"/>
    </row>
    <row r="47" spans="2:20" ht="23.1" customHeight="1" x14ac:dyDescent="0.25">
      <c r="B47" s="24" t="s">
        <v>74</v>
      </c>
      <c r="C47" s="50">
        <v>40</v>
      </c>
      <c r="D47" s="50">
        <v>1</v>
      </c>
      <c r="E47" s="50">
        <v>0</v>
      </c>
      <c r="F47" s="50">
        <v>5</v>
      </c>
      <c r="G47" s="50">
        <v>0</v>
      </c>
      <c r="H47" s="50">
        <v>0</v>
      </c>
      <c r="I47" s="50">
        <v>1</v>
      </c>
      <c r="J47" s="50">
        <v>1</v>
      </c>
      <c r="K47" s="50">
        <v>0</v>
      </c>
      <c r="L47" s="50">
        <v>0</v>
      </c>
      <c r="M47" s="50">
        <v>60</v>
      </c>
      <c r="N47" s="50">
        <v>0</v>
      </c>
      <c r="O47" s="15">
        <f t="shared" si="0"/>
        <v>48</v>
      </c>
      <c r="P47" s="15">
        <f t="shared" si="1"/>
        <v>108</v>
      </c>
      <c r="R47" s="8"/>
      <c r="T47"/>
    </row>
    <row r="48" spans="2:20" ht="23.1" customHeight="1" x14ac:dyDescent="0.25">
      <c r="B48" s="24" t="s">
        <v>75</v>
      </c>
      <c r="C48" s="50">
        <v>25</v>
      </c>
      <c r="D48" s="50">
        <v>4</v>
      </c>
      <c r="E48" s="50">
        <v>5</v>
      </c>
      <c r="F48" s="50">
        <v>5</v>
      </c>
      <c r="G48" s="50">
        <v>0</v>
      </c>
      <c r="H48" s="50">
        <v>0</v>
      </c>
      <c r="I48" s="50">
        <v>5</v>
      </c>
      <c r="J48" s="50">
        <v>1</v>
      </c>
      <c r="K48" s="50">
        <v>0</v>
      </c>
      <c r="L48" s="50">
        <v>0</v>
      </c>
      <c r="M48" s="50">
        <v>52</v>
      </c>
      <c r="N48" s="50">
        <v>0</v>
      </c>
      <c r="O48" s="15">
        <f t="shared" si="0"/>
        <v>45</v>
      </c>
      <c r="P48" s="15">
        <f t="shared" si="1"/>
        <v>97</v>
      </c>
      <c r="R48" s="8"/>
      <c r="T48"/>
    </row>
    <row r="49" spans="2:20" ht="23.1" customHeight="1" x14ac:dyDescent="0.25">
      <c r="B49" s="23" t="s">
        <v>76</v>
      </c>
      <c r="C49" s="50">
        <v>21</v>
      </c>
      <c r="D49" s="50">
        <v>11</v>
      </c>
      <c r="E49" s="50">
        <v>4</v>
      </c>
      <c r="F49" s="50">
        <v>8</v>
      </c>
      <c r="G49" s="50">
        <v>0</v>
      </c>
      <c r="H49" s="50">
        <v>0</v>
      </c>
      <c r="I49" s="50">
        <v>4</v>
      </c>
      <c r="J49" s="50">
        <v>0</v>
      </c>
      <c r="K49" s="50">
        <v>0</v>
      </c>
      <c r="L49" s="50">
        <v>0</v>
      </c>
      <c r="M49" s="50">
        <v>73</v>
      </c>
      <c r="N49" s="50">
        <v>0</v>
      </c>
      <c r="O49" s="15">
        <f t="shared" si="0"/>
        <v>48</v>
      </c>
      <c r="P49" s="15">
        <f t="shared" si="1"/>
        <v>121</v>
      </c>
      <c r="R49" s="8"/>
      <c r="T49"/>
    </row>
    <row r="50" spans="2:20" ht="23.1" customHeight="1" x14ac:dyDescent="0.25">
      <c r="B50" s="24" t="s">
        <v>77</v>
      </c>
      <c r="C50" s="50">
        <v>27</v>
      </c>
      <c r="D50" s="50">
        <v>1</v>
      </c>
      <c r="E50" s="50">
        <v>3</v>
      </c>
      <c r="F50" s="50">
        <v>4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34</v>
      </c>
      <c r="N50" s="50">
        <v>0</v>
      </c>
      <c r="O50" s="15">
        <f t="shared" si="0"/>
        <v>37</v>
      </c>
      <c r="P50" s="15">
        <f t="shared" si="1"/>
        <v>71</v>
      </c>
      <c r="R50" s="8"/>
      <c r="T50"/>
    </row>
    <row r="51" spans="2:20" ht="23.1" customHeight="1" x14ac:dyDescent="0.25">
      <c r="B51" s="24" t="s">
        <v>78</v>
      </c>
      <c r="C51" s="50">
        <v>28</v>
      </c>
      <c r="D51" s="50">
        <v>2</v>
      </c>
      <c r="E51" s="50">
        <v>2</v>
      </c>
      <c r="F51" s="50">
        <v>6</v>
      </c>
      <c r="G51" s="50">
        <v>1</v>
      </c>
      <c r="H51" s="50">
        <v>0</v>
      </c>
      <c r="I51" s="50">
        <v>1</v>
      </c>
      <c r="J51" s="50">
        <v>1</v>
      </c>
      <c r="K51" s="50">
        <v>0</v>
      </c>
      <c r="L51" s="50">
        <v>0</v>
      </c>
      <c r="M51" s="50">
        <v>52</v>
      </c>
      <c r="N51" s="50">
        <v>0</v>
      </c>
      <c r="O51" s="15">
        <f t="shared" si="0"/>
        <v>41</v>
      </c>
      <c r="P51" s="15">
        <f t="shared" si="1"/>
        <v>93</v>
      </c>
      <c r="R51" s="8"/>
      <c r="T51"/>
    </row>
    <row r="52" spans="2:20" ht="23.1" customHeight="1" x14ac:dyDescent="0.25">
      <c r="B52" s="24" t="s">
        <v>79</v>
      </c>
      <c r="C52" s="50">
        <v>23</v>
      </c>
      <c r="D52" s="50">
        <v>5</v>
      </c>
      <c r="E52" s="50">
        <v>3</v>
      </c>
      <c r="F52" s="50">
        <v>7</v>
      </c>
      <c r="G52" s="50">
        <v>0</v>
      </c>
      <c r="H52" s="50">
        <v>0</v>
      </c>
      <c r="I52" s="50">
        <v>3</v>
      </c>
      <c r="J52" s="50">
        <v>0</v>
      </c>
      <c r="K52" s="50">
        <v>0</v>
      </c>
      <c r="L52" s="50">
        <v>0</v>
      </c>
      <c r="M52" s="50">
        <v>77</v>
      </c>
      <c r="N52" s="50">
        <v>0</v>
      </c>
      <c r="O52" s="15">
        <f t="shared" si="0"/>
        <v>41</v>
      </c>
      <c r="P52" s="15">
        <f t="shared" si="1"/>
        <v>118</v>
      </c>
      <c r="R52" s="8"/>
      <c r="T52"/>
    </row>
    <row r="53" spans="2:20" ht="23.1" customHeight="1" x14ac:dyDescent="0.25">
      <c r="B53" s="23" t="s">
        <v>80</v>
      </c>
      <c r="C53" s="50">
        <v>26</v>
      </c>
      <c r="D53" s="50">
        <v>6</v>
      </c>
      <c r="E53" s="50">
        <v>7</v>
      </c>
      <c r="F53" s="50">
        <v>8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73</v>
      </c>
      <c r="N53" s="50">
        <v>0</v>
      </c>
      <c r="O53" s="15">
        <f t="shared" si="0"/>
        <v>49</v>
      </c>
      <c r="P53" s="15">
        <f t="shared" si="1"/>
        <v>122</v>
      </c>
      <c r="R53" s="8"/>
      <c r="T53"/>
    </row>
    <row r="54" spans="2:20" ht="23.1" customHeight="1" x14ac:dyDescent="0.25">
      <c r="B54" s="23" t="s">
        <v>81</v>
      </c>
      <c r="C54" s="50">
        <v>14</v>
      </c>
      <c r="D54" s="50">
        <v>1</v>
      </c>
      <c r="E54" s="50">
        <v>3</v>
      </c>
      <c r="F54" s="50">
        <v>10</v>
      </c>
      <c r="G54" s="50">
        <v>0</v>
      </c>
      <c r="H54" s="50">
        <v>0</v>
      </c>
      <c r="I54" s="50">
        <v>0</v>
      </c>
      <c r="J54" s="50">
        <v>1</v>
      </c>
      <c r="K54" s="50">
        <v>0</v>
      </c>
      <c r="L54" s="50">
        <v>1</v>
      </c>
      <c r="M54" s="50">
        <v>68</v>
      </c>
      <c r="N54" s="50">
        <v>0</v>
      </c>
      <c r="O54" s="15">
        <f t="shared" si="0"/>
        <v>30</v>
      </c>
      <c r="P54" s="15">
        <f t="shared" si="1"/>
        <v>98</v>
      </c>
      <c r="R54" s="8"/>
      <c r="T54"/>
    </row>
    <row r="55" spans="2:20" ht="23.1" customHeight="1" x14ac:dyDescent="0.25">
      <c r="B55" s="23" t="s">
        <v>82</v>
      </c>
      <c r="C55" s="50">
        <v>31</v>
      </c>
      <c r="D55" s="50">
        <v>3</v>
      </c>
      <c r="E55" s="50">
        <v>5</v>
      </c>
      <c r="F55" s="50">
        <v>6</v>
      </c>
      <c r="G55" s="50">
        <v>0</v>
      </c>
      <c r="H55" s="50">
        <v>1</v>
      </c>
      <c r="I55" s="50">
        <v>4</v>
      </c>
      <c r="J55" s="50">
        <v>0</v>
      </c>
      <c r="K55" s="50">
        <v>0</v>
      </c>
      <c r="L55" s="50">
        <v>0</v>
      </c>
      <c r="M55" s="50">
        <v>92</v>
      </c>
      <c r="N55" s="50">
        <v>0</v>
      </c>
      <c r="O55" s="15">
        <f t="shared" si="0"/>
        <v>50</v>
      </c>
      <c r="P55" s="15">
        <f t="shared" si="1"/>
        <v>142</v>
      </c>
      <c r="R55" s="8"/>
      <c r="T55"/>
    </row>
    <row r="56" spans="2:20" ht="23.1" customHeight="1" x14ac:dyDescent="0.25">
      <c r="B56" s="23" t="s">
        <v>83</v>
      </c>
      <c r="C56" s="50">
        <v>24</v>
      </c>
      <c r="D56" s="50">
        <v>5</v>
      </c>
      <c r="E56" s="50">
        <v>3</v>
      </c>
      <c r="F56" s="50">
        <v>4</v>
      </c>
      <c r="G56" s="50">
        <v>1</v>
      </c>
      <c r="H56" s="50">
        <v>1</v>
      </c>
      <c r="I56" s="50">
        <v>0</v>
      </c>
      <c r="J56" s="50">
        <v>3</v>
      </c>
      <c r="K56" s="50">
        <v>0</v>
      </c>
      <c r="L56" s="50">
        <v>0</v>
      </c>
      <c r="M56" s="50">
        <v>88</v>
      </c>
      <c r="N56" s="50">
        <v>0</v>
      </c>
      <c r="O56" s="15">
        <f t="shared" si="0"/>
        <v>41</v>
      </c>
      <c r="P56" s="15">
        <f t="shared" si="1"/>
        <v>129</v>
      </c>
      <c r="R56" s="8"/>
      <c r="T56"/>
    </row>
    <row r="57" spans="2:20" ht="23.1" customHeight="1" x14ac:dyDescent="0.25">
      <c r="B57" s="23" t="s">
        <v>84</v>
      </c>
      <c r="C57" s="50">
        <v>28</v>
      </c>
      <c r="D57" s="50">
        <v>2</v>
      </c>
      <c r="E57" s="50">
        <v>1</v>
      </c>
      <c r="F57" s="50">
        <v>8</v>
      </c>
      <c r="G57" s="50">
        <v>2</v>
      </c>
      <c r="H57" s="50">
        <v>0</v>
      </c>
      <c r="I57" s="50">
        <v>3</v>
      </c>
      <c r="J57" s="50">
        <v>0</v>
      </c>
      <c r="K57" s="50">
        <v>1</v>
      </c>
      <c r="L57" s="50">
        <v>0</v>
      </c>
      <c r="M57" s="50">
        <v>90</v>
      </c>
      <c r="N57" s="50">
        <v>0</v>
      </c>
      <c r="O57" s="15">
        <f t="shared" si="0"/>
        <v>45</v>
      </c>
      <c r="P57" s="15">
        <f t="shared" si="1"/>
        <v>135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1795</v>
      </c>
      <c r="D58" s="16">
        <f t="shared" si="21"/>
        <v>203</v>
      </c>
      <c r="E58" s="16">
        <f t="shared" si="21"/>
        <v>178</v>
      </c>
      <c r="F58" s="16">
        <f t="shared" si="21"/>
        <v>545</v>
      </c>
      <c r="G58" s="16">
        <f t="shared" si="21"/>
        <v>12</v>
      </c>
      <c r="H58" s="16">
        <f t="shared" si="21"/>
        <v>2</v>
      </c>
      <c r="I58" s="16">
        <f t="shared" si="21"/>
        <v>125</v>
      </c>
      <c r="J58" s="16">
        <f t="shared" si="21"/>
        <v>51</v>
      </c>
      <c r="K58" s="16">
        <f t="shared" si="21"/>
        <v>11</v>
      </c>
      <c r="L58" s="16">
        <f t="shared" si="21"/>
        <v>3</v>
      </c>
      <c r="M58" s="16">
        <f t="shared" si="21"/>
        <v>3740</v>
      </c>
      <c r="N58" s="16">
        <f t="shared" si="21"/>
        <v>0</v>
      </c>
      <c r="O58" s="16">
        <f t="shared" si="21"/>
        <v>2925</v>
      </c>
      <c r="P58" s="16">
        <f t="shared" si="21"/>
        <v>6665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0.2693173293323331</v>
      </c>
      <c r="D59" s="43">
        <f t="shared" si="22"/>
        <v>3.04576144036009E-2</v>
      </c>
      <c r="E59" s="43">
        <f t="shared" si="22"/>
        <v>2.6706676669167293E-2</v>
      </c>
      <c r="F59" s="43">
        <f t="shared" si="22"/>
        <v>8.1770442610652666E-2</v>
      </c>
      <c r="G59" s="43">
        <f t="shared" si="22"/>
        <v>1.8004501125281321E-3</v>
      </c>
      <c r="H59" s="43">
        <f t="shared" si="22"/>
        <v>3.0007501875468868E-4</v>
      </c>
      <c r="I59" s="43">
        <f t="shared" si="22"/>
        <v>1.8754688672168042E-2</v>
      </c>
      <c r="J59" s="43">
        <f t="shared" si="22"/>
        <v>7.6519129782445612E-3</v>
      </c>
      <c r="K59" s="43">
        <f t="shared" si="22"/>
        <v>1.6504126031507878E-3</v>
      </c>
      <c r="L59" s="43">
        <f t="shared" si="22"/>
        <v>4.5011252813203302E-4</v>
      </c>
      <c r="M59" s="43">
        <f t="shared" si="22"/>
        <v>0.56114028507126779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0.61367521367521372</v>
      </c>
      <c r="D60" s="44">
        <f t="shared" ref="D60:N60" si="23">D58/$O$58</f>
        <v>6.9401709401709408E-2</v>
      </c>
      <c r="E60" s="44">
        <f t="shared" si="23"/>
        <v>6.0854700854700856E-2</v>
      </c>
      <c r="F60" s="44">
        <f t="shared" si="23"/>
        <v>0.18632478632478633</v>
      </c>
      <c r="G60" s="44">
        <f t="shared" si="23"/>
        <v>4.1025641025641026E-3</v>
      </c>
      <c r="H60" s="44">
        <f t="shared" si="23"/>
        <v>6.8376068376068376E-4</v>
      </c>
      <c r="I60" s="44">
        <f t="shared" si="23"/>
        <v>4.2735042735042736E-2</v>
      </c>
      <c r="J60" s="44">
        <f t="shared" si="23"/>
        <v>1.7435897435897435E-2</v>
      </c>
      <c r="K60" s="44">
        <f t="shared" si="23"/>
        <v>3.7606837606837607E-3</v>
      </c>
      <c r="L60" s="44">
        <f t="shared" si="23"/>
        <v>1.0256410256410256E-3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'22.07 Ndeeba-Nyanama'!C3:G3</f>
        <v>MCC - C1 - STN04 - WERAGA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162</v>
      </c>
      <c r="E5" s="3"/>
      <c r="F5" s="41" t="s">
        <v>1</v>
      </c>
      <c r="G5" s="68" t="str">
        <f>'22.07 Ndeeba-Nyanama'!G5:H5</f>
        <v>Golden Mille Hotel</v>
      </c>
      <c r="H5" s="69"/>
      <c r="I5" s="14"/>
      <c r="J5" s="2" t="s">
        <v>5</v>
      </c>
      <c r="K5" s="68" t="s">
        <v>172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tr">
        <f>'22.07 Ndeeba-Nyanama'!D6:E6</f>
        <v>Ndeeba</v>
      </c>
      <c r="E6" s="69"/>
      <c r="F6" s="2" t="s">
        <v>2</v>
      </c>
      <c r="G6" s="68" t="str">
        <f>'22.07 Ndeeba-Nyanama'!G6:H6</f>
        <v>Nyanama</v>
      </c>
      <c r="H6" s="69"/>
      <c r="J6" s="2" t="s">
        <v>21</v>
      </c>
      <c r="K6" s="68" t="str">
        <f>'22.07 Ndeeba-Nyanama'!K6:L6</f>
        <v>Denis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65</v>
      </c>
      <c r="D10" s="50">
        <v>3</v>
      </c>
      <c r="E10" s="50">
        <v>8</v>
      </c>
      <c r="F10" s="50">
        <v>39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130</v>
      </c>
      <c r="N10" s="50">
        <v>0</v>
      </c>
      <c r="O10" s="15">
        <f t="shared" ref="O10:O57" si="0">SUM(C10:L10,N10)</f>
        <v>115</v>
      </c>
      <c r="P10" s="15">
        <f t="shared" ref="P10:P57" si="1">SUM(C10:N10)</f>
        <v>245</v>
      </c>
      <c r="R10" s="1" t="s">
        <v>6</v>
      </c>
      <c r="S10" s="17">
        <f t="shared" ref="S10:AF10" si="2">SUM(C10:C13)</f>
        <v>220</v>
      </c>
      <c r="T10" s="17">
        <f t="shared" si="2"/>
        <v>5</v>
      </c>
      <c r="U10" s="17">
        <f t="shared" si="2"/>
        <v>20</v>
      </c>
      <c r="V10" s="17">
        <f t="shared" si="2"/>
        <v>102</v>
      </c>
      <c r="W10" s="17">
        <f t="shared" si="2"/>
        <v>1</v>
      </c>
      <c r="X10" s="17">
        <f t="shared" si="2"/>
        <v>0</v>
      </c>
      <c r="Y10" s="17">
        <f t="shared" si="2"/>
        <v>3</v>
      </c>
      <c r="Z10" s="17">
        <f t="shared" si="2"/>
        <v>3</v>
      </c>
      <c r="AA10" s="17">
        <f t="shared" si="2"/>
        <v>0</v>
      </c>
      <c r="AB10" s="17">
        <f t="shared" si="2"/>
        <v>0</v>
      </c>
      <c r="AC10" s="17">
        <f t="shared" si="2"/>
        <v>588</v>
      </c>
      <c r="AD10" s="17">
        <f t="shared" si="2"/>
        <v>0</v>
      </c>
      <c r="AE10" s="31">
        <f t="shared" si="2"/>
        <v>354</v>
      </c>
      <c r="AF10" s="31">
        <f t="shared" si="2"/>
        <v>942</v>
      </c>
    </row>
    <row r="11" spans="2:32" s="6" customFormat="1" ht="23.1" customHeight="1" x14ac:dyDescent="0.25">
      <c r="B11" s="23" t="s">
        <v>38</v>
      </c>
      <c r="C11" s="50">
        <v>70</v>
      </c>
      <c r="D11" s="50">
        <v>0</v>
      </c>
      <c r="E11" s="50">
        <v>6</v>
      </c>
      <c r="F11" s="50">
        <v>49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140</v>
      </c>
      <c r="N11" s="50">
        <v>0</v>
      </c>
      <c r="O11" s="15">
        <f t="shared" si="0"/>
        <v>126</v>
      </c>
      <c r="P11" s="15">
        <f t="shared" si="1"/>
        <v>266</v>
      </c>
      <c r="R11" s="1" t="s">
        <v>7</v>
      </c>
      <c r="S11" s="17">
        <f t="shared" ref="S11:AF11" si="3">SUM(C14:C17)</f>
        <v>208</v>
      </c>
      <c r="T11" s="17">
        <f t="shared" si="3"/>
        <v>4</v>
      </c>
      <c r="U11" s="17">
        <f t="shared" si="3"/>
        <v>5</v>
      </c>
      <c r="V11" s="17">
        <f t="shared" si="3"/>
        <v>28</v>
      </c>
      <c r="W11" s="17">
        <f t="shared" si="3"/>
        <v>0</v>
      </c>
      <c r="X11" s="17">
        <f t="shared" si="3"/>
        <v>0</v>
      </c>
      <c r="Y11" s="17">
        <f t="shared" si="3"/>
        <v>6</v>
      </c>
      <c r="Z11" s="17">
        <f t="shared" si="3"/>
        <v>2</v>
      </c>
      <c r="AA11" s="17">
        <f t="shared" si="3"/>
        <v>1</v>
      </c>
      <c r="AB11" s="17">
        <f t="shared" si="3"/>
        <v>0</v>
      </c>
      <c r="AC11" s="17">
        <f t="shared" si="3"/>
        <v>508</v>
      </c>
      <c r="AD11" s="17">
        <f t="shared" si="3"/>
        <v>0</v>
      </c>
      <c r="AE11" s="31">
        <f t="shared" si="3"/>
        <v>254</v>
      </c>
      <c r="AF11" s="31">
        <f t="shared" si="3"/>
        <v>762</v>
      </c>
    </row>
    <row r="12" spans="2:32" ht="23.1" customHeight="1" x14ac:dyDescent="0.25">
      <c r="B12" s="23" t="s">
        <v>39</v>
      </c>
      <c r="C12" s="50">
        <v>50</v>
      </c>
      <c r="D12" s="50">
        <v>2</v>
      </c>
      <c r="E12" s="50">
        <v>4</v>
      </c>
      <c r="F12" s="50">
        <v>5</v>
      </c>
      <c r="G12" s="50">
        <v>0</v>
      </c>
      <c r="H12" s="50">
        <v>0</v>
      </c>
      <c r="I12" s="50">
        <v>2</v>
      </c>
      <c r="J12" s="50">
        <v>1</v>
      </c>
      <c r="K12" s="50">
        <v>0</v>
      </c>
      <c r="L12" s="50">
        <v>0</v>
      </c>
      <c r="M12" s="50">
        <v>168</v>
      </c>
      <c r="N12" s="50">
        <v>0</v>
      </c>
      <c r="O12" s="15">
        <f t="shared" si="0"/>
        <v>64</v>
      </c>
      <c r="P12" s="15">
        <f t="shared" si="1"/>
        <v>232</v>
      </c>
      <c r="R12" s="1" t="s">
        <v>8</v>
      </c>
      <c r="S12" s="17">
        <f t="shared" ref="S12:AF12" si="4">SUM(C18:C21)</f>
        <v>194</v>
      </c>
      <c r="T12" s="17">
        <f t="shared" si="4"/>
        <v>5</v>
      </c>
      <c r="U12" s="17">
        <f t="shared" si="4"/>
        <v>18</v>
      </c>
      <c r="V12" s="17">
        <f t="shared" si="4"/>
        <v>33</v>
      </c>
      <c r="W12" s="17">
        <f t="shared" si="4"/>
        <v>3</v>
      </c>
      <c r="X12" s="17">
        <f t="shared" si="4"/>
        <v>1</v>
      </c>
      <c r="Y12" s="17">
        <f t="shared" si="4"/>
        <v>8</v>
      </c>
      <c r="Z12" s="17">
        <f t="shared" si="4"/>
        <v>4</v>
      </c>
      <c r="AA12" s="17">
        <f t="shared" si="4"/>
        <v>0</v>
      </c>
      <c r="AB12" s="17">
        <f t="shared" si="4"/>
        <v>0</v>
      </c>
      <c r="AC12" s="17">
        <f t="shared" si="4"/>
        <v>413</v>
      </c>
      <c r="AD12" s="17">
        <f t="shared" si="4"/>
        <v>0</v>
      </c>
      <c r="AE12" s="31">
        <f t="shared" si="4"/>
        <v>266</v>
      </c>
      <c r="AF12" s="31">
        <f t="shared" si="4"/>
        <v>679</v>
      </c>
    </row>
    <row r="13" spans="2:32" ht="23.1" customHeight="1" x14ac:dyDescent="0.25">
      <c r="B13" s="23" t="s">
        <v>40</v>
      </c>
      <c r="C13" s="50">
        <v>35</v>
      </c>
      <c r="D13" s="50">
        <v>0</v>
      </c>
      <c r="E13" s="50">
        <v>2</v>
      </c>
      <c r="F13" s="50">
        <v>9</v>
      </c>
      <c r="G13" s="50">
        <v>1</v>
      </c>
      <c r="H13" s="50">
        <v>0</v>
      </c>
      <c r="I13" s="50">
        <v>0</v>
      </c>
      <c r="J13" s="50">
        <v>2</v>
      </c>
      <c r="K13" s="50">
        <v>0</v>
      </c>
      <c r="L13" s="50">
        <v>0</v>
      </c>
      <c r="M13" s="50">
        <v>150</v>
      </c>
      <c r="N13" s="50">
        <v>0</v>
      </c>
      <c r="O13" s="15">
        <f t="shared" si="0"/>
        <v>49</v>
      </c>
      <c r="P13" s="15">
        <f t="shared" si="1"/>
        <v>199</v>
      </c>
      <c r="R13" s="1" t="s">
        <v>9</v>
      </c>
      <c r="S13" s="17">
        <f t="shared" ref="S13:AF13" si="5">SUM(C22:C25)</f>
        <v>182</v>
      </c>
      <c r="T13" s="17">
        <f t="shared" si="5"/>
        <v>7</v>
      </c>
      <c r="U13" s="17">
        <f t="shared" si="5"/>
        <v>12</v>
      </c>
      <c r="V13" s="17">
        <f t="shared" si="5"/>
        <v>30</v>
      </c>
      <c r="W13" s="17">
        <f t="shared" si="5"/>
        <v>0</v>
      </c>
      <c r="X13" s="17">
        <f t="shared" si="5"/>
        <v>0</v>
      </c>
      <c r="Y13" s="17">
        <f t="shared" si="5"/>
        <v>9</v>
      </c>
      <c r="Z13" s="17">
        <f t="shared" si="5"/>
        <v>3</v>
      </c>
      <c r="AA13" s="17">
        <f t="shared" si="5"/>
        <v>0</v>
      </c>
      <c r="AB13" s="17">
        <f t="shared" si="5"/>
        <v>0</v>
      </c>
      <c r="AC13" s="17">
        <f t="shared" si="5"/>
        <v>557</v>
      </c>
      <c r="AD13" s="17">
        <f t="shared" si="5"/>
        <v>0</v>
      </c>
      <c r="AE13" s="31">
        <f t="shared" si="5"/>
        <v>243</v>
      </c>
      <c r="AF13" s="31">
        <f t="shared" si="5"/>
        <v>800</v>
      </c>
    </row>
    <row r="14" spans="2:32" ht="23.1" customHeight="1" x14ac:dyDescent="0.25">
      <c r="B14" s="23" t="s">
        <v>41</v>
      </c>
      <c r="C14" s="50">
        <v>55</v>
      </c>
      <c r="D14" s="50">
        <v>1</v>
      </c>
      <c r="E14" s="50">
        <v>2</v>
      </c>
      <c r="F14" s="50">
        <v>7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155</v>
      </c>
      <c r="N14" s="50">
        <v>0</v>
      </c>
      <c r="O14" s="15">
        <f t="shared" si="0"/>
        <v>66</v>
      </c>
      <c r="P14" s="15">
        <f t="shared" si="1"/>
        <v>221</v>
      </c>
      <c r="R14" s="1" t="s">
        <v>10</v>
      </c>
      <c r="S14" s="17">
        <f t="shared" ref="S14:AF14" si="6">SUM(C26:C29)</f>
        <v>186</v>
      </c>
      <c r="T14" s="17">
        <f t="shared" si="6"/>
        <v>8</v>
      </c>
      <c r="U14" s="17">
        <f t="shared" si="6"/>
        <v>11</v>
      </c>
      <c r="V14" s="17">
        <f t="shared" si="6"/>
        <v>18</v>
      </c>
      <c r="W14" s="17">
        <f t="shared" si="6"/>
        <v>0</v>
      </c>
      <c r="X14" s="17">
        <f t="shared" si="6"/>
        <v>1</v>
      </c>
      <c r="Y14" s="17">
        <f t="shared" si="6"/>
        <v>12</v>
      </c>
      <c r="Z14" s="17">
        <f t="shared" si="6"/>
        <v>8</v>
      </c>
      <c r="AA14" s="17">
        <f t="shared" si="6"/>
        <v>3</v>
      </c>
      <c r="AB14" s="17">
        <f t="shared" si="6"/>
        <v>0</v>
      </c>
      <c r="AC14" s="17">
        <f t="shared" si="6"/>
        <v>390</v>
      </c>
      <c r="AD14" s="17">
        <f t="shared" si="6"/>
        <v>0</v>
      </c>
      <c r="AE14" s="31">
        <f t="shared" si="6"/>
        <v>247</v>
      </c>
      <c r="AF14" s="31">
        <f t="shared" si="6"/>
        <v>637</v>
      </c>
    </row>
    <row r="15" spans="2:32" ht="23.1" customHeight="1" x14ac:dyDescent="0.25">
      <c r="B15" s="23" t="s">
        <v>42</v>
      </c>
      <c r="C15" s="50">
        <v>61</v>
      </c>
      <c r="D15" s="50">
        <v>0</v>
      </c>
      <c r="E15" s="50">
        <v>1</v>
      </c>
      <c r="F15" s="50">
        <v>8</v>
      </c>
      <c r="G15" s="50">
        <v>0</v>
      </c>
      <c r="H15" s="50">
        <v>0</v>
      </c>
      <c r="I15" s="50">
        <v>4</v>
      </c>
      <c r="J15" s="50">
        <v>0</v>
      </c>
      <c r="K15" s="50">
        <v>0</v>
      </c>
      <c r="L15" s="50">
        <v>0</v>
      </c>
      <c r="M15" s="50">
        <v>133</v>
      </c>
      <c r="N15" s="50">
        <v>0</v>
      </c>
      <c r="O15" s="15">
        <f t="shared" si="0"/>
        <v>74</v>
      </c>
      <c r="P15" s="15">
        <f t="shared" si="1"/>
        <v>207</v>
      </c>
      <c r="R15" s="1" t="s">
        <v>11</v>
      </c>
      <c r="S15" s="17">
        <f t="shared" ref="S15:AF15" si="7">SUM(C30:C33)</f>
        <v>260</v>
      </c>
      <c r="T15" s="17">
        <f t="shared" si="7"/>
        <v>4</v>
      </c>
      <c r="U15" s="17">
        <f t="shared" si="7"/>
        <v>20</v>
      </c>
      <c r="V15" s="17">
        <f t="shared" si="7"/>
        <v>34</v>
      </c>
      <c r="W15" s="17">
        <f t="shared" si="7"/>
        <v>3</v>
      </c>
      <c r="X15" s="17">
        <f t="shared" si="7"/>
        <v>0</v>
      </c>
      <c r="Y15" s="17">
        <f t="shared" si="7"/>
        <v>15</v>
      </c>
      <c r="Z15" s="17">
        <f t="shared" si="7"/>
        <v>6</v>
      </c>
      <c r="AA15" s="17">
        <f t="shared" si="7"/>
        <v>1</v>
      </c>
      <c r="AB15" s="17">
        <f t="shared" si="7"/>
        <v>0</v>
      </c>
      <c r="AC15" s="17">
        <f t="shared" si="7"/>
        <v>436</v>
      </c>
      <c r="AD15" s="17">
        <f t="shared" si="7"/>
        <v>0</v>
      </c>
      <c r="AE15" s="31">
        <f t="shared" si="7"/>
        <v>343</v>
      </c>
      <c r="AF15" s="31">
        <f t="shared" si="7"/>
        <v>779</v>
      </c>
    </row>
    <row r="16" spans="2:32" ht="23.1" customHeight="1" x14ac:dyDescent="0.25">
      <c r="B16" s="23" t="s">
        <v>43</v>
      </c>
      <c r="C16" s="50">
        <v>42</v>
      </c>
      <c r="D16" s="50">
        <v>3</v>
      </c>
      <c r="E16" s="50">
        <v>2</v>
      </c>
      <c r="F16" s="50">
        <v>4</v>
      </c>
      <c r="G16" s="50">
        <v>0</v>
      </c>
      <c r="H16" s="50">
        <v>0</v>
      </c>
      <c r="I16" s="50">
        <v>1</v>
      </c>
      <c r="J16" s="50">
        <v>0</v>
      </c>
      <c r="K16" s="50">
        <v>1</v>
      </c>
      <c r="L16" s="50">
        <v>0</v>
      </c>
      <c r="M16" s="50">
        <v>105</v>
      </c>
      <c r="N16" s="50">
        <v>0</v>
      </c>
      <c r="O16" s="15">
        <f t="shared" si="0"/>
        <v>53</v>
      </c>
      <c r="P16" s="15">
        <f t="shared" si="1"/>
        <v>158</v>
      </c>
      <c r="R16" s="1" t="s">
        <v>12</v>
      </c>
      <c r="S16" s="17">
        <f t="shared" ref="S16:AF16" si="8">SUM(C34:C37)</f>
        <v>329</v>
      </c>
      <c r="T16" s="17">
        <f t="shared" si="8"/>
        <v>8</v>
      </c>
      <c r="U16" s="17">
        <f t="shared" si="8"/>
        <v>15</v>
      </c>
      <c r="V16" s="17">
        <f t="shared" si="8"/>
        <v>21</v>
      </c>
      <c r="W16" s="17">
        <f t="shared" si="8"/>
        <v>0</v>
      </c>
      <c r="X16" s="17">
        <f t="shared" si="8"/>
        <v>0</v>
      </c>
      <c r="Y16" s="17">
        <f t="shared" si="8"/>
        <v>9</v>
      </c>
      <c r="Z16" s="17">
        <f t="shared" si="8"/>
        <v>7</v>
      </c>
      <c r="AA16" s="17">
        <f t="shared" si="8"/>
        <v>3</v>
      </c>
      <c r="AB16" s="17">
        <f t="shared" si="8"/>
        <v>3</v>
      </c>
      <c r="AC16" s="17">
        <f t="shared" si="8"/>
        <v>375</v>
      </c>
      <c r="AD16" s="17">
        <f t="shared" si="8"/>
        <v>0</v>
      </c>
      <c r="AE16" s="31">
        <f t="shared" si="8"/>
        <v>395</v>
      </c>
      <c r="AF16" s="31">
        <f t="shared" si="8"/>
        <v>770</v>
      </c>
    </row>
    <row r="17" spans="2:32" ht="23.1" customHeight="1" x14ac:dyDescent="0.25">
      <c r="B17" s="23" t="s">
        <v>44</v>
      </c>
      <c r="C17" s="50">
        <v>50</v>
      </c>
      <c r="D17" s="50">
        <v>0</v>
      </c>
      <c r="E17" s="50">
        <v>0</v>
      </c>
      <c r="F17" s="50">
        <v>9</v>
      </c>
      <c r="G17" s="50">
        <v>0</v>
      </c>
      <c r="H17" s="50">
        <v>0</v>
      </c>
      <c r="I17" s="50">
        <v>0</v>
      </c>
      <c r="J17" s="50">
        <v>2</v>
      </c>
      <c r="K17" s="50">
        <v>0</v>
      </c>
      <c r="L17" s="50">
        <v>0</v>
      </c>
      <c r="M17" s="50">
        <v>115</v>
      </c>
      <c r="N17" s="50">
        <v>0</v>
      </c>
      <c r="O17" s="15">
        <f t="shared" si="0"/>
        <v>61</v>
      </c>
      <c r="P17" s="15">
        <f t="shared" si="1"/>
        <v>176</v>
      </c>
      <c r="R17" s="1" t="s">
        <v>13</v>
      </c>
      <c r="S17" s="17">
        <f t="shared" ref="S17:AF17" si="9">SUM(C38:C41)</f>
        <v>260</v>
      </c>
      <c r="T17" s="17">
        <f t="shared" si="9"/>
        <v>5</v>
      </c>
      <c r="U17" s="17">
        <f t="shared" si="9"/>
        <v>13</v>
      </c>
      <c r="V17" s="17">
        <f t="shared" si="9"/>
        <v>19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3</v>
      </c>
      <c r="AA17" s="17">
        <f t="shared" si="9"/>
        <v>1</v>
      </c>
      <c r="AB17" s="17">
        <f t="shared" si="9"/>
        <v>1</v>
      </c>
      <c r="AC17" s="17">
        <f t="shared" si="9"/>
        <v>504</v>
      </c>
      <c r="AD17" s="17">
        <f t="shared" si="9"/>
        <v>0</v>
      </c>
      <c r="AE17" s="31">
        <f t="shared" si="9"/>
        <v>307</v>
      </c>
      <c r="AF17" s="31">
        <f t="shared" si="9"/>
        <v>811</v>
      </c>
    </row>
    <row r="18" spans="2:32" ht="23.1" customHeight="1" x14ac:dyDescent="0.25">
      <c r="B18" s="23" t="s">
        <v>45</v>
      </c>
      <c r="C18" s="50">
        <v>34</v>
      </c>
      <c r="D18" s="50">
        <v>0</v>
      </c>
      <c r="E18" s="50">
        <v>4</v>
      </c>
      <c r="F18" s="50">
        <v>6</v>
      </c>
      <c r="G18" s="50">
        <v>2</v>
      </c>
      <c r="H18" s="50">
        <v>0</v>
      </c>
      <c r="I18" s="50">
        <v>2</v>
      </c>
      <c r="J18" s="50">
        <v>1</v>
      </c>
      <c r="K18" s="50">
        <v>0</v>
      </c>
      <c r="L18" s="50">
        <v>0</v>
      </c>
      <c r="M18" s="50">
        <v>75</v>
      </c>
      <c r="N18" s="50">
        <v>0</v>
      </c>
      <c r="O18" s="15">
        <f t="shared" si="0"/>
        <v>49</v>
      </c>
      <c r="P18" s="15">
        <f t="shared" si="1"/>
        <v>124</v>
      </c>
      <c r="R18" s="1" t="s">
        <v>14</v>
      </c>
      <c r="S18" s="17">
        <f t="shared" ref="S18:AF18" si="10">SUM(C42:C45)</f>
        <v>220</v>
      </c>
      <c r="T18" s="17">
        <f t="shared" si="10"/>
        <v>0</v>
      </c>
      <c r="U18" s="17">
        <f t="shared" si="10"/>
        <v>9</v>
      </c>
      <c r="V18" s="17">
        <f t="shared" si="10"/>
        <v>12</v>
      </c>
      <c r="W18" s="17">
        <f t="shared" si="10"/>
        <v>0</v>
      </c>
      <c r="X18" s="17">
        <f t="shared" si="10"/>
        <v>0</v>
      </c>
      <c r="Y18" s="17">
        <f t="shared" si="10"/>
        <v>14</v>
      </c>
      <c r="Z18" s="17">
        <f t="shared" si="10"/>
        <v>5</v>
      </c>
      <c r="AA18" s="17">
        <f t="shared" si="10"/>
        <v>1</v>
      </c>
      <c r="AB18" s="17">
        <f t="shared" si="10"/>
        <v>0</v>
      </c>
      <c r="AC18" s="17">
        <f t="shared" si="10"/>
        <v>351</v>
      </c>
      <c r="AD18" s="17">
        <f t="shared" si="10"/>
        <v>0</v>
      </c>
      <c r="AE18" s="31">
        <f t="shared" si="10"/>
        <v>261</v>
      </c>
      <c r="AF18" s="31">
        <f t="shared" si="10"/>
        <v>612</v>
      </c>
    </row>
    <row r="19" spans="2:32" ht="23.1" customHeight="1" x14ac:dyDescent="0.25">
      <c r="B19" s="23" t="s">
        <v>46</v>
      </c>
      <c r="C19" s="50">
        <v>31</v>
      </c>
      <c r="D19" s="50">
        <v>2</v>
      </c>
      <c r="E19" s="50">
        <v>2</v>
      </c>
      <c r="F19" s="50">
        <v>7</v>
      </c>
      <c r="G19" s="50">
        <v>0</v>
      </c>
      <c r="H19" s="50">
        <v>1</v>
      </c>
      <c r="I19" s="50">
        <v>2</v>
      </c>
      <c r="J19" s="50">
        <v>0</v>
      </c>
      <c r="K19" s="50">
        <v>0</v>
      </c>
      <c r="L19" s="50">
        <v>0</v>
      </c>
      <c r="M19" s="50">
        <v>87</v>
      </c>
      <c r="N19" s="50">
        <v>0</v>
      </c>
      <c r="O19" s="15">
        <f t="shared" si="0"/>
        <v>45</v>
      </c>
      <c r="P19" s="15">
        <f t="shared" si="1"/>
        <v>132</v>
      </c>
      <c r="R19" s="1" t="s">
        <v>15</v>
      </c>
      <c r="S19" s="17">
        <f t="shared" ref="S19:AF19" si="11">SUM(C46:C49)</f>
        <v>251</v>
      </c>
      <c r="T19" s="17">
        <f t="shared" si="11"/>
        <v>7</v>
      </c>
      <c r="U19" s="17">
        <f t="shared" si="11"/>
        <v>14</v>
      </c>
      <c r="V19" s="17">
        <f t="shared" si="11"/>
        <v>24</v>
      </c>
      <c r="W19" s="17">
        <f t="shared" si="11"/>
        <v>4</v>
      </c>
      <c r="X19" s="17">
        <f t="shared" si="11"/>
        <v>0</v>
      </c>
      <c r="Y19" s="17">
        <f t="shared" si="11"/>
        <v>8</v>
      </c>
      <c r="Z19" s="17">
        <f t="shared" si="11"/>
        <v>5</v>
      </c>
      <c r="AA19" s="17">
        <f t="shared" si="11"/>
        <v>4</v>
      </c>
      <c r="AB19" s="17">
        <f t="shared" si="11"/>
        <v>0</v>
      </c>
      <c r="AC19" s="17">
        <f t="shared" si="11"/>
        <v>379</v>
      </c>
      <c r="AD19" s="17">
        <f t="shared" si="11"/>
        <v>0</v>
      </c>
      <c r="AE19" s="31">
        <f t="shared" si="11"/>
        <v>317</v>
      </c>
      <c r="AF19" s="31">
        <f t="shared" si="11"/>
        <v>696</v>
      </c>
    </row>
    <row r="20" spans="2:32" ht="23.1" customHeight="1" x14ac:dyDescent="0.25">
      <c r="B20" s="23" t="s">
        <v>47</v>
      </c>
      <c r="C20" s="50">
        <v>60</v>
      </c>
      <c r="D20" s="50">
        <v>0</v>
      </c>
      <c r="E20" s="50">
        <v>1</v>
      </c>
      <c r="F20" s="50">
        <v>7</v>
      </c>
      <c r="G20" s="50">
        <v>1</v>
      </c>
      <c r="H20" s="50">
        <v>0</v>
      </c>
      <c r="I20" s="50">
        <v>3</v>
      </c>
      <c r="J20" s="50">
        <v>0</v>
      </c>
      <c r="K20" s="50">
        <v>0</v>
      </c>
      <c r="L20" s="50">
        <v>0</v>
      </c>
      <c r="M20" s="50">
        <v>101</v>
      </c>
      <c r="N20" s="50">
        <v>0</v>
      </c>
      <c r="O20" s="15">
        <f t="shared" si="0"/>
        <v>72</v>
      </c>
      <c r="P20" s="15">
        <f t="shared" si="1"/>
        <v>173</v>
      </c>
      <c r="R20" s="1" t="s">
        <v>16</v>
      </c>
      <c r="S20" s="17">
        <f t="shared" ref="S20:AF20" si="12">SUM(C50:C53)</f>
        <v>440</v>
      </c>
      <c r="T20" s="17">
        <f t="shared" si="12"/>
        <v>23</v>
      </c>
      <c r="U20" s="17">
        <f t="shared" si="12"/>
        <v>17</v>
      </c>
      <c r="V20" s="17">
        <f t="shared" si="12"/>
        <v>53</v>
      </c>
      <c r="W20" s="17">
        <f t="shared" si="12"/>
        <v>0</v>
      </c>
      <c r="X20" s="17">
        <f t="shared" si="12"/>
        <v>0</v>
      </c>
      <c r="Y20" s="17">
        <f t="shared" si="12"/>
        <v>22</v>
      </c>
      <c r="Z20" s="17">
        <f t="shared" si="12"/>
        <v>6</v>
      </c>
      <c r="AA20" s="17">
        <f t="shared" si="12"/>
        <v>1</v>
      </c>
      <c r="AB20" s="17">
        <f t="shared" si="12"/>
        <v>0</v>
      </c>
      <c r="AC20" s="17">
        <f t="shared" si="12"/>
        <v>540</v>
      </c>
      <c r="AD20" s="17">
        <f t="shared" si="12"/>
        <v>0</v>
      </c>
      <c r="AE20" s="31">
        <f t="shared" si="12"/>
        <v>562</v>
      </c>
      <c r="AF20" s="31">
        <f t="shared" si="12"/>
        <v>1102</v>
      </c>
    </row>
    <row r="21" spans="2:32" ht="23.1" customHeight="1" x14ac:dyDescent="0.25">
      <c r="B21" s="23" t="s">
        <v>48</v>
      </c>
      <c r="C21" s="50">
        <v>69</v>
      </c>
      <c r="D21" s="50">
        <v>3</v>
      </c>
      <c r="E21" s="50">
        <v>11</v>
      </c>
      <c r="F21" s="50">
        <v>13</v>
      </c>
      <c r="G21" s="50">
        <v>0</v>
      </c>
      <c r="H21" s="50">
        <v>0</v>
      </c>
      <c r="I21" s="50">
        <v>1</v>
      </c>
      <c r="J21" s="50">
        <v>3</v>
      </c>
      <c r="K21" s="50">
        <v>0</v>
      </c>
      <c r="L21" s="50">
        <v>0</v>
      </c>
      <c r="M21" s="50">
        <v>150</v>
      </c>
      <c r="N21" s="50">
        <v>0</v>
      </c>
      <c r="O21" s="15">
        <f t="shared" si="0"/>
        <v>100</v>
      </c>
      <c r="P21" s="15">
        <f t="shared" si="1"/>
        <v>250</v>
      </c>
      <c r="R21" s="36" t="s">
        <v>20</v>
      </c>
      <c r="S21" s="34">
        <f t="shared" ref="S21:AF21" si="13">SUM(C54:C57)</f>
        <v>354</v>
      </c>
      <c r="T21" s="17">
        <f t="shared" si="13"/>
        <v>8</v>
      </c>
      <c r="U21" s="17">
        <f t="shared" si="13"/>
        <v>15</v>
      </c>
      <c r="V21" s="17">
        <f t="shared" si="13"/>
        <v>123</v>
      </c>
      <c r="W21" s="17">
        <f t="shared" si="13"/>
        <v>1</v>
      </c>
      <c r="X21" s="17">
        <f t="shared" si="13"/>
        <v>0</v>
      </c>
      <c r="Y21" s="17">
        <f t="shared" si="13"/>
        <v>18</v>
      </c>
      <c r="Z21" s="17">
        <f t="shared" si="13"/>
        <v>4</v>
      </c>
      <c r="AA21" s="17">
        <f t="shared" si="13"/>
        <v>0</v>
      </c>
      <c r="AB21" s="17">
        <f t="shared" si="13"/>
        <v>0</v>
      </c>
      <c r="AC21" s="17">
        <f t="shared" si="13"/>
        <v>550</v>
      </c>
      <c r="AD21" s="17">
        <f t="shared" si="13"/>
        <v>0</v>
      </c>
      <c r="AE21" s="31">
        <f t="shared" si="13"/>
        <v>523</v>
      </c>
      <c r="AF21" s="31">
        <f t="shared" si="13"/>
        <v>1073</v>
      </c>
    </row>
    <row r="22" spans="2:32" ht="23.1" customHeight="1" x14ac:dyDescent="0.25">
      <c r="B22" s="23" t="s">
        <v>49</v>
      </c>
      <c r="C22" s="50">
        <v>79</v>
      </c>
      <c r="D22" s="50">
        <v>1</v>
      </c>
      <c r="E22" s="50">
        <v>4</v>
      </c>
      <c r="F22" s="50">
        <v>13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169</v>
      </c>
      <c r="N22" s="50">
        <v>0</v>
      </c>
      <c r="O22" s="15">
        <f t="shared" si="0"/>
        <v>98</v>
      </c>
      <c r="P22" s="15">
        <f t="shared" si="1"/>
        <v>267</v>
      </c>
      <c r="R22" s="38" t="s">
        <v>90</v>
      </c>
      <c r="S22" s="39">
        <f>MAX(S10:S12)</f>
        <v>220</v>
      </c>
      <c r="T22" s="39">
        <f t="shared" ref="T22:AF22" si="14">MAX(T10:T12)</f>
        <v>5</v>
      </c>
      <c r="U22" s="39">
        <f t="shared" si="14"/>
        <v>20</v>
      </c>
      <c r="V22" s="39">
        <f t="shared" si="14"/>
        <v>102</v>
      </c>
      <c r="W22" s="39">
        <f t="shared" si="14"/>
        <v>3</v>
      </c>
      <c r="X22" s="39">
        <f t="shared" si="14"/>
        <v>1</v>
      </c>
      <c r="Y22" s="39">
        <f t="shared" si="14"/>
        <v>8</v>
      </c>
      <c r="Z22" s="39">
        <f t="shared" si="14"/>
        <v>4</v>
      </c>
      <c r="AA22" s="39">
        <f t="shared" si="14"/>
        <v>1</v>
      </c>
      <c r="AB22" s="39">
        <f t="shared" si="14"/>
        <v>0</v>
      </c>
      <c r="AC22" s="39">
        <f t="shared" si="14"/>
        <v>588</v>
      </c>
      <c r="AD22" s="39">
        <f t="shared" si="14"/>
        <v>0</v>
      </c>
      <c r="AE22" s="40">
        <f t="shared" si="14"/>
        <v>354</v>
      </c>
      <c r="AF22" s="40">
        <f t="shared" si="14"/>
        <v>942</v>
      </c>
    </row>
    <row r="23" spans="2:32" ht="23.1" customHeight="1" x14ac:dyDescent="0.25">
      <c r="B23" s="23" t="s">
        <v>50</v>
      </c>
      <c r="C23" s="50">
        <v>47</v>
      </c>
      <c r="D23" s="50">
        <v>4</v>
      </c>
      <c r="E23" s="50">
        <v>4</v>
      </c>
      <c r="F23" s="50">
        <v>7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140</v>
      </c>
      <c r="N23" s="50">
        <v>0</v>
      </c>
      <c r="O23" s="15">
        <f t="shared" si="0"/>
        <v>65</v>
      </c>
      <c r="P23" s="15">
        <f t="shared" si="1"/>
        <v>205</v>
      </c>
      <c r="R23" s="38" t="s">
        <v>91</v>
      </c>
      <c r="S23" s="39">
        <f>MAX(S13:S18)</f>
        <v>329</v>
      </c>
      <c r="T23" s="39">
        <f t="shared" ref="T23:AF23" si="15">MAX(T13:T18)</f>
        <v>8</v>
      </c>
      <c r="U23" s="39">
        <f t="shared" si="15"/>
        <v>20</v>
      </c>
      <c r="V23" s="39">
        <f t="shared" si="15"/>
        <v>34</v>
      </c>
      <c r="W23" s="39">
        <f t="shared" si="15"/>
        <v>3</v>
      </c>
      <c r="X23" s="39">
        <f t="shared" si="15"/>
        <v>1</v>
      </c>
      <c r="Y23" s="39">
        <f t="shared" si="15"/>
        <v>15</v>
      </c>
      <c r="Z23" s="39">
        <f t="shared" si="15"/>
        <v>8</v>
      </c>
      <c r="AA23" s="39">
        <f t="shared" si="15"/>
        <v>3</v>
      </c>
      <c r="AB23" s="39">
        <f t="shared" si="15"/>
        <v>3</v>
      </c>
      <c r="AC23" s="39">
        <f t="shared" si="15"/>
        <v>557</v>
      </c>
      <c r="AD23" s="39">
        <f t="shared" si="15"/>
        <v>0</v>
      </c>
      <c r="AE23" s="40">
        <f t="shared" si="15"/>
        <v>395</v>
      </c>
      <c r="AF23" s="40">
        <f t="shared" si="15"/>
        <v>811</v>
      </c>
    </row>
    <row r="24" spans="2:32" ht="23.1" customHeight="1" x14ac:dyDescent="0.25">
      <c r="B24" s="23" t="s">
        <v>51</v>
      </c>
      <c r="C24" s="50">
        <v>30</v>
      </c>
      <c r="D24" s="50">
        <v>1</v>
      </c>
      <c r="E24" s="50">
        <v>2</v>
      </c>
      <c r="F24" s="50">
        <v>6</v>
      </c>
      <c r="G24" s="50">
        <v>0</v>
      </c>
      <c r="H24" s="50">
        <v>0</v>
      </c>
      <c r="I24" s="50">
        <v>4</v>
      </c>
      <c r="J24" s="50">
        <v>1</v>
      </c>
      <c r="K24" s="50">
        <v>0</v>
      </c>
      <c r="L24" s="50">
        <v>0</v>
      </c>
      <c r="M24" s="50">
        <v>138</v>
      </c>
      <c r="N24" s="50">
        <v>0</v>
      </c>
      <c r="O24" s="15">
        <f t="shared" si="0"/>
        <v>44</v>
      </c>
      <c r="P24" s="15">
        <f t="shared" si="1"/>
        <v>182</v>
      </c>
      <c r="R24" s="38" t="s">
        <v>92</v>
      </c>
      <c r="S24" s="39">
        <f>MAX(S19:S21)</f>
        <v>440</v>
      </c>
      <c r="T24" s="39">
        <f t="shared" ref="T24:AF24" si="16">MAX(T19:T21)</f>
        <v>23</v>
      </c>
      <c r="U24" s="39">
        <f t="shared" si="16"/>
        <v>17</v>
      </c>
      <c r="V24" s="39">
        <f t="shared" si="16"/>
        <v>123</v>
      </c>
      <c r="W24" s="39">
        <f t="shared" si="16"/>
        <v>4</v>
      </c>
      <c r="X24" s="39">
        <f t="shared" si="16"/>
        <v>0</v>
      </c>
      <c r="Y24" s="39">
        <f t="shared" si="16"/>
        <v>22</v>
      </c>
      <c r="Z24" s="39">
        <f t="shared" si="16"/>
        <v>6</v>
      </c>
      <c r="AA24" s="39">
        <f t="shared" si="16"/>
        <v>4</v>
      </c>
      <c r="AB24" s="39">
        <f t="shared" si="16"/>
        <v>0</v>
      </c>
      <c r="AC24" s="39">
        <f t="shared" si="16"/>
        <v>550</v>
      </c>
      <c r="AD24" s="39">
        <f t="shared" si="16"/>
        <v>0</v>
      </c>
      <c r="AE24" s="40">
        <f t="shared" si="16"/>
        <v>562</v>
      </c>
      <c r="AF24" s="40">
        <f t="shared" si="16"/>
        <v>1102</v>
      </c>
    </row>
    <row r="25" spans="2:32" ht="23.1" customHeight="1" x14ac:dyDescent="0.25">
      <c r="B25" s="23" t="s">
        <v>52</v>
      </c>
      <c r="C25" s="50">
        <v>26</v>
      </c>
      <c r="D25" s="50">
        <v>1</v>
      </c>
      <c r="E25" s="50">
        <v>2</v>
      </c>
      <c r="F25" s="50">
        <v>4</v>
      </c>
      <c r="G25" s="50">
        <v>0</v>
      </c>
      <c r="H25" s="50">
        <v>0</v>
      </c>
      <c r="I25" s="50">
        <v>1</v>
      </c>
      <c r="J25" s="50">
        <v>2</v>
      </c>
      <c r="K25" s="50">
        <v>0</v>
      </c>
      <c r="L25" s="50">
        <v>0</v>
      </c>
      <c r="M25" s="50">
        <v>110</v>
      </c>
      <c r="N25" s="50">
        <v>0</v>
      </c>
      <c r="O25" s="15">
        <f t="shared" si="0"/>
        <v>36</v>
      </c>
      <c r="P25" s="15">
        <f t="shared" si="1"/>
        <v>146</v>
      </c>
      <c r="R25" s="37" t="s">
        <v>85</v>
      </c>
      <c r="S25" s="35">
        <f t="shared" ref="S25:AF25" si="17">SUM(S10:S12)</f>
        <v>622</v>
      </c>
      <c r="T25" s="16">
        <f t="shared" si="17"/>
        <v>14</v>
      </c>
      <c r="U25" s="16">
        <f t="shared" si="17"/>
        <v>43</v>
      </c>
      <c r="V25" s="16">
        <f t="shared" si="17"/>
        <v>163</v>
      </c>
      <c r="W25" s="16">
        <f t="shared" si="17"/>
        <v>4</v>
      </c>
      <c r="X25" s="16">
        <f t="shared" si="17"/>
        <v>1</v>
      </c>
      <c r="Y25" s="16">
        <f t="shared" si="17"/>
        <v>17</v>
      </c>
      <c r="Z25" s="16">
        <f t="shared" si="17"/>
        <v>9</v>
      </c>
      <c r="AA25" s="16">
        <f t="shared" si="17"/>
        <v>1</v>
      </c>
      <c r="AB25" s="16">
        <f t="shared" si="17"/>
        <v>0</v>
      </c>
      <c r="AC25" s="16">
        <f t="shared" si="17"/>
        <v>1509</v>
      </c>
      <c r="AD25" s="16">
        <f t="shared" si="17"/>
        <v>0</v>
      </c>
      <c r="AE25" s="32">
        <f t="shared" si="17"/>
        <v>874</v>
      </c>
      <c r="AF25" s="32">
        <f t="shared" si="17"/>
        <v>2383</v>
      </c>
    </row>
    <row r="26" spans="2:32" ht="23.1" customHeight="1" x14ac:dyDescent="0.25">
      <c r="B26" s="23" t="s">
        <v>53</v>
      </c>
      <c r="C26" s="50">
        <v>32</v>
      </c>
      <c r="D26" s="50">
        <v>0</v>
      </c>
      <c r="E26" s="50">
        <v>3</v>
      </c>
      <c r="F26" s="50">
        <v>3</v>
      </c>
      <c r="G26" s="50">
        <v>0</v>
      </c>
      <c r="H26" s="50">
        <v>0</v>
      </c>
      <c r="I26" s="50">
        <v>2</v>
      </c>
      <c r="J26" s="50">
        <v>1</v>
      </c>
      <c r="K26" s="50">
        <v>1</v>
      </c>
      <c r="L26" s="50">
        <v>0</v>
      </c>
      <c r="M26" s="50">
        <v>125</v>
      </c>
      <c r="N26" s="50">
        <v>0</v>
      </c>
      <c r="O26" s="15">
        <f t="shared" si="0"/>
        <v>42</v>
      </c>
      <c r="P26" s="15">
        <f t="shared" si="1"/>
        <v>167</v>
      </c>
      <c r="R26" s="28" t="s">
        <v>86</v>
      </c>
      <c r="S26" s="16">
        <f t="shared" ref="S26:AF26" si="18">SUM(S13:S18)</f>
        <v>1437</v>
      </c>
      <c r="T26" s="16">
        <f t="shared" si="18"/>
        <v>32</v>
      </c>
      <c r="U26" s="16">
        <f t="shared" si="18"/>
        <v>80</v>
      </c>
      <c r="V26" s="16">
        <f t="shared" si="18"/>
        <v>134</v>
      </c>
      <c r="W26" s="16">
        <f t="shared" si="18"/>
        <v>3</v>
      </c>
      <c r="X26" s="16">
        <f t="shared" si="18"/>
        <v>1</v>
      </c>
      <c r="Y26" s="16">
        <f t="shared" si="18"/>
        <v>64</v>
      </c>
      <c r="Z26" s="16">
        <f t="shared" si="18"/>
        <v>32</v>
      </c>
      <c r="AA26" s="16">
        <f t="shared" si="18"/>
        <v>9</v>
      </c>
      <c r="AB26" s="16">
        <f t="shared" si="18"/>
        <v>4</v>
      </c>
      <c r="AC26" s="16">
        <f t="shared" si="18"/>
        <v>2613</v>
      </c>
      <c r="AD26" s="16">
        <f t="shared" si="18"/>
        <v>0</v>
      </c>
      <c r="AE26" s="32">
        <f t="shared" si="18"/>
        <v>1796</v>
      </c>
      <c r="AF26" s="32">
        <f t="shared" si="18"/>
        <v>4409</v>
      </c>
    </row>
    <row r="27" spans="2:32" ht="23.1" customHeight="1" x14ac:dyDescent="0.25">
      <c r="B27" s="23" t="s">
        <v>54</v>
      </c>
      <c r="C27" s="50">
        <v>56</v>
      </c>
      <c r="D27" s="50">
        <v>6</v>
      </c>
      <c r="E27" s="50">
        <v>2</v>
      </c>
      <c r="F27" s="50">
        <v>8</v>
      </c>
      <c r="G27" s="50">
        <v>0</v>
      </c>
      <c r="H27" s="50">
        <v>0</v>
      </c>
      <c r="I27" s="50">
        <v>6</v>
      </c>
      <c r="J27" s="50">
        <v>3</v>
      </c>
      <c r="K27" s="50">
        <v>0</v>
      </c>
      <c r="L27" s="50">
        <v>0</v>
      </c>
      <c r="M27" s="50">
        <v>95</v>
      </c>
      <c r="N27" s="50">
        <v>0</v>
      </c>
      <c r="O27" s="15">
        <f t="shared" si="0"/>
        <v>81</v>
      </c>
      <c r="P27" s="15">
        <f t="shared" si="1"/>
        <v>176</v>
      </c>
      <c r="R27" s="29" t="s">
        <v>87</v>
      </c>
      <c r="S27" s="16">
        <f t="shared" ref="S27:AF27" si="19">SUM(S19:S21)</f>
        <v>1045</v>
      </c>
      <c r="T27" s="16">
        <f t="shared" si="19"/>
        <v>38</v>
      </c>
      <c r="U27" s="16">
        <f t="shared" si="19"/>
        <v>46</v>
      </c>
      <c r="V27" s="16">
        <f t="shared" si="19"/>
        <v>200</v>
      </c>
      <c r="W27" s="16">
        <f t="shared" si="19"/>
        <v>5</v>
      </c>
      <c r="X27" s="16">
        <f t="shared" si="19"/>
        <v>0</v>
      </c>
      <c r="Y27" s="16">
        <f t="shared" si="19"/>
        <v>48</v>
      </c>
      <c r="Z27" s="16">
        <f t="shared" si="19"/>
        <v>15</v>
      </c>
      <c r="AA27" s="16">
        <f t="shared" si="19"/>
        <v>5</v>
      </c>
      <c r="AB27" s="16">
        <f t="shared" si="19"/>
        <v>0</v>
      </c>
      <c r="AC27" s="16">
        <f t="shared" si="19"/>
        <v>1469</v>
      </c>
      <c r="AD27" s="16">
        <f t="shared" si="19"/>
        <v>0</v>
      </c>
      <c r="AE27" s="32">
        <f t="shared" si="19"/>
        <v>1402</v>
      </c>
      <c r="AF27" s="32">
        <f t="shared" si="19"/>
        <v>2871</v>
      </c>
    </row>
    <row r="28" spans="2:32" ht="23.1" customHeight="1" x14ac:dyDescent="0.25">
      <c r="B28" s="23" t="s">
        <v>55</v>
      </c>
      <c r="C28" s="50">
        <v>45</v>
      </c>
      <c r="D28" s="50">
        <v>1</v>
      </c>
      <c r="E28" s="50">
        <v>3</v>
      </c>
      <c r="F28" s="50">
        <v>3</v>
      </c>
      <c r="G28" s="50">
        <v>0</v>
      </c>
      <c r="H28" s="50">
        <v>0</v>
      </c>
      <c r="I28" s="50">
        <v>2</v>
      </c>
      <c r="J28" s="50">
        <v>4</v>
      </c>
      <c r="K28" s="50">
        <v>2</v>
      </c>
      <c r="L28" s="50">
        <v>0</v>
      </c>
      <c r="M28" s="50">
        <v>80</v>
      </c>
      <c r="N28" s="50">
        <v>0</v>
      </c>
      <c r="O28" s="15">
        <f t="shared" si="0"/>
        <v>60</v>
      </c>
      <c r="P28" s="15">
        <f t="shared" si="1"/>
        <v>140</v>
      </c>
      <c r="R28" s="5" t="s">
        <v>17</v>
      </c>
      <c r="S28" s="16">
        <f t="shared" ref="S28:AF28" si="20">SUM(S10:S21)</f>
        <v>3104</v>
      </c>
      <c r="T28" s="16">
        <f t="shared" si="20"/>
        <v>84</v>
      </c>
      <c r="U28" s="16">
        <f t="shared" si="20"/>
        <v>169</v>
      </c>
      <c r="V28" s="16">
        <f t="shared" si="20"/>
        <v>497</v>
      </c>
      <c r="W28" s="16">
        <f t="shared" si="20"/>
        <v>12</v>
      </c>
      <c r="X28" s="16">
        <f t="shared" si="20"/>
        <v>2</v>
      </c>
      <c r="Y28" s="16">
        <f t="shared" si="20"/>
        <v>129</v>
      </c>
      <c r="Z28" s="16">
        <f t="shared" si="20"/>
        <v>56</v>
      </c>
      <c r="AA28" s="16">
        <f t="shared" si="20"/>
        <v>15</v>
      </c>
      <c r="AB28" s="16">
        <f t="shared" si="20"/>
        <v>4</v>
      </c>
      <c r="AC28" s="16">
        <f t="shared" si="20"/>
        <v>5591</v>
      </c>
      <c r="AD28" s="16">
        <f t="shared" si="20"/>
        <v>0</v>
      </c>
      <c r="AE28" s="32">
        <f t="shared" si="20"/>
        <v>4072</v>
      </c>
      <c r="AF28" s="32">
        <f t="shared" si="20"/>
        <v>9663</v>
      </c>
    </row>
    <row r="29" spans="2:32" ht="23.1" customHeight="1" x14ac:dyDescent="0.25">
      <c r="B29" s="23" t="s">
        <v>56</v>
      </c>
      <c r="C29" s="50">
        <v>53</v>
      </c>
      <c r="D29" s="50">
        <v>1</v>
      </c>
      <c r="E29" s="50">
        <v>3</v>
      </c>
      <c r="F29" s="50">
        <v>4</v>
      </c>
      <c r="G29" s="50">
        <v>0</v>
      </c>
      <c r="H29" s="50">
        <v>1</v>
      </c>
      <c r="I29" s="50">
        <v>2</v>
      </c>
      <c r="J29" s="50">
        <v>0</v>
      </c>
      <c r="K29" s="50">
        <v>0</v>
      </c>
      <c r="L29" s="50">
        <v>0</v>
      </c>
      <c r="M29" s="50">
        <v>90</v>
      </c>
      <c r="N29" s="50">
        <v>0</v>
      </c>
      <c r="O29" s="15">
        <f t="shared" si="0"/>
        <v>64</v>
      </c>
      <c r="P29" s="15">
        <f t="shared" si="1"/>
        <v>154</v>
      </c>
      <c r="R29"/>
      <c r="S29" s="20"/>
      <c r="T29" s="19"/>
    </row>
    <row r="30" spans="2:32" ht="23.1" customHeight="1" x14ac:dyDescent="0.25">
      <c r="B30" s="23" t="s">
        <v>57</v>
      </c>
      <c r="C30" s="50">
        <v>75</v>
      </c>
      <c r="D30" s="50">
        <v>0</v>
      </c>
      <c r="E30" s="50">
        <v>8</v>
      </c>
      <c r="F30" s="50">
        <v>11</v>
      </c>
      <c r="G30" s="50">
        <v>0</v>
      </c>
      <c r="H30" s="50">
        <v>0</v>
      </c>
      <c r="I30" s="50">
        <v>6</v>
      </c>
      <c r="J30" s="50">
        <v>3</v>
      </c>
      <c r="K30" s="50">
        <v>0</v>
      </c>
      <c r="L30" s="50">
        <v>0</v>
      </c>
      <c r="M30" s="50">
        <v>156</v>
      </c>
      <c r="N30" s="50">
        <v>0</v>
      </c>
      <c r="O30" s="15">
        <f t="shared" si="0"/>
        <v>103</v>
      </c>
      <c r="P30" s="15">
        <f t="shared" si="1"/>
        <v>259</v>
      </c>
    </row>
    <row r="31" spans="2:32" ht="23.1" customHeight="1" x14ac:dyDescent="0.25">
      <c r="B31" s="24" t="s">
        <v>58</v>
      </c>
      <c r="C31" s="50">
        <v>45</v>
      </c>
      <c r="D31" s="50">
        <v>3</v>
      </c>
      <c r="E31" s="50">
        <v>6</v>
      </c>
      <c r="F31" s="50">
        <v>3</v>
      </c>
      <c r="G31" s="50">
        <v>0</v>
      </c>
      <c r="H31" s="50">
        <v>0</v>
      </c>
      <c r="I31" s="50">
        <v>7</v>
      </c>
      <c r="J31" s="50">
        <v>2</v>
      </c>
      <c r="K31" s="50">
        <v>0</v>
      </c>
      <c r="L31" s="50">
        <v>0</v>
      </c>
      <c r="M31" s="50">
        <v>100</v>
      </c>
      <c r="N31" s="50">
        <v>0</v>
      </c>
      <c r="O31" s="15">
        <f t="shared" si="0"/>
        <v>66</v>
      </c>
      <c r="P31" s="15">
        <f t="shared" si="1"/>
        <v>166</v>
      </c>
    </row>
    <row r="32" spans="2:32" ht="23.1" customHeight="1" x14ac:dyDescent="0.25">
      <c r="B32" s="24" t="s">
        <v>59</v>
      </c>
      <c r="C32" s="50">
        <v>60</v>
      </c>
      <c r="D32" s="50">
        <v>0</v>
      </c>
      <c r="E32" s="50">
        <v>1</v>
      </c>
      <c r="F32" s="50">
        <v>6</v>
      </c>
      <c r="G32" s="50">
        <v>3</v>
      </c>
      <c r="H32" s="50">
        <v>0</v>
      </c>
      <c r="I32" s="50">
        <v>2</v>
      </c>
      <c r="J32" s="50">
        <v>1</v>
      </c>
      <c r="K32" s="50">
        <v>0</v>
      </c>
      <c r="L32" s="50">
        <v>0</v>
      </c>
      <c r="M32" s="50">
        <v>105</v>
      </c>
      <c r="N32" s="50">
        <v>0</v>
      </c>
      <c r="O32" s="15">
        <f t="shared" si="0"/>
        <v>73</v>
      </c>
      <c r="P32" s="15">
        <f t="shared" si="1"/>
        <v>178</v>
      </c>
    </row>
    <row r="33" spans="2:20" ht="23.1" customHeight="1" x14ac:dyDescent="0.25">
      <c r="B33" s="23" t="s">
        <v>60</v>
      </c>
      <c r="C33" s="50">
        <v>80</v>
      </c>
      <c r="D33" s="50">
        <v>1</v>
      </c>
      <c r="E33" s="50">
        <v>5</v>
      </c>
      <c r="F33" s="50">
        <v>14</v>
      </c>
      <c r="G33" s="50">
        <v>0</v>
      </c>
      <c r="H33" s="50">
        <v>0</v>
      </c>
      <c r="I33" s="50">
        <v>0</v>
      </c>
      <c r="J33" s="50">
        <v>0</v>
      </c>
      <c r="K33" s="50">
        <v>1</v>
      </c>
      <c r="L33" s="50">
        <v>0</v>
      </c>
      <c r="M33" s="50">
        <v>75</v>
      </c>
      <c r="N33" s="50">
        <v>0</v>
      </c>
      <c r="O33" s="15">
        <f t="shared" si="0"/>
        <v>101</v>
      </c>
      <c r="P33" s="15">
        <f t="shared" si="1"/>
        <v>176</v>
      </c>
    </row>
    <row r="34" spans="2:20" ht="23.1" customHeight="1" x14ac:dyDescent="0.25">
      <c r="B34" s="24" t="s">
        <v>61</v>
      </c>
      <c r="C34" s="50">
        <v>79</v>
      </c>
      <c r="D34" s="50">
        <v>3</v>
      </c>
      <c r="E34" s="50">
        <v>8</v>
      </c>
      <c r="F34" s="50">
        <v>3</v>
      </c>
      <c r="G34" s="50">
        <v>0</v>
      </c>
      <c r="H34" s="50">
        <v>0</v>
      </c>
      <c r="I34" s="50">
        <v>0</v>
      </c>
      <c r="J34" s="50">
        <v>4</v>
      </c>
      <c r="K34" s="50">
        <v>2</v>
      </c>
      <c r="L34" s="50">
        <v>1</v>
      </c>
      <c r="M34" s="50">
        <v>85</v>
      </c>
      <c r="N34" s="50">
        <v>0</v>
      </c>
      <c r="O34" s="15">
        <f t="shared" si="0"/>
        <v>100</v>
      </c>
      <c r="P34" s="15">
        <f t="shared" si="1"/>
        <v>185</v>
      </c>
    </row>
    <row r="35" spans="2:20" ht="23.1" customHeight="1" x14ac:dyDescent="0.25">
      <c r="B35" s="24" t="s">
        <v>62</v>
      </c>
      <c r="C35" s="50">
        <v>75</v>
      </c>
      <c r="D35" s="50">
        <v>2</v>
      </c>
      <c r="E35" s="50">
        <v>1</v>
      </c>
      <c r="F35" s="50">
        <v>9</v>
      </c>
      <c r="G35" s="50">
        <v>0</v>
      </c>
      <c r="H35" s="50">
        <v>0</v>
      </c>
      <c r="I35" s="50">
        <v>0</v>
      </c>
      <c r="J35" s="50">
        <v>3</v>
      </c>
      <c r="K35" s="50">
        <v>0</v>
      </c>
      <c r="L35" s="50">
        <v>1</v>
      </c>
      <c r="M35" s="50">
        <v>110</v>
      </c>
      <c r="N35" s="50">
        <v>0</v>
      </c>
      <c r="O35" s="15">
        <f t="shared" si="0"/>
        <v>91</v>
      </c>
      <c r="P35" s="15">
        <f t="shared" si="1"/>
        <v>201</v>
      </c>
    </row>
    <row r="36" spans="2:20" ht="23.1" customHeight="1" x14ac:dyDescent="0.25">
      <c r="B36" s="24" t="s">
        <v>63</v>
      </c>
      <c r="C36" s="50">
        <v>80</v>
      </c>
      <c r="D36" s="50">
        <v>2</v>
      </c>
      <c r="E36" s="50">
        <v>0</v>
      </c>
      <c r="F36" s="50">
        <v>1</v>
      </c>
      <c r="G36" s="50">
        <v>0</v>
      </c>
      <c r="H36" s="50">
        <v>0</v>
      </c>
      <c r="I36" s="50">
        <v>3</v>
      </c>
      <c r="J36" s="50">
        <v>0</v>
      </c>
      <c r="K36" s="50">
        <v>1</v>
      </c>
      <c r="L36" s="50">
        <v>0</v>
      </c>
      <c r="M36" s="50">
        <v>65</v>
      </c>
      <c r="N36" s="50">
        <v>0</v>
      </c>
      <c r="O36" s="15">
        <f t="shared" si="0"/>
        <v>87</v>
      </c>
      <c r="P36" s="15">
        <f t="shared" si="1"/>
        <v>152</v>
      </c>
    </row>
    <row r="37" spans="2:20" ht="23.1" customHeight="1" x14ac:dyDescent="0.25">
      <c r="B37" s="23" t="s">
        <v>64</v>
      </c>
      <c r="C37" s="50">
        <v>95</v>
      </c>
      <c r="D37" s="50">
        <v>1</v>
      </c>
      <c r="E37" s="50">
        <v>6</v>
      </c>
      <c r="F37" s="50">
        <v>8</v>
      </c>
      <c r="G37" s="50">
        <v>0</v>
      </c>
      <c r="H37" s="50">
        <v>0</v>
      </c>
      <c r="I37" s="50">
        <v>6</v>
      </c>
      <c r="J37" s="50">
        <v>0</v>
      </c>
      <c r="K37" s="50">
        <v>0</v>
      </c>
      <c r="L37" s="50">
        <v>1</v>
      </c>
      <c r="M37" s="50">
        <v>115</v>
      </c>
      <c r="N37" s="50">
        <v>0</v>
      </c>
      <c r="O37" s="15">
        <f t="shared" si="0"/>
        <v>117</v>
      </c>
      <c r="P37" s="15">
        <f t="shared" si="1"/>
        <v>232</v>
      </c>
    </row>
    <row r="38" spans="2:20" ht="23.1" customHeight="1" x14ac:dyDescent="0.25">
      <c r="B38" s="24" t="s">
        <v>65</v>
      </c>
      <c r="C38" s="50">
        <v>75</v>
      </c>
      <c r="D38" s="50">
        <v>1</v>
      </c>
      <c r="E38" s="50">
        <v>2</v>
      </c>
      <c r="F38" s="50">
        <v>5</v>
      </c>
      <c r="G38" s="50">
        <v>0</v>
      </c>
      <c r="H38" s="50">
        <v>0</v>
      </c>
      <c r="I38" s="50">
        <v>4</v>
      </c>
      <c r="J38" s="50">
        <v>0</v>
      </c>
      <c r="K38" s="50">
        <v>0</v>
      </c>
      <c r="L38" s="50">
        <v>0</v>
      </c>
      <c r="M38" s="50">
        <v>154</v>
      </c>
      <c r="N38" s="50">
        <v>0</v>
      </c>
      <c r="O38" s="15">
        <f t="shared" si="0"/>
        <v>87</v>
      </c>
      <c r="P38" s="15">
        <f t="shared" si="1"/>
        <v>241</v>
      </c>
    </row>
    <row r="39" spans="2:20" ht="23.1" customHeight="1" x14ac:dyDescent="0.25">
      <c r="B39" s="24" t="s">
        <v>66</v>
      </c>
      <c r="C39" s="50">
        <v>80</v>
      </c>
      <c r="D39" s="50">
        <v>3</v>
      </c>
      <c r="E39" s="50">
        <v>4</v>
      </c>
      <c r="F39" s="50">
        <v>3</v>
      </c>
      <c r="G39" s="50">
        <v>0</v>
      </c>
      <c r="H39" s="50">
        <v>0</v>
      </c>
      <c r="I39" s="50">
        <v>1</v>
      </c>
      <c r="J39" s="50">
        <v>0</v>
      </c>
      <c r="K39" s="50">
        <v>1</v>
      </c>
      <c r="L39" s="50">
        <v>0</v>
      </c>
      <c r="M39" s="50">
        <v>150</v>
      </c>
      <c r="N39" s="50">
        <v>0</v>
      </c>
      <c r="O39" s="15">
        <f t="shared" si="0"/>
        <v>92</v>
      </c>
      <c r="P39" s="15">
        <f t="shared" si="1"/>
        <v>242</v>
      </c>
    </row>
    <row r="40" spans="2:20" ht="23.1" customHeight="1" x14ac:dyDescent="0.25">
      <c r="B40" s="24" t="s">
        <v>67</v>
      </c>
      <c r="C40" s="50">
        <v>50</v>
      </c>
      <c r="D40" s="50">
        <v>1</v>
      </c>
      <c r="E40" s="50">
        <v>7</v>
      </c>
      <c r="F40" s="50">
        <v>4</v>
      </c>
      <c r="G40" s="50">
        <v>0</v>
      </c>
      <c r="H40" s="50">
        <v>0</v>
      </c>
      <c r="I40" s="50">
        <v>0</v>
      </c>
      <c r="J40" s="50">
        <v>1</v>
      </c>
      <c r="K40" s="50">
        <v>0</v>
      </c>
      <c r="L40" s="50">
        <v>1</v>
      </c>
      <c r="M40" s="50">
        <v>105</v>
      </c>
      <c r="N40" s="50">
        <v>0</v>
      </c>
      <c r="O40" s="15">
        <f t="shared" si="0"/>
        <v>64</v>
      </c>
      <c r="P40" s="15">
        <f t="shared" si="1"/>
        <v>169</v>
      </c>
    </row>
    <row r="41" spans="2:20" ht="23.1" customHeight="1" x14ac:dyDescent="0.25">
      <c r="B41" s="23" t="s">
        <v>68</v>
      </c>
      <c r="C41" s="50">
        <v>55</v>
      </c>
      <c r="D41" s="50">
        <v>0</v>
      </c>
      <c r="E41" s="50">
        <v>0</v>
      </c>
      <c r="F41" s="50">
        <v>7</v>
      </c>
      <c r="G41" s="50">
        <v>0</v>
      </c>
      <c r="H41" s="50">
        <v>0</v>
      </c>
      <c r="I41" s="50">
        <v>0</v>
      </c>
      <c r="J41" s="50">
        <v>2</v>
      </c>
      <c r="K41" s="50">
        <v>0</v>
      </c>
      <c r="L41" s="50">
        <v>0</v>
      </c>
      <c r="M41" s="50">
        <v>95</v>
      </c>
      <c r="N41" s="50">
        <v>0</v>
      </c>
      <c r="O41" s="15">
        <f t="shared" si="0"/>
        <v>64</v>
      </c>
      <c r="P41" s="15">
        <f t="shared" si="1"/>
        <v>159</v>
      </c>
    </row>
    <row r="42" spans="2:20" ht="23.1" customHeight="1" x14ac:dyDescent="0.25">
      <c r="B42" s="24" t="s">
        <v>69</v>
      </c>
      <c r="C42" s="50">
        <v>45</v>
      </c>
      <c r="D42" s="50">
        <v>0</v>
      </c>
      <c r="E42" s="50">
        <v>0</v>
      </c>
      <c r="F42" s="50">
        <v>5</v>
      </c>
      <c r="G42" s="50">
        <v>0</v>
      </c>
      <c r="H42" s="50">
        <v>0</v>
      </c>
      <c r="I42" s="50">
        <v>7</v>
      </c>
      <c r="J42" s="50">
        <v>2</v>
      </c>
      <c r="K42" s="50">
        <v>0</v>
      </c>
      <c r="L42" s="50">
        <v>0</v>
      </c>
      <c r="M42" s="50">
        <v>123</v>
      </c>
      <c r="N42" s="50">
        <v>0</v>
      </c>
      <c r="O42" s="15">
        <f t="shared" si="0"/>
        <v>59</v>
      </c>
      <c r="P42" s="15">
        <f t="shared" si="1"/>
        <v>182</v>
      </c>
    </row>
    <row r="43" spans="2:20" ht="23.1" customHeight="1" x14ac:dyDescent="0.25">
      <c r="B43" s="23" t="s">
        <v>70</v>
      </c>
      <c r="C43" s="50">
        <v>58</v>
      </c>
      <c r="D43" s="50">
        <v>0</v>
      </c>
      <c r="E43" s="50">
        <v>3</v>
      </c>
      <c r="F43" s="50">
        <v>1</v>
      </c>
      <c r="G43" s="50">
        <v>0</v>
      </c>
      <c r="H43" s="50">
        <v>0</v>
      </c>
      <c r="I43" s="50">
        <v>0</v>
      </c>
      <c r="J43" s="50">
        <v>2</v>
      </c>
      <c r="K43" s="50">
        <v>0</v>
      </c>
      <c r="L43" s="50">
        <v>0</v>
      </c>
      <c r="M43" s="50">
        <v>70</v>
      </c>
      <c r="N43" s="50">
        <v>0</v>
      </c>
      <c r="O43" s="15">
        <f t="shared" si="0"/>
        <v>64</v>
      </c>
      <c r="P43" s="15">
        <f t="shared" si="1"/>
        <v>134</v>
      </c>
    </row>
    <row r="44" spans="2:20" ht="23.1" customHeight="1" x14ac:dyDescent="0.25">
      <c r="B44" s="25" t="s">
        <v>71</v>
      </c>
      <c r="C44" s="50">
        <v>60</v>
      </c>
      <c r="D44" s="50">
        <v>0</v>
      </c>
      <c r="E44" s="50">
        <v>2</v>
      </c>
      <c r="F44" s="50">
        <v>3</v>
      </c>
      <c r="G44" s="50">
        <v>0</v>
      </c>
      <c r="H44" s="50">
        <v>0</v>
      </c>
      <c r="I44" s="50">
        <v>1</v>
      </c>
      <c r="J44" s="50">
        <v>0</v>
      </c>
      <c r="K44" s="50">
        <v>1</v>
      </c>
      <c r="L44" s="50">
        <v>0</v>
      </c>
      <c r="M44" s="50">
        <v>83</v>
      </c>
      <c r="N44" s="50">
        <v>0</v>
      </c>
      <c r="O44" s="15">
        <f t="shared" si="0"/>
        <v>67</v>
      </c>
      <c r="P44" s="15">
        <f t="shared" si="1"/>
        <v>150</v>
      </c>
    </row>
    <row r="45" spans="2:20" ht="23.1" customHeight="1" x14ac:dyDescent="0.25">
      <c r="B45" s="23" t="s">
        <v>72</v>
      </c>
      <c r="C45" s="50">
        <v>57</v>
      </c>
      <c r="D45" s="50">
        <v>0</v>
      </c>
      <c r="E45" s="50">
        <v>4</v>
      </c>
      <c r="F45" s="50">
        <v>3</v>
      </c>
      <c r="G45" s="50">
        <v>0</v>
      </c>
      <c r="H45" s="50">
        <v>0</v>
      </c>
      <c r="I45" s="50">
        <v>6</v>
      </c>
      <c r="J45" s="50">
        <v>1</v>
      </c>
      <c r="K45" s="50">
        <v>0</v>
      </c>
      <c r="L45" s="50">
        <v>0</v>
      </c>
      <c r="M45" s="50">
        <v>75</v>
      </c>
      <c r="N45" s="50">
        <v>0</v>
      </c>
      <c r="O45" s="15">
        <f t="shared" si="0"/>
        <v>71</v>
      </c>
      <c r="P45" s="15">
        <f t="shared" si="1"/>
        <v>146</v>
      </c>
    </row>
    <row r="46" spans="2:20" ht="23.1" customHeight="1" x14ac:dyDescent="0.25">
      <c r="B46" s="24" t="s">
        <v>73</v>
      </c>
      <c r="C46" s="50">
        <v>70</v>
      </c>
      <c r="D46" s="50">
        <v>2</v>
      </c>
      <c r="E46" s="50">
        <v>1</v>
      </c>
      <c r="F46" s="50">
        <v>8</v>
      </c>
      <c r="G46" s="50">
        <v>2</v>
      </c>
      <c r="H46" s="50">
        <v>0</v>
      </c>
      <c r="I46" s="50">
        <v>0</v>
      </c>
      <c r="J46" s="50">
        <v>2</v>
      </c>
      <c r="K46" s="50">
        <v>0</v>
      </c>
      <c r="L46" s="50">
        <v>0</v>
      </c>
      <c r="M46" s="50">
        <v>121</v>
      </c>
      <c r="N46" s="50">
        <v>0</v>
      </c>
      <c r="O46" s="15">
        <f t="shared" si="0"/>
        <v>85</v>
      </c>
      <c r="P46" s="15">
        <f t="shared" si="1"/>
        <v>206</v>
      </c>
      <c r="R46" s="8"/>
      <c r="T46"/>
    </row>
    <row r="47" spans="2:20" ht="23.1" customHeight="1" x14ac:dyDescent="0.25">
      <c r="B47" s="24" t="s">
        <v>74</v>
      </c>
      <c r="C47" s="50">
        <v>63</v>
      </c>
      <c r="D47" s="50">
        <v>0</v>
      </c>
      <c r="E47" s="50">
        <v>2</v>
      </c>
      <c r="F47" s="50">
        <v>3</v>
      </c>
      <c r="G47" s="50">
        <v>0</v>
      </c>
      <c r="H47" s="50">
        <v>0</v>
      </c>
      <c r="I47" s="50">
        <v>3</v>
      </c>
      <c r="J47" s="50">
        <v>0</v>
      </c>
      <c r="K47" s="50">
        <v>1</v>
      </c>
      <c r="L47" s="50">
        <v>0</v>
      </c>
      <c r="M47" s="50">
        <v>98</v>
      </c>
      <c r="N47" s="50">
        <v>0</v>
      </c>
      <c r="O47" s="15">
        <f t="shared" si="0"/>
        <v>72</v>
      </c>
      <c r="P47" s="15">
        <f t="shared" si="1"/>
        <v>170</v>
      </c>
      <c r="R47" s="8"/>
      <c r="T47"/>
    </row>
    <row r="48" spans="2:20" ht="23.1" customHeight="1" x14ac:dyDescent="0.25">
      <c r="B48" s="24" t="s">
        <v>75</v>
      </c>
      <c r="C48" s="50">
        <v>60</v>
      </c>
      <c r="D48" s="50">
        <v>1</v>
      </c>
      <c r="E48" s="50">
        <v>4</v>
      </c>
      <c r="F48" s="50">
        <v>6</v>
      </c>
      <c r="G48" s="50">
        <v>1</v>
      </c>
      <c r="H48" s="50">
        <v>0</v>
      </c>
      <c r="I48" s="50">
        <v>2</v>
      </c>
      <c r="J48" s="50">
        <v>0</v>
      </c>
      <c r="K48" s="50">
        <v>2</v>
      </c>
      <c r="L48" s="50">
        <v>0</v>
      </c>
      <c r="M48" s="50">
        <v>65</v>
      </c>
      <c r="N48" s="50">
        <v>0</v>
      </c>
      <c r="O48" s="15">
        <f t="shared" si="0"/>
        <v>76</v>
      </c>
      <c r="P48" s="15">
        <f t="shared" si="1"/>
        <v>141</v>
      </c>
      <c r="R48" s="8"/>
      <c r="T48"/>
    </row>
    <row r="49" spans="2:20" ht="23.1" customHeight="1" x14ac:dyDescent="0.25">
      <c r="B49" s="23" t="s">
        <v>76</v>
      </c>
      <c r="C49" s="50">
        <v>58</v>
      </c>
      <c r="D49" s="50">
        <v>4</v>
      </c>
      <c r="E49" s="50">
        <v>7</v>
      </c>
      <c r="F49" s="50">
        <v>7</v>
      </c>
      <c r="G49" s="50">
        <v>1</v>
      </c>
      <c r="H49" s="50">
        <v>0</v>
      </c>
      <c r="I49" s="50">
        <v>3</v>
      </c>
      <c r="J49" s="50">
        <v>3</v>
      </c>
      <c r="K49" s="50">
        <v>1</v>
      </c>
      <c r="L49" s="50">
        <v>0</v>
      </c>
      <c r="M49" s="50">
        <v>95</v>
      </c>
      <c r="N49" s="50">
        <v>0</v>
      </c>
      <c r="O49" s="15">
        <f t="shared" si="0"/>
        <v>84</v>
      </c>
      <c r="P49" s="15">
        <f t="shared" si="1"/>
        <v>179</v>
      </c>
      <c r="R49" s="8"/>
      <c r="T49"/>
    </row>
    <row r="50" spans="2:20" ht="23.1" customHeight="1" x14ac:dyDescent="0.25">
      <c r="B50" s="24" t="s">
        <v>77</v>
      </c>
      <c r="C50" s="50">
        <v>85</v>
      </c>
      <c r="D50" s="50">
        <v>5</v>
      </c>
      <c r="E50" s="50">
        <v>5</v>
      </c>
      <c r="F50" s="50">
        <v>12</v>
      </c>
      <c r="G50" s="50">
        <v>0</v>
      </c>
      <c r="H50" s="50">
        <v>0</v>
      </c>
      <c r="I50" s="50">
        <v>3</v>
      </c>
      <c r="J50" s="50">
        <v>2</v>
      </c>
      <c r="K50" s="50">
        <v>0</v>
      </c>
      <c r="L50" s="50">
        <v>0</v>
      </c>
      <c r="M50" s="50">
        <v>140</v>
      </c>
      <c r="N50" s="50">
        <v>0</v>
      </c>
      <c r="O50" s="15">
        <f t="shared" si="0"/>
        <v>112</v>
      </c>
      <c r="P50" s="15">
        <f t="shared" si="1"/>
        <v>252</v>
      </c>
      <c r="R50" s="8"/>
      <c r="T50"/>
    </row>
    <row r="51" spans="2:20" ht="23.1" customHeight="1" x14ac:dyDescent="0.25">
      <c r="B51" s="24" t="s">
        <v>78</v>
      </c>
      <c r="C51" s="50">
        <v>97</v>
      </c>
      <c r="D51" s="50">
        <v>8</v>
      </c>
      <c r="E51" s="50">
        <v>6</v>
      </c>
      <c r="F51" s="50">
        <v>11</v>
      </c>
      <c r="G51" s="50">
        <v>0</v>
      </c>
      <c r="H51" s="50">
        <v>0</v>
      </c>
      <c r="I51" s="50">
        <v>6</v>
      </c>
      <c r="J51" s="50">
        <v>3</v>
      </c>
      <c r="K51" s="50">
        <v>0</v>
      </c>
      <c r="L51" s="50">
        <v>0</v>
      </c>
      <c r="M51" s="50">
        <v>110</v>
      </c>
      <c r="N51" s="50">
        <v>0</v>
      </c>
      <c r="O51" s="15">
        <f t="shared" si="0"/>
        <v>131</v>
      </c>
      <c r="P51" s="15">
        <f t="shared" si="1"/>
        <v>241</v>
      </c>
      <c r="R51" s="8"/>
      <c r="T51"/>
    </row>
    <row r="52" spans="2:20" ht="23.1" customHeight="1" x14ac:dyDescent="0.25">
      <c r="B52" s="24" t="s">
        <v>79</v>
      </c>
      <c r="C52" s="50">
        <v>120</v>
      </c>
      <c r="D52" s="50">
        <v>6</v>
      </c>
      <c r="E52" s="50">
        <v>3</v>
      </c>
      <c r="F52" s="50">
        <v>13</v>
      </c>
      <c r="G52" s="50">
        <v>0</v>
      </c>
      <c r="H52" s="50">
        <v>0</v>
      </c>
      <c r="I52" s="50">
        <v>5</v>
      </c>
      <c r="J52" s="50">
        <v>1</v>
      </c>
      <c r="K52" s="50">
        <v>0</v>
      </c>
      <c r="L52" s="50">
        <v>0</v>
      </c>
      <c r="M52" s="50">
        <v>175</v>
      </c>
      <c r="N52" s="50">
        <v>0</v>
      </c>
      <c r="O52" s="15">
        <f t="shared" si="0"/>
        <v>148</v>
      </c>
      <c r="P52" s="15">
        <f t="shared" si="1"/>
        <v>323</v>
      </c>
      <c r="R52" s="8"/>
      <c r="T52"/>
    </row>
    <row r="53" spans="2:20" ht="23.1" customHeight="1" x14ac:dyDescent="0.25">
      <c r="B53" s="23" t="s">
        <v>80</v>
      </c>
      <c r="C53" s="50">
        <v>138</v>
      </c>
      <c r="D53" s="50">
        <v>4</v>
      </c>
      <c r="E53" s="50">
        <v>3</v>
      </c>
      <c r="F53" s="50">
        <v>17</v>
      </c>
      <c r="G53" s="50">
        <v>0</v>
      </c>
      <c r="H53" s="50">
        <v>0</v>
      </c>
      <c r="I53" s="50">
        <v>8</v>
      </c>
      <c r="J53" s="50">
        <v>0</v>
      </c>
      <c r="K53" s="50">
        <v>1</v>
      </c>
      <c r="L53" s="50">
        <v>0</v>
      </c>
      <c r="M53" s="50">
        <v>115</v>
      </c>
      <c r="N53" s="50">
        <v>0</v>
      </c>
      <c r="O53" s="15">
        <f t="shared" si="0"/>
        <v>171</v>
      </c>
      <c r="P53" s="15">
        <f t="shared" si="1"/>
        <v>286</v>
      </c>
      <c r="R53" s="8"/>
      <c r="T53"/>
    </row>
    <row r="54" spans="2:20" ht="23.1" customHeight="1" x14ac:dyDescent="0.25">
      <c r="B54" s="23" t="s">
        <v>81</v>
      </c>
      <c r="C54" s="50">
        <v>95</v>
      </c>
      <c r="D54" s="50">
        <v>3</v>
      </c>
      <c r="E54" s="50">
        <v>3</v>
      </c>
      <c r="F54" s="50">
        <v>10</v>
      </c>
      <c r="G54" s="50">
        <v>1</v>
      </c>
      <c r="H54" s="50">
        <v>0</v>
      </c>
      <c r="I54" s="50">
        <v>3</v>
      </c>
      <c r="J54" s="50">
        <v>1</v>
      </c>
      <c r="K54" s="50">
        <v>0</v>
      </c>
      <c r="L54" s="50">
        <v>0</v>
      </c>
      <c r="M54" s="50">
        <v>175</v>
      </c>
      <c r="N54" s="50">
        <v>0</v>
      </c>
      <c r="O54" s="15">
        <f t="shared" si="0"/>
        <v>116</v>
      </c>
      <c r="P54" s="15">
        <f t="shared" si="1"/>
        <v>291</v>
      </c>
      <c r="R54" s="8"/>
      <c r="T54"/>
    </row>
    <row r="55" spans="2:20" ht="23.1" customHeight="1" x14ac:dyDescent="0.25">
      <c r="B55" s="23" t="s">
        <v>82</v>
      </c>
      <c r="C55" s="50">
        <v>120</v>
      </c>
      <c r="D55" s="50">
        <v>1</v>
      </c>
      <c r="E55" s="50">
        <v>7</v>
      </c>
      <c r="F55" s="50">
        <v>39</v>
      </c>
      <c r="G55" s="50">
        <v>0</v>
      </c>
      <c r="H55" s="50">
        <v>0</v>
      </c>
      <c r="I55" s="50">
        <v>7</v>
      </c>
      <c r="J55" s="50">
        <v>0</v>
      </c>
      <c r="K55" s="50">
        <v>0</v>
      </c>
      <c r="L55" s="50">
        <v>0</v>
      </c>
      <c r="M55" s="50">
        <v>110</v>
      </c>
      <c r="N55" s="50">
        <v>0</v>
      </c>
      <c r="O55" s="15">
        <f t="shared" si="0"/>
        <v>174</v>
      </c>
      <c r="P55" s="15">
        <f t="shared" si="1"/>
        <v>284</v>
      </c>
      <c r="R55" s="8"/>
      <c r="T55"/>
    </row>
    <row r="56" spans="2:20" ht="23.1" customHeight="1" x14ac:dyDescent="0.25">
      <c r="B56" s="23" t="s">
        <v>83</v>
      </c>
      <c r="C56" s="50">
        <v>61</v>
      </c>
      <c r="D56" s="50">
        <v>4</v>
      </c>
      <c r="E56" s="50">
        <v>2</v>
      </c>
      <c r="F56" s="50">
        <v>21</v>
      </c>
      <c r="G56" s="50">
        <v>0</v>
      </c>
      <c r="H56" s="50">
        <v>0</v>
      </c>
      <c r="I56" s="50">
        <v>5</v>
      </c>
      <c r="J56" s="50">
        <v>1</v>
      </c>
      <c r="K56" s="50">
        <v>0</v>
      </c>
      <c r="L56" s="50">
        <v>0</v>
      </c>
      <c r="M56" s="50">
        <v>140</v>
      </c>
      <c r="N56" s="50">
        <v>0</v>
      </c>
      <c r="O56" s="15">
        <f t="shared" si="0"/>
        <v>94</v>
      </c>
      <c r="P56" s="15">
        <f t="shared" si="1"/>
        <v>234</v>
      </c>
      <c r="R56" s="8"/>
      <c r="T56"/>
    </row>
    <row r="57" spans="2:20" ht="23.1" customHeight="1" x14ac:dyDescent="0.25">
      <c r="B57" s="23" t="s">
        <v>84</v>
      </c>
      <c r="C57" s="50">
        <v>78</v>
      </c>
      <c r="D57" s="50">
        <v>0</v>
      </c>
      <c r="E57" s="50">
        <v>3</v>
      </c>
      <c r="F57" s="50">
        <v>53</v>
      </c>
      <c r="G57" s="50">
        <v>0</v>
      </c>
      <c r="H57" s="50">
        <v>0</v>
      </c>
      <c r="I57" s="50">
        <v>3</v>
      </c>
      <c r="J57" s="50">
        <v>2</v>
      </c>
      <c r="K57" s="50">
        <v>0</v>
      </c>
      <c r="L57" s="50">
        <v>0</v>
      </c>
      <c r="M57" s="50">
        <v>125</v>
      </c>
      <c r="N57" s="50">
        <v>0</v>
      </c>
      <c r="O57" s="15">
        <f t="shared" si="0"/>
        <v>139</v>
      </c>
      <c r="P57" s="15">
        <f t="shared" si="1"/>
        <v>264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3104</v>
      </c>
      <c r="D58" s="16">
        <f t="shared" si="21"/>
        <v>84</v>
      </c>
      <c r="E58" s="16">
        <f t="shared" si="21"/>
        <v>169</v>
      </c>
      <c r="F58" s="16">
        <f t="shared" si="21"/>
        <v>497</v>
      </c>
      <c r="G58" s="16">
        <f t="shared" si="21"/>
        <v>12</v>
      </c>
      <c r="H58" s="16">
        <f t="shared" si="21"/>
        <v>2</v>
      </c>
      <c r="I58" s="16">
        <f t="shared" si="21"/>
        <v>129</v>
      </c>
      <c r="J58" s="16">
        <f t="shared" si="21"/>
        <v>56</v>
      </c>
      <c r="K58" s="16">
        <f t="shared" si="21"/>
        <v>15</v>
      </c>
      <c r="L58" s="16">
        <f t="shared" si="21"/>
        <v>4</v>
      </c>
      <c r="M58" s="16">
        <f t="shared" si="21"/>
        <v>5591</v>
      </c>
      <c r="N58" s="16">
        <f t="shared" si="21"/>
        <v>0</v>
      </c>
      <c r="O58" s="16">
        <f t="shared" si="21"/>
        <v>4072</v>
      </c>
      <c r="P58" s="16">
        <f t="shared" si="21"/>
        <v>9663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0.32122529235227154</v>
      </c>
      <c r="D59" s="43">
        <f t="shared" si="22"/>
        <v>8.6929524992238431E-3</v>
      </c>
      <c r="E59" s="43">
        <f t="shared" si="22"/>
        <v>1.7489392528200351E-2</v>
      </c>
      <c r="F59" s="43">
        <f t="shared" si="22"/>
        <v>5.1433302287074406E-2</v>
      </c>
      <c r="G59" s="43">
        <f t="shared" si="22"/>
        <v>1.2418503570319776E-3</v>
      </c>
      <c r="H59" s="43">
        <f t="shared" si="22"/>
        <v>2.0697505950532959E-4</v>
      </c>
      <c r="I59" s="43">
        <f t="shared" si="22"/>
        <v>1.334989133809376E-2</v>
      </c>
      <c r="J59" s="43">
        <f t="shared" si="22"/>
        <v>5.7953016661492288E-3</v>
      </c>
      <c r="K59" s="43">
        <f t="shared" si="22"/>
        <v>1.5523129462899721E-3</v>
      </c>
      <c r="L59" s="43">
        <f t="shared" si="22"/>
        <v>4.1395011901065919E-4</v>
      </c>
      <c r="M59" s="43">
        <f t="shared" si="22"/>
        <v>0.57859877884714894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0.76227897838899805</v>
      </c>
      <c r="D60" s="44">
        <f t="shared" ref="D60:N60" si="23">D58/$O$58</f>
        <v>2.0628683693516701E-2</v>
      </c>
      <c r="E60" s="44">
        <f t="shared" si="23"/>
        <v>4.1502946954813359E-2</v>
      </c>
      <c r="F60" s="44">
        <f t="shared" si="23"/>
        <v>0.12205304518664047</v>
      </c>
      <c r="G60" s="44">
        <f t="shared" si="23"/>
        <v>2.9469548133595285E-3</v>
      </c>
      <c r="H60" s="44">
        <f t="shared" si="23"/>
        <v>4.9115913555992138E-4</v>
      </c>
      <c r="I60" s="44">
        <f t="shared" si="23"/>
        <v>3.1679764243614933E-2</v>
      </c>
      <c r="J60" s="44">
        <f t="shared" si="23"/>
        <v>1.37524557956778E-2</v>
      </c>
      <c r="K60" s="44">
        <f t="shared" si="23"/>
        <v>3.6836935166994107E-3</v>
      </c>
      <c r="L60" s="44">
        <f t="shared" si="23"/>
        <v>9.8231827111984276E-4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F26" sqref="F2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'22.07 Nyanama-Ndeeba'!C3:G3</f>
        <v>MCC - C1 - STN04 - WERAGA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'23.07 Ndeeba-Nyanama'!D5</f>
        <v>23.07.19</v>
      </c>
      <c r="E5" s="3"/>
      <c r="F5" s="41" t="s">
        <v>1</v>
      </c>
      <c r="G5" s="68" t="str">
        <f>'22.07 Ndeeba-Nyanama'!G5:H5</f>
        <v>Golden Mille Hotel</v>
      </c>
      <c r="H5" s="69"/>
      <c r="I5" s="14"/>
      <c r="J5" s="2" t="s">
        <v>5</v>
      </c>
      <c r="K5" s="68" t="s">
        <v>175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tr">
        <f>'22.07 Nyanama-Ndeeba'!D6:E6</f>
        <v>Nyanama</v>
      </c>
      <c r="E6" s="69"/>
      <c r="F6" s="2" t="s">
        <v>2</v>
      </c>
      <c r="G6" s="68" t="str">
        <f>'22.07 Nyanama-Ndeeba'!G6:H6</f>
        <v>Ndeeba</v>
      </c>
      <c r="H6" s="69"/>
      <c r="J6" s="2" t="s">
        <v>21</v>
      </c>
      <c r="K6" s="68" t="str">
        <f>'22.07 Ndeeba-Nyanama'!K6:L6</f>
        <v>Denis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21</v>
      </c>
      <c r="D10" s="50">
        <v>5</v>
      </c>
      <c r="E10" s="50">
        <v>6</v>
      </c>
      <c r="F10" s="50">
        <v>12</v>
      </c>
      <c r="G10" s="50">
        <v>0</v>
      </c>
      <c r="H10" s="50">
        <v>0</v>
      </c>
      <c r="I10" s="50">
        <v>3</v>
      </c>
      <c r="J10" s="50">
        <v>2</v>
      </c>
      <c r="K10" s="50">
        <v>3</v>
      </c>
      <c r="L10" s="50">
        <v>0</v>
      </c>
      <c r="M10" s="50">
        <v>17</v>
      </c>
      <c r="N10" s="50">
        <v>0</v>
      </c>
      <c r="O10" s="15">
        <f t="shared" ref="O10:O57" si="0">SUM(C10:L10,N10)</f>
        <v>52</v>
      </c>
      <c r="P10" s="15">
        <f t="shared" ref="P10:P57" si="1">SUM(C10:N10)</f>
        <v>69</v>
      </c>
      <c r="R10" s="1" t="s">
        <v>6</v>
      </c>
      <c r="S10" s="17">
        <f t="shared" ref="S10:AF10" si="2">SUM(C10:C13)</f>
        <v>222</v>
      </c>
      <c r="T10" s="17">
        <f t="shared" si="2"/>
        <v>29</v>
      </c>
      <c r="U10" s="17">
        <f t="shared" si="2"/>
        <v>26</v>
      </c>
      <c r="V10" s="17">
        <f t="shared" si="2"/>
        <v>121</v>
      </c>
      <c r="W10" s="17">
        <f t="shared" si="2"/>
        <v>1</v>
      </c>
      <c r="X10" s="17">
        <f t="shared" si="2"/>
        <v>0</v>
      </c>
      <c r="Y10" s="17">
        <f t="shared" si="2"/>
        <v>16</v>
      </c>
      <c r="Z10" s="17">
        <f t="shared" si="2"/>
        <v>4</v>
      </c>
      <c r="AA10" s="17">
        <f t="shared" si="2"/>
        <v>9</v>
      </c>
      <c r="AB10" s="17">
        <f t="shared" si="2"/>
        <v>0</v>
      </c>
      <c r="AC10" s="17">
        <f t="shared" si="2"/>
        <v>399</v>
      </c>
      <c r="AD10" s="17">
        <f t="shared" si="2"/>
        <v>0</v>
      </c>
      <c r="AE10" s="31">
        <f t="shared" si="2"/>
        <v>428</v>
      </c>
      <c r="AF10" s="31">
        <f t="shared" si="2"/>
        <v>827</v>
      </c>
    </row>
    <row r="11" spans="2:32" s="6" customFormat="1" ht="23.1" customHeight="1" x14ac:dyDescent="0.25">
      <c r="B11" s="23" t="s">
        <v>38</v>
      </c>
      <c r="C11" s="50">
        <v>60</v>
      </c>
      <c r="D11" s="50">
        <v>7</v>
      </c>
      <c r="E11" s="50">
        <v>6</v>
      </c>
      <c r="F11" s="50">
        <v>31</v>
      </c>
      <c r="G11" s="50">
        <v>1</v>
      </c>
      <c r="H11" s="50">
        <v>0</v>
      </c>
      <c r="I11" s="50">
        <v>3</v>
      </c>
      <c r="J11" s="50">
        <v>1</v>
      </c>
      <c r="K11" s="50">
        <v>0</v>
      </c>
      <c r="L11" s="50">
        <v>0</v>
      </c>
      <c r="M11" s="50">
        <v>112</v>
      </c>
      <c r="N11" s="50">
        <v>0</v>
      </c>
      <c r="O11" s="15">
        <f t="shared" si="0"/>
        <v>109</v>
      </c>
      <c r="P11" s="15">
        <f t="shared" si="1"/>
        <v>221</v>
      </c>
      <c r="R11" s="1" t="s">
        <v>7</v>
      </c>
      <c r="S11" s="17">
        <f t="shared" ref="S11:AF11" si="3">SUM(C14:C17)</f>
        <v>207</v>
      </c>
      <c r="T11" s="17">
        <f t="shared" si="3"/>
        <v>24</v>
      </c>
      <c r="U11" s="17">
        <f t="shared" si="3"/>
        <v>14</v>
      </c>
      <c r="V11" s="17">
        <f t="shared" si="3"/>
        <v>99</v>
      </c>
      <c r="W11" s="17">
        <f t="shared" si="3"/>
        <v>0</v>
      </c>
      <c r="X11" s="17">
        <f t="shared" si="3"/>
        <v>0</v>
      </c>
      <c r="Y11" s="17">
        <f t="shared" si="3"/>
        <v>11</v>
      </c>
      <c r="Z11" s="17">
        <f t="shared" si="3"/>
        <v>2</v>
      </c>
      <c r="AA11" s="17">
        <f t="shared" si="3"/>
        <v>0</v>
      </c>
      <c r="AB11" s="17">
        <f t="shared" si="3"/>
        <v>1</v>
      </c>
      <c r="AC11" s="17">
        <f t="shared" si="3"/>
        <v>425</v>
      </c>
      <c r="AD11" s="17">
        <f t="shared" si="3"/>
        <v>0</v>
      </c>
      <c r="AE11" s="31">
        <f t="shared" si="3"/>
        <v>358</v>
      </c>
      <c r="AF11" s="31">
        <f t="shared" si="3"/>
        <v>783</v>
      </c>
    </row>
    <row r="12" spans="2:32" ht="23.1" customHeight="1" x14ac:dyDescent="0.25">
      <c r="B12" s="23" t="s">
        <v>39</v>
      </c>
      <c r="C12" s="50">
        <v>78</v>
      </c>
      <c r="D12" s="50">
        <v>9</v>
      </c>
      <c r="E12" s="50">
        <v>7</v>
      </c>
      <c r="F12" s="50">
        <v>44</v>
      </c>
      <c r="G12" s="50">
        <v>0</v>
      </c>
      <c r="H12" s="50">
        <v>0</v>
      </c>
      <c r="I12" s="50">
        <v>3</v>
      </c>
      <c r="J12" s="50">
        <v>1</v>
      </c>
      <c r="K12" s="50">
        <v>4</v>
      </c>
      <c r="L12" s="50">
        <v>0</v>
      </c>
      <c r="M12" s="50">
        <v>153</v>
      </c>
      <c r="N12" s="50">
        <v>0</v>
      </c>
      <c r="O12" s="15">
        <f t="shared" si="0"/>
        <v>146</v>
      </c>
      <c r="P12" s="15">
        <f t="shared" si="1"/>
        <v>299</v>
      </c>
      <c r="R12" s="1" t="s">
        <v>8</v>
      </c>
      <c r="S12" s="17">
        <f t="shared" ref="S12:AF12" si="4">SUM(C18:C21)</f>
        <v>182</v>
      </c>
      <c r="T12" s="17">
        <f t="shared" si="4"/>
        <v>27</v>
      </c>
      <c r="U12" s="17">
        <f t="shared" si="4"/>
        <v>22</v>
      </c>
      <c r="V12" s="17">
        <f t="shared" si="4"/>
        <v>49</v>
      </c>
      <c r="W12" s="17">
        <f t="shared" si="4"/>
        <v>1</v>
      </c>
      <c r="X12" s="17">
        <f t="shared" si="4"/>
        <v>1</v>
      </c>
      <c r="Y12" s="17">
        <f t="shared" si="4"/>
        <v>15</v>
      </c>
      <c r="Z12" s="17">
        <f t="shared" si="4"/>
        <v>2</v>
      </c>
      <c r="AA12" s="17">
        <f t="shared" si="4"/>
        <v>0</v>
      </c>
      <c r="AB12" s="17">
        <f t="shared" si="4"/>
        <v>1</v>
      </c>
      <c r="AC12" s="17">
        <f t="shared" si="4"/>
        <v>389</v>
      </c>
      <c r="AD12" s="17">
        <f t="shared" si="4"/>
        <v>0</v>
      </c>
      <c r="AE12" s="31">
        <f t="shared" si="4"/>
        <v>300</v>
      </c>
      <c r="AF12" s="31">
        <f t="shared" si="4"/>
        <v>689</v>
      </c>
    </row>
    <row r="13" spans="2:32" ht="23.1" customHeight="1" x14ac:dyDescent="0.25">
      <c r="B13" s="23" t="s">
        <v>40</v>
      </c>
      <c r="C13" s="50">
        <v>63</v>
      </c>
      <c r="D13" s="50">
        <v>8</v>
      </c>
      <c r="E13" s="50">
        <v>7</v>
      </c>
      <c r="F13" s="50">
        <v>34</v>
      </c>
      <c r="G13" s="50">
        <v>0</v>
      </c>
      <c r="H13" s="50">
        <v>0</v>
      </c>
      <c r="I13" s="50">
        <v>7</v>
      </c>
      <c r="J13" s="50">
        <v>0</v>
      </c>
      <c r="K13" s="50">
        <v>2</v>
      </c>
      <c r="L13" s="50">
        <v>0</v>
      </c>
      <c r="M13" s="50">
        <v>117</v>
      </c>
      <c r="N13" s="50">
        <v>0</v>
      </c>
      <c r="O13" s="15">
        <f t="shared" si="0"/>
        <v>121</v>
      </c>
      <c r="P13" s="15">
        <f t="shared" si="1"/>
        <v>238</v>
      </c>
      <c r="R13" s="1" t="s">
        <v>9</v>
      </c>
      <c r="S13" s="17">
        <f t="shared" ref="S13:AF13" si="5">SUM(C22:C25)</f>
        <v>153</v>
      </c>
      <c r="T13" s="17">
        <f t="shared" si="5"/>
        <v>21</v>
      </c>
      <c r="U13" s="17">
        <f t="shared" si="5"/>
        <v>19</v>
      </c>
      <c r="V13" s="17">
        <f t="shared" si="5"/>
        <v>27</v>
      </c>
      <c r="W13" s="17">
        <f t="shared" si="5"/>
        <v>1</v>
      </c>
      <c r="X13" s="17">
        <f t="shared" si="5"/>
        <v>0</v>
      </c>
      <c r="Y13" s="17">
        <f t="shared" si="5"/>
        <v>10</v>
      </c>
      <c r="Z13" s="17">
        <f t="shared" si="5"/>
        <v>0</v>
      </c>
      <c r="AA13" s="17">
        <f t="shared" si="5"/>
        <v>2</v>
      </c>
      <c r="AB13" s="17">
        <f t="shared" si="5"/>
        <v>0</v>
      </c>
      <c r="AC13" s="17">
        <f t="shared" si="5"/>
        <v>333</v>
      </c>
      <c r="AD13" s="17">
        <f t="shared" si="5"/>
        <v>0</v>
      </c>
      <c r="AE13" s="31">
        <f t="shared" si="5"/>
        <v>233</v>
      </c>
      <c r="AF13" s="31">
        <f t="shared" si="5"/>
        <v>566</v>
      </c>
    </row>
    <row r="14" spans="2:32" ht="23.1" customHeight="1" x14ac:dyDescent="0.25">
      <c r="B14" s="23" t="s">
        <v>41</v>
      </c>
      <c r="C14" s="50">
        <v>60</v>
      </c>
      <c r="D14" s="50">
        <v>5</v>
      </c>
      <c r="E14" s="50">
        <v>3</v>
      </c>
      <c r="F14" s="50">
        <v>35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113</v>
      </c>
      <c r="N14" s="50">
        <v>0</v>
      </c>
      <c r="O14" s="15">
        <f t="shared" si="0"/>
        <v>106</v>
      </c>
      <c r="P14" s="15">
        <f t="shared" si="1"/>
        <v>219</v>
      </c>
      <c r="R14" s="1" t="s">
        <v>10</v>
      </c>
      <c r="S14" s="17">
        <f t="shared" ref="S14:AF14" si="6">SUM(C26:C29)</f>
        <v>132</v>
      </c>
      <c r="T14" s="17">
        <f t="shared" si="6"/>
        <v>10</v>
      </c>
      <c r="U14" s="17">
        <f t="shared" si="6"/>
        <v>18</v>
      </c>
      <c r="V14" s="17">
        <f t="shared" si="6"/>
        <v>28</v>
      </c>
      <c r="W14" s="17">
        <f t="shared" si="6"/>
        <v>2</v>
      </c>
      <c r="X14" s="17">
        <f t="shared" si="6"/>
        <v>0</v>
      </c>
      <c r="Y14" s="17">
        <f t="shared" si="6"/>
        <v>7</v>
      </c>
      <c r="Z14" s="17">
        <f t="shared" si="6"/>
        <v>9</v>
      </c>
      <c r="AA14" s="17">
        <f t="shared" si="6"/>
        <v>1</v>
      </c>
      <c r="AB14" s="17">
        <f t="shared" si="6"/>
        <v>0</v>
      </c>
      <c r="AC14" s="17">
        <f t="shared" si="6"/>
        <v>325</v>
      </c>
      <c r="AD14" s="17">
        <f t="shared" si="6"/>
        <v>0</v>
      </c>
      <c r="AE14" s="31">
        <f t="shared" si="6"/>
        <v>207</v>
      </c>
      <c r="AF14" s="31">
        <f t="shared" si="6"/>
        <v>532</v>
      </c>
    </row>
    <row r="15" spans="2:32" ht="23.1" customHeight="1" x14ac:dyDescent="0.25">
      <c r="B15" s="23" t="s">
        <v>42</v>
      </c>
      <c r="C15" s="50">
        <v>58</v>
      </c>
      <c r="D15" s="50">
        <v>6</v>
      </c>
      <c r="E15" s="50">
        <v>2</v>
      </c>
      <c r="F15" s="50">
        <v>28</v>
      </c>
      <c r="G15" s="50">
        <v>0</v>
      </c>
      <c r="H15" s="50">
        <v>0</v>
      </c>
      <c r="I15" s="50">
        <v>4</v>
      </c>
      <c r="J15" s="50">
        <v>0</v>
      </c>
      <c r="K15" s="50">
        <v>0</v>
      </c>
      <c r="L15" s="50">
        <v>0</v>
      </c>
      <c r="M15" s="50">
        <v>103</v>
      </c>
      <c r="N15" s="50">
        <v>0</v>
      </c>
      <c r="O15" s="15">
        <f t="shared" si="0"/>
        <v>98</v>
      </c>
      <c r="P15" s="15">
        <f t="shared" si="1"/>
        <v>201</v>
      </c>
      <c r="R15" s="1" t="s">
        <v>11</v>
      </c>
      <c r="S15" s="17">
        <f t="shared" ref="S15:AF15" si="7">SUM(C30:C33)</f>
        <v>133</v>
      </c>
      <c r="T15" s="17">
        <f t="shared" si="7"/>
        <v>13</v>
      </c>
      <c r="U15" s="17">
        <f t="shared" si="7"/>
        <v>22</v>
      </c>
      <c r="V15" s="17">
        <f t="shared" si="7"/>
        <v>27</v>
      </c>
      <c r="W15" s="17">
        <f t="shared" si="7"/>
        <v>0</v>
      </c>
      <c r="X15" s="17">
        <f t="shared" si="7"/>
        <v>0</v>
      </c>
      <c r="Y15" s="17">
        <f t="shared" si="7"/>
        <v>13</v>
      </c>
      <c r="Z15" s="17">
        <f t="shared" si="7"/>
        <v>2</v>
      </c>
      <c r="AA15" s="17">
        <f t="shared" si="7"/>
        <v>1</v>
      </c>
      <c r="AB15" s="17">
        <f t="shared" si="7"/>
        <v>1</v>
      </c>
      <c r="AC15" s="17">
        <f t="shared" si="7"/>
        <v>337</v>
      </c>
      <c r="AD15" s="17">
        <f t="shared" si="7"/>
        <v>0</v>
      </c>
      <c r="AE15" s="31">
        <f t="shared" si="7"/>
        <v>212</v>
      </c>
      <c r="AF15" s="31">
        <f t="shared" si="7"/>
        <v>549</v>
      </c>
    </row>
    <row r="16" spans="2:32" ht="23.1" customHeight="1" x14ac:dyDescent="0.25">
      <c r="B16" s="23" t="s">
        <v>43</v>
      </c>
      <c r="C16" s="50">
        <v>54</v>
      </c>
      <c r="D16" s="50">
        <v>5</v>
      </c>
      <c r="E16" s="50">
        <v>5</v>
      </c>
      <c r="F16" s="50">
        <v>23</v>
      </c>
      <c r="G16" s="50">
        <v>0</v>
      </c>
      <c r="H16" s="50">
        <v>0</v>
      </c>
      <c r="I16" s="50">
        <v>3</v>
      </c>
      <c r="J16" s="50">
        <v>1</v>
      </c>
      <c r="K16" s="50">
        <v>0</v>
      </c>
      <c r="L16" s="50">
        <v>0</v>
      </c>
      <c r="M16" s="50">
        <v>100</v>
      </c>
      <c r="N16" s="50">
        <v>0</v>
      </c>
      <c r="O16" s="15">
        <f t="shared" si="0"/>
        <v>91</v>
      </c>
      <c r="P16" s="15">
        <f t="shared" si="1"/>
        <v>191</v>
      </c>
      <c r="R16" s="1" t="s">
        <v>12</v>
      </c>
      <c r="S16" s="17">
        <f t="shared" ref="S16:AF16" si="8">SUM(C34:C37)</f>
        <v>109</v>
      </c>
      <c r="T16" s="17">
        <f t="shared" si="8"/>
        <v>20</v>
      </c>
      <c r="U16" s="17">
        <f t="shared" si="8"/>
        <v>13</v>
      </c>
      <c r="V16" s="17">
        <f t="shared" si="8"/>
        <v>22</v>
      </c>
      <c r="W16" s="17">
        <f t="shared" si="8"/>
        <v>0</v>
      </c>
      <c r="X16" s="17">
        <f t="shared" si="8"/>
        <v>0</v>
      </c>
      <c r="Y16" s="17">
        <f t="shared" si="8"/>
        <v>9</v>
      </c>
      <c r="Z16" s="17">
        <f t="shared" si="8"/>
        <v>2</v>
      </c>
      <c r="AA16" s="17">
        <f t="shared" si="8"/>
        <v>1</v>
      </c>
      <c r="AB16" s="17">
        <f t="shared" si="8"/>
        <v>0</v>
      </c>
      <c r="AC16" s="17">
        <f t="shared" si="8"/>
        <v>259</v>
      </c>
      <c r="AD16" s="17">
        <f t="shared" si="8"/>
        <v>0</v>
      </c>
      <c r="AE16" s="31">
        <f t="shared" si="8"/>
        <v>176</v>
      </c>
      <c r="AF16" s="31">
        <f t="shared" si="8"/>
        <v>435</v>
      </c>
    </row>
    <row r="17" spans="2:32" ht="23.1" customHeight="1" x14ac:dyDescent="0.25">
      <c r="B17" s="23" t="s">
        <v>44</v>
      </c>
      <c r="C17" s="50">
        <v>35</v>
      </c>
      <c r="D17" s="50">
        <v>8</v>
      </c>
      <c r="E17" s="50">
        <v>4</v>
      </c>
      <c r="F17" s="50">
        <v>13</v>
      </c>
      <c r="G17" s="50">
        <v>0</v>
      </c>
      <c r="H17" s="50">
        <v>0</v>
      </c>
      <c r="I17" s="50">
        <v>1</v>
      </c>
      <c r="J17" s="50">
        <v>1</v>
      </c>
      <c r="K17" s="50">
        <v>0</v>
      </c>
      <c r="L17" s="50">
        <v>1</v>
      </c>
      <c r="M17" s="50">
        <v>109</v>
      </c>
      <c r="N17" s="50">
        <v>0</v>
      </c>
      <c r="O17" s="15">
        <f t="shared" si="0"/>
        <v>63</v>
      </c>
      <c r="P17" s="15">
        <f t="shared" si="1"/>
        <v>172</v>
      </c>
      <c r="R17" s="1" t="s">
        <v>13</v>
      </c>
      <c r="S17" s="17">
        <f t="shared" ref="S17:AF17" si="9">SUM(C38:C41)</f>
        <v>99</v>
      </c>
      <c r="T17" s="17">
        <f t="shared" si="9"/>
        <v>20</v>
      </c>
      <c r="U17" s="17">
        <f t="shared" si="9"/>
        <v>14</v>
      </c>
      <c r="V17" s="17">
        <f t="shared" si="9"/>
        <v>26</v>
      </c>
      <c r="W17" s="17">
        <f t="shared" si="9"/>
        <v>2</v>
      </c>
      <c r="X17" s="17">
        <f t="shared" si="9"/>
        <v>0</v>
      </c>
      <c r="Y17" s="17">
        <f t="shared" si="9"/>
        <v>6</v>
      </c>
      <c r="Z17" s="17">
        <f t="shared" si="9"/>
        <v>1</v>
      </c>
      <c r="AA17" s="17">
        <f t="shared" si="9"/>
        <v>1</v>
      </c>
      <c r="AB17" s="17">
        <f t="shared" si="9"/>
        <v>0</v>
      </c>
      <c r="AC17" s="17">
        <f t="shared" si="9"/>
        <v>247</v>
      </c>
      <c r="AD17" s="17">
        <f t="shared" si="9"/>
        <v>0</v>
      </c>
      <c r="AE17" s="31">
        <f t="shared" si="9"/>
        <v>169</v>
      </c>
      <c r="AF17" s="31">
        <f t="shared" si="9"/>
        <v>416</v>
      </c>
    </row>
    <row r="18" spans="2:32" ht="23.1" customHeight="1" x14ac:dyDescent="0.25">
      <c r="B18" s="23" t="s">
        <v>45</v>
      </c>
      <c r="C18" s="50">
        <v>49</v>
      </c>
      <c r="D18" s="50">
        <v>7</v>
      </c>
      <c r="E18" s="50">
        <v>6</v>
      </c>
      <c r="F18" s="50">
        <v>16</v>
      </c>
      <c r="G18" s="50">
        <v>0</v>
      </c>
      <c r="H18" s="50">
        <v>1</v>
      </c>
      <c r="I18" s="50">
        <v>4</v>
      </c>
      <c r="J18" s="50">
        <v>0</v>
      </c>
      <c r="K18" s="50">
        <v>0</v>
      </c>
      <c r="L18" s="50">
        <v>0</v>
      </c>
      <c r="M18" s="50">
        <v>118</v>
      </c>
      <c r="N18" s="50">
        <v>0</v>
      </c>
      <c r="O18" s="15">
        <f t="shared" si="0"/>
        <v>83</v>
      </c>
      <c r="P18" s="15">
        <f t="shared" si="1"/>
        <v>201</v>
      </c>
      <c r="R18" s="1" t="s">
        <v>14</v>
      </c>
      <c r="S18" s="17">
        <f t="shared" ref="S18:AF18" si="10">SUM(C42:C45)</f>
        <v>113</v>
      </c>
      <c r="T18" s="17">
        <f t="shared" si="10"/>
        <v>15</v>
      </c>
      <c r="U18" s="17">
        <f t="shared" si="10"/>
        <v>9</v>
      </c>
      <c r="V18" s="17">
        <f t="shared" si="10"/>
        <v>17</v>
      </c>
      <c r="W18" s="17">
        <f t="shared" si="10"/>
        <v>0</v>
      </c>
      <c r="X18" s="17">
        <f t="shared" si="10"/>
        <v>0</v>
      </c>
      <c r="Y18" s="17">
        <f t="shared" si="10"/>
        <v>9</v>
      </c>
      <c r="Z18" s="17">
        <f t="shared" si="10"/>
        <v>6</v>
      </c>
      <c r="AA18" s="17">
        <f t="shared" si="10"/>
        <v>0</v>
      </c>
      <c r="AB18" s="17">
        <f t="shared" si="10"/>
        <v>0</v>
      </c>
      <c r="AC18" s="17">
        <f t="shared" si="10"/>
        <v>232</v>
      </c>
      <c r="AD18" s="17">
        <f t="shared" si="10"/>
        <v>0</v>
      </c>
      <c r="AE18" s="31">
        <f t="shared" si="10"/>
        <v>169</v>
      </c>
      <c r="AF18" s="31">
        <f t="shared" si="10"/>
        <v>401</v>
      </c>
    </row>
    <row r="19" spans="2:32" ht="23.1" customHeight="1" x14ac:dyDescent="0.25">
      <c r="B19" s="23" t="s">
        <v>46</v>
      </c>
      <c r="C19" s="50">
        <v>47</v>
      </c>
      <c r="D19" s="50">
        <v>10</v>
      </c>
      <c r="E19" s="50">
        <v>7</v>
      </c>
      <c r="F19" s="50">
        <v>8</v>
      </c>
      <c r="G19" s="50">
        <v>1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87</v>
      </c>
      <c r="N19" s="50">
        <v>0</v>
      </c>
      <c r="O19" s="15">
        <f t="shared" si="0"/>
        <v>75</v>
      </c>
      <c r="P19" s="15">
        <f t="shared" si="1"/>
        <v>162</v>
      </c>
      <c r="R19" s="1" t="s">
        <v>15</v>
      </c>
      <c r="S19" s="17">
        <f t="shared" ref="S19:AF19" si="11">SUM(C46:C49)</f>
        <v>89</v>
      </c>
      <c r="T19" s="17">
        <f t="shared" si="11"/>
        <v>17</v>
      </c>
      <c r="U19" s="17">
        <f t="shared" si="11"/>
        <v>17</v>
      </c>
      <c r="V19" s="17">
        <f t="shared" si="11"/>
        <v>17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2</v>
      </c>
      <c r="AA19" s="17">
        <f t="shared" si="11"/>
        <v>2</v>
      </c>
      <c r="AB19" s="17">
        <f t="shared" si="11"/>
        <v>0</v>
      </c>
      <c r="AC19" s="17">
        <f t="shared" si="11"/>
        <v>250</v>
      </c>
      <c r="AD19" s="17">
        <f t="shared" si="11"/>
        <v>0</v>
      </c>
      <c r="AE19" s="31">
        <f t="shared" si="11"/>
        <v>149</v>
      </c>
      <c r="AF19" s="31">
        <f t="shared" si="11"/>
        <v>399</v>
      </c>
    </row>
    <row r="20" spans="2:32" ht="23.1" customHeight="1" x14ac:dyDescent="0.25">
      <c r="B20" s="23" t="s">
        <v>47</v>
      </c>
      <c r="C20" s="50">
        <v>51</v>
      </c>
      <c r="D20" s="50">
        <v>5</v>
      </c>
      <c r="E20" s="50">
        <v>5</v>
      </c>
      <c r="F20" s="50">
        <v>6</v>
      </c>
      <c r="G20" s="50">
        <v>0</v>
      </c>
      <c r="H20" s="50">
        <v>0</v>
      </c>
      <c r="I20" s="50">
        <v>5</v>
      </c>
      <c r="J20" s="50">
        <v>1</v>
      </c>
      <c r="K20" s="50">
        <v>0</v>
      </c>
      <c r="L20" s="50">
        <v>0</v>
      </c>
      <c r="M20" s="50">
        <v>105</v>
      </c>
      <c r="N20" s="50">
        <v>0</v>
      </c>
      <c r="O20" s="15">
        <f t="shared" si="0"/>
        <v>73</v>
      </c>
      <c r="P20" s="15">
        <f t="shared" si="1"/>
        <v>178</v>
      </c>
      <c r="R20" s="1" t="s">
        <v>16</v>
      </c>
      <c r="S20" s="17">
        <f t="shared" ref="S20:AF20" si="12">SUM(C50:C53)</f>
        <v>133</v>
      </c>
      <c r="T20" s="17">
        <f t="shared" si="12"/>
        <v>28</v>
      </c>
      <c r="U20" s="17">
        <f t="shared" si="12"/>
        <v>15</v>
      </c>
      <c r="V20" s="17">
        <f t="shared" si="12"/>
        <v>35</v>
      </c>
      <c r="W20" s="17">
        <f t="shared" si="12"/>
        <v>1</v>
      </c>
      <c r="X20" s="17">
        <f t="shared" si="12"/>
        <v>0</v>
      </c>
      <c r="Y20" s="17">
        <f t="shared" si="12"/>
        <v>10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307</v>
      </c>
      <c r="AD20" s="17">
        <f t="shared" si="12"/>
        <v>0</v>
      </c>
      <c r="AE20" s="31">
        <f t="shared" si="12"/>
        <v>224</v>
      </c>
      <c r="AF20" s="31">
        <f t="shared" si="12"/>
        <v>531</v>
      </c>
    </row>
    <row r="21" spans="2:32" ht="23.1" customHeight="1" x14ac:dyDescent="0.25">
      <c r="B21" s="23" t="s">
        <v>48</v>
      </c>
      <c r="C21" s="50">
        <v>35</v>
      </c>
      <c r="D21" s="50">
        <v>5</v>
      </c>
      <c r="E21" s="50">
        <v>4</v>
      </c>
      <c r="F21" s="50">
        <v>19</v>
      </c>
      <c r="G21" s="50">
        <v>0</v>
      </c>
      <c r="H21" s="50">
        <v>0</v>
      </c>
      <c r="I21" s="50">
        <v>4</v>
      </c>
      <c r="J21" s="50">
        <v>1</v>
      </c>
      <c r="K21" s="50">
        <v>0</v>
      </c>
      <c r="L21" s="50">
        <v>1</v>
      </c>
      <c r="M21" s="50">
        <v>79</v>
      </c>
      <c r="N21" s="50">
        <v>0</v>
      </c>
      <c r="O21" s="15">
        <f t="shared" si="0"/>
        <v>69</v>
      </c>
      <c r="P21" s="15">
        <f t="shared" si="1"/>
        <v>148</v>
      </c>
      <c r="R21" s="36" t="s">
        <v>20</v>
      </c>
      <c r="S21" s="34">
        <f t="shared" ref="S21:AF21" si="13">SUM(C54:C57)</f>
        <v>105</v>
      </c>
      <c r="T21" s="17">
        <f t="shared" si="13"/>
        <v>12</v>
      </c>
      <c r="U21" s="17">
        <f t="shared" si="13"/>
        <v>10</v>
      </c>
      <c r="V21" s="17">
        <f t="shared" si="13"/>
        <v>37</v>
      </c>
      <c r="W21" s="17">
        <f t="shared" si="13"/>
        <v>2</v>
      </c>
      <c r="X21" s="17">
        <f t="shared" si="13"/>
        <v>1</v>
      </c>
      <c r="Y21" s="17">
        <f t="shared" si="13"/>
        <v>6</v>
      </c>
      <c r="Z21" s="17">
        <f t="shared" si="13"/>
        <v>3</v>
      </c>
      <c r="AA21" s="17">
        <f t="shared" si="13"/>
        <v>2</v>
      </c>
      <c r="AB21" s="17">
        <f t="shared" si="13"/>
        <v>0</v>
      </c>
      <c r="AC21" s="17">
        <f t="shared" si="13"/>
        <v>319</v>
      </c>
      <c r="AD21" s="17">
        <f t="shared" si="13"/>
        <v>0</v>
      </c>
      <c r="AE21" s="31">
        <f t="shared" si="13"/>
        <v>178</v>
      </c>
      <c r="AF21" s="31">
        <f t="shared" si="13"/>
        <v>497</v>
      </c>
    </row>
    <row r="22" spans="2:32" ht="23.1" customHeight="1" x14ac:dyDescent="0.25">
      <c r="B22" s="23" t="s">
        <v>49</v>
      </c>
      <c r="C22" s="50">
        <v>54</v>
      </c>
      <c r="D22" s="50">
        <v>3</v>
      </c>
      <c r="E22" s="50">
        <v>5</v>
      </c>
      <c r="F22" s="50">
        <v>9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90</v>
      </c>
      <c r="N22" s="50">
        <v>0</v>
      </c>
      <c r="O22" s="15">
        <f t="shared" si="0"/>
        <v>74</v>
      </c>
      <c r="P22" s="15">
        <f t="shared" si="1"/>
        <v>164</v>
      </c>
      <c r="R22" s="38" t="s">
        <v>90</v>
      </c>
      <c r="S22" s="39">
        <f>MAX(S10:S12)</f>
        <v>222</v>
      </c>
      <c r="T22" s="39">
        <f t="shared" ref="T22:AF22" si="14">MAX(T10:T12)</f>
        <v>29</v>
      </c>
      <c r="U22" s="39">
        <f t="shared" si="14"/>
        <v>26</v>
      </c>
      <c r="V22" s="39">
        <f t="shared" si="14"/>
        <v>121</v>
      </c>
      <c r="W22" s="39">
        <f t="shared" si="14"/>
        <v>1</v>
      </c>
      <c r="X22" s="39">
        <f t="shared" si="14"/>
        <v>1</v>
      </c>
      <c r="Y22" s="39">
        <f t="shared" si="14"/>
        <v>16</v>
      </c>
      <c r="Z22" s="39">
        <f t="shared" si="14"/>
        <v>4</v>
      </c>
      <c r="AA22" s="39">
        <f t="shared" si="14"/>
        <v>9</v>
      </c>
      <c r="AB22" s="39">
        <f t="shared" si="14"/>
        <v>1</v>
      </c>
      <c r="AC22" s="39">
        <f t="shared" si="14"/>
        <v>425</v>
      </c>
      <c r="AD22" s="39">
        <f t="shared" si="14"/>
        <v>0</v>
      </c>
      <c r="AE22" s="40">
        <f t="shared" si="14"/>
        <v>428</v>
      </c>
      <c r="AF22" s="40">
        <f t="shared" si="14"/>
        <v>827</v>
      </c>
    </row>
    <row r="23" spans="2:32" ht="23.1" customHeight="1" x14ac:dyDescent="0.25">
      <c r="B23" s="23" t="s">
        <v>50</v>
      </c>
      <c r="C23" s="50">
        <v>45</v>
      </c>
      <c r="D23" s="50">
        <v>10</v>
      </c>
      <c r="E23" s="50">
        <v>6</v>
      </c>
      <c r="F23" s="50">
        <v>7</v>
      </c>
      <c r="G23" s="50">
        <v>1</v>
      </c>
      <c r="H23" s="50">
        <v>0</v>
      </c>
      <c r="I23" s="50">
        <v>3</v>
      </c>
      <c r="J23" s="50">
        <v>0</v>
      </c>
      <c r="K23" s="50">
        <v>2</v>
      </c>
      <c r="L23" s="50">
        <v>0</v>
      </c>
      <c r="M23" s="50">
        <v>82</v>
      </c>
      <c r="N23" s="50">
        <v>0</v>
      </c>
      <c r="O23" s="15">
        <f t="shared" si="0"/>
        <v>74</v>
      </c>
      <c r="P23" s="15">
        <f t="shared" si="1"/>
        <v>156</v>
      </c>
      <c r="R23" s="38" t="s">
        <v>91</v>
      </c>
      <c r="S23" s="39">
        <f>MAX(S13:S18)</f>
        <v>153</v>
      </c>
      <c r="T23" s="39">
        <f t="shared" ref="T23:AF23" si="15">MAX(T13:T18)</f>
        <v>21</v>
      </c>
      <c r="U23" s="39">
        <f t="shared" si="15"/>
        <v>22</v>
      </c>
      <c r="V23" s="39">
        <f t="shared" si="15"/>
        <v>28</v>
      </c>
      <c r="W23" s="39">
        <f t="shared" si="15"/>
        <v>2</v>
      </c>
      <c r="X23" s="39">
        <f t="shared" si="15"/>
        <v>0</v>
      </c>
      <c r="Y23" s="39">
        <f t="shared" si="15"/>
        <v>13</v>
      </c>
      <c r="Z23" s="39">
        <f t="shared" si="15"/>
        <v>9</v>
      </c>
      <c r="AA23" s="39">
        <f t="shared" si="15"/>
        <v>2</v>
      </c>
      <c r="AB23" s="39">
        <f t="shared" si="15"/>
        <v>1</v>
      </c>
      <c r="AC23" s="39">
        <f t="shared" si="15"/>
        <v>337</v>
      </c>
      <c r="AD23" s="39">
        <f t="shared" si="15"/>
        <v>0</v>
      </c>
      <c r="AE23" s="40">
        <f t="shared" si="15"/>
        <v>233</v>
      </c>
      <c r="AF23" s="40">
        <f t="shared" si="15"/>
        <v>566</v>
      </c>
    </row>
    <row r="24" spans="2:32" ht="23.1" customHeight="1" x14ac:dyDescent="0.25">
      <c r="B24" s="23" t="s">
        <v>51</v>
      </c>
      <c r="C24" s="50">
        <v>33</v>
      </c>
      <c r="D24" s="50">
        <v>2</v>
      </c>
      <c r="E24" s="50">
        <v>4</v>
      </c>
      <c r="F24" s="50">
        <v>4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86</v>
      </c>
      <c r="N24" s="50">
        <v>0</v>
      </c>
      <c r="O24" s="15">
        <f t="shared" si="0"/>
        <v>45</v>
      </c>
      <c r="P24" s="15">
        <f t="shared" si="1"/>
        <v>131</v>
      </c>
      <c r="R24" s="38" t="s">
        <v>92</v>
      </c>
      <c r="S24" s="39">
        <f>MAX(S19:S21)</f>
        <v>133</v>
      </c>
      <c r="T24" s="39">
        <f t="shared" ref="T24:AF24" si="16">MAX(T19:T21)</f>
        <v>28</v>
      </c>
      <c r="U24" s="39">
        <f t="shared" si="16"/>
        <v>17</v>
      </c>
      <c r="V24" s="39">
        <f t="shared" si="16"/>
        <v>37</v>
      </c>
      <c r="W24" s="39">
        <f t="shared" si="16"/>
        <v>2</v>
      </c>
      <c r="X24" s="39">
        <f t="shared" si="16"/>
        <v>1</v>
      </c>
      <c r="Y24" s="39">
        <f t="shared" si="16"/>
        <v>10</v>
      </c>
      <c r="Z24" s="39">
        <f t="shared" si="16"/>
        <v>3</v>
      </c>
      <c r="AA24" s="39">
        <f t="shared" si="16"/>
        <v>2</v>
      </c>
      <c r="AB24" s="39">
        <f t="shared" si="16"/>
        <v>0</v>
      </c>
      <c r="AC24" s="39">
        <f t="shared" si="16"/>
        <v>319</v>
      </c>
      <c r="AD24" s="39">
        <f t="shared" si="16"/>
        <v>0</v>
      </c>
      <c r="AE24" s="40">
        <f t="shared" si="16"/>
        <v>224</v>
      </c>
      <c r="AF24" s="40">
        <f t="shared" si="16"/>
        <v>531</v>
      </c>
    </row>
    <row r="25" spans="2:32" ht="23.1" customHeight="1" x14ac:dyDescent="0.25">
      <c r="B25" s="23" t="s">
        <v>52</v>
      </c>
      <c r="C25" s="50">
        <v>21</v>
      </c>
      <c r="D25" s="50">
        <v>6</v>
      </c>
      <c r="E25" s="50">
        <v>4</v>
      </c>
      <c r="F25" s="50">
        <v>7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75</v>
      </c>
      <c r="N25" s="50">
        <v>0</v>
      </c>
      <c r="O25" s="15">
        <f t="shared" si="0"/>
        <v>40</v>
      </c>
      <c r="P25" s="15">
        <f t="shared" si="1"/>
        <v>115</v>
      </c>
      <c r="R25" s="37" t="s">
        <v>85</v>
      </c>
      <c r="S25" s="35">
        <f t="shared" ref="S25:AF25" si="17">SUM(S10:S12)</f>
        <v>611</v>
      </c>
      <c r="T25" s="16">
        <f t="shared" si="17"/>
        <v>80</v>
      </c>
      <c r="U25" s="16">
        <f t="shared" si="17"/>
        <v>62</v>
      </c>
      <c r="V25" s="16">
        <f t="shared" si="17"/>
        <v>269</v>
      </c>
      <c r="W25" s="16">
        <f t="shared" si="17"/>
        <v>2</v>
      </c>
      <c r="X25" s="16">
        <f t="shared" si="17"/>
        <v>1</v>
      </c>
      <c r="Y25" s="16">
        <f t="shared" si="17"/>
        <v>42</v>
      </c>
      <c r="Z25" s="16">
        <f t="shared" si="17"/>
        <v>8</v>
      </c>
      <c r="AA25" s="16">
        <f t="shared" si="17"/>
        <v>9</v>
      </c>
      <c r="AB25" s="16">
        <f t="shared" si="17"/>
        <v>2</v>
      </c>
      <c r="AC25" s="16">
        <f t="shared" si="17"/>
        <v>1213</v>
      </c>
      <c r="AD25" s="16">
        <f t="shared" si="17"/>
        <v>0</v>
      </c>
      <c r="AE25" s="32">
        <f t="shared" si="17"/>
        <v>1086</v>
      </c>
      <c r="AF25" s="32">
        <f t="shared" si="17"/>
        <v>2299</v>
      </c>
    </row>
    <row r="26" spans="2:32" ht="23.1" customHeight="1" x14ac:dyDescent="0.25">
      <c r="B26" s="23" t="s">
        <v>53</v>
      </c>
      <c r="C26" s="50">
        <v>26</v>
      </c>
      <c r="D26" s="50">
        <v>1</v>
      </c>
      <c r="E26" s="50">
        <v>7</v>
      </c>
      <c r="F26" s="50">
        <v>5</v>
      </c>
      <c r="G26" s="50">
        <v>1</v>
      </c>
      <c r="H26" s="50">
        <v>0</v>
      </c>
      <c r="I26" s="50">
        <v>3</v>
      </c>
      <c r="J26" s="50">
        <v>3</v>
      </c>
      <c r="K26" s="50">
        <v>0</v>
      </c>
      <c r="L26" s="50">
        <v>0</v>
      </c>
      <c r="M26" s="50">
        <v>74</v>
      </c>
      <c r="N26" s="50">
        <v>0</v>
      </c>
      <c r="O26" s="15">
        <f t="shared" si="0"/>
        <v>46</v>
      </c>
      <c r="P26" s="15">
        <f t="shared" si="1"/>
        <v>120</v>
      </c>
      <c r="R26" s="28" t="s">
        <v>86</v>
      </c>
      <c r="S26" s="16">
        <f t="shared" ref="S26:AF26" si="18">SUM(S13:S18)</f>
        <v>739</v>
      </c>
      <c r="T26" s="16">
        <f t="shared" si="18"/>
        <v>99</v>
      </c>
      <c r="U26" s="16">
        <f t="shared" si="18"/>
        <v>95</v>
      </c>
      <c r="V26" s="16">
        <f t="shared" si="18"/>
        <v>147</v>
      </c>
      <c r="W26" s="16">
        <f t="shared" si="18"/>
        <v>5</v>
      </c>
      <c r="X26" s="16">
        <f t="shared" si="18"/>
        <v>0</v>
      </c>
      <c r="Y26" s="16">
        <f t="shared" si="18"/>
        <v>54</v>
      </c>
      <c r="Z26" s="16">
        <f t="shared" si="18"/>
        <v>20</v>
      </c>
      <c r="AA26" s="16">
        <f t="shared" si="18"/>
        <v>6</v>
      </c>
      <c r="AB26" s="16">
        <f t="shared" si="18"/>
        <v>1</v>
      </c>
      <c r="AC26" s="16">
        <f t="shared" si="18"/>
        <v>1733</v>
      </c>
      <c r="AD26" s="16">
        <f t="shared" si="18"/>
        <v>0</v>
      </c>
      <c r="AE26" s="32">
        <f t="shared" si="18"/>
        <v>1166</v>
      </c>
      <c r="AF26" s="32">
        <f t="shared" si="18"/>
        <v>2899</v>
      </c>
    </row>
    <row r="27" spans="2:32" ht="23.1" customHeight="1" x14ac:dyDescent="0.25">
      <c r="B27" s="23" t="s">
        <v>54</v>
      </c>
      <c r="C27" s="50">
        <v>34</v>
      </c>
      <c r="D27" s="50">
        <v>5</v>
      </c>
      <c r="E27" s="50">
        <v>3</v>
      </c>
      <c r="F27" s="50">
        <v>8</v>
      </c>
      <c r="G27" s="50">
        <v>0</v>
      </c>
      <c r="H27" s="50">
        <v>0</v>
      </c>
      <c r="I27" s="50">
        <v>3</v>
      </c>
      <c r="J27" s="50">
        <v>1</v>
      </c>
      <c r="K27" s="50">
        <v>0</v>
      </c>
      <c r="L27" s="50">
        <v>0</v>
      </c>
      <c r="M27" s="50">
        <v>104</v>
      </c>
      <c r="N27" s="50">
        <v>0</v>
      </c>
      <c r="O27" s="15">
        <f t="shared" si="0"/>
        <v>54</v>
      </c>
      <c r="P27" s="15">
        <f t="shared" si="1"/>
        <v>158</v>
      </c>
      <c r="R27" s="29" t="s">
        <v>87</v>
      </c>
      <c r="S27" s="16">
        <f t="shared" ref="S27:AF27" si="19">SUM(S19:S21)</f>
        <v>327</v>
      </c>
      <c r="T27" s="16">
        <f t="shared" si="19"/>
        <v>57</v>
      </c>
      <c r="U27" s="16">
        <f t="shared" si="19"/>
        <v>42</v>
      </c>
      <c r="V27" s="16">
        <f t="shared" si="19"/>
        <v>89</v>
      </c>
      <c r="W27" s="16">
        <f t="shared" si="19"/>
        <v>3</v>
      </c>
      <c r="X27" s="16">
        <f t="shared" si="19"/>
        <v>1</v>
      </c>
      <c r="Y27" s="16">
        <f t="shared" si="19"/>
        <v>21</v>
      </c>
      <c r="Z27" s="16">
        <f t="shared" si="19"/>
        <v>7</v>
      </c>
      <c r="AA27" s="16">
        <f t="shared" si="19"/>
        <v>4</v>
      </c>
      <c r="AB27" s="16">
        <f t="shared" si="19"/>
        <v>0</v>
      </c>
      <c r="AC27" s="16">
        <f t="shared" si="19"/>
        <v>876</v>
      </c>
      <c r="AD27" s="16">
        <f t="shared" si="19"/>
        <v>0</v>
      </c>
      <c r="AE27" s="32">
        <f t="shared" si="19"/>
        <v>551</v>
      </c>
      <c r="AF27" s="32">
        <f t="shared" si="19"/>
        <v>1427</v>
      </c>
    </row>
    <row r="28" spans="2:32" ht="23.1" customHeight="1" x14ac:dyDescent="0.25">
      <c r="B28" s="23" t="s">
        <v>55</v>
      </c>
      <c r="C28" s="50">
        <v>31</v>
      </c>
      <c r="D28" s="50">
        <v>0</v>
      </c>
      <c r="E28" s="50">
        <v>5</v>
      </c>
      <c r="F28" s="50">
        <v>9</v>
      </c>
      <c r="G28" s="50">
        <v>0</v>
      </c>
      <c r="H28" s="50">
        <v>0</v>
      </c>
      <c r="I28" s="50">
        <v>1</v>
      </c>
      <c r="J28" s="50">
        <v>2</v>
      </c>
      <c r="K28" s="50">
        <v>0</v>
      </c>
      <c r="L28" s="50">
        <v>0</v>
      </c>
      <c r="M28" s="50">
        <v>78</v>
      </c>
      <c r="N28" s="50">
        <v>0</v>
      </c>
      <c r="O28" s="15">
        <f t="shared" si="0"/>
        <v>48</v>
      </c>
      <c r="P28" s="15">
        <f t="shared" si="1"/>
        <v>126</v>
      </c>
      <c r="R28" s="5" t="s">
        <v>17</v>
      </c>
      <c r="S28" s="16">
        <f t="shared" ref="S28:AF28" si="20">SUM(S10:S21)</f>
        <v>1677</v>
      </c>
      <c r="T28" s="16">
        <f t="shared" si="20"/>
        <v>236</v>
      </c>
      <c r="U28" s="16">
        <f t="shared" si="20"/>
        <v>199</v>
      </c>
      <c r="V28" s="16">
        <f t="shared" si="20"/>
        <v>505</v>
      </c>
      <c r="W28" s="16">
        <f t="shared" si="20"/>
        <v>10</v>
      </c>
      <c r="X28" s="16">
        <f t="shared" si="20"/>
        <v>2</v>
      </c>
      <c r="Y28" s="16">
        <f t="shared" si="20"/>
        <v>117</v>
      </c>
      <c r="Z28" s="16">
        <f t="shared" si="20"/>
        <v>35</v>
      </c>
      <c r="AA28" s="16">
        <f t="shared" si="20"/>
        <v>19</v>
      </c>
      <c r="AB28" s="16">
        <f t="shared" si="20"/>
        <v>3</v>
      </c>
      <c r="AC28" s="16">
        <f t="shared" si="20"/>
        <v>3822</v>
      </c>
      <c r="AD28" s="16">
        <f t="shared" si="20"/>
        <v>0</v>
      </c>
      <c r="AE28" s="32">
        <f t="shared" si="20"/>
        <v>2803</v>
      </c>
      <c r="AF28" s="32">
        <f t="shared" si="20"/>
        <v>6625</v>
      </c>
    </row>
    <row r="29" spans="2:32" ht="23.1" customHeight="1" x14ac:dyDescent="0.25">
      <c r="B29" s="23" t="s">
        <v>56</v>
      </c>
      <c r="C29" s="50">
        <v>41</v>
      </c>
      <c r="D29" s="50">
        <v>4</v>
      </c>
      <c r="E29" s="50">
        <v>3</v>
      </c>
      <c r="F29" s="50">
        <v>6</v>
      </c>
      <c r="G29" s="50">
        <v>1</v>
      </c>
      <c r="H29" s="50">
        <v>0</v>
      </c>
      <c r="I29" s="50">
        <v>0</v>
      </c>
      <c r="J29" s="50">
        <v>3</v>
      </c>
      <c r="K29" s="50">
        <v>1</v>
      </c>
      <c r="L29" s="50">
        <v>0</v>
      </c>
      <c r="M29" s="50">
        <v>69</v>
      </c>
      <c r="N29" s="50">
        <v>0</v>
      </c>
      <c r="O29" s="15">
        <f t="shared" si="0"/>
        <v>59</v>
      </c>
      <c r="P29" s="15">
        <f t="shared" si="1"/>
        <v>128</v>
      </c>
      <c r="R29"/>
      <c r="S29" s="20"/>
      <c r="T29" s="19"/>
    </row>
    <row r="30" spans="2:32" ht="23.1" customHeight="1" x14ac:dyDescent="0.25">
      <c r="B30" s="23" t="s">
        <v>57</v>
      </c>
      <c r="C30" s="50">
        <v>31</v>
      </c>
      <c r="D30" s="50">
        <v>4</v>
      </c>
      <c r="E30" s="50">
        <v>5</v>
      </c>
      <c r="F30" s="50">
        <v>5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78</v>
      </c>
      <c r="N30" s="50">
        <v>0</v>
      </c>
      <c r="O30" s="15">
        <f t="shared" si="0"/>
        <v>46</v>
      </c>
      <c r="P30" s="15">
        <f t="shared" si="1"/>
        <v>124</v>
      </c>
    </row>
    <row r="31" spans="2:32" ht="23.1" customHeight="1" x14ac:dyDescent="0.25">
      <c r="B31" s="24" t="s">
        <v>58</v>
      </c>
      <c r="C31" s="50">
        <v>39</v>
      </c>
      <c r="D31" s="50">
        <v>1</v>
      </c>
      <c r="E31" s="50">
        <v>9</v>
      </c>
      <c r="F31" s="50">
        <v>6</v>
      </c>
      <c r="G31" s="50">
        <v>0</v>
      </c>
      <c r="H31" s="50">
        <v>0</v>
      </c>
      <c r="I31" s="50">
        <v>5</v>
      </c>
      <c r="J31" s="50">
        <v>2</v>
      </c>
      <c r="K31" s="50">
        <v>0</v>
      </c>
      <c r="L31" s="50">
        <v>0</v>
      </c>
      <c r="M31" s="50">
        <v>82</v>
      </c>
      <c r="N31" s="50">
        <v>0</v>
      </c>
      <c r="O31" s="15">
        <f t="shared" si="0"/>
        <v>62</v>
      </c>
      <c r="P31" s="15">
        <f t="shared" si="1"/>
        <v>144</v>
      </c>
    </row>
    <row r="32" spans="2:32" ht="23.1" customHeight="1" x14ac:dyDescent="0.25">
      <c r="B32" s="24" t="s">
        <v>59</v>
      </c>
      <c r="C32" s="50">
        <v>29</v>
      </c>
      <c r="D32" s="50">
        <v>5</v>
      </c>
      <c r="E32" s="50">
        <v>3</v>
      </c>
      <c r="F32" s="50">
        <v>9</v>
      </c>
      <c r="G32" s="50">
        <v>0</v>
      </c>
      <c r="H32" s="50">
        <v>0</v>
      </c>
      <c r="I32" s="50">
        <v>3</v>
      </c>
      <c r="J32" s="50">
        <v>0</v>
      </c>
      <c r="K32" s="50">
        <v>0</v>
      </c>
      <c r="L32" s="50">
        <v>0</v>
      </c>
      <c r="M32" s="50">
        <v>72</v>
      </c>
      <c r="N32" s="50">
        <v>0</v>
      </c>
      <c r="O32" s="15">
        <f t="shared" si="0"/>
        <v>49</v>
      </c>
      <c r="P32" s="15">
        <f t="shared" si="1"/>
        <v>121</v>
      </c>
    </row>
    <row r="33" spans="2:20" ht="23.1" customHeight="1" x14ac:dyDescent="0.25">
      <c r="B33" s="23" t="s">
        <v>60</v>
      </c>
      <c r="C33" s="50">
        <v>34</v>
      </c>
      <c r="D33" s="50">
        <v>3</v>
      </c>
      <c r="E33" s="50">
        <v>5</v>
      </c>
      <c r="F33" s="50">
        <v>7</v>
      </c>
      <c r="G33" s="50">
        <v>0</v>
      </c>
      <c r="H33" s="50">
        <v>0</v>
      </c>
      <c r="I33" s="50">
        <v>4</v>
      </c>
      <c r="J33" s="50">
        <v>0</v>
      </c>
      <c r="K33" s="50">
        <v>1</v>
      </c>
      <c r="L33" s="50">
        <v>1</v>
      </c>
      <c r="M33" s="50">
        <v>105</v>
      </c>
      <c r="N33" s="50">
        <v>0</v>
      </c>
      <c r="O33" s="15">
        <f t="shared" si="0"/>
        <v>55</v>
      </c>
      <c r="P33" s="15">
        <f t="shared" si="1"/>
        <v>160</v>
      </c>
    </row>
    <row r="34" spans="2:20" ht="23.1" customHeight="1" x14ac:dyDescent="0.25">
      <c r="B34" s="24" t="s">
        <v>61</v>
      </c>
      <c r="C34" s="50">
        <v>28</v>
      </c>
      <c r="D34" s="50">
        <v>5</v>
      </c>
      <c r="E34" s="50">
        <v>2</v>
      </c>
      <c r="F34" s="50">
        <v>4</v>
      </c>
      <c r="G34" s="50">
        <v>0</v>
      </c>
      <c r="H34" s="50">
        <v>0</v>
      </c>
      <c r="I34" s="50">
        <v>2</v>
      </c>
      <c r="J34" s="50">
        <v>1</v>
      </c>
      <c r="K34" s="50">
        <v>1</v>
      </c>
      <c r="L34" s="50">
        <v>0</v>
      </c>
      <c r="M34" s="50">
        <v>67</v>
      </c>
      <c r="N34" s="50">
        <v>0</v>
      </c>
      <c r="O34" s="15">
        <f t="shared" si="0"/>
        <v>43</v>
      </c>
      <c r="P34" s="15">
        <f t="shared" si="1"/>
        <v>110</v>
      </c>
    </row>
    <row r="35" spans="2:20" ht="23.1" customHeight="1" x14ac:dyDescent="0.25">
      <c r="B35" s="24" t="s">
        <v>62</v>
      </c>
      <c r="C35" s="50">
        <v>26</v>
      </c>
      <c r="D35" s="50">
        <v>5</v>
      </c>
      <c r="E35" s="50">
        <v>4</v>
      </c>
      <c r="F35" s="50">
        <v>6</v>
      </c>
      <c r="G35" s="50">
        <v>0</v>
      </c>
      <c r="H35" s="50">
        <v>0</v>
      </c>
      <c r="I35" s="50">
        <v>2</v>
      </c>
      <c r="J35" s="50">
        <v>1</v>
      </c>
      <c r="K35" s="50">
        <v>0</v>
      </c>
      <c r="L35" s="50">
        <v>0</v>
      </c>
      <c r="M35" s="50">
        <v>72</v>
      </c>
      <c r="N35" s="50">
        <v>0</v>
      </c>
      <c r="O35" s="15">
        <f t="shared" si="0"/>
        <v>44</v>
      </c>
      <c r="P35" s="15">
        <f t="shared" si="1"/>
        <v>116</v>
      </c>
    </row>
    <row r="36" spans="2:20" ht="23.1" customHeight="1" x14ac:dyDescent="0.25">
      <c r="B36" s="24" t="s">
        <v>63</v>
      </c>
      <c r="C36" s="50">
        <v>27</v>
      </c>
      <c r="D36" s="50">
        <v>6</v>
      </c>
      <c r="E36" s="50">
        <v>3</v>
      </c>
      <c r="F36" s="50">
        <v>7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v>0</v>
      </c>
      <c r="M36" s="50">
        <v>56</v>
      </c>
      <c r="N36" s="50">
        <v>0</v>
      </c>
      <c r="O36" s="15">
        <f t="shared" si="0"/>
        <v>46</v>
      </c>
      <c r="P36" s="15">
        <f t="shared" si="1"/>
        <v>102</v>
      </c>
    </row>
    <row r="37" spans="2:20" ht="23.1" customHeight="1" x14ac:dyDescent="0.25">
      <c r="B37" s="23" t="s">
        <v>64</v>
      </c>
      <c r="C37" s="50">
        <v>28</v>
      </c>
      <c r="D37" s="50">
        <v>4</v>
      </c>
      <c r="E37" s="50">
        <v>4</v>
      </c>
      <c r="F37" s="50">
        <v>5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64</v>
      </c>
      <c r="N37" s="50">
        <v>0</v>
      </c>
      <c r="O37" s="15">
        <f t="shared" si="0"/>
        <v>43</v>
      </c>
      <c r="P37" s="15">
        <f t="shared" si="1"/>
        <v>107</v>
      </c>
    </row>
    <row r="38" spans="2:20" ht="23.1" customHeight="1" x14ac:dyDescent="0.25">
      <c r="B38" s="24" t="s">
        <v>65</v>
      </c>
      <c r="C38" s="50">
        <v>23</v>
      </c>
      <c r="D38" s="50">
        <v>5</v>
      </c>
      <c r="E38" s="50">
        <v>1</v>
      </c>
      <c r="F38" s="50">
        <v>6</v>
      </c>
      <c r="G38" s="50">
        <v>0</v>
      </c>
      <c r="H38" s="50">
        <v>0</v>
      </c>
      <c r="I38" s="50">
        <v>2</v>
      </c>
      <c r="J38" s="50">
        <v>0</v>
      </c>
      <c r="K38" s="50">
        <v>1</v>
      </c>
      <c r="L38" s="50">
        <v>0</v>
      </c>
      <c r="M38" s="50">
        <v>55</v>
      </c>
      <c r="N38" s="50">
        <v>0</v>
      </c>
      <c r="O38" s="15">
        <f t="shared" si="0"/>
        <v>38</v>
      </c>
      <c r="P38" s="15">
        <f t="shared" si="1"/>
        <v>93</v>
      </c>
    </row>
    <row r="39" spans="2:20" ht="23.1" customHeight="1" x14ac:dyDescent="0.25">
      <c r="B39" s="24" t="s">
        <v>66</v>
      </c>
      <c r="C39" s="50">
        <v>26</v>
      </c>
      <c r="D39" s="50">
        <v>6</v>
      </c>
      <c r="E39" s="50">
        <v>4</v>
      </c>
      <c r="F39" s="50">
        <v>6</v>
      </c>
      <c r="G39" s="50">
        <v>2</v>
      </c>
      <c r="H39" s="50">
        <v>0</v>
      </c>
      <c r="I39" s="50">
        <v>1</v>
      </c>
      <c r="J39" s="50">
        <v>1</v>
      </c>
      <c r="K39" s="50">
        <v>0</v>
      </c>
      <c r="L39" s="50">
        <v>0</v>
      </c>
      <c r="M39" s="50">
        <v>68</v>
      </c>
      <c r="N39" s="50">
        <v>0</v>
      </c>
      <c r="O39" s="15">
        <f t="shared" si="0"/>
        <v>46</v>
      </c>
      <c r="P39" s="15">
        <f t="shared" si="1"/>
        <v>114</v>
      </c>
    </row>
    <row r="40" spans="2:20" ht="23.1" customHeight="1" x14ac:dyDescent="0.25">
      <c r="B40" s="24" t="s">
        <v>67</v>
      </c>
      <c r="C40" s="50">
        <v>28</v>
      </c>
      <c r="D40" s="50">
        <v>5</v>
      </c>
      <c r="E40" s="50">
        <v>3</v>
      </c>
      <c r="F40" s="50">
        <v>8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69</v>
      </c>
      <c r="N40" s="50">
        <v>0</v>
      </c>
      <c r="O40" s="15">
        <f t="shared" si="0"/>
        <v>46</v>
      </c>
      <c r="P40" s="15">
        <f t="shared" si="1"/>
        <v>115</v>
      </c>
    </row>
    <row r="41" spans="2:20" ht="23.1" customHeight="1" x14ac:dyDescent="0.25">
      <c r="B41" s="23" t="s">
        <v>68</v>
      </c>
      <c r="C41" s="50">
        <v>22</v>
      </c>
      <c r="D41" s="50">
        <v>4</v>
      </c>
      <c r="E41" s="50">
        <v>6</v>
      </c>
      <c r="F41" s="50">
        <v>6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55</v>
      </c>
      <c r="N41" s="50">
        <v>0</v>
      </c>
      <c r="O41" s="15">
        <f t="shared" si="0"/>
        <v>39</v>
      </c>
      <c r="P41" s="15">
        <f t="shared" si="1"/>
        <v>94</v>
      </c>
    </row>
    <row r="42" spans="2:20" ht="23.1" customHeight="1" x14ac:dyDescent="0.25">
      <c r="B42" s="24" t="s">
        <v>69</v>
      </c>
      <c r="C42" s="50">
        <v>29</v>
      </c>
      <c r="D42" s="50">
        <v>4</v>
      </c>
      <c r="E42" s="50">
        <v>3</v>
      </c>
      <c r="F42" s="50">
        <v>6</v>
      </c>
      <c r="G42" s="50">
        <v>0</v>
      </c>
      <c r="H42" s="50">
        <v>0</v>
      </c>
      <c r="I42" s="50">
        <v>3</v>
      </c>
      <c r="J42" s="50">
        <v>1</v>
      </c>
      <c r="K42" s="50">
        <v>0</v>
      </c>
      <c r="L42" s="50">
        <v>0</v>
      </c>
      <c r="M42" s="50">
        <v>57</v>
      </c>
      <c r="N42" s="50">
        <v>0</v>
      </c>
      <c r="O42" s="15">
        <f t="shared" si="0"/>
        <v>46</v>
      </c>
      <c r="P42" s="15">
        <f t="shared" si="1"/>
        <v>103</v>
      </c>
    </row>
    <row r="43" spans="2:20" ht="23.1" customHeight="1" x14ac:dyDescent="0.25">
      <c r="B43" s="23" t="s">
        <v>70</v>
      </c>
      <c r="C43" s="50">
        <v>31</v>
      </c>
      <c r="D43" s="50">
        <v>2</v>
      </c>
      <c r="E43" s="50">
        <v>4</v>
      </c>
      <c r="F43" s="50">
        <v>5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0</v>
      </c>
      <c r="M43" s="50">
        <v>54</v>
      </c>
      <c r="N43" s="50">
        <v>0</v>
      </c>
      <c r="O43" s="15">
        <f t="shared" si="0"/>
        <v>45</v>
      </c>
      <c r="P43" s="15">
        <f t="shared" si="1"/>
        <v>99</v>
      </c>
    </row>
    <row r="44" spans="2:20" ht="23.1" customHeight="1" x14ac:dyDescent="0.25">
      <c r="B44" s="25" t="s">
        <v>71</v>
      </c>
      <c r="C44" s="50">
        <v>24</v>
      </c>
      <c r="D44" s="50">
        <v>3</v>
      </c>
      <c r="E44" s="50">
        <v>1</v>
      </c>
      <c r="F44" s="50">
        <v>2</v>
      </c>
      <c r="G44" s="50">
        <v>0</v>
      </c>
      <c r="H44" s="50">
        <v>0</v>
      </c>
      <c r="I44" s="50">
        <v>2</v>
      </c>
      <c r="J44" s="50">
        <v>2</v>
      </c>
      <c r="K44" s="50">
        <v>0</v>
      </c>
      <c r="L44" s="50">
        <v>0</v>
      </c>
      <c r="M44" s="50">
        <v>63</v>
      </c>
      <c r="N44" s="50">
        <v>0</v>
      </c>
      <c r="O44" s="15">
        <f t="shared" si="0"/>
        <v>34</v>
      </c>
      <c r="P44" s="15">
        <f t="shared" si="1"/>
        <v>97</v>
      </c>
    </row>
    <row r="45" spans="2:20" ht="23.1" customHeight="1" x14ac:dyDescent="0.25">
      <c r="B45" s="23" t="s">
        <v>72</v>
      </c>
      <c r="C45" s="50">
        <v>29</v>
      </c>
      <c r="D45" s="50">
        <v>6</v>
      </c>
      <c r="E45" s="50">
        <v>1</v>
      </c>
      <c r="F45" s="50">
        <v>4</v>
      </c>
      <c r="G45" s="50">
        <v>0</v>
      </c>
      <c r="H45" s="50">
        <v>0</v>
      </c>
      <c r="I45" s="50">
        <v>2</v>
      </c>
      <c r="J45" s="50">
        <v>2</v>
      </c>
      <c r="K45" s="50">
        <v>0</v>
      </c>
      <c r="L45" s="50">
        <v>0</v>
      </c>
      <c r="M45" s="50">
        <v>58</v>
      </c>
      <c r="N45" s="50">
        <v>0</v>
      </c>
      <c r="O45" s="15">
        <f t="shared" si="0"/>
        <v>44</v>
      </c>
      <c r="P45" s="15">
        <f t="shared" si="1"/>
        <v>102</v>
      </c>
    </row>
    <row r="46" spans="2:20" ht="23.1" customHeight="1" x14ac:dyDescent="0.25">
      <c r="B46" s="24" t="s">
        <v>73</v>
      </c>
      <c r="C46" s="50">
        <v>23</v>
      </c>
      <c r="D46" s="50">
        <v>4</v>
      </c>
      <c r="E46" s="50">
        <v>9</v>
      </c>
      <c r="F46" s="50">
        <v>5</v>
      </c>
      <c r="G46" s="50">
        <v>0</v>
      </c>
      <c r="H46" s="50">
        <v>0</v>
      </c>
      <c r="I46" s="50">
        <v>2</v>
      </c>
      <c r="J46" s="50">
        <v>0</v>
      </c>
      <c r="K46" s="50">
        <v>1</v>
      </c>
      <c r="L46" s="50">
        <v>0</v>
      </c>
      <c r="M46" s="50">
        <v>64</v>
      </c>
      <c r="N46" s="50">
        <v>0</v>
      </c>
      <c r="O46" s="15">
        <f t="shared" si="0"/>
        <v>44</v>
      </c>
      <c r="P46" s="15">
        <f t="shared" si="1"/>
        <v>108</v>
      </c>
      <c r="R46" s="8"/>
      <c r="T46"/>
    </row>
    <row r="47" spans="2:20" ht="23.1" customHeight="1" x14ac:dyDescent="0.25">
      <c r="B47" s="24" t="s">
        <v>74</v>
      </c>
      <c r="C47" s="50">
        <v>22</v>
      </c>
      <c r="D47" s="50">
        <v>3</v>
      </c>
      <c r="E47" s="50">
        <v>2</v>
      </c>
      <c r="F47" s="50">
        <v>6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62</v>
      </c>
      <c r="N47" s="50">
        <v>0</v>
      </c>
      <c r="O47" s="15">
        <f t="shared" si="0"/>
        <v>34</v>
      </c>
      <c r="P47" s="15">
        <f t="shared" si="1"/>
        <v>96</v>
      </c>
      <c r="R47" s="8"/>
      <c r="T47"/>
    </row>
    <row r="48" spans="2:20" ht="23.1" customHeight="1" x14ac:dyDescent="0.25">
      <c r="B48" s="24" t="s">
        <v>75</v>
      </c>
      <c r="C48" s="50">
        <v>24</v>
      </c>
      <c r="D48" s="50">
        <v>5</v>
      </c>
      <c r="E48" s="50">
        <v>4</v>
      </c>
      <c r="F48" s="50">
        <v>4</v>
      </c>
      <c r="G48" s="50">
        <v>0</v>
      </c>
      <c r="H48" s="50">
        <v>0</v>
      </c>
      <c r="I48" s="50">
        <v>2</v>
      </c>
      <c r="J48" s="50">
        <v>2</v>
      </c>
      <c r="K48" s="50">
        <v>1</v>
      </c>
      <c r="L48" s="50">
        <v>0</v>
      </c>
      <c r="M48" s="50">
        <v>57</v>
      </c>
      <c r="N48" s="50">
        <v>0</v>
      </c>
      <c r="O48" s="15">
        <f t="shared" si="0"/>
        <v>42</v>
      </c>
      <c r="P48" s="15">
        <f t="shared" si="1"/>
        <v>99</v>
      </c>
      <c r="R48" s="8"/>
      <c r="T48"/>
    </row>
    <row r="49" spans="2:20" ht="23.1" customHeight="1" x14ac:dyDescent="0.25">
      <c r="B49" s="23" t="s">
        <v>76</v>
      </c>
      <c r="C49" s="50">
        <v>20</v>
      </c>
      <c r="D49" s="50">
        <v>5</v>
      </c>
      <c r="E49" s="50">
        <v>2</v>
      </c>
      <c r="F49" s="50">
        <v>2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67</v>
      </c>
      <c r="N49" s="50">
        <v>0</v>
      </c>
      <c r="O49" s="15">
        <f t="shared" si="0"/>
        <v>29</v>
      </c>
      <c r="P49" s="15">
        <f t="shared" si="1"/>
        <v>96</v>
      </c>
      <c r="R49" s="8"/>
      <c r="T49"/>
    </row>
    <row r="50" spans="2:20" ht="23.1" customHeight="1" x14ac:dyDescent="0.25">
      <c r="B50" s="24" t="s">
        <v>77</v>
      </c>
      <c r="C50" s="50">
        <v>47</v>
      </c>
      <c r="D50" s="50">
        <v>6</v>
      </c>
      <c r="E50" s="50">
        <v>5</v>
      </c>
      <c r="F50" s="50">
        <v>10</v>
      </c>
      <c r="G50" s="50">
        <v>0</v>
      </c>
      <c r="H50" s="50">
        <v>0</v>
      </c>
      <c r="I50" s="50">
        <v>3</v>
      </c>
      <c r="J50" s="50">
        <v>1</v>
      </c>
      <c r="K50" s="50">
        <v>0</v>
      </c>
      <c r="L50" s="50">
        <v>0</v>
      </c>
      <c r="M50" s="50">
        <v>85</v>
      </c>
      <c r="N50" s="50">
        <v>0</v>
      </c>
      <c r="O50" s="15">
        <f t="shared" si="0"/>
        <v>72</v>
      </c>
      <c r="P50" s="15">
        <f t="shared" si="1"/>
        <v>157</v>
      </c>
      <c r="R50" s="8"/>
      <c r="T50"/>
    </row>
    <row r="51" spans="2:20" ht="23.1" customHeight="1" x14ac:dyDescent="0.25">
      <c r="B51" s="24" t="s">
        <v>78</v>
      </c>
      <c r="C51" s="50">
        <v>35</v>
      </c>
      <c r="D51" s="50">
        <v>11</v>
      </c>
      <c r="E51" s="50">
        <v>4</v>
      </c>
      <c r="F51" s="50">
        <v>8</v>
      </c>
      <c r="G51" s="50">
        <v>0</v>
      </c>
      <c r="H51" s="50">
        <v>0</v>
      </c>
      <c r="I51" s="50">
        <v>5</v>
      </c>
      <c r="J51" s="50">
        <v>1</v>
      </c>
      <c r="K51" s="50">
        <v>0</v>
      </c>
      <c r="L51" s="50">
        <v>0</v>
      </c>
      <c r="M51" s="50">
        <v>80</v>
      </c>
      <c r="N51" s="50">
        <v>0</v>
      </c>
      <c r="O51" s="15">
        <f t="shared" si="0"/>
        <v>64</v>
      </c>
      <c r="P51" s="15">
        <f t="shared" si="1"/>
        <v>144</v>
      </c>
      <c r="R51" s="8"/>
      <c r="T51"/>
    </row>
    <row r="52" spans="2:20" ht="23.1" customHeight="1" x14ac:dyDescent="0.25">
      <c r="B52" s="24" t="s">
        <v>79</v>
      </c>
      <c r="C52" s="50">
        <v>24</v>
      </c>
      <c r="D52" s="50">
        <v>7</v>
      </c>
      <c r="E52" s="50">
        <v>3</v>
      </c>
      <c r="F52" s="50">
        <v>8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73</v>
      </c>
      <c r="N52" s="50">
        <v>0</v>
      </c>
      <c r="O52" s="15">
        <f t="shared" si="0"/>
        <v>43</v>
      </c>
      <c r="P52" s="15">
        <f t="shared" si="1"/>
        <v>116</v>
      </c>
      <c r="R52" s="8"/>
      <c r="T52"/>
    </row>
    <row r="53" spans="2:20" ht="23.1" customHeight="1" x14ac:dyDescent="0.25">
      <c r="B53" s="23" t="s">
        <v>80</v>
      </c>
      <c r="C53" s="50">
        <v>27</v>
      </c>
      <c r="D53" s="50">
        <v>4</v>
      </c>
      <c r="E53" s="50">
        <v>3</v>
      </c>
      <c r="F53" s="50">
        <v>9</v>
      </c>
      <c r="G53" s="50">
        <v>1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69</v>
      </c>
      <c r="N53" s="50">
        <v>0</v>
      </c>
      <c r="O53" s="15">
        <f t="shared" si="0"/>
        <v>45</v>
      </c>
      <c r="P53" s="15">
        <f t="shared" si="1"/>
        <v>114</v>
      </c>
      <c r="R53" s="8"/>
      <c r="T53"/>
    </row>
    <row r="54" spans="2:20" ht="23.1" customHeight="1" x14ac:dyDescent="0.25">
      <c r="B54" s="23" t="s">
        <v>81</v>
      </c>
      <c r="C54" s="50">
        <v>29</v>
      </c>
      <c r="D54" s="50">
        <v>2</v>
      </c>
      <c r="E54" s="50">
        <v>0</v>
      </c>
      <c r="F54" s="50">
        <v>9</v>
      </c>
      <c r="G54" s="50">
        <v>0</v>
      </c>
      <c r="H54" s="50">
        <v>1</v>
      </c>
      <c r="I54" s="50">
        <v>1</v>
      </c>
      <c r="J54" s="50">
        <v>1</v>
      </c>
      <c r="K54" s="50">
        <v>0</v>
      </c>
      <c r="L54" s="50">
        <v>0</v>
      </c>
      <c r="M54" s="50">
        <v>68</v>
      </c>
      <c r="N54" s="50">
        <v>0</v>
      </c>
      <c r="O54" s="15">
        <f t="shared" si="0"/>
        <v>43</v>
      </c>
      <c r="P54" s="15">
        <f t="shared" si="1"/>
        <v>111</v>
      </c>
      <c r="R54" s="8"/>
      <c r="T54"/>
    </row>
    <row r="55" spans="2:20" ht="23.1" customHeight="1" x14ac:dyDescent="0.25">
      <c r="B55" s="23" t="s">
        <v>82</v>
      </c>
      <c r="C55" s="50">
        <v>28</v>
      </c>
      <c r="D55" s="50">
        <v>5</v>
      </c>
      <c r="E55" s="50">
        <v>2</v>
      </c>
      <c r="F55" s="50">
        <v>9</v>
      </c>
      <c r="G55" s="50">
        <v>1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81</v>
      </c>
      <c r="N55" s="50">
        <v>0</v>
      </c>
      <c r="O55" s="15">
        <f t="shared" si="0"/>
        <v>47</v>
      </c>
      <c r="P55" s="15">
        <f t="shared" si="1"/>
        <v>128</v>
      </c>
      <c r="R55" s="8"/>
      <c r="T55"/>
    </row>
    <row r="56" spans="2:20" ht="23.1" customHeight="1" x14ac:dyDescent="0.25">
      <c r="B56" s="23" t="s">
        <v>83</v>
      </c>
      <c r="C56" s="50">
        <v>26</v>
      </c>
      <c r="D56" s="50">
        <v>3</v>
      </c>
      <c r="E56" s="50">
        <v>2</v>
      </c>
      <c r="F56" s="50">
        <v>9</v>
      </c>
      <c r="G56" s="50">
        <v>1</v>
      </c>
      <c r="H56" s="50">
        <v>0</v>
      </c>
      <c r="I56" s="50">
        <v>2</v>
      </c>
      <c r="J56" s="50">
        <v>1</v>
      </c>
      <c r="K56" s="50">
        <v>0</v>
      </c>
      <c r="L56" s="50">
        <v>0</v>
      </c>
      <c r="M56" s="50">
        <v>68</v>
      </c>
      <c r="N56" s="50">
        <v>0</v>
      </c>
      <c r="O56" s="15">
        <f t="shared" si="0"/>
        <v>44</v>
      </c>
      <c r="P56" s="15">
        <f t="shared" si="1"/>
        <v>112</v>
      </c>
      <c r="R56" s="8"/>
      <c r="T56"/>
    </row>
    <row r="57" spans="2:20" ht="23.1" customHeight="1" x14ac:dyDescent="0.25">
      <c r="B57" s="23" t="s">
        <v>84</v>
      </c>
      <c r="C57" s="50">
        <v>22</v>
      </c>
      <c r="D57" s="50">
        <v>2</v>
      </c>
      <c r="E57" s="50">
        <v>6</v>
      </c>
      <c r="F57" s="50">
        <v>10</v>
      </c>
      <c r="G57" s="50">
        <v>0</v>
      </c>
      <c r="H57" s="50">
        <v>0</v>
      </c>
      <c r="I57" s="50">
        <v>1</v>
      </c>
      <c r="J57" s="50">
        <v>1</v>
      </c>
      <c r="K57" s="50">
        <v>2</v>
      </c>
      <c r="L57" s="50">
        <v>0</v>
      </c>
      <c r="M57" s="50">
        <v>102</v>
      </c>
      <c r="N57" s="50">
        <v>0</v>
      </c>
      <c r="O57" s="15">
        <f t="shared" si="0"/>
        <v>44</v>
      </c>
      <c r="P57" s="15">
        <f t="shared" si="1"/>
        <v>146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1677</v>
      </c>
      <c r="D58" s="16">
        <f t="shared" si="21"/>
        <v>236</v>
      </c>
      <c r="E58" s="16">
        <f t="shared" si="21"/>
        <v>199</v>
      </c>
      <c r="F58" s="16">
        <f t="shared" si="21"/>
        <v>505</v>
      </c>
      <c r="G58" s="16">
        <f t="shared" si="21"/>
        <v>10</v>
      </c>
      <c r="H58" s="16">
        <f t="shared" si="21"/>
        <v>2</v>
      </c>
      <c r="I58" s="16">
        <f t="shared" si="21"/>
        <v>117</v>
      </c>
      <c r="J58" s="16">
        <f t="shared" si="21"/>
        <v>35</v>
      </c>
      <c r="K58" s="16">
        <f t="shared" si="21"/>
        <v>19</v>
      </c>
      <c r="L58" s="16">
        <f t="shared" si="21"/>
        <v>3</v>
      </c>
      <c r="M58" s="16">
        <f t="shared" si="21"/>
        <v>3822</v>
      </c>
      <c r="N58" s="16">
        <f t="shared" si="21"/>
        <v>0</v>
      </c>
      <c r="O58" s="16">
        <f t="shared" si="21"/>
        <v>2803</v>
      </c>
      <c r="P58" s="16">
        <f t="shared" si="21"/>
        <v>6625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0.25313207547169814</v>
      </c>
      <c r="D59" s="43">
        <f t="shared" si="22"/>
        <v>3.5622641509433964E-2</v>
      </c>
      <c r="E59" s="43">
        <f t="shared" si="22"/>
        <v>3.0037735849056602E-2</v>
      </c>
      <c r="F59" s="43">
        <f t="shared" si="22"/>
        <v>7.6226415094339625E-2</v>
      </c>
      <c r="G59" s="43">
        <f t="shared" si="22"/>
        <v>1.5094339622641509E-3</v>
      </c>
      <c r="H59" s="43">
        <f t="shared" si="22"/>
        <v>3.0188679245283021E-4</v>
      </c>
      <c r="I59" s="43">
        <f t="shared" si="22"/>
        <v>1.7660377358490565E-2</v>
      </c>
      <c r="J59" s="43">
        <f t="shared" si="22"/>
        <v>5.2830188679245287E-3</v>
      </c>
      <c r="K59" s="43">
        <f t="shared" si="22"/>
        <v>2.8679245283018866E-3</v>
      </c>
      <c r="L59" s="43">
        <f t="shared" si="22"/>
        <v>4.5283018867924528E-4</v>
      </c>
      <c r="M59" s="43">
        <f t="shared" si="22"/>
        <v>0.57690566037735846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0.59828754905458437</v>
      </c>
      <c r="D60" s="44">
        <f t="shared" ref="D60:N60" si="23">D58/$O$58</f>
        <v>8.419550481626828E-2</v>
      </c>
      <c r="E60" s="44">
        <f t="shared" si="23"/>
        <v>7.0995362112022828E-2</v>
      </c>
      <c r="F60" s="44">
        <f t="shared" si="23"/>
        <v>0.180164109882269</v>
      </c>
      <c r="G60" s="44">
        <f t="shared" si="23"/>
        <v>3.5676061362825543E-3</v>
      </c>
      <c r="H60" s="44">
        <f t="shared" si="23"/>
        <v>7.1352122725651087E-4</v>
      </c>
      <c r="I60" s="44">
        <f t="shared" si="23"/>
        <v>4.174099179450589E-2</v>
      </c>
      <c r="J60" s="44">
        <f t="shared" si="23"/>
        <v>1.2486621476988941E-2</v>
      </c>
      <c r="K60" s="44">
        <f t="shared" si="23"/>
        <v>6.7784516589368534E-3</v>
      </c>
      <c r="L60" s="44">
        <f t="shared" si="23"/>
        <v>1.0702818408847663E-3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'22.07 Ndeeba-Nyanama'!C3:G3</f>
        <v>MCC - C1 - STN04 - WERAGA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163</v>
      </c>
      <c r="E5" s="3"/>
      <c r="F5" s="41" t="s">
        <v>1</v>
      </c>
      <c r="G5" s="68" t="str">
        <f>'22.07 Ndeeba-Nyanama'!G5:H5</f>
        <v>Golden Mille Hotel</v>
      </c>
      <c r="H5" s="69"/>
      <c r="I5" s="14"/>
      <c r="J5" s="2" t="s">
        <v>5</v>
      </c>
      <c r="K5" s="68" t="str">
        <f>'22.07 Ndeeba-Nyanama'!K5:L5</f>
        <v>Steven Dan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tr">
        <f>'22.07 Ndeeba-Nyanama'!D6:E6</f>
        <v>Ndeeba</v>
      </c>
      <c r="E6" s="69"/>
      <c r="F6" s="2" t="s">
        <v>2</v>
      </c>
      <c r="G6" s="68" t="str">
        <f>'22.07 Ndeeba-Nyanama'!G6:H6</f>
        <v>Nyanama</v>
      </c>
      <c r="H6" s="69"/>
      <c r="J6" s="2" t="s">
        <v>21</v>
      </c>
      <c r="K6" s="68" t="str">
        <f>'22.07 Ndeeba-Nyanama'!K6:L6</f>
        <v>Denis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50</v>
      </c>
      <c r="D10" s="50">
        <v>0</v>
      </c>
      <c r="E10" s="50">
        <v>1</v>
      </c>
      <c r="F10" s="50">
        <v>52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134</v>
      </c>
      <c r="N10" s="50">
        <v>0</v>
      </c>
      <c r="O10" s="15">
        <f t="shared" ref="O10:O57" si="0">SUM(C10:L10,N10)</f>
        <v>104</v>
      </c>
      <c r="P10" s="15">
        <f t="shared" ref="P10:P57" si="1">SUM(C10:N10)</f>
        <v>238</v>
      </c>
      <c r="R10" s="1" t="s">
        <v>6</v>
      </c>
      <c r="S10" s="17">
        <f t="shared" ref="S10:AF10" si="2">SUM(C10:C13)</f>
        <v>201</v>
      </c>
      <c r="T10" s="17">
        <f t="shared" si="2"/>
        <v>4</v>
      </c>
      <c r="U10" s="17">
        <f t="shared" si="2"/>
        <v>13</v>
      </c>
      <c r="V10" s="17">
        <f t="shared" si="2"/>
        <v>99</v>
      </c>
      <c r="W10" s="17">
        <f t="shared" si="2"/>
        <v>0</v>
      </c>
      <c r="X10" s="17">
        <f t="shared" si="2"/>
        <v>0</v>
      </c>
      <c r="Y10" s="17">
        <f t="shared" si="2"/>
        <v>8</v>
      </c>
      <c r="Z10" s="17">
        <f t="shared" si="2"/>
        <v>0</v>
      </c>
      <c r="AA10" s="17">
        <f t="shared" si="2"/>
        <v>1</v>
      </c>
      <c r="AB10" s="17">
        <f t="shared" si="2"/>
        <v>1</v>
      </c>
      <c r="AC10" s="17">
        <f t="shared" si="2"/>
        <v>522</v>
      </c>
      <c r="AD10" s="17">
        <f t="shared" si="2"/>
        <v>0</v>
      </c>
      <c r="AE10" s="31">
        <f t="shared" si="2"/>
        <v>327</v>
      </c>
      <c r="AF10" s="31">
        <f t="shared" si="2"/>
        <v>849</v>
      </c>
    </row>
    <row r="11" spans="2:32" s="6" customFormat="1" ht="23.1" customHeight="1" x14ac:dyDescent="0.25">
      <c r="B11" s="23" t="s">
        <v>38</v>
      </c>
      <c r="C11" s="50">
        <v>75</v>
      </c>
      <c r="D11" s="50">
        <v>1</v>
      </c>
      <c r="E11" s="50">
        <v>0</v>
      </c>
      <c r="F11" s="50">
        <v>28</v>
      </c>
      <c r="G11" s="50">
        <v>0</v>
      </c>
      <c r="H11" s="50">
        <v>0</v>
      </c>
      <c r="I11" s="50">
        <v>1</v>
      </c>
      <c r="J11" s="50">
        <v>0</v>
      </c>
      <c r="K11" s="50">
        <v>1</v>
      </c>
      <c r="L11" s="50">
        <v>0</v>
      </c>
      <c r="M11" s="50">
        <v>138</v>
      </c>
      <c r="N11" s="50">
        <v>0</v>
      </c>
      <c r="O11" s="15">
        <f t="shared" si="0"/>
        <v>106</v>
      </c>
      <c r="P11" s="15">
        <f t="shared" si="1"/>
        <v>244</v>
      </c>
      <c r="R11" s="1" t="s">
        <v>7</v>
      </c>
      <c r="S11" s="17">
        <f t="shared" ref="S11:AF11" si="3">SUM(C14:C17)</f>
        <v>137</v>
      </c>
      <c r="T11" s="17">
        <f t="shared" si="3"/>
        <v>8</v>
      </c>
      <c r="U11" s="17">
        <f t="shared" si="3"/>
        <v>17</v>
      </c>
      <c r="V11" s="17">
        <f t="shared" si="3"/>
        <v>55</v>
      </c>
      <c r="W11" s="17">
        <f t="shared" si="3"/>
        <v>1</v>
      </c>
      <c r="X11" s="17">
        <f t="shared" si="3"/>
        <v>0</v>
      </c>
      <c r="Y11" s="17">
        <f t="shared" si="3"/>
        <v>5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448</v>
      </c>
      <c r="AD11" s="17">
        <f t="shared" si="3"/>
        <v>0</v>
      </c>
      <c r="AE11" s="31">
        <f t="shared" si="3"/>
        <v>224</v>
      </c>
      <c r="AF11" s="31">
        <f t="shared" si="3"/>
        <v>672</v>
      </c>
    </row>
    <row r="12" spans="2:32" ht="23.1" customHeight="1" x14ac:dyDescent="0.25">
      <c r="B12" s="23" t="s">
        <v>39</v>
      </c>
      <c r="C12" s="50">
        <v>34</v>
      </c>
      <c r="D12" s="50">
        <v>2</v>
      </c>
      <c r="E12" s="50">
        <v>4</v>
      </c>
      <c r="F12" s="50">
        <v>10</v>
      </c>
      <c r="G12" s="50">
        <v>0</v>
      </c>
      <c r="H12" s="50">
        <v>0</v>
      </c>
      <c r="I12" s="50">
        <v>3</v>
      </c>
      <c r="J12" s="50">
        <v>0</v>
      </c>
      <c r="K12" s="50">
        <v>0</v>
      </c>
      <c r="L12" s="50">
        <v>0</v>
      </c>
      <c r="M12" s="50">
        <v>130</v>
      </c>
      <c r="N12" s="50">
        <v>0</v>
      </c>
      <c r="O12" s="15">
        <f t="shared" si="0"/>
        <v>53</v>
      </c>
      <c r="P12" s="15">
        <f t="shared" si="1"/>
        <v>183</v>
      </c>
      <c r="R12" s="1" t="s">
        <v>8</v>
      </c>
      <c r="S12" s="17">
        <f t="shared" ref="S12:AF12" si="4">SUM(C18:C21)</f>
        <v>220</v>
      </c>
      <c r="T12" s="17">
        <f t="shared" si="4"/>
        <v>2</v>
      </c>
      <c r="U12" s="17">
        <f t="shared" si="4"/>
        <v>2</v>
      </c>
      <c r="V12" s="17">
        <f t="shared" si="4"/>
        <v>38</v>
      </c>
      <c r="W12" s="17">
        <f t="shared" si="4"/>
        <v>0</v>
      </c>
      <c r="X12" s="17">
        <f t="shared" si="4"/>
        <v>0</v>
      </c>
      <c r="Y12" s="17">
        <f t="shared" si="4"/>
        <v>7</v>
      </c>
      <c r="Z12" s="17">
        <f t="shared" si="4"/>
        <v>4</v>
      </c>
      <c r="AA12" s="17">
        <f t="shared" si="4"/>
        <v>1</v>
      </c>
      <c r="AB12" s="17">
        <f t="shared" si="4"/>
        <v>1</v>
      </c>
      <c r="AC12" s="17">
        <f t="shared" si="4"/>
        <v>305</v>
      </c>
      <c r="AD12" s="17">
        <f t="shared" si="4"/>
        <v>0</v>
      </c>
      <c r="AE12" s="31">
        <f t="shared" si="4"/>
        <v>275</v>
      </c>
      <c r="AF12" s="31">
        <f t="shared" si="4"/>
        <v>580</v>
      </c>
    </row>
    <row r="13" spans="2:32" ht="23.1" customHeight="1" x14ac:dyDescent="0.25">
      <c r="B13" s="23" t="s">
        <v>40</v>
      </c>
      <c r="C13" s="50">
        <v>42</v>
      </c>
      <c r="D13" s="50">
        <v>1</v>
      </c>
      <c r="E13" s="50">
        <v>8</v>
      </c>
      <c r="F13" s="50">
        <v>9</v>
      </c>
      <c r="G13" s="50">
        <v>0</v>
      </c>
      <c r="H13" s="50">
        <v>0</v>
      </c>
      <c r="I13" s="50">
        <v>3</v>
      </c>
      <c r="J13" s="50">
        <v>0</v>
      </c>
      <c r="K13" s="50">
        <v>0</v>
      </c>
      <c r="L13" s="50">
        <v>1</v>
      </c>
      <c r="M13" s="50">
        <v>120</v>
      </c>
      <c r="N13" s="50">
        <v>0</v>
      </c>
      <c r="O13" s="15">
        <f t="shared" si="0"/>
        <v>64</v>
      </c>
      <c r="P13" s="15">
        <f t="shared" si="1"/>
        <v>184</v>
      </c>
      <c r="R13" s="1" t="s">
        <v>9</v>
      </c>
      <c r="S13" s="17">
        <f t="shared" ref="S13:AF13" si="5">SUM(C22:C25)</f>
        <v>168</v>
      </c>
      <c r="T13" s="17">
        <f t="shared" si="5"/>
        <v>1</v>
      </c>
      <c r="U13" s="17">
        <f t="shared" si="5"/>
        <v>10</v>
      </c>
      <c r="V13" s="17">
        <f t="shared" si="5"/>
        <v>46</v>
      </c>
      <c r="W13" s="17">
        <f t="shared" si="5"/>
        <v>1</v>
      </c>
      <c r="X13" s="17">
        <f t="shared" si="5"/>
        <v>0</v>
      </c>
      <c r="Y13" s="17">
        <f t="shared" si="5"/>
        <v>9</v>
      </c>
      <c r="Z13" s="17">
        <f t="shared" si="5"/>
        <v>0</v>
      </c>
      <c r="AA13" s="17">
        <f t="shared" si="5"/>
        <v>1</v>
      </c>
      <c r="AB13" s="17">
        <f t="shared" si="5"/>
        <v>3</v>
      </c>
      <c r="AC13" s="17">
        <f t="shared" si="5"/>
        <v>322</v>
      </c>
      <c r="AD13" s="17">
        <f t="shared" si="5"/>
        <v>0</v>
      </c>
      <c r="AE13" s="31">
        <f t="shared" si="5"/>
        <v>239</v>
      </c>
      <c r="AF13" s="31">
        <f t="shared" si="5"/>
        <v>561</v>
      </c>
    </row>
    <row r="14" spans="2:32" ht="23.1" customHeight="1" x14ac:dyDescent="0.25">
      <c r="B14" s="23" t="s">
        <v>41</v>
      </c>
      <c r="C14" s="50">
        <v>37</v>
      </c>
      <c r="D14" s="50">
        <v>2</v>
      </c>
      <c r="E14" s="50">
        <v>7</v>
      </c>
      <c r="F14" s="50">
        <v>7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160</v>
      </c>
      <c r="N14" s="50">
        <v>0</v>
      </c>
      <c r="O14" s="15">
        <f t="shared" si="0"/>
        <v>54</v>
      </c>
      <c r="P14" s="15">
        <f t="shared" si="1"/>
        <v>214</v>
      </c>
      <c r="R14" s="1" t="s">
        <v>10</v>
      </c>
      <c r="S14" s="17">
        <f t="shared" ref="S14:AF14" si="6">SUM(C26:C29)</f>
        <v>203</v>
      </c>
      <c r="T14" s="17">
        <f t="shared" si="6"/>
        <v>15</v>
      </c>
      <c r="U14" s="17">
        <f t="shared" si="6"/>
        <v>7</v>
      </c>
      <c r="V14" s="17">
        <f t="shared" si="6"/>
        <v>39</v>
      </c>
      <c r="W14" s="17">
        <f t="shared" si="6"/>
        <v>1</v>
      </c>
      <c r="X14" s="17">
        <f t="shared" si="6"/>
        <v>0</v>
      </c>
      <c r="Y14" s="17">
        <f t="shared" si="6"/>
        <v>8</v>
      </c>
      <c r="Z14" s="17">
        <f t="shared" si="6"/>
        <v>4</v>
      </c>
      <c r="AA14" s="17">
        <f t="shared" si="6"/>
        <v>2</v>
      </c>
      <c r="AB14" s="17">
        <f t="shared" si="6"/>
        <v>1</v>
      </c>
      <c r="AC14" s="17">
        <f t="shared" si="6"/>
        <v>325</v>
      </c>
      <c r="AD14" s="17">
        <f t="shared" si="6"/>
        <v>0</v>
      </c>
      <c r="AE14" s="31">
        <f t="shared" si="6"/>
        <v>280</v>
      </c>
      <c r="AF14" s="31">
        <f t="shared" si="6"/>
        <v>605</v>
      </c>
    </row>
    <row r="15" spans="2:32" ht="23.1" customHeight="1" x14ac:dyDescent="0.25">
      <c r="B15" s="23" t="s">
        <v>42</v>
      </c>
      <c r="C15" s="50">
        <v>40</v>
      </c>
      <c r="D15" s="50">
        <v>3</v>
      </c>
      <c r="E15" s="50">
        <v>5</v>
      </c>
      <c r="F15" s="50">
        <v>28</v>
      </c>
      <c r="G15" s="50">
        <v>1</v>
      </c>
      <c r="H15" s="50">
        <v>0</v>
      </c>
      <c r="I15" s="50">
        <v>2</v>
      </c>
      <c r="J15" s="50">
        <v>1</v>
      </c>
      <c r="K15" s="50">
        <v>0</v>
      </c>
      <c r="L15" s="50">
        <v>0</v>
      </c>
      <c r="M15" s="50">
        <v>100</v>
      </c>
      <c r="N15" s="50">
        <v>0</v>
      </c>
      <c r="O15" s="15">
        <f t="shared" si="0"/>
        <v>80</v>
      </c>
      <c r="P15" s="15">
        <f t="shared" si="1"/>
        <v>180</v>
      </c>
      <c r="R15" s="1" t="s">
        <v>11</v>
      </c>
      <c r="S15" s="17">
        <f t="shared" ref="S15:AF15" si="7">SUM(C30:C33)</f>
        <v>212</v>
      </c>
      <c r="T15" s="17">
        <f t="shared" si="7"/>
        <v>5</v>
      </c>
      <c r="U15" s="17">
        <f t="shared" si="7"/>
        <v>9</v>
      </c>
      <c r="V15" s="17">
        <f t="shared" si="7"/>
        <v>18</v>
      </c>
      <c r="W15" s="17">
        <f t="shared" si="7"/>
        <v>1</v>
      </c>
      <c r="X15" s="17">
        <f t="shared" si="7"/>
        <v>0</v>
      </c>
      <c r="Y15" s="17">
        <f t="shared" si="7"/>
        <v>8</v>
      </c>
      <c r="Z15" s="17">
        <f t="shared" si="7"/>
        <v>7</v>
      </c>
      <c r="AA15" s="17">
        <f t="shared" si="7"/>
        <v>1</v>
      </c>
      <c r="AB15" s="17">
        <f t="shared" si="7"/>
        <v>1</v>
      </c>
      <c r="AC15" s="17">
        <f t="shared" si="7"/>
        <v>396</v>
      </c>
      <c r="AD15" s="17">
        <f t="shared" si="7"/>
        <v>0</v>
      </c>
      <c r="AE15" s="31">
        <f t="shared" si="7"/>
        <v>262</v>
      </c>
      <c r="AF15" s="31">
        <f t="shared" si="7"/>
        <v>658</v>
      </c>
    </row>
    <row r="16" spans="2:32" ht="23.1" customHeight="1" x14ac:dyDescent="0.25">
      <c r="B16" s="23" t="s">
        <v>43</v>
      </c>
      <c r="C16" s="50">
        <v>33</v>
      </c>
      <c r="D16" s="50">
        <v>1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115</v>
      </c>
      <c r="N16" s="50">
        <v>0</v>
      </c>
      <c r="O16" s="15">
        <f t="shared" si="0"/>
        <v>34</v>
      </c>
      <c r="P16" s="15">
        <f t="shared" si="1"/>
        <v>149</v>
      </c>
      <c r="R16" s="1" t="s">
        <v>12</v>
      </c>
      <c r="S16" s="17">
        <f t="shared" ref="S16:AF16" si="8">SUM(C34:C37)</f>
        <v>148</v>
      </c>
      <c r="T16" s="17">
        <f t="shared" si="8"/>
        <v>1</v>
      </c>
      <c r="U16" s="17">
        <f t="shared" si="8"/>
        <v>10</v>
      </c>
      <c r="V16" s="17">
        <f t="shared" si="8"/>
        <v>23</v>
      </c>
      <c r="W16" s="17">
        <f t="shared" si="8"/>
        <v>1</v>
      </c>
      <c r="X16" s="17">
        <f t="shared" si="8"/>
        <v>0</v>
      </c>
      <c r="Y16" s="17">
        <f t="shared" si="8"/>
        <v>7</v>
      </c>
      <c r="Z16" s="17">
        <f t="shared" si="8"/>
        <v>8</v>
      </c>
      <c r="AA16" s="17">
        <f t="shared" si="8"/>
        <v>2</v>
      </c>
      <c r="AB16" s="17">
        <f t="shared" si="8"/>
        <v>0</v>
      </c>
      <c r="AC16" s="17">
        <f t="shared" si="8"/>
        <v>389</v>
      </c>
      <c r="AD16" s="17">
        <f t="shared" si="8"/>
        <v>0</v>
      </c>
      <c r="AE16" s="31">
        <f t="shared" si="8"/>
        <v>200</v>
      </c>
      <c r="AF16" s="31">
        <f t="shared" si="8"/>
        <v>589</v>
      </c>
    </row>
    <row r="17" spans="2:32" ht="23.1" customHeight="1" x14ac:dyDescent="0.25">
      <c r="B17" s="23" t="s">
        <v>44</v>
      </c>
      <c r="C17" s="50">
        <v>27</v>
      </c>
      <c r="D17" s="50">
        <v>2</v>
      </c>
      <c r="E17" s="50">
        <v>5</v>
      </c>
      <c r="F17" s="50">
        <v>20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73</v>
      </c>
      <c r="N17" s="50">
        <v>0</v>
      </c>
      <c r="O17" s="15">
        <f t="shared" si="0"/>
        <v>56</v>
      </c>
      <c r="P17" s="15">
        <f t="shared" si="1"/>
        <v>129</v>
      </c>
      <c r="R17" s="1" t="s">
        <v>13</v>
      </c>
      <c r="S17" s="17">
        <f t="shared" ref="S17:AF17" si="9">SUM(C38:C41)</f>
        <v>122</v>
      </c>
      <c r="T17" s="17">
        <f t="shared" si="9"/>
        <v>4</v>
      </c>
      <c r="U17" s="17">
        <f t="shared" si="9"/>
        <v>4</v>
      </c>
      <c r="V17" s="17">
        <f t="shared" si="9"/>
        <v>21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3</v>
      </c>
      <c r="AA17" s="17">
        <f t="shared" si="9"/>
        <v>4</v>
      </c>
      <c r="AB17" s="17">
        <f t="shared" si="9"/>
        <v>2</v>
      </c>
      <c r="AC17" s="17">
        <f t="shared" si="9"/>
        <v>219</v>
      </c>
      <c r="AD17" s="17">
        <f t="shared" si="9"/>
        <v>0</v>
      </c>
      <c r="AE17" s="31">
        <f t="shared" si="9"/>
        <v>164</v>
      </c>
      <c r="AF17" s="31">
        <f t="shared" si="9"/>
        <v>383</v>
      </c>
    </row>
    <row r="18" spans="2:32" ht="23.1" customHeight="1" x14ac:dyDescent="0.25">
      <c r="B18" s="23" t="s">
        <v>45</v>
      </c>
      <c r="C18" s="50">
        <v>33</v>
      </c>
      <c r="D18" s="50">
        <v>0</v>
      </c>
      <c r="E18" s="50">
        <v>1</v>
      </c>
      <c r="F18" s="50">
        <v>2</v>
      </c>
      <c r="G18" s="50">
        <v>0</v>
      </c>
      <c r="H18" s="50">
        <v>0</v>
      </c>
      <c r="I18" s="50">
        <v>4</v>
      </c>
      <c r="J18" s="50">
        <v>1</v>
      </c>
      <c r="K18" s="50">
        <v>0</v>
      </c>
      <c r="L18" s="50">
        <v>0</v>
      </c>
      <c r="M18" s="50">
        <v>110</v>
      </c>
      <c r="N18" s="50">
        <v>0</v>
      </c>
      <c r="O18" s="15">
        <f t="shared" si="0"/>
        <v>41</v>
      </c>
      <c r="P18" s="15">
        <f t="shared" si="1"/>
        <v>151</v>
      </c>
      <c r="R18" s="1" t="s">
        <v>14</v>
      </c>
      <c r="S18" s="17">
        <f t="shared" ref="S18:AF18" si="10">SUM(C42:C45)</f>
        <v>283</v>
      </c>
      <c r="T18" s="17">
        <f t="shared" si="10"/>
        <v>3</v>
      </c>
      <c r="U18" s="17">
        <f t="shared" si="10"/>
        <v>11</v>
      </c>
      <c r="V18" s="17">
        <f t="shared" si="10"/>
        <v>16</v>
      </c>
      <c r="W18" s="17">
        <f t="shared" si="10"/>
        <v>2</v>
      </c>
      <c r="X18" s="17">
        <f t="shared" si="10"/>
        <v>1</v>
      </c>
      <c r="Y18" s="17">
        <f t="shared" si="10"/>
        <v>4</v>
      </c>
      <c r="Z18" s="17">
        <f t="shared" si="10"/>
        <v>8</v>
      </c>
      <c r="AA18" s="17">
        <f t="shared" si="10"/>
        <v>2</v>
      </c>
      <c r="AB18" s="17">
        <f t="shared" si="10"/>
        <v>0</v>
      </c>
      <c r="AC18" s="17">
        <f t="shared" si="10"/>
        <v>415</v>
      </c>
      <c r="AD18" s="17">
        <f t="shared" si="10"/>
        <v>0</v>
      </c>
      <c r="AE18" s="31">
        <f t="shared" si="10"/>
        <v>330</v>
      </c>
      <c r="AF18" s="31">
        <f t="shared" si="10"/>
        <v>745</v>
      </c>
    </row>
    <row r="19" spans="2:32" ht="23.1" customHeight="1" x14ac:dyDescent="0.25">
      <c r="B19" s="23" t="s">
        <v>46</v>
      </c>
      <c r="C19" s="50">
        <v>55</v>
      </c>
      <c r="D19" s="50">
        <v>2</v>
      </c>
      <c r="E19" s="50">
        <v>1</v>
      </c>
      <c r="F19" s="50">
        <v>25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1</v>
      </c>
      <c r="M19" s="50">
        <v>90</v>
      </c>
      <c r="N19" s="50">
        <v>0</v>
      </c>
      <c r="O19" s="15">
        <f t="shared" si="0"/>
        <v>85</v>
      </c>
      <c r="P19" s="15">
        <f t="shared" si="1"/>
        <v>175</v>
      </c>
      <c r="R19" s="1" t="s">
        <v>15</v>
      </c>
      <c r="S19" s="17">
        <f t="shared" ref="S19:AF19" si="11">SUM(C46:C49)</f>
        <v>244</v>
      </c>
      <c r="T19" s="17">
        <f t="shared" si="11"/>
        <v>9</v>
      </c>
      <c r="U19" s="17">
        <f t="shared" si="11"/>
        <v>19</v>
      </c>
      <c r="V19" s="17">
        <f t="shared" si="11"/>
        <v>21</v>
      </c>
      <c r="W19" s="17">
        <f t="shared" si="11"/>
        <v>2</v>
      </c>
      <c r="X19" s="17">
        <f t="shared" si="11"/>
        <v>0</v>
      </c>
      <c r="Y19" s="17">
        <f t="shared" si="11"/>
        <v>5</v>
      </c>
      <c r="Z19" s="17">
        <f t="shared" si="11"/>
        <v>2</v>
      </c>
      <c r="AA19" s="17">
        <f t="shared" si="11"/>
        <v>2</v>
      </c>
      <c r="AB19" s="17">
        <f t="shared" si="11"/>
        <v>0</v>
      </c>
      <c r="AC19" s="17">
        <f t="shared" si="11"/>
        <v>372</v>
      </c>
      <c r="AD19" s="17">
        <f t="shared" si="11"/>
        <v>0</v>
      </c>
      <c r="AE19" s="31">
        <f t="shared" si="11"/>
        <v>304</v>
      </c>
      <c r="AF19" s="31">
        <f t="shared" si="11"/>
        <v>676</v>
      </c>
    </row>
    <row r="20" spans="2:32" ht="23.1" customHeight="1" x14ac:dyDescent="0.25">
      <c r="B20" s="23" t="s">
        <v>47</v>
      </c>
      <c r="C20" s="50">
        <v>60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60</v>
      </c>
      <c r="N20" s="50">
        <v>0</v>
      </c>
      <c r="O20" s="15">
        <f t="shared" si="0"/>
        <v>61</v>
      </c>
      <c r="P20" s="15">
        <f t="shared" si="1"/>
        <v>121</v>
      </c>
      <c r="R20" s="1" t="s">
        <v>16</v>
      </c>
      <c r="S20" s="17">
        <f t="shared" ref="S20:AF20" si="12">SUM(C50:C53)</f>
        <v>366</v>
      </c>
      <c r="T20" s="17">
        <f t="shared" si="12"/>
        <v>8</v>
      </c>
      <c r="U20" s="17">
        <f t="shared" si="12"/>
        <v>18</v>
      </c>
      <c r="V20" s="17">
        <f t="shared" si="12"/>
        <v>119</v>
      </c>
      <c r="W20" s="17">
        <f t="shared" si="12"/>
        <v>0</v>
      </c>
      <c r="X20" s="17">
        <f t="shared" si="12"/>
        <v>0</v>
      </c>
      <c r="Y20" s="17">
        <f t="shared" si="12"/>
        <v>28</v>
      </c>
      <c r="Z20" s="17">
        <f t="shared" si="12"/>
        <v>3</v>
      </c>
      <c r="AA20" s="17">
        <f t="shared" si="12"/>
        <v>0</v>
      </c>
      <c r="AB20" s="17">
        <f t="shared" si="12"/>
        <v>5</v>
      </c>
      <c r="AC20" s="17">
        <f t="shared" si="12"/>
        <v>417</v>
      </c>
      <c r="AD20" s="17">
        <f t="shared" si="12"/>
        <v>0</v>
      </c>
      <c r="AE20" s="31">
        <f t="shared" si="12"/>
        <v>547</v>
      </c>
      <c r="AF20" s="31">
        <f t="shared" si="12"/>
        <v>964</v>
      </c>
    </row>
    <row r="21" spans="2:32" ht="23.1" customHeight="1" x14ac:dyDescent="0.25">
      <c r="B21" s="23" t="s">
        <v>48</v>
      </c>
      <c r="C21" s="50">
        <v>72</v>
      </c>
      <c r="D21" s="50">
        <v>0</v>
      </c>
      <c r="E21" s="50">
        <v>0</v>
      </c>
      <c r="F21" s="50">
        <v>10</v>
      </c>
      <c r="G21" s="50">
        <v>0</v>
      </c>
      <c r="H21" s="50">
        <v>0</v>
      </c>
      <c r="I21" s="50">
        <v>2</v>
      </c>
      <c r="J21" s="50">
        <v>3</v>
      </c>
      <c r="K21" s="50">
        <v>1</v>
      </c>
      <c r="L21" s="50">
        <v>0</v>
      </c>
      <c r="M21" s="50">
        <v>45</v>
      </c>
      <c r="N21" s="50">
        <v>0</v>
      </c>
      <c r="O21" s="15">
        <f t="shared" si="0"/>
        <v>88</v>
      </c>
      <c r="P21" s="15">
        <f t="shared" si="1"/>
        <v>133</v>
      </c>
      <c r="R21" s="36" t="s">
        <v>20</v>
      </c>
      <c r="S21" s="34">
        <f t="shared" ref="S21:AF21" si="13">SUM(C54:C57)</f>
        <v>344</v>
      </c>
      <c r="T21" s="17">
        <f t="shared" si="13"/>
        <v>23</v>
      </c>
      <c r="U21" s="17">
        <f t="shared" si="13"/>
        <v>14</v>
      </c>
      <c r="V21" s="17">
        <f t="shared" si="13"/>
        <v>119</v>
      </c>
      <c r="W21" s="17">
        <f t="shared" si="13"/>
        <v>1</v>
      </c>
      <c r="X21" s="17">
        <f t="shared" si="13"/>
        <v>0</v>
      </c>
      <c r="Y21" s="17">
        <f t="shared" si="13"/>
        <v>24</v>
      </c>
      <c r="Z21" s="17">
        <f t="shared" si="13"/>
        <v>4</v>
      </c>
      <c r="AA21" s="17">
        <f t="shared" si="13"/>
        <v>3</v>
      </c>
      <c r="AB21" s="17">
        <f t="shared" si="13"/>
        <v>1</v>
      </c>
      <c r="AC21" s="17">
        <f t="shared" si="13"/>
        <v>475</v>
      </c>
      <c r="AD21" s="17">
        <f t="shared" si="13"/>
        <v>0</v>
      </c>
      <c r="AE21" s="31">
        <f t="shared" si="13"/>
        <v>533</v>
      </c>
      <c r="AF21" s="31">
        <f t="shared" si="13"/>
        <v>1008</v>
      </c>
    </row>
    <row r="22" spans="2:32" ht="23.1" customHeight="1" x14ac:dyDescent="0.25">
      <c r="B22" s="23" t="s">
        <v>49</v>
      </c>
      <c r="C22" s="50">
        <v>26</v>
      </c>
      <c r="D22" s="50">
        <v>0</v>
      </c>
      <c r="E22" s="50">
        <v>0</v>
      </c>
      <c r="F22" s="50">
        <v>7</v>
      </c>
      <c r="G22" s="50">
        <v>0</v>
      </c>
      <c r="H22" s="50">
        <v>0</v>
      </c>
      <c r="I22" s="50">
        <v>1</v>
      </c>
      <c r="J22" s="50">
        <v>0</v>
      </c>
      <c r="K22" s="50">
        <v>1</v>
      </c>
      <c r="L22" s="50">
        <v>0</v>
      </c>
      <c r="M22" s="50">
        <v>70</v>
      </c>
      <c r="N22" s="50">
        <v>0</v>
      </c>
      <c r="O22" s="15">
        <f t="shared" si="0"/>
        <v>35</v>
      </c>
      <c r="P22" s="15">
        <f t="shared" si="1"/>
        <v>105</v>
      </c>
      <c r="R22" s="38" t="s">
        <v>90</v>
      </c>
      <c r="S22" s="39">
        <f>MAX(S10:S12)</f>
        <v>220</v>
      </c>
      <c r="T22" s="39">
        <f t="shared" ref="T22:AF22" si="14">MAX(T10:T12)</f>
        <v>8</v>
      </c>
      <c r="U22" s="39">
        <f t="shared" si="14"/>
        <v>17</v>
      </c>
      <c r="V22" s="39">
        <f t="shared" si="14"/>
        <v>99</v>
      </c>
      <c r="W22" s="39">
        <f t="shared" si="14"/>
        <v>1</v>
      </c>
      <c r="X22" s="39">
        <f t="shared" si="14"/>
        <v>0</v>
      </c>
      <c r="Y22" s="39">
        <f t="shared" si="14"/>
        <v>8</v>
      </c>
      <c r="Z22" s="39">
        <f t="shared" si="14"/>
        <v>4</v>
      </c>
      <c r="AA22" s="39">
        <f t="shared" si="14"/>
        <v>1</v>
      </c>
      <c r="AB22" s="39">
        <f t="shared" si="14"/>
        <v>1</v>
      </c>
      <c r="AC22" s="39">
        <f t="shared" si="14"/>
        <v>522</v>
      </c>
      <c r="AD22" s="39">
        <f t="shared" si="14"/>
        <v>0</v>
      </c>
      <c r="AE22" s="40">
        <f t="shared" si="14"/>
        <v>327</v>
      </c>
      <c r="AF22" s="40">
        <f t="shared" si="14"/>
        <v>849</v>
      </c>
    </row>
    <row r="23" spans="2:32" ht="23.1" customHeight="1" x14ac:dyDescent="0.25">
      <c r="B23" s="23" t="s">
        <v>50</v>
      </c>
      <c r="C23" s="50">
        <v>40</v>
      </c>
      <c r="D23" s="50">
        <v>0</v>
      </c>
      <c r="E23" s="50">
        <v>4</v>
      </c>
      <c r="F23" s="50">
        <v>11</v>
      </c>
      <c r="G23" s="50">
        <v>1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100</v>
      </c>
      <c r="N23" s="50">
        <v>0</v>
      </c>
      <c r="O23" s="15">
        <f t="shared" si="0"/>
        <v>59</v>
      </c>
      <c r="P23" s="15">
        <f t="shared" si="1"/>
        <v>159</v>
      </c>
      <c r="R23" s="38" t="s">
        <v>91</v>
      </c>
      <c r="S23" s="39">
        <f>MAX(S13:S18)</f>
        <v>283</v>
      </c>
      <c r="T23" s="39">
        <f t="shared" ref="T23:AF23" si="15">MAX(T13:T18)</f>
        <v>15</v>
      </c>
      <c r="U23" s="39">
        <f t="shared" si="15"/>
        <v>11</v>
      </c>
      <c r="V23" s="39">
        <f t="shared" si="15"/>
        <v>46</v>
      </c>
      <c r="W23" s="39">
        <f t="shared" si="15"/>
        <v>2</v>
      </c>
      <c r="X23" s="39">
        <f t="shared" si="15"/>
        <v>1</v>
      </c>
      <c r="Y23" s="39">
        <f t="shared" si="15"/>
        <v>9</v>
      </c>
      <c r="Z23" s="39">
        <f t="shared" si="15"/>
        <v>8</v>
      </c>
      <c r="AA23" s="39">
        <f t="shared" si="15"/>
        <v>4</v>
      </c>
      <c r="AB23" s="39">
        <f t="shared" si="15"/>
        <v>3</v>
      </c>
      <c r="AC23" s="39">
        <f t="shared" si="15"/>
        <v>415</v>
      </c>
      <c r="AD23" s="39">
        <f t="shared" si="15"/>
        <v>0</v>
      </c>
      <c r="AE23" s="40">
        <f t="shared" si="15"/>
        <v>330</v>
      </c>
      <c r="AF23" s="40">
        <f t="shared" si="15"/>
        <v>745</v>
      </c>
    </row>
    <row r="24" spans="2:32" ht="23.1" customHeight="1" x14ac:dyDescent="0.25">
      <c r="B24" s="23" t="s">
        <v>51</v>
      </c>
      <c r="C24" s="50">
        <v>32</v>
      </c>
      <c r="D24" s="50">
        <v>1</v>
      </c>
      <c r="E24" s="50">
        <v>2</v>
      </c>
      <c r="F24" s="50">
        <v>3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3</v>
      </c>
      <c r="M24" s="50">
        <v>70</v>
      </c>
      <c r="N24" s="50">
        <v>0</v>
      </c>
      <c r="O24" s="15">
        <f t="shared" si="0"/>
        <v>43</v>
      </c>
      <c r="P24" s="15">
        <f t="shared" si="1"/>
        <v>113</v>
      </c>
      <c r="R24" s="38" t="s">
        <v>92</v>
      </c>
      <c r="S24" s="39">
        <f>MAX(S19:S21)</f>
        <v>366</v>
      </c>
      <c r="T24" s="39">
        <f t="shared" ref="T24:AF24" si="16">MAX(T19:T21)</f>
        <v>23</v>
      </c>
      <c r="U24" s="39">
        <f t="shared" si="16"/>
        <v>19</v>
      </c>
      <c r="V24" s="39">
        <f t="shared" si="16"/>
        <v>119</v>
      </c>
      <c r="W24" s="39">
        <f t="shared" si="16"/>
        <v>2</v>
      </c>
      <c r="X24" s="39">
        <f t="shared" si="16"/>
        <v>0</v>
      </c>
      <c r="Y24" s="39">
        <f t="shared" si="16"/>
        <v>28</v>
      </c>
      <c r="Z24" s="39">
        <f t="shared" si="16"/>
        <v>4</v>
      </c>
      <c r="AA24" s="39">
        <f t="shared" si="16"/>
        <v>3</v>
      </c>
      <c r="AB24" s="39">
        <f t="shared" si="16"/>
        <v>5</v>
      </c>
      <c r="AC24" s="39">
        <f t="shared" si="16"/>
        <v>475</v>
      </c>
      <c r="AD24" s="39">
        <f t="shared" si="16"/>
        <v>0</v>
      </c>
      <c r="AE24" s="40">
        <f t="shared" si="16"/>
        <v>547</v>
      </c>
      <c r="AF24" s="40">
        <f t="shared" si="16"/>
        <v>1008</v>
      </c>
    </row>
    <row r="25" spans="2:32" ht="23.1" customHeight="1" x14ac:dyDescent="0.25">
      <c r="B25" s="23" t="s">
        <v>52</v>
      </c>
      <c r="C25" s="50">
        <v>70</v>
      </c>
      <c r="D25" s="50">
        <v>0</v>
      </c>
      <c r="E25" s="50">
        <v>4</v>
      </c>
      <c r="F25" s="50">
        <v>25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82</v>
      </c>
      <c r="N25" s="50">
        <v>0</v>
      </c>
      <c r="O25" s="15">
        <f t="shared" si="0"/>
        <v>102</v>
      </c>
      <c r="P25" s="15">
        <f t="shared" si="1"/>
        <v>184</v>
      </c>
      <c r="R25" s="37" t="s">
        <v>85</v>
      </c>
      <c r="S25" s="35">
        <f t="shared" ref="S25:AF25" si="17">SUM(S10:S12)</f>
        <v>558</v>
      </c>
      <c r="T25" s="16">
        <f t="shared" si="17"/>
        <v>14</v>
      </c>
      <c r="U25" s="16">
        <f t="shared" si="17"/>
        <v>32</v>
      </c>
      <c r="V25" s="16">
        <f t="shared" si="17"/>
        <v>192</v>
      </c>
      <c r="W25" s="16">
        <f t="shared" si="17"/>
        <v>1</v>
      </c>
      <c r="X25" s="16">
        <f t="shared" si="17"/>
        <v>0</v>
      </c>
      <c r="Y25" s="16">
        <f t="shared" si="17"/>
        <v>20</v>
      </c>
      <c r="Z25" s="16">
        <f t="shared" si="17"/>
        <v>5</v>
      </c>
      <c r="AA25" s="16">
        <f t="shared" si="17"/>
        <v>2</v>
      </c>
      <c r="AB25" s="16">
        <f t="shared" si="17"/>
        <v>2</v>
      </c>
      <c r="AC25" s="16">
        <f t="shared" si="17"/>
        <v>1275</v>
      </c>
      <c r="AD25" s="16">
        <f t="shared" si="17"/>
        <v>0</v>
      </c>
      <c r="AE25" s="32">
        <f t="shared" si="17"/>
        <v>826</v>
      </c>
      <c r="AF25" s="32">
        <f t="shared" si="17"/>
        <v>2101</v>
      </c>
    </row>
    <row r="26" spans="2:32" ht="23.1" customHeight="1" x14ac:dyDescent="0.25">
      <c r="B26" s="23" t="s">
        <v>53</v>
      </c>
      <c r="C26" s="50">
        <v>60</v>
      </c>
      <c r="D26" s="50">
        <v>3</v>
      </c>
      <c r="E26" s="50">
        <v>1</v>
      </c>
      <c r="F26" s="50">
        <v>26</v>
      </c>
      <c r="G26" s="50">
        <v>0</v>
      </c>
      <c r="H26" s="50">
        <v>0</v>
      </c>
      <c r="I26" s="50">
        <v>2</v>
      </c>
      <c r="J26" s="50">
        <v>1</v>
      </c>
      <c r="K26" s="50">
        <v>0</v>
      </c>
      <c r="L26" s="50">
        <v>1</v>
      </c>
      <c r="M26" s="50">
        <v>90</v>
      </c>
      <c r="N26" s="50">
        <v>0</v>
      </c>
      <c r="O26" s="15">
        <f t="shared" si="0"/>
        <v>94</v>
      </c>
      <c r="P26" s="15">
        <f t="shared" si="1"/>
        <v>184</v>
      </c>
      <c r="R26" s="28" t="s">
        <v>86</v>
      </c>
      <c r="S26" s="16">
        <f t="shared" ref="S26:AF26" si="18">SUM(S13:S18)</f>
        <v>1136</v>
      </c>
      <c r="T26" s="16">
        <f t="shared" si="18"/>
        <v>29</v>
      </c>
      <c r="U26" s="16">
        <f t="shared" si="18"/>
        <v>51</v>
      </c>
      <c r="V26" s="16">
        <f t="shared" si="18"/>
        <v>163</v>
      </c>
      <c r="W26" s="16">
        <f t="shared" si="18"/>
        <v>6</v>
      </c>
      <c r="X26" s="16">
        <f t="shared" si="18"/>
        <v>1</v>
      </c>
      <c r="Y26" s="16">
        <f t="shared" si="18"/>
        <v>40</v>
      </c>
      <c r="Z26" s="16">
        <f t="shared" si="18"/>
        <v>30</v>
      </c>
      <c r="AA26" s="16">
        <f t="shared" si="18"/>
        <v>12</v>
      </c>
      <c r="AB26" s="16">
        <f t="shared" si="18"/>
        <v>7</v>
      </c>
      <c r="AC26" s="16">
        <f t="shared" si="18"/>
        <v>2066</v>
      </c>
      <c r="AD26" s="16">
        <f t="shared" si="18"/>
        <v>0</v>
      </c>
      <c r="AE26" s="32">
        <f t="shared" si="18"/>
        <v>1475</v>
      </c>
      <c r="AF26" s="32">
        <f t="shared" si="18"/>
        <v>3541</v>
      </c>
    </row>
    <row r="27" spans="2:32" ht="23.1" customHeight="1" x14ac:dyDescent="0.25">
      <c r="B27" s="23" t="s">
        <v>54</v>
      </c>
      <c r="C27" s="50">
        <v>30</v>
      </c>
      <c r="D27" s="50">
        <v>0</v>
      </c>
      <c r="E27" s="50">
        <v>2</v>
      </c>
      <c r="F27" s="50">
        <v>7</v>
      </c>
      <c r="G27" s="50">
        <v>0</v>
      </c>
      <c r="H27" s="50">
        <v>0</v>
      </c>
      <c r="I27" s="50">
        <v>2</v>
      </c>
      <c r="J27" s="50">
        <v>1</v>
      </c>
      <c r="K27" s="50">
        <v>0</v>
      </c>
      <c r="L27" s="50">
        <v>0</v>
      </c>
      <c r="M27" s="50">
        <v>60</v>
      </c>
      <c r="N27" s="50">
        <v>0</v>
      </c>
      <c r="O27" s="15">
        <f t="shared" si="0"/>
        <v>42</v>
      </c>
      <c r="P27" s="15">
        <f t="shared" si="1"/>
        <v>102</v>
      </c>
      <c r="R27" s="29" t="s">
        <v>87</v>
      </c>
      <c r="S27" s="16">
        <f t="shared" ref="S27:AF27" si="19">SUM(S19:S21)</f>
        <v>954</v>
      </c>
      <c r="T27" s="16">
        <f t="shared" si="19"/>
        <v>40</v>
      </c>
      <c r="U27" s="16">
        <f t="shared" si="19"/>
        <v>51</v>
      </c>
      <c r="V27" s="16">
        <f t="shared" si="19"/>
        <v>259</v>
      </c>
      <c r="W27" s="16">
        <f t="shared" si="19"/>
        <v>3</v>
      </c>
      <c r="X27" s="16">
        <f t="shared" si="19"/>
        <v>0</v>
      </c>
      <c r="Y27" s="16">
        <f t="shared" si="19"/>
        <v>57</v>
      </c>
      <c r="Z27" s="16">
        <f t="shared" si="19"/>
        <v>9</v>
      </c>
      <c r="AA27" s="16">
        <f t="shared" si="19"/>
        <v>5</v>
      </c>
      <c r="AB27" s="16">
        <f t="shared" si="19"/>
        <v>6</v>
      </c>
      <c r="AC27" s="16">
        <f t="shared" si="19"/>
        <v>1264</v>
      </c>
      <c r="AD27" s="16">
        <f t="shared" si="19"/>
        <v>0</v>
      </c>
      <c r="AE27" s="32">
        <f t="shared" si="19"/>
        <v>1384</v>
      </c>
      <c r="AF27" s="32">
        <f t="shared" si="19"/>
        <v>2648</v>
      </c>
    </row>
    <row r="28" spans="2:32" ht="23.1" customHeight="1" x14ac:dyDescent="0.25">
      <c r="B28" s="23" t="s">
        <v>55</v>
      </c>
      <c r="C28" s="50">
        <v>73</v>
      </c>
      <c r="D28" s="50">
        <v>1</v>
      </c>
      <c r="E28" s="50">
        <v>1</v>
      </c>
      <c r="F28" s="50">
        <v>6</v>
      </c>
      <c r="G28" s="50">
        <v>1</v>
      </c>
      <c r="H28" s="50">
        <v>0</v>
      </c>
      <c r="I28" s="50">
        <v>3</v>
      </c>
      <c r="J28" s="50">
        <v>2</v>
      </c>
      <c r="K28" s="50">
        <v>2</v>
      </c>
      <c r="L28" s="50">
        <v>0</v>
      </c>
      <c r="M28" s="50">
        <v>80</v>
      </c>
      <c r="N28" s="50">
        <v>0</v>
      </c>
      <c r="O28" s="15">
        <f t="shared" si="0"/>
        <v>89</v>
      </c>
      <c r="P28" s="15">
        <f t="shared" si="1"/>
        <v>169</v>
      </c>
      <c r="R28" s="5" t="s">
        <v>17</v>
      </c>
      <c r="S28" s="16">
        <f t="shared" ref="S28:AF28" si="20">SUM(S10:S21)</f>
        <v>2648</v>
      </c>
      <c r="T28" s="16">
        <f t="shared" si="20"/>
        <v>83</v>
      </c>
      <c r="U28" s="16">
        <f t="shared" si="20"/>
        <v>134</v>
      </c>
      <c r="V28" s="16">
        <f t="shared" si="20"/>
        <v>614</v>
      </c>
      <c r="W28" s="16">
        <f t="shared" si="20"/>
        <v>10</v>
      </c>
      <c r="X28" s="16">
        <f t="shared" si="20"/>
        <v>1</v>
      </c>
      <c r="Y28" s="16">
        <f t="shared" si="20"/>
        <v>117</v>
      </c>
      <c r="Z28" s="16">
        <f t="shared" si="20"/>
        <v>44</v>
      </c>
      <c r="AA28" s="16">
        <f t="shared" si="20"/>
        <v>19</v>
      </c>
      <c r="AB28" s="16">
        <f t="shared" si="20"/>
        <v>15</v>
      </c>
      <c r="AC28" s="16">
        <f t="shared" si="20"/>
        <v>4605</v>
      </c>
      <c r="AD28" s="16">
        <f t="shared" si="20"/>
        <v>0</v>
      </c>
      <c r="AE28" s="32">
        <f t="shared" si="20"/>
        <v>3685</v>
      </c>
      <c r="AF28" s="32">
        <f t="shared" si="20"/>
        <v>8290</v>
      </c>
    </row>
    <row r="29" spans="2:32" ht="23.1" customHeight="1" x14ac:dyDescent="0.25">
      <c r="B29" s="23" t="s">
        <v>56</v>
      </c>
      <c r="C29" s="50">
        <v>40</v>
      </c>
      <c r="D29" s="50">
        <v>11</v>
      </c>
      <c r="E29" s="50">
        <v>3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95</v>
      </c>
      <c r="N29" s="50">
        <v>0</v>
      </c>
      <c r="O29" s="15">
        <f t="shared" si="0"/>
        <v>55</v>
      </c>
      <c r="P29" s="15">
        <f t="shared" si="1"/>
        <v>150</v>
      </c>
      <c r="R29"/>
      <c r="S29" s="20"/>
      <c r="T29" s="19"/>
    </row>
    <row r="30" spans="2:32" ht="23.1" customHeight="1" x14ac:dyDescent="0.25">
      <c r="B30" s="23" t="s">
        <v>57</v>
      </c>
      <c r="C30" s="50">
        <v>66</v>
      </c>
      <c r="D30" s="50">
        <v>0</v>
      </c>
      <c r="E30" s="50">
        <v>3</v>
      </c>
      <c r="F30" s="50">
        <v>4</v>
      </c>
      <c r="G30" s="50">
        <v>0</v>
      </c>
      <c r="H30" s="50">
        <v>0</v>
      </c>
      <c r="I30" s="50">
        <v>3</v>
      </c>
      <c r="J30" s="50">
        <v>2</v>
      </c>
      <c r="K30" s="50">
        <v>0</v>
      </c>
      <c r="L30" s="50">
        <v>0</v>
      </c>
      <c r="M30" s="50">
        <v>100</v>
      </c>
      <c r="N30" s="50">
        <v>0</v>
      </c>
      <c r="O30" s="15">
        <f t="shared" si="0"/>
        <v>78</v>
      </c>
      <c r="P30" s="15">
        <f t="shared" si="1"/>
        <v>178</v>
      </c>
    </row>
    <row r="31" spans="2:32" ht="23.1" customHeight="1" x14ac:dyDescent="0.25">
      <c r="B31" s="24" t="s">
        <v>58</v>
      </c>
      <c r="C31" s="50">
        <v>48</v>
      </c>
      <c r="D31" s="50">
        <v>2</v>
      </c>
      <c r="E31" s="50">
        <v>4</v>
      </c>
      <c r="F31" s="50">
        <v>3</v>
      </c>
      <c r="G31" s="50">
        <v>0</v>
      </c>
      <c r="H31" s="50">
        <v>0</v>
      </c>
      <c r="I31" s="50">
        <v>3</v>
      </c>
      <c r="J31" s="50">
        <v>1</v>
      </c>
      <c r="K31" s="50">
        <v>0</v>
      </c>
      <c r="L31" s="50">
        <v>1</v>
      </c>
      <c r="M31" s="50">
        <v>120</v>
      </c>
      <c r="N31" s="50">
        <v>0</v>
      </c>
      <c r="O31" s="15">
        <f t="shared" si="0"/>
        <v>62</v>
      </c>
      <c r="P31" s="15">
        <f t="shared" si="1"/>
        <v>182</v>
      </c>
    </row>
    <row r="32" spans="2:32" ht="23.1" customHeight="1" x14ac:dyDescent="0.25">
      <c r="B32" s="24" t="s">
        <v>59</v>
      </c>
      <c r="C32" s="50">
        <v>56</v>
      </c>
      <c r="D32" s="50">
        <v>1</v>
      </c>
      <c r="E32" s="50">
        <v>0</v>
      </c>
      <c r="F32" s="50">
        <v>4</v>
      </c>
      <c r="G32" s="50">
        <v>1</v>
      </c>
      <c r="H32" s="50">
        <v>0</v>
      </c>
      <c r="I32" s="50">
        <v>0</v>
      </c>
      <c r="J32" s="50">
        <v>1</v>
      </c>
      <c r="K32" s="50">
        <v>0</v>
      </c>
      <c r="L32" s="50">
        <v>0</v>
      </c>
      <c r="M32" s="50">
        <v>80</v>
      </c>
      <c r="N32" s="50">
        <v>0</v>
      </c>
      <c r="O32" s="15">
        <f t="shared" si="0"/>
        <v>63</v>
      </c>
      <c r="P32" s="15">
        <f t="shared" si="1"/>
        <v>143</v>
      </c>
    </row>
    <row r="33" spans="2:20" ht="23.1" customHeight="1" x14ac:dyDescent="0.25">
      <c r="B33" s="23" t="s">
        <v>60</v>
      </c>
      <c r="C33" s="50">
        <v>42</v>
      </c>
      <c r="D33" s="50">
        <v>2</v>
      </c>
      <c r="E33" s="50">
        <v>2</v>
      </c>
      <c r="F33" s="50">
        <v>7</v>
      </c>
      <c r="G33" s="50">
        <v>0</v>
      </c>
      <c r="H33" s="50">
        <v>0</v>
      </c>
      <c r="I33" s="50">
        <v>2</v>
      </c>
      <c r="J33" s="50">
        <v>3</v>
      </c>
      <c r="K33" s="50">
        <v>1</v>
      </c>
      <c r="L33" s="50">
        <v>0</v>
      </c>
      <c r="M33" s="50">
        <v>96</v>
      </c>
      <c r="N33" s="50">
        <v>0</v>
      </c>
      <c r="O33" s="15">
        <f t="shared" si="0"/>
        <v>59</v>
      </c>
      <c r="P33" s="15">
        <f t="shared" si="1"/>
        <v>155</v>
      </c>
    </row>
    <row r="34" spans="2:20" ht="23.1" customHeight="1" x14ac:dyDescent="0.25">
      <c r="B34" s="24" t="s">
        <v>61</v>
      </c>
      <c r="C34" s="50">
        <v>33</v>
      </c>
      <c r="D34" s="50">
        <v>0</v>
      </c>
      <c r="E34" s="50">
        <v>2</v>
      </c>
      <c r="F34" s="50">
        <v>5</v>
      </c>
      <c r="G34" s="50">
        <v>0</v>
      </c>
      <c r="H34" s="50">
        <v>0</v>
      </c>
      <c r="I34" s="50">
        <v>2</v>
      </c>
      <c r="J34" s="50">
        <v>2</v>
      </c>
      <c r="K34" s="50">
        <v>1</v>
      </c>
      <c r="L34" s="50">
        <v>0</v>
      </c>
      <c r="M34" s="50">
        <v>80</v>
      </c>
      <c r="N34" s="50">
        <v>0</v>
      </c>
      <c r="O34" s="15">
        <f t="shared" si="0"/>
        <v>45</v>
      </c>
      <c r="P34" s="15">
        <f t="shared" si="1"/>
        <v>125</v>
      </c>
    </row>
    <row r="35" spans="2:20" ht="23.1" customHeight="1" x14ac:dyDescent="0.25">
      <c r="B35" s="24" t="s">
        <v>62</v>
      </c>
      <c r="C35" s="50">
        <v>55</v>
      </c>
      <c r="D35" s="50">
        <v>1</v>
      </c>
      <c r="E35" s="50">
        <v>3</v>
      </c>
      <c r="F35" s="50">
        <v>7</v>
      </c>
      <c r="G35" s="50">
        <v>0</v>
      </c>
      <c r="H35" s="50">
        <v>0</v>
      </c>
      <c r="I35" s="50">
        <v>0</v>
      </c>
      <c r="J35" s="50">
        <v>4</v>
      </c>
      <c r="K35" s="50">
        <v>0</v>
      </c>
      <c r="L35" s="50">
        <v>0</v>
      </c>
      <c r="M35" s="50">
        <v>94</v>
      </c>
      <c r="N35" s="50">
        <v>0</v>
      </c>
      <c r="O35" s="15">
        <f t="shared" si="0"/>
        <v>70</v>
      </c>
      <c r="P35" s="15">
        <f t="shared" si="1"/>
        <v>164</v>
      </c>
    </row>
    <row r="36" spans="2:20" ht="23.1" customHeight="1" x14ac:dyDescent="0.25">
      <c r="B36" s="24" t="s">
        <v>63</v>
      </c>
      <c r="C36" s="50">
        <v>40</v>
      </c>
      <c r="D36" s="50">
        <v>0</v>
      </c>
      <c r="E36" s="50">
        <v>4</v>
      </c>
      <c r="F36" s="50">
        <v>3</v>
      </c>
      <c r="G36" s="50">
        <v>0</v>
      </c>
      <c r="H36" s="50">
        <v>0</v>
      </c>
      <c r="I36" s="50">
        <v>0</v>
      </c>
      <c r="J36" s="50">
        <v>1</v>
      </c>
      <c r="K36" s="50">
        <v>0</v>
      </c>
      <c r="L36" s="50">
        <v>0</v>
      </c>
      <c r="M36" s="50">
        <v>110</v>
      </c>
      <c r="N36" s="50">
        <v>0</v>
      </c>
      <c r="O36" s="15">
        <f t="shared" si="0"/>
        <v>48</v>
      </c>
      <c r="P36" s="15">
        <f t="shared" si="1"/>
        <v>158</v>
      </c>
    </row>
    <row r="37" spans="2:20" ht="23.1" customHeight="1" x14ac:dyDescent="0.25">
      <c r="B37" s="23" t="s">
        <v>64</v>
      </c>
      <c r="C37" s="50">
        <v>20</v>
      </c>
      <c r="D37" s="50">
        <v>0</v>
      </c>
      <c r="E37" s="50">
        <v>1</v>
      </c>
      <c r="F37" s="50">
        <v>8</v>
      </c>
      <c r="G37" s="50">
        <v>1</v>
      </c>
      <c r="H37" s="50">
        <v>0</v>
      </c>
      <c r="I37" s="50">
        <v>5</v>
      </c>
      <c r="J37" s="50">
        <v>1</v>
      </c>
      <c r="K37" s="50">
        <v>1</v>
      </c>
      <c r="L37" s="50">
        <v>0</v>
      </c>
      <c r="M37" s="50">
        <v>105</v>
      </c>
      <c r="N37" s="50">
        <v>0</v>
      </c>
      <c r="O37" s="15">
        <f t="shared" si="0"/>
        <v>37</v>
      </c>
      <c r="P37" s="15">
        <f t="shared" si="1"/>
        <v>142</v>
      </c>
    </row>
    <row r="38" spans="2:20" ht="23.1" customHeight="1" x14ac:dyDescent="0.25">
      <c r="B38" s="24" t="s">
        <v>65</v>
      </c>
      <c r="C38" s="50">
        <v>38</v>
      </c>
      <c r="D38" s="50">
        <v>1</v>
      </c>
      <c r="E38" s="50">
        <v>2</v>
      </c>
      <c r="F38" s="50">
        <v>8</v>
      </c>
      <c r="G38" s="50">
        <v>0</v>
      </c>
      <c r="H38" s="50">
        <v>0</v>
      </c>
      <c r="I38" s="50">
        <v>0</v>
      </c>
      <c r="J38" s="50">
        <v>2</v>
      </c>
      <c r="K38" s="50">
        <v>0</v>
      </c>
      <c r="L38" s="50">
        <v>1</v>
      </c>
      <c r="M38" s="50">
        <v>40</v>
      </c>
      <c r="N38" s="50">
        <v>0</v>
      </c>
      <c r="O38" s="15">
        <f t="shared" si="0"/>
        <v>52</v>
      </c>
      <c r="P38" s="15">
        <f t="shared" si="1"/>
        <v>92</v>
      </c>
    </row>
    <row r="39" spans="2:20" ht="23.1" customHeight="1" x14ac:dyDescent="0.25">
      <c r="B39" s="24" t="s">
        <v>66</v>
      </c>
      <c r="C39" s="50">
        <v>25</v>
      </c>
      <c r="D39" s="50">
        <v>0</v>
      </c>
      <c r="E39" s="50">
        <v>1</v>
      </c>
      <c r="F39" s="50">
        <v>0</v>
      </c>
      <c r="G39" s="50">
        <v>0</v>
      </c>
      <c r="H39" s="50">
        <v>0</v>
      </c>
      <c r="I39" s="50">
        <v>2</v>
      </c>
      <c r="J39" s="50">
        <v>1</v>
      </c>
      <c r="K39" s="50">
        <v>0</v>
      </c>
      <c r="L39" s="50">
        <v>0</v>
      </c>
      <c r="M39" s="50">
        <v>53</v>
      </c>
      <c r="N39" s="50">
        <v>0</v>
      </c>
      <c r="O39" s="15">
        <f t="shared" si="0"/>
        <v>29</v>
      </c>
      <c r="P39" s="15">
        <f t="shared" si="1"/>
        <v>82</v>
      </c>
    </row>
    <row r="40" spans="2:20" ht="23.1" customHeight="1" x14ac:dyDescent="0.25">
      <c r="B40" s="24" t="s">
        <v>67</v>
      </c>
      <c r="C40" s="50">
        <v>34</v>
      </c>
      <c r="D40" s="50">
        <v>2</v>
      </c>
      <c r="E40" s="50">
        <v>1</v>
      </c>
      <c r="F40" s="50">
        <v>3</v>
      </c>
      <c r="G40" s="50">
        <v>0</v>
      </c>
      <c r="H40" s="50">
        <v>0</v>
      </c>
      <c r="I40" s="50">
        <v>2</v>
      </c>
      <c r="J40" s="50">
        <v>0</v>
      </c>
      <c r="K40" s="50">
        <v>3</v>
      </c>
      <c r="L40" s="50">
        <v>0</v>
      </c>
      <c r="M40" s="50">
        <v>51</v>
      </c>
      <c r="N40" s="50">
        <v>0</v>
      </c>
      <c r="O40" s="15">
        <f t="shared" si="0"/>
        <v>45</v>
      </c>
      <c r="P40" s="15">
        <f t="shared" si="1"/>
        <v>96</v>
      </c>
    </row>
    <row r="41" spans="2:20" ht="23.1" customHeight="1" x14ac:dyDescent="0.25">
      <c r="B41" s="23" t="s">
        <v>68</v>
      </c>
      <c r="C41" s="50">
        <v>25</v>
      </c>
      <c r="D41" s="50">
        <v>1</v>
      </c>
      <c r="E41" s="50">
        <v>0</v>
      </c>
      <c r="F41" s="50">
        <v>10</v>
      </c>
      <c r="G41" s="50">
        <v>0</v>
      </c>
      <c r="H41" s="50">
        <v>0</v>
      </c>
      <c r="I41" s="50">
        <v>0</v>
      </c>
      <c r="J41" s="50">
        <v>0</v>
      </c>
      <c r="K41" s="50">
        <v>1</v>
      </c>
      <c r="L41" s="50">
        <v>1</v>
      </c>
      <c r="M41" s="50">
        <v>75</v>
      </c>
      <c r="N41" s="50">
        <v>0</v>
      </c>
      <c r="O41" s="15">
        <f t="shared" si="0"/>
        <v>38</v>
      </c>
      <c r="P41" s="15">
        <f t="shared" si="1"/>
        <v>113</v>
      </c>
    </row>
    <row r="42" spans="2:20" ht="23.1" customHeight="1" x14ac:dyDescent="0.25">
      <c r="B42" s="24" t="s">
        <v>69</v>
      </c>
      <c r="C42" s="50">
        <v>53</v>
      </c>
      <c r="D42" s="50">
        <v>2</v>
      </c>
      <c r="E42" s="50">
        <v>6</v>
      </c>
      <c r="F42" s="50">
        <v>3</v>
      </c>
      <c r="G42" s="50">
        <v>0</v>
      </c>
      <c r="H42" s="50">
        <v>0</v>
      </c>
      <c r="I42" s="50">
        <v>2</v>
      </c>
      <c r="J42" s="50">
        <v>3</v>
      </c>
      <c r="K42" s="50">
        <v>0</v>
      </c>
      <c r="L42" s="50">
        <v>0</v>
      </c>
      <c r="M42" s="50">
        <v>110</v>
      </c>
      <c r="N42" s="50">
        <v>0</v>
      </c>
      <c r="O42" s="15">
        <f t="shared" si="0"/>
        <v>69</v>
      </c>
      <c r="P42" s="15">
        <f t="shared" si="1"/>
        <v>179</v>
      </c>
    </row>
    <row r="43" spans="2:20" ht="23.1" customHeight="1" x14ac:dyDescent="0.25">
      <c r="B43" s="23" t="s">
        <v>70</v>
      </c>
      <c r="C43" s="50">
        <v>80</v>
      </c>
      <c r="D43" s="50">
        <v>0</v>
      </c>
      <c r="E43" s="50">
        <v>3</v>
      </c>
      <c r="F43" s="50">
        <v>2</v>
      </c>
      <c r="G43" s="50">
        <v>0</v>
      </c>
      <c r="H43" s="50">
        <v>0</v>
      </c>
      <c r="I43" s="50">
        <v>1</v>
      </c>
      <c r="J43" s="50">
        <v>4</v>
      </c>
      <c r="K43" s="50">
        <v>0</v>
      </c>
      <c r="L43" s="50">
        <v>0</v>
      </c>
      <c r="M43" s="50">
        <v>75</v>
      </c>
      <c r="N43" s="50">
        <v>0</v>
      </c>
      <c r="O43" s="15">
        <f t="shared" si="0"/>
        <v>90</v>
      </c>
      <c r="P43" s="15">
        <f t="shared" si="1"/>
        <v>165</v>
      </c>
    </row>
    <row r="44" spans="2:20" ht="23.1" customHeight="1" x14ac:dyDescent="0.25">
      <c r="B44" s="25" t="s">
        <v>71</v>
      </c>
      <c r="C44" s="50">
        <v>65</v>
      </c>
      <c r="D44" s="50">
        <v>0</v>
      </c>
      <c r="E44" s="50">
        <v>0</v>
      </c>
      <c r="F44" s="50">
        <v>2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80</v>
      </c>
      <c r="N44" s="50">
        <v>0</v>
      </c>
      <c r="O44" s="15">
        <f t="shared" si="0"/>
        <v>68</v>
      </c>
      <c r="P44" s="15">
        <f t="shared" si="1"/>
        <v>148</v>
      </c>
    </row>
    <row r="45" spans="2:20" ht="23.1" customHeight="1" x14ac:dyDescent="0.25">
      <c r="B45" s="23" t="s">
        <v>72</v>
      </c>
      <c r="C45" s="50">
        <v>85</v>
      </c>
      <c r="D45" s="50">
        <v>1</v>
      </c>
      <c r="E45" s="50">
        <v>2</v>
      </c>
      <c r="F45" s="50">
        <v>9</v>
      </c>
      <c r="G45" s="50">
        <v>2</v>
      </c>
      <c r="H45" s="50">
        <v>1</v>
      </c>
      <c r="I45" s="50">
        <v>1</v>
      </c>
      <c r="J45" s="50">
        <v>0</v>
      </c>
      <c r="K45" s="50">
        <v>2</v>
      </c>
      <c r="L45" s="50">
        <v>0</v>
      </c>
      <c r="M45" s="50">
        <v>150</v>
      </c>
      <c r="N45" s="50">
        <v>0</v>
      </c>
      <c r="O45" s="15">
        <f t="shared" si="0"/>
        <v>103</v>
      </c>
      <c r="P45" s="15">
        <f t="shared" si="1"/>
        <v>253</v>
      </c>
    </row>
    <row r="46" spans="2:20" ht="23.1" customHeight="1" x14ac:dyDescent="0.25">
      <c r="B46" s="24" t="s">
        <v>73</v>
      </c>
      <c r="C46" s="50">
        <v>48</v>
      </c>
      <c r="D46" s="50">
        <v>2</v>
      </c>
      <c r="E46" s="50">
        <v>6</v>
      </c>
      <c r="F46" s="50">
        <v>10</v>
      </c>
      <c r="G46" s="50">
        <v>1</v>
      </c>
      <c r="H46" s="50">
        <v>0</v>
      </c>
      <c r="I46" s="50">
        <v>1</v>
      </c>
      <c r="J46" s="50">
        <v>1</v>
      </c>
      <c r="K46" s="50">
        <v>0</v>
      </c>
      <c r="L46" s="50">
        <v>0</v>
      </c>
      <c r="M46" s="50">
        <v>115</v>
      </c>
      <c r="N46" s="50">
        <v>0</v>
      </c>
      <c r="O46" s="15">
        <f t="shared" si="0"/>
        <v>69</v>
      </c>
      <c r="P46" s="15">
        <f t="shared" si="1"/>
        <v>184</v>
      </c>
      <c r="R46" s="8"/>
      <c r="T46"/>
    </row>
    <row r="47" spans="2:20" ht="23.1" customHeight="1" x14ac:dyDescent="0.25">
      <c r="B47" s="24" t="s">
        <v>74</v>
      </c>
      <c r="C47" s="50">
        <v>65</v>
      </c>
      <c r="D47" s="50">
        <v>6</v>
      </c>
      <c r="E47" s="50">
        <v>8</v>
      </c>
      <c r="F47" s="50">
        <v>5</v>
      </c>
      <c r="G47" s="50">
        <v>0</v>
      </c>
      <c r="H47" s="50">
        <v>0</v>
      </c>
      <c r="I47" s="50">
        <v>3</v>
      </c>
      <c r="J47" s="50">
        <v>0</v>
      </c>
      <c r="K47" s="50">
        <v>2</v>
      </c>
      <c r="L47" s="50">
        <v>0</v>
      </c>
      <c r="M47" s="50">
        <v>100</v>
      </c>
      <c r="N47" s="50">
        <v>0</v>
      </c>
      <c r="O47" s="15">
        <f t="shared" si="0"/>
        <v>89</v>
      </c>
      <c r="P47" s="15">
        <f t="shared" si="1"/>
        <v>189</v>
      </c>
      <c r="R47" s="8"/>
      <c r="T47"/>
    </row>
    <row r="48" spans="2:20" ht="23.1" customHeight="1" x14ac:dyDescent="0.25">
      <c r="B48" s="24" t="s">
        <v>75</v>
      </c>
      <c r="C48" s="50">
        <v>43</v>
      </c>
      <c r="D48" s="50">
        <v>0</v>
      </c>
      <c r="E48" s="50">
        <v>1</v>
      </c>
      <c r="F48" s="50">
        <v>4</v>
      </c>
      <c r="G48" s="50">
        <v>0</v>
      </c>
      <c r="H48" s="50">
        <v>0</v>
      </c>
      <c r="I48" s="50">
        <v>1</v>
      </c>
      <c r="J48" s="50">
        <v>1</v>
      </c>
      <c r="K48" s="50">
        <v>0</v>
      </c>
      <c r="L48" s="50">
        <v>0</v>
      </c>
      <c r="M48" s="50">
        <v>77</v>
      </c>
      <c r="N48" s="50">
        <v>0</v>
      </c>
      <c r="O48" s="15">
        <f t="shared" si="0"/>
        <v>50</v>
      </c>
      <c r="P48" s="15">
        <f t="shared" si="1"/>
        <v>127</v>
      </c>
      <c r="R48" s="8"/>
      <c r="T48"/>
    </row>
    <row r="49" spans="2:20" ht="23.1" customHeight="1" x14ac:dyDescent="0.25">
      <c r="B49" s="23" t="s">
        <v>76</v>
      </c>
      <c r="C49" s="50">
        <v>88</v>
      </c>
      <c r="D49" s="50">
        <v>1</v>
      </c>
      <c r="E49" s="50">
        <v>4</v>
      </c>
      <c r="F49" s="50">
        <v>2</v>
      </c>
      <c r="G49" s="50">
        <v>1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80</v>
      </c>
      <c r="N49" s="50">
        <v>0</v>
      </c>
      <c r="O49" s="15">
        <f t="shared" si="0"/>
        <v>96</v>
      </c>
      <c r="P49" s="15">
        <f t="shared" si="1"/>
        <v>176</v>
      </c>
      <c r="R49" s="8"/>
      <c r="T49"/>
    </row>
    <row r="50" spans="2:20" ht="23.1" customHeight="1" x14ac:dyDescent="0.25">
      <c r="B50" s="24" t="s">
        <v>77</v>
      </c>
      <c r="C50" s="50">
        <v>92</v>
      </c>
      <c r="D50" s="50">
        <v>3</v>
      </c>
      <c r="E50" s="50">
        <v>1</v>
      </c>
      <c r="F50" s="50">
        <v>17</v>
      </c>
      <c r="G50" s="50">
        <v>0</v>
      </c>
      <c r="H50" s="50">
        <v>0</v>
      </c>
      <c r="I50" s="50">
        <v>4</v>
      </c>
      <c r="J50" s="50">
        <v>1</v>
      </c>
      <c r="K50" s="50">
        <v>0</v>
      </c>
      <c r="L50" s="50">
        <v>3</v>
      </c>
      <c r="M50" s="50">
        <v>118</v>
      </c>
      <c r="N50" s="50">
        <v>0</v>
      </c>
      <c r="O50" s="15">
        <f t="shared" si="0"/>
        <v>121</v>
      </c>
      <c r="P50" s="15">
        <f t="shared" si="1"/>
        <v>239</v>
      </c>
      <c r="R50" s="8"/>
      <c r="T50"/>
    </row>
    <row r="51" spans="2:20" ht="23.1" customHeight="1" x14ac:dyDescent="0.25">
      <c r="B51" s="24" t="s">
        <v>78</v>
      </c>
      <c r="C51" s="50">
        <v>90</v>
      </c>
      <c r="D51" s="50">
        <v>3</v>
      </c>
      <c r="E51" s="50">
        <v>4</v>
      </c>
      <c r="F51" s="50">
        <v>38</v>
      </c>
      <c r="G51" s="50">
        <v>0</v>
      </c>
      <c r="H51" s="50">
        <v>0</v>
      </c>
      <c r="I51" s="50">
        <v>9</v>
      </c>
      <c r="J51" s="50">
        <v>2</v>
      </c>
      <c r="K51" s="50">
        <v>0</v>
      </c>
      <c r="L51" s="50">
        <v>0</v>
      </c>
      <c r="M51" s="50">
        <v>105</v>
      </c>
      <c r="N51" s="50">
        <v>0</v>
      </c>
      <c r="O51" s="15">
        <f t="shared" si="0"/>
        <v>146</v>
      </c>
      <c r="P51" s="15">
        <f t="shared" si="1"/>
        <v>251</v>
      </c>
      <c r="R51" s="8"/>
      <c r="T51"/>
    </row>
    <row r="52" spans="2:20" ht="23.1" customHeight="1" x14ac:dyDescent="0.25">
      <c r="B52" s="24" t="s">
        <v>79</v>
      </c>
      <c r="C52" s="50">
        <v>104</v>
      </c>
      <c r="D52" s="50">
        <v>0</v>
      </c>
      <c r="E52" s="50">
        <v>9</v>
      </c>
      <c r="F52" s="50">
        <v>46</v>
      </c>
      <c r="G52" s="50">
        <v>0</v>
      </c>
      <c r="H52" s="50">
        <v>0</v>
      </c>
      <c r="I52" s="50">
        <v>11</v>
      </c>
      <c r="J52" s="50">
        <v>0</v>
      </c>
      <c r="K52" s="50">
        <v>0</v>
      </c>
      <c r="L52" s="50">
        <v>0</v>
      </c>
      <c r="M52" s="50">
        <v>125</v>
      </c>
      <c r="N52" s="50">
        <v>0</v>
      </c>
      <c r="O52" s="15">
        <f t="shared" si="0"/>
        <v>170</v>
      </c>
      <c r="P52" s="15">
        <f t="shared" si="1"/>
        <v>295</v>
      </c>
      <c r="R52" s="8"/>
      <c r="T52"/>
    </row>
    <row r="53" spans="2:20" ht="23.1" customHeight="1" x14ac:dyDescent="0.25">
      <c r="B53" s="23" t="s">
        <v>80</v>
      </c>
      <c r="C53" s="50">
        <v>80</v>
      </c>
      <c r="D53" s="50">
        <v>2</v>
      </c>
      <c r="E53" s="50">
        <v>4</v>
      </c>
      <c r="F53" s="50">
        <v>18</v>
      </c>
      <c r="G53" s="50">
        <v>0</v>
      </c>
      <c r="H53" s="50">
        <v>0</v>
      </c>
      <c r="I53" s="50">
        <v>4</v>
      </c>
      <c r="J53" s="50">
        <v>0</v>
      </c>
      <c r="K53" s="50">
        <v>0</v>
      </c>
      <c r="L53" s="50">
        <v>2</v>
      </c>
      <c r="M53" s="50">
        <v>69</v>
      </c>
      <c r="N53" s="50">
        <v>0</v>
      </c>
      <c r="O53" s="15">
        <f t="shared" si="0"/>
        <v>110</v>
      </c>
      <c r="P53" s="15">
        <f t="shared" si="1"/>
        <v>179</v>
      </c>
      <c r="R53" s="8"/>
      <c r="T53"/>
    </row>
    <row r="54" spans="2:20" ht="23.1" customHeight="1" x14ac:dyDescent="0.25">
      <c r="B54" s="23" t="s">
        <v>81</v>
      </c>
      <c r="C54" s="50">
        <v>90</v>
      </c>
      <c r="D54" s="50">
        <v>2</v>
      </c>
      <c r="E54" s="50">
        <v>3</v>
      </c>
      <c r="F54" s="50">
        <v>23</v>
      </c>
      <c r="G54" s="50">
        <v>1</v>
      </c>
      <c r="H54" s="50">
        <v>0</v>
      </c>
      <c r="I54" s="50">
        <v>13</v>
      </c>
      <c r="J54" s="50">
        <v>1</v>
      </c>
      <c r="K54" s="50">
        <v>0</v>
      </c>
      <c r="L54" s="50">
        <v>0</v>
      </c>
      <c r="M54" s="50">
        <v>130</v>
      </c>
      <c r="N54" s="50">
        <v>0</v>
      </c>
      <c r="O54" s="15">
        <f t="shared" si="0"/>
        <v>133</v>
      </c>
      <c r="P54" s="15">
        <f t="shared" si="1"/>
        <v>263</v>
      </c>
      <c r="R54" s="8"/>
      <c r="T54"/>
    </row>
    <row r="55" spans="2:20" ht="23.1" customHeight="1" x14ac:dyDescent="0.25">
      <c r="B55" s="23" t="s">
        <v>82</v>
      </c>
      <c r="C55" s="50">
        <v>75</v>
      </c>
      <c r="D55" s="50">
        <v>7</v>
      </c>
      <c r="E55" s="50">
        <v>0</v>
      </c>
      <c r="F55" s="50">
        <v>32</v>
      </c>
      <c r="G55" s="50">
        <v>0</v>
      </c>
      <c r="H55" s="50">
        <v>0</v>
      </c>
      <c r="I55" s="50">
        <v>4</v>
      </c>
      <c r="J55" s="50">
        <v>0</v>
      </c>
      <c r="K55" s="50">
        <v>1</v>
      </c>
      <c r="L55" s="50">
        <v>0</v>
      </c>
      <c r="M55" s="50">
        <v>100</v>
      </c>
      <c r="N55" s="50">
        <v>0</v>
      </c>
      <c r="O55" s="15">
        <f t="shared" si="0"/>
        <v>119</v>
      </c>
      <c r="P55" s="15">
        <f t="shared" si="1"/>
        <v>219</v>
      </c>
      <c r="R55" s="8"/>
      <c r="T55"/>
    </row>
    <row r="56" spans="2:20" ht="23.1" customHeight="1" x14ac:dyDescent="0.25">
      <c r="B56" s="23" t="s">
        <v>83</v>
      </c>
      <c r="C56" s="50">
        <v>83</v>
      </c>
      <c r="D56" s="50">
        <v>3</v>
      </c>
      <c r="E56" s="50">
        <v>2</v>
      </c>
      <c r="F56" s="50">
        <v>20</v>
      </c>
      <c r="G56" s="50">
        <v>0</v>
      </c>
      <c r="H56" s="50">
        <v>0</v>
      </c>
      <c r="I56" s="50">
        <v>1</v>
      </c>
      <c r="J56" s="50">
        <v>3</v>
      </c>
      <c r="K56" s="50">
        <v>0</v>
      </c>
      <c r="L56" s="50">
        <v>0</v>
      </c>
      <c r="M56" s="50">
        <v>110</v>
      </c>
      <c r="N56" s="50">
        <v>0</v>
      </c>
      <c r="O56" s="15">
        <f t="shared" si="0"/>
        <v>112</v>
      </c>
      <c r="P56" s="15">
        <f t="shared" si="1"/>
        <v>222</v>
      </c>
      <c r="R56" s="8"/>
      <c r="T56"/>
    </row>
    <row r="57" spans="2:20" ht="23.1" customHeight="1" x14ac:dyDescent="0.25">
      <c r="B57" s="23" t="s">
        <v>84</v>
      </c>
      <c r="C57" s="50">
        <v>96</v>
      </c>
      <c r="D57" s="50">
        <v>11</v>
      </c>
      <c r="E57" s="50">
        <v>9</v>
      </c>
      <c r="F57" s="50">
        <v>44</v>
      </c>
      <c r="G57" s="50">
        <v>0</v>
      </c>
      <c r="H57" s="50">
        <v>0</v>
      </c>
      <c r="I57" s="50">
        <v>6</v>
      </c>
      <c r="J57" s="50">
        <v>0</v>
      </c>
      <c r="K57" s="50">
        <v>2</v>
      </c>
      <c r="L57" s="50">
        <v>1</v>
      </c>
      <c r="M57" s="50">
        <v>135</v>
      </c>
      <c r="N57" s="50">
        <v>0</v>
      </c>
      <c r="O57" s="15">
        <f t="shared" si="0"/>
        <v>169</v>
      </c>
      <c r="P57" s="15">
        <f t="shared" si="1"/>
        <v>304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2648</v>
      </c>
      <c r="D58" s="16">
        <f t="shared" si="21"/>
        <v>83</v>
      </c>
      <c r="E58" s="16">
        <f t="shared" si="21"/>
        <v>134</v>
      </c>
      <c r="F58" s="16">
        <f t="shared" si="21"/>
        <v>614</v>
      </c>
      <c r="G58" s="16">
        <f t="shared" si="21"/>
        <v>10</v>
      </c>
      <c r="H58" s="16">
        <f t="shared" si="21"/>
        <v>1</v>
      </c>
      <c r="I58" s="16">
        <f t="shared" si="21"/>
        <v>117</v>
      </c>
      <c r="J58" s="16">
        <f t="shared" si="21"/>
        <v>44</v>
      </c>
      <c r="K58" s="16">
        <f t="shared" si="21"/>
        <v>19</v>
      </c>
      <c r="L58" s="16">
        <f t="shared" si="21"/>
        <v>15</v>
      </c>
      <c r="M58" s="16">
        <f t="shared" si="21"/>
        <v>4605</v>
      </c>
      <c r="N58" s="16">
        <f t="shared" si="21"/>
        <v>0</v>
      </c>
      <c r="O58" s="16">
        <f t="shared" si="21"/>
        <v>3685</v>
      </c>
      <c r="P58" s="16">
        <f t="shared" si="21"/>
        <v>8290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0.31942098914354644</v>
      </c>
      <c r="D59" s="43">
        <f t="shared" si="22"/>
        <v>1.0012062726176116E-2</v>
      </c>
      <c r="E59" s="43">
        <f t="shared" si="22"/>
        <v>1.6164053075995177E-2</v>
      </c>
      <c r="F59" s="43">
        <f t="shared" si="22"/>
        <v>7.4065138721351023E-2</v>
      </c>
      <c r="G59" s="43">
        <f t="shared" si="22"/>
        <v>1.2062726176115801E-3</v>
      </c>
      <c r="H59" s="43">
        <f t="shared" si="22"/>
        <v>1.2062726176115802E-4</v>
      </c>
      <c r="I59" s="43">
        <f t="shared" si="22"/>
        <v>1.4113389626055489E-2</v>
      </c>
      <c r="J59" s="43">
        <f t="shared" si="22"/>
        <v>5.3075995174909534E-3</v>
      </c>
      <c r="K59" s="43">
        <f t="shared" si="22"/>
        <v>2.2919179734620025E-3</v>
      </c>
      <c r="L59" s="43">
        <f t="shared" si="22"/>
        <v>1.8094089264173703E-3</v>
      </c>
      <c r="M59" s="43">
        <f t="shared" si="22"/>
        <v>0.55548854041013274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0.71858887381275438</v>
      </c>
      <c r="D60" s="44">
        <f t="shared" ref="D60:N60" si="23">D58/$O$58</f>
        <v>2.2523744911804613E-2</v>
      </c>
      <c r="E60" s="44">
        <f t="shared" si="23"/>
        <v>3.6363636363636362E-2</v>
      </c>
      <c r="F60" s="44">
        <f t="shared" si="23"/>
        <v>0.16662143826322931</v>
      </c>
      <c r="G60" s="44">
        <f t="shared" si="23"/>
        <v>2.7137042062415195E-3</v>
      </c>
      <c r="H60" s="44">
        <f t="shared" si="23"/>
        <v>2.7137042062415199E-4</v>
      </c>
      <c r="I60" s="44">
        <f t="shared" si="23"/>
        <v>3.175033921302578E-2</v>
      </c>
      <c r="J60" s="44">
        <f t="shared" si="23"/>
        <v>1.1940298507462687E-2</v>
      </c>
      <c r="K60" s="44">
        <f t="shared" si="23"/>
        <v>5.1560379918588872E-3</v>
      </c>
      <c r="L60" s="44">
        <f t="shared" si="23"/>
        <v>4.0705563093622792E-3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" zoomScale="60" workbookViewId="0">
      <selection activeCell="F27" sqref="F2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'22.07 Nyanama-Ndeeba'!C3:G3</f>
        <v>MCC - C1 - STN04 - WERAGA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'24.07 Ndeeba-Nyanama'!D5</f>
        <v>24.07.19</v>
      </c>
      <c r="E5" s="3"/>
      <c r="F5" s="41" t="s">
        <v>1</v>
      </c>
      <c r="G5" s="68" t="str">
        <f>'22.07 Ndeeba-Nyanama'!G5:H5</f>
        <v>Golden Mille Hotel</v>
      </c>
      <c r="H5" s="69"/>
      <c r="I5" s="14"/>
      <c r="J5" s="2" t="s">
        <v>5</v>
      </c>
      <c r="K5" s="68" t="s">
        <v>175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tr">
        <f>'22.07 Nyanama-Ndeeba'!D6:E6</f>
        <v>Nyanama</v>
      </c>
      <c r="E6" s="69"/>
      <c r="F6" s="2" t="s">
        <v>2</v>
      </c>
      <c r="G6" s="68" t="str">
        <f>'22.07 Nyanama-Ndeeba'!G6:H6</f>
        <v>Ndeeba</v>
      </c>
      <c r="H6" s="69"/>
      <c r="J6" s="2" t="s">
        <v>21</v>
      </c>
      <c r="K6" s="68" t="str">
        <f>'22.07 Ndeeba-Nyanama'!K6:L6</f>
        <v>Denis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72</v>
      </c>
      <c r="D10" s="50">
        <v>12</v>
      </c>
      <c r="E10" s="50">
        <v>6</v>
      </c>
      <c r="F10" s="50">
        <v>34</v>
      </c>
      <c r="G10" s="50">
        <v>1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103</v>
      </c>
      <c r="N10" s="50">
        <v>0</v>
      </c>
      <c r="O10" s="15">
        <f t="shared" ref="O10:O57" si="0">SUM(C10:L10,N10)</f>
        <v>126</v>
      </c>
      <c r="P10" s="15">
        <f t="shared" ref="P10:P57" si="1">SUM(C10:N10)</f>
        <v>229</v>
      </c>
      <c r="R10" s="1" t="s">
        <v>6</v>
      </c>
      <c r="S10" s="17">
        <f t="shared" ref="S10:AF10" si="2">SUM(C10:C13)</f>
        <v>271</v>
      </c>
      <c r="T10" s="17">
        <f t="shared" si="2"/>
        <v>39</v>
      </c>
      <c r="U10" s="17">
        <f t="shared" si="2"/>
        <v>24</v>
      </c>
      <c r="V10" s="17">
        <f t="shared" si="2"/>
        <v>165</v>
      </c>
      <c r="W10" s="17">
        <f t="shared" si="2"/>
        <v>3</v>
      </c>
      <c r="X10" s="17">
        <f t="shared" si="2"/>
        <v>0</v>
      </c>
      <c r="Y10" s="17">
        <f t="shared" si="2"/>
        <v>7</v>
      </c>
      <c r="Z10" s="17">
        <f t="shared" si="2"/>
        <v>1</v>
      </c>
      <c r="AA10" s="17">
        <f t="shared" si="2"/>
        <v>7</v>
      </c>
      <c r="AB10" s="17">
        <f t="shared" si="2"/>
        <v>0</v>
      </c>
      <c r="AC10" s="17">
        <f t="shared" si="2"/>
        <v>453</v>
      </c>
      <c r="AD10" s="17">
        <f t="shared" si="2"/>
        <v>0</v>
      </c>
      <c r="AE10" s="31">
        <f t="shared" si="2"/>
        <v>517</v>
      </c>
      <c r="AF10" s="31">
        <f t="shared" si="2"/>
        <v>970</v>
      </c>
    </row>
    <row r="11" spans="2:32" s="6" customFormat="1" ht="23.1" customHeight="1" x14ac:dyDescent="0.25">
      <c r="B11" s="23" t="s">
        <v>38</v>
      </c>
      <c r="C11" s="50">
        <v>63</v>
      </c>
      <c r="D11" s="50">
        <v>13</v>
      </c>
      <c r="E11" s="50">
        <v>4</v>
      </c>
      <c r="F11" s="50">
        <v>38</v>
      </c>
      <c r="G11" s="50">
        <v>1</v>
      </c>
      <c r="H11" s="50">
        <v>0</v>
      </c>
      <c r="I11" s="50">
        <v>1</v>
      </c>
      <c r="J11" s="50">
        <v>0</v>
      </c>
      <c r="K11" s="50">
        <v>2</v>
      </c>
      <c r="L11" s="50">
        <v>0</v>
      </c>
      <c r="M11" s="50">
        <v>107</v>
      </c>
      <c r="N11" s="50">
        <v>0</v>
      </c>
      <c r="O11" s="15">
        <f t="shared" si="0"/>
        <v>122</v>
      </c>
      <c r="P11" s="15">
        <f t="shared" si="1"/>
        <v>229</v>
      </c>
      <c r="R11" s="1" t="s">
        <v>7</v>
      </c>
      <c r="S11" s="17">
        <f t="shared" ref="S11:AF11" si="3">SUM(C14:C17)</f>
        <v>228</v>
      </c>
      <c r="T11" s="17">
        <f t="shared" si="3"/>
        <v>22</v>
      </c>
      <c r="U11" s="17">
        <f t="shared" si="3"/>
        <v>19</v>
      </c>
      <c r="V11" s="17">
        <f t="shared" si="3"/>
        <v>78</v>
      </c>
      <c r="W11" s="17">
        <f t="shared" si="3"/>
        <v>1</v>
      </c>
      <c r="X11" s="17">
        <f t="shared" si="3"/>
        <v>0</v>
      </c>
      <c r="Y11" s="17">
        <f t="shared" si="3"/>
        <v>10</v>
      </c>
      <c r="Z11" s="17">
        <f t="shared" si="3"/>
        <v>2</v>
      </c>
      <c r="AA11" s="17">
        <f t="shared" si="3"/>
        <v>1</v>
      </c>
      <c r="AB11" s="17">
        <f t="shared" si="3"/>
        <v>1</v>
      </c>
      <c r="AC11" s="17">
        <f t="shared" si="3"/>
        <v>454</v>
      </c>
      <c r="AD11" s="17">
        <f t="shared" si="3"/>
        <v>0</v>
      </c>
      <c r="AE11" s="31">
        <f t="shared" si="3"/>
        <v>362</v>
      </c>
      <c r="AF11" s="31">
        <f t="shared" si="3"/>
        <v>816</v>
      </c>
    </row>
    <row r="12" spans="2:32" ht="23.1" customHeight="1" x14ac:dyDescent="0.25">
      <c r="B12" s="23" t="s">
        <v>39</v>
      </c>
      <c r="C12" s="50">
        <v>62</v>
      </c>
      <c r="D12" s="50">
        <v>7</v>
      </c>
      <c r="E12" s="50">
        <v>5</v>
      </c>
      <c r="F12" s="50">
        <v>41</v>
      </c>
      <c r="G12" s="50">
        <v>1</v>
      </c>
      <c r="H12" s="50">
        <v>0</v>
      </c>
      <c r="I12" s="50">
        <v>3</v>
      </c>
      <c r="J12" s="50">
        <v>0</v>
      </c>
      <c r="K12" s="50">
        <v>5</v>
      </c>
      <c r="L12" s="50">
        <v>0</v>
      </c>
      <c r="M12" s="50">
        <v>123</v>
      </c>
      <c r="N12" s="50">
        <v>0</v>
      </c>
      <c r="O12" s="15">
        <f t="shared" si="0"/>
        <v>124</v>
      </c>
      <c r="P12" s="15">
        <f t="shared" si="1"/>
        <v>247</v>
      </c>
      <c r="R12" s="1" t="s">
        <v>8</v>
      </c>
      <c r="S12" s="17">
        <f t="shared" ref="S12:AF12" si="4">SUM(C18:C21)</f>
        <v>226</v>
      </c>
      <c r="T12" s="17">
        <f t="shared" si="4"/>
        <v>24</v>
      </c>
      <c r="U12" s="17">
        <f t="shared" si="4"/>
        <v>33</v>
      </c>
      <c r="V12" s="17">
        <f t="shared" si="4"/>
        <v>52</v>
      </c>
      <c r="W12" s="17">
        <f t="shared" si="4"/>
        <v>1</v>
      </c>
      <c r="X12" s="17">
        <f t="shared" si="4"/>
        <v>0</v>
      </c>
      <c r="Y12" s="17">
        <f t="shared" si="4"/>
        <v>4</v>
      </c>
      <c r="Z12" s="17">
        <f t="shared" si="4"/>
        <v>4</v>
      </c>
      <c r="AA12" s="17">
        <f t="shared" si="4"/>
        <v>1</v>
      </c>
      <c r="AB12" s="17">
        <f t="shared" si="4"/>
        <v>0</v>
      </c>
      <c r="AC12" s="17">
        <f t="shared" si="4"/>
        <v>409</v>
      </c>
      <c r="AD12" s="17">
        <f t="shared" si="4"/>
        <v>0</v>
      </c>
      <c r="AE12" s="31">
        <f t="shared" si="4"/>
        <v>345</v>
      </c>
      <c r="AF12" s="31">
        <f t="shared" si="4"/>
        <v>754</v>
      </c>
    </row>
    <row r="13" spans="2:32" ht="23.1" customHeight="1" x14ac:dyDescent="0.25">
      <c r="B13" s="23" t="s">
        <v>40</v>
      </c>
      <c r="C13" s="50">
        <v>74</v>
      </c>
      <c r="D13" s="50">
        <v>7</v>
      </c>
      <c r="E13" s="50">
        <v>9</v>
      </c>
      <c r="F13" s="50">
        <v>52</v>
      </c>
      <c r="G13" s="50">
        <v>0</v>
      </c>
      <c r="H13" s="50">
        <v>0</v>
      </c>
      <c r="I13" s="50">
        <v>2</v>
      </c>
      <c r="J13" s="50">
        <v>1</v>
      </c>
      <c r="K13" s="50">
        <v>0</v>
      </c>
      <c r="L13" s="50">
        <v>0</v>
      </c>
      <c r="M13" s="50">
        <v>120</v>
      </c>
      <c r="N13" s="50">
        <v>0</v>
      </c>
      <c r="O13" s="15">
        <f t="shared" si="0"/>
        <v>145</v>
      </c>
      <c r="P13" s="15">
        <f t="shared" si="1"/>
        <v>265</v>
      </c>
      <c r="R13" s="1" t="s">
        <v>9</v>
      </c>
      <c r="S13" s="17">
        <f t="shared" ref="S13:AF13" si="5">SUM(C22:C25)</f>
        <v>147</v>
      </c>
      <c r="T13" s="17">
        <f t="shared" si="5"/>
        <v>25</v>
      </c>
      <c r="U13" s="17">
        <f t="shared" si="5"/>
        <v>19</v>
      </c>
      <c r="V13" s="17">
        <f t="shared" si="5"/>
        <v>31</v>
      </c>
      <c r="W13" s="17">
        <f t="shared" si="5"/>
        <v>1</v>
      </c>
      <c r="X13" s="17">
        <f t="shared" si="5"/>
        <v>0</v>
      </c>
      <c r="Y13" s="17">
        <f t="shared" si="5"/>
        <v>13</v>
      </c>
      <c r="Z13" s="17">
        <f t="shared" si="5"/>
        <v>5</v>
      </c>
      <c r="AA13" s="17">
        <f t="shared" si="5"/>
        <v>2</v>
      </c>
      <c r="AB13" s="17">
        <f t="shared" si="5"/>
        <v>0</v>
      </c>
      <c r="AC13" s="17">
        <f t="shared" si="5"/>
        <v>333</v>
      </c>
      <c r="AD13" s="17">
        <f t="shared" si="5"/>
        <v>0</v>
      </c>
      <c r="AE13" s="31">
        <f t="shared" si="5"/>
        <v>243</v>
      </c>
      <c r="AF13" s="31">
        <f t="shared" si="5"/>
        <v>576</v>
      </c>
    </row>
    <row r="14" spans="2:32" ht="23.1" customHeight="1" x14ac:dyDescent="0.25">
      <c r="B14" s="23" t="s">
        <v>41</v>
      </c>
      <c r="C14" s="50">
        <v>69</v>
      </c>
      <c r="D14" s="50">
        <v>7</v>
      </c>
      <c r="E14" s="50">
        <v>7</v>
      </c>
      <c r="F14" s="50">
        <v>36</v>
      </c>
      <c r="G14" s="50">
        <v>1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132</v>
      </c>
      <c r="N14" s="50">
        <v>0</v>
      </c>
      <c r="O14" s="15">
        <f t="shared" si="0"/>
        <v>122</v>
      </c>
      <c r="P14" s="15">
        <f t="shared" si="1"/>
        <v>254</v>
      </c>
      <c r="R14" s="1" t="s">
        <v>10</v>
      </c>
      <c r="S14" s="17">
        <f t="shared" ref="S14:AF14" si="6">SUM(C26:C29)</f>
        <v>151</v>
      </c>
      <c r="T14" s="17">
        <f t="shared" si="6"/>
        <v>23</v>
      </c>
      <c r="U14" s="17">
        <f t="shared" si="6"/>
        <v>19</v>
      </c>
      <c r="V14" s="17">
        <f t="shared" si="6"/>
        <v>29</v>
      </c>
      <c r="W14" s="17">
        <f t="shared" si="6"/>
        <v>4</v>
      </c>
      <c r="X14" s="17">
        <f t="shared" si="6"/>
        <v>0</v>
      </c>
      <c r="Y14" s="17">
        <f t="shared" si="6"/>
        <v>16</v>
      </c>
      <c r="Z14" s="17">
        <f t="shared" si="6"/>
        <v>3</v>
      </c>
      <c r="AA14" s="17">
        <f t="shared" si="6"/>
        <v>1</v>
      </c>
      <c r="AB14" s="17">
        <f t="shared" si="6"/>
        <v>0</v>
      </c>
      <c r="AC14" s="17">
        <f t="shared" si="6"/>
        <v>290</v>
      </c>
      <c r="AD14" s="17">
        <f t="shared" si="6"/>
        <v>0</v>
      </c>
      <c r="AE14" s="31">
        <f t="shared" si="6"/>
        <v>246</v>
      </c>
      <c r="AF14" s="31">
        <f t="shared" si="6"/>
        <v>536</v>
      </c>
    </row>
    <row r="15" spans="2:32" ht="23.1" customHeight="1" x14ac:dyDescent="0.25">
      <c r="B15" s="23" t="s">
        <v>42</v>
      </c>
      <c r="C15" s="50">
        <v>55</v>
      </c>
      <c r="D15" s="50">
        <v>7</v>
      </c>
      <c r="E15" s="50">
        <v>2</v>
      </c>
      <c r="F15" s="50">
        <v>18</v>
      </c>
      <c r="G15" s="50">
        <v>0</v>
      </c>
      <c r="H15" s="50">
        <v>0</v>
      </c>
      <c r="I15" s="50">
        <v>3</v>
      </c>
      <c r="J15" s="50">
        <v>1</v>
      </c>
      <c r="K15" s="50">
        <v>1</v>
      </c>
      <c r="L15" s="50">
        <v>1</v>
      </c>
      <c r="M15" s="50">
        <v>117</v>
      </c>
      <c r="N15" s="50">
        <v>0</v>
      </c>
      <c r="O15" s="15">
        <f t="shared" si="0"/>
        <v>88</v>
      </c>
      <c r="P15" s="15">
        <f t="shared" si="1"/>
        <v>205</v>
      </c>
      <c r="R15" s="1" t="s">
        <v>11</v>
      </c>
      <c r="S15" s="17">
        <f t="shared" ref="S15:AF15" si="7">SUM(C30:C33)</f>
        <v>134</v>
      </c>
      <c r="T15" s="17">
        <f t="shared" si="7"/>
        <v>11</v>
      </c>
      <c r="U15" s="17">
        <f t="shared" si="7"/>
        <v>9</v>
      </c>
      <c r="V15" s="17">
        <f t="shared" si="7"/>
        <v>28</v>
      </c>
      <c r="W15" s="17">
        <f t="shared" si="7"/>
        <v>0</v>
      </c>
      <c r="X15" s="17">
        <f t="shared" si="7"/>
        <v>0</v>
      </c>
      <c r="Y15" s="17">
        <f t="shared" si="7"/>
        <v>9</v>
      </c>
      <c r="Z15" s="17">
        <f t="shared" si="7"/>
        <v>6</v>
      </c>
      <c r="AA15" s="17">
        <f t="shared" si="7"/>
        <v>0</v>
      </c>
      <c r="AB15" s="17">
        <f t="shared" si="7"/>
        <v>0</v>
      </c>
      <c r="AC15" s="17">
        <f t="shared" si="7"/>
        <v>300</v>
      </c>
      <c r="AD15" s="17">
        <f t="shared" si="7"/>
        <v>0</v>
      </c>
      <c r="AE15" s="31">
        <f t="shared" si="7"/>
        <v>197</v>
      </c>
      <c r="AF15" s="31">
        <f t="shared" si="7"/>
        <v>497</v>
      </c>
    </row>
    <row r="16" spans="2:32" ht="23.1" customHeight="1" x14ac:dyDescent="0.25">
      <c r="B16" s="23" t="s">
        <v>43</v>
      </c>
      <c r="C16" s="50">
        <v>46</v>
      </c>
      <c r="D16" s="50">
        <v>3</v>
      </c>
      <c r="E16" s="50">
        <v>5</v>
      </c>
      <c r="F16" s="50">
        <v>10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88</v>
      </c>
      <c r="N16" s="50">
        <v>0</v>
      </c>
      <c r="O16" s="15">
        <f t="shared" si="0"/>
        <v>66</v>
      </c>
      <c r="P16" s="15">
        <f t="shared" si="1"/>
        <v>154</v>
      </c>
      <c r="R16" s="1" t="s">
        <v>12</v>
      </c>
      <c r="S16" s="17">
        <f t="shared" ref="S16:AF16" si="8">SUM(C34:C37)</f>
        <v>95</v>
      </c>
      <c r="T16" s="17">
        <f t="shared" si="8"/>
        <v>17</v>
      </c>
      <c r="U16" s="17">
        <f t="shared" si="8"/>
        <v>19</v>
      </c>
      <c r="V16" s="17">
        <f t="shared" si="8"/>
        <v>26</v>
      </c>
      <c r="W16" s="17">
        <f t="shared" si="8"/>
        <v>0</v>
      </c>
      <c r="X16" s="17">
        <f t="shared" si="8"/>
        <v>0</v>
      </c>
      <c r="Y16" s="17">
        <f t="shared" si="8"/>
        <v>12</v>
      </c>
      <c r="Z16" s="17">
        <f t="shared" si="8"/>
        <v>5</v>
      </c>
      <c r="AA16" s="17">
        <f t="shared" si="8"/>
        <v>0</v>
      </c>
      <c r="AB16" s="17">
        <f t="shared" si="8"/>
        <v>0</v>
      </c>
      <c r="AC16" s="17">
        <f t="shared" si="8"/>
        <v>248</v>
      </c>
      <c r="AD16" s="17">
        <f t="shared" si="8"/>
        <v>0</v>
      </c>
      <c r="AE16" s="31">
        <f t="shared" si="8"/>
        <v>174</v>
      </c>
      <c r="AF16" s="31">
        <f t="shared" si="8"/>
        <v>422</v>
      </c>
    </row>
    <row r="17" spans="2:32" ht="23.1" customHeight="1" x14ac:dyDescent="0.25">
      <c r="B17" s="23" t="s">
        <v>44</v>
      </c>
      <c r="C17" s="50">
        <v>58</v>
      </c>
      <c r="D17" s="50">
        <v>5</v>
      </c>
      <c r="E17" s="50">
        <v>5</v>
      </c>
      <c r="F17" s="50">
        <v>14</v>
      </c>
      <c r="G17" s="50">
        <v>0</v>
      </c>
      <c r="H17" s="50">
        <v>0</v>
      </c>
      <c r="I17" s="50">
        <v>3</v>
      </c>
      <c r="J17" s="50">
        <v>1</v>
      </c>
      <c r="K17" s="50">
        <v>0</v>
      </c>
      <c r="L17" s="50">
        <v>0</v>
      </c>
      <c r="M17" s="50">
        <v>117</v>
      </c>
      <c r="N17" s="50">
        <v>0</v>
      </c>
      <c r="O17" s="15">
        <f t="shared" si="0"/>
        <v>86</v>
      </c>
      <c r="P17" s="15">
        <f t="shared" si="1"/>
        <v>203</v>
      </c>
      <c r="R17" s="1" t="s">
        <v>13</v>
      </c>
      <c r="S17" s="17">
        <f t="shared" ref="S17:AF17" si="9">SUM(C38:C41)</f>
        <v>106</v>
      </c>
      <c r="T17" s="17">
        <f t="shared" si="9"/>
        <v>10</v>
      </c>
      <c r="U17" s="17">
        <f t="shared" si="9"/>
        <v>13</v>
      </c>
      <c r="V17" s="17">
        <f t="shared" si="9"/>
        <v>18</v>
      </c>
      <c r="W17" s="17">
        <f t="shared" si="9"/>
        <v>1</v>
      </c>
      <c r="X17" s="17">
        <f t="shared" si="9"/>
        <v>0</v>
      </c>
      <c r="Y17" s="17">
        <f t="shared" si="9"/>
        <v>7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230</v>
      </c>
      <c r="AD17" s="17">
        <f t="shared" si="9"/>
        <v>0</v>
      </c>
      <c r="AE17" s="31">
        <f t="shared" si="9"/>
        <v>157</v>
      </c>
      <c r="AF17" s="31">
        <f t="shared" si="9"/>
        <v>387</v>
      </c>
    </row>
    <row r="18" spans="2:32" ht="23.1" customHeight="1" x14ac:dyDescent="0.25">
      <c r="B18" s="23" t="s">
        <v>45</v>
      </c>
      <c r="C18" s="50">
        <v>58</v>
      </c>
      <c r="D18" s="50">
        <v>7</v>
      </c>
      <c r="E18" s="50">
        <v>12</v>
      </c>
      <c r="F18" s="50">
        <v>14</v>
      </c>
      <c r="G18" s="50">
        <v>1</v>
      </c>
      <c r="H18" s="50">
        <v>0</v>
      </c>
      <c r="I18" s="50">
        <v>2</v>
      </c>
      <c r="J18" s="50">
        <v>1</v>
      </c>
      <c r="K18" s="50">
        <v>0</v>
      </c>
      <c r="L18" s="50">
        <v>0</v>
      </c>
      <c r="M18" s="50">
        <v>101</v>
      </c>
      <c r="N18" s="50">
        <v>0</v>
      </c>
      <c r="O18" s="15">
        <f t="shared" si="0"/>
        <v>95</v>
      </c>
      <c r="P18" s="15">
        <f t="shared" si="1"/>
        <v>196</v>
      </c>
      <c r="R18" s="1" t="s">
        <v>14</v>
      </c>
      <c r="S18" s="17">
        <f t="shared" ref="S18:AF18" si="10">SUM(C42:C45)</f>
        <v>98</v>
      </c>
      <c r="T18" s="17">
        <f t="shared" si="10"/>
        <v>12</v>
      </c>
      <c r="U18" s="17">
        <f t="shared" si="10"/>
        <v>12</v>
      </c>
      <c r="V18" s="17">
        <f t="shared" si="10"/>
        <v>23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7</v>
      </c>
      <c r="AA18" s="17">
        <f t="shared" si="10"/>
        <v>0</v>
      </c>
      <c r="AB18" s="17">
        <f t="shared" si="10"/>
        <v>1</v>
      </c>
      <c r="AC18" s="17">
        <f t="shared" si="10"/>
        <v>268</v>
      </c>
      <c r="AD18" s="17">
        <f t="shared" si="10"/>
        <v>0</v>
      </c>
      <c r="AE18" s="31">
        <f t="shared" si="10"/>
        <v>157</v>
      </c>
      <c r="AF18" s="31">
        <f t="shared" si="10"/>
        <v>425</v>
      </c>
    </row>
    <row r="19" spans="2:32" ht="23.1" customHeight="1" x14ac:dyDescent="0.25">
      <c r="B19" s="23" t="s">
        <v>46</v>
      </c>
      <c r="C19" s="50">
        <v>53</v>
      </c>
      <c r="D19" s="50">
        <v>9</v>
      </c>
      <c r="E19" s="50">
        <v>6</v>
      </c>
      <c r="F19" s="50">
        <v>14</v>
      </c>
      <c r="G19" s="50">
        <v>0</v>
      </c>
      <c r="H19" s="50">
        <v>0</v>
      </c>
      <c r="I19" s="50">
        <v>1</v>
      </c>
      <c r="J19" s="50">
        <v>1</v>
      </c>
      <c r="K19" s="50">
        <v>0</v>
      </c>
      <c r="L19" s="50">
        <v>0</v>
      </c>
      <c r="M19" s="50">
        <v>116</v>
      </c>
      <c r="N19" s="50">
        <v>0</v>
      </c>
      <c r="O19" s="15">
        <f t="shared" si="0"/>
        <v>84</v>
      </c>
      <c r="P19" s="15">
        <f t="shared" si="1"/>
        <v>200</v>
      </c>
      <c r="R19" s="1" t="s">
        <v>15</v>
      </c>
      <c r="S19" s="17">
        <f t="shared" ref="S19:AF19" si="11">SUM(C46:C49)</f>
        <v>118</v>
      </c>
      <c r="T19" s="17">
        <f t="shared" si="11"/>
        <v>16</v>
      </c>
      <c r="U19" s="17">
        <f t="shared" si="11"/>
        <v>9</v>
      </c>
      <c r="V19" s="17">
        <f t="shared" si="11"/>
        <v>23</v>
      </c>
      <c r="W19" s="17">
        <f t="shared" si="11"/>
        <v>1</v>
      </c>
      <c r="X19" s="17">
        <f t="shared" si="11"/>
        <v>0</v>
      </c>
      <c r="Y19" s="17">
        <f t="shared" si="11"/>
        <v>5</v>
      </c>
      <c r="Z19" s="17">
        <f t="shared" si="11"/>
        <v>3</v>
      </c>
      <c r="AA19" s="17">
        <f t="shared" si="11"/>
        <v>2</v>
      </c>
      <c r="AB19" s="17">
        <f t="shared" si="11"/>
        <v>0</v>
      </c>
      <c r="AC19" s="17">
        <f t="shared" si="11"/>
        <v>294</v>
      </c>
      <c r="AD19" s="17">
        <f t="shared" si="11"/>
        <v>1</v>
      </c>
      <c r="AE19" s="31">
        <f t="shared" si="11"/>
        <v>178</v>
      </c>
      <c r="AF19" s="31">
        <f t="shared" si="11"/>
        <v>472</v>
      </c>
    </row>
    <row r="20" spans="2:32" ht="23.1" customHeight="1" x14ac:dyDescent="0.25">
      <c r="B20" s="23" t="s">
        <v>47</v>
      </c>
      <c r="C20" s="50">
        <v>52</v>
      </c>
      <c r="D20" s="50">
        <v>1</v>
      </c>
      <c r="E20" s="50">
        <v>7</v>
      </c>
      <c r="F20" s="50">
        <v>17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0</v>
      </c>
      <c r="M20" s="50">
        <v>85</v>
      </c>
      <c r="N20" s="50">
        <v>0</v>
      </c>
      <c r="O20" s="15">
        <f t="shared" si="0"/>
        <v>78</v>
      </c>
      <c r="P20" s="15">
        <f t="shared" si="1"/>
        <v>163</v>
      </c>
      <c r="R20" s="1" t="s">
        <v>16</v>
      </c>
      <c r="S20" s="17">
        <f t="shared" ref="S20:AF20" si="12">SUM(C50:C53)</f>
        <v>158</v>
      </c>
      <c r="T20" s="17">
        <f t="shared" si="12"/>
        <v>14</v>
      </c>
      <c r="U20" s="17">
        <f t="shared" si="12"/>
        <v>14</v>
      </c>
      <c r="V20" s="17">
        <f t="shared" si="12"/>
        <v>38</v>
      </c>
      <c r="W20" s="17">
        <f t="shared" si="12"/>
        <v>1</v>
      </c>
      <c r="X20" s="17">
        <f t="shared" si="12"/>
        <v>1</v>
      </c>
      <c r="Y20" s="17">
        <f t="shared" si="12"/>
        <v>10</v>
      </c>
      <c r="Z20" s="17">
        <f t="shared" si="12"/>
        <v>3</v>
      </c>
      <c r="AA20" s="17">
        <f t="shared" si="12"/>
        <v>1</v>
      </c>
      <c r="AB20" s="17">
        <f t="shared" si="12"/>
        <v>0</v>
      </c>
      <c r="AC20" s="17">
        <f t="shared" si="12"/>
        <v>423</v>
      </c>
      <c r="AD20" s="17">
        <f t="shared" si="12"/>
        <v>0</v>
      </c>
      <c r="AE20" s="31">
        <f t="shared" si="12"/>
        <v>240</v>
      </c>
      <c r="AF20" s="31">
        <f t="shared" si="12"/>
        <v>663</v>
      </c>
    </row>
    <row r="21" spans="2:32" ht="23.1" customHeight="1" x14ac:dyDescent="0.25">
      <c r="B21" s="23" t="s">
        <v>48</v>
      </c>
      <c r="C21" s="50">
        <v>63</v>
      </c>
      <c r="D21" s="50">
        <v>7</v>
      </c>
      <c r="E21" s="50">
        <v>8</v>
      </c>
      <c r="F21" s="50">
        <v>7</v>
      </c>
      <c r="G21" s="50">
        <v>0</v>
      </c>
      <c r="H21" s="50">
        <v>0</v>
      </c>
      <c r="I21" s="50">
        <v>1</v>
      </c>
      <c r="J21" s="50">
        <v>1</v>
      </c>
      <c r="K21" s="50">
        <v>1</v>
      </c>
      <c r="L21" s="50">
        <v>0</v>
      </c>
      <c r="M21" s="50">
        <v>107</v>
      </c>
      <c r="N21" s="50">
        <v>0</v>
      </c>
      <c r="O21" s="15">
        <f t="shared" si="0"/>
        <v>88</v>
      </c>
      <c r="P21" s="15">
        <f t="shared" si="1"/>
        <v>195</v>
      </c>
      <c r="R21" s="36" t="s">
        <v>20</v>
      </c>
      <c r="S21" s="34">
        <f t="shared" ref="S21:AF21" si="13">SUM(C54:C57)</f>
        <v>105</v>
      </c>
      <c r="T21" s="17">
        <f t="shared" si="13"/>
        <v>16</v>
      </c>
      <c r="U21" s="17">
        <f t="shared" si="13"/>
        <v>21</v>
      </c>
      <c r="V21" s="17">
        <f t="shared" si="13"/>
        <v>35</v>
      </c>
      <c r="W21" s="17">
        <f t="shared" si="13"/>
        <v>2</v>
      </c>
      <c r="X21" s="17">
        <f t="shared" si="13"/>
        <v>2</v>
      </c>
      <c r="Y21" s="17">
        <f t="shared" si="13"/>
        <v>10</v>
      </c>
      <c r="Z21" s="17">
        <f t="shared" si="13"/>
        <v>1</v>
      </c>
      <c r="AA21" s="17">
        <f t="shared" si="13"/>
        <v>2</v>
      </c>
      <c r="AB21" s="17">
        <f t="shared" si="13"/>
        <v>0</v>
      </c>
      <c r="AC21" s="17">
        <f t="shared" si="13"/>
        <v>422</v>
      </c>
      <c r="AD21" s="17">
        <f t="shared" si="13"/>
        <v>0</v>
      </c>
      <c r="AE21" s="31">
        <f t="shared" si="13"/>
        <v>194</v>
      </c>
      <c r="AF21" s="31">
        <f t="shared" si="13"/>
        <v>616</v>
      </c>
    </row>
    <row r="22" spans="2:32" ht="23.1" customHeight="1" x14ac:dyDescent="0.25">
      <c r="B22" s="23" t="s">
        <v>49</v>
      </c>
      <c r="C22" s="50">
        <v>41</v>
      </c>
      <c r="D22" s="50">
        <v>5</v>
      </c>
      <c r="E22" s="50">
        <v>5</v>
      </c>
      <c r="F22" s="50">
        <v>7</v>
      </c>
      <c r="G22" s="50">
        <v>0</v>
      </c>
      <c r="H22" s="50">
        <v>0</v>
      </c>
      <c r="I22" s="50">
        <v>1</v>
      </c>
      <c r="J22" s="50">
        <v>1</v>
      </c>
      <c r="K22" s="50">
        <v>2</v>
      </c>
      <c r="L22" s="50">
        <v>0</v>
      </c>
      <c r="M22" s="50">
        <v>102</v>
      </c>
      <c r="N22" s="50">
        <v>0</v>
      </c>
      <c r="O22" s="15">
        <f t="shared" si="0"/>
        <v>62</v>
      </c>
      <c r="P22" s="15">
        <f t="shared" si="1"/>
        <v>164</v>
      </c>
      <c r="R22" s="38" t="s">
        <v>90</v>
      </c>
      <c r="S22" s="39">
        <f>MAX(S10:S12)</f>
        <v>271</v>
      </c>
      <c r="T22" s="39">
        <f t="shared" ref="T22:AF22" si="14">MAX(T10:T12)</f>
        <v>39</v>
      </c>
      <c r="U22" s="39">
        <f t="shared" si="14"/>
        <v>33</v>
      </c>
      <c r="V22" s="39">
        <f t="shared" si="14"/>
        <v>165</v>
      </c>
      <c r="W22" s="39">
        <f t="shared" si="14"/>
        <v>3</v>
      </c>
      <c r="X22" s="39">
        <f t="shared" si="14"/>
        <v>0</v>
      </c>
      <c r="Y22" s="39">
        <f t="shared" si="14"/>
        <v>10</v>
      </c>
      <c r="Z22" s="39">
        <f t="shared" si="14"/>
        <v>4</v>
      </c>
      <c r="AA22" s="39">
        <f t="shared" si="14"/>
        <v>7</v>
      </c>
      <c r="AB22" s="39">
        <f t="shared" si="14"/>
        <v>1</v>
      </c>
      <c r="AC22" s="39">
        <f t="shared" si="14"/>
        <v>454</v>
      </c>
      <c r="AD22" s="39">
        <f t="shared" si="14"/>
        <v>0</v>
      </c>
      <c r="AE22" s="40">
        <f t="shared" si="14"/>
        <v>517</v>
      </c>
      <c r="AF22" s="40">
        <f t="shared" si="14"/>
        <v>970</v>
      </c>
    </row>
    <row r="23" spans="2:32" ht="23.1" customHeight="1" x14ac:dyDescent="0.25">
      <c r="B23" s="23" t="s">
        <v>50</v>
      </c>
      <c r="C23" s="50">
        <v>32</v>
      </c>
      <c r="D23" s="50">
        <v>7</v>
      </c>
      <c r="E23" s="50">
        <v>4</v>
      </c>
      <c r="F23" s="50">
        <v>8</v>
      </c>
      <c r="G23" s="50">
        <v>0</v>
      </c>
      <c r="H23" s="50">
        <v>0</v>
      </c>
      <c r="I23" s="50">
        <v>3</v>
      </c>
      <c r="J23" s="50">
        <v>1</v>
      </c>
      <c r="K23" s="50">
        <v>0</v>
      </c>
      <c r="L23" s="50">
        <v>0</v>
      </c>
      <c r="M23" s="50">
        <v>81</v>
      </c>
      <c r="N23" s="50">
        <v>0</v>
      </c>
      <c r="O23" s="15">
        <f t="shared" si="0"/>
        <v>55</v>
      </c>
      <c r="P23" s="15">
        <f t="shared" si="1"/>
        <v>136</v>
      </c>
      <c r="R23" s="38" t="s">
        <v>91</v>
      </c>
      <c r="S23" s="39">
        <f>MAX(S13:S18)</f>
        <v>151</v>
      </c>
      <c r="T23" s="39">
        <f t="shared" ref="T23:AF23" si="15">MAX(T13:T18)</f>
        <v>25</v>
      </c>
      <c r="U23" s="39">
        <f t="shared" si="15"/>
        <v>19</v>
      </c>
      <c r="V23" s="39">
        <f t="shared" si="15"/>
        <v>31</v>
      </c>
      <c r="W23" s="39">
        <f t="shared" si="15"/>
        <v>4</v>
      </c>
      <c r="X23" s="39">
        <f t="shared" si="15"/>
        <v>0</v>
      </c>
      <c r="Y23" s="39">
        <f t="shared" si="15"/>
        <v>16</v>
      </c>
      <c r="Z23" s="39">
        <f t="shared" si="15"/>
        <v>7</v>
      </c>
      <c r="AA23" s="39">
        <f t="shared" si="15"/>
        <v>2</v>
      </c>
      <c r="AB23" s="39">
        <f t="shared" si="15"/>
        <v>1</v>
      </c>
      <c r="AC23" s="39">
        <f t="shared" si="15"/>
        <v>333</v>
      </c>
      <c r="AD23" s="39">
        <f t="shared" si="15"/>
        <v>0</v>
      </c>
      <c r="AE23" s="40">
        <f t="shared" si="15"/>
        <v>246</v>
      </c>
      <c r="AF23" s="40">
        <f t="shared" si="15"/>
        <v>576</v>
      </c>
    </row>
    <row r="24" spans="2:32" ht="23.1" customHeight="1" x14ac:dyDescent="0.25">
      <c r="B24" s="23" t="s">
        <v>51</v>
      </c>
      <c r="C24" s="50">
        <v>27</v>
      </c>
      <c r="D24" s="50">
        <v>9</v>
      </c>
      <c r="E24" s="50">
        <v>2</v>
      </c>
      <c r="F24" s="50">
        <v>6</v>
      </c>
      <c r="G24" s="50">
        <v>1</v>
      </c>
      <c r="H24" s="50">
        <v>0</v>
      </c>
      <c r="I24" s="50">
        <v>5</v>
      </c>
      <c r="J24" s="50">
        <v>2</v>
      </c>
      <c r="K24" s="50">
        <v>0</v>
      </c>
      <c r="L24" s="50">
        <v>0</v>
      </c>
      <c r="M24" s="50">
        <v>73</v>
      </c>
      <c r="N24" s="50">
        <v>0</v>
      </c>
      <c r="O24" s="15">
        <f t="shared" si="0"/>
        <v>52</v>
      </c>
      <c r="P24" s="15">
        <f t="shared" si="1"/>
        <v>125</v>
      </c>
      <c r="R24" s="38" t="s">
        <v>92</v>
      </c>
      <c r="S24" s="39">
        <f>MAX(S19:S21)</f>
        <v>158</v>
      </c>
      <c r="T24" s="39">
        <f t="shared" ref="T24:AF24" si="16">MAX(T19:T21)</f>
        <v>16</v>
      </c>
      <c r="U24" s="39">
        <f t="shared" si="16"/>
        <v>21</v>
      </c>
      <c r="V24" s="39">
        <f t="shared" si="16"/>
        <v>38</v>
      </c>
      <c r="W24" s="39">
        <f t="shared" si="16"/>
        <v>2</v>
      </c>
      <c r="X24" s="39">
        <f t="shared" si="16"/>
        <v>2</v>
      </c>
      <c r="Y24" s="39">
        <f t="shared" si="16"/>
        <v>10</v>
      </c>
      <c r="Z24" s="39">
        <f t="shared" si="16"/>
        <v>3</v>
      </c>
      <c r="AA24" s="39">
        <f t="shared" si="16"/>
        <v>2</v>
      </c>
      <c r="AB24" s="39">
        <f t="shared" si="16"/>
        <v>0</v>
      </c>
      <c r="AC24" s="39">
        <f t="shared" si="16"/>
        <v>423</v>
      </c>
      <c r="AD24" s="39">
        <f t="shared" si="16"/>
        <v>1</v>
      </c>
      <c r="AE24" s="40">
        <f t="shared" si="16"/>
        <v>240</v>
      </c>
      <c r="AF24" s="40">
        <f t="shared" si="16"/>
        <v>663</v>
      </c>
    </row>
    <row r="25" spans="2:32" ht="23.1" customHeight="1" x14ac:dyDescent="0.25">
      <c r="B25" s="23" t="s">
        <v>52</v>
      </c>
      <c r="C25" s="50">
        <v>47</v>
      </c>
      <c r="D25" s="50">
        <v>4</v>
      </c>
      <c r="E25" s="50">
        <v>8</v>
      </c>
      <c r="F25" s="50">
        <v>10</v>
      </c>
      <c r="G25" s="50">
        <v>0</v>
      </c>
      <c r="H25" s="50">
        <v>0</v>
      </c>
      <c r="I25" s="50">
        <v>4</v>
      </c>
      <c r="J25" s="50">
        <v>1</v>
      </c>
      <c r="K25" s="50">
        <v>0</v>
      </c>
      <c r="L25" s="50">
        <v>0</v>
      </c>
      <c r="M25" s="50">
        <v>77</v>
      </c>
      <c r="N25" s="50">
        <v>0</v>
      </c>
      <c r="O25" s="15">
        <f t="shared" si="0"/>
        <v>74</v>
      </c>
      <c r="P25" s="15">
        <f t="shared" si="1"/>
        <v>151</v>
      </c>
      <c r="R25" s="37" t="s">
        <v>85</v>
      </c>
      <c r="S25" s="35">
        <f t="shared" ref="S25:AF25" si="17">SUM(S10:S12)</f>
        <v>725</v>
      </c>
      <c r="T25" s="16">
        <f t="shared" si="17"/>
        <v>85</v>
      </c>
      <c r="U25" s="16">
        <f t="shared" si="17"/>
        <v>76</v>
      </c>
      <c r="V25" s="16">
        <f t="shared" si="17"/>
        <v>295</v>
      </c>
      <c r="W25" s="16">
        <f t="shared" si="17"/>
        <v>5</v>
      </c>
      <c r="X25" s="16">
        <f t="shared" si="17"/>
        <v>0</v>
      </c>
      <c r="Y25" s="16">
        <f t="shared" si="17"/>
        <v>21</v>
      </c>
      <c r="Z25" s="16">
        <f t="shared" si="17"/>
        <v>7</v>
      </c>
      <c r="AA25" s="16">
        <f t="shared" si="17"/>
        <v>9</v>
      </c>
      <c r="AB25" s="16">
        <f t="shared" si="17"/>
        <v>1</v>
      </c>
      <c r="AC25" s="16">
        <f t="shared" si="17"/>
        <v>1316</v>
      </c>
      <c r="AD25" s="16">
        <f t="shared" si="17"/>
        <v>0</v>
      </c>
      <c r="AE25" s="32">
        <f t="shared" si="17"/>
        <v>1224</v>
      </c>
      <c r="AF25" s="32">
        <f t="shared" si="17"/>
        <v>2540</v>
      </c>
    </row>
    <row r="26" spans="2:32" ht="23.1" customHeight="1" x14ac:dyDescent="0.25">
      <c r="B26" s="23" t="s">
        <v>53</v>
      </c>
      <c r="C26" s="50">
        <v>37</v>
      </c>
      <c r="D26" s="50">
        <v>3</v>
      </c>
      <c r="E26" s="50">
        <v>7</v>
      </c>
      <c r="F26" s="50">
        <v>6</v>
      </c>
      <c r="G26" s="50">
        <v>2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71</v>
      </c>
      <c r="N26" s="50">
        <v>0</v>
      </c>
      <c r="O26" s="15">
        <f t="shared" si="0"/>
        <v>57</v>
      </c>
      <c r="P26" s="15">
        <f t="shared" si="1"/>
        <v>128</v>
      </c>
      <c r="R26" s="28" t="s">
        <v>86</v>
      </c>
      <c r="S26" s="16">
        <f t="shared" ref="S26:AF26" si="18">SUM(S13:S18)</f>
        <v>731</v>
      </c>
      <c r="T26" s="16">
        <f t="shared" si="18"/>
        <v>98</v>
      </c>
      <c r="U26" s="16">
        <f t="shared" si="18"/>
        <v>91</v>
      </c>
      <c r="V26" s="16">
        <f t="shared" si="18"/>
        <v>155</v>
      </c>
      <c r="W26" s="16">
        <f t="shared" si="18"/>
        <v>6</v>
      </c>
      <c r="X26" s="16">
        <f t="shared" si="18"/>
        <v>0</v>
      </c>
      <c r="Y26" s="16">
        <f t="shared" si="18"/>
        <v>61</v>
      </c>
      <c r="Z26" s="16">
        <f t="shared" si="18"/>
        <v>28</v>
      </c>
      <c r="AA26" s="16">
        <f t="shared" si="18"/>
        <v>3</v>
      </c>
      <c r="AB26" s="16">
        <f t="shared" si="18"/>
        <v>1</v>
      </c>
      <c r="AC26" s="16">
        <f t="shared" si="18"/>
        <v>1669</v>
      </c>
      <c r="AD26" s="16">
        <f t="shared" si="18"/>
        <v>0</v>
      </c>
      <c r="AE26" s="32">
        <f t="shared" si="18"/>
        <v>1174</v>
      </c>
      <c r="AF26" s="32">
        <f t="shared" si="18"/>
        <v>2843</v>
      </c>
    </row>
    <row r="27" spans="2:32" ht="23.1" customHeight="1" x14ac:dyDescent="0.25">
      <c r="B27" s="23" t="s">
        <v>54</v>
      </c>
      <c r="C27" s="50">
        <v>38</v>
      </c>
      <c r="D27" s="50">
        <v>4</v>
      </c>
      <c r="E27" s="50">
        <v>4</v>
      </c>
      <c r="F27" s="50">
        <v>7</v>
      </c>
      <c r="G27" s="50">
        <v>1</v>
      </c>
      <c r="H27" s="50">
        <v>0</v>
      </c>
      <c r="I27" s="50">
        <v>3</v>
      </c>
      <c r="J27" s="50">
        <v>0</v>
      </c>
      <c r="K27" s="50">
        <v>0</v>
      </c>
      <c r="L27" s="50">
        <v>0</v>
      </c>
      <c r="M27" s="50">
        <v>63</v>
      </c>
      <c r="N27" s="50">
        <v>0</v>
      </c>
      <c r="O27" s="15">
        <f t="shared" si="0"/>
        <v>57</v>
      </c>
      <c r="P27" s="15">
        <f t="shared" si="1"/>
        <v>120</v>
      </c>
      <c r="R27" s="29" t="s">
        <v>87</v>
      </c>
      <c r="S27" s="16">
        <f t="shared" ref="S27:AF27" si="19">SUM(S19:S21)</f>
        <v>381</v>
      </c>
      <c r="T27" s="16">
        <f t="shared" si="19"/>
        <v>46</v>
      </c>
      <c r="U27" s="16">
        <f t="shared" si="19"/>
        <v>44</v>
      </c>
      <c r="V27" s="16">
        <f t="shared" si="19"/>
        <v>96</v>
      </c>
      <c r="W27" s="16">
        <f t="shared" si="19"/>
        <v>4</v>
      </c>
      <c r="X27" s="16">
        <f t="shared" si="19"/>
        <v>3</v>
      </c>
      <c r="Y27" s="16">
        <f t="shared" si="19"/>
        <v>25</v>
      </c>
      <c r="Z27" s="16">
        <f t="shared" si="19"/>
        <v>7</v>
      </c>
      <c r="AA27" s="16">
        <f t="shared" si="19"/>
        <v>5</v>
      </c>
      <c r="AB27" s="16">
        <f t="shared" si="19"/>
        <v>0</v>
      </c>
      <c r="AC27" s="16">
        <f t="shared" si="19"/>
        <v>1139</v>
      </c>
      <c r="AD27" s="16">
        <f t="shared" si="19"/>
        <v>1</v>
      </c>
      <c r="AE27" s="32">
        <f t="shared" si="19"/>
        <v>612</v>
      </c>
      <c r="AF27" s="32">
        <f t="shared" si="19"/>
        <v>1751</v>
      </c>
    </row>
    <row r="28" spans="2:32" ht="23.1" customHeight="1" x14ac:dyDescent="0.25">
      <c r="B28" s="23" t="s">
        <v>55</v>
      </c>
      <c r="C28" s="50">
        <v>44</v>
      </c>
      <c r="D28" s="50">
        <v>6</v>
      </c>
      <c r="E28" s="50">
        <v>4</v>
      </c>
      <c r="F28" s="50">
        <v>8</v>
      </c>
      <c r="G28" s="50">
        <v>0</v>
      </c>
      <c r="H28" s="50">
        <v>0</v>
      </c>
      <c r="I28" s="50">
        <v>6</v>
      </c>
      <c r="J28" s="50">
        <v>0</v>
      </c>
      <c r="K28" s="50">
        <v>0</v>
      </c>
      <c r="L28" s="50">
        <v>0</v>
      </c>
      <c r="M28" s="50">
        <v>77</v>
      </c>
      <c r="N28" s="50">
        <v>0</v>
      </c>
      <c r="O28" s="15">
        <f t="shared" si="0"/>
        <v>68</v>
      </c>
      <c r="P28" s="15">
        <f t="shared" si="1"/>
        <v>145</v>
      </c>
      <c r="R28" s="5" t="s">
        <v>17</v>
      </c>
      <c r="S28" s="16">
        <f t="shared" ref="S28:AF28" si="20">SUM(S10:S21)</f>
        <v>1837</v>
      </c>
      <c r="T28" s="16">
        <f t="shared" si="20"/>
        <v>229</v>
      </c>
      <c r="U28" s="16">
        <f t="shared" si="20"/>
        <v>211</v>
      </c>
      <c r="V28" s="16">
        <f t="shared" si="20"/>
        <v>546</v>
      </c>
      <c r="W28" s="16">
        <f t="shared" si="20"/>
        <v>15</v>
      </c>
      <c r="X28" s="16">
        <f t="shared" si="20"/>
        <v>3</v>
      </c>
      <c r="Y28" s="16">
        <f t="shared" si="20"/>
        <v>107</v>
      </c>
      <c r="Z28" s="16">
        <f t="shared" si="20"/>
        <v>42</v>
      </c>
      <c r="AA28" s="16">
        <f t="shared" si="20"/>
        <v>17</v>
      </c>
      <c r="AB28" s="16">
        <f t="shared" si="20"/>
        <v>2</v>
      </c>
      <c r="AC28" s="16">
        <f t="shared" si="20"/>
        <v>4124</v>
      </c>
      <c r="AD28" s="16">
        <f t="shared" si="20"/>
        <v>1</v>
      </c>
      <c r="AE28" s="32">
        <f t="shared" si="20"/>
        <v>3010</v>
      </c>
      <c r="AF28" s="32">
        <f t="shared" si="20"/>
        <v>7134</v>
      </c>
    </row>
    <row r="29" spans="2:32" ht="23.1" customHeight="1" x14ac:dyDescent="0.25">
      <c r="B29" s="23" t="s">
        <v>56</v>
      </c>
      <c r="C29" s="50">
        <v>32</v>
      </c>
      <c r="D29" s="50">
        <v>10</v>
      </c>
      <c r="E29" s="50">
        <v>4</v>
      </c>
      <c r="F29" s="50">
        <v>8</v>
      </c>
      <c r="G29" s="50">
        <v>1</v>
      </c>
      <c r="H29" s="50">
        <v>0</v>
      </c>
      <c r="I29" s="50">
        <v>5</v>
      </c>
      <c r="J29" s="50">
        <v>3</v>
      </c>
      <c r="K29" s="50">
        <v>1</v>
      </c>
      <c r="L29" s="50">
        <v>0</v>
      </c>
      <c r="M29" s="50">
        <v>79</v>
      </c>
      <c r="N29" s="50">
        <v>0</v>
      </c>
      <c r="O29" s="15">
        <f t="shared" si="0"/>
        <v>64</v>
      </c>
      <c r="P29" s="15">
        <f t="shared" si="1"/>
        <v>143</v>
      </c>
      <c r="R29"/>
      <c r="S29" s="20"/>
      <c r="T29" s="19"/>
    </row>
    <row r="30" spans="2:32" ht="23.1" customHeight="1" x14ac:dyDescent="0.25">
      <c r="B30" s="23" t="s">
        <v>57</v>
      </c>
      <c r="C30" s="50">
        <v>41</v>
      </c>
      <c r="D30" s="50">
        <v>2</v>
      </c>
      <c r="E30" s="50">
        <v>1</v>
      </c>
      <c r="F30" s="50">
        <v>9</v>
      </c>
      <c r="G30" s="50">
        <v>0</v>
      </c>
      <c r="H30" s="50">
        <v>0</v>
      </c>
      <c r="I30" s="50">
        <v>1</v>
      </c>
      <c r="J30" s="50">
        <v>3</v>
      </c>
      <c r="K30" s="50">
        <v>0</v>
      </c>
      <c r="L30" s="50">
        <v>0</v>
      </c>
      <c r="M30" s="50">
        <v>72</v>
      </c>
      <c r="N30" s="50">
        <v>0</v>
      </c>
      <c r="O30" s="15">
        <f t="shared" si="0"/>
        <v>57</v>
      </c>
      <c r="P30" s="15">
        <f t="shared" si="1"/>
        <v>129</v>
      </c>
    </row>
    <row r="31" spans="2:32" ht="23.1" customHeight="1" x14ac:dyDescent="0.25">
      <c r="B31" s="24" t="s">
        <v>58</v>
      </c>
      <c r="C31" s="50">
        <v>42</v>
      </c>
      <c r="D31" s="50">
        <v>4</v>
      </c>
      <c r="E31" s="50">
        <v>6</v>
      </c>
      <c r="F31" s="50">
        <v>7</v>
      </c>
      <c r="G31" s="50">
        <v>0</v>
      </c>
      <c r="H31" s="50">
        <v>0</v>
      </c>
      <c r="I31" s="50">
        <v>3</v>
      </c>
      <c r="J31" s="50">
        <v>1</v>
      </c>
      <c r="K31" s="50">
        <v>0</v>
      </c>
      <c r="L31" s="50">
        <v>0</v>
      </c>
      <c r="M31" s="50">
        <v>82</v>
      </c>
      <c r="N31" s="50">
        <v>0</v>
      </c>
      <c r="O31" s="15">
        <f t="shared" si="0"/>
        <v>63</v>
      </c>
      <c r="P31" s="15">
        <f t="shared" si="1"/>
        <v>145</v>
      </c>
    </row>
    <row r="32" spans="2:32" ht="23.1" customHeight="1" x14ac:dyDescent="0.25">
      <c r="B32" s="24" t="s">
        <v>59</v>
      </c>
      <c r="C32" s="50">
        <v>25</v>
      </c>
      <c r="D32" s="50">
        <v>2</v>
      </c>
      <c r="E32" s="50">
        <v>1</v>
      </c>
      <c r="F32" s="50">
        <v>3</v>
      </c>
      <c r="G32" s="50">
        <v>0</v>
      </c>
      <c r="H32" s="50">
        <v>0</v>
      </c>
      <c r="I32" s="50">
        <v>3</v>
      </c>
      <c r="J32" s="50">
        <v>0</v>
      </c>
      <c r="K32" s="50">
        <v>0</v>
      </c>
      <c r="L32" s="50">
        <v>0</v>
      </c>
      <c r="M32" s="50">
        <v>68</v>
      </c>
      <c r="N32" s="50">
        <v>0</v>
      </c>
      <c r="O32" s="15">
        <f t="shared" si="0"/>
        <v>34</v>
      </c>
      <c r="P32" s="15">
        <f t="shared" si="1"/>
        <v>102</v>
      </c>
    </row>
    <row r="33" spans="2:20" ht="23.1" customHeight="1" x14ac:dyDescent="0.25">
      <c r="B33" s="23" t="s">
        <v>60</v>
      </c>
      <c r="C33" s="50">
        <v>26</v>
      </c>
      <c r="D33" s="50">
        <v>3</v>
      </c>
      <c r="E33" s="50">
        <v>1</v>
      </c>
      <c r="F33" s="50">
        <v>9</v>
      </c>
      <c r="G33" s="50">
        <v>0</v>
      </c>
      <c r="H33" s="50">
        <v>0</v>
      </c>
      <c r="I33" s="50">
        <v>2</v>
      </c>
      <c r="J33" s="50">
        <v>2</v>
      </c>
      <c r="K33" s="50">
        <v>0</v>
      </c>
      <c r="L33" s="50">
        <v>0</v>
      </c>
      <c r="M33" s="50">
        <v>78</v>
      </c>
      <c r="N33" s="50">
        <v>0</v>
      </c>
      <c r="O33" s="15">
        <f t="shared" si="0"/>
        <v>43</v>
      </c>
      <c r="P33" s="15">
        <f t="shared" si="1"/>
        <v>121</v>
      </c>
    </row>
    <row r="34" spans="2:20" ht="23.1" customHeight="1" x14ac:dyDescent="0.25">
      <c r="B34" s="24" t="s">
        <v>61</v>
      </c>
      <c r="C34" s="50">
        <v>29</v>
      </c>
      <c r="D34" s="50">
        <v>5</v>
      </c>
      <c r="E34" s="50">
        <v>6</v>
      </c>
      <c r="F34" s="50">
        <v>5</v>
      </c>
      <c r="G34" s="50">
        <v>0</v>
      </c>
      <c r="H34" s="50">
        <v>0</v>
      </c>
      <c r="I34" s="50">
        <v>5</v>
      </c>
      <c r="J34" s="50">
        <v>3</v>
      </c>
      <c r="K34" s="50">
        <v>0</v>
      </c>
      <c r="L34" s="50">
        <v>0</v>
      </c>
      <c r="M34" s="50">
        <v>59</v>
      </c>
      <c r="N34" s="50">
        <v>0</v>
      </c>
      <c r="O34" s="15">
        <f t="shared" si="0"/>
        <v>53</v>
      </c>
      <c r="P34" s="15">
        <f t="shared" si="1"/>
        <v>112</v>
      </c>
    </row>
    <row r="35" spans="2:20" ht="23.1" customHeight="1" x14ac:dyDescent="0.25">
      <c r="B35" s="24" t="s">
        <v>62</v>
      </c>
      <c r="C35" s="50">
        <v>22</v>
      </c>
      <c r="D35" s="50">
        <v>3</v>
      </c>
      <c r="E35" s="50">
        <v>3</v>
      </c>
      <c r="F35" s="50">
        <v>5</v>
      </c>
      <c r="G35" s="50">
        <v>0</v>
      </c>
      <c r="H35" s="50">
        <v>0</v>
      </c>
      <c r="I35" s="50">
        <v>3</v>
      </c>
      <c r="J35" s="50">
        <v>2</v>
      </c>
      <c r="K35" s="50">
        <v>0</v>
      </c>
      <c r="L35" s="50">
        <v>0</v>
      </c>
      <c r="M35" s="50">
        <v>58</v>
      </c>
      <c r="N35" s="50">
        <v>0</v>
      </c>
      <c r="O35" s="15">
        <f t="shared" si="0"/>
        <v>38</v>
      </c>
      <c r="P35" s="15">
        <f t="shared" si="1"/>
        <v>96</v>
      </c>
    </row>
    <row r="36" spans="2:20" ht="23.1" customHeight="1" x14ac:dyDescent="0.25">
      <c r="B36" s="24" t="s">
        <v>63</v>
      </c>
      <c r="C36" s="50">
        <v>21</v>
      </c>
      <c r="D36" s="50">
        <v>3</v>
      </c>
      <c r="E36" s="50">
        <v>4</v>
      </c>
      <c r="F36" s="50">
        <v>6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v>0</v>
      </c>
      <c r="M36" s="50">
        <v>63</v>
      </c>
      <c r="N36" s="50">
        <v>0</v>
      </c>
      <c r="O36" s="15">
        <f t="shared" si="0"/>
        <v>37</v>
      </c>
      <c r="P36" s="15">
        <f t="shared" si="1"/>
        <v>100</v>
      </c>
    </row>
    <row r="37" spans="2:20" ht="23.1" customHeight="1" x14ac:dyDescent="0.25">
      <c r="B37" s="23" t="s">
        <v>64</v>
      </c>
      <c r="C37" s="50">
        <v>23</v>
      </c>
      <c r="D37" s="50">
        <v>6</v>
      </c>
      <c r="E37" s="50">
        <v>6</v>
      </c>
      <c r="F37" s="50">
        <v>10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68</v>
      </c>
      <c r="N37" s="50">
        <v>0</v>
      </c>
      <c r="O37" s="15">
        <f t="shared" si="0"/>
        <v>46</v>
      </c>
      <c r="P37" s="15">
        <f t="shared" si="1"/>
        <v>114</v>
      </c>
    </row>
    <row r="38" spans="2:20" ht="23.1" customHeight="1" x14ac:dyDescent="0.25">
      <c r="B38" s="24" t="s">
        <v>65</v>
      </c>
      <c r="C38" s="50">
        <v>22</v>
      </c>
      <c r="D38" s="50">
        <v>2</v>
      </c>
      <c r="E38" s="50">
        <v>2</v>
      </c>
      <c r="F38" s="50">
        <v>3</v>
      </c>
      <c r="G38" s="50">
        <v>0</v>
      </c>
      <c r="H38" s="50">
        <v>0</v>
      </c>
      <c r="I38" s="50">
        <v>2</v>
      </c>
      <c r="J38" s="50">
        <v>2</v>
      </c>
      <c r="K38" s="50">
        <v>0</v>
      </c>
      <c r="L38" s="50">
        <v>0</v>
      </c>
      <c r="M38" s="50">
        <v>54</v>
      </c>
      <c r="N38" s="50">
        <v>0</v>
      </c>
      <c r="O38" s="15">
        <f t="shared" si="0"/>
        <v>33</v>
      </c>
      <c r="P38" s="15">
        <f t="shared" si="1"/>
        <v>87</v>
      </c>
    </row>
    <row r="39" spans="2:20" ht="23.1" customHeight="1" x14ac:dyDescent="0.25">
      <c r="B39" s="24" t="s">
        <v>66</v>
      </c>
      <c r="C39" s="50">
        <v>25</v>
      </c>
      <c r="D39" s="50">
        <v>2</v>
      </c>
      <c r="E39" s="50">
        <v>3</v>
      </c>
      <c r="F39" s="50">
        <v>6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60</v>
      </c>
      <c r="N39" s="50">
        <v>0</v>
      </c>
      <c r="O39" s="15">
        <f t="shared" si="0"/>
        <v>38</v>
      </c>
      <c r="P39" s="15">
        <f t="shared" si="1"/>
        <v>98</v>
      </c>
    </row>
    <row r="40" spans="2:20" ht="23.1" customHeight="1" x14ac:dyDescent="0.25">
      <c r="B40" s="24" t="s">
        <v>67</v>
      </c>
      <c r="C40" s="50">
        <v>29</v>
      </c>
      <c r="D40" s="50">
        <v>4</v>
      </c>
      <c r="E40" s="50">
        <v>5</v>
      </c>
      <c r="F40" s="50">
        <v>5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52</v>
      </c>
      <c r="N40" s="50">
        <v>0</v>
      </c>
      <c r="O40" s="15">
        <f t="shared" si="0"/>
        <v>45</v>
      </c>
      <c r="P40" s="15">
        <f t="shared" si="1"/>
        <v>97</v>
      </c>
    </row>
    <row r="41" spans="2:20" ht="23.1" customHeight="1" x14ac:dyDescent="0.25">
      <c r="B41" s="23" t="s">
        <v>68</v>
      </c>
      <c r="C41" s="50">
        <v>30</v>
      </c>
      <c r="D41" s="50">
        <v>2</v>
      </c>
      <c r="E41" s="50">
        <v>3</v>
      </c>
      <c r="F41" s="50">
        <v>4</v>
      </c>
      <c r="G41" s="50">
        <v>1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64</v>
      </c>
      <c r="N41" s="50">
        <v>0</v>
      </c>
      <c r="O41" s="15">
        <f t="shared" si="0"/>
        <v>41</v>
      </c>
      <c r="P41" s="15">
        <f t="shared" si="1"/>
        <v>105</v>
      </c>
    </row>
    <row r="42" spans="2:20" ht="23.1" customHeight="1" x14ac:dyDescent="0.25">
      <c r="B42" s="24" t="s">
        <v>69</v>
      </c>
      <c r="C42" s="50">
        <v>26</v>
      </c>
      <c r="D42" s="50">
        <v>6</v>
      </c>
      <c r="E42" s="50">
        <v>3</v>
      </c>
      <c r="F42" s="50">
        <v>4</v>
      </c>
      <c r="G42" s="50">
        <v>0</v>
      </c>
      <c r="H42" s="50">
        <v>0</v>
      </c>
      <c r="I42" s="50">
        <v>1</v>
      </c>
      <c r="J42" s="50">
        <v>3</v>
      </c>
      <c r="K42" s="50">
        <v>0</v>
      </c>
      <c r="L42" s="50">
        <v>0</v>
      </c>
      <c r="M42" s="50">
        <v>69</v>
      </c>
      <c r="N42" s="50">
        <v>0</v>
      </c>
      <c r="O42" s="15">
        <f t="shared" si="0"/>
        <v>43</v>
      </c>
      <c r="P42" s="15">
        <f t="shared" si="1"/>
        <v>112</v>
      </c>
    </row>
    <row r="43" spans="2:20" ht="23.1" customHeight="1" x14ac:dyDescent="0.25">
      <c r="B43" s="23" t="s">
        <v>70</v>
      </c>
      <c r="C43" s="50">
        <v>22</v>
      </c>
      <c r="D43" s="50">
        <v>0</v>
      </c>
      <c r="E43" s="50">
        <v>4</v>
      </c>
      <c r="F43" s="50">
        <v>7</v>
      </c>
      <c r="G43" s="50">
        <v>0</v>
      </c>
      <c r="H43" s="50">
        <v>0</v>
      </c>
      <c r="I43" s="50">
        <v>0</v>
      </c>
      <c r="J43" s="50">
        <v>2</v>
      </c>
      <c r="K43" s="50">
        <v>0</v>
      </c>
      <c r="L43" s="50">
        <v>0</v>
      </c>
      <c r="M43" s="50">
        <v>62</v>
      </c>
      <c r="N43" s="50">
        <v>0</v>
      </c>
      <c r="O43" s="15">
        <f t="shared" si="0"/>
        <v>35</v>
      </c>
      <c r="P43" s="15">
        <f t="shared" si="1"/>
        <v>97</v>
      </c>
    </row>
    <row r="44" spans="2:20" ht="23.1" customHeight="1" x14ac:dyDescent="0.25">
      <c r="B44" s="25" t="s">
        <v>71</v>
      </c>
      <c r="C44" s="50">
        <v>29</v>
      </c>
      <c r="D44" s="50">
        <v>2</v>
      </c>
      <c r="E44" s="50">
        <v>3</v>
      </c>
      <c r="F44" s="50">
        <v>8</v>
      </c>
      <c r="G44" s="50">
        <v>0</v>
      </c>
      <c r="H44" s="50">
        <v>0</v>
      </c>
      <c r="I44" s="50">
        <v>1</v>
      </c>
      <c r="J44" s="50">
        <v>1</v>
      </c>
      <c r="K44" s="50">
        <v>0</v>
      </c>
      <c r="L44" s="50">
        <v>0</v>
      </c>
      <c r="M44" s="50">
        <v>70</v>
      </c>
      <c r="N44" s="50">
        <v>0</v>
      </c>
      <c r="O44" s="15">
        <f t="shared" si="0"/>
        <v>44</v>
      </c>
      <c r="P44" s="15">
        <f t="shared" si="1"/>
        <v>114</v>
      </c>
    </row>
    <row r="45" spans="2:20" ht="23.1" customHeight="1" x14ac:dyDescent="0.25">
      <c r="B45" s="23" t="s">
        <v>72</v>
      </c>
      <c r="C45" s="50">
        <v>21</v>
      </c>
      <c r="D45" s="50">
        <v>4</v>
      </c>
      <c r="E45" s="50">
        <v>2</v>
      </c>
      <c r="F45" s="50">
        <v>4</v>
      </c>
      <c r="G45" s="50">
        <v>0</v>
      </c>
      <c r="H45" s="50">
        <v>0</v>
      </c>
      <c r="I45" s="50">
        <v>2</v>
      </c>
      <c r="J45" s="50">
        <v>1</v>
      </c>
      <c r="K45" s="50">
        <v>0</v>
      </c>
      <c r="L45" s="50">
        <v>1</v>
      </c>
      <c r="M45" s="50">
        <v>67</v>
      </c>
      <c r="N45" s="50">
        <v>0</v>
      </c>
      <c r="O45" s="15">
        <f t="shared" si="0"/>
        <v>35</v>
      </c>
      <c r="P45" s="15">
        <f t="shared" si="1"/>
        <v>102</v>
      </c>
    </row>
    <row r="46" spans="2:20" ht="23.1" customHeight="1" x14ac:dyDescent="0.25">
      <c r="B46" s="24" t="s">
        <v>73</v>
      </c>
      <c r="C46" s="50">
        <v>29</v>
      </c>
      <c r="D46" s="50">
        <v>2</v>
      </c>
      <c r="E46" s="50">
        <v>1</v>
      </c>
      <c r="F46" s="50">
        <v>3</v>
      </c>
      <c r="G46" s="50">
        <v>0</v>
      </c>
      <c r="H46" s="50">
        <v>0</v>
      </c>
      <c r="I46" s="50">
        <v>1</v>
      </c>
      <c r="J46" s="50">
        <v>1</v>
      </c>
      <c r="K46" s="50">
        <v>0</v>
      </c>
      <c r="L46" s="50">
        <v>0</v>
      </c>
      <c r="M46" s="50">
        <v>65</v>
      </c>
      <c r="N46" s="50">
        <v>0</v>
      </c>
      <c r="O46" s="15">
        <f t="shared" si="0"/>
        <v>37</v>
      </c>
      <c r="P46" s="15">
        <f t="shared" si="1"/>
        <v>102</v>
      </c>
      <c r="R46" s="8"/>
      <c r="T46"/>
    </row>
    <row r="47" spans="2:20" ht="23.1" customHeight="1" x14ac:dyDescent="0.25">
      <c r="B47" s="24" t="s">
        <v>74</v>
      </c>
      <c r="C47" s="50">
        <v>27</v>
      </c>
      <c r="D47" s="50">
        <v>5</v>
      </c>
      <c r="E47" s="50">
        <v>6</v>
      </c>
      <c r="F47" s="50">
        <v>2</v>
      </c>
      <c r="G47" s="50">
        <v>0</v>
      </c>
      <c r="H47" s="50">
        <v>0</v>
      </c>
      <c r="I47" s="50">
        <v>1</v>
      </c>
      <c r="J47" s="50">
        <v>1</v>
      </c>
      <c r="K47" s="50">
        <v>1</v>
      </c>
      <c r="L47" s="50">
        <v>0</v>
      </c>
      <c r="M47" s="50">
        <v>72</v>
      </c>
      <c r="N47" s="50">
        <v>0</v>
      </c>
      <c r="O47" s="15">
        <f t="shared" si="0"/>
        <v>43</v>
      </c>
      <c r="P47" s="15">
        <f t="shared" si="1"/>
        <v>115</v>
      </c>
      <c r="R47" s="8"/>
      <c r="T47"/>
    </row>
    <row r="48" spans="2:20" ht="23.1" customHeight="1" x14ac:dyDescent="0.25">
      <c r="B48" s="24" t="s">
        <v>75</v>
      </c>
      <c r="C48" s="50">
        <v>28</v>
      </c>
      <c r="D48" s="50">
        <v>2</v>
      </c>
      <c r="E48" s="50">
        <v>0</v>
      </c>
      <c r="F48" s="50">
        <v>7</v>
      </c>
      <c r="G48" s="50">
        <v>0</v>
      </c>
      <c r="H48" s="50">
        <v>0</v>
      </c>
      <c r="I48" s="50">
        <v>1</v>
      </c>
      <c r="J48" s="50">
        <v>1</v>
      </c>
      <c r="K48" s="50">
        <v>1</v>
      </c>
      <c r="L48" s="50">
        <v>0</v>
      </c>
      <c r="M48" s="50">
        <v>74</v>
      </c>
      <c r="N48" s="50">
        <v>0</v>
      </c>
      <c r="O48" s="15">
        <f t="shared" si="0"/>
        <v>40</v>
      </c>
      <c r="P48" s="15">
        <f t="shared" si="1"/>
        <v>114</v>
      </c>
      <c r="R48" s="8"/>
      <c r="T48"/>
    </row>
    <row r="49" spans="2:20" ht="23.1" customHeight="1" x14ac:dyDescent="0.25">
      <c r="B49" s="23" t="s">
        <v>76</v>
      </c>
      <c r="C49" s="50">
        <v>34</v>
      </c>
      <c r="D49" s="50">
        <v>7</v>
      </c>
      <c r="E49" s="50">
        <v>2</v>
      </c>
      <c r="F49" s="50">
        <v>11</v>
      </c>
      <c r="G49" s="50">
        <v>1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83</v>
      </c>
      <c r="N49" s="50">
        <v>1</v>
      </c>
      <c r="O49" s="15">
        <f t="shared" si="0"/>
        <v>58</v>
      </c>
      <c r="P49" s="15">
        <f t="shared" si="1"/>
        <v>141</v>
      </c>
      <c r="R49" s="8"/>
      <c r="T49"/>
    </row>
    <row r="50" spans="2:20" ht="23.1" customHeight="1" x14ac:dyDescent="0.25">
      <c r="B50" s="24" t="s">
        <v>77</v>
      </c>
      <c r="C50" s="50">
        <v>54</v>
      </c>
      <c r="D50" s="50">
        <v>8</v>
      </c>
      <c r="E50" s="50">
        <v>3</v>
      </c>
      <c r="F50" s="50">
        <v>11</v>
      </c>
      <c r="G50" s="50">
        <v>1</v>
      </c>
      <c r="H50" s="50">
        <v>0</v>
      </c>
      <c r="I50" s="50">
        <v>5</v>
      </c>
      <c r="J50" s="50">
        <v>0</v>
      </c>
      <c r="K50" s="50">
        <v>1</v>
      </c>
      <c r="L50" s="50">
        <v>0</v>
      </c>
      <c r="M50" s="50">
        <v>88</v>
      </c>
      <c r="N50" s="50">
        <v>0</v>
      </c>
      <c r="O50" s="15">
        <f t="shared" si="0"/>
        <v>83</v>
      </c>
      <c r="P50" s="15">
        <f t="shared" si="1"/>
        <v>171</v>
      </c>
      <c r="R50" s="8"/>
      <c r="T50"/>
    </row>
    <row r="51" spans="2:20" ht="23.1" customHeight="1" x14ac:dyDescent="0.25">
      <c r="B51" s="24" t="s">
        <v>78</v>
      </c>
      <c r="C51" s="50">
        <v>42</v>
      </c>
      <c r="D51" s="50">
        <v>1</v>
      </c>
      <c r="E51" s="50">
        <v>4</v>
      </c>
      <c r="F51" s="50">
        <v>9</v>
      </c>
      <c r="G51" s="50">
        <v>0</v>
      </c>
      <c r="H51" s="50">
        <v>1</v>
      </c>
      <c r="I51" s="50">
        <v>3</v>
      </c>
      <c r="J51" s="50">
        <v>0</v>
      </c>
      <c r="K51" s="50">
        <v>0</v>
      </c>
      <c r="L51" s="50">
        <v>0</v>
      </c>
      <c r="M51" s="50">
        <v>113</v>
      </c>
      <c r="N51" s="50">
        <v>0</v>
      </c>
      <c r="O51" s="15">
        <f t="shared" si="0"/>
        <v>60</v>
      </c>
      <c r="P51" s="15">
        <f t="shared" si="1"/>
        <v>173</v>
      </c>
      <c r="R51" s="8"/>
      <c r="T51"/>
    </row>
    <row r="52" spans="2:20" ht="23.1" customHeight="1" x14ac:dyDescent="0.25">
      <c r="B52" s="24" t="s">
        <v>79</v>
      </c>
      <c r="C52" s="50">
        <v>33</v>
      </c>
      <c r="D52" s="50">
        <v>2</v>
      </c>
      <c r="E52" s="50">
        <v>6</v>
      </c>
      <c r="F52" s="50">
        <v>8</v>
      </c>
      <c r="G52" s="50">
        <v>0</v>
      </c>
      <c r="H52" s="50">
        <v>0</v>
      </c>
      <c r="I52" s="50">
        <v>2</v>
      </c>
      <c r="J52" s="50">
        <v>2</v>
      </c>
      <c r="K52" s="50">
        <v>0</v>
      </c>
      <c r="L52" s="50">
        <v>0</v>
      </c>
      <c r="M52" s="50">
        <v>100</v>
      </c>
      <c r="N52" s="50">
        <v>0</v>
      </c>
      <c r="O52" s="15">
        <f t="shared" si="0"/>
        <v>53</v>
      </c>
      <c r="P52" s="15">
        <f t="shared" si="1"/>
        <v>153</v>
      </c>
      <c r="R52" s="8"/>
      <c r="T52"/>
    </row>
    <row r="53" spans="2:20" ht="23.1" customHeight="1" x14ac:dyDescent="0.25">
      <c r="B53" s="23" t="s">
        <v>80</v>
      </c>
      <c r="C53" s="50">
        <v>29</v>
      </c>
      <c r="D53" s="50">
        <v>3</v>
      </c>
      <c r="E53" s="50">
        <v>1</v>
      </c>
      <c r="F53" s="50">
        <v>10</v>
      </c>
      <c r="G53" s="50">
        <v>0</v>
      </c>
      <c r="H53" s="50">
        <v>0</v>
      </c>
      <c r="I53" s="50">
        <v>0</v>
      </c>
      <c r="J53" s="50">
        <v>1</v>
      </c>
      <c r="K53" s="50">
        <v>0</v>
      </c>
      <c r="L53" s="50">
        <v>0</v>
      </c>
      <c r="M53" s="50">
        <v>122</v>
      </c>
      <c r="N53" s="50">
        <v>0</v>
      </c>
      <c r="O53" s="15">
        <f t="shared" si="0"/>
        <v>44</v>
      </c>
      <c r="P53" s="15">
        <f t="shared" si="1"/>
        <v>166</v>
      </c>
      <c r="R53" s="8"/>
      <c r="T53"/>
    </row>
    <row r="54" spans="2:20" ht="23.1" customHeight="1" x14ac:dyDescent="0.25">
      <c r="B54" s="23" t="s">
        <v>81</v>
      </c>
      <c r="C54" s="50">
        <v>27</v>
      </c>
      <c r="D54" s="50">
        <v>2</v>
      </c>
      <c r="E54" s="50">
        <v>5</v>
      </c>
      <c r="F54" s="50">
        <v>8</v>
      </c>
      <c r="G54" s="50">
        <v>1</v>
      </c>
      <c r="H54" s="50">
        <v>0</v>
      </c>
      <c r="I54" s="50">
        <v>3</v>
      </c>
      <c r="J54" s="50">
        <v>0</v>
      </c>
      <c r="K54" s="50">
        <v>1</v>
      </c>
      <c r="L54" s="50">
        <v>0</v>
      </c>
      <c r="M54" s="50">
        <v>103</v>
      </c>
      <c r="N54" s="50">
        <v>0</v>
      </c>
      <c r="O54" s="15">
        <f t="shared" si="0"/>
        <v>47</v>
      </c>
      <c r="P54" s="15">
        <f t="shared" si="1"/>
        <v>150</v>
      </c>
      <c r="R54" s="8"/>
      <c r="T54"/>
    </row>
    <row r="55" spans="2:20" ht="23.1" customHeight="1" x14ac:dyDescent="0.25">
      <c r="B55" s="23" t="s">
        <v>82</v>
      </c>
      <c r="C55" s="50">
        <v>30</v>
      </c>
      <c r="D55" s="50">
        <v>4</v>
      </c>
      <c r="E55" s="50">
        <v>3</v>
      </c>
      <c r="F55" s="50">
        <v>9</v>
      </c>
      <c r="G55" s="50">
        <v>1</v>
      </c>
      <c r="H55" s="50">
        <v>1</v>
      </c>
      <c r="I55" s="50">
        <v>2</v>
      </c>
      <c r="J55" s="50">
        <v>1</v>
      </c>
      <c r="K55" s="50">
        <v>0</v>
      </c>
      <c r="L55" s="50">
        <v>0</v>
      </c>
      <c r="M55" s="50">
        <v>99</v>
      </c>
      <c r="N55" s="50">
        <v>0</v>
      </c>
      <c r="O55" s="15">
        <f t="shared" si="0"/>
        <v>51</v>
      </c>
      <c r="P55" s="15">
        <f t="shared" si="1"/>
        <v>150</v>
      </c>
      <c r="R55" s="8"/>
      <c r="T55"/>
    </row>
    <row r="56" spans="2:20" ht="23.1" customHeight="1" x14ac:dyDescent="0.25">
      <c r="B56" s="23" t="s">
        <v>83</v>
      </c>
      <c r="C56" s="50">
        <v>23</v>
      </c>
      <c r="D56" s="50">
        <v>3</v>
      </c>
      <c r="E56" s="50">
        <v>3</v>
      </c>
      <c r="F56" s="50">
        <v>7</v>
      </c>
      <c r="G56" s="50">
        <v>0</v>
      </c>
      <c r="H56" s="50">
        <v>1</v>
      </c>
      <c r="I56" s="50">
        <v>2</v>
      </c>
      <c r="J56" s="50">
        <v>0</v>
      </c>
      <c r="K56" s="50">
        <v>1</v>
      </c>
      <c r="L56" s="50">
        <v>0</v>
      </c>
      <c r="M56" s="50">
        <v>113</v>
      </c>
      <c r="N56" s="50">
        <v>0</v>
      </c>
      <c r="O56" s="15">
        <f t="shared" si="0"/>
        <v>40</v>
      </c>
      <c r="P56" s="15">
        <f t="shared" si="1"/>
        <v>153</v>
      </c>
      <c r="R56" s="8"/>
      <c r="T56"/>
    </row>
    <row r="57" spans="2:20" ht="23.1" customHeight="1" x14ac:dyDescent="0.25">
      <c r="B57" s="23" t="s">
        <v>84</v>
      </c>
      <c r="C57" s="50">
        <v>25</v>
      </c>
      <c r="D57" s="50">
        <v>7</v>
      </c>
      <c r="E57" s="50">
        <v>10</v>
      </c>
      <c r="F57" s="50">
        <v>11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107</v>
      </c>
      <c r="N57" s="50">
        <v>0</v>
      </c>
      <c r="O57" s="15">
        <f t="shared" si="0"/>
        <v>56</v>
      </c>
      <c r="P57" s="15">
        <f t="shared" si="1"/>
        <v>163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1837</v>
      </c>
      <c r="D58" s="16">
        <f t="shared" si="21"/>
        <v>229</v>
      </c>
      <c r="E58" s="16">
        <f t="shared" si="21"/>
        <v>211</v>
      </c>
      <c r="F58" s="16">
        <f t="shared" si="21"/>
        <v>546</v>
      </c>
      <c r="G58" s="16">
        <f t="shared" si="21"/>
        <v>15</v>
      </c>
      <c r="H58" s="16">
        <f t="shared" si="21"/>
        <v>3</v>
      </c>
      <c r="I58" s="16">
        <f t="shared" si="21"/>
        <v>107</v>
      </c>
      <c r="J58" s="16">
        <f t="shared" si="21"/>
        <v>42</v>
      </c>
      <c r="K58" s="16">
        <f t="shared" si="21"/>
        <v>17</v>
      </c>
      <c r="L58" s="16">
        <f t="shared" si="21"/>
        <v>2</v>
      </c>
      <c r="M58" s="16">
        <f t="shared" si="21"/>
        <v>4124</v>
      </c>
      <c r="N58" s="16">
        <f t="shared" si="21"/>
        <v>1</v>
      </c>
      <c r="O58" s="16">
        <f t="shared" si="21"/>
        <v>3010</v>
      </c>
      <c r="P58" s="16">
        <f t="shared" si="21"/>
        <v>7134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0.25749929913092234</v>
      </c>
      <c r="D59" s="43">
        <f t="shared" si="22"/>
        <v>3.2099803756658253E-2</v>
      </c>
      <c r="E59" s="43">
        <f t="shared" si="22"/>
        <v>2.9576675077095597E-2</v>
      </c>
      <c r="F59" s="43">
        <f t="shared" si="22"/>
        <v>7.653490328006729E-2</v>
      </c>
      <c r="G59" s="43">
        <f t="shared" si="22"/>
        <v>2.1026072329688814E-3</v>
      </c>
      <c r="H59" s="43">
        <f t="shared" si="22"/>
        <v>4.2052144659377626E-4</v>
      </c>
      <c r="I59" s="43">
        <f t="shared" si="22"/>
        <v>1.4998598261844687E-2</v>
      </c>
      <c r="J59" s="43">
        <f t="shared" si="22"/>
        <v>5.8873002523128683E-3</v>
      </c>
      <c r="K59" s="43">
        <f t="shared" si="22"/>
        <v>2.382954864031399E-3</v>
      </c>
      <c r="L59" s="43">
        <f t="shared" si="22"/>
        <v>2.8034763106251753E-4</v>
      </c>
      <c r="M59" s="43">
        <f t="shared" si="22"/>
        <v>0.57807681525091115</v>
      </c>
      <c r="N59" s="43">
        <f t="shared" si="22"/>
        <v>1.4017381553125876E-4</v>
      </c>
      <c r="R59" s="8"/>
      <c r="T59"/>
    </row>
    <row r="60" spans="2:20" ht="23.1" customHeight="1" x14ac:dyDescent="0.25">
      <c r="B60" s="42" t="s">
        <v>94</v>
      </c>
      <c r="C60" s="44">
        <f>C58/$O$58</f>
        <v>0.61029900332225917</v>
      </c>
      <c r="D60" s="44">
        <f t="shared" ref="D60:N60" si="23">D58/$O$58</f>
        <v>7.6079734219269099E-2</v>
      </c>
      <c r="E60" s="44">
        <f t="shared" si="23"/>
        <v>7.0099667774086383E-2</v>
      </c>
      <c r="F60" s="44">
        <f t="shared" si="23"/>
        <v>0.18139534883720931</v>
      </c>
      <c r="G60" s="44">
        <f t="shared" si="23"/>
        <v>4.9833887043189366E-3</v>
      </c>
      <c r="H60" s="44">
        <f t="shared" si="23"/>
        <v>9.9667774086378727E-4</v>
      </c>
      <c r="I60" s="44">
        <f t="shared" si="23"/>
        <v>3.5548172757475086E-2</v>
      </c>
      <c r="J60" s="44">
        <f t="shared" si="23"/>
        <v>1.3953488372093023E-2</v>
      </c>
      <c r="K60" s="44">
        <f t="shared" si="23"/>
        <v>5.6478405315614618E-3</v>
      </c>
      <c r="L60" s="44">
        <f t="shared" si="23"/>
        <v>6.6445182724252495E-4</v>
      </c>
      <c r="M60" s="44"/>
      <c r="N60" s="44">
        <f t="shared" si="23"/>
        <v>3.3222591362126248E-4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51" sqref="C5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'22.07 Ndeeba-Nyanama'!C3:G3</f>
        <v>MCC - C1 - STN04 - WERAGA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164</v>
      </c>
      <c r="E5" s="3"/>
      <c r="F5" s="41" t="s">
        <v>1</v>
      </c>
      <c r="G5" s="68" t="str">
        <f>'24.07 Nyanama-Ndeeba'!G5:H5</f>
        <v>Golden Mille Hotel</v>
      </c>
      <c r="H5" s="69"/>
      <c r="I5" s="14"/>
      <c r="J5" s="2" t="s">
        <v>5</v>
      </c>
      <c r="K5" s="68" t="s">
        <v>172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tr">
        <f>'22.07 Ndeeba-Nyanama'!D6:E6</f>
        <v>Ndeeba</v>
      </c>
      <c r="E6" s="69"/>
      <c r="F6" s="2" t="s">
        <v>2</v>
      </c>
      <c r="G6" s="68" t="str">
        <f>'22.07 Ndeeba-Nyanama'!G6:H6</f>
        <v>Nyanama</v>
      </c>
      <c r="H6" s="69"/>
      <c r="J6" s="2" t="s">
        <v>21</v>
      </c>
      <c r="K6" s="68" t="str">
        <f>'24.07 Nyanama-Ndeeba'!K6:L6</f>
        <v>Denis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58</v>
      </c>
      <c r="D10" s="50">
        <v>0</v>
      </c>
      <c r="E10" s="50">
        <v>0</v>
      </c>
      <c r="F10" s="50">
        <v>18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60</v>
      </c>
      <c r="N10" s="50">
        <v>0</v>
      </c>
      <c r="O10" s="15">
        <f t="shared" ref="O10:O57" si="0">SUM(C10:L10,N10)</f>
        <v>76</v>
      </c>
      <c r="P10" s="15">
        <f t="shared" ref="P10:P57" si="1">SUM(C10:N10)</f>
        <v>136</v>
      </c>
      <c r="R10" s="1" t="s">
        <v>6</v>
      </c>
      <c r="S10" s="17">
        <f t="shared" ref="S10:AF10" si="2">SUM(C10:C13)</f>
        <v>143</v>
      </c>
      <c r="T10" s="17">
        <f t="shared" si="2"/>
        <v>6</v>
      </c>
      <c r="U10" s="17">
        <f t="shared" si="2"/>
        <v>7</v>
      </c>
      <c r="V10" s="17">
        <f t="shared" si="2"/>
        <v>44</v>
      </c>
      <c r="W10" s="17">
        <f t="shared" si="2"/>
        <v>2</v>
      </c>
      <c r="X10" s="17">
        <f t="shared" si="2"/>
        <v>0</v>
      </c>
      <c r="Y10" s="17">
        <f t="shared" si="2"/>
        <v>3</v>
      </c>
      <c r="Z10" s="17">
        <f t="shared" si="2"/>
        <v>1</v>
      </c>
      <c r="AA10" s="17">
        <f t="shared" si="2"/>
        <v>1</v>
      </c>
      <c r="AB10" s="17">
        <f t="shared" si="2"/>
        <v>0</v>
      </c>
      <c r="AC10" s="17">
        <f t="shared" si="2"/>
        <v>393</v>
      </c>
      <c r="AD10" s="17">
        <f t="shared" si="2"/>
        <v>0</v>
      </c>
      <c r="AE10" s="31">
        <f t="shared" si="2"/>
        <v>207</v>
      </c>
      <c r="AF10" s="31">
        <f t="shared" si="2"/>
        <v>600</v>
      </c>
    </row>
    <row r="11" spans="2:32" s="6" customFormat="1" ht="23.1" customHeight="1" x14ac:dyDescent="0.25">
      <c r="B11" s="23" t="s">
        <v>38</v>
      </c>
      <c r="C11" s="50">
        <v>36</v>
      </c>
      <c r="D11" s="50">
        <v>0</v>
      </c>
      <c r="E11" s="50">
        <v>0</v>
      </c>
      <c r="F11" s="50">
        <v>7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73</v>
      </c>
      <c r="N11" s="50">
        <v>0</v>
      </c>
      <c r="O11" s="15">
        <f t="shared" si="0"/>
        <v>43</v>
      </c>
      <c r="P11" s="15">
        <f t="shared" si="1"/>
        <v>116</v>
      </c>
      <c r="R11" s="1" t="s">
        <v>7</v>
      </c>
      <c r="S11" s="17">
        <f t="shared" ref="S11:AF11" si="3">SUM(C14:C17)</f>
        <v>125</v>
      </c>
      <c r="T11" s="17">
        <f t="shared" si="3"/>
        <v>1</v>
      </c>
      <c r="U11" s="17">
        <f t="shared" si="3"/>
        <v>2</v>
      </c>
      <c r="V11" s="17">
        <f t="shared" si="3"/>
        <v>37</v>
      </c>
      <c r="W11" s="17">
        <f t="shared" si="3"/>
        <v>3</v>
      </c>
      <c r="X11" s="17">
        <f t="shared" si="3"/>
        <v>0</v>
      </c>
      <c r="Y11" s="17">
        <f t="shared" si="3"/>
        <v>14</v>
      </c>
      <c r="Z11" s="17">
        <f t="shared" si="3"/>
        <v>0</v>
      </c>
      <c r="AA11" s="17">
        <f t="shared" si="3"/>
        <v>0</v>
      </c>
      <c r="AB11" s="17">
        <f t="shared" si="3"/>
        <v>1</v>
      </c>
      <c r="AC11" s="17">
        <f t="shared" si="3"/>
        <v>390</v>
      </c>
      <c r="AD11" s="17">
        <f t="shared" si="3"/>
        <v>0</v>
      </c>
      <c r="AE11" s="31">
        <f t="shared" si="3"/>
        <v>183</v>
      </c>
      <c r="AF11" s="31">
        <f t="shared" si="3"/>
        <v>573</v>
      </c>
    </row>
    <row r="12" spans="2:32" ht="23.1" customHeight="1" x14ac:dyDescent="0.25">
      <c r="B12" s="23" t="s">
        <v>39</v>
      </c>
      <c r="C12" s="50">
        <v>33</v>
      </c>
      <c r="D12" s="50">
        <v>4</v>
      </c>
      <c r="E12" s="50">
        <v>3</v>
      </c>
      <c r="F12" s="50">
        <v>8</v>
      </c>
      <c r="G12" s="50">
        <v>1</v>
      </c>
      <c r="H12" s="50">
        <v>0</v>
      </c>
      <c r="I12" s="50">
        <v>1</v>
      </c>
      <c r="J12" s="50">
        <v>0</v>
      </c>
      <c r="K12" s="50">
        <v>1</v>
      </c>
      <c r="L12" s="50">
        <v>0</v>
      </c>
      <c r="M12" s="50">
        <v>110</v>
      </c>
      <c r="N12" s="50">
        <v>0</v>
      </c>
      <c r="O12" s="15">
        <f t="shared" si="0"/>
        <v>51</v>
      </c>
      <c r="P12" s="15">
        <f t="shared" si="1"/>
        <v>161</v>
      </c>
      <c r="R12" s="1" t="s">
        <v>8</v>
      </c>
      <c r="S12" s="17">
        <f t="shared" ref="S12:AF12" si="4">SUM(C18:C21)</f>
        <v>144</v>
      </c>
      <c r="T12" s="17">
        <f t="shared" si="4"/>
        <v>0</v>
      </c>
      <c r="U12" s="17">
        <f t="shared" si="4"/>
        <v>6</v>
      </c>
      <c r="V12" s="17">
        <f t="shared" si="4"/>
        <v>103</v>
      </c>
      <c r="W12" s="17">
        <f t="shared" si="4"/>
        <v>1</v>
      </c>
      <c r="X12" s="17">
        <f t="shared" si="4"/>
        <v>0</v>
      </c>
      <c r="Y12" s="17">
        <f t="shared" si="4"/>
        <v>8</v>
      </c>
      <c r="Z12" s="17">
        <f t="shared" si="4"/>
        <v>1</v>
      </c>
      <c r="AA12" s="17">
        <f t="shared" si="4"/>
        <v>1</v>
      </c>
      <c r="AB12" s="17">
        <f t="shared" si="4"/>
        <v>1</v>
      </c>
      <c r="AC12" s="17">
        <f t="shared" si="4"/>
        <v>377</v>
      </c>
      <c r="AD12" s="17">
        <f t="shared" si="4"/>
        <v>0</v>
      </c>
      <c r="AE12" s="31">
        <f t="shared" si="4"/>
        <v>265</v>
      </c>
      <c r="AF12" s="31">
        <f t="shared" si="4"/>
        <v>642</v>
      </c>
    </row>
    <row r="13" spans="2:32" ht="23.1" customHeight="1" x14ac:dyDescent="0.25">
      <c r="B13" s="23" t="s">
        <v>40</v>
      </c>
      <c r="C13" s="50">
        <v>16</v>
      </c>
      <c r="D13" s="50">
        <v>2</v>
      </c>
      <c r="E13" s="50">
        <v>4</v>
      </c>
      <c r="F13" s="50">
        <v>11</v>
      </c>
      <c r="G13" s="50">
        <v>1</v>
      </c>
      <c r="H13" s="50">
        <v>0</v>
      </c>
      <c r="I13" s="50">
        <v>2</v>
      </c>
      <c r="J13" s="50">
        <v>1</v>
      </c>
      <c r="K13" s="50">
        <v>0</v>
      </c>
      <c r="L13" s="50">
        <v>0</v>
      </c>
      <c r="M13" s="50">
        <v>150</v>
      </c>
      <c r="N13" s="50">
        <v>0</v>
      </c>
      <c r="O13" s="15">
        <f t="shared" si="0"/>
        <v>37</v>
      </c>
      <c r="P13" s="15">
        <f t="shared" si="1"/>
        <v>187</v>
      </c>
      <c r="R13" s="1" t="s">
        <v>9</v>
      </c>
      <c r="S13" s="17">
        <f t="shared" ref="S13:AF13" si="5">SUM(C22:C25)</f>
        <v>310</v>
      </c>
      <c r="T13" s="17">
        <f t="shared" si="5"/>
        <v>0</v>
      </c>
      <c r="U13" s="17">
        <f t="shared" si="5"/>
        <v>8</v>
      </c>
      <c r="V13" s="17">
        <f t="shared" si="5"/>
        <v>46</v>
      </c>
      <c r="W13" s="17">
        <f t="shared" si="5"/>
        <v>0</v>
      </c>
      <c r="X13" s="17">
        <f t="shared" si="5"/>
        <v>0</v>
      </c>
      <c r="Y13" s="17">
        <f t="shared" si="5"/>
        <v>9</v>
      </c>
      <c r="Z13" s="17">
        <f t="shared" si="5"/>
        <v>3</v>
      </c>
      <c r="AA13" s="17">
        <f t="shared" si="5"/>
        <v>0</v>
      </c>
      <c r="AB13" s="17">
        <f t="shared" si="5"/>
        <v>1</v>
      </c>
      <c r="AC13" s="17">
        <f t="shared" si="5"/>
        <v>315</v>
      </c>
      <c r="AD13" s="17">
        <f t="shared" si="5"/>
        <v>0</v>
      </c>
      <c r="AE13" s="31">
        <f t="shared" si="5"/>
        <v>377</v>
      </c>
      <c r="AF13" s="31">
        <f t="shared" si="5"/>
        <v>692</v>
      </c>
    </row>
    <row r="14" spans="2:32" ht="23.1" customHeight="1" x14ac:dyDescent="0.25">
      <c r="B14" s="23" t="s">
        <v>41</v>
      </c>
      <c r="C14" s="50">
        <v>25</v>
      </c>
      <c r="D14" s="50">
        <v>0</v>
      </c>
      <c r="E14" s="50">
        <v>0</v>
      </c>
      <c r="F14" s="50">
        <v>14</v>
      </c>
      <c r="G14" s="50">
        <v>0</v>
      </c>
      <c r="H14" s="50">
        <v>0</v>
      </c>
      <c r="I14" s="50">
        <v>5</v>
      </c>
      <c r="J14" s="50">
        <v>0</v>
      </c>
      <c r="K14" s="50">
        <v>0</v>
      </c>
      <c r="L14" s="50">
        <v>1</v>
      </c>
      <c r="M14" s="50">
        <v>90</v>
      </c>
      <c r="N14" s="50">
        <v>0</v>
      </c>
      <c r="O14" s="15">
        <f t="shared" si="0"/>
        <v>45</v>
      </c>
      <c r="P14" s="15">
        <f t="shared" si="1"/>
        <v>135</v>
      </c>
      <c r="R14" s="1" t="s">
        <v>10</v>
      </c>
      <c r="S14" s="17">
        <f t="shared" ref="S14:AF14" si="6">SUM(C26:C29)</f>
        <v>287</v>
      </c>
      <c r="T14" s="17">
        <f t="shared" si="6"/>
        <v>2</v>
      </c>
      <c r="U14" s="17">
        <f t="shared" si="6"/>
        <v>18</v>
      </c>
      <c r="V14" s="17">
        <f t="shared" si="6"/>
        <v>62</v>
      </c>
      <c r="W14" s="17">
        <f t="shared" si="6"/>
        <v>4</v>
      </c>
      <c r="X14" s="17">
        <f t="shared" si="6"/>
        <v>0</v>
      </c>
      <c r="Y14" s="17">
        <f t="shared" si="6"/>
        <v>15</v>
      </c>
      <c r="Z14" s="17">
        <f t="shared" si="6"/>
        <v>3</v>
      </c>
      <c r="AA14" s="17">
        <f t="shared" si="6"/>
        <v>3</v>
      </c>
      <c r="AB14" s="17">
        <f t="shared" si="6"/>
        <v>2</v>
      </c>
      <c r="AC14" s="17">
        <f t="shared" si="6"/>
        <v>270</v>
      </c>
      <c r="AD14" s="17">
        <f t="shared" si="6"/>
        <v>1</v>
      </c>
      <c r="AE14" s="31">
        <f t="shared" si="6"/>
        <v>397</v>
      </c>
      <c r="AF14" s="31">
        <f t="shared" si="6"/>
        <v>667</v>
      </c>
    </row>
    <row r="15" spans="2:32" ht="23.1" customHeight="1" x14ac:dyDescent="0.25">
      <c r="B15" s="23" t="s">
        <v>42</v>
      </c>
      <c r="C15" s="50">
        <v>33</v>
      </c>
      <c r="D15" s="50">
        <v>1</v>
      </c>
      <c r="E15" s="50">
        <v>1</v>
      </c>
      <c r="F15" s="50">
        <v>7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98</v>
      </c>
      <c r="N15" s="50">
        <v>0</v>
      </c>
      <c r="O15" s="15">
        <f t="shared" si="0"/>
        <v>42</v>
      </c>
      <c r="P15" s="15">
        <f t="shared" si="1"/>
        <v>140</v>
      </c>
      <c r="R15" s="1" t="s">
        <v>11</v>
      </c>
      <c r="S15" s="17">
        <f t="shared" ref="S15:AF15" si="7">SUM(C30:C33)</f>
        <v>264</v>
      </c>
      <c r="T15" s="17">
        <f t="shared" si="7"/>
        <v>3</v>
      </c>
      <c r="U15" s="17">
        <f t="shared" si="7"/>
        <v>5</v>
      </c>
      <c r="V15" s="17">
        <f t="shared" si="7"/>
        <v>42</v>
      </c>
      <c r="W15" s="17">
        <f t="shared" si="7"/>
        <v>1</v>
      </c>
      <c r="X15" s="17">
        <f t="shared" si="7"/>
        <v>0</v>
      </c>
      <c r="Y15" s="17">
        <f t="shared" si="7"/>
        <v>14</v>
      </c>
      <c r="Z15" s="17">
        <f t="shared" si="7"/>
        <v>0</v>
      </c>
      <c r="AA15" s="17">
        <f t="shared" si="7"/>
        <v>2</v>
      </c>
      <c r="AB15" s="17">
        <f t="shared" si="7"/>
        <v>4</v>
      </c>
      <c r="AC15" s="17">
        <f t="shared" si="7"/>
        <v>313</v>
      </c>
      <c r="AD15" s="17">
        <f t="shared" si="7"/>
        <v>0</v>
      </c>
      <c r="AE15" s="31">
        <f t="shared" si="7"/>
        <v>335</v>
      </c>
      <c r="AF15" s="31">
        <f t="shared" si="7"/>
        <v>648</v>
      </c>
    </row>
    <row r="16" spans="2:32" ht="23.1" customHeight="1" x14ac:dyDescent="0.25">
      <c r="B16" s="23" t="s">
        <v>43</v>
      </c>
      <c r="C16" s="50">
        <v>17</v>
      </c>
      <c r="D16" s="50">
        <v>0</v>
      </c>
      <c r="E16" s="50">
        <v>0</v>
      </c>
      <c r="F16" s="50">
        <v>9</v>
      </c>
      <c r="G16" s="50">
        <v>2</v>
      </c>
      <c r="H16" s="50">
        <v>0</v>
      </c>
      <c r="I16" s="50">
        <v>7</v>
      </c>
      <c r="J16" s="50">
        <v>0</v>
      </c>
      <c r="K16" s="50">
        <v>0</v>
      </c>
      <c r="L16" s="50">
        <v>0</v>
      </c>
      <c r="M16" s="50">
        <v>110</v>
      </c>
      <c r="N16" s="50">
        <v>0</v>
      </c>
      <c r="O16" s="15">
        <f t="shared" si="0"/>
        <v>35</v>
      </c>
      <c r="P16" s="15">
        <f t="shared" si="1"/>
        <v>145</v>
      </c>
      <c r="R16" s="1" t="s">
        <v>12</v>
      </c>
      <c r="S16" s="17">
        <f t="shared" ref="S16:AF16" si="8">SUM(C34:C37)</f>
        <v>245</v>
      </c>
      <c r="T16" s="17">
        <f t="shared" si="8"/>
        <v>3</v>
      </c>
      <c r="U16" s="17">
        <f t="shared" si="8"/>
        <v>9</v>
      </c>
      <c r="V16" s="17">
        <f t="shared" si="8"/>
        <v>22</v>
      </c>
      <c r="W16" s="17">
        <f t="shared" si="8"/>
        <v>1</v>
      </c>
      <c r="X16" s="17">
        <f t="shared" si="8"/>
        <v>0</v>
      </c>
      <c r="Y16" s="17">
        <f t="shared" si="8"/>
        <v>12</v>
      </c>
      <c r="Z16" s="17">
        <f t="shared" si="8"/>
        <v>3</v>
      </c>
      <c r="AA16" s="17">
        <f t="shared" si="8"/>
        <v>1</v>
      </c>
      <c r="AB16" s="17">
        <f t="shared" si="8"/>
        <v>3</v>
      </c>
      <c r="AC16" s="17">
        <f t="shared" si="8"/>
        <v>297</v>
      </c>
      <c r="AD16" s="17">
        <f t="shared" si="8"/>
        <v>0</v>
      </c>
      <c r="AE16" s="31">
        <f t="shared" si="8"/>
        <v>299</v>
      </c>
      <c r="AF16" s="31">
        <f t="shared" si="8"/>
        <v>596</v>
      </c>
    </row>
    <row r="17" spans="2:32" ht="23.1" customHeight="1" x14ac:dyDescent="0.25">
      <c r="B17" s="23" t="s">
        <v>44</v>
      </c>
      <c r="C17" s="50">
        <v>50</v>
      </c>
      <c r="D17" s="50">
        <v>0</v>
      </c>
      <c r="E17" s="50">
        <v>1</v>
      </c>
      <c r="F17" s="50">
        <v>7</v>
      </c>
      <c r="G17" s="50">
        <v>1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92</v>
      </c>
      <c r="N17" s="50">
        <v>0</v>
      </c>
      <c r="O17" s="15">
        <f t="shared" si="0"/>
        <v>61</v>
      </c>
      <c r="P17" s="15">
        <f t="shared" si="1"/>
        <v>153</v>
      </c>
      <c r="R17" s="1" t="s">
        <v>13</v>
      </c>
      <c r="S17" s="17">
        <f t="shared" ref="S17:AF17" si="9">SUM(C38:C41)</f>
        <v>200</v>
      </c>
      <c r="T17" s="17">
        <f t="shared" si="9"/>
        <v>8</v>
      </c>
      <c r="U17" s="17">
        <f t="shared" si="9"/>
        <v>11</v>
      </c>
      <c r="V17" s="17">
        <f t="shared" si="9"/>
        <v>44</v>
      </c>
      <c r="W17" s="17">
        <f t="shared" si="9"/>
        <v>0</v>
      </c>
      <c r="X17" s="17">
        <f t="shared" si="9"/>
        <v>0</v>
      </c>
      <c r="Y17" s="17">
        <f t="shared" si="9"/>
        <v>9</v>
      </c>
      <c r="Z17" s="17">
        <f t="shared" si="9"/>
        <v>3</v>
      </c>
      <c r="AA17" s="17">
        <f t="shared" si="9"/>
        <v>2</v>
      </c>
      <c r="AB17" s="17">
        <f t="shared" si="9"/>
        <v>0</v>
      </c>
      <c r="AC17" s="17">
        <f t="shared" si="9"/>
        <v>212</v>
      </c>
      <c r="AD17" s="17">
        <f t="shared" si="9"/>
        <v>1</v>
      </c>
      <c r="AE17" s="31">
        <f t="shared" si="9"/>
        <v>278</v>
      </c>
      <c r="AF17" s="31">
        <f t="shared" si="9"/>
        <v>490</v>
      </c>
    </row>
    <row r="18" spans="2:32" ht="23.1" customHeight="1" x14ac:dyDescent="0.25">
      <c r="B18" s="23" t="s">
        <v>45</v>
      </c>
      <c r="C18" s="50">
        <v>17</v>
      </c>
      <c r="D18" s="50">
        <v>0</v>
      </c>
      <c r="E18" s="50">
        <v>1</v>
      </c>
      <c r="F18" s="50">
        <v>15</v>
      </c>
      <c r="G18" s="50">
        <v>0</v>
      </c>
      <c r="H18" s="50">
        <v>0</v>
      </c>
      <c r="I18" s="50">
        <v>4</v>
      </c>
      <c r="J18" s="50">
        <v>0</v>
      </c>
      <c r="K18" s="50">
        <v>0</v>
      </c>
      <c r="L18" s="50">
        <v>0</v>
      </c>
      <c r="M18" s="50">
        <v>120</v>
      </c>
      <c r="N18" s="50">
        <v>0</v>
      </c>
      <c r="O18" s="15">
        <f t="shared" si="0"/>
        <v>37</v>
      </c>
      <c r="P18" s="15">
        <f t="shared" si="1"/>
        <v>157</v>
      </c>
      <c r="R18" s="1" t="s">
        <v>14</v>
      </c>
      <c r="S18" s="17">
        <f t="shared" ref="S18:AF18" si="10">SUM(C42:C45)</f>
        <v>253</v>
      </c>
      <c r="T18" s="17">
        <f t="shared" si="10"/>
        <v>6</v>
      </c>
      <c r="U18" s="17">
        <f t="shared" si="10"/>
        <v>14</v>
      </c>
      <c r="V18" s="17">
        <f t="shared" si="10"/>
        <v>113</v>
      </c>
      <c r="W18" s="17">
        <f t="shared" si="10"/>
        <v>1</v>
      </c>
      <c r="X18" s="17">
        <f t="shared" si="10"/>
        <v>0</v>
      </c>
      <c r="Y18" s="17">
        <f t="shared" si="10"/>
        <v>21</v>
      </c>
      <c r="Z18" s="17">
        <f t="shared" si="10"/>
        <v>7</v>
      </c>
      <c r="AA18" s="17">
        <f t="shared" si="10"/>
        <v>0</v>
      </c>
      <c r="AB18" s="17">
        <f t="shared" si="10"/>
        <v>2</v>
      </c>
      <c r="AC18" s="17">
        <f t="shared" si="10"/>
        <v>233</v>
      </c>
      <c r="AD18" s="17">
        <f t="shared" si="10"/>
        <v>0</v>
      </c>
      <c r="AE18" s="31">
        <f t="shared" si="10"/>
        <v>417</v>
      </c>
      <c r="AF18" s="31">
        <f t="shared" si="10"/>
        <v>650</v>
      </c>
    </row>
    <row r="19" spans="2:32" ht="23.1" customHeight="1" x14ac:dyDescent="0.25">
      <c r="B19" s="23" t="s">
        <v>46</v>
      </c>
      <c r="C19" s="50">
        <v>33</v>
      </c>
      <c r="D19" s="50">
        <v>0</v>
      </c>
      <c r="E19" s="50">
        <v>0</v>
      </c>
      <c r="F19" s="50">
        <v>12</v>
      </c>
      <c r="G19" s="50">
        <v>1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85</v>
      </c>
      <c r="N19" s="50">
        <v>0</v>
      </c>
      <c r="O19" s="15">
        <f t="shared" si="0"/>
        <v>47</v>
      </c>
      <c r="P19" s="15">
        <f t="shared" si="1"/>
        <v>132</v>
      </c>
      <c r="R19" s="1" t="s">
        <v>15</v>
      </c>
      <c r="S19" s="17">
        <f t="shared" ref="S19:AF19" si="11">SUM(C46:C49)</f>
        <v>358</v>
      </c>
      <c r="T19" s="17">
        <f t="shared" si="11"/>
        <v>11</v>
      </c>
      <c r="U19" s="17">
        <f t="shared" si="11"/>
        <v>24</v>
      </c>
      <c r="V19" s="17">
        <f t="shared" si="11"/>
        <v>169</v>
      </c>
      <c r="W19" s="17">
        <f t="shared" si="11"/>
        <v>1</v>
      </c>
      <c r="X19" s="17">
        <f t="shared" si="11"/>
        <v>0</v>
      </c>
      <c r="Y19" s="17">
        <f t="shared" si="11"/>
        <v>17</v>
      </c>
      <c r="Z19" s="17">
        <f t="shared" si="11"/>
        <v>3</v>
      </c>
      <c r="AA19" s="17">
        <f t="shared" si="11"/>
        <v>3</v>
      </c>
      <c r="AB19" s="17">
        <f t="shared" si="11"/>
        <v>1</v>
      </c>
      <c r="AC19" s="17">
        <f t="shared" si="11"/>
        <v>463</v>
      </c>
      <c r="AD19" s="17">
        <f t="shared" si="11"/>
        <v>0</v>
      </c>
      <c r="AE19" s="31">
        <f t="shared" si="11"/>
        <v>587</v>
      </c>
      <c r="AF19" s="31">
        <f t="shared" si="11"/>
        <v>1050</v>
      </c>
    </row>
    <row r="20" spans="2:32" ht="23.1" customHeight="1" x14ac:dyDescent="0.25">
      <c r="B20" s="23" t="s">
        <v>47</v>
      </c>
      <c r="C20" s="50">
        <v>54</v>
      </c>
      <c r="D20" s="50">
        <v>0</v>
      </c>
      <c r="E20" s="50">
        <v>3</v>
      </c>
      <c r="F20" s="50">
        <v>37</v>
      </c>
      <c r="G20" s="50">
        <v>0</v>
      </c>
      <c r="H20" s="50">
        <v>0</v>
      </c>
      <c r="I20" s="50">
        <v>4</v>
      </c>
      <c r="J20" s="50">
        <v>0</v>
      </c>
      <c r="K20" s="50">
        <v>1</v>
      </c>
      <c r="L20" s="50">
        <v>1</v>
      </c>
      <c r="M20" s="50">
        <v>90</v>
      </c>
      <c r="N20" s="50">
        <v>0</v>
      </c>
      <c r="O20" s="15">
        <f t="shared" si="0"/>
        <v>100</v>
      </c>
      <c r="P20" s="15">
        <f t="shared" si="1"/>
        <v>190</v>
      </c>
      <c r="R20" s="1" t="s">
        <v>16</v>
      </c>
      <c r="S20" s="17">
        <f t="shared" ref="S20:AF20" si="12">SUM(C50:C53)</f>
        <v>386</v>
      </c>
      <c r="T20" s="17">
        <f t="shared" si="12"/>
        <v>12</v>
      </c>
      <c r="U20" s="17">
        <f t="shared" si="12"/>
        <v>16</v>
      </c>
      <c r="V20" s="17">
        <f t="shared" si="12"/>
        <v>259</v>
      </c>
      <c r="W20" s="17">
        <f t="shared" si="12"/>
        <v>1</v>
      </c>
      <c r="X20" s="17">
        <f t="shared" si="12"/>
        <v>0</v>
      </c>
      <c r="Y20" s="17">
        <f t="shared" si="12"/>
        <v>17</v>
      </c>
      <c r="Z20" s="17">
        <f t="shared" si="12"/>
        <v>0</v>
      </c>
      <c r="AA20" s="17">
        <f t="shared" si="12"/>
        <v>0</v>
      </c>
      <c r="AB20" s="17">
        <f t="shared" si="12"/>
        <v>7</v>
      </c>
      <c r="AC20" s="17">
        <f t="shared" si="12"/>
        <v>374</v>
      </c>
      <c r="AD20" s="17">
        <f t="shared" si="12"/>
        <v>0</v>
      </c>
      <c r="AE20" s="31">
        <f t="shared" si="12"/>
        <v>698</v>
      </c>
      <c r="AF20" s="31">
        <f t="shared" si="12"/>
        <v>1072</v>
      </c>
    </row>
    <row r="21" spans="2:32" ht="23.1" customHeight="1" x14ac:dyDescent="0.25">
      <c r="B21" s="23" t="s">
        <v>48</v>
      </c>
      <c r="C21" s="50">
        <v>40</v>
      </c>
      <c r="D21" s="50">
        <v>0</v>
      </c>
      <c r="E21" s="50">
        <v>2</v>
      </c>
      <c r="F21" s="50">
        <v>39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82</v>
      </c>
      <c r="N21" s="50">
        <v>0</v>
      </c>
      <c r="O21" s="15">
        <f t="shared" si="0"/>
        <v>81</v>
      </c>
      <c r="P21" s="15">
        <f t="shared" si="1"/>
        <v>163</v>
      </c>
      <c r="R21" s="36" t="s">
        <v>20</v>
      </c>
      <c r="S21" s="34">
        <f t="shared" ref="S21:AF21" si="13">SUM(C54:C57)</f>
        <v>368</v>
      </c>
      <c r="T21" s="17">
        <f t="shared" si="13"/>
        <v>5</v>
      </c>
      <c r="U21" s="17">
        <f t="shared" si="13"/>
        <v>12</v>
      </c>
      <c r="V21" s="17">
        <f t="shared" si="13"/>
        <v>207</v>
      </c>
      <c r="W21" s="17">
        <f t="shared" si="13"/>
        <v>3</v>
      </c>
      <c r="X21" s="17">
        <f t="shared" si="13"/>
        <v>0</v>
      </c>
      <c r="Y21" s="17">
        <f t="shared" si="13"/>
        <v>21</v>
      </c>
      <c r="Z21" s="17">
        <f t="shared" si="13"/>
        <v>7</v>
      </c>
      <c r="AA21" s="17">
        <f t="shared" si="13"/>
        <v>0</v>
      </c>
      <c r="AB21" s="17">
        <f t="shared" si="13"/>
        <v>2</v>
      </c>
      <c r="AC21" s="17">
        <f t="shared" si="13"/>
        <v>333</v>
      </c>
      <c r="AD21" s="17">
        <f t="shared" si="13"/>
        <v>0</v>
      </c>
      <c r="AE21" s="31">
        <f t="shared" si="13"/>
        <v>625</v>
      </c>
      <c r="AF21" s="31">
        <f t="shared" si="13"/>
        <v>958</v>
      </c>
    </row>
    <row r="22" spans="2:32" ht="23.1" customHeight="1" x14ac:dyDescent="0.25">
      <c r="B22" s="23" t="s">
        <v>49</v>
      </c>
      <c r="C22" s="50">
        <v>90</v>
      </c>
      <c r="D22" s="50">
        <v>0</v>
      </c>
      <c r="E22" s="50">
        <v>2</v>
      </c>
      <c r="F22" s="50">
        <v>13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80</v>
      </c>
      <c r="N22" s="50">
        <v>0</v>
      </c>
      <c r="O22" s="15">
        <f t="shared" si="0"/>
        <v>105</v>
      </c>
      <c r="P22" s="15">
        <f t="shared" si="1"/>
        <v>185</v>
      </c>
      <c r="R22" s="38" t="s">
        <v>90</v>
      </c>
      <c r="S22" s="39">
        <f>MAX(S10:S12)</f>
        <v>144</v>
      </c>
      <c r="T22" s="39">
        <f t="shared" ref="T22:AF22" si="14">MAX(T10:T12)</f>
        <v>6</v>
      </c>
      <c r="U22" s="39">
        <f t="shared" si="14"/>
        <v>7</v>
      </c>
      <c r="V22" s="39">
        <f t="shared" si="14"/>
        <v>103</v>
      </c>
      <c r="W22" s="39">
        <f t="shared" si="14"/>
        <v>3</v>
      </c>
      <c r="X22" s="39">
        <f t="shared" si="14"/>
        <v>0</v>
      </c>
      <c r="Y22" s="39">
        <f t="shared" si="14"/>
        <v>14</v>
      </c>
      <c r="Z22" s="39">
        <f t="shared" si="14"/>
        <v>1</v>
      </c>
      <c r="AA22" s="39">
        <f t="shared" si="14"/>
        <v>1</v>
      </c>
      <c r="AB22" s="39">
        <f t="shared" si="14"/>
        <v>1</v>
      </c>
      <c r="AC22" s="39">
        <f t="shared" si="14"/>
        <v>393</v>
      </c>
      <c r="AD22" s="39">
        <f t="shared" si="14"/>
        <v>0</v>
      </c>
      <c r="AE22" s="40">
        <f t="shared" si="14"/>
        <v>265</v>
      </c>
      <c r="AF22" s="40">
        <f t="shared" si="14"/>
        <v>642</v>
      </c>
    </row>
    <row r="23" spans="2:32" ht="23.1" customHeight="1" x14ac:dyDescent="0.25">
      <c r="B23" s="23" t="s">
        <v>50</v>
      </c>
      <c r="C23" s="50">
        <v>70</v>
      </c>
      <c r="D23" s="50">
        <v>0</v>
      </c>
      <c r="E23" s="50">
        <v>3</v>
      </c>
      <c r="F23" s="50">
        <v>4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95</v>
      </c>
      <c r="N23" s="50">
        <v>0</v>
      </c>
      <c r="O23" s="15">
        <f t="shared" si="0"/>
        <v>80</v>
      </c>
      <c r="P23" s="15">
        <f t="shared" si="1"/>
        <v>175</v>
      </c>
      <c r="R23" s="38" t="s">
        <v>91</v>
      </c>
      <c r="S23" s="39">
        <f>MAX(S13:S18)</f>
        <v>310</v>
      </c>
      <c r="T23" s="39">
        <f t="shared" ref="T23:AF23" si="15">MAX(T13:T18)</f>
        <v>8</v>
      </c>
      <c r="U23" s="39">
        <f t="shared" si="15"/>
        <v>18</v>
      </c>
      <c r="V23" s="39">
        <f t="shared" si="15"/>
        <v>113</v>
      </c>
      <c r="W23" s="39">
        <f t="shared" si="15"/>
        <v>4</v>
      </c>
      <c r="X23" s="39">
        <f t="shared" si="15"/>
        <v>0</v>
      </c>
      <c r="Y23" s="39">
        <f t="shared" si="15"/>
        <v>21</v>
      </c>
      <c r="Z23" s="39">
        <f t="shared" si="15"/>
        <v>7</v>
      </c>
      <c r="AA23" s="39">
        <f t="shared" si="15"/>
        <v>3</v>
      </c>
      <c r="AB23" s="39">
        <f t="shared" si="15"/>
        <v>4</v>
      </c>
      <c r="AC23" s="39">
        <f t="shared" si="15"/>
        <v>315</v>
      </c>
      <c r="AD23" s="39">
        <f t="shared" si="15"/>
        <v>1</v>
      </c>
      <c r="AE23" s="40">
        <f t="shared" si="15"/>
        <v>417</v>
      </c>
      <c r="AF23" s="40">
        <f t="shared" si="15"/>
        <v>692</v>
      </c>
    </row>
    <row r="24" spans="2:32" ht="23.1" customHeight="1" x14ac:dyDescent="0.25">
      <c r="B24" s="23" t="s">
        <v>51</v>
      </c>
      <c r="C24" s="50">
        <v>85</v>
      </c>
      <c r="D24" s="50">
        <v>0</v>
      </c>
      <c r="E24" s="50">
        <v>2</v>
      </c>
      <c r="F24" s="50">
        <v>16</v>
      </c>
      <c r="G24" s="50">
        <v>0</v>
      </c>
      <c r="H24" s="50">
        <v>0</v>
      </c>
      <c r="I24" s="50">
        <v>6</v>
      </c>
      <c r="J24" s="50">
        <v>0</v>
      </c>
      <c r="K24" s="50">
        <v>0</v>
      </c>
      <c r="L24" s="50">
        <v>0</v>
      </c>
      <c r="M24" s="50">
        <v>80</v>
      </c>
      <c r="N24" s="50">
        <v>0</v>
      </c>
      <c r="O24" s="15">
        <f t="shared" si="0"/>
        <v>109</v>
      </c>
      <c r="P24" s="15">
        <f t="shared" si="1"/>
        <v>189</v>
      </c>
      <c r="R24" s="38" t="s">
        <v>92</v>
      </c>
      <c r="S24" s="39">
        <f>MAX(S19:S21)</f>
        <v>386</v>
      </c>
      <c r="T24" s="39">
        <f t="shared" ref="T24:AF24" si="16">MAX(T19:T21)</f>
        <v>12</v>
      </c>
      <c r="U24" s="39">
        <f t="shared" si="16"/>
        <v>24</v>
      </c>
      <c r="V24" s="39">
        <f t="shared" si="16"/>
        <v>259</v>
      </c>
      <c r="W24" s="39">
        <f t="shared" si="16"/>
        <v>3</v>
      </c>
      <c r="X24" s="39">
        <f t="shared" si="16"/>
        <v>0</v>
      </c>
      <c r="Y24" s="39">
        <f t="shared" si="16"/>
        <v>21</v>
      </c>
      <c r="Z24" s="39">
        <f t="shared" si="16"/>
        <v>7</v>
      </c>
      <c r="AA24" s="39">
        <f t="shared" si="16"/>
        <v>3</v>
      </c>
      <c r="AB24" s="39">
        <f t="shared" si="16"/>
        <v>7</v>
      </c>
      <c r="AC24" s="39">
        <f t="shared" si="16"/>
        <v>463</v>
      </c>
      <c r="AD24" s="39">
        <f t="shared" si="16"/>
        <v>0</v>
      </c>
      <c r="AE24" s="40">
        <f t="shared" si="16"/>
        <v>698</v>
      </c>
      <c r="AF24" s="40">
        <f t="shared" si="16"/>
        <v>1072</v>
      </c>
    </row>
    <row r="25" spans="2:32" ht="23.1" customHeight="1" x14ac:dyDescent="0.25">
      <c r="B25" s="23" t="s">
        <v>52</v>
      </c>
      <c r="C25" s="50">
        <v>65</v>
      </c>
      <c r="D25" s="50">
        <v>0</v>
      </c>
      <c r="E25" s="50">
        <v>1</v>
      </c>
      <c r="F25" s="50">
        <v>13</v>
      </c>
      <c r="G25" s="50">
        <v>0</v>
      </c>
      <c r="H25" s="50">
        <v>0</v>
      </c>
      <c r="I25" s="50">
        <v>0</v>
      </c>
      <c r="J25" s="50">
        <v>3</v>
      </c>
      <c r="K25" s="50">
        <v>0</v>
      </c>
      <c r="L25" s="50">
        <v>1</v>
      </c>
      <c r="M25" s="50">
        <v>60</v>
      </c>
      <c r="N25" s="50">
        <v>0</v>
      </c>
      <c r="O25" s="15">
        <f t="shared" si="0"/>
        <v>83</v>
      </c>
      <c r="P25" s="15">
        <f t="shared" si="1"/>
        <v>143</v>
      </c>
      <c r="R25" s="37" t="s">
        <v>85</v>
      </c>
      <c r="S25" s="35">
        <f t="shared" ref="S25:AF25" si="17">SUM(S10:S12)</f>
        <v>412</v>
      </c>
      <c r="T25" s="16">
        <f t="shared" si="17"/>
        <v>7</v>
      </c>
      <c r="U25" s="16">
        <f t="shared" si="17"/>
        <v>15</v>
      </c>
      <c r="V25" s="16">
        <f t="shared" si="17"/>
        <v>184</v>
      </c>
      <c r="W25" s="16">
        <f t="shared" si="17"/>
        <v>6</v>
      </c>
      <c r="X25" s="16">
        <f t="shared" si="17"/>
        <v>0</v>
      </c>
      <c r="Y25" s="16">
        <f t="shared" si="17"/>
        <v>25</v>
      </c>
      <c r="Z25" s="16">
        <f t="shared" si="17"/>
        <v>2</v>
      </c>
      <c r="AA25" s="16">
        <f t="shared" si="17"/>
        <v>2</v>
      </c>
      <c r="AB25" s="16">
        <f t="shared" si="17"/>
        <v>2</v>
      </c>
      <c r="AC25" s="16">
        <f t="shared" si="17"/>
        <v>1160</v>
      </c>
      <c r="AD25" s="16">
        <f t="shared" si="17"/>
        <v>0</v>
      </c>
      <c r="AE25" s="32">
        <f t="shared" si="17"/>
        <v>655</v>
      </c>
      <c r="AF25" s="32">
        <f t="shared" si="17"/>
        <v>1815</v>
      </c>
    </row>
    <row r="26" spans="2:32" ht="23.1" customHeight="1" x14ac:dyDescent="0.25">
      <c r="B26" s="23" t="s">
        <v>53</v>
      </c>
      <c r="C26" s="50">
        <v>90</v>
      </c>
      <c r="D26" s="50">
        <v>0</v>
      </c>
      <c r="E26" s="50">
        <v>2</v>
      </c>
      <c r="F26" s="50">
        <v>12</v>
      </c>
      <c r="G26" s="50">
        <v>2</v>
      </c>
      <c r="H26" s="50">
        <v>0</v>
      </c>
      <c r="I26" s="50">
        <v>7</v>
      </c>
      <c r="J26" s="50">
        <v>0</v>
      </c>
      <c r="K26" s="50">
        <v>0</v>
      </c>
      <c r="L26" s="50">
        <v>1</v>
      </c>
      <c r="M26" s="50">
        <v>60</v>
      </c>
      <c r="N26" s="50">
        <v>1</v>
      </c>
      <c r="O26" s="15">
        <f t="shared" si="0"/>
        <v>115</v>
      </c>
      <c r="P26" s="15">
        <f t="shared" si="1"/>
        <v>175</v>
      </c>
      <c r="R26" s="28" t="s">
        <v>86</v>
      </c>
      <c r="S26" s="16">
        <f t="shared" ref="S26:AF26" si="18">SUM(S13:S18)</f>
        <v>1559</v>
      </c>
      <c r="T26" s="16">
        <f t="shared" si="18"/>
        <v>22</v>
      </c>
      <c r="U26" s="16">
        <f t="shared" si="18"/>
        <v>65</v>
      </c>
      <c r="V26" s="16">
        <f t="shared" si="18"/>
        <v>329</v>
      </c>
      <c r="W26" s="16">
        <f t="shared" si="18"/>
        <v>7</v>
      </c>
      <c r="X26" s="16">
        <f t="shared" si="18"/>
        <v>0</v>
      </c>
      <c r="Y26" s="16">
        <f t="shared" si="18"/>
        <v>80</v>
      </c>
      <c r="Z26" s="16">
        <f t="shared" si="18"/>
        <v>19</v>
      </c>
      <c r="AA26" s="16">
        <f t="shared" si="18"/>
        <v>8</v>
      </c>
      <c r="AB26" s="16">
        <f t="shared" si="18"/>
        <v>12</v>
      </c>
      <c r="AC26" s="16">
        <f t="shared" si="18"/>
        <v>1640</v>
      </c>
      <c r="AD26" s="16">
        <f t="shared" si="18"/>
        <v>2</v>
      </c>
      <c r="AE26" s="32">
        <f t="shared" si="18"/>
        <v>2103</v>
      </c>
      <c r="AF26" s="32">
        <f t="shared" si="18"/>
        <v>3743</v>
      </c>
    </row>
    <row r="27" spans="2:32" ht="23.1" customHeight="1" x14ac:dyDescent="0.25">
      <c r="B27" s="23" t="s">
        <v>54</v>
      </c>
      <c r="C27" s="50">
        <v>50</v>
      </c>
      <c r="D27" s="50">
        <v>1</v>
      </c>
      <c r="E27" s="50">
        <v>1</v>
      </c>
      <c r="F27" s="50">
        <v>4</v>
      </c>
      <c r="G27" s="50">
        <v>0</v>
      </c>
      <c r="H27" s="50">
        <v>0</v>
      </c>
      <c r="I27" s="50">
        <v>5</v>
      </c>
      <c r="J27" s="50">
        <v>3</v>
      </c>
      <c r="K27" s="50">
        <v>0</v>
      </c>
      <c r="L27" s="50">
        <v>0</v>
      </c>
      <c r="M27" s="50">
        <v>75</v>
      </c>
      <c r="N27" s="50">
        <v>0</v>
      </c>
      <c r="O27" s="15">
        <f t="shared" si="0"/>
        <v>64</v>
      </c>
      <c r="P27" s="15">
        <f t="shared" si="1"/>
        <v>139</v>
      </c>
      <c r="R27" s="29" t="s">
        <v>87</v>
      </c>
      <c r="S27" s="16">
        <f t="shared" ref="S27:AF27" si="19">SUM(S19:S21)</f>
        <v>1112</v>
      </c>
      <c r="T27" s="16">
        <f t="shared" si="19"/>
        <v>28</v>
      </c>
      <c r="U27" s="16">
        <f t="shared" si="19"/>
        <v>52</v>
      </c>
      <c r="V27" s="16">
        <f t="shared" si="19"/>
        <v>635</v>
      </c>
      <c r="W27" s="16">
        <f t="shared" si="19"/>
        <v>5</v>
      </c>
      <c r="X27" s="16">
        <f t="shared" si="19"/>
        <v>0</v>
      </c>
      <c r="Y27" s="16">
        <f t="shared" si="19"/>
        <v>55</v>
      </c>
      <c r="Z27" s="16">
        <f t="shared" si="19"/>
        <v>10</v>
      </c>
      <c r="AA27" s="16">
        <f t="shared" si="19"/>
        <v>3</v>
      </c>
      <c r="AB27" s="16">
        <f t="shared" si="19"/>
        <v>10</v>
      </c>
      <c r="AC27" s="16">
        <f t="shared" si="19"/>
        <v>1170</v>
      </c>
      <c r="AD27" s="16">
        <f t="shared" si="19"/>
        <v>0</v>
      </c>
      <c r="AE27" s="32">
        <f t="shared" si="19"/>
        <v>1910</v>
      </c>
      <c r="AF27" s="32">
        <f t="shared" si="19"/>
        <v>3080</v>
      </c>
    </row>
    <row r="28" spans="2:32" ht="23.1" customHeight="1" x14ac:dyDescent="0.25">
      <c r="B28" s="23" t="s">
        <v>55</v>
      </c>
      <c r="C28" s="50">
        <v>80</v>
      </c>
      <c r="D28" s="50">
        <v>0</v>
      </c>
      <c r="E28" s="50">
        <v>4</v>
      </c>
      <c r="F28" s="50">
        <v>40</v>
      </c>
      <c r="G28" s="50">
        <v>1</v>
      </c>
      <c r="H28" s="50">
        <v>0</v>
      </c>
      <c r="I28" s="50">
        <v>3</v>
      </c>
      <c r="J28" s="50">
        <v>0</v>
      </c>
      <c r="K28" s="50">
        <v>1</v>
      </c>
      <c r="L28" s="50">
        <v>0</v>
      </c>
      <c r="M28" s="50">
        <v>88</v>
      </c>
      <c r="N28" s="50">
        <v>0</v>
      </c>
      <c r="O28" s="15">
        <f t="shared" si="0"/>
        <v>129</v>
      </c>
      <c r="P28" s="15">
        <f t="shared" si="1"/>
        <v>217</v>
      </c>
      <c r="R28" s="5" t="s">
        <v>17</v>
      </c>
      <c r="S28" s="16">
        <f t="shared" ref="S28:AF28" si="20">SUM(S10:S21)</f>
        <v>3083</v>
      </c>
      <c r="T28" s="16">
        <f t="shared" si="20"/>
        <v>57</v>
      </c>
      <c r="U28" s="16">
        <f t="shared" si="20"/>
        <v>132</v>
      </c>
      <c r="V28" s="16">
        <f t="shared" si="20"/>
        <v>1148</v>
      </c>
      <c r="W28" s="16">
        <f t="shared" si="20"/>
        <v>18</v>
      </c>
      <c r="X28" s="16">
        <f t="shared" si="20"/>
        <v>0</v>
      </c>
      <c r="Y28" s="16">
        <f t="shared" si="20"/>
        <v>160</v>
      </c>
      <c r="Z28" s="16">
        <f t="shared" si="20"/>
        <v>31</v>
      </c>
      <c r="AA28" s="16">
        <f t="shared" si="20"/>
        <v>13</v>
      </c>
      <c r="AB28" s="16">
        <f t="shared" si="20"/>
        <v>24</v>
      </c>
      <c r="AC28" s="16">
        <f t="shared" si="20"/>
        <v>3970</v>
      </c>
      <c r="AD28" s="16">
        <f t="shared" si="20"/>
        <v>2</v>
      </c>
      <c r="AE28" s="32">
        <f t="shared" si="20"/>
        <v>4668</v>
      </c>
      <c r="AF28" s="32">
        <f t="shared" si="20"/>
        <v>8638</v>
      </c>
    </row>
    <row r="29" spans="2:32" ht="23.1" customHeight="1" x14ac:dyDescent="0.25">
      <c r="B29" s="23" t="s">
        <v>56</v>
      </c>
      <c r="C29" s="50">
        <v>67</v>
      </c>
      <c r="D29" s="50">
        <v>1</v>
      </c>
      <c r="E29" s="50">
        <v>11</v>
      </c>
      <c r="F29" s="50">
        <v>6</v>
      </c>
      <c r="G29" s="50">
        <v>1</v>
      </c>
      <c r="H29" s="50">
        <v>0</v>
      </c>
      <c r="I29" s="50">
        <v>0</v>
      </c>
      <c r="J29" s="50">
        <v>0</v>
      </c>
      <c r="K29" s="50">
        <v>2</v>
      </c>
      <c r="L29" s="50">
        <v>1</v>
      </c>
      <c r="M29" s="50">
        <v>47</v>
      </c>
      <c r="N29" s="50">
        <v>0</v>
      </c>
      <c r="O29" s="15">
        <f t="shared" si="0"/>
        <v>89</v>
      </c>
      <c r="P29" s="15">
        <f t="shared" si="1"/>
        <v>136</v>
      </c>
      <c r="R29"/>
      <c r="S29" s="20"/>
      <c r="T29" s="19"/>
    </row>
    <row r="30" spans="2:32" ht="23.1" customHeight="1" x14ac:dyDescent="0.25">
      <c r="B30" s="23" t="s">
        <v>57</v>
      </c>
      <c r="C30" s="50">
        <v>45</v>
      </c>
      <c r="D30" s="50">
        <v>2</v>
      </c>
      <c r="E30" s="50">
        <v>1</v>
      </c>
      <c r="F30" s="50">
        <v>5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70</v>
      </c>
      <c r="N30" s="50">
        <v>0</v>
      </c>
      <c r="O30" s="15">
        <f t="shared" si="0"/>
        <v>54</v>
      </c>
      <c r="P30" s="15">
        <f t="shared" si="1"/>
        <v>124</v>
      </c>
    </row>
    <row r="31" spans="2:32" ht="23.1" customHeight="1" x14ac:dyDescent="0.25">
      <c r="B31" s="24" t="s">
        <v>58</v>
      </c>
      <c r="C31" s="50">
        <v>60</v>
      </c>
      <c r="D31" s="50">
        <v>0</v>
      </c>
      <c r="E31" s="50">
        <v>0</v>
      </c>
      <c r="F31" s="50">
        <v>23</v>
      </c>
      <c r="G31" s="50">
        <v>0</v>
      </c>
      <c r="H31" s="50">
        <v>0</v>
      </c>
      <c r="I31" s="50">
        <v>3</v>
      </c>
      <c r="J31" s="50">
        <v>0</v>
      </c>
      <c r="K31" s="50">
        <v>1</v>
      </c>
      <c r="L31" s="50">
        <v>0</v>
      </c>
      <c r="M31" s="50">
        <v>100</v>
      </c>
      <c r="N31" s="50">
        <v>0</v>
      </c>
      <c r="O31" s="15">
        <f t="shared" si="0"/>
        <v>87</v>
      </c>
      <c r="P31" s="15">
        <f t="shared" si="1"/>
        <v>187</v>
      </c>
    </row>
    <row r="32" spans="2:32" ht="23.1" customHeight="1" x14ac:dyDescent="0.25">
      <c r="B32" s="24" t="s">
        <v>59</v>
      </c>
      <c r="C32" s="50">
        <v>85</v>
      </c>
      <c r="D32" s="50">
        <v>0</v>
      </c>
      <c r="E32" s="50">
        <v>3</v>
      </c>
      <c r="F32" s="50">
        <v>10</v>
      </c>
      <c r="G32" s="50">
        <v>0</v>
      </c>
      <c r="H32" s="50">
        <v>0</v>
      </c>
      <c r="I32" s="50">
        <v>8</v>
      </c>
      <c r="J32" s="50">
        <v>0</v>
      </c>
      <c r="K32" s="50">
        <v>0</v>
      </c>
      <c r="L32" s="50">
        <v>2</v>
      </c>
      <c r="M32" s="50">
        <v>93</v>
      </c>
      <c r="N32" s="50">
        <v>0</v>
      </c>
      <c r="O32" s="15">
        <f t="shared" si="0"/>
        <v>108</v>
      </c>
      <c r="P32" s="15">
        <f t="shared" si="1"/>
        <v>201</v>
      </c>
    </row>
    <row r="33" spans="2:20" ht="23.1" customHeight="1" x14ac:dyDescent="0.25">
      <c r="B33" s="23" t="s">
        <v>60</v>
      </c>
      <c r="C33" s="50">
        <v>74</v>
      </c>
      <c r="D33" s="50">
        <v>1</v>
      </c>
      <c r="E33" s="50">
        <v>1</v>
      </c>
      <c r="F33" s="50">
        <v>4</v>
      </c>
      <c r="G33" s="50">
        <v>1</v>
      </c>
      <c r="H33" s="50">
        <v>0</v>
      </c>
      <c r="I33" s="50">
        <v>2</v>
      </c>
      <c r="J33" s="50">
        <v>0</v>
      </c>
      <c r="K33" s="50">
        <v>1</v>
      </c>
      <c r="L33" s="50">
        <v>2</v>
      </c>
      <c r="M33" s="50">
        <v>50</v>
      </c>
      <c r="N33" s="50">
        <v>0</v>
      </c>
      <c r="O33" s="15">
        <f t="shared" si="0"/>
        <v>86</v>
      </c>
      <c r="P33" s="15">
        <f t="shared" si="1"/>
        <v>136</v>
      </c>
    </row>
    <row r="34" spans="2:20" ht="23.1" customHeight="1" x14ac:dyDescent="0.25">
      <c r="B34" s="24" t="s">
        <v>61</v>
      </c>
      <c r="C34" s="50">
        <v>80</v>
      </c>
      <c r="D34" s="50">
        <v>0</v>
      </c>
      <c r="E34" s="50">
        <v>2</v>
      </c>
      <c r="F34" s="50">
        <v>11</v>
      </c>
      <c r="G34" s="50">
        <v>1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70</v>
      </c>
      <c r="N34" s="50">
        <v>0</v>
      </c>
      <c r="O34" s="15">
        <f t="shared" si="0"/>
        <v>95</v>
      </c>
      <c r="P34" s="15">
        <f t="shared" si="1"/>
        <v>165</v>
      </c>
    </row>
    <row r="35" spans="2:20" ht="23.1" customHeight="1" x14ac:dyDescent="0.25">
      <c r="B35" s="24" t="s">
        <v>62</v>
      </c>
      <c r="C35" s="50">
        <v>55</v>
      </c>
      <c r="D35" s="50">
        <v>1</v>
      </c>
      <c r="E35" s="50">
        <v>0</v>
      </c>
      <c r="F35" s="50">
        <v>3</v>
      </c>
      <c r="G35" s="50">
        <v>0</v>
      </c>
      <c r="H35" s="50">
        <v>0</v>
      </c>
      <c r="I35" s="50">
        <v>4</v>
      </c>
      <c r="J35" s="50">
        <v>2</v>
      </c>
      <c r="K35" s="50">
        <v>0</v>
      </c>
      <c r="L35" s="50">
        <v>3</v>
      </c>
      <c r="M35" s="50">
        <v>90</v>
      </c>
      <c r="N35" s="50">
        <v>0</v>
      </c>
      <c r="O35" s="15">
        <f t="shared" si="0"/>
        <v>68</v>
      </c>
      <c r="P35" s="15">
        <f t="shared" si="1"/>
        <v>158</v>
      </c>
    </row>
    <row r="36" spans="2:20" ht="23.1" customHeight="1" x14ac:dyDescent="0.25">
      <c r="B36" s="24" t="s">
        <v>63</v>
      </c>
      <c r="C36" s="50">
        <v>60</v>
      </c>
      <c r="D36" s="50">
        <v>2</v>
      </c>
      <c r="E36" s="50">
        <v>4</v>
      </c>
      <c r="F36" s="50">
        <v>5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v>0</v>
      </c>
      <c r="M36" s="50">
        <v>80</v>
      </c>
      <c r="N36" s="50">
        <v>0</v>
      </c>
      <c r="O36" s="15">
        <f t="shared" si="0"/>
        <v>74</v>
      </c>
      <c r="P36" s="15">
        <f t="shared" si="1"/>
        <v>154</v>
      </c>
    </row>
    <row r="37" spans="2:20" ht="23.1" customHeight="1" x14ac:dyDescent="0.25">
      <c r="B37" s="23" t="s">
        <v>64</v>
      </c>
      <c r="C37" s="50">
        <v>50</v>
      </c>
      <c r="D37" s="50">
        <v>0</v>
      </c>
      <c r="E37" s="50">
        <v>3</v>
      </c>
      <c r="F37" s="50">
        <v>3</v>
      </c>
      <c r="G37" s="50">
        <v>0</v>
      </c>
      <c r="H37" s="50">
        <v>0</v>
      </c>
      <c r="I37" s="50">
        <v>5</v>
      </c>
      <c r="J37" s="50">
        <v>0</v>
      </c>
      <c r="K37" s="50">
        <v>1</v>
      </c>
      <c r="L37" s="50">
        <v>0</v>
      </c>
      <c r="M37" s="50">
        <v>57</v>
      </c>
      <c r="N37" s="50">
        <v>0</v>
      </c>
      <c r="O37" s="15">
        <f t="shared" si="0"/>
        <v>62</v>
      </c>
      <c r="P37" s="15">
        <f t="shared" si="1"/>
        <v>119</v>
      </c>
    </row>
    <row r="38" spans="2:20" ht="23.1" customHeight="1" x14ac:dyDescent="0.25">
      <c r="B38" s="24" t="s">
        <v>65</v>
      </c>
      <c r="C38" s="50">
        <v>43</v>
      </c>
      <c r="D38" s="50">
        <v>1</v>
      </c>
      <c r="E38" s="50">
        <v>3</v>
      </c>
      <c r="F38" s="50">
        <v>4</v>
      </c>
      <c r="G38" s="50">
        <v>0</v>
      </c>
      <c r="H38" s="50">
        <v>0</v>
      </c>
      <c r="I38" s="50">
        <v>4</v>
      </c>
      <c r="J38" s="50">
        <v>0</v>
      </c>
      <c r="K38" s="50">
        <v>1</v>
      </c>
      <c r="L38" s="50">
        <v>0</v>
      </c>
      <c r="M38" s="50">
        <v>39</v>
      </c>
      <c r="N38" s="50">
        <v>1</v>
      </c>
      <c r="O38" s="15">
        <f t="shared" si="0"/>
        <v>57</v>
      </c>
      <c r="P38" s="15">
        <f t="shared" si="1"/>
        <v>96</v>
      </c>
    </row>
    <row r="39" spans="2:20" ht="23.1" customHeight="1" x14ac:dyDescent="0.25">
      <c r="B39" s="24" t="s">
        <v>66</v>
      </c>
      <c r="C39" s="50">
        <v>80</v>
      </c>
      <c r="D39" s="50">
        <v>1</v>
      </c>
      <c r="E39" s="50">
        <v>4</v>
      </c>
      <c r="F39" s="50">
        <v>8</v>
      </c>
      <c r="G39" s="50">
        <v>0</v>
      </c>
      <c r="H39" s="50">
        <v>0</v>
      </c>
      <c r="I39" s="50">
        <v>3</v>
      </c>
      <c r="J39" s="50">
        <v>0</v>
      </c>
      <c r="K39" s="50">
        <v>1</v>
      </c>
      <c r="L39" s="50">
        <v>0</v>
      </c>
      <c r="M39" s="50">
        <v>48</v>
      </c>
      <c r="N39" s="50">
        <v>0</v>
      </c>
      <c r="O39" s="15">
        <f t="shared" si="0"/>
        <v>97</v>
      </c>
      <c r="P39" s="15">
        <f t="shared" si="1"/>
        <v>145</v>
      </c>
    </row>
    <row r="40" spans="2:20" ht="23.1" customHeight="1" x14ac:dyDescent="0.25">
      <c r="B40" s="24" t="s">
        <v>67</v>
      </c>
      <c r="C40" s="50">
        <v>45</v>
      </c>
      <c r="D40" s="50">
        <v>2</v>
      </c>
      <c r="E40" s="50">
        <v>3</v>
      </c>
      <c r="F40" s="50">
        <v>12</v>
      </c>
      <c r="G40" s="50">
        <v>0</v>
      </c>
      <c r="H40" s="50">
        <v>0</v>
      </c>
      <c r="I40" s="50">
        <v>2</v>
      </c>
      <c r="J40" s="50">
        <v>1</v>
      </c>
      <c r="K40" s="50">
        <v>0</v>
      </c>
      <c r="L40" s="50">
        <v>0</v>
      </c>
      <c r="M40" s="50">
        <v>65</v>
      </c>
      <c r="N40" s="50">
        <v>0</v>
      </c>
      <c r="O40" s="15">
        <f t="shared" si="0"/>
        <v>65</v>
      </c>
      <c r="P40" s="15">
        <f t="shared" si="1"/>
        <v>130</v>
      </c>
    </row>
    <row r="41" spans="2:20" ht="23.1" customHeight="1" x14ac:dyDescent="0.25">
      <c r="B41" s="23" t="s">
        <v>68</v>
      </c>
      <c r="C41" s="50">
        <v>32</v>
      </c>
      <c r="D41" s="50">
        <v>4</v>
      </c>
      <c r="E41" s="50">
        <v>1</v>
      </c>
      <c r="F41" s="50">
        <v>20</v>
      </c>
      <c r="G41" s="50">
        <v>0</v>
      </c>
      <c r="H41" s="50">
        <v>0</v>
      </c>
      <c r="I41" s="50">
        <v>0</v>
      </c>
      <c r="J41" s="50">
        <v>2</v>
      </c>
      <c r="K41" s="50">
        <v>0</v>
      </c>
      <c r="L41" s="50">
        <v>0</v>
      </c>
      <c r="M41" s="50">
        <v>60</v>
      </c>
      <c r="N41" s="50">
        <v>0</v>
      </c>
      <c r="O41" s="15">
        <f t="shared" si="0"/>
        <v>59</v>
      </c>
      <c r="P41" s="15">
        <f t="shared" si="1"/>
        <v>119</v>
      </c>
    </row>
    <row r="42" spans="2:20" ht="23.1" customHeight="1" x14ac:dyDescent="0.25">
      <c r="B42" s="24" t="s">
        <v>69</v>
      </c>
      <c r="C42" s="50">
        <v>75</v>
      </c>
      <c r="D42" s="50">
        <v>0</v>
      </c>
      <c r="E42" s="50">
        <v>2</v>
      </c>
      <c r="F42" s="50">
        <v>24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53</v>
      </c>
      <c r="N42" s="50">
        <v>0</v>
      </c>
      <c r="O42" s="15">
        <f t="shared" si="0"/>
        <v>101</v>
      </c>
      <c r="P42" s="15">
        <f t="shared" si="1"/>
        <v>154</v>
      </c>
    </row>
    <row r="43" spans="2:20" ht="23.1" customHeight="1" x14ac:dyDescent="0.25">
      <c r="B43" s="23" t="s">
        <v>70</v>
      </c>
      <c r="C43" s="50">
        <v>50</v>
      </c>
      <c r="D43" s="50">
        <v>4</v>
      </c>
      <c r="E43" s="50">
        <v>2</v>
      </c>
      <c r="F43" s="50">
        <v>16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1</v>
      </c>
      <c r="M43" s="50">
        <v>60</v>
      </c>
      <c r="N43" s="50">
        <v>0</v>
      </c>
      <c r="O43" s="15">
        <f t="shared" si="0"/>
        <v>76</v>
      </c>
      <c r="P43" s="15">
        <f t="shared" si="1"/>
        <v>136</v>
      </c>
    </row>
    <row r="44" spans="2:20" ht="23.1" customHeight="1" x14ac:dyDescent="0.25">
      <c r="B44" s="25" t="s">
        <v>71</v>
      </c>
      <c r="C44" s="50">
        <v>54</v>
      </c>
      <c r="D44" s="50">
        <v>0</v>
      </c>
      <c r="E44" s="50">
        <v>5</v>
      </c>
      <c r="F44" s="50">
        <v>33</v>
      </c>
      <c r="G44" s="50">
        <v>0</v>
      </c>
      <c r="H44" s="50">
        <v>0</v>
      </c>
      <c r="I44" s="50">
        <v>2</v>
      </c>
      <c r="J44" s="50">
        <v>4</v>
      </c>
      <c r="K44" s="50">
        <v>0</v>
      </c>
      <c r="L44" s="50">
        <v>0</v>
      </c>
      <c r="M44" s="50">
        <v>45</v>
      </c>
      <c r="N44" s="50">
        <v>0</v>
      </c>
      <c r="O44" s="15">
        <f t="shared" si="0"/>
        <v>98</v>
      </c>
      <c r="P44" s="15">
        <f t="shared" si="1"/>
        <v>143</v>
      </c>
    </row>
    <row r="45" spans="2:20" ht="23.1" customHeight="1" x14ac:dyDescent="0.25">
      <c r="B45" s="23" t="s">
        <v>72</v>
      </c>
      <c r="C45" s="50">
        <v>74</v>
      </c>
      <c r="D45" s="50">
        <v>2</v>
      </c>
      <c r="E45" s="50">
        <v>5</v>
      </c>
      <c r="F45" s="50">
        <v>40</v>
      </c>
      <c r="G45" s="50">
        <v>1</v>
      </c>
      <c r="H45" s="50">
        <v>0</v>
      </c>
      <c r="I45" s="50">
        <v>16</v>
      </c>
      <c r="J45" s="50">
        <v>3</v>
      </c>
      <c r="K45" s="50">
        <v>0</v>
      </c>
      <c r="L45" s="50">
        <v>1</v>
      </c>
      <c r="M45" s="50">
        <v>75</v>
      </c>
      <c r="N45" s="50">
        <v>0</v>
      </c>
      <c r="O45" s="15">
        <f t="shared" si="0"/>
        <v>142</v>
      </c>
      <c r="P45" s="15">
        <f t="shared" si="1"/>
        <v>217</v>
      </c>
    </row>
    <row r="46" spans="2:20" ht="23.1" customHeight="1" x14ac:dyDescent="0.25">
      <c r="B46" s="24" t="s">
        <v>73</v>
      </c>
      <c r="C46" s="50">
        <v>65</v>
      </c>
      <c r="D46" s="50">
        <v>0</v>
      </c>
      <c r="E46" s="50">
        <v>2</v>
      </c>
      <c r="F46" s="50">
        <v>50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0</v>
      </c>
      <c r="M46" s="50">
        <v>100</v>
      </c>
      <c r="N46" s="50">
        <v>0</v>
      </c>
      <c r="O46" s="15">
        <f t="shared" si="0"/>
        <v>120</v>
      </c>
      <c r="P46" s="15">
        <f t="shared" si="1"/>
        <v>220</v>
      </c>
      <c r="R46" s="8"/>
      <c r="T46"/>
    </row>
    <row r="47" spans="2:20" ht="23.1" customHeight="1" x14ac:dyDescent="0.25">
      <c r="B47" s="24" t="s">
        <v>74</v>
      </c>
      <c r="C47" s="50">
        <v>88</v>
      </c>
      <c r="D47" s="50">
        <v>2</v>
      </c>
      <c r="E47" s="50">
        <v>3</v>
      </c>
      <c r="F47" s="50">
        <v>44</v>
      </c>
      <c r="G47" s="50">
        <v>0</v>
      </c>
      <c r="H47" s="50">
        <v>0</v>
      </c>
      <c r="I47" s="50">
        <v>8</v>
      </c>
      <c r="J47" s="50">
        <v>1</v>
      </c>
      <c r="K47" s="50">
        <v>2</v>
      </c>
      <c r="L47" s="50">
        <v>0</v>
      </c>
      <c r="M47" s="50">
        <v>120</v>
      </c>
      <c r="N47" s="50">
        <v>0</v>
      </c>
      <c r="O47" s="15">
        <f t="shared" si="0"/>
        <v>148</v>
      </c>
      <c r="P47" s="15">
        <f t="shared" si="1"/>
        <v>268</v>
      </c>
      <c r="R47" s="8"/>
      <c r="T47"/>
    </row>
    <row r="48" spans="2:20" ht="23.1" customHeight="1" x14ac:dyDescent="0.25">
      <c r="B48" s="24" t="s">
        <v>75</v>
      </c>
      <c r="C48" s="50">
        <v>105</v>
      </c>
      <c r="D48" s="50">
        <v>0</v>
      </c>
      <c r="E48" s="50">
        <v>8</v>
      </c>
      <c r="F48" s="50">
        <v>55</v>
      </c>
      <c r="G48" s="50">
        <v>0</v>
      </c>
      <c r="H48" s="50">
        <v>0</v>
      </c>
      <c r="I48" s="50">
        <v>6</v>
      </c>
      <c r="J48" s="50">
        <v>0</v>
      </c>
      <c r="K48" s="50">
        <v>1</v>
      </c>
      <c r="L48" s="50">
        <v>0</v>
      </c>
      <c r="M48" s="50">
        <v>125</v>
      </c>
      <c r="N48" s="50">
        <v>0</v>
      </c>
      <c r="O48" s="15">
        <f t="shared" si="0"/>
        <v>175</v>
      </c>
      <c r="P48" s="15">
        <f t="shared" si="1"/>
        <v>300</v>
      </c>
      <c r="R48" s="8"/>
      <c r="T48"/>
    </row>
    <row r="49" spans="2:20" ht="23.1" customHeight="1" x14ac:dyDescent="0.25">
      <c r="B49" s="23" t="s">
        <v>76</v>
      </c>
      <c r="C49" s="50">
        <v>100</v>
      </c>
      <c r="D49" s="50">
        <v>9</v>
      </c>
      <c r="E49" s="50">
        <v>11</v>
      </c>
      <c r="F49" s="50">
        <v>20</v>
      </c>
      <c r="G49" s="50">
        <v>1</v>
      </c>
      <c r="H49" s="50">
        <v>0</v>
      </c>
      <c r="I49" s="50">
        <v>0</v>
      </c>
      <c r="J49" s="50">
        <v>2</v>
      </c>
      <c r="K49" s="50">
        <v>0</v>
      </c>
      <c r="L49" s="50">
        <v>1</v>
      </c>
      <c r="M49" s="50">
        <v>118</v>
      </c>
      <c r="N49" s="50">
        <v>0</v>
      </c>
      <c r="O49" s="15">
        <f t="shared" si="0"/>
        <v>144</v>
      </c>
      <c r="P49" s="15">
        <f t="shared" si="1"/>
        <v>262</v>
      </c>
      <c r="R49" s="8"/>
      <c r="T49"/>
    </row>
    <row r="50" spans="2:20" ht="23.1" customHeight="1" x14ac:dyDescent="0.25">
      <c r="B50" s="24" t="s">
        <v>77</v>
      </c>
      <c r="C50" s="50">
        <v>95</v>
      </c>
      <c r="D50" s="50">
        <v>3</v>
      </c>
      <c r="E50" s="50">
        <v>0</v>
      </c>
      <c r="F50" s="50">
        <v>60</v>
      </c>
      <c r="G50" s="50">
        <v>0</v>
      </c>
      <c r="H50" s="50">
        <v>0</v>
      </c>
      <c r="I50" s="50">
        <v>10</v>
      </c>
      <c r="J50" s="50">
        <v>0</v>
      </c>
      <c r="K50" s="50">
        <v>0</v>
      </c>
      <c r="L50" s="50">
        <v>2</v>
      </c>
      <c r="M50" s="50">
        <v>129</v>
      </c>
      <c r="N50" s="50">
        <v>0</v>
      </c>
      <c r="O50" s="15">
        <f t="shared" si="0"/>
        <v>170</v>
      </c>
      <c r="P50" s="15">
        <f t="shared" si="1"/>
        <v>299</v>
      </c>
      <c r="R50" s="8"/>
      <c r="T50"/>
    </row>
    <row r="51" spans="2:20" ht="23.1" customHeight="1" x14ac:dyDescent="0.25">
      <c r="B51" s="24" t="s">
        <v>78</v>
      </c>
      <c r="C51" s="50">
        <v>106</v>
      </c>
      <c r="D51" s="50">
        <v>7</v>
      </c>
      <c r="E51" s="50">
        <v>11</v>
      </c>
      <c r="F51" s="50">
        <v>69</v>
      </c>
      <c r="G51" s="50">
        <v>0</v>
      </c>
      <c r="H51" s="50">
        <v>0</v>
      </c>
      <c r="I51" s="50">
        <v>4</v>
      </c>
      <c r="J51" s="50">
        <v>0</v>
      </c>
      <c r="K51" s="50">
        <v>0</v>
      </c>
      <c r="L51" s="50">
        <v>4</v>
      </c>
      <c r="M51" s="50">
        <v>75</v>
      </c>
      <c r="N51" s="50">
        <v>0</v>
      </c>
      <c r="O51" s="15">
        <f t="shared" si="0"/>
        <v>201</v>
      </c>
      <c r="P51" s="15">
        <f t="shared" si="1"/>
        <v>276</v>
      </c>
      <c r="R51" s="8"/>
      <c r="T51"/>
    </row>
    <row r="52" spans="2:20" ht="23.1" customHeight="1" x14ac:dyDescent="0.25">
      <c r="B52" s="24" t="s">
        <v>79</v>
      </c>
      <c r="C52" s="50">
        <v>100</v>
      </c>
      <c r="D52" s="50">
        <v>0</v>
      </c>
      <c r="E52" s="50">
        <v>4</v>
      </c>
      <c r="F52" s="50">
        <v>75</v>
      </c>
      <c r="G52" s="50">
        <v>1</v>
      </c>
      <c r="H52" s="50">
        <v>0</v>
      </c>
      <c r="I52" s="50">
        <v>3</v>
      </c>
      <c r="J52" s="50">
        <v>0</v>
      </c>
      <c r="K52" s="50">
        <v>0</v>
      </c>
      <c r="L52" s="50">
        <v>1</v>
      </c>
      <c r="M52" s="50">
        <v>90</v>
      </c>
      <c r="N52" s="50">
        <v>0</v>
      </c>
      <c r="O52" s="15">
        <f t="shared" si="0"/>
        <v>184</v>
      </c>
      <c r="P52" s="15">
        <f t="shared" si="1"/>
        <v>274</v>
      </c>
      <c r="R52" s="8"/>
      <c r="T52"/>
    </row>
    <row r="53" spans="2:20" ht="23.1" customHeight="1" x14ac:dyDescent="0.25">
      <c r="B53" s="23" t="s">
        <v>80</v>
      </c>
      <c r="C53" s="50">
        <v>85</v>
      </c>
      <c r="D53" s="50">
        <v>2</v>
      </c>
      <c r="E53" s="50">
        <v>1</v>
      </c>
      <c r="F53" s="50">
        <v>55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80</v>
      </c>
      <c r="N53" s="50">
        <v>0</v>
      </c>
      <c r="O53" s="15">
        <f t="shared" si="0"/>
        <v>143</v>
      </c>
      <c r="P53" s="15">
        <f t="shared" si="1"/>
        <v>223</v>
      </c>
      <c r="R53" s="8"/>
      <c r="T53"/>
    </row>
    <row r="54" spans="2:20" ht="23.1" customHeight="1" x14ac:dyDescent="0.25">
      <c r="B54" s="23" t="s">
        <v>81</v>
      </c>
      <c r="C54" s="50">
        <v>90</v>
      </c>
      <c r="D54" s="50">
        <v>1</v>
      </c>
      <c r="E54" s="50">
        <v>3</v>
      </c>
      <c r="F54" s="50">
        <v>65</v>
      </c>
      <c r="G54" s="50">
        <v>0</v>
      </c>
      <c r="H54" s="50">
        <v>0</v>
      </c>
      <c r="I54" s="50">
        <v>7</v>
      </c>
      <c r="J54" s="50">
        <v>2</v>
      </c>
      <c r="K54" s="50">
        <v>0</v>
      </c>
      <c r="L54" s="50">
        <v>0</v>
      </c>
      <c r="M54" s="50">
        <v>110</v>
      </c>
      <c r="N54" s="50">
        <v>0</v>
      </c>
      <c r="O54" s="15">
        <f t="shared" si="0"/>
        <v>168</v>
      </c>
      <c r="P54" s="15">
        <f t="shared" si="1"/>
        <v>278</v>
      </c>
      <c r="R54" s="8"/>
      <c r="T54"/>
    </row>
    <row r="55" spans="2:20" ht="23.1" customHeight="1" x14ac:dyDescent="0.25">
      <c r="B55" s="23" t="s">
        <v>82</v>
      </c>
      <c r="C55" s="50">
        <v>100</v>
      </c>
      <c r="D55" s="50">
        <v>0</v>
      </c>
      <c r="E55" s="50">
        <v>6</v>
      </c>
      <c r="F55" s="50">
        <v>77</v>
      </c>
      <c r="G55" s="50">
        <v>1</v>
      </c>
      <c r="H55" s="50">
        <v>0</v>
      </c>
      <c r="I55" s="50">
        <v>2</v>
      </c>
      <c r="J55" s="50">
        <v>1</v>
      </c>
      <c r="K55" s="50">
        <v>0</v>
      </c>
      <c r="L55" s="50">
        <v>2</v>
      </c>
      <c r="M55" s="50">
        <v>80</v>
      </c>
      <c r="N55" s="50">
        <v>0</v>
      </c>
      <c r="O55" s="15">
        <f t="shared" si="0"/>
        <v>189</v>
      </c>
      <c r="P55" s="15">
        <f t="shared" si="1"/>
        <v>269</v>
      </c>
      <c r="R55" s="8"/>
      <c r="T55"/>
    </row>
    <row r="56" spans="2:20" ht="23.1" customHeight="1" x14ac:dyDescent="0.25">
      <c r="B56" s="23" t="s">
        <v>83</v>
      </c>
      <c r="C56" s="50">
        <v>85</v>
      </c>
      <c r="D56" s="50">
        <v>4</v>
      </c>
      <c r="E56" s="50">
        <v>0</v>
      </c>
      <c r="F56" s="50">
        <v>65</v>
      </c>
      <c r="G56" s="50">
        <v>0</v>
      </c>
      <c r="H56" s="50">
        <v>0</v>
      </c>
      <c r="I56" s="50">
        <v>9</v>
      </c>
      <c r="J56" s="50">
        <v>3</v>
      </c>
      <c r="K56" s="50">
        <v>0</v>
      </c>
      <c r="L56" s="50">
        <v>0</v>
      </c>
      <c r="M56" s="50">
        <v>75</v>
      </c>
      <c r="N56" s="50">
        <v>0</v>
      </c>
      <c r="O56" s="15">
        <f t="shared" si="0"/>
        <v>166</v>
      </c>
      <c r="P56" s="15">
        <f t="shared" si="1"/>
        <v>241</v>
      </c>
      <c r="R56" s="8"/>
      <c r="T56"/>
    </row>
    <row r="57" spans="2:20" ht="23.1" customHeight="1" x14ac:dyDescent="0.25">
      <c r="B57" s="23" t="s">
        <v>84</v>
      </c>
      <c r="C57" s="50">
        <v>93</v>
      </c>
      <c r="D57" s="50">
        <v>0</v>
      </c>
      <c r="E57" s="50">
        <v>3</v>
      </c>
      <c r="F57" s="50">
        <v>0</v>
      </c>
      <c r="G57" s="50">
        <v>2</v>
      </c>
      <c r="H57" s="50">
        <v>0</v>
      </c>
      <c r="I57" s="50">
        <v>3</v>
      </c>
      <c r="J57" s="50">
        <v>1</v>
      </c>
      <c r="K57" s="50">
        <v>0</v>
      </c>
      <c r="L57" s="50">
        <v>0</v>
      </c>
      <c r="M57" s="50">
        <v>68</v>
      </c>
      <c r="N57" s="50">
        <v>0</v>
      </c>
      <c r="O57" s="15">
        <f t="shared" si="0"/>
        <v>102</v>
      </c>
      <c r="P57" s="15">
        <f t="shared" si="1"/>
        <v>170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3083</v>
      </c>
      <c r="D58" s="16">
        <f t="shared" si="21"/>
        <v>57</v>
      </c>
      <c r="E58" s="16">
        <f t="shared" si="21"/>
        <v>132</v>
      </c>
      <c r="F58" s="16">
        <f t="shared" si="21"/>
        <v>1148</v>
      </c>
      <c r="G58" s="16">
        <f t="shared" si="21"/>
        <v>18</v>
      </c>
      <c r="H58" s="16">
        <f t="shared" si="21"/>
        <v>0</v>
      </c>
      <c r="I58" s="16">
        <f t="shared" si="21"/>
        <v>160</v>
      </c>
      <c r="J58" s="16">
        <f t="shared" si="21"/>
        <v>31</v>
      </c>
      <c r="K58" s="16">
        <f t="shared" si="21"/>
        <v>13</v>
      </c>
      <c r="L58" s="16">
        <f t="shared" si="21"/>
        <v>24</v>
      </c>
      <c r="M58" s="16">
        <f t="shared" si="21"/>
        <v>3970</v>
      </c>
      <c r="N58" s="16">
        <f t="shared" si="21"/>
        <v>2</v>
      </c>
      <c r="O58" s="16">
        <f t="shared" si="21"/>
        <v>4668</v>
      </c>
      <c r="P58" s="16">
        <f t="shared" si="21"/>
        <v>8638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0.35691132206529291</v>
      </c>
      <c r="D59" s="43">
        <f t="shared" si="22"/>
        <v>6.5987497105811531E-3</v>
      </c>
      <c r="E59" s="43">
        <f t="shared" si="22"/>
        <v>1.5281315119240566E-2</v>
      </c>
      <c r="F59" s="43">
        <f t="shared" si="22"/>
        <v>0.13290113452188007</v>
      </c>
      <c r="G59" s="43">
        <f t="shared" si="22"/>
        <v>2.083815698078259E-3</v>
      </c>
      <c r="H59" s="43">
        <f t="shared" si="22"/>
        <v>0</v>
      </c>
      <c r="I59" s="43">
        <f t="shared" si="22"/>
        <v>1.8522806205140078E-2</v>
      </c>
      <c r="J59" s="43">
        <f t="shared" si="22"/>
        <v>3.5887937022458902E-3</v>
      </c>
      <c r="K59" s="43">
        <f t="shared" si="22"/>
        <v>1.5049780041676314E-3</v>
      </c>
      <c r="L59" s="43">
        <f t="shared" si="22"/>
        <v>2.7784209307710117E-3</v>
      </c>
      <c r="M59" s="43">
        <f t="shared" si="22"/>
        <v>0.45959712896503818</v>
      </c>
      <c r="N59" s="43">
        <f t="shared" si="22"/>
        <v>2.3153507756425097E-4</v>
      </c>
      <c r="R59" s="8"/>
      <c r="T59"/>
    </row>
    <row r="60" spans="2:20" ht="23.1" customHeight="1" x14ac:dyDescent="0.25">
      <c r="B60" s="42" t="s">
        <v>94</v>
      </c>
      <c r="C60" s="44">
        <f>C58/$O$58</f>
        <v>0.66045415595544132</v>
      </c>
      <c r="D60" s="44">
        <f t="shared" ref="D60:N60" si="23">D58/$O$58</f>
        <v>1.2210796915167094E-2</v>
      </c>
      <c r="E60" s="44">
        <f t="shared" si="23"/>
        <v>2.8277634961439587E-2</v>
      </c>
      <c r="F60" s="44">
        <f t="shared" si="23"/>
        <v>0.24592973436161097</v>
      </c>
      <c r="G60" s="44">
        <f t="shared" si="23"/>
        <v>3.8560411311053984E-3</v>
      </c>
      <c r="H60" s="44">
        <f t="shared" si="23"/>
        <v>0</v>
      </c>
      <c r="I60" s="44">
        <f t="shared" si="23"/>
        <v>3.4275921165381321E-2</v>
      </c>
      <c r="J60" s="44">
        <f t="shared" si="23"/>
        <v>6.640959725792631E-3</v>
      </c>
      <c r="K60" s="44">
        <f t="shared" si="23"/>
        <v>2.7849185946872321E-3</v>
      </c>
      <c r="L60" s="44">
        <f t="shared" si="23"/>
        <v>5.1413881748071976E-3</v>
      </c>
      <c r="M60" s="44"/>
      <c r="N60" s="44">
        <f t="shared" si="23"/>
        <v>4.2844901456726652E-4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R50" sqref="R5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'22.07 Nyanama-Ndeeba'!C3:G3</f>
        <v>MCC - C1 - STN04 - WERAGA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'25.07 Ndeeba-Nyanama'!D5</f>
        <v>25.07.19</v>
      </c>
      <c r="E5" s="3"/>
      <c r="F5" s="41" t="s">
        <v>1</v>
      </c>
      <c r="G5" s="68" t="str">
        <f>'25.07 Ndeeba-Nyanama'!G5:H5</f>
        <v>Golden Mille Hotel</v>
      </c>
      <c r="H5" s="69"/>
      <c r="I5" s="14"/>
      <c r="J5" s="2" t="s">
        <v>5</v>
      </c>
      <c r="K5" s="68" t="s">
        <v>175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tr">
        <f>'22.07 Nyanama-Ndeeba'!D6:E6</f>
        <v>Nyanama</v>
      </c>
      <c r="E6" s="69"/>
      <c r="F6" s="2" t="s">
        <v>2</v>
      </c>
      <c r="G6" s="68" t="str">
        <f>'22.07 Nyanama-Ndeeba'!G6:H6</f>
        <v>Ndeeba</v>
      </c>
      <c r="H6" s="69"/>
      <c r="J6" s="2" t="s">
        <v>21</v>
      </c>
      <c r="K6" s="68" t="str">
        <f>'25.07 Ndeeba-Nyanama'!K6:L6</f>
        <v>Denis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55</v>
      </c>
      <c r="D10" s="50">
        <v>0</v>
      </c>
      <c r="E10" s="50">
        <v>0</v>
      </c>
      <c r="F10" s="50">
        <v>34</v>
      </c>
      <c r="G10" s="50">
        <v>0</v>
      </c>
      <c r="H10" s="50">
        <v>0</v>
      </c>
      <c r="I10" s="50">
        <v>4</v>
      </c>
      <c r="J10" s="50">
        <v>0</v>
      </c>
      <c r="K10" s="50">
        <v>0</v>
      </c>
      <c r="L10" s="50">
        <v>0</v>
      </c>
      <c r="M10" s="50">
        <v>112</v>
      </c>
      <c r="N10" s="50">
        <v>0</v>
      </c>
      <c r="O10" s="15">
        <f t="shared" ref="O10:O57" si="0">SUM(C10:L10,N10)</f>
        <v>93</v>
      </c>
      <c r="P10" s="15">
        <f t="shared" ref="P10:P57" si="1">SUM(C10:N10)</f>
        <v>205</v>
      </c>
      <c r="R10" s="1" t="s">
        <v>6</v>
      </c>
      <c r="S10" s="17">
        <f t="shared" ref="S10:AF10" si="2">SUM(C10:C13)</f>
        <v>262</v>
      </c>
      <c r="T10" s="17">
        <f t="shared" si="2"/>
        <v>21</v>
      </c>
      <c r="U10" s="17">
        <f t="shared" si="2"/>
        <v>13</v>
      </c>
      <c r="V10" s="17">
        <f t="shared" si="2"/>
        <v>121</v>
      </c>
      <c r="W10" s="17">
        <f t="shared" si="2"/>
        <v>5</v>
      </c>
      <c r="X10" s="17">
        <f t="shared" si="2"/>
        <v>0</v>
      </c>
      <c r="Y10" s="17">
        <f t="shared" si="2"/>
        <v>10</v>
      </c>
      <c r="Z10" s="17">
        <f t="shared" si="2"/>
        <v>1</v>
      </c>
      <c r="AA10" s="17">
        <f t="shared" si="2"/>
        <v>7</v>
      </c>
      <c r="AB10" s="17">
        <f t="shared" si="2"/>
        <v>0</v>
      </c>
      <c r="AC10" s="17">
        <f t="shared" si="2"/>
        <v>482</v>
      </c>
      <c r="AD10" s="17">
        <f t="shared" si="2"/>
        <v>0</v>
      </c>
      <c r="AE10" s="31">
        <f t="shared" si="2"/>
        <v>440</v>
      </c>
      <c r="AF10" s="31">
        <f t="shared" si="2"/>
        <v>922</v>
      </c>
    </row>
    <row r="11" spans="2:32" s="6" customFormat="1" ht="23.1" customHeight="1" x14ac:dyDescent="0.25">
      <c r="B11" s="23" t="s">
        <v>38</v>
      </c>
      <c r="C11" s="50">
        <v>64</v>
      </c>
      <c r="D11" s="50">
        <v>6</v>
      </c>
      <c r="E11" s="50">
        <v>4</v>
      </c>
      <c r="F11" s="50">
        <v>29</v>
      </c>
      <c r="G11" s="50">
        <v>1</v>
      </c>
      <c r="H11" s="50">
        <v>0</v>
      </c>
      <c r="I11" s="50">
        <v>1</v>
      </c>
      <c r="J11" s="50">
        <v>0</v>
      </c>
      <c r="K11" s="50">
        <v>5</v>
      </c>
      <c r="L11" s="50">
        <v>0</v>
      </c>
      <c r="M11" s="50">
        <v>115</v>
      </c>
      <c r="N11" s="50">
        <v>0</v>
      </c>
      <c r="O11" s="15">
        <f t="shared" si="0"/>
        <v>110</v>
      </c>
      <c r="P11" s="15">
        <f t="shared" si="1"/>
        <v>225</v>
      </c>
      <c r="R11" s="1" t="s">
        <v>7</v>
      </c>
      <c r="S11" s="17">
        <f t="shared" ref="S11:AF11" si="3">SUM(C14:C17)</f>
        <v>221</v>
      </c>
      <c r="T11" s="17">
        <f t="shared" si="3"/>
        <v>43</v>
      </c>
      <c r="U11" s="17">
        <f t="shared" si="3"/>
        <v>22</v>
      </c>
      <c r="V11" s="17">
        <f t="shared" si="3"/>
        <v>75</v>
      </c>
      <c r="W11" s="17">
        <f t="shared" si="3"/>
        <v>2</v>
      </c>
      <c r="X11" s="17">
        <f t="shared" si="3"/>
        <v>0</v>
      </c>
      <c r="Y11" s="17">
        <f t="shared" si="3"/>
        <v>10</v>
      </c>
      <c r="Z11" s="17">
        <f t="shared" si="3"/>
        <v>3</v>
      </c>
      <c r="AA11" s="17">
        <f t="shared" si="3"/>
        <v>0</v>
      </c>
      <c r="AB11" s="17">
        <f t="shared" si="3"/>
        <v>0</v>
      </c>
      <c r="AC11" s="17">
        <f t="shared" si="3"/>
        <v>441</v>
      </c>
      <c r="AD11" s="17">
        <f t="shared" si="3"/>
        <v>0</v>
      </c>
      <c r="AE11" s="31">
        <f t="shared" si="3"/>
        <v>376</v>
      </c>
      <c r="AF11" s="31">
        <f t="shared" si="3"/>
        <v>817</v>
      </c>
    </row>
    <row r="12" spans="2:32" ht="23.1" customHeight="1" x14ac:dyDescent="0.25">
      <c r="B12" s="23" t="s">
        <v>39</v>
      </c>
      <c r="C12" s="50">
        <v>63</v>
      </c>
      <c r="D12" s="50">
        <v>7</v>
      </c>
      <c r="E12" s="50">
        <v>7</v>
      </c>
      <c r="F12" s="50">
        <v>31</v>
      </c>
      <c r="G12" s="50">
        <v>0</v>
      </c>
      <c r="H12" s="50">
        <v>0</v>
      </c>
      <c r="I12" s="50">
        <v>3</v>
      </c>
      <c r="J12" s="50">
        <v>0</v>
      </c>
      <c r="K12" s="50">
        <v>2</v>
      </c>
      <c r="L12" s="50">
        <v>0</v>
      </c>
      <c r="M12" s="50">
        <v>122</v>
      </c>
      <c r="N12" s="50">
        <v>0</v>
      </c>
      <c r="O12" s="15">
        <f t="shared" si="0"/>
        <v>113</v>
      </c>
      <c r="P12" s="15">
        <f t="shared" si="1"/>
        <v>235</v>
      </c>
      <c r="R12" s="1" t="s">
        <v>8</v>
      </c>
      <c r="S12" s="17">
        <f t="shared" ref="S12:AF12" si="4">SUM(C18:C21)</f>
        <v>208</v>
      </c>
      <c r="T12" s="17">
        <f t="shared" si="4"/>
        <v>28</v>
      </c>
      <c r="U12" s="17">
        <f t="shared" si="4"/>
        <v>21</v>
      </c>
      <c r="V12" s="17">
        <f t="shared" si="4"/>
        <v>48</v>
      </c>
      <c r="W12" s="17">
        <f t="shared" si="4"/>
        <v>1</v>
      </c>
      <c r="X12" s="17">
        <f t="shared" si="4"/>
        <v>0</v>
      </c>
      <c r="Y12" s="17">
        <f t="shared" si="4"/>
        <v>13</v>
      </c>
      <c r="Z12" s="17">
        <f t="shared" si="4"/>
        <v>9</v>
      </c>
      <c r="AA12" s="17">
        <f t="shared" si="4"/>
        <v>0</v>
      </c>
      <c r="AB12" s="17">
        <f t="shared" si="4"/>
        <v>0</v>
      </c>
      <c r="AC12" s="17">
        <f t="shared" si="4"/>
        <v>393</v>
      </c>
      <c r="AD12" s="17">
        <f t="shared" si="4"/>
        <v>0</v>
      </c>
      <c r="AE12" s="31">
        <f t="shared" si="4"/>
        <v>328</v>
      </c>
      <c r="AF12" s="31">
        <f t="shared" si="4"/>
        <v>721</v>
      </c>
    </row>
    <row r="13" spans="2:32" ht="23.1" customHeight="1" x14ac:dyDescent="0.25">
      <c r="B13" s="23" t="s">
        <v>40</v>
      </c>
      <c r="C13" s="50">
        <v>80</v>
      </c>
      <c r="D13" s="50">
        <v>8</v>
      </c>
      <c r="E13" s="50">
        <v>2</v>
      </c>
      <c r="F13" s="50">
        <v>27</v>
      </c>
      <c r="G13" s="50">
        <v>4</v>
      </c>
      <c r="H13" s="50">
        <v>0</v>
      </c>
      <c r="I13" s="50">
        <v>2</v>
      </c>
      <c r="J13" s="50">
        <v>1</v>
      </c>
      <c r="K13" s="50">
        <v>0</v>
      </c>
      <c r="L13" s="50">
        <v>0</v>
      </c>
      <c r="M13" s="50">
        <v>133</v>
      </c>
      <c r="N13" s="50">
        <v>0</v>
      </c>
      <c r="O13" s="15">
        <f t="shared" si="0"/>
        <v>124</v>
      </c>
      <c r="P13" s="15">
        <f t="shared" si="1"/>
        <v>257</v>
      </c>
      <c r="R13" s="1" t="s">
        <v>9</v>
      </c>
      <c r="S13" s="17">
        <f t="shared" ref="S13:AF13" si="5">SUM(C22:C25)</f>
        <v>176</v>
      </c>
      <c r="T13" s="17">
        <f t="shared" si="5"/>
        <v>19</v>
      </c>
      <c r="U13" s="17">
        <f t="shared" si="5"/>
        <v>8</v>
      </c>
      <c r="V13" s="17">
        <f t="shared" si="5"/>
        <v>25</v>
      </c>
      <c r="W13" s="17">
        <f t="shared" si="5"/>
        <v>4</v>
      </c>
      <c r="X13" s="17">
        <f t="shared" si="5"/>
        <v>0</v>
      </c>
      <c r="Y13" s="17">
        <f t="shared" si="5"/>
        <v>14</v>
      </c>
      <c r="Z13" s="17">
        <f t="shared" si="5"/>
        <v>5</v>
      </c>
      <c r="AA13" s="17">
        <f t="shared" si="5"/>
        <v>0</v>
      </c>
      <c r="AB13" s="17">
        <f t="shared" si="5"/>
        <v>0</v>
      </c>
      <c r="AC13" s="17">
        <f t="shared" si="5"/>
        <v>368</v>
      </c>
      <c r="AD13" s="17">
        <f t="shared" si="5"/>
        <v>0</v>
      </c>
      <c r="AE13" s="31">
        <f t="shared" si="5"/>
        <v>251</v>
      </c>
      <c r="AF13" s="31">
        <f t="shared" si="5"/>
        <v>619</v>
      </c>
    </row>
    <row r="14" spans="2:32" ht="23.1" customHeight="1" x14ac:dyDescent="0.25">
      <c r="B14" s="23" t="s">
        <v>41</v>
      </c>
      <c r="C14" s="50">
        <v>53</v>
      </c>
      <c r="D14" s="50">
        <v>21</v>
      </c>
      <c r="E14" s="50">
        <v>8</v>
      </c>
      <c r="F14" s="50">
        <v>24</v>
      </c>
      <c r="G14" s="50">
        <v>1</v>
      </c>
      <c r="H14" s="50">
        <v>0</v>
      </c>
      <c r="I14" s="50">
        <v>4</v>
      </c>
      <c r="J14" s="50">
        <v>1</v>
      </c>
      <c r="K14" s="50">
        <v>0</v>
      </c>
      <c r="L14" s="50">
        <v>0</v>
      </c>
      <c r="M14" s="50">
        <v>115</v>
      </c>
      <c r="N14" s="50">
        <v>0</v>
      </c>
      <c r="O14" s="15">
        <f t="shared" si="0"/>
        <v>112</v>
      </c>
      <c r="P14" s="15">
        <f t="shared" si="1"/>
        <v>227</v>
      </c>
      <c r="R14" s="1" t="s">
        <v>10</v>
      </c>
      <c r="S14" s="17">
        <f t="shared" ref="S14:AF14" si="6">SUM(C26:C29)</f>
        <v>119</v>
      </c>
      <c r="T14" s="17">
        <f t="shared" si="6"/>
        <v>19</v>
      </c>
      <c r="U14" s="17">
        <f t="shared" si="6"/>
        <v>12</v>
      </c>
      <c r="V14" s="17">
        <f t="shared" si="6"/>
        <v>29</v>
      </c>
      <c r="W14" s="17">
        <f t="shared" si="6"/>
        <v>2</v>
      </c>
      <c r="X14" s="17">
        <f t="shared" si="6"/>
        <v>0</v>
      </c>
      <c r="Y14" s="17">
        <f t="shared" si="6"/>
        <v>14</v>
      </c>
      <c r="Z14" s="17">
        <f t="shared" si="6"/>
        <v>6</v>
      </c>
      <c r="AA14" s="17">
        <f t="shared" si="6"/>
        <v>0</v>
      </c>
      <c r="AB14" s="17">
        <f t="shared" si="6"/>
        <v>0</v>
      </c>
      <c r="AC14" s="17">
        <f t="shared" si="6"/>
        <v>299</v>
      </c>
      <c r="AD14" s="17">
        <f t="shared" si="6"/>
        <v>0</v>
      </c>
      <c r="AE14" s="31">
        <f t="shared" si="6"/>
        <v>201</v>
      </c>
      <c r="AF14" s="31">
        <f t="shared" si="6"/>
        <v>500</v>
      </c>
    </row>
    <row r="15" spans="2:32" ht="23.1" customHeight="1" x14ac:dyDescent="0.25">
      <c r="B15" s="23" t="s">
        <v>42</v>
      </c>
      <c r="C15" s="50">
        <v>55</v>
      </c>
      <c r="D15" s="50">
        <v>10</v>
      </c>
      <c r="E15" s="50">
        <v>6</v>
      </c>
      <c r="F15" s="50">
        <v>20</v>
      </c>
      <c r="G15" s="50">
        <v>0</v>
      </c>
      <c r="H15" s="50">
        <v>0</v>
      </c>
      <c r="I15" s="50">
        <v>3</v>
      </c>
      <c r="J15" s="50">
        <v>0</v>
      </c>
      <c r="K15" s="50">
        <v>0</v>
      </c>
      <c r="L15" s="50">
        <v>0</v>
      </c>
      <c r="M15" s="50">
        <v>113</v>
      </c>
      <c r="N15" s="50">
        <v>0</v>
      </c>
      <c r="O15" s="15">
        <f t="shared" si="0"/>
        <v>94</v>
      </c>
      <c r="P15" s="15">
        <f t="shared" si="1"/>
        <v>207</v>
      </c>
      <c r="R15" s="1" t="s">
        <v>11</v>
      </c>
      <c r="S15" s="17">
        <f t="shared" ref="S15:AF15" si="7">SUM(C30:C33)</f>
        <v>118</v>
      </c>
      <c r="T15" s="17">
        <f t="shared" si="7"/>
        <v>16</v>
      </c>
      <c r="U15" s="17">
        <f t="shared" si="7"/>
        <v>10</v>
      </c>
      <c r="V15" s="17">
        <f t="shared" si="7"/>
        <v>21</v>
      </c>
      <c r="W15" s="17">
        <f t="shared" si="7"/>
        <v>0</v>
      </c>
      <c r="X15" s="17">
        <f t="shared" si="7"/>
        <v>4</v>
      </c>
      <c r="Y15" s="17">
        <f t="shared" si="7"/>
        <v>10</v>
      </c>
      <c r="Z15" s="17">
        <f t="shared" si="7"/>
        <v>6</v>
      </c>
      <c r="AA15" s="17">
        <f t="shared" si="7"/>
        <v>0</v>
      </c>
      <c r="AB15" s="17">
        <f t="shared" si="7"/>
        <v>0</v>
      </c>
      <c r="AC15" s="17">
        <f t="shared" si="7"/>
        <v>295</v>
      </c>
      <c r="AD15" s="17">
        <f t="shared" si="7"/>
        <v>0</v>
      </c>
      <c r="AE15" s="31">
        <f t="shared" si="7"/>
        <v>185</v>
      </c>
      <c r="AF15" s="31">
        <f t="shared" si="7"/>
        <v>480</v>
      </c>
    </row>
    <row r="16" spans="2:32" ht="23.1" customHeight="1" x14ac:dyDescent="0.25">
      <c r="B16" s="23" t="s">
        <v>43</v>
      </c>
      <c r="C16" s="50">
        <v>56</v>
      </c>
      <c r="D16" s="50">
        <v>7</v>
      </c>
      <c r="E16" s="50">
        <v>5</v>
      </c>
      <c r="F16" s="50">
        <v>15</v>
      </c>
      <c r="G16" s="50">
        <v>1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123</v>
      </c>
      <c r="N16" s="50">
        <v>0</v>
      </c>
      <c r="O16" s="15">
        <f t="shared" si="0"/>
        <v>85</v>
      </c>
      <c r="P16" s="15">
        <f t="shared" si="1"/>
        <v>208</v>
      </c>
      <c r="R16" s="1" t="s">
        <v>12</v>
      </c>
      <c r="S16" s="17">
        <f t="shared" ref="S16:AF16" si="8">SUM(C34:C37)</f>
        <v>96</v>
      </c>
      <c r="T16" s="17">
        <f t="shared" si="8"/>
        <v>14</v>
      </c>
      <c r="U16" s="17">
        <f t="shared" si="8"/>
        <v>16</v>
      </c>
      <c r="V16" s="17">
        <f t="shared" si="8"/>
        <v>25</v>
      </c>
      <c r="W16" s="17">
        <f t="shared" si="8"/>
        <v>0</v>
      </c>
      <c r="X16" s="17">
        <f t="shared" si="8"/>
        <v>0</v>
      </c>
      <c r="Y16" s="17">
        <f t="shared" si="8"/>
        <v>8</v>
      </c>
      <c r="Z16" s="17">
        <f t="shared" si="8"/>
        <v>7</v>
      </c>
      <c r="AA16" s="17">
        <f t="shared" si="8"/>
        <v>2</v>
      </c>
      <c r="AB16" s="17">
        <f t="shared" si="8"/>
        <v>0</v>
      </c>
      <c r="AC16" s="17">
        <f t="shared" si="8"/>
        <v>240</v>
      </c>
      <c r="AD16" s="17">
        <f t="shared" si="8"/>
        <v>0</v>
      </c>
      <c r="AE16" s="31">
        <f t="shared" si="8"/>
        <v>168</v>
      </c>
      <c r="AF16" s="31">
        <f t="shared" si="8"/>
        <v>408</v>
      </c>
    </row>
    <row r="17" spans="2:32" ht="23.1" customHeight="1" x14ac:dyDescent="0.25">
      <c r="B17" s="23" t="s">
        <v>44</v>
      </c>
      <c r="C17" s="50">
        <v>57</v>
      </c>
      <c r="D17" s="50">
        <v>5</v>
      </c>
      <c r="E17" s="50">
        <v>3</v>
      </c>
      <c r="F17" s="50">
        <v>16</v>
      </c>
      <c r="G17" s="50">
        <v>0</v>
      </c>
      <c r="H17" s="50">
        <v>0</v>
      </c>
      <c r="I17" s="50">
        <v>2</v>
      </c>
      <c r="J17" s="50">
        <v>2</v>
      </c>
      <c r="K17" s="50">
        <v>0</v>
      </c>
      <c r="L17" s="50">
        <v>0</v>
      </c>
      <c r="M17" s="50">
        <v>90</v>
      </c>
      <c r="N17" s="50">
        <v>0</v>
      </c>
      <c r="O17" s="15">
        <f t="shared" si="0"/>
        <v>85</v>
      </c>
      <c r="P17" s="15">
        <f t="shared" si="1"/>
        <v>175</v>
      </c>
      <c r="R17" s="1" t="s">
        <v>13</v>
      </c>
      <c r="S17" s="17">
        <f t="shared" ref="S17:AF17" si="9">SUM(C38:C41)</f>
        <v>99</v>
      </c>
      <c r="T17" s="17">
        <f t="shared" si="9"/>
        <v>11</v>
      </c>
      <c r="U17" s="17">
        <f t="shared" si="9"/>
        <v>14</v>
      </c>
      <c r="V17" s="17">
        <f t="shared" si="9"/>
        <v>32</v>
      </c>
      <c r="W17" s="17">
        <f t="shared" si="9"/>
        <v>3</v>
      </c>
      <c r="X17" s="17">
        <f t="shared" si="9"/>
        <v>0</v>
      </c>
      <c r="Y17" s="17">
        <f t="shared" si="9"/>
        <v>9</v>
      </c>
      <c r="Z17" s="17">
        <f t="shared" si="9"/>
        <v>8</v>
      </c>
      <c r="AA17" s="17">
        <f t="shared" si="9"/>
        <v>1</v>
      </c>
      <c r="AB17" s="17">
        <f t="shared" si="9"/>
        <v>1</v>
      </c>
      <c r="AC17" s="17">
        <f t="shared" si="9"/>
        <v>229</v>
      </c>
      <c r="AD17" s="17">
        <f t="shared" si="9"/>
        <v>1</v>
      </c>
      <c r="AE17" s="31">
        <f t="shared" si="9"/>
        <v>179</v>
      </c>
      <c r="AF17" s="31">
        <f t="shared" si="9"/>
        <v>408</v>
      </c>
    </row>
    <row r="18" spans="2:32" ht="23.1" customHeight="1" x14ac:dyDescent="0.25">
      <c r="B18" s="23" t="s">
        <v>45</v>
      </c>
      <c r="C18" s="50">
        <v>50</v>
      </c>
      <c r="D18" s="50">
        <v>4</v>
      </c>
      <c r="E18" s="50">
        <v>2</v>
      </c>
      <c r="F18" s="50">
        <v>16</v>
      </c>
      <c r="G18" s="50">
        <v>1</v>
      </c>
      <c r="H18" s="50">
        <v>0</v>
      </c>
      <c r="I18" s="50">
        <v>3</v>
      </c>
      <c r="J18" s="50">
        <v>1</v>
      </c>
      <c r="K18" s="50">
        <v>0</v>
      </c>
      <c r="L18" s="50">
        <v>0</v>
      </c>
      <c r="M18" s="50">
        <v>98</v>
      </c>
      <c r="N18" s="50">
        <v>0</v>
      </c>
      <c r="O18" s="15">
        <f t="shared" si="0"/>
        <v>77</v>
      </c>
      <c r="P18" s="15">
        <f t="shared" si="1"/>
        <v>175</v>
      </c>
      <c r="R18" s="1" t="s">
        <v>14</v>
      </c>
      <c r="S18" s="17">
        <f t="shared" ref="S18:AF18" si="10">SUM(C42:C45)</f>
        <v>108</v>
      </c>
      <c r="T18" s="17">
        <f t="shared" si="10"/>
        <v>16</v>
      </c>
      <c r="U18" s="17">
        <f t="shared" si="10"/>
        <v>15</v>
      </c>
      <c r="V18" s="17">
        <f t="shared" si="10"/>
        <v>23</v>
      </c>
      <c r="W18" s="17">
        <f t="shared" si="10"/>
        <v>0</v>
      </c>
      <c r="X18" s="17">
        <f t="shared" si="10"/>
        <v>0</v>
      </c>
      <c r="Y18" s="17">
        <f t="shared" si="10"/>
        <v>8</v>
      </c>
      <c r="Z18" s="17">
        <f t="shared" si="10"/>
        <v>5</v>
      </c>
      <c r="AA18" s="17">
        <f t="shared" si="10"/>
        <v>1</v>
      </c>
      <c r="AB18" s="17">
        <f t="shared" si="10"/>
        <v>1</v>
      </c>
      <c r="AC18" s="17">
        <f t="shared" si="10"/>
        <v>250</v>
      </c>
      <c r="AD18" s="17">
        <f t="shared" si="10"/>
        <v>1</v>
      </c>
      <c r="AE18" s="31">
        <f t="shared" si="10"/>
        <v>178</v>
      </c>
      <c r="AF18" s="31">
        <f t="shared" si="10"/>
        <v>428</v>
      </c>
    </row>
    <row r="19" spans="2:32" ht="23.1" customHeight="1" x14ac:dyDescent="0.25">
      <c r="B19" s="23" t="s">
        <v>46</v>
      </c>
      <c r="C19" s="50">
        <v>59</v>
      </c>
      <c r="D19" s="50">
        <v>8</v>
      </c>
      <c r="E19" s="50">
        <v>8</v>
      </c>
      <c r="F19" s="50">
        <v>9</v>
      </c>
      <c r="G19" s="50">
        <v>0</v>
      </c>
      <c r="H19" s="50">
        <v>0</v>
      </c>
      <c r="I19" s="50">
        <v>5</v>
      </c>
      <c r="J19" s="50">
        <v>3</v>
      </c>
      <c r="K19" s="50">
        <v>0</v>
      </c>
      <c r="L19" s="50">
        <v>0</v>
      </c>
      <c r="M19" s="50">
        <v>101</v>
      </c>
      <c r="N19" s="50">
        <v>0</v>
      </c>
      <c r="O19" s="15">
        <f t="shared" si="0"/>
        <v>92</v>
      </c>
      <c r="P19" s="15">
        <f t="shared" si="1"/>
        <v>193</v>
      </c>
      <c r="R19" s="1" t="s">
        <v>15</v>
      </c>
      <c r="S19" s="17">
        <f t="shared" ref="S19:AF19" si="11">SUM(C46:C49)</f>
        <v>105</v>
      </c>
      <c r="T19" s="17">
        <f t="shared" si="11"/>
        <v>17</v>
      </c>
      <c r="U19" s="17">
        <f t="shared" si="11"/>
        <v>15</v>
      </c>
      <c r="V19" s="17">
        <f t="shared" si="11"/>
        <v>29</v>
      </c>
      <c r="W19" s="17">
        <f t="shared" si="11"/>
        <v>1</v>
      </c>
      <c r="X19" s="17">
        <f t="shared" si="11"/>
        <v>0</v>
      </c>
      <c r="Y19" s="17">
        <f t="shared" si="11"/>
        <v>16</v>
      </c>
      <c r="Z19" s="17">
        <f t="shared" si="11"/>
        <v>2</v>
      </c>
      <c r="AA19" s="17">
        <f t="shared" si="11"/>
        <v>1</v>
      </c>
      <c r="AB19" s="17">
        <f t="shared" si="11"/>
        <v>0</v>
      </c>
      <c r="AC19" s="17">
        <f t="shared" si="11"/>
        <v>256</v>
      </c>
      <c r="AD19" s="17">
        <f t="shared" si="11"/>
        <v>1</v>
      </c>
      <c r="AE19" s="31">
        <f t="shared" si="11"/>
        <v>187</v>
      </c>
      <c r="AF19" s="31">
        <f t="shared" si="11"/>
        <v>443</v>
      </c>
    </row>
    <row r="20" spans="2:32" ht="23.1" customHeight="1" x14ac:dyDescent="0.25">
      <c r="B20" s="23" t="s">
        <v>47</v>
      </c>
      <c r="C20" s="50">
        <v>58</v>
      </c>
      <c r="D20" s="50">
        <v>4</v>
      </c>
      <c r="E20" s="50">
        <v>5</v>
      </c>
      <c r="F20" s="50">
        <v>12</v>
      </c>
      <c r="G20" s="50">
        <v>0</v>
      </c>
      <c r="H20" s="50">
        <v>0</v>
      </c>
      <c r="I20" s="50">
        <v>3</v>
      </c>
      <c r="J20" s="50">
        <v>2</v>
      </c>
      <c r="K20" s="50">
        <v>0</v>
      </c>
      <c r="L20" s="50">
        <v>0</v>
      </c>
      <c r="M20" s="50">
        <v>96</v>
      </c>
      <c r="N20" s="50">
        <v>0</v>
      </c>
      <c r="O20" s="15">
        <f t="shared" si="0"/>
        <v>84</v>
      </c>
      <c r="P20" s="15">
        <f t="shared" si="1"/>
        <v>180</v>
      </c>
      <c r="R20" s="1" t="s">
        <v>16</v>
      </c>
      <c r="S20" s="17">
        <f t="shared" ref="S20:AF20" si="12">SUM(C50:C53)</f>
        <v>111</v>
      </c>
      <c r="T20" s="17">
        <f t="shared" si="12"/>
        <v>14</v>
      </c>
      <c r="U20" s="17">
        <f t="shared" si="12"/>
        <v>12</v>
      </c>
      <c r="V20" s="17">
        <f t="shared" si="12"/>
        <v>26</v>
      </c>
      <c r="W20" s="17">
        <f t="shared" si="12"/>
        <v>3</v>
      </c>
      <c r="X20" s="17">
        <f t="shared" si="12"/>
        <v>1</v>
      </c>
      <c r="Y20" s="17">
        <f t="shared" si="12"/>
        <v>7</v>
      </c>
      <c r="Z20" s="17">
        <f t="shared" si="12"/>
        <v>5</v>
      </c>
      <c r="AA20" s="17">
        <f t="shared" si="12"/>
        <v>2</v>
      </c>
      <c r="AB20" s="17">
        <f t="shared" si="12"/>
        <v>0</v>
      </c>
      <c r="AC20" s="17">
        <f t="shared" si="12"/>
        <v>288</v>
      </c>
      <c r="AD20" s="17">
        <f t="shared" si="12"/>
        <v>0</v>
      </c>
      <c r="AE20" s="31">
        <f t="shared" si="12"/>
        <v>181</v>
      </c>
      <c r="AF20" s="31">
        <f t="shared" si="12"/>
        <v>469</v>
      </c>
    </row>
    <row r="21" spans="2:32" ht="23.1" customHeight="1" x14ac:dyDescent="0.25">
      <c r="B21" s="23" t="s">
        <v>48</v>
      </c>
      <c r="C21" s="50">
        <v>41</v>
      </c>
      <c r="D21" s="50">
        <v>12</v>
      </c>
      <c r="E21" s="50">
        <v>6</v>
      </c>
      <c r="F21" s="50">
        <v>11</v>
      </c>
      <c r="G21" s="50">
        <v>0</v>
      </c>
      <c r="H21" s="50">
        <v>0</v>
      </c>
      <c r="I21" s="50">
        <v>2</v>
      </c>
      <c r="J21" s="50">
        <v>3</v>
      </c>
      <c r="K21" s="50">
        <v>0</v>
      </c>
      <c r="L21" s="50">
        <v>0</v>
      </c>
      <c r="M21" s="50">
        <v>98</v>
      </c>
      <c r="N21" s="50">
        <v>0</v>
      </c>
      <c r="O21" s="15">
        <f t="shared" si="0"/>
        <v>75</v>
      </c>
      <c r="P21" s="15">
        <f t="shared" si="1"/>
        <v>173</v>
      </c>
      <c r="R21" s="36" t="s">
        <v>20</v>
      </c>
      <c r="S21" s="34">
        <f t="shared" ref="S21:AF21" si="13">SUM(C54:C57)</f>
        <v>151</v>
      </c>
      <c r="T21" s="17">
        <f t="shared" si="13"/>
        <v>11</v>
      </c>
      <c r="U21" s="17">
        <f t="shared" si="13"/>
        <v>5</v>
      </c>
      <c r="V21" s="17">
        <f t="shared" si="13"/>
        <v>37</v>
      </c>
      <c r="W21" s="17">
        <f t="shared" si="13"/>
        <v>1</v>
      </c>
      <c r="X21" s="17">
        <f t="shared" si="13"/>
        <v>1</v>
      </c>
      <c r="Y21" s="17">
        <f t="shared" si="13"/>
        <v>5</v>
      </c>
      <c r="Z21" s="17">
        <f t="shared" si="13"/>
        <v>3</v>
      </c>
      <c r="AA21" s="17">
        <f t="shared" si="13"/>
        <v>3</v>
      </c>
      <c r="AB21" s="17">
        <f t="shared" si="13"/>
        <v>0</v>
      </c>
      <c r="AC21" s="17">
        <f t="shared" si="13"/>
        <v>375</v>
      </c>
      <c r="AD21" s="17">
        <f t="shared" si="13"/>
        <v>0</v>
      </c>
      <c r="AE21" s="31">
        <f t="shared" si="13"/>
        <v>217</v>
      </c>
      <c r="AF21" s="31">
        <f t="shared" si="13"/>
        <v>592</v>
      </c>
    </row>
    <row r="22" spans="2:32" ht="23.1" customHeight="1" x14ac:dyDescent="0.25">
      <c r="B22" s="23" t="s">
        <v>49</v>
      </c>
      <c r="C22" s="50">
        <v>52</v>
      </c>
      <c r="D22" s="50">
        <v>3</v>
      </c>
      <c r="E22" s="50">
        <v>3</v>
      </c>
      <c r="F22" s="50">
        <v>6</v>
      </c>
      <c r="G22" s="50">
        <v>2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103</v>
      </c>
      <c r="N22" s="50">
        <v>0</v>
      </c>
      <c r="O22" s="15">
        <f t="shared" si="0"/>
        <v>67</v>
      </c>
      <c r="P22" s="15">
        <f t="shared" si="1"/>
        <v>170</v>
      </c>
      <c r="R22" s="38" t="s">
        <v>90</v>
      </c>
      <c r="S22" s="39">
        <f>MAX(S10:S12)</f>
        <v>262</v>
      </c>
      <c r="T22" s="39">
        <f t="shared" ref="T22:AF22" si="14">MAX(T10:T12)</f>
        <v>43</v>
      </c>
      <c r="U22" s="39">
        <f t="shared" si="14"/>
        <v>22</v>
      </c>
      <c r="V22" s="39">
        <f t="shared" si="14"/>
        <v>121</v>
      </c>
      <c r="W22" s="39">
        <f t="shared" si="14"/>
        <v>5</v>
      </c>
      <c r="X22" s="39">
        <f t="shared" si="14"/>
        <v>0</v>
      </c>
      <c r="Y22" s="39">
        <f t="shared" si="14"/>
        <v>13</v>
      </c>
      <c r="Z22" s="39">
        <f t="shared" si="14"/>
        <v>9</v>
      </c>
      <c r="AA22" s="39">
        <f t="shared" si="14"/>
        <v>7</v>
      </c>
      <c r="AB22" s="39">
        <f t="shared" si="14"/>
        <v>0</v>
      </c>
      <c r="AC22" s="39">
        <f t="shared" si="14"/>
        <v>482</v>
      </c>
      <c r="AD22" s="39">
        <f t="shared" si="14"/>
        <v>0</v>
      </c>
      <c r="AE22" s="40">
        <f t="shared" si="14"/>
        <v>440</v>
      </c>
      <c r="AF22" s="40">
        <f t="shared" si="14"/>
        <v>922</v>
      </c>
    </row>
    <row r="23" spans="2:32" ht="23.1" customHeight="1" x14ac:dyDescent="0.25">
      <c r="B23" s="23" t="s">
        <v>50</v>
      </c>
      <c r="C23" s="50">
        <v>47</v>
      </c>
      <c r="D23" s="50">
        <v>4</v>
      </c>
      <c r="E23" s="50">
        <v>1</v>
      </c>
      <c r="F23" s="50">
        <v>7</v>
      </c>
      <c r="G23" s="50">
        <v>1</v>
      </c>
      <c r="H23" s="50">
        <v>0</v>
      </c>
      <c r="I23" s="50">
        <v>5</v>
      </c>
      <c r="J23" s="50">
        <v>2</v>
      </c>
      <c r="K23" s="50">
        <v>0</v>
      </c>
      <c r="L23" s="50">
        <v>0</v>
      </c>
      <c r="M23" s="50">
        <v>87</v>
      </c>
      <c r="N23" s="50">
        <v>0</v>
      </c>
      <c r="O23" s="15">
        <f t="shared" si="0"/>
        <v>67</v>
      </c>
      <c r="P23" s="15">
        <f t="shared" si="1"/>
        <v>154</v>
      </c>
      <c r="R23" s="38" t="s">
        <v>91</v>
      </c>
      <c r="S23" s="39">
        <f>MAX(S13:S18)</f>
        <v>176</v>
      </c>
      <c r="T23" s="39">
        <f t="shared" ref="T23:AF23" si="15">MAX(T13:T18)</f>
        <v>19</v>
      </c>
      <c r="U23" s="39">
        <f t="shared" si="15"/>
        <v>16</v>
      </c>
      <c r="V23" s="39">
        <f t="shared" si="15"/>
        <v>32</v>
      </c>
      <c r="W23" s="39">
        <f t="shared" si="15"/>
        <v>4</v>
      </c>
      <c r="X23" s="39">
        <f t="shared" si="15"/>
        <v>4</v>
      </c>
      <c r="Y23" s="39">
        <f t="shared" si="15"/>
        <v>14</v>
      </c>
      <c r="Z23" s="39">
        <f t="shared" si="15"/>
        <v>8</v>
      </c>
      <c r="AA23" s="39">
        <f t="shared" si="15"/>
        <v>2</v>
      </c>
      <c r="AB23" s="39">
        <f t="shared" si="15"/>
        <v>1</v>
      </c>
      <c r="AC23" s="39">
        <f t="shared" si="15"/>
        <v>368</v>
      </c>
      <c r="AD23" s="39">
        <f t="shared" si="15"/>
        <v>1</v>
      </c>
      <c r="AE23" s="40">
        <f t="shared" si="15"/>
        <v>251</v>
      </c>
      <c r="AF23" s="40">
        <f t="shared" si="15"/>
        <v>619</v>
      </c>
    </row>
    <row r="24" spans="2:32" ht="23.1" customHeight="1" x14ac:dyDescent="0.25">
      <c r="B24" s="23" t="s">
        <v>51</v>
      </c>
      <c r="C24" s="50">
        <v>39</v>
      </c>
      <c r="D24" s="50">
        <v>9</v>
      </c>
      <c r="E24" s="50">
        <v>2</v>
      </c>
      <c r="F24" s="50">
        <v>7</v>
      </c>
      <c r="G24" s="50">
        <v>1</v>
      </c>
      <c r="H24" s="50">
        <v>0</v>
      </c>
      <c r="I24" s="50">
        <v>2</v>
      </c>
      <c r="J24" s="50">
        <v>2</v>
      </c>
      <c r="K24" s="50">
        <v>0</v>
      </c>
      <c r="L24" s="50">
        <v>0</v>
      </c>
      <c r="M24" s="50">
        <v>95</v>
      </c>
      <c r="N24" s="50">
        <v>0</v>
      </c>
      <c r="O24" s="15">
        <f t="shared" si="0"/>
        <v>62</v>
      </c>
      <c r="P24" s="15">
        <f t="shared" si="1"/>
        <v>157</v>
      </c>
      <c r="R24" s="38" t="s">
        <v>92</v>
      </c>
      <c r="S24" s="39">
        <f>MAX(S19:S21)</f>
        <v>151</v>
      </c>
      <c r="T24" s="39">
        <f t="shared" ref="T24:AF24" si="16">MAX(T19:T21)</f>
        <v>17</v>
      </c>
      <c r="U24" s="39">
        <f t="shared" si="16"/>
        <v>15</v>
      </c>
      <c r="V24" s="39">
        <f t="shared" si="16"/>
        <v>37</v>
      </c>
      <c r="W24" s="39">
        <f t="shared" si="16"/>
        <v>3</v>
      </c>
      <c r="X24" s="39">
        <f t="shared" si="16"/>
        <v>1</v>
      </c>
      <c r="Y24" s="39">
        <f t="shared" si="16"/>
        <v>16</v>
      </c>
      <c r="Z24" s="39">
        <f t="shared" si="16"/>
        <v>5</v>
      </c>
      <c r="AA24" s="39">
        <f t="shared" si="16"/>
        <v>3</v>
      </c>
      <c r="AB24" s="39">
        <f t="shared" si="16"/>
        <v>0</v>
      </c>
      <c r="AC24" s="39">
        <f t="shared" si="16"/>
        <v>375</v>
      </c>
      <c r="AD24" s="39">
        <f t="shared" si="16"/>
        <v>1</v>
      </c>
      <c r="AE24" s="40">
        <f t="shared" si="16"/>
        <v>217</v>
      </c>
      <c r="AF24" s="40">
        <f t="shared" si="16"/>
        <v>592</v>
      </c>
    </row>
    <row r="25" spans="2:32" ht="23.1" customHeight="1" x14ac:dyDescent="0.25">
      <c r="B25" s="23" t="s">
        <v>52</v>
      </c>
      <c r="C25" s="50">
        <v>38</v>
      </c>
      <c r="D25" s="50">
        <v>3</v>
      </c>
      <c r="E25" s="50">
        <v>2</v>
      </c>
      <c r="F25" s="50">
        <v>5</v>
      </c>
      <c r="G25" s="50">
        <v>0</v>
      </c>
      <c r="H25" s="50">
        <v>0</v>
      </c>
      <c r="I25" s="50">
        <v>6</v>
      </c>
      <c r="J25" s="50">
        <v>1</v>
      </c>
      <c r="K25" s="50">
        <v>0</v>
      </c>
      <c r="L25" s="50">
        <v>0</v>
      </c>
      <c r="M25" s="50">
        <v>83</v>
      </c>
      <c r="N25" s="50">
        <v>0</v>
      </c>
      <c r="O25" s="15">
        <f t="shared" si="0"/>
        <v>55</v>
      </c>
      <c r="P25" s="15">
        <f t="shared" si="1"/>
        <v>138</v>
      </c>
      <c r="R25" s="37" t="s">
        <v>85</v>
      </c>
      <c r="S25" s="35">
        <f t="shared" ref="S25:AF25" si="17">SUM(S10:S12)</f>
        <v>691</v>
      </c>
      <c r="T25" s="16">
        <f t="shared" si="17"/>
        <v>92</v>
      </c>
      <c r="U25" s="16">
        <f t="shared" si="17"/>
        <v>56</v>
      </c>
      <c r="V25" s="16">
        <f t="shared" si="17"/>
        <v>244</v>
      </c>
      <c r="W25" s="16">
        <f t="shared" si="17"/>
        <v>8</v>
      </c>
      <c r="X25" s="16">
        <f t="shared" si="17"/>
        <v>0</v>
      </c>
      <c r="Y25" s="16">
        <f t="shared" si="17"/>
        <v>33</v>
      </c>
      <c r="Z25" s="16">
        <f t="shared" si="17"/>
        <v>13</v>
      </c>
      <c r="AA25" s="16">
        <f t="shared" si="17"/>
        <v>7</v>
      </c>
      <c r="AB25" s="16">
        <f t="shared" si="17"/>
        <v>0</v>
      </c>
      <c r="AC25" s="16">
        <f t="shared" si="17"/>
        <v>1316</v>
      </c>
      <c r="AD25" s="16">
        <f t="shared" si="17"/>
        <v>0</v>
      </c>
      <c r="AE25" s="32">
        <f t="shared" si="17"/>
        <v>1144</v>
      </c>
      <c r="AF25" s="32">
        <f t="shared" si="17"/>
        <v>2460</v>
      </c>
    </row>
    <row r="26" spans="2:32" ht="23.1" customHeight="1" x14ac:dyDescent="0.25">
      <c r="B26" s="23" t="s">
        <v>53</v>
      </c>
      <c r="C26" s="50">
        <v>23</v>
      </c>
      <c r="D26" s="50">
        <v>3</v>
      </c>
      <c r="E26" s="50">
        <v>4</v>
      </c>
      <c r="F26" s="50">
        <v>12</v>
      </c>
      <c r="G26" s="50">
        <v>1</v>
      </c>
      <c r="H26" s="50">
        <v>0</v>
      </c>
      <c r="I26" s="50">
        <v>5</v>
      </c>
      <c r="J26" s="50">
        <v>2</v>
      </c>
      <c r="K26" s="50">
        <v>0</v>
      </c>
      <c r="L26" s="50">
        <v>0</v>
      </c>
      <c r="M26" s="50">
        <v>86</v>
      </c>
      <c r="N26" s="50">
        <v>0</v>
      </c>
      <c r="O26" s="15">
        <f t="shared" si="0"/>
        <v>50</v>
      </c>
      <c r="P26" s="15">
        <f t="shared" si="1"/>
        <v>136</v>
      </c>
      <c r="R26" s="28" t="s">
        <v>86</v>
      </c>
      <c r="S26" s="16">
        <f t="shared" ref="S26:AF26" si="18">SUM(S13:S18)</f>
        <v>716</v>
      </c>
      <c r="T26" s="16">
        <f t="shared" si="18"/>
        <v>95</v>
      </c>
      <c r="U26" s="16">
        <f t="shared" si="18"/>
        <v>75</v>
      </c>
      <c r="V26" s="16">
        <f t="shared" si="18"/>
        <v>155</v>
      </c>
      <c r="W26" s="16">
        <f t="shared" si="18"/>
        <v>9</v>
      </c>
      <c r="X26" s="16">
        <f t="shared" si="18"/>
        <v>4</v>
      </c>
      <c r="Y26" s="16">
        <f t="shared" si="18"/>
        <v>63</v>
      </c>
      <c r="Z26" s="16">
        <f t="shared" si="18"/>
        <v>37</v>
      </c>
      <c r="AA26" s="16">
        <f t="shared" si="18"/>
        <v>4</v>
      </c>
      <c r="AB26" s="16">
        <f t="shared" si="18"/>
        <v>2</v>
      </c>
      <c r="AC26" s="16">
        <f t="shared" si="18"/>
        <v>1681</v>
      </c>
      <c r="AD26" s="16">
        <f t="shared" si="18"/>
        <v>2</v>
      </c>
      <c r="AE26" s="32">
        <f t="shared" si="18"/>
        <v>1162</v>
      </c>
      <c r="AF26" s="32">
        <f t="shared" si="18"/>
        <v>2843</v>
      </c>
    </row>
    <row r="27" spans="2:32" ht="23.1" customHeight="1" x14ac:dyDescent="0.25">
      <c r="B27" s="23" t="s">
        <v>54</v>
      </c>
      <c r="C27" s="50">
        <v>32</v>
      </c>
      <c r="D27" s="50">
        <v>3</v>
      </c>
      <c r="E27" s="50">
        <v>1</v>
      </c>
      <c r="F27" s="50">
        <v>6</v>
      </c>
      <c r="G27" s="50">
        <v>1</v>
      </c>
      <c r="H27" s="50">
        <v>0</v>
      </c>
      <c r="I27" s="50">
        <v>5</v>
      </c>
      <c r="J27" s="50">
        <v>0</v>
      </c>
      <c r="K27" s="50">
        <v>0</v>
      </c>
      <c r="L27" s="50">
        <v>0</v>
      </c>
      <c r="M27" s="50">
        <v>63</v>
      </c>
      <c r="N27" s="50">
        <v>0</v>
      </c>
      <c r="O27" s="15">
        <f t="shared" si="0"/>
        <v>48</v>
      </c>
      <c r="P27" s="15">
        <f t="shared" si="1"/>
        <v>111</v>
      </c>
      <c r="R27" s="29" t="s">
        <v>87</v>
      </c>
      <c r="S27" s="16">
        <f t="shared" ref="S27:AF27" si="19">SUM(S19:S21)</f>
        <v>367</v>
      </c>
      <c r="T27" s="16">
        <f t="shared" si="19"/>
        <v>42</v>
      </c>
      <c r="U27" s="16">
        <f t="shared" si="19"/>
        <v>32</v>
      </c>
      <c r="V27" s="16">
        <f t="shared" si="19"/>
        <v>92</v>
      </c>
      <c r="W27" s="16">
        <f t="shared" si="19"/>
        <v>5</v>
      </c>
      <c r="X27" s="16">
        <f t="shared" si="19"/>
        <v>2</v>
      </c>
      <c r="Y27" s="16">
        <f t="shared" si="19"/>
        <v>28</v>
      </c>
      <c r="Z27" s="16">
        <f t="shared" si="19"/>
        <v>10</v>
      </c>
      <c r="AA27" s="16">
        <f t="shared" si="19"/>
        <v>6</v>
      </c>
      <c r="AB27" s="16">
        <f t="shared" si="19"/>
        <v>0</v>
      </c>
      <c r="AC27" s="16">
        <f t="shared" si="19"/>
        <v>919</v>
      </c>
      <c r="AD27" s="16">
        <f t="shared" si="19"/>
        <v>1</v>
      </c>
      <c r="AE27" s="32">
        <f t="shared" si="19"/>
        <v>585</v>
      </c>
      <c r="AF27" s="32">
        <f t="shared" si="19"/>
        <v>1504</v>
      </c>
    </row>
    <row r="28" spans="2:32" ht="23.1" customHeight="1" x14ac:dyDescent="0.25">
      <c r="B28" s="23" t="s">
        <v>55</v>
      </c>
      <c r="C28" s="50">
        <v>29</v>
      </c>
      <c r="D28" s="50">
        <v>7</v>
      </c>
      <c r="E28" s="50">
        <v>3</v>
      </c>
      <c r="F28" s="50">
        <v>7</v>
      </c>
      <c r="G28" s="50">
        <v>0</v>
      </c>
      <c r="H28" s="50">
        <v>0</v>
      </c>
      <c r="I28" s="50">
        <v>3</v>
      </c>
      <c r="J28" s="50">
        <v>2</v>
      </c>
      <c r="K28" s="50">
        <v>0</v>
      </c>
      <c r="L28" s="50">
        <v>0</v>
      </c>
      <c r="M28" s="50">
        <v>73</v>
      </c>
      <c r="N28" s="50">
        <v>0</v>
      </c>
      <c r="O28" s="15">
        <f t="shared" si="0"/>
        <v>51</v>
      </c>
      <c r="P28" s="15">
        <f t="shared" si="1"/>
        <v>124</v>
      </c>
      <c r="R28" s="5" t="s">
        <v>17</v>
      </c>
      <c r="S28" s="16">
        <f t="shared" ref="S28:AF28" si="20">SUM(S10:S21)</f>
        <v>1774</v>
      </c>
      <c r="T28" s="16">
        <f t="shared" si="20"/>
        <v>229</v>
      </c>
      <c r="U28" s="16">
        <f t="shared" si="20"/>
        <v>163</v>
      </c>
      <c r="V28" s="16">
        <f t="shared" si="20"/>
        <v>491</v>
      </c>
      <c r="W28" s="16">
        <f t="shared" si="20"/>
        <v>22</v>
      </c>
      <c r="X28" s="16">
        <f t="shared" si="20"/>
        <v>6</v>
      </c>
      <c r="Y28" s="16">
        <f t="shared" si="20"/>
        <v>124</v>
      </c>
      <c r="Z28" s="16">
        <f t="shared" si="20"/>
        <v>60</v>
      </c>
      <c r="AA28" s="16">
        <f t="shared" si="20"/>
        <v>17</v>
      </c>
      <c r="AB28" s="16">
        <f t="shared" si="20"/>
        <v>2</v>
      </c>
      <c r="AC28" s="16">
        <f t="shared" si="20"/>
        <v>3916</v>
      </c>
      <c r="AD28" s="16">
        <f t="shared" si="20"/>
        <v>3</v>
      </c>
      <c r="AE28" s="32">
        <f t="shared" si="20"/>
        <v>2891</v>
      </c>
      <c r="AF28" s="32">
        <f t="shared" si="20"/>
        <v>6807</v>
      </c>
    </row>
    <row r="29" spans="2:32" ht="23.1" customHeight="1" x14ac:dyDescent="0.25">
      <c r="B29" s="23" t="s">
        <v>56</v>
      </c>
      <c r="C29" s="50">
        <v>35</v>
      </c>
      <c r="D29" s="50">
        <v>6</v>
      </c>
      <c r="E29" s="50">
        <v>4</v>
      </c>
      <c r="F29" s="50">
        <v>4</v>
      </c>
      <c r="G29" s="50">
        <v>0</v>
      </c>
      <c r="H29" s="50">
        <v>0</v>
      </c>
      <c r="I29" s="50">
        <v>1</v>
      </c>
      <c r="J29" s="50">
        <v>2</v>
      </c>
      <c r="K29" s="50">
        <v>0</v>
      </c>
      <c r="L29" s="50">
        <v>0</v>
      </c>
      <c r="M29" s="50">
        <v>77</v>
      </c>
      <c r="N29" s="50">
        <v>0</v>
      </c>
      <c r="O29" s="15">
        <f t="shared" si="0"/>
        <v>52</v>
      </c>
      <c r="P29" s="15">
        <f t="shared" si="1"/>
        <v>129</v>
      </c>
      <c r="R29"/>
      <c r="S29" s="20"/>
      <c r="T29" s="19"/>
    </row>
    <row r="30" spans="2:32" ht="23.1" customHeight="1" x14ac:dyDescent="0.25">
      <c r="B30" s="23" t="s">
        <v>57</v>
      </c>
      <c r="C30" s="50">
        <v>34</v>
      </c>
      <c r="D30" s="50">
        <v>8</v>
      </c>
      <c r="E30" s="50">
        <v>2</v>
      </c>
      <c r="F30" s="50">
        <v>5</v>
      </c>
      <c r="G30" s="50">
        <v>0</v>
      </c>
      <c r="H30" s="50">
        <v>0</v>
      </c>
      <c r="I30" s="50">
        <v>2</v>
      </c>
      <c r="J30" s="50">
        <v>1</v>
      </c>
      <c r="K30" s="50">
        <v>0</v>
      </c>
      <c r="L30" s="50">
        <v>0</v>
      </c>
      <c r="M30" s="50">
        <v>82</v>
      </c>
      <c r="N30" s="50">
        <v>0</v>
      </c>
      <c r="O30" s="15">
        <f t="shared" si="0"/>
        <v>52</v>
      </c>
      <c r="P30" s="15">
        <f t="shared" si="1"/>
        <v>134</v>
      </c>
    </row>
    <row r="31" spans="2:32" ht="23.1" customHeight="1" x14ac:dyDescent="0.25">
      <c r="B31" s="24" t="s">
        <v>58</v>
      </c>
      <c r="C31" s="50">
        <v>31</v>
      </c>
      <c r="D31" s="50">
        <v>4</v>
      </c>
      <c r="E31" s="50">
        <v>3</v>
      </c>
      <c r="F31" s="50">
        <v>10</v>
      </c>
      <c r="G31" s="50">
        <v>0</v>
      </c>
      <c r="H31" s="50">
        <v>0</v>
      </c>
      <c r="I31" s="50">
        <v>3</v>
      </c>
      <c r="J31" s="50">
        <v>2</v>
      </c>
      <c r="K31" s="50">
        <v>0</v>
      </c>
      <c r="L31" s="50">
        <v>0</v>
      </c>
      <c r="M31" s="50">
        <v>74</v>
      </c>
      <c r="N31" s="50">
        <v>0</v>
      </c>
      <c r="O31" s="15">
        <f t="shared" si="0"/>
        <v>53</v>
      </c>
      <c r="P31" s="15">
        <f t="shared" si="1"/>
        <v>127</v>
      </c>
    </row>
    <row r="32" spans="2:32" ht="23.1" customHeight="1" x14ac:dyDescent="0.25">
      <c r="B32" s="24" t="s">
        <v>59</v>
      </c>
      <c r="C32" s="50">
        <v>29</v>
      </c>
      <c r="D32" s="50">
        <v>4</v>
      </c>
      <c r="E32" s="50">
        <v>3</v>
      </c>
      <c r="F32" s="50">
        <v>3</v>
      </c>
      <c r="G32" s="50">
        <v>0</v>
      </c>
      <c r="H32" s="50">
        <v>4</v>
      </c>
      <c r="I32" s="50">
        <v>2</v>
      </c>
      <c r="J32" s="50">
        <v>1</v>
      </c>
      <c r="K32" s="50">
        <v>0</v>
      </c>
      <c r="L32" s="50">
        <v>0</v>
      </c>
      <c r="M32" s="50">
        <v>75</v>
      </c>
      <c r="N32" s="50">
        <v>0</v>
      </c>
      <c r="O32" s="15">
        <f t="shared" si="0"/>
        <v>46</v>
      </c>
      <c r="P32" s="15">
        <f t="shared" si="1"/>
        <v>121</v>
      </c>
    </row>
    <row r="33" spans="2:20" ht="23.1" customHeight="1" x14ac:dyDescent="0.25">
      <c r="B33" s="23" t="s">
        <v>60</v>
      </c>
      <c r="C33" s="50">
        <v>24</v>
      </c>
      <c r="D33" s="50">
        <v>0</v>
      </c>
      <c r="E33" s="50">
        <v>2</v>
      </c>
      <c r="F33" s="50">
        <v>3</v>
      </c>
      <c r="G33" s="50">
        <v>0</v>
      </c>
      <c r="H33" s="50">
        <v>0</v>
      </c>
      <c r="I33" s="50">
        <v>3</v>
      </c>
      <c r="J33" s="50">
        <v>2</v>
      </c>
      <c r="K33" s="50">
        <v>0</v>
      </c>
      <c r="L33" s="50">
        <v>0</v>
      </c>
      <c r="M33" s="50">
        <v>64</v>
      </c>
      <c r="N33" s="50">
        <v>0</v>
      </c>
      <c r="O33" s="15">
        <f t="shared" si="0"/>
        <v>34</v>
      </c>
      <c r="P33" s="15">
        <f t="shared" si="1"/>
        <v>98</v>
      </c>
    </row>
    <row r="34" spans="2:20" ht="23.1" customHeight="1" x14ac:dyDescent="0.25">
      <c r="B34" s="24" t="s">
        <v>61</v>
      </c>
      <c r="C34" s="50">
        <v>23</v>
      </c>
      <c r="D34" s="50">
        <v>4</v>
      </c>
      <c r="E34" s="50">
        <v>3</v>
      </c>
      <c r="F34" s="50">
        <v>4</v>
      </c>
      <c r="G34" s="50">
        <v>0</v>
      </c>
      <c r="H34" s="50">
        <v>0</v>
      </c>
      <c r="I34" s="50">
        <v>3</v>
      </c>
      <c r="J34" s="50">
        <v>2</v>
      </c>
      <c r="K34" s="50">
        <v>0</v>
      </c>
      <c r="L34" s="50">
        <v>0</v>
      </c>
      <c r="M34" s="50">
        <v>61</v>
      </c>
      <c r="N34" s="50">
        <v>0</v>
      </c>
      <c r="O34" s="15">
        <f t="shared" si="0"/>
        <v>39</v>
      </c>
      <c r="P34" s="15">
        <f t="shared" si="1"/>
        <v>100</v>
      </c>
    </row>
    <row r="35" spans="2:20" ht="23.1" customHeight="1" x14ac:dyDescent="0.25">
      <c r="B35" s="24" t="s">
        <v>62</v>
      </c>
      <c r="C35" s="50">
        <v>26</v>
      </c>
      <c r="D35" s="50">
        <v>4</v>
      </c>
      <c r="E35" s="50">
        <v>3</v>
      </c>
      <c r="F35" s="50">
        <v>6</v>
      </c>
      <c r="G35" s="50">
        <v>0</v>
      </c>
      <c r="H35" s="50">
        <v>0</v>
      </c>
      <c r="I35" s="50">
        <v>1</v>
      </c>
      <c r="J35" s="50">
        <v>2</v>
      </c>
      <c r="K35" s="50">
        <v>1</v>
      </c>
      <c r="L35" s="50">
        <v>0</v>
      </c>
      <c r="M35" s="50">
        <v>54</v>
      </c>
      <c r="N35" s="50">
        <v>0</v>
      </c>
      <c r="O35" s="15">
        <f t="shared" si="0"/>
        <v>43</v>
      </c>
      <c r="P35" s="15">
        <f t="shared" si="1"/>
        <v>97</v>
      </c>
    </row>
    <row r="36" spans="2:20" ht="23.1" customHeight="1" x14ac:dyDescent="0.25">
      <c r="B36" s="24" t="s">
        <v>63</v>
      </c>
      <c r="C36" s="50">
        <v>22</v>
      </c>
      <c r="D36" s="50">
        <v>2</v>
      </c>
      <c r="E36" s="50">
        <v>4</v>
      </c>
      <c r="F36" s="50">
        <v>6</v>
      </c>
      <c r="G36" s="50">
        <v>0</v>
      </c>
      <c r="H36" s="50">
        <v>0</v>
      </c>
      <c r="I36" s="50">
        <v>2</v>
      </c>
      <c r="J36" s="50">
        <v>1</v>
      </c>
      <c r="K36" s="50">
        <v>0</v>
      </c>
      <c r="L36" s="50">
        <v>0</v>
      </c>
      <c r="M36" s="50">
        <v>58</v>
      </c>
      <c r="N36" s="50">
        <v>0</v>
      </c>
      <c r="O36" s="15">
        <f t="shared" si="0"/>
        <v>37</v>
      </c>
      <c r="P36" s="15">
        <f t="shared" si="1"/>
        <v>95</v>
      </c>
    </row>
    <row r="37" spans="2:20" ht="23.1" customHeight="1" x14ac:dyDescent="0.25">
      <c r="B37" s="23" t="s">
        <v>64</v>
      </c>
      <c r="C37" s="50">
        <v>25</v>
      </c>
      <c r="D37" s="50">
        <v>4</v>
      </c>
      <c r="E37" s="50">
        <v>6</v>
      </c>
      <c r="F37" s="50">
        <v>9</v>
      </c>
      <c r="G37" s="50">
        <v>0</v>
      </c>
      <c r="H37" s="50">
        <v>0</v>
      </c>
      <c r="I37" s="50">
        <v>2</v>
      </c>
      <c r="J37" s="50">
        <v>2</v>
      </c>
      <c r="K37" s="50">
        <v>1</v>
      </c>
      <c r="L37" s="50">
        <v>0</v>
      </c>
      <c r="M37" s="50">
        <v>67</v>
      </c>
      <c r="N37" s="50">
        <v>0</v>
      </c>
      <c r="O37" s="15">
        <f t="shared" si="0"/>
        <v>49</v>
      </c>
      <c r="P37" s="15">
        <f t="shared" si="1"/>
        <v>116</v>
      </c>
    </row>
    <row r="38" spans="2:20" ht="23.1" customHeight="1" x14ac:dyDescent="0.25">
      <c r="B38" s="24" t="s">
        <v>65</v>
      </c>
      <c r="C38" s="50">
        <v>27</v>
      </c>
      <c r="D38" s="50">
        <v>4</v>
      </c>
      <c r="E38" s="50">
        <v>2</v>
      </c>
      <c r="F38" s="50">
        <v>6</v>
      </c>
      <c r="G38" s="50">
        <v>2</v>
      </c>
      <c r="H38" s="50">
        <v>0</v>
      </c>
      <c r="I38" s="50">
        <v>2</v>
      </c>
      <c r="J38" s="50">
        <v>3</v>
      </c>
      <c r="K38" s="50">
        <v>0</v>
      </c>
      <c r="L38" s="50">
        <v>0</v>
      </c>
      <c r="M38" s="50">
        <v>59</v>
      </c>
      <c r="N38" s="50">
        <v>1</v>
      </c>
      <c r="O38" s="15">
        <f t="shared" si="0"/>
        <v>47</v>
      </c>
      <c r="P38" s="15">
        <f t="shared" si="1"/>
        <v>106</v>
      </c>
    </row>
    <row r="39" spans="2:20" ht="23.1" customHeight="1" x14ac:dyDescent="0.25">
      <c r="B39" s="24" t="s">
        <v>66</v>
      </c>
      <c r="C39" s="50">
        <v>28</v>
      </c>
      <c r="D39" s="50">
        <v>3</v>
      </c>
      <c r="E39" s="50">
        <v>4</v>
      </c>
      <c r="F39" s="50">
        <v>8</v>
      </c>
      <c r="G39" s="50">
        <v>0</v>
      </c>
      <c r="H39" s="50">
        <v>0</v>
      </c>
      <c r="I39" s="50">
        <v>2</v>
      </c>
      <c r="J39" s="50">
        <v>2</v>
      </c>
      <c r="K39" s="50">
        <v>0</v>
      </c>
      <c r="L39" s="50">
        <v>0</v>
      </c>
      <c r="M39" s="50">
        <v>55</v>
      </c>
      <c r="N39" s="50">
        <v>0</v>
      </c>
      <c r="O39" s="15">
        <f t="shared" si="0"/>
        <v>47</v>
      </c>
      <c r="P39" s="15">
        <f t="shared" si="1"/>
        <v>102</v>
      </c>
    </row>
    <row r="40" spans="2:20" ht="23.1" customHeight="1" x14ac:dyDescent="0.25">
      <c r="B40" s="24" t="s">
        <v>67</v>
      </c>
      <c r="C40" s="50">
        <v>25</v>
      </c>
      <c r="D40" s="50">
        <v>2</v>
      </c>
      <c r="E40" s="50">
        <v>5</v>
      </c>
      <c r="F40" s="50">
        <v>8</v>
      </c>
      <c r="G40" s="50">
        <v>0</v>
      </c>
      <c r="H40" s="50">
        <v>0</v>
      </c>
      <c r="I40" s="50">
        <v>3</v>
      </c>
      <c r="J40" s="50">
        <v>2</v>
      </c>
      <c r="K40" s="50">
        <v>0</v>
      </c>
      <c r="L40" s="50">
        <v>0</v>
      </c>
      <c r="M40" s="50">
        <v>61</v>
      </c>
      <c r="N40" s="50">
        <v>0</v>
      </c>
      <c r="O40" s="15">
        <f t="shared" si="0"/>
        <v>45</v>
      </c>
      <c r="P40" s="15">
        <f t="shared" si="1"/>
        <v>106</v>
      </c>
    </row>
    <row r="41" spans="2:20" ht="23.1" customHeight="1" x14ac:dyDescent="0.25">
      <c r="B41" s="23" t="s">
        <v>68</v>
      </c>
      <c r="C41" s="50">
        <v>19</v>
      </c>
      <c r="D41" s="50">
        <v>2</v>
      </c>
      <c r="E41" s="50">
        <v>3</v>
      </c>
      <c r="F41" s="50">
        <v>10</v>
      </c>
      <c r="G41" s="50">
        <v>1</v>
      </c>
      <c r="H41" s="50">
        <v>0</v>
      </c>
      <c r="I41" s="50">
        <v>2</v>
      </c>
      <c r="J41" s="50">
        <v>1</v>
      </c>
      <c r="K41" s="50">
        <v>1</v>
      </c>
      <c r="L41" s="50">
        <v>1</v>
      </c>
      <c r="M41" s="50">
        <v>54</v>
      </c>
      <c r="N41" s="50">
        <v>0</v>
      </c>
      <c r="O41" s="15">
        <f t="shared" si="0"/>
        <v>40</v>
      </c>
      <c r="P41" s="15">
        <f t="shared" si="1"/>
        <v>94</v>
      </c>
    </row>
    <row r="42" spans="2:20" ht="23.1" customHeight="1" x14ac:dyDescent="0.25">
      <c r="B42" s="24" t="s">
        <v>69</v>
      </c>
      <c r="C42" s="50">
        <v>27</v>
      </c>
      <c r="D42" s="50">
        <v>3</v>
      </c>
      <c r="E42" s="50">
        <v>5</v>
      </c>
      <c r="F42" s="50">
        <v>6</v>
      </c>
      <c r="G42" s="50">
        <v>0</v>
      </c>
      <c r="H42" s="50">
        <v>0</v>
      </c>
      <c r="I42" s="50">
        <v>1</v>
      </c>
      <c r="J42" s="50">
        <v>1</v>
      </c>
      <c r="K42" s="50">
        <v>0</v>
      </c>
      <c r="L42" s="50">
        <v>1</v>
      </c>
      <c r="M42" s="50">
        <v>66</v>
      </c>
      <c r="N42" s="50">
        <v>1</v>
      </c>
      <c r="O42" s="15">
        <f t="shared" si="0"/>
        <v>45</v>
      </c>
      <c r="P42" s="15">
        <f t="shared" si="1"/>
        <v>111</v>
      </c>
    </row>
    <row r="43" spans="2:20" ht="23.1" customHeight="1" x14ac:dyDescent="0.25">
      <c r="B43" s="23" t="s">
        <v>70</v>
      </c>
      <c r="C43" s="50">
        <v>28</v>
      </c>
      <c r="D43" s="50">
        <v>5</v>
      </c>
      <c r="E43" s="50">
        <v>3</v>
      </c>
      <c r="F43" s="50">
        <v>7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0</v>
      </c>
      <c r="M43" s="50">
        <v>62</v>
      </c>
      <c r="N43" s="50">
        <v>0</v>
      </c>
      <c r="O43" s="15">
        <f t="shared" si="0"/>
        <v>46</v>
      </c>
      <c r="P43" s="15">
        <f t="shared" si="1"/>
        <v>108</v>
      </c>
    </row>
    <row r="44" spans="2:20" ht="23.1" customHeight="1" x14ac:dyDescent="0.25">
      <c r="B44" s="25" t="s">
        <v>71</v>
      </c>
      <c r="C44" s="50">
        <v>29</v>
      </c>
      <c r="D44" s="50">
        <v>3</v>
      </c>
      <c r="E44" s="50">
        <v>4</v>
      </c>
      <c r="F44" s="50">
        <v>6</v>
      </c>
      <c r="G44" s="50">
        <v>0</v>
      </c>
      <c r="H44" s="50">
        <v>0</v>
      </c>
      <c r="I44" s="50">
        <v>3</v>
      </c>
      <c r="J44" s="50">
        <v>3</v>
      </c>
      <c r="K44" s="50">
        <v>0</v>
      </c>
      <c r="L44" s="50">
        <v>0</v>
      </c>
      <c r="M44" s="50">
        <v>66</v>
      </c>
      <c r="N44" s="50">
        <v>0</v>
      </c>
      <c r="O44" s="15">
        <f t="shared" si="0"/>
        <v>48</v>
      </c>
      <c r="P44" s="15">
        <f t="shared" si="1"/>
        <v>114</v>
      </c>
    </row>
    <row r="45" spans="2:20" ht="23.1" customHeight="1" x14ac:dyDescent="0.25">
      <c r="B45" s="23" t="s">
        <v>72</v>
      </c>
      <c r="C45" s="50">
        <v>24</v>
      </c>
      <c r="D45" s="50">
        <v>5</v>
      </c>
      <c r="E45" s="50">
        <v>3</v>
      </c>
      <c r="F45" s="50">
        <v>4</v>
      </c>
      <c r="G45" s="50">
        <v>0</v>
      </c>
      <c r="H45" s="50">
        <v>0</v>
      </c>
      <c r="I45" s="50">
        <v>2</v>
      </c>
      <c r="J45" s="50">
        <v>0</v>
      </c>
      <c r="K45" s="50">
        <v>1</v>
      </c>
      <c r="L45" s="50">
        <v>0</v>
      </c>
      <c r="M45" s="50">
        <v>56</v>
      </c>
      <c r="N45" s="50">
        <v>0</v>
      </c>
      <c r="O45" s="15">
        <f t="shared" si="0"/>
        <v>39</v>
      </c>
      <c r="P45" s="15">
        <f t="shared" si="1"/>
        <v>95</v>
      </c>
    </row>
    <row r="46" spans="2:20" ht="23.1" customHeight="1" x14ac:dyDescent="0.25">
      <c r="B46" s="24" t="s">
        <v>73</v>
      </c>
      <c r="C46" s="50">
        <v>26</v>
      </c>
      <c r="D46" s="50">
        <v>4</v>
      </c>
      <c r="E46" s="50">
        <v>6</v>
      </c>
      <c r="F46" s="50">
        <v>9</v>
      </c>
      <c r="G46" s="50">
        <v>0</v>
      </c>
      <c r="H46" s="50">
        <v>0</v>
      </c>
      <c r="I46" s="50">
        <v>5</v>
      </c>
      <c r="J46" s="50">
        <v>0</v>
      </c>
      <c r="K46" s="50">
        <v>1</v>
      </c>
      <c r="L46" s="50">
        <v>0</v>
      </c>
      <c r="M46" s="50">
        <v>67</v>
      </c>
      <c r="N46" s="50">
        <v>1</v>
      </c>
      <c r="O46" s="15">
        <f t="shared" si="0"/>
        <v>52</v>
      </c>
      <c r="P46" s="15">
        <f t="shared" si="1"/>
        <v>119</v>
      </c>
      <c r="R46" s="8"/>
      <c r="T46"/>
    </row>
    <row r="47" spans="2:20" ht="23.1" customHeight="1" x14ac:dyDescent="0.25">
      <c r="B47" s="24" t="s">
        <v>74</v>
      </c>
      <c r="C47" s="50">
        <v>24</v>
      </c>
      <c r="D47" s="50">
        <v>4</v>
      </c>
      <c r="E47" s="50">
        <v>5</v>
      </c>
      <c r="F47" s="50">
        <v>8</v>
      </c>
      <c r="G47" s="50">
        <v>0</v>
      </c>
      <c r="H47" s="50">
        <v>0</v>
      </c>
      <c r="I47" s="50">
        <v>2</v>
      </c>
      <c r="J47" s="50">
        <v>1</v>
      </c>
      <c r="K47" s="50">
        <v>0</v>
      </c>
      <c r="L47" s="50">
        <v>0</v>
      </c>
      <c r="M47" s="50">
        <v>64</v>
      </c>
      <c r="N47" s="50">
        <v>0</v>
      </c>
      <c r="O47" s="15">
        <f t="shared" si="0"/>
        <v>44</v>
      </c>
      <c r="P47" s="15">
        <f t="shared" si="1"/>
        <v>108</v>
      </c>
      <c r="R47" s="8"/>
      <c r="T47"/>
    </row>
    <row r="48" spans="2:20" ht="23.1" customHeight="1" x14ac:dyDescent="0.25">
      <c r="B48" s="24" t="s">
        <v>75</v>
      </c>
      <c r="C48" s="50">
        <v>27</v>
      </c>
      <c r="D48" s="50">
        <v>3</v>
      </c>
      <c r="E48" s="50">
        <v>4</v>
      </c>
      <c r="F48" s="50">
        <v>6</v>
      </c>
      <c r="G48" s="50">
        <v>0</v>
      </c>
      <c r="H48" s="50">
        <v>0</v>
      </c>
      <c r="I48" s="50">
        <v>7</v>
      </c>
      <c r="J48" s="50">
        <v>1</v>
      </c>
      <c r="K48" s="50">
        <v>0</v>
      </c>
      <c r="L48" s="50">
        <v>0</v>
      </c>
      <c r="M48" s="50">
        <v>67</v>
      </c>
      <c r="N48" s="50">
        <v>0</v>
      </c>
      <c r="O48" s="15">
        <f t="shared" si="0"/>
        <v>48</v>
      </c>
      <c r="P48" s="15">
        <f t="shared" si="1"/>
        <v>115</v>
      </c>
      <c r="R48" s="8"/>
      <c r="T48"/>
    </row>
    <row r="49" spans="2:20" ht="23.1" customHeight="1" x14ac:dyDescent="0.25">
      <c r="B49" s="23" t="s">
        <v>76</v>
      </c>
      <c r="C49" s="50">
        <v>28</v>
      </c>
      <c r="D49" s="50">
        <v>6</v>
      </c>
      <c r="E49" s="50">
        <v>0</v>
      </c>
      <c r="F49" s="50">
        <v>6</v>
      </c>
      <c r="G49" s="50">
        <v>1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58</v>
      </c>
      <c r="N49" s="50">
        <v>0</v>
      </c>
      <c r="O49" s="15">
        <f t="shared" si="0"/>
        <v>43</v>
      </c>
      <c r="P49" s="15">
        <f t="shared" si="1"/>
        <v>101</v>
      </c>
      <c r="R49" s="8"/>
      <c r="T49"/>
    </row>
    <row r="50" spans="2:20" ht="23.1" customHeight="1" x14ac:dyDescent="0.25">
      <c r="B50" s="24" t="s">
        <v>77</v>
      </c>
      <c r="C50" s="50">
        <v>26</v>
      </c>
      <c r="D50" s="50">
        <v>0</v>
      </c>
      <c r="E50" s="50">
        <v>4</v>
      </c>
      <c r="F50" s="50">
        <v>7</v>
      </c>
      <c r="G50" s="50">
        <v>0</v>
      </c>
      <c r="H50" s="50">
        <v>0</v>
      </c>
      <c r="I50" s="50">
        <v>2</v>
      </c>
      <c r="J50" s="50">
        <v>1</v>
      </c>
      <c r="K50" s="50">
        <v>2</v>
      </c>
      <c r="L50" s="50">
        <v>0</v>
      </c>
      <c r="M50" s="50">
        <v>69</v>
      </c>
      <c r="N50" s="50">
        <v>0</v>
      </c>
      <c r="O50" s="15">
        <f t="shared" si="0"/>
        <v>42</v>
      </c>
      <c r="P50" s="15">
        <f t="shared" si="1"/>
        <v>111</v>
      </c>
      <c r="R50" s="8"/>
      <c r="T50"/>
    </row>
    <row r="51" spans="2:20" ht="23.1" customHeight="1" x14ac:dyDescent="0.25">
      <c r="B51" s="24" t="s">
        <v>78</v>
      </c>
      <c r="C51" s="50">
        <v>27</v>
      </c>
      <c r="D51" s="50">
        <v>5</v>
      </c>
      <c r="E51" s="50">
        <v>5</v>
      </c>
      <c r="F51" s="50">
        <v>6</v>
      </c>
      <c r="G51" s="50">
        <v>0</v>
      </c>
      <c r="H51" s="50">
        <v>0</v>
      </c>
      <c r="I51" s="50">
        <v>1</v>
      </c>
      <c r="J51" s="50">
        <v>1</v>
      </c>
      <c r="K51" s="50">
        <v>0</v>
      </c>
      <c r="L51" s="50">
        <v>0</v>
      </c>
      <c r="M51" s="50">
        <v>70</v>
      </c>
      <c r="N51" s="50">
        <v>0</v>
      </c>
      <c r="O51" s="15">
        <f t="shared" si="0"/>
        <v>45</v>
      </c>
      <c r="P51" s="15">
        <f t="shared" si="1"/>
        <v>115</v>
      </c>
      <c r="R51" s="8"/>
      <c r="T51"/>
    </row>
    <row r="52" spans="2:20" ht="23.1" customHeight="1" x14ac:dyDescent="0.25">
      <c r="B52" s="24" t="s">
        <v>79</v>
      </c>
      <c r="C52" s="50">
        <v>27</v>
      </c>
      <c r="D52" s="50">
        <v>3</v>
      </c>
      <c r="E52" s="50">
        <v>2</v>
      </c>
      <c r="F52" s="50">
        <v>4</v>
      </c>
      <c r="G52" s="50">
        <v>0</v>
      </c>
      <c r="H52" s="50">
        <v>1</v>
      </c>
      <c r="I52" s="50">
        <v>2</v>
      </c>
      <c r="J52" s="50">
        <v>1</v>
      </c>
      <c r="K52" s="50">
        <v>0</v>
      </c>
      <c r="L52" s="50">
        <v>0</v>
      </c>
      <c r="M52" s="50">
        <v>72</v>
      </c>
      <c r="N52" s="50">
        <v>0</v>
      </c>
      <c r="O52" s="15">
        <f t="shared" si="0"/>
        <v>40</v>
      </c>
      <c r="P52" s="15">
        <f t="shared" si="1"/>
        <v>112</v>
      </c>
      <c r="R52" s="8"/>
      <c r="T52"/>
    </row>
    <row r="53" spans="2:20" ht="23.1" customHeight="1" x14ac:dyDescent="0.25">
      <c r="B53" s="23" t="s">
        <v>80</v>
      </c>
      <c r="C53" s="50">
        <v>31</v>
      </c>
      <c r="D53" s="50">
        <v>6</v>
      </c>
      <c r="E53" s="50">
        <v>1</v>
      </c>
      <c r="F53" s="50">
        <v>9</v>
      </c>
      <c r="G53" s="50">
        <v>3</v>
      </c>
      <c r="H53" s="50">
        <v>0</v>
      </c>
      <c r="I53" s="50">
        <v>2</v>
      </c>
      <c r="J53" s="50">
        <v>2</v>
      </c>
      <c r="K53" s="50">
        <v>0</v>
      </c>
      <c r="L53" s="50">
        <v>0</v>
      </c>
      <c r="M53" s="50">
        <v>77</v>
      </c>
      <c r="N53" s="50">
        <v>0</v>
      </c>
      <c r="O53" s="15">
        <f t="shared" si="0"/>
        <v>54</v>
      </c>
      <c r="P53" s="15">
        <f t="shared" si="1"/>
        <v>131</v>
      </c>
      <c r="R53" s="8"/>
      <c r="T53"/>
    </row>
    <row r="54" spans="2:20" ht="23.1" customHeight="1" x14ac:dyDescent="0.25">
      <c r="B54" s="23" t="s">
        <v>81</v>
      </c>
      <c r="C54" s="50">
        <v>38</v>
      </c>
      <c r="D54" s="50">
        <v>1</v>
      </c>
      <c r="E54" s="50">
        <v>2</v>
      </c>
      <c r="F54" s="50">
        <v>8</v>
      </c>
      <c r="G54" s="50">
        <v>1</v>
      </c>
      <c r="H54" s="50">
        <v>0</v>
      </c>
      <c r="I54" s="50">
        <v>1</v>
      </c>
      <c r="J54" s="50">
        <v>1</v>
      </c>
      <c r="K54" s="50">
        <v>1</v>
      </c>
      <c r="L54" s="50">
        <v>0</v>
      </c>
      <c r="M54" s="50">
        <v>88</v>
      </c>
      <c r="N54" s="50">
        <v>0</v>
      </c>
      <c r="O54" s="15">
        <f t="shared" si="0"/>
        <v>53</v>
      </c>
      <c r="P54" s="15">
        <f t="shared" si="1"/>
        <v>141</v>
      </c>
      <c r="R54" s="8"/>
      <c r="T54"/>
    </row>
    <row r="55" spans="2:20" ht="23.1" customHeight="1" x14ac:dyDescent="0.25">
      <c r="B55" s="23" t="s">
        <v>82</v>
      </c>
      <c r="C55" s="50">
        <v>35</v>
      </c>
      <c r="D55" s="50">
        <v>2</v>
      </c>
      <c r="E55" s="50">
        <v>0</v>
      </c>
      <c r="F55" s="50">
        <v>9</v>
      </c>
      <c r="G55" s="50">
        <v>0</v>
      </c>
      <c r="H55" s="50">
        <v>1</v>
      </c>
      <c r="I55" s="50">
        <v>0</v>
      </c>
      <c r="J55" s="50">
        <v>1</v>
      </c>
      <c r="K55" s="50">
        <v>2</v>
      </c>
      <c r="L55" s="50">
        <v>0</v>
      </c>
      <c r="M55" s="50">
        <v>95</v>
      </c>
      <c r="N55" s="50">
        <v>0</v>
      </c>
      <c r="O55" s="15">
        <f t="shared" si="0"/>
        <v>50</v>
      </c>
      <c r="P55" s="15">
        <f t="shared" si="1"/>
        <v>145</v>
      </c>
      <c r="R55" s="8"/>
      <c r="T55"/>
    </row>
    <row r="56" spans="2:20" ht="23.1" customHeight="1" x14ac:dyDescent="0.25">
      <c r="B56" s="23" t="s">
        <v>83</v>
      </c>
      <c r="C56" s="50">
        <v>40</v>
      </c>
      <c r="D56" s="50">
        <v>4</v>
      </c>
      <c r="E56" s="50">
        <v>0</v>
      </c>
      <c r="F56" s="50">
        <v>9</v>
      </c>
      <c r="G56" s="50">
        <v>0</v>
      </c>
      <c r="H56" s="50">
        <v>0</v>
      </c>
      <c r="I56" s="50">
        <v>3</v>
      </c>
      <c r="J56" s="50">
        <v>0</v>
      </c>
      <c r="K56" s="50">
        <v>0</v>
      </c>
      <c r="L56" s="50">
        <v>0</v>
      </c>
      <c r="M56" s="50">
        <v>94</v>
      </c>
      <c r="N56" s="50">
        <v>0</v>
      </c>
      <c r="O56" s="15">
        <f t="shared" si="0"/>
        <v>56</v>
      </c>
      <c r="P56" s="15">
        <f t="shared" si="1"/>
        <v>150</v>
      </c>
      <c r="R56" s="8"/>
      <c r="T56"/>
    </row>
    <row r="57" spans="2:20" ht="23.1" customHeight="1" x14ac:dyDescent="0.25">
      <c r="B57" s="23" t="s">
        <v>84</v>
      </c>
      <c r="C57" s="50">
        <v>38</v>
      </c>
      <c r="D57" s="50">
        <v>4</v>
      </c>
      <c r="E57" s="50">
        <v>3</v>
      </c>
      <c r="F57" s="50">
        <v>11</v>
      </c>
      <c r="G57" s="50">
        <v>0</v>
      </c>
      <c r="H57" s="50">
        <v>0</v>
      </c>
      <c r="I57" s="50">
        <v>1</v>
      </c>
      <c r="J57" s="50">
        <v>1</v>
      </c>
      <c r="K57" s="50">
        <v>0</v>
      </c>
      <c r="L57" s="50">
        <v>0</v>
      </c>
      <c r="M57" s="50">
        <v>98</v>
      </c>
      <c r="N57" s="50">
        <v>0</v>
      </c>
      <c r="O57" s="15">
        <f t="shared" si="0"/>
        <v>58</v>
      </c>
      <c r="P57" s="15">
        <f t="shared" si="1"/>
        <v>156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1774</v>
      </c>
      <c r="D58" s="16">
        <f t="shared" si="21"/>
        <v>229</v>
      </c>
      <c r="E58" s="16">
        <f t="shared" si="21"/>
        <v>163</v>
      </c>
      <c r="F58" s="16">
        <f t="shared" si="21"/>
        <v>491</v>
      </c>
      <c r="G58" s="16">
        <f t="shared" si="21"/>
        <v>22</v>
      </c>
      <c r="H58" s="16">
        <f t="shared" si="21"/>
        <v>6</v>
      </c>
      <c r="I58" s="16">
        <f t="shared" si="21"/>
        <v>124</v>
      </c>
      <c r="J58" s="16">
        <f t="shared" si="21"/>
        <v>60</v>
      </c>
      <c r="K58" s="16">
        <f t="shared" si="21"/>
        <v>17</v>
      </c>
      <c r="L58" s="16">
        <f t="shared" si="21"/>
        <v>2</v>
      </c>
      <c r="M58" s="16">
        <f t="shared" si="21"/>
        <v>3916</v>
      </c>
      <c r="N58" s="16">
        <f t="shared" si="21"/>
        <v>3</v>
      </c>
      <c r="O58" s="16">
        <f t="shared" si="21"/>
        <v>2891</v>
      </c>
      <c r="P58" s="16">
        <f t="shared" si="21"/>
        <v>6807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0.26061407374761275</v>
      </c>
      <c r="D59" s="43">
        <f t="shared" si="22"/>
        <v>3.3641839283090932E-2</v>
      </c>
      <c r="E59" s="43">
        <f t="shared" si="22"/>
        <v>2.3945938004994859E-2</v>
      </c>
      <c r="F59" s="43">
        <f t="shared" si="22"/>
        <v>7.2131629205229905E-2</v>
      </c>
      <c r="G59" s="43">
        <f t="shared" si="22"/>
        <v>3.2319670926986926E-3</v>
      </c>
      <c r="H59" s="43">
        <f t="shared" si="22"/>
        <v>8.8144557073600708E-4</v>
      </c>
      <c r="I59" s="43">
        <f t="shared" si="22"/>
        <v>1.8216541795210813E-2</v>
      </c>
      <c r="J59" s="43">
        <f t="shared" si="22"/>
        <v>8.8144557073600704E-3</v>
      </c>
      <c r="K59" s="43">
        <f t="shared" si="22"/>
        <v>2.4974291170853534E-3</v>
      </c>
      <c r="L59" s="43">
        <f t="shared" si="22"/>
        <v>2.9381519024533566E-4</v>
      </c>
      <c r="M59" s="43">
        <f t="shared" si="22"/>
        <v>0.57529014250036725</v>
      </c>
      <c r="N59" s="43">
        <f t="shared" si="22"/>
        <v>4.4072278536800354E-4</v>
      </c>
      <c r="R59" s="8"/>
      <c r="T59"/>
    </row>
    <row r="60" spans="2:20" ht="23.1" customHeight="1" x14ac:dyDescent="0.25">
      <c r="B60" s="42" t="s">
        <v>94</v>
      </c>
      <c r="C60" s="44">
        <f>C58/$O$58</f>
        <v>0.61362850224835697</v>
      </c>
      <c r="D60" s="44">
        <f t="shared" ref="D60:N60" si="23">D58/$O$58</f>
        <v>7.9211345555171217E-2</v>
      </c>
      <c r="E60" s="44">
        <f t="shared" si="23"/>
        <v>5.6381874783811826E-2</v>
      </c>
      <c r="F60" s="44">
        <f t="shared" si="23"/>
        <v>0.16983742649602213</v>
      </c>
      <c r="G60" s="44">
        <f t="shared" si="23"/>
        <v>7.6098235904531308E-3</v>
      </c>
      <c r="H60" s="44">
        <f t="shared" si="23"/>
        <v>2.0754064337599448E-3</v>
      </c>
      <c r="I60" s="44">
        <f t="shared" si="23"/>
        <v>4.2891732964372188E-2</v>
      </c>
      <c r="J60" s="44">
        <f t="shared" si="23"/>
        <v>2.0754064337599448E-2</v>
      </c>
      <c r="K60" s="44">
        <f t="shared" si="23"/>
        <v>5.8803182289865101E-3</v>
      </c>
      <c r="L60" s="44">
        <f t="shared" si="23"/>
        <v>6.9180214458664825E-4</v>
      </c>
      <c r="M60" s="44"/>
      <c r="N60" s="44">
        <f t="shared" si="23"/>
        <v>1.0377032168799724E-3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'22.07 Ndeeba-Nyanama'!C3:G3</f>
        <v>MCC - C1 - STN04 - WERAGA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165</v>
      </c>
      <c r="E5" s="3"/>
      <c r="F5" s="41" t="s">
        <v>1</v>
      </c>
      <c r="G5" s="68" t="str">
        <f>'25.07 Nyanama-Ndeeba'!G5:H5</f>
        <v>Golden Mille Hotel</v>
      </c>
      <c r="H5" s="69"/>
      <c r="I5" s="14"/>
      <c r="J5" s="2" t="s">
        <v>5</v>
      </c>
      <c r="K5" s="68" t="s">
        <v>178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tr">
        <f>'22.07 Ndeeba-Nyanama'!D6:E6</f>
        <v>Ndeeba</v>
      </c>
      <c r="E6" s="69"/>
      <c r="F6" s="2" t="s">
        <v>2</v>
      </c>
      <c r="G6" s="68" t="str">
        <f>'22.07 Ndeeba-Nyanama'!G6:H6</f>
        <v>Nyanama</v>
      </c>
      <c r="H6" s="69"/>
      <c r="J6" s="2" t="s">
        <v>21</v>
      </c>
      <c r="K6" s="68" t="str">
        <f>'25.07 Nyanama-Ndeeba'!K6:L6</f>
        <v>Denis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85</v>
      </c>
      <c r="D10" s="50">
        <v>3</v>
      </c>
      <c r="E10" s="50">
        <v>27</v>
      </c>
      <c r="F10" s="50">
        <v>39</v>
      </c>
      <c r="G10" s="50">
        <v>2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70</v>
      </c>
      <c r="N10" s="50">
        <v>0</v>
      </c>
      <c r="O10" s="15">
        <f t="shared" ref="O10:O57" si="0">SUM(C10:L10,N10)</f>
        <v>157</v>
      </c>
      <c r="P10" s="15">
        <f t="shared" ref="P10:P57" si="1">SUM(C10:N10)</f>
        <v>227</v>
      </c>
      <c r="R10" s="1" t="s">
        <v>6</v>
      </c>
      <c r="S10" s="17">
        <f t="shared" ref="S10:AF10" si="2">SUM(C10:C13)</f>
        <v>330</v>
      </c>
      <c r="T10" s="17">
        <f t="shared" si="2"/>
        <v>16</v>
      </c>
      <c r="U10" s="17">
        <f t="shared" si="2"/>
        <v>99</v>
      </c>
      <c r="V10" s="17">
        <f t="shared" si="2"/>
        <v>202</v>
      </c>
      <c r="W10" s="17">
        <f t="shared" si="2"/>
        <v>2</v>
      </c>
      <c r="X10" s="17">
        <f t="shared" si="2"/>
        <v>1</v>
      </c>
      <c r="Y10" s="17">
        <f t="shared" si="2"/>
        <v>3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339</v>
      </c>
      <c r="AD10" s="17">
        <f t="shared" si="2"/>
        <v>0</v>
      </c>
      <c r="AE10" s="31">
        <f t="shared" si="2"/>
        <v>653</v>
      </c>
      <c r="AF10" s="31">
        <f t="shared" si="2"/>
        <v>992</v>
      </c>
    </row>
    <row r="11" spans="2:32" s="6" customFormat="1" ht="23.1" customHeight="1" x14ac:dyDescent="0.25">
      <c r="B11" s="45" t="s">
        <v>38</v>
      </c>
      <c r="C11" s="50">
        <v>90</v>
      </c>
      <c r="D11" s="50">
        <v>7</v>
      </c>
      <c r="E11" s="50">
        <v>43</v>
      </c>
      <c r="F11" s="50">
        <v>50</v>
      </c>
      <c r="G11" s="50">
        <v>0</v>
      </c>
      <c r="H11" s="50">
        <v>1</v>
      </c>
      <c r="I11" s="50">
        <v>0</v>
      </c>
      <c r="J11" s="50">
        <v>0</v>
      </c>
      <c r="K11" s="50">
        <v>0</v>
      </c>
      <c r="L11" s="50">
        <v>0</v>
      </c>
      <c r="M11" s="50">
        <v>84</v>
      </c>
      <c r="N11" s="50">
        <v>0</v>
      </c>
      <c r="O11" s="15">
        <f t="shared" si="0"/>
        <v>191</v>
      </c>
      <c r="P11" s="15">
        <f t="shared" si="1"/>
        <v>275</v>
      </c>
      <c r="R11" s="1" t="s">
        <v>7</v>
      </c>
      <c r="S11" s="17">
        <f t="shared" ref="S11:AF11" si="3">SUM(C14:C17)</f>
        <v>261</v>
      </c>
      <c r="T11" s="17">
        <f t="shared" si="3"/>
        <v>4</v>
      </c>
      <c r="U11" s="17">
        <f t="shared" si="3"/>
        <v>5</v>
      </c>
      <c r="V11" s="17">
        <f t="shared" si="3"/>
        <v>142</v>
      </c>
      <c r="W11" s="17">
        <f t="shared" si="3"/>
        <v>2</v>
      </c>
      <c r="X11" s="17">
        <f t="shared" si="3"/>
        <v>0</v>
      </c>
      <c r="Y11" s="17">
        <f t="shared" si="3"/>
        <v>4</v>
      </c>
      <c r="Z11" s="17">
        <f t="shared" si="3"/>
        <v>3</v>
      </c>
      <c r="AA11" s="17">
        <f t="shared" si="3"/>
        <v>2</v>
      </c>
      <c r="AB11" s="17">
        <f t="shared" si="3"/>
        <v>1</v>
      </c>
      <c r="AC11" s="17">
        <f t="shared" si="3"/>
        <v>310</v>
      </c>
      <c r="AD11" s="17">
        <f t="shared" si="3"/>
        <v>0</v>
      </c>
      <c r="AE11" s="31">
        <f t="shared" si="3"/>
        <v>424</v>
      </c>
      <c r="AF11" s="31">
        <f t="shared" si="3"/>
        <v>734</v>
      </c>
    </row>
    <row r="12" spans="2:32" ht="23.1" customHeight="1" x14ac:dyDescent="0.25">
      <c r="B12" s="45" t="s">
        <v>39</v>
      </c>
      <c r="C12" s="50">
        <v>80</v>
      </c>
      <c r="D12" s="50">
        <v>5</v>
      </c>
      <c r="E12" s="50">
        <v>11</v>
      </c>
      <c r="F12" s="50">
        <v>68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90</v>
      </c>
      <c r="N12" s="50">
        <v>0</v>
      </c>
      <c r="O12" s="15">
        <f t="shared" si="0"/>
        <v>166</v>
      </c>
      <c r="P12" s="15">
        <f t="shared" si="1"/>
        <v>256</v>
      </c>
      <c r="R12" s="1" t="s">
        <v>8</v>
      </c>
      <c r="S12" s="17">
        <f t="shared" ref="S12:AF12" si="4">SUM(C18:C21)</f>
        <v>224</v>
      </c>
      <c r="T12" s="17">
        <f t="shared" si="4"/>
        <v>1</v>
      </c>
      <c r="U12" s="17">
        <f t="shared" si="4"/>
        <v>22</v>
      </c>
      <c r="V12" s="17">
        <f t="shared" si="4"/>
        <v>165</v>
      </c>
      <c r="W12" s="17">
        <f t="shared" si="4"/>
        <v>2</v>
      </c>
      <c r="X12" s="17">
        <f t="shared" si="4"/>
        <v>1</v>
      </c>
      <c r="Y12" s="17">
        <f t="shared" si="4"/>
        <v>8</v>
      </c>
      <c r="Z12" s="17">
        <f t="shared" si="4"/>
        <v>6</v>
      </c>
      <c r="AA12" s="17">
        <f t="shared" si="4"/>
        <v>0</v>
      </c>
      <c r="AB12" s="17">
        <f t="shared" si="4"/>
        <v>0</v>
      </c>
      <c r="AC12" s="17">
        <f t="shared" si="4"/>
        <v>285</v>
      </c>
      <c r="AD12" s="17">
        <f t="shared" si="4"/>
        <v>0</v>
      </c>
      <c r="AE12" s="31">
        <f t="shared" si="4"/>
        <v>429</v>
      </c>
      <c r="AF12" s="31">
        <f t="shared" si="4"/>
        <v>714</v>
      </c>
    </row>
    <row r="13" spans="2:32" ht="23.1" customHeight="1" x14ac:dyDescent="0.25">
      <c r="B13" s="45" t="s">
        <v>40</v>
      </c>
      <c r="C13" s="50">
        <v>75</v>
      </c>
      <c r="D13" s="50">
        <v>1</v>
      </c>
      <c r="E13" s="50">
        <v>18</v>
      </c>
      <c r="F13" s="50">
        <v>45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95</v>
      </c>
      <c r="N13" s="50">
        <v>0</v>
      </c>
      <c r="O13" s="15">
        <f t="shared" si="0"/>
        <v>139</v>
      </c>
      <c r="P13" s="15">
        <f t="shared" si="1"/>
        <v>234</v>
      </c>
      <c r="R13" s="1" t="s">
        <v>9</v>
      </c>
      <c r="S13" s="17">
        <f t="shared" ref="S13:AF13" si="5">SUM(C22:C25)</f>
        <v>249</v>
      </c>
      <c r="T13" s="17">
        <f t="shared" si="5"/>
        <v>5</v>
      </c>
      <c r="U13" s="17">
        <f t="shared" si="5"/>
        <v>21</v>
      </c>
      <c r="V13" s="17">
        <f t="shared" si="5"/>
        <v>224</v>
      </c>
      <c r="W13" s="17">
        <f t="shared" si="5"/>
        <v>5</v>
      </c>
      <c r="X13" s="17">
        <f t="shared" si="5"/>
        <v>0</v>
      </c>
      <c r="Y13" s="17">
        <f t="shared" si="5"/>
        <v>10</v>
      </c>
      <c r="Z13" s="17">
        <f t="shared" si="5"/>
        <v>2</v>
      </c>
      <c r="AA13" s="17">
        <f t="shared" si="5"/>
        <v>1</v>
      </c>
      <c r="AB13" s="17">
        <f t="shared" si="5"/>
        <v>1</v>
      </c>
      <c r="AC13" s="17">
        <f t="shared" si="5"/>
        <v>314</v>
      </c>
      <c r="AD13" s="17">
        <f t="shared" si="5"/>
        <v>0</v>
      </c>
      <c r="AE13" s="31">
        <f t="shared" si="5"/>
        <v>518</v>
      </c>
      <c r="AF13" s="31">
        <f t="shared" si="5"/>
        <v>832</v>
      </c>
    </row>
    <row r="14" spans="2:32" ht="23.1" customHeight="1" x14ac:dyDescent="0.25">
      <c r="B14" s="45" t="s">
        <v>41</v>
      </c>
      <c r="C14" s="50">
        <v>65</v>
      </c>
      <c r="D14" s="50">
        <v>0</v>
      </c>
      <c r="E14" s="50">
        <v>5</v>
      </c>
      <c r="F14" s="50">
        <v>48</v>
      </c>
      <c r="G14" s="50">
        <v>0</v>
      </c>
      <c r="H14" s="50">
        <v>0</v>
      </c>
      <c r="I14" s="50">
        <v>0</v>
      </c>
      <c r="J14" s="50">
        <v>3</v>
      </c>
      <c r="K14" s="50">
        <v>0</v>
      </c>
      <c r="L14" s="50">
        <v>1</v>
      </c>
      <c r="M14" s="50">
        <v>63</v>
      </c>
      <c r="N14" s="50">
        <v>0</v>
      </c>
      <c r="O14" s="15">
        <f t="shared" si="0"/>
        <v>122</v>
      </c>
      <c r="P14" s="15">
        <f t="shared" si="1"/>
        <v>185</v>
      </c>
      <c r="R14" s="1" t="s">
        <v>10</v>
      </c>
      <c r="S14" s="17">
        <f t="shared" ref="S14:AF14" si="6">SUM(C26:C29)</f>
        <v>248</v>
      </c>
      <c r="T14" s="17">
        <f t="shared" si="6"/>
        <v>4</v>
      </c>
      <c r="U14" s="17">
        <f t="shared" si="6"/>
        <v>9</v>
      </c>
      <c r="V14" s="17">
        <f t="shared" si="6"/>
        <v>38</v>
      </c>
      <c r="W14" s="17">
        <f t="shared" si="6"/>
        <v>3</v>
      </c>
      <c r="X14" s="17">
        <f t="shared" si="6"/>
        <v>0</v>
      </c>
      <c r="Y14" s="17">
        <f t="shared" si="6"/>
        <v>8</v>
      </c>
      <c r="Z14" s="17">
        <f t="shared" si="6"/>
        <v>4</v>
      </c>
      <c r="AA14" s="17">
        <f t="shared" si="6"/>
        <v>0</v>
      </c>
      <c r="AB14" s="17">
        <f t="shared" si="6"/>
        <v>3</v>
      </c>
      <c r="AC14" s="17">
        <f t="shared" si="6"/>
        <v>336</v>
      </c>
      <c r="AD14" s="17">
        <f t="shared" si="6"/>
        <v>0</v>
      </c>
      <c r="AE14" s="31">
        <f t="shared" si="6"/>
        <v>317</v>
      </c>
      <c r="AF14" s="31">
        <f t="shared" si="6"/>
        <v>653</v>
      </c>
    </row>
    <row r="15" spans="2:32" ht="23.1" customHeight="1" x14ac:dyDescent="0.25">
      <c r="B15" s="45" t="s">
        <v>42</v>
      </c>
      <c r="C15" s="50">
        <v>50</v>
      </c>
      <c r="D15" s="50">
        <v>0</v>
      </c>
      <c r="E15" s="50">
        <v>0</v>
      </c>
      <c r="F15" s="50">
        <v>19</v>
      </c>
      <c r="G15" s="50">
        <v>0</v>
      </c>
      <c r="H15" s="50">
        <v>0</v>
      </c>
      <c r="I15" s="50">
        <v>3</v>
      </c>
      <c r="J15" s="50">
        <v>0</v>
      </c>
      <c r="K15" s="50">
        <v>2</v>
      </c>
      <c r="L15" s="50">
        <v>0</v>
      </c>
      <c r="M15" s="50">
        <v>82</v>
      </c>
      <c r="N15" s="50">
        <v>0</v>
      </c>
      <c r="O15" s="15">
        <f t="shared" si="0"/>
        <v>74</v>
      </c>
      <c r="P15" s="15">
        <f t="shared" si="1"/>
        <v>156</v>
      </c>
      <c r="R15" s="1" t="s">
        <v>11</v>
      </c>
      <c r="S15" s="17">
        <f t="shared" ref="S15:AF15" si="7">SUM(C30:C33)</f>
        <v>165</v>
      </c>
      <c r="T15" s="17">
        <f t="shared" si="7"/>
        <v>1</v>
      </c>
      <c r="U15" s="17">
        <f t="shared" si="7"/>
        <v>8</v>
      </c>
      <c r="V15" s="17">
        <f t="shared" si="7"/>
        <v>46</v>
      </c>
      <c r="W15" s="17">
        <f t="shared" si="7"/>
        <v>1</v>
      </c>
      <c r="X15" s="17">
        <f t="shared" si="7"/>
        <v>0</v>
      </c>
      <c r="Y15" s="17">
        <f t="shared" si="7"/>
        <v>8</v>
      </c>
      <c r="Z15" s="17">
        <f t="shared" si="7"/>
        <v>4</v>
      </c>
      <c r="AA15" s="17">
        <f t="shared" si="7"/>
        <v>2</v>
      </c>
      <c r="AB15" s="17">
        <f t="shared" si="7"/>
        <v>11</v>
      </c>
      <c r="AC15" s="17">
        <f t="shared" si="7"/>
        <v>314</v>
      </c>
      <c r="AD15" s="17">
        <f t="shared" si="7"/>
        <v>0</v>
      </c>
      <c r="AE15" s="31">
        <f t="shared" si="7"/>
        <v>246</v>
      </c>
      <c r="AF15" s="31">
        <f t="shared" si="7"/>
        <v>560</v>
      </c>
    </row>
    <row r="16" spans="2:32" ht="23.1" customHeight="1" x14ac:dyDescent="0.25">
      <c r="B16" s="45" t="s">
        <v>43</v>
      </c>
      <c r="C16" s="50">
        <v>56</v>
      </c>
      <c r="D16" s="50">
        <v>4</v>
      </c>
      <c r="E16" s="50">
        <v>0</v>
      </c>
      <c r="F16" s="50">
        <v>35</v>
      </c>
      <c r="G16" s="50">
        <v>2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90</v>
      </c>
      <c r="N16" s="50">
        <v>0</v>
      </c>
      <c r="O16" s="15">
        <f t="shared" si="0"/>
        <v>97</v>
      </c>
      <c r="P16" s="15">
        <f t="shared" si="1"/>
        <v>187</v>
      </c>
      <c r="R16" s="1" t="s">
        <v>12</v>
      </c>
      <c r="S16" s="17">
        <f t="shared" ref="S16:AF16" si="8">SUM(C34:C37)</f>
        <v>275</v>
      </c>
      <c r="T16" s="17">
        <f t="shared" si="8"/>
        <v>4</v>
      </c>
      <c r="U16" s="17">
        <f t="shared" si="8"/>
        <v>7</v>
      </c>
      <c r="V16" s="17">
        <f t="shared" si="8"/>
        <v>81</v>
      </c>
      <c r="W16" s="17">
        <f t="shared" si="8"/>
        <v>2</v>
      </c>
      <c r="X16" s="17">
        <f t="shared" si="8"/>
        <v>0</v>
      </c>
      <c r="Y16" s="17">
        <f t="shared" si="8"/>
        <v>1</v>
      </c>
      <c r="Z16" s="17">
        <f t="shared" si="8"/>
        <v>4</v>
      </c>
      <c r="AA16" s="17">
        <f t="shared" si="8"/>
        <v>1</v>
      </c>
      <c r="AB16" s="17">
        <f t="shared" si="8"/>
        <v>1</v>
      </c>
      <c r="AC16" s="17">
        <f t="shared" si="8"/>
        <v>274</v>
      </c>
      <c r="AD16" s="17">
        <f t="shared" si="8"/>
        <v>0</v>
      </c>
      <c r="AE16" s="31">
        <f t="shared" si="8"/>
        <v>376</v>
      </c>
      <c r="AF16" s="31">
        <f t="shared" si="8"/>
        <v>650</v>
      </c>
    </row>
    <row r="17" spans="2:32" ht="23.1" customHeight="1" x14ac:dyDescent="0.25">
      <c r="B17" s="45" t="s">
        <v>44</v>
      </c>
      <c r="C17" s="50">
        <v>90</v>
      </c>
      <c r="D17" s="50">
        <v>0</v>
      </c>
      <c r="E17" s="50">
        <v>0</v>
      </c>
      <c r="F17" s="50">
        <v>40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75</v>
      </c>
      <c r="N17" s="50">
        <v>0</v>
      </c>
      <c r="O17" s="15">
        <f t="shared" si="0"/>
        <v>131</v>
      </c>
      <c r="P17" s="15">
        <f t="shared" si="1"/>
        <v>206</v>
      </c>
      <c r="R17" s="1" t="s">
        <v>13</v>
      </c>
      <c r="S17" s="17">
        <f t="shared" ref="S17:AF17" si="9">SUM(C38:C41)</f>
        <v>234</v>
      </c>
      <c r="T17" s="17">
        <f t="shared" si="9"/>
        <v>4</v>
      </c>
      <c r="U17" s="17">
        <f t="shared" si="9"/>
        <v>15</v>
      </c>
      <c r="V17" s="17">
        <f t="shared" si="9"/>
        <v>100</v>
      </c>
      <c r="W17" s="17">
        <f t="shared" si="9"/>
        <v>1</v>
      </c>
      <c r="X17" s="17">
        <f t="shared" si="9"/>
        <v>0</v>
      </c>
      <c r="Y17" s="17">
        <f t="shared" si="9"/>
        <v>3</v>
      </c>
      <c r="Z17" s="17">
        <f t="shared" si="9"/>
        <v>0</v>
      </c>
      <c r="AA17" s="17">
        <f t="shared" si="9"/>
        <v>3</v>
      </c>
      <c r="AB17" s="17">
        <f t="shared" si="9"/>
        <v>2</v>
      </c>
      <c r="AC17" s="17">
        <f t="shared" si="9"/>
        <v>305</v>
      </c>
      <c r="AD17" s="17">
        <f t="shared" si="9"/>
        <v>0</v>
      </c>
      <c r="AE17" s="31">
        <f t="shared" si="9"/>
        <v>362</v>
      </c>
      <c r="AF17" s="31">
        <f t="shared" si="9"/>
        <v>667</v>
      </c>
    </row>
    <row r="18" spans="2:32" ht="23.1" customHeight="1" x14ac:dyDescent="0.25">
      <c r="B18" s="45" t="s">
        <v>45</v>
      </c>
      <c r="C18" s="50">
        <v>45</v>
      </c>
      <c r="D18" s="50">
        <v>1</v>
      </c>
      <c r="E18" s="50">
        <v>3</v>
      </c>
      <c r="F18" s="50">
        <v>39</v>
      </c>
      <c r="G18" s="50">
        <v>0</v>
      </c>
      <c r="H18" s="50">
        <v>0</v>
      </c>
      <c r="I18" s="50">
        <v>3</v>
      </c>
      <c r="J18" s="50">
        <v>2</v>
      </c>
      <c r="K18" s="50">
        <v>0</v>
      </c>
      <c r="L18" s="50">
        <v>0</v>
      </c>
      <c r="M18" s="50">
        <v>86</v>
      </c>
      <c r="N18" s="50">
        <v>0</v>
      </c>
      <c r="O18" s="15">
        <f t="shared" si="0"/>
        <v>93</v>
      </c>
      <c r="P18" s="15">
        <f t="shared" si="1"/>
        <v>179</v>
      </c>
      <c r="R18" s="1" t="s">
        <v>14</v>
      </c>
      <c r="S18" s="17">
        <f t="shared" ref="S18:AF18" si="10">SUM(C42:C45)</f>
        <v>239</v>
      </c>
      <c r="T18" s="17">
        <f t="shared" si="10"/>
        <v>9</v>
      </c>
      <c r="U18" s="17">
        <f t="shared" si="10"/>
        <v>52</v>
      </c>
      <c r="V18" s="17">
        <f t="shared" si="10"/>
        <v>64</v>
      </c>
      <c r="W18" s="17">
        <f t="shared" si="10"/>
        <v>2</v>
      </c>
      <c r="X18" s="17">
        <f t="shared" si="10"/>
        <v>0</v>
      </c>
      <c r="Y18" s="17">
        <f t="shared" si="10"/>
        <v>16</v>
      </c>
      <c r="Z18" s="17">
        <f t="shared" si="10"/>
        <v>5</v>
      </c>
      <c r="AA18" s="17">
        <f t="shared" si="10"/>
        <v>1</v>
      </c>
      <c r="AB18" s="17">
        <f t="shared" si="10"/>
        <v>6</v>
      </c>
      <c r="AC18" s="17">
        <f t="shared" si="10"/>
        <v>289</v>
      </c>
      <c r="AD18" s="17">
        <f t="shared" si="10"/>
        <v>0</v>
      </c>
      <c r="AE18" s="31">
        <f t="shared" si="10"/>
        <v>394</v>
      </c>
      <c r="AF18" s="31">
        <f t="shared" si="10"/>
        <v>683</v>
      </c>
    </row>
    <row r="19" spans="2:32" ht="23.1" customHeight="1" x14ac:dyDescent="0.25">
      <c r="B19" s="45" t="s">
        <v>46</v>
      </c>
      <c r="C19" s="50">
        <v>60</v>
      </c>
      <c r="D19" s="50">
        <v>0</v>
      </c>
      <c r="E19" s="50">
        <v>7</v>
      </c>
      <c r="F19" s="50">
        <v>22</v>
      </c>
      <c r="G19" s="50">
        <v>0</v>
      </c>
      <c r="H19" s="50">
        <v>1</v>
      </c>
      <c r="I19" s="50">
        <v>0</v>
      </c>
      <c r="J19" s="50">
        <v>1</v>
      </c>
      <c r="K19" s="50">
        <v>0</v>
      </c>
      <c r="L19" s="50">
        <v>0</v>
      </c>
      <c r="M19" s="50">
        <v>65</v>
      </c>
      <c r="N19" s="50">
        <v>0</v>
      </c>
      <c r="O19" s="15">
        <f t="shared" si="0"/>
        <v>91</v>
      </c>
      <c r="P19" s="15">
        <f t="shared" si="1"/>
        <v>156</v>
      </c>
      <c r="R19" s="1" t="s">
        <v>15</v>
      </c>
      <c r="S19" s="17">
        <f t="shared" ref="S19:AF19" si="11">SUM(C46:C49)</f>
        <v>323</v>
      </c>
      <c r="T19" s="17">
        <f t="shared" si="11"/>
        <v>16</v>
      </c>
      <c r="U19" s="17">
        <f t="shared" si="11"/>
        <v>11</v>
      </c>
      <c r="V19" s="17">
        <f t="shared" si="11"/>
        <v>115</v>
      </c>
      <c r="W19" s="17">
        <f t="shared" si="11"/>
        <v>0</v>
      </c>
      <c r="X19" s="17">
        <f t="shared" si="11"/>
        <v>0</v>
      </c>
      <c r="Y19" s="17">
        <f t="shared" si="11"/>
        <v>20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320</v>
      </c>
      <c r="AD19" s="17">
        <f t="shared" si="11"/>
        <v>0</v>
      </c>
      <c r="AE19" s="31">
        <f t="shared" si="11"/>
        <v>486</v>
      </c>
      <c r="AF19" s="31">
        <f t="shared" si="11"/>
        <v>806</v>
      </c>
    </row>
    <row r="20" spans="2:32" ht="23.1" customHeight="1" x14ac:dyDescent="0.25">
      <c r="B20" s="45" t="s">
        <v>47</v>
      </c>
      <c r="C20" s="50">
        <v>64</v>
      </c>
      <c r="D20" s="50">
        <v>0</v>
      </c>
      <c r="E20" s="50">
        <v>12</v>
      </c>
      <c r="F20" s="50">
        <v>24</v>
      </c>
      <c r="G20" s="50">
        <v>2</v>
      </c>
      <c r="H20" s="50">
        <v>0</v>
      </c>
      <c r="I20" s="50">
        <v>2</v>
      </c>
      <c r="J20" s="50">
        <v>2</v>
      </c>
      <c r="K20" s="50">
        <v>0</v>
      </c>
      <c r="L20" s="50">
        <v>0</v>
      </c>
      <c r="M20" s="50">
        <v>69</v>
      </c>
      <c r="N20" s="50">
        <v>0</v>
      </c>
      <c r="O20" s="15">
        <f t="shared" si="0"/>
        <v>106</v>
      </c>
      <c r="P20" s="15">
        <f t="shared" si="1"/>
        <v>175</v>
      </c>
      <c r="R20" s="1" t="s">
        <v>16</v>
      </c>
      <c r="S20" s="17">
        <f t="shared" ref="S20:AF20" si="12">SUM(C50:C53)</f>
        <v>308</v>
      </c>
      <c r="T20" s="17">
        <f t="shared" si="12"/>
        <v>13</v>
      </c>
      <c r="U20" s="17">
        <f t="shared" si="12"/>
        <v>12</v>
      </c>
      <c r="V20" s="17">
        <f t="shared" si="12"/>
        <v>222</v>
      </c>
      <c r="W20" s="17">
        <f t="shared" si="12"/>
        <v>3</v>
      </c>
      <c r="X20" s="17">
        <f t="shared" si="12"/>
        <v>0</v>
      </c>
      <c r="Y20" s="17">
        <f t="shared" si="12"/>
        <v>19</v>
      </c>
      <c r="Z20" s="17">
        <f t="shared" si="12"/>
        <v>4</v>
      </c>
      <c r="AA20" s="17">
        <f t="shared" si="12"/>
        <v>0</v>
      </c>
      <c r="AB20" s="17">
        <f t="shared" si="12"/>
        <v>1</v>
      </c>
      <c r="AC20" s="17">
        <f t="shared" si="12"/>
        <v>352</v>
      </c>
      <c r="AD20" s="17">
        <f t="shared" si="12"/>
        <v>0</v>
      </c>
      <c r="AE20" s="31">
        <f t="shared" si="12"/>
        <v>582</v>
      </c>
      <c r="AF20" s="31">
        <f t="shared" si="12"/>
        <v>934</v>
      </c>
    </row>
    <row r="21" spans="2:32" ht="23.1" customHeight="1" x14ac:dyDescent="0.25">
      <c r="B21" s="45" t="s">
        <v>48</v>
      </c>
      <c r="C21" s="50">
        <v>55</v>
      </c>
      <c r="D21" s="50">
        <v>0</v>
      </c>
      <c r="E21" s="50">
        <v>0</v>
      </c>
      <c r="F21" s="50">
        <v>80</v>
      </c>
      <c r="G21" s="50">
        <v>0</v>
      </c>
      <c r="H21" s="50">
        <v>0</v>
      </c>
      <c r="I21" s="50">
        <v>3</v>
      </c>
      <c r="J21" s="50">
        <v>1</v>
      </c>
      <c r="K21" s="50">
        <v>0</v>
      </c>
      <c r="L21" s="50">
        <v>0</v>
      </c>
      <c r="M21" s="50">
        <v>65</v>
      </c>
      <c r="N21" s="50">
        <v>0</v>
      </c>
      <c r="O21" s="15">
        <f t="shared" si="0"/>
        <v>139</v>
      </c>
      <c r="P21" s="15">
        <f t="shared" si="1"/>
        <v>204</v>
      </c>
      <c r="R21" s="36" t="s">
        <v>20</v>
      </c>
      <c r="S21" s="34">
        <f t="shared" ref="S21:AF21" si="13">SUM(C54:C57)</f>
        <v>280</v>
      </c>
      <c r="T21" s="17">
        <f t="shared" si="13"/>
        <v>6</v>
      </c>
      <c r="U21" s="17">
        <f t="shared" si="13"/>
        <v>5</v>
      </c>
      <c r="V21" s="17">
        <f t="shared" si="13"/>
        <v>254</v>
      </c>
      <c r="W21" s="17">
        <f t="shared" si="13"/>
        <v>2</v>
      </c>
      <c r="X21" s="17">
        <f t="shared" si="13"/>
        <v>0</v>
      </c>
      <c r="Y21" s="17">
        <f t="shared" si="13"/>
        <v>23</v>
      </c>
      <c r="Z21" s="17">
        <f t="shared" si="13"/>
        <v>4</v>
      </c>
      <c r="AA21" s="17">
        <f t="shared" si="13"/>
        <v>0</v>
      </c>
      <c r="AB21" s="17">
        <f t="shared" si="13"/>
        <v>0</v>
      </c>
      <c r="AC21" s="17">
        <f t="shared" si="13"/>
        <v>353</v>
      </c>
      <c r="AD21" s="17">
        <f t="shared" si="13"/>
        <v>0</v>
      </c>
      <c r="AE21" s="31">
        <f t="shared" si="13"/>
        <v>574</v>
      </c>
      <c r="AF21" s="31">
        <f t="shared" si="13"/>
        <v>927</v>
      </c>
    </row>
    <row r="22" spans="2:32" ht="23.1" customHeight="1" x14ac:dyDescent="0.25">
      <c r="B22" s="45" t="s">
        <v>49</v>
      </c>
      <c r="C22" s="50">
        <v>55</v>
      </c>
      <c r="D22" s="50">
        <v>3</v>
      </c>
      <c r="E22" s="50">
        <v>2</v>
      </c>
      <c r="F22" s="50">
        <v>42</v>
      </c>
      <c r="G22" s="50">
        <v>1</v>
      </c>
      <c r="H22" s="50">
        <v>0</v>
      </c>
      <c r="I22" s="50">
        <v>5</v>
      </c>
      <c r="J22" s="50">
        <v>0</v>
      </c>
      <c r="K22" s="50">
        <v>1</v>
      </c>
      <c r="L22" s="50">
        <v>0</v>
      </c>
      <c r="M22" s="50">
        <v>85</v>
      </c>
      <c r="N22" s="50">
        <v>0</v>
      </c>
      <c r="O22" s="15">
        <f t="shared" si="0"/>
        <v>109</v>
      </c>
      <c r="P22" s="15">
        <f t="shared" si="1"/>
        <v>194</v>
      </c>
      <c r="R22" s="36" t="s">
        <v>146</v>
      </c>
      <c r="S22" s="34">
        <f>SUM(C58:C61)</f>
        <v>306</v>
      </c>
      <c r="T22" s="34">
        <f t="shared" ref="T22:AF22" si="14">SUM(D58:D61)</f>
        <v>0</v>
      </c>
      <c r="U22" s="34">
        <f t="shared" si="14"/>
        <v>16</v>
      </c>
      <c r="V22" s="34">
        <f t="shared" si="14"/>
        <v>137</v>
      </c>
      <c r="W22" s="34">
        <f t="shared" si="14"/>
        <v>0</v>
      </c>
      <c r="X22" s="34">
        <f t="shared" si="14"/>
        <v>0</v>
      </c>
      <c r="Y22" s="34">
        <f t="shared" si="14"/>
        <v>23</v>
      </c>
      <c r="Z22" s="34">
        <f t="shared" si="14"/>
        <v>1</v>
      </c>
      <c r="AA22" s="34">
        <f t="shared" si="14"/>
        <v>0</v>
      </c>
      <c r="AB22" s="34">
        <f t="shared" si="14"/>
        <v>1</v>
      </c>
      <c r="AC22" s="34">
        <f t="shared" si="14"/>
        <v>458</v>
      </c>
      <c r="AD22" s="34">
        <f t="shared" si="14"/>
        <v>0</v>
      </c>
      <c r="AE22" s="31">
        <f t="shared" si="14"/>
        <v>484</v>
      </c>
      <c r="AF22" s="31">
        <f t="shared" si="14"/>
        <v>942</v>
      </c>
    </row>
    <row r="23" spans="2:32" ht="23.1" customHeight="1" x14ac:dyDescent="0.25">
      <c r="B23" s="45" t="s">
        <v>50</v>
      </c>
      <c r="C23" s="50">
        <v>52</v>
      </c>
      <c r="D23" s="50">
        <v>0</v>
      </c>
      <c r="E23" s="50">
        <v>4</v>
      </c>
      <c r="F23" s="50">
        <v>47</v>
      </c>
      <c r="G23" s="50">
        <v>0</v>
      </c>
      <c r="H23" s="50">
        <v>0</v>
      </c>
      <c r="I23" s="50">
        <v>0</v>
      </c>
      <c r="J23" s="50">
        <v>2</v>
      </c>
      <c r="K23" s="50">
        <v>0</v>
      </c>
      <c r="L23" s="50">
        <v>0</v>
      </c>
      <c r="M23" s="50">
        <v>70</v>
      </c>
      <c r="N23" s="50">
        <v>0</v>
      </c>
      <c r="O23" s="15">
        <f t="shared" si="0"/>
        <v>105</v>
      </c>
      <c r="P23" s="15">
        <f t="shared" si="1"/>
        <v>175</v>
      </c>
      <c r="R23" s="36" t="s">
        <v>147</v>
      </c>
      <c r="S23" s="34">
        <f>SUM(C62:C65)</f>
        <v>289</v>
      </c>
      <c r="T23" s="34">
        <f t="shared" ref="T23:AF23" si="15">SUM(D62:D65)</f>
        <v>24</v>
      </c>
      <c r="U23" s="34">
        <f t="shared" si="15"/>
        <v>12</v>
      </c>
      <c r="V23" s="34">
        <f t="shared" si="15"/>
        <v>123</v>
      </c>
      <c r="W23" s="34">
        <f t="shared" si="15"/>
        <v>1</v>
      </c>
      <c r="X23" s="34">
        <f t="shared" si="15"/>
        <v>0</v>
      </c>
      <c r="Y23" s="34">
        <f t="shared" si="15"/>
        <v>21</v>
      </c>
      <c r="Z23" s="34">
        <f t="shared" si="15"/>
        <v>2</v>
      </c>
      <c r="AA23" s="34">
        <f t="shared" si="15"/>
        <v>0</v>
      </c>
      <c r="AB23" s="34">
        <f t="shared" si="15"/>
        <v>0</v>
      </c>
      <c r="AC23" s="34">
        <f t="shared" si="15"/>
        <v>395</v>
      </c>
      <c r="AD23" s="34">
        <f t="shared" si="15"/>
        <v>0</v>
      </c>
      <c r="AE23" s="31">
        <f t="shared" si="15"/>
        <v>472</v>
      </c>
      <c r="AF23" s="31">
        <f t="shared" si="15"/>
        <v>867</v>
      </c>
    </row>
    <row r="24" spans="2:32" ht="23.1" customHeight="1" x14ac:dyDescent="0.25">
      <c r="B24" s="45" t="s">
        <v>51</v>
      </c>
      <c r="C24" s="50">
        <v>82</v>
      </c>
      <c r="D24" s="50">
        <v>2</v>
      </c>
      <c r="E24" s="50">
        <v>12</v>
      </c>
      <c r="F24" s="50">
        <v>60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v>0</v>
      </c>
      <c r="M24" s="50">
        <v>94</v>
      </c>
      <c r="N24" s="50">
        <v>0</v>
      </c>
      <c r="O24" s="15">
        <f t="shared" si="0"/>
        <v>159</v>
      </c>
      <c r="P24" s="15">
        <f t="shared" si="1"/>
        <v>253</v>
      </c>
      <c r="R24" s="36" t="s">
        <v>148</v>
      </c>
      <c r="S24" s="34">
        <f>SUM(C66:C69)</f>
        <v>272</v>
      </c>
      <c r="T24" s="34">
        <f t="shared" ref="T24:AF24" si="16">SUM(D66:D69)</f>
        <v>10</v>
      </c>
      <c r="U24" s="34">
        <f t="shared" si="16"/>
        <v>15</v>
      </c>
      <c r="V24" s="34">
        <f t="shared" si="16"/>
        <v>131</v>
      </c>
      <c r="W24" s="34">
        <f t="shared" si="16"/>
        <v>1</v>
      </c>
      <c r="X24" s="34">
        <f t="shared" si="16"/>
        <v>0</v>
      </c>
      <c r="Y24" s="34">
        <f t="shared" si="16"/>
        <v>16</v>
      </c>
      <c r="Z24" s="34">
        <f t="shared" si="16"/>
        <v>2</v>
      </c>
      <c r="AA24" s="34">
        <f t="shared" si="16"/>
        <v>0</v>
      </c>
      <c r="AB24" s="34">
        <f t="shared" si="16"/>
        <v>0</v>
      </c>
      <c r="AC24" s="34">
        <f t="shared" si="16"/>
        <v>326</v>
      </c>
      <c r="AD24" s="34">
        <f t="shared" si="16"/>
        <v>0</v>
      </c>
      <c r="AE24" s="31">
        <f t="shared" si="16"/>
        <v>447</v>
      </c>
      <c r="AF24" s="31">
        <f t="shared" si="16"/>
        <v>773</v>
      </c>
    </row>
    <row r="25" spans="2:32" ht="23.1" customHeight="1" x14ac:dyDescent="0.25">
      <c r="B25" s="45" t="s">
        <v>52</v>
      </c>
      <c r="C25" s="50">
        <v>60</v>
      </c>
      <c r="D25" s="50">
        <v>0</v>
      </c>
      <c r="E25" s="50">
        <v>3</v>
      </c>
      <c r="F25" s="50">
        <v>75</v>
      </c>
      <c r="G25" s="50">
        <v>4</v>
      </c>
      <c r="H25" s="50">
        <v>0</v>
      </c>
      <c r="I25" s="50">
        <v>2</v>
      </c>
      <c r="J25" s="50">
        <v>0</v>
      </c>
      <c r="K25" s="50">
        <v>0</v>
      </c>
      <c r="L25" s="50">
        <v>1</v>
      </c>
      <c r="M25" s="50">
        <v>65</v>
      </c>
      <c r="N25" s="50">
        <v>0</v>
      </c>
      <c r="O25" s="15">
        <f t="shared" si="0"/>
        <v>145</v>
      </c>
      <c r="P25" s="15">
        <f t="shared" si="1"/>
        <v>210</v>
      </c>
      <c r="R25" s="36" t="s">
        <v>149</v>
      </c>
      <c r="S25" s="34">
        <f>SUM(C70:C73)</f>
        <v>205</v>
      </c>
      <c r="T25" s="34">
        <f t="shared" ref="T25:AF25" si="17">SUM(D70:D73)</f>
        <v>10</v>
      </c>
      <c r="U25" s="34">
        <f t="shared" si="17"/>
        <v>6</v>
      </c>
      <c r="V25" s="34">
        <f t="shared" si="17"/>
        <v>18</v>
      </c>
      <c r="W25" s="34">
        <f t="shared" si="17"/>
        <v>2</v>
      </c>
      <c r="X25" s="34">
        <f t="shared" si="17"/>
        <v>0</v>
      </c>
      <c r="Y25" s="34">
        <f t="shared" si="17"/>
        <v>10</v>
      </c>
      <c r="Z25" s="34">
        <f t="shared" si="17"/>
        <v>2</v>
      </c>
      <c r="AA25" s="34">
        <f t="shared" si="17"/>
        <v>0</v>
      </c>
      <c r="AB25" s="34">
        <f t="shared" si="17"/>
        <v>0</v>
      </c>
      <c r="AC25" s="34">
        <f t="shared" si="17"/>
        <v>273</v>
      </c>
      <c r="AD25" s="34">
        <f t="shared" si="17"/>
        <v>0</v>
      </c>
      <c r="AE25" s="31">
        <f t="shared" si="17"/>
        <v>253</v>
      </c>
      <c r="AF25" s="31">
        <f t="shared" si="17"/>
        <v>526</v>
      </c>
    </row>
    <row r="26" spans="2:32" ht="23.1" customHeight="1" x14ac:dyDescent="0.25">
      <c r="B26" s="45" t="s">
        <v>53</v>
      </c>
      <c r="C26" s="50">
        <v>70</v>
      </c>
      <c r="D26" s="50">
        <v>1</v>
      </c>
      <c r="E26" s="50">
        <v>4</v>
      </c>
      <c r="F26" s="50">
        <v>15</v>
      </c>
      <c r="G26" s="50">
        <v>2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100</v>
      </c>
      <c r="N26" s="50">
        <v>0</v>
      </c>
      <c r="O26" s="15">
        <f t="shared" si="0"/>
        <v>95</v>
      </c>
      <c r="P26" s="15">
        <f t="shared" si="1"/>
        <v>195</v>
      </c>
      <c r="R26" s="36" t="s">
        <v>150</v>
      </c>
      <c r="S26" s="34">
        <f>SUM(C74:C77)</f>
        <v>118</v>
      </c>
      <c r="T26" s="34">
        <f t="shared" ref="T26:AF26" si="18">SUM(D74:D77)</f>
        <v>27</v>
      </c>
      <c r="U26" s="34">
        <f t="shared" si="18"/>
        <v>6</v>
      </c>
      <c r="V26" s="34">
        <f t="shared" si="18"/>
        <v>8</v>
      </c>
      <c r="W26" s="34">
        <f t="shared" si="18"/>
        <v>1</v>
      </c>
      <c r="X26" s="34">
        <f t="shared" si="18"/>
        <v>0</v>
      </c>
      <c r="Y26" s="34">
        <f t="shared" si="18"/>
        <v>7</v>
      </c>
      <c r="Z26" s="34">
        <f t="shared" si="18"/>
        <v>3</v>
      </c>
      <c r="AA26" s="34">
        <f t="shared" si="18"/>
        <v>1</v>
      </c>
      <c r="AB26" s="34">
        <f t="shared" si="18"/>
        <v>0</v>
      </c>
      <c r="AC26" s="34">
        <f t="shared" si="18"/>
        <v>204</v>
      </c>
      <c r="AD26" s="34">
        <f t="shared" si="18"/>
        <v>0</v>
      </c>
      <c r="AE26" s="31">
        <f t="shared" si="18"/>
        <v>171</v>
      </c>
      <c r="AF26" s="31">
        <f t="shared" si="18"/>
        <v>375</v>
      </c>
    </row>
    <row r="27" spans="2:32" ht="23.1" customHeight="1" x14ac:dyDescent="0.25">
      <c r="B27" s="45" t="s">
        <v>54</v>
      </c>
      <c r="C27" s="50">
        <v>58</v>
      </c>
      <c r="D27" s="50">
        <v>0</v>
      </c>
      <c r="E27" s="50">
        <v>3</v>
      </c>
      <c r="F27" s="50">
        <v>9</v>
      </c>
      <c r="G27" s="50">
        <v>1</v>
      </c>
      <c r="H27" s="50">
        <v>0</v>
      </c>
      <c r="I27" s="50">
        <v>0</v>
      </c>
      <c r="J27" s="50">
        <v>2</v>
      </c>
      <c r="K27" s="50">
        <v>0</v>
      </c>
      <c r="L27" s="50">
        <v>1</v>
      </c>
      <c r="M27" s="50">
        <v>95</v>
      </c>
      <c r="N27" s="50">
        <v>0</v>
      </c>
      <c r="O27" s="15">
        <f t="shared" si="0"/>
        <v>74</v>
      </c>
      <c r="P27" s="15">
        <f t="shared" si="1"/>
        <v>169</v>
      </c>
      <c r="R27" s="36" t="s">
        <v>151</v>
      </c>
      <c r="S27" s="34">
        <f>SUM(C78:C81)</f>
        <v>53</v>
      </c>
      <c r="T27" s="34">
        <f t="shared" ref="T27:AF27" si="19">SUM(D78:D81)</f>
        <v>2</v>
      </c>
      <c r="U27" s="34">
        <f t="shared" si="19"/>
        <v>2</v>
      </c>
      <c r="V27" s="34">
        <f t="shared" si="19"/>
        <v>3</v>
      </c>
      <c r="W27" s="34">
        <f t="shared" si="19"/>
        <v>0</v>
      </c>
      <c r="X27" s="34">
        <f t="shared" si="19"/>
        <v>0</v>
      </c>
      <c r="Y27" s="34">
        <f t="shared" si="19"/>
        <v>4</v>
      </c>
      <c r="Z27" s="34">
        <f t="shared" si="19"/>
        <v>1</v>
      </c>
      <c r="AA27" s="34">
        <f t="shared" si="19"/>
        <v>0</v>
      </c>
      <c r="AB27" s="34">
        <f t="shared" si="19"/>
        <v>0</v>
      </c>
      <c r="AC27" s="34">
        <f t="shared" si="19"/>
        <v>84</v>
      </c>
      <c r="AD27" s="34">
        <f t="shared" si="19"/>
        <v>0</v>
      </c>
      <c r="AE27" s="31">
        <f t="shared" si="19"/>
        <v>65</v>
      </c>
      <c r="AF27" s="31">
        <f t="shared" si="19"/>
        <v>149</v>
      </c>
    </row>
    <row r="28" spans="2:32" ht="23.1" customHeight="1" x14ac:dyDescent="0.25">
      <c r="B28" s="45" t="s">
        <v>55</v>
      </c>
      <c r="C28" s="50">
        <v>70</v>
      </c>
      <c r="D28" s="50">
        <v>3</v>
      </c>
      <c r="E28" s="50">
        <v>2</v>
      </c>
      <c r="F28" s="50">
        <v>10</v>
      </c>
      <c r="G28" s="50">
        <v>0</v>
      </c>
      <c r="H28" s="50">
        <v>0</v>
      </c>
      <c r="I28" s="50">
        <v>3</v>
      </c>
      <c r="J28" s="50">
        <v>1</v>
      </c>
      <c r="K28" s="50">
        <v>0</v>
      </c>
      <c r="L28" s="50">
        <v>2</v>
      </c>
      <c r="M28" s="50">
        <v>66</v>
      </c>
      <c r="N28" s="50">
        <v>0</v>
      </c>
      <c r="O28" s="15">
        <f t="shared" si="0"/>
        <v>91</v>
      </c>
      <c r="P28" s="15">
        <f t="shared" si="1"/>
        <v>157</v>
      </c>
      <c r="R28" s="36" t="s">
        <v>152</v>
      </c>
      <c r="S28" s="34">
        <f>SUM(C82:C85)</f>
        <v>24</v>
      </c>
      <c r="T28" s="34">
        <f t="shared" ref="T28:AF28" si="20">SUM(D82:D85)</f>
        <v>2</v>
      </c>
      <c r="U28" s="34">
        <f t="shared" si="20"/>
        <v>0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4</v>
      </c>
      <c r="Z28" s="34">
        <f t="shared" si="20"/>
        <v>6</v>
      </c>
      <c r="AA28" s="34">
        <f t="shared" si="20"/>
        <v>2</v>
      </c>
      <c r="AB28" s="34">
        <f t="shared" si="20"/>
        <v>0</v>
      </c>
      <c r="AC28" s="34">
        <f t="shared" si="20"/>
        <v>74</v>
      </c>
      <c r="AD28" s="34">
        <f t="shared" si="20"/>
        <v>0</v>
      </c>
      <c r="AE28" s="31">
        <f t="shared" si="20"/>
        <v>39</v>
      </c>
      <c r="AF28" s="31">
        <f t="shared" si="20"/>
        <v>113</v>
      </c>
    </row>
    <row r="29" spans="2:32" ht="23.1" customHeight="1" x14ac:dyDescent="0.25">
      <c r="B29" s="45" t="s">
        <v>56</v>
      </c>
      <c r="C29" s="50">
        <v>50</v>
      </c>
      <c r="D29" s="50">
        <v>0</v>
      </c>
      <c r="E29" s="50">
        <v>0</v>
      </c>
      <c r="F29" s="50">
        <v>4</v>
      </c>
      <c r="G29" s="50">
        <v>0</v>
      </c>
      <c r="H29" s="50">
        <v>0</v>
      </c>
      <c r="I29" s="50">
        <v>2</v>
      </c>
      <c r="J29" s="50">
        <v>1</v>
      </c>
      <c r="K29" s="50">
        <v>0</v>
      </c>
      <c r="L29" s="50">
        <v>0</v>
      </c>
      <c r="M29" s="50">
        <v>75</v>
      </c>
      <c r="N29" s="50">
        <v>0</v>
      </c>
      <c r="O29" s="15">
        <f t="shared" si="0"/>
        <v>57</v>
      </c>
      <c r="P29" s="15">
        <f t="shared" si="1"/>
        <v>132</v>
      </c>
      <c r="R29" s="36" t="s">
        <v>153</v>
      </c>
      <c r="S29" s="34">
        <f>SUM(C86:C89)</f>
        <v>20</v>
      </c>
      <c r="T29" s="34">
        <f t="shared" ref="T29:AF29" si="21">SUM(D86:D89)</f>
        <v>1</v>
      </c>
      <c r="U29" s="34">
        <f t="shared" si="21"/>
        <v>0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5</v>
      </c>
      <c r="Z29" s="34">
        <f t="shared" si="21"/>
        <v>0</v>
      </c>
      <c r="AA29" s="34">
        <f t="shared" si="21"/>
        <v>1</v>
      </c>
      <c r="AB29" s="34">
        <f t="shared" si="21"/>
        <v>0</v>
      </c>
      <c r="AC29" s="34">
        <f t="shared" si="21"/>
        <v>52</v>
      </c>
      <c r="AD29" s="34">
        <f t="shared" si="21"/>
        <v>0</v>
      </c>
      <c r="AE29" s="31">
        <f t="shared" si="21"/>
        <v>29</v>
      </c>
      <c r="AF29" s="31">
        <f t="shared" si="21"/>
        <v>81</v>
      </c>
    </row>
    <row r="30" spans="2:32" ht="23.1" customHeight="1" x14ac:dyDescent="0.25">
      <c r="B30" s="45" t="s">
        <v>57</v>
      </c>
      <c r="C30" s="50">
        <v>31</v>
      </c>
      <c r="D30" s="50">
        <v>0</v>
      </c>
      <c r="E30" s="50">
        <v>2</v>
      </c>
      <c r="F30" s="50">
        <v>2</v>
      </c>
      <c r="G30" s="50">
        <v>0</v>
      </c>
      <c r="H30" s="50">
        <v>0</v>
      </c>
      <c r="I30" s="50">
        <v>2</v>
      </c>
      <c r="J30" s="50">
        <v>1</v>
      </c>
      <c r="K30" s="50">
        <v>0</v>
      </c>
      <c r="L30" s="50">
        <v>1</v>
      </c>
      <c r="M30" s="50">
        <v>60</v>
      </c>
      <c r="N30" s="50">
        <v>0</v>
      </c>
      <c r="O30" s="15">
        <f t="shared" si="0"/>
        <v>39</v>
      </c>
      <c r="P30" s="15">
        <f t="shared" si="1"/>
        <v>99</v>
      </c>
      <c r="R30" s="36" t="s">
        <v>154</v>
      </c>
      <c r="S30" s="34">
        <f>SUM(C90:C93)</f>
        <v>8</v>
      </c>
      <c r="T30" s="34">
        <f t="shared" ref="T30:AF30" si="22">SUM(D90:D93)</f>
        <v>1</v>
      </c>
      <c r="U30" s="34">
        <f t="shared" si="22"/>
        <v>0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</v>
      </c>
      <c r="AA30" s="34">
        <f t="shared" si="22"/>
        <v>2</v>
      </c>
      <c r="AB30" s="34">
        <f t="shared" si="22"/>
        <v>0</v>
      </c>
      <c r="AC30" s="34">
        <f t="shared" si="22"/>
        <v>22</v>
      </c>
      <c r="AD30" s="34">
        <f t="shared" si="22"/>
        <v>0</v>
      </c>
      <c r="AE30" s="31">
        <f t="shared" si="22"/>
        <v>13</v>
      </c>
      <c r="AF30" s="31">
        <f t="shared" si="22"/>
        <v>35</v>
      </c>
    </row>
    <row r="31" spans="2:32" ht="23.1" customHeight="1" x14ac:dyDescent="0.25">
      <c r="B31" s="46" t="s">
        <v>58</v>
      </c>
      <c r="C31" s="50">
        <v>48</v>
      </c>
      <c r="D31" s="50">
        <v>1</v>
      </c>
      <c r="E31" s="50">
        <v>1</v>
      </c>
      <c r="F31" s="50">
        <v>18</v>
      </c>
      <c r="G31" s="50">
        <v>0</v>
      </c>
      <c r="H31" s="50">
        <v>0</v>
      </c>
      <c r="I31" s="50">
        <v>1</v>
      </c>
      <c r="J31" s="50">
        <v>2</v>
      </c>
      <c r="K31" s="50">
        <v>0</v>
      </c>
      <c r="L31" s="50">
        <v>2</v>
      </c>
      <c r="M31" s="50">
        <v>100</v>
      </c>
      <c r="N31" s="50">
        <v>0</v>
      </c>
      <c r="O31" s="15">
        <f t="shared" si="0"/>
        <v>73</v>
      </c>
      <c r="P31" s="15">
        <f t="shared" si="1"/>
        <v>173</v>
      </c>
      <c r="R31" s="36" t="s">
        <v>155</v>
      </c>
      <c r="S31" s="34">
        <f>SUM(C94:C97)</f>
        <v>16</v>
      </c>
      <c r="T31" s="34">
        <f t="shared" ref="T31:AF31" si="23">SUM(D94:D97)</f>
        <v>1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15</v>
      </c>
      <c r="AD31" s="34">
        <f t="shared" si="23"/>
        <v>0</v>
      </c>
      <c r="AE31" s="31">
        <f t="shared" si="23"/>
        <v>19</v>
      </c>
      <c r="AF31" s="31">
        <f t="shared" si="23"/>
        <v>34</v>
      </c>
    </row>
    <row r="32" spans="2:32" ht="23.1" customHeight="1" x14ac:dyDescent="0.25">
      <c r="B32" s="46" t="s">
        <v>59</v>
      </c>
      <c r="C32" s="50">
        <v>58</v>
      </c>
      <c r="D32" s="50">
        <v>0</v>
      </c>
      <c r="E32" s="50">
        <v>2</v>
      </c>
      <c r="F32" s="50">
        <v>3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3</v>
      </c>
      <c r="M32" s="50">
        <v>74</v>
      </c>
      <c r="N32" s="50">
        <v>0</v>
      </c>
      <c r="O32" s="15">
        <f t="shared" si="0"/>
        <v>67</v>
      </c>
      <c r="P32" s="15">
        <f t="shared" si="1"/>
        <v>141</v>
      </c>
      <c r="R32" s="33" t="s">
        <v>156</v>
      </c>
      <c r="S32" s="34">
        <f>SUM(C98:C101)</f>
        <v>24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3</v>
      </c>
      <c r="W32" s="34">
        <f t="shared" si="24"/>
        <v>0</v>
      </c>
      <c r="X32" s="34">
        <f t="shared" si="24"/>
        <v>0</v>
      </c>
      <c r="Y32" s="34">
        <f t="shared" si="24"/>
        <v>7</v>
      </c>
      <c r="Z32" s="34">
        <f t="shared" si="24"/>
        <v>0</v>
      </c>
      <c r="AA32" s="34">
        <f t="shared" si="24"/>
        <v>3</v>
      </c>
      <c r="AB32" s="34">
        <f t="shared" si="24"/>
        <v>0</v>
      </c>
      <c r="AC32" s="34">
        <f t="shared" si="24"/>
        <v>42</v>
      </c>
      <c r="AD32" s="34">
        <f t="shared" si="24"/>
        <v>0</v>
      </c>
      <c r="AE32" s="31">
        <f t="shared" si="24"/>
        <v>37</v>
      </c>
      <c r="AF32" s="31">
        <f t="shared" si="24"/>
        <v>79</v>
      </c>
    </row>
    <row r="33" spans="2:32" ht="23.1" customHeight="1" x14ac:dyDescent="0.25">
      <c r="B33" s="45" t="s">
        <v>60</v>
      </c>
      <c r="C33" s="50">
        <v>28</v>
      </c>
      <c r="D33" s="50">
        <v>0</v>
      </c>
      <c r="E33" s="50">
        <v>3</v>
      </c>
      <c r="F33" s="50">
        <v>23</v>
      </c>
      <c r="G33" s="50">
        <v>1</v>
      </c>
      <c r="H33" s="50">
        <v>0</v>
      </c>
      <c r="I33" s="50">
        <v>5</v>
      </c>
      <c r="J33" s="50">
        <v>0</v>
      </c>
      <c r="K33" s="50">
        <v>2</v>
      </c>
      <c r="L33" s="50">
        <v>5</v>
      </c>
      <c r="M33" s="50">
        <v>80</v>
      </c>
      <c r="N33" s="50">
        <v>0</v>
      </c>
      <c r="O33" s="15">
        <f t="shared" si="0"/>
        <v>67</v>
      </c>
      <c r="P33" s="15">
        <f t="shared" si="1"/>
        <v>147</v>
      </c>
      <c r="R33" s="33" t="s">
        <v>157</v>
      </c>
      <c r="S33" s="34">
        <f>SUM(C102:C105)</f>
        <v>28</v>
      </c>
      <c r="T33" s="34">
        <f t="shared" ref="T33:AF33" si="25">SUM(D102:D105)</f>
        <v>0</v>
      </c>
      <c r="U33" s="34">
        <f t="shared" si="25"/>
        <v>3</v>
      </c>
      <c r="V33" s="34">
        <f t="shared" si="25"/>
        <v>11</v>
      </c>
      <c r="W33" s="34">
        <f t="shared" si="25"/>
        <v>0</v>
      </c>
      <c r="X33" s="34">
        <f t="shared" si="25"/>
        <v>0</v>
      </c>
      <c r="Y33" s="34">
        <f t="shared" si="25"/>
        <v>4</v>
      </c>
      <c r="Z33" s="34">
        <f t="shared" si="25"/>
        <v>0</v>
      </c>
      <c r="AA33" s="34">
        <f t="shared" si="25"/>
        <v>5</v>
      </c>
      <c r="AB33" s="34">
        <f t="shared" si="25"/>
        <v>0</v>
      </c>
      <c r="AC33" s="34">
        <f t="shared" si="25"/>
        <v>126</v>
      </c>
      <c r="AD33" s="34">
        <f t="shared" si="25"/>
        <v>0</v>
      </c>
      <c r="AE33" s="31">
        <f t="shared" si="25"/>
        <v>51</v>
      </c>
      <c r="AF33" s="31">
        <f t="shared" si="25"/>
        <v>177</v>
      </c>
    </row>
    <row r="34" spans="2:32" ht="23.1" customHeight="1" x14ac:dyDescent="0.25">
      <c r="B34" s="46" t="s">
        <v>61</v>
      </c>
      <c r="C34" s="50">
        <v>65</v>
      </c>
      <c r="D34" s="50">
        <v>1</v>
      </c>
      <c r="E34" s="50">
        <v>0</v>
      </c>
      <c r="F34" s="50">
        <v>8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65</v>
      </c>
      <c r="N34" s="50">
        <v>0</v>
      </c>
      <c r="O34" s="15">
        <f t="shared" si="0"/>
        <v>75</v>
      </c>
      <c r="P34" s="15">
        <f t="shared" si="1"/>
        <v>140</v>
      </c>
      <c r="R34" s="38" t="s">
        <v>90</v>
      </c>
      <c r="S34" s="39">
        <f t="shared" ref="S34:AF34" si="26">MAX(S10:S12)</f>
        <v>330</v>
      </c>
      <c r="T34" s="39">
        <f t="shared" si="26"/>
        <v>16</v>
      </c>
      <c r="U34" s="39">
        <f t="shared" si="26"/>
        <v>99</v>
      </c>
      <c r="V34" s="39">
        <f t="shared" si="26"/>
        <v>202</v>
      </c>
      <c r="W34" s="39">
        <f t="shared" si="26"/>
        <v>2</v>
      </c>
      <c r="X34" s="39">
        <f t="shared" si="26"/>
        <v>1</v>
      </c>
      <c r="Y34" s="39">
        <f t="shared" si="26"/>
        <v>8</v>
      </c>
      <c r="Z34" s="39">
        <f t="shared" si="26"/>
        <v>6</v>
      </c>
      <c r="AA34" s="39">
        <f t="shared" si="26"/>
        <v>2</v>
      </c>
      <c r="AB34" s="39">
        <f t="shared" si="26"/>
        <v>1</v>
      </c>
      <c r="AC34" s="39">
        <f t="shared" si="26"/>
        <v>339</v>
      </c>
      <c r="AD34" s="39">
        <f t="shared" si="26"/>
        <v>0</v>
      </c>
      <c r="AE34" s="40">
        <f t="shared" si="26"/>
        <v>653</v>
      </c>
      <c r="AF34" s="40">
        <f t="shared" si="26"/>
        <v>992</v>
      </c>
    </row>
    <row r="35" spans="2:32" ht="23.1" customHeight="1" x14ac:dyDescent="0.25">
      <c r="B35" s="46" t="s">
        <v>62</v>
      </c>
      <c r="C35" s="50">
        <v>55</v>
      </c>
      <c r="D35" s="50">
        <v>0</v>
      </c>
      <c r="E35" s="50">
        <v>5</v>
      </c>
      <c r="F35" s="50">
        <v>11</v>
      </c>
      <c r="G35" s="50">
        <v>0</v>
      </c>
      <c r="H35" s="50">
        <v>0</v>
      </c>
      <c r="I35" s="50">
        <v>0</v>
      </c>
      <c r="J35" s="50">
        <v>3</v>
      </c>
      <c r="K35" s="50">
        <v>1</v>
      </c>
      <c r="L35" s="50">
        <v>1</v>
      </c>
      <c r="M35" s="50">
        <v>80</v>
      </c>
      <c r="N35" s="50">
        <v>0</v>
      </c>
      <c r="O35" s="15">
        <f t="shared" si="0"/>
        <v>76</v>
      </c>
      <c r="P35" s="15">
        <f t="shared" si="1"/>
        <v>156</v>
      </c>
      <c r="R35" s="38" t="s">
        <v>91</v>
      </c>
      <c r="S35" s="39">
        <f t="shared" ref="S35:AF35" si="27">MAX(S13:S18)</f>
        <v>275</v>
      </c>
      <c r="T35" s="39">
        <f t="shared" si="27"/>
        <v>9</v>
      </c>
      <c r="U35" s="39">
        <f t="shared" si="27"/>
        <v>52</v>
      </c>
      <c r="V35" s="39">
        <f t="shared" si="27"/>
        <v>224</v>
      </c>
      <c r="W35" s="39">
        <f t="shared" si="27"/>
        <v>5</v>
      </c>
      <c r="X35" s="39">
        <f t="shared" si="27"/>
        <v>0</v>
      </c>
      <c r="Y35" s="39">
        <f t="shared" si="27"/>
        <v>16</v>
      </c>
      <c r="Z35" s="39">
        <f t="shared" si="27"/>
        <v>5</v>
      </c>
      <c r="AA35" s="39">
        <f t="shared" si="27"/>
        <v>3</v>
      </c>
      <c r="AB35" s="39">
        <f t="shared" si="27"/>
        <v>11</v>
      </c>
      <c r="AC35" s="39">
        <f t="shared" si="27"/>
        <v>336</v>
      </c>
      <c r="AD35" s="39">
        <f t="shared" si="27"/>
        <v>0</v>
      </c>
      <c r="AE35" s="40">
        <f t="shared" si="27"/>
        <v>518</v>
      </c>
      <c r="AF35" s="40">
        <f t="shared" si="27"/>
        <v>832</v>
      </c>
    </row>
    <row r="36" spans="2:32" ht="23.1" customHeight="1" x14ac:dyDescent="0.25">
      <c r="B36" s="46" t="s">
        <v>63</v>
      </c>
      <c r="C36" s="50">
        <v>80</v>
      </c>
      <c r="D36" s="50">
        <v>3</v>
      </c>
      <c r="E36" s="50">
        <v>2</v>
      </c>
      <c r="F36" s="50">
        <v>15</v>
      </c>
      <c r="G36" s="50">
        <v>1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74</v>
      </c>
      <c r="N36" s="50">
        <v>0</v>
      </c>
      <c r="O36" s="15">
        <f t="shared" si="0"/>
        <v>101</v>
      </c>
      <c r="P36" s="15">
        <f t="shared" si="1"/>
        <v>175</v>
      </c>
      <c r="R36" s="38" t="s">
        <v>92</v>
      </c>
      <c r="S36" s="39">
        <f t="shared" ref="S36:AF36" si="28">MAX(S19:S21)</f>
        <v>323</v>
      </c>
      <c r="T36" s="39">
        <f t="shared" si="28"/>
        <v>16</v>
      </c>
      <c r="U36" s="39">
        <f t="shared" si="28"/>
        <v>12</v>
      </c>
      <c r="V36" s="39">
        <f t="shared" si="28"/>
        <v>254</v>
      </c>
      <c r="W36" s="39">
        <f t="shared" si="28"/>
        <v>3</v>
      </c>
      <c r="X36" s="39">
        <f t="shared" si="28"/>
        <v>0</v>
      </c>
      <c r="Y36" s="39">
        <f t="shared" si="28"/>
        <v>23</v>
      </c>
      <c r="Z36" s="39">
        <f t="shared" si="28"/>
        <v>4</v>
      </c>
      <c r="AA36" s="39">
        <f t="shared" si="28"/>
        <v>0</v>
      </c>
      <c r="AB36" s="39">
        <f t="shared" si="28"/>
        <v>1</v>
      </c>
      <c r="AC36" s="39">
        <f t="shared" si="28"/>
        <v>353</v>
      </c>
      <c r="AD36" s="39">
        <f t="shared" si="28"/>
        <v>0</v>
      </c>
      <c r="AE36" s="40">
        <f t="shared" si="28"/>
        <v>582</v>
      </c>
      <c r="AF36" s="40">
        <f t="shared" si="28"/>
        <v>934</v>
      </c>
    </row>
    <row r="37" spans="2:32" ht="23.1" customHeight="1" x14ac:dyDescent="0.25">
      <c r="B37" s="45" t="s">
        <v>64</v>
      </c>
      <c r="C37" s="50">
        <v>75</v>
      </c>
      <c r="D37" s="50">
        <v>0</v>
      </c>
      <c r="E37" s="50">
        <v>0</v>
      </c>
      <c r="F37" s="50">
        <v>47</v>
      </c>
      <c r="G37" s="50">
        <v>1</v>
      </c>
      <c r="H37" s="50">
        <v>0</v>
      </c>
      <c r="I37" s="50">
        <v>0</v>
      </c>
      <c r="J37" s="50">
        <v>1</v>
      </c>
      <c r="K37" s="50">
        <v>0</v>
      </c>
      <c r="L37" s="50">
        <v>0</v>
      </c>
      <c r="M37" s="50">
        <v>55</v>
      </c>
      <c r="N37" s="50">
        <v>0</v>
      </c>
      <c r="O37" s="15">
        <f t="shared" si="0"/>
        <v>124</v>
      </c>
      <c r="P37" s="15">
        <f t="shared" si="1"/>
        <v>179</v>
      </c>
      <c r="R37" s="37" t="s">
        <v>85</v>
      </c>
      <c r="S37" s="35">
        <f t="shared" ref="S37:AF37" si="29">SUM(S10:S12)</f>
        <v>815</v>
      </c>
      <c r="T37" s="16">
        <f t="shared" si="29"/>
        <v>21</v>
      </c>
      <c r="U37" s="16">
        <f t="shared" si="29"/>
        <v>126</v>
      </c>
      <c r="V37" s="16">
        <f t="shared" si="29"/>
        <v>509</v>
      </c>
      <c r="W37" s="16">
        <f t="shared" si="29"/>
        <v>6</v>
      </c>
      <c r="X37" s="16">
        <f t="shared" si="29"/>
        <v>2</v>
      </c>
      <c r="Y37" s="16">
        <f t="shared" si="29"/>
        <v>15</v>
      </c>
      <c r="Z37" s="16">
        <f t="shared" si="29"/>
        <v>9</v>
      </c>
      <c r="AA37" s="16">
        <f t="shared" si="29"/>
        <v>2</v>
      </c>
      <c r="AB37" s="16">
        <f t="shared" si="29"/>
        <v>1</v>
      </c>
      <c r="AC37" s="16">
        <f t="shared" si="29"/>
        <v>934</v>
      </c>
      <c r="AD37" s="16">
        <f t="shared" si="29"/>
        <v>0</v>
      </c>
      <c r="AE37" s="32">
        <f t="shared" si="29"/>
        <v>1506</v>
      </c>
      <c r="AF37" s="32">
        <f t="shared" si="29"/>
        <v>2440</v>
      </c>
    </row>
    <row r="38" spans="2:32" ht="23.1" customHeight="1" x14ac:dyDescent="0.25">
      <c r="B38" s="46" t="s">
        <v>65</v>
      </c>
      <c r="C38" s="50">
        <v>39</v>
      </c>
      <c r="D38" s="50">
        <v>2</v>
      </c>
      <c r="E38" s="50">
        <v>3</v>
      </c>
      <c r="F38" s="50">
        <v>7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85</v>
      </c>
      <c r="N38" s="50">
        <v>0</v>
      </c>
      <c r="O38" s="15">
        <f t="shared" si="0"/>
        <v>53</v>
      </c>
      <c r="P38" s="15">
        <f t="shared" si="1"/>
        <v>138</v>
      </c>
      <c r="R38" s="28" t="s">
        <v>86</v>
      </c>
      <c r="S38" s="16">
        <f t="shared" ref="S38:AF38" si="30">SUM(S13:S18)</f>
        <v>1410</v>
      </c>
      <c r="T38" s="16">
        <f t="shared" si="30"/>
        <v>27</v>
      </c>
      <c r="U38" s="16">
        <f t="shared" si="30"/>
        <v>112</v>
      </c>
      <c r="V38" s="16">
        <f t="shared" si="30"/>
        <v>553</v>
      </c>
      <c r="W38" s="16">
        <f t="shared" si="30"/>
        <v>14</v>
      </c>
      <c r="X38" s="16">
        <f t="shared" si="30"/>
        <v>0</v>
      </c>
      <c r="Y38" s="16">
        <f t="shared" si="30"/>
        <v>46</v>
      </c>
      <c r="Z38" s="16">
        <f t="shared" si="30"/>
        <v>19</v>
      </c>
      <c r="AA38" s="16">
        <f t="shared" si="30"/>
        <v>8</v>
      </c>
      <c r="AB38" s="16">
        <f t="shared" si="30"/>
        <v>24</v>
      </c>
      <c r="AC38" s="16">
        <f t="shared" si="30"/>
        <v>1832</v>
      </c>
      <c r="AD38" s="16">
        <f t="shared" si="30"/>
        <v>0</v>
      </c>
      <c r="AE38" s="32">
        <f t="shared" si="30"/>
        <v>2213</v>
      </c>
      <c r="AF38" s="32">
        <f t="shared" si="30"/>
        <v>4045</v>
      </c>
    </row>
    <row r="39" spans="2:32" ht="23.1" customHeight="1" x14ac:dyDescent="0.25">
      <c r="B39" s="46" t="s">
        <v>66</v>
      </c>
      <c r="C39" s="50">
        <v>60</v>
      </c>
      <c r="D39" s="50">
        <v>1</v>
      </c>
      <c r="E39" s="50">
        <v>8</v>
      </c>
      <c r="F39" s="50">
        <v>32</v>
      </c>
      <c r="G39" s="50">
        <v>0</v>
      </c>
      <c r="H39" s="50">
        <v>0</v>
      </c>
      <c r="I39" s="50">
        <v>0</v>
      </c>
      <c r="J39" s="50">
        <v>0</v>
      </c>
      <c r="K39" s="50">
        <v>3</v>
      </c>
      <c r="L39" s="50">
        <v>0</v>
      </c>
      <c r="M39" s="50">
        <v>55</v>
      </c>
      <c r="N39" s="50">
        <v>0</v>
      </c>
      <c r="O39" s="15">
        <f t="shared" si="0"/>
        <v>104</v>
      </c>
      <c r="P39" s="15">
        <f t="shared" si="1"/>
        <v>159</v>
      </c>
      <c r="R39" s="29" t="s">
        <v>87</v>
      </c>
      <c r="S39" s="16">
        <f t="shared" ref="S39:AF39" si="31">SUM(S19:S21)</f>
        <v>911</v>
      </c>
      <c r="T39" s="16">
        <f t="shared" si="31"/>
        <v>35</v>
      </c>
      <c r="U39" s="16">
        <f t="shared" si="31"/>
        <v>28</v>
      </c>
      <c r="V39" s="16">
        <f t="shared" si="31"/>
        <v>591</v>
      </c>
      <c r="W39" s="16">
        <f t="shared" si="31"/>
        <v>5</v>
      </c>
      <c r="X39" s="16">
        <f t="shared" si="31"/>
        <v>0</v>
      </c>
      <c r="Y39" s="16">
        <f t="shared" si="31"/>
        <v>62</v>
      </c>
      <c r="Z39" s="16">
        <f t="shared" si="31"/>
        <v>9</v>
      </c>
      <c r="AA39" s="16">
        <f t="shared" si="31"/>
        <v>0</v>
      </c>
      <c r="AB39" s="16">
        <f t="shared" si="31"/>
        <v>1</v>
      </c>
      <c r="AC39" s="16">
        <f t="shared" si="31"/>
        <v>1025</v>
      </c>
      <c r="AD39" s="16">
        <f t="shared" si="31"/>
        <v>0</v>
      </c>
      <c r="AE39" s="32">
        <f t="shared" si="31"/>
        <v>1642</v>
      </c>
      <c r="AF39" s="32">
        <f t="shared" si="31"/>
        <v>2667</v>
      </c>
    </row>
    <row r="40" spans="2:32" ht="23.1" customHeight="1" x14ac:dyDescent="0.25">
      <c r="B40" s="46" t="s">
        <v>67</v>
      </c>
      <c r="C40" s="50">
        <v>70</v>
      </c>
      <c r="D40" s="50">
        <v>0</v>
      </c>
      <c r="E40" s="50">
        <v>2</v>
      </c>
      <c r="F40" s="50">
        <v>46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1</v>
      </c>
      <c r="M40" s="50">
        <v>90</v>
      </c>
      <c r="N40" s="50">
        <v>0</v>
      </c>
      <c r="O40" s="15">
        <f t="shared" si="0"/>
        <v>120</v>
      </c>
      <c r="P40" s="15">
        <f t="shared" si="1"/>
        <v>210</v>
      </c>
      <c r="R40" s="5" t="s">
        <v>17</v>
      </c>
      <c r="S40" s="16">
        <f t="shared" ref="S40:AF40" si="32">SUM(S10:S21)</f>
        <v>3136</v>
      </c>
      <c r="T40" s="16">
        <f t="shared" si="32"/>
        <v>83</v>
      </c>
      <c r="U40" s="16">
        <f t="shared" si="32"/>
        <v>266</v>
      </c>
      <c r="V40" s="16">
        <f t="shared" si="32"/>
        <v>1653</v>
      </c>
      <c r="W40" s="16">
        <f t="shared" si="32"/>
        <v>25</v>
      </c>
      <c r="X40" s="16">
        <f t="shared" si="32"/>
        <v>2</v>
      </c>
      <c r="Y40" s="16">
        <f t="shared" si="32"/>
        <v>123</v>
      </c>
      <c r="Z40" s="16">
        <f t="shared" si="32"/>
        <v>37</v>
      </c>
      <c r="AA40" s="16">
        <f t="shared" si="32"/>
        <v>10</v>
      </c>
      <c r="AB40" s="16">
        <f t="shared" si="32"/>
        <v>26</v>
      </c>
      <c r="AC40" s="16">
        <f t="shared" si="32"/>
        <v>3791</v>
      </c>
      <c r="AD40" s="16">
        <f t="shared" si="32"/>
        <v>0</v>
      </c>
      <c r="AE40" s="32">
        <f t="shared" si="32"/>
        <v>5361</v>
      </c>
      <c r="AF40" s="32">
        <f t="shared" si="32"/>
        <v>9152</v>
      </c>
    </row>
    <row r="41" spans="2:32" ht="23.1" customHeight="1" x14ac:dyDescent="0.25">
      <c r="B41" s="45" t="s">
        <v>68</v>
      </c>
      <c r="C41" s="50">
        <v>65</v>
      </c>
      <c r="D41" s="50">
        <v>1</v>
      </c>
      <c r="E41" s="50">
        <v>2</v>
      </c>
      <c r="F41" s="50">
        <v>15</v>
      </c>
      <c r="G41" s="50">
        <v>1</v>
      </c>
      <c r="H41" s="50">
        <v>0</v>
      </c>
      <c r="I41" s="50">
        <v>0</v>
      </c>
      <c r="J41" s="50">
        <v>0</v>
      </c>
      <c r="K41" s="50">
        <v>0</v>
      </c>
      <c r="L41" s="50">
        <v>1</v>
      </c>
      <c r="M41" s="50">
        <v>75</v>
      </c>
      <c r="N41" s="50">
        <v>0</v>
      </c>
      <c r="O41" s="15">
        <f t="shared" si="0"/>
        <v>85</v>
      </c>
      <c r="P41" s="15">
        <f t="shared" si="1"/>
        <v>160</v>
      </c>
      <c r="R41" s="5" t="s">
        <v>159</v>
      </c>
      <c r="S41" s="16">
        <f>SUM(S10:S33)</f>
        <v>4499</v>
      </c>
      <c r="T41" s="16">
        <f t="shared" ref="T41:AF41" si="33">SUM(T10:T33)</f>
        <v>161</v>
      </c>
      <c r="U41" s="16">
        <f t="shared" si="33"/>
        <v>326</v>
      </c>
      <c r="V41" s="16">
        <f t="shared" si="33"/>
        <v>2091</v>
      </c>
      <c r="W41" s="16">
        <f t="shared" si="33"/>
        <v>30</v>
      </c>
      <c r="X41" s="16">
        <f t="shared" si="33"/>
        <v>2</v>
      </c>
      <c r="Y41" s="16">
        <f t="shared" si="33"/>
        <v>227</v>
      </c>
      <c r="Z41" s="16">
        <f t="shared" si="33"/>
        <v>54</v>
      </c>
      <c r="AA41" s="16">
        <f t="shared" si="33"/>
        <v>24</v>
      </c>
      <c r="AB41" s="16">
        <f t="shared" si="33"/>
        <v>27</v>
      </c>
      <c r="AC41" s="16">
        <f t="shared" si="33"/>
        <v>5862</v>
      </c>
      <c r="AD41" s="16">
        <f t="shared" si="33"/>
        <v>0</v>
      </c>
      <c r="AE41" s="32">
        <f t="shared" si="33"/>
        <v>7441</v>
      </c>
      <c r="AF41" s="32">
        <f t="shared" si="33"/>
        <v>13303</v>
      </c>
    </row>
    <row r="42" spans="2:32" ht="23.1" customHeight="1" x14ac:dyDescent="0.25">
      <c r="B42" s="46" t="s">
        <v>69</v>
      </c>
      <c r="C42" s="50">
        <v>55</v>
      </c>
      <c r="D42" s="50">
        <v>5</v>
      </c>
      <c r="E42" s="50">
        <v>3</v>
      </c>
      <c r="F42" s="50">
        <v>30</v>
      </c>
      <c r="G42" s="50">
        <v>0</v>
      </c>
      <c r="H42" s="50">
        <v>0</v>
      </c>
      <c r="I42" s="50">
        <v>7</v>
      </c>
      <c r="J42" s="50">
        <v>0</v>
      </c>
      <c r="K42" s="50">
        <v>0</v>
      </c>
      <c r="L42" s="50">
        <v>1</v>
      </c>
      <c r="M42" s="50">
        <v>80</v>
      </c>
      <c r="N42" s="50">
        <v>0</v>
      </c>
      <c r="O42" s="15">
        <f t="shared" si="0"/>
        <v>101</v>
      </c>
      <c r="P42" s="15">
        <f t="shared" si="1"/>
        <v>181</v>
      </c>
      <c r="R42" s="5" t="s">
        <v>160</v>
      </c>
      <c r="S42" s="48">
        <f>S41/S40</f>
        <v>1.4346301020408163</v>
      </c>
      <c r="T42" s="48">
        <f t="shared" ref="T42:AF42" si="34">T41/T40</f>
        <v>1.9397590361445782</v>
      </c>
      <c r="U42" s="48">
        <f t="shared" si="34"/>
        <v>1.2255639097744362</v>
      </c>
      <c r="V42" s="48">
        <f t="shared" si="34"/>
        <v>1.26497277676951</v>
      </c>
      <c r="W42" s="48">
        <f t="shared" si="34"/>
        <v>1.2</v>
      </c>
      <c r="X42" s="48">
        <f t="shared" si="34"/>
        <v>1</v>
      </c>
      <c r="Y42" s="48">
        <f t="shared" si="34"/>
        <v>1.8455284552845528</v>
      </c>
      <c r="Z42" s="48">
        <f t="shared" si="34"/>
        <v>1.4594594594594594</v>
      </c>
      <c r="AA42" s="48">
        <f t="shared" si="34"/>
        <v>2.4</v>
      </c>
      <c r="AB42" s="48">
        <f t="shared" si="34"/>
        <v>1.0384615384615385</v>
      </c>
      <c r="AC42" s="48">
        <f t="shared" si="34"/>
        <v>1.5462938538644158</v>
      </c>
      <c r="AD42" s="48" t="e">
        <f t="shared" si="34"/>
        <v>#DIV/0!</v>
      </c>
      <c r="AE42" s="48">
        <f t="shared" si="34"/>
        <v>1.3879873157992912</v>
      </c>
      <c r="AF42" s="48">
        <f t="shared" si="34"/>
        <v>1.4535620629370629</v>
      </c>
    </row>
    <row r="43" spans="2:32" ht="23.1" customHeight="1" x14ac:dyDescent="0.25">
      <c r="B43" s="45" t="s">
        <v>70</v>
      </c>
      <c r="C43" s="50">
        <v>45</v>
      </c>
      <c r="D43" s="50">
        <v>3</v>
      </c>
      <c r="E43" s="50">
        <v>30</v>
      </c>
      <c r="F43" s="50">
        <v>1</v>
      </c>
      <c r="G43" s="50">
        <v>2</v>
      </c>
      <c r="H43" s="50">
        <v>0</v>
      </c>
      <c r="I43" s="50">
        <v>0</v>
      </c>
      <c r="J43" s="50">
        <v>0</v>
      </c>
      <c r="K43" s="50">
        <v>1</v>
      </c>
      <c r="L43" s="50">
        <v>0</v>
      </c>
      <c r="M43" s="50">
        <v>60</v>
      </c>
      <c r="N43" s="50">
        <v>0</v>
      </c>
      <c r="O43" s="15">
        <f t="shared" si="0"/>
        <v>82</v>
      </c>
      <c r="P43" s="15">
        <f t="shared" si="1"/>
        <v>142</v>
      </c>
    </row>
    <row r="44" spans="2:32" ht="23.1" customHeight="1" x14ac:dyDescent="0.25">
      <c r="B44" s="47" t="s">
        <v>71</v>
      </c>
      <c r="C44" s="50">
        <v>79</v>
      </c>
      <c r="D44" s="50">
        <v>0</v>
      </c>
      <c r="E44" s="50">
        <v>18</v>
      </c>
      <c r="F44" s="50">
        <v>15</v>
      </c>
      <c r="G44" s="50">
        <v>0</v>
      </c>
      <c r="H44" s="50">
        <v>0</v>
      </c>
      <c r="I44" s="50">
        <v>8</v>
      </c>
      <c r="J44" s="50">
        <v>3</v>
      </c>
      <c r="K44" s="50">
        <v>0</v>
      </c>
      <c r="L44" s="50">
        <v>2</v>
      </c>
      <c r="M44" s="50">
        <v>70</v>
      </c>
      <c r="N44" s="50">
        <v>0</v>
      </c>
      <c r="O44" s="15">
        <f t="shared" si="0"/>
        <v>125</v>
      </c>
      <c r="P44" s="15">
        <f t="shared" si="1"/>
        <v>195</v>
      </c>
    </row>
    <row r="45" spans="2:32" ht="23.1" customHeight="1" x14ac:dyDescent="0.25">
      <c r="B45" s="45" t="s">
        <v>72</v>
      </c>
      <c r="C45" s="50">
        <v>60</v>
      </c>
      <c r="D45" s="50">
        <v>1</v>
      </c>
      <c r="E45" s="50">
        <v>1</v>
      </c>
      <c r="F45" s="50">
        <v>18</v>
      </c>
      <c r="G45" s="50">
        <v>0</v>
      </c>
      <c r="H45" s="50">
        <v>0</v>
      </c>
      <c r="I45" s="50">
        <v>1</v>
      </c>
      <c r="J45" s="50">
        <v>2</v>
      </c>
      <c r="K45" s="50">
        <v>0</v>
      </c>
      <c r="L45" s="50">
        <v>3</v>
      </c>
      <c r="M45" s="50">
        <v>79</v>
      </c>
      <c r="N45" s="50">
        <v>0</v>
      </c>
      <c r="O45" s="15">
        <f t="shared" si="0"/>
        <v>86</v>
      </c>
      <c r="P45" s="15">
        <f t="shared" si="1"/>
        <v>165</v>
      </c>
    </row>
    <row r="46" spans="2:32" ht="23.1" customHeight="1" x14ac:dyDescent="0.25">
      <c r="B46" s="46" t="s">
        <v>73</v>
      </c>
      <c r="C46" s="50">
        <v>110</v>
      </c>
      <c r="D46" s="50">
        <v>14</v>
      </c>
      <c r="E46" s="50">
        <v>2</v>
      </c>
      <c r="F46" s="50">
        <v>24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0</v>
      </c>
      <c r="M46" s="50">
        <v>55</v>
      </c>
      <c r="N46" s="50">
        <v>0</v>
      </c>
      <c r="O46" s="15">
        <f t="shared" si="0"/>
        <v>153</v>
      </c>
      <c r="P46" s="15">
        <f t="shared" si="1"/>
        <v>208</v>
      </c>
      <c r="R46" s="8"/>
      <c r="T46"/>
    </row>
    <row r="47" spans="2:32" ht="23.1" customHeight="1" x14ac:dyDescent="0.25">
      <c r="B47" s="46" t="s">
        <v>74</v>
      </c>
      <c r="C47" s="50">
        <v>50</v>
      </c>
      <c r="D47" s="50">
        <v>2</v>
      </c>
      <c r="E47" s="50">
        <v>3</v>
      </c>
      <c r="F47" s="50">
        <v>18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70</v>
      </c>
      <c r="N47" s="50">
        <v>0</v>
      </c>
      <c r="O47" s="15">
        <f t="shared" si="0"/>
        <v>74</v>
      </c>
      <c r="P47" s="15">
        <f t="shared" si="1"/>
        <v>144</v>
      </c>
      <c r="R47" s="8"/>
      <c r="T47"/>
    </row>
    <row r="48" spans="2:32" ht="23.1" customHeight="1" x14ac:dyDescent="0.25">
      <c r="B48" s="46" t="s">
        <v>75</v>
      </c>
      <c r="C48" s="50">
        <v>70</v>
      </c>
      <c r="D48" s="50">
        <v>0</v>
      </c>
      <c r="E48" s="50">
        <v>4</v>
      </c>
      <c r="F48" s="50">
        <v>40</v>
      </c>
      <c r="G48" s="50">
        <v>0</v>
      </c>
      <c r="H48" s="50">
        <v>0</v>
      </c>
      <c r="I48" s="50">
        <v>3</v>
      </c>
      <c r="J48" s="50">
        <v>1</v>
      </c>
      <c r="K48" s="50">
        <v>0</v>
      </c>
      <c r="L48" s="50">
        <v>0</v>
      </c>
      <c r="M48" s="50">
        <v>100</v>
      </c>
      <c r="N48" s="50">
        <v>0</v>
      </c>
      <c r="O48" s="15">
        <f t="shared" si="0"/>
        <v>118</v>
      </c>
      <c r="P48" s="15">
        <f t="shared" si="1"/>
        <v>218</v>
      </c>
      <c r="R48" s="8"/>
      <c r="T48"/>
    </row>
    <row r="49" spans="2:20" ht="23.1" customHeight="1" x14ac:dyDescent="0.25">
      <c r="B49" s="45" t="s">
        <v>76</v>
      </c>
      <c r="C49" s="50">
        <v>93</v>
      </c>
      <c r="D49" s="50">
        <v>0</v>
      </c>
      <c r="E49" s="50">
        <v>2</v>
      </c>
      <c r="F49" s="50">
        <v>33</v>
      </c>
      <c r="G49" s="50">
        <v>0</v>
      </c>
      <c r="H49" s="50">
        <v>0</v>
      </c>
      <c r="I49" s="50">
        <v>13</v>
      </c>
      <c r="J49" s="50">
        <v>0</v>
      </c>
      <c r="K49" s="50">
        <v>0</v>
      </c>
      <c r="L49" s="50">
        <v>0</v>
      </c>
      <c r="M49" s="50">
        <v>95</v>
      </c>
      <c r="N49" s="50">
        <v>0</v>
      </c>
      <c r="O49" s="15">
        <f t="shared" si="0"/>
        <v>141</v>
      </c>
      <c r="P49" s="15">
        <f t="shared" si="1"/>
        <v>236</v>
      </c>
      <c r="R49" s="8"/>
      <c r="T49"/>
    </row>
    <row r="50" spans="2:20" ht="23.1" customHeight="1" x14ac:dyDescent="0.25">
      <c r="B50" s="46" t="s">
        <v>77</v>
      </c>
      <c r="C50" s="50">
        <v>65</v>
      </c>
      <c r="D50" s="50">
        <v>7</v>
      </c>
      <c r="E50" s="50">
        <v>2</v>
      </c>
      <c r="F50" s="50">
        <v>49</v>
      </c>
      <c r="G50" s="50">
        <v>1</v>
      </c>
      <c r="H50" s="50">
        <v>0</v>
      </c>
      <c r="I50" s="50">
        <v>3</v>
      </c>
      <c r="J50" s="50">
        <v>0</v>
      </c>
      <c r="K50" s="50">
        <v>0</v>
      </c>
      <c r="L50" s="50">
        <v>0</v>
      </c>
      <c r="M50" s="50">
        <v>100</v>
      </c>
      <c r="N50" s="50">
        <v>0</v>
      </c>
      <c r="O50" s="15">
        <f t="shared" si="0"/>
        <v>127</v>
      </c>
      <c r="P50" s="15">
        <f t="shared" si="1"/>
        <v>227</v>
      </c>
      <c r="R50" s="8"/>
      <c r="T50"/>
    </row>
    <row r="51" spans="2:20" ht="23.1" customHeight="1" x14ac:dyDescent="0.25">
      <c r="B51" s="46" t="s">
        <v>78</v>
      </c>
      <c r="C51" s="50">
        <v>86</v>
      </c>
      <c r="D51" s="50">
        <v>2</v>
      </c>
      <c r="E51" s="50">
        <v>1</v>
      </c>
      <c r="F51" s="50">
        <v>53</v>
      </c>
      <c r="G51" s="50">
        <v>2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99</v>
      </c>
      <c r="N51" s="50">
        <v>0</v>
      </c>
      <c r="O51" s="15">
        <f t="shared" si="0"/>
        <v>144</v>
      </c>
      <c r="P51" s="15">
        <f t="shared" si="1"/>
        <v>243</v>
      </c>
      <c r="R51" s="8"/>
      <c r="T51"/>
    </row>
    <row r="52" spans="2:20" ht="23.1" customHeight="1" x14ac:dyDescent="0.25">
      <c r="B52" s="46" t="s">
        <v>79</v>
      </c>
      <c r="C52" s="50">
        <v>77</v>
      </c>
      <c r="D52" s="50">
        <v>4</v>
      </c>
      <c r="E52" s="50">
        <v>7</v>
      </c>
      <c r="F52" s="50">
        <v>80</v>
      </c>
      <c r="G52" s="50">
        <v>0</v>
      </c>
      <c r="H52" s="50">
        <v>0</v>
      </c>
      <c r="I52" s="50">
        <v>12</v>
      </c>
      <c r="J52" s="50">
        <v>0</v>
      </c>
      <c r="K52" s="50">
        <v>0</v>
      </c>
      <c r="L52" s="50">
        <v>1</v>
      </c>
      <c r="M52" s="50">
        <v>70</v>
      </c>
      <c r="N52" s="50">
        <v>0</v>
      </c>
      <c r="O52" s="15">
        <f t="shared" si="0"/>
        <v>181</v>
      </c>
      <c r="P52" s="15">
        <f t="shared" si="1"/>
        <v>251</v>
      </c>
      <c r="R52" s="8"/>
      <c r="T52"/>
    </row>
    <row r="53" spans="2:20" ht="23.1" customHeight="1" x14ac:dyDescent="0.25">
      <c r="B53" s="45" t="s">
        <v>80</v>
      </c>
      <c r="C53" s="50">
        <v>80</v>
      </c>
      <c r="D53" s="50">
        <v>0</v>
      </c>
      <c r="E53" s="50">
        <v>2</v>
      </c>
      <c r="F53" s="50">
        <v>40</v>
      </c>
      <c r="G53" s="50">
        <v>0</v>
      </c>
      <c r="H53" s="50">
        <v>0</v>
      </c>
      <c r="I53" s="50">
        <v>4</v>
      </c>
      <c r="J53" s="50">
        <v>4</v>
      </c>
      <c r="K53" s="50">
        <v>0</v>
      </c>
      <c r="L53" s="50">
        <v>0</v>
      </c>
      <c r="M53" s="50">
        <v>83</v>
      </c>
      <c r="N53" s="50">
        <v>0</v>
      </c>
      <c r="O53" s="15">
        <f t="shared" si="0"/>
        <v>130</v>
      </c>
      <c r="P53" s="15">
        <f t="shared" si="1"/>
        <v>213</v>
      </c>
      <c r="R53" s="8"/>
      <c r="T53"/>
    </row>
    <row r="54" spans="2:20" ht="23.1" customHeight="1" x14ac:dyDescent="0.25">
      <c r="B54" s="45" t="s">
        <v>81</v>
      </c>
      <c r="C54" s="50">
        <v>80</v>
      </c>
      <c r="D54" s="50">
        <v>0</v>
      </c>
      <c r="E54" s="50">
        <v>2</v>
      </c>
      <c r="F54" s="50">
        <v>48</v>
      </c>
      <c r="G54" s="50">
        <v>1</v>
      </c>
      <c r="H54" s="50">
        <v>0</v>
      </c>
      <c r="I54" s="50">
        <v>4</v>
      </c>
      <c r="J54" s="50">
        <v>0</v>
      </c>
      <c r="K54" s="50">
        <v>0</v>
      </c>
      <c r="L54" s="50">
        <v>0</v>
      </c>
      <c r="M54" s="50">
        <v>104</v>
      </c>
      <c r="N54" s="50">
        <v>0</v>
      </c>
      <c r="O54" s="15">
        <f t="shared" si="0"/>
        <v>135</v>
      </c>
      <c r="P54" s="15">
        <f t="shared" si="1"/>
        <v>239</v>
      </c>
      <c r="R54" s="8"/>
      <c r="T54"/>
    </row>
    <row r="55" spans="2:20" ht="23.1" customHeight="1" x14ac:dyDescent="0.25">
      <c r="B55" s="45" t="s">
        <v>82</v>
      </c>
      <c r="C55" s="50">
        <v>75</v>
      </c>
      <c r="D55" s="50">
        <v>2</v>
      </c>
      <c r="E55" s="50">
        <v>1</v>
      </c>
      <c r="F55" s="50">
        <v>60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85</v>
      </c>
      <c r="N55" s="50">
        <v>0</v>
      </c>
      <c r="O55" s="15">
        <f t="shared" si="0"/>
        <v>140</v>
      </c>
      <c r="P55" s="15">
        <f t="shared" si="1"/>
        <v>225</v>
      </c>
      <c r="R55" s="8"/>
      <c r="T55"/>
    </row>
    <row r="56" spans="2:20" ht="23.1" customHeight="1" x14ac:dyDescent="0.25">
      <c r="B56" s="45" t="s">
        <v>83</v>
      </c>
      <c r="C56" s="50">
        <v>55</v>
      </c>
      <c r="D56" s="50">
        <v>4</v>
      </c>
      <c r="E56" s="50">
        <v>0</v>
      </c>
      <c r="F56" s="50">
        <v>80</v>
      </c>
      <c r="G56" s="50">
        <v>0</v>
      </c>
      <c r="H56" s="50">
        <v>0</v>
      </c>
      <c r="I56" s="50">
        <v>7</v>
      </c>
      <c r="J56" s="50">
        <v>3</v>
      </c>
      <c r="K56" s="50">
        <v>0</v>
      </c>
      <c r="L56" s="50">
        <v>0</v>
      </c>
      <c r="M56" s="50">
        <v>75</v>
      </c>
      <c r="N56" s="50">
        <v>0</v>
      </c>
      <c r="O56" s="15">
        <f t="shared" si="0"/>
        <v>149</v>
      </c>
      <c r="P56" s="15">
        <f t="shared" si="1"/>
        <v>224</v>
      </c>
      <c r="R56" s="8"/>
      <c r="T56"/>
    </row>
    <row r="57" spans="2:20" ht="23.1" customHeight="1" x14ac:dyDescent="0.25">
      <c r="B57" s="45" t="s">
        <v>84</v>
      </c>
      <c r="C57" s="50">
        <v>70</v>
      </c>
      <c r="D57" s="50">
        <v>0</v>
      </c>
      <c r="E57" s="50">
        <v>2</v>
      </c>
      <c r="F57" s="50">
        <v>66</v>
      </c>
      <c r="G57" s="50">
        <v>1</v>
      </c>
      <c r="H57" s="50">
        <v>0</v>
      </c>
      <c r="I57" s="50">
        <v>10</v>
      </c>
      <c r="J57" s="50">
        <v>1</v>
      </c>
      <c r="K57" s="50">
        <v>0</v>
      </c>
      <c r="L57" s="50">
        <v>0</v>
      </c>
      <c r="M57" s="50">
        <v>89</v>
      </c>
      <c r="N57" s="50">
        <v>0</v>
      </c>
      <c r="O57" s="15">
        <f t="shared" si="0"/>
        <v>150</v>
      </c>
      <c r="P57" s="15">
        <f t="shared" si="1"/>
        <v>239</v>
      </c>
      <c r="R57" s="8"/>
      <c r="T57"/>
    </row>
    <row r="58" spans="2:20" ht="23.1" customHeight="1" x14ac:dyDescent="0.25">
      <c r="B58" s="45" t="s">
        <v>99</v>
      </c>
      <c r="C58" s="50">
        <v>56</v>
      </c>
      <c r="D58" s="50">
        <v>0</v>
      </c>
      <c r="E58" s="50">
        <v>6</v>
      </c>
      <c r="F58" s="50">
        <v>43</v>
      </c>
      <c r="G58" s="50">
        <v>0</v>
      </c>
      <c r="H58" s="50">
        <v>0</v>
      </c>
      <c r="I58" s="50">
        <v>13</v>
      </c>
      <c r="J58" s="50">
        <v>1</v>
      </c>
      <c r="K58" s="50">
        <v>0</v>
      </c>
      <c r="L58" s="50">
        <v>0</v>
      </c>
      <c r="M58" s="50">
        <v>105</v>
      </c>
      <c r="N58" s="50">
        <v>0</v>
      </c>
      <c r="O58" s="15">
        <f t="shared" ref="O58:O105" si="35">SUM(C58:L58,N58)</f>
        <v>119</v>
      </c>
      <c r="P58" s="15">
        <f t="shared" ref="P58:P105" si="36">SUM(C58:N58)</f>
        <v>224</v>
      </c>
      <c r="R58" s="8"/>
      <c r="T58"/>
    </row>
    <row r="59" spans="2:20" ht="23.1" customHeight="1" x14ac:dyDescent="0.25">
      <c r="B59" s="45" t="s">
        <v>100</v>
      </c>
      <c r="C59" s="50">
        <v>80</v>
      </c>
      <c r="D59" s="50">
        <v>0</v>
      </c>
      <c r="E59" s="50">
        <v>7</v>
      </c>
      <c r="F59" s="50">
        <v>13</v>
      </c>
      <c r="G59" s="50">
        <v>0</v>
      </c>
      <c r="H59" s="50">
        <v>0</v>
      </c>
      <c r="I59" s="50">
        <v>2</v>
      </c>
      <c r="J59" s="50">
        <v>0</v>
      </c>
      <c r="K59" s="50">
        <v>0</v>
      </c>
      <c r="L59" s="50">
        <v>0</v>
      </c>
      <c r="M59" s="50">
        <v>125</v>
      </c>
      <c r="N59" s="50">
        <v>0</v>
      </c>
      <c r="O59" s="15">
        <f t="shared" si="35"/>
        <v>102</v>
      </c>
      <c r="P59" s="15">
        <f t="shared" si="36"/>
        <v>227</v>
      </c>
      <c r="R59" s="8"/>
      <c r="T59"/>
    </row>
    <row r="60" spans="2:20" ht="23.1" customHeight="1" x14ac:dyDescent="0.25">
      <c r="B60" s="45" t="s">
        <v>101</v>
      </c>
      <c r="C60" s="50">
        <v>75</v>
      </c>
      <c r="D60" s="50">
        <v>0</v>
      </c>
      <c r="E60" s="50">
        <v>0</v>
      </c>
      <c r="F60" s="50">
        <v>33</v>
      </c>
      <c r="G60" s="50">
        <v>0</v>
      </c>
      <c r="H60" s="50">
        <v>0</v>
      </c>
      <c r="I60" s="50">
        <v>3</v>
      </c>
      <c r="J60" s="50">
        <v>0</v>
      </c>
      <c r="K60" s="50">
        <v>0</v>
      </c>
      <c r="L60" s="50">
        <v>0</v>
      </c>
      <c r="M60" s="50">
        <v>138</v>
      </c>
      <c r="N60" s="50">
        <v>0</v>
      </c>
      <c r="O60" s="15">
        <f t="shared" si="35"/>
        <v>111</v>
      </c>
      <c r="P60" s="15">
        <f t="shared" si="36"/>
        <v>249</v>
      </c>
      <c r="R60" s="8"/>
      <c r="T60"/>
    </row>
    <row r="61" spans="2:20" ht="23.1" customHeight="1" x14ac:dyDescent="0.25">
      <c r="B61" s="45" t="s">
        <v>102</v>
      </c>
      <c r="C61" s="50">
        <v>95</v>
      </c>
      <c r="D61" s="50">
        <v>0</v>
      </c>
      <c r="E61" s="50">
        <v>3</v>
      </c>
      <c r="F61" s="50">
        <v>48</v>
      </c>
      <c r="G61" s="50">
        <v>0</v>
      </c>
      <c r="H61" s="50">
        <v>0</v>
      </c>
      <c r="I61" s="50">
        <v>5</v>
      </c>
      <c r="J61" s="50">
        <v>0</v>
      </c>
      <c r="K61" s="50">
        <v>0</v>
      </c>
      <c r="L61" s="50">
        <v>1</v>
      </c>
      <c r="M61" s="50">
        <v>90</v>
      </c>
      <c r="N61" s="50">
        <v>0</v>
      </c>
      <c r="O61" s="15">
        <f t="shared" si="35"/>
        <v>152</v>
      </c>
      <c r="P61" s="15">
        <f t="shared" si="36"/>
        <v>242</v>
      </c>
      <c r="R61" s="8"/>
      <c r="T61"/>
    </row>
    <row r="62" spans="2:20" ht="23.1" customHeight="1" x14ac:dyDescent="0.25">
      <c r="B62" s="45" t="s">
        <v>107</v>
      </c>
      <c r="C62" s="50">
        <v>85</v>
      </c>
      <c r="D62" s="50">
        <v>6</v>
      </c>
      <c r="E62" s="50">
        <v>3</v>
      </c>
      <c r="F62" s="50">
        <v>43</v>
      </c>
      <c r="G62" s="50">
        <v>0</v>
      </c>
      <c r="H62" s="50">
        <v>0</v>
      </c>
      <c r="I62" s="50">
        <v>7</v>
      </c>
      <c r="J62" s="50">
        <v>2</v>
      </c>
      <c r="K62" s="50">
        <v>0</v>
      </c>
      <c r="L62" s="50">
        <v>0</v>
      </c>
      <c r="M62" s="50">
        <v>93</v>
      </c>
      <c r="N62" s="50">
        <v>0</v>
      </c>
      <c r="O62" s="15">
        <f t="shared" si="35"/>
        <v>146</v>
      </c>
      <c r="P62" s="15">
        <f t="shared" si="36"/>
        <v>239</v>
      </c>
      <c r="R62" s="8"/>
      <c r="T62"/>
    </row>
    <row r="63" spans="2:20" ht="23.1" customHeight="1" x14ac:dyDescent="0.25">
      <c r="B63" s="45" t="s">
        <v>108</v>
      </c>
      <c r="C63" s="50">
        <v>51</v>
      </c>
      <c r="D63" s="50">
        <v>8</v>
      </c>
      <c r="E63" s="50">
        <v>0</v>
      </c>
      <c r="F63" s="50">
        <v>15</v>
      </c>
      <c r="G63" s="50">
        <v>0</v>
      </c>
      <c r="H63" s="50">
        <v>0</v>
      </c>
      <c r="I63" s="50">
        <v>4</v>
      </c>
      <c r="J63" s="50">
        <v>0</v>
      </c>
      <c r="K63" s="50">
        <v>0</v>
      </c>
      <c r="L63" s="50">
        <v>0</v>
      </c>
      <c r="M63" s="50">
        <v>100</v>
      </c>
      <c r="N63" s="50">
        <v>0</v>
      </c>
      <c r="O63" s="15">
        <f t="shared" si="35"/>
        <v>78</v>
      </c>
      <c r="P63" s="15">
        <f t="shared" si="36"/>
        <v>178</v>
      </c>
      <c r="R63" s="8"/>
      <c r="T63"/>
    </row>
    <row r="64" spans="2:20" ht="23.1" customHeight="1" x14ac:dyDescent="0.25">
      <c r="B64" s="45" t="s">
        <v>109</v>
      </c>
      <c r="C64" s="50">
        <v>73</v>
      </c>
      <c r="D64" s="50">
        <v>4</v>
      </c>
      <c r="E64" s="50">
        <v>6</v>
      </c>
      <c r="F64" s="50">
        <v>40</v>
      </c>
      <c r="G64" s="50">
        <v>1</v>
      </c>
      <c r="H64" s="50">
        <v>0</v>
      </c>
      <c r="I64" s="50">
        <v>5</v>
      </c>
      <c r="J64" s="50">
        <v>0</v>
      </c>
      <c r="K64" s="50">
        <v>0</v>
      </c>
      <c r="L64" s="50">
        <v>0</v>
      </c>
      <c r="M64" s="50">
        <v>90</v>
      </c>
      <c r="N64" s="50">
        <v>0</v>
      </c>
      <c r="O64" s="15">
        <f t="shared" si="35"/>
        <v>129</v>
      </c>
      <c r="P64" s="15">
        <f t="shared" si="36"/>
        <v>219</v>
      </c>
      <c r="R64" s="8"/>
      <c r="T64"/>
    </row>
    <row r="65" spans="2:20" ht="23.1" customHeight="1" x14ac:dyDescent="0.25">
      <c r="B65" s="45" t="s">
        <v>158</v>
      </c>
      <c r="C65" s="50">
        <v>80</v>
      </c>
      <c r="D65" s="50">
        <v>6</v>
      </c>
      <c r="E65" s="50">
        <v>3</v>
      </c>
      <c r="F65" s="50">
        <v>25</v>
      </c>
      <c r="G65" s="50">
        <v>0</v>
      </c>
      <c r="H65" s="50">
        <v>0</v>
      </c>
      <c r="I65" s="50">
        <v>5</v>
      </c>
      <c r="J65" s="50">
        <v>0</v>
      </c>
      <c r="K65" s="50">
        <v>0</v>
      </c>
      <c r="L65" s="50">
        <v>0</v>
      </c>
      <c r="M65" s="50">
        <v>112</v>
      </c>
      <c r="N65" s="50">
        <v>0</v>
      </c>
      <c r="O65" s="15">
        <f t="shared" si="35"/>
        <v>119</v>
      </c>
      <c r="P65" s="15">
        <f t="shared" si="36"/>
        <v>231</v>
      </c>
      <c r="R65" s="8"/>
      <c r="T65"/>
    </row>
    <row r="66" spans="2:20" ht="23.1" customHeight="1" x14ac:dyDescent="0.25">
      <c r="B66" s="45" t="s">
        <v>103</v>
      </c>
      <c r="C66" s="50">
        <v>75</v>
      </c>
      <c r="D66" s="50">
        <v>2</v>
      </c>
      <c r="E66" s="50">
        <v>6</v>
      </c>
      <c r="F66" s="50">
        <v>34</v>
      </c>
      <c r="G66" s="50">
        <v>1</v>
      </c>
      <c r="H66" s="50">
        <v>0</v>
      </c>
      <c r="I66" s="50">
        <v>7</v>
      </c>
      <c r="J66" s="50">
        <v>1</v>
      </c>
      <c r="K66" s="50">
        <v>0</v>
      </c>
      <c r="L66" s="50">
        <v>0</v>
      </c>
      <c r="M66" s="50">
        <v>108</v>
      </c>
      <c r="N66" s="50">
        <v>0</v>
      </c>
      <c r="O66" s="15">
        <f t="shared" si="35"/>
        <v>126</v>
      </c>
      <c r="P66" s="15">
        <f t="shared" si="36"/>
        <v>234</v>
      </c>
      <c r="R66" s="8"/>
      <c r="T66"/>
    </row>
    <row r="67" spans="2:20" ht="23.1" customHeight="1" x14ac:dyDescent="0.25">
      <c r="B67" s="45" t="s">
        <v>104</v>
      </c>
      <c r="C67" s="50">
        <v>80</v>
      </c>
      <c r="D67" s="50">
        <v>2</v>
      </c>
      <c r="E67" s="50">
        <v>7</v>
      </c>
      <c r="F67" s="50">
        <v>36</v>
      </c>
      <c r="G67" s="50">
        <v>0</v>
      </c>
      <c r="H67" s="50">
        <v>0</v>
      </c>
      <c r="I67" s="50">
        <v>4</v>
      </c>
      <c r="J67" s="50">
        <v>1</v>
      </c>
      <c r="K67" s="50">
        <v>0</v>
      </c>
      <c r="L67" s="50">
        <v>0</v>
      </c>
      <c r="M67" s="50">
        <v>71</v>
      </c>
      <c r="N67" s="50">
        <v>0</v>
      </c>
      <c r="O67" s="15">
        <f t="shared" si="35"/>
        <v>130</v>
      </c>
      <c r="P67" s="15">
        <f t="shared" si="36"/>
        <v>201</v>
      </c>
      <c r="R67" s="8"/>
      <c r="T67"/>
    </row>
    <row r="68" spans="2:20" ht="23.1" customHeight="1" x14ac:dyDescent="0.25">
      <c r="B68" s="45" t="s">
        <v>105</v>
      </c>
      <c r="C68" s="50">
        <v>53</v>
      </c>
      <c r="D68" s="50">
        <v>4</v>
      </c>
      <c r="E68" s="50">
        <v>0</v>
      </c>
      <c r="F68" s="50">
        <v>27</v>
      </c>
      <c r="G68" s="50">
        <v>0</v>
      </c>
      <c r="H68" s="50">
        <v>0</v>
      </c>
      <c r="I68" s="50">
        <v>1</v>
      </c>
      <c r="J68" s="50">
        <v>0</v>
      </c>
      <c r="K68" s="50">
        <v>0</v>
      </c>
      <c r="L68" s="50">
        <v>0</v>
      </c>
      <c r="M68" s="50">
        <v>86</v>
      </c>
      <c r="N68" s="50">
        <v>0</v>
      </c>
      <c r="O68" s="15">
        <f t="shared" si="35"/>
        <v>85</v>
      </c>
      <c r="P68" s="15">
        <f t="shared" si="36"/>
        <v>171</v>
      </c>
      <c r="R68" s="8"/>
      <c r="T68"/>
    </row>
    <row r="69" spans="2:20" ht="23.1" customHeight="1" x14ac:dyDescent="0.25">
      <c r="B69" s="45" t="s">
        <v>106</v>
      </c>
      <c r="C69" s="50">
        <v>64</v>
      </c>
      <c r="D69" s="50">
        <v>2</v>
      </c>
      <c r="E69" s="50">
        <v>2</v>
      </c>
      <c r="F69" s="50">
        <v>34</v>
      </c>
      <c r="G69" s="50">
        <v>0</v>
      </c>
      <c r="H69" s="50">
        <v>0</v>
      </c>
      <c r="I69" s="50">
        <v>4</v>
      </c>
      <c r="J69" s="50">
        <v>0</v>
      </c>
      <c r="K69" s="50">
        <v>0</v>
      </c>
      <c r="L69" s="50">
        <v>0</v>
      </c>
      <c r="M69" s="50">
        <v>61</v>
      </c>
      <c r="N69" s="50">
        <v>0</v>
      </c>
      <c r="O69" s="15">
        <f t="shared" si="35"/>
        <v>106</v>
      </c>
      <c r="P69" s="15">
        <f t="shared" si="36"/>
        <v>167</v>
      </c>
      <c r="R69" s="8"/>
      <c r="T69"/>
    </row>
    <row r="70" spans="2:20" ht="23.1" customHeight="1" x14ac:dyDescent="0.25">
      <c r="B70" s="45" t="s">
        <v>110</v>
      </c>
      <c r="C70" s="50">
        <v>59</v>
      </c>
      <c r="D70" s="50">
        <v>5</v>
      </c>
      <c r="E70" s="50">
        <v>3</v>
      </c>
      <c r="F70" s="50">
        <v>8</v>
      </c>
      <c r="G70" s="50">
        <v>1</v>
      </c>
      <c r="H70" s="50">
        <v>0</v>
      </c>
      <c r="I70" s="50">
        <v>5</v>
      </c>
      <c r="J70" s="50">
        <v>0</v>
      </c>
      <c r="K70" s="50">
        <v>0</v>
      </c>
      <c r="L70" s="50">
        <v>0</v>
      </c>
      <c r="M70" s="50">
        <v>70</v>
      </c>
      <c r="N70" s="50">
        <v>0</v>
      </c>
      <c r="O70" s="15">
        <f t="shared" si="35"/>
        <v>81</v>
      </c>
      <c r="P70" s="15">
        <f t="shared" si="36"/>
        <v>151</v>
      </c>
      <c r="R70" s="8"/>
      <c r="T70"/>
    </row>
    <row r="71" spans="2:20" ht="23.1" customHeight="1" x14ac:dyDescent="0.25">
      <c r="B71" s="45" t="s">
        <v>111</v>
      </c>
      <c r="C71" s="50">
        <v>56</v>
      </c>
      <c r="D71" s="50">
        <v>0</v>
      </c>
      <c r="E71" s="50">
        <v>1</v>
      </c>
      <c r="F71" s="50">
        <v>5</v>
      </c>
      <c r="G71" s="50">
        <v>1</v>
      </c>
      <c r="H71" s="50">
        <v>0</v>
      </c>
      <c r="I71" s="50">
        <v>5</v>
      </c>
      <c r="J71" s="50">
        <v>1</v>
      </c>
      <c r="K71" s="50">
        <v>0</v>
      </c>
      <c r="L71" s="50">
        <v>0</v>
      </c>
      <c r="M71" s="50">
        <v>60</v>
      </c>
      <c r="N71" s="50">
        <v>0</v>
      </c>
      <c r="O71" s="15">
        <f t="shared" si="35"/>
        <v>69</v>
      </c>
      <c r="P71" s="15">
        <f t="shared" si="36"/>
        <v>129</v>
      </c>
      <c r="R71" s="8"/>
      <c r="T71"/>
    </row>
    <row r="72" spans="2:20" ht="23.1" customHeight="1" x14ac:dyDescent="0.25">
      <c r="B72" s="45" t="s">
        <v>112</v>
      </c>
      <c r="C72" s="50">
        <v>54</v>
      </c>
      <c r="D72" s="50">
        <v>3</v>
      </c>
      <c r="E72" s="50">
        <v>1</v>
      </c>
      <c r="F72" s="50">
        <v>3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63</v>
      </c>
      <c r="N72" s="50">
        <v>0</v>
      </c>
      <c r="O72" s="15">
        <f t="shared" si="35"/>
        <v>61</v>
      </c>
      <c r="P72" s="15">
        <f t="shared" si="36"/>
        <v>124</v>
      </c>
      <c r="R72" s="8"/>
      <c r="T72"/>
    </row>
    <row r="73" spans="2:20" ht="23.1" customHeight="1" x14ac:dyDescent="0.25">
      <c r="B73" s="45" t="s">
        <v>113</v>
      </c>
      <c r="C73" s="50">
        <v>36</v>
      </c>
      <c r="D73" s="50">
        <v>2</v>
      </c>
      <c r="E73" s="50">
        <v>1</v>
      </c>
      <c r="F73" s="50">
        <v>2</v>
      </c>
      <c r="G73" s="50">
        <v>0</v>
      </c>
      <c r="H73" s="50">
        <v>0</v>
      </c>
      <c r="I73" s="50">
        <v>0</v>
      </c>
      <c r="J73" s="50">
        <v>1</v>
      </c>
      <c r="K73" s="50">
        <v>0</v>
      </c>
      <c r="L73" s="50">
        <v>0</v>
      </c>
      <c r="M73" s="50">
        <v>80</v>
      </c>
      <c r="N73" s="50">
        <v>0</v>
      </c>
      <c r="O73" s="15">
        <f t="shared" si="35"/>
        <v>42</v>
      </c>
      <c r="P73" s="15">
        <f t="shared" si="36"/>
        <v>122</v>
      </c>
      <c r="R73" s="8"/>
      <c r="T73"/>
    </row>
    <row r="74" spans="2:20" ht="23.1" customHeight="1" x14ac:dyDescent="0.25">
      <c r="B74" s="45" t="s">
        <v>114</v>
      </c>
      <c r="C74" s="50">
        <v>39</v>
      </c>
      <c r="D74" s="50">
        <v>25</v>
      </c>
      <c r="E74" s="50">
        <v>4</v>
      </c>
      <c r="F74" s="50">
        <v>4</v>
      </c>
      <c r="G74" s="50">
        <v>1</v>
      </c>
      <c r="H74" s="50">
        <v>0</v>
      </c>
      <c r="I74" s="50">
        <v>6</v>
      </c>
      <c r="J74" s="50">
        <v>3</v>
      </c>
      <c r="K74" s="50">
        <v>1</v>
      </c>
      <c r="L74" s="50">
        <v>0</v>
      </c>
      <c r="M74" s="50">
        <v>93</v>
      </c>
      <c r="N74" s="50">
        <v>0</v>
      </c>
      <c r="O74" s="15">
        <f t="shared" si="35"/>
        <v>83</v>
      </c>
      <c r="P74" s="15">
        <f t="shared" si="36"/>
        <v>176</v>
      </c>
      <c r="R74" s="8"/>
      <c r="T74"/>
    </row>
    <row r="75" spans="2:20" ht="23.1" customHeight="1" x14ac:dyDescent="0.25">
      <c r="B75" s="45" t="s">
        <v>115</v>
      </c>
      <c r="C75" s="50">
        <v>27</v>
      </c>
      <c r="D75" s="50">
        <v>0</v>
      </c>
      <c r="E75" s="50">
        <v>0</v>
      </c>
      <c r="F75" s="50">
        <v>2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43</v>
      </c>
      <c r="N75" s="50">
        <v>0</v>
      </c>
      <c r="O75" s="15">
        <f t="shared" si="35"/>
        <v>29</v>
      </c>
      <c r="P75" s="15">
        <f t="shared" si="36"/>
        <v>72</v>
      </c>
      <c r="R75" s="8"/>
      <c r="T75"/>
    </row>
    <row r="76" spans="2:20" ht="23.1" customHeight="1" x14ac:dyDescent="0.25">
      <c r="B76" s="45" t="s">
        <v>116</v>
      </c>
      <c r="C76" s="50">
        <v>30</v>
      </c>
      <c r="D76" s="50">
        <v>1</v>
      </c>
      <c r="E76" s="50">
        <v>0</v>
      </c>
      <c r="F76" s="50">
        <v>2</v>
      </c>
      <c r="G76" s="50">
        <v>0</v>
      </c>
      <c r="H76" s="50">
        <v>0</v>
      </c>
      <c r="I76" s="50">
        <v>1</v>
      </c>
      <c r="J76" s="50">
        <v>0</v>
      </c>
      <c r="K76" s="50">
        <v>0</v>
      </c>
      <c r="L76" s="50">
        <v>0</v>
      </c>
      <c r="M76" s="50">
        <v>33</v>
      </c>
      <c r="N76" s="50">
        <v>0</v>
      </c>
      <c r="O76" s="15">
        <f t="shared" si="35"/>
        <v>34</v>
      </c>
      <c r="P76" s="15">
        <f t="shared" si="36"/>
        <v>67</v>
      </c>
      <c r="R76" s="8"/>
      <c r="T76"/>
    </row>
    <row r="77" spans="2:20" ht="23.1" customHeight="1" x14ac:dyDescent="0.25">
      <c r="B77" s="45" t="s">
        <v>117</v>
      </c>
      <c r="C77" s="50">
        <v>22</v>
      </c>
      <c r="D77" s="50">
        <v>1</v>
      </c>
      <c r="E77" s="50">
        <v>2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35</v>
      </c>
      <c r="N77" s="50">
        <v>0</v>
      </c>
      <c r="O77" s="15">
        <f t="shared" si="35"/>
        <v>25</v>
      </c>
      <c r="P77" s="15">
        <f t="shared" si="36"/>
        <v>60</v>
      </c>
      <c r="R77" s="8"/>
      <c r="T77"/>
    </row>
    <row r="78" spans="2:20" ht="23.1" customHeight="1" x14ac:dyDescent="0.25">
      <c r="B78" s="46" t="s">
        <v>118</v>
      </c>
      <c r="C78" s="50">
        <v>21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1</v>
      </c>
      <c r="J78" s="50">
        <v>0</v>
      </c>
      <c r="K78" s="50">
        <v>0</v>
      </c>
      <c r="L78" s="50">
        <v>0</v>
      </c>
      <c r="M78" s="50">
        <v>31</v>
      </c>
      <c r="N78" s="50">
        <v>0</v>
      </c>
      <c r="O78" s="15">
        <f t="shared" si="35"/>
        <v>22</v>
      </c>
      <c r="P78" s="15">
        <f t="shared" si="36"/>
        <v>53</v>
      </c>
      <c r="R78" s="8"/>
      <c r="T78"/>
    </row>
    <row r="79" spans="2:20" ht="23.1" customHeight="1" x14ac:dyDescent="0.25">
      <c r="B79" s="45" t="s">
        <v>119</v>
      </c>
      <c r="C79" s="50">
        <v>8</v>
      </c>
      <c r="D79" s="50">
        <v>2</v>
      </c>
      <c r="E79" s="50">
        <v>2</v>
      </c>
      <c r="F79" s="50">
        <v>1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20</v>
      </c>
      <c r="N79" s="50">
        <v>0</v>
      </c>
      <c r="O79" s="15">
        <f t="shared" si="35"/>
        <v>14</v>
      </c>
      <c r="P79" s="15">
        <f t="shared" si="36"/>
        <v>34</v>
      </c>
      <c r="R79" s="8"/>
      <c r="T79"/>
    </row>
    <row r="80" spans="2:20" ht="23.1" customHeight="1" x14ac:dyDescent="0.25">
      <c r="B80" s="47" t="s">
        <v>120</v>
      </c>
      <c r="C80" s="50">
        <v>20</v>
      </c>
      <c r="D80" s="50">
        <v>0</v>
      </c>
      <c r="E80" s="50">
        <v>0</v>
      </c>
      <c r="F80" s="50">
        <v>1</v>
      </c>
      <c r="G80" s="50">
        <v>0</v>
      </c>
      <c r="H80" s="50">
        <v>0</v>
      </c>
      <c r="I80" s="50">
        <v>1</v>
      </c>
      <c r="J80" s="50">
        <v>0</v>
      </c>
      <c r="K80" s="50">
        <v>0</v>
      </c>
      <c r="L80" s="50">
        <v>0</v>
      </c>
      <c r="M80" s="50">
        <v>15</v>
      </c>
      <c r="N80" s="50">
        <v>0</v>
      </c>
      <c r="O80" s="15">
        <f t="shared" si="35"/>
        <v>22</v>
      </c>
      <c r="P80" s="15">
        <f t="shared" si="36"/>
        <v>37</v>
      </c>
      <c r="R80" s="8"/>
      <c r="T80"/>
    </row>
    <row r="81" spans="2:20" ht="23.1" customHeight="1" x14ac:dyDescent="0.25">
      <c r="B81" s="45" t="s">
        <v>121</v>
      </c>
      <c r="C81" s="50">
        <v>4</v>
      </c>
      <c r="D81" s="50">
        <v>0</v>
      </c>
      <c r="E81" s="50">
        <v>0</v>
      </c>
      <c r="F81" s="50">
        <v>1</v>
      </c>
      <c r="G81" s="50">
        <v>0</v>
      </c>
      <c r="H81" s="50">
        <v>0</v>
      </c>
      <c r="I81" s="50">
        <v>1</v>
      </c>
      <c r="J81" s="50">
        <v>1</v>
      </c>
      <c r="K81" s="50">
        <v>0</v>
      </c>
      <c r="L81" s="50">
        <v>0</v>
      </c>
      <c r="M81" s="50">
        <v>18</v>
      </c>
      <c r="N81" s="50">
        <v>0</v>
      </c>
      <c r="O81" s="15">
        <f t="shared" si="35"/>
        <v>7</v>
      </c>
      <c r="P81" s="15">
        <f t="shared" si="36"/>
        <v>25</v>
      </c>
      <c r="R81" s="8"/>
      <c r="T81"/>
    </row>
    <row r="82" spans="2:20" ht="23.1" customHeight="1" x14ac:dyDescent="0.25">
      <c r="B82" s="46" t="s">
        <v>122</v>
      </c>
      <c r="C82" s="50">
        <v>8</v>
      </c>
      <c r="D82" s="50">
        <v>1</v>
      </c>
      <c r="E82" s="50">
        <v>0</v>
      </c>
      <c r="F82" s="50">
        <v>0</v>
      </c>
      <c r="G82" s="50">
        <v>0</v>
      </c>
      <c r="H82" s="50">
        <v>0</v>
      </c>
      <c r="I82" s="50">
        <v>2</v>
      </c>
      <c r="J82" s="50">
        <v>0</v>
      </c>
      <c r="K82" s="50">
        <v>2</v>
      </c>
      <c r="L82" s="50">
        <v>0</v>
      </c>
      <c r="M82" s="50">
        <v>30</v>
      </c>
      <c r="N82" s="50">
        <v>0</v>
      </c>
      <c r="O82" s="15">
        <f t="shared" si="35"/>
        <v>13</v>
      </c>
      <c r="P82" s="15">
        <f t="shared" si="36"/>
        <v>43</v>
      </c>
      <c r="R82" s="8"/>
      <c r="T82"/>
    </row>
    <row r="83" spans="2:20" ht="23.1" customHeight="1" x14ac:dyDescent="0.25">
      <c r="B83" s="45" t="s">
        <v>123</v>
      </c>
      <c r="C83" s="50">
        <v>4</v>
      </c>
      <c r="D83" s="50">
        <v>0</v>
      </c>
      <c r="E83" s="50">
        <v>0</v>
      </c>
      <c r="F83" s="50">
        <v>1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7</v>
      </c>
      <c r="N83" s="50">
        <v>0</v>
      </c>
      <c r="O83" s="15">
        <f t="shared" si="35"/>
        <v>5</v>
      </c>
      <c r="P83" s="15">
        <f t="shared" si="36"/>
        <v>12</v>
      </c>
      <c r="R83" s="8"/>
      <c r="T83"/>
    </row>
    <row r="84" spans="2:20" ht="23.1" customHeight="1" x14ac:dyDescent="0.25">
      <c r="B84" s="47" t="s">
        <v>124</v>
      </c>
      <c r="C84" s="50">
        <v>5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2</v>
      </c>
      <c r="J84" s="50">
        <v>2</v>
      </c>
      <c r="K84" s="50">
        <v>0</v>
      </c>
      <c r="L84" s="50">
        <v>0</v>
      </c>
      <c r="M84" s="50">
        <v>19</v>
      </c>
      <c r="N84" s="50">
        <v>0</v>
      </c>
      <c r="O84" s="15">
        <f t="shared" si="35"/>
        <v>9</v>
      </c>
      <c r="P84" s="15">
        <f t="shared" si="36"/>
        <v>28</v>
      </c>
      <c r="R84" s="8"/>
      <c r="T84"/>
    </row>
    <row r="85" spans="2:20" ht="23.1" customHeight="1" x14ac:dyDescent="0.25">
      <c r="B85" s="45" t="s">
        <v>125</v>
      </c>
      <c r="C85" s="50">
        <v>7</v>
      </c>
      <c r="D85" s="50">
        <v>1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4</v>
      </c>
      <c r="K85" s="50">
        <v>0</v>
      </c>
      <c r="L85" s="50">
        <v>0</v>
      </c>
      <c r="M85" s="50">
        <v>18</v>
      </c>
      <c r="N85" s="50">
        <v>0</v>
      </c>
      <c r="O85" s="15">
        <f t="shared" si="35"/>
        <v>12</v>
      </c>
      <c r="P85" s="15">
        <f t="shared" si="36"/>
        <v>30</v>
      </c>
      <c r="R85" s="8"/>
      <c r="T85"/>
    </row>
    <row r="86" spans="2:20" ht="23.1" customHeight="1" x14ac:dyDescent="0.25">
      <c r="B86" s="46" t="s">
        <v>126</v>
      </c>
      <c r="C86" s="50">
        <v>8</v>
      </c>
      <c r="D86" s="50">
        <v>0</v>
      </c>
      <c r="E86" s="50">
        <v>0</v>
      </c>
      <c r="F86" s="50">
        <v>1</v>
      </c>
      <c r="G86" s="50">
        <v>0</v>
      </c>
      <c r="H86" s="50">
        <v>0</v>
      </c>
      <c r="I86" s="50">
        <v>2</v>
      </c>
      <c r="J86" s="50">
        <v>0</v>
      </c>
      <c r="K86" s="50">
        <v>0</v>
      </c>
      <c r="L86" s="50">
        <v>0</v>
      </c>
      <c r="M86" s="50">
        <v>14</v>
      </c>
      <c r="N86" s="50">
        <v>0</v>
      </c>
      <c r="O86" s="15">
        <f t="shared" si="35"/>
        <v>11</v>
      </c>
      <c r="P86" s="15">
        <f t="shared" si="36"/>
        <v>25</v>
      </c>
      <c r="R86" s="8"/>
      <c r="T86"/>
    </row>
    <row r="87" spans="2:20" ht="23.1" customHeight="1" x14ac:dyDescent="0.25">
      <c r="B87" s="45" t="s">
        <v>127</v>
      </c>
      <c r="C87" s="50">
        <v>3</v>
      </c>
      <c r="D87" s="50">
        <v>1</v>
      </c>
      <c r="E87" s="50">
        <v>0</v>
      </c>
      <c r="F87" s="50">
        <v>0</v>
      </c>
      <c r="G87" s="50">
        <v>0</v>
      </c>
      <c r="H87" s="50">
        <v>0</v>
      </c>
      <c r="I87" s="50">
        <v>1</v>
      </c>
      <c r="J87" s="50">
        <v>0</v>
      </c>
      <c r="K87" s="50">
        <v>1</v>
      </c>
      <c r="L87" s="50">
        <v>0</v>
      </c>
      <c r="M87" s="50">
        <v>20</v>
      </c>
      <c r="N87" s="50">
        <v>0</v>
      </c>
      <c r="O87" s="15">
        <f t="shared" si="35"/>
        <v>6</v>
      </c>
      <c r="P87" s="15">
        <f t="shared" si="36"/>
        <v>26</v>
      </c>
      <c r="R87" s="8"/>
      <c r="T87"/>
    </row>
    <row r="88" spans="2:20" ht="23.1" customHeight="1" x14ac:dyDescent="0.25">
      <c r="B88" s="47" t="s">
        <v>128</v>
      </c>
      <c r="C88" s="50">
        <v>5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v>0</v>
      </c>
      <c r="M88" s="50">
        <v>11</v>
      </c>
      <c r="N88" s="50">
        <v>0</v>
      </c>
      <c r="O88" s="15">
        <f t="shared" si="35"/>
        <v>6</v>
      </c>
      <c r="P88" s="15">
        <f t="shared" si="36"/>
        <v>17</v>
      </c>
      <c r="R88" s="8"/>
      <c r="T88"/>
    </row>
    <row r="89" spans="2:20" ht="23.1" customHeight="1" x14ac:dyDescent="0.25">
      <c r="B89" s="45" t="s">
        <v>129</v>
      </c>
      <c r="C89" s="50">
        <v>4</v>
      </c>
      <c r="D89" s="50">
        <v>0</v>
      </c>
      <c r="E89" s="50">
        <v>0</v>
      </c>
      <c r="F89" s="50">
        <v>1</v>
      </c>
      <c r="G89" s="50">
        <v>0</v>
      </c>
      <c r="H89" s="50">
        <v>0</v>
      </c>
      <c r="I89" s="50">
        <v>1</v>
      </c>
      <c r="J89" s="50">
        <v>0</v>
      </c>
      <c r="K89" s="50">
        <v>0</v>
      </c>
      <c r="L89" s="50">
        <v>0</v>
      </c>
      <c r="M89" s="50">
        <v>7</v>
      </c>
      <c r="N89" s="50">
        <v>0</v>
      </c>
      <c r="O89" s="15">
        <f t="shared" si="35"/>
        <v>6</v>
      </c>
      <c r="P89" s="15">
        <f t="shared" si="36"/>
        <v>13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1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11</v>
      </c>
      <c r="N90" s="50">
        <v>0</v>
      </c>
      <c r="O90" s="15">
        <f t="shared" si="35"/>
        <v>1</v>
      </c>
      <c r="P90" s="15">
        <f t="shared" si="36"/>
        <v>12</v>
      </c>
      <c r="R90" s="8"/>
      <c r="T90"/>
    </row>
    <row r="91" spans="2:20" ht="23.1" customHeight="1" x14ac:dyDescent="0.25">
      <c r="B91" s="45" t="s">
        <v>131</v>
      </c>
      <c r="C91" s="50">
        <v>4</v>
      </c>
      <c r="D91" s="50">
        <v>1</v>
      </c>
      <c r="E91" s="50">
        <v>0</v>
      </c>
      <c r="F91" s="50">
        <v>0</v>
      </c>
      <c r="G91" s="50">
        <v>0</v>
      </c>
      <c r="H91" s="50">
        <v>0</v>
      </c>
      <c r="I91" s="50">
        <v>1</v>
      </c>
      <c r="J91" s="50">
        <v>0</v>
      </c>
      <c r="K91" s="50">
        <v>1</v>
      </c>
      <c r="L91" s="50">
        <v>0</v>
      </c>
      <c r="M91" s="50">
        <v>7</v>
      </c>
      <c r="N91" s="50">
        <v>0</v>
      </c>
      <c r="O91" s="15">
        <f t="shared" si="35"/>
        <v>7</v>
      </c>
      <c r="P91" s="15">
        <f t="shared" si="36"/>
        <v>14</v>
      </c>
      <c r="R91" s="8"/>
      <c r="T91"/>
    </row>
    <row r="92" spans="2:20" ht="23.1" customHeight="1" x14ac:dyDescent="0.25">
      <c r="B92" s="47" t="s">
        <v>132</v>
      </c>
      <c r="C92" s="50">
        <v>1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45" t="s">
        <v>133</v>
      </c>
      <c r="C93" s="50">
        <v>3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1</v>
      </c>
      <c r="L93" s="50">
        <v>0</v>
      </c>
      <c r="M93" s="50">
        <v>4</v>
      </c>
      <c r="N93" s="50">
        <v>0</v>
      </c>
      <c r="O93" s="15">
        <f t="shared" si="35"/>
        <v>4</v>
      </c>
      <c r="P93" s="15">
        <f t="shared" si="36"/>
        <v>8</v>
      </c>
      <c r="R93" s="8"/>
      <c r="T93"/>
    </row>
    <row r="94" spans="2:20" ht="23.1" customHeight="1" x14ac:dyDescent="0.25">
      <c r="B94" s="46" t="s">
        <v>134</v>
      </c>
      <c r="C94" s="50">
        <v>7</v>
      </c>
      <c r="D94" s="50">
        <v>1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5</v>
      </c>
      <c r="N94" s="50">
        <v>0</v>
      </c>
      <c r="O94" s="15">
        <f t="shared" si="35"/>
        <v>8</v>
      </c>
      <c r="P94" s="15">
        <f t="shared" si="36"/>
        <v>13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2</v>
      </c>
      <c r="J95" s="50">
        <v>0</v>
      </c>
      <c r="K95" s="50">
        <v>0</v>
      </c>
      <c r="L95" s="50">
        <v>0</v>
      </c>
      <c r="M95" s="50">
        <v>1</v>
      </c>
      <c r="N95" s="50">
        <v>0</v>
      </c>
      <c r="O95" s="15">
        <f t="shared" si="35"/>
        <v>3</v>
      </c>
      <c r="P95" s="15">
        <f t="shared" si="36"/>
        <v>4</v>
      </c>
      <c r="R95" s="8"/>
      <c r="T95"/>
    </row>
    <row r="96" spans="2:20" ht="23.1" customHeight="1" x14ac:dyDescent="0.25">
      <c r="B96" s="47" t="s">
        <v>136</v>
      </c>
      <c r="C96" s="50">
        <v>6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6</v>
      </c>
      <c r="N96" s="50">
        <v>0</v>
      </c>
      <c r="O96" s="15">
        <f t="shared" si="35"/>
        <v>6</v>
      </c>
      <c r="P96" s="15">
        <f t="shared" si="36"/>
        <v>12</v>
      </c>
      <c r="R96" s="8"/>
      <c r="T96"/>
    </row>
    <row r="97" spans="2:20" ht="23.1" customHeight="1" x14ac:dyDescent="0.25">
      <c r="B97" s="45" t="s">
        <v>137</v>
      </c>
      <c r="C97" s="50">
        <v>2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3</v>
      </c>
      <c r="N97" s="50">
        <v>0</v>
      </c>
      <c r="O97" s="15">
        <f t="shared" si="35"/>
        <v>2</v>
      </c>
      <c r="P97" s="15">
        <f t="shared" si="36"/>
        <v>5</v>
      </c>
      <c r="R97" s="8"/>
      <c r="T97"/>
    </row>
    <row r="98" spans="2:20" ht="23.1" customHeight="1" x14ac:dyDescent="0.25">
      <c r="B98" s="46" t="s">
        <v>138</v>
      </c>
      <c r="C98" s="50">
        <v>4</v>
      </c>
      <c r="D98" s="50">
        <v>0</v>
      </c>
      <c r="E98" s="50">
        <v>0</v>
      </c>
      <c r="F98" s="50">
        <v>1</v>
      </c>
      <c r="G98" s="50">
        <v>0</v>
      </c>
      <c r="H98" s="50">
        <v>0</v>
      </c>
      <c r="I98" s="50">
        <v>2</v>
      </c>
      <c r="J98" s="50">
        <v>0</v>
      </c>
      <c r="K98" s="50">
        <v>0</v>
      </c>
      <c r="L98" s="50">
        <v>0</v>
      </c>
      <c r="M98" s="50">
        <v>10</v>
      </c>
      <c r="N98" s="50">
        <v>0</v>
      </c>
      <c r="O98" s="15">
        <f t="shared" si="35"/>
        <v>7</v>
      </c>
      <c r="P98" s="15">
        <f t="shared" si="36"/>
        <v>17</v>
      </c>
      <c r="R98" s="8"/>
      <c r="T98"/>
    </row>
    <row r="99" spans="2:20" ht="23.1" customHeight="1" x14ac:dyDescent="0.25">
      <c r="B99" s="45" t="s">
        <v>139</v>
      </c>
      <c r="C99" s="50">
        <v>8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1</v>
      </c>
      <c r="J99" s="50">
        <v>0</v>
      </c>
      <c r="K99" s="50">
        <v>3</v>
      </c>
      <c r="L99" s="50">
        <v>0</v>
      </c>
      <c r="M99" s="50">
        <v>9</v>
      </c>
      <c r="N99" s="50">
        <v>0</v>
      </c>
      <c r="O99" s="15">
        <f t="shared" si="35"/>
        <v>12</v>
      </c>
      <c r="P99" s="15">
        <f t="shared" si="36"/>
        <v>21</v>
      </c>
      <c r="R99" s="8"/>
      <c r="T99"/>
    </row>
    <row r="100" spans="2:20" ht="23.1" customHeight="1" x14ac:dyDescent="0.25">
      <c r="B100" s="47" t="s">
        <v>140</v>
      </c>
      <c r="C100" s="50">
        <v>8</v>
      </c>
      <c r="D100" s="50">
        <v>0</v>
      </c>
      <c r="E100" s="50">
        <v>0</v>
      </c>
      <c r="F100" s="50">
        <v>1</v>
      </c>
      <c r="G100" s="50">
        <v>0</v>
      </c>
      <c r="H100" s="50">
        <v>0</v>
      </c>
      <c r="I100" s="50">
        <v>3</v>
      </c>
      <c r="J100" s="50">
        <v>0</v>
      </c>
      <c r="K100" s="50">
        <v>0</v>
      </c>
      <c r="L100" s="50">
        <v>0</v>
      </c>
      <c r="M100" s="50">
        <v>15</v>
      </c>
      <c r="N100" s="50">
        <v>0</v>
      </c>
      <c r="O100" s="15">
        <f t="shared" si="35"/>
        <v>12</v>
      </c>
      <c r="P100" s="15">
        <f t="shared" si="36"/>
        <v>27</v>
      </c>
      <c r="R100" s="8"/>
      <c r="T100"/>
    </row>
    <row r="101" spans="2:20" ht="23.1" customHeight="1" x14ac:dyDescent="0.25">
      <c r="B101" s="45" t="s">
        <v>141</v>
      </c>
      <c r="C101" s="50">
        <v>4</v>
      </c>
      <c r="D101" s="50">
        <v>0</v>
      </c>
      <c r="E101" s="50">
        <v>0</v>
      </c>
      <c r="F101" s="50">
        <v>1</v>
      </c>
      <c r="G101" s="50">
        <v>0</v>
      </c>
      <c r="H101" s="50">
        <v>0</v>
      </c>
      <c r="I101" s="50">
        <v>1</v>
      </c>
      <c r="J101" s="50">
        <v>0</v>
      </c>
      <c r="K101" s="50">
        <v>0</v>
      </c>
      <c r="L101" s="50">
        <v>0</v>
      </c>
      <c r="M101" s="50">
        <v>8</v>
      </c>
      <c r="N101" s="50">
        <v>0</v>
      </c>
      <c r="O101" s="15">
        <f t="shared" si="35"/>
        <v>6</v>
      </c>
      <c r="P101" s="15">
        <f t="shared" si="36"/>
        <v>14</v>
      </c>
      <c r="R101" s="8"/>
      <c r="T101"/>
    </row>
    <row r="102" spans="2:20" ht="23.1" customHeight="1" x14ac:dyDescent="0.25">
      <c r="B102" s="46" t="s">
        <v>142</v>
      </c>
      <c r="C102" s="50">
        <v>9</v>
      </c>
      <c r="D102" s="50">
        <v>0</v>
      </c>
      <c r="E102" s="50">
        <v>0</v>
      </c>
      <c r="F102" s="50">
        <v>1</v>
      </c>
      <c r="G102" s="50">
        <v>0</v>
      </c>
      <c r="H102" s="50">
        <v>0</v>
      </c>
      <c r="I102" s="50">
        <v>2</v>
      </c>
      <c r="J102" s="50">
        <v>0</v>
      </c>
      <c r="K102" s="50">
        <v>2</v>
      </c>
      <c r="L102" s="50">
        <v>0</v>
      </c>
      <c r="M102" s="50">
        <v>31</v>
      </c>
      <c r="N102" s="50">
        <v>0</v>
      </c>
      <c r="O102" s="15">
        <f t="shared" si="35"/>
        <v>14</v>
      </c>
      <c r="P102" s="15">
        <f t="shared" si="36"/>
        <v>45</v>
      </c>
      <c r="R102" s="8"/>
      <c r="T102"/>
    </row>
    <row r="103" spans="2:20" ht="23.1" customHeight="1" x14ac:dyDescent="0.25">
      <c r="B103" s="45" t="s">
        <v>143</v>
      </c>
      <c r="C103" s="50">
        <v>3</v>
      </c>
      <c r="D103" s="50">
        <v>0</v>
      </c>
      <c r="E103" s="50">
        <v>0</v>
      </c>
      <c r="F103" s="50">
        <v>3</v>
      </c>
      <c r="G103" s="50">
        <v>0</v>
      </c>
      <c r="H103" s="50">
        <v>0</v>
      </c>
      <c r="I103" s="50">
        <v>0</v>
      </c>
      <c r="J103" s="50">
        <v>0</v>
      </c>
      <c r="K103" s="50">
        <v>2</v>
      </c>
      <c r="L103" s="50">
        <v>0</v>
      </c>
      <c r="M103" s="50">
        <v>18</v>
      </c>
      <c r="N103" s="50">
        <v>0</v>
      </c>
      <c r="O103" s="15">
        <f t="shared" si="35"/>
        <v>8</v>
      </c>
      <c r="P103" s="15">
        <f t="shared" si="36"/>
        <v>26</v>
      </c>
      <c r="R103" s="8"/>
      <c r="T103"/>
    </row>
    <row r="104" spans="2:20" ht="23.1" customHeight="1" x14ac:dyDescent="0.25">
      <c r="B104" s="47" t="s">
        <v>144</v>
      </c>
      <c r="C104" s="50">
        <v>6</v>
      </c>
      <c r="D104" s="50">
        <v>0</v>
      </c>
      <c r="E104" s="50">
        <v>1</v>
      </c>
      <c r="F104" s="50">
        <v>2</v>
      </c>
      <c r="G104" s="50">
        <v>0</v>
      </c>
      <c r="H104" s="50">
        <v>0</v>
      </c>
      <c r="I104" s="50">
        <v>1</v>
      </c>
      <c r="J104" s="50">
        <v>0</v>
      </c>
      <c r="K104" s="50">
        <v>1</v>
      </c>
      <c r="L104" s="50">
        <v>0</v>
      </c>
      <c r="M104" s="50">
        <v>30</v>
      </c>
      <c r="N104" s="50">
        <v>0</v>
      </c>
      <c r="O104" s="15">
        <f t="shared" si="35"/>
        <v>11</v>
      </c>
      <c r="P104" s="15">
        <f t="shared" si="36"/>
        <v>41</v>
      </c>
      <c r="R104" s="8"/>
      <c r="T104"/>
    </row>
    <row r="105" spans="2:20" ht="23.1" customHeight="1" x14ac:dyDescent="0.25">
      <c r="B105" s="45" t="s">
        <v>145</v>
      </c>
      <c r="C105" s="50">
        <v>10</v>
      </c>
      <c r="D105" s="50">
        <v>0</v>
      </c>
      <c r="E105" s="50">
        <v>2</v>
      </c>
      <c r="F105" s="50">
        <v>5</v>
      </c>
      <c r="G105" s="50">
        <v>0</v>
      </c>
      <c r="H105" s="50">
        <v>0</v>
      </c>
      <c r="I105" s="50">
        <v>1</v>
      </c>
      <c r="J105" s="50">
        <v>0</v>
      </c>
      <c r="K105" s="50">
        <v>0</v>
      </c>
      <c r="L105" s="50">
        <v>0</v>
      </c>
      <c r="M105" s="50">
        <v>47</v>
      </c>
      <c r="N105" s="50">
        <v>0</v>
      </c>
      <c r="O105" s="15">
        <f t="shared" si="35"/>
        <v>18</v>
      </c>
      <c r="P105" s="15">
        <f t="shared" si="36"/>
        <v>65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4499</v>
      </c>
      <c r="D106" s="16">
        <f t="shared" ref="D106:P106" si="37">SUM(D10:D105)</f>
        <v>161</v>
      </c>
      <c r="E106" s="16">
        <f t="shared" si="37"/>
        <v>326</v>
      </c>
      <c r="F106" s="16">
        <f t="shared" si="37"/>
        <v>2091</v>
      </c>
      <c r="G106" s="16">
        <f t="shared" si="37"/>
        <v>30</v>
      </c>
      <c r="H106" s="16">
        <f t="shared" si="37"/>
        <v>2</v>
      </c>
      <c r="I106" s="16">
        <f t="shared" si="37"/>
        <v>227</v>
      </c>
      <c r="J106" s="16">
        <f t="shared" si="37"/>
        <v>54</v>
      </c>
      <c r="K106" s="16">
        <f t="shared" si="37"/>
        <v>24</v>
      </c>
      <c r="L106" s="16">
        <f t="shared" si="37"/>
        <v>27</v>
      </c>
      <c r="M106" s="16">
        <f t="shared" si="37"/>
        <v>5862</v>
      </c>
      <c r="N106" s="16">
        <f t="shared" si="37"/>
        <v>0</v>
      </c>
      <c r="O106" s="16">
        <f t="shared" si="37"/>
        <v>7441</v>
      </c>
      <c r="P106" s="16">
        <f t="shared" si="37"/>
        <v>13303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0.33819439224235137</v>
      </c>
      <c r="D107" s="43">
        <f t="shared" si="38"/>
        <v>1.2102533263173721E-2</v>
      </c>
      <c r="E107" s="43">
        <f t="shared" si="38"/>
        <v>2.4505750582575359E-2</v>
      </c>
      <c r="F107" s="43">
        <f t="shared" si="38"/>
        <v>0.15718259039314442</v>
      </c>
      <c r="G107" s="43">
        <f t="shared" si="38"/>
        <v>2.2551304217093889E-3</v>
      </c>
      <c r="H107" s="43">
        <f t="shared" si="38"/>
        <v>1.5034202811395924E-4</v>
      </c>
      <c r="I107" s="43">
        <f t="shared" si="38"/>
        <v>1.7063820190934376E-2</v>
      </c>
      <c r="J107" s="43">
        <f t="shared" si="38"/>
        <v>4.0592347590768995E-3</v>
      </c>
      <c r="K107" s="43">
        <f t="shared" si="38"/>
        <v>1.804104337367511E-3</v>
      </c>
      <c r="L107" s="43">
        <f t="shared" si="38"/>
        <v>2.0296173795384498E-3</v>
      </c>
      <c r="M107" s="43">
        <f t="shared" si="38"/>
        <v>0.4406524844020146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0.60462303453836852</v>
      </c>
      <c r="D108" s="44">
        <f t="shared" ref="D108:N108" si="39">D106/$O$106</f>
        <v>2.1636876763875823E-2</v>
      </c>
      <c r="E108" s="44">
        <f t="shared" si="39"/>
        <v>4.3811315683375887E-2</v>
      </c>
      <c r="F108" s="44">
        <f t="shared" si="39"/>
        <v>0.28101061685257356</v>
      </c>
      <c r="G108" s="44">
        <f t="shared" si="39"/>
        <v>4.0317161671818303E-3</v>
      </c>
      <c r="H108" s="44">
        <f t="shared" si="39"/>
        <v>2.6878107781212203E-4</v>
      </c>
      <c r="I108" s="44">
        <f t="shared" si="39"/>
        <v>3.0506652331675849E-2</v>
      </c>
      <c r="J108" s="44">
        <f t="shared" si="39"/>
        <v>7.2570891009272947E-3</v>
      </c>
      <c r="K108" s="44">
        <f t="shared" si="39"/>
        <v>3.2253729337454644E-3</v>
      </c>
      <c r="L108" s="44">
        <f t="shared" si="39"/>
        <v>3.6285445504636474E-3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zoomScale="60" workbookViewId="0">
      <selection activeCell="R90" sqref="R9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'22.07 Ndeeba-Nyanama'!C3:G3</f>
        <v>MCC - C1 - STN04 - WERAGA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'26.07 Ndeeba-Nyanama-24h'!D5</f>
        <v>26.07.19</v>
      </c>
      <c r="E5" s="3"/>
      <c r="F5" s="41" t="s">
        <v>1</v>
      </c>
      <c r="G5" s="68" t="str">
        <f>'26.07 Ndeeba-Nyanama-24h'!G5:H5</f>
        <v>Golden Mille Hotel</v>
      </c>
      <c r="H5" s="69"/>
      <c r="I5" s="14"/>
      <c r="J5" s="2" t="s">
        <v>5</v>
      </c>
      <c r="K5" s="68" t="s">
        <v>176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tr">
        <f>'22.07 Nyanama-Ndeeba'!D6:E6</f>
        <v>Nyanama</v>
      </c>
      <c r="E6" s="69"/>
      <c r="F6" s="2" t="s">
        <v>2</v>
      </c>
      <c r="G6" s="68" t="str">
        <f>'23.07 Nyanama-Ndeeba'!G6:H6</f>
        <v>Ndeeba</v>
      </c>
      <c r="H6" s="69"/>
      <c r="J6" s="2" t="s">
        <v>21</v>
      </c>
      <c r="K6" s="68" t="str">
        <f>'26.07 Ndeeba-Nyanama-24h'!K6:L6</f>
        <v>Denis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75</v>
      </c>
      <c r="D10" s="50">
        <v>6</v>
      </c>
      <c r="E10" s="50">
        <v>0</v>
      </c>
      <c r="F10" s="50">
        <v>33</v>
      </c>
      <c r="G10" s="50">
        <v>0</v>
      </c>
      <c r="H10" s="50">
        <v>0</v>
      </c>
      <c r="I10" s="50">
        <v>3</v>
      </c>
      <c r="J10" s="50">
        <v>0</v>
      </c>
      <c r="K10" s="50">
        <v>1</v>
      </c>
      <c r="L10" s="50">
        <v>0</v>
      </c>
      <c r="M10" s="50">
        <v>93</v>
      </c>
      <c r="N10" s="50">
        <v>0</v>
      </c>
      <c r="O10" s="15">
        <f t="shared" ref="O10:O73" si="0">SUM(C10:L10,N10)</f>
        <v>118</v>
      </c>
      <c r="P10" s="15">
        <f t="shared" ref="P10:P73" si="1">SUM(C10:N10)</f>
        <v>211</v>
      </c>
      <c r="R10" s="1" t="s">
        <v>6</v>
      </c>
      <c r="S10" s="17">
        <f t="shared" ref="S10:AF10" si="2">SUM(C10:C13)</f>
        <v>303</v>
      </c>
      <c r="T10" s="17">
        <f t="shared" si="2"/>
        <v>25</v>
      </c>
      <c r="U10" s="17">
        <f t="shared" si="2"/>
        <v>7</v>
      </c>
      <c r="V10" s="17">
        <f t="shared" si="2"/>
        <v>123</v>
      </c>
      <c r="W10" s="17">
        <f t="shared" si="2"/>
        <v>1</v>
      </c>
      <c r="X10" s="17">
        <f t="shared" si="2"/>
        <v>0</v>
      </c>
      <c r="Y10" s="17">
        <f t="shared" si="2"/>
        <v>21</v>
      </c>
      <c r="Z10" s="17">
        <f t="shared" si="2"/>
        <v>0</v>
      </c>
      <c r="AA10" s="17">
        <f t="shared" si="2"/>
        <v>5</v>
      </c>
      <c r="AB10" s="17">
        <f t="shared" si="2"/>
        <v>0</v>
      </c>
      <c r="AC10" s="17">
        <f t="shared" si="2"/>
        <v>423</v>
      </c>
      <c r="AD10" s="17">
        <f t="shared" si="2"/>
        <v>0</v>
      </c>
      <c r="AE10" s="31">
        <f t="shared" si="2"/>
        <v>485</v>
      </c>
      <c r="AF10" s="31">
        <f t="shared" si="2"/>
        <v>908</v>
      </c>
    </row>
    <row r="11" spans="2:32" s="6" customFormat="1" ht="23.1" customHeight="1" x14ac:dyDescent="0.25">
      <c r="B11" s="45" t="s">
        <v>38</v>
      </c>
      <c r="C11" s="50">
        <v>72</v>
      </c>
      <c r="D11" s="50">
        <v>3</v>
      </c>
      <c r="E11" s="50">
        <v>0</v>
      </c>
      <c r="F11" s="50">
        <v>29</v>
      </c>
      <c r="G11" s="50">
        <v>0</v>
      </c>
      <c r="H11" s="50">
        <v>0</v>
      </c>
      <c r="I11" s="50">
        <v>4</v>
      </c>
      <c r="J11" s="50">
        <v>0</v>
      </c>
      <c r="K11" s="50">
        <v>1</v>
      </c>
      <c r="L11" s="50">
        <v>0</v>
      </c>
      <c r="M11" s="50">
        <v>102</v>
      </c>
      <c r="N11" s="50">
        <v>0</v>
      </c>
      <c r="O11" s="15">
        <f t="shared" si="0"/>
        <v>109</v>
      </c>
      <c r="P11" s="15">
        <f t="shared" si="1"/>
        <v>211</v>
      </c>
      <c r="R11" s="1" t="s">
        <v>7</v>
      </c>
      <c r="S11" s="17">
        <f t="shared" ref="S11:AF11" si="3">SUM(C14:C17)</f>
        <v>210</v>
      </c>
      <c r="T11" s="17">
        <f t="shared" si="3"/>
        <v>31</v>
      </c>
      <c r="U11" s="17">
        <f t="shared" si="3"/>
        <v>18</v>
      </c>
      <c r="V11" s="17">
        <f t="shared" si="3"/>
        <v>69</v>
      </c>
      <c r="W11" s="17">
        <f t="shared" si="3"/>
        <v>3</v>
      </c>
      <c r="X11" s="17">
        <f t="shared" si="3"/>
        <v>0</v>
      </c>
      <c r="Y11" s="17">
        <f t="shared" si="3"/>
        <v>12</v>
      </c>
      <c r="Z11" s="17">
        <f t="shared" si="3"/>
        <v>3</v>
      </c>
      <c r="AA11" s="17">
        <f t="shared" si="3"/>
        <v>1</v>
      </c>
      <c r="AB11" s="17">
        <f t="shared" si="3"/>
        <v>0</v>
      </c>
      <c r="AC11" s="17">
        <f t="shared" si="3"/>
        <v>469</v>
      </c>
      <c r="AD11" s="17">
        <f t="shared" si="3"/>
        <v>0</v>
      </c>
      <c r="AE11" s="31">
        <f t="shared" si="3"/>
        <v>347</v>
      </c>
      <c r="AF11" s="31">
        <f t="shared" si="3"/>
        <v>816</v>
      </c>
    </row>
    <row r="12" spans="2:32" ht="23.1" customHeight="1" x14ac:dyDescent="0.25">
      <c r="B12" s="45" t="s">
        <v>39</v>
      </c>
      <c r="C12" s="50">
        <v>78</v>
      </c>
      <c r="D12" s="50">
        <v>7</v>
      </c>
      <c r="E12" s="50">
        <v>0</v>
      </c>
      <c r="F12" s="50">
        <v>33</v>
      </c>
      <c r="G12" s="50">
        <v>1</v>
      </c>
      <c r="H12" s="50">
        <v>0</v>
      </c>
      <c r="I12" s="50">
        <v>7</v>
      </c>
      <c r="J12" s="50">
        <v>0</v>
      </c>
      <c r="K12" s="50">
        <v>2</v>
      </c>
      <c r="L12" s="50">
        <v>0</v>
      </c>
      <c r="M12" s="50">
        <v>110</v>
      </c>
      <c r="N12" s="50">
        <v>0</v>
      </c>
      <c r="O12" s="15">
        <f t="shared" si="0"/>
        <v>128</v>
      </c>
      <c r="P12" s="15">
        <f t="shared" si="1"/>
        <v>238</v>
      </c>
      <c r="R12" s="1" t="s">
        <v>8</v>
      </c>
      <c r="S12" s="17">
        <f t="shared" ref="S12:AF12" si="4">SUM(C18:C21)</f>
        <v>168</v>
      </c>
      <c r="T12" s="17">
        <f t="shared" si="4"/>
        <v>30</v>
      </c>
      <c r="U12" s="17">
        <f t="shared" si="4"/>
        <v>21</v>
      </c>
      <c r="V12" s="17">
        <f t="shared" si="4"/>
        <v>52</v>
      </c>
      <c r="W12" s="17">
        <f t="shared" si="4"/>
        <v>2</v>
      </c>
      <c r="X12" s="17">
        <f t="shared" si="4"/>
        <v>0</v>
      </c>
      <c r="Y12" s="17">
        <f t="shared" si="4"/>
        <v>13</v>
      </c>
      <c r="Z12" s="17">
        <f t="shared" si="4"/>
        <v>4</v>
      </c>
      <c r="AA12" s="17">
        <f t="shared" si="4"/>
        <v>2</v>
      </c>
      <c r="AB12" s="17">
        <f t="shared" si="4"/>
        <v>1</v>
      </c>
      <c r="AC12" s="17">
        <f t="shared" si="4"/>
        <v>484</v>
      </c>
      <c r="AD12" s="17">
        <f t="shared" si="4"/>
        <v>0</v>
      </c>
      <c r="AE12" s="31">
        <f t="shared" si="4"/>
        <v>293</v>
      </c>
      <c r="AF12" s="31">
        <f t="shared" si="4"/>
        <v>777</v>
      </c>
    </row>
    <row r="13" spans="2:32" ht="23.1" customHeight="1" x14ac:dyDescent="0.25">
      <c r="B13" s="45" t="s">
        <v>40</v>
      </c>
      <c r="C13" s="50">
        <v>78</v>
      </c>
      <c r="D13" s="50">
        <v>9</v>
      </c>
      <c r="E13" s="50">
        <v>7</v>
      </c>
      <c r="F13" s="50">
        <v>28</v>
      </c>
      <c r="G13" s="50">
        <v>0</v>
      </c>
      <c r="H13" s="50">
        <v>0</v>
      </c>
      <c r="I13" s="50">
        <v>7</v>
      </c>
      <c r="J13" s="50">
        <v>0</v>
      </c>
      <c r="K13" s="50">
        <v>1</v>
      </c>
      <c r="L13" s="50">
        <v>0</v>
      </c>
      <c r="M13" s="50">
        <v>118</v>
      </c>
      <c r="N13" s="50">
        <v>0</v>
      </c>
      <c r="O13" s="15">
        <f t="shared" si="0"/>
        <v>130</v>
      </c>
      <c r="P13" s="15">
        <f t="shared" si="1"/>
        <v>248</v>
      </c>
      <c r="R13" s="1" t="s">
        <v>9</v>
      </c>
      <c r="S13" s="17">
        <f t="shared" ref="S13:AF13" si="5">SUM(C22:C25)</f>
        <v>143</v>
      </c>
      <c r="T13" s="17">
        <f t="shared" si="5"/>
        <v>23</v>
      </c>
      <c r="U13" s="17">
        <f t="shared" si="5"/>
        <v>15</v>
      </c>
      <c r="V13" s="17">
        <f t="shared" si="5"/>
        <v>40</v>
      </c>
      <c r="W13" s="17">
        <f t="shared" si="5"/>
        <v>0</v>
      </c>
      <c r="X13" s="17">
        <f t="shared" si="5"/>
        <v>0</v>
      </c>
      <c r="Y13" s="17">
        <f t="shared" si="5"/>
        <v>18</v>
      </c>
      <c r="Z13" s="17">
        <f t="shared" si="5"/>
        <v>4</v>
      </c>
      <c r="AA13" s="17">
        <f t="shared" si="5"/>
        <v>0</v>
      </c>
      <c r="AB13" s="17">
        <f t="shared" si="5"/>
        <v>0</v>
      </c>
      <c r="AC13" s="17">
        <f t="shared" si="5"/>
        <v>400</v>
      </c>
      <c r="AD13" s="17">
        <f t="shared" si="5"/>
        <v>0</v>
      </c>
      <c r="AE13" s="31">
        <f t="shared" si="5"/>
        <v>243</v>
      </c>
      <c r="AF13" s="31">
        <f t="shared" si="5"/>
        <v>643</v>
      </c>
    </row>
    <row r="14" spans="2:32" ht="23.1" customHeight="1" x14ac:dyDescent="0.25">
      <c r="B14" s="45" t="s">
        <v>41</v>
      </c>
      <c r="C14" s="50">
        <v>50</v>
      </c>
      <c r="D14" s="50">
        <v>8</v>
      </c>
      <c r="E14" s="50">
        <v>2</v>
      </c>
      <c r="F14" s="50">
        <v>19</v>
      </c>
      <c r="G14" s="50">
        <v>1</v>
      </c>
      <c r="H14" s="50">
        <v>0</v>
      </c>
      <c r="I14" s="50">
        <v>4</v>
      </c>
      <c r="J14" s="50">
        <v>0</v>
      </c>
      <c r="K14" s="50">
        <v>1</v>
      </c>
      <c r="L14" s="50">
        <v>0</v>
      </c>
      <c r="M14" s="50">
        <v>122</v>
      </c>
      <c r="N14" s="50">
        <v>0</v>
      </c>
      <c r="O14" s="15">
        <f t="shared" si="0"/>
        <v>85</v>
      </c>
      <c r="P14" s="15">
        <f t="shared" si="1"/>
        <v>207</v>
      </c>
      <c r="R14" s="1" t="s">
        <v>10</v>
      </c>
      <c r="S14" s="17">
        <f t="shared" ref="S14:AF14" si="6">SUM(C26:C29)</f>
        <v>97</v>
      </c>
      <c r="T14" s="17">
        <f t="shared" si="6"/>
        <v>16</v>
      </c>
      <c r="U14" s="17">
        <f t="shared" si="6"/>
        <v>16</v>
      </c>
      <c r="V14" s="17">
        <f t="shared" si="6"/>
        <v>27</v>
      </c>
      <c r="W14" s="17">
        <f t="shared" si="6"/>
        <v>0</v>
      </c>
      <c r="X14" s="17">
        <f t="shared" si="6"/>
        <v>0</v>
      </c>
      <c r="Y14" s="17">
        <f t="shared" si="6"/>
        <v>16</v>
      </c>
      <c r="Z14" s="17">
        <f t="shared" si="6"/>
        <v>7</v>
      </c>
      <c r="AA14" s="17">
        <f t="shared" si="6"/>
        <v>0</v>
      </c>
      <c r="AB14" s="17">
        <f t="shared" si="6"/>
        <v>0</v>
      </c>
      <c r="AC14" s="17">
        <f t="shared" si="6"/>
        <v>369</v>
      </c>
      <c r="AD14" s="17">
        <f t="shared" si="6"/>
        <v>0</v>
      </c>
      <c r="AE14" s="31">
        <f t="shared" si="6"/>
        <v>179</v>
      </c>
      <c r="AF14" s="31">
        <f t="shared" si="6"/>
        <v>548</v>
      </c>
    </row>
    <row r="15" spans="2:32" ht="23.1" customHeight="1" x14ac:dyDescent="0.25">
      <c r="B15" s="45" t="s">
        <v>42</v>
      </c>
      <c r="C15" s="50">
        <v>54</v>
      </c>
      <c r="D15" s="50">
        <v>8</v>
      </c>
      <c r="E15" s="50">
        <v>6</v>
      </c>
      <c r="F15" s="50">
        <v>17</v>
      </c>
      <c r="G15" s="50">
        <v>1</v>
      </c>
      <c r="H15" s="50">
        <v>0</v>
      </c>
      <c r="I15" s="50">
        <v>3</v>
      </c>
      <c r="J15" s="50">
        <v>1</v>
      </c>
      <c r="K15" s="50">
        <v>0</v>
      </c>
      <c r="L15" s="50">
        <v>0</v>
      </c>
      <c r="M15" s="50">
        <v>110</v>
      </c>
      <c r="N15" s="50">
        <v>0</v>
      </c>
      <c r="O15" s="15">
        <f t="shared" si="0"/>
        <v>90</v>
      </c>
      <c r="P15" s="15">
        <f t="shared" si="1"/>
        <v>200</v>
      </c>
      <c r="R15" s="1" t="s">
        <v>11</v>
      </c>
      <c r="S15" s="17">
        <f t="shared" ref="S15:AF15" si="7">SUM(C30:C33)</f>
        <v>125</v>
      </c>
      <c r="T15" s="17">
        <f t="shared" si="7"/>
        <v>16</v>
      </c>
      <c r="U15" s="17">
        <f t="shared" si="7"/>
        <v>13</v>
      </c>
      <c r="V15" s="17">
        <f t="shared" si="7"/>
        <v>27</v>
      </c>
      <c r="W15" s="17">
        <f t="shared" si="7"/>
        <v>1</v>
      </c>
      <c r="X15" s="17">
        <f t="shared" si="7"/>
        <v>0</v>
      </c>
      <c r="Y15" s="17">
        <f t="shared" si="7"/>
        <v>10</v>
      </c>
      <c r="Z15" s="17">
        <f t="shared" si="7"/>
        <v>3</v>
      </c>
      <c r="AA15" s="17">
        <f t="shared" si="7"/>
        <v>0</v>
      </c>
      <c r="AB15" s="17">
        <f t="shared" si="7"/>
        <v>1</v>
      </c>
      <c r="AC15" s="17">
        <f t="shared" si="7"/>
        <v>297</v>
      </c>
      <c r="AD15" s="17">
        <f t="shared" si="7"/>
        <v>0</v>
      </c>
      <c r="AE15" s="31">
        <f t="shared" si="7"/>
        <v>196</v>
      </c>
      <c r="AF15" s="31">
        <f t="shared" si="7"/>
        <v>493</v>
      </c>
    </row>
    <row r="16" spans="2:32" ht="23.1" customHeight="1" x14ac:dyDescent="0.25">
      <c r="B16" s="45" t="s">
        <v>43</v>
      </c>
      <c r="C16" s="50">
        <v>43</v>
      </c>
      <c r="D16" s="50">
        <v>8</v>
      </c>
      <c r="E16" s="50">
        <v>4</v>
      </c>
      <c r="F16" s="50">
        <v>17</v>
      </c>
      <c r="G16" s="50">
        <v>1</v>
      </c>
      <c r="H16" s="50">
        <v>0</v>
      </c>
      <c r="I16" s="50">
        <v>2</v>
      </c>
      <c r="J16" s="50">
        <v>1</v>
      </c>
      <c r="K16" s="50">
        <v>0</v>
      </c>
      <c r="L16" s="50">
        <v>0</v>
      </c>
      <c r="M16" s="50">
        <v>117</v>
      </c>
      <c r="N16" s="50">
        <v>0</v>
      </c>
      <c r="O16" s="15">
        <f t="shared" si="0"/>
        <v>76</v>
      </c>
      <c r="P16" s="15">
        <f t="shared" si="1"/>
        <v>193</v>
      </c>
      <c r="R16" s="1" t="s">
        <v>12</v>
      </c>
      <c r="S16" s="17">
        <f t="shared" ref="S16:AF16" si="8">SUM(C34:C37)</f>
        <v>105</v>
      </c>
      <c r="T16" s="17">
        <f t="shared" si="8"/>
        <v>20</v>
      </c>
      <c r="U16" s="17">
        <f t="shared" si="8"/>
        <v>12</v>
      </c>
      <c r="V16" s="17">
        <f t="shared" si="8"/>
        <v>29</v>
      </c>
      <c r="W16" s="17">
        <f t="shared" si="8"/>
        <v>0</v>
      </c>
      <c r="X16" s="17">
        <f t="shared" si="8"/>
        <v>0</v>
      </c>
      <c r="Y16" s="17">
        <f t="shared" si="8"/>
        <v>8</v>
      </c>
      <c r="Z16" s="17">
        <f t="shared" si="8"/>
        <v>4</v>
      </c>
      <c r="AA16" s="17">
        <f t="shared" si="8"/>
        <v>4</v>
      </c>
      <c r="AB16" s="17">
        <f t="shared" si="8"/>
        <v>0</v>
      </c>
      <c r="AC16" s="17">
        <f t="shared" si="8"/>
        <v>274</v>
      </c>
      <c r="AD16" s="17">
        <f t="shared" si="8"/>
        <v>0</v>
      </c>
      <c r="AE16" s="31">
        <f t="shared" si="8"/>
        <v>182</v>
      </c>
      <c r="AF16" s="31">
        <f t="shared" si="8"/>
        <v>456</v>
      </c>
    </row>
    <row r="17" spans="2:32" ht="23.1" customHeight="1" x14ac:dyDescent="0.25">
      <c r="B17" s="45" t="s">
        <v>44</v>
      </c>
      <c r="C17" s="50">
        <v>63</v>
      </c>
      <c r="D17" s="50">
        <v>7</v>
      </c>
      <c r="E17" s="50">
        <v>6</v>
      </c>
      <c r="F17" s="50">
        <v>16</v>
      </c>
      <c r="G17" s="50">
        <v>0</v>
      </c>
      <c r="H17" s="50">
        <v>0</v>
      </c>
      <c r="I17" s="50">
        <v>3</v>
      </c>
      <c r="J17" s="50">
        <v>1</v>
      </c>
      <c r="K17" s="50">
        <v>0</v>
      </c>
      <c r="L17" s="50">
        <v>0</v>
      </c>
      <c r="M17" s="50">
        <v>120</v>
      </c>
      <c r="N17" s="50">
        <v>0</v>
      </c>
      <c r="O17" s="15">
        <f t="shared" si="0"/>
        <v>96</v>
      </c>
      <c r="P17" s="15">
        <f t="shared" si="1"/>
        <v>216</v>
      </c>
      <c r="R17" s="1" t="s">
        <v>13</v>
      </c>
      <c r="S17" s="17">
        <f t="shared" ref="S17:AF17" si="9">SUM(C38:C41)</f>
        <v>118</v>
      </c>
      <c r="T17" s="17">
        <f t="shared" si="9"/>
        <v>14</v>
      </c>
      <c r="U17" s="17">
        <f t="shared" si="9"/>
        <v>15</v>
      </c>
      <c r="V17" s="17">
        <f t="shared" si="9"/>
        <v>32</v>
      </c>
      <c r="W17" s="17">
        <f t="shared" si="9"/>
        <v>1</v>
      </c>
      <c r="X17" s="17">
        <f t="shared" si="9"/>
        <v>0</v>
      </c>
      <c r="Y17" s="17">
        <f t="shared" si="9"/>
        <v>9</v>
      </c>
      <c r="Z17" s="17">
        <f t="shared" si="9"/>
        <v>11</v>
      </c>
      <c r="AA17" s="17">
        <f t="shared" si="9"/>
        <v>1</v>
      </c>
      <c r="AB17" s="17">
        <f t="shared" si="9"/>
        <v>1</v>
      </c>
      <c r="AC17" s="17">
        <f t="shared" si="9"/>
        <v>280</v>
      </c>
      <c r="AD17" s="17">
        <f t="shared" si="9"/>
        <v>0</v>
      </c>
      <c r="AE17" s="31">
        <f t="shared" si="9"/>
        <v>202</v>
      </c>
      <c r="AF17" s="31">
        <f t="shared" si="9"/>
        <v>482</v>
      </c>
    </row>
    <row r="18" spans="2:32" ht="23.1" customHeight="1" x14ac:dyDescent="0.25">
      <c r="B18" s="45" t="s">
        <v>45</v>
      </c>
      <c r="C18" s="50">
        <v>37</v>
      </c>
      <c r="D18" s="50">
        <v>8</v>
      </c>
      <c r="E18" s="50">
        <v>6</v>
      </c>
      <c r="F18" s="50">
        <v>15</v>
      </c>
      <c r="G18" s="50">
        <v>0</v>
      </c>
      <c r="H18" s="50">
        <v>0</v>
      </c>
      <c r="I18" s="50">
        <v>3</v>
      </c>
      <c r="J18" s="50">
        <v>4</v>
      </c>
      <c r="K18" s="50">
        <v>0</v>
      </c>
      <c r="L18" s="50">
        <v>1</v>
      </c>
      <c r="M18" s="50">
        <v>115</v>
      </c>
      <c r="N18" s="50">
        <v>0</v>
      </c>
      <c r="O18" s="15">
        <f t="shared" si="0"/>
        <v>74</v>
      </c>
      <c r="P18" s="15">
        <f t="shared" si="1"/>
        <v>189</v>
      </c>
      <c r="R18" s="1" t="s">
        <v>14</v>
      </c>
      <c r="S18" s="17">
        <f t="shared" ref="S18:AF18" si="10">SUM(C42:C45)</f>
        <v>127</v>
      </c>
      <c r="T18" s="17">
        <f t="shared" si="10"/>
        <v>24</v>
      </c>
      <c r="U18" s="17">
        <f t="shared" si="10"/>
        <v>15</v>
      </c>
      <c r="V18" s="17">
        <f t="shared" si="10"/>
        <v>25</v>
      </c>
      <c r="W18" s="17">
        <f t="shared" si="10"/>
        <v>0</v>
      </c>
      <c r="X18" s="17">
        <f t="shared" si="10"/>
        <v>0</v>
      </c>
      <c r="Y18" s="17">
        <f t="shared" si="10"/>
        <v>11</v>
      </c>
      <c r="Z18" s="17">
        <f t="shared" si="10"/>
        <v>8</v>
      </c>
      <c r="AA18" s="17">
        <f t="shared" si="10"/>
        <v>2</v>
      </c>
      <c r="AB18" s="17">
        <f t="shared" si="10"/>
        <v>2</v>
      </c>
      <c r="AC18" s="17">
        <f t="shared" si="10"/>
        <v>271</v>
      </c>
      <c r="AD18" s="17">
        <f t="shared" si="10"/>
        <v>0</v>
      </c>
      <c r="AE18" s="31">
        <f t="shared" si="10"/>
        <v>214</v>
      </c>
      <c r="AF18" s="31">
        <f t="shared" si="10"/>
        <v>485</v>
      </c>
    </row>
    <row r="19" spans="2:32" ht="23.1" customHeight="1" x14ac:dyDescent="0.25">
      <c r="B19" s="45" t="s">
        <v>46</v>
      </c>
      <c r="C19" s="50">
        <v>45</v>
      </c>
      <c r="D19" s="50">
        <v>11</v>
      </c>
      <c r="E19" s="50">
        <v>6</v>
      </c>
      <c r="F19" s="50">
        <v>15</v>
      </c>
      <c r="G19" s="50">
        <v>1</v>
      </c>
      <c r="H19" s="50">
        <v>0</v>
      </c>
      <c r="I19" s="50">
        <v>5</v>
      </c>
      <c r="J19" s="50">
        <v>0</v>
      </c>
      <c r="K19" s="50">
        <v>0</v>
      </c>
      <c r="L19" s="50">
        <v>0</v>
      </c>
      <c r="M19" s="50">
        <v>120</v>
      </c>
      <c r="N19" s="50">
        <v>0</v>
      </c>
      <c r="O19" s="15">
        <f t="shared" si="0"/>
        <v>83</v>
      </c>
      <c r="P19" s="15">
        <f t="shared" si="1"/>
        <v>203</v>
      </c>
      <c r="R19" s="1" t="s">
        <v>15</v>
      </c>
      <c r="S19" s="17">
        <f t="shared" ref="S19:AF19" si="11">SUM(C46:C49)</f>
        <v>141</v>
      </c>
      <c r="T19" s="17">
        <f t="shared" si="11"/>
        <v>17</v>
      </c>
      <c r="U19" s="17">
        <f t="shared" si="11"/>
        <v>22</v>
      </c>
      <c r="V19" s="17">
        <f t="shared" si="11"/>
        <v>33</v>
      </c>
      <c r="W19" s="17">
        <f t="shared" si="11"/>
        <v>0</v>
      </c>
      <c r="X19" s="17">
        <f t="shared" si="11"/>
        <v>0</v>
      </c>
      <c r="Y19" s="17">
        <f t="shared" si="11"/>
        <v>10</v>
      </c>
      <c r="Z19" s="17">
        <f t="shared" si="11"/>
        <v>2</v>
      </c>
      <c r="AA19" s="17">
        <f t="shared" si="11"/>
        <v>1</v>
      </c>
      <c r="AB19" s="17">
        <f t="shared" si="11"/>
        <v>0</v>
      </c>
      <c r="AC19" s="17">
        <f t="shared" si="11"/>
        <v>269</v>
      </c>
      <c r="AD19" s="17">
        <f t="shared" si="11"/>
        <v>0</v>
      </c>
      <c r="AE19" s="31">
        <f t="shared" si="11"/>
        <v>226</v>
      </c>
      <c r="AF19" s="31">
        <f t="shared" si="11"/>
        <v>495</v>
      </c>
    </row>
    <row r="20" spans="2:32" ht="23.1" customHeight="1" x14ac:dyDescent="0.25">
      <c r="B20" s="45" t="s">
        <v>47</v>
      </c>
      <c r="C20" s="50">
        <v>47</v>
      </c>
      <c r="D20" s="50">
        <v>6</v>
      </c>
      <c r="E20" s="50">
        <v>5</v>
      </c>
      <c r="F20" s="50">
        <v>9</v>
      </c>
      <c r="G20" s="50">
        <v>0</v>
      </c>
      <c r="H20" s="50">
        <v>0</v>
      </c>
      <c r="I20" s="50">
        <v>3</v>
      </c>
      <c r="J20" s="50">
        <v>0</v>
      </c>
      <c r="K20" s="50">
        <v>2</v>
      </c>
      <c r="L20" s="50">
        <v>0</v>
      </c>
      <c r="M20" s="50">
        <v>124</v>
      </c>
      <c r="N20" s="50">
        <v>0</v>
      </c>
      <c r="O20" s="15">
        <f t="shared" si="0"/>
        <v>72</v>
      </c>
      <c r="P20" s="15">
        <f t="shared" si="1"/>
        <v>196</v>
      </c>
      <c r="R20" s="1" t="s">
        <v>16</v>
      </c>
      <c r="S20" s="17">
        <f t="shared" ref="S20:AF20" si="12">SUM(C50:C53)</f>
        <v>122</v>
      </c>
      <c r="T20" s="17">
        <f t="shared" si="12"/>
        <v>15</v>
      </c>
      <c r="U20" s="17">
        <f t="shared" si="12"/>
        <v>626</v>
      </c>
      <c r="V20" s="17">
        <f t="shared" si="12"/>
        <v>23</v>
      </c>
      <c r="W20" s="17">
        <f t="shared" si="12"/>
        <v>4</v>
      </c>
      <c r="X20" s="17">
        <f t="shared" si="12"/>
        <v>4</v>
      </c>
      <c r="Y20" s="17">
        <f t="shared" si="12"/>
        <v>9</v>
      </c>
      <c r="Z20" s="17">
        <f t="shared" si="12"/>
        <v>4</v>
      </c>
      <c r="AA20" s="17">
        <f t="shared" si="12"/>
        <v>1</v>
      </c>
      <c r="AB20" s="17">
        <f t="shared" si="12"/>
        <v>0</v>
      </c>
      <c r="AC20" s="17">
        <f t="shared" si="12"/>
        <v>416</v>
      </c>
      <c r="AD20" s="17">
        <f t="shared" si="12"/>
        <v>0</v>
      </c>
      <c r="AE20" s="31">
        <f t="shared" si="12"/>
        <v>808</v>
      </c>
      <c r="AF20" s="31">
        <f t="shared" si="12"/>
        <v>1224</v>
      </c>
    </row>
    <row r="21" spans="2:32" ht="23.1" customHeight="1" x14ac:dyDescent="0.25">
      <c r="B21" s="45" t="s">
        <v>48</v>
      </c>
      <c r="C21" s="50">
        <v>39</v>
      </c>
      <c r="D21" s="50">
        <v>5</v>
      </c>
      <c r="E21" s="50">
        <v>4</v>
      </c>
      <c r="F21" s="50">
        <v>13</v>
      </c>
      <c r="G21" s="50">
        <v>1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125</v>
      </c>
      <c r="N21" s="50">
        <v>0</v>
      </c>
      <c r="O21" s="15">
        <f t="shared" si="0"/>
        <v>64</v>
      </c>
      <c r="P21" s="15">
        <f t="shared" si="1"/>
        <v>189</v>
      </c>
      <c r="R21" s="36" t="s">
        <v>20</v>
      </c>
      <c r="S21" s="34">
        <f t="shared" ref="S21:AF21" si="13">SUM(C54:C57)</f>
        <v>106</v>
      </c>
      <c r="T21" s="17">
        <f t="shared" si="13"/>
        <v>22</v>
      </c>
      <c r="U21" s="17">
        <f t="shared" si="13"/>
        <v>14</v>
      </c>
      <c r="V21" s="17">
        <f t="shared" si="13"/>
        <v>34</v>
      </c>
      <c r="W21" s="17">
        <f t="shared" si="13"/>
        <v>7</v>
      </c>
      <c r="X21" s="17">
        <f t="shared" si="13"/>
        <v>1</v>
      </c>
      <c r="Y21" s="17">
        <f t="shared" si="13"/>
        <v>9</v>
      </c>
      <c r="Z21" s="17">
        <f t="shared" si="13"/>
        <v>4</v>
      </c>
      <c r="AA21" s="17">
        <f t="shared" si="13"/>
        <v>2</v>
      </c>
      <c r="AB21" s="17">
        <f t="shared" si="13"/>
        <v>2</v>
      </c>
      <c r="AC21" s="17">
        <f t="shared" si="13"/>
        <v>418</v>
      </c>
      <c r="AD21" s="17">
        <f t="shared" si="13"/>
        <v>0</v>
      </c>
      <c r="AE21" s="31">
        <f t="shared" si="13"/>
        <v>201</v>
      </c>
      <c r="AF21" s="31">
        <f t="shared" si="13"/>
        <v>619</v>
      </c>
    </row>
    <row r="22" spans="2:32" ht="23.1" customHeight="1" x14ac:dyDescent="0.25">
      <c r="B22" s="45" t="s">
        <v>49</v>
      </c>
      <c r="C22" s="50">
        <v>37</v>
      </c>
      <c r="D22" s="50">
        <v>2</v>
      </c>
      <c r="E22" s="50">
        <v>5</v>
      </c>
      <c r="F22" s="50">
        <v>10</v>
      </c>
      <c r="G22" s="50">
        <v>0</v>
      </c>
      <c r="H22" s="50">
        <v>0</v>
      </c>
      <c r="I22" s="50">
        <v>4</v>
      </c>
      <c r="J22" s="50">
        <v>0</v>
      </c>
      <c r="K22" s="50">
        <v>0</v>
      </c>
      <c r="L22" s="50">
        <v>0</v>
      </c>
      <c r="M22" s="50">
        <v>103</v>
      </c>
      <c r="N22" s="50">
        <v>0</v>
      </c>
      <c r="O22" s="15">
        <f t="shared" si="0"/>
        <v>58</v>
      </c>
      <c r="P22" s="15">
        <f t="shared" si="1"/>
        <v>161</v>
      </c>
      <c r="R22" s="36" t="s">
        <v>146</v>
      </c>
      <c r="S22" s="34">
        <f>SUM(C58:C61)</f>
        <v>189</v>
      </c>
      <c r="T22" s="34">
        <f t="shared" ref="T22:AF22" si="14">SUM(D58:D61)</f>
        <v>91</v>
      </c>
      <c r="U22" s="34">
        <f t="shared" si="14"/>
        <v>69</v>
      </c>
      <c r="V22" s="34">
        <f t="shared" si="14"/>
        <v>115</v>
      </c>
      <c r="W22" s="34">
        <f t="shared" si="14"/>
        <v>13</v>
      </c>
      <c r="X22" s="34">
        <f t="shared" si="14"/>
        <v>3</v>
      </c>
      <c r="Y22" s="34">
        <f t="shared" si="14"/>
        <v>27</v>
      </c>
      <c r="Z22" s="34">
        <f t="shared" si="14"/>
        <v>25</v>
      </c>
      <c r="AA22" s="34">
        <f t="shared" si="14"/>
        <v>20</v>
      </c>
      <c r="AB22" s="34">
        <f t="shared" si="14"/>
        <v>5</v>
      </c>
      <c r="AC22" s="34">
        <f t="shared" si="14"/>
        <v>295</v>
      </c>
      <c r="AD22" s="34">
        <f t="shared" si="14"/>
        <v>0</v>
      </c>
      <c r="AE22" s="31">
        <f t="shared" si="14"/>
        <v>557</v>
      </c>
      <c r="AF22" s="31">
        <f t="shared" si="14"/>
        <v>852</v>
      </c>
    </row>
    <row r="23" spans="2:32" ht="23.1" customHeight="1" x14ac:dyDescent="0.25">
      <c r="B23" s="45" t="s">
        <v>50</v>
      </c>
      <c r="C23" s="50">
        <v>34</v>
      </c>
      <c r="D23" s="50">
        <v>4</v>
      </c>
      <c r="E23" s="50">
        <v>3</v>
      </c>
      <c r="F23" s="50">
        <v>7</v>
      </c>
      <c r="G23" s="50">
        <v>0</v>
      </c>
      <c r="H23" s="50">
        <v>0</v>
      </c>
      <c r="I23" s="50">
        <v>7</v>
      </c>
      <c r="J23" s="50">
        <v>0</v>
      </c>
      <c r="K23" s="50">
        <v>0</v>
      </c>
      <c r="L23" s="50">
        <v>0</v>
      </c>
      <c r="M23" s="50">
        <v>108</v>
      </c>
      <c r="N23" s="50">
        <v>0</v>
      </c>
      <c r="O23" s="15">
        <f t="shared" si="0"/>
        <v>55</v>
      </c>
      <c r="P23" s="15">
        <f t="shared" si="1"/>
        <v>163</v>
      </c>
      <c r="R23" s="36" t="s">
        <v>147</v>
      </c>
      <c r="S23" s="34">
        <f>SUM(C62:C65)</f>
        <v>104</v>
      </c>
      <c r="T23" s="34">
        <f t="shared" ref="T23:AF23" si="15">SUM(D62:D65)</f>
        <v>7</v>
      </c>
      <c r="U23" s="34">
        <f t="shared" si="15"/>
        <v>19</v>
      </c>
      <c r="V23" s="34">
        <f t="shared" si="15"/>
        <v>59</v>
      </c>
      <c r="W23" s="34">
        <f t="shared" si="15"/>
        <v>3</v>
      </c>
      <c r="X23" s="34">
        <f t="shared" si="15"/>
        <v>0</v>
      </c>
      <c r="Y23" s="34">
        <f t="shared" si="15"/>
        <v>10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195</v>
      </c>
      <c r="AD23" s="34">
        <f t="shared" si="15"/>
        <v>0</v>
      </c>
      <c r="AE23" s="31">
        <f t="shared" si="15"/>
        <v>202</v>
      </c>
      <c r="AF23" s="31">
        <f t="shared" si="15"/>
        <v>397</v>
      </c>
    </row>
    <row r="24" spans="2:32" ht="23.1" customHeight="1" x14ac:dyDescent="0.25">
      <c r="B24" s="45" t="s">
        <v>51</v>
      </c>
      <c r="C24" s="50">
        <v>38</v>
      </c>
      <c r="D24" s="50">
        <v>8</v>
      </c>
      <c r="E24" s="50">
        <v>3</v>
      </c>
      <c r="F24" s="50">
        <v>11</v>
      </c>
      <c r="G24" s="50">
        <v>0</v>
      </c>
      <c r="H24" s="50">
        <v>0</v>
      </c>
      <c r="I24" s="50">
        <v>4</v>
      </c>
      <c r="J24" s="50">
        <v>2</v>
      </c>
      <c r="K24" s="50">
        <v>0</v>
      </c>
      <c r="L24" s="50">
        <v>0</v>
      </c>
      <c r="M24" s="50">
        <v>97</v>
      </c>
      <c r="N24" s="50">
        <v>0</v>
      </c>
      <c r="O24" s="15">
        <f t="shared" si="0"/>
        <v>66</v>
      </c>
      <c r="P24" s="15">
        <f t="shared" si="1"/>
        <v>163</v>
      </c>
      <c r="R24" s="36" t="s">
        <v>148</v>
      </c>
      <c r="S24" s="34">
        <f>SUM(C66:C69)</f>
        <v>79</v>
      </c>
      <c r="T24" s="34">
        <f t="shared" ref="T24:AF24" si="16">SUM(D66:D69)</f>
        <v>13</v>
      </c>
      <c r="U24" s="34">
        <f t="shared" si="16"/>
        <v>7</v>
      </c>
      <c r="V24" s="34">
        <f t="shared" si="16"/>
        <v>28</v>
      </c>
      <c r="W24" s="34">
        <f t="shared" si="16"/>
        <v>0</v>
      </c>
      <c r="X24" s="34">
        <f t="shared" si="16"/>
        <v>0</v>
      </c>
      <c r="Y24" s="34">
        <f t="shared" si="16"/>
        <v>6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201</v>
      </c>
      <c r="AD24" s="34">
        <f t="shared" si="16"/>
        <v>0</v>
      </c>
      <c r="AE24" s="31">
        <f t="shared" si="16"/>
        <v>134</v>
      </c>
      <c r="AF24" s="31">
        <f t="shared" si="16"/>
        <v>335</v>
      </c>
    </row>
    <row r="25" spans="2:32" ht="23.1" customHeight="1" x14ac:dyDescent="0.25">
      <c r="B25" s="45" t="s">
        <v>52</v>
      </c>
      <c r="C25" s="50">
        <v>34</v>
      </c>
      <c r="D25" s="50">
        <v>9</v>
      </c>
      <c r="E25" s="50">
        <v>4</v>
      </c>
      <c r="F25" s="50">
        <v>12</v>
      </c>
      <c r="G25" s="50">
        <v>0</v>
      </c>
      <c r="H25" s="50">
        <v>0</v>
      </c>
      <c r="I25" s="50">
        <v>3</v>
      </c>
      <c r="J25" s="50">
        <v>2</v>
      </c>
      <c r="K25" s="50">
        <v>0</v>
      </c>
      <c r="L25" s="50">
        <v>0</v>
      </c>
      <c r="M25" s="50">
        <v>92</v>
      </c>
      <c r="N25" s="50">
        <v>0</v>
      </c>
      <c r="O25" s="15">
        <f t="shared" si="0"/>
        <v>64</v>
      </c>
      <c r="P25" s="15">
        <f t="shared" si="1"/>
        <v>156</v>
      </c>
      <c r="R25" s="36" t="s">
        <v>149</v>
      </c>
      <c r="S25" s="34">
        <f>SUM(C70:C73)</f>
        <v>89</v>
      </c>
      <c r="T25" s="34">
        <f t="shared" ref="T25:AF25" si="17">SUM(D70:D73)</f>
        <v>14</v>
      </c>
      <c r="U25" s="34">
        <f t="shared" si="17"/>
        <v>9</v>
      </c>
      <c r="V25" s="34">
        <f t="shared" si="17"/>
        <v>20</v>
      </c>
      <c r="W25" s="34">
        <f t="shared" si="17"/>
        <v>0</v>
      </c>
      <c r="X25" s="34">
        <f t="shared" si="17"/>
        <v>0</v>
      </c>
      <c r="Y25" s="34">
        <f t="shared" si="17"/>
        <v>4</v>
      </c>
      <c r="Z25" s="34">
        <f t="shared" si="17"/>
        <v>1</v>
      </c>
      <c r="AA25" s="34">
        <f t="shared" si="17"/>
        <v>1</v>
      </c>
      <c r="AB25" s="34">
        <f t="shared" si="17"/>
        <v>0</v>
      </c>
      <c r="AC25" s="34">
        <f t="shared" si="17"/>
        <v>291</v>
      </c>
      <c r="AD25" s="34">
        <f t="shared" si="17"/>
        <v>0</v>
      </c>
      <c r="AE25" s="31">
        <f t="shared" si="17"/>
        <v>138</v>
      </c>
      <c r="AF25" s="31">
        <f t="shared" si="17"/>
        <v>429</v>
      </c>
    </row>
    <row r="26" spans="2:32" ht="23.1" customHeight="1" x14ac:dyDescent="0.25">
      <c r="B26" s="45" t="s">
        <v>53</v>
      </c>
      <c r="C26" s="50">
        <v>26</v>
      </c>
      <c r="D26" s="50">
        <v>6</v>
      </c>
      <c r="E26" s="50">
        <v>4</v>
      </c>
      <c r="F26" s="50">
        <v>10</v>
      </c>
      <c r="G26" s="50">
        <v>0</v>
      </c>
      <c r="H26" s="50">
        <v>0</v>
      </c>
      <c r="I26" s="50">
        <v>7</v>
      </c>
      <c r="J26" s="50">
        <v>2</v>
      </c>
      <c r="K26" s="50">
        <v>0</v>
      </c>
      <c r="L26" s="50">
        <v>0</v>
      </c>
      <c r="M26" s="50">
        <v>87</v>
      </c>
      <c r="N26" s="50">
        <v>0</v>
      </c>
      <c r="O26" s="15">
        <f t="shared" si="0"/>
        <v>55</v>
      </c>
      <c r="P26" s="15">
        <f t="shared" si="1"/>
        <v>142</v>
      </c>
      <c r="R26" s="36" t="s">
        <v>150</v>
      </c>
      <c r="S26" s="34">
        <f>SUM(C74:C77)</f>
        <v>64</v>
      </c>
      <c r="T26" s="34">
        <f t="shared" ref="T26:AF26" si="18">SUM(D74:D77)</f>
        <v>7</v>
      </c>
      <c r="U26" s="34">
        <f t="shared" si="18"/>
        <v>5</v>
      </c>
      <c r="V26" s="34">
        <f t="shared" si="18"/>
        <v>10</v>
      </c>
      <c r="W26" s="34">
        <f t="shared" si="18"/>
        <v>0</v>
      </c>
      <c r="X26" s="34">
        <f t="shared" si="18"/>
        <v>0</v>
      </c>
      <c r="Y26" s="34">
        <f t="shared" si="18"/>
        <v>5</v>
      </c>
      <c r="Z26" s="34">
        <f t="shared" si="18"/>
        <v>2</v>
      </c>
      <c r="AA26" s="34">
        <f t="shared" si="18"/>
        <v>1</v>
      </c>
      <c r="AB26" s="34">
        <f t="shared" si="18"/>
        <v>0</v>
      </c>
      <c r="AC26" s="34">
        <f t="shared" si="18"/>
        <v>201</v>
      </c>
      <c r="AD26" s="34">
        <f t="shared" si="18"/>
        <v>0</v>
      </c>
      <c r="AE26" s="31">
        <f t="shared" si="18"/>
        <v>94</v>
      </c>
      <c r="AF26" s="31">
        <f t="shared" si="18"/>
        <v>295</v>
      </c>
    </row>
    <row r="27" spans="2:32" ht="23.1" customHeight="1" x14ac:dyDescent="0.25">
      <c r="B27" s="45" t="s">
        <v>54</v>
      </c>
      <c r="C27" s="50">
        <v>27</v>
      </c>
      <c r="D27" s="50">
        <v>4</v>
      </c>
      <c r="E27" s="50">
        <v>2</v>
      </c>
      <c r="F27" s="50">
        <v>6</v>
      </c>
      <c r="G27" s="50">
        <v>0</v>
      </c>
      <c r="H27" s="50">
        <v>0</v>
      </c>
      <c r="I27" s="50">
        <v>4</v>
      </c>
      <c r="J27" s="50">
        <v>1</v>
      </c>
      <c r="K27" s="50">
        <v>0</v>
      </c>
      <c r="L27" s="50">
        <v>0</v>
      </c>
      <c r="M27" s="50">
        <v>93</v>
      </c>
      <c r="N27" s="50">
        <v>0</v>
      </c>
      <c r="O27" s="15">
        <f t="shared" si="0"/>
        <v>44</v>
      </c>
      <c r="P27" s="15">
        <f t="shared" si="1"/>
        <v>137</v>
      </c>
      <c r="R27" s="36" t="s">
        <v>151</v>
      </c>
      <c r="S27" s="34">
        <f>SUM(C78:C81)</f>
        <v>25</v>
      </c>
      <c r="T27" s="34">
        <f t="shared" ref="T27:AF27" si="19">SUM(D78:D81)</f>
        <v>4</v>
      </c>
      <c r="U27" s="34">
        <f t="shared" si="19"/>
        <v>2</v>
      </c>
      <c r="V27" s="34">
        <f t="shared" si="19"/>
        <v>8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2</v>
      </c>
      <c r="AB27" s="34">
        <f t="shared" si="19"/>
        <v>0</v>
      </c>
      <c r="AC27" s="34">
        <f t="shared" si="19"/>
        <v>104</v>
      </c>
      <c r="AD27" s="34">
        <f t="shared" si="19"/>
        <v>0</v>
      </c>
      <c r="AE27" s="31">
        <f t="shared" si="19"/>
        <v>41</v>
      </c>
      <c r="AF27" s="31">
        <f t="shared" si="19"/>
        <v>145</v>
      </c>
    </row>
    <row r="28" spans="2:32" ht="23.1" customHeight="1" x14ac:dyDescent="0.25">
      <c r="B28" s="45" t="s">
        <v>55</v>
      </c>
      <c r="C28" s="50">
        <v>22</v>
      </c>
      <c r="D28" s="50">
        <v>2</v>
      </c>
      <c r="E28" s="50">
        <v>4</v>
      </c>
      <c r="F28" s="50">
        <v>5</v>
      </c>
      <c r="G28" s="50">
        <v>0</v>
      </c>
      <c r="H28" s="50">
        <v>0</v>
      </c>
      <c r="I28" s="50">
        <v>2</v>
      </c>
      <c r="J28" s="50">
        <v>2</v>
      </c>
      <c r="K28" s="50">
        <v>0</v>
      </c>
      <c r="L28" s="50">
        <v>0</v>
      </c>
      <c r="M28" s="50">
        <v>90</v>
      </c>
      <c r="N28" s="50">
        <v>0</v>
      </c>
      <c r="O28" s="15">
        <f t="shared" si="0"/>
        <v>37</v>
      </c>
      <c r="P28" s="15">
        <f t="shared" si="1"/>
        <v>127</v>
      </c>
      <c r="R28" s="36" t="s">
        <v>152</v>
      </c>
      <c r="S28" s="34">
        <f>SUM(C82:C85)</f>
        <v>20</v>
      </c>
      <c r="T28" s="34">
        <f t="shared" ref="T28:AF28" si="20">SUM(D82:D85)</f>
        <v>8</v>
      </c>
      <c r="U28" s="34">
        <f t="shared" si="20"/>
        <v>4</v>
      </c>
      <c r="V28" s="34">
        <f t="shared" si="20"/>
        <v>7</v>
      </c>
      <c r="W28" s="34">
        <f t="shared" si="20"/>
        <v>0</v>
      </c>
      <c r="X28" s="34">
        <f t="shared" si="20"/>
        <v>0</v>
      </c>
      <c r="Y28" s="34">
        <f t="shared" si="20"/>
        <v>12</v>
      </c>
      <c r="Z28" s="34">
        <f t="shared" si="20"/>
        <v>1</v>
      </c>
      <c r="AA28" s="34">
        <f t="shared" si="20"/>
        <v>2</v>
      </c>
      <c r="AB28" s="34">
        <f t="shared" si="20"/>
        <v>0</v>
      </c>
      <c r="AC28" s="34">
        <f t="shared" si="20"/>
        <v>120</v>
      </c>
      <c r="AD28" s="34">
        <f t="shared" si="20"/>
        <v>0</v>
      </c>
      <c r="AE28" s="31">
        <f t="shared" si="20"/>
        <v>54</v>
      </c>
      <c r="AF28" s="31">
        <f t="shared" si="20"/>
        <v>174</v>
      </c>
    </row>
    <row r="29" spans="2:32" ht="23.1" customHeight="1" x14ac:dyDescent="0.25">
      <c r="B29" s="45" t="s">
        <v>56</v>
      </c>
      <c r="C29" s="50">
        <v>22</v>
      </c>
      <c r="D29" s="50">
        <v>4</v>
      </c>
      <c r="E29" s="50">
        <v>6</v>
      </c>
      <c r="F29" s="50">
        <v>6</v>
      </c>
      <c r="G29" s="50">
        <v>0</v>
      </c>
      <c r="H29" s="50">
        <v>0</v>
      </c>
      <c r="I29" s="50">
        <v>3</v>
      </c>
      <c r="J29" s="50">
        <v>2</v>
      </c>
      <c r="K29" s="50">
        <v>0</v>
      </c>
      <c r="L29" s="50">
        <v>0</v>
      </c>
      <c r="M29" s="50">
        <v>99</v>
      </c>
      <c r="N29" s="50">
        <v>0</v>
      </c>
      <c r="O29" s="15">
        <f t="shared" si="0"/>
        <v>43</v>
      </c>
      <c r="P29" s="15">
        <f t="shared" si="1"/>
        <v>142</v>
      </c>
      <c r="R29" s="36" t="s">
        <v>153</v>
      </c>
      <c r="S29" s="34">
        <f>SUM(C86:C89)</f>
        <v>11</v>
      </c>
      <c r="T29" s="34">
        <f t="shared" ref="T29:AF29" si="21">SUM(D86:D89)</f>
        <v>5</v>
      </c>
      <c r="U29" s="34">
        <f t="shared" si="21"/>
        <v>1</v>
      </c>
      <c r="V29" s="34">
        <f t="shared" si="21"/>
        <v>3</v>
      </c>
      <c r="W29" s="34">
        <f t="shared" si="21"/>
        <v>0</v>
      </c>
      <c r="X29" s="34">
        <f t="shared" si="21"/>
        <v>0</v>
      </c>
      <c r="Y29" s="34">
        <f t="shared" si="21"/>
        <v>2</v>
      </c>
      <c r="Z29" s="34">
        <f t="shared" si="21"/>
        <v>0</v>
      </c>
      <c r="AA29" s="34">
        <f t="shared" si="21"/>
        <v>1</v>
      </c>
      <c r="AB29" s="34">
        <f t="shared" si="21"/>
        <v>1</v>
      </c>
      <c r="AC29" s="34">
        <f t="shared" si="21"/>
        <v>66</v>
      </c>
      <c r="AD29" s="34">
        <f t="shared" si="21"/>
        <v>0</v>
      </c>
      <c r="AE29" s="31">
        <f t="shared" si="21"/>
        <v>24</v>
      </c>
      <c r="AF29" s="31">
        <f t="shared" si="21"/>
        <v>90</v>
      </c>
    </row>
    <row r="30" spans="2:32" ht="23.1" customHeight="1" x14ac:dyDescent="0.25">
      <c r="B30" s="45" t="s">
        <v>57</v>
      </c>
      <c r="C30" s="50">
        <v>35</v>
      </c>
      <c r="D30" s="50">
        <v>7</v>
      </c>
      <c r="E30" s="50">
        <v>5</v>
      </c>
      <c r="F30" s="50">
        <v>8</v>
      </c>
      <c r="G30" s="50">
        <v>1</v>
      </c>
      <c r="H30" s="50">
        <v>0</v>
      </c>
      <c r="I30" s="50">
        <v>3</v>
      </c>
      <c r="J30" s="50">
        <v>1</v>
      </c>
      <c r="K30" s="50">
        <v>0</v>
      </c>
      <c r="L30" s="50">
        <v>0</v>
      </c>
      <c r="M30" s="50">
        <v>68</v>
      </c>
      <c r="N30" s="50">
        <v>0</v>
      </c>
      <c r="O30" s="15">
        <f t="shared" si="0"/>
        <v>60</v>
      </c>
      <c r="P30" s="15">
        <f t="shared" si="1"/>
        <v>128</v>
      </c>
      <c r="R30" s="36" t="s">
        <v>154</v>
      </c>
      <c r="S30" s="34">
        <f>SUM(C90:C93)</f>
        <v>10</v>
      </c>
      <c r="T30" s="34">
        <f t="shared" ref="T30:AF30" si="22">SUM(D90:D93)</f>
        <v>1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42</v>
      </c>
      <c r="AD30" s="34">
        <f t="shared" si="22"/>
        <v>0</v>
      </c>
      <c r="AE30" s="31">
        <f t="shared" si="22"/>
        <v>14</v>
      </c>
      <c r="AF30" s="31">
        <f t="shared" si="22"/>
        <v>56</v>
      </c>
    </row>
    <row r="31" spans="2:32" ht="23.1" customHeight="1" x14ac:dyDescent="0.25">
      <c r="B31" s="46" t="s">
        <v>58</v>
      </c>
      <c r="C31" s="50">
        <v>34</v>
      </c>
      <c r="D31" s="50">
        <v>3</v>
      </c>
      <c r="E31" s="50">
        <v>2</v>
      </c>
      <c r="F31" s="50">
        <v>6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83</v>
      </c>
      <c r="N31" s="50">
        <v>0</v>
      </c>
      <c r="O31" s="15">
        <f t="shared" si="0"/>
        <v>47</v>
      </c>
      <c r="P31" s="15">
        <f t="shared" si="1"/>
        <v>130</v>
      </c>
      <c r="R31" s="36" t="s">
        <v>155</v>
      </c>
      <c r="S31" s="34">
        <f>SUM(C94:C97)</f>
        <v>7</v>
      </c>
      <c r="T31" s="34">
        <f t="shared" ref="T31:AF31" si="23">SUM(D94:D97)</f>
        <v>1</v>
      </c>
      <c r="U31" s="34">
        <f t="shared" si="23"/>
        <v>0</v>
      </c>
      <c r="V31" s="34">
        <f t="shared" si="23"/>
        <v>2</v>
      </c>
      <c r="W31" s="34">
        <f t="shared" si="23"/>
        <v>0</v>
      </c>
      <c r="X31" s="34">
        <f t="shared" si="23"/>
        <v>0</v>
      </c>
      <c r="Y31" s="34">
        <f t="shared" si="23"/>
        <v>3</v>
      </c>
      <c r="Z31" s="34">
        <f t="shared" si="23"/>
        <v>0</v>
      </c>
      <c r="AA31" s="34">
        <f t="shared" si="23"/>
        <v>0</v>
      </c>
      <c r="AB31" s="34">
        <f t="shared" si="23"/>
        <v>2</v>
      </c>
      <c r="AC31" s="34">
        <f t="shared" si="23"/>
        <v>28</v>
      </c>
      <c r="AD31" s="34">
        <f t="shared" si="23"/>
        <v>0</v>
      </c>
      <c r="AE31" s="31">
        <f t="shared" si="23"/>
        <v>15</v>
      </c>
      <c r="AF31" s="31">
        <f t="shared" si="23"/>
        <v>43</v>
      </c>
    </row>
    <row r="32" spans="2:32" ht="23.1" customHeight="1" x14ac:dyDescent="0.25">
      <c r="B32" s="46" t="s">
        <v>59</v>
      </c>
      <c r="C32" s="50">
        <v>28</v>
      </c>
      <c r="D32" s="50">
        <v>4</v>
      </c>
      <c r="E32" s="50">
        <v>3</v>
      </c>
      <c r="F32" s="50">
        <v>6</v>
      </c>
      <c r="G32" s="50">
        <v>0</v>
      </c>
      <c r="H32" s="50">
        <v>0</v>
      </c>
      <c r="I32" s="50">
        <v>3</v>
      </c>
      <c r="J32" s="50">
        <v>1</v>
      </c>
      <c r="K32" s="50">
        <v>0</v>
      </c>
      <c r="L32" s="50">
        <v>1</v>
      </c>
      <c r="M32" s="50">
        <v>78</v>
      </c>
      <c r="N32" s="50">
        <v>0</v>
      </c>
      <c r="O32" s="15">
        <f t="shared" si="0"/>
        <v>46</v>
      </c>
      <c r="P32" s="15">
        <f t="shared" si="1"/>
        <v>124</v>
      </c>
      <c r="R32" s="33" t="s">
        <v>156</v>
      </c>
      <c r="S32" s="34">
        <f>SUM(C98:C101)</f>
        <v>15</v>
      </c>
      <c r="T32" s="34">
        <f t="shared" ref="T32:AF32" si="24">SUM(D98:D101)</f>
        <v>4</v>
      </c>
      <c r="U32" s="34">
        <f t="shared" si="24"/>
        <v>0</v>
      </c>
      <c r="V32" s="34">
        <f t="shared" si="24"/>
        <v>17</v>
      </c>
      <c r="W32" s="34">
        <f t="shared" si="24"/>
        <v>1</v>
      </c>
      <c r="X32" s="34">
        <f t="shared" si="24"/>
        <v>0</v>
      </c>
      <c r="Y32" s="34">
        <f t="shared" si="24"/>
        <v>4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105</v>
      </c>
      <c r="AD32" s="34">
        <f t="shared" si="24"/>
        <v>0</v>
      </c>
      <c r="AE32" s="31">
        <f t="shared" si="24"/>
        <v>41</v>
      </c>
      <c r="AF32" s="31">
        <f t="shared" si="24"/>
        <v>146</v>
      </c>
    </row>
    <row r="33" spans="2:32" ht="23.1" customHeight="1" x14ac:dyDescent="0.25">
      <c r="B33" s="45" t="s">
        <v>60</v>
      </c>
      <c r="C33" s="50">
        <v>28</v>
      </c>
      <c r="D33" s="50">
        <v>2</v>
      </c>
      <c r="E33" s="50">
        <v>3</v>
      </c>
      <c r="F33" s="50">
        <v>7</v>
      </c>
      <c r="G33" s="50">
        <v>0</v>
      </c>
      <c r="H33" s="50">
        <v>0</v>
      </c>
      <c r="I33" s="50">
        <v>2</v>
      </c>
      <c r="J33" s="50">
        <v>1</v>
      </c>
      <c r="K33" s="50">
        <v>0</v>
      </c>
      <c r="L33" s="50">
        <v>0</v>
      </c>
      <c r="M33" s="50">
        <v>68</v>
      </c>
      <c r="N33" s="50">
        <v>0</v>
      </c>
      <c r="O33" s="15">
        <f t="shared" si="0"/>
        <v>43</v>
      </c>
      <c r="P33" s="15">
        <f t="shared" si="1"/>
        <v>111</v>
      </c>
      <c r="R33" s="33" t="s">
        <v>157</v>
      </c>
      <c r="S33" s="34">
        <f>SUM(C102:C105)</f>
        <v>59</v>
      </c>
      <c r="T33" s="34">
        <f t="shared" ref="T33:AF33" si="25">SUM(D102:D105)</f>
        <v>34</v>
      </c>
      <c r="U33" s="34">
        <f t="shared" si="25"/>
        <v>3</v>
      </c>
      <c r="V33" s="34">
        <f t="shared" si="25"/>
        <v>56</v>
      </c>
      <c r="W33" s="34">
        <f t="shared" si="25"/>
        <v>0</v>
      </c>
      <c r="X33" s="34">
        <f t="shared" si="25"/>
        <v>0</v>
      </c>
      <c r="Y33" s="34">
        <f t="shared" si="25"/>
        <v>13</v>
      </c>
      <c r="Z33" s="34">
        <f t="shared" si="25"/>
        <v>0</v>
      </c>
      <c r="AA33" s="34">
        <f t="shared" si="25"/>
        <v>3</v>
      </c>
      <c r="AB33" s="34">
        <f t="shared" si="25"/>
        <v>2</v>
      </c>
      <c r="AC33" s="34">
        <f t="shared" si="25"/>
        <v>195</v>
      </c>
      <c r="AD33" s="34">
        <f t="shared" si="25"/>
        <v>0</v>
      </c>
      <c r="AE33" s="31">
        <f t="shared" si="25"/>
        <v>170</v>
      </c>
      <c r="AF33" s="31">
        <f t="shared" si="25"/>
        <v>365</v>
      </c>
    </row>
    <row r="34" spans="2:32" ht="23.1" customHeight="1" x14ac:dyDescent="0.25">
      <c r="B34" s="46" t="s">
        <v>61</v>
      </c>
      <c r="C34" s="50">
        <v>18</v>
      </c>
      <c r="D34" s="50">
        <v>3</v>
      </c>
      <c r="E34" s="50">
        <v>1</v>
      </c>
      <c r="F34" s="50">
        <v>4</v>
      </c>
      <c r="G34" s="50">
        <v>0</v>
      </c>
      <c r="H34" s="50">
        <v>0</v>
      </c>
      <c r="I34" s="50">
        <v>1</v>
      </c>
      <c r="J34" s="50">
        <v>0</v>
      </c>
      <c r="K34" s="50">
        <v>1</v>
      </c>
      <c r="L34" s="50">
        <v>0</v>
      </c>
      <c r="M34" s="50">
        <v>56</v>
      </c>
      <c r="N34" s="50">
        <v>0</v>
      </c>
      <c r="O34" s="15">
        <f t="shared" si="0"/>
        <v>28</v>
      </c>
      <c r="P34" s="15">
        <f t="shared" si="1"/>
        <v>84</v>
      </c>
      <c r="R34" s="38" t="s">
        <v>90</v>
      </c>
      <c r="S34" s="39">
        <f t="shared" ref="S34:AF34" si="26">MAX(S10:S12)</f>
        <v>303</v>
      </c>
      <c r="T34" s="39">
        <f t="shared" si="26"/>
        <v>31</v>
      </c>
      <c r="U34" s="39">
        <f t="shared" si="26"/>
        <v>21</v>
      </c>
      <c r="V34" s="39">
        <f t="shared" si="26"/>
        <v>123</v>
      </c>
      <c r="W34" s="39">
        <f t="shared" si="26"/>
        <v>3</v>
      </c>
      <c r="X34" s="39">
        <f t="shared" si="26"/>
        <v>0</v>
      </c>
      <c r="Y34" s="39">
        <f t="shared" si="26"/>
        <v>21</v>
      </c>
      <c r="Z34" s="39">
        <f t="shared" si="26"/>
        <v>4</v>
      </c>
      <c r="AA34" s="39">
        <f t="shared" si="26"/>
        <v>5</v>
      </c>
      <c r="AB34" s="39">
        <f t="shared" si="26"/>
        <v>1</v>
      </c>
      <c r="AC34" s="39">
        <f t="shared" si="26"/>
        <v>484</v>
      </c>
      <c r="AD34" s="39">
        <f t="shared" si="26"/>
        <v>0</v>
      </c>
      <c r="AE34" s="40">
        <f t="shared" si="26"/>
        <v>485</v>
      </c>
      <c r="AF34" s="40">
        <f t="shared" si="26"/>
        <v>908</v>
      </c>
    </row>
    <row r="35" spans="2:32" ht="23.1" customHeight="1" x14ac:dyDescent="0.25">
      <c r="B35" s="46" t="s">
        <v>62</v>
      </c>
      <c r="C35" s="50">
        <v>32</v>
      </c>
      <c r="D35" s="50">
        <v>6</v>
      </c>
      <c r="E35" s="50">
        <v>4</v>
      </c>
      <c r="F35" s="50">
        <v>10</v>
      </c>
      <c r="G35" s="50">
        <v>0</v>
      </c>
      <c r="H35" s="50">
        <v>0</v>
      </c>
      <c r="I35" s="50">
        <v>4</v>
      </c>
      <c r="J35" s="50">
        <v>2</v>
      </c>
      <c r="K35" s="50">
        <v>0</v>
      </c>
      <c r="L35" s="50">
        <v>0</v>
      </c>
      <c r="M35" s="50">
        <v>77</v>
      </c>
      <c r="N35" s="50">
        <v>0</v>
      </c>
      <c r="O35" s="15">
        <f t="shared" si="0"/>
        <v>58</v>
      </c>
      <c r="P35" s="15">
        <f t="shared" si="1"/>
        <v>135</v>
      </c>
      <c r="R35" s="38" t="s">
        <v>91</v>
      </c>
      <c r="S35" s="39">
        <f t="shared" ref="S35:AF35" si="27">MAX(S13:S18)</f>
        <v>143</v>
      </c>
      <c r="T35" s="39">
        <f t="shared" si="27"/>
        <v>24</v>
      </c>
      <c r="U35" s="39">
        <f t="shared" si="27"/>
        <v>16</v>
      </c>
      <c r="V35" s="39">
        <f t="shared" si="27"/>
        <v>40</v>
      </c>
      <c r="W35" s="39">
        <f t="shared" si="27"/>
        <v>1</v>
      </c>
      <c r="X35" s="39">
        <f t="shared" si="27"/>
        <v>0</v>
      </c>
      <c r="Y35" s="39">
        <f t="shared" si="27"/>
        <v>18</v>
      </c>
      <c r="Z35" s="39">
        <f t="shared" si="27"/>
        <v>11</v>
      </c>
      <c r="AA35" s="39">
        <f t="shared" si="27"/>
        <v>4</v>
      </c>
      <c r="AB35" s="39">
        <f t="shared" si="27"/>
        <v>2</v>
      </c>
      <c r="AC35" s="39">
        <f t="shared" si="27"/>
        <v>400</v>
      </c>
      <c r="AD35" s="39">
        <f t="shared" si="27"/>
        <v>0</v>
      </c>
      <c r="AE35" s="40">
        <f t="shared" si="27"/>
        <v>243</v>
      </c>
      <c r="AF35" s="40">
        <f t="shared" si="27"/>
        <v>643</v>
      </c>
    </row>
    <row r="36" spans="2:32" ht="23.1" customHeight="1" x14ac:dyDescent="0.25">
      <c r="B36" s="46" t="s">
        <v>63</v>
      </c>
      <c r="C36" s="50">
        <v>23</v>
      </c>
      <c r="D36" s="50">
        <v>2</v>
      </c>
      <c r="E36" s="50">
        <v>5</v>
      </c>
      <c r="F36" s="50">
        <v>7</v>
      </c>
      <c r="G36" s="50">
        <v>0</v>
      </c>
      <c r="H36" s="50">
        <v>0</v>
      </c>
      <c r="I36" s="50">
        <v>0</v>
      </c>
      <c r="J36" s="50">
        <v>2</v>
      </c>
      <c r="K36" s="50">
        <v>1</v>
      </c>
      <c r="L36" s="50">
        <v>0</v>
      </c>
      <c r="M36" s="50">
        <v>62</v>
      </c>
      <c r="N36" s="50">
        <v>0</v>
      </c>
      <c r="O36" s="15">
        <f t="shared" si="0"/>
        <v>40</v>
      </c>
      <c r="P36" s="15">
        <f t="shared" si="1"/>
        <v>102</v>
      </c>
      <c r="R36" s="38" t="s">
        <v>92</v>
      </c>
      <c r="S36" s="39">
        <f t="shared" ref="S36:AF36" si="28">MAX(S19:S21)</f>
        <v>141</v>
      </c>
      <c r="T36" s="39">
        <f t="shared" si="28"/>
        <v>22</v>
      </c>
      <c r="U36" s="39">
        <f t="shared" si="28"/>
        <v>626</v>
      </c>
      <c r="V36" s="39">
        <f t="shared" si="28"/>
        <v>34</v>
      </c>
      <c r="W36" s="39">
        <f t="shared" si="28"/>
        <v>7</v>
      </c>
      <c r="X36" s="39">
        <f t="shared" si="28"/>
        <v>4</v>
      </c>
      <c r="Y36" s="39">
        <f t="shared" si="28"/>
        <v>10</v>
      </c>
      <c r="Z36" s="39">
        <f t="shared" si="28"/>
        <v>4</v>
      </c>
      <c r="AA36" s="39">
        <f t="shared" si="28"/>
        <v>2</v>
      </c>
      <c r="AB36" s="39">
        <f t="shared" si="28"/>
        <v>2</v>
      </c>
      <c r="AC36" s="39">
        <f t="shared" si="28"/>
        <v>418</v>
      </c>
      <c r="AD36" s="39">
        <f t="shared" si="28"/>
        <v>0</v>
      </c>
      <c r="AE36" s="40">
        <f t="shared" si="28"/>
        <v>808</v>
      </c>
      <c r="AF36" s="40">
        <f t="shared" si="28"/>
        <v>1224</v>
      </c>
    </row>
    <row r="37" spans="2:32" ht="23.1" customHeight="1" x14ac:dyDescent="0.25">
      <c r="B37" s="45" t="s">
        <v>64</v>
      </c>
      <c r="C37" s="50">
        <v>32</v>
      </c>
      <c r="D37" s="50">
        <v>9</v>
      </c>
      <c r="E37" s="50">
        <v>2</v>
      </c>
      <c r="F37" s="50">
        <v>8</v>
      </c>
      <c r="G37" s="50">
        <v>0</v>
      </c>
      <c r="H37" s="50">
        <v>0</v>
      </c>
      <c r="I37" s="50">
        <v>3</v>
      </c>
      <c r="J37" s="50">
        <v>0</v>
      </c>
      <c r="K37" s="50">
        <v>2</v>
      </c>
      <c r="L37" s="50">
        <v>0</v>
      </c>
      <c r="M37" s="50">
        <v>79</v>
      </c>
      <c r="N37" s="50">
        <v>0</v>
      </c>
      <c r="O37" s="15">
        <f t="shared" si="0"/>
        <v>56</v>
      </c>
      <c r="P37" s="15">
        <f t="shared" si="1"/>
        <v>135</v>
      </c>
      <c r="R37" s="37" t="s">
        <v>85</v>
      </c>
      <c r="S37" s="35">
        <f t="shared" ref="S37:AF37" si="29">SUM(S10:S12)</f>
        <v>681</v>
      </c>
      <c r="T37" s="16">
        <f t="shared" si="29"/>
        <v>86</v>
      </c>
      <c r="U37" s="16">
        <f t="shared" si="29"/>
        <v>46</v>
      </c>
      <c r="V37" s="16">
        <f t="shared" si="29"/>
        <v>244</v>
      </c>
      <c r="W37" s="16">
        <f t="shared" si="29"/>
        <v>6</v>
      </c>
      <c r="X37" s="16">
        <f t="shared" si="29"/>
        <v>0</v>
      </c>
      <c r="Y37" s="16">
        <f t="shared" si="29"/>
        <v>46</v>
      </c>
      <c r="Z37" s="16">
        <f t="shared" si="29"/>
        <v>7</v>
      </c>
      <c r="AA37" s="16">
        <f t="shared" si="29"/>
        <v>8</v>
      </c>
      <c r="AB37" s="16">
        <f t="shared" si="29"/>
        <v>1</v>
      </c>
      <c r="AC37" s="16">
        <f t="shared" si="29"/>
        <v>1376</v>
      </c>
      <c r="AD37" s="16">
        <f t="shared" si="29"/>
        <v>0</v>
      </c>
      <c r="AE37" s="32">
        <f t="shared" si="29"/>
        <v>1125</v>
      </c>
      <c r="AF37" s="32">
        <f t="shared" si="29"/>
        <v>2501</v>
      </c>
    </row>
    <row r="38" spans="2:32" ht="23.1" customHeight="1" x14ac:dyDescent="0.25">
      <c r="B38" s="46" t="s">
        <v>65</v>
      </c>
      <c r="C38" s="50">
        <v>33</v>
      </c>
      <c r="D38" s="50">
        <v>2</v>
      </c>
      <c r="E38" s="50">
        <v>4</v>
      </c>
      <c r="F38" s="50">
        <v>5</v>
      </c>
      <c r="G38" s="50">
        <v>0</v>
      </c>
      <c r="H38" s="50">
        <v>0</v>
      </c>
      <c r="I38" s="50">
        <v>2</v>
      </c>
      <c r="J38" s="50">
        <v>2</v>
      </c>
      <c r="K38" s="50">
        <v>0</v>
      </c>
      <c r="L38" s="50">
        <v>0</v>
      </c>
      <c r="M38" s="50">
        <v>65</v>
      </c>
      <c r="N38" s="50">
        <v>0</v>
      </c>
      <c r="O38" s="15">
        <f t="shared" si="0"/>
        <v>48</v>
      </c>
      <c r="P38" s="15">
        <f t="shared" si="1"/>
        <v>113</v>
      </c>
      <c r="R38" s="28" t="s">
        <v>86</v>
      </c>
      <c r="S38" s="16">
        <f t="shared" ref="S38:AF38" si="30">SUM(S13:S18)</f>
        <v>715</v>
      </c>
      <c r="T38" s="16">
        <f t="shared" si="30"/>
        <v>113</v>
      </c>
      <c r="U38" s="16">
        <f t="shared" si="30"/>
        <v>86</v>
      </c>
      <c r="V38" s="16">
        <f t="shared" si="30"/>
        <v>180</v>
      </c>
      <c r="W38" s="16">
        <f t="shared" si="30"/>
        <v>2</v>
      </c>
      <c r="X38" s="16">
        <f t="shared" si="30"/>
        <v>0</v>
      </c>
      <c r="Y38" s="16">
        <f t="shared" si="30"/>
        <v>72</v>
      </c>
      <c r="Z38" s="16">
        <f t="shared" si="30"/>
        <v>37</v>
      </c>
      <c r="AA38" s="16">
        <f t="shared" si="30"/>
        <v>7</v>
      </c>
      <c r="AB38" s="16">
        <f t="shared" si="30"/>
        <v>4</v>
      </c>
      <c r="AC38" s="16">
        <f t="shared" si="30"/>
        <v>1891</v>
      </c>
      <c r="AD38" s="16">
        <f t="shared" si="30"/>
        <v>0</v>
      </c>
      <c r="AE38" s="32">
        <f t="shared" si="30"/>
        <v>1216</v>
      </c>
      <c r="AF38" s="32">
        <f t="shared" si="30"/>
        <v>3107</v>
      </c>
    </row>
    <row r="39" spans="2:32" ht="23.1" customHeight="1" x14ac:dyDescent="0.25">
      <c r="B39" s="46" t="s">
        <v>66</v>
      </c>
      <c r="C39" s="50">
        <v>20</v>
      </c>
      <c r="D39" s="50">
        <v>5</v>
      </c>
      <c r="E39" s="50">
        <v>3</v>
      </c>
      <c r="F39" s="50">
        <v>10</v>
      </c>
      <c r="G39" s="50">
        <v>0</v>
      </c>
      <c r="H39" s="50">
        <v>0</v>
      </c>
      <c r="I39" s="50">
        <v>4</v>
      </c>
      <c r="J39" s="50">
        <v>4</v>
      </c>
      <c r="K39" s="50">
        <v>0</v>
      </c>
      <c r="L39" s="50">
        <v>0</v>
      </c>
      <c r="M39" s="50">
        <v>68</v>
      </c>
      <c r="N39" s="50">
        <v>0</v>
      </c>
      <c r="O39" s="15">
        <f t="shared" si="0"/>
        <v>46</v>
      </c>
      <c r="P39" s="15">
        <f t="shared" si="1"/>
        <v>114</v>
      </c>
      <c r="R39" s="29" t="s">
        <v>87</v>
      </c>
      <c r="S39" s="16">
        <f t="shared" ref="S39:AF39" si="31">SUM(S19:S21)</f>
        <v>369</v>
      </c>
      <c r="T39" s="16">
        <f t="shared" si="31"/>
        <v>54</v>
      </c>
      <c r="U39" s="16">
        <f t="shared" si="31"/>
        <v>662</v>
      </c>
      <c r="V39" s="16">
        <f t="shared" si="31"/>
        <v>90</v>
      </c>
      <c r="W39" s="16">
        <f t="shared" si="31"/>
        <v>11</v>
      </c>
      <c r="X39" s="16">
        <f t="shared" si="31"/>
        <v>5</v>
      </c>
      <c r="Y39" s="16">
        <f t="shared" si="31"/>
        <v>28</v>
      </c>
      <c r="Z39" s="16">
        <f t="shared" si="31"/>
        <v>10</v>
      </c>
      <c r="AA39" s="16">
        <f t="shared" si="31"/>
        <v>4</v>
      </c>
      <c r="AB39" s="16">
        <f t="shared" si="31"/>
        <v>2</v>
      </c>
      <c r="AC39" s="16">
        <f t="shared" si="31"/>
        <v>1103</v>
      </c>
      <c r="AD39" s="16">
        <f t="shared" si="31"/>
        <v>0</v>
      </c>
      <c r="AE39" s="32">
        <f t="shared" si="31"/>
        <v>1235</v>
      </c>
      <c r="AF39" s="32">
        <f t="shared" si="31"/>
        <v>2338</v>
      </c>
    </row>
    <row r="40" spans="2:32" ht="23.1" customHeight="1" x14ac:dyDescent="0.25">
      <c r="B40" s="46" t="s">
        <v>67</v>
      </c>
      <c r="C40" s="50">
        <v>36</v>
      </c>
      <c r="D40" s="50">
        <v>4</v>
      </c>
      <c r="E40" s="50">
        <v>5</v>
      </c>
      <c r="F40" s="50">
        <v>9</v>
      </c>
      <c r="G40" s="50">
        <v>1</v>
      </c>
      <c r="H40" s="50">
        <v>0</v>
      </c>
      <c r="I40" s="50">
        <v>0</v>
      </c>
      <c r="J40" s="50">
        <v>1</v>
      </c>
      <c r="K40" s="50">
        <v>1</v>
      </c>
      <c r="L40" s="50">
        <v>1</v>
      </c>
      <c r="M40" s="50">
        <v>72</v>
      </c>
      <c r="N40" s="50">
        <v>0</v>
      </c>
      <c r="O40" s="15">
        <f t="shared" si="0"/>
        <v>58</v>
      </c>
      <c r="P40" s="15">
        <f t="shared" si="1"/>
        <v>130</v>
      </c>
      <c r="R40" s="5" t="s">
        <v>17</v>
      </c>
      <c r="S40" s="16">
        <f t="shared" ref="S40:AF40" si="32">SUM(S10:S21)</f>
        <v>1765</v>
      </c>
      <c r="T40" s="16">
        <f t="shared" si="32"/>
        <v>253</v>
      </c>
      <c r="U40" s="16">
        <f t="shared" si="32"/>
        <v>794</v>
      </c>
      <c r="V40" s="16">
        <f t="shared" si="32"/>
        <v>514</v>
      </c>
      <c r="W40" s="16">
        <f t="shared" si="32"/>
        <v>19</v>
      </c>
      <c r="X40" s="16">
        <f t="shared" si="32"/>
        <v>5</v>
      </c>
      <c r="Y40" s="16">
        <f t="shared" si="32"/>
        <v>146</v>
      </c>
      <c r="Z40" s="16">
        <f t="shared" si="32"/>
        <v>54</v>
      </c>
      <c r="AA40" s="16">
        <f t="shared" si="32"/>
        <v>19</v>
      </c>
      <c r="AB40" s="16">
        <f t="shared" si="32"/>
        <v>7</v>
      </c>
      <c r="AC40" s="16">
        <f t="shared" si="32"/>
        <v>4370</v>
      </c>
      <c r="AD40" s="16">
        <f t="shared" si="32"/>
        <v>0</v>
      </c>
      <c r="AE40" s="32">
        <f t="shared" si="32"/>
        <v>3576</v>
      </c>
      <c r="AF40" s="32">
        <f t="shared" si="32"/>
        <v>7946</v>
      </c>
    </row>
    <row r="41" spans="2:32" ht="23.1" customHeight="1" x14ac:dyDescent="0.25">
      <c r="B41" s="45" t="s">
        <v>68</v>
      </c>
      <c r="C41" s="50">
        <v>29</v>
      </c>
      <c r="D41" s="50">
        <v>3</v>
      </c>
      <c r="E41" s="50">
        <v>3</v>
      </c>
      <c r="F41" s="50">
        <v>8</v>
      </c>
      <c r="G41" s="50">
        <v>0</v>
      </c>
      <c r="H41" s="50">
        <v>0</v>
      </c>
      <c r="I41" s="50">
        <v>3</v>
      </c>
      <c r="J41" s="50">
        <v>4</v>
      </c>
      <c r="K41" s="50">
        <v>0</v>
      </c>
      <c r="L41" s="50">
        <v>0</v>
      </c>
      <c r="M41" s="50">
        <v>75</v>
      </c>
      <c r="N41" s="50">
        <v>0</v>
      </c>
      <c r="O41" s="15">
        <f t="shared" si="0"/>
        <v>50</v>
      </c>
      <c r="P41" s="15">
        <f t="shared" si="1"/>
        <v>125</v>
      </c>
      <c r="R41" s="5" t="s">
        <v>159</v>
      </c>
      <c r="S41" s="16">
        <f>SUM(S10:S33)</f>
        <v>2437</v>
      </c>
      <c r="T41" s="16">
        <f t="shared" ref="T41:AF41" si="33">SUM(T10:T33)</f>
        <v>442</v>
      </c>
      <c r="U41" s="16">
        <f t="shared" si="33"/>
        <v>914</v>
      </c>
      <c r="V41" s="16">
        <f t="shared" si="33"/>
        <v>839</v>
      </c>
      <c r="W41" s="16">
        <f t="shared" si="33"/>
        <v>36</v>
      </c>
      <c r="X41" s="16">
        <f t="shared" si="33"/>
        <v>8</v>
      </c>
      <c r="Y41" s="16">
        <f t="shared" si="33"/>
        <v>234</v>
      </c>
      <c r="Z41" s="16">
        <f t="shared" si="33"/>
        <v>84</v>
      </c>
      <c r="AA41" s="16">
        <f t="shared" si="33"/>
        <v>49</v>
      </c>
      <c r="AB41" s="16">
        <f t="shared" si="33"/>
        <v>17</v>
      </c>
      <c r="AC41" s="16">
        <f t="shared" si="33"/>
        <v>6213</v>
      </c>
      <c r="AD41" s="16">
        <f t="shared" si="33"/>
        <v>0</v>
      </c>
      <c r="AE41" s="32">
        <f t="shared" si="33"/>
        <v>5060</v>
      </c>
      <c r="AF41" s="32">
        <f t="shared" si="33"/>
        <v>11273</v>
      </c>
    </row>
    <row r="42" spans="2:32" ht="23.1" customHeight="1" x14ac:dyDescent="0.25">
      <c r="B42" s="46" t="s">
        <v>69</v>
      </c>
      <c r="C42" s="50">
        <v>32</v>
      </c>
      <c r="D42" s="50">
        <v>4</v>
      </c>
      <c r="E42" s="50">
        <v>2</v>
      </c>
      <c r="F42" s="50">
        <v>8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0</v>
      </c>
      <c r="M42" s="50">
        <v>62</v>
      </c>
      <c r="N42" s="50">
        <v>0</v>
      </c>
      <c r="O42" s="15">
        <f t="shared" si="0"/>
        <v>49</v>
      </c>
      <c r="P42" s="15">
        <f t="shared" si="1"/>
        <v>111</v>
      </c>
      <c r="R42" s="5" t="s">
        <v>160</v>
      </c>
      <c r="S42" s="48">
        <f>S41/S40</f>
        <v>1.3807365439093484</v>
      </c>
      <c r="T42" s="48">
        <f t="shared" ref="T42:AF42" si="34">T41/T40</f>
        <v>1.7470355731225296</v>
      </c>
      <c r="U42" s="48">
        <f t="shared" si="34"/>
        <v>1.1511335012594459</v>
      </c>
      <c r="V42" s="48">
        <f t="shared" si="34"/>
        <v>1.632295719844358</v>
      </c>
      <c r="W42" s="48">
        <f t="shared" si="34"/>
        <v>1.8947368421052631</v>
      </c>
      <c r="X42" s="48">
        <f t="shared" si="34"/>
        <v>1.6</v>
      </c>
      <c r="Y42" s="48">
        <f t="shared" si="34"/>
        <v>1.6027397260273972</v>
      </c>
      <c r="Z42" s="48">
        <f t="shared" si="34"/>
        <v>1.5555555555555556</v>
      </c>
      <c r="AA42" s="48">
        <f t="shared" si="34"/>
        <v>2.5789473684210527</v>
      </c>
      <c r="AB42" s="48">
        <f t="shared" si="34"/>
        <v>2.4285714285714284</v>
      </c>
      <c r="AC42" s="48">
        <f t="shared" si="34"/>
        <v>1.4217391304347826</v>
      </c>
      <c r="AD42" s="48" t="e">
        <f t="shared" si="34"/>
        <v>#DIV/0!</v>
      </c>
      <c r="AE42" s="48">
        <f t="shared" si="34"/>
        <v>1.4149888143176734</v>
      </c>
      <c r="AF42" s="48">
        <f t="shared" si="34"/>
        <v>1.4187012333249434</v>
      </c>
    </row>
    <row r="43" spans="2:32" ht="23.1" customHeight="1" x14ac:dyDescent="0.25">
      <c r="B43" s="45" t="s">
        <v>70</v>
      </c>
      <c r="C43" s="50">
        <v>28</v>
      </c>
      <c r="D43" s="50">
        <v>4</v>
      </c>
      <c r="E43" s="50">
        <v>3</v>
      </c>
      <c r="F43" s="50">
        <v>6</v>
      </c>
      <c r="G43" s="50">
        <v>0</v>
      </c>
      <c r="H43" s="50">
        <v>0</v>
      </c>
      <c r="I43" s="50">
        <v>3</v>
      </c>
      <c r="J43" s="50">
        <v>1</v>
      </c>
      <c r="K43" s="50">
        <v>0</v>
      </c>
      <c r="L43" s="50">
        <v>1</v>
      </c>
      <c r="M43" s="50">
        <v>73</v>
      </c>
      <c r="N43" s="50">
        <v>0</v>
      </c>
      <c r="O43" s="15">
        <f t="shared" si="0"/>
        <v>46</v>
      </c>
      <c r="P43" s="15">
        <f t="shared" si="1"/>
        <v>119</v>
      </c>
    </row>
    <row r="44" spans="2:32" ht="23.1" customHeight="1" x14ac:dyDescent="0.25">
      <c r="B44" s="47" t="s">
        <v>71</v>
      </c>
      <c r="C44" s="50">
        <v>30</v>
      </c>
      <c r="D44" s="50">
        <v>7</v>
      </c>
      <c r="E44" s="50">
        <v>4</v>
      </c>
      <c r="F44" s="50">
        <v>6</v>
      </c>
      <c r="G44" s="50">
        <v>0</v>
      </c>
      <c r="H44" s="50">
        <v>0</v>
      </c>
      <c r="I44" s="50">
        <v>3</v>
      </c>
      <c r="J44" s="50">
        <v>2</v>
      </c>
      <c r="K44" s="50">
        <v>1</v>
      </c>
      <c r="L44" s="50">
        <v>0</v>
      </c>
      <c r="M44" s="50">
        <v>83</v>
      </c>
      <c r="N44" s="50">
        <v>0</v>
      </c>
      <c r="O44" s="15">
        <f t="shared" si="0"/>
        <v>53</v>
      </c>
      <c r="P44" s="15">
        <f t="shared" si="1"/>
        <v>136</v>
      </c>
    </row>
    <row r="45" spans="2:32" ht="23.1" customHeight="1" x14ac:dyDescent="0.25">
      <c r="B45" s="45" t="s">
        <v>72</v>
      </c>
      <c r="C45" s="50">
        <v>37</v>
      </c>
      <c r="D45" s="50">
        <v>9</v>
      </c>
      <c r="E45" s="50">
        <v>6</v>
      </c>
      <c r="F45" s="50">
        <v>5</v>
      </c>
      <c r="G45" s="50">
        <v>0</v>
      </c>
      <c r="H45" s="50">
        <v>0</v>
      </c>
      <c r="I45" s="50">
        <v>2</v>
      </c>
      <c r="J45" s="50">
        <v>5</v>
      </c>
      <c r="K45" s="50">
        <v>1</v>
      </c>
      <c r="L45" s="50">
        <v>1</v>
      </c>
      <c r="M45" s="50">
        <v>53</v>
      </c>
      <c r="N45" s="50">
        <v>0</v>
      </c>
      <c r="O45" s="15">
        <f t="shared" si="0"/>
        <v>66</v>
      </c>
      <c r="P45" s="15">
        <f t="shared" si="1"/>
        <v>119</v>
      </c>
    </row>
    <row r="46" spans="2:32" ht="23.1" customHeight="1" x14ac:dyDescent="0.25">
      <c r="B46" s="46" t="s">
        <v>73</v>
      </c>
      <c r="C46" s="50">
        <v>32</v>
      </c>
      <c r="D46" s="50">
        <v>4</v>
      </c>
      <c r="E46" s="50">
        <v>7</v>
      </c>
      <c r="F46" s="50">
        <v>6</v>
      </c>
      <c r="G46" s="50">
        <v>0</v>
      </c>
      <c r="H46" s="50">
        <v>0</v>
      </c>
      <c r="I46" s="50">
        <v>4</v>
      </c>
      <c r="J46" s="50">
        <v>1</v>
      </c>
      <c r="K46" s="50">
        <v>0</v>
      </c>
      <c r="L46" s="50">
        <v>0</v>
      </c>
      <c r="M46" s="50">
        <v>67</v>
      </c>
      <c r="N46" s="50">
        <v>0</v>
      </c>
      <c r="O46" s="15">
        <f t="shared" si="0"/>
        <v>54</v>
      </c>
      <c r="P46" s="15">
        <f t="shared" si="1"/>
        <v>121</v>
      </c>
      <c r="R46" s="8"/>
      <c r="T46"/>
    </row>
    <row r="47" spans="2:32" ht="23.1" customHeight="1" x14ac:dyDescent="0.25">
      <c r="B47" s="46" t="s">
        <v>74</v>
      </c>
      <c r="C47" s="50">
        <v>35</v>
      </c>
      <c r="D47" s="50">
        <v>3</v>
      </c>
      <c r="E47" s="50">
        <v>8</v>
      </c>
      <c r="F47" s="50">
        <v>7</v>
      </c>
      <c r="G47" s="50">
        <v>0</v>
      </c>
      <c r="H47" s="50">
        <v>0</v>
      </c>
      <c r="I47" s="50">
        <v>4</v>
      </c>
      <c r="J47" s="50">
        <v>0</v>
      </c>
      <c r="K47" s="50">
        <v>0</v>
      </c>
      <c r="L47" s="50">
        <v>0</v>
      </c>
      <c r="M47" s="50">
        <v>65</v>
      </c>
      <c r="N47" s="50">
        <v>0</v>
      </c>
      <c r="O47" s="15">
        <f t="shared" si="0"/>
        <v>57</v>
      </c>
      <c r="P47" s="15">
        <f t="shared" si="1"/>
        <v>122</v>
      </c>
      <c r="R47" s="8"/>
      <c r="T47"/>
    </row>
    <row r="48" spans="2:32" ht="23.1" customHeight="1" x14ac:dyDescent="0.25">
      <c r="B48" s="46" t="s">
        <v>75</v>
      </c>
      <c r="C48" s="50">
        <v>36</v>
      </c>
      <c r="D48" s="50">
        <v>4</v>
      </c>
      <c r="E48" s="50">
        <v>3</v>
      </c>
      <c r="F48" s="50">
        <v>10</v>
      </c>
      <c r="G48" s="50">
        <v>0</v>
      </c>
      <c r="H48" s="50">
        <v>0</v>
      </c>
      <c r="I48" s="50">
        <v>2</v>
      </c>
      <c r="J48" s="50">
        <v>1</v>
      </c>
      <c r="K48" s="50">
        <v>1</v>
      </c>
      <c r="L48" s="50">
        <v>0</v>
      </c>
      <c r="M48" s="50">
        <v>68</v>
      </c>
      <c r="N48" s="50">
        <v>0</v>
      </c>
      <c r="O48" s="15">
        <f t="shared" si="0"/>
        <v>57</v>
      </c>
      <c r="P48" s="15">
        <f t="shared" si="1"/>
        <v>125</v>
      </c>
      <c r="R48" s="8"/>
      <c r="T48"/>
    </row>
    <row r="49" spans="2:20" ht="23.1" customHeight="1" x14ac:dyDescent="0.25">
      <c r="B49" s="45" t="s">
        <v>76</v>
      </c>
      <c r="C49" s="50">
        <v>38</v>
      </c>
      <c r="D49" s="50">
        <v>6</v>
      </c>
      <c r="E49" s="50">
        <v>4</v>
      </c>
      <c r="F49" s="50">
        <v>10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69</v>
      </c>
      <c r="N49" s="50">
        <v>0</v>
      </c>
      <c r="O49" s="15">
        <f t="shared" si="0"/>
        <v>58</v>
      </c>
      <c r="P49" s="15">
        <f t="shared" si="1"/>
        <v>127</v>
      </c>
      <c r="R49" s="8"/>
      <c r="T49"/>
    </row>
    <row r="50" spans="2:20" ht="23.1" customHeight="1" x14ac:dyDescent="0.25">
      <c r="B50" s="46" t="s">
        <v>77</v>
      </c>
      <c r="C50" s="50">
        <v>38</v>
      </c>
      <c r="D50" s="50">
        <v>3</v>
      </c>
      <c r="E50" s="50">
        <v>611</v>
      </c>
      <c r="F50" s="50">
        <v>0</v>
      </c>
      <c r="G50" s="50">
        <v>0</v>
      </c>
      <c r="H50" s="50">
        <v>4</v>
      </c>
      <c r="I50" s="50">
        <v>2</v>
      </c>
      <c r="J50" s="50">
        <v>0</v>
      </c>
      <c r="K50" s="50">
        <v>0</v>
      </c>
      <c r="L50" s="50">
        <v>0</v>
      </c>
      <c r="M50" s="50">
        <v>103</v>
      </c>
      <c r="N50" s="50">
        <v>0</v>
      </c>
      <c r="O50" s="15">
        <f t="shared" si="0"/>
        <v>658</v>
      </c>
      <c r="P50" s="15">
        <f t="shared" si="1"/>
        <v>761</v>
      </c>
      <c r="R50" s="8"/>
      <c r="T50"/>
    </row>
    <row r="51" spans="2:20" ht="23.1" customHeight="1" x14ac:dyDescent="0.25">
      <c r="B51" s="46" t="s">
        <v>78</v>
      </c>
      <c r="C51" s="50">
        <v>31</v>
      </c>
      <c r="D51" s="50">
        <v>3</v>
      </c>
      <c r="E51" s="50">
        <v>5</v>
      </c>
      <c r="F51" s="50">
        <v>5</v>
      </c>
      <c r="G51" s="50">
        <v>0</v>
      </c>
      <c r="H51" s="50">
        <v>0</v>
      </c>
      <c r="I51" s="50">
        <v>1</v>
      </c>
      <c r="J51" s="50">
        <v>2</v>
      </c>
      <c r="K51" s="50">
        <v>1</v>
      </c>
      <c r="L51" s="50">
        <v>0</v>
      </c>
      <c r="M51" s="50">
        <v>99</v>
      </c>
      <c r="N51" s="50">
        <v>0</v>
      </c>
      <c r="O51" s="15">
        <f t="shared" si="0"/>
        <v>48</v>
      </c>
      <c r="P51" s="15">
        <f t="shared" si="1"/>
        <v>147</v>
      </c>
      <c r="R51" s="8"/>
      <c r="T51"/>
    </row>
    <row r="52" spans="2:20" ht="23.1" customHeight="1" x14ac:dyDescent="0.25">
      <c r="B52" s="46" t="s">
        <v>79</v>
      </c>
      <c r="C52" s="50">
        <v>25</v>
      </c>
      <c r="D52" s="50">
        <v>7</v>
      </c>
      <c r="E52" s="50">
        <v>5</v>
      </c>
      <c r="F52" s="50">
        <v>12</v>
      </c>
      <c r="G52" s="50">
        <v>2</v>
      </c>
      <c r="H52" s="50">
        <v>0</v>
      </c>
      <c r="I52" s="50">
        <v>4</v>
      </c>
      <c r="J52" s="50">
        <v>0</v>
      </c>
      <c r="K52" s="50">
        <v>0</v>
      </c>
      <c r="L52" s="50">
        <v>0</v>
      </c>
      <c r="M52" s="50">
        <v>107</v>
      </c>
      <c r="N52" s="50">
        <v>0</v>
      </c>
      <c r="O52" s="15">
        <f t="shared" si="0"/>
        <v>55</v>
      </c>
      <c r="P52" s="15">
        <f t="shared" si="1"/>
        <v>162</v>
      </c>
      <c r="R52" s="8"/>
      <c r="T52"/>
    </row>
    <row r="53" spans="2:20" ht="23.1" customHeight="1" x14ac:dyDescent="0.25">
      <c r="B53" s="45" t="s">
        <v>80</v>
      </c>
      <c r="C53" s="50">
        <v>28</v>
      </c>
      <c r="D53" s="50">
        <v>2</v>
      </c>
      <c r="E53" s="50">
        <v>5</v>
      </c>
      <c r="F53" s="50">
        <v>6</v>
      </c>
      <c r="G53" s="50">
        <v>2</v>
      </c>
      <c r="H53" s="50">
        <v>0</v>
      </c>
      <c r="I53" s="50">
        <v>2</v>
      </c>
      <c r="J53" s="50">
        <v>2</v>
      </c>
      <c r="K53" s="50">
        <v>0</v>
      </c>
      <c r="L53" s="50">
        <v>0</v>
      </c>
      <c r="M53" s="50">
        <v>107</v>
      </c>
      <c r="N53" s="50">
        <v>0</v>
      </c>
      <c r="O53" s="15">
        <f t="shared" si="0"/>
        <v>47</v>
      </c>
      <c r="P53" s="15">
        <f t="shared" si="1"/>
        <v>154</v>
      </c>
      <c r="R53" s="8"/>
      <c r="T53"/>
    </row>
    <row r="54" spans="2:20" ht="23.1" customHeight="1" x14ac:dyDescent="0.25">
      <c r="B54" s="45" t="s">
        <v>81</v>
      </c>
      <c r="C54" s="50">
        <v>24</v>
      </c>
      <c r="D54" s="50">
        <v>2</v>
      </c>
      <c r="E54" s="50">
        <v>5</v>
      </c>
      <c r="F54" s="50">
        <v>7</v>
      </c>
      <c r="G54" s="50">
        <v>1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100</v>
      </c>
      <c r="N54" s="50">
        <v>0</v>
      </c>
      <c r="O54" s="15">
        <f t="shared" si="0"/>
        <v>41</v>
      </c>
      <c r="P54" s="15">
        <f t="shared" si="1"/>
        <v>141</v>
      </c>
      <c r="R54" s="8"/>
      <c r="T54"/>
    </row>
    <row r="55" spans="2:20" ht="23.1" customHeight="1" x14ac:dyDescent="0.25">
      <c r="B55" s="45" t="s">
        <v>82</v>
      </c>
      <c r="C55" s="50">
        <v>27</v>
      </c>
      <c r="D55" s="50">
        <v>4</v>
      </c>
      <c r="E55" s="50">
        <v>4</v>
      </c>
      <c r="F55" s="50">
        <v>8</v>
      </c>
      <c r="G55" s="50">
        <v>3</v>
      </c>
      <c r="H55" s="50">
        <v>1</v>
      </c>
      <c r="I55" s="50">
        <v>3</v>
      </c>
      <c r="J55" s="50">
        <v>1</v>
      </c>
      <c r="K55" s="50">
        <v>0</v>
      </c>
      <c r="L55" s="50">
        <v>0</v>
      </c>
      <c r="M55" s="50">
        <v>99</v>
      </c>
      <c r="N55" s="50">
        <v>0</v>
      </c>
      <c r="O55" s="15">
        <f t="shared" si="0"/>
        <v>51</v>
      </c>
      <c r="P55" s="15">
        <f t="shared" si="1"/>
        <v>150</v>
      </c>
      <c r="R55" s="8"/>
      <c r="T55"/>
    </row>
    <row r="56" spans="2:20" ht="23.1" customHeight="1" x14ac:dyDescent="0.25">
      <c r="B56" s="45" t="s">
        <v>83</v>
      </c>
      <c r="C56" s="50">
        <v>32</v>
      </c>
      <c r="D56" s="50">
        <v>7</v>
      </c>
      <c r="E56" s="50">
        <v>2</v>
      </c>
      <c r="F56" s="50">
        <v>10</v>
      </c>
      <c r="G56" s="50">
        <v>3</v>
      </c>
      <c r="H56" s="50">
        <v>0</v>
      </c>
      <c r="I56" s="50">
        <v>2</v>
      </c>
      <c r="J56" s="50">
        <v>1</v>
      </c>
      <c r="K56" s="50">
        <v>2</v>
      </c>
      <c r="L56" s="50">
        <v>0</v>
      </c>
      <c r="M56" s="50">
        <v>103</v>
      </c>
      <c r="N56" s="50">
        <v>0</v>
      </c>
      <c r="O56" s="15">
        <f t="shared" si="0"/>
        <v>59</v>
      </c>
      <c r="P56" s="15">
        <f t="shared" si="1"/>
        <v>162</v>
      </c>
      <c r="R56" s="8"/>
      <c r="T56"/>
    </row>
    <row r="57" spans="2:20" ht="23.1" customHeight="1" x14ac:dyDescent="0.25">
      <c r="B57" s="45" t="s">
        <v>84</v>
      </c>
      <c r="C57" s="50">
        <v>23</v>
      </c>
      <c r="D57" s="50">
        <v>9</v>
      </c>
      <c r="E57" s="50">
        <v>3</v>
      </c>
      <c r="F57" s="50">
        <v>9</v>
      </c>
      <c r="G57" s="50">
        <v>0</v>
      </c>
      <c r="H57" s="50">
        <v>0</v>
      </c>
      <c r="I57" s="50">
        <v>3</v>
      </c>
      <c r="J57" s="50">
        <v>1</v>
      </c>
      <c r="K57" s="50">
        <v>0</v>
      </c>
      <c r="L57" s="50">
        <v>2</v>
      </c>
      <c r="M57" s="50">
        <v>116</v>
      </c>
      <c r="N57" s="50">
        <v>0</v>
      </c>
      <c r="O57" s="15">
        <f t="shared" si="0"/>
        <v>50</v>
      </c>
      <c r="P57" s="15">
        <f t="shared" si="1"/>
        <v>166</v>
      </c>
      <c r="R57" s="8"/>
      <c r="T57"/>
    </row>
    <row r="58" spans="2:20" ht="23.1" customHeight="1" x14ac:dyDescent="0.25">
      <c r="B58" s="45" t="s">
        <v>99</v>
      </c>
      <c r="C58" s="50">
        <v>74</v>
      </c>
      <c r="D58" s="50">
        <v>35</v>
      </c>
      <c r="E58" s="50">
        <v>26</v>
      </c>
      <c r="F58" s="50">
        <v>44</v>
      </c>
      <c r="G58" s="50">
        <v>7</v>
      </c>
      <c r="H58" s="50">
        <v>0</v>
      </c>
      <c r="I58" s="50">
        <v>8</v>
      </c>
      <c r="J58" s="50">
        <v>2</v>
      </c>
      <c r="K58" s="50">
        <v>8</v>
      </c>
      <c r="L58" s="50">
        <v>1</v>
      </c>
      <c r="M58" s="50">
        <v>120</v>
      </c>
      <c r="N58" s="50">
        <v>0</v>
      </c>
      <c r="O58" s="15">
        <f t="shared" si="0"/>
        <v>205</v>
      </c>
      <c r="P58" s="15">
        <f t="shared" si="1"/>
        <v>325</v>
      </c>
      <c r="R58" s="8"/>
      <c r="T58"/>
    </row>
    <row r="59" spans="2:20" ht="23.1" customHeight="1" x14ac:dyDescent="0.25">
      <c r="B59" s="45" t="s">
        <v>100</v>
      </c>
      <c r="C59" s="50">
        <v>50</v>
      </c>
      <c r="D59" s="50">
        <v>25</v>
      </c>
      <c r="E59" s="50">
        <v>20</v>
      </c>
      <c r="F59" s="50">
        <v>25</v>
      </c>
      <c r="G59" s="50">
        <v>2</v>
      </c>
      <c r="H59" s="50">
        <v>1</v>
      </c>
      <c r="I59" s="50">
        <v>10</v>
      </c>
      <c r="J59" s="50">
        <v>6</v>
      </c>
      <c r="K59" s="50">
        <v>3</v>
      </c>
      <c r="L59" s="50">
        <v>0</v>
      </c>
      <c r="M59" s="50">
        <v>60</v>
      </c>
      <c r="N59" s="50">
        <v>0</v>
      </c>
      <c r="O59" s="15">
        <f t="shared" si="0"/>
        <v>142</v>
      </c>
      <c r="P59" s="15">
        <f t="shared" si="1"/>
        <v>202</v>
      </c>
      <c r="R59" s="8"/>
      <c r="T59"/>
    </row>
    <row r="60" spans="2:20" ht="23.1" customHeight="1" x14ac:dyDescent="0.25">
      <c r="B60" s="45" t="s">
        <v>101</v>
      </c>
      <c r="C60" s="50">
        <v>35</v>
      </c>
      <c r="D60" s="50">
        <v>15</v>
      </c>
      <c r="E60" s="50">
        <v>16</v>
      </c>
      <c r="F60" s="50">
        <v>35</v>
      </c>
      <c r="G60" s="50">
        <v>3</v>
      </c>
      <c r="H60" s="50">
        <v>0</v>
      </c>
      <c r="I60" s="50">
        <v>3</v>
      </c>
      <c r="J60" s="50">
        <v>15</v>
      </c>
      <c r="K60" s="50">
        <v>9</v>
      </c>
      <c r="L60" s="50">
        <v>3</v>
      </c>
      <c r="M60" s="50">
        <v>70</v>
      </c>
      <c r="N60" s="50">
        <v>0</v>
      </c>
      <c r="O60" s="15">
        <f t="shared" si="0"/>
        <v>134</v>
      </c>
      <c r="P60" s="15">
        <f t="shared" si="1"/>
        <v>204</v>
      </c>
      <c r="R60" s="8"/>
      <c r="T60"/>
    </row>
    <row r="61" spans="2:20" ht="23.1" customHeight="1" x14ac:dyDescent="0.25">
      <c r="B61" s="45" t="s">
        <v>102</v>
      </c>
      <c r="C61" s="50">
        <v>30</v>
      </c>
      <c r="D61" s="50">
        <v>16</v>
      </c>
      <c r="E61" s="50">
        <v>7</v>
      </c>
      <c r="F61" s="50">
        <v>11</v>
      </c>
      <c r="G61" s="50">
        <v>1</v>
      </c>
      <c r="H61" s="50">
        <v>2</v>
      </c>
      <c r="I61" s="50">
        <v>6</v>
      </c>
      <c r="J61" s="50">
        <v>2</v>
      </c>
      <c r="K61" s="50">
        <v>0</v>
      </c>
      <c r="L61" s="50">
        <v>1</v>
      </c>
      <c r="M61" s="50">
        <v>45</v>
      </c>
      <c r="N61" s="50">
        <v>0</v>
      </c>
      <c r="O61" s="15">
        <f t="shared" si="0"/>
        <v>76</v>
      </c>
      <c r="P61" s="15">
        <f t="shared" si="1"/>
        <v>121</v>
      </c>
      <c r="R61" s="8"/>
      <c r="T61"/>
    </row>
    <row r="62" spans="2:20" ht="23.1" customHeight="1" x14ac:dyDescent="0.25">
      <c r="B62" s="45" t="s">
        <v>107</v>
      </c>
      <c r="C62" s="50">
        <v>12</v>
      </c>
      <c r="D62" s="50">
        <v>1</v>
      </c>
      <c r="E62" s="50">
        <v>2</v>
      </c>
      <c r="F62" s="50">
        <v>6</v>
      </c>
      <c r="G62" s="50">
        <v>0</v>
      </c>
      <c r="H62" s="50">
        <v>0</v>
      </c>
      <c r="I62" s="50">
        <v>1</v>
      </c>
      <c r="J62" s="50">
        <v>0</v>
      </c>
      <c r="K62" s="50">
        <v>0</v>
      </c>
      <c r="L62" s="50">
        <v>0</v>
      </c>
      <c r="M62" s="50">
        <v>43</v>
      </c>
      <c r="N62" s="50">
        <v>0</v>
      </c>
      <c r="O62" s="15">
        <f t="shared" si="0"/>
        <v>22</v>
      </c>
      <c r="P62" s="15">
        <f t="shared" si="1"/>
        <v>65</v>
      </c>
      <c r="R62" s="8"/>
      <c r="T62"/>
    </row>
    <row r="63" spans="2:20" ht="23.1" customHeight="1" x14ac:dyDescent="0.25">
      <c r="B63" s="45" t="s">
        <v>108</v>
      </c>
      <c r="C63" s="50">
        <v>27</v>
      </c>
      <c r="D63" s="50">
        <v>1</v>
      </c>
      <c r="E63" s="50">
        <v>6</v>
      </c>
      <c r="F63" s="50">
        <v>15</v>
      </c>
      <c r="G63" s="50">
        <v>0</v>
      </c>
      <c r="H63" s="50">
        <v>0</v>
      </c>
      <c r="I63" s="50">
        <v>2</v>
      </c>
      <c r="J63" s="50">
        <v>0</v>
      </c>
      <c r="K63" s="50">
        <v>0</v>
      </c>
      <c r="L63" s="50">
        <v>0</v>
      </c>
      <c r="M63" s="50">
        <v>43</v>
      </c>
      <c r="N63" s="50">
        <v>0</v>
      </c>
      <c r="O63" s="15">
        <f t="shared" si="0"/>
        <v>51</v>
      </c>
      <c r="P63" s="15">
        <f t="shared" si="1"/>
        <v>94</v>
      </c>
      <c r="R63" s="8"/>
      <c r="T63"/>
    </row>
    <row r="64" spans="2:20" ht="23.1" customHeight="1" x14ac:dyDescent="0.25">
      <c r="B64" s="45" t="s">
        <v>109</v>
      </c>
      <c r="C64" s="50">
        <v>25</v>
      </c>
      <c r="D64" s="50">
        <v>3</v>
      </c>
      <c r="E64" s="50">
        <v>7</v>
      </c>
      <c r="F64" s="50">
        <v>25</v>
      </c>
      <c r="G64" s="50">
        <v>2</v>
      </c>
      <c r="H64" s="50">
        <v>0</v>
      </c>
      <c r="I64" s="50">
        <v>5</v>
      </c>
      <c r="J64" s="50">
        <v>0</v>
      </c>
      <c r="K64" s="50">
        <v>0</v>
      </c>
      <c r="L64" s="50">
        <v>0</v>
      </c>
      <c r="M64" s="50">
        <v>55</v>
      </c>
      <c r="N64" s="50">
        <v>0</v>
      </c>
      <c r="O64" s="15">
        <f t="shared" si="0"/>
        <v>67</v>
      </c>
      <c r="P64" s="15">
        <f t="shared" si="1"/>
        <v>122</v>
      </c>
      <c r="R64" s="8"/>
      <c r="T64"/>
    </row>
    <row r="65" spans="2:20" ht="23.1" customHeight="1" x14ac:dyDescent="0.25">
      <c r="B65" s="45" t="s">
        <v>158</v>
      </c>
      <c r="C65" s="50">
        <v>40</v>
      </c>
      <c r="D65" s="50">
        <v>2</v>
      </c>
      <c r="E65" s="50">
        <v>4</v>
      </c>
      <c r="F65" s="50">
        <v>13</v>
      </c>
      <c r="G65" s="50">
        <v>1</v>
      </c>
      <c r="H65" s="50">
        <v>0</v>
      </c>
      <c r="I65" s="50">
        <v>2</v>
      </c>
      <c r="J65" s="50">
        <v>0</v>
      </c>
      <c r="K65" s="50">
        <v>0</v>
      </c>
      <c r="L65" s="50">
        <v>0</v>
      </c>
      <c r="M65" s="50">
        <v>54</v>
      </c>
      <c r="N65" s="50">
        <v>0</v>
      </c>
      <c r="O65" s="15">
        <f t="shared" si="0"/>
        <v>62</v>
      </c>
      <c r="P65" s="15">
        <f t="shared" si="1"/>
        <v>116</v>
      </c>
      <c r="R65" s="8"/>
      <c r="T65"/>
    </row>
    <row r="66" spans="2:20" ht="23.1" customHeight="1" x14ac:dyDescent="0.25">
      <c r="B66" s="45" t="s">
        <v>103</v>
      </c>
      <c r="C66" s="50">
        <v>8</v>
      </c>
      <c r="D66" s="50">
        <v>1</v>
      </c>
      <c r="E66" s="50">
        <v>2</v>
      </c>
      <c r="F66" s="50">
        <v>7</v>
      </c>
      <c r="G66" s="50">
        <v>0</v>
      </c>
      <c r="H66" s="50">
        <v>0</v>
      </c>
      <c r="I66" s="50">
        <v>1</v>
      </c>
      <c r="J66" s="50">
        <v>0</v>
      </c>
      <c r="K66" s="50">
        <v>0</v>
      </c>
      <c r="L66" s="50">
        <v>0</v>
      </c>
      <c r="M66" s="50">
        <v>40</v>
      </c>
      <c r="N66" s="50">
        <v>0</v>
      </c>
      <c r="O66" s="15">
        <f t="shared" si="0"/>
        <v>19</v>
      </c>
      <c r="P66" s="15">
        <f t="shared" si="1"/>
        <v>59</v>
      </c>
      <c r="R66" s="8"/>
      <c r="T66"/>
    </row>
    <row r="67" spans="2:20" ht="23.1" customHeight="1" x14ac:dyDescent="0.25">
      <c r="B67" s="45" t="s">
        <v>104</v>
      </c>
      <c r="C67" s="50">
        <v>15</v>
      </c>
      <c r="D67" s="50">
        <v>3</v>
      </c>
      <c r="E67" s="50">
        <v>2</v>
      </c>
      <c r="F67" s="50">
        <v>5</v>
      </c>
      <c r="G67" s="50">
        <v>0</v>
      </c>
      <c r="H67" s="50">
        <v>0</v>
      </c>
      <c r="I67" s="50">
        <v>0</v>
      </c>
      <c r="J67" s="50">
        <v>1</v>
      </c>
      <c r="K67" s="50">
        <v>0</v>
      </c>
      <c r="L67" s="50">
        <v>0</v>
      </c>
      <c r="M67" s="50">
        <v>48</v>
      </c>
      <c r="N67" s="50">
        <v>0</v>
      </c>
      <c r="O67" s="15">
        <f t="shared" si="0"/>
        <v>26</v>
      </c>
      <c r="P67" s="15">
        <f t="shared" si="1"/>
        <v>74</v>
      </c>
      <c r="R67" s="8"/>
      <c r="T67"/>
    </row>
    <row r="68" spans="2:20" ht="23.1" customHeight="1" x14ac:dyDescent="0.25">
      <c r="B68" s="45" t="s">
        <v>105</v>
      </c>
      <c r="C68" s="50">
        <v>23</v>
      </c>
      <c r="D68" s="50">
        <v>2</v>
      </c>
      <c r="E68" s="50">
        <v>3</v>
      </c>
      <c r="F68" s="50">
        <v>10</v>
      </c>
      <c r="G68" s="50">
        <v>0</v>
      </c>
      <c r="H68" s="50">
        <v>0</v>
      </c>
      <c r="I68" s="50">
        <v>2</v>
      </c>
      <c r="J68" s="50">
        <v>0</v>
      </c>
      <c r="K68" s="50">
        <v>0</v>
      </c>
      <c r="L68" s="50">
        <v>0</v>
      </c>
      <c r="M68" s="50">
        <v>40</v>
      </c>
      <c r="N68" s="50">
        <v>0</v>
      </c>
      <c r="O68" s="15">
        <f t="shared" si="0"/>
        <v>40</v>
      </c>
      <c r="P68" s="15">
        <f t="shared" si="1"/>
        <v>80</v>
      </c>
      <c r="R68" s="8"/>
      <c r="T68"/>
    </row>
    <row r="69" spans="2:20" ht="23.1" customHeight="1" x14ac:dyDescent="0.25">
      <c r="B69" s="45" t="s">
        <v>106</v>
      </c>
      <c r="C69" s="50">
        <v>33</v>
      </c>
      <c r="D69" s="50">
        <v>7</v>
      </c>
      <c r="E69" s="50">
        <v>0</v>
      </c>
      <c r="F69" s="50">
        <v>6</v>
      </c>
      <c r="G69" s="50">
        <v>0</v>
      </c>
      <c r="H69" s="50">
        <v>0</v>
      </c>
      <c r="I69" s="50">
        <v>3</v>
      </c>
      <c r="J69" s="50">
        <v>0</v>
      </c>
      <c r="K69" s="50">
        <v>0</v>
      </c>
      <c r="L69" s="50">
        <v>0</v>
      </c>
      <c r="M69" s="50">
        <v>73</v>
      </c>
      <c r="N69" s="50">
        <v>0</v>
      </c>
      <c r="O69" s="15">
        <f t="shared" si="0"/>
        <v>49</v>
      </c>
      <c r="P69" s="15">
        <f t="shared" si="1"/>
        <v>122</v>
      </c>
      <c r="R69" s="8"/>
      <c r="T69"/>
    </row>
    <row r="70" spans="2:20" ht="23.1" customHeight="1" x14ac:dyDescent="0.25">
      <c r="B70" s="45" t="s">
        <v>110</v>
      </c>
      <c r="C70" s="50">
        <v>24</v>
      </c>
      <c r="D70" s="50">
        <v>8</v>
      </c>
      <c r="E70" s="50">
        <v>8</v>
      </c>
      <c r="F70" s="50">
        <v>9</v>
      </c>
      <c r="G70" s="50">
        <v>0</v>
      </c>
      <c r="H70" s="50">
        <v>0</v>
      </c>
      <c r="I70" s="50">
        <v>2</v>
      </c>
      <c r="J70" s="50">
        <v>1</v>
      </c>
      <c r="K70" s="50">
        <v>0</v>
      </c>
      <c r="L70" s="50">
        <v>0</v>
      </c>
      <c r="M70" s="50">
        <v>64</v>
      </c>
      <c r="N70" s="50">
        <v>0</v>
      </c>
      <c r="O70" s="15">
        <f t="shared" si="0"/>
        <v>52</v>
      </c>
      <c r="P70" s="15">
        <f t="shared" si="1"/>
        <v>116</v>
      </c>
      <c r="R70" s="8"/>
      <c r="T70"/>
    </row>
    <row r="71" spans="2:20" ht="23.1" customHeight="1" x14ac:dyDescent="0.25">
      <c r="B71" s="45" t="s">
        <v>111</v>
      </c>
      <c r="C71" s="50">
        <v>22</v>
      </c>
      <c r="D71" s="50">
        <v>2</v>
      </c>
      <c r="E71" s="50">
        <v>0</v>
      </c>
      <c r="F71" s="50">
        <v>5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60</v>
      </c>
      <c r="N71" s="50">
        <v>0</v>
      </c>
      <c r="O71" s="15">
        <f t="shared" si="0"/>
        <v>29</v>
      </c>
      <c r="P71" s="15">
        <f t="shared" si="1"/>
        <v>89</v>
      </c>
      <c r="R71" s="8"/>
      <c r="T71"/>
    </row>
    <row r="72" spans="2:20" ht="23.1" customHeight="1" x14ac:dyDescent="0.25">
      <c r="B72" s="45" t="s">
        <v>112</v>
      </c>
      <c r="C72" s="50">
        <v>18</v>
      </c>
      <c r="D72" s="50">
        <v>3</v>
      </c>
      <c r="E72" s="50">
        <v>1</v>
      </c>
      <c r="F72" s="50">
        <v>0</v>
      </c>
      <c r="G72" s="50">
        <v>0</v>
      </c>
      <c r="H72" s="50">
        <v>0</v>
      </c>
      <c r="I72" s="50">
        <v>2</v>
      </c>
      <c r="J72" s="50">
        <v>0</v>
      </c>
      <c r="K72" s="50">
        <v>1</v>
      </c>
      <c r="L72" s="50">
        <v>0</v>
      </c>
      <c r="M72" s="50">
        <v>72</v>
      </c>
      <c r="N72" s="50">
        <v>0</v>
      </c>
      <c r="O72" s="15">
        <f t="shared" si="0"/>
        <v>25</v>
      </c>
      <c r="P72" s="15">
        <f t="shared" si="1"/>
        <v>97</v>
      </c>
      <c r="R72" s="8"/>
      <c r="T72"/>
    </row>
    <row r="73" spans="2:20" ht="23.1" customHeight="1" x14ac:dyDescent="0.25">
      <c r="B73" s="45" t="s">
        <v>113</v>
      </c>
      <c r="C73" s="50">
        <v>25</v>
      </c>
      <c r="D73" s="50">
        <v>1</v>
      </c>
      <c r="E73" s="50">
        <v>0</v>
      </c>
      <c r="F73" s="50">
        <v>6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95</v>
      </c>
      <c r="N73" s="50">
        <v>0</v>
      </c>
      <c r="O73" s="15">
        <f t="shared" si="0"/>
        <v>32</v>
      </c>
      <c r="P73" s="15">
        <f t="shared" si="1"/>
        <v>127</v>
      </c>
      <c r="R73" s="8"/>
      <c r="T73"/>
    </row>
    <row r="74" spans="2:20" ht="23.1" customHeight="1" x14ac:dyDescent="0.25">
      <c r="B74" s="45" t="s">
        <v>114</v>
      </c>
      <c r="C74" s="50">
        <v>22</v>
      </c>
      <c r="D74" s="50">
        <v>3</v>
      </c>
      <c r="E74" s="50">
        <v>3</v>
      </c>
      <c r="F74" s="50">
        <v>4</v>
      </c>
      <c r="G74" s="50">
        <v>0</v>
      </c>
      <c r="H74" s="50">
        <v>0</v>
      </c>
      <c r="I74" s="50">
        <v>5</v>
      </c>
      <c r="J74" s="50">
        <v>0</v>
      </c>
      <c r="K74" s="50">
        <v>0</v>
      </c>
      <c r="L74" s="50">
        <v>0</v>
      </c>
      <c r="M74" s="50">
        <v>70</v>
      </c>
      <c r="N74" s="50">
        <v>0</v>
      </c>
      <c r="O74" s="15">
        <f t="shared" ref="O74:O105" si="35">SUM(C74:L74,N74)</f>
        <v>37</v>
      </c>
      <c r="P74" s="15">
        <f t="shared" ref="P74:P105" si="36">SUM(C74:N74)</f>
        <v>107</v>
      </c>
      <c r="R74" s="8"/>
      <c r="T74"/>
    </row>
    <row r="75" spans="2:20" ht="23.1" customHeight="1" x14ac:dyDescent="0.25">
      <c r="B75" s="45" t="s">
        <v>115</v>
      </c>
      <c r="C75" s="50">
        <v>6</v>
      </c>
      <c r="D75" s="50">
        <v>4</v>
      </c>
      <c r="E75" s="50">
        <v>1</v>
      </c>
      <c r="F75" s="50">
        <v>1</v>
      </c>
      <c r="G75" s="50">
        <v>0</v>
      </c>
      <c r="H75" s="50">
        <v>0</v>
      </c>
      <c r="I75" s="50">
        <v>0</v>
      </c>
      <c r="J75" s="50">
        <v>0</v>
      </c>
      <c r="K75" s="50">
        <v>1</v>
      </c>
      <c r="L75" s="50">
        <v>0</v>
      </c>
      <c r="M75" s="50">
        <v>44</v>
      </c>
      <c r="N75" s="50">
        <v>0</v>
      </c>
      <c r="O75" s="15">
        <f t="shared" si="35"/>
        <v>13</v>
      </c>
      <c r="P75" s="15">
        <f t="shared" si="36"/>
        <v>57</v>
      </c>
      <c r="R75" s="8"/>
      <c r="T75"/>
    </row>
    <row r="76" spans="2:20" ht="23.1" customHeight="1" x14ac:dyDescent="0.25">
      <c r="B76" s="45" t="s">
        <v>116</v>
      </c>
      <c r="C76" s="50">
        <v>20</v>
      </c>
      <c r="D76" s="50">
        <v>0</v>
      </c>
      <c r="E76" s="50">
        <v>1</v>
      </c>
      <c r="F76" s="50">
        <v>2</v>
      </c>
      <c r="G76" s="50">
        <v>0</v>
      </c>
      <c r="H76" s="50">
        <v>0</v>
      </c>
      <c r="I76" s="50">
        <v>0</v>
      </c>
      <c r="J76" s="50">
        <v>2</v>
      </c>
      <c r="K76" s="50">
        <v>0</v>
      </c>
      <c r="L76" s="50">
        <v>0</v>
      </c>
      <c r="M76" s="50">
        <v>52</v>
      </c>
      <c r="N76" s="50">
        <v>0</v>
      </c>
      <c r="O76" s="15">
        <f t="shared" si="35"/>
        <v>25</v>
      </c>
      <c r="P76" s="15">
        <f t="shared" si="36"/>
        <v>77</v>
      </c>
      <c r="R76" s="8"/>
      <c r="T76"/>
    </row>
    <row r="77" spans="2:20" ht="23.1" customHeight="1" x14ac:dyDescent="0.25">
      <c r="B77" s="45" t="s">
        <v>117</v>
      </c>
      <c r="C77" s="50">
        <v>16</v>
      </c>
      <c r="D77" s="50">
        <v>0</v>
      </c>
      <c r="E77" s="50">
        <v>0</v>
      </c>
      <c r="F77" s="50">
        <v>3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35</v>
      </c>
      <c r="N77" s="50">
        <v>0</v>
      </c>
      <c r="O77" s="15">
        <f t="shared" si="35"/>
        <v>19</v>
      </c>
      <c r="P77" s="15">
        <f t="shared" si="36"/>
        <v>54</v>
      </c>
      <c r="R77" s="8"/>
      <c r="T77"/>
    </row>
    <row r="78" spans="2:20" ht="23.1" customHeight="1" x14ac:dyDescent="0.25">
      <c r="B78" s="46" t="s">
        <v>118</v>
      </c>
      <c r="C78" s="50">
        <v>6</v>
      </c>
      <c r="D78" s="50">
        <v>2</v>
      </c>
      <c r="E78" s="50">
        <v>2</v>
      </c>
      <c r="F78" s="50">
        <v>3</v>
      </c>
      <c r="G78" s="50">
        <v>0</v>
      </c>
      <c r="H78" s="50">
        <v>0</v>
      </c>
      <c r="I78" s="50">
        <v>0</v>
      </c>
      <c r="J78" s="50">
        <v>0</v>
      </c>
      <c r="K78" s="50">
        <v>2</v>
      </c>
      <c r="L78" s="50">
        <v>0</v>
      </c>
      <c r="M78" s="50">
        <v>37</v>
      </c>
      <c r="N78" s="50">
        <v>0</v>
      </c>
      <c r="O78" s="15">
        <f t="shared" si="35"/>
        <v>15</v>
      </c>
      <c r="P78" s="15">
        <f t="shared" si="36"/>
        <v>52</v>
      </c>
      <c r="R78" s="8"/>
      <c r="T78"/>
    </row>
    <row r="79" spans="2:20" ht="23.1" customHeight="1" x14ac:dyDescent="0.25">
      <c r="B79" s="45" t="s">
        <v>119</v>
      </c>
      <c r="C79" s="50">
        <v>8</v>
      </c>
      <c r="D79" s="50">
        <v>2</v>
      </c>
      <c r="E79" s="50">
        <v>0</v>
      </c>
      <c r="F79" s="50">
        <v>4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19</v>
      </c>
      <c r="N79" s="50">
        <v>0</v>
      </c>
      <c r="O79" s="15">
        <f t="shared" si="35"/>
        <v>14</v>
      </c>
      <c r="P79" s="15">
        <f t="shared" si="36"/>
        <v>33</v>
      </c>
      <c r="R79" s="8"/>
      <c r="T79"/>
    </row>
    <row r="80" spans="2:20" ht="23.1" customHeight="1" x14ac:dyDescent="0.25">
      <c r="B80" s="47" t="s">
        <v>120</v>
      </c>
      <c r="C80" s="50">
        <v>4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18</v>
      </c>
      <c r="N80" s="50">
        <v>0</v>
      </c>
      <c r="O80" s="15">
        <f t="shared" si="35"/>
        <v>4</v>
      </c>
      <c r="P80" s="15">
        <f t="shared" si="36"/>
        <v>22</v>
      </c>
      <c r="R80" s="8"/>
      <c r="T80"/>
    </row>
    <row r="81" spans="2:20" ht="23.1" customHeight="1" x14ac:dyDescent="0.25">
      <c r="B81" s="45" t="s">
        <v>121</v>
      </c>
      <c r="C81" s="50">
        <v>7</v>
      </c>
      <c r="D81" s="50">
        <v>0</v>
      </c>
      <c r="E81" s="50">
        <v>0</v>
      </c>
      <c r="F81" s="50">
        <v>1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30</v>
      </c>
      <c r="N81" s="50">
        <v>0</v>
      </c>
      <c r="O81" s="15">
        <f t="shared" si="35"/>
        <v>8</v>
      </c>
      <c r="P81" s="15">
        <f t="shared" si="36"/>
        <v>38</v>
      </c>
      <c r="R81" s="8"/>
      <c r="T81"/>
    </row>
    <row r="82" spans="2:20" ht="23.1" customHeight="1" x14ac:dyDescent="0.25">
      <c r="B82" s="46" t="s">
        <v>122</v>
      </c>
      <c r="C82" s="50">
        <v>7</v>
      </c>
      <c r="D82" s="50">
        <v>1</v>
      </c>
      <c r="E82" s="50">
        <v>1</v>
      </c>
      <c r="F82" s="50">
        <v>3</v>
      </c>
      <c r="G82" s="50">
        <v>0</v>
      </c>
      <c r="H82" s="50">
        <v>0</v>
      </c>
      <c r="I82" s="50">
        <v>3</v>
      </c>
      <c r="J82" s="50">
        <v>0</v>
      </c>
      <c r="K82" s="50">
        <v>0</v>
      </c>
      <c r="L82" s="50">
        <v>0</v>
      </c>
      <c r="M82" s="50">
        <v>33</v>
      </c>
      <c r="N82" s="50">
        <v>0</v>
      </c>
      <c r="O82" s="15">
        <f t="shared" si="35"/>
        <v>15</v>
      </c>
      <c r="P82" s="15">
        <f t="shared" si="36"/>
        <v>48</v>
      </c>
      <c r="R82" s="8"/>
      <c r="T82"/>
    </row>
    <row r="83" spans="2:20" ht="23.1" customHeight="1" x14ac:dyDescent="0.25">
      <c r="B83" s="45" t="s">
        <v>123</v>
      </c>
      <c r="C83" s="50">
        <v>6</v>
      </c>
      <c r="D83" s="50">
        <v>4</v>
      </c>
      <c r="E83" s="50">
        <v>0</v>
      </c>
      <c r="F83" s="50">
        <v>1</v>
      </c>
      <c r="G83" s="50">
        <v>0</v>
      </c>
      <c r="H83" s="50">
        <v>0</v>
      </c>
      <c r="I83" s="50">
        <v>1</v>
      </c>
      <c r="J83" s="50">
        <v>1</v>
      </c>
      <c r="K83" s="50">
        <v>2</v>
      </c>
      <c r="L83" s="50">
        <v>0</v>
      </c>
      <c r="M83" s="50">
        <v>22</v>
      </c>
      <c r="N83" s="50">
        <v>0</v>
      </c>
      <c r="O83" s="15">
        <f t="shared" si="35"/>
        <v>15</v>
      </c>
      <c r="P83" s="15">
        <f t="shared" si="36"/>
        <v>37</v>
      </c>
      <c r="R83" s="8"/>
      <c r="T83"/>
    </row>
    <row r="84" spans="2:20" ht="23.1" customHeight="1" x14ac:dyDescent="0.25">
      <c r="B84" s="47" t="s">
        <v>124</v>
      </c>
      <c r="C84" s="50">
        <v>4</v>
      </c>
      <c r="D84" s="50">
        <v>2</v>
      </c>
      <c r="E84" s="50">
        <v>3</v>
      </c>
      <c r="F84" s="50">
        <v>2</v>
      </c>
      <c r="G84" s="50">
        <v>0</v>
      </c>
      <c r="H84" s="50">
        <v>0</v>
      </c>
      <c r="I84" s="50">
        <v>3</v>
      </c>
      <c r="J84" s="50">
        <v>0</v>
      </c>
      <c r="K84" s="50">
        <v>0</v>
      </c>
      <c r="L84" s="50">
        <v>0</v>
      </c>
      <c r="M84" s="50">
        <v>32</v>
      </c>
      <c r="N84" s="50">
        <v>0</v>
      </c>
      <c r="O84" s="15">
        <f t="shared" si="35"/>
        <v>14</v>
      </c>
      <c r="P84" s="15">
        <f t="shared" si="36"/>
        <v>46</v>
      </c>
      <c r="R84" s="8"/>
      <c r="T84"/>
    </row>
    <row r="85" spans="2:20" ht="23.1" customHeight="1" x14ac:dyDescent="0.25">
      <c r="B85" s="45" t="s">
        <v>125</v>
      </c>
      <c r="C85" s="50">
        <v>3</v>
      </c>
      <c r="D85" s="50">
        <v>1</v>
      </c>
      <c r="E85" s="50">
        <v>0</v>
      </c>
      <c r="F85" s="50">
        <v>1</v>
      </c>
      <c r="G85" s="50">
        <v>0</v>
      </c>
      <c r="H85" s="50">
        <v>0</v>
      </c>
      <c r="I85" s="50">
        <v>5</v>
      </c>
      <c r="J85" s="50">
        <v>0</v>
      </c>
      <c r="K85" s="50">
        <v>0</v>
      </c>
      <c r="L85" s="50">
        <v>0</v>
      </c>
      <c r="M85" s="50">
        <v>33</v>
      </c>
      <c r="N85" s="50">
        <v>0</v>
      </c>
      <c r="O85" s="15">
        <f t="shared" si="35"/>
        <v>10</v>
      </c>
      <c r="P85" s="15">
        <f t="shared" si="36"/>
        <v>43</v>
      </c>
      <c r="R85" s="8"/>
      <c r="T85"/>
    </row>
    <row r="86" spans="2:20" ht="23.1" customHeight="1" x14ac:dyDescent="0.25">
      <c r="B86" s="46" t="s">
        <v>126</v>
      </c>
      <c r="C86" s="50">
        <v>4</v>
      </c>
      <c r="D86" s="50">
        <v>2</v>
      </c>
      <c r="E86" s="50">
        <v>1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23</v>
      </c>
      <c r="N86" s="50">
        <v>0</v>
      </c>
      <c r="O86" s="15">
        <f t="shared" si="35"/>
        <v>7</v>
      </c>
      <c r="P86" s="15">
        <f t="shared" si="36"/>
        <v>30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3</v>
      </c>
      <c r="E87" s="50">
        <v>0</v>
      </c>
      <c r="F87" s="50">
        <v>1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14</v>
      </c>
      <c r="N87" s="50">
        <v>0</v>
      </c>
      <c r="O87" s="15">
        <f t="shared" si="35"/>
        <v>5</v>
      </c>
      <c r="P87" s="15">
        <f t="shared" si="36"/>
        <v>19</v>
      </c>
      <c r="R87" s="8"/>
      <c r="T87"/>
    </row>
    <row r="88" spans="2:20" ht="23.1" customHeight="1" x14ac:dyDescent="0.25">
      <c r="B88" s="47" t="s">
        <v>128</v>
      </c>
      <c r="C88" s="50">
        <v>1</v>
      </c>
      <c r="D88" s="50">
        <v>0</v>
      </c>
      <c r="E88" s="50">
        <v>0</v>
      </c>
      <c r="F88" s="50">
        <v>1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12</v>
      </c>
      <c r="N88" s="50">
        <v>0</v>
      </c>
      <c r="O88" s="15">
        <f t="shared" si="35"/>
        <v>2</v>
      </c>
      <c r="P88" s="15">
        <f t="shared" si="36"/>
        <v>14</v>
      </c>
      <c r="R88" s="8"/>
      <c r="T88"/>
    </row>
    <row r="89" spans="2:20" ht="23.1" customHeight="1" x14ac:dyDescent="0.25">
      <c r="B89" s="45" t="s">
        <v>129</v>
      </c>
      <c r="C89" s="50">
        <v>5</v>
      </c>
      <c r="D89" s="50">
        <v>0</v>
      </c>
      <c r="E89" s="50">
        <v>0</v>
      </c>
      <c r="F89" s="50">
        <v>1</v>
      </c>
      <c r="G89" s="50">
        <v>0</v>
      </c>
      <c r="H89" s="50">
        <v>0</v>
      </c>
      <c r="I89" s="50">
        <v>2</v>
      </c>
      <c r="J89" s="50">
        <v>0</v>
      </c>
      <c r="K89" s="50">
        <v>1</v>
      </c>
      <c r="L89" s="50">
        <v>1</v>
      </c>
      <c r="M89" s="50">
        <v>17</v>
      </c>
      <c r="N89" s="50">
        <v>0</v>
      </c>
      <c r="O89" s="15">
        <f t="shared" si="35"/>
        <v>10</v>
      </c>
      <c r="P89" s="15">
        <f t="shared" si="36"/>
        <v>27</v>
      </c>
      <c r="R89" s="8"/>
      <c r="T89"/>
    </row>
    <row r="90" spans="2:20" ht="23.1" customHeight="1" x14ac:dyDescent="0.25">
      <c r="B90" s="46" t="s">
        <v>130</v>
      </c>
      <c r="C90" s="50">
        <v>5</v>
      </c>
      <c r="D90" s="50">
        <v>0</v>
      </c>
      <c r="E90" s="50">
        <v>1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13</v>
      </c>
      <c r="N90" s="50">
        <v>0</v>
      </c>
      <c r="O90" s="15">
        <f t="shared" si="35"/>
        <v>7</v>
      </c>
      <c r="P90" s="15">
        <f t="shared" si="36"/>
        <v>20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1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20</v>
      </c>
      <c r="N91" s="50">
        <v>0</v>
      </c>
      <c r="O91" s="15">
        <f t="shared" si="35"/>
        <v>2</v>
      </c>
      <c r="P91" s="15">
        <f t="shared" si="36"/>
        <v>22</v>
      </c>
      <c r="R91" s="8"/>
      <c r="T91"/>
    </row>
    <row r="92" spans="2:20" ht="23.1" customHeight="1" x14ac:dyDescent="0.25">
      <c r="B92" s="47" t="s">
        <v>132</v>
      </c>
      <c r="C92" s="50">
        <v>1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2</v>
      </c>
      <c r="N92" s="50">
        <v>0</v>
      </c>
      <c r="O92" s="15">
        <f t="shared" si="35"/>
        <v>1</v>
      </c>
      <c r="P92" s="15">
        <f t="shared" si="36"/>
        <v>3</v>
      </c>
      <c r="R92" s="8"/>
      <c r="T92"/>
    </row>
    <row r="93" spans="2:20" ht="23.1" customHeight="1" x14ac:dyDescent="0.25">
      <c r="B93" s="45" t="s">
        <v>133</v>
      </c>
      <c r="C93" s="50">
        <v>3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1</v>
      </c>
      <c r="J93" s="50">
        <v>0</v>
      </c>
      <c r="K93" s="50">
        <v>0</v>
      </c>
      <c r="L93" s="50">
        <v>0</v>
      </c>
      <c r="M93" s="50">
        <v>7</v>
      </c>
      <c r="N93" s="50">
        <v>0</v>
      </c>
      <c r="O93" s="15">
        <f t="shared" si="35"/>
        <v>4</v>
      </c>
      <c r="P93" s="15">
        <f t="shared" si="36"/>
        <v>11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1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v>2</v>
      </c>
      <c r="M94" s="50">
        <v>8</v>
      </c>
      <c r="N94" s="50">
        <v>0</v>
      </c>
      <c r="O94" s="15">
        <f t="shared" si="35"/>
        <v>5</v>
      </c>
      <c r="P94" s="15">
        <f t="shared" si="36"/>
        <v>13</v>
      </c>
      <c r="R94" s="8"/>
      <c r="T94"/>
    </row>
    <row r="95" spans="2:20" ht="23.1" customHeight="1" x14ac:dyDescent="0.25">
      <c r="B95" s="45" t="s">
        <v>135</v>
      </c>
      <c r="C95" s="50">
        <v>2</v>
      </c>
      <c r="D95" s="50">
        <v>1</v>
      </c>
      <c r="E95" s="50">
        <v>0</v>
      </c>
      <c r="F95" s="50">
        <v>0</v>
      </c>
      <c r="G95" s="50">
        <v>0</v>
      </c>
      <c r="H95" s="50">
        <v>0</v>
      </c>
      <c r="I95" s="50">
        <v>1</v>
      </c>
      <c r="J95" s="50">
        <v>0</v>
      </c>
      <c r="K95" s="50">
        <v>0</v>
      </c>
      <c r="L95" s="50">
        <v>0</v>
      </c>
      <c r="M95" s="50">
        <v>4</v>
      </c>
      <c r="N95" s="50">
        <v>0</v>
      </c>
      <c r="O95" s="15">
        <f t="shared" si="35"/>
        <v>4</v>
      </c>
      <c r="P95" s="15">
        <f t="shared" si="36"/>
        <v>8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0</v>
      </c>
      <c r="E96" s="50">
        <v>0</v>
      </c>
      <c r="F96" s="50">
        <v>1</v>
      </c>
      <c r="G96" s="50">
        <v>0</v>
      </c>
      <c r="H96" s="50">
        <v>0</v>
      </c>
      <c r="I96" s="50">
        <v>1</v>
      </c>
      <c r="J96" s="50">
        <v>0</v>
      </c>
      <c r="K96" s="50">
        <v>0</v>
      </c>
      <c r="L96" s="50">
        <v>0</v>
      </c>
      <c r="M96" s="50">
        <v>8</v>
      </c>
      <c r="N96" s="50">
        <v>0</v>
      </c>
      <c r="O96" s="15">
        <f t="shared" si="35"/>
        <v>3</v>
      </c>
      <c r="P96" s="15">
        <f t="shared" si="36"/>
        <v>11</v>
      </c>
      <c r="R96" s="8"/>
      <c r="T96"/>
    </row>
    <row r="97" spans="2:20" ht="23.1" customHeight="1" x14ac:dyDescent="0.25">
      <c r="B97" s="45" t="s">
        <v>137</v>
      </c>
      <c r="C97" s="50">
        <v>3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8</v>
      </c>
      <c r="N97" s="50">
        <v>0</v>
      </c>
      <c r="O97" s="15">
        <f t="shared" si="35"/>
        <v>3</v>
      </c>
      <c r="P97" s="15">
        <f t="shared" si="36"/>
        <v>11</v>
      </c>
      <c r="R97" s="8"/>
      <c r="T97"/>
    </row>
    <row r="98" spans="2:20" ht="23.1" customHeight="1" x14ac:dyDescent="0.25">
      <c r="B98" s="46" t="s">
        <v>138</v>
      </c>
      <c r="C98" s="50">
        <v>2</v>
      </c>
      <c r="D98" s="50">
        <v>0</v>
      </c>
      <c r="E98" s="50">
        <v>0</v>
      </c>
      <c r="F98" s="50">
        <v>1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22</v>
      </c>
      <c r="N98" s="50">
        <v>0</v>
      </c>
      <c r="O98" s="15">
        <f t="shared" si="35"/>
        <v>3</v>
      </c>
      <c r="P98" s="15">
        <f t="shared" si="36"/>
        <v>25</v>
      </c>
      <c r="R98" s="8"/>
      <c r="T98"/>
    </row>
    <row r="99" spans="2:20" ht="23.1" customHeight="1" x14ac:dyDescent="0.25">
      <c r="B99" s="45" t="s">
        <v>139</v>
      </c>
      <c r="C99" s="50">
        <v>3</v>
      </c>
      <c r="D99" s="50">
        <v>0</v>
      </c>
      <c r="E99" s="50">
        <v>0</v>
      </c>
      <c r="F99" s="50">
        <v>6</v>
      </c>
      <c r="G99" s="50">
        <v>0</v>
      </c>
      <c r="H99" s="50">
        <v>0</v>
      </c>
      <c r="I99" s="50">
        <v>2</v>
      </c>
      <c r="J99" s="50">
        <v>0</v>
      </c>
      <c r="K99" s="50">
        <v>0</v>
      </c>
      <c r="L99" s="50">
        <v>0</v>
      </c>
      <c r="M99" s="50">
        <v>28</v>
      </c>
      <c r="N99" s="50">
        <v>0</v>
      </c>
      <c r="O99" s="15">
        <f t="shared" si="35"/>
        <v>11</v>
      </c>
      <c r="P99" s="15">
        <f t="shared" si="36"/>
        <v>39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0</v>
      </c>
      <c r="E100" s="50">
        <v>0</v>
      </c>
      <c r="F100" s="50">
        <v>8</v>
      </c>
      <c r="G100" s="50">
        <v>1</v>
      </c>
      <c r="H100" s="50">
        <v>0</v>
      </c>
      <c r="I100" s="50">
        <v>1</v>
      </c>
      <c r="J100" s="50">
        <v>0</v>
      </c>
      <c r="K100" s="50">
        <v>0</v>
      </c>
      <c r="L100" s="50">
        <v>0</v>
      </c>
      <c r="M100" s="50">
        <v>24</v>
      </c>
      <c r="N100" s="50">
        <v>0</v>
      </c>
      <c r="O100" s="15">
        <f t="shared" si="35"/>
        <v>11</v>
      </c>
      <c r="P100" s="15">
        <f t="shared" si="36"/>
        <v>35</v>
      </c>
      <c r="R100" s="8"/>
      <c r="T100"/>
    </row>
    <row r="101" spans="2:20" ht="23.1" customHeight="1" x14ac:dyDescent="0.25">
      <c r="B101" s="45" t="s">
        <v>141</v>
      </c>
      <c r="C101" s="50">
        <v>9</v>
      </c>
      <c r="D101" s="50">
        <v>4</v>
      </c>
      <c r="E101" s="50">
        <v>0</v>
      </c>
      <c r="F101" s="50">
        <v>2</v>
      </c>
      <c r="G101" s="50">
        <v>0</v>
      </c>
      <c r="H101" s="50">
        <v>0</v>
      </c>
      <c r="I101" s="50">
        <v>1</v>
      </c>
      <c r="J101" s="50">
        <v>0</v>
      </c>
      <c r="K101" s="50">
        <v>0</v>
      </c>
      <c r="L101" s="50">
        <v>0</v>
      </c>
      <c r="M101" s="50">
        <v>31</v>
      </c>
      <c r="N101" s="50">
        <v>0</v>
      </c>
      <c r="O101" s="15">
        <f t="shared" si="35"/>
        <v>16</v>
      </c>
      <c r="P101" s="15">
        <f t="shared" si="36"/>
        <v>47</v>
      </c>
      <c r="R101" s="8"/>
      <c r="T101"/>
    </row>
    <row r="102" spans="2:20" ht="23.1" customHeight="1" x14ac:dyDescent="0.25">
      <c r="B102" s="46" t="s">
        <v>142</v>
      </c>
      <c r="C102" s="50">
        <v>21</v>
      </c>
      <c r="D102" s="50">
        <v>4</v>
      </c>
      <c r="E102" s="50">
        <v>0</v>
      </c>
      <c r="F102" s="50">
        <v>30</v>
      </c>
      <c r="G102" s="50">
        <v>0</v>
      </c>
      <c r="H102" s="50">
        <v>0</v>
      </c>
      <c r="I102" s="50">
        <v>6</v>
      </c>
      <c r="J102" s="50">
        <v>0</v>
      </c>
      <c r="K102" s="50">
        <v>0</v>
      </c>
      <c r="L102" s="50">
        <v>1</v>
      </c>
      <c r="M102" s="50">
        <v>38</v>
      </c>
      <c r="N102" s="50">
        <v>0</v>
      </c>
      <c r="O102" s="15">
        <f t="shared" si="35"/>
        <v>62</v>
      </c>
      <c r="P102" s="15">
        <f t="shared" si="36"/>
        <v>100</v>
      </c>
      <c r="R102" s="8"/>
      <c r="T102"/>
    </row>
    <row r="103" spans="2:20" ht="23.1" customHeight="1" x14ac:dyDescent="0.25">
      <c r="B103" s="45" t="s">
        <v>143</v>
      </c>
      <c r="C103" s="50">
        <v>11</v>
      </c>
      <c r="D103" s="50">
        <v>2</v>
      </c>
      <c r="E103" s="50">
        <v>1</v>
      </c>
      <c r="F103" s="50">
        <v>10</v>
      </c>
      <c r="G103" s="50">
        <v>0</v>
      </c>
      <c r="H103" s="50">
        <v>0</v>
      </c>
      <c r="I103" s="50">
        <v>2</v>
      </c>
      <c r="J103" s="50">
        <v>0</v>
      </c>
      <c r="K103" s="50">
        <v>2</v>
      </c>
      <c r="L103" s="50">
        <v>0</v>
      </c>
      <c r="M103" s="50">
        <v>33</v>
      </c>
      <c r="N103" s="50">
        <v>0</v>
      </c>
      <c r="O103" s="15">
        <f t="shared" si="35"/>
        <v>28</v>
      </c>
      <c r="P103" s="15">
        <f t="shared" si="36"/>
        <v>61</v>
      </c>
      <c r="R103" s="8"/>
      <c r="T103"/>
    </row>
    <row r="104" spans="2:20" ht="23.1" customHeight="1" x14ac:dyDescent="0.25">
      <c r="B104" s="47" t="s">
        <v>144</v>
      </c>
      <c r="C104" s="50">
        <v>14</v>
      </c>
      <c r="D104" s="50">
        <v>2</v>
      </c>
      <c r="E104" s="50">
        <v>2</v>
      </c>
      <c r="F104" s="50">
        <v>9</v>
      </c>
      <c r="G104" s="50">
        <v>0</v>
      </c>
      <c r="H104" s="50">
        <v>0</v>
      </c>
      <c r="I104" s="50">
        <v>4</v>
      </c>
      <c r="J104" s="50">
        <v>0</v>
      </c>
      <c r="K104" s="50">
        <v>0</v>
      </c>
      <c r="L104" s="50">
        <v>1</v>
      </c>
      <c r="M104" s="50">
        <v>65</v>
      </c>
      <c r="N104" s="50">
        <v>0</v>
      </c>
      <c r="O104" s="15">
        <f t="shared" si="35"/>
        <v>32</v>
      </c>
      <c r="P104" s="15">
        <f t="shared" si="36"/>
        <v>97</v>
      </c>
      <c r="R104" s="8"/>
      <c r="T104"/>
    </row>
    <row r="105" spans="2:20" ht="23.1" customHeight="1" x14ac:dyDescent="0.25">
      <c r="B105" s="45" t="s">
        <v>145</v>
      </c>
      <c r="C105" s="50">
        <v>13</v>
      </c>
      <c r="D105" s="50">
        <v>26</v>
      </c>
      <c r="E105" s="50">
        <v>0</v>
      </c>
      <c r="F105" s="50">
        <v>7</v>
      </c>
      <c r="G105" s="50">
        <v>0</v>
      </c>
      <c r="H105" s="50">
        <v>0</v>
      </c>
      <c r="I105" s="50">
        <v>1</v>
      </c>
      <c r="J105" s="50">
        <v>0</v>
      </c>
      <c r="K105" s="50">
        <v>1</v>
      </c>
      <c r="L105" s="50">
        <v>0</v>
      </c>
      <c r="M105" s="50">
        <v>59</v>
      </c>
      <c r="N105" s="50">
        <v>0</v>
      </c>
      <c r="O105" s="15">
        <f t="shared" si="35"/>
        <v>48</v>
      </c>
      <c r="P105" s="15">
        <f t="shared" si="36"/>
        <v>107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2437</v>
      </c>
      <c r="D106" s="16">
        <f t="shared" ref="D106:P106" si="37">SUM(D10:D105)</f>
        <v>442</v>
      </c>
      <c r="E106" s="16">
        <f t="shared" si="37"/>
        <v>914</v>
      </c>
      <c r="F106" s="16">
        <f t="shared" si="37"/>
        <v>839</v>
      </c>
      <c r="G106" s="16">
        <f t="shared" si="37"/>
        <v>36</v>
      </c>
      <c r="H106" s="16">
        <f t="shared" si="37"/>
        <v>8</v>
      </c>
      <c r="I106" s="16">
        <f t="shared" si="37"/>
        <v>234</v>
      </c>
      <c r="J106" s="16">
        <f t="shared" si="37"/>
        <v>84</v>
      </c>
      <c r="K106" s="16">
        <f t="shared" si="37"/>
        <v>49</v>
      </c>
      <c r="L106" s="16">
        <f t="shared" si="37"/>
        <v>17</v>
      </c>
      <c r="M106" s="16">
        <f t="shared" si="37"/>
        <v>6213</v>
      </c>
      <c r="N106" s="16">
        <f t="shared" si="37"/>
        <v>0</v>
      </c>
      <c r="O106" s="16">
        <f t="shared" si="37"/>
        <v>5060</v>
      </c>
      <c r="P106" s="16">
        <f t="shared" si="37"/>
        <v>11273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0.21618025370353944</v>
      </c>
      <c r="D107" s="43">
        <f t="shared" si="38"/>
        <v>3.9208728821076906E-2</v>
      </c>
      <c r="E107" s="43">
        <f t="shared" si="38"/>
        <v>8.1078683580235955E-2</v>
      </c>
      <c r="F107" s="43">
        <f t="shared" si="38"/>
        <v>7.4425618735030605E-2</v>
      </c>
      <c r="G107" s="43">
        <f t="shared" si="38"/>
        <v>3.193471125698572E-3</v>
      </c>
      <c r="H107" s="43">
        <f t="shared" si="38"/>
        <v>7.0966025015523819E-4</v>
      </c>
      <c r="I107" s="43">
        <f t="shared" si="38"/>
        <v>2.0757562317040717E-2</v>
      </c>
      <c r="J107" s="43">
        <f t="shared" si="38"/>
        <v>7.4514326266300005E-3</v>
      </c>
      <c r="K107" s="43">
        <f t="shared" si="38"/>
        <v>4.3466690322008341E-3</v>
      </c>
      <c r="L107" s="43">
        <f t="shared" si="38"/>
        <v>1.5080280315798811E-3</v>
      </c>
      <c r="M107" s="43">
        <f t="shared" si="38"/>
        <v>0.55113989177681189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0.48162055335968379</v>
      </c>
      <c r="D108" s="44">
        <f t="shared" ref="D108:N108" si="39">D106/$O$106</f>
        <v>8.7351778656126478E-2</v>
      </c>
      <c r="E108" s="44">
        <f t="shared" si="39"/>
        <v>0.18063241106719369</v>
      </c>
      <c r="F108" s="44">
        <f t="shared" si="39"/>
        <v>0.16581027667984188</v>
      </c>
      <c r="G108" s="44">
        <f t="shared" si="39"/>
        <v>7.1146245059288534E-3</v>
      </c>
      <c r="H108" s="44">
        <f t="shared" si="39"/>
        <v>1.5810276679841897E-3</v>
      </c>
      <c r="I108" s="44">
        <f t="shared" si="39"/>
        <v>4.6245059288537546E-2</v>
      </c>
      <c r="J108" s="44">
        <f t="shared" si="39"/>
        <v>1.6600790513833993E-2</v>
      </c>
      <c r="K108" s="44">
        <f t="shared" si="39"/>
        <v>9.6837944664031617E-3</v>
      </c>
      <c r="L108" s="44">
        <f t="shared" si="39"/>
        <v>3.3596837944664033E-3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K66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'22.07 Ndeeba-Nyanama'!C3:G3</f>
        <v>MCC - C1 - STN04 - WERAGA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166</v>
      </c>
      <c r="E5" s="3"/>
      <c r="F5" s="41" t="s">
        <v>1</v>
      </c>
      <c r="G5" s="68" t="str">
        <f>'26.07 Nyanama-Ndeeba-24h'!G5:H5</f>
        <v>Golden Mille Hotel</v>
      </c>
      <c r="H5" s="69"/>
      <c r="I5" s="14"/>
      <c r="J5" s="2" t="s">
        <v>5</v>
      </c>
      <c r="K5" s="68" t="s">
        <v>179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tr">
        <f>'22.07 Ndeeba-Nyanama'!D6:E6</f>
        <v>Ndeeba</v>
      </c>
      <c r="E6" s="69"/>
      <c r="F6" s="2" t="s">
        <v>2</v>
      </c>
      <c r="G6" s="68" t="str">
        <f>'22.07 Ndeeba-Nyanama'!G6:H6</f>
        <v>Nyanama</v>
      </c>
      <c r="H6" s="69"/>
      <c r="J6" s="2" t="s">
        <v>21</v>
      </c>
      <c r="K6" s="68" t="str">
        <f>'26.07 Nyanama-Ndeeba-24h'!K6:L6</f>
        <v>Denis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28</v>
      </c>
      <c r="D10" s="50">
        <v>1</v>
      </c>
      <c r="E10" s="50">
        <v>2</v>
      </c>
      <c r="F10" s="50">
        <v>42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85</v>
      </c>
      <c r="N10" s="50">
        <v>0</v>
      </c>
      <c r="O10" s="15">
        <f t="shared" ref="O10:O73" si="0">SUM(C10:L10,N10)</f>
        <v>75</v>
      </c>
      <c r="P10" s="15">
        <f t="shared" ref="P10:P73" si="1">SUM(C10:N10)</f>
        <v>160</v>
      </c>
      <c r="R10" s="1" t="s">
        <v>6</v>
      </c>
      <c r="S10" s="17">
        <f t="shared" ref="S10:AF10" si="2">SUM(C10:C13)</f>
        <v>201</v>
      </c>
      <c r="T10" s="17">
        <f t="shared" si="2"/>
        <v>6</v>
      </c>
      <c r="U10" s="17">
        <f t="shared" si="2"/>
        <v>6</v>
      </c>
      <c r="V10" s="17">
        <f t="shared" si="2"/>
        <v>163</v>
      </c>
      <c r="W10" s="17">
        <f t="shared" si="2"/>
        <v>0</v>
      </c>
      <c r="X10" s="17">
        <f t="shared" si="2"/>
        <v>0</v>
      </c>
      <c r="Y10" s="17">
        <f t="shared" si="2"/>
        <v>6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397</v>
      </c>
      <c r="AD10" s="17">
        <f t="shared" si="2"/>
        <v>0</v>
      </c>
      <c r="AE10" s="31">
        <f t="shared" si="2"/>
        <v>383</v>
      </c>
      <c r="AF10" s="31">
        <f t="shared" si="2"/>
        <v>780</v>
      </c>
    </row>
    <row r="11" spans="2:32" s="6" customFormat="1" ht="23.1" customHeight="1" x14ac:dyDescent="0.25">
      <c r="B11" s="45" t="s">
        <v>38</v>
      </c>
      <c r="C11" s="50">
        <v>46</v>
      </c>
      <c r="D11" s="50">
        <v>0</v>
      </c>
      <c r="E11" s="50">
        <v>0</v>
      </c>
      <c r="F11" s="50">
        <v>34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103</v>
      </c>
      <c r="N11" s="50">
        <v>0</v>
      </c>
      <c r="O11" s="15">
        <f t="shared" si="0"/>
        <v>80</v>
      </c>
      <c r="P11" s="15">
        <f t="shared" si="1"/>
        <v>183</v>
      </c>
      <c r="R11" s="1" t="s">
        <v>7</v>
      </c>
      <c r="S11" s="17">
        <f t="shared" ref="S11:AF11" si="3">SUM(C14:C17)</f>
        <v>107</v>
      </c>
      <c r="T11" s="17">
        <f t="shared" si="3"/>
        <v>8</v>
      </c>
      <c r="U11" s="17">
        <f t="shared" si="3"/>
        <v>7</v>
      </c>
      <c r="V11" s="17">
        <f t="shared" si="3"/>
        <v>68</v>
      </c>
      <c r="W11" s="17">
        <f t="shared" si="3"/>
        <v>0</v>
      </c>
      <c r="X11" s="17">
        <f t="shared" si="3"/>
        <v>1</v>
      </c>
      <c r="Y11" s="17">
        <f t="shared" si="3"/>
        <v>13</v>
      </c>
      <c r="Z11" s="17">
        <f t="shared" si="3"/>
        <v>3</v>
      </c>
      <c r="AA11" s="17">
        <f t="shared" si="3"/>
        <v>0</v>
      </c>
      <c r="AB11" s="17">
        <f t="shared" si="3"/>
        <v>5</v>
      </c>
      <c r="AC11" s="17">
        <f t="shared" si="3"/>
        <v>397</v>
      </c>
      <c r="AD11" s="17">
        <f t="shared" si="3"/>
        <v>0</v>
      </c>
      <c r="AE11" s="31">
        <f t="shared" si="3"/>
        <v>212</v>
      </c>
      <c r="AF11" s="31">
        <f t="shared" si="3"/>
        <v>609</v>
      </c>
    </row>
    <row r="12" spans="2:32" ht="23.1" customHeight="1" x14ac:dyDescent="0.25">
      <c r="B12" s="45" t="s">
        <v>39</v>
      </c>
      <c r="C12" s="50">
        <v>78</v>
      </c>
      <c r="D12" s="50">
        <v>3</v>
      </c>
      <c r="E12" s="50">
        <v>1</v>
      </c>
      <c r="F12" s="50">
        <v>40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110</v>
      </c>
      <c r="N12" s="50">
        <v>0</v>
      </c>
      <c r="O12" s="15">
        <f t="shared" si="0"/>
        <v>122</v>
      </c>
      <c r="P12" s="15">
        <f t="shared" si="1"/>
        <v>232</v>
      </c>
      <c r="R12" s="1" t="s">
        <v>8</v>
      </c>
      <c r="S12" s="17">
        <f t="shared" ref="S12:AF12" si="4">SUM(C18:C21)</f>
        <v>65</v>
      </c>
      <c r="T12" s="17">
        <f t="shared" si="4"/>
        <v>2</v>
      </c>
      <c r="U12" s="17">
        <f t="shared" si="4"/>
        <v>4</v>
      </c>
      <c r="V12" s="17">
        <f t="shared" si="4"/>
        <v>52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3</v>
      </c>
      <c r="AA12" s="17">
        <f t="shared" si="4"/>
        <v>0</v>
      </c>
      <c r="AB12" s="17">
        <f t="shared" si="4"/>
        <v>2</v>
      </c>
      <c r="AC12" s="17">
        <f t="shared" si="4"/>
        <v>358</v>
      </c>
      <c r="AD12" s="17">
        <f t="shared" si="4"/>
        <v>0</v>
      </c>
      <c r="AE12" s="31">
        <f t="shared" si="4"/>
        <v>131</v>
      </c>
      <c r="AF12" s="31">
        <f t="shared" si="4"/>
        <v>489</v>
      </c>
    </row>
    <row r="13" spans="2:32" ht="23.1" customHeight="1" x14ac:dyDescent="0.25">
      <c r="B13" s="45" t="s">
        <v>40</v>
      </c>
      <c r="C13" s="50">
        <v>49</v>
      </c>
      <c r="D13" s="50">
        <v>2</v>
      </c>
      <c r="E13" s="50">
        <v>3</v>
      </c>
      <c r="F13" s="50">
        <v>47</v>
      </c>
      <c r="G13" s="50">
        <v>0</v>
      </c>
      <c r="H13" s="50">
        <v>0</v>
      </c>
      <c r="I13" s="50">
        <v>4</v>
      </c>
      <c r="J13" s="50">
        <v>1</v>
      </c>
      <c r="K13" s="50">
        <v>0</v>
      </c>
      <c r="L13" s="50">
        <v>0</v>
      </c>
      <c r="M13" s="50">
        <v>99</v>
      </c>
      <c r="N13" s="50">
        <v>0</v>
      </c>
      <c r="O13" s="15">
        <f t="shared" si="0"/>
        <v>106</v>
      </c>
      <c r="P13" s="15">
        <f t="shared" si="1"/>
        <v>205</v>
      </c>
      <c r="R13" s="1" t="s">
        <v>9</v>
      </c>
      <c r="S13" s="17">
        <f t="shared" ref="S13:AF13" si="5">SUM(C22:C25)</f>
        <v>123</v>
      </c>
      <c r="T13" s="17">
        <f t="shared" si="5"/>
        <v>7</v>
      </c>
      <c r="U13" s="17">
        <f t="shared" si="5"/>
        <v>8</v>
      </c>
      <c r="V13" s="17">
        <f t="shared" si="5"/>
        <v>65</v>
      </c>
      <c r="W13" s="17">
        <f t="shared" si="5"/>
        <v>0</v>
      </c>
      <c r="X13" s="17">
        <f t="shared" si="5"/>
        <v>0</v>
      </c>
      <c r="Y13" s="17">
        <f t="shared" si="5"/>
        <v>4</v>
      </c>
      <c r="Z13" s="17">
        <f t="shared" si="5"/>
        <v>6</v>
      </c>
      <c r="AA13" s="17">
        <f t="shared" si="5"/>
        <v>3</v>
      </c>
      <c r="AB13" s="17">
        <f t="shared" si="5"/>
        <v>0</v>
      </c>
      <c r="AC13" s="17">
        <f t="shared" si="5"/>
        <v>394</v>
      </c>
      <c r="AD13" s="17">
        <f t="shared" si="5"/>
        <v>0</v>
      </c>
      <c r="AE13" s="31">
        <f t="shared" si="5"/>
        <v>216</v>
      </c>
      <c r="AF13" s="31">
        <f t="shared" si="5"/>
        <v>610</v>
      </c>
    </row>
    <row r="14" spans="2:32" ht="23.1" customHeight="1" x14ac:dyDescent="0.25">
      <c r="B14" s="45" t="s">
        <v>41</v>
      </c>
      <c r="C14" s="50">
        <v>41</v>
      </c>
      <c r="D14" s="50">
        <v>3</v>
      </c>
      <c r="E14" s="50">
        <v>1</v>
      </c>
      <c r="F14" s="50">
        <v>35</v>
      </c>
      <c r="G14" s="50">
        <v>0</v>
      </c>
      <c r="H14" s="50">
        <v>1</v>
      </c>
      <c r="I14" s="50">
        <v>5</v>
      </c>
      <c r="J14" s="50">
        <v>0</v>
      </c>
      <c r="K14" s="50">
        <v>0</v>
      </c>
      <c r="L14" s="50">
        <v>0</v>
      </c>
      <c r="M14" s="50">
        <v>110</v>
      </c>
      <c r="N14" s="50">
        <v>0</v>
      </c>
      <c r="O14" s="15">
        <f t="shared" si="0"/>
        <v>86</v>
      </c>
      <c r="P14" s="15">
        <f t="shared" si="1"/>
        <v>196</v>
      </c>
      <c r="R14" s="1" t="s">
        <v>10</v>
      </c>
      <c r="S14" s="17">
        <f t="shared" ref="S14:AF14" si="6">SUM(C26:C29)</f>
        <v>156</v>
      </c>
      <c r="T14" s="17">
        <f t="shared" si="6"/>
        <v>10</v>
      </c>
      <c r="U14" s="17">
        <f t="shared" si="6"/>
        <v>17</v>
      </c>
      <c r="V14" s="17">
        <f t="shared" si="6"/>
        <v>40</v>
      </c>
      <c r="W14" s="17">
        <f t="shared" si="6"/>
        <v>0</v>
      </c>
      <c r="X14" s="17">
        <f t="shared" si="6"/>
        <v>0</v>
      </c>
      <c r="Y14" s="17">
        <f t="shared" si="6"/>
        <v>20</v>
      </c>
      <c r="Z14" s="17">
        <f t="shared" si="6"/>
        <v>1</v>
      </c>
      <c r="AA14" s="17">
        <f t="shared" si="6"/>
        <v>2</v>
      </c>
      <c r="AB14" s="17">
        <f t="shared" si="6"/>
        <v>4</v>
      </c>
      <c r="AC14" s="17">
        <f t="shared" si="6"/>
        <v>395</v>
      </c>
      <c r="AD14" s="17">
        <f t="shared" si="6"/>
        <v>0</v>
      </c>
      <c r="AE14" s="31">
        <f t="shared" si="6"/>
        <v>250</v>
      </c>
      <c r="AF14" s="31">
        <f t="shared" si="6"/>
        <v>645</v>
      </c>
    </row>
    <row r="15" spans="2:32" ht="23.1" customHeight="1" x14ac:dyDescent="0.25">
      <c r="B15" s="45" t="s">
        <v>42</v>
      </c>
      <c r="C15" s="50">
        <v>11</v>
      </c>
      <c r="D15" s="50">
        <v>1</v>
      </c>
      <c r="E15" s="50">
        <v>1</v>
      </c>
      <c r="F15" s="50">
        <v>8</v>
      </c>
      <c r="G15" s="50">
        <v>0</v>
      </c>
      <c r="H15" s="50">
        <v>0</v>
      </c>
      <c r="I15" s="50">
        <v>2</v>
      </c>
      <c r="J15" s="50">
        <v>2</v>
      </c>
      <c r="K15" s="50">
        <v>0</v>
      </c>
      <c r="L15" s="50">
        <v>3</v>
      </c>
      <c r="M15" s="50">
        <v>100</v>
      </c>
      <c r="N15" s="50">
        <v>0</v>
      </c>
      <c r="O15" s="15">
        <f t="shared" si="0"/>
        <v>28</v>
      </c>
      <c r="P15" s="15">
        <f t="shared" si="1"/>
        <v>128</v>
      </c>
      <c r="R15" s="1" t="s">
        <v>11</v>
      </c>
      <c r="S15" s="17">
        <f t="shared" ref="S15:AF15" si="7">SUM(C30:C33)</f>
        <v>173</v>
      </c>
      <c r="T15" s="17">
        <f t="shared" si="7"/>
        <v>5</v>
      </c>
      <c r="U15" s="17">
        <f t="shared" si="7"/>
        <v>8</v>
      </c>
      <c r="V15" s="17">
        <f t="shared" si="7"/>
        <v>32</v>
      </c>
      <c r="W15" s="17">
        <f t="shared" si="7"/>
        <v>1</v>
      </c>
      <c r="X15" s="17">
        <f t="shared" si="7"/>
        <v>0</v>
      </c>
      <c r="Y15" s="17">
        <f t="shared" si="7"/>
        <v>12</v>
      </c>
      <c r="Z15" s="17">
        <f t="shared" si="7"/>
        <v>3</v>
      </c>
      <c r="AA15" s="17">
        <f t="shared" si="7"/>
        <v>0</v>
      </c>
      <c r="AB15" s="17">
        <f t="shared" si="7"/>
        <v>1</v>
      </c>
      <c r="AC15" s="17">
        <f t="shared" si="7"/>
        <v>348</v>
      </c>
      <c r="AD15" s="17">
        <f t="shared" si="7"/>
        <v>0</v>
      </c>
      <c r="AE15" s="31">
        <f t="shared" si="7"/>
        <v>235</v>
      </c>
      <c r="AF15" s="31">
        <f t="shared" si="7"/>
        <v>583</v>
      </c>
    </row>
    <row r="16" spans="2:32" ht="23.1" customHeight="1" x14ac:dyDescent="0.25">
      <c r="B16" s="45" t="s">
        <v>43</v>
      </c>
      <c r="C16" s="50">
        <v>29</v>
      </c>
      <c r="D16" s="50">
        <v>1</v>
      </c>
      <c r="E16" s="50">
        <v>3</v>
      </c>
      <c r="F16" s="50">
        <v>13</v>
      </c>
      <c r="G16" s="50">
        <v>0</v>
      </c>
      <c r="H16" s="50">
        <v>0</v>
      </c>
      <c r="I16" s="50">
        <v>3</v>
      </c>
      <c r="J16" s="50">
        <v>1</v>
      </c>
      <c r="K16" s="50">
        <v>0</v>
      </c>
      <c r="L16" s="50">
        <v>0</v>
      </c>
      <c r="M16" s="50">
        <v>108</v>
      </c>
      <c r="N16" s="50">
        <v>0</v>
      </c>
      <c r="O16" s="15">
        <f t="shared" si="0"/>
        <v>50</v>
      </c>
      <c r="P16" s="15">
        <f t="shared" si="1"/>
        <v>158</v>
      </c>
      <c r="R16" s="1" t="s">
        <v>12</v>
      </c>
      <c r="S16" s="17">
        <f t="shared" ref="S16:AF16" si="8">SUM(C34:C37)</f>
        <v>182</v>
      </c>
      <c r="T16" s="17">
        <f t="shared" si="8"/>
        <v>4</v>
      </c>
      <c r="U16" s="17">
        <f t="shared" si="8"/>
        <v>13</v>
      </c>
      <c r="V16" s="17">
        <f t="shared" si="8"/>
        <v>26</v>
      </c>
      <c r="W16" s="17">
        <f t="shared" si="8"/>
        <v>0</v>
      </c>
      <c r="X16" s="17">
        <f t="shared" si="8"/>
        <v>0</v>
      </c>
      <c r="Y16" s="17">
        <f t="shared" si="8"/>
        <v>19</v>
      </c>
      <c r="Z16" s="17">
        <f t="shared" si="8"/>
        <v>4</v>
      </c>
      <c r="AA16" s="17">
        <f t="shared" si="8"/>
        <v>1</v>
      </c>
      <c r="AB16" s="17">
        <f t="shared" si="8"/>
        <v>3</v>
      </c>
      <c r="AC16" s="17">
        <f t="shared" si="8"/>
        <v>345</v>
      </c>
      <c r="AD16" s="17">
        <f t="shared" si="8"/>
        <v>0</v>
      </c>
      <c r="AE16" s="31">
        <f t="shared" si="8"/>
        <v>252</v>
      </c>
      <c r="AF16" s="31">
        <f t="shared" si="8"/>
        <v>597</v>
      </c>
    </row>
    <row r="17" spans="2:32" ht="23.1" customHeight="1" x14ac:dyDescent="0.25">
      <c r="B17" s="45" t="s">
        <v>44</v>
      </c>
      <c r="C17" s="50">
        <v>26</v>
      </c>
      <c r="D17" s="50">
        <v>3</v>
      </c>
      <c r="E17" s="50">
        <v>2</v>
      </c>
      <c r="F17" s="50">
        <v>12</v>
      </c>
      <c r="G17" s="50">
        <v>0</v>
      </c>
      <c r="H17" s="50">
        <v>0</v>
      </c>
      <c r="I17" s="50">
        <v>3</v>
      </c>
      <c r="J17" s="50">
        <v>0</v>
      </c>
      <c r="K17" s="50">
        <v>0</v>
      </c>
      <c r="L17" s="50">
        <v>2</v>
      </c>
      <c r="M17" s="50">
        <v>79</v>
      </c>
      <c r="N17" s="50">
        <v>0</v>
      </c>
      <c r="O17" s="15">
        <f t="shared" si="0"/>
        <v>48</v>
      </c>
      <c r="P17" s="15">
        <f t="shared" si="1"/>
        <v>127</v>
      </c>
      <c r="R17" s="1" t="s">
        <v>13</v>
      </c>
      <c r="S17" s="17">
        <f t="shared" ref="S17:AF17" si="9">SUM(C38:C41)</f>
        <v>107</v>
      </c>
      <c r="T17" s="17">
        <f t="shared" si="9"/>
        <v>2</v>
      </c>
      <c r="U17" s="17">
        <f t="shared" si="9"/>
        <v>1</v>
      </c>
      <c r="V17" s="17">
        <f t="shared" si="9"/>
        <v>47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5</v>
      </c>
      <c r="AA17" s="17">
        <f t="shared" si="9"/>
        <v>0</v>
      </c>
      <c r="AB17" s="17">
        <f t="shared" si="9"/>
        <v>4</v>
      </c>
      <c r="AC17" s="17">
        <f t="shared" si="9"/>
        <v>228</v>
      </c>
      <c r="AD17" s="17">
        <f t="shared" si="9"/>
        <v>0</v>
      </c>
      <c r="AE17" s="31">
        <f t="shared" si="9"/>
        <v>171</v>
      </c>
      <c r="AF17" s="31">
        <f t="shared" si="9"/>
        <v>399</v>
      </c>
    </row>
    <row r="18" spans="2:32" ht="23.1" customHeight="1" x14ac:dyDescent="0.25">
      <c r="B18" s="45" t="s">
        <v>45</v>
      </c>
      <c r="C18" s="50">
        <v>11</v>
      </c>
      <c r="D18" s="50">
        <v>1</v>
      </c>
      <c r="E18" s="50">
        <v>0</v>
      </c>
      <c r="F18" s="50">
        <v>12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100</v>
      </c>
      <c r="N18" s="50">
        <v>0</v>
      </c>
      <c r="O18" s="15">
        <f t="shared" si="0"/>
        <v>25</v>
      </c>
      <c r="P18" s="15">
        <f t="shared" si="1"/>
        <v>125</v>
      </c>
      <c r="R18" s="1" t="s">
        <v>14</v>
      </c>
      <c r="S18" s="17">
        <f t="shared" ref="S18:AF18" si="10">SUM(C42:C45)</f>
        <v>156</v>
      </c>
      <c r="T18" s="17">
        <f t="shared" si="10"/>
        <v>4</v>
      </c>
      <c r="U18" s="17">
        <f t="shared" si="10"/>
        <v>9</v>
      </c>
      <c r="V18" s="17">
        <f t="shared" si="10"/>
        <v>24</v>
      </c>
      <c r="W18" s="17">
        <f t="shared" si="10"/>
        <v>0</v>
      </c>
      <c r="X18" s="17">
        <f t="shared" si="10"/>
        <v>0</v>
      </c>
      <c r="Y18" s="17">
        <f t="shared" si="10"/>
        <v>11</v>
      </c>
      <c r="Z18" s="17">
        <f t="shared" si="10"/>
        <v>3</v>
      </c>
      <c r="AA18" s="17">
        <f t="shared" si="10"/>
        <v>1</v>
      </c>
      <c r="AB18" s="17">
        <f t="shared" si="10"/>
        <v>3</v>
      </c>
      <c r="AC18" s="17">
        <f t="shared" si="10"/>
        <v>212</v>
      </c>
      <c r="AD18" s="17">
        <f t="shared" si="10"/>
        <v>0</v>
      </c>
      <c r="AE18" s="31">
        <f t="shared" si="10"/>
        <v>211</v>
      </c>
      <c r="AF18" s="31">
        <f t="shared" si="10"/>
        <v>423</v>
      </c>
    </row>
    <row r="19" spans="2:32" ht="23.1" customHeight="1" x14ac:dyDescent="0.25">
      <c r="B19" s="45" t="s">
        <v>46</v>
      </c>
      <c r="C19" s="50">
        <v>7</v>
      </c>
      <c r="D19" s="50">
        <v>0</v>
      </c>
      <c r="E19" s="50">
        <v>1</v>
      </c>
      <c r="F19" s="50">
        <v>20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80</v>
      </c>
      <c r="N19" s="50">
        <v>0</v>
      </c>
      <c r="O19" s="15">
        <f t="shared" si="0"/>
        <v>28</v>
      </c>
      <c r="P19" s="15">
        <f t="shared" si="1"/>
        <v>108</v>
      </c>
      <c r="R19" s="1" t="s">
        <v>15</v>
      </c>
      <c r="S19" s="17">
        <f t="shared" ref="S19:AF19" si="11">SUM(C46:C49)</f>
        <v>152</v>
      </c>
      <c r="T19" s="17">
        <f t="shared" si="11"/>
        <v>3</v>
      </c>
      <c r="U19" s="17">
        <f t="shared" si="11"/>
        <v>7</v>
      </c>
      <c r="V19" s="17">
        <f t="shared" si="11"/>
        <v>54</v>
      </c>
      <c r="W19" s="17">
        <f t="shared" si="11"/>
        <v>1</v>
      </c>
      <c r="X19" s="17">
        <f t="shared" si="11"/>
        <v>0</v>
      </c>
      <c r="Y19" s="17">
        <f t="shared" si="11"/>
        <v>7</v>
      </c>
      <c r="Z19" s="17">
        <f t="shared" si="11"/>
        <v>4</v>
      </c>
      <c r="AA19" s="17">
        <f t="shared" si="11"/>
        <v>0</v>
      </c>
      <c r="AB19" s="17">
        <f t="shared" si="11"/>
        <v>0</v>
      </c>
      <c r="AC19" s="17">
        <f t="shared" si="11"/>
        <v>245</v>
      </c>
      <c r="AD19" s="17">
        <f t="shared" si="11"/>
        <v>0</v>
      </c>
      <c r="AE19" s="31">
        <f t="shared" si="11"/>
        <v>228</v>
      </c>
      <c r="AF19" s="31">
        <f t="shared" si="11"/>
        <v>473</v>
      </c>
    </row>
    <row r="20" spans="2:32" ht="23.1" customHeight="1" x14ac:dyDescent="0.25">
      <c r="B20" s="45" t="s">
        <v>47</v>
      </c>
      <c r="C20" s="50">
        <v>30</v>
      </c>
      <c r="D20" s="50">
        <v>0</v>
      </c>
      <c r="E20" s="50">
        <v>2</v>
      </c>
      <c r="F20" s="50">
        <v>11</v>
      </c>
      <c r="G20" s="50">
        <v>0</v>
      </c>
      <c r="H20" s="50">
        <v>0</v>
      </c>
      <c r="I20" s="50">
        <v>0</v>
      </c>
      <c r="J20" s="50">
        <v>2</v>
      </c>
      <c r="K20" s="50">
        <v>0</v>
      </c>
      <c r="L20" s="50">
        <v>0</v>
      </c>
      <c r="M20" s="50">
        <v>73</v>
      </c>
      <c r="N20" s="50">
        <v>0</v>
      </c>
      <c r="O20" s="15">
        <f t="shared" si="0"/>
        <v>45</v>
      </c>
      <c r="P20" s="15">
        <f t="shared" si="1"/>
        <v>118</v>
      </c>
      <c r="R20" s="1" t="s">
        <v>16</v>
      </c>
      <c r="S20" s="17">
        <f t="shared" ref="S20:AF20" si="12">SUM(C50:C53)</f>
        <v>177</v>
      </c>
      <c r="T20" s="17">
        <f t="shared" si="12"/>
        <v>4</v>
      </c>
      <c r="U20" s="17">
        <f t="shared" si="12"/>
        <v>12</v>
      </c>
      <c r="V20" s="17">
        <f t="shared" si="12"/>
        <v>58</v>
      </c>
      <c r="W20" s="17">
        <f t="shared" si="12"/>
        <v>0</v>
      </c>
      <c r="X20" s="17">
        <f t="shared" si="12"/>
        <v>0</v>
      </c>
      <c r="Y20" s="17">
        <f t="shared" si="12"/>
        <v>6</v>
      </c>
      <c r="Z20" s="17">
        <f t="shared" si="12"/>
        <v>6</v>
      </c>
      <c r="AA20" s="17">
        <f t="shared" si="12"/>
        <v>1</v>
      </c>
      <c r="AB20" s="17">
        <f t="shared" si="12"/>
        <v>1</v>
      </c>
      <c r="AC20" s="17">
        <f t="shared" si="12"/>
        <v>262</v>
      </c>
      <c r="AD20" s="17">
        <f t="shared" si="12"/>
        <v>0</v>
      </c>
      <c r="AE20" s="31">
        <f t="shared" si="12"/>
        <v>265</v>
      </c>
      <c r="AF20" s="31">
        <f t="shared" si="12"/>
        <v>527</v>
      </c>
    </row>
    <row r="21" spans="2:32" ht="23.1" customHeight="1" x14ac:dyDescent="0.25">
      <c r="B21" s="45" t="s">
        <v>48</v>
      </c>
      <c r="C21" s="50">
        <v>17</v>
      </c>
      <c r="D21" s="50">
        <v>1</v>
      </c>
      <c r="E21" s="50">
        <v>1</v>
      </c>
      <c r="F21" s="50">
        <v>9</v>
      </c>
      <c r="G21" s="50">
        <v>0</v>
      </c>
      <c r="H21" s="50">
        <v>0</v>
      </c>
      <c r="I21" s="50">
        <v>2</v>
      </c>
      <c r="J21" s="50">
        <v>1</v>
      </c>
      <c r="K21" s="50">
        <v>0</v>
      </c>
      <c r="L21" s="50">
        <v>2</v>
      </c>
      <c r="M21" s="50">
        <v>105</v>
      </c>
      <c r="N21" s="50">
        <v>0</v>
      </c>
      <c r="O21" s="15">
        <f t="shared" si="0"/>
        <v>33</v>
      </c>
      <c r="P21" s="15">
        <f t="shared" si="1"/>
        <v>138</v>
      </c>
      <c r="R21" s="36" t="s">
        <v>20</v>
      </c>
      <c r="S21" s="34">
        <f t="shared" ref="S21:AF21" si="13">SUM(C54:C57)</f>
        <v>164</v>
      </c>
      <c r="T21" s="17">
        <f t="shared" si="13"/>
        <v>5</v>
      </c>
      <c r="U21" s="17">
        <f t="shared" si="13"/>
        <v>6</v>
      </c>
      <c r="V21" s="17">
        <f t="shared" si="13"/>
        <v>112</v>
      </c>
      <c r="W21" s="17">
        <f t="shared" si="13"/>
        <v>0</v>
      </c>
      <c r="X21" s="17">
        <f t="shared" si="13"/>
        <v>0</v>
      </c>
      <c r="Y21" s="17">
        <f t="shared" si="13"/>
        <v>19</v>
      </c>
      <c r="Z21" s="17">
        <f t="shared" si="13"/>
        <v>4</v>
      </c>
      <c r="AA21" s="17">
        <f t="shared" si="13"/>
        <v>1</v>
      </c>
      <c r="AB21" s="17">
        <f t="shared" si="13"/>
        <v>0</v>
      </c>
      <c r="AC21" s="17">
        <f t="shared" si="13"/>
        <v>233</v>
      </c>
      <c r="AD21" s="17">
        <f t="shared" si="13"/>
        <v>0</v>
      </c>
      <c r="AE21" s="31">
        <f t="shared" si="13"/>
        <v>311</v>
      </c>
      <c r="AF21" s="31">
        <f t="shared" si="13"/>
        <v>544</v>
      </c>
    </row>
    <row r="22" spans="2:32" ht="23.1" customHeight="1" x14ac:dyDescent="0.25">
      <c r="B22" s="45" t="s">
        <v>49</v>
      </c>
      <c r="C22" s="50">
        <v>18</v>
      </c>
      <c r="D22" s="50">
        <v>1</v>
      </c>
      <c r="E22" s="50">
        <v>2</v>
      </c>
      <c r="F22" s="50">
        <v>12</v>
      </c>
      <c r="G22" s="50">
        <v>0</v>
      </c>
      <c r="H22" s="50">
        <v>0</v>
      </c>
      <c r="I22" s="50">
        <v>1</v>
      </c>
      <c r="J22" s="50">
        <v>3</v>
      </c>
      <c r="K22" s="50">
        <v>0</v>
      </c>
      <c r="L22" s="50">
        <v>0</v>
      </c>
      <c r="M22" s="50">
        <v>110</v>
      </c>
      <c r="N22" s="50">
        <v>0</v>
      </c>
      <c r="O22" s="15">
        <f t="shared" si="0"/>
        <v>37</v>
      </c>
      <c r="P22" s="15">
        <f t="shared" si="1"/>
        <v>147</v>
      </c>
      <c r="R22" s="36" t="s">
        <v>146</v>
      </c>
      <c r="S22" s="34">
        <f>SUM(C58:C61)</f>
        <v>151</v>
      </c>
      <c r="T22" s="34">
        <f t="shared" ref="T22:AF22" si="14">SUM(D58:D61)</f>
        <v>12</v>
      </c>
      <c r="U22" s="34">
        <f t="shared" si="14"/>
        <v>6</v>
      </c>
      <c r="V22" s="34">
        <f t="shared" si="14"/>
        <v>63</v>
      </c>
      <c r="W22" s="34">
        <f t="shared" si="14"/>
        <v>0</v>
      </c>
      <c r="X22" s="34">
        <f t="shared" si="14"/>
        <v>0</v>
      </c>
      <c r="Y22" s="34">
        <f t="shared" si="14"/>
        <v>8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248</v>
      </c>
      <c r="AD22" s="34">
        <f t="shared" si="14"/>
        <v>0</v>
      </c>
      <c r="AE22" s="31">
        <f t="shared" si="14"/>
        <v>240</v>
      </c>
      <c r="AF22" s="31">
        <f t="shared" si="14"/>
        <v>488</v>
      </c>
    </row>
    <row r="23" spans="2:32" ht="23.1" customHeight="1" x14ac:dyDescent="0.25">
      <c r="B23" s="45" t="s">
        <v>50</v>
      </c>
      <c r="C23" s="50">
        <v>40</v>
      </c>
      <c r="D23" s="50">
        <v>2</v>
      </c>
      <c r="E23" s="50">
        <v>2</v>
      </c>
      <c r="F23" s="50">
        <v>21</v>
      </c>
      <c r="G23" s="50">
        <v>0</v>
      </c>
      <c r="H23" s="50">
        <v>0</v>
      </c>
      <c r="I23" s="50">
        <v>0</v>
      </c>
      <c r="J23" s="50">
        <v>2</v>
      </c>
      <c r="K23" s="50">
        <v>0</v>
      </c>
      <c r="L23" s="50">
        <v>0</v>
      </c>
      <c r="M23" s="50">
        <v>89</v>
      </c>
      <c r="N23" s="50">
        <v>0</v>
      </c>
      <c r="O23" s="15">
        <f t="shared" si="0"/>
        <v>67</v>
      </c>
      <c r="P23" s="15">
        <f t="shared" si="1"/>
        <v>156</v>
      </c>
      <c r="R23" s="36" t="s">
        <v>147</v>
      </c>
      <c r="S23" s="34">
        <f>SUM(C62:C65)</f>
        <v>273</v>
      </c>
      <c r="T23" s="34">
        <f t="shared" ref="T23:AF23" si="15">SUM(D62:D65)</f>
        <v>20</v>
      </c>
      <c r="U23" s="34">
        <f t="shared" si="15"/>
        <v>13</v>
      </c>
      <c r="V23" s="34">
        <f t="shared" si="15"/>
        <v>113</v>
      </c>
      <c r="W23" s="34">
        <f t="shared" si="15"/>
        <v>2</v>
      </c>
      <c r="X23" s="34">
        <f t="shared" si="15"/>
        <v>0</v>
      </c>
      <c r="Y23" s="34">
        <f t="shared" si="15"/>
        <v>28</v>
      </c>
      <c r="Z23" s="34">
        <f t="shared" si="15"/>
        <v>12</v>
      </c>
      <c r="AA23" s="34">
        <f t="shared" si="15"/>
        <v>1</v>
      </c>
      <c r="AB23" s="34">
        <f t="shared" si="15"/>
        <v>0</v>
      </c>
      <c r="AC23" s="34">
        <f t="shared" si="15"/>
        <v>375</v>
      </c>
      <c r="AD23" s="34">
        <f t="shared" si="15"/>
        <v>0</v>
      </c>
      <c r="AE23" s="31">
        <f t="shared" si="15"/>
        <v>462</v>
      </c>
      <c r="AF23" s="31">
        <f t="shared" si="15"/>
        <v>837</v>
      </c>
    </row>
    <row r="24" spans="2:32" ht="23.1" customHeight="1" x14ac:dyDescent="0.25">
      <c r="B24" s="45" t="s">
        <v>51</v>
      </c>
      <c r="C24" s="50">
        <v>29</v>
      </c>
      <c r="D24" s="50">
        <v>4</v>
      </c>
      <c r="E24" s="50">
        <v>3</v>
      </c>
      <c r="F24" s="50">
        <v>23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v>0</v>
      </c>
      <c r="M24" s="50">
        <v>90</v>
      </c>
      <c r="N24" s="50">
        <v>0</v>
      </c>
      <c r="O24" s="15">
        <f t="shared" si="0"/>
        <v>62</v>
      </c>
      <c r="P24" s="15">
        <f t="shared" si="1"/>
        <v>152</v>
      </c>
      <c r="R24" s="36" t="s">
        <v>148</v>
      </c>
      <c r="S24" s="34">
        <f>SUM(C66:C69)</f>
        <v>324</v>
      </c>
      <c r="T24" s="34">
        <f t="shared" ref="T24:AF24" si="16">SUM(D66:D69)</f>
        <v>16</v>
      </c>
      <c r="U24" s="34">
        <f t="shared" si="16"/>
        <v>12</v>
      </c>
      <c r="V24" s="34">
        <f t="shared" si="16"/>
        <v>81</v>
      </c>
      <c r="W24" s="34">
        <f t="shared" si="16"/>
        <v>0</v>
      </c>
      <c r="X24" s="34">
        <f t="shared" si="16"/>
        <v>0</v>
      </c>
      <c r="Y24" s="34">
        <f t="shared" si="16"/>
        <v>28</v>
      </c>
      <c r="Z24" s="34">
        <f t="shared" si="16"/>
        <v>8</v>
      </c>
      <c r="AA24" s="34">
        <f t="shared" si="16"/>
        <v>1</v>
      </c>
      <c r="AB24" s="34">
        <f t="shared" si="16"/>
        <v>0</v>
      </c>
      <c r="AC24" s="34">
        <f t="shared" si="16"/>
        <v>590</v>
      </c>
      <c r="AD24" s="34">
        <f t="shared" si="16"/>
        <v>0</v>
      </c>
      <c r="AE24" s="31">
        <f t="shared" si="16"/>
        <v>470</v>
      </c>
      <c r="AF24" s="31">
        <f t="shared" si="16"/>
        <v>1060</v>
      </c>
    </row>
    <row r="25" spans="2:32" ht="23.1" customHeight="1" x14ac:dyDescent="0.25">
      <c r="B25" s="45" t="s">
        <v>52</v>
      </c>
      <c r="C25" s="50">
        <v>36</v>
      </c>
      <c r="D25" s="50">
        <v>0</v>
      </c>
      <c r="E25" s="50">
        <v>1</v>
      </c>
      <c r="F25" s="50">
        <v>9</v>
      </c>
      <c r="G25" s="50">
        <v>0</v>
      </c>
      <c r="H25" s="50">
        <v>0</v>
      </c>
      <c r="I25" s="50">
        <v>0</v>
      </c>
      <c r="J25" s="50">
        <v>1</v>
      </c>
      <c r="K25" s="50">
        <v>3</v>
      </c>
      <c r="L25" s="50">
        <v>0</v>
      </c>
      <c r="M25" s="50">
        <v>105</v>
      </c>
      <c r="N25" s="50">
        <v>0</v>
      </c>
      <c r="O25" s="15">
        <f t="shared" si="0"/>
        <v>50</v>
      </c>
      <c r="P25" s="15">
        <f t="shared" si="1"/>
        <v>155</v>
      </c>
      <c r="R25" s="36" t="s">
        <v>149</v>
      </c>
      <c r="S25" s="34">
        <f>SUM(C70:C73)</f>
        <v>233</v>
      </c>
      <c r="T25" s="34">
        <f t="shared" ref="T25:AF25" si="17">SUM(D70:D73)</f>
        <v>13</v>
      </c>
      <c r="U25" s="34">
        <f t="shared" si="17"/>
        <v>5</v>
      </c>
      <c r="V25" s="34">
        <f t="shared" si="17"/>
        <v>26</v>
      </c>
      <c r="W25" s="34">
        <f t="shared" si="17"/>
        <v>1</v>
      </c>
      <c r="X25" s="34">
        <f t="shared" si="17"/>
        <v>0</v>
      </c>
      <c r="Y25" s="34">
        <f t="shared" si="17"/>
        <v>16</v>
      </c>
      <c r="Z25" s="34">
        <f t="shared" si="17"/>
        <v>7</v>
      </c>
      <c r="AA25" s="34">
        <f t="shared" si="17"/>
        <v>1</v>
      </c>
      <c r="AB25" s="34">
        <f t="shared" si="17"/>
        <v>0</v>
      </c>
      <c r="AC25" s="34">
        <f t="shared" si="17"/>
        <v>346</v>
      </c>
      <c r="AD25" s="34">
        <f t="shared" si="17"/>
        <v>0</v>
      </c>
      <c r="AE25" s="31">
        <f t="shared" si="17"/>
        <v>302</v>
      </c>
      <c r="AF25" s="31">
        <f t="shared" si="17"/>
        <v>648</v>
      </c>
    </row>
    <row r="26" spans="2:32" ht="23.1" customHeight="1" x14ac:dyDescent="0.25">
      <c r="B26" s="45" t="s">
        <v>53</v>
      </c>
      <c r="C26" s="50">
        <v>19</v>
      </c>
      <c r="D26" s="50">
        <v>1</v>
      </c>
      <c r="E26" s="50">
        <v>2</v>
      </c>
      <c r="F26" s="50">
        <v>4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130</v>
      </c>
      <c r="N26" s="50">
        <v>0</v>
      </c>
      <c r="O26" s="15">
        <f t="shared" si="0"/>
        <v>27</v>
      </c>
      <c r="P26" s="15">
        <f t="shared" si="1"/>
        <v>157</v>
      </c>
      <c r="R26" s="36" t="s">
        <v>150</v>
      </c>
      <c r="S26" s="34">
        <f>SUM(C74:C77)</f>
        <v>169</v>
      </c>
      <c r="T26" s="34">
        <f t="shared" ref="T26:AF26" si="18">SUM(D74:D77)</f>
        <v>5</v>
      </c>
      <c r="U26" s="34">
        <f t="shared" si="18"/>
        <v>6</v>
      </c>
      <c r="V26" s="34">
        <f t="shared" si="18"/>
        <v>19</v>
      </c>
      <c r="W26" s="34">
        <f t="shared" si="18"/>
        <v>0</v>
      </c>
      <c r="X26" s="34">
        <f t="shared" si="18"/>
        <v>1</v>
      </c>
      <c r="Y26" s="34">
        <f t="shared" si="18"/>
        <v>5</v>
      </c>
      <c r="Z26" s="34">
        <f t="shared" si="18"/>
        <v>7</v>
      </c>
      <c r="AA26" s="34">
        <f t="shared" si="18"/>
        <v>5</v>
      </c>
      <c r="AB26" s="34">
        <f t="shared" si="18"/>
        <v>0</v>
      </c>
      <c r="AC26" s="34">
        <f t="shared" si="18"/>
        <v>217</v>
      </c>
      <c r="AD26" s="34">
        <f t="shared" si="18"/>
        <v>0</v>
      </c>
      <c r="AE26" s="31">
        <f t="shared" si="18"/>
        <v>217</v>
      </c>
      <c r="AF26" s="31">
        <f t="shared" si="18"/>
        <v>434</v>
      </c>
    </row>
    <row r="27" spans="2:32" ht="23.1" customHeight="1" x14ac:dyDescent="0.25">
      <c r="B27" s="45" t="s">
        <v>54</v>
      </c>
      <c r="C27" s="50">
        <v>42</v>
      </c>
      <c r="D27" s="50">
        <v>0</v>
      </c>
      <c r="E27" s="50">
        <v>0</v>
      </c>
      <c r="F27" s="50">
        <v>12</v>
      </c>
      <c r="G27" s="50">
        <v>0</v>
      </c>
      <c r="H27" s="50">
        <v>0</v>
      </c>
      <c r="I27" s="50">
        <v>7</v>
      </c>
      <c r="J27" s="50">
        <v>0</v>
      </c>
      <c r="K27" s="50">
        <v>0</v>
      </c>
      <c r="L27" s="50">
        <v>0</v>
      </c>
      <c r="M27" s="50">
        <v>80</v>
      </c>
      <c r="N27" s="50">
        <v>0</v>
      </c>
      <c r="O27" s="15">
        <f t="shared" si="0"/>
        <v>61</v>
      </c>
      <c r="P27" s="15">
        <f t="shared" si="1"/>
        <v>141</v>
      </c>
      <c r="R27" s="36" t="s">
        <v>151</v>
      </c>
      <c r="S27" s="34">
        <f>SUM(C78:C81)</f>
        <v>63</v>
      </c>
      <c r="T27" s="34">
        <f t="shared" ref="T27:AF27" si="19">SUM(D78:D81)</f>
        <v>10</v>
      </c>
      <c r="U27" s="34">
        <f t="shared" si="19"/>
        <v>4</v>
      </c>
      <c r="V27" s="34">
        <f t="shared" si="19"/>
        <v>33</v>
      </c>
      <c r="W27" s="34">
        <f t="shared" si="19"/>
        <v>0</v>
      </c>
      <c r="X27" s="34">
        <f t="shared" si="19"/>
        <v>0</v>
      </c>
      <c r="Y27" s="34">
        <f t="shared" si="19"/>
        <v>3</v>
      </c>
      <c r="Z27" s="34">
        <f t="shared" si="19"/>
        <v>4</v>
      </c>
      <c r="AA27" s="34">
        <f t="shared" si="19"/>
        <v>2</v>
      </c>
      <c r="AB27" s="34">
        <f t="shared" si="19"/>
        <v>0</v>
      </c>
      <c r="AC27" s="34">
        <f t="shared" si="19"/>
        <v>125</v>
      </c>
      <c r="AD27" s="34">
        <f t="shared" si="19"/>
        <v>0</v>
      </c>
      <c r="AE27" s="31">
        <f t="shared" si="19"/>
        <v>119</v>
      </c>
      <c r="AF27" s="31">
        <f t="shared" si="19"/>
        <v>244</v>
      </c>
    </row>
    <row r="28" spans="2:32" ht="23.1" customHeight="1" x14ac:dyDescent="0.25">
      <c r="B28" s="45" t="s">
        <v>55</v>
      </c>
      <c r="C28" s="50">
        <v>50</v>
      </c>
      <c r="D28" s="50">
        <v>3</v>
      </c>
      <c r="E28" s="50">
        <v>10</v>
      </c>
      <c r="F28" s="50">
        <v>15</v>
      </c>
      <c r="G28" s="50">
        <v>0</v>
      </c>
      <c r="H28" s="50">
        <v>0</v>
      </c>
      <c r="I28" s="50">
        <v>4</v>
      </c>
      <c r="J28" s="50">
        <v>1</v>
      </c>
      <c r="K28" s="50">
        <v>0</v>
      </c>
      <c r="L28" s="50">
        <v>3</v>
      </c>
      <c r="M28" s="50">
        <v>100</v>
      </c>
      <c r="N28" s="50">
        <v>0</v>
      </c>
      <c r="O28" s="15">
        <f t="shared" si="0"/>
        <v>86</v>
      </c>
      <c r="P28" s="15">
        <f t="shared" si="1"/>
        <v>186</v>
      </c>
      <c r="R28" s="36" t="s">
        <v>152</v>
      </c>
      <c r="S28" s="34">
        <f>SUM(C82:C85)</f>
        <v>64</v>
      </c>
      <c r="T28" s="34">
        <f t="shared" ref="T28:AF28" si="20">SUM(D82:D85)</f>
        <v>3</v>
      </c>
      <c r="U28" s="34">
        <f t="shared" si="20"/>
        <v>3</v>
      </c>
      <c r="V28" s="34">
        <f t="shared" si="20"/>
        <v>11</v>
      </c>
      <c r="W28" s="34">
        <f t="shared" si="20"/>
        <v>0</v>
      </c>
      <c r="X28" s="34">
        <f t="shared" si="20"/>
        <v>0</v>
      </c>
      <c r="Y28" s="34">
        <f t="shared" si="20"/>
        <v>8</v>
      </c>
      <c r="Z28" s="34">
        <f t="shared" si="20"/>
        <v>2</v>
      </c>
      <c r="AA28" s="34">
        <f t="shared" si="20"/>
        <v>3</v>
      </c>
      <c r="AB28" s="34">
        <f t="shared" si="20"/>
        <v>0</v>
      </c>
      <c r="AC28" s="34">
        <f t="shared" si="20"/>
        <v>116</v>
      </c>
      <c r="AD28" s="34">
        <f t="shared" si="20"/>
        <v>0</v>
      </c>
      <c r="AE28" s="31">
        <f t="shared" si="20"/>
        <v>94</v>
      </c>
      <c r="AF28" s="31">
        <f t="shared" si="20"/>
        <v>210</v>
      </c>
    </row>
    <row r="29" spans="2:32" ht="23.1" customHeight="1" x14ac:dyDescent="0.25">
      <c r="B29" s="45" t="s">
        <v>56</v>
      </c>
      <c r="C29" s="50">
        <v>45</v>
      </c>
      <c r="D29" s="50">
        <v>6</v>
      </c>
      <c r="E29" s="50">
        <v>5</v>
      </c>
      <c r="F29" s="50">
        <v>9</v>
      </c>
      <c r="G29" s="50">
        <v>0</v>
      </c>
      <c r="H29" s="50">
        <v>0</v>
      </c>
      <c r="I29" s="50">
        <v>8</v>
      </c>
      <c r="J29" s="50">
        <v>0</v>
      </c>
      <c r="K29" s="50">
        <v>2</v>
      </c>
      <c r="L29" s="50">
        <v>1</v>
      </c>
      <c r="M29" s="50">
        <v>85</v>
      </c>
      <c r="N29" s="50">
        <v>0</v>
      </c>
      <c r="O29" s="15">
        <f t="shared" si="0"/>
        <v>76</v>
      </c>
      <c r="P29" s="15">
        <f t="shared" si="1"/>
        <v>161</v>
      </c>
      <c r="R29" s="36" t="s">
        <v>153</v>
      </c>
      <c r="S29" s="34">
        <f>SUM(C86:C89)</f>
        <v>25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2</v>
      </c>
      <c r="AA29" s="34">
        <f t="shared" si="21"/>
        <v>2</v>
      </c>
      <c r="AB29" s="34">
        <f t="shared" si="21"/>
        <v>0</v>
      </c>
      <c r="AC29" s="34">
        <f t="shared" si="21"/>
        <v>70</v>
      </c>
      <c r="AD29" s="34">
        <f t="shared" si="21"/>
        <v>0</v>
      </c>
      <c r="AE29" s="31">
        <f t="shared" si="21"/>
        <v>29</v>
      </c>
      <c r="AF29" s="31">
        <f t="shared" si="21"/>
        <v>99</v>
      </c>
    </row>
    <row r="30" spans="2:32" ht="23.1" customHeight="1" x14ac:dyDescent="0.25">
      <c r="B30" s="45" t="s">
        <v>57</v>
      </c>
      <c r="C30" s="50">
        <v>38</v>
      </c>
      <c r="D30" s="50">
        <v>0</v>
      </c>
      <c r="E30" s="50">
        <v>1</v>
      </c>
      <c r="F30" s="50">
        <v>7</v>
      </c>
      <c r="G30" s="50">
        <v>1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90</v>
      </c>
      <c r="N30" s="50">
        <v>0</v>
      </c>
      <c r="O30" s="15">
        <f t="shared" si="0"/>
        <v>49</v>
      </c>
      <c r="P30" s="15">
        <f t="shared" si="1"/>
        <v>139</v>
      </c>
      <c r="R30" s="36" t="s">
        <v>154</v>
      </c>
      <c r="S30" s="34">
        <f>SUM(C90:C93)</f>
        <v>28</v>
      </c>
      <c r="T30" s="34">
        <f t="shared" ref="T30:AF30" si="22">SUM(D90:D93)</f>
        <v>1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38</v>
      </c>
      <c r="AD30" s="34">
        <f t="shared" si="22"/>
        <v>0</v>
      </c>
      <c r="AE30" s="31">
        <f t="shared" si="22"/>
        <v>31</v>
      </c>
      <c r="AF30" s="31">
        <f t="shared" si="22"/>
        <v>69</v>
      </c>
    </row>
    <row r="31" spans="2:32" ht="23.1" customHeight="1" x14ac:dyDescent="0.25">
      <c r="B31" s="46" t="s">
        <v>58</v>
      </c>
      <c r="C31" s="50">
        <v>25</v>
      </c>
      <c r="D31" s="50">
        <v>1</v>
      </c>
      <c r="E31" s="50">
        <v>3</v>
      </c>
      <c r="F31" s="50">
        <v>4</v>
      </c>
      <c r="G31" s="50">
        <v>0</v>
      </c>
      <c r="H31" s="50">
        <v>0</v>
      </c>
      <c r="I31" s="50">
        <v>6</v>
      </c>
      <c r="J31" s="50">
        <v>1</v>
      </c>
      <c r="K31" s="50">
        <v>0</v>
      </c>
      <c r="L31" s="50">
        <v>1</v>
      </c>
      <c r="M31" s="50">
        <v>85</v>
      </c>
      <c r="N31" s="50">
        <v>0</v>
      </c>
      <c r="O31" s="15">
        <f t="shared" si="0"/>
        <v>41</v>
      </c>
      <c r="P31" s="15">
        <f t="shared" si="1"/>
        <v>126</v>
      </c>
      <c r="R31" s="36" t="s">
        <v>155</v>
      </c>
      <c r="S31" s="34">
        <f>SUM(C94:C97)</f>
        <v>14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1</v>
      </c>
      <c r="AA31" s="34">
        <f t="shared" si="23"/>
        <v>1</v>
      </c>
      <c r="AB31" s="34">
        <f t="shared" si="23"/>
        <v>0</v>
      </c>
      <c r="AC31" s="34">
        <f t="shared" si="23"/>
        <v>28</v>
      </c>
      <c r="AD31" s="34">
        <f t="shared" si="23"/>
        <v>0</v>
      </c>
      <c r="AE31" s="31">
        <f t="shared" si="23"/>
        <v>17</v>
      </c>
      <c r="AF31" s="31">
        <f t="shared" si="23"/>
        <v>45</v>
      </c>
    </row>
    <row r="32" spans="2:32" ht="23.1" customHeight="1" x14ac:dyDescent="0.25">
      <c r="B32" s="46" t="s">
        <v>59</v>
      </c>
      <c r="C32" s="50">
        <v>59</v>
      </c>
      <c r="D32" s="50">
        <v>2</v>
      </c>
      <c r="E32" s="50">
        <v>0</v>
      </c>
      <c r="F32" s="50">
        <v>12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80</v>
      </c>
      <c r="N32" s="50">
        <v>0</v>
      </c>
      <c r="O32" s="15">
        <f t="shared" si="0"/>
        <v>74</v>
      </c>
      <c r="P32" s="15">
        <f t="shared" si="1"/>
        <v>154</v>
      </c>
      <c r="R32" s="33" t="s">
        <v>156</v>
      </c>
      <c r="S32" s="34">
        <f>SUM(C98:C101)</f>
        <v>16</v>
      </c>
      <c r="T32" s="34">
        <f t="shared" ref="T32:AF32" si="24">SUM(D98:D101)</f>
        <v>2</v>
      </c>
      <c r="U32" s="34">
        <f t="shared" si="24"/>
        <v>0</v>
      </c>
      <c r="V32" s="34">
        <f t="shared" si="24"/>
        <v>1</v>
      </c>
      <c r="W32" s="34">
        <f t="shared" si="24"/>
        <v>1</v>
      </c>
      <c r="X32" s="34">
        <f t="shared" si="24"/>
        <v>0</v>
      </c>
      <c r="Y32" s="34">
        <f t="shared" si="24"/>
        <v>3</v>
      </c>
      <c r="Z32" s="34">
        <f t="shared" si="24"/>
        <v>1</v>
      </c>
      <c r="AA32" s="34">
        <f t="shared" si="24"/>
        <v>1</v>
      </c>
      <c r="AB32" s="34">
        <f t="shared" si="24"/>
        <v>0</v>
      </c>
      <c r="AC32" s="34">
        <f t="shared" si="24"/>
        <v>84</v>
      </c>
      <c r="AD32" s="34">
        <f t="shared" si="24"/>
        <v>0</v>
      </c>
      <c r="AE32" s="31">
        <f t="shared" si="24"/>
        <v>25</v>
      </c>
      <c r="AF32" s="31">
        <f t="shared" si="24"/>
        <v>109</v>
      </c>
    </row>
    <row r="33" spans="2:32" ht="23.1" customHeight="1" x14ac:dyDescent="0.25">
      <c r="B33" s="45" t="s">
        <v>60</v>
      </c>
      <c r="C33" s="50">
        <v>51</v>
      </c>
      <c r="D33" s="50">
        <v>2</v>
      </c>
      <c r="E33" s="50">
        <v>4</v>
      </c>
      <c r="F33" s="50">
        <v>9</v>
      </c>
      <c r="G33" s="50">
        <v>0</v>
      </c>
      <c r="H33" s="50">
        <v>0</v>
      </c>
      <c r="I33" s="50">
        <v>3</v>
      </c>
      <c r="J33" s="50">
        <v>2</v>
      </c>
      <c r="K33" s="50">
        <v>0</v>
      </c>
      <c r="L33" s="50">
        <v>0</v>
      </c>
      <c r="M33" s="50">
        <v>93</v>
      </c>
      <c r="N33" s="50">
        <v>0</v>
      </c>
      <c r="O33" s="15">
        <f t="shared" si="0"/>
        <v>71</v>
      </c>
      <c r="P33" s="15">
        <f t="shared" si="1"/>
        <v>164</v>
      </c>
      <c r="R33" s="33" t="s">
        <v>157</v>
      </c>
      <c r="S33" s="34">
        <f>SUM(C102:C105)</f>
        <v>21</v>
      </c>
      <c r="T33" s="34">
        <f t="shared" ref="T33:AF33" si="25">SUM(D102:D105)</f>
        <v>1</v>
      </c>
      <c r="U33" s="34">
        <f t="shared" si="25"/>
        <v>1</v>
      </c>
      <c r="V33" s="34">
        <f t="shared" si="25"/>
        <v>3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0</v>
      </c>
      <c r="AA33" s="34">
        <f t="shared" si="25"/>
        <v>1</v>
      </c>
      <c r="AB33" s="34">
        <f t="shared" si="25"/>
        <v>0</v>
      </c>
      <c r="AC33" s="34">
        <f t="shared" si="25"/>
        <v>68</v>
      </c>
      <c r="AD33" s="34">
        <f t="shared" si="25"/>
        <v>0</v>
      </c>
      <c r="AE33" s="31">
        <f t="shared" si="25"/>
        <v>28</v>
      </c>
      <c r="AF33" s="31">
        <f t="shared" si="25"/>
        <v>96</v>
      </c>
    </row>
    <row r="34" spans="2:32" ht="23.1" customHeight="1" x14ac:dyDescent="0.25">
      <c r="B34" s="46" t="s">
        <v>61</v>
      </c>
      <c r="C34" s="50">
        <v>50</v>
      </c>
      <c r="D34" s="50">
        <v>0</v>
      </c>
      <c r="E34" s="50">
        <v>1</v>
      </c>
      <c r="F34" s="50">
        <v>9</v>
      </c>
      <c r="G34" s="50">
        <v>0</v>
      </c>
      <c r="H34" s="50">
        <v>0</v>
      </c>
      <c r="I34" s="50">
        <v>9</v>
      </c>
      <c r="J34" s="50">
        <v>1</v>
      </c>
      <c r="K34" s="50">
        <v>0</v>
      </c>
      <c r="L34" s="50">
        <v>0</v>
      </c>
      <c r="M34" s="50">
        <v>122</v>
      </c>
      <c r="N34" s="50">
        <v>0</v>
      </c>
      <c r="O34" s="15">
        <f t="shared" si="0"/>
        <v>70</v>
      </c>
      <c r="P34" s="15">
        <f t="shared" si="1"/>
        <v>192</v>
      </c>
      <c r="R34" s="38" t="s">
        <v>90</v>
      </c>
      <c r="S34" s="39">
        <f t="shared" ref="S34:AF34" si="26">MAX(S10:S12)</f>
        <v>201</v>
      </c>
      <c r="T34" s="39">
        <f t="shared" si="26"/>
        <v>8</v>
      </c>
      <c r="U34" s="39">
        <f t="shared" si="26"/>
        <v>7</v>
      </c>
      <c r="V34" s="39">
        <f t="shared" si="26"/>
        <v>163</v>
      </c>
      <c r="W34" s="39">
        <f t="shared" si="26"/>
        <v>0</v>
      </c>
      <c r="X34" s="39">
        <f t="shared" si="26"/>
        <v>1</v>
      </c>
      <c r="Y34" s="39">
        <f t="shared" si="26"/>
        <v>13</v>
      </c>
      <c r="Z34" s="39">
        <f t="shared" si="26"/>
        <v>3</v>
      </c>
      <c r="AA34" s="39">
        <f t="shared" si="26"/>
        <v>0</v>
      </c>
      <c r="AB34" s="39">
        <f t="shared" si="26"/>
        <v>5</v>
      </c>
      <c r="AC34" s="39">
        <f t="shared" si="26"/>
        <v>397</v>
      </c>
      <c r="AD34" s="39">
        <f t="shared" si="26"/>
        <v>0</v>
      </c>
      <c r="AE34" s="40">
        <f t="shared" si="26"/>
        <v>383</v>
      </c>
      <c r="AF34" s="40">
        <f t="shared" si="26"/>
        <v>780</v>
      </c>
    </row>
    <row r="35" spans="2:32" ht="23.1" customHeight="1" x14ac:dyDescent="0.25">
      <c r="B35" s="46" t="s">
        <v>62</v>
      </c>
      <c r="C35" s="50">
        <v>37</v>
      </c>
      <c r="D35" s="50">
        <v>3</v>
      </c>
      <c r="E35" s="50">
        <v>7</v>
      </c>
      <c r="F35" s="50">
        <v>7</v>
      </c>
      <c r="G35" s="50">
        <v>0</v>
      </c>
      <c r="H35" s="50">
        <v>0</v>
      </c>
      <c r="I35" s="50">
        <v>5</v>
      </c>
      <c r="J35" s="50">
        <v>2</v>
      </c>
      <c r="K35" s="50">
        <v>1</v>
      </c>
      <c r="L35" s="50">
        <v>2</v>
      </c>
      <c r="M35" s="50">
        <v>110</v>
      </c>
      <c r="N35" s="50">
        <v>0</v>
      </c>
      <c r="O35" s="15">
        <f t="shared" si="0"/>
        <v>64</v>
      </c>
      <c r="P35" s="15">
        <f t="shared" si="1"/>
        <v>174</v>
      </c>
      <c r="R35" s="38" t="s">
        <v>91</v>
      </c>
      <c r="S35" s="39">
        <f t="shared" ref="S35:AF35" si="27">MAX(S13:S18)</f>
        <v>182</v>
      </c>
      <c r="T35" s="39">
        <f t="shared" si="27"/>
        <v>10</v>
      </c>
      <c r="U35" s="39">
        <f t="shared" si="27"/>
        <v>17</v>
      </c>
      <c r="V35" s="39">
        <f t="shared" si="27"/>
        <v>65</v>
      </c>
      <c r="W35" s="39">
        <f t="shared" si="27"/>
        <v>1</v>
      </c>
      <c r="X35" s="39">
        <f t="shared" si="27"/>
        <v>0</v>
      </c>
      <c r="Y35" s="39">
        <f t="shared" si="27"/>
        <v>20</v>
      </c>
      <c r="Z35" s="39">
        <f t="shared" si="27"/>
        <v>6</v>
      </c>
      <c r="AA35" s="39">
        <f t="shared" si="27"/>
        <v>3</v>
      </c>
      <c r="AB35" s="39">
        <f t="shared" si="27"/>
        <v>4</v>
      </c>
      <c r="AC35" s="39">
        <f t="shared" si="27"/>
        <v>395</v>
      </c>
      <c r="AD35" s="39">
        <f t="shared" si="27"/>
        <v>0</v>
      </c>
      <c r="AE35" s="40">
        <f t="shared" si="27"/>
        <v>252</v>
      </c>
      <c r="AF35" s="40">
        <f t="shared" si="27"/>
        <v>645</v>
      </c>
    </row>
    <row r="36" spans="2:32" ht="23.1" customHeight="1" x14ac:dyDescent="0.25">
      <c r="B36" s="46" t="s">
        <v>63</v>
      </c>
      <c r="C36" s="50">
        <v>30</v>
      </c>
      <c r="D36" s="50">
        <v>1</v>
      </c>
      <c r="E36" s="50">
        <v>1</v>
      </c>
      <c r="F36" s="50">
        <v>10</v>
      </c>
      <c r="G36" s="50">
        <v>0</v>
      </c>
      <c r="H36" s="50">
        <v>0</v>
      </c>
      <c r="I36" s="50">
        <v>3</v>
      </c>
      <c r="J36" s="50">
        <v>1</v>
      </c>
      <c r="K36" s="50">
        <v>0</v>
      </c>
      <c r="L36" s="50">
        <v>0</v>
      </c>
      <c r="M36" s="50">
        <v>65</v>
      </c>
      <c r="N36" s="50">
        <v>0</v>
      </c>
      <c r="O36" s="15">
        <f t="shared" si="0"/>
        <v>46</v>
      </c>
      <c r="P36" s="15">
        <f t="shared" si="1"/>
        <v>111</v>
      </c>
      <c r="R36" s="38" t="s">
        <v>92</v>
      </c>
      <c r="S36" s="39">
        <f t="shared" ref="S36:AF36" si="28">MAX(S19:S21)</f>
        <v>177</v>
      </c>
      <c r="T36" s="39">
        <f t="shared" si="28"/>
        <v>5</v>
      </c>
      <c r="U36" s="39">
        <f t="shared" si="28"/>
        <v>12</v>
      </c>
      <c r="V36" s="39">
        <f t="shared" si="28"/>
        <v>112</v>
      </c>
      <c r="W36" s="39">
        <f t="shared" si="28"/>
        <v>1</v>
      </c>
      <c r="X36" s="39">
        <f t="shared" si="28"/>
        <v>0</v>
      </c>
      <c r="Y36" s="39">
        <f t="shared" si="28"/>
        <v>19</v>
      </c>
      <c r="Z36" s="39">
        <f t="shared" si="28"/>
        <v>6</v>
      </c>
      <c r="AA36" s="39">
        <f t="shared" si="28"/>
        <v>1</v>
      </c>
      <c r="AB36" s="39">
        <f t="shared" si="28"/>
        <v>1</v>
      </c>
      <c r="AC36" s="39">
        <f t="shared" si="28"/>
        <v>262</v>
      </c>
      <c r="AD36" s="39">
        <f t="shared" si="28"/>
        <v>0</v>
      </c>
      <c r="AE36" s="40">
        <f t="shared" si="28"/>
        <v>311</v>
      </c>
      <c r="AF36" s="40">
        <f t="shared" si="28"/>
        <v>544</v>
      </c>
    </row>
    <row r="37" spans="2:32" ht="23.1" customHeight="1" x14ac:dyDescent="0.25">
      <c r="B37" s="45" t="s">
        <v>64</v>
      </c>
      <c r="C37" s="50">
        <v>65</v>
      </c>
      <c r="D37" s="50">
        <v>0</v>
      </c>
      <c r="E37" s="50">
        <v>4</v>
      </c>
      <c r="F37" s="50">
        <v>0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1</v>
      </c>
      <c r="M37" s="50">
        <v>48</v>
      </c>
      <c r="N37" s="50">
        <v>0</v>
      </c>
      <c r="O37" s="15">
        <f t="shared" si="0"/>
        <v>72</v>
      </c>
      <c r="P37" s="15">
        <f t="shared" si="1"/>
        <v>120</v>
      </c>
      <c r="R37" s="37" t="s">
        <v>85</v>
      </c>
      <c r="S37" s="35">
        <f t="shared" ref="S37:AF37" si="29">SUM(S10:S12)</f>
        <v>373</v>
      </c>
      <c r="T37" s="16">
        <f t="shared" si="29"/>
        <v>16</v>
      </c>
      <c r="U37" s="16">
        <f t="shared" si="29"/>
        <v>17</v>
      </c>
      <c r="V37" s="16">
        <f t="shared" si="29"/>
        <v>283</v>
      </c>
      <c r="W37" s="16">
        <f t="shared" si="29"/>
        <v>0</v>
      </c>
      <c r="X37" s="16">
        <f t="shared" si="29"/>
        <v>1</v>
      </c>
      <c r="Y37" s="16">
        <f t="shared" si="29"/>
        <v>22</v>
      </c>
      <c r="Z37" s="16">
        <f t="shared" si="29"/>
        <v>7</v>
      </c>
      <c r="AA37" s="16">
        <f t="shared" si="29"/>
        <v>0</v>
      </c>
      <c r="AB37" s="16">
        <f t="shared" si="29"/>
        <v>7</v>
      </c>
      <c r="AC37" s="16">
        <f t="shared" si="29"/>
        <v>1152</v>
      </c>
      <c r="AD37" s="16">
        <f t="shared" si="29"/>
        <v>0</v>
      </c>
      <c r="AE37" s="32">
        <f t="shared" si="29"/>
        <v>726</v>
      </c>
      <c r="AF37" s="32">
        <f t="shared" si="29"/>
        <v>1878</v>
      </c>
    </row>
    <row r="38" spans="2:32" ht="23.1" customHeight="1" x14ac:dyDescent="0.25">
      <c r="B38" s="46" t="s">
        <v>65</v>
      </c>
      <c r="C38" s="50">
        <v>43</v>
      </c>
      <c r="D38" s="50">
        <v>1</v>
      </c>
      <c r="E38" s="50">
        <v>1</v>
      </c>
      <c r="F38" s="50">
        <v>11</v>
      </c>
      <c r="G38" s="50">
        <v>0</v>
      </c>
      <c r="H38" s="50">
        <v>0</v>
      </c>
      <c r="I38" s="50">
        <v>2</v>
      </c>
      <c r="J38" s="50">
        <v>4</v>
      </c>
      <c r="K38" s="50">
        <v>0</v>
      </c>
      <c r="L38" s="50">
        <v>2</v>
      </c>
      <c r="M38" s="50">
        <v>85</v>
      </c>
      <c r="N38" s="50">
        <v>0</v>
      </c>
      <c r="O38" s="15">
        <f t="shared" si="0"/>
        <v>64</v>
      </c>
      <c r="P38" s="15">
        <f t="shared" si="1"/>
        <v>149</v>
      </c>
      <c r="R38" s="28" t="s">
        <v>86</v>
      </c>
      <c r="S38" s="16">
        <f t="shared" ref="S38:AF38" si="30">SUM(S13:S18)</f>
        <v>897</v>
      </c>
      <c r="T38" s="16">
        <f t="shared" si="30"/>
        <v>32</v>
      </c>
      <c r="U38" s="16">
        <f t="shared" si="30"/>
        <v>56</v>
      </c>
      <c r="V38" s="16">
        <f t="shared" si="30"/>
        <v>234</v>
      </c>
      <c r="W38" s="16">
        <f t="shared" si="30"/>
        <v>1</v>
      </c>
      <c r="X38" s="16">
        <f t="shared" si="30"/>
        <v>0</v>
      </c>
      <c r="Y38" s="16">
        <f t="shared" si="30"/>
        <v>71</v>
      </c>
      <c r="Z38" s="16">
        <f t="shared" si="30"/>
        <v>22</v>
      </c>
      <c r="AA38" s="16">
        <f t="shared" si="30"/>
        <v>7</v>
      </c>
      <c r="AB38" s="16">
        <f t="shared" si="30"/>
        <v>15</v>
      </c>
      <c r="AC38" s="16">
        <f t="shared" si="30"/>
        <v>1922</v>
      </c>
      <c r="AD38" s="16">
        <f t="shared" si="30"/>
        <v>0</v>
      </c>
      <c r="AE38" s="32">
        <f t="shared" si="30"/>
        <v>1335</v>
      </c>
      <c r="AF38" s="32">
        <f t="shared" si="30"/>
        <v>3257</v>
      </c>
    </row>
    <row r="39" spans="2:32" ht="23.1" customHeight="1" x14ac:dyDescent="0.25">
      <c r="B39" s="46" t="s">
        <v>66</v>
      </c>
      <c r="C39" s="50">
        <v>22</v>
      </c>
      <c r="D39" s="50">
        <v>0</v>
      </c>
      <c r="E39" s="50">
        <v>0</v>
      </c>
      <c r="F39" s="50">
        <v>3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1</v>
      </c>
      <c r="M39" s="50">
        <v>51</v>
      </c>
      <c r="N39" s="50">
        <v>0</v>
      </c>
      <c r="O39" s="15">
        <f t="shared" si="0"/>
        <v>27</v>
      </c>
      <c r="P39" s="15">
        <f t="shared" si="1"/>
        <v>78</v>
      </c>
      <c r="R39" s="29" t="s">
        <v>87</v>
      </c>
      <c r="S39" s="16">
        <f t="shared" ref="S39:AF39" si="31">SUM(S19:S21)</f>
        <v>493</v>
      </c>
      <c r="T39" s="16">
        <f t="shared" si="31"/>
        <v>12</v>
      </c>
      <c r="U39" s="16">
        <f t="shared" si="31"/>
        <v>25</v>
      </c>
      <c r="V39" s="16">
        <f t="shared" si="31"/>
        <v>224</v>
      </c>
      <c r="W39" s="16">
        <f t="shared" si="31"/>
        <v>1</v>
      </c>
      <c r="X39" s="16">
        <f t="shared" si="31"/>
        <v>0</v>
      </c>
      <c r="Y39" s="16">
        <f t="shared" si="31"/>
        <v>32</v>
      </c>
      <c r="Z39" s="16">
        <f t="shared" si="31"/>
        <v>14</v>
      </c>
      <c r="AA39" s="16">
        <f t="shared" si="31"/>
        <v>2</v>
      </c>
      <c r="AB39" s="16">
        <f t="shared" si="31"/>
        <v>1</v>
      </c>
      <c r="AC39" s="16">
        <f t="shared" si="31"/>
        <v>740</v>
      </c>
      <c r="AD39" s="16">
        <f t="shared" si="31"/>
        <v>0</v>
      </c>
      <c r="AE39" s="32">
        <f t="shared" si="31"/>
        <v>804</v>
      </c>
      <c r="AF39" s="32">
        <f t="shared" si="31"/>
        <v>1544</v>
      </c>
    </row>
    <row r="40" spans="2:32" ht="23.1" customHeight="1" x14ac:dyDescent="0.25">
      <c r="B40" s="46" t="s">
        <v>67</v>
      </c>
      <c r="C40" s="50">
        <v>25</v>
      </c>
      <c r="D40" s="50">
        <v>1</v>
      </c>
      <c r="E40" s="50">
        <v>0</v>
      </c>
      <c r="F40" s="50">
        <v>9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36</v>
      </c>
      <c r="N40" s="50">
        <v>0</v>
      </c>
      <c r="O40" s="15">
        <f t="shared" si="0"/>
        <v>37</v>
      </c>
      <c r="P40" s="15">
        <f t="shared" si="1"/>
        <v>73</v>
      </c>
      <c r="R40" s="5" t="s">
        <v>17</v>
      </c>
      <c r="S40" s="16">
        <f t="shared" ref="S40:AF40" si="32">SUM(S10:S21)</f>
        <v>1763</v>
      </c>
      <c r="T40" s="16">
        <f t="shared" si="32"/>
        <v>60</v>
      </c>
      <c r="U40" s="16">
        <f t="shared" si="32"/>
        <v>98</v>
      </c>
      <c r="V40" s="16">
        <f t="shared" si="32"/>
        <v>741</v>
      </c>
      <c r="W40" s="16">
        <f t="shared" si="32"/>
        <v>2</v>
      </c>
      <c r="X40" s="16">
        <f t="shared" si="32"/>
        <v>1</v>
      </c>
      <c r="Y40" s="16">
        <f t="shared" si="32"/>
        <v>125</v>
      </c>
      <c r="Z40" s="16">
        <f t="shared" si="32"/>
        <v>43</v>
      </c>
      <c r="AA40" s="16">
        <f t="shared" si="32"/>
        <v>9</v>
      </c>
      <c r="AB40" s="16">
        <f t="shared" si="32"/>
        <v>23</v>
      </c>
      <c r="AC40" s="16">
        <f t="shared" si="32"/>
        <v>3814</v>
      </c>
      <c r="AD40" s="16">
        <f t="shared" si="32"/>
        <v>0</v>
      </c>
      <c r="AE40" s="32">
        <f t="shared" si="32"/>
        <v>2865</v>
      </c>
      <c r="AF40" s="32">
        <f t="shared" si="32"/>
        <v>6679</v>
      </c>
    </row>
    <row r="41" spans="2:32" ht="23.1" customHeight="1" x14ac:dyDescent="0.25">
      <c r="B41" s="45" t="s">
        <v>68</v>
      </c>
      <c r="C41" s="50">
        <v>17</v>
      </c>
      <c r="D41" s="50">
        <v>0</v>
      </c>
      <c r="E41" s="50">
        <v>0</v>
      </c>
      <c r="F41" s="50">
        <v>24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1</v>
      </c>
      <c r="M41" s="50">
        <v>56</v>
      </c>
      <c r="N41" s="50">
        <v>0</v>
      </c>
      <c r="O41" s="15">
        <f t="shared" si="0"/>
        <v>43</v>
      </c>
      <c r="P41" s="15">
        <f t="shared" si="1"/>
        <v>99</v>
      </c>
      <c r="R41" s="5" t="s">
        <v>159</v>
      </c>
      <c r="S41" s="16">
        <f>SUM(S10:S33)</f>
        <v>3144</v>
      </c>
      <c r="T41" s="16">
        <f t="shared" ref="T41:AF41" si="33">SUM(T10:T33)</f>
        <v>143</v>
      </c>
      <c r="U41" s="16">
        <f t="shared" si="33"/>
        <v>148</v>
      </c>
      <c r="V41" s="16">
        <f t="shared" si="33"/>
        <v>1091</v>
      </c>
      <c r="W41" s="16">
        <f t="shared" si="33"/>
        <v>6</v>
      </c>
      <c r="X41" s="16">
        <f t="shared" si="33"/>
        <v>2</v>
      </c>
      <c r="Y41" s="16">
        <f t="shared" si="33"/>
        <v>228</v>
      </c>
      <c r="Z41" s="16">
        <f t="shared" si="33"/>
        <v>87</v>
      </c>
      <c r="AA41" s="16">
        <f t="shared" si="33"/>
        <v>27</v>
      </c>
      <c r="AB41" s="16">
        <f t="shared" si="33"/>
        <v>23</v>
      </c>
      <c r="AC41" s="16">
        <f t="shared" si="33"/>
        <v>6119</v>
      </c>
      <c r="AD41" s="16">
        <f t="shared" si="33"/>
        <v>0</v>
      </c>
      <c r="AE41" s="32">
        <f t="shared" si="33"/>
        <v>4899</v>
      </c>
      <c r="AF41" s="32">
        <f t="shared" si="33"/>
        <v>11018</v>
      </c>
    </row>
    <row r="42" spans="2:32" ht="23.1" customHeight="1" x14ac:dyDescent="0.25">
      <c r="B42" s="46" t="s">
        <v>69</v>
      </c>
      <c r="C42" s="50">
        <v>23</v>
      </c>
      <c r="D42" s="50">
        <v>1</v>
      </c>
      <c r="E42" s="50">
        <v>6</v>
      </c>
      <c r="F42" s="50">
        <v>3</v>
      </c>
      <c r="G42" s="50">
        <v>0</v>
      </c>
      <c r="H42" s="50">
        <v>0</v>
      </c>
      <c r="I42" s="50">
        <v>2</v>
      </c>
      <c r="J42" s="50">
        <v>1</v>
      </c>
      <c r="K42" s="50">
        <v>1</v>
      </c>
      <c r="L42" s="50">
        <v>1</v>
      </c>
      <c r="M42" s="50">
        <v>31</v>
      </c>
      <c r="N42" s="50">
        <v>0</v>
      </c>
      <c r="O42" s="15">
        <f t="shared" si="0"/>
        <v>38</v>
      </c>
      <c r="P42" s="15">
        <f t="shared" si="1"/>
        <v>69</v>
      </c>
      <c r="R42" s="5" t="s">
        <v>160</v>
      </c>
      <c r="S42" s="48">
        <f>S41/S40</f>
        <v>1.7833238797504254</v>
      </c>
      <c r="T42" s="48">
        <f t="shared" ref="T42:AF42" si="34">T41/T40</f>
        <v>2.3833333333333333</v>
      </c>
      <c r="U42" s="48">
        <f t="shared" si="34"/>
        <v>1.510204081632653</v>
      </c>
      <c r="V42" s="48">
        <f t="shared" si="34"/>
        <v>1.4723346828609987</v>
      </c>
      <c r="W42" s="48">
        <f t="shared" si="34"/>
        <v>3</v>
      </c>
      <c r="X42" s="48">
        <f t="shared" si="34"/>
        <v>2</v>
      </c>
      <c r="Y42" s="48">
        <f t="shared" si="34"/>
        <v>1.8240000000000001</v>
      </c>
      <c r="Z42" s="48">
        <f t="shared" si="34"/>
        <v>2.0232558139534884</v>
      </c>
      <c r="AA42" s="48">
        <f t="shared" si="34"/>
        <v>3</v>
      </c>
      <c r="AB42" s="48">
        <f t="shared" si="34"/>
        <v>1</v>
      </c>
      <c r="AC42" s="48">
        <f t="shared" si="34"/>
        <v>1.6043523859465127</v>
      </c>
      <c r="AD42" s="48" t="e">
        <f t="shared" si="34"/>
        <v>#DIV/0!</v>
      </c>
      <c r="AE42" s="48">
        <f t="shared" si="34"/>
        <v>1.7099476439790575</v>
      </c>
      <c r="AF42" s="48">
        <f t="shared" si="34"/>
        <v>1.6496481509207965</v>
      </c>
    </row>
    <row r="43" spans="2:32" ht="23.1" customHeight="1" x14ac:dyDescent="0.25">
      <c r="B43" s="45" t="s">
        <v>70</v>
      </c>
      <c r="C43" s="50">
        <v>32</v>
      </c>
      <c r="D43" s="50">
        <v>2</v>
      </c>
      <c r="E43" s="50">
        <v>2</v>
      </c>
      <c r="F43" s="50">
        <v>10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55</v>
      </c>
      <c r="N43" s="50">
        <v>0</v>
      </c>
      <c r="O43" s="15">
        <f t="shared" si="0"/>
        <v>49</v>
      </c>
      <c r="P43" s="15">
        <f t="shared" si="1"/>
        <v>104</v>
      </c>
    </row>
    <row r="44" spans="2:32" ht="23.1" customHeight="1" x14ac:dyDescent="0.25">
      <c r="B44" s="47" t="s">
        <v>71</v>
      </c>
      <c r="C44" s="50">
        <v>48</v>
      </c>
      <c r="D44" s="50">
        <v>0</v>
      </c>
      <c r="E44" s="50">
        <v>1</v>
      </c>
      <c r="F44" s="50">
        <v>6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44</v>
      </c>
      <c r="N44" s="50">
        <v>0</v>
      </c>
      <c r="O44" s="15">
        <f t="shared" si="0"/>
        <v>57</v>
      </c>
      <c r="P44" s="15">
        <f t="shared" si="1"/>
        <v>101</v>
      </c>
    </row>
    <row r="45" spans="2:32" ht="23.1" customHeight="1" x14ac:dyDescent="0.25">
      <c r="B45" s="45" t="s">
        <v>72</v>
      </c>
      <c r="C45" s="50">
        <v>53</v>
      </c>
      <c r="D45" s="50">
        <v>1</v>
      </c>
      <c r="E45" s="50">
        <v>0</v>
      </c>
      <c r="F45" s="50">
        <v>5</v>
      </c>
      <c r="G45" s="50">
        <v>0</v>
      </c>
      <c r="H45" s="50">
        <v>0</v>
      </c>
      <c r="I45" s="50">
        <v>4</v>
      </c>
      <c r="J45" s="50">
        <v>2</v>
      </c>
      <c r="K45" s="50">
        <v>0</v>
      </c>
      <c r="L45" s="50">
        <v>2</v>
      </c>
      <c r="M45" s="50">
        <v>82</v>
      </c>
      <c r="N45" s="50">
        <v>0</v>
      </c>
      <c r="O45" s="15">
        <f t="shared" si="0"/>
        <v>67</v>
      </c>
      <c r="P45" s="15">
        <f t="shared" si="1"/>
        <v>149</v>
      </c>
    </row>
    <row r="46" spans="2:32" ht="23.1" customHeight="1" x14ac:dyDescent="0.25">
      <c r="B46" s="46" t="s">
        <v>73</v>
      </c>
      <c r="C46" s="50">
        <v>52</v>
      </c>
      <c r="D46" s="50">
        <v>3</v>
      </c>
      <c r="E46" s="50">
        <v>4</v>
      </c>
      <c r="F46" s="50">
        <v>7</v>
      </c>
      <c r="G46" s="50">
        <v>0</v>
      </c>
      <c r="H46" s="50">
        <v>0</v>
      </c>
      <c r="I46" s="50">
        <v>3</v>
      </c>
      <c r="J46" s="50">
        <v>1</v>
      </c>
      <c r="K46" s="50">
        <v>0</v>
      </c>
      <c r="L46" s="50">
        <v>0</v>
      </c>
      <c r="M46" s="50">
        <v>69</v>
      </c>
      <c r="N46" s="50">
        <v>0</v>
      </c>
      <c r="O46" s="15">
        <f t="shared" si="0"/>
        <v>70</v>
      </c>
      <c r="P46" s="15">
        <f t="shared" si="1"/>
        <v>139</v>
      </c>
      <c r="R46" s="8"/>
      <c r="T46"/>
    </row>
    <row r="47" spans="2:32" ht="23.1" customHeight="1" x14ac:dyDescent="0.25">
      <c r="B47" s="46" t="s">
        <v>74</v>
      </c>
      <c r="C47" s="50">
        <v>43</v>
      </c>
      <c r="D47" s="50">
        <v>0</v>
      </c>
      <c r="E47" s="50">
        <v>1</v>
      </c>
      <c r="F47" s="50">
        <v>11</v>
      </c>
      <c r="G47" s="50">
        <v>0</v>
      </c>
      <c r="H47" s="50">
        <v>0</v>
      </c>
      <c r="I47" s="50">
        <v>3</v>
      </c>
      <c r="J47" s="50">
        <v>2</v>
      </c>
      <c r="K47" s="50">
        <v>0</v>
      </c>
      <c r="L47" s="50">
        <v>0</v>
      </c>
      <c r="M47" s="50">
        <v>60</v>
      </c>
      <c r="N47" s="50">
        <v>0</v>
      </c>
      <c r="O47" s="15">
        <f t="shared" si="0"/>
        <v>60</v>
      </c>
      <c r="P47" s="15">
        <f t="shared" si="1"/>
        <v>120</v>
      </c>
      <c r="R47" s="8"/>
      <c r="T47"/>
    </row>
    <row r="48" spans="2:32" ht="23.1" customHeight="1" x14ac:dyDescent="0.25">
      <c r="B48" s="46" t="s">
        <v>75</v>
      </c>
      <c r="C48" s="50">
        <v>25</v>
      </c>
      <c r="D48" s="50">
        <v>0</v>
      </c>
      <c r="E48" s="50">
        <v>0</v>
      </c>
      <c r="F48" s="50">
        <v>16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60</v>
      </c>
      <c r="N48" s="50">
        <v>0</v>
      </c>
      <c r="O48" s="15">
        <f t="shared" si="0"/>
        <v>42</v>
      </c>
      <c r="P48" s="15">
        <f t="shared" si="1"/>
        <v>102</v>
      </c>
      <c r="R48" s="8"/>
      <c r="T48"/>
    </row>
    <row r="49" spans="2:20" ht="23.1" customHeight="1" x14ac:dyDescent="0.25">
      <c r="B49" s="45" t="s">
        <v>76</v>
      </c>
      <c r="C49" s="50">
        <v>32</v>
      </c>
      <c r="D49" s="50">
        <v>0</v>
      </c>
      <c r="E49" s="50">
        <v>2</v>
      </c>
      <c r="F49" s="50">
        <v>20</v>
      </c>
      <c r="G49" s="50">
        <v>1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56</v>
      </c>
      <c r="N49" s="50">
        <v>0</v>
      </c>
      <c r="O49" s="15">
        <f t="shared" si="0"/>
        <v>56</v>
      </c>
      <c r="P49" s="15">
        <f t="shared" si="1"/>
        <v>112</v>
      </c>
      <c r="R49" s="8"/>
      <c r="T49"/>
    </row>
    <row r="50" spans="2:20" ht="23.1" customHeight="1" x14ac:dyDescent="0.25">
      <c r="B50" s="46" t="s">
        <v>77</v>
      </c>
      <c r="C50" s="50">
        <v>55</v>
      </c>
      <c r="D50" s="50">
        <v>0</v>
      </c>
      <c r="E50" s="50">
        <v>6</v>
      </c>
      <c r="F50" s="50">
        <v>25</v>
      </c>
      <c r="G50" s="50">
        <v>0</v>
      </c>
      <c r="H50" s="50">
        <v>0</v>
      </c>
      <c r="I50" s="50">
        <v>1</v>
      </c>
      <c r="J50" s="50">
        <v>2</v>
      </c>
      <c r="K50" s="50">
        <v>0</v>
      </c>
      <c r="L50" s="50">
        <v>0</v>
      </c>
      <c r="M50" s="50">
        <v>75</v>
      </c>
      <c r="N50" s="50">
        <v>0</v>
      </c>
      <c r="O50" s="15">
        <f t="shared" si="0"/>
        <v>89</v>
      </c>
      <c r="P50" s="15">
        <f t="shared" si="1"/>
        <v>164</v>
      </c>
      <c r="R50" s="8"/>
      <c r="T50"/>
    </row>
    <row r="51" spans="2:20" ht="23.1" customHeight="1" x14ac:dyDescent="0.25">
      <c r="B51" s="46" t="s">
        <v>78</v>
      </c>
      <c r="C51" s="50">
        <v>25</v>
      </c>
      <c r="D51" s="50">
        <v>1</v>
      </c>
      <c r="E51" s="50">
        <v>0</v>
      </c>
      <c r="F51" s="50">
        <v>31</v>
      </c>
      <c r="G51" s="50">
        <v>0</v>
      </c>
      <c r="H51" s="50">
        <v>0</v>
      </c>
      <c r="I51" s="50">
        <v>2</v>
      </c>
      <c r="J51" s="50">
        <v>4</v>
      </c>
      <c r="K51" s="50">
        <v>0</v>
      </c>
      <c r="L51" s="50">
        <v>0</v>
      </c>
      <c r="M51" s="50">
        <v>66</v>
      </c>
      <c r="N51" s="50">
        <v>0</v>
      </c>
      <c r="O51" s="15">
        <f t="shared" si="0"/>
        <v>63</v>
      </c>
      <c r="P51" s="15">
        <f t="shared" si="1"/>
        <v>129</v>
      </c>
      <c r="R51" s="8"/>
      <c r="T51"/>
    </row>
    <row r="52" spans="2:20" ht="23.1" customHeight="1" x14ac:dyDescent="0.25">
      <c r="B52" s="46" t="s">
        <v>79</v>
      </c>
      <c r="C52" s="50">
        <v>43</v>
      </c>
      <c r="D52" s="50">
        <v>0</v>
      </c>
      <c r="E52" s="50">
        <v>1</v>
      </c>
      <c r="F52" s="50">
        <v>2</v>
      </c>
      <c r="G52" s="50">
        <v>0</v>
      </c>
      <c r="H52" s="50">
        <v>0</v>
      </c>
      <c r="I52" s="50">
        <v>3</v>
      </c>
      <c r="J52" s="50">
        <v>0</v>
      </c>
      <c r="K52" s="50">
        <v>0</v>
      </c>
      <c r="L52" s="50">
        <v>0</v>
      </c>
      <c r="M52" s="50">
        <v>77</v>
      </c>
      <c r="N52" s="50">
        <v>0</v>
      </c>
      <c r="O52" s="15">
        <f t="shared" si="0"/>
        <v>49</v>
      </c>
      <c r="P52" s="15">
        <f t="shared" si="1"/>
        <v>126</v>
      </c>
      <c r="R52" s="8"/>
      <c r="T52"/>
    </row>
    <row r="53" spans="2:20" ht="23.1" customHeight="1" x14ac:dyDescent="0.25">
      <c r="B53" s="45" t="s">
        <v>80</v>
      </c>
      <c r="C53" s="50">
        <v>54</v>
      </c>
      <c r="D53" s="50">
        <v>3</v>
      </c>
      <c r="E53" s="50">
        <v>5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1</v>
      </c>
      <c r="L53" s="50">
        <v>1</v>
      </c>
      <c r="M53" s="50">
        <v>44</v>
      </c>
      <c r="N53" s="50">
        <v>0</v>
      </c>
      <c r="O53" s="15">
        <f t="shared" si="0"/>
        <v>64</v>
      </c>
      <c r="P53" s="15">
        <f t="shared" si="1"/>
        <v>108</v>
      </c>
      <c r="R53" s="8"/>
      <c r="T53"/>
    </row>
    <row r="54" spans="2:20" ht="23.1" customHeight="1" x14ac:dyDescent="0.25">
      <c r="B54" s="45" t="s">
        <v>81</v>
      </c>
      <c r="C54" s="50">
        <v>32</v>
      </c>
      <c r="D54" s="50">
        <v>2</v>
      </c>
      <c r="E54" s="50">
        <v>1</v>
      </c>
      <c r="F54" s="50">
        <v>37</v>
      </c>
      <c r="G54" s="50">
        <v>0</v>
      </c>
      <c r="H54" s="50">
        <v>0</v>
      </c>
      <c r="I54" s="50">
        <v>4</v>
      </c>
      <c r="J54" s="50">
        <v>1</v>
      </c>
      <c r="K54" s="50">
        <v>0</v>
      </c>
      <c r="L54" s="50">
        <v>0</v>
      </c>
      <c r="M54" s="50">
        <v>69</v>
      </c>
      <c r="N54" s="50">
        <v>0</v>
      </c>
      <c r="O54" s="15">
        <f t="shared" si="0"/>
        <v>77</v>
      </c>
      <c r="P54" s="15">
        <f t="shared" si="1"/>
        <v>146</v>
      </c>
      <c r="R54" s="8"/>
      <c r="T54"/>
    </row>
    <row r="55" spans="2:20" ht="23.1" customHeight="1" x14ac:dyDescent="0.25">
      <c r="B55" s="45" t="s">
        <v>82</v>
      </c>
      <c r="C55" s="50">
        <v>41</v>
      </c>
      <c r="D55" s="50">
        <v>0</v>
      </c>
      <c r="E55" s="50">
        <v>2</v>
      </c>
      <c r="F55" s="50">
        <v>15</v>
      </c>
      <c r="G55" s="50">
        <v>0</v>
      </c>
      <c r="H55" s="50">
        <v>0</v>
      </c>
      <c r="I55" s="50">
        <v>7</v>
      </c>
      <c r="J55" s="50">
        <v>1</v>
      </c>
      <c r="K55" s="50">
        <v>0</v>
      </c>
      <c r="L55" s="50">
        <v>0</v>
      </c>
      <c r="M55" s="50">
        <v>50</v>
      </c>
      <c r="N55" s="50">
        <v>0</v>
      </c>
      <c r="O55" s="15">
        <f t="shared" si="0"/>
        <v>66</v>
      </c>
      <c r="P55" s="15">
        <f t="shared" si="1"/>
        <v>116</v>
      </c>
      <c r="R55" s="8"/>
      <c r="T55"/>
    </row>
    <row r="56" spans="2:20" ht="23.1" customHeight="1" x14ac:dyDescent="0.25">
      <c r="B56" s="45" t="s">
        <v>83</v>
      </c>
      <c r="C56" s="50">
        <v>34</v>
      </c>
      <c r="D56" s="50">
        <v>0</v>
      </c>
      <c r="E56" s="50">
        <v>3</v>
      </c>
      <c r="F56" s="50">
        <v>25</v>
      </c>
      <c r="G56" s="50">
        <v>0</v>
      </c>
      <c r="H56" s="50">
        <v>0</v>
      </c>
      <c r="I56" s="50">
        <v>3</v>
      </c>
      <c r="J56" s="50">
        <v>0</v>
      </c>
      <c r="K56" s="50">
        <v>0</v>
      </c>
      <c r="L56" s="50">
        <v>0</v>
      </c>
      <c r="M56" s="50">
        <v>65</v>
      </c>
      <c r="N56" s="50">
        <v>0</v>
      </c>
      <c r="O56" s="15">
        <f t="shared" si="0"/>
        <v>65</v>
      </c>
      <c r="P56" s="15">
        <f t="shared" si="1"/>
        <v>130</v>
      </c>
      <c r="R56" s="8"/>
      <c r="T56"/>
    </row>
    <row r="57" spans="2:20" ht="23.1" customHeight="1" x14ac:dyDescent="0.25">
      <c r="B57" s="45" t="s">
        <v>84</v>
      </c>
      <c r="C57" s="50">
        <v>57</v>
      </c>
      <c r="D57" s="50">
        <v>3</v>
      </c>
      <c r="E57" s="50">
        <v>0</v>
      </c>
      <c r="F57" s="50">
        <v>35</v>
      </c>
      <c r="G57" s="50">
        <v>0</v>
      </c>
      <c r="H57" s="50">
        <v>0</v>
      </c>
      <c r="I57" s="50">
        <v>5</v>
      </c>
      <c r="J57" s="50">
        <v>2</v>
      </c>
      <c r="K57" s="50">
        <v>1</v>
      </c>
      <c r="L57" s="50">
        <v>0</v>
      </c>
      <c r="M57" s="50">
        <v>49</v>
      </c>
      <c r="N57" s="50">
        <v>0</v>
      </c>
      <c r="O57" s="15">
        <f t="shared" si="0"/>
        <v>103</v>
      </c>
      <c r="P57" s="15">
        <f t="shared" si="1"/>
        <v>152</v>
      </c>
      <c r="R57" s="8"/>
      <c r="T57"/>
    </row>
    <row r="58" spans="2:20" ht="23.1" customHeight="1" x14ac:dyDescent="0.25">
      <c r="B58" s="45" t="s">
        <v>99</v>
      </c>
      <c r="C58" s="50">
        <v>17</v>
      </c>
      <c r="D58" s="50">
        <v>4</v>
      </c>
      <c r="E58" s="50">
        <v>2</v>
      </c>
      <c r="F58" s="50">
        <v>4</v>
      </c>
      <c r="G58" s="50">
        <v>0</v>
      </c>
      <c r="H58" s="50">
        <v>0</v>
      </c>
      <c r="I58" s="50">
        <v>2</v>
      </c>
      <c r="J58" s="50">
        <v>0</v>
      </c>
      <c r="K58" s="50">
        <v>0</v>
      </c>
      <c r="L58" s="50">
        <v>0</v>
      </c>
      <c r="M58" s="50">
        <v>88</v>
      </c>
      <c r="N58" s="50">
        <v>0</v>
      </c>
      <c r="O58" s="15">
        <f t="shared" si="0"/>
        <v>29</v>
      </c>
      <c r="P58" s="15">
        <f t="shared" si="1"/>
        <v>117</v>
      </c>
      <c r="R58" s="8"/>
      <c r="T58"/>
    </row>
    <row r="59" spans="2:20" ht="23.1" customHeight="1" x14ac:dyDescent="0.25">
      <c r="B59" s="45" t="s">
        <v>100</v>
      </c>
      <c r="C59" s="50">
        <v>40</v>
      </c>
      <c r="D59" s="50">
        <v>1</v>
      </c>
      <c r="E59" s="50">
        <v>1</v>
      </c>
      <c r="F59" s="50">
        <v>10</v>
      </c>
      <c r="G59" s="50">
        <v>0</v>
      </c>
      <c r="H59" s="50">
        <v>0</v>
      </c>
      <c r="I59" s="50">
        <v>2</v>
      </c>
      <c r="J59" s="50">
        <v>0</v>
      </c>
      <c r="K59" s="50">
        <v>0</v>
      </c>
      <c r="L59" s="50">
        <v>0</v>
      </c>
      <c r="M59" s="50">
        <v>55</v>
      </c>
      <c r="N59" s="50">
        <v>0</v>
      </c>
      <c r="O59" s="15">
        <f t="shared" si="0"/>
        <v>54</v>
      </c>
      <c r="P59" s="15">
        <f t="shared" si="1"/>
        <v>109</v>
      </c>
      <c r="R59" s="8"/>
      <c r="T59"/>
    </row>
    <row r="60" spans="2:20" ht="23.1" customHeight="1" x14ac:dyDescent="0.25">
      <c r="B60" s="45" t="s">
        <v>101</v>
      </c>
      <c r="C60" s="50">
        <v>49</v>
      </c>
      <c r="D60" s="50">
        <v>2</v>
      </c>
      <c r="E60" s="50">
        <v>3</v>
      </c>
      <c r="F60" s="50">
        <v>35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O60" s="15">
        <f t="shared" si="0"/>
        <v>89</v>
      </c>
      <c r="P60" s="15">
        <f t="shared" si="1"/>
        <v>89</v>
      </c>
      <c r="R60" s="8"/>
      <c r="T60"/>
    </row>
    <row r="61" spans="2:20" ht="23.1" customHeight="1" x14ac:dyDescent="0.25">
      <c r="B61" s="45" t="s">
        <v>102</v>
      </c>
      <c r="C61" s="50">
        <v>45</v>
      </c>
      <c r="D61" s="50">
        <v>5</v>
      </c>
      <c r="E61" s="50">
        <v>0</v>
      </c>
      <c r="F61" s="50">
        <v>14</v>
      </c>
      <c r="G61" s="50">
        <v>0</v>
      </c>
      <c r="H61" s="50">
        <v>0</v>
      </c>
      <c r="I61" s="50">
        <v>4</v>
      </c>
      <c r="J61" s="50">
        <v>0</v>
      </c>
      <c r="K61" s="50">
        <v>0</v>
      </c>
      <c r="L61" s="50">
        <v>0</v>
      </c>
      <c r="M61" s="50">
        <v>105</v>
      </c>
      <c r="N61" s="50">
        <v>0</v>
      </c>
      <c r="O61" s="15">
        <f t="shared" si="0"/>
        <v>68</v>
      </c>
      <c r="P61" s="15">
        <f t="shared" si="1"/>
        <v>173</v>
      </c>
      <c r="R61" s="8"/>
      <c r="T61"/>
    </row>
    <row r="62" spans="2:20" ht="23.1" customHeight="1" x14ac:dyDescent="0.25">
      <c r="B62" s="45" t="s">
        <v>107</v>
      </c>
      <c r="C62" s="50">
        <v>75</v>
      </c>
      <c r="D62" s="50">
        <v>4</v>
      </c>
      <c r="E62" s="50">
        <v>2</v>
      </c>
      <c r="F62" s="50">
        <v>36</v>
      </c>
      <c r="G62" s="50">
        <v>0</v>
      </c>
      <c r="H62" s="50">
        <v>0</v>
      </c>
      <c r="I62" s="50">
        <v>8</v>
      </c>
      <c r="J62" s="50">
        <v>1</v>
      </c>
      <c r="K62" s="50">
        <v>0</v>
      </c>
      <c r="L62" s="50">
        <v>0</v>
      </c>
      <c r="M62" s="50">
        <v>90</v>
      </c>
      <c r="N62" s="50">
        <v>0</v>
      </c>
      <c r="O62" s="15">
        <f t="shared" si="0"/>
        <v>126</v>
      </c>
      <c r="P62" s="15">
        <f t="shared" si="1"/>
        <v>216</v>
      </c>
      <c r="R62" s="8"/>
      <c r="T62"/>
    </row>
    <row r="63" spans="2:20" ht="23.1" customHeight="1" x14ac:dyDescent="0.25">
      <c r="B63" s="45" t="s">
        <v>108</v>
      </c>
      <c r="C63" s="50">
        <v>85</v>
      </c>
      <c r="D63" s="50">
        <v>10</v>
      </c>
      <c r="E63" s="50">
        <v>1</v>
      </c>
      <c r="F63" s="50">
        <v>35</v>
      </c>
      <c r="G63" s="50">
        <v>1</v>
      </c>
      <c r="H63" s="50">
        <v>0</v>
      </c>
      <c r="I63" s="50">
        <v>12</v>
      </c>
      <c r="J63" s="50">
        <v>4</v>
      </c>
      <c r="K63" s="50">
        <v>1</v>
      </c>
      <c r="L63" s="50">
        <v>0</v>
      </c>
      <c r="M63" s="50">
        <v>100</v>
      </c>
      <c r="N63" s="50">
        <v>0</v>
      </c>
      <c r="O63" s="15">
        <f t="shared" si="0"/>
        <v>149</v>
      </c>
      <c r="P63" s="15">
        <f t="shared" si="1"/>
        <v>249</v>
      </c>
      <c r="R63" s="8"/>
      <c r="T63"/>
    </row>
    <row r="64" spans="2:20" ht="23.1" customHeight="1" x14ac:dyDescent="0.25">
      <c r="B64" s="45" t="s">
        <v>109</v>
      </c>
      <c r="C64" s="50">
        <v>65</v>
      </c>
      <c r="D64" s="50">
        <v>3</v>
      </c>
      <c r="E64" s="50">
        <v>5</v>
      </c>
      <c r="F64" s="50">
        <v>30</v>
      </c>
      <c r="G64" s="50">
        <v>1</v>
      </c>
      <c r="H64" s="50">
        <v>0</v>
      </c>
      <c r="I64" s="50">
        <v>6</v>
      </c>
      <c r="J64" s="50">
        <v>5</v>
      </c>
      <c r="K64" s="50">
        <v>0</v>
      </c>
      <c r="L64" s="50">
        <v>0</v>
      </c>
      <c r="M64" s="50">
        <v>120</v>
      </c>
      <c r="N64" s="50">
        <v>0</v>
      </c>
      <c r="O64" s="15">
        <f t="shared" si="0"/>
        <v>115</v>
      </c>
      <c r="P64" s="15">
        <f t="shared" si="1"/>
        <v>235</v>
      </c>
      <c r="R64" s="8"/>
      <c r="T64"/>
    </row>
    <row r="65" spans="2:20" ht="23.1" customHeight="1" x14ac:dyDescent="0.25">
      <c r="B65" s="45" t="s">
        <v>158</v>
      </c>
      <c r="C65" s="50">
        <v>48</v>
      </c>
      <c r="D65" s="50">
        <v>3</v>
      </c>
      <c r="E65" s="50">
        <v>5</v>
      </c>
      <c r="F65" s="50">
        <v>12</v>
      </c>
      <c r="G65" s="50">
        <v>0</v>
      </c>
      <c r="H65" s="50">
        <v>0</v>
      </c>
      <c r="I65" s="50">
        <v>2</v>
      </c>
      <c r="J65" s="50">
        <v>2</v>
      </c>
      <c r="K65" s="50">
        <v>0</v>
      </c>
      <c r="L65" s="50">
        <v>0</v>
      </c>
      <c r="M65" s="50">
        <v>65</v>
      </c>
      <c r="N65" s="50">
        <v>0</v>
      </c>
      <c r="O65" s="15">
        <f t="shared" si="0"/>
        <v>72</v>
      </c>
      <c r="P65" s="15">
        <f t="shared" si="1"/>
        <v>137</v>
      </c>
      <c r="R65" s="8"/>
      <c r="T65"/>
    </row>
    <row r="66" spans="2:20" ht="23.1" customHeight="1" x14ac:dyDescent="0.25">
      <c r="B66" s="45" t="s">
        <v>103</v>
      </c>
      <c r="C66" s="50">
        <v>100</v>
      </c>
      <c r="D66" s="50">
        <v>5</v>
      </c>
      <c r="E66" s="50">
        <v>4</v>
      </c>
      <c r="F66" s="50">
        <v>28</v>
      </c>
      <c r="G66" s="50">
        <v>0</v>
      </c>
      <c r="H66" s="50">
        <v>0</v>
      </c>
      <c r="I66" s="50">
        <v>14</v>
      </c>
      <c r="J66" s="50">
        <v>2</v>
      </c>
      <c r="K66" s="50">
        <v>0</v>
      </c>
      <c r="L66" s="50">
        <v>0</v>
      </c>
      <c r="M66" s="50">
        <v>180</v>
      </c>
      <c r="N66" s="50">
        <v>0</v>
      </c>
      <c r="O66" s="15">
        <f t="shared" si="0"/>
        <v>153</v>
      </c>
      <c r="P66" s="15">
        <f t="shared" si="1"/>
        <v>333</v>
      </c>
      <c r="R66" s="8"/>
      <c r="T66"/>
    </row>
    <row r="67" spans="2:20" ht="23.1" customHeight="1" x14ac:dyDescent="0.25">
      <c r="B67" s="45" t="s">
        <v>104</v>
      </c>
      <c r="C67" s="50">
        <v>73</v>
      </c>
      <c r="D67" s="50">
        <v>3</v>
      </c>
      <c r="E67" s="50">
        <v>3</v>
      </c>
      <c r="F67" s="50">
        <v>20</v>
      </c>
      <c r="G67" s="50">
        <v>0</v>
      </c>
      <c r="H67" s="50">
        <v>0</v>
      </c>
      <c r="I67" s="50">
        <v>5</v>
      </c>
      <c r="J67" s="50">
        <v>0</v>
      </c>
      <c r="K67" s="50">
        <v>0</v>
      </c>
      <c r="L67" s="50">
        <v>0</v>
      </c>
      <c r="M67" s="50">
        <v>140</v>
      </c>
      <c r="N67" s="50">
        <v>0</v>
      </c>
      <c r="O67" s="15">
        <f t="shared" si="0"/>
        <v>104</v>
      </c>
      <c r="P67" s="15">
        <f t="shared" si="1"/>
        <v>244</v>
      </c>
      <c r="R67" s="8"/>
      <c r="T67"/>
    </row>
    <row r="68" spans="2:20" ht="23.1" customHeight="1" x14ac:dyDescent="0.25">
      <c r="B68" s="45" t="s">
        <v>105</v>
      </c>
      <c r="C68" s="50">
        <v>71</v>
      </c>
      <c r="D68" s="50">
        <v>5</v>
      </c>
      <c r="E68" s="50">
        <v>1</v>
      </c>
      <c r="F68" s="50">
        <v>23</v>
      </c>
      <c r="G68" s="50">
        <v>0</v>
      </c>
      <c r="H68" s="50">
        <v>0</v>
      </c>
      <c r="I68" s="50">
        <v>3</v>
      </c>
      <c r="J68" s="50">
        <v>5</v>
      </c>
      <c r="K68" s="50">
        <v>1</v>
      </c>
      <c r="L68" s="50">
        <v>0</v>
      </c>
      <c r="M68" s="50">
        <v>160</v>
      </c>
      <c r="N68" s="50">
        <v>0</v>
      </c>
      <c r="O68" s="15">
        <f t="shared" si="0"/>
        <v>109</v>
      </c>
      <c r="P68" s="15">
        <f t="shared" si="1"/>
        <v>269</v>
      </c>
      <c r="R68" s="8"/>
      <c r="T68"/>
    </row>
    <row r="69" spans="2:20" ht="23.1" customHeight="1" x14ac:dyDescent="0.25">
      <c r="B69" s="45" t="s">
        <v>106</v>
      </c>
      <c r="C69" s="50">
        <v>80</v>
      </c>
      <c r="D69" s="50">
        <v>3</v>
      </c>
      <c r="E69" s="50">
        <v>4</v>
      </c>
      <c r="F69" s="50">
        <v>10</v>
      </c>
      <c r="G69" s="50">
        <v>0</v>
      </c>
      <c r="H69" s="50">
        <v>0</v>
      </c>
      <c r="I69" s="50">
        <v>6</v>
      </c>
      <c r="J69" s="50">
        <v>1</v>
      </c>
      <c r="K69" s="50">
        <v>0</v>
      </c>
      <c r="L69" s="50">
        <v>0</v>
      </c>
      <c r="M69" s="50">
        <v>110</v>
      </c>
      <c r="N69" s="50">
        <v>0</v>
      </c>
      <c r="O69" s="15">
        <f t="shared" si="0"/>
        <v>104</v>
      </c>
      <c r="P69" s="15">
        <f t="shared" si="1"/>
        <v>214</v>
      </c>
      <c r="R69" s="8"/>
      <c r="T69"/>
    </row>
    <row r="70" spans="2:20" ht="23.1" customHeight="1" x14ac:dyDescent="0.25">
      <c r="B70" s="45" t="s">
        <v>110</v>
      </c>
      <c r="C70" s="50">
        <v>65</v>
      </c>
      <c r="D70" s="50">
        <v>3</v>
      </c>
      <c r="E70" s="50">
        <v>1</v>
      </c>
      <c r="F70" s="50">
        <v>3</v>
      </c>
      <c r="G70" s="50">
        <v>0</v>
      </c>
      <c r="H70" s="50">
        <v>0</v>
      </c>
      <c r="I70" s="50">
        <v>2</v>
      </c>
      <c r="J70" s="50">
        <v>0</v>
      </c>
      <c r="K70" s="50">
        <v>0</v>
      </c>
      <c r="L70" s="50">
        <v>0</v>
      </c>
      <c r="M70" s="50">
        <v>100</v>
      </c>
      <c r="N70" s="50">
        <v>0</v>
      </c>
      <c r="O70" s="15">
        <f t="shared" si="0"/>
        <v>74</v>
      </c>
      <c r="P70" s="15">
        <f t="shared" si="1"/>
        <v>174</v>
      </c>
      <c r="R70" s="8"/>
      <c r="T70"/>
    </row>
    <row r="71" spans="2:20" ht="23.1" customHeight="1" x14ac:dyDescent="0.25">
      <c r="B71" s="45" t="s">
        <v>111</v>
      </c>
      <c r="C71" s="50">
        <v>40</v>
      </c>
      <c r="D71" s="50">
        <v>0</v>
      </c>
      <c r="E71" s="50">
        <v>2</v>
      </c>
      <c r="F71" s="50">
        <v>9</v>
      </c>
      <c r="G71" s="50">
        <v>0</v>
      </c>
      <c r="H71" s="50">
        <v>0</v>
      </c>
      <c r="I71" s="50">
        <v>3</v>
      </c>
      <c r="J71" s="50">
        <v>4</v>
      </c>
      <c r="K71" s="50">
        <v>1</v>
      </c>
      <c r="L71" s="50">
        <v>0</v>
      </c>
      <c r="M71" s="50">
        <v>75</v>
      </c>
      <c r="N71" s="50">
        <v>0</v>
      </c>
      <c r="O71" s="15">
        <f t="shared" si="0"/>
        <v>59</v>
      </c>
      <c r="P71" s="15">
        <f t="shared" si="1"/>
        <v>134</v>
      </c>
      <c r="R71" s="8"/>
      <c r="T71"/>
    </row>
    <row r="72" spans="2:20" ht="23.1" customHeight="1" x14ac:dyDescent="0.25">
      <c r="B72" s="45" t="s">
        <v>112</v>
      </c>
      <c r="C72" s="50">
        <v>55</v>
      </c>
      <c r="D72" s="50">
        <v>3</v>
      </c>
      <c r="E72" s="50">
        <v>1</v>
      </c>
      <c r="F72" s="50">
        <v>7</v>
      </c>
      <c r="G72" s="50">
        <v>0</v>
      </c>
      <c r="H72" s="50">
        <v>0</v>
      </c>
      <c r="I72" s="50">
        <v>4</v>
      </c>
      <c r="J72" s="50">
        <v>0</v>
      </c>
      <c r="K72" s="50">
        <v>0</v>
      </c>
      <c r="L72" s="50">
        <v>0</v>
      </c>
      <c r="M72" s="50">
        <v>70</v>
      </c>
      <c r="N72" s="50">
        <v>0</v>
      </c>
      <c r="O72" s="15">
        <f t="shared" si="0"/>
        <v>70</v>
      </c>
      <c r="P72" s="15">
        <f t="shared" si="1"/>
        <v>140</v>
      </c>
      <c r="R72" s="8"/>
      <c r="T72"/>
    </row>
    <row r="73" spans="2:20" ht="23.1" customHeight="1" x14ac:dyDescent="0.25">
      <c r="B73" s="45" t="s">
        <v>113</v>
      </c>
      <c r="C73" s="50">
        <v>73</v>
      </c>
      <c r="D73" s="50">
        <v>7</v>
      </c>
      <c r="E73" s="50">
        <v>1</v>
      </c>
      <c r="F73" s="50">
        <v>7</v>
      </c>
      <c r="G73" s="50">
        <v>1</v>
      </c>
      <c r="H73" s="50">
        <v>0</v>
      </c>
      <c r="I73" s="50">
        <v>7</v>
      </c>
      <c r="J73" s="50">
        <v>3</v>
      </c>
      <c r="K73" s="50">
        <v>0</v>
      </c>
      <c r="L73" s="50">
        <v>0</v>
      </c>
      <c r="M73" s="50">
        <v>101</v>
      </c>
      <c r="N73" s="50">
        <v>0</v>
      </c>
      <c r="O73" s="15">
        <f t="shared" si="0"/>
        <v>99</v>
      </c>
      <c r="P73" s="15">
        <f t="shared" si="1"/>
        <v>200</v>
      </c>
      <c r="R73" s="8"/>
      <c r="T73"/>
    </row>
    <row r="74" spans="2:20" ht="23.1" customHeight="1" x14ac:dyDescent="0.25">
      <c r="B74" s="45" t="s">
        <v>114</v>
      </c>
      <c r="C74" s="50">
        <v>58</v>
      </c>
      <c r="D74" s="50">
        <v>2</v>
      </c>
      <c r="E74" s="50">
        <v>2</v>
      </c>
      <c r="F74" s="50">
        <v>6</v>
      </c>
      <c r="G74" s="50">
        <v>0</v>
      </c>
      <c r="H74" s="50">
        <v>0</v>
      </c>
      <c r="I74" s="50">
        <v>1</v>
      </c>
      <c r="J74" s="50">
        <v>2</v>
      </c>
      <c r="K74" s="50">
        <v>1</v>
      </c>
      <c r="L74" s="50">
        <v>0</v>
      </c>
      <c r="M74" s="50">
        <v>60</v>
      </c>
      <c r="N74" s="50">
        <v>0</v>
      </c>
      <c r="O74" s="15">
        <f t="shared" ref="O74:O105" si="35">SUM(C74:L74,N74)</f>
        <v>72</v>
      </c>
      <c r="P74" s="15">
        <f t="shared" ref="P74:P105" si="36">SUM(C74:N74)</f>
        <v>132</v>
      </c>
      <c r="R74" s="8"/>
      <c r="T74"/>
    </row>
    <row r="75" spans="2:20" ht="23.1" customHeight="1" x14ac:dyDescent="0.25">
      <c r="B75" s="45" t="s">
        <v>115</v>
      </c>
      <c r="C75" s="50">
        <v>53</v>
      </c>
      <c r="D75" s="50">
        <v>2</v>
      </c>
      <c r="E75" s="50">
        <v>1</v>
      </c>
      <c r="F75" s="50">
        <v>6</v>
      </c>
      <c r="G75" s="50">
        <v>0</v>
      </c>
      <c r="H75" s="50">
        <v>0</v>
      </c>
      <c r="I75" s="50">
        <v>1</v>
      </c>
      <c r="J75" s="50">
        <v>2</v>
      </c>
      <c r="K75" s="50">
        <v>1</v>
      </c>
      <c r="L75" s="50">
        <v>0</v>
      </c>
      <c r="M75" s="50">
        <v>30</v>
      </c>
      <c r="N75" s="50">
        <v>0</v>
      </c>
      <c r="O75" s="15">
        <f t="shared" si="35"/>
        <v>66</v>
      </c>
      <c r="P75" s="15">
        <f t="shared" si="36"/>
        <v>96</v>
      </c>
      <c r="R75" s="8"/>
      <c r="T75"/>
    </row>
    <row r="76" spans="2:20" ht="23.1" customHeight="1" x14ac:dyDescent="0.25">
      <c r="B76" s="45" t="s">
        <v>116</v>
      </c>
      <c r="C76" s="50">
        <v>40</v>
      </c>
      <c r="D76" s="50">
        <v>0</v>
      </c>
      <c r="E76" s="50">
        <v>3</v>
      </c>
      <c r="F76" s="50">
        <v>3</v>
      </c>
      <c r="G76" s="50">
        <v>0</v>
      </c>
      <c r="H76" s="50">
        <v>1</v>
      </c>
      <c r="I76" s="50">
        <v>2</v>
      </c>
      <c r="J76" s="50">
        <v>0</v>
      </c>
      <c r="K76" s="50">
        <v>1</v>
      </c>
      <c r="L76" s="50">
        <v>0</v>
      </c>
      <c r="M76" s="50">
        <v>77</v>
      </c>
      <c r="N76" s="50">
        <v>0</v>
      </c>
      <c r="O76" s="15">
        <f t="shared" si="35"/>
        <v>50</v>
      </c>
      <c r="P76" s="15">
        <f t="shared" si="36"/>
        <v>127</v>
      </c>
      <c r="R76" s="8"/>
      <c r="T76"/>
    </row>
    <row r="77" spans="2:20" ht="23.1" customHeight="1" x14ac:dyDescent="0.25">
      <c r="B77" s="45" t="s">
        <v>117</v>
      </c>
      <c r="C77" s="50">
        <v>18</v>
      </c>
      <c r="D77" s="50">
        <v>1</v>
      </c>
      <c r="E77" s="50">
        <v>0</v>
      </c>
      <c r="F77" s="50">
        <v>4</v>
      </c>
      <c r="G77" s="50">
        <v>0</v>
      </c>
      <c r="H77" s="50">
        <v>0</v>
      </c>
      <c r="I77" s="50">
        <v>1</v>
      </c>
      <c r="J77" s="50">
        <v>3</v>
      </c>
      <c r="K77" s="50">
        <v>2</v>
      </c>
      <c r="L77" s="50">
        <v>0</v>
      </c>
      <c r="M77" s="50">
        <v>50</v>
      </c>
      <c r="N77" s="50">
        <v>0</v>
      </c>
      <c r="O77" s="15">
        <f t="shared" si="35"/>
        <v>29</v>
      </c>
      <c r="P77" s="15">
        <f t="shared" si="36"/>
        <v>79</v>
      </c>
      <c r="R77" s="8"/>
      <c r="T77"/>
    </row>
    <row r="78" spans="2:20" ht="23.1" customHeight="1" x14ac:dyDescent="0.25">
      <c r="B78" s="46" t="s">
        <v>118</v>
      </c>
      <c r="C78" s="50">
        <v>18</v>
      </c>
      <c r="D78" s="50">
        <v>2</v>
      </c>
      <c r="E78" s="50">
        <v>2</v>
      </c>
      <c r="F78" s="50">
        <v>11</v>
      </c>
      <c r="G78" s="50">
        <v>0</v>
      </c>
      <c r="H78" s="50">
        <v>0</v>
      </c>
      <c r="I78" s="50">
        <v>2</v>
      </c>
      <c r="J78" s="50">
        <v>0</v>
      </c>
      <c r="K78" s="50">
        <v>1</v>
      </c>
      <c r="L78" s="50">
        <v>0</v>
      </c>
      <c r="M78" s="50">
        <v>42</v>
      </c>
      <c r="N78" s="50">
        <v>0</v>
      </c>
      <c r="O78" s="15">
        <f t="shared" si="35"/>
        <v>36</v>
      </c>
      <c r="P78" s="15">
        <f t="shared" si="36"/>
        <v>78</v>
      </c>
      <c r="R78" s="8"/>
      <c r="T78"/>
    </row>
    <row r="79" spans="2:20" ht="23.1" customHeight="1" x14ac:dyDescent="0.25">
      <c r="B79" s="45" t="s">
        <v>119</v>
      </c>
      <c r="C79" s="50">
        <v>12</v>
      </c>
      <c r="D79" s="50">
        <v>3</v>
      </c>
      <c r="E79" s="50">
        <v>2</v>
      </c>
      <c r="F79" s="50">
        <v>6</v>
      </c>
      <c r="G79" s="50">
        <v>0</v>
      </c>
      <c r="H79" s="50">
        <v>0</v>
      </c>
      <c r="I79" s="50">
        <v>0</v>
      </c>
      <c r="J79" s="50">
        <v>1</v>
      </c>
      <c r="K79" s="50">
        <v>1</v>
      </c>
      <c r="L79" s="50">
        <v>0</v>
      </c>
      <c r="M79" s="50">
        <v>32</v>
      </c>
      <c r="N79" s="50">
        <v>0</v>
      </c>
      <c r="O79" s="15">
        <f t="shared" si="35"/>
        <v>25</v>
      </c>
      <c r="P79" s="15">
        <f t="shared" si="36"/>
        <v>57</v>
      </c>
      <c r="R79" s="8"/>
      <c r="T79"/>
    </row>
    <row r="80" spans="2:20" ht="23.1" customHeight="1" x14ac:dyDescent="0.25">
      <c r="B80" s="47" t="s">
        <v>120</v>
      </c>
      <c r="C80" s="50">
        <v>17</v>
      </c>
      <c r="D80" s="50">
        <v>1</v>
      </c>
      <c r="E80" s="50">
        <v>0</v>
      </c>
      <c r="F80" s="50">
        <v>9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30</v>
      </c>
      <c r="N80" s="50">
        <v>0</v>
      </c>
      <c r="O80" s="15">
        <f t="shared" si="35"/>
        <v>27</v>
      </c>
      <c r="P80" s="15">
        <f t="shared" si="36"/>
        <v>57</v>
      </c>
      <c r="R80" s="8"/>
      <c r="T80"/>
    </row>
    <row r="81" spans="2:20" ht="23.1" customHeight="1" x14ac:dyDescent="0.25">
      <c r="B81" s="45" t="s">
        <v>121</v>
      </c>
      <c r="C81" s="50">
        <v>16</v>
      </c>
      <c r="D81" s="50">
        <v>4</v>
      </c>
      <c r="E81" s="50">
        <v>0</v>
      </c>
      <c r="F81" s="50">
        <v>7</v>
      </c>
      <c r="G81" s="50">
        <v>0</v>
      </c>
      <c r="H81" s="50">
        <v>0</v>
      </c>
      <c r="I81" s="50">
        <v>1</v>
      </c>
      <c r="J81" s="50">
        <v>3</v>
      </c>
      <c r="K81" s="50">
        <v>0</v>
      </c>
      <c r="L81" s="50">
        <v>0</v>
      </c>
      <c r="M81" s="50">
        <v>21</v>
      </c>
      <c r="N81" s="50">
        <v>0</v>
      </c>
      <c r="O81" s="15">
        <f t="shared" si="35"/>
        <v>31</v>
      </c>
      <c r="P81" s="15">
        <f t="shared" si="36"/>
        <v>52</v>
      </c>
      <c r="R81" s="8"/>
      <c r="T81"/>
    </row>
    <row r="82" spans="2:20" ht="23.1" customHeight="1" x14ac:dyDescent="0.25">
      <c r="B82" s="46" t="s">
        <v>122</v>
      </c>
      <c r="C82" s="50">
        <v>23</v>
      </c>
      <c r="D82" s="50">
        <v>1</v>
      </c>
      <c r="E82" s="50">
        <v>2</v>
      </c>
      <c r="F82" s="50">
        <v>5</v>
      </c>
      <c r="G82" s="50">
        <v>0</v>
      </c>
      <c r="H82" s="50">
        <v>0</v>
      </c>
      <c r="I82" s="50">
        <v>3</v>
      </c>
      <c r="J82" s="50">
        <v>2</v>
      </c>
      <c r="K82" s="50">
        <v>1</v>
      </c>
      <c r="L82" s="50">
        <v>0</v>
      </c>
      <c r="M82" s="50">
        <v>22</v>
      </c>
      <c r="N82" s="50">
        <v>0</v>
      </c>
      <c r="O82" s="15">
        <f t="shared" si="35"/>
        <v>37</v>
      </c>
      <c r="P82" s="15">
        <f t="shared" si="36"/>
        <v>59</v>
      </c>
      <c r="R82" s="8"/>
      <c r="T82"/>
    </row>
    <row r="83" spans="2:20" ht="23.1" customHeight="1" x14ac:dyDescent="0.25">
      <c r="B83" s="45" t="s">
        <v>123</v>
      </c>
      <c r="C83" s="50">
        <v>25</v>
      </c>
      <c r="D83" s="50">
        <v>0</v>
      </c>
      <c r="E83" s="50">
        <v>1</v>
      </c>
      <c r="F83" s="50">
        <v>3</v>
      </c>
      <c r="G83" s="50">
        <v>0</v>
      </c>
      <c r="H83" s="50">
        <v>0</v>
      </c>
      <c r="I83" s="50">
        <v>1</v>
      </c>
      <c r="J83" s="50">
        <v>0</v>
      </c>
      <c r="K83" s="50">
        <v>1</v>
      </c>
      <c r="L83" s="50">
        <v>0</v>
      </c>
      <c r="M83" s="50">
        <v>41</v>
      </c>
      <c r="N83" s="50">
        <v>0</v>
      </c>
      <c r="O83" s="15">
        <f t="shared" si="35"/>
        <v>31</v>
      </c>
      <c r="P83" s="15">
        <f t="shared" si="36"/>
        <v>72</v>
      </c>
      <c r="R83" s="8"/>
      <c r="T83"/>
    </row>
    <row r="84" spans="2:20" ht="23.1" customHeight="1" x14ac:dyDescent="0.25">
      <c r="B84" s="47" t="s">
        <v>124</v>
      </c>
      <c r="C84" s="50">
        <v>7</v>
      </c>
      <c r="D84" s="50">
        <v>2</v>
      </c>
      <c r="E84" s="50">
        <v>0</v>
      </c>
      <c r="F84" s="50">
        <v>1</v>
      </c>
      <c r="G84" s="50">
        <v>0</v>
      </c>
      <c r="H84" s="50">
        <v>0</v>
      </c>
      <c r="I84" s="50">
        <v>0</v>
      </c>
      <c r="J84" s="50">
        <v>0</v>
      </c>
      <c r="K84" s="50">
        <v>1</v>
      </c>
      <c r="L84" s="50">
        <v>0</v>
      </c>
      <c r="M84" s="50">
        <v>23</v>
      </c>
      <c r="N84" s="50">
        <v>0</v>
      </c>
      <c r="O84" s="15">
        <f t="shared" si="35"/>
        <v>11</v>
      </c>
      <c r="P84" s="15">
        <f t="shared" si="36"/>
        <v>34</v>
      </c>
      <c r="R84" s="8"/>
      <c r="T84"/>
    </row>
    <row r="85" spans="2:20" ht="23.1" customHeight="1" x14ac:dyDescent="0.25">
      <c r="B85" s="45" t="s">
        <v>125</v>
      </c>
      <c r="C85" s="50">
        <v>9</v>
      </c>
      <c r="D85" s="50">
        <v>0</v>
      </c>
      <c r="E85" s="50">
        <v>0</v>
      </c>
      <c r="F85" s="50">
        <v>2</v>
      </c>
      <c r="G85" s="50">
        <v>0</v>
      </c>
      <c r="H85" s="50">
        <v>0</v>
      </c>
      <c r="I85" s="50">
        <v>4</v>
      </c>
      <c r="J85" s="50">
        <v>0</v>
      </c>
      <c r="K85" s="50">
        <v>0</v>
      </c>
      <c r="L85" s="50">
        <v>0</v>
      </c>
      <c r="M85" s="50">
        <v>30</v>
      </c>
      <c r="N85" s="50">
        <v>0</v>
      </c>
      <c r="O85" s="15">
        <f t="shared" si="35"/>
        <v>15</v>
      </c>
      <c r="P85" s="15">
        <f t="shared" si="36"/>
        <v>45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1</v>
      </c>
      <c r="L86" s="50">
        <v>0</v>
      </c>
      <c r="M86" s="50">
        <v>12</v>
      </c>
      <c r="N86" s="50">
        <v>0</v>
      </c>
      <c r="O86" s="15">
        <f t="shared" si="35"/>
        <v>1</v>
      </c>
      <c r="P86" s="15">
        <f t="shared" si="36"/>
        <v>13</v>
      </c>
      <c r="R86" s="8"/>
      <c r="T86"/>
    </row>
    <row r="87" spans="2:20" ht="23.1" customHeight="1" x14ac:dyDescent="0.25">
      <c r="B87" s="45" t="s">
        <v>127</v>
      </c>
      <c r="C87" s="50">
        <v>2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1</v>
      </c>
      <c r="L87" s="50">
        <v>0</v>
      </c>
      <c r="M87" s="50">
        <v>9</v>
      </c>
      <c r="N87" s="50">
        <v>0</v>
      </c>
      <c r="O87" s="15">
        <f t="shared" si="35"/>
        <v>3</v>
      </c>
      <c r="P87" s="15">
        <f t="shared" si="36"/>
        <v>12</v>
      </c>
      <c r="R87" s="8"/>
      <c r="T87"/>
    </row>
    <row r="88" spans="2:20" ht="23.1" customHeight="1" x14ac:dyDescent="0.25">
      <c r="B88" s="47" t="s">
        <v>128</v>
      </c>
      <c r="C88" s="50">
        <v>16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1</v>
      </c>
      <c r="K88" s="50">
        <v>0</v>
      </c>
      <c r="L88" s="50">
        <v>0</v>
      </c>
      <c r="M88" s="50">
        <v>24</v>
      </c>
      <c r="N88" s="50">
        <v>0</v>
      </c>
      <c r="O88" s="15">
        <f t="shared" si="35"/>
        <v>17</v>
      </c>
      <c r="P88" s="15">
        <f t="shared" si="36"/>
        <v>41</v>
      </c>
      <c r="R88" s="8"/>
      <c r="T88"/>
    </row>
    <row r="89" spans="2:20" ht="23.1" customHeight="1" x14ac:dyDescent="0.25">
      <c r="B89" s="45" t="s">
        <v>129</v>
      </c>
      <c r="C89" s="50">
        <v>7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1</v>
      </c>
      <c r="K89" s="50">
        <v>0</v>
      </c>
      <c r="L89" s="50">
        <v>0</v>
      </c>
      <c r="M89" s="50">
        <v>25</v>
      </c>
      <c r="N89" s="50">
        <v>0</v>
      </c>
      <c r="O89" s="15">
        <f t="shared" si="35"/>
        <v>8</v>
      </c>
      <c r="P89" s="15">
        <f t="shared" si="36"/>
        <v>33</v>
      </c>
      <c r="R89" s="8"/>
      <c r="T89"/>
    </row>
    <row r="90" spans="2:20" ht="23.1" customHeight="1" x14ac:dyDescent="0.25">
      <c r="B90" s="46" t="s">
        <v>130</v>
      </c>
      <c r="C90" s="50">
        <v>8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10</v>
      </c>
      <c r="N90" s="50">
        <v>0</v>
      </c>
      <c r="O90" s="15">
        <f t="shared" si="35"/>
        <v>9</v>
      </c>
      <c r="P90" s="15">
        <f t="shared" si="36"/>
        <v>19</v>
      </c>
      <c r="R90" s="8"/>
      <c r="T90"/>
    </row>
    <row r="91" spans="2:20" ht="23.1" customHeight="1" x14ac:dyDescent="0.25">
      <c r="B91" s="45" t="s">
        <v>131</v>
      </c>
      <c r="C91" s="50">
        <v>4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1</v>
      </c>
      <c r="J91" s="50">
        <v>0</v>
      </c>
      <c r="K91" s="50">
        <v>0</v>
      </c>
      <c r="L91" s="50">
        <v>0</v>
      </c>
      <c r="M91" s="50">
        <v>7</v>
      </c>
      <c r="N91" s="50">
        <v>0</v>
      </c>
      <c r="O91" s="15">
        <f t="shared" si="35"/>
        <v>5</v>
      </c>
      <c r="P91" s="15">
        <f t="shared" si="36"/>
        <v>12</v>
      </c>
      <c r="R91" s="8"/>
      <c r="T91"/>
    </row>
    <row r="92" spans="2:20" ht="23.1" customHeight="1" x14ac:dyDescent="0.25">
      <c r="B92" s="47" t="s">
        <v>132</v>
      </c>
      <c r="C92" s="50">
        <v>9</v>
      </c>
      <c r="D92" s="50">
        <v>1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12</v>
      </c>
      <c r="N92" s="50">
        <v>0</v>
      </c>
      <c r="O92" s="15">
        <f t="shared" si="35"/>
        <v>10</v>
      </c>
      <c r="P92" s="15">
        <f t="shared" si="36"/>
        <v>22</v>
      </c>
      <c r="R92" s="8"/>
      <c r="T92"/>
    </row>
    <row r="93" spans="2:20" ht="23.1" customHeight="1" x14ac:dyDescent="0.25">
      <c r="B93" s="45" t="s">
        <v>133</v>
      </c>
      <c r="C93" s="50">
        <v>7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9</v>
      </c>
      <c r="N93" s="50">
        <v>0</v>
      </c>
      <c r="O93" s="15">
        <f t="shared" si="35"/>
        <v>7</v>
      </c>
      <c r="P93" s="15">
        <f t="shared" si="36"/>
        <v>16</v>
      </c>
      <c r="R93" s="8"/>
      <c r="T93"/>
    </row>
    <row r="94" spans="2:20" ht="23.1" customHeight="1" x14ac:dyDescent="0.25">
      <c r="B94" s="46" t="s">
        <v>134</v>
      </c>
      <c r="C94" s="50">
        <v>2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1</v>
      </c>
      <c r="J94" s="50">
        <v>1</v>
      </c>
      <c r="K94" s="50">
        <v>1</v>
      </c>
      <c r="L94" s="50">
        <v>0</v>
      </c>
      <c r="M94" s="50">
        <v>6</v>
      </c>
      <c r="N94" s="50">
        <v>0</v>
      </c>
      <c r="O94" s="15">
        <f t="shared" si="35"/>
        <v>5</v>
      </c>
      <c r="P94" s="15">
        <f t="shared" si="36"/>
        <v>11</v>
      </c>
      <c r="R94" s="8"/>
      <c r="T94"/>
    </row>
    <row r="95" spans="2:20" ht="23.1" customHeight="1" x14ac:dyDescent="0.25">
      <c r="B95" s="45" t="s">
        <v>135</v>
      </c>
      <c r="C95" s="50">
        <v>5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7</v>
      </c>
      <c r="N95" s="50">
        <v>0</v>
      </c>
      <c r="O95" s="15">
        <f t="shared" si="35"/>
        <v>5</v>
      </c>
      <c r="P95" s="15">
        <f t="shared" si="36"/>
        <v>12</v>
      </c>
      <c r="R95" s="8"/>
      <c r="T95"/>
    </row>
    <row r="96" spans="2:20" ht="23.1" customHeight="1" x14ac:dyDescent="0.25">
      <c r="B96" s="47" t="s">
        <v>136</v>
      </c>
      <c r="C96" s="50">
        <v>3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4</v>
      </c>
      <c r="N96" s="50">
        <v>0</v>
      </c>
      <c r="O96" s="15">
        <f t="shared" si="35"/>
        <v>3</v>
      </c>
      <c r="P96" s="15">
        <f t="shared" si="36"/>
        <v>7</v>
      </c>
      <c r="R96" s="8"/>
      <c r="T96"/>
    </row>
    <row r="97" spans="2:20" ht="23.1" customHeight="1" x14ac:dyDescent="0.25">
      <c r="B97" s="45" t="s">
        <v>137</v>
      </c>
      <c r="C97" s="50">
        <v>4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11</v>
      </c>
      <c r="N97" s="50">
        <v>0</v>
      </c>
      <c r="O97" s="15">
        <f t="shared" si="35"/>
        <v>4</v>
      </c>
      <c r="P97" s="15">
        <f t="shared" si="36"/>
        <v>15</v>
      </c>
      <c r="R97" s="8"/>
      <c r="T97"/>
    </row>
    <row r="98" spans="2:20" ht="23.1" customHeight="1" x14ac:dyDescent="0.25">
      <c r="B98" s="46" t="s">
        <v>138</v>
      </c>
      <c r="C98" s="50">
        <v>5</v>
      </c>
      <c r="D98" s="50">
        <v>2</v>
      </c>
      <c r="E98" s="50">
        <v>0</v>
      </c>
      <c r="F98" s="50">
        <v>0</v>
      </c>
      <c r="G98" s="50">
        <v>1</v>
      </c>
      <c r="H98" s="50">
        <v>0</v>
      </c>
      <c r="I98" s="50">
        <v>1</v>
      </c>
      <c r="J98" s="50">
        <v>1</v>
      </c>
      <c r="K98" s="50">
        <v>0</v>
      </c>
      <c r="L98" s="50">
        <v>0</v>
      </c>
      <c r="M98" s="50">
        <v>21</v>
      </c>
      <c r="N98" s="50">
        <v>0</v>
      </c>
      <c r="O98" s="15">
        <f t="shared" si="35"/>
        <v>10</v>
      </c>
      <c r="P98" s="15">
        <f t="shared" si="36"/>
        <v>31</v>
      </c>
      <c r="R98" s="8"/>
      <c r="T98"/>
    </row>
    <row r="99" spans="2:20" ht="23.1" customHeight="1" x14ac:dyDescent="0.25">
      <c r="B99" s="45" t="s">
        <v>139</v>
      </c>
      <c r="C99" s="50">
        <v>4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20</v>
      </c>
      <c r="N99" s="50">
        <v>0</v>
      </c>
      <c r="O99" s="15">
        <f t="shared" si="35"/>
        <v>4</v>
      </c>
      <c r="P99" s="15">
        <f t="shared" si="36"/>
        <v>24</v>
      </c>
      <c r="R99" s="8"/>
      <c r="T99"/>
    </row>
    <row r="100" spans="2:20" ht="23.1" customHeight="1" x14ac:dyDescent="0.25">
      <c r="B100" s="47" t="s">
        <v>140</v>
      </c>
      <c r="C100" s="50">
        <v>3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1</v>
      </c>
      <c r="J100" s="50">
        <v>0</v>
      </c>
      <c r="K100" s="50">
        <v>0</v>
      </c>
      <c r="L100" s="50">
        <v>0</v>
      </c>
      <c r="M100" s="50">
        <v>22</v>
      </c>
      <c r="N100" s="50">
        <v>0</v>
      </c>
      <c r="O100" s="15">
        <f t="shared" si="35"/>
        <v>4</v>
      </c>
      <c r="P100" s="15">
        <f t="shared" si="36"/>
        <v>26</v>
      </c>
      <c r="R100" s="8"/>
      <c r="T100"/>
    </row>
    <row r="101" spans="2:20" ht="23.1" customHeight="1" x14ac:dyDescent="0.25">
      <c r="B101" s="45" t="s">
        <v>141</v>
      </c>
      <c r="C101" s="50">
        <v>4</v>
      </c>
      <c r="D101" s="50">
        <v>0</v>
      </c>
      <c r="E101" s="50">
        <v>0</v>
      </c>
      <c r="F101" s="50">
        <v>1</v>
      </c>
      <c r="G101" s="50">
        <v>0</v>
      </c>
      <c r="H101" s="50">
        <v>0</v>
      </c>
      <c r="I101" s="50">
        <v>1</v>
      </c>
      <c r="J101" s="50">
        <v>0</v>
      </c>
      <c r="K101" s="50">
        <v>1</v>
      </c>
      <c r="L101" s="50">
        <v>0</v>
      </c>
      <c r="M101" s="50">
        <v>21</v>
      </c>
      <c r="N101" s="50">
        <v>0</v>
      </c>
      <c r="O101" s="15">
        <f t="shared" si="35"/>
        <v>7</v>
      </c>
      <c r="P101" s="15">
        <f t="shared" si="36"/>
        <v>28</v>
      </c>
      <c r="R101" s="8"/>
      <c r="T101"/>
    </row>
    <row r="102" spans="2:20" ht="23.1" customHeight="1" x14ac:dyDescent="0.25">
      <c r="B102" s="46" t="s">
        <v>142</v>
      </c>
      <c r="C102" s="50">
        <v>8</v>
      </c>
      <c r="D102" s="50">
        <v>0</v>
      </c>
      <c r="E102" s="50">
        <v>1</v>
      </c>
      <c r="F102" s="50">
        <v>0</v>
      </c>
      <c r="G102" s="50">
        <v>0</v>
      </c>
      <c r="H102" s="50">
        <v>0</v>
      </c>
      <c r="I102" s="50">
        <v>1</v>
      </c>
      <c r="J102" s="50">
        <v>0</v>
      </c>
      <c r="K102" s="50">
        <v>0</v>
      </c>
      <c r="L102" s="50">
        <v>0</v>
      </c>
      <c r="M102" s="50">
        <v>26</v>
      </c>
      <c r="N102" s="50">
        <v>0</v>
      </c>
      <c r="O102" s="15">
        <f t="shared" si="35"/>
        <v>10</v>
      </c>
      <c r="P102" s="15">
        <f t="shared" si="36"/>
        <v>36</v>
      </c>
      <c r="R102" s="8"/>
      <c r="T102"/>
    </row>
    <row r="103" spans="2:20" ht="23.1" customHeight="1" x14ac:dyDescent="0.25">
      <c r="B103" s="45" t="s">
        <v>143</v>
      </c>
      <c r="C103" s="50">
        <v>6</v>
      </c>
      <c r="D103" s="50">
        <v>1</v>
      </c>
      <c r="E103" s="50">
        <v>0</v>
      </c>
      <c r="F103" s="50">
        <v>2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27</v>
      </c>
      <c r="N103" s="50">
        <v>0</v>
      </c>
      <c r="O103" s="15">
        <f t="shared" si="35"/>
        <v>9</v>
      </c>
      <c r="P103" s="15">
        <f t="shared" si="36"/>
        <v>36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0</v>
      </c>
      <c r="F104" s="50">
        <v>1</v>
      </c>
      <c r="G104" s="50">
        <v>0</v>
      </c>
      <c r="H104" s="50">
        <v>0</v>
      </c>
      <c r="I104" s="50">
        <v>0</v>
      </c>
      <c r="J104" s="50">
        <v>0</v>
      </c>
      <c r="K104" s="50">
        <v>1</v>
      </c>
      <c r="L104" s="50">
        <v>0</v>
      </c>
      <c r="M104" s="50">
        <v>10</v>
      </c>
      <c r="N104" s="50">
        <v>0</v>
      </c>
      <c r="O104" s="15">
        <f t="shared" si="35"/>
        <v>3</v>
      </c>
      <c r="P104" s="15">
        <f t="shared" si="36"/>
        <v>13</v>
      </c>
      <c r="R104" s="8"/>
      <c r="T104"/>
    </row>
    <row r="105" spans="2:20" ht="23.1" customHeight="1" x14ac:dyDescent="0.25">
      <c r="B105" s="45" t="s">
        <v>145</v>
      </c>
      <c r="C105" s="50">
        <v>6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5</v>
      </c>
      <c r="N105" s="50">
        <v>0</v>
      </c>
      <c r="O105" s="15">
        <f t="shared" si="35"/>
        <v>6</v>
      </c>
      <c r="P105" s="15">
        <f t="shared" si="36"/>
        <v>11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3144</v>
      </c>
      <c r="D106" s="16">
        <f t="shared" ref="D106:P106" si="37">SUM(D10:D105)</f>
        <v>143</v>
      </c>
      <c r="E106" s="16">
        <f t="shared" si="37"/>
        <v>148</v>
      </c>
      <c r="F106" s="16">
        <f t="shared" si="37"/>
        <v>1091</v>
      </c>
      <c r="G106" s="16">
        <f t="shared" si="37"/>
        <v>6</v>
      </c>
      <c r="H106" s="16">
        <f t="shared" si="37"/>
        <v>2</v>
      </c>
      <c r="I106" s="16">
        <f t="shared" si="37"/>
        <v>228</v>
      </c>
      <c r="J106" s="16">
        <f t="shared" si="37"/>
        <v>87</v>
      </c>
      <c r="K106" s="16">
        <f t="shared" si="37"/>
        <v>27</v>
      </c>
      <c r="L106" s="16">
        <f t="shared" si="37"/>
        <v>23</v>
      </c>
      <c r="M106" s="16">
        <f t="shared" si="37"/>
        <v>6119</v>
      </c>
      <c r="N106" s="16">
        <f t="shared" si="37"/>
        <v>0</v>
      </c>
      <c r="O106" s="16">
        <f t="shared" si="37"/>
        <v>4899</v>
      </c>
      <c r="P106" s="16">
        <f t="shared" si="37"/>
        <v>11018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0.2853512434198584</v>
      </c>
      <c r="D107" s="43">
        <f t="shared" si="38"/>
        <v>1.2978762025776002E-2</v>
      </c>
      <c r="E107" s="43">
        <f t="shared" si="38"/>
        <v>1.3432564893810129E-2</v>
      </c>
      <c r="F107" s="43">
        <f t="shared" si="38"/>
        <v>9.9019785805046293E-2</v>
      </c>
      <c r="G107" s="43">
        <f t="shared" si="38"/>
        <v>5.4456344164095121E-4</v>
      </c>
      <c r="H107" s="43">
        <f t="shared" si="38"/>
        <v>1.8152114721365039E-4</v>
      </c>
      <c r="I107" s="43">
        <f t="shared" si="38"/>
        <v>2.0693410782356144E-2</v>
      </c>
      <c r="J107" s="43">
        <f t="shared" si="38"/>
        <v>7.8961699037937913E-3</v>
      </c>
      <c r="K107" s="43">
        <f t="shared" si="38"/>
        <v>2.4505354873842803E-3</v>
      </c>
      <c r="L107" s="43">
        <f t="shared" si="38"/>
        <v>2.0874931929569795E-3</v>
      </c>
      <c r="M107" s="43">
        <f t="shared" si="38"/>
        <v>0.55536394990016336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0.6417636252296387</v>
      </c>
      <c r="D108" s="44">
        <f t="shared" ref="D108:N108" si="39">D106/$O$106</f>
        <v>2.9189630536844254E-2</v>
      </c>
      <c r="E108" s="44">
        <f t="shared" si="39"/>
        <v>3.0210246989181466E-2</v>
      </c>
      <c r="F108" s="44">
        <f t="shared" si="39"/>
        <v>0.22269850989997958</v>
      </c>
      <c r="G108" s="44">
        <f t="shared" si="39"/>
        <v>1.224739742804654E-3</v>
      </c>
      <c r="H108" s="44">
        <f t="shared" si="39"/>
        <v>4.0824658093488469E-4</v>
      </c>
      <c r="I108" s="44">
        <f t="shared" si="39"/>
        <v>4.654011022657685E-2</v>
      </c>
      <c r="J108" s="44">
        <f t="shared" si="39"/>
        <v>1.7758726270667484E-2</v>
      </c>
      <c r="K108" s="44">
        <f t="shared" si="39"/>
        <v>5.5113288426209429E-3</v>
      </c>
      <c r="L108" s="44">
        <f t="shared" si="39"/>
        <v>4.6948356807511738E-3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W48" zoomScale="60" workbookViewId="0">
      <selection activeCell="C105" sqref="C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'22.07 Ndeeba-Nyanama'!C3:G3</f>
        <v>MCC - C1 - STN04 - WERAGA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'27.07 Ndeeba-Nyanama-24h'!D5</f>
        <v>27.07.19</v>
      </c>
      <c r="E5" s="3"/>
      <c r="F5" s="41" t="s">
        <v>1</v>
      </c>
      <c r="G5" s="68" t="str">
        <f>'27.07 Ndeeba-Nyanama-24h'!G5:H5</f>
        <v>Golden Mille Hotel</v>
      </c>
      <c r="H5" s="69"/>
      <c r="I5" s="14"/>
      <c r="J5" s="2" t="s">
        <v>5</v>
      </c>
      <c r="K5" s="68" t="s">
        <v>180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tr">
        <f>'22.07 Nyanama-Ndeeba'!D6:E6</f>
        <v>Nyanama</v>
      </c>
      <c r="E6" s="69"/>
      <c r="F6" s="2" t="s">
        <v>2</v>
      </c>
      <c r="G6" s="68" t="str">
        <f>'22.07 Nyanama-Ndeeba'!G6:H6</f>
        <v>Ndeeba</v>
      </c>
      <c r="H6" s="69"/>
      <c r="J6" s="2" t="s">
        <v>21</v>
      </c>
      <c r="K6" s="68" t="str">
        <f>'27.07 Ndeeba-Nyanama-24h'!K6:L6</f>
        <v>Denis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25</v>
      </c>
      <c r="D10" s="50">
        <v>2</v>
      </c>
      <c r="E10" s="50">
        <v>4</v>
      </c>
      <c r="F10" s="50">
        <v>6</v>
      </c>
      <c r="G10" s="50">
        <v>0</v>
      </c>
      <c r="H10" s="50">
        <v>0</v>
      </c>
      <c r="I10" s="50">
        <v>6</v>
      </c>
      <c r="J10" s="50">
        <v>0</v>
      </c>
      <c r="K10" s="50">
        <v>0</v>
      </c>
      <c r="L10" s="50">
        <v>0</v>
      </c>
      <c r="M10" s="50">
        <v>100</v>
      </c>
      <c r="N10" s="50">
        <v>0</v>
      </c>
      <c r="O10" s="15">
        <f t="shared" ref="O10:O73" si="0">SUM(C10:L10,N10)</f>
        <v>43</v>
      </c>
      <c r="P10" s="15">
        <f t="shared" ref="P10:P73" si="1">SUM(C10:N10)</f>
        <v>143</v>
      </c>
      <c r="R10" s="1" t="s">
        <v>6</v>
      </c>
      <c r="S10" s="17">
        <f t="shared" ref="S10:AF10" si="2">SUM(C10:C13)</f>
        <v>177</v>
      </c>
      <c r="T10" s="17">
        <f t="shared" si="2"/>
        <v>23</v>
      </c>
      <c r="U10" s="17">
        <f t="shared" si="2"/>
        <v>13</v>
      </c>
      <c r="V10" s="17">
        <f t="shared" si="2"/>
        <v>44</v>
      </c>
      <c r="W10" s="17">
        <f t="shared" si="2"/>
        <v>0</v>
      </c>
      <c r="X10" s="17">
        <f t="shared" si="2"/>
        <v>0</v>
      </c>
      <c r="Y10" s="17">
        <f t="shared" si="2"/>
        <v>16</v>
      </c>
      <c r="Z10" s="17">
        <f t="shared" si="2"/>
        <v>5</v>
      </c>
      <c r="AA10" s="17">
        <f t="shared" si="2"/>
        <v>4</v>
      </c>
      <c r="AB10" s="17">
        <f t="shared" si="2"/>
        <v>0</v>
      </c>
      <c r="AC10" s="17">
        <f t="shared" si="2"/>
        <v>454</v>
      </c>
      <c r="AD10" s="17">
        <f t="shared" si="2"/>
        <v>0</v>
      </c>
      <c r="AE10" s="31">
        <f t="shared" si="2"/>
        <v>282</v>
      </c>
      <c r="AF10" s="31">
        <f t="shared" si="2"/>
        <v>736</v>
      </c>
    </row>
    <row r="11" spans="2:32" s="6" customFormat="1" ht="23.1" customHeight="1" x14ac:dyDescent="0.25">
      <c r="B11" s="45" t="s">
        <v>38</v>
      </c>
      <c r="C11" s="50">
        <v>53</v>
      </c>
      <c r="D11" s="50">
        <v>6</v>
      </c>
      <c r="E11" s="50">
        <v>0</v>
      </c>
      <c r="F11" s="50">
        <v>13</v>
      </c>
      <c r="G11" s="50">
        <v>0</v>
      </c>
      <c r="H11" s="50">
        <v>0</v>
      </c>
      <c r="I11" s="50">
        <v>3</v>
      </c>
      <c r="J11" s="50">
        <v>3</v>
      </c>
      <c r="K11" s="50">
        <v>0</v>
      </c>
      <c r="L11" s="50">
        <v>0</v>
      </c>
      <c r="M11" s="50">
        <v>113</v>
      </c>
      <c r="N11" s="50">
        <v>0</v>
      </c>
      <c r="O11" s="15">
        <f t="shared" si="0"/>
        <v>78</v>
      </c>
      <c r="P11" s="15">
        <f t="shared" si="1"/>
        <v>191</v>
      </c>
      <c r="R11" s="1" t="s">
        <v>7</v>
      </c>
      <c r="S11" s="17">
        <f t="shared" ref="S11:AF11" si="3">SUM(C14:C17)</f>
        <v>257</v>
      </c>
      <c r="T11" s="17">
        <f t="shared" si="3"/>
        <v>32</v>
      </c>
      <c r="U11" s="17">
        <f t="shared" si="3"/>
        <v>23</v>
      </c>
      <c r="V11" s="17">
        <f t="shared" si="3"/>
        <v>69</v>
      </c>
      <c r="W11" s="17">
        <f t="shared" si="3"/>
        <v>2</v>
      </c>
      <c r="X11" s="17">
        <f t="shared" si="3"/>
        <v>0</v>
      </c>
      <c r="Y11" s="17">
        <f t="shared" si="3"/>
        <v>4</v>
      </c>
      <c r="Z11" s="17">
        <f t="shared" si="3"/>
        <v>2</v>
      </c>
      <c r="AA11" s="17">
        <f t="shared" si="3"/>
        <v>2</v>
      </c>
      <c r="AB11" s="17">
        <f t="shared" si="3"/>
        <v>0</v>
      </c>
      <c r="AC11" s="17">
        <f t="shared" si="3"/>
        <v>469</v>
      </c>
      <c r="AD11" s="17">
        <f t="shared" si="3"/>
        <v>0</v>
      </c>
      <c r="AE11" s="31">
        <f t="shared" si="3"/>
        <v>391</v>
      </c>
      <c r="AF11" s="31">
        <f t="shared" si="3"/>
        <v>860</v>
      </c>
    </row>
    <row r="12" spans="2:32" ht="23.1" customHeight="1" x14ac:dyDescent="0.25">
      <c r="B12" s="45" t="s">
        <v>39</v>
      </c>
      <c r="C12" s="50">
        <v>54</v>
      </c>
      <c r="D12" s="50">
        <v>7</v>
      </c>
      <c r="E12" s="50">
        <v>3</v>
      </c>
      <c r="F12" s="50">
        <v>13</v>
      </c>
      <c r="G12" s="50">
        <v>0</v>
      </c>
      <c r="H12" s="50">
        <v>0</v>
      </c>
      <c r="I12" s="50">
        <v>4</v>
      </c>
      <c r="J12" s="50">
        <v>0</v>
      </c>
      <c r="K12" s="50">
        <v>4</v>
      </c>
      <c r="L12" s="50">
        <v>0</v>
      </c>
      <c r="M12" s="50">
        <v>109</v>
      </c>
      <c r="N12" s="50">
        <v>0</v>
      </c>
      <c r="O12" s="15">
        <f t="shared" si="0"/>
        <v>85</v>
      </c>
      <c r="P12" s="15">
        <f t="shared" si="1"/>
        <v>194</v>
      </c>
      <c r="R12" s="1" t="s">
        <v>8</v>
      </c>
      <c r="S12" s="17">
        <f t="shared" ref="S12:AF12" si="4">SUM(C18:C21)</f>
        <v>309</v>
      </c>
      <c r="T12" s="17">
        <f t="shared" si="4"/>
        <v>25</v>
      </c>
      <c r="U12" s="17">
        <f t="shared" si="4"/>
        <v>17</v>
      </c>
      <c r="V12" s="17">
        <f t="shared" si="4"/>
        <v>74</v>
      </c>
      <c r="W12" s="17">
        <f t="shared" si="4"/>
        <v>1</v>
      </c>
      <c r="X12" s="17">
        <f t="shared" si="4"/>
        <v>0</v>
      </c>
      <c r="Y12" s="17">
        <f t="shared" si="4"/>
        <v>15</v>
      </c>
      <c r="Z12" s="17">
        <f t="shared" si="4"/>
        <v>4</v>
      </c>
      <c r="AA12" s="17">
        <f t="shared" si="4"/>
        <v>1</v>
      </c>
      <c r="AB12" s="17">
        <f t="shared" si="4"/>
        <v>0</v>
      </c>
      <c r="AC12" s="17">
        <f t="shared" si="4"/>
        <v>476</v>
      </c>
      <c r="AD12" s="17">
        <f t="shared" si="4"/>
        <v>0</v>
      </c>
      <c r="AE12" s="31">
        <f t="shared" si="4"/>
        <v>446</v>
      </c>
      <c r="AF12" s="31">
        <f t="shared" si="4"/>
        <v>922</v>
      </c>
    </row>
    <row r="13" spans="2:32" ht="23.1" customHeight="1" x14ac:dyDescent="0.25">
      <c r="B13" s="45" t="s">
        <v>40</v>
      </c>
      <c r="C13" s="50">
        <v>45</v>
      </c>
      <c r="D13" s="50">
        <v>8</v>
      </c>
      <c r="E13" s="50">
        <v>6</v>
      </c>
      <c r="F13" s="50">
        <v>12</v>
      </c>
      <c r="G13" s="50">
        <v>0</v>
      </c>
      <c r="H13" s="50">
        <v>0</v>
      </c>
      <c r="I13" s="50">
        <v>3</v>
      </c>
      <c r="J13" s="50">
        <v>2</v>
      </c>
      <c r="K13" s="50">
        <v>0</v>
      </c>
      <c r="L13" s="50">
        <v>0</v>
      </c>
      <c r="M13" s="50">
        <v>132</v>
      </c>
      <c r="N13" s="50">
        <v>0</v>
      </c>
      <c r="O13" s="15">
        <f t="shared" si="0"/>
        <v>76</v>
      </c>
      <c r="P13" s="15">
        <f t="shared" si="1"/>
        <v>208</v>
      </c>
      <c r="R13" s="1" t="s">
        <v>9</v>
      </c>
      <c r="S13" s="17">
        <f t="shared" ref="S13:AF13" si="5">SUM(C22:C25)</f>
        <v>296</v>
      </c>
      <c r="T13" s="17">
        <f t="shared" si="5"/>
        <v>26</v>
      </c>
      <c r="U13" s="17">
        <f t="shared" si="5"/>
        <v>23</v>
      </c>
      <c r="V13" s="17">
        <f t="shared" si="5"/>
        <v>32</v>
      </c>
      <c r="W13" s="17">
        <f t="shared" si="5"/>
        <v>3</v>
      </c>
      <c r="X13" s="17">
        <f t="shared" si="5"/>
        <v>0</v>
      </c>
      <c r="Y13" s="17">
        <f t="shared" si="5"/>
        <v>8</v>
      </c>
      <c r="Z13" s="17">
        <f t="shared" si="5"/>
        <v>10</v>
      </c>
      <c r="AA13" s="17">
        <f t="shared" si="5"/>
        <v>0</v>
      </c>
      <c r="AB13" s="17">
        <f t="shared" si="5"/>
        <v>0</v>
      </c>
      <c r="AC13" s="17">
        <f t="shared" si="5"/>
        <v>411</v>
      </c>
      <c r="AD13" s="17">
        <f t="shared" si="5"/>
        <v>0</v>
      </c>
      <c r="AE13" s="31">
        <f t="shared" si="5"/>
        <v>398</v>
      </c>
      <c r="AF13" s="31">
        <f t="shared" si="5"/>
        <v>809</v>
      </c>
    </row>
    <row r="14" spans="2:32" ht="23.1" customHeight="1" x14ac:dyDescent="0.25">
      <c r="B14" s="45" t="s">
        <v>41</v>
      </c>
      <c r="C14" s="50">
        <v>43</v>
      </c>
      <c r="D14" s="50">
        <v>9</v>
      </c>
      <c r="E14" s="50">
        <v>2</v>
      </c>
      <c r="F14" s="50">
        <v>10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109</v>
      </c>
      <c r="N14" s="50">
        <v>0</v>
      </c>
      <c r="O14" s="15">
        <f t="shared" si="0"/>
        <v>64</v>
      </c>
      <c r="P14" s="15">
        <f t="shared" si="1"/>
        <v>173</v>
      </c>
      <c r="R14" s="1" t="s">
        <v>10</v>
      </c>
      <c r="S14" s="17">
        <f t="shared" ref="S14:AF14" si="6">SUM(C26:C29)</f>
        <v>225</v>
      </c>
      <c r="T14" s="17">
        <f t="shared" si="6"/>
        <v>27</v>
      </c>
      <c r="U14" s="17">
        <f t="shared" si="6"/>
        <v>21</v>
      </c>
      <c r="V14" s="17">
        <f t="shared" si="6"/>
        <v>32</v>
      </c>
      <c r="W14" s="17">
        <f t="shared" si="6"/>
        <v>0</v>
      </c>
      <c r="X14" s="17">
        <f t="shared" si="6"/>
        <v>0</v>
      </c>
      <c r="Y14" s="17">
        <f t="shared" si="6"/>
        <v>15</v>
      </c>
      <c r="Z14" s="17">
        <f t="shared" si="6"/>
        <v>13</v>
      </c>
      <c r="AA14" s="17">
        <f t="shared" si="6"/>
        <v>1</v>
      </c>
      <c r="AB14" s="17">
        <f t="shared" si="6"/>
        <v>1</v>
      </c>
      <c r="AC14" s="17">
        <f t="shared" si="6"/>
        <v>444</v>
      </c>
      <c r="AD14" s="17">
        <f t="shared" si="6"/>
        <v>0</v>
      </c>
      <c r="AE14" s="31">
        <f t="shared" si="6"/>
        <v>335</v>
      </c>
      <c r="AF14" s="31">
        <f t="shared" si="6"/>
        <v>779</v>
      </c>
    </row>
    <row r="15" spans="2:32" ht="23.1" customHeight="1" x14ac:dyDescent="0.25">
      <c r="B15" s="45" t="s">
        <v>42</v>
      </c>
      <c r="C15" s="50">
        <v>74</v>
      </c>
      <c r="D15" s="50">
        <v>12</v>
      </c>
      <c r="E15" s="50">
        <v>11</v>
      </c>
      <c r="F15" s="50">
        <v>23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105</v>
      </c>
      <c r="N15" s="50">
        <v>0</v>
      </c>
      <c r="O15" s="15">
        <f t="shared" si="0"/>
        <v>121</v>
      </c>
      <c r="P15" s="15">
        <f t="shared" si="1"/>
        <v>226</v>
      </c>
      <c r="R15" s="1" t="s">
        <v>11</v>
      </c>
      <c r="S15" s="17">
        <f t="shared" ref="S15:AF15" si="7">SUM(C30:C33)</f>
        <v>167</v>
      </c>
      <c r="T15" s="17">
        <f t="shared" si="7"/>
        <v>17</v>
      </c>
      <c r="U15" s="17">
        <f t="shared" si="7"/>
        <v>16</v>
      </c>
      <c r="V15" s="17">
        <f t="shared" si="7"/>
        <v>22</v>
      </c>
      <c r="W15" s="17">
        <f t="shared" si="7"/>
        <v>0</v>
      </c>
      <c r="X15" s="17">
        <f t="shared" si="7"/>
        <v>0</v>
      </c>
      <c r="Y15" s="17">
        <f t="shared" si="7"/>
        <v>6</v>
      </c>
      <c r="Z15" s="17">
        <f t="shared" si="7"/>
        <v>5</v>
      </c>
      <c r="AA15" s="17">
        <f t="shared" si="7"/>
        <v>1</v>
      </c>
      <c r="AB15" s="17">
        <f t="shared" si="7"/>
        <v>0</v>
      </c>
      <c r="AC15" s="17">
        <f t="shared" si="7"/>
        <v>427</v>
      </c>
      <c r="AD15" s="17">
        <f t="shared" si="7"/>
        <v>0</v>
      </c>
      <c r="AE15" s="31">
        <f t="shared" si="7"/>
        <v>234</v>
      </c>
      <c r="AF15" s="31">
        <f t="shared" si="7"/>
        <v>661</v>
      </c>
    </row>
    <row r="16" spans="2:32" ht="23.1" customHeight="1" x14ac:dyDescent="0.25">
      <c r="B16" s="45" t="s">
        <v>43</v>
      </c>
      <c r="C16" s="50">
        <v>60</v>
      </c>
      <c r="D16" s="50">
        <v>5</v>
      </c>
      <c r="E16" s="50">
        <v>3</v>
      </c>
      <c r="F16" s="50">
        <v>22</v>
      </c>
      <c r="G16" s="50">
        <v>2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120</v>
      </c>
      <c r="N16" s="50">
        <v>0</v>
      </c>
      <c r="O16" s="15">
        <f t="shared" si="0"/>
        <v>94</v>
      </c>
      <c r="P16" s="15">
        <f t="shared" si="1"/>
        <v>214</v>
      </c>
      <c r="R16" s="1" t="s">
        <v>12</v>
      </c>
      <c r="S16" s="17">
        <f t="shared" ref="S16:AF16" si="8">SUM(C34:C37)</f>
        <v>125</v>
      </c>
      <c r="T16" s="17">
        <f t="shared" si="8"/>
        <v>15</v>
      </c>
      <c r="U16" s="17">
        <f t="shared" si="8"/>
        <v>18</v>
      </c>
      <c r="V16" s="17">
        <f t="shared" si="8"/>
        <v>18</v>
      </c>
      <c r="W16" s="17">
        <f t="shared" si="8"/>
        <v>0</v>
      </c>
      <c r="X16" s="17">
        <f t="shared" si="8"/>
        <v>0</v>
      </c>
      <c r="Y16" s="17">
        <f t="shared" si="8"/>
        <v>13</v>
      </c>
      <c r="Z16" s="17">
        <f t="shared" si="8"/>
        <v>4</v>
      </c>
      <c r="AA16" s="17">
        <f t="shared" si="8"/>
        <v>0</v>
      </c>
      <c r="AB16" s="17">
        <f t="shared" si="8"/>
        <v>0</v>
      </c>
      <c r="AC16" s="17">
        <f t="shared" si="8"/>
        <v>276</v>
      </c>
      <c r="AD16" s="17">
        <f t="shared" si="8"/>
        <v>0</v>
      </c>
      <c r="AE16" s="31">
        <f t="shared" si="8"/>
        <v>193</v>
      </c>
      <c r="AF16" s="31">
        <f t="shared" si="8"/>
        <v>469</v>
      </c>
    </row>
    <row r="17" spans="2:32" ht="23.1" customHeight="1" x14ac:dyDescent="0.25">
      <c r="B17" s="45" t="s">
        <v>44</v>
      </c>
      <c r="C17" s="50">
        <v>80</v>
      </c>
      <c r="D17" s="50">
        <v>6</v>
      </c>
      <c r="E17" s="50">
        <v>7</v>
      </c>
      <c r="F17" s="50">
        <v>14</v>
      </c>
      <c r="G17" s="50">
        <v>0</v>
      </c>
      <c r="H17" s="50">
        <v>0</v>
      </c>
      <c r="I17" s="50">
        <v>2</v>
      </c>
      <c r="J17" s="50">
        <v>1</v>
      </c>
      <c r="K17" s="50">
        <v>2</v>
      </c>
      <c r="L17" s="50">
        <v>0</v>
      </c>
      <c r="M17" s="50">
        <v>135</v>
      </c>
      <c r="N17" s="50">
        <v>0</v>
      </c>
      <c r="O17" s="15">
        <f t="shared" si="0"/>
        <v>112</v>
      </c>
      <c r="P17" s="15">
        <f t="shared" si="1"/>
        <v>247</v>
      </c>
      <c r="R17" s="1" t="s">
        <v>13</v>
      </c>
      <c r="S17" s="17">
        <f t="shared" ref="S17:AF17" si="9">SUM(C38:C41)</f>
        <v>125</v>
      </c>
      <c r="T17" s="17">
        <f t="shared" si="9"/>
        <v>23</v>
      </c>
      <c r="U17" s="17">
        <f t="shared" si="9"/>
        <v>12</v>
      </c>
      <c r="V17" s="17">
        <f t="shared" si="9"/>
        <v>22</v>
      </c>
      <c r="W17" s="17">
        <f t="shared" si="9"/>
        <v>0</v>
      </c>
      <c r="X17" s="17">
        <f t="shared" si="9"/>
        <v>0</v>
      </c>
      <c r="Y17" s="17">
        <f t="shared" si="9"/>
        <v>10</v>
      </c>
      <c r="Z17" s="17">
        <f t="shared" si="9"/>
        <v>3</v>
      </c>
      <c r="AA17" s="17">
        <f t="shared" si="9"/>
        <v>2</v>
      </c>
      <c r="AB17" s="17">
        <f t="shared" si="9"/>
        <v>0</v>
      </c>
      <c r="AC17" s="17">
        <f t="shared" si="9"/>
        <v>281</v>
      </c>
      <c r="AD17" s="17">
        <f t="shared" si="9"/>
        <v>0</v>
      </c>
      <c r="AE17" s="31">
        <f t="shared" si="9"/>
        <v>197</v>
      </c>
      <c r="AF17" s="31">
        <f t="shared" si="9"/>
        <v>478</v>
      </c>
    </row>
    <row r="18" spans="2:32" ht="23.1" customHeight="1" x14ac:dyDescent="0.25">
      <c r="B18" s="45" t="s">
        <v>45</v>
      </c>
      <c r="C18" s="50">
        <v>70</v>
      </c>
      <c r="D18" s="50">
        <v>4</v>
      </c>
      <c r="E18" s="50">
        <v>2</v>
      </c>
      <c r="F18" s="50">
        <v>13</v>
      </c>
      <c r="G18" s="50">
        <v>1</v>
      </c>
      <c r="H18" s="50">
        <v>0</v>
      </c>
      <c r="I18" s="50">
        <v>5</v>
      </c>
      <c r="J18" s="50">
        <v>0</v>
      </c>
      <c r="K18" s="50">
        <v>0</v>
      </c>
      <c r="L18" s="50">
        <v>0</v>
      </c>
      <c r="M18" s="50">
        <v>118</v>
      </c>
      <c r="N18" s="50">
        <v>0</v>
      </c>
      <c r="O18" s="15">
        <f t="shared" si="0"/>
        <v>95</v>
      </c>
      <c r="P18" s="15">
        <f t="shared" si="1"/>
        <v>213</v>
      </c>
      <c r="R18" s="1" t="s">
        <v>14</v>
      </c>
      <c r="S18" s="17">
        <f t="shared" ref="S18:AF18" si="10">SUM(C42:C45)</f>
        <v>132</v>
      </c>
      <c r="T18" s="17">
        <f t="shared" si="10"/>
        <v>14</v>
      </c>
      <c r="U18" s="17">
        <f t="shared" si="10"/>
        <v>15</v>
      </c>
      <c r="V18" s="17">
        <f t="shared" si="10"/>
        <v>19</v>
      </c>
      <c r="W18" s="17">
        <f t="shared" si="10"/>
        <v>0</v>
      </c>
      <c r="X18" s="17">
        <f t="shared" si="10"/>
        <v>0</v>
      </c>
      <c r="Y18" s="17">
        <f t="shared" si="10"/>
        <v>10</v>
      </c>
      <c r="Z18" s="17">
        <f t="shared" si="10"/>
        <v>3</v>
      </c>
      <c r="AA18" s="17">
        <f t="shared" si="10"/>
        <v>0</v>
      </c>
      <c r="AB18" s="17">
        <f t="shared" si="10"/>
        <v>0</v>
      </c>
      <c r="AC18" s="17">
        <f t="shared" si="10"/>
        <v>254</v>
      </c>
      <c r="AD18" s="17">
        <f t="shared" si="10"/>
        <v>0</v>
      </c>
      <c r="AE18" s="31">
        <f t="shared" si="10"/>
        <v>193</v>
      </c>
      <c r="AF18" s="31">
        <f t="shared" si="10"/>
        <v>447</v>
      </c>
    </row>
    <row r="19" spans="2:32" ht="23.1" customHeight="1" x14ac:dyDescent="0.25">
      <c r="B19" s="45" t="s">
        <v>46</v>
      </c>
      <c r="C19" s="50">
        <v>88</v>
      </c>
      <c r="D19" s="50">
        <v>7</v>
      </c>
      <c r="E19" s="50">
        <v>2</v>
      </c>
      <c r="F19" s="50">
        <v>22</v>
      </c>
      <c r="G19" s="50">
        <v>0</v>
      </c>
      <c r="H19" s="50">
        <v>0</v>
      </c>
      <c r="I19" s="50">
        <v>3</v>
      </c>
      <c r="J19" s="50">
        <v>2</v>
      </c>
      <c r="K19" s="50">
        <v>0</v>
      </c>
      <c r="L19" s="50">
        <v>0</v>
      </c>
      <c r="M19" s="50">
        <v>123</v>
      </c>
      <c r="N19" s="50">
        <v>0</v>
      </c>
      <c r="O19" s="15">
        <f t="shared" si="0"/>
        <v>124</v>
      </c>
      <c r="P19" s="15">
        <f t="shared" si="1"/>
        <v>247</v>
      </c>
      <c r="R19" s="1" t="s">
        <v>15</v>
      </c>
      <c r="S19" s="17">
        <f t="shared" ref="S19:AF19" si="11">SUM(C46:C49)</f>
        <v>153</v>
      </c>
      <c r="T19" s="17">
        <f t="shared" si="11"/>
        <v>15</v>
      </c>
      <c r="U19" s="17">
        <f t="shared" si="11"/>
        <v>7</v>
      </c>
      <c r="V19" s="17">
        <f t="shared" si="11"/>
        <v>31</v>
      </c>
      <c r="W19" s="17">
        <f t="shared" si="11"/>
        <v>1</v>
      </c>
      <c r="X19" s="17">
        <f t="shared" si="11"/>
        <v>0</v>
      </c>
      <c r="Y19" s="17">
        <f t="shared" si="11"/>
        <v>12</v>
      </c>
      <c r="Z19" s="17">
        <f t="shared" si="11"/>
        <v>5</v>
      </c>
      <c r="AA19" s="17">
        <f t="shared" si="11"/>
        <v>0</v>
      </c>
      <c r="AB19" s="17">
        <f t="shared" si="11"/>
        <v>0</v>
      </c>
      <c r="AC19" s="17">
        <f t="shared" si="11"/>
        <v>294</v>
      </c>
      <c r="AD19" s="17">
        <f t="shared" si="11"/>
        <v>0</v>
      </c>
      <c r="AE19" s="31">
        <f t="shared" si="11"/>
        <v>224</v>
      </c>
      <c r="AF19" s="31">
        <f t="shared" si="11"/>
        <v>518</v>
      </c>
    </row>
    <row r="20" spans="2:32" ht="23.1" customHeight="1" x14ac:dyDescent="0.25">
      <c r="B20" s="45" t="s">
        <v>47</v>
      </c>
      <c r="C20" s="50">
        <v>94</v>
      </c>
      <c r="D20" s="50">
        <v>10</v>
      </c>
      <c r="E20" s="50">
        <v>8</v>
      </c>
      <c r="F20" s="50">
        <v>31</v>
      </c>
      <c r="G20" s="50">
        <v>0</v>
      </c>
      <c r="H20" s="50">
        <v>0</v>
      </c>
      <c r="I20" s="50">
        <v>1</v>
      </c>
      <c r="J20" s="50">
        <v>1</v>
      </c>
      <c r="K20" s="50">
        <v>1</v>
      </c>
      <c r="L20" s="50">
        <v>0</v>
      </c>
      <c r="M20" s="50">
        <v>120</v>
      </c>
      <c r="N20" s="50">
        <v>0</v>
      </c>
      <c r="O20" s="15">
        <f t="shared" si="0"/>
        <v>146</v>
      </c>
      <c r="P20" s="15">
        <f t="shared" si="1"/>
        <v>266</v>
      </c>
      <c r="R20" s="1" t="s">
        <v>16</v>
      </c>
      <c r="S20" s="17">
        <f t="shared" ref="S20:AF20" si="12">SUM(C50:C53)</f>
        <v>120</v>
      </c>
      <c r="T20" s="17">
        <f t="shared" si="12"/>
        <v>13</v>
      </c>
      <c r="U20" s="17">
        <f t="shared" si="12"/>
        <v>13</v>
      </c>
      <c r="V20" s="17">
        <f t="shared" si="12"/>
        <v>27</v>
      </c>
      <c r="W20" s="17">
        <f t="shared" si="12"/>
        <v>1</v>
      </c>
      <c r="X20" s="17">
        <f t="shared" si="12"/>
        <v>0</v>
      </c>
      <c r="Y20" s="17">
        <f t="shared" si="12"/>
        <v>10</v>
      </c>
      <c r="Z20" s="17">
        <f t="shared" si="12"/>
        <v>1</v>
      </c>
      <c r="AA20" s="17">
        <f t="shared" si="12"/>
        <v>2</v>
      </c>
      <c r="AB20" s="17">
        <f t="shared" si="12"/>
        <v>0</v>
      </c>
      <c r="AC20" s="17">
        <f t="shared" si="12"/>
        <v>366</v>
      </c>
      <c r="AD20" s="17">
        <f t="shared" si="12"/>
        <v>0</v>
      </c>
      <c r="AE20" s="31">
        <f t="shared" si="12"/>
        <v>187</v>
      </c>
      <c r="AF20" s="31">
        <f t="shared" si="12"/>
        <v>553</v>
      </c>
    </row>
    <row r="21" spans="2:32" ht="23.1" customHeight="1" x14ac:dyDescent="0.25">
      <c r="B21" s="45" t="s">
        <v>48</v>
      </c>
      <c r="C21" s="50">
        <v>57</v>
      </c>
      <c r="D21" s="50">
        <v>4</v>
      </c>
      <c r="E21" s="50">
        <v>5</v>
      </c>
      <c r="F21" s="50">
        <v>8</v>
      </c>
      <c r="G21" s="50">
        <v>0</v>
      </c>
      <c r="H21" s="50">
        <v>0</v>
      </c>
      <c r="I21" s="50">
        <v>6</v>
      </c>
      <c r="J21" s="50">
        <v>1</v>
      </c>
      <c r="K21" s="50">
        <v>0</v>
      </c>
      <c r="L21" s="50">
        <v>0</v>
      </c>
      <c r="M21" s="50">
        <v>115</v>
      </c>
      <c r="N21" s="50">
        <v>0</v>
      </c>
      <c r="O21" s="15">
        <f t="shared" si="0"/>
        <v>81</v>
      </c>
      <c r="P21" s="15">
        <f t="shared" si="1"/>
        <v>196</v>
      </c>
      <c r="R21" s="36" t="s">
        <v>20</v>
      </c>
      <c r="S21" s="34">
        <f t="shared" ref="S21:AF21" si="13">SUM(C54:C57)</f>
        <v>133</v>
      </c>
      <c r="T21" s="17">
        <f t="shared" si="13"/>
        <v>25</v>
      </c>
      <c r="U21" s="17">
        <f t="shared" si="13"/>
        <v>14</v>
      </c>
      <c r="V21" s="17">
        <f t="shared" si="13"/>
        <v>38</v>
      </c>
      <c r="W21" s="17">
        <f t="shared" si="13"/>
        <v>0</v>
      </c>
      <c r="X21" s="17">
        <f t="shared" si="13"/>
        <v>0</v>
      </c>
      <c r="Y21" s="17">
        <f t="shared" si="13"/>
        <v>8</v>
      </c>
      <c r="Z21" s="17">
        <f t="shared" si="13"/>
        <v>2</v>
      </c>
      <c r="AA21" s="17">
        <f t="shared" si="13"/>
        <v>3</v>
      </c>
      <c r="AB21" s="17">
        <f t="shared" si="13"/>
        <v>1</v>
      </c>
      <c r="AC21" s="17">
        <f t="shared" si="13"/>
        <v>428</v>
      </c>
      <c r="AD21" s="17">
        <f t="shared" si="13"/>
        <v>0</v>
      </c>
      <c r="AE21" s="31">
        <f t="shared" si="13"/>
        <v>224</v>
      </c>
      <c r="AF21" s="31">
        <f t="shared" si="13"/>
        <v>652</v>
      </c>
    </row>
    <row r="22" spans="2:32" ht="23.1" customHeight="1" x14ac:dyDescent="0.25">
      <c r="B22" s="45" t="s">
        <v>49</v>
      </c>
      <c r="C22" s="50">
        <v>66</v>
      </c>
      <c r="D22" s="50">
        <v>5</v>
      </c>
      <c r="E22" s="50">
        <v>7</v>
      </c>
      <c r="F22" s="50">
        <v>9</v>
      </c>
      <c r="G22" s="50">
        <v>2</v>
      </c>
      <c r="H22" s="50">
        <v>0</v>
      </c>
      <c r="I22" s="50">
        <v>2</v>
      </c>
      <c r="J22" s="50">
        <v>2</v>
      </c>
      <c r="K22" s="50">
        <v>0</v>
      </c>
      <c r="L22" s="50">
        <v>0</v>
      </c>
      <c r="M22" s="50">
        <v>98</v>
      </c>
      <c r="N22" s="50">
        <v>0</v>
      </c>
      <c r="O22" s="15">
        <f t="shared" si="0"/>
        <v>93</v>
      </c>
      <c r="P22" s="15">
        <f t="shared" si="1"/>
        <v>191</v>
      </c>
      <c r="R22" s="36" t="s">
        <v>146</v>
      </c>
      <c r="S22" s="34">
        <f>SUM(C58:C61)</f>
        <v>59</v>
      </c>
      <c r="T22" s="34">
        <f t="shared" ref="T22:AF22" si="14">SUM(D58:D61)</f>
        <v>34</v>
      </c>
      <c r="U22" s="34">
        <f t="shared" si="14"/>
        <v>5</v>
      </c>
      <c r="V22" s="34">
        <f t="shared" si="14"/>
        <v>10</v>
      </c>
      <c r="W22" s="34">
        <f t="shared" si="14"/>
        <v>1</v>
      </c>
      <c r="X22" s="34">
        <f t="shared" si="14"/>
        <v>0</v>
      </c>
      <c r="Y22" s="34">
        <f t="shared" si="14"/>
        <v>1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185</v>
      </c>
      <c r="AD22" s="34">
        <f t="shared" si="14"/>
        <v>0</v>
      </c>
      <c r="AE22" s="31">
        <f t="shared" si="14"/>
        <v>111</v>
      </c>
      <c r="AF22" s="31">
        <f t="shared" si="14"/>
        <v>296</v>
      </c>
    </row>
    <row r="23" spans="2:32" ht="23.1" customHeight="1" x14ac:dyDescent="0.25">
      <c r="B23" s="45" t="s">
        <v>50</v>
      </c>
      <c r="C23" s="50">
        <v>63</v>
      </c>
      <c r="D23" s="50">
        <v>7</v>
      </c>
      <c r="E23" s="50">
        <v>5</v>
      </c>
      <c r="F23" s="50">
        <v>7</v>
      </c>
      <c r="G23" s="50">
        <v>0</v>
      </c>
      <c r="H23" s="50">
        <v>0</v>
      </c>
      <c r="I23" s="50">
        <v>2</v>
      </c>
      <c r="J23" s="50">
        <v>3</v>
      </c>
      <c r="K23" s="50">
        <v>0</v>
      </c>
      <c r="L23" s="50">
        <v>0</v>
      </c>
      <c r="M23" s="50">
        <v>104</v>
      </c>
      <c r="N23" s="50">
        <v>0</v>
      </c>
      <c r="O23" s="15">
        <f t="shared" si="0"/>
        <v>87</v>
      </c>
      <c r="P23" s="15">
        <f t="shared" si="1"/>
        <v>191</v>
      </c>
      <c r="R23" s="36" t="s">
        <v>147</v>
      </c>
      <c r="S23" s="34">
        <f>SUM(C62:C65)</f>
        <v>137</v>
      </c>
      <c r="T23" s="34">
        <f t="shared" ref="T23:AF23" si="15">SUM(D62:D65)</f>
        <v>84</v>
      </c>
      <c r="U23" s="34">
        <f t="shared" si="15"/>
        <v>30</v>
      </c>
      <c r="V23" s="34">
        <f t="shared" si="15"/>
        <v>69</v>
      </c>
      <c r="W23" s="34">
        <f t="shared" si="15"/>
        <v>1</v>
      </c>
      <c r="X23" s="34">
        <f t="shared" si="15"/>
        <v>29</v>
      </c>
      <c r="Y23" s="34">
        <f t="shared" si="15"/>
        <v>26</v>
      </c>
      <c r="Z23" s="34">
        <f t="shared" si="15"/>
        <v>8</v>
      </c>
      <c r="AA23" s="34">
        <f t="shared" si="15"/>
        <v>0</v>
      </c>
      <c r="AB23" s="34">
        <f t="shared" si="15"/>
        <v>0</v>
      </c>
      <c r="AC23" s="34">
        <f t="shared" si="15"/>
        <v>171</v>
      </c>
      <c r="AD23" s="34">
        <f t="shared" si="15"/>
        <v>0</v>
      </c>
      <c r="AE23" s="31">
        <f t="shared" si="15"/>
        <v>384</v>
      </c>
      <c r="AF23" s="31">
        <f t="shared" si="15"/>
        <v>555</v>
      </c>
    </row>
    <row r="24" spans="2:32" ht="23.1" customHeight="1" x14ac:dyDescent="0.25">
      <c r="B24" s="45" t="s">
        <v>51</v>
      </c>
      <c r="C24" s="50">
        <v>69</v>
      </c>
      <c r="D24" s="50">
        <v>9</v>
      </c>
      <c r="E24" s="50">
        <v>6</v>
      </c>
      <c r="F24" s="50">
        <v>9</v>
      </c>
      <c r="G24" s="50">
        <v>1</v>
      </c>
      <c r="H24" s="50">
        <v>0</v>
      </c>
      <c r="I24" s="50">
        <v>2</v>
      </c>
      <c r="J24" s="50">
        <v>1</v>
      </c>
      <c r="K24" s="50">
        <v>0</v>
      </c>
      <c r="L24" s="50">
        <v>0</v>
      </c>
      <c r="M24" s="50">
        <v>100</v>
      </c>
      <c r="N24" s="50">
        <v>0</v>
      </c>
      <c r="O24" s="15">
        <f t="shared" si="0"/>
        <v>97</v>
      </c>
      <c r="P24" s="15">
        <f t="shared" si="1"/>
        <v>197</v>
      </c>
      <c r="R24" s="36" t="s">
        <v>148</v>
      </c>
      <c r="S24" s="34">
        <f>SUM(C66:C69)</f>
        <v>145</v>
      </c>
      <c r="T24" s="34">
        <f t="shared" ref="T24:AF24" si="16">SUM(D66:D69)</f>
        <v>84</v>
      </c>
      <c r="U24" s="34">
        <f t="shared" si="16"/>
        <v>15</v>
      </c>
      <c r="V24" s="34">
        <f t="shared" si="16"/>
        <v>67</v>
      </c>
      <c r="W24" s="34">
        <f t="shared" si="16"/>
        <v>3</v>
      </c>
      <c r="X24" s="34">
        <f t="shared" si="16"/>
        <v>0</v>
      </c>
      <c r="Y24" s="34">
        <f t="shared" si="16"/>
        <v>19</v>
      </c>
      <c r="Z24" s="34">
        <f t="shared" si="16"/>
        <v>3</v>
      </c>
      <c r="AA24" s="34">
        <f t="shared" si="16"/>
        <v>5</v>
      </c>
      <c r="AB24" s="34">
        <f t="shared" si="16"/>
        <v>0</v>
      </c>
      <c r="AC24" s="34">
        <f t="shared" si="16"/>
        <v>195</v>
      </c>
      <c r="AD24" s="34">
        <f t="shared" si="16"/>
        <v>0</v>
      </c>
      <c r="AE24" s="31">
        <f t="shared" si="16"/>
        <v>341</v>
      </c>
      <c r="AF24" s="31">
        <f t="shared" si="16"/>
        <v>536</v>
      </c>
    </row>
    <row r="25" spans="2:32" ht="23.1" customHeight="1" x14ac:dyDescent="0.25">
      <c r="B25" s="45" t="s">
        <v>52</v>
      </c>
      <c r="C25" s="50">
        <v>98</v>
      </c>
      <c r="D25" s="50">
        <v>5</v>
      </c>
      <c r="E25" s="50">
        <v>5</v>
      </c>
      <c r="F25" s="50">
        <v>7</v>
      </c>
      <c r="G25" s="50">
        <v>0</v>
      </c>
      <c r="H25" s="50">
        <v>0</v>
      </c>
      <c r="I25" s="50">
        <v>2</v>
      </c>
      <c r="J25" s="50">
        <v>4</v>
      </c>
      <c r="K25" s="50">
        <v>0</v>
      </c>
      <c r="L25" s="50">
        <v>0</v>
      </c>
      <c r="M25" s="50">
        <v>109</v>
      </c>
      <c r="N25" s="50">
        <v>0</v>
      </c>
      <c r="O25" s="15">
        <f t="shared" si="0"/>
        <v>121</v>
      </c>
      <c r="P25" s="15">
        <f t="shared" si="1"/>
        <v>230</v>
      </c>
      <c r="R25" s="36" t="s">
        <v>149</v>
      </c>
      <c r="S25" s="34">
        <f>SUM(C70:C73)</f>
        <v>143</v>
      </c>
      <c r="T25" s="34">
        <f t="shared" ref="T25:AF25" si="17">SUM(D70:D73)</f>
        <v>110</v>
      </c>
      <c r="U25" s="34">
        <f t="shared" si="17"/>
        <v>15</v>
      </c>
      <c r="V25" s="34">
        <f t="shared" si="17"/>
        <v>54</v>
      </c>
      <c r="W25" s="34">
        <f t="shared" si="17"/>
        <v>3</v>
      </c>
      <c r="X25" s="34">
        <f t="shared" si="17"/>
        <v>1</v>
      </c>
      <c r="Y25" s="34">
        <f t="shared" si="17"/>
        <v>11</v>
      </c>
      <c r="Z25" s="34">
        <f t="shared" si="17"/>
        <v>14</v>
      </c>
      <c r="AA25" s="34">
        <f t="shared" si="17"/>
        <v>1</v>
      </c>
      <c r="AB25" s="34">
        <f t="shared" si="17"/>
        <v>2</v>
      </c>
      <c r="AC25" s="34">
        <f t="shared" si="17"/>
        <v>255</v>
      </c>
      <c r="AD25" s="34">
        <f t="shared" si="17"/>
        <v>0</v>
      </c>
      <c r="AE25" s="31">
        <f t="shared" si="17"/>
        <v>354</v>
      </c>
      <c r="AF25" s="31">
        <f t="shared" si="17"/>
        <v>609</v>
      </c>
    </row>
    <row r="26" spans="2:32" ht="23.1" customHeight="1" x14ac:dyDescent="0.25">
      <c r="B26" s="45" t="s">
        <v>53</v>
      </c>
      <c r="C26" s="50">
        <v>44</v>
      </c>
      <c r="D26" s="50">
        <v>7</v>
      </c>
      <c r="E26" s="50">
        <v>2</v>
      </c>
      <c r="F26" s="50">
        <v>6</v>
      </c>
      <c r="G26" s="50">
        <v>0</v>
      </c>
      <c r="H26" s="50">
        <v>0</v>
      </c>
      <c r="I26" s="50">
        <v>2</v>
      </c>
      <c r="J26" s="50">
        <v>2</v>
      </c>
      <c r="K26" s="50">
        <v>0</v>
      </c>
      <c r="L26" s="50">
        <v>0</v>
      </c>
      <c r="M26" s="50">
        <v>103</v>
      </c>
      <c r="N26" s="50">
        <v>0</v>
      </c>
      <c r="O26" s="15">
        <f t="shared" si="0"/>
        <v>63</v>
      </c>
      <c r="P26" s="15">
        <f t="shared" si="1"/>
        <v>166</v>
      </c>
      <c r="R26" s="36" t="s">
        <v>150</v>
      </c>
      <c r="S26" s="34">
        <f>SUM(C74:C77)</f>
        <v>87</v>
      </c>
      <c r="T26" s="34">
        <f t="shared" ref="T26:AF26" si="18">SUM(D74:D77)</f>
        <v>67</v>
      </c>
      <c r="U26" s="34">
        <f t="shared" si="18"/>
        <v>8</v>
      </c>
      <c r="V26" s="34">
        <f t="shared" si="18"/>
        <v>28</v>
      </c>
      <c r="W26" s="34">
        <f t="shared" si="18"/>
        <v>0</v>
      </c>
      <c r="X26" s="34">
        <f t="shared" si="18"/>
        <v>1</v>
      </c>
      <c r="Y26" s="34">
        <f t="shared" si="18"/>
        <v>9</v>
      </c>
      <c r="Z26" s="34">
        <f t="shared" si="18"/>
        <v>10</v>
      </c>
      <c r="AA26" s="34">
        <f t="shared" si="18"/>
        <v>1</v>
      </c>
      <c r="AB26" s="34">
        <f t="shared" si="18"/>
        <v>0</v>
      </c>
      <c r="AC26" s="34">
        <f t="shared" si="18"/>
        <v>265</v>
      </c>
      <c r="AD26" s="34">
        <f t="shared" si="18"/>
        <v>0</v>
      </c>
      <c r="AE26" s="31">
        <f t="shared" si="18"/>
        <v>211</v>
      </c>
      <c r="AF26" s="31">
        <f t="shared" si="18"/>
        <v>476</v>
      </c>
    </row>
    <row r="27" spans="2:32" ht="23.1" customHeight="1" x14ac:dyDescent="0.25">
      <c r="B27" s="45" t="s">
        <v>54</v>
      </c>
      <c r="C27" s="50">
        <v>57</v>
      </c>
      <c r="D27" s="50">
        <v>9</v>
      </c>
      <c r="E27" s="50">
        <v>9</v>
      </c>
      <c r="F27" s="50">
        <v>10</v>
      </c>
      <c r="G27" s="50">
        <v>0</v>
      </c>
      <c r="H27" s="50">
        <v>0</v>
      </c>
      <c r="I27" s="50">
        <v>4</v>
      </c>
      <c r="J27" s="50">
        <v>4</v>
      </c>
      <c r="K27" s="50">
        <v>0</v>
      </c>
      <c r="L27" s="50">
        <v>0</v>
      </c>
      <c r="M27" s="50">
        <v>120</v>
      </c>
      <c r="N27" s="50">
        <v>0</v>
      </c>
      <c r="O27" s="15">
        <f t="shared" si="0"/>
        <v>93</v>
      </c>
      <c r="P27" s="15">
        <f t="shared" si="1"/>
        <v>213</v>
      </c>
      <c r="R27" s="36" t="s">
        <v>151</v>
      </c>
      <c r="S27" s="34">
        <f>SUM(C78:C81)</f>
        <v>70</v>
      </c>
      <c r="T27" s="34">
        <f t="shared" ref="T27:AF27" si="19">SUM(D78:D81)</f>
        <v>50</v>
      </c>
      <c r="U27" s="34">
        <f t="shared" si="19"/>
        <v>12</v>
      </c>
      <c r="V27" s="34">
        <f t="shared" si="19"/>
        <v>14</v>
      </c>
      <c r="W27" s="34">
        <f t="shared" si="19"/>
        <v>0</v>
      </c>
      <c r="X27" s="34">
        <f t="shared" si="19"/>
        <v>0</v>
      </c>
      <c r="Y27" s="34">
        <f t="shared" si="19"/>
        <v>13</v>
      </c>
      <c r="Z27" s="34">
        <f t="shared" si="19"/>
        <v>4</v>
      </c>
      <c r="AA27" s="34">
        <f t="shared" si="19"/>
        <v>5</v>
      </c>
      <c r="AB27" s="34">
        <f t="shared" si="19"/>
        <v>1</v>
      </c>
      <c r="AC27" s="34">
        <f t="shared" si="19"/>
        <v>154</v>
      </c>
      <c r="AD27" s="34">
        <f t="shared" si="19"/>
        <v>0</v>
      </c>
      <c r="AE27" s="31">
        <f t="shared" si="19"/>
        <v>169</v>
      </c>
      <c r="AF27" s="31">
        <f t="shared" si="19"/>
        <v>323</v>
      </c>
    </row>
    <row r="28" spans="2:32" ht="23.1" customHeight="1" x14ac:dyDescent="0.25">
      <c r="B28" s="45" t="s">
        <v>55</v>
      </c>
      <c r="C28" s="50">
        <v>63</v>
      </c>
      <c r="D28" s="50">
        <v>7</v>
      </c>
      <c r="E28" s="50">
        <v>4</v>
      </c>
      <c r="F28" s="50">
        <v>7</v>
      </c>
      <c r="G28" s="50">
        <v>0</v>
      </c>
      <c r="H28" s="50">
        <v>0</v>
      </c>
      <c r="I28" s="50">
        <v>5</v>
      </c>
      <c r="J28" s="50">
        <v>3</v>
      </c>
      <c r="K28" s="50">
        <v>0</v>
      </c>
      <c r="L28" s="50">
        <v>0</v>
      </c>
      <c r="M28" s="50">
        <v>108</v>
      </c>
      <c r="N28" s="50">
        <v>0</v>
      </c>
      <c r="O28" s="15">
        <f t="shared" si="0"/>
        <v>89</v>
      </c>
      <c r="P28" s="15">
        <f t="shared" si="1"/>
        <v>197</v>
      </c>
      <c r="R28" s="36" t="s">
        <v>152</v>
      </c>
      <c r="S28" s="34">
        <f>SUM(C82:C85)</f>
        <v>43</v>
      </c>
      <c r="T28" s="34">
        <f t="shared" ref="T28:AF28" si="20">SUM(D82:D85)</f>
        <v>23</v>
      </c>
      <c r="U28" s="34">
        <f t="shared" si="20"/>
        <v>9</v>
      </c>
      <c r="V28" s="34">
        <f t="shared" si="20"/>
        <v>11</v>
      </c>
      <c r="W28" s="34">
        <f t="shared" si="20"/>
        <v>0</v>
      </c>
      <c r="X28" s="34">
        <f t="shared" si="20"/>
        <v>0</v>
      </c>
      <c r="Y28" s="34">
        <f t="shared" si="20"/>
        <v>9</v>
      </c>
      <c r="Z28" s="34">
        <f t="shared" si="20"/>
        <v>1</v>
      </c>
      <c r="AA28" s="34">
        <f t="shared" si="20"/>
        <v>4</v>
      </c>
      <c r="AB28" s="34">
        <f t="shared" si="20"/>
        <v>1</v>
      </c>
      <c r="AC28" s="34">
        <f t="shared" si="20"/>
        <v>199</v>
      </c>
      <c r="AD28" s="34">
        <f t="shared" si="20"/>
        <v>0</v>
      </c>
      <c r="AE28" s="31">
        <f t="shared" si="20"/>
        <v>101</v>
      </c>
      <c r="AF28" s="31">
        <f t="shared" si="20"/>
        <v>300</v>
      </c>
    </row>
    <row r="29" spans="2:32" ht="23.1" customHeight="1" x14ac:dyDescent="0.25">
      <c r="B29" s="45" t="s">
        <v>56</v>
      </c>
      <c r="C29" s="50">
        <v>61</v>
      </c>
      <c r="D29" s="50">
        <v>4</v>
      </c>
      <c r="E29" s="50">
        <v>6</v>
      </c>
      <c r="F29" s="50">
        <v>9</v>
      </c>
      <c r="G29" s="50">
        <v>0</v>
      </c>
      <c r="H29" s="50">
        <v>0</v>
      </c>
      <c r="I29" s="50">
        <v>4</v>
      </c>
      <c r="J29" s="50">
        <v>4</v>
      </c>
      <c r="K29" s="50">
        <v>1</v>
      </c>
      <c r="L29" s="50">
        <v>1</v>
      </c>
      <c r="M29" s="50">
        <v>113</v>
      </c>
      <c r="N29" s="50">
        <v>0</v>
      </c>
      <c r="O29" s="15">
        <f t="shared" si="0"/>
        <v>90</v>
      </c>
      <c r="P29" s="15">
        <f t="shared" si="1"/>
        <v>203</v>
      </c>
      <c r="R29" s="36" t="s">
        <v>153</v>
      </c>
      <c r="S29" s="34">
        <f>SUM(C86:C89)</f>
        <v>13</v>
      </c>
      <c r="T29" s="34">
        <f t="shared" ref="T29:AF29" si="21">SUM(D86:D89)</f>
        <v>4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6</v>
      </c>
      <c r="AA29" s="34">
        <f t="shared" si="21"/>
        <v>1</v>
      </c>
      <c r="AB29" s="34">
        <f t="shared" si="21"/>
        <v>0</v>
      </c>
      <c r="AC29" s="34">
        <f t="shared" si="21"/>
        <v>71</v>
      </c>
      <c r="AD29" s="34">
        <f t="shared" si="21"/>
        <v>0</v>
      </c>
      <c r="AE29" s="31">
        <f t="shared" si="21"/>
        <v>25</v>
      </c>
      <c r="AF29" s="31">
        <f t="shared" si="21"/>
        <v>96</v>
      </c>
    </row>
    <row r="30" spans="2:32" ht="23.1" customHeight="1" x14ac:dyDescent="0.25">
      <c r="B30" s="45" t="s">
        <v>57</v>
      </c>
      <c r="C30" s="50">
        <v>39</v>
      </c>
      <c r="D30" s="50">
        <v>3</v>
      </c>
      <c r="E30" s="50">
        <v>5</v>
      </c>
      <c r="F30" s="50">
        <v>6</v>
      </c>
      <c r="G30" s="50">
        <v>0</v>
      </c>
      <c r="H30" s="50">
        <v>0</v>
      </c>
      <c r="I30" s="50">
        <v>3</v>
      </c>
      <c r="J30" s="50">
        <v>2</v>
      </c>
      <c r="K30" s="50">
        <v>0</v>
      </c>
      <c r="L30" s="50">
        <v>0</v>
      </c>
      <c r="M30" s="50">
        <v>93</v>
      </c>
      <c r="N30" s="50">
        <v>0</v>
      </c>
      <c r="O30" s="15">
        <f t="shared" si="0"/>
        <v>58</v>
      </c>
      <c r="P30" s="15">
        <f t="shared" si="1"/>
        <v>151</v>
      </c>
      <c r="R30" s="36" t="s">
        <v>154</v>
      </c>
      <c r="S30" s="34">
        <f>SUM(C90:C93)</f>
        <v>8</v>
      </c>
      <c r="T30" s="34">
        <f t="shared" ref="T30:AF30" si="22">SUM(D90:D93)</f>
        <v>3</v>
      </c>
      <c r="U30" s="34">
        <f t="shared" si="22"/>
        <v>0</v>
      </c>
      <c r="V30" s="34">
        <f t="shared" si="22"/>
        <v>2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50</v>
      </c>
      <c r="AD30" s="34">
        <f t="shared" si="22"/>
        <v>0</v>
      </c>
      <c r="AE30" s="31">
        <f t="shared" si="22"/>
        <v>13</v>
      </c>
      <c r="AF30" s="31">
        <f t="shared" si="22"/>
        <v>63</v>
      </c>
    </row>
    <row r="31" spans="2:32" ht="23.1" customHeight="1" x14ac:dyDescent="0.25">
      <c r="B31" s="46" t="s">
        <v>58</v>
      </c>
      <c r="C31" s="50">
        <v>41</v>
      </c>
      <c r="D31" s="50">
        <v>7</v>
      </c>
      <c r="E31" s="50">
        <v>5</v>
      </c>
      <c r="F31" s="50">
        <v>6</v>
      </c>
      <c r="G31" s="50">
        <v>0</v>
      </c>
      <c r="H31" s="50">
        <v>0</v>
      </c>
      <c r="I31" s="50">
        <v>1</v>
      </c>
      <c r="J31" s="50">
        <v>2</v>
      </c>
      <c r="K31" s="50">
        <v>1</v>
      </c>
      <c r="L31" s="50">
        <v>0</v>
      </c>
      <c r="M31" s="50">
        <v>108</v>
      </c>
      <c r="N31" s="50">
        <v>0</v>
      </c>
      <c r="O31" s="15">
        <f t="shared" si="0"/>
        <v>63</v>
      </c>
      <c r="P31" s="15">
        <f t="shared" si="1"/>
        <v>171</v>
      </c>
      <c r="R31" s="36" t="s">
        <v>155</v>
      </c>
      <c r="S31" s="34">
        <f>SUM(C94:C97)</f>
        <v>10</v>
      </c>
      <c r="T31" s="34">
        <f t="shared" ref="T31:AF31" si="23">SUM(D94:D97)</f>
        <v>2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3</v>
      </c>
      <c r="AB31" s="34">
        <f t="shared" si="23"/>
        <v>0</v>
      </c>
      <c r="AC31" s="34">
        <f t="shared" si="23"/>
        <v>46</v>
      </c>
      <c r="AD31" s="34">
        <f t="shared" si="23"/>
        <v>0</v>
      </c>
      <c r="AE31" s="31">
        <f t="shared" si="23"/>
        <v>16</v>
      </c>
      <c r="AF31" s="31">
        <f t="shared" si="23"/>
        <v>62</v>
      </c>
    </row>
    <row r="32" spans="2:32" ht="23.1" customHeight="1" x14ac:dyDescent="0.25">
      <c r="B32" s="46" t="s">
        <v>59</v>
      </c>
      <c r="C32" s="50">
        <v>41</v>
      </c>
      <c r="D32" s="50">
        <v>5</v>
      </c>
      <c r="E32" s="50">
        <v>3</v>
      </c>
      <c r="F32" s="50">
        <v>5</v>
      </c>
      <c r="G32" s="50">
        <v>0</v>
      </c>
      <c r="H32" s="50">
        <v>0</v>
      </c>
      <c r="I32" s="50">
        <v>2</v>
      </c>
      <c r="J32" s="50">
        <v>1</v>
      </c>
      <c r="K32" s="50">
        <v>0</v>
      </c>
      <c r="L32" s="50">
        <v>0</v>
      </c>
      <c r="M32" s="50">
        <v>111</v>
      </c>
      <c r="N32" s="50">
        <v>0</v>
      </c>
      <c r="O32" s="15">
        <f t="shared" si="0"/>
        <v>57</v>
      </c>
      <c r="P32" s="15">
        <f t="shared" si="1"/>
        <v>168</v>
      </c>
      <c r="R32" s="33" t="s">
        <v>156</v>
      </c>
      <c r="S32" s="34">
        <f>SUM(C98:C101)</f>
        <v>18</v>
      </c>
      <c r="T32" s="34">
        <f t="shared" ref="T32:AF32" si="24">SUM(D98:D101)</f>
        <v>7</v>
      </c>
      <c r="U32" s="34">
        <f t="shared" si="24"/>
        <v>5</v>
      </c>
      <c r="V32" s="34">
        <f t="shared" si="24"/>
        <v>12</v>
      </c>
      <c r="W32" s="34">
        <f t="shared" si="24"/>
        <v>0</v>
      </c>
      <c r="X32" s="34">
        <f t="shared" si="24"/>
        <v>0</v>
      </c>
      <c r="Y32" s="34">
        <f t="shared" si="24"/>
        <v>2</v>
      </c>
      <c r="Z32" s="34">
        <f t="shared" si="24"/>
        <v>1</v>
      </c>
      <c r="AA32" s="34">
        <f t="shared" si="24"/>
        <v>2</v>
      </c>
      <c r="AB32" s="34">
        <f t="shared" si="24"/>
        <v>0</v>
      </c>
      <c r="AC32" s="34">
        <f t="shared" si="24"/>
        <v>126</v>
      </c>
      <c r="AD32" s="34">
        <f t="shared" si="24"/>
        <v>0</v>
      </c>
      <c r="AE32" s="31">
        <f t="shared" si="24"/>
        <v>47</v>
      </c>
      <c r="AF32" s="31">
        <f t="shared" si="24"/>
        <v>173</v>
      </c>
    </row>
    <row r="33" spans="2:32" ht="23.1" customHeight="1" x14ac:dyDescent="0.25">
      <c r="B33" s="45" t="s">
        <v>60</v>
      </c>
      <c r="C33" s="50">
        <v>46</v>
      </c>
      <c r="D33" s="50">
        <v>2</v>
      </c>
      <c r="E33" s="50">
        <v>3</v>
      </c>
      <c r="F33" s="50">
        <v>5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115</v>
      </c>
      <c r="N33" s="50">
        <v>0</v>
      </c>
      <c r="O33" s="15">
        <f t="shared" si="0"/>
        <v>56</v>
      </c>
      <c r="P33" s="15">
        <f t="shared" si="1"/>
        <v>171</v>
      </c>
      <c r="R33" s="33" t="s">
        <v>157</v>
      </c>
      <c r="S33" s="34">
        <f>SUM(C102:C105)</f>
        <v>13</v>
      </c>
      <c r="T33" s="34">
        <f t="shared" ref="T33:AF33" si="25">SUM(D102:D105)</f>
        <v>4</v>
      </c>
      <c r="U33" s="34">
        <f t="shared" si="25"/>
        <v>3</v>
      </c>
      <c r="V33" s="34">
        <f t="shared" si="25"/>
        <v>9</v>
      </c>
      <c r="W33" s="34">
        <f t="shared" si="25"/>
        <v>0</v>
      </c>
      <c r="X33" s="34">
        <f t="shared" si="25"/>
        <v>0</v>
      </c>
      <c r="Y33" s="34">
        <f t="shared" si="25"/>
        <v>3</v>
      </c>
      <c r="Z33" s="34">
        <f t="shared" si="25"/>
        <v>2</v>
      </c>
      <c r="AA33" s="34">
        <f t="shared" si="25"/>
        <v>3</v>
      </c>
      <c r="AB33" s="34">
        <f t="shared" si="25"/>
        <v>0</v>
      </c>
      <c r="AC33" s="34">
        <f t="shared" si="25"/>
        <v>72</v>
      </c>
      <c r="AD33" s="34">
        <f t="shared" si="25"/>
        <v>0</v>
      </c>
      <c r="AE33" s="31">
        <f t="shared" si="25"/>
        <v>37</v>
      </c>
      <c r="AF33" s="31">
        <f t="shared" si="25"/>
        <v>109</v>
      </c>
    </row>
    <row r="34" spans="2:32" ht="23.1" customHeight="1" x14ac:dyDescent="0.25">
      <c r="B34" s="46" t="s">
        <v>61</v>
      </c>
      <c r="C34" s="50">
        <v>27</v>
      </c>
      <c r="D34" s="50">
        <v>3</v>
      </c>
      <c r="E34" s="50">
        <v>5</v>
      </c>
      <c r="F34" s="50">
        <v>6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67</v>
      </c>
      <c r="N34" s="50">
        <v>0</v>
      </c>
      <c r="O34" s="15">
        <f t="shared" si="0"/>
        <v>43</v>
      </c>
      <c r="P34" s="15">
        <f t="shared" si="1"/>
        <v>110</v>
      </c>
      <c r="R34" s="38" t="s">
        <v>90</v>
      </c>
      <c r="S34" s="39">
        <f t="shared" ref="S34:AF34" si="26">MAX(S10:S12)</f>
        <v>309</v>
      </c>
      <c r="T34" s="39">
        <f t="shared" si="26"/>
        <v>32</v>
      </c>
      <c r="U34" s="39">
        <f t="shared" si="26"/>
        <v>23</v>
      </c>
      <c r="V34" s="39">
        <f t="shared" si="26"/>
        <v>74</v>
      </c>
      <c r="W34" s="39">
        <f t="shared" si="26"/>
        <v>2</v>
      </c>
      <c r="X34" s="39">
        <f t="shared" si="26"/>
        <v>0</v>
      </c>
      <c r="Y34" s="39">
        <f t="shared" si="26"/>
        <v>16</v>
      </c>
      <c r="Z34" s="39">
        <f t="shared" si="26"/>
        <v>5</v>
      </c>
      <c r="AA34" s="39">
        <f t="shared" si="26"/>
        <v>4</v>
      </c>
      <c r="AB34" s="39">
        <f t="shared" si="26"/>
        <v>0</v>
      </c>
      <c r="AC34" s="39">
        <f t="shared" si="26"/>
        <v>476</v>
      </c>
      <c r="AD34" s="39">
        <f t="shared" si="26"/>
        <v>0</v>
      </c>
      <c r="AE34" s="40">
        <f t="shared" si="26"/>
        <v>446</v>
      </c>
      <c r="AF34" s="40">
        <f t="shared" si="26"/>
        <v>922</v>
      </c>
    </row>
    <row r="35" spans="2:32" ht="23.1" customHeight="1" x14ac:dyDescent="0.25">
      <c r="B35" s="46" t="s">
        <v>62</v>
      </c>
      <c r="C35" s="50">
        <v>26</v>
      </c>
      <c r="D35" s="50">
        <v>3</v>
      </c>
      <c r="E35" s="50">
        <v>4</v>
      </c>
      <c r="F35" s="50">
        <v>4</v>
      </c>
      <c r="G35" s="50">
        <v>0</v>
      </c>
      <c r="H35" s="50">
        <v>0</v>
      </c>
      <c r="I35" s="50">
        <v>5</v>
      </c>
      <c r="J35" s="50">
        <v>0</v>
      </c>
      <c r="K35" s="50">
        <v>0</v>
      </c>
      <c r="L35" s="50">
        <v>0</v>
      </c>
      <c r="M35" s="50">
        <v>63</v>
      </c>
      <c r="N35" s="50">
        <v>0</v>
      </c>
      <c r="O35" s="15">
        <f t="shared" si="0"/>
        <v>42</v>
      </c>
      <c r="P35" s="15">
        <f t="shared" si="1"/>
        <v>105</v>
      </c>
      <c r="R35" s="38" t="s">
        <v>91</v>
      </c>
      <c r="S35" s="39">
        <f t="shared" ref="S35:AF35" si="27">MAX(S13:S18)</f>
        <v>296</v>
      </c>
      <c r="T35" s="39">
        <f t="shared" si="27"/>
        <v>27</v>
      </c>
      <c r="U35" s="39">
        <f t="shared" si="27"/>
        <v>23</v>
      </c>
      <c r="V35" s="39">
        <f t="shared" si="27"/>
        <v>32</v>
      </c>
      <c r="W35" s="39">
        <f t="shared" si="27"/>
        <v>3</v>
      </c>
      <c r="X35" s="39">
        <f t="shared" si="27"/>
        <v>0</v>
      </c>
      <c r="Y35" s="39">
        <f t="shared" si="27"/>
        <v>15</v>
      </c>
      <c r="Z35" s="39">
        <f t="shared" si="27"/>
        <v>13</v>
      </c>
      <c r="AA35" s="39">
        <f t="shared" si="27"/>
        <v>2</v>
      </c>
      <c r="AB35" s="39">
        <f t="shared" si="27"/>
        <v>1</v>
      </c>
      <c r="AC35" s="39">
        <f t="shared" si="27"/>
        <v>444</v>
      </c>
      <c r="AD35" s="39">
        <f t="shared" si="27"/>
        <v>0</v>
      </c>
      <c r="AE35" s="40">
        <f t="shared" si="27"/>
        <v>398</v>
      </c>
      <c r="AF35" s="40">
        <f t="shared" si="27"/>
        <v>809</v>
      </c>
    </row>
    <row r="36" spans="2:32" ht="23.1" customHeight="1" x14ac:dyDescent="0.25">
      <c r="B36" s="46" t="s">
        <v>63</v>
      </c>
      <c r="C36" s="50">
        <v>35</v>
      </c>
      <c r="D36" s="50">
        <v>3</v>
      </c>
      <c r="E36" s="50">
        <v>3</v>
      </c>
      <c r="F36" s="50">
        <v>3</v>
      </c>
      <c r="G36" s="50">
        <v>0</v>
      </c>
      <c r="H36" s="50">
        <v>0</v>
      </c>
      <c r="I36" s="50">
        <v>2</v>
      </c>
      <c r="J36" s="50">
        <v>4</v>
      </c>
      <c r="K36" s="50">
        <v>0</v>
      </c>
      <c r="L36" s="50">
        <v>0</v>
      </c>
      <c r="M36" s="50">
        <v>74</v>
      </c>
      <c r="N36" s="50">
        <v>0</v>
      </c>
      <c r="O36" s="15">
        <f t="shared" si="0"/>
        <v>50</v>
      </c>
      <c r="P36" s="15">
        <f t="shared" si="1"/>
        <v>124</v>
      </c>
      <c r="R36" s="38" t="s">
        <v>92</v>
      </c>
      <c r="S36" s="39">
        <f t="shared" ref="S36:AF36" si="28">MAX(S19:S21)</f>
        <v>153</v>
      </c>
      <c r="T36" s="39">
        <f t="shared" si="28"/>
        <v>25</v>
      </c>
      <c r="U36" s="39">
        <f t="shared" si="28"/>
        <v>14</v>
      </c>
      <c r="V36" s="39">
        <f t="shared" si="28"/>
        <v>38</v>
      </c>
      <c r="W36" s="39">
        <f t="shared" si="28"/>
        <v>1</v>
      </c>
      <c r="X36" s="39">
        <f t="shared" si="28"/>
        <v>0</v>
      </c>
      <c r="Y36" s="39">
        <f t="shared" si="28"/>
        <v>12</v>
      </c>
      <c r="Z36" s="39">
        <f t="shared" si="28"/>
        <v>5</v>
      </c>
      <c r="AA36" s="39">
        <f t="shared" si="28"/>
        <v>3</v>
      </c>
      <c r="AB36" s="39">
        <f t="shared" si="28"/>
        <v>1</v>
      </c>
      <c r="AC36" s="39">
        <f t="shared" si="28"/>
        <v>428</v>
      </c>
      <c r="AD36" s="39">
        <f t="shared" si="28"/>
        <v>0</v>
      </c>
      <c r="AE36" s="40">
        <f t="shared" si="28"/>
        <v>224</v>
      </c>
      <c r="AF36" s="40">
        <f t="shared" si="28"/>
        <v>652</v>
      </c>
    </row>
    <row r="37" spans="2:32" ht="23.1" customHeight="1" x14ac:dyDescent="0.25">
      <c r="B37" s="45" t="s">
        <v>64</v>
      </c>
      <c r="C37" s="50">
        <v>37</v>
      </c>
      <c r="D37" s="50">
        <v>6</v>
      </c>
      <c r="E37" s="50">
        <v>6</v>
      </c>
      <c r="F37" s="50">
        <v>5</v>
      </c>
      <c r="G37" s="50">
        <v>0</v>
      </c>
      <c r="H37" s="50">
        <v>0</v>
      </c>
      <c r="I37" s="50">
        <v>4</v>
      </c>
      <c r="J37" s="50">
        <v>0</v>
      </c>
      <c r="K37" s="50">
        <v>0</v>
      </c>
      <c r="L37" s="50">
        <v>0</v>
      </c>
      <c r="M37" s="50">
        <v>72</v>
      </c>
      <c r="N37" s="50">
        <v>0</v>
      </c>
      <c r="O37" s="15">
        <f t="shared" si="0"/>
        <v>58</v>
      </c>
      <c r="P37" s="15">
        <f t="shared" si="1"/>
        <v>130</v>
      </c>
      <c r="R37" s="37" t="s">
        <v>85</v>
      </c>
      <c r="S37" s="35">
        <f t="shared" ref="S37:AF37" si="29">SUM(S10:S12)</f>
        <v>743</v>
      </c>
      <c r="T37" s="16">
        <f t="shared" si="29"/>
        <v>80</v>
      </c>
      <c r="U37" s="16">
        <f t="shared" si="29"/>
        <v>53</v>
      </c>
      <c r="V37" s="16">
        <f t="shared" si="29"/>
        <v>187</v>
      </c>
      <c r="W37" s="16">
        <f t="shared" si="29"/>
        <v>3</v>
      </c>
      <c r="X37" s="16">
        <f t="shared" si="29"/>
        <v>0</v>
      </c>
      <c r="Y37" s="16">
        <f t="shared" si="29"/>
        <v>35</v>
      </c>
      <c r="Z37" s="16">
        <f t="shared" si="29"/>
        <v>11</v>
      </c>
      <c r="AA37" s="16">
        <f t="shared" si="29"/>
        <v>7</v>
      </c>
      <c r="AB37" s="16">
        <f t="shared" si="29"/>
        <v>0</v>
      </c>
      <c r="AC37" s="16">
        <f t="shared" si="29"/>
        <v>1399</v>
      </c>
      <c r="AD37" s="16">
        <f t="shared" si="29"/>
        <v>0</v>
      </c>
      <c r="AE37" s="32">
        <f t="shared" si="29"/>
        <v>1119</v>
      </c>
      <c r="AF37" s="32">
        <f t="shared" si="29"/>
        <v>2518</v>
      </c>
    </row>
    <row r="38" spans="2:32" ht="23.1" customHeight="1" x14ac:dyDescent="0.25">
      <c r="B38" s="46" t="s">
        <v>65</v>
      </c>
      <c r="C38" s="50">
        <v>25</v>
      </c>
      <c r="D38" s="50">
        <v>2</v>
      </c>
      <c r="E38" s="50">
        <v>3</v>
      </c>
      <c r="F38" s="50">
        <v>5</v>
      </c>
      <c r="G38" s="50">
        <v>0</v>
      </c>
      <c r="H38" s="50">
        <v>0</v>
      </c>
      <c r="I38" s="50">
        <v>3</v>
      </c>
      <c r="J38" s="50">
        <v>0</v>
      </c>
      <c r="K38" s="50">
        <v>0</v>
      </c>
      <c r="L38" s="50">
        <v>0</v>
      </c>
      <c r="M38" s="50">
        <v>65</v>
      </c>
      <c r="N38" s="50">
        <v>0</v>
      </c>
      <c r="O38" s="15">
        <f t="shared" si="0"/>
        <v>38</v>
      </c>
      <c r="P38" s="15">
        <f t="shared" si="1"/>
        <v>103</v>
      </c>
      <c r="R38" s="28" t="s">
        <v>86</v>
      </c>
      <c r="S38" s="16">
        <f t="shared" ref="S38:AF38" si="30">SUM(S13:S18)</f>
        <v>1070</v>
      </c>
      <c r="T38" s="16">
        <f t="shared" si="30"/>
        <v>122</v>
      </c>
      <c r="U38" s="16">
        <f t="shared" si="30"/>
        <v>105</v>
      </c>
      <c r="V38" s="16">
        <f t="shared" si="30"/>
        <v>145</v>
      </c>
      <c r="W38" s="16">
        <f t="shared" si="30"/>
        <v>3</v>
      </c>
      <c r="X38" s="16">
        <f t="shared" si="30"/>
        <v>0</v>
      </c>
      <c r="Y38" s="16">
        <f t="shared" si="30"/>
        <v>62</v>
      </c>
      <c r="Z38" s="16">
        <f t="shared" si="30"/>
        <v>38</v>
      </c>
      <c r="AA38" s="16">
        <f t="shared" si="30"/>
        <v>4</v>
      </c>
      <c r="AB38" s="16">
        <f t="shared" si="30"/>
        <v>1</v>
      </c>
      <c r="AC38" s="16">
        <f t="shared" si="30"/>
        <v>2093</v>
      </c>
      <c r="AD38" s="16">
        <f t="shared" si="30"/>
        <v>0</v>
      </c>
      <c r="AE38" s="32">
        <f t="shared" si="30"/>
        <v>1550</v>
      </c>
      <c r="AF38" s="32">
        <f t="shared" si="30"/>
        <v>3643</v>
      </c>
    </row>
    <row r="39" spans="2:32" ht="23.1" customHeight="1" x14ac:dyDescent="0.25">
      <c r="B39" s="46" t="s">
        <v>66</v>
      </c>
      <c r="C39" s="50">
        <v>32</v>
      </c>
      <c r="D39" s="50">
        <v>3</v>
      </c>
      <c r="E39" s="50">
        <v>3</v>
      </c>
      <c r="F39" s="50">
        <v>5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66</v>
      </c>
      <c r="N39" s="50">
        <v>0</v>
      </c>
      <c r="O39" s="15">
        <f t="shared" si="0"/>
        <v>46</v>
      </c>
      <c r="P39" s="15">
        <f t="shared" si="1"/>
        <v>112</v>
      </c>
      <c r="R39" s="29" t="s">
        <v>87</v>
      </c>
      <c r="S39" s="16">
        <f t="shared" ref="S39:AF39" si="31">SUM(S19:S21)</f>
        <v>406</v>
      </c>
      <c r="T39" s="16">
        <f t="shared" si="31"/>
        <v>53</v>
      </c>
      <c r="U39" s="16">
        <f t="shared" si="31"/>
        <v>34</v>
      </c>
      <c r="V39" s="16">
        <f t="shared" si="31"/>
        <v>96</v>
      </c>
      <c r="W39" s="16">
        <f t="shared" si="31"/>
        <v>2</v>
      </c>
      <c r="X39" s="16">
        <f t="shared" si="31"/>
        <v>0</v>
      </c>
      <c r="Y39" s="16">
        <f t="shared" si="31"/>
        <v>30</v>
      </c>
      <c r="Z39" s="16">
        <f t="shared" si="31"/>
        <v>8</v>
      </c>
      <c r="AA39" s="16">
        <f t="shared" si="31"/>
        <v>5</v>
      </c>
      <c r="AB39" s="16">
        <f t="shared" si="31"/>
        <v>1</v>
      </c>
      <c r="AC39" s="16">
        <f t="shared" si="31"/>
        <v>1088</v>
      </c>
      <c r="AD39" s="16">
        <f t="shared" si="31"/>
        <v>0</v>
      </c>
      <c r="AE39" s="32">
        <f t="shared" si="31"/>
        <v>635</v>
      </c>
      <c r="AF39" s="32">
        <f t="shared" si="31"/>
        <v>1723</v>
      </c>
    </row>
    <row r="40" spans="2:32" ht="23.1" customHeight="1" x14ac:dyDescent="0.25">
      <c r="B40" s="46" t="s">
        <v>67</v>
      </c>
      <c r="C40" s="50">
        <v>33</v>
      </c>
      <c r="D40" s="50">
        <v>8</v>
      </c>
      <c r="E40" s="50">
        <v>3</v>
      </c>
      <c r="F40" s="50">
        <v>5</v>
      </c>
      <c r="G40" s="50">
        <v>0</v>
      </c>
      <c r="H40" s="50">
        <v>0</v>
      </c>
      <c r="I40" s="50">
        <v>1</v>
      </c>
      <c r="J40" s="50">
        <v>1</v>
      </c>
      <c r="K40" s="50">
        <v>2</v>
      </c>
      <c r="L40" s="50">
        <v>0</v>
      </c>
      <c r="M40" s="50">
        <v>73</v>
      </c>
      <c r="N40" s="50">
        <v>0</v>
      </c>
      <c r="O40" s="15">
        <f t="shared" si="0"/>
        <v>53</v>
      </c>
      <c r="P40" s="15">
        <f t="shared" si="1"/>
        <v>126</v>
      </c>
      <c r="R40" s="5" t="s">
        <v>17</v>
      </c>
      <c r="S40" s="16">
        <f t="shared" ref="S40:AF40" si="32">SUM(S10:S21)</f>
        <v>2219</v>
      </c>
      <c r="T40" s="16">
        <f t="shared" si="32"/>
        <v>255</v>
      </c>
      <c r="U40" s="16">
        <f t="shared" si="32"/>
        <v>192</v>
      </c>
      <c r="V40" s="16">
        <f t="shared" si="32"/>
        <v>428</v>
      </c>
      <c r="W40" s="16">
        <f t="shared" si="32"/>
        <v>8</v>
      </c>
      <c r="X40" s="16">
        <f t="shared" si="32"/>
        <v>0</v>
      </c>
      <c r="Y40" s="16">
        <f t="shared" si="32"/>
        <v>127</v>
      </c>
      <c r="Z40" s="16">
        <f t="shared" si="32"/>
        <v>57</v>
      </c>
      <c r="AA40" s="16">
        <f t="shared" si="32"/>
        <v>16</v>
      </c>
      <c r="AB40" s="16">
        <f t="shared" si="32"/>
        <v>2</v>
      </c>
      <c r="AC40" s="16">
        <f t="shared" si="32"/>
        <v>4580</v>
      </c>
      <c r="AD40" s="16">
        <f t="shared" si="32"/>
        <v>0</v>
      </c>
      <c r="AE40" s="32">
        <f t="shared" si="32"/>
        <v>3304</v>
      </c>
      <c r="AF40" s="32">
        <f t="shared" si="32"/>
        <v>7884</v>
      </c>
    </row>
    <row r="41" spans="2:32" ht="23.1" customHeight="1" x14ac:dyDescent="0.25">
      <c r="B41" s="45" t="s">
        <v>68</v>
      </c>
      <c r="C41" s="50">
        <v>35</v>
      </c>
      <c r="D41" s="50">
        <v>10</v>
      </c>
      <c r="E41" s="50">
        <v>3</v>
      </c>
      <c r="F41" s="50">
        <v>7</v>
      </c>
      <c r="G41" s="50">
        <v>0</v>
      </c>
      <c r="H41" s="50">
        <v>0</v>
      </c>
      <c r="I41" s="50">
        <v>3</v>
      </c>
      <c r="J41" s="50">
        <v>2</v>
      </c>
      <c r="K41" s="50">
        <v>0</v>
      </c>
      <c r="L41" s="50">
        <v>0</v>
      </c>
      <c r="M41" s="50">
        <v>77</v>
      </c>
      <c r="N41" s="50">
        <v>0</v>
      </c>
      <c r="O41" s="15">
        <f t="shared" si="0"/>
        <v>60</v>
      </c>
      <c r="P41" s="15">
        <f t="shared" si="1"/>
        <v>137</v>
      </c>
      <c r="R41" s="5" t="s">
        <v>159</v>
      </c>
      <c r="S41" s="16">
        <f>SUM(S10:S33)</f>
        <v>2965</v>
      </c>
      <c r="T41" s="16">
        <f t="shared" ref="T41:AF41" si="33">SUM(T10:T33)</f>
        <v>727</v>
      </c>
      <c r="U41" s="16">
        <f t="shared" si="33"/>
        <v>295</v>
      </c>
      <c r="V41" s="16">
        <f t="shared" si="33"/>
        <v>704</v>
      </c>
      <c r="W41" s="16">
        <f t="shared" si="33"/>
        <v>16</v>
      </c>
      <c r="X41" s="16">
        <f t="shared" si="33"/>
        <v>31</v>
      </c>
      <c r="Y41" s="16">
        <f t="shared" si="33"/>
        <v>221</v>
      </c>
      <c r="Z41" s="16">
        <f t="shared" si="33"/>
        <v>107</v>
      </c>
      <c r="AA41" s="16">
        <f t="shared" si="33"/>
        <v>41</v>
      </c>
      <c r="AB41" s="16">
        <f t="shared" si="33"/>
        <v>6</v>
      </c>
      <c r="AC41" s="16">
        <f t="shared" si="33"/>
        <v>6369</v>
      </c>
      <c r="AD41" s="16">
        <f t="shared" si="33"/>
        <v>0</v>
      </c>
      <c r="AE41" s="32">
        <f t="shared" si="33"/>
        <v>5113</v>
      </c>
      <c r="AF41" s="32">
        <f t="shared" si="33"/>
        <v>11482</v>
      </c>
    </row>
    <row r="42" spans="2:32" ht="23.1" customHeight="1" x14ac:dyDescent="0.25">
      <c r="B42" s="46" t="s">
        <v>69</v>
      </c>
      <c r="C42" s="50">
        <v>29</v>
      </c>
      <c r="D42" s="50">
        <v>3</v>
      </c>
      <c r="E42" s="50">
        <v>7</v>
      </c>
      <c r="F42" s="50">
        <v>7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62</v>
      </c>
      <c r="N42" s="50">
        <v>0</v>
      </c>
      <c r="O42" s="15">
        <f t="shared" si="0"/>
        <v>47</v>
      </c>
      <c r="P42" s="15">
        <f t="shared" si="1"/>
        <v>109</v>
      </c>
      <c r="R42" s="5" t="s">
        <v>160</v>
      </c>
      <c r="S42" s="48">
        <f>S41/S40</f>
        <v>1.3361874718341595</v>
      </c>
      <c r="T42" s="48">
        <f t="shared" ref="T42:AF42" si="34">T41/T40</f>
        <v>2.8509803921568628</v>
      </c>
      <c r="U42" s="48">
        <f t="shared" si="34"/>
        <v>1.5364583333333333</v>
      </c>
      <c r="V42" s="48">
        <f t="shared" si="34"/>
        <v>1.6448598130841121</v>
      </c>
      <c r="W42" s="48">
        <f t="shared" si="34"/>
        <v>2</v>
      </c>
      <c r="X42" s="48" t="e">
        <f t="shared" si="34"/>
        <v>#DIV/0!</v>
      </c>
      <c r="Y42" s="48">
        <f t="shared" si="34"/>
        <v>1.7401574803149606</v>
      </c>
      <c r="Z42" s="48">
        <f t="shared" si="34"/>
        <v>1.8771929824561404</v>
      </c>
      <c r="AA42" s="48">
        <f t="shared" si="34"/>
        <v>2.5625</v>
      </c>
      <c r="AB42" s="48">
        <f t="shared" si="34"/>
        <v>3</v>
      </c>
      <c r="AC42" s="48">
        <f t="shared" si="34"/>
        <v>1.3906113537117903</v>
      </c>
      <c r="AD42" s="48" t="e">
        <f t="shared" si="34"/>
        <v>#DIV/0!</v>
      </c>
      <c r="AE42" s="48">
        <f t="shared" si="34"/>
        <v>1.5475181598062955</v>
      </c>
      <c r="AF42" s="48">
        <f t="shared" si="34"/>
        <v>1.4563673262303398</v>
      </c>
    </row>
    <row r="43" spans="2:32" ht="23.1" customHeight="1" x14ac:dyDescent="0.25">
      <c r="B43" s="45" t="s">
        <v>70</v>
      </c>
      <c r="C43" s="50">
        <v>33</v>
      </c>
      <c r="D43" s="50">
        <v>2</v>
      </c>
      <c r="E43" s="50">
        <v>4</v>
      </c>
      <c r="F43" s="50">
        <v>5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67</v>
      </c>
      <c r="N43" s="50">
        <v>0</v>
      </c>
      <c r="O43" s="15">
        <f t="shared" si="0"/>
        <v>47</v>
      </c>
      <c r="P43" s="15">
        <f t="shared" si="1"/>
        <v>114</v>
      </c>
    </row>
    <row r="44" spans="2:32" ht="23.1" customHeight="1" x14ac:dyDescent="0.25">
      <c r="B44" s="47" t="s">
        <v>71</v>
      </c>
      <c r="C44" s="50">
        <v>33</v>
      </c>
      <c r="D44" s="50">
        <v>4</v>
      </c>
      <c r="E44" s="50">
        <v>4</v>
      </c>
      <c r="F44" s="50">
        <v>0</v>
      </c>
      <c r="G44" s="50">
        <v>0</v>
      </c>
      <c r="H44" s="50">
        <v>0</v>
      </c>
      <c r="I44" s="50">
        <v>3</v>
      </c>
      <c r="J44" s="50">
        <v>2</v>
      </c>
      <c r="K44" s="50">
        <v>0</v>
      </c>
      <c r="L44" s="50">
        <v>0</v>
      </c>
      <c r="M44" s="50">
        <v>67</v>
      </c>
      <c r="N44" s="50">
        <v>0</v>
      </c>
      <c r="O44" s="15">
        <f t="shared" si="0"/>
        <v>46</v>
      </c>
      <c r="P44" s="15">
        <f t="shared" si="1"/>
        <v>113</v>
      </c>
    </row>
    <row r="45" spans="2:32" ht="23.1" customHeight="1" x14ac:dyDescent="0.25">
      <c r="B45" s="45" t="s">
        <v>72</v>
      </c>
      <c r="C45" s="50">
        <v>37</v>
      </c>
      <c r="D45" s="50">
        <v>5</v>
      </c>
      <c r="E45" s="50">
        <v>0</v>
      </c>
      <c r="F45" s="50">
        <v>7</v>
      </c>
      <c r="G45" s="50">
        <v>0</v>
      </c>
      <c r="H45" s="50">
        <v>0</v>
      </c>
      <c r="I45" s="50">
        <v>3</v>
      </c>
      <c r="J45" s="50">
        <v>1</v>
      </c>
      <c r="K45" s="50">
        <v>0</v>
      </c>
      <c r="L45" s="50">
        <v>0</v>
      </c>
      <c r="M45" s="50">
        <v>58</v>
      </c>
      <c r="N45" s="50">
        <v>0</v>
      </c>
      <c r="O45" s="15">
        <f t="shared" si="0"/>
        <v>53</v>
      </c>
      <c r="P45" s="15">
        <f t="shared" si="1"/>
        <v>111</v>
      </c>
    </row>
    <row r="46" spans="2:32" ht="23.1" customHeight="1" x14ac:dyDescent="0.25">
      <c r="B46" s="46" t="s">
        <v>73</v>
      </c>
      <c r="C46" s="50">
        <v>39</v>
      </c>
      <c r="D46" s="50">
        <v>4</v>
      </c>
      <c r="E46" s="50">
        <v>5</v>
      </c>
      <c r="F46" s="50">
        <v>7</v>
      </c>
      <c r="G46" s="50">
        <v>0</v>
      </c>
      <c r="H46" s="50">
        <v>0</v>
      </c>
      <c r="I46" s="50">
        <v>1</v>
      </c>
      <c r="J46" s="50">
        <v>1</v>
      </c>
      <c r="K46" s="50">
        <v>0</v>
      </c>
      <c r="L46" s="50">
        <v>0</v>
      </c>
      <c r="M46" s="50">
        <v>72</v>
      </c>
      <c r="N46" s="50">
        <v>0</v>
      </c>
      <c r="O46" s="15">
        <f t="shared" si="0"/>
        <v>57</v>
      </c>
      <c r="P46" s="15">
        <f t="shared" si="1"/>
        <v>129</v>
      </c>
      <c r="R46" s="8"/>
      <c r="T46"/>
    </row>
    <row r="47" spans="2:32" ht="23.1" customHeight="1" x14ac:dyDescent="0.25">
      <c r="B47" s="46" t="s">
        <v>74</v>
      </c>
      <c r="C47" s="50">
        <v>34</v>
      </c>
      <c r="D47" s="50">
        <v>4</v>
      </c>
      <c r="E47" s="50">
        <v>1</v>
      </c>
      <c r="F47" s="50">
        <v>6</v>
      </c>
      <c r="G47" s="50">
        <v>0</v>
      </c>
      <c r="H47" s="50">
        <v>0</v>
      </c>
      <c r="I47" s="50">
        <v>5</v>
      </c>
      <c r="J47" s="50">
        <v>2</v>
      </c>
      <c r="K47" s="50">
        <v>0</v>
      </c>
      <c r="L47" s="50">
        <v>0</v>
      </c>
      <c r="M47" s="50">
        <v>70</v>
      </c>
      <c r="N47" s="50">
        <v>0</v>
      </c>
      <c r="O47" s="15">
        <f t="shared" si="0"/>
        <v>52</v>
      </c>
      <c r="P47" s="15">
        <f t="shared" si="1"/>
        <v>122</v>
      </c>
      <c r="R47" s="8"/>
      <c r="T47"/>
    </row>
    <row r="48" spans="2:32" ht="23.1" customHeight="1" x14ac:dyDescent="0.25">
      <c r="B48" s="46" t="s">
        <v>75</v>
      </c>
      <c r="C48" s="50">
        <v>40</v>
      </c>
      <c r="D48" s="50">
        <v>4</v>
      </c>
      <c r="E48" s="50">
        <v>1</v>
      </c>
      <c r="F48" s="50">
        <v>9</v>
      </c>
      <c r="G48" s="50">
        <v>1</v>
      </c>
      <c r="H48" s="50">
        <v>0</v>
      </c>
      <c r="I48" s="50">
        <v>5</v>
      </c>
      <c r="J48" s="50">
        <v>1</v>
      </c>
      <c r="K48" s="50">
        <v>0</v>
      </c>
      <c r="L48" s="50">
        <v>0</v>
      </c>
      <c r="M48" s="50">
        <v>77</v>
      </c>
      <c r="N48" s="50">
        <v>0</v>
      </c>
      <c r="O48" s="15">
        <f t="shared" si="0"/>
        <v>61</v>
      </c>
      <c r="P48" s="15">
        <f t="shared" si="1"/>
        <v>138</v>
      </c>
      <c r="R48" s="8"/>
      <c r="T48"/>
    </row>
    <row r="49" spans="2:20" ht="23.1" customHeight="1" x14ac:dyDescent="0.25">
      <c r="B49" s="45" t="s">
        <v>76</v>
      </c>
      <c r="C49" s="50">
        <v>40</v>
      </c>
      <c r="D49" s="50">
        <v>3</v>
      </c>
      <c r="E49" s="50">
        <v>0</v>
      </c>
      <c r="F49" s="50">
        <v>9</v>
      </c>
      <c r="G49" s="50">
        <v>0</v>
      </c>
      <c r="H49" s="50">
        <v>0</v>
      </c>
      <c r="I49" s="50">
        <v>1</v>
      </c>
      <c r="J49" s="50">
        <v>1</v>
      </c>
      <c r="K49" s="50">
        <v>0</v>
      </c>
      <c r="L49" s="50">
        <v>0</v>
      </c>
      <c r="M49" s="50">
        <v>75</v>
      </c>
      <c r="N49" s="50">
        <v>0</v>
      </c>
      <c r="O49" s="15">
        <f t="shared" si="0"/>
        <v>54</v>
      </c>
      <c r="P49" s="15">
        <f t="shared" si="1"/>
        <v>129</v>
      </c>
      <c r="R49" s="8"/>
      <c r="T49"/>
    </row>
    <row r="50" spans="2:20" ht="23.1" customHeight="1" x14ac:dyDescent="0.25">
      <c r="B50" s="46" t="s">
        <v>77</v>
      </c>
      <c r="C50" s="50">
        <v>37</v>
      </c>
      <c r="D50" s="50">
        <v>3</v>
      </c>
      <c r="E50" s="50">
        <v>1</v>
      </c>
      <c r="F50" s="50">
        <v>11</v>
      </c>
      <c r="G50" s="50">
        <v>1</v>
      </c>
      <c r="H50" s="50">
        <v>0</v>
      </c>
      <c r="I50" s="50">
        <v>4</v>
      </c>
      <c r="J50" s="50">
        <v>0</v>
      </c>
      <c r="K50" s="50">
        <v>0</v>
      </c>
      <c r="L50" s="50">
        <v>0</v>
      </c>
      <c r="M50" s="50">
        <v>98</v>
      </c>
      <c r="N50" s="50">
        <v>0</v>
      </c>
      <c r="O50" s="15">
        <f t="shared" si="0"/>
        <v>57</v>
      </c>
      <c r="P50" s="15">
        <f t="shared" si="1"/>
        <v>155</v>
      </c>
      <c r="R50" s="8"/>
      <c r="T50"/>
    </row>
    <row r="51" spans="2:20" ht="23.1" customHeight="1" x14ac:dyDescent="0.25">
      <c r="B51" s="46" t="s">
        <v>78</v>
      </c>
      <c r="C51" s="50">
        <v>28</v>
      </c>
      <c r="D51" s="50">
        <v>2</v>
      </c>
      <c r="E51" s="50">
        <v>6</v>
      </c>
      <c r="F51" s="50">
        <v>7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85</v>
      </c>
      <c r="N51" s="50">
        <v>0</v>
      </c>
      <c r="O51" s="15">
        <f t="shared" si="0"/>
        <v>45</v>
      </c>
      <c r="P51" s="15">
        <f t="shared" si="1"/>
        <v>130</v>
      </c>
      <c r="R51" s="8"/>
      <c r="T51"/>
    </row>
    <row r="52" spans="2:20" ht="23.1" customHeight="1" x14ac:dyDescent="0.25">
      <c r="B52" s="46" t="s">
        <v>79</v>
      </c>
      <c r="C52" s="50">
        <v>30</v>
      </c>
      <c r="D52" s="50">
        <v>4</v>
      </c>
      <c r="E52" s="50">
        <v>2</v>
      </c>
      <c r="F52" s="50">
        <v>7</v>
      </c>
      <c r="G52" s="50">
        <v>0</v>
      </c>
      <c r="H52" s="50">
        <v>0</v>
      </c>
      <c r="I52" s="50">
        <v>4</v>
      </c>
      <c r="J52" s="50">
        <v>1</v>
      </c>
      <c r="K52" s="50">
        <v>1</v>
      </c>
      <c r="L52" s="50">
        <v>0</v>
      </c>
      <c r="M52" s="50">
        <v>84</v>
      </c>
      <c r="N52" s="50">
        <v>0</v>
      </c>
      <c r="O52" s="15">
        <f t="shared" si="0"/>
        <v>49</v>
      </c>
      <c r="P52" s="15">
        <f t="shared" si="1"/>
        <v>133</v>
      </c>
      <c r="R52" s="8"/>
      <c r="T52"/>
    </row>
    <row r="53" spans="2:20" ht="23.1" customHeight="1" x14ac:dyDescent="0.25">
      <c r="B53" s="45" t="s">
        <v>80</v>
      </c>
      <c r="C53" s="50">
        <v>25</v>
      </c>
      <c r="D53" s="50">
        <v>4</v>
      </c>
      <c r="E53" s="50">
        <v>4</v>
      </c>
      <c r="F53" s="50">
        <v>2</v>
      </c>
      <c r="G53" s="50">
        <v>0</v>
      </c>
      <c r="H53" s="50">
        <v>0</v>
      </c>
      <c r="I53" s="50">
        <v>0</v>
      </c>
      <c r="J53" s="50">
        <v>0</v>
      </c>
      <c r="K53" s="50">
        <v>1</v>
      </c>
      <c r="L53" s="50">
        <v>0</v>
      </c>
      <c r="M53" s="50">
        <v>99</v>
      </c>
      <c r="N53" s="50">
        <v>0</v>
      </c>
      <c r="O53" s="15">
        <f t="shared" si="0"/>
        <v>36</v>
      </c>
      <c r="P53" s="15">
        <f t="shared" si="1"/>
        <v>135</v>
      </c>
      <c r="R53" s="8"/>
      <c r="T53"/>
    </row>
    <row r="54" spans="2:20" ht="23.1" customHeight="1" x14ac:dyDescent="0.25">
      <c r="B54" s="45" t="s">
        <v>81</v>
      </c>
      <c r="C54" s="50">
        <v>41</v>
      </c>
      <c r="D54" s="50">
        <v>10</v>
      </c>
      <c r="E54" s="50">
        <v>2</v>
      </c>
      <c r="F54" s="50">
        <v>12</v>
      </c>
      <c r="G54" s="50">
        <v>0</v>
      </c>
      <c r="H54" s="50">
        <v>0</v>
      </c>
      <c r="I54" s="50">
        <v>2</v>
      </c>
      <c r="J54" s="50">
        <v>0</v>
      </c>
      <c r="K54" s="50">
        <v>1</v>
      </c>
      <c r="L54" s="50">
        <v>1</v>
      </c>
      <c r="M54" s="50">
        <v>105</v>
      </c>
      <c r="N54" s="50">
        <v>0</v>
      </c>
      <c r="O54" s="15">
        <f t="shared" si="0"/>
        <v>69</v>
      </c>
      <c r="P54" s="15">
        <f t="shared" si="1"/>
        <v>174</v>
      </c>
      <c r="R54" s="8"/>
      <c r="T54"/>
    </row>
    <row r="55" spans="2:20" ht="23.1" customHeight="1" x14ac:dyDescent="0.25">
      <c r="B55" s="45" t="s">
        <v>82</v>
      </c>
      <c r="C55" s="50">
        <v>34</v>
      </c>
      <c r="D55" s="50">
        <v>3</v>
      </c>
      <c r="E55" s="50">
        <v>2</v>
      </c>
      <c r="F55" s="50">
        <v>9</v>
      </c>
      <c r="G55" s="50">
        <v>0</v>
      </c>
      <c r="H55" s="50">
        <v>0</v>
      </c>
      <c r="I55" s="50">
        <v>5</v>
      </c>
      <c r="J55" s="50">
        <v>0</v>
      </c>
      <c r="K55" s="50">
        <v>0</v>
      </c>
      <c r="L55" s="50">
        <v>0</v>
      </c>
      <c r="M55" s="50">
        <v>110</v>
      </c>
      <c r="N55" s="50">
        <v>0</v>
      </c>
      <c r="O55" s="15">
        <f t="shared" si="0"/>
        <v>53</v>
      </c>
      <c r="P55" s="15">
        <f t="shared" si="1"/>
        <v>163</v>
      </c>
      <c r="R55" s="8"/>
      <c r="T55"/>
    </row>
    <row r="56" spans="2:20" ht="23.1" customHeight="1" x14ac:dyDescent="0.25">
      <c r="B56" s="45" t="s">
        <v>83</v>
      </c>
      <c r="C56" s="50">
        <v>29</v>
      </c>
      <c r="D56" s="50">
        <v>6</v>
      </c>
      <c r="E56" s="50">
        <v>5</v>
      </c>
      <c r="F56" s="50">
        <v>8</v>
      </c>
      <c r="G56" s="50">
        <v>0</v>
      </c>
      <c r="H56" s="50">
        <v>0</v>
      </c>
      <c r="I56" s="50">
        <v>1</v>
      </c>
      <c r="J56" s="50">
        <v>1</v>
      </c>
      <c r="K56" s="50">
        <v>0</v>
      </c>
      <c r="L56" s="50">
        <v>0</v>
      </c>
      <c r="M56" s="50">
        <v>107</v>
      </c>
      <c r="N56" s="50">
        <v>0</v>
      </c>
      <c r="O56" s="15">
        <f t="shared" si="0"/>
        <v>50</v>
      </c>
      <c r="P56" s="15">
        <f t="shared" si="1"/>
        <v>157</v>
      </c>
      <c r="R56" s="8"/>
      <c r="T56"/>
    </row>
    <row r="57" spans="2:20" ht="23.1" customHeight="1" x14ac:dyDescent="0.25">
      <c r="B57" s="45" t="s">
        <v>84</v>
      </c>
      <c r="C57" s="50">
        <v>29</v>
      </c>
      <c r="D57" s="50">
        <v>6</v>
      </c>
      <c r="E57" s="50">
        <v>5</v>
      </c>
      <c r="F57" s="50">
        <v>9</v>
      </c>
      <c r="G57" s="50">
        <v>0</v>
      </c>
      <c r="H57" s="50">
        <v>0</v>
      </c>
      <c r="I57" s="50">
        <v>0</v>
      </c>
      <c r="J57" s="50">
        <v>1</v>
      </c>
      <c r="K57" s="50">
        <v>2</v>
      </c>
      <c r="L57" s="50">
        <v>0</v>
      </c>
      <c r="M57" s="50">
        <v>106</v>
      </c>
      <c r="N57" s="50">
        <v>0</v>
      </c>
      <c r="O57" s="15">
        <f t="shared" si="0"/>
        <v>52</v>
      </c>
      <c r="P57" s="15">
        <f t="shared" si="1"/>
        <v>158</v>
      </c>
      <c r="R57" s="8"/>
      <c r="T57"/>
    </row>
    <row r="58" spans="2:20" ht="23.1" customHeight="1" x14ac:dyDescent="0.25">
      <c r="B58" s="45" t="s">
        <v>99</v>
      </c>
      <c r="C58" s="50">
        <v>24</v>
      </c>
      <c r="D58" s="50">
        <v>14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65</v>
      </c>
      <c r="N58" s="50">
        <v>0</v>
      </c>
      <c r="O58" s="15">
        <f t="shared" si="0"/>
        <v>38</v>
      </c>
      <c r="P58" s="15">
        <f t="shared" si="1"/>
        <v>103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45</v>
      </c>
      <c r="N59" s="50">
        <v>0</v>
      </c>
      <c r="O59" s="15">
        <f t="shared" si="0"/>
        <v>0</v>
      </c>
      <c r="P59" s="15">
        <f t="shared" si="1"/>
        <v>45</v>
      </c>
      <c r="R59" s="8"/>
      <c r="T59"/>
    </row>
    <row r="60" spans="2:20" ht="23.1" customHeight="1" x14ac:dyDescent="0.25">
      <c r="B60" s="45" t="s">
        <v>101</v>
      </c>
      <c r="C60" s="50">
        <v>15</v>
      </c>
      <c r="D60" s="50">
        <v>5</v>
      </c>
      <c r="E60" s="50">
        <v>0</v>
      </c>
      <c r="F60" s="50">
        <v>0</v>
      </c>
      <c r="G60" s="50">
        <v>1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30</v>
      </c>
      <c r="N60" s="50">
        <v>0</v>
      </c>
      <c r="O60" s="15">
        <f t="shared" si="0"/>
        <v>21</v>
      </c>
      <c r="P60" s="15">
        <f t="shared" si="1"/>
        <v>51</v>
      </c>
      <c r="R60" s="8"/>
      <c r="T60"/>
    </row>
    <row r="61" spans="2:20" ht="23.1" customHeight="1" x14ac:dyDescent="0.25">
      <c r="B61" s="45" t="s">
        <v>102</v>
      </c>
      <c r="C61" s="50">
        <v>20</v>
      </c>
      <c r="D61" s="50">
        <v>15</v>
      </c>
      <c r="E61" s="50">
        <v>5</v>
      </c>
      <c r="F61" s="50">
        <v>10</v>
      </c>
      <c r="G61" s="50">
        <v>0</v>
      </c>
      <c r="H61" s="50">
        <v>0</v>
      </c>
      <c r="I61" s="50">
        <v>1</v>
      </c>
      <c r="J61" s="50">
        <v>1</v>
      </c>
      <c r="K61" s="50">
        <v>0</v>
      </c>
      <c r="L61" s="50">
        <v>0</v>
      </c>
      <c r="M61" s="50">
        <v>45</v>
      </c>
      <c r="N61" s="50">
        <v>0</v>
      </c>
      <c r="O61" s="15">
        <f t="shared" si="0"/>
        <v>52</v>
      </c>
      <c r="P61" s="15">
        <f t="shared" si="1"/>
        <v>97</v>
      </c>
      <c r="R61" s="8"/>
      <c r="T61"/>
    </row>
    <row r="62" spans="2:20" ht="23.1" customHeight="1" x14ac:dyDescent="0.25">
      <c r="B62" s="45" t="s">
        <v>107</v>
      </c>
      <c r="C62" s="50">
        <v>35</v>
      </c>
      <c r="D62" s="50">
        <v>30</v>
      </c>
      <c r="E62" s="50">
        <v>8</v>
      </c>
      <c r="F62" s="50">
        <v>20</v>
      </c>
      <c r="G62" s="50">
        <v>1</v>
      </c>
      <c r="H62" s="50">
        <v>0</v>
      </c>
      <c r="I62" s="50">
        <v>10</v>
      </c>
      <c r="J62" s="50">
        <v>0</v>
      </c>
      <c r="K62" s="50">
        <v>0</v>
      </c>
      <c r="L62" s="50">
        <v>0</v>
      </c>
      <c r="M62" s="50">
        <v>0</v>
      </c>
      <c r="N62" s="50">
        <v>0</v>
      </c>
      <c r="O62" s="15">
        <f t="shared" si="0"/>
        <v>104</v>
      </c>
      <c r="P62" s="15">
        <f t="shared" si="1"/>
        <v>104</v>
      </c>
      <c r="R62" s="8"/>
      <c r="T62"/>
    </row>
    <row r="63" spans="2:20" ht="23.1" customHeight="1" x14ac:dyDescent="0.25">
      <c r="B63" s="45" t="s">
        <v>108</v>
      </c>
      <c r="C63" s="50">
        <v>40</v>
      </c>
      <c r="D63" s="50">
        <v>18</v>
      </c>
      <c r="E63" s="50">
        <v>5</v>
      </c>
      <c r="F63" s="50">
        <v>26</v>
      </c>
      <c r="G63" s="50">
        <v>0</v>
      </c>
      <c r="H63" s="50">
        <v>13</v>
      </c>
      <c r="I63" s="50">
        <v>6</v>
      </c>
      <c r="J63" s="50">
        <v>0</v>
      </c>
      <c r="K63" s="50">
        <v>0</v>
      </c>
      <c r="L63" s="50">
        <v>0</v>
      </c>
      <c r="M63" s="50">
        <v>61</v>
      </c>
      <c r="N63" s="50">
        <v>0</v>
      </c>
      <c r="O63" s="15">
        <f t="shared" si="0"/>
        <v>108</v>
      </c>
      <c r="P63" s="15">
        <f t="shared" si="1"/>
        <v>169</v>
      </c>
      <c r="R63" s="8"/>
      <c r="T63"/>
    </row>
    <row r="64" spans="2:20" ht="23.1" customHeight="1" x14ac:dyDescent="0.25">
      <c r="B64" s="45" t="s">
        <v>109</v>
      </c>
      <c r="C64" s="50">
        <v>30</v>
      </c>
      <c r="D64" s="50">
        <v>18</v>
      </c>
      <c r="E64" s="50">
        <v>2</v>
      </c>
      <c r="F64" s="50">
        <v>13</v>
      </c>
      <c r="G64" s="50">
        <v>0</v>
      </c>
      <c r="H64" s="50">
        <v>15</v>
      </c>
      <c r="I64" s="50">
        <v>7</v>
      </c>
      <c r="J64" s="50">
        <v>3</v>
      </c>
      <c r="K64" s="50">
        <v>0</v>
      </c>
      <c r="L64" s="50">
        <v>0</v>
      </c>
      <c r="M64" s="50">
        <v>45</v>
      </c>
      <c r="N64" s="50">
        <v>0</v>
      </c>
      <c r="O64" s="15">
        <f t="shared" si="0"/>
        <v>88</v>
      </c>
      <c r="P64" s="15">
        <f t="shared" si="1"/>
        <v>133</v>
      </c>
      <c r="R64" s="8"/>
      <c r="T64"/>
    </row>
    <row r="65" spans="2:20" ht="23.1" customHeight="1" x14ac:dyDescent="0.25">
      <c r="B65" s="45" t="s">
        <v>158</v>
      </c>
      <c r="C65" s="50">
        <v>32</v>
      </c>
      <c r="D65" s="50">
        <v>18</v>
      </c>
      <c r="E65" s="50">
        <v>15</v>
      </c>
      <c r="F65" s="50">
        <v>10</v>
      </c>
      <c r="G65" s="50">
        <v>0</v>
      </c>
      <c r="H65" s="50">
        <v>1</v>
      </c>
      <c r="I65" s="50">
        <v>3</v>
      </c>
      <c r="J65" s="50">
        <v>5</v>
      </c>
      <c r="K65" s="50">
        <v>0</v>
      </c>
      <c r="L65" s="50">
        <v>0</v>
      </c>
      <c r="M65" s="50">
        <v>65</v>
      </c>
      <c r="N65" s="50">
        <v>0</v>
      </c>
      <c r="O65" s="15">
        <f t="shared" si="0"/>
        <v>84</v>
      </c>
      <c r="P65" s="15">
        <f t="shared" si="1"/>
        <v>149</v>
      </c>
      <c r="R65" s="8"/>
      <c r="T65"/>
    </row>
    <row r="66" spans="2:20" ht="23.1" customHeight="1" x14ac:dyDescent="0.25">
      <c r="B66" s="45" t="s">
        <v>103</v>
      </c>
      <c r="C66" s="50">
        <v>30</v>
      </c>
      <c r="D66" s="50">
        <v>18</v>
      </c>
      <c r="E66" s="50">
        <v>3</v>
      </c>
      <c r="F66" s="50">
        <v>15</v>
      </c>
      <c r="G66" s="50">
        <v>2</v>
      </c>
      <c r="H66" s="50">
        <v>0</v>
      </c>
      <c r="I66" s="50">
        <v>3</v>
      </c>
      <c r="J66" s="50">
        <v>2</v>
      </c>
      <c r="K66" s="50">
        <v>1</v>
      </c>
      <c r="L66" s="50">
        <v>0</v>
      </c>
      <c r="M66" s="50">
        <v>50</v>
      </c>
      <c r="N66" s="50">
        <v>0</v>
      </c>
      <c r="O66" s="15">
        <f t="shared" si="0"/>
        <v>74</v>
      </c>
      <c r="P66" s="15">
        <f t="shared" si="1"/>
        <v>124</v>
      </c>
      <c r="R66" s="8"/>
      <c r="T66"/>
    </row>
    <row r="67" spans="2:20" ht="23.1" customHeight="1" x14ac:dyDescent="0.25">
      <c r="B67" s="45" t="s">
        <v>104</v>
      </c>
      <c r="C67" s="50">
        <v>40</v>
      </c>
      <c r="D67" s="50">
        <v>25</v>
      </c>
      <c r="E67" s="50">
        <v>4</v>
      </c>
      <c r="F67" s="50">
        <v>25</v>
      </c>
      <c r="G67" s="50">
        <v>1</v>
      </c>
      <c r="H67" s="50">
        <v>0</v>
      </c>
      <c r="I67" s="50">
        <v>6</v>
      </c>
      <c r="J67" s="50">
        <v>1</v>
      </c>
      <c r="K67" s="50">
        <v>2</v>
      </c>
      <c r="L67" s="50">
        <v>0</v>
      </c>
      <c r="M67" s="50">
        <v>55</v>
      </c>
      <c r="N67" s="50">
        <v>0</v>
      </c>
      <c r="O67" s="15">
        <f t="shared" si="0"/>
        <v>104</v>
      </c>
      <c r="P67" s="15">
        <f t="shared" si="1"/>
        <v>159</v>
      </c>
      <c r="R67" s="8"/>
      <c r="T67"/>
    </row>
    <row r="68" spans="2:20" ht="23.1" customHeight="1" x14ac:dyDescent="0.25">
      <c r="B68" s="45" t="s">
        <v>105</v>
      </c>
      <c r="C68" s="50">
        <v>35</v>
      </c>
      <c r="D68" s="50">
        <v>25</v>
      </c>
      <c r="E68" s="50">
        <v>6</v>
      </c>
      <c r="F68" s="50">
        <v>15</v>
      </c>
      <c r="G68" s="50">
        <v>0</v>
      </c>
      <c r="H68" s="50">
        <v>0</v>
      </c>
      <c r="I68" s="50">
        <v>5</v>
      </c>
      <c r="J68" s="50">
        <v>0</v>
      </c>
      <c r="K68" s="50">
        <v>1</v>
      </c>
      <c r="L68" s="50">
        <v>0</v>
      </c>
      <c r="M68" s="50">
        <v>40</v>
      </c>
      <c r="N68" s="50">
        <v>0</v>
      </c>
      <c r="O68" s="15">
        <f t="shared" si="0"/>
        <v>87</v>
      </c>
      <c r="P68" s="15">
        <f t="shared" si="1"/>
        <v>127</v>
      </c>
      <c r="R68" s="8"/>
      <c r="T68"/>
    </row>
    <row r="69" spans="2:20" ht="23.1" customHeight="1" x14ac:dyDescent="0.25">
      <c r="B69" s="45" t="s">
        <v>106</v>
      </c>
      <c r="C69" s="50">
        <v>40</v>
      </c>
      <c r="D69" s="50">
        <v>16</v>
      </c>
      <c r="E69" s="50">
        <v>2</v>
      </c>
      <c r="F69" s="50">
        <v>12</v>
      </c>
      <c r="G69" s="50">
        <v>0</v>
      </c>
      <c r="H69" s="50">
        <v>0</v>
      </c>
      <c r="I69" s="50">
        <v>5</v>
      </c>
      <c r="J69" s="50">
        <v>0</v>
      </c>
      <c r="K69" s="50">
        <v>1</v>
      </c>
      <c r="L69" s="50">
        <v>0</v>
      </c>
      <c r="M69" s="50">
        <v>50</v>
      </c>
      <c r="N69" s="50">
        <v>0</v>
      </c>
      <c r="O69" s="15">
        <f t="shared" si="0"/>
        <v>76</v>
      </c>
      <c r="P69" s="15">
        <f t="shared" si="1"/>
        <v>126</v>
      </c>
      <c r="R69" s="8"/>
      <c r="T69"/>
    </row>
    <row r="70" spans="2:20" ht="23.1" customHeight="1" x14ac:dyDescent="0.25">
      <c r="B70" s="45" t="s">
        <v>110</v>
      </c>
      <c r="C70" s="50">
        <v>30</v>
      </c>
      <c r="D70" s="50">
        <v>24</v>
      </c>
      <c r="E70" s="50">
        <v>5</v>
      </c>
      <c r="F70" s="50">
        <v>20</v>
      </c>
      <c r="G70" s="50">
        <v>1</v>
      </c>
      <c r="H70" s="50">
        <v>0</v>
      </c>
      <c r="I70" s="50">
        <v>4</v>
      </c>
      <c r="J70" s="50">
        <v>4</v>
      </c>
      <c r="K70" s="50">
        <v>1</v>
      </c>
      <c r="L70" s="50">
        <v>1</v>
      </c>
      <c r="M70" s="50">
        <v>60</v>
      </c>
      <c r="N70" s="50">
        <v>0</v>
      </c>
      <c r="O70" s="15">
        <f t="shared" si="0"/>
        <v>90</v>
      </c>
      <c r="P70" s="15">
        <f t="shared" si="1"/>
        <v>150</v>
      </c>
      <c r="R70" s="8"/>
      <c r="T70"/>
    </row>
    <row r="71" spans="2:20" ht="23.1" customHeight="1" x14ac:dyDescent="0.25">
      <c r="B71" s="45" t="s">
        <v>111</v>
      </c>
      <c r="C71" s="50">
        <v>32</v>
      </c>
      <c r="D71" s="50">
        <v>30</v>
      </c>
      <c r="E71" s="50">
        <v>4</v>
      </c>
      <c r="F71" s="50">
        <v>10</v>
      </c>
      <c r="G71" s="50">
        <v>1</v>
      </c>
      <c r="H71" s="50">
        <v>0</v>
      </c>
      <c r="I71" s="50">
        <v>2</v>
      </c>
      <c r="J71" s="50">
        <v>2</v>
      </c>
      <c r="K71" s="50">
        <v>0</v>
      </c>
      <c r="L71" s="50">
        <v>0</v>
      </c>
      <c r="M71" s="50">
        <v>55</v>
      </c>
      <c r="N71" s="50">
        <v>0</v>
      </c>
      <c r="O71" s="15">
        <f t="shared" si="0"/>
        <v>81</v>
      </c>
      <c r="P71" s="15">
        <f t="shared" si="1"/>
        <v>136</v>
      </c>
      <c r="R71" s="8"/>
      <c r="T71"/>
    </row>
    <row r="72" spans="2:20" ht="23.1" customHeight="1" x14ac:dyDescent="0.25">
      <c r="B72" s="45" t="s">
        <v>112</v>
      </c>
      <c r="C72" s="50">
        <v>41</v>
      </c>
      <c r="D72" s="50">
        <v>26</v>
      </c>
      <c r="E72" s="50">
        <v>3</v>
      </c>
      <c r="F72" s="50">
        <v>9</v>
      </c>
      <c r="G72" s="50">
        <v>1</v>
      </c>
      <c r="H72" s="50">
        <v>0</v>
      </c>
      <c r="I72" s="50">
        <v>4</v>
      </c>
      <c r="J72" s="50">
        <v>4</v>
      </c>
      <c r="K72" s="50">
        <v>0</v>
      </c>
      <c r="L72" s="50">
        <v>0</v>
      </c>
      <c r="M72" s="50">
        <v>75</v>
      </c>
      <c r="N72" s="50">
        <v>0</v>
      </c>
      <c r="O72" s="15">
        <f t="shared" si="0"/>
        <v>88</v>
      </c>
      <c r="P72" s="15">
        <f t="shared" si="1"/>
        <v>163</v>
      </c>
      <c r="R72" s="8"/>
      <c r="T72"/>
    </row>
    <row r="73" spans="2:20" ht="23.1" customHeight="1" x14ac:dyDescent="0.25">
      <c r="B73" s="45" t="s">
        <v>113</v>
      </c>
      <c r="C73" s="50">
        <v>40</v>
      </c>
      <c r="D73" s="50">
        <v>30</v>
      </c>
      <c r="E73" s="50">
        <v>3</v>
      </c>
      <c r="F73" s="50">
        <v>15</v>
      </c>
      <c r="G73" s="50">
        <v>0</v>
      </c>
      <c r="H73" s="50">
        <v>1</v>
      </c>
      <c r="I73" s="50">
        <v>1</v>
      </c>
      <c r="J73" s="50">
        <v>4</v>
      </c>
      <c r="K73" s="50">
        <v>0</v>
      </c>
      <c r="L73" s="50">
        <v>1</v>
      </c>
      <c r="M73" s="50">
        <v>65</v>
      </c>
      <c r="N73" s="50">
        <v>0</v>
      </c>
      <c r="O73" s="15">
        <f t="shared" si="0"/>
        <v>95</v>
      </c>
      <c r="P73" s="15">
        <f t="shared" si="1"/>
        <v>160</v>
      </c>
      <c r="R73" s="8"/>
      <c r="T73"/>
    </row>
    <row r="74" spans="2:20" ht="23.1" customHeight="1" x14ac:dyDescent="0.25">
      <c r="B74" s="45" t="s">
        <v>114</v>
      </c>
      <c r="C74" s="50">
        <v>15</v>
      </c>
      <c r="D74" s="50">
        <v>12</v>
      </c>
      <c r="E74" s="50">
        <v>1</v>
      </c>
      <c r="F74" s="50">
        <v>7</v>
      </c>
      <c r="G74" s="50">
        <v>0</v>
      </c>
      <c r="H74" s="50">
        <v>0</v>
      </c>
      <c r="I74" s="50">
        <v>3</v>
      </c>
      <c r="J74" s="50">
        <v>1</v>
      </c>
      <c r="K74" s="50">
        <v>0</v>
      </c>
      <c r="L74" s="50">
        <v>0</v>
      </c>
      <c r="M74" s="50">
        <v>85</v>
      </c>
      <c r="N74" s="50">
        <v>0</v>
      </c>
      <c r="O74" s="15">
        <f t="shared" ref="O74:O105" si="35">SUM(C74:L74,N74)</f>
        <v>39</v>
      </c>
      <c r="P74" s="15">
        <f t="shared" ref="P74:P105" si="36">SUM(C74:N74)</f>
        <v>124</v>
      </c>
      <c r="R74" s="8"/>
      <c r="T74"/>
    </row>
    <row r="75" spans="2:20" ht="23.1" customHeight="1" x14ac:dyDescent="0.25">
      <c r="B75" s="45" t="s">
        <v>115</v>
      </c>
      <c r="C75" s="50">
        <v>30</v>
      </c>
      <c r="D75" s="50">
        <v>30</v>
      </c>
      <c r="E75" s="50">
        <v>2</v>
      </c>
      <c r="F75" s="50">
        <v>8</v>
      </c>
      <c r="G75" s="50">
        <v>0</v>
      </c>
      <c r="H75" s="50">
        <v>0</v>
      </c>
      <c r="I75" s="50">
        <v>4</v>
      </c>
      <c r="J75" s="50">
        <v>1</v>
      </c>
      <c r="K75" s="50">
        <v>0</v>
      </c>
      <c r="L75" s="50">
        <v>0</v>
      </c>
      <c r="M75" s="50">
        <v>65</v>
      </c>
      <c r="N75" s="50">
        <v>0</v>
      </c>
      <c r="O75" s="15">
        <f t="shared" si="35"/>
        <v>75</v>
      </c>
      <c r="P75" s="15">
        <f t="shared" si="36"/>
        <v>140</v>
      </c>
      <c r="R75" s="8"/>
      <c r="T75"/>
    </row>
    <row r="76" spans="2:20" ht="23.1" customHeight="1" x14ac:dyDescent="0.25">
      <c r="B76" s="45" t="s">
        <v>116</v>
      </c>
      <c r="C76" s="50">
        <v>20</v>
      </c>
      <c r="D76" s="50">
        <v>11</v>
      </c>
      <c r="E76" s="50">
        <v>0</v>
      </c>
      <c r="F76" s="50">
        <v>10</v>
      </c>
      <c r="G76" s="50">
        <v>0</v>
      </c>
      <c r="H76" s="50">
        <v>0</v>
      </c>
      <c r="I76" s="50">
        <v>0</v>
      </c>
      <c r="J76" s="50">
        <v>3</v>
      </c>
      <c r="K76" s="50">
        <v>0</v>
      </c>
      <c r="L76" s="50">
        <v>0</v>
      </c>
      <c r="M76" s="50">
        <v>65</v>
      </c>
      <c r="N76" s="50">
        <v>0</v>
      </c>
      <c r="O76" s="15">
        <f t="shared" si="35"/>
        <v>44</v>
      </c>
      <c r="P76" s="15">
        <f t="shared" si="36"/>
        <v>109</v>
      </c>
      <c r="R76" s="8"/>
      <c r="T76"/>
    </row>
    <row r="77" spans="2:20" ht="23.1" customHeight="1" x14ac:dyDescent="0.25">
      <c r="B77" s="45" t="s">
        <v>117</v>
      </c>
      <c r="C77" s="50">
        <v>22</v>
      </c>
      <c r="D77" s="50">
        <v>14</v>
      </c>
      <c r="E77" s="50">
        <v>5</v>
      </c>
      <c r="F77" s="50">
        <v>3</v>
      </c>
      <c r="G77" s="50">
        <v>0</v>
      </c>
      <c r="H77" s="50">
        <v>1</v>
      </c>
      <c r="I77" s="50">
        <v>2</v>
      </c>
      <c r="J77" s="50">
        <v>5</v>
      </c>
      <c r="K77" s="50">
        <v>1</v>
      </c>
      <c r="L77" s="50">
        <v>0</v>
      </c>
      <c r="M77" s="50">
        <v>50</v>
      </c>
      <c r="N77" s="50">
        <v>0</v>
      </c>
      <c r="O77" s="15">
        <f t="shared" si="35"/>
        <v>53</v>
      </c>
      <c r="P77" s="15">
        <f t="shared" si="36"/>
        <v>103</v>
      </c>
      <c r="R77" s="8"/>
      <c r="T77"/>
    </row>
    <row r="78" spans="2:20" ht="23.1" customHeight="1" x14ac:dyDescent="0.25">
      <c r="B78" s="46" t="s">
        <v>118</v>
      </c>
      <c r="C78" s="50">
        <v>31</v>
      </c>
      <c r="D78" s="50">
        <v>21</v>
      </c>
      <c r="E78" s="50">
        <v>2</v>
      </c>
      <c r="F78" s="50">
        <v>8</v>
      </c>
      <c r="G78" s="50">
        <v>0</v>
      </c>
      <c r="H78" s="50">
        <v>0</v>
      </c>
      <c r="I78" s="50">
        <v>6</v>
      </c>
      <c r="J78" s="50">
        <v>1</v>
      </c>
      <c r="K78" s="50">
        <v>1</v>
      </c>
      <c r="L78" s="50">
        <v>1</v>
      </c>
      <c r="M78" s="50">
        <v>50</v>
      </c>
      <c r="N78" s="50">
        <v>0</v>
      </c>
      <c r="O78" s="15">
        <f t="shared" si="35"/>
        <v>71</v>
      </c>
      <c r="P78" s="15">
        <f t="shared" si="36"/>
        <v>121</v>
      </c>
      <c r="R78" s="8"/>
      <c r="T78"/>
    </row>
    <row r="79" spans="2:20" ht="23.1" customHeight="1" x14ac:dyDescent="0.25">
      <c r="B79" s="45" t="s">
        <v>119</v>
      </c>
      <c r="C79" s="50">
        <v>18</v>
      </c>
      <c r="D79" s="50">
        <v>15</v>
      </c>
      <c r="E79" s="50">
        <v>5</v>
      </c>
      <c r="F79" s="50">
        <v>3</v>
      </c>
      <c r="G79" s="50">
        <v>0</v>
      </c>
      <c r="H79" s="50">
        <v>0</v>
      </c>
      <c r="I79" s="50">
        <v>2</v>
      </c>
      <c r="J79" s="50">
        <v>0</v>
      </c>
      <c r="K79" s="50">
        <v>2</v>
      </c>
      <c r="L79" s="50">
        <v>0</v>
      </c>
      <c r="M79" s="50">
        <v>44</v>
      </c>
      <c r="N79" s="50">
        <v>0</v>
      </c>
      <c r="O79" s="15">
        <f t="shared" si="35"/>
        <v>45</v>
      </c>
      <c r="P79" s="15">
        <f t="shared" si="36"/>
        <v>89</v>
      </c>
      <c r="R79" s="8"/>
      <c r="T79"/>
    </row>
    <row r="80" spans="2:20" ht="23.1" customHeight="1" x14ac:dyDescent="0.25">
      <c r="B80" s="47" t="s">
        <v>120</v>
      </c>
      <c r="C80" s="50">
        <v>11</v>
      </c>
      <c r="D80" s="50">
        <v>7</v>
      </c>
      <c r="E80" s="50">
        <v>3</v>
      </c>
      <c r="F80" s="50">
        <v>1</v>
      </c>
      <c r="G80" s="50">
        <v>0</v>
      </c>
      <c r="H80" s="50">
        <v>0</v>
      </c>
      <c r="I80" s="50">
        <v>3</v>
      </c>
      <c r="J80" s="50">
        <v>2</v>
      </c>
      <c r="K80" s="50">
        <v>1</v>
      </c>
      <c r="L80" s="50">
        <v>0</v>
      </c>
      <c r="M80" s="50">
        <v>40</v>
      </c>
      <c r="N80" s="50">
        <v>0</v>
      </c>
      <c r="O80" s="15">
        <f t="shared" si="35"/>
        <v>28</v>
      </c>
      <c r="P80" s="15">
        <f t="shared" si="36"/>
        <v>68</v>
      </c>
      <c r="R80" s="8"/>
      <c r="T80"/>
    </row>
    <row r="81" spans="2:20" ht="23.1" customHeight="1" x14ac:dyDescent="0.25">
      <c r="B81" s="45" t="s">
        <v>121</v>
      </c>
      <c r="C81" s="50">
        <v>10</v>
      </c>
      <c r="D81" s="50">
        <v>7</v>
      </c>
      <c r="E81" s="50">
        <v>2</v>
      </c>
      <c r="F81" s="50">
        <v>2</v>
      </c>
      <c r="G81" s="50">
        <v>0</v>
      </c>
      <c r="H81" s="50">
        <v>0</v>
      </c>
      <c r="I81" s="50">
        <v>2</v>
      </c>
      <c r="J81" s="50">
        <v>1</v>
      </c>
      <c r="K81" s="50">
        <v>1</v>
      </c>
      <c r="L81" s="50">
        <v>0</v>
      </c>
      <c r="M81" s="50">
        <v>20</v>
      </c>
      <c r="N81" s="50">
        <v>0</v>
      </c>
      <c r="O81" s="15">
        <f t="shared" si="35"/>
        <v>25</v>
      </c>
      <c r="P81" s="15">
        <f t="shared" si="36"/>
        <v>45</v>
      </c>
      <c r="R81" s="8"/>
      <c r="T81"/>
    </row>
    <row r="82" spans="2:20" ht="23.1" customHeight="1" x14ac:dyDescent="0.25">
      <c r="B82" s="46" t="s">
        <v>122</v>
      </c>
      <c r="C82" s="50">
        <v>15</v>
      </c>
      <c r="D82" s="50">
        <v>8</v>
      </c>
      <c r="E82" s="50">
        <v>1</v>
      </c>
      <c r="F82" s="50">
        <v>4</v>
      </c>
      <c r="G82" s="50">
        <v>0</v>
      </c>
      <c r="H82" s="50">
        <v>0</v>
      </c>
      <c r="I82" s="50">
        <v>0</v>
      </c>
      <c r="J82" s="50">
        <v>0</v>
      </c>
      <c r="K82" s="50">
        <v>2</v>
      </c>
      <c r="L82" s="50">
        <v>1</v>
      </c>
      <c r="M82" s="50">
        <v>85</v>
      </c>
      <c r="N82" s="50">
        <v>0</v>
      </c>
      <c r="O82" s="15">
        <f t="shared" si="35"/>
        <v>31</v>
      </c>
      <c r="P82" s="15">
        <f t="shared" si="36"/>
        <v>116</v>
      </c>
      <c r="R82" s="8"/>
      <c r="T82"/>
    </row>
    <row r="83" spans="2:20" ht="23.1" customHeight="1" x14ac:dyDescent="0.25">
      <c r="B83" s="45" t="s">
        <v>123</v>
      </c>
      <c r="C83" s="50">
        <v>13</v>
      </c>
      <c r="D83" s="50">
        <v>4</v>
      </c>
      <c r="E83" s="50">
        <v>2</v>
      </c>
      <c r="F83" s="50">
        <v>2</v>
      </c>
      <c r="G83" s="50">
        <v>0</v>
      </c>
      <c r="H83" s="50">
        <v>0</v>
      </c>
      <c r="I83" s="50">
        <v>4</v>
      </c>
      <c r="J83" s="50">
        <v>0</v>
      </c>
      <c r="K83" s="50">
        <v>1</v>
      </c>
      <c r="L83" s="50">
        <v>0</v>
      </c>
      <c r="M83" s="50">
        <v>38</v>
      </c>
      <c r="N83" s="50">
        <v>0</v>
      </c>
      <c r="O83" s="15">
        <f t="shared" si="35"/>
        <v>26</v>
      </c>
      <c r="P83" s="15">
        <f t="shared" si="36"/>
        <v>64</v>
      </c>
      <c r="R83" s="8"/>
      <c r="T83"/>
    </row>
    <row r="84" spans="2:20" ht="23.1" customHeight="1" x14ac:dyDescent="0.25">
      <c r="B84" s="47" t="s">
        <v>124</v>
      </c>
      <c r="C84" s="50">
        <v>9</v>
      </c>
      <c r="D84" s="50">
        <v>7</v>
      </c>
      <c r="E84" s="50">
        <v>4</v>
      </c>
      <c r="F84" s="50">
        <v>3</v>
      </c>
      <c r="G84" s="50">
        <v>0</v>
      </c>
      <c r="H84" s="50">
        <v>0</v>
      </c>
      <c r="I84" s="50">
        <v>3</v>
      </c>
      <c r="J84" s="50">
        <v>1</v>
      </c>
      <c r="K84" s="50">
        <v>1</v>
      </c>
      <c r="L84" s="50">
        <v>0</v>
      </c>
      <c r="M84" s="50">
        <v>40</v>
      </c>
      <c r="N84" s="50">
        <v>0</v>
      </c>
      <c r="O84" s="15">
        <f t="shared" si="35"/>
        <v>28</v>
      </c>
      <c r="P84" s="15">
        <f t="shared" si="36"/>
        <v>68</v>
      </c>
      <c r="R84" s="8"/>
      <c r="T84"/>
    </row>
    <row r="85" spans="2:20" ht="23.1" customHeight="1" x14ac:dyDescent="0.25">
      <c r="B85" s="45" t="s">
        <v>125</v>
      </c>
      <c r="C85" s="50">
        <v>6</v>
      </c>
      <c r="D85" s="50">
        <v>4</v>
      </c>
      <c r="E85" s="50">
        <v>2</v>
      </c>
      <c r="F85" s="50">
        <v>2</v>
      </c>
      <c r="G85" s="50">
        <v>0</v>
      </c>
      <c r="H85" s="50">
        <v>0</v>
      </c>
      <c r="I85" s="50">
        <v>2</v>
      </c>
      <c r="J85" s="50">
        <v>0</v>
      </c>
      <c r="K85" s="50">
        <v>0</v>
      </c>
      <c r="L85" s="50">
        <v>0</v>
      </c>
      <c r="M85" s="50">
        <v>36</v>
      </c>
      <c r="N85" s="50">
        <v>0</v>
      </c>
      <c r="O85" s="15">
        <f t="shared" si="35"/>
        <v>16</v>
      </c>
      <c r="P85" s="15">
        <f t="shared" si="36"/>
        <v>52</v>
      </c>
      <c r="R85" s="8"/>
      <c r="T85"/>
    </row>
    <row r="86" spans="2:20" ht="23.1" customHeight="1" x14ac:dyDescent="0.25">
      <c r="B86" s="46" t="s">
        <v>126</v>
      </c>
      <c r="C86" s="50">
        <v>3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1</v>
      </c>
      <c r="L86" s="50">
        <v>0</v>
      </c>
      <c r="M86" s="50">
        <v>30</v>
      </c>
      <c r="N86" s="50">
        <v>0</v>
      </c>
      <c r="O86" s="15">
        <f t="shared" si="35"/>
        <v>4</v>
      </c>
      <c r="P86" s="15">
        <f t="shared" si="36"/>
        <v>34</v>
      </c>
      <c r="R86" s="8"/>
      <c r="T86"/>
    </row>
    <row r="87" spans="2:20" ht="23.1" customHeight="1" x14ac:dyDescent="0.25">
      <c r="B87" s="45" t="s">
        <v>127</v>
      </c>
      <c r="C87" s="50">
        <v>2</v>
      </c>
      <c r="D87" s="50">
        <v>1</v>
      </c>
      <c r="E87" s="50">
        <v>0</v>
      </c>
      <c r="F87" s="50">
        <v>0</v>
      </c>
      <c r="G87" s="50">
        <v>0</v>
      </c>
      <c r="H87" s="50">
        <v>0</v>
      </c>
      <c r="I87" s="50">
        <v>1</v>
      </c>
      <c r="J87" s="50">
        <v>4</v>
      </c>
      <c r="K87" s="50">
        <v>0</v>
      </c>
      <c r="L87" s="50">
        <v>0</v>
      </c>
      <c r="M87" s="50">
        <v>18</v>
      </c>
      <c r="N87" s="50">
        <v>0</v>
      </c>
      <c r="O87" s="15">
        <f t="shared" si="35"/>
        <v>8</v>
      </c>
      <c r="P87" s="15">
        <f t="shared" si="36"/>
        <v>26</v>
      </c>
      <c r="R87" s="8"/>
      <c r="T87"/>
    </row>
    <row r="88" spans="2:20" ht="23.1" customHeight="1" x14ac:dyDescent="0.25">
      <c r="B88" s="47" t="s">
        <v>128</v>
      </c>
      <c r="C88" s="50">
        <v>7</v>
      </c>
      <c r="D88" s="50">
        <v>2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1</v>
      </c>
      <c r="K88" s="50">
        <v>0</v>
      </c>
      <c r="L88" s="50">
        <v>0</v>
      </c>
      <c r="M88" s="50">
        <v>12</v>
      </c>
      <c r="N88" s="50">
        <v>0</v>
      </c>
      <c r="O88" s="15">
        <f t="shared" si="35"/>
        <v>10</v>
      </c>
      <c r="P88" s="15">
        <f t="shared" si="36"/>
        <v>22</v>
      </c>
      <c r="R88" s="8"/>
      <c r="T88"/>
    </row>
    <row r="89" spans="2:20" ht="23.1" customHeight="1" x14ac:dyDescent="0.25">
      <c r="B89" s="45" t="s">
        <v>129</v>
      </c>
      <c r="C89" s="50">
        <v>1</v>
      </c>
      <c r="D89" s="50">
        <v>1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1</v>
      </c>
      <c r="K89" s="50">
        <v>0</v>
      </c>
      <c r="L89" s="50">
        <v>0</v>
      </c>
      <c r="M89" s="50">
        <v>11</v>
      </c>
      <c r="N89" s="50">
        <v>0</v>
      </c>
      <c r="O89" s="15">
        <f t="shared" si="35"/>
        <v>3</v>
      </c>
      <c r="P89" s="15">
        <f t="shared" si="36"/>
        <v>14</v>
      </c>
      <c r="R89" s="8"/>
      <c r="T89"/>
    </row>
    <row r="90" spans="2:20" ht="23.1" customHeight="1" x14ac:dyDescent="0.25">
      <c r="B90" s="46" t="s">
        <v>130</v>
      </c>
      <c r="C90" s="50">
        <v>4</v>
      </c>
      <c r="D90" s="50">
        <v>1</v>
      </c>
      <c r="E90" s="50">
        <v>0</v>
      </c>
      <c r="F90" s="50">
        <v>2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31</v>
      </c>
      <c r="N90" s="50">
        <v>0</v>
      </c>
      <c r="O90" s="15">
        <f t="shared" si="35"/>
        <v>7</v>
      </c>
      <c r="P90" s="15">
        <f t="shared" si="36"/>
        <v>38</v>
      </c>
      <c r="R90" s="8"/>
      <c r="T90"/>
    </row>
    <row r="91" spans="2:20" ht="23.1" customHeight="1" x14ac:dyDescent="0.25">
      <c r="B91" s="45" t="s">
        <v>131</v>
      </c>
      <c r="C91" s="50">
        <v>2</v>
      </c>
      <c r="D91" s="50">
        <v>1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5</v>
      </c>
      <c r="N91" s="50">
        <v>0</v>
      </c>
      <c r="O91" s="15">
        <f t="shared" si="35"/>
        <v>3</v>
      </c>
      <c r="P91" s="15">
        <f t="shared" si="36"/>
        <v>8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1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7</v>
      </c>
      <c r="N92" s="50">
        <v>0</v>
      </c>
      <c r="O92" s="15">
        <f t="shared" si="35"/>
        <v>1</v>
      </c>
      <c r="P92" s="15">
        <f t="shared" si="36"/>
        <v>8</v>
      </c>
      <c r="R92" s="8"/>
      <c r="T92"/>
    </row>
    <row r="93" spans="2:20" ht="23.1" customHeight="1" x14ac:dyDescent="0.25">
      <c r="B93" s="45" t="s">
        <v>133</v>
      </c>
      <c r="C93" s="50">
        <v>2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7</v>
      </c>
      <c r="N93" s="50">
        <v>0</v>
      </c>
      <c r="O93" s="15">
        <f t="shared" si="35"/>
        <v>2</v>
      </c>
      <c r="P93" s="15">
        <f t="shared" si="36"/>
        <v>9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1</v>
      </c>
      <c r="E94" s="50">
        <v>1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1</v>
      </c>
      <c r="L94" s="50">
        <v>0</v>
      </c>
      <c r="M94" s="50">
        <v>15</v>
      </c>
      <c r="N94" s="50">
        <v>0</v>
      </c>
      <c r="O94" s="15">
        <f t="shared" si="35"/>
        <v>3</v>
      </c>
      <c r="P94" s="15">
        <f t="shared" si="36"/>
        <v>18</v>
      </c>
      <c r="R94" s="8"/>
      <c r="T94"/>
    </row>
    <row r="95" spans="2:20" ht="23.1" customHeight="1" x14ac:dyDescent="0.25">
      <c r="B95" s="45" t="s">
        <v>135</v>
      </c>
      <c r="C95" s="50">
        <v>4</v>
      </c>
      <c r="D95" s="50">
        <v>1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1</v>
      </c>
      <c r="L95" s="50">
        <v>0</v>
      </c>
      <c r="M95" s="50">
        <v>11</v>
      </c>
      <c r="N95" s="50">
        <v>0</v>
      </c>
      <c r="O95" s="15">
        <f t="shared" si="35"/>
        <v>6</v>
      </c>
      <c r="P95" s="15">
        <f t="shared" si="36"/>
        <v>17</v>
      </c>
      <c r="R95" s="8"/>
      <c r="T95"/>
    </row>
    <row r="96" spans="2:20" ht="23.1" customHeight="1" x14ac:dyDescent="0.25">
      <c r="B96" s="47" t="s">
        <v>136</v>
      </c>
      <c r="C96" s="50">
        <v>4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10</v>
      </c>
      <c r="N96" s="50">
        <v>0</v>
      </c>
      <c r="O96" s="15">
        <f t="shared" si="35"/>
        <v>4</v>
      </c>
      <c r="P96" s="15">
        <f t="shared" si="36"/>
        <v>14</v>
      </c>
      <c r="R96" s="8"/>
      <c r="T96"/>
    </row>
    <row r="97" spans="2:20" ht="23.1" customHeight="1" x14ac:dyDescent="0.25">
      <c r="B97" s="45" t="s">
        <v>137</v>
      </c>
      <c r="C97" s="50">
        <v>2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1</v>
      </c>
      <c r="L97" s="50">
        <v>0</v>
      </c>
      <c r="M97" s="50">
        <v>10</v>
      </c>
      <c r="N97" s="50">
        <v>0</v>
      </c>
      <c r="O97" s="15">
        <f t="shared" si="35"/>
        <v>3</v>
      </c>
      <c r="P97" s="15">
        <f t="shared" si="36"/>
        <v>13</v>
      </c>
      <c r="R97" s="8"/>
      <c r="T97"/>
    </row>
    <row r="98" spans="2:20" ht="23.1" customHeight="1" x14ac:dyDescent="0.25">
      <c r="B98" s="46" t="s">
        <v>138</v>
      </c>
      <c r="C98" s="50">
        <v>7</v>
      </c>
      <c r="D98" s="50">
        <v>3</v>
      </c>
      <c r="E98" s="50">
        <v>3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1</v>
      </c>
      <c r="L98" s="50">
        <v>0</v>
      </c>
      <c r="M98" s="50">
        <v>34</v>
      </c>
      <c r="N98" s="50">
        <v>0</v>
      </c>
      <c r="O98" s="15">
        <f t="shared" si="35"/>
        <v>14</v>
      </c>
      <c r="P98" s="15">
        <f t="shared" si="36"/>
        <v>48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1</v>
      </c>
      <c r="E99" s="50">
        <v>0</v>
      </c>
      <c r="F99" s="50">
        <v>2</v>
      </c>
      <c r="G99" s="50">
        <v>0</v>
      </c>
      <c r="H99" s="50">
        <v>0</v>
      </c>
      <c r="I99" s="50">
        <v>0</v>
      </c>
      <c r="J99" s="50">
        <v>0</v>
      </c>
      <c r="K99" s="50">
        <v>1</v>
      </c>
      <c r="L99" s="50">
        <v>0</v>
      </c>
      <c r="M99" s="50">
        <v>15</v>
      </c>
      <c r="N99" s="50">
        <v>0</v>
      </c>
      <c r="O99" s="15">
        <f t="shared" si="35"/>
        <v>4</v>
      </c>
      <c r="P99" s="15">
        <f t="shared" si="36"/>
        <v>19</v>
      </c>
      <c r="R99" s="8"/>
      <c r="T99"/>
    </row>
    <row r="100" spans="2:20" ht="23.1" customHeight="1" x14ac:dyDescent="0.25">
      <c r="B100" s="47" t="s">
        <v>140</v>
      </c>
      <c r="C100" s="50">
        <v>7</v>
      </c>
      <c r="D100" s="50">
        <v>1</v>
      </c>
      <c r="E100" s="50">
        <v>2</v>
      </c>
      <c r="F100" s="50">
        <v>7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50</v>
      </c>
      <c r="N100" s="50">
        <v>0</v>
      </c>
      <c r="O100" s="15">
        <f t="shared" si="35"/>
        <v>17</v>
      </c>
      <c r="P100" s="15">
        <f t="shared" si="36"/>
        <v>67</v>
      </c>
      <c r="R100" s="8"/>
      <c r="T100"/>
    </row>
    <row r="101" spans="2:20" ht="23.1" customHeight="1" x14ac:dyDescent="0.25">
      <c r="B101" s="45" t="s">
        <v>141</v>
      </c>
      <c r="C101" s="50">
        <v>4</v>
      </c>
      <c r="D101" s="50">
        <v>2</v>
      </c>
      <c r="E101" s="50">
        <v>0</v>
      </c>
      <c r="F101" s="50">
        <v>3</v>
      </c>
      <c r="G101" s="50">
        <v>0</v>
      </c>
      <c r="H101" s="50">
        <v>0</v>
      </c>
      <c r="I101" s="50">
        <v>2</v>
      </c>
      <c r="J101" s="50">
        <v>1</v>
      </c>
      <c r="K101" s="50">
        <v>0</v>
      </c>
      <c r="L101" s="50">
        <v>0</v>
      </c>
      <c r="M101" s="50">
        <v>27</v>
      </c>
      <c r="N101" s="50">
        <v>0</v>
      </c>
      <c r="O101" s="15">
        <f t="shared" si="35"/>
        <v>12</v>
      </c>
      <c r="P101" s="15">
        <f t="shared" si="36"/>
        <v>39</v>
      </c>
      <c r="R101" s="8"/>
      <c r="T101"/>
    </row>
    <row r="102" spans="2:20" ht="23.1" customHeight="1" x14ac:dyDescent="0.25">
      <c r="B102" s="46" t="s">
        <v>142</v>
      </c>
      <c r="C102" s="50">
        <v>3</v>
      </c>
      <c r="D102" s="50">
        <v>1</v>
      </c>
      <c r="E102" s="50">
        <v>0</v>
      </c>
      <c r="F102" s="50">
        <v>1</v>
      </c>
      <c r="G102" s="50">
        <v>0</v>
      </c>
      <c r="H102" s="50">
        <v>0</v>
      </c>
      <c r="I102" s="50">
        <v>1</v>
      </c>
      <c r="J102" s="50">
        <v>0</v>
      </c>
      <c r="K102" s="50">
        <v>0</v>
      </c>
      <c r="L102" s="50">
        <v>0</v>
      </c>
      <c r="M102" s="50">
        <v>16</v>
      </c>
      <c r="N102" s="50">
        <v>0</v>
      </c>
      <c r="O102" s="15">
        <f t="shared" si="35"/>
        <v>6</v>
      </c>
      <c r="P102" s="15">
        <f t="shared" si="36"/>
        <v>22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2</v>
      </c>
      <c r="G103" s="50">
        <v>0</v>
      </c>
      <c r="H103" s="50">
        <v>0</v>
      </c>
      <c r="I103" s="50">
        <v>0</v>
      </c>
      <c r="J103" s="50">
        <v>2</v>
      </c>
      <c r="K103" s="50">
        <v>3</v>
      </c>
      <c r="L103" s="50">
        <v>0</v>
      </c>
      <c r="M103" s="50">
        <v>10</v>
      </c>
      <c r="N103" s="50">
        <v>0</v>
      </c>
      <c r="O103" s="15">
        <f t="shared" si="35"/>
        <v>7</v>
      </c>
      <c r="P103" s="15">
        <f t="shared" si="36"/>
        <v>17</v>
      </c>
      <c r="R103" s="8"/>
      <c r="T103"/>
    </row>
    <row r="104" spans="2:20" ht="23.1" customHeight="1" x14ac:dyDescent="0.25">
      <c r="B104" s="47" t="s">
        <v>144</v>
      </c>
      <c r="C104" s="50">
        <v>8</v>
      </c>
      <c r="D104" s="50">
        <v>2</v>
      </c>
      <c r="E104" s="50">
        <v>3</v>
      </c>
      <c r="F104" s="50">
        <v>3</v>
      </c>
      <c r="G104" s="50">
        <v>0</v>
      </c>
      <c r="H104" s="50">
        <v>0</v>
      </c>
      <c r="I104" s="50">
        <v>1</v>
      </c>
      <c r="J104" s="50">
        <v>0</v>
      </c>
      <c r="K104" s="50">
        <v>0</v>
      </c>
      <c r="L104" s="50">
        <v>0</v>
      </c>
      <c r="M104" s="50">
        <v>30</v>
      </c>
      <c r="N104" s="50">
        <v>0</v>
      </c>
      <c r="O104" s="15">
        <f t="shared" si="35"/>
        <v>17</v>
      </c>
      <c r="P104" s="15">
        <f t="shared" si="36"/>
        <v>47</v>
      </c>
      <c r="R104" s="8"/>
      <c r="T104"/>
    </row>
    <row r="105" spans="2:20" ht="23.1" customHeight="1" x14ac:dyDescent="0.25">
      <c r="B105" s="45" t="s">
        <v>145</v>
      </c>
      <c r="C105" s="50">
        <v>2</v>
      </c>
      <c r="D105" s="50">
        <v>1</v>
      </c>
      <c r="E105" s="50">
        <v>0</v>
      </c>
      <c r="F105" s="50">
        <v>3</v>
      </c>
      <c r="G105" s="50">
        <v>0</v>
      </c>
      <c r="H105" s="50">
        <v>0</v>
      </c>
      <c r="I105" s="50">
        <v>1</v>
      </c>
      <c r="J105" s="50">
        <v>0</v>
      </c>
      <c r="K105" s="50">
        <v>0</v>
      </c>
      <c r="L105" s="50">
        <v>0</v>
      </c>
      <c r="M105" s="50">
        <v>16</v>
      </c>
      <c r="N105" s="50">
        <v>0</v>
      </c>
      <c r="O105" s="15">
        <f t="shared" si="35"/>
        <v>7</v>
      </c>
      <c r="P105" s="15">
        <f t="shared" si="36"/>
        <v>23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2965</v>
      </c>
      <c r="D106" s="16">
        <f t="shared" ref="D106:P106" si="37">SUM(D10:D105)</f>
        <v>727</v>
      </c>
      <c r="E106" s="16">
        <f t="shared" si="37"/>
        <v>295</v>
      </c>
      <c r="F106" s="16">
        <f t="shared" si="37"/>
        <v>704</v>
      </c>
      <c r="G106" s="16">
        <f t="shared" si="37"/>
        <v>16</v>
      </c>
      <c r="H106" s="16">
        <f t="shared" si="37"/>
        <v>31</v>
      </c>
      <c r="I106" s="16">
        <f t="shared" si="37"/>
        <v>221</v>
      </c>
      <c r="J106" s="16">
        <f t="shared" si="37"/>
        <v>107</v>
      </c>
      <c r="K106" s="16">
        <f t="shared" si="37"/>
        <v>41</v>
      </c>
      <c r="L106" s="16">
        <f t="shared" si="37"/>
        <v>6</v>
      </c>
      <c r="M106" s="16">
        <f t="shared" si="37"/>
        <v>6369</v>
      </c>
      <c r="N106" s="16">
        <f t="shared" si="37"/>
        <v>0</v>
      </c>
      <c r="O106" s="16">
        <f t="shared" si="37"/>
        <v>5113</v>
      </c>
      <c r="P106" s="16">
        <f t="shared" si="37"/>
        <v>11482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0.25823027347152067</v>
      </c>
      <c r="D107" s="43">
        <f t="shared" si="38"/>
        <v>6.3316495384079435E-2</v>
      </c>
      <c r="E107" s="43">
        <f t="shared" si="38"/>
        <v>2.5692388085699354E-2</v>
      </c>
      <c r="F107" s="43">
        <f t="shared" si="38"/>
        <v>6.1313360041804564E-2</v>
      </c>
      <c r="G107" s="43">
        <f t="shared" si="38"/>
        <v>1.3934854554955582E-3</v>
      </c>
      <c r="H107" s="43">
        <f t="shared" si="38"/>
        <v>2.6998780700226441E-3</v>
      </c>
      <c r="I107" s="43">
        <f t="shared" si="38"/>
        <v>1.9247517854032399E-2</v>
      </c>
      <c r="J107" s="43">
        <f t="shared" si="38"/>
        <v>9.3189339836265463E-3</v>
      </c>
      <c r="K107" s="43">
        <f t="shared" si="38"/>
        <v>3.5708064797073682E-3</v>
      </c>
      <c r="L107" s="43">
        <f t="shared" si="38"/>
        <v>5.2255704581083439E-4</v>
      </c>
      <c r="M107" s="43">
        <f t="shared" si="38"/>
        <v>0.55469430412820064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0.5798943868570311</v>
      </c>
      <c r="D108" s="44">
        <f t="shared" ref="D108:N108" si="39">D106/$O$106</f>
        <v>0.14218658321924507</v>
      </c>
      <c r="E108" s="44">
        <f t="shared" si="39"/>
        <v>5.7696068844122823E-2</v>
      </c>
      <c r="F108" s="44">
        <f t="shared" si="39"/>
        <v>0.13768824564834736</v>
      </c>
      <c r="G108" s="44">
        <f t="shared" si="39"/>
        <v>3.1292783101897126E-3</v>
      </c>
      <c r="H108" s="44">
        <f t="shared" si="39"/>
        <v>6.0629767259925676E-3</v>
      </c>
      <c r="I108" s="44">
        <f t="shared" si="39"/>
        <v>4.3223156659495401E-2</v>
      </c>
      <c r="J108" s="44">
        <f t="shared" si="39"/>
        <v>2.0927048699393703E-2</v>
      </c>
      <c r="K108" s="44">
        <f t="shared" si="39"/>
        <v>8.0187756698611376E-3</v>
      </c>
      <c r="L108" s="44">
        <f t="shared" si="39"/>
        <v>1.1734793663211421E-3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4" zoomScale="60" workbookViewId="0">
      <selection activeCell="M58" sqref="M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'22.07 Ndeeba-Nyanama'!C3:G3</f>
        <v>MCC - C1 - STN04 - WERAGA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167</v>
      </c>
      <c r="E5" s="3"/>
      <c r="F5" s="41" t="s">
        <v>1</v>
      </c>
      <c r="G5" s="68" t="str">
        <f>'27.07 Nyanama-Ndeeba-24h'!G5:H5</f>
        <v>Golden Mille Hotel</v>
      </c>
      <c r="H5" s="69"/>
      <c r="I5" s="14"/>
      <c r="J5" s="2" t="s">
        <v>5</v>
      </c>
      <c r="K5" s="68" t="s">
        <v>177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tr">
        <f>'22.07 Ndeeba-Nyanama'!D6:E6</f>
        <v>Ndeeba</v>
      </c>
      <c r="E6" s="69"/>
      <c r="F6" s="2" t="s">
        <v>2</v>
      </c>
      <c r="G6" s="68" t="str">
        <f>'22.07 Ndeeba-Nyanama'!G6:H6</f>
        <v>Nyanama</v>
      </c>
      <c r="H6" s="69"/>
      <c r="J6" s="2" t="s">
        <v>21</v>
      </c>
      <c r="K6" s="68" t="str">
        <f>'27.07 Nyanama-Ndeeba-24h'!K6:L6</f>
        <v>Denis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</v>
      </c>
      <c r="D10" s="50">
        <v>1</v>
      </c>
      <c r="E10" s="50">
        <v>2</v>
      </c>
      <c r="F10" s="50">
        <v>9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23</v>
      </c>
      <c r="N10" s="50">
        <v>0</v>
      </c>
      <c r="O10" s="15">
        <f t="shared" ref="O10:O57" si="0">SUM(C10:L10,N10)</f>
        <v>16</v>
      </c>
      <c r="P10" s="15">
        <f t="shared" ref="P10:P57" si="1">SUM(C10:N10)</f>
        <v>39</v>
      </c>
      <c r="R10" s="1" t="s">
        <v>6</v>
      </c>
      <c r="S10" s="17">
        <f t="shared" ref="S10:AF10" si="2">SUM(C10:C13)</f>
        <v>17</v>
      </c>
      <c r="T10" s="17">
        <f t="shared" si="2"/>
        <v>2</v>
      </c>
      <c r="U10" s="17">
        <f t="shared" si="2"/>
        <v>5</v>
      </c>
      <c r="V10" s="17">
        <f t="shared" si="2"/>
        <v>26</v>
      </c>
      <c r="W10" s="17">
        <f t="shared" si="2"/>
        <v>1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1</v>
      </c>
      <c r="AB10" s="17">
        <f t="shared" si="2"/>
        <v>1</v>
      </c>
      <c r="AC10" s="17">
        <f t="shared" si="2"/>
        <v>125</v>
      </c>
      <c r="AD10" s="17">
        <f t="shared" si="2"/>
        <v>0</v>
      </c>
      <c r="AE10" s="31">
        <f t="shared" si="2"/>
        <v>56</v>
      </c>
      <c r="AF10" s="31">
        <f t="shared" si="2"/>
        <v>181</v>
      </c>
    </row>
    <row r="11" spans="2:32" s="6" customFormat="1" ht="23.1" customHeight="1" x14ac:dyDescent="0.25">
      <c r="B11" s="23" t="s">
        <v>38</v>
      </c>
      <c r="C11" s="50">
        <v>7</v>
      </c>
      <c r="D11" s="50">
        <v>0</v>
      </c>
      <c r="E11" s="50">
        <v>0</v>
      </c>
      <c r="F11" s="50">
        <v>7</v>
      </c>
      <c r="G11" s="50">
        <v>0</v>
      </c>
      <c r="H11" s="50">
        <v>0</v>
      </c>
      <c r="I11" s="50">
        <v>2</v>
      </c>
      <c r="J11" s="50">
        <v>0</v>
      </c>
      <c r="K11" s="50">
        <v>1</v>
      </c>
      <c r="L11" s="50">
        <v>1</v>
      </c>
      <c r="M11" s="50">
        <v>47</v>
      </c>
      <c r="N11" s="50">
        <v>0</v>
      </c>
      <c r="O11" s="15">
        <f t="shared" si="0"/>
        <v>18</v>
      </c>
      <c r="P11" s="15">
        <f t="shared" si="1"/>
        <v>65</v>
      </c>
      <c r="R11" s="1" t="s">
        <v>7</v>
      </c>
      <c r="S11" s="17">
        <f t="shared" ref="S11:AF11" si="3">SUM(C14:C17)</f>
        <v>62</v>
      </c>
      <c r="T11" s="17">
        <f t="shared" si="3"/>
        <v>3</v>
      </c>
      <c r="U11" s="17">
        <f t="shared" si="3"/>
        <v>12</v>
      </c>
      <c r="V11" s="17">
        <f t="shared" si="3"/>
        <v>32</v>
      </c>
      <c r="W11" s="17">
        <f t="shared" si="3"/>
        <v>2</v>
      </c>
      <c r="X11" s="17">
        <f t="shared" si="3"/>
        <v>0</v>
      </c>
      <c r="Y11" s="17">
        <f t="shared" si="3"/>
        <v>4</v>
      </c>
      <c r="Z11" s="17">
        <f t="shared" si="3"/>
        <v>3</v>
      </c>
      <c r="AA11" s="17">
        <f t="shared" si="3"/>
        <v>0</v>
      </c>
      <c r="AB11" s="17">
        <f t="shared" si="3"/>
        <v>2</v>
      </c>
      <c r="AC11" s="17">
        <f t="shared" si="3"/>
        <v>207</v>
      </c>
      <c r="AD11" s="17">
        <f t="shared" si="3"/>
        <v>0</v>
      </c>
      <c r="AE11" s="31">
        <f t="shared" si="3"/>
        <v>120</v>
      </c>
      <c r="AF11" s="31">
        <f t="shared" si="3"/>
        <v>327</v>
      </c>
    </row>
    <row r="12" spans="2:32" ht="23.1" customHeight="1" x14ac:dyDescent="0.25">
      <c r="B12" s="23" t="s">
        <v>39</v>
      </c>
      <c r="C12" s="50">
        <v>4</v>
      </c>
      <c r="D12" s="50">
        <v>0</v>
      </c>
      <c r="E12" s="50">
        <v>2</v>
      </c>
      <c r="F12" s="50">
        <v>4</v>
      </c>
      <c r="G12" s="50">
        <v>1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17</v>
      </c>
      <c r="N12" s="50">
        <v>0</v>
      </c>
      <c r="O12" s="15">
        <f t="shared" si="0"/>
        <v>12</v>
      </c>
      <c r="P12" s="15">
        <f t="shared" si="1"/>
        <v>29</v>
      </c>
      <c r="R12" s="1" t="s">
        <v>8</v>
      </c>
      <c r="S12" s="17">
        <f t="shared" ref="S12:AF12" si="4">SUM(C18:C21)</f>
        <v>73</v>
      </c>
      <c r="T12" s="17">
        <f t="shared" si="4"/>
        <v>4</v>
      </c>
      <c r="U12" s="17">
        <f t="shared" si="4"/>
        <v>4</v>
      </c>
      <c r="V12" s="17">
        <f t="shared" si="4"/>
        <v>27</v>
      </c>
      <c r="W12" s="17">
        <f t="shared" si="4"/>
        <v>2</v>
      </c>
      <c r="X12" s="17">
        <f t="shared" si="4"/>
        <v>0</v>
      </c>
      <c r="Y12" s="17">
        <f t="shared" si="4"/>
        <v>6</v>
      </c>
      <c r="Z12" s="17">
        <f t="shared" si="4"/>
        <v>7</v>
      </c>
      <c r="AA12" s="17">
        <f t="shared" si="4"/>
        <v>2</v>
      </c>
      <c r="AB12" s="17">
        <f t="shared" si="4"/>
        <v>0</v>
      </c>
      <c r="AC12" s="17">
        <f t="shared" si="4"/>
        <v>224</v>
      </c>
      <c r="AD12" s="17">
        <f t="shared" si="4"/>
        <v>0</v>
      </c>
      <c r="AE12" s="31">
        <f t="shared" si="4"/>
        <v>125</v>
      </c>
      <c r="AF12" s="31">
        <f t="shared" si="4"/>
        <v>349</v>
      </c>
    </row>
    <row r="13" spans="2:32" ht="23.1" customHeight="1" x14ac:dyDescent="0.25">
      <c r="B13" s="23" t="s">
        <v>40</v>
      </c>
      <c r="C13" s="50">
        <v>2</v>
      </c>
      <c r="D13" s="50">
        <v>1</v>
      </c>
      <c r="E13" s="50">
        <v>1</v>
      </c>
      <c r="F13" s="50">
        <v>6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38</v>
      </c>
      <c r="N13" s="50">
        <v>0</v>
      </c>
      <c r="O13" s="15">
        <f t="shared" si="0"/>
        <v>10</v>
      </c>
      <c r="P13" s="15">
        <f t="shared" si="1"/>
        <v>48</v>
      </c>
      <c r="R13" s="1" t="s">
        <v>9</v>
      </c>
      <c r="S13" s="17">
        <f t="shared" ref="S13:AF13" si="5">SUM(C22:C25)</f>
        <v>83</v>
      </c>
      <c r="T13" s="17">
        <f t="shared" si="5"/>
        <v>2</v>
      </c>
      <c r="U13" s="17">
        <f t="shared" si="5"/>
        <v>3</v>
      </c>
      <c r="V13" s="17">
        <f t="shared" si="5"/>
        <v>31</v>
      </c>
      <c r="W13" s="17">
        <f t="shared" si="5"/>
        <v>1</v>
      </c>
      <c r="X13" s="17">
        <f t="shared" si="5"/>
        <v>0</v>
      </c>
      <c r="Y13" s="17">
        <f t="shared" si="5"/>
        <v>6</v>
      </c>
      <c r="Z13" s="17">
        <f t="shared" si="5"/>
        <v>3</v>
      </c>
      <c r="AA13" s="17">
        <f t="shared" si="5"/>
        <v>0</v>
      </c>
      <c r="AB13" s="17">
        <f t="shared" si="5"/>
        <v>1</v>
      </c>
      <c r="AC13" s="17">
        <f t="shared" si="5"/>
        <v>207</v>
      </c>
      <c r="AD13" s="17">
        <f t="shared" si="5"/>
        <v>0</v>
      </c>
      <c r="AE13" s="31">
        <f t="shared" si="5"/>
        <v>130</v>
      </c>
      <c r="AF13" s="31">
        <f t="shared" si="5"/>
        <v>337</v>
      </c>
    </row>
    <row r="14" spans="2:32" ht="23.1" customHeight="1" x14ac:dyDescent="0.25">
      <c r="B14" s="23" t="s">
        <v>41</v>
      </c>
      <c r="C14" s="50">
        <v>10</v>
      </c>
      <c r="D14" s="50">
        <v>0</v>
      </c>
      <c r="E14" s="50">
        <v>2</v>
      </c>
      <c r="F14" s="50">
        <v>9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55</v>
      </c>
      <c r="N14" s="50">
        <v>0</v>
      </c>
      <c r="O14" s="15">
        <f t="shared" si="0"/>
        <v>23</v>
      </c>
      <c r="P14" s="15">
        <f t="shared" si="1"/>
        <v>78</v>
      </c>
      <c r="R14" s="1" t="s">
        <v>10</v>
      </c>
      <c r="S14" s="17">
        <f t="shared" ref="S14:AF14" si="6">SUM(C26:C29)</f>
        <v>104</v>
      </c>
      <c r="T14" s="17">
        <f t="shared" si="6"/>
        <v>2</v>
      </c>
      <c r="U14" s="17">
        <f t="shared" si="6"/>
        <v>3</v>
      </c>
      <c r="V14" s="17">
        <f t="shared" si="6"/>
        <v>18</v>
      </c>
      <c r="W14" s="17">
        <f t="shared" si="6"/>
        <v>1</v>
      </c>
      <c r="X14" s="17">
        <f t="shared" si="6"/>
        <v>0</v>
      </c>
      <c r="Y14" s="17">
        <f t="shared" si="6"/>
        <v>6</v>
      </c>
      <c r="Z14" s="17">
        <f t="shared" si="6"/>
        <v>5</v>
      </c>
      <c r="AA14" s="17">
        <f t="shared" si="6"/>
        <v>4</v>
      </c>
      <c r="AB14" s="17">
        <f t="shared" si="6"/>
        <v>0</v>
      </c>
      <c r="AC14" s="17">
        <f t="shared" si="6"/>
        <v>214</v>
      </c>
      <c r="AD14" s="17">
        <f t="shared" si="6"/>
        <v>0</v>
      </c>
      <c r="AE14" s="31">
        <f t="shared" si="6"/>
        <v>143</v>
      </c>
      <c r="AF14" s="31">
        <f t="shared" si="6"/>
        <v>357</v>
      </c>
    </row>
    <row r="15" spans="2:32" ht="23.1" customHeight="1" x14ac:dyDescent="0.25">
      <c r="B15" s="23" t="s">
        <v>42</v>
      </c>
      <c r="C15" s="50">
        <v>18</v>
      </c>
      <c r="D15" s="50">
        <v>2</v>
      </c>
      <c r="E15" s="50">
        <v>2</v>
      </c>
      <c r="F15" s="50">
        <v>7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1</v>
      </c>
      <c r="M15" s="50">
        <v>61</v>
      </c>
      <c r="N15" s="50">
        <v>0</v>
      </c>
      <c r="O15" s="15">
        <f t="shared" si="0"/>
        <v>31</v>
      </c>
      <c r="P15" s="15">
        <f t="shared" si="1"/>
        <v>92</v>
      </c>
      <c r="R15" s="1" t="s">
        <v>11</v>
      </c>
      <c r="S15" s="17">
        <f t="shared" ref="S15:AF15" si="7">SUM(C30:C33)</f>
        <v>109</v>
      </c>
      <c r="T15" s="17">
        <f t="shared" si="7"/>
        <v>7</v>
      </c>
      <c r="U15" s="17">
        <f t="shared" si="7"/>
        <v>7</v>
      </c>
      <c r="V15" s="17">
        <f t="shared" si="7"/>
        <v>23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1</v>
      </c>
      <c r="AA15" s="17">
        <f t="shared" si="7"/>
        <v>3</v>
      </c>
      <c r="AB15" s="17">
        <f t="shared" si="7"/>
        <v>0</v>
      </c>
      <c r="AC15" s="17">
        <f t="shared" si="7"/>
        <v>205</v>
      </c>
      <c r="AD15" s="17">
        <f t="shared" si="7"/>
        <v>1</v>
      </c>
      <c r="AE15" s="31">
        <f t="shared" si="7"/>
        <v>155</v>
      </c>
      <c r="AF15" s="31">
        <f t="shared" si="7"/>
        <v>360</v>
      </c>
    </row>
    <row r="16" spans="2:32" ht="23.1" customHeight="1" x14ac:dyDescent="0.25">
      <c r="B16" s="23" t="s">
        <v>43</v>
      </c>
      <c r="C16" s="50">
        <v>11</v>
      </c>
      <c r="D16" s="50">
        <v>0</v>
      </c>
      <c r="E16" s="50">
        <v>3</v>
      </c>
      <c r="F16" s="50">
        <v>9</v>
      </c>
      <c r="G16" s="50">
        <v>0</v>
      </c>
      <c r="H16" s="50">
        <v>0</v>
      </c>
      <c r="I16" s="50">
        <v>0</v>
      </c>
      <c r="J16" s="50">
        <v>3</v>
      </c>
      <c r="K16" s="50">
        <v>0</v>
      </c>
      <c r="L16" s="50">
        <v>0</v>
      </c>
      <c r="M16" s="50">
        <v>49</v>
      </c>
      <c r="N16" s="50">
        <v>0</v>
      </c>
      <c r="O16" s="15">
        <f t="shared" si="0"/>
        <v>26</v>
      </c>
      <c r="P16" s="15">
        <f t="shared" si="1"/>
        <v>75</v>
      </c>
      <c r="R16" s="1" t="s">
        <v>12</v>
      </c>
      <c r="S16" s="17">
        <f t="shared" ref="S16:AF16" si="8">SUM(C34:C37)</f>
        <v>145</v>
      </c>
      <c r="T16" s="17">
        <f t="shared" si="8"/>
        <v>1</v>
      </c>
      <c r="U16" s="17">
        <f t="shared" si="8"/>
        <v>7</v>
      </c>
      <c r="V16" s="17">
        <f t="shared" si="8"/>
        <v>27</v>
      </c>
      <c r="W16" s="17">
        <f t="shared" si="8"/>
        <v>0</v>
      </c>
      <c r="X16" s="17">
        <f t="shared" si="8"/>
        <v>0</v>
      </c>
      <c r="Y16" s="17">
        <f t="shared" si="8"/>
        <v>6</v>
      </c>
      <c r="Z16" s="17">
        <f t="shared" si="8"/>
        <v>3</v>
      </c>
      <c r="AA16" s="17">
        <f t="shared" si="8"/>
        <v>1</v>
      </c>
      <c r="AB16" s="17">
        <f t="shared" si="8"/>
        <v>1</v>
      </c>
      <c r="AC16" s="17">
        <f t="shared" si="8"/>
        <v>297</v>
      </c>
      <c r="AD16" s="17">
        <f t="shared" si="8"/>
        <v>0</v>
      </c>
      <c r="AE16" s="31">
        <f t="shared" si="8"/>
        <v>191</v>
      </c>
      <c r="AF16" s="31">
        <f t="shared" si="8"/>
        <v>488</v>
      </c>
    </row>
    <row r="17" spans="2:32" ht="23.1" customHeight="1" x14ac:dyDescent="0.25">
      <c r="B17" s="23" t="s">
        <v>44</v>
      </c>
      <c r="C17" s="50">
        <v>23</v>
      </c>
      <c r="D17" s="50">
        <v>1</v>
      </c>
      <c r="E17" s="50">
        <v>5</v>
      </c>
      <c r="F17" s="50">
        <v>7</v>
      </c>
      <c r="G17" s="50">
        <v>2</v>
      </c>
      <c r="H17" s="50">
        <v>0</v>
      </c>
      <c r="I17" s="50">
        <v>1</v>
      </c>
      <c r="J17" s="50">
        <v>0</v>
      </c>
      <c r="K17" s="50">
        <v>0</v>
      </c>
      <c r="L17" s="50">
        <v>1</v>
      </c>
      <c r="M17" s="50">
        <v>42</v>
      </c>
      <c r="N17" s="50">
        <v>0</v>
      </c>
      <c r="O17" s="15">
        <f t="shared" si="0"/>
        <v>40</v>
      </c>
      <c r="P17" s="15">
        <f t="shared" si="1"/>
        <v>82</v>
      </c>
      <c r="R17" s="1" t="s">
        <v>13</v>
      </c>
      <c r="S17" s="17">
        <f t="shared" ref="S17:AF17" si="9">SUM(C38:C41)</f>
        <v>167</v>
      </c>
      <c r="T17" s="17">
        <f t="shared" si="9"/>
        <v>1</v>
      </c>
      <c r="U17" s="17">
        <f t="shared" si="9"/>
        <v>4</v>
      </c>
      <c r="V17" s="17">
        <f t="shared" si="9"/>
        <v>13</v>
      </c>
      <c r="W17" s="17">
        <f t="shared" si="9"/>
        <v>1</v>
      </c>
      <c r="X17" s="17">
        <f t="shared" si="9"/>
        <v>0</v>
      </c>
      <c r="Y17" s="17">
        <f t="shared" si="9"/>
        <v>5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314</v>
      </c>
      <c r="AD17" s="17">
        <f t="shared" si="9"/>
        <v>0</v>
      </c>
      <c r="AE17" s="31">
        <f t="shared" si="9"/>
        <v>191</v>
      </c>
      <c r="AF17" s="31">
        <f t="shared" si="9"/>
        <v>505</v>
      </c>
    </row>
    <row r="18" spans="2:32" ht="23.1" customHeight="1" x14ac:dyDescent="0.25">
      <c r="B18" s="23" t="s">
        <v>45</v>
      </c>
      <c r="C18" s="50">
        <v>18</v>
      </c>
      <c r="D18" s="50">
        <v>3</v>
      </c>
      <c r="E18" s="50">
        <v>0</v>
      </c>
      <c r="F18" s="50">
        <v>6</v>
      </c>
      <c r="G18" s="50">
        <v>1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76</v>
      </c>
      <c r="N18" s="50">
        <v>0</v>
      </c>
      <c r="O18" s="15">
        <f t="shared" si="0"/>
        <v>31</v>
      </c>
      <c r="P18" s="15">
        <f t="shared" si="1"/>
        <v>107</v>
      </c>
      <c r="R18" s="1" t="s">
        <v>14</v>
      </c>
      <c r="S18" s="17">
        <f t="shared" ref="S18:AF18" si="10">SUM(C42:C45)</f>
        <v>166</v>
      </c>
      <c r="T18" s="17">
        <f t="shared" si="10"/>
        <v>0</v>
      </c>
      <c r="U18" s="17">
        <f t="shared" si="10"/>
        <v>6</v>
      </c>
      <c r="V18" s="17">
        <f t="shared" si="10"/>
        <v>42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4</v>
      </c>
      <c r="AA18" s="17">
        <f t="shared" si="10"/>
        <v>0</v>
      </c>
      <c r="AB18" s="17">
        <f t="shared" si="10"/>
        <v>0</v>
      </c>
      <c r="AC18" s="17">
        <f t="shared" si="10"/>
        <v>241</v>
      </c>
      <c r="AD18" s="17">
        <f t="shared" si="10"/>
        <v>0</v>
      </c>
      <c r="AE18" s="31">
        <f t="shared" si="10"/>
        <v>223</v>
      </c>
      <c r="AF18" s="31">
        <f t="shared" si="10"/>
        <v>464</v>
      </c>
    </row>
    <row r="19" spans="2:32" ht="23.1" customHeight="1" x14ac:dyDescent="0.25">
      <c r="B19" s="23" t="s">
        <v>46</v>
      </c>
      <c r="C19" s="50">
        <v>23</v>
      </c>
      <c r="D19" s="50">
        <v>1</v>
      </c>
      <c r="E19" s="50">
        <v>1</v>
      </c>
      <c r="F19" s="50">
        <v>9</v>
      </c>
      <c r="G19" s="50">
        <v>1</v>
      </c>
      <c r="H19" s="50">
        <v>0</v>
      </c>
      <c r="I19" s="50">
        <v>2</v>
      </c>
      <c r="J19" s="50">
        <v>3</v>
      </c>
      <c r="K19" s="50">
        <v>0</v>
      </c>
      <c r="L19" s="50">
        <v>0</v>
      </c>
      <c r="M19" s="50">
        <v>62</v>
      </c>
      <c r="N19" s="50">
        <v>0</v>
      </c>
      <c r="O19" s="15">
        <f t="shared" si="0"/>
        <v>40</v>
      </c>
      <c r="P19" s="15">
        <f t="shared" si="1"/>
        <v>102</v>
      </c>
      <c r="R19" s="1" t="s">
        <v>15</v>
      </c>
      <c r="S19" s="17">
        <f t="shared" ref="S19:AF19" si="11">SUM(C46:C49)</f>
        <v>148</v>
      </c>
      <c r="T19" s="17">
        <f t="shared" si="11"/>
        <v>8</v>
      </c>
      <c r="U19" s="17">
        <f t="shared" si="11"/>
        <v>9</v>
      </c>
      <c r="V19" s="17">
        <f t="shared" si="11"/>
        <v>27</v>
      </c>
      <c r="W19" s="17">
        <f t="shared" si="11"/>
        <v>2</v>
      </c>
      <c r="X19" s="17">
        <f t="shared" si="11"/>
        <v>0</v>
      </c>
      <c r="Y19" s="17">
        <f t="shared" si="11"/>
        <v>6</v>
      </c>
      <c r="Z19" s="17">
        <f t="shared" si="11"/>
        <v>2</v>
      </c>
      <c r="AA19" s="17">
        <f t="shared" si="11"/>
        <v>1</v>
      </c>
      <c r="AB19" s="17">
        <f t="shared" si="11"/>
        <v>2</v>
      </c>
      <c r="AC19" s="17">
        <f t="shared" si="11"/>
        <v>215</v>
      </c>
      <c r="AD19" s="17">
        <f t="shared" si="11"/>
        <v>0</v>
      </c>
      <c r="AE19" s="31">
        <f t="shared" si="11"/>
        <v>205</v>
      </c>
      <c r="AF19" s="31">
        <f t="shared" si="11"/>
        <v>420</v>
      </c>
    </row>
    <row r="20" spans="2:32" ht="23.1" customHeight="1" x14ac:dyDescent="0.25">
      <c r="B20" s="23" t="s">
        <v>47</v>
      </c>
      <c r="C20" s="50">
        <v>15</v>
      </c>
      <c r="D20" s="50">
        <v>0</v>
      </c>
      <c r="E20" s="50">
        <v>0</v>
      </c>
      <c r="F20" s="50">
        <v>7</v>
      </c>
      <c r="G20" s="50">
        <v>0</v>
      </c>
      <c r="H20" s="50">
        <v>0</v>
      </c>
      <c r="I20" s="50">
        <v>1</v>
      </c>
      <c r="J20" s="50">
        <v>3</v>
      </c>
      <c r="K20" s="50">
        <v>0</v>
      </c>
      <c r="L20" s="50">
        <v>0</v>
      </c>
      <c r="M20" s="50">
        <v>41</v>
      </c>
      <c r="N20" s="50">
        <v>0</v>
      </c>
      <c r="O20" s="15">
        <f t="shared" si="0"/>
        <v>26</v>
      </c>
      <c r="P20" s="15">
        <f t="shared" si="1"/>
        <v>67</v>
      </c>
      <c r="R20" s="1" t="s">
        <v>16</v>
      </c>
      <c r="S20" s="17">
        <f t="shared" ref="S20:AF20" si="12">SUM(C50:C53)</f>
        <v>152</v>
      </c>
      <c r="T20" s="17">
        <f t="shared" si="12"/>
        <v>0</v>
      </c>
      <c r="U20" s="17">
        <f t="shared" si="12"/>
        <v>4</v>
      </c>
      <c r="V20" s="17">
        <f t="shared" si="12"/>
        <v>43</v>
      </c>
      <c r="W20" s="17">
        <f t="shared" si="12"/>
        <v>0</v>
      </c>
      <c r="X20" s="17">
        <f t="shared" si="12"/>
        <v>0</v>
      </c>
      <c r="Y20" s="17">
        <f t="shared" si="12"/>
        <v>12</v>
      </c>
      <c r="Z20" s="17">
        <f t="shared" si="12"/>
        <v>2</v>
      </c>
      <c r="AA20" s="17">
        <f t="shared" si="12"/>
        <v>1</v>
      </c>
      <c r="AB20" s="17">
        <f t="shared" si="12"/>
        <v>0</v>
      </c>
      <c r="AC20" s="17">
        <f t="shared" si="12"/>
        <v>289</v>
      </c>
      <c r="AD20" s="17">
        <f t="shared" si="12"/>
        <v>0</v>
      </c>
      <c r="AE20" s="31">
        <f t="shared" si="12"/>
        <v>214</v>
      </c>
      <c r="AF20" s="31">
        <f t="shared" si="12"/>
        <v>503</v>
      </c>
    </row>
    <row r="21" spans="2:32" ht="23.1" customHeight="1" x14ac:dyDescent="0.25">
      <c r="B21" s="23" t="s">
        <v>48</v>
      </c>
      <c r="C21" s="50">
        <v>17</v>
      </c>
      <c r="D21" s="50">
        <v>0</v>
      </c>
      <c r="E21" s="50">
        <v>3</v>
      </c>
      <c r="F21" s="50">
        <v>5</v>
      </c>
      <c r="G21" s="50">
        <v>0</v>
      </c>
      <c r="H21" s="50">
        <v>0</v>
      </c>
      <c r="I21" s="50">
        <v>0</v>
      </c>
      <c r="J21" s="50">
        <v>1</v>
      </c>
      <c r="K21" s="50">
        <v>2</v>
      </c>
      <c r="L21" s="50">
        <v>0</v>
      </c>
      <c r="M21" s="50">
        <v>45</v>
      </c>
      <c r="N21" s="50">
        <v>0</v>
      </c>
      <c r="O21" s="15">
        <f t="shared" si="0"/>
        <v>28</v>
      </c>
      <c r="P21" s="15">
        <f t="shared" si="1"/>
        <v>73</v>
      </c>
      <c r="R21" s="36" t="s">
        <v>20</v>
      </c>
      <c r="S21" s="34">
        <f t="shared" ref="S21:AF21" si="13">SUM(C54:C57)</f>
        <v>166</v>
      </c>
      <c r="T21" s="17">
        <f t="shared" si="13"/>
        <v>1</v>
      </c>
      <c r="U21" s="17">
        <f t="shared" si="13"/>
        <v>6</v>
      </c>
      <c r="V21" s="17">
        <f t="shared" si="13"/>
        <v>80</v>
      </c>
      <c r="W21" s="17">
        <f t="shared" si="13"/>
        <v>0</v>
      </c>
      <c r="X21" s="17">
        <f t="shared" si="13"/>
        <v>0</v>
      </c>
      <c r="Y21" s="17">
        <f t="shared" si="13"/>
        <v>9</v>
      </c>
      <c r="Z21" s="17">
        <f t="shared" si="13"/>
        <v>0</v>
      </c>
      <c r="AA21" s="17">
        <f t="shared" si="13"/>
        <v>7</v>
      </c>
      <c r="AB21" s="17">
        <f t="shared" si="13"/>
        <v>0</v>
      </c>
      <c r="AC21" s="17">
        <f t="shared" si="13"/>
        <v>268</v>
      </c>
      <c r="AD21" s="17">
        <f t="shared" si="13"/>
        <v>0</v>
      </c>
      <c r="AE21" s="31">
        <f t="shared" si="13"/>
        <v>269</v>
      </c>
      <c r="AF21" s="31">
        <f t="shared" si="13"/>
        <v>537</v>
      </c>
    </row>
    <row r="22" spans="2:32" ht="23.1" customHeight="1" x14ac:dyDescent="0.25">
      <c r="B22" s="23" t="s">
        <v>49</v>
      </c>
      <c r="C22" s="50">
        <v>19</v>
      </c>
      <c r="D22" s="50">
        <v>0</v>
      </c>
      <c r="E22" s="50">
        <v>3</v>
      </c>
      <c r="F22" s="50">
        <v>15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52</v>
      </c>
      <c r="N22" s="50">
        <v>0</v>
      </c>
      <c r="O22" s="15">
        <f t="shared" si="0"/>
        <v>39</v>
      </c>
      <c r="P22" s="15">
        <f t="shared" si="1"/>
        <v>91</v>
      </c>
      <c r="R22" s="38" t="s">
        <v>90</v>
      </c>
      <c r="S22" s="39">
        <f>MAX(S10:S12)</f>
        <v>73</v>
      </c>
      <c r="T22" s="39">
        <f t="shared" ref="T22:AF22" si="14">MAX(T10:T12)</f>
        <v>4</v>
      </c>
      <c r="U22" s="39">
        <f t="shared" si="14"/>
        <v>12</v>
      </c>
      <c r="V22" s="39">
        <f t="shared" si="14"/>
        <v>32</v>
      </c>
      <c r="W22" s="39">
        <f t="shared" si="14"/>
        <v>2</v>
      </c>
      <c r="X22" s="39">
        <f t="shared" si="14"/>
        <v>0</v>
      </c>
      <c r="Y22" s="39">
        <f t="shared" si="14"/>
        <v>6</v>
      </c>
      <c r="Z22" s="39">
        <f t="shared" si="14"/>
        <v>7</v>
      </c>
      <c r="AA22" s="39">
        <f t="shared" si="14"/>
        <v>2</v>
      </c>
      <c r="AB22" s="39">
        <f t="shared" si="14"/>
        <v>2</v>
      </c>
      <c r="AC22" s="39">
        <f t="shared" si="14"/>
        <v>224</v>
      </c>
      <c r="AD22" s="39">
        <f t="shared" si="14"/>
        <v>0</v>
      </c>
      <c r="AE22" s="40">
        <f t="shared" si="14"/>
        <v>125</v>
      </c>
      <c r="AF22" s="40">
        <f t="shared" si="14"/>
        <v>349</v>
      </c>
    </row>
    <row r="23" spans="2:32" ht="23.1" customHeight="1" x14ac:dyDescent="0.25">
      <c r="B23" s="23" t="s">
        <v>50</v>
      </c>
      <c r="C23" s="50">
        <v>18</v>
      </c>
      <c r="D23" s="50">
        <v>1</v>
      </c>
      <c r="E23" s="50">
        <v>0</v>
      </c>
      <c r="F23" s="50">
        <v>6</v>
      </c>
      <c r="G23" s="50">
        <v>0</v>
      </c>
      <c r="H23" s="50">
        <v>0</v>
      </c>
      <c r="I23" s="50">
        <v>0</v>
      </c>
      <c r="J23" s="50">
        <v>1</v>
      </c>
      <c r="K23" s="50">
        <v>0</v>
      </c>
      <c r="L23" s="50">
        <v>1</v>
      </c>
      <c r="M23" s="50">
        <v>60</v>
      </c>
      <c r="N23" s="50">
        <v>0</v>
      </c>
      <c r="O23" s="15">
        <f t="shared" si="0"/>
        <v>27</v>
      </c>
      <c r="P23" s="15">
        <f t="shared" si="1"/>
        <v>87</v>
      </c>
      <c r="R23" s="38" t="s">
        <v>91</v>
      </c>
      <c r="S23" s="39">
        <f>MAX(S13:S18)</f>
        <v>167</v>
      </c>
      <c r="T23" s="39">
        <f t="shared" ref="T23:AF23" si="15">MAX(T13:T18)</f>
        <v>7</v>
      </c>
      <c r="U23" s="39">
        <f t="shared" si="15"/>
        <v>7</v>
      </c>
      <c r="V23" s="39">
        <f t="shared" si="15"/>
        <v>42</v>
      </c>
      <c r="W23" s="39">
        <f t="shared" si="15"/>
        <v>1</v>
      </c>
      <c r="X23" s="39">
        <f t="shared" si="15"/>
        <v>0</v>
      </c>
      <c r="Y23" s="39">
        <f t="shared" si="15"/>
        <v>6</v>
      </c>
      <c r="Z23" s="39">
        <f t="shared" si="15"/>
        <v>5</v>
      </c>
      <c r="AA23" s="39">
        <f t="shared" si="15"/>
        <v>4</v>
      </c>
      <c r="AB23" s="39">
        <f t="shared" si="15"/>
        <v>1</v>
      </c>
      <c r="AC23" s="39">
        <f t="shared" si="15"/>
        <v>314</v>
      </c>
      <c r="AD23" s="39">
        <f t="shared" si="15"/>
        <v>1</v>
      </c>
      <c r="AE23" s="40">
        <f t="shared" si="15"/>
        <v>223</v>
      </c>
      <c r="AF23" s="40">
        <f t="shared" si="15"/>
        <v>505</v>
      </c>
    </row>
    <row r="24" spans="2:32" ht="23.1" customHeight="1" x14ac:dyDescent="0.25">
      <c r="B24" s="23" t="s">
        <v>51</v>
      </c>
      <c r="C24" s="50">
        <v>24</v>
      </c>
      <c r="D24" s="50">
        <v>1</v>
      </c>
      <c r="E24" s="50">
        <v>0</v>
      </c>
      <c r="F24" s="50">
        <v>9</v>
      </c>
      <c r="G24" s="50">
        <v>1</v>
      </c>
      <c r="H24" s="50">
        <v>0</v>
      </c>
      <c r="I24" s="50">
        <v>4</v>
      </c>
      <c r="J24" s="50">
        <v>2</v>
      </c>
      <c r="K24" s="50">
        <v>0</v>
      </c>
      <c r="L24" s="50">
        <v>0</v>
      </c>
      <c r="M24" s="50">
        <v>52</v>
      </c>
      <c r="N24" s="50">
        <v>0</v>
      </c>
      <c r="O24" s="15">
        <f t="shared" si="0"/>
        <v>41</v>
      </c>
      <c r="P24" s="15">
        <f t="shared" si="1"/>
        <v>93</v>
      </c>
      <c r="R24" s="38" t="s">
        <v>92</v>
      </c>
      <c r="S24" s="39">
        <f>MAX(S19:S21)</f>
        <v>166</v>
      </c>
      <c r="T24" s="39">
        <f t="shared" ref="T24:AF24" si="16">MAX(T19:T21)</f>
        <v>8</v>
      </c>
      <c r="U24" s="39">
        <f t="shared" si="16"/>
        <v>9</v>
      </c>
      <c r="V24" s="39">
        <f t="shared" si="16"/>
        <v>80</v>
      </c>
      <c r="W24" s="39">
        <f t="shared" si="16"/>
        <v>2</v>
      </c>
      <c r="X24" s="39">
        <f t="shared" si="16"/>
        <v>0</v>
      </c>
      <c r="Y24" s="39">
        <f t="shared" si="16"/>
        <v>12</v>
      </c>
      <c r="Z24" s="39">
        <f t="shared" si="16"/>
        <v>2</v>
      </c>
      <c r="AA24" s="39">
        <f t="shared" si="16"/>
        <v>7</v>
      </c>
      <c r="AB24" s="39">
        <f t="shared" si="16"/>
        <v>2</v>
      </c>
      <c r="AC24" s="39">
        <f t="shared" si="16"/>
        <v>289</v>
      </c>
      <c r="AD24" s="39">
        <f t="shared" si="16"/>
        <v>0</v>
      </c>
      <c r="AE24" s="40">
        <f t="shared" si="16"/>
        <v>269</v>
      </c>
      <c r="AF24" s="40">
        <f t="shared" si="16"/>
        <v>537</v>
      </c>
    </row>
    <row r="25" spans="2:32" ht="23.1" customHeight="1" x14ac:dyDescent="0.25">
      <c r="B25" s="23" t="s">
        <v>52</v>
      </c>
      <c r="C25" s="50">
        <v>22</v>
      </c>
      <c r="D25" s="50">
        <v>0</v>
      </c>
      <c r="E25" s="50">
        <v>0</v>
      </c>
      <c r="F25" s="50">
        <v>1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43</v>
      </c>
      <c r="N25" s="50">
        <v>0</v>
      </c>
      <c r="O25" s="15">
        <f t="shared" si="0"/>
        <v>23</v>
      </c>
      <c r="P25" s="15">
        <f t="shared" si="1"/>
        <v>66</v>
      </c>
      <c r="R25" s="37" t="s">
        <v>85</v>
      </c>
      <c r="S25" s="35">
        <f t="shared" ref="S25:AF25" si="17">SUM(S10:S12)</f>
        <v>152</v>
      </c>
      <c r="T25" s="16">
        <f t="shared" si="17"/>
        <v>9</v>
      </c>
      <c r="U25" s="16">
        <f t="shared" si="17"/>
        <v>21</v>
      </c>
      <c r="V25" s="16">
        <f t="shared" si="17"/>
        <v>85</v>
      </c>
      <c r="W25" s="16">
        <f t="shared" si="17"/>
        <v>5</v>
      </c>
      <c r="X25" s="16">
        <f t="shared" si="17"/>
        <v>0</v>
      </c>
      <c r="Y25" s="16">
        <f t="shared" si="17"/>
        <v>13</v>
      </c>
      <c r="Z25" s="16">
        <f t="shared" si="17"/>
        <v>10</v>
      </c>
      <c r="AA25" s="16">
        <f t="shared" si="17"/>
        <v>3</v>
      </c>
      <c r="AB25" s="16">
        <f t="shared" si="17"/>
        <v>3</v>
      </c>
      <c r="AC25" s="16">
        <f t="shared" si="17"/>
        <v>556</v>
      </c>
      <c r="AD25" s="16">
        <f t="shared" si="17"/>
        <v>0</v>
      </c>
      <c r="AE25" s="32">
        <f t="shared" si="17"/>
        <v>301</v>
      </c>
      <c r="AF25" s="32">
        <f t="shared" si="17"/>
        <v>857</v>
      </c>
    </row>
    <row r="26" spans="2:32" ht="23.1" customHeight="1" x14ac:dyDescent="0.25">
      <c r="B26" s="23" t="s">
        <v>53</v>
      </c>
      <c r="C26" s="50">
        <v>31</v>
      </c>
      <c r="D26" s="50">
        <v>2</v>
      </c>
      <c r="E26" s="50">
        <v>1</v>
      </c>
      <c r="F26" s="50">
        <v>6</v>
      </c>
      <c r="G26" s="50">
        <v>0</v>
      </c>
      <c r="H26" s="50">
        <v>0</v>
      </c>
      <c r="I26" s="50">
        <v>0</v>
      </c>
      <c r="J26" s="50">
        <v>0</v>
      </c>
      <c r="K26" s="50">
        <v>1</v>
      </c>
      <c r="L26" s="50">
        <v>0</v>
      </c>
      <c r="M26" s="50">
        <v>61</v>
      </c>
      <c r="N26" s="50">
        <v>0</v>
      </c>
      <c r="O26" s="15">
        <f t="shared" si="0"/>
        <v>41</v>
      </c>
      <c r="P26" s="15">
        <f t="shared" si="1"/>
        <v>102</v>
      </c>
      <c r="R26" s="28" t="s">
        <v>86</v>
      </c>
      <c r="S26" s="16">
        <f t="shared" ref="S26:AF26" si="18">SUM(S13:S18)</f>
        <v>774</v>
      </c>
      <c r="T26" s="16">
        <f t="shared" si="18"/>
        <v>13</v>
      </c>
      <c r="U26" s="16">
        <f t="shared" si="18"/>
        <v>30</v>
      </c>
      <c r="V26" s="16">
        <f t="shared" si="18"/>
        <v>154</v>
      </c>
      <c r="W26" s="16">
        <f t="shared" si="18"/>
        <v>3</v>
      </c>
      <c r="X26" s="16">
        <f t="shared" si="18"/>
        <v>0</v>
      </c>
      <c r="Y26" s="16">
        <f t="shared" si="18"/>
        <v>32</v>
      </c>
      <c r="Z26" s="16">
        <f t="shared" si="18"/>
        <v>16</v>
      </c>
      <c r="AA26" s="16">
        <f t="shared" si="18"/>
        <v>8</v>
      </c>
      <c r="AB26" s="16">
        <f t="shared" si="18"/>
        <v>2</v>
      </c>
      <c r="AC26" s="16">
        <f t="shared" si="18"/>
        <v>1478</v>
      </c>
      <c r="AD26" s="16">
        <f t="shared" si="18"/>
        <v>1</v>
      </c>
      <c r="AE26" s="32">
        <f t="shared" si="18"/>
        <v>1033</v>
      </c>
      <c r="AF26" s="32">
        <f t="shared" si="18"/>
        <v>2511</v>
      </c>
    </row>
    <row r="27" spans="2:32" ht="23.1" customHeight="1" x14ac:dyDescent="0.25">
      <c r="B27" s="23" t="s">
        <v>54</v>
      </c>
      <c r="C27" s="50">
        <v>39</v>
      </c>
      <c r="D27" s="50">
        <v>0</v>
      </c>
      <c r="E27" s="50">
        <v>2</v>
      </c>
      <c r="F27" s="50">
        <v>4</v>
      </c>
      <c r="G27" s="50">
        <v>0</v>
      </c>
      <c r="H27" s="50">
        <v>0</v>
      </c>
      <c r="I27" s="50">
        <v>0</v>
      </c>
      <c r="J27" s="50">
        <v>3</v>
      </c>
      <c r="K27" s="50">
        <v>1</v>
      </c>
      <c r="L27" s="50">
        <v>0</v>
      </c>
      <c r="M27" s="50">
        <v>60</v>
      </c>
      <c r="N27" s="50">
        <v>0</v>
      </c>
      <c r="O27" s="15">
        <f t="shared" si="0"/>
        <v>49</v>
      </c>
      <c r="P27" s="15">
        <f t="shared" si="1"/>
        <v>109</v>
      </c>
      <c r="R27" s="29" t="s">
        <v>87</v>
      </c>
      <c r="S27" s="16">
        <f t="shared" ref="S27:AF27" si="19">SUM(S19:S21)</f>
        <v>466</v>
      </c>
      <c r="T27" s="16">
        <f t="shared" si="19"/>
        <v>9</v>
      </c>
      <c r="U27" s="16">
        <f t="shared" si="19"/>
        <v>19</v>
      </c>
      <c r="V27" s="16">
        <f t="shared" si="19"/>
        <v>150</v>
      </c>
      <c r="W27" s="16">
        <f t="shared" si="19"/>
        <v>2</v>
      </c>
      <c r="X27" s="16">
        <f t="shared" si="19"/>
        <v>0</v>
      </c>
      <c r="Y27" s="16">
        <f t="shared" si="19"/>
        <v>27</v>
      </c>
      <c r="Z27" s="16">
        <f t="shared" si="19"/>
        <v>4</v>
      </c>
      <c r="AA27" s="16">
        <f t="shared" si="19"/>
        <v>9</v>
      </c>
      <c r="AB27" s="16">
        <f t="shared" si="19"/>
        <v>2</v>
      </c>
      <c r="AC27" s="16">
        <f t="shared" si="19"/>
        <v>772</v>
      </c>
      <c r="AD27" s="16">
        <f t="shared" si="19"/>
        <v>0</v>
      </c>
      <c r="AE27" s="32">
        <f t="shared" si="19"/>
        <v>688</v>
      </c>
      <c r="AF27" s="32">
        <f t="shared" si="19"/>
        <v>1460</v>
      </c>
    </row>
    <row r="28" spans="2:32" ht="23.1" customHeight="1" x14ac:dyDescent="0.25">
      <c r="B28" s="23" t="s">
        <v>55</v>
      </c>
      <c r="C28" s="50">
        <v>22</v>
      </c>
      <c r="D28" s="50">
        <v>0</v>
      </c>
      <c r="E28" s="50">
        <v>0</v>
      </c>
      <c r="F28" s="50">
        <v>4</v>
      </c>
      <c r="G28" s="50">
        <v>1</v>
      </c>
      <c r="H28" s="50">
        <v>0</v>
      </c>
      <c r="I28" s="50">
        <v>2</v>
      </c>
      <c r="J28" s="50">
        <v>0</v>
      </c>
      <c r="K28" s="50">
        <v>1</v>
      </c>
      <c r="L28" s="50">
        <v>0</v>
      </c>
      <c r="M28" s="50">
        <v>44</v>
      </c>
      <c r="N28" s="50">
        <v>0</v>
      </c>
      <c r="O28" s="15">
        <f t="shared" si="0"/>
        <v>30</v>
      </c>
      <c r="P28" s="15">
        <f t="shared" si="1"/>
        <v>74</v>
      </c>
      <c r="R28" s="5" t="s">
        <v>17</v>
      </c>
      <c r="S28" s="16">
        <f t="shared" ref="S28:AF28" si="20">SUM(S10:S21)</f>
        <v>1392</v>
      </c>
      <c r="T28" s="16">
        <f t="shared" si="20"/>
        <v>31</v>
      </c>
      <c r="U28" s="16">
        <f t="shared" si="20"/>
        <v>70</v>
      </c>
      <c r="V28" s="16">
        <f t="shared" si="20"/>
        <v>389</v>
      </c>
      <c r="W28" s="16">
        <f t="shared" si="20"/>
        <v>10</v>
      </c>
      <c r="X28" s="16">
        <f t="shared" si="20"/>
        <v>0</v>
      </c>
      <c r="Y28" s="16">
        <f t="shared" si="20"/>
        <v>72</v>
      </c>
      <c r="Z28" s="16">
        <f t="shared" si="20"/>
        <v>30</v>
      </c>
      <c r="AA28" s="16">
        <f t="shared" si="20"/>
        <v>20</v>
      </c>
      <c r="AB28" s="16">
        <f t="shared" si="20"/>
        <v>7</v>
      </c>
      <c r="AC28" s="16">
        <f t="shared" si="20"/>
        <v>2806</v>
      </c>
      <c r="AD28" s="16">
        <f t="shared" si="20"/>
        <v>1</v>
      </c>
      <c r="AE28" s="32">
        <f t="shared" si="20"/>
        <v>2022</v>
      </c>
      <c r="AF28" s="32">
        <f t="shared" si="20"/>
        <v>4828</v>
      </c>
    </row>
    <row r="29" spans="2:32" ht="23.1" customHeight="1" x14ac:dyDescent="0.25">
      <c r="B29" s="23" t="s">
        <v>56</v>
      </c>
      <c r="C29" s="50">
        <v>12</v>
      </c>
      <c r="D29" s="50">
        <v>0</v>
      </c>
      <c r="E29" s="50">
        <v>0</v>
      </c>
      <c r="F29" s="50">
        <v>4</v>
      </c>
      <c r="G29" s="50">
        <v>0</v>
      </c>
      <c r="H29" s="50">
        <v>0</v>
      </c>
      <c r="I29" s="50">
        <v>4</v>
      </c>
      <c r="J29" s="50">
        <v>2</v>
      </c>
      <c r="K29" s="50">
        <v>1</v>
      </c>
      <c r="L29" s="50">
        <v>0</v>
      </c>
      <c r="M29" s="50">
        <v>49</v>
      </c>
      <c r="N29" s="50">
        <v>0</v>
      </c>
      <c r="O29" s="15">
        <f t="shared" si="0"/>
        <v>23</v>
      </c>
      <c r="P29" s="15">
        <f t="shared" si="1"/>
        <v>72</v>
      </c>
      <c r="R29"/>
      <c r="S29" s="20"/>
      <c r="T29" s="19"/>
    </row>
    <row r="30" spans="2:32" ht="23.1" customHeight="1" x14ac:dyDescent="0.25">
      <c r="B30" s="23" t="s">
        <v>57</v>
      </c>
      <c r="C30" s="50">
        <v>16</v>
      </c>
      <c r="D30" s="50">
        <v>1</v>
      </c>
      <c r="E30" s="50">
        <v>0</v>
      </c>
      <c r="F30" s="50">
        <v>3</v>
      </c>
      <c r="G30" s="50">
        <v>0</v>
      </c>
      <c r="H30" s="50">
        <v>0</v>
      </c>
      <c r="I30" s="50">
        <v>1</v>
      </c>
      <c r="J30" s="50">
        <v>0</v>
      </c>
      <c r="K30" s="50">
        <v>1</v>
      </c>
      <c r="L30" s="50">
        <v>0</v>
      </c>
      <c r="M30" s="50">
        <v>50</v>
      </c>
      <c r="N30" s="50">
        <v>0</v>
      </c>
      <c r="O30" s="15">
        <f t="shared" si="0"/>
        <v>22</v>
      </c>
      <c r="P30" s="15">
        <f t="shared" si="1"/>
        <v>72</v>
      </c>
    </row>
    <row r="31" spans="2:32" ht="23.1" customHeight="1" x14ac:dyDescent="0.25">
      <c r="B31" s="24" t="s">
        <v>58</v>
      </c>
      <c r="C31" s="50">
        <v>37</v>
      </c>
      <c r="D31" s="50">
        <v>4</v>
      </c>
      <c r="E31" s="50">
        <v>1</v>
      </c>
      <c r="F31" s="50">
        <v>6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56</v>
      </c>
      <c r="N31" s="50">
        <v>1</v>
      </c>
      <c r="O31" s="15">
        <f t="shared" si="0"/>
        <v>50</v>
      </c>
      <c r="P31" s="15">
        <f t="shared" si="1"/>
        <v>106</v>
      </c>
    </row>
    <row r="32" spans="2:32" ht="23.1" customHeight="1" x14ac:dyDescent="0.25">
      <c r="B32" s="24" t="s">
        <v>59</v>
      </c>
      <c r="C32" s="50">
        <v>21</v>
      </c>
      <c r="D32" s="50">
        <v>1</v>
      </c>
      <c r="E32" s="50">
        <v>2</v>
      </c>
      <c r="F32" s="50">
        <v>8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0</v>
      </c>
      <c r="M32" s="50">
        <v>45</v>
      </c>
      <c r="N32" s="50">
        <v>0</v>
      </c>
      <c r="O32" s="15">
        <f t="shared" si="0"/>
        <v>33</v>
      </c>
      <c r="P32" s="15">
        <f t="shared" si="1"/>
        <v>78</v>
      </c>
    </row>
    <row r="33" spans="2:20" ht="23.1" customHeight="1" x14ac:dyDescent="0.25">
      <c r="B33" s="23" t="s">
        <v>60</v>
      </c>
      <c r="C33" s="50">
        <v>35</v>
      </c>
      <c r="D33" s="50">
        <v>1</v>
      </c>
      <c r="E33" s="50">
        <v>4</v>
      </c>
      <c r="F33" s="50">
        <v>6</v>
      </c>
      <c r="G33" s="50">
        <v>0</v>
      </c>
      <c r="H33" s="50">
        <v>0</v>
      </c>
      <c r="I33" s="50">
        <v>2</v>
      </c>
      <c r="J33" s="50">
        <v>0</v>
      </c>
      <c r="K33" s="50">
        <v>2</v>
      </c>
      <c r="L33" s="50">
        <v>0</v>
      </c>
      <c r="M33" s="50">
        <v>54</v>
      </c>
      <c r="N33" s="50">
        <v>0</v>
      </c>
      <c r="O33" s="15">
        <f t="shared" si="0"/>
        <v>50</v>
      </c>
      <c r="P33" s="15">
        <f t="shared" si="1"/>
        <v>104</v>
      </c>
    </row>
    <row r="34" spans="2:20" ht="23.1" customHeight="1" x14ac:dyDescent="0.25">
      <c r="B34" s="24" t="s">
        <v>61</v>
      </c>
      <c r="C34" s="50">
        <v>42</v>
      </c>
      <c r="D34" s="50">
        <v>0</v>
      </c>
      <c r="E34" s="50">
        <v>5</v>
      </c>
      <c r="F34" s="50">
        <v>12</v>
      </c>
      <c r="G34" s="50">
        <v>0</v>
      </c>
      <c r="H34" s="50">
        <v>0</v>
      </c>
      <c r="I34" s="50">
        <v>1</v>
      </c>
      <c r="J34" s="50">
        <v>1</v>
      </c>
      <c r="K34" s="50">
        <v>0</v>
      </c>
      <c r="L34" s="50">
        <v>0</v>
      </c>
      <c r="M34" s="50">
        <v>63</v>
      </c>
      <c r="N34" s="50">
        <v>0</v>
      </c>
      <c r="O34" s="15">
        <f t="shared" si="0"/>
        <v>61</v>
      </c>
      <c r="P34" s="15">
        <f t="shared" si="1"/>
        <v>124</v>
      </c>
    </row>
    <row r="35" spans="2:20" ht="23.1" customHeight="1" x14ac:dyDescent="0.25">
      <c r="B35" s="24" t="s">
        <v>62</v>
      </c>
      <c r="C35" s="50">
        <v>28</v>
      </c>
      <c r="D35" s="50">
        <v>0</v>
      </c>
      <c r="E35" s="50">
        <v>0</v>
      </c>
      <c r="F35" s="50">
        <v>2</v>
      </c>
      <c r="G35" s="50">
        <v>0</v>
      </c>
      <c r="H35" s="50">
        <v>0</v>
      </c>
      <c r="I35" s="50">
        <v>3</v>
      </c>
      <c r="J35" s="50">
        <v>0</v>
      </c>
      <c r="K35" s="50">
        <v>0</v>
      </c>
      <c r="L35" s="50">
        <v>0</v>
      </c>
      <c r="M35" s="50">
        <v>63</v>
      </c>
      <c r="N35" s="50">
        <v>0</v>
      </c>
      <c r="O35" s="15">
        <f t="shared" si="0"/>
        <v>33</v>
      </c>
      <c r="P35" s="15">
        <f t="shared" si="1"/>
        <v>96</v>
      </c>
    </row>
    <row r="36" spans="2:20" ht="23.1" customHeight="1" x14ac:dyDescent="0.25">
      <c r="B36" s="24" t="s">
        <v>63</v>
      </c>
      <c r="C36" s="50">
        <v>41</v>
      </c>
      <c r="D36" s="50">
        <v>1</v>
      </c>
      <c r="E36" s="50">
        <v>2</v>
      </c>
      <c r="F36" s="50">
        <v>4</v>
      </c>
      <c r="G36" s="50">
        <v>0</v>
      </c>
      <c r="H36" s="50">
        <v>0</v>
      </c>
      <c r="I36" s="50">
        <v>1</v>
      </c>
      <c r="J36" s="50">
        <v>2</v>
      </c>
      <c r="K36" s="50">
        <v>0</v>
      </c>
      <c r="L36" s="50">
        <v>0</v>
      </c>
      <c r="M36" s="50">
        <v>87</v>
      </c>
      <c r="N36" s="50">
        <v>0</v>
      </c>
      <c r="O36" s="15">
        <f t="shared" si="0"/>
        <v>51</v>
      </c>
      <c r="P36" s="15">
        <f t="shared" si="1"/>
        <v>138</v>
      </c>
    </row>
    <row r="37" spans="2:20" ht="23.1" customHeight="1" x14ac:dyDescent="0.25">
      <c r="B37" s="23" t="s">
        <v>64</v>
      </c>
      <c r="C37" s="50">
        <v>34</v>
      </c>
      <c r="D37" s="50">
        <v>0</v>
      </c>
      <c r="E37" s="50">
        <v>0</v>
      </c>
      <c r="F37" s="50">
        <v>9</v>
      </c>
      <c r="G37" s="50">
        <v>0</v>
      </c>
      <c r="H37" s="50">
        <v>0</v>
      </c>
      <c r="I37" s="50">
        <v>1</v>
      </c>
      <c r="J37" s="50">
        <v>0</v>
      </c>
      <c r="K37" s="50">
        <v>1</v>
      </c>
      <c r="L37" s="50">
        <v>1</v>
      </c>
      <c r="M37" s="50">
        <v>84</v>
      </c>
      <c r="N37" s="50">
        <v>0</v>
      </c>
      <c r="O37" s="15">
        <f t="shared" si="0"/>
        <v>46</v>
      </c>
      <c r="P37" s="15">
        <f t="shared" si="1"/>
        <v>130</v>
      </c>
    </row>
    <row r="38" spans="2:20" ht="23.1" customHeight="1" x14ac:dyDescent="0.25">
      <c r="B38" s="24" t="s">
        <v>65</v>
      </c>
      <c r="C38" s="50">
        <v>37</v>
      </c>
      <c r="D38" s="50">
        <v>0</v>
      </c>
      <c r="E38" s="50">
        <v>2</v>
      </c>
      <c r="F38" s="50">
        <v>2</v>
      </c>
      <c r="G38" s="50">
        <v>1</v>
      </c>
      <c r="H38" s="50">
        <v>0</v>
      </c>
      <c r="I38" s="50">
        <v>3</v>
      </c>
      <c r="J38" s="50">
        <v>0</v>
      </c>
      <c r="K38" s="50">
        <v>0</v>
      </c>
      <c r="L38" s="50">
        <v>0</v>
      </c>
      <c r="M38" s="50">
        <v>74</v>
      </c>
      <c r="N38" s="50">
        <v>0</v>
      </c>
      <c r="O38" s="15">
        <f t="shared" si="0"/>
        <v>45</v>
      </c>
      <c r="P38" s="15">
        <f t="shared" si="1"/>
        <v>119</v>
      </c>
    </row>
    <row r="39" spans="2:20" ht="23.1" customHeight="1" x14ac:dyDescent="0.25">
      <c r="B39" s="24" t="s">
        <v>66</v>
      </c>
      <c r="C39" s="50">
        <v>28</v>
      </c>
      <c r="D39" s="50">
        <v>1</v>
      </c>
      <c r="E39" s="50">
        <v>0</v>
      </c>
      <c r="F39" s="50">
        <v>3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65</v>
      </c>
      <c r="N39" s="50">
        <v>0</v>
      </c>
      <c r="O39" s="15">
        <f t="shared" si="0"/>
        <v>33</v>
      </c>
      <c r="P39" s="15">
        <f t="shared" si="1"/>
        <v>98</v>
      </c>
    </row>
    <row r="40" spans="2:20" ht="23.1" customHeight="1" x14ac:dyDescent="0.25">
      <c r="B40" s="24" t="s">
        <v>67</v>
      </c>
      <c r="C40" s="50">
        <v>43</v>
      </c>
      <c r="D40" s="50">
        <v>0</v>
      </c>
      <c r="E40" s="50">
        <v>0</v>
      </c>
      <c r="F40" s="50">
        <v>1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88</v>
      </c>
      <c r="N40" s="50">
        <v>0</v>
      </c>
      <c r="O40" s="15">
        <f t="shared" si="0"/>
        <v>45</v>
      </c>
      <c r="P40" s="15">
        <f t="shared" si="1"/>
        <v>133</v>
      </c>
    </row>
    <row r="41" spans="2:20" ht="23.1" customHeight="1" x14ac:dyDescent="0.25">
      <c r="B41" s="23" t="s">
        <v>68</v>
      </c>
      <c r="C41" s="50">
        <v>59</v>
      </c>
      <c r="D41" s="50">
        <v>0</v>
      </c>
      <c r="E41" s="50">
        <v>2</v>
      </c>
      <c r="F41" s="50">
        <v>7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87</v>
      </c>
      <c r="N41" s="50">
        <v>0</v>
      </c>
      <c r="O41" s="15">
        <f t="shared" si="0"/>
        <v>68</v>
      </c>
      <c r="P41" s="15">
        <f t="shared" si="1"/>
        <v>155</v>
      </c>
    </row>
    <row r="42" spans="2:20" ht="23.1" customHeight="1" x14ac:dyDescent="0.25">
      <c r="B42" s="24" t="s">
        <v>69</v>
      </c>
      <c r="C42" s="50">
        <v>45</v>
      </c>
      <c r="D42" s="50">
        <v>0</v>
      </c>
      <c r="E42" s="50">
        <v>3</v>
      </c>
      <c r="F42" s="50">
        <v>4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64</v>
      </c>
      <c r="N42" s="50">
        <v>0</v>
      </c>
      <c r="O42" s="15">
        <f t="shared" si="0"/>
        <v>52</v>
      </c>
      <c r="P42" s="15">
        <f t="shared" si="1"/>
        <v>116</v>
      </c>
    </row>
    <row r="43" spans="2:20" ht="23.1" customHeight="1" x14ac:dyDescent="0.25">
      <c r="B43" s="23" t="s">
        <v>70</v>
      </c>
      <c r="C43" s="50">
        <v>26</v>
      </c>
      <c r="D43" s="50">
        <v>0</v>
      </c>
      <c r="E43" s="50">
        <v>1</v>
      </c>
      <c r="F43" s="50">
        <v>7</v>
      </c>
      <c r="G43" s="50">
        <v>0</v>
      </c>
      <c r="H43" s="50">
        <v>0</v>
      </c>
      <c r="I43" s="50">
        <v>4</v>
      </c>
      <c r="J43" s="50">
        <v>0</v>
      </c>
      <c r="K43" s="50">
        <v>0</v>
      </c>
      <c r="L43" s="50">
        <v>0</v>
      </c>
      <c r="M43" s="50">
        <v>40</v>
      </c>
      <c r="N43" s="50">
        <v>0</v>
      </c>
      <c r="O43" s="15">
        <f t="shared" si="0"/>
        <v>38</v>
      </c>
      <c r="P43" s="15">
        <f t="shared" si="1"/>
        <v>78</v>
      </c>
    </row>
    <row r="44" spans="2:20" ht="23.1" customHeight="1" x14ac:dyDescent="0.25">
      <c r="B44" s="25" t="s">
        <v>71</v>
      </c>
      <c r="C44" s="50">
        <v>39</v>
      </c>
      <c r="D44" s="50">
        <v>0</v>
      </c>
      <c r="E44" s="50">
        <v>0</v>
      </c>
      <c r="F44" s="50">
        <v>2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75</v>
      </c>
      <c r="N44" s="50">
        <v>0</v>
      </c>
      <c r="O44" s="15">
        <f t="shared" si="0"/>
        <v>42</v>
      </c>
      <c r="P44" s="15">
        <f t="shared" si="1"/>
        <v>117</v>
      </c>
    </row>
    <row r="45" spans="2:20" ht="23.1" customHeight="1" x14ac:dyDescent="0.25">
      <c r="B45" s="23" t="s">
        <v>72</v>
      </c>
      <c r="C45" s="50">
        <v>56</v>
      </c>
      <c r="D45" s="50">
        <v>0</v>
      </c>
      <c r="E45" s="50">
        <v>2</v>
      </c>
      <c r="F45" s="50">
        <v>29</v>
      </c>
      <c r="G45" s="50">
        <v>0</v>
      </c>
      <c r="H45" s="50">
        <v>0</v>
      </c>
      <c r="I45" s="50">
        <v>1</v>
      </c>
      <c r="J45" s="50">
        <v>3</v>
      </c>
      <c r="K45" s="50">
        <v>0</v>
      </c>
      <c r="L45" s="50">
        <v>0</v>
      </c>
      <c r="M45" s="50">
        <v>62</v>
      </c>
      <c r="N45" s="50">
        <v>0</v>
      </c>
      <c r="O45" s="15">
        <f t="shared" si="0"/>
        <v>91</v>
      </c>
      <c r="P45" s="15">
        <f t="shared" si="1"/>
        <v>153</v>
      </c>
    </row>
    <row r="46" spans="2:20" ht="23.1" customHeight="1" x14ac:dyDescent="0.25">
      <c r="B46" s="24" t="s">
        <v>73</v>
      </c>
      <c r="C46" s="50">
        <v>24</v>
      </c>
      <c r="D46" s="50">
        <v>3</v>
      </c>
      <c r="E46" s="50">
        <v>4</v>
      </c>
      <c r="F46" s="50">
        <v>6</v>
      </c>
      <c r="G46" s="50">
        <v>1</v>
      </c>
      <c r="H46" s="50">
        <v>0</v>
      </c>
      <c r="I46" s="50">
        <v>1</v>
      </c>
      <c r="J46" s="50">
        <v>1</v>
      </c>
      <c r="K46" s="50">
        <v>1</v>
      </c>
      <c r="L46" s="50">
        <v>0</v>
      </c>
      <c r="M46" s="50">
        <v>58</v>
      </c>
      <c r="N46" s="50">
        <v>0</v>
      </c>
      <c r="O46" s="15">
        <f t="shared" si="0"/>
        <v>41</v>
      </c>
      <c r="P46" s="15">
        <f t="shared" si="1"/>
        <v>99</v>
      </c>
      <c r="R46" s="8"/>
      <c r="T46"/>
    </row>
    <row r="47" spans="2:20" ht="23.1" customHeight="1" x14ac:dyDescent="0.25">
      <c r="B47" s="24" t="s">
        <v>74</v>
      </c>
      <c r="C47" s="50">
        <v>29</v>
      </c>
      <c r="D47" s="50">
        <v>4</v>
      </c>
      <c r="E47" s="50">
        <v>2</v>
      </c>
      <c r="F47" s="50">
        <v>1</v>
      </c>
      <c r="G47" s="50">
        <v>1</v>
      </c>
      <c r="H47" s="50">
        <v>0</v>
      </c>
      <c r="I47" s="50">
        <v>3</v>
      </c>
      <c r="J47" s="50">
        <v>1</v>
      </c>
      <c r="K47" s="50">
        <v>0</v>
      </c>
      <c r="L47" s="50">
        <v>1</v>
      </c>
      <c r="M47" s="50">
        <v>39</v>
      </c>
      <c r="N47" s="50">
        <v>0</v>
      </c>
      <c r="O47" s="15">
        <f t="shared" si="0"/>
        <v>42</v>
      </c>
      <c r="P47" s="15">
        <f t="shared" si="1"/>
        <v>81</v>
      </c>
      <c r="R47" s="8"/>
      <c r="T47"/>
    </row>
    <row r="48" spans="2:20" ht="23.1" customHeight="1" x14ac:dyDescent="0.25">
      <c r="B48" s="24" t="s">
        <v>75</v>
      </c>
      <c r="C48" s="50">
        <v>53</v>
      </c>
      <c r="D48" s="50">
        <v>0</v>
      </c>
      <c r="E48" s="50">
        <v>0</v>
      </c>
      <c r="F48" s="50">
        <v>18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46</v>
      </c>
      <c r="N48" s="50">
        <v>0</v>
      </c>
      <c r="O48" s="15">
        <f t="shared" si="0"/>
        <v>73</v>
      </c>
      <c r="P48" s="15">
        <f t="shared" si="1"/>
        <v>119</v>
      </c>
      <c r="R48" s="8"/>
      <c r="T48"/>
    </row>
    <row r="49" spans="2:20" ht="23.1" customHeight="1" x14ac:dyDescent="0.25">
      <c r="B49" s="23" t="s">
        <v>76</v>
      </c>
      <c r="C49" s="50">
        <v>42</v>
      </c>
      <c r="D49" s="50">
        <v>1</v>
      </c>
      <c r="E49" s="50">
        <v>3</v>
      </c>
      <c r="F49" s="50">
        <v>2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1</v>
      </c>
      <c r="M49" s="50">
        <v>72</v>
      </c>
      <c r="N49" s="50">
        <v>0</v>
      </c>
      <c r="O49" s="15">
        <f t="shared" si="0"/>
        <v>49</v>
      </c>
      <c r="P49" s="15">
        <f t="shared" si="1"/>
        <v>121</v>
      </c>
      <c r="R49" s="8"/>
      <c r="T49"/>
    </row>
    <row r="50" spans="2:20" ht="23.1" customHeight="1" x14ac:dyDescent="0.25">
      <c r="B50" s="24" t="s">
        <v>77</v>
      </c>
      <c r="C50" s="50">
        <v>38</v>
      </c>
      <c r="D50" s="50">
        <v>0</v>
      </c>
      <c r="E50" s="50">
        <v>1</v>
      </c>
      <c r="F50" s="50">
        <v>12</v>
      </c>
      <c r="G50" s="50">
        <v>0</v>
      </c>
      <c r="H50" s="50">
        <v>0</v>
      </c>
      <c r="I50" s="50">
        <v>0</v>
      </c>
      <c r="J50" s="50">
        <v>0</v>
      </c>
      <c r="K50" s="50">
        <v>1</v>
      </c>
      <c r="L50" s="50">
        <v>0</v>
      </c>
      <c r="M50" s="50">
        <v>66</v>
      </c>
      <c r="N50" s="50">
        <v>0</v>
      </c>
      <c r="O50" s="15">
        <f t="shared" si="0"/>
        <v>52</v>
      </c>
      <c r="P50" s="15">
        <f t="shared" si="1"/>
        <v>118</v>
      </c>
      <c r="R50" s="8"/>
      <c r="T50"/>
    </row>
    <row r="51" spans="2:20" ht="23.1" customHeight="1" x14ac:dyDescent="0.25">
      <c r="B51" s="24" t="s">
        <v>78</v>
      </c>
      <c r="C51" s="50">
        <v>22</v>
      </c>
      <c r="D51" s="50">
        <v>0</v>
      </c>
      <c r="E51" s="50">
        <v>1</v>
      </c>
      <c r="F51" s="50">
        <v>2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80</v>
      </c>
      <c r="N51" s="50">
        <v>0</v>
      </c>
      <c r="O51" s="15">
        <f t="shared" si="0"/>
        <v>26</v>
      </c>
      <c r="P51" s="15">
        <f t="shared" si="1"/>
        <v>106</v>
      </c>
      <c r="R51" s="8"/>
      <c r="T51"/>
    </row>
    <row r="52" spans="2:20" ht="23.1" customHeight="1" x14ac:dyDescent="0.25">
      <c r="B52" s="24" t="s">
        <v>79</v>
      </c>
      <c r="C52" s="50">
        <v>41</v>
      </c>
      <c r="D52" s="50">
        <v>0</v>
      </c>
      <c r="E52" s="50">
        <v>0</v>
      </c>
      <c r="F52" s="50">
        <v>7</v>
      </c>
      <c r="G52" s="50">
        <v>0</v>
      </c>
      <c r="H52" s="50">
        <v>0</v>
      </c>
      <c r="I52" s="50">
        <v>4</v>
      </c>
      <c r="J52" s="50">
        <v>1</v>
      </c>
      <c r="K52" s="50">
        <v>0</v>
      </c>
      <c r="L52" s="50">
        <v>0</v>
      </c>
      <c r="M52" s="50">
        <v>68</v>
      </c>
      <c r="N52" s="50">
        <v>0</v>
      </c>
      <c r="O52" s="15">
        <f t="shared" si="0"/>
        <v>53</v>
      </c>
      <c r="P52" s="15">
        <f t="shared" si="1"/>
        <v>121</v>
      </c>
      <c r="R52" s="8"/>
      <c r="T52"/>
    </row>
    <row r="53" spans="2:20" ht="23.1" customHeight="1" x14ac:dyDescent="0.25">
      <c r="B53" s="23" t="s">
        <v>80</v>
      </c>
      <c r="C53" s="50">
        <v>51</v>
      </c>
      <c r="D53" s="50">
        <v>0</v>
      </c>
      <c r="E53" s="50">
        <v>2</v>
      </c>
      <c r="F53" s="50">
        <v>22</v>
      </c>
      <c r="G53" s="50">
        <v>0</v>
      </c>
      <c r="H53" s="50">
        <v>0</v>
      </c>
      <c r="I53" s="50">
        <v>7</v>
      </c>
      <c r="J53" s="50">
        <v>1</v>
      </c>
      <c r="K53" s="50">
        <v>0</v>
      </c>
      <c r="L53" s="50">
        <v>0</v>
      </c>
      <c r="M53" s="50">
        <v>75</v>
      </c>
      <c r="N53" s="50">
        <v>0</v>
      </c>
      <c r="O53" s="15">
        <f t="shared" si="0"/>
        <v>83</v>
      </c>
      <c r="P53" s="15">
        <f t="shared" si="1"/>
        <v>158</v>
      </c>
      <c r="R53" s="8"/>
      <c r="T53"/>
    </row>
    <row r="54" spans="2:20" ht="23.1" customHeight="1" x14ac:dyDescent="0.25">
      <c r="B54" s="23" t="s">
        <v>81</v>
      </c>
      <c r="C54" s="50">
        <v>33</v>
      </c>
      <c r="D54" s="50">
        <v>1</v>
      </c>
      <c r="E54" s="50">
        <v>3</v>
      </c>
      <c r="F54" s="50">
        <v>8</v>
      </c>
      <c r="G54" s="50">
        <v>0</v>
      </c>
      <c r="H54" s="50">
        <v>0</v>
      </c>
      <c r="I54" s="50">
        <v>3</v>
      </c>
      <c r="J54" s="50">
        <v>0</v>
      </c>
      <c r="K54" s="50">
        <v>3</v>
      </c>
      <c r="L54" s="50">
        <v>0</v>
      </c>
      <c r="M54" s="50">
        <v>77</v>
      </c>
      <c r="N54" s="50">
        <v>0</v>
      </c>
      <c r="O54" s="15">
        <f t="shared" si="0"/>
        <v>51</v>
      </c>
      <c r="P54" s="15">
        <f t="shared" si="1"/>
        <v>128</v>
      </c>
      <c r="R54" s="8"/>
      <c r="T54"/>
    </row>
    <row r="55" spans="2:20" ht="23.1" customHeight="1" x14ac:dyDescent="0.25">
      <c r="B55" s="23" t="s">
        <v>82</v>
      </c>
      <c r="C55" s="50">
        <v>57</v>
      </c>
      <c r="D55" s="50">
        <v>0</v>
      </c>
      <c r="E55" s="50">
        <v>1</v>
      </c>
      <c r="F55" s="50">
        <v>14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89</v>
      </c>
      <c r="N55" s="50">
        <v>0</v>
      </c>
      <c r="O55" s="15">
        <f t="shared" si="0"/>
        <v>74</v>
      </c>
      <c r="P55" s="15">
        <f t="shared" si="1"/>
        <v>163</v>
      </c>
      <c r="R55" s="8"/>
      <c r="T55"/>
    </row>
    <row r="56" spans="2:20" ht="23.1" customHeight="1" x14ac:dyDescent="0.25">
      <c r="B56" s="23" t="s">
        <v>83</v>
      </c>
      <c r="C56" s="50">
        <v>30</v>
      </c>
      <c r="D56" s="50">
        <v>0</v>
      </c>
      <c r="E56" s="50">
        <v>0</v>
      </c>
      <c r="F56" s="50">
        <v>26</v>
      </c>
      <c r="G56" s="50">
        <v>0</v>
      </c>
      <c r="H56" s="50">
        <v>0</v>
      </c>
      <c r="I56" s="50">
        <v>4</v>
      </c>
      <c r="J56" s="50">
        <v>0</v>
      </c>
      <c r="K56" s="50">
        <v>3</v>
      </c>
      <c r="L56" s="50">
        <v>0</v>
      </c>
      <c r="M56" s="50">
        <v>53</v>
      </c>
      <c r="N56" s="50">
        <v>0</v>
      </c>
      <c r="O56" s="15">
        <f t="shared" si="0"/>
        <v>63</v>
      </c>
      <c r="P56" s="15">
        <f t="shared" si="1"/>
        <v>116</v>
      </c>
      <c r="R56" s="8"/>
      <c r="T56"/>
    </row>
    <row r="57" spans="2:20" ht="23.1" customHeight="1" x14ac:dyDescent="0.25">
      <c r="B57" s="23" t="s">
        <v>84</v>
      </c>
      <c r="C57" s="50">
        <v>46</v>
      </c>
      <c r="D57" s="50">
        <v>0</v>
      </c>
      <c r="E57" s="50">
        <v>2</v>
      </c>
      <c r="F57" s="50">
        <v>32</v>
      </c>
      <c r="G57" s="50">
        <v>0</v>
      </c>
      <c r="H57" s="50">
        <v>0</v>
      </c>
      <c r="I57" s="50">
        <v>0</v>
      </c>
      <c r="J57" s="50">
        <v>0</v>
      </c>
      <c r="K57" s="50">
        <v>1</v>
      </c>
      <c r="L57" s="50">
        <v>0</v>
      </c>
      <c r="M57" s="50">
        <v>49</v>
      </c>
      <c r="N57" s="50">
        <v>0</v>
      </c>
      <c r="O57" s="15">
        <f t="shared" si="0"/>
        <v>81</v>
      </c>
      <c r="P57" s="15">
        <f t="shared" si="1"/>
        <v>130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1392</v>
      </c>
      <c r="D58" s="16">
        <f t="shared" si="21"/>
        <v>31</v>
      </c>
      <c r="E58" s="16">
        <f t="shared" si="21"/>
        <v>70</v>
      </c>
      <c r="F58" s="16">
        <f t="shared" si="21"/>
        <v>389</v>
      </c>
      <c r="G58" s="16">
        <f t="shared" si="21"/>
        <v>10</v>
      </c>
      <c r="H58" s="16">
        <f t="shared" si="21"/>
        <v>0</v>
      </c>
      <c r="I58" s="16">
        <f t="shared" si="21"/>
        <v>72</v>
      </c>
      <c r="J58" s="16">
        <f t="shared" si="21"/>
        <v>30</v>
      </c>
      <c r="K58" s="16">
        <f t="shared" si="21"/>
        <v>20</v>
      </c>
      <c r="L58" s="16">
        <f t="shared" si="21"/>
        <v>7</v>
      </c>
      <c r="M58" s="16">
        <f t="shared" si="21"/>
        <v>2806</v>
      </c>
      <c r="N58" s="16">
        <f t="shared" si="21"/>
        <v>1</v>
      </c>
      <c r="O58" s="16">
        <f t="shared" si="21"/>
        <v>2022</v>
      </c>
      <c r="P58" s="16">
        <f t="shared" si="21"/>
        <v>4828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0.28831814415907209</v>
      </c>
      <c r="D59" s="43">
        <f t="shared" si="22"/>
        <v>6.420878210439105E-3</v>
      </c>
      <c r="E59" s="43">
        <f t="shared" si="22"/>
        <v>1.4498757249378625E-2</v>
      </c>
      <c r="F59" s="43">
        <f t="shared" si="22"/>
        <v>8.0571665285832636E-2</v>
      </c>
      <c r="G59" s="43">
        <f t="shared" si="22"/>
        <v>2.0712510356255178E-3</v>
      </c>
      <c r="H59" s="43">
        <f t="shared" si="22"/>
        <v>0</v>
      </c>
      <c r="I59" s="43">
        <f t="shared" si="22"/>
        <v>1.4913007456503728E-2</v>
      </c>
      <c r="J59" s="43">
        <f t="shared" si="22"/>
        <v>6.2137531068765534E-3</v>
      </c>
      <c r="K59" s="43">
        <f t="shared" si="22"/>
        <v>4.1425020712510356E-3</v>
      </c>
      <c r="L59" s="43">
        <f t="shared" si="22"/>
        <v>1.4498757249378626E-3</v>
      </c>
      <c r="M59" s="43">
        <f t="shared" si="22"/>
        <v>0.58119304059652033</v>
      </c>
      <c r="N59" s="43">
        <f t="shared" si="22"/>
        <v>2.0712510356255177E-4</v>
      </c>
      <c r="R59" s="8"/>
      <c r="T59"/>
    </row>
    <row r="60" spans="2:20" ht="23.1" customHeight="1" x14ac:dyDescent="0.25">
      <c r="B60" s="42" t="s">
        <v>94</v>
      </c>
      <c r="C60" s="44">
        <f>C58/$O$58</f>
        <v>0.68842729970326411</v>
      </c>
      <c r="D60" s="44">
        <f t="shared" ref="D60:N60" si="23">D58/$O$58</f>
        <v>1.5331355093966371E-2</v>
      </c>
      <c r="E60" s="44">
        <f t="shared" si="23"/>
        <v>3.4619188921859542E-2</v>
      </c>
      <c r="F60" s="44">
        <f t="shared" si="23"/>
        <v>0.1923837784371909</v>
      </c>
      <c r="G60" s="44">
        <f t="shared" si="23"/>
        <v>4.945598417408506E-3</v>
      </c>
      <c r="H60" s="44">
        <f t="shared" si="23"/>
        <v>0</v>
      </c>
      <c r="I60" s="44">
        <f t="shared" si="23"/>
        <v>3.5608308605341248E-2</v>
      </c>
      <c r="J60" s="44">
        <f t="shared" si="23"/>
        <v>1.483679525222552E-2</v>
      </c>
      <c r="K60" s="44">
        <f t="shared" si="23"/>
        <v>9.8911968348170121E-3</v>
      </c>
      <c r="L60" s="44">
        <f t="shared" si="23"/>
        <v>3.4619188921859545E-3</v>
      </c>
      <c r="M60" s="44"/>
      <c r="N60" s="44">
        <f t="shared" si="23"/>
        <v>4.9455984174085062E-4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AH33" sqref="AH3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'22.07 Nyanama-Ndeeba'!C3:G3</f>
        <v>MCC - C1 - STN04 - WERAGA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'28.07 Ndeeba-Nyanama'!D5</f>
        <v>28.07.19</v>
      </c>
      <c r="E5" s="3"/>
      <c r="F5" s="41" t="s">
        <v>1</v>
      </c>
      <c r="G5" s="68" t="str">
        <f>'28.07 Ndeeba-Nyanama'!G5:H5</f>
        <v>Golden Mille Hotel</v>
      </c>
      <c r="H5" s="69"/>
      <c r="I5" s="14"/>
      <c r="J5" s="2" t="s">
        <v>5</v>
      </c>
      <c r="K5" s="68" t="s">
        <v>175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tr">
        <f>'22.07 Nyanama-Ndeeba'!D6:E6</f>
        <v>Nyanama</v>
      </c>
      <c r="E6" s="69"/>
      <c r="F6" s="2" t="s">
        <v>2</v>
      </c>
      <c r="G6" s="68" t="str">
        <f>'22.07 Nyanama-Ndeeba'!G6:H6</f>
        <v>Ndeeba</v>
      </c>
      <c r="H6" s="69"/>
      <c r="J6" s="2" t="s">
        <v>21</v>
      </c>
      <c r="K6" s="68" t="str">
        <f>'28.07 Ndeeba-Nyanama'!K6:L6</f>
        <v>Denis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12</v>
      </c>
      <c r="D10" s="50">
        <v>1</v>
      </c>
      <c r="E10" s="50">
        <v>2</v>
      </c>
      <c r="F10" s="50">
        <v>5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52</v>
      </c>
      <c r="N10" s="50">
        <v>0</v>
      </c>
      <c r="O10" s="15">
        <f t="shared" ref="O10:O57" si="0">SUM(C10:L10,N10)</f>
        <v>20</v>
      </c>
      <c r="P10" s="15">
        <f t="shared" ref="P10:P57" si="1">SUM(C10:N10)</f>
        <v>72</v>
      </c>
      <c r="R10" s="1" t="s">
        <v>6</v>
      </c>
      <c r="S10" s="17">
        <f t="shared" ref="S10:AF10" si="2">SUM(C10:C13)</f>
        <v>72</v>
      </c>
      <c r="T10" s="17">
        <f t="shared" si="2"/>
        <v>5</v>
      </c>
      <c r="U10" s="17">
        <f t="shared" si="2"/>
        <v>11</v>
      </c>
      <c r="V10" s="17">
        <f t="shared" si="2"/>
        <v>25</v>
      </c>
      <c r="W10" s="17">
        <f t="shared" si="2"/>
        <v>0</v>
      </c>
      <c r="X10" s="17">
        <f t="shared" si="2"/>
        <v>0</v>
      </c>
      <c r="Y10" s="17">
        <f t="shared" si="2"/>
        <v>9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268</v>
      </c>
      <c r="AD10" s="17">
        <f t="shared" si="2"/>
        <v>0</v>
      </c>
      <c r="AE10" s="31">
        <f t="shared" si="2"/>
        <v>122</v>
      </c>
      <c r="AF10" s="31">
        <f t="shared" si="2"/>
        <v>390</v>
      </c>
    </row>
    <row r="11" spans="2:32" s="6" customFormat="1" ht="23.1" customHeight="1" x14ac:dyDescent="0.25">
      <c r="B11" s="23" t="s">
        <v>38</v>
      </c>
      <c r="C11" s="50">
        <v>17</v>
      </c>
      <c r="D11" s="50">
        <v>0</v>
      </c>
      <c r="E11" s="50">
        <v>1</v>
      </c>
      <c r="F11" s="50">
        <v>7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57</v>
      </c>
      <c r="N11" s="50">
        <v>0</v>
      </c>
      <c r="O11" s="15">
        <f t="shared" si="0"/>
        <v>26</v>
      </c>
      <c r="P11" s="15">
        <f t="shared" si="1"/>
        <v>83</v>
      </c>
      <c r="R11" s="1" t="s">
        <v>7</v>
      </c>
      <c r="S11" s="17">
        <f t="shared" ref="S11:AF11" si="3">SUM(C14:C17)</f>
        <v>128</v>
      </c>
      <c r="T11" s="17">
        <f t="shared" si="3"/>
        <v>17</v>
      </c>
      <c r="U11" s="17">
        <f t="shared" si="3"/>
        <v>11</v>
      </c>
      <c r="V11" s="17">
        <f t="shared" si="3"/>
        <v>35</v>
      </c>
      <c r="W11" s="17">
        <f t="shared" si="3"/>
        <v>3</v>
      </c>
      <c r="X11" s="17">
        <f t="shared" si="3"/>
        <v>0</v>
      </c>
      <c r="Y11" s="17">
        <f t="shared" si="3"/>
        <v>9</v>
      </c>
      <c r="Z11" s="17">
        <f t="shared" si="3"/>
        <v>0</v>
      </c>
      <c r="AA11" s="17">
        <f t="shared" si="3"/>
        <v>1</v>
      </c>
      <c r="AB11" s="17">
        <f t="shared" si="3"/>
        <v>0</v>
      </c>
      <c r="AC11" s="17">
        <f t="shared" si="3"/>
        <v>378</v>
      </c>
      <c r="AD11" s="17">
        <f t="shared" si="3"/>
        <v>0</v>
      </c>
      <c r="AE11" s="31">
        <f t="shared" si="3"/>
        <v>204</v>
      </c>
      <c r="AF11" s="31">
        <f t="shared" si="3"/>
        <v>582</v>
      </c>
    </row>
    <row r="12" spans="2:32" ht="23.1" customHeight="1" x14ac:dyDescent="0.25">
      <c r="B12" s="23" t="s">
        <v>39</v>
      </c>
      <c r="C12" s="50">
        <v>20</v>
      </c>
      <c r="D12" s="50">
        <v>2</v>
      </c>
      <c r="E12" s="50">
        <v>5</v>
      </c>
      <c r="F12" s="50">
        <v>9</v>
      </c>
      <c r="G12" s="50">
        <v>0</v>
      </c>
      <c r="H12" s="50">
        <v>0</v>
      </c>
      <c r="I12" s="50">
        <v>4</v>
      </c>
      <c r="J12" s="50">
        <v>0</v>
      </c>
      <c r="K12" s="50">
        <v>0</v>
      </c>
      <c r="L12" s="50">
        <v>0</v>
      </c>
      <c r="M12" s="50">
        <v>66</v>
      </c>
      <c r="N12" s="50">
        <v>0</v>
      </c>
      <c r="O12" s="15">
        <f t="shared" si="0"/>
        <v>40</v>
      </c>
      <c r="P12" s="15">
        <f t="shared" si="1"/>
        <v>106</v>
      </c>
      <c r="R12" s="1" t="s">
        <v>8</v>
      </c>
      <c r="S12" s="17">
        <f t="shared" ref="S12:AF12" si="4">SUM(C18:C21)</f>
        <v>158</v>
      </c>
      <c r="T12" s="17">
        <f t="shared" si="4"/>
        <v>22</v>
      </c>
      <c r="U12" s="17">
        <f t="shared" si="4"/>
        <v>15</v>
      </c>
      <c r="V12" s="17">
        <f t="shared" si="4"/>
        <v>40</v>
      </c>
      <c r="W12" s="17">
        <f t="shared" si="4"/>
        <v>0</v>
      </c>
      <c r="X12" s="17">
        <f t="shared" si="4"/>
        <v>0</v>
      </c>
      <c r="Y12" s="17">
        <f t="shared" si="4"/>
        <v>18</v>
      </c>
      <c r="Z12" s="17">
        <f t="shared" si="4"/>
        <v>10</v>
      </c>
      <c r="AA12" s="17">
        <f t="shared" si="4"/>
        <v>0</v>
      </c>
      <c r="AB12" s="17">
        <f t="shared" si="4"/>
        <v>0</v>
      </c>
      <c r="AC12" s="17">
        <f t="shared" si="4"/>
        <v>412</v>
      </c>
      <c r="AD12" s="17">
        <f t="shared" si="4"/>
        <v>0</v>
      </c>
      <c r="AE12" s="31">
        <f t="shared" si="4"/>
        <v>263</v>
      </c>
      <c r="AF12" s="31">
        <f t="shared" si="4"/>
        <v>675</v>
      </c>
    </row>
    <row r="13" spans="2:32" ht="23.1" customHeight="1" x14ac:dyDescent="0.25">
      <c r="B13" s="23" t="s">
        <v>40</v>
      </c>
      <c r="C13" s="50">
        <v>23</v>
      </c>
      <c r="D13" s="50">
        <v>2</v>
      </c>
      <c r="E13" s="50">
        <v>3</v>
      </c>
      <c r="F13" s="50">
        <v>4</v>
      </c>
      <c r="G13" s="50">
        <v>0</v>
      </c>
      <c r="H13" s="50">
        <v>0</v>
      </c>
      <c r="I13" s="50">
        <v>4</v>
      </c>
      <c r="J13" s="50">
        <v>0</v>
      </c>
      <c r="K13" s="50">
        <v>0</v>
      </c>
      <c r="L13" s="50">
        <v>0</v>
      </c>
      <c r="M13" s="50">
        <v>93</v>
      </c>
      <c r="N13" s="50">
        <v>0</v>
      </c>
      <c r="O13" s="15">
        <f t="shared" si="0"/>
        <v>36</v>
      </c>
      <c r="P13" s="15">
        <f t="shared" si="1"/>
        <v>129</v>
      </c>
      <c r="R13" s="1" t="s">
        <v>9</v>
      </c>
      <c r="S13" s="17">
        <f t="shared" ref="S13:AF13" si="5">SUM(C22:C25)</f>
        <v>195</v>
      </c>
      <c r="T13" s="17">
        <f t="shared" si="5"/>
        <v>23</v>
      </c>
      <c r="U13" s="17">
        <f t="shared" si="5"/>
        <v>12</v>
      </c>
      <c r="V13" s="17">
        <f t="shared" si="5"/>
        <v>30</v>
      </c>
      <c r="W13" s="17">
        <f t="shared" si="5"/>
        <v>0</v>
      </c>
      <c r="X13" s="17">
        <f t="shared" si="5"/>
        <v>0</v>
      </c>
      <c r="Y13" s="17">
        <f t="shared" si="5"/>
        <v>15</v>
      </c>
      <c r="Z13" s="17">
        <f t="shared" si="5"/>
        <v>1</v>
      </c>
      <c r="AA13" s="17">
        <f t="shared" si="5"/>
        <v>0</v>
      </c>
      <c r="AB13" s="17">
        <f t="shared" si="5"/>
        <v>1</v>
      </c>
      <c r="AC13" s="17">
        <f t="shared" si="5"/>
        <v>406</v>
      </c>
      <c r="AD13" s="17">
        <f t="shared" si="5"/>
        <v>0</v>
      </c>
      <c r="AE13" s="31">
        <f t="shared" si="5"/>
        <v>277</v>
      </c>
      <c r="AF13" s="31">
        <f t="shared" si="5"/>
        <v>683</v>
      </c>
    </row>
    <row r="14" spans="2:32" ht="23.1" customHeight="1" x14ac:dyDescent="0.25">
      <c r="B14" s="23" t="s">
        <v>41</v>
      </c>
      <c r="C14" s="50">
        <v>28</v>
      </c>
      <c r="D14" s="50">
        <v>4</v>
      </c>
      <c r="E14" s="50">
        <v>1</v>
      </c>
      <c r="F14" s="50">
        <v>8</v>
      </c>
      <c r="G14" s="50">
        <v>1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82</v>
      </c>
      <c r="N14" s="50">
        <v>0</v>
      </c>
      <c r="O14" s="15">
        <f t="shared" si="0"/>
        <v>43</v>
      </c>
      <c r="P14" s="15">
        <f t="shared" si="1"/>
        <v>125</v>
      </c>
      <c r="R14" s="1" t="s">
        <v>10</v>
      </c>
      <c r="S14" s="17">
        <f t="shared" ref="S14:AF14" si="6">SUM(C26:C29)</f>
        <v>172</v>
      </c>
      <c r="T14" s="17">
        <f t="shared" si="6"/>
        <v>18</v>
      </c>
      <c r="U14" s="17">
        <f t="shared" si="6"/>
        <v>14</v>
      </c>
      <c r="V14" s="17">
        <f t="shared" si="6"/>
        <v>29</v>
      </c>
      <c r="W14" s="17">
        <f t="shared" si="6"/>
        <v>0</v>
      </c>
      <c r="X14" s="17">
        <f t="shared" si="6"/>
        <v>0</v>
      </c>
      <c r="Y14" s="17">
        <f t="shared" si="6"/>
        <v>14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397</v>
      </c>
      <c r="AD14" s="17">
        <f t="shared" si="6"/>
        <v>0</v>
      </c>
      <c r="AE14" s="31">
        <f t="shared" si="6"/>
        <v>248</v>
      </c>
      <c r="AF14" s="31">
        <f t="shared" si="6"/>
        <v>645</v>
      </c>
    </row>
    <row r="15" spans="2:32" ht="23.1" customHeight="1" x14ac:dyDescent="0.25">
      <c r="B15" s="23" t="s">
        <v>42</v>
      </c>
      <c r="C15" s="50">
        <v>29</v>
      </c>
      <c r="D15" s="50">
        <v>4</v>
      </c>
      <c r="E15" s="50">
        <v>5</v>
      </c>
      <c r="F15" s="50">
        <v>7</v>
      </c>
      <c r="G15" s="50">
        <v>0</v>
      </c>
      <c r="H15" s="50">
        <v>0</v>
      </c>
      <c r="I15" s="50">
        <v>4</v>
      </c>
      <c r="J15" s="50">
        <v>0</v>
      </c>
      <c r="K15" s="50">
        <v>1</v>
      </c>
      <c r="L15" s="50">
        <v>0</v>
      </c>
      <c r="M15" s="50">
        <v>95</v>
      </c>
      <c r="N15" s="50">
        <v>0</v>
      </c>
      <c r="O15" s="15">
        <f t="shared" si="0"/>
        <v>50</v>
      </c>
      <c r="P15" s="15">
        <f t="shared" si="1"/>
        <v>145</v>
      </c>
      <c r="R15" s="1" t="s">
        <v>11</v>
      </c>
      <c r="S15" s="17">
        <f t="shared" ref="S15:AF15" si="7">SUM(C30:C33)</f>
        <v>146</v>
      </c>
      <c r="T15" s="17">
        <f t="shared" si="7"/>
        <v>18</v>
      </c>
      <c r="U15" s="17">
        <f t="shared" si="7"/>
        <v>10</v>
      </c>
      <c r="V15" s="17">
        <f t="shared" si="7"/>
        <v>24</v>
      </c>
      <c r="W15" s="17">
        <f t="shared" si="7"/>
        <v>3</v>
      </c>
      <c r="X15" s="17">
        <f t="shared" si="7"/>
        <v>0</v>
      </c>
      <c r="Y15" s="17">
        <f t="shared" si="7"/>
        <v>11</v>
      </c>
      <c r="Z15" s="17">
        <f t="shared" si="7"/>
        <v>4</v>
      </c>
      <c r="AA15" s="17">
        <f t="shared" si="7"/>
        <v>0</v>
      </c>
      <c r="AB15" s="17">
        <f t="shared" si="7"/>
        <v>1</v>
      </c>
      <c r="AC15" s="17">
        <f t="shared" si="7"/>
        <v>419</v>
      </c>
      <c r="AD15" s="17">
        <f t="shared" si="7"/>
        <v>0</v>
      </c>
      <c r="AE15" s="31">
        <f t="shared" si="7"/>
        <v>217</v>
      </c>
      <c r="AF15" s="31">
        <f t="shared" si="7"/>
        <v>636</v>
      </c>
    </row>
    <row r="16" spans="2:32" ht="23.1" customHeight="1" x14ac:dyDescent="0.25">
      <c r="B16" s="23" t="s">
        <v>43</v>
      </c>
      <c r="C16" s="50">
        <v>33</v>
      </c>
      <c r="D16" s="50">
        <v>5</v>
      </c>
      <c r="E16" s="50">
        <v>3</v>
      </c>
      <c r="F16" s="50">
        <v>10</v>
      </c>
      <c r="G16" s="50">
        <v>2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103</v>
      </c>
      <c r="N16" s="50">
        <v>0</v>
      </c>
      <c r="O16" s="15">
        <f t="shared" si="0"/>
        <v>55</v>
      </c>
      <c r="P16" s="15">
        <f t="shared" si="1"/>
        <v>158</v>
      </c>
      <c r="R16" s="1" t="s">
        <v>12</v>
      </c>
      <c r="S16" s="17">
        <f t="shared" ref="S16:AF16" si="8">SUM(C34:C37)</f>
        <v>140</v>
      </c>
      <c r="T16" s="17">
        <f t="shared" si="8"/>
        <v>12</v>
      </c>
      <c r="U16" s="17">
        <f t="shared" si="8"/>
        <v>11</v>
      </c>
      <c r="V16" s="17">
        <f t="shared" si="8"/>
        <v>24</v>
      </c>
      <c r="W16" s="17">
        <f t="shared" si="8"/>
        <v>1</v>
      </c>
      <c r="X16" s="17">
        <f t="shared" si="8"/>
        <v>0</v>
      </c>
      <c r="Y16" s="17">
        <f t="shared" si="8"/>
        <v>9</v>
      </c>
      <c r="Z16" s="17">
        <f t="shared" si="8"/>
        <v>6</v>
      </c>
      <c r="AA16" s="17">
        <f t="shared" si="8"/>
        <v>1</v>
      </c>
      <c r="AB16" s="17">
        <f t="shared" si="8"/>
        <v>0</v>
      </c>
      <c r="AC16" s="17">
        <f t="shared" si="8"/>
        <v>415</v>
      </c>
      <c r="AD16" s="17">
        <f t="shared" si="8"/>
        <v>0</v>
      </c>
      <c r="AE16" s="31">
        <f t="shared" si="8"/>
        <v>204</v>
      </c>
      <c r="AF16" s="31">
        <f t="shared" si="8"/>
        <v>619</v>
      </c>
    </row>
    <row r="17" spans="2:32" ht="23.1" customHeight="1" x14ac:dyDescent="0.25">
      <c r="B17" s="23" t="s">
        <v>44</v>
      </c>
      <c r="C17" s="50">
        <v>38</v>
      </c>
      <c r="D17" s="50">
        <v>4</v>
      </c>
      <c r="E17" s="50">
        <v>2</v>
      </c>
      <c r="F17" s="50">
        <v>10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98</v>
      </c>
      <c r="N17" s="50">
        <v>0</v>
      </c>
      <c r="O17" s="15">
        <f t="shared" si="0"/>
        <v>56</v>
      </c>
      <c r="P17" s="15">
        <f t="shared" si="1"/>
        <v>154</v>
      </c>
      <c r="R17" s="1" t="s">
        <v>13</v>
      </c>
      <c r="S17" s="17">
        <f t="shared" ref="S17:AF17" si="9">SUM(C38:C41)</f>
        <v>153</v>
      </c>
      <c r="T17" s="17">
        <f t="shared" si="9"/>
        <v>19</v>
      </c>
      <c r="U17" s="17">
        <f t="shared" si="9"/>
        <v>13</v>
      </c>
      <c r="V17" s="17">
        <f t="shared" si="9"/>
        <v>16</v>
      </c>
      <c r="W17" s="17">
        <f t="shared" si="9"/>
        <v>2</v>
      </c>
      <c r="X17" s="17">
        <f t="shared" si="9"/>
        <v>0</v>
      </c>
      <c r="Y17" s="17">
        <f t="shared" si="9"/>
        <v>9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397</v>
      </c>
      <c r="AD17" s="17">
        <f t="shared" si="9"/>
        <v>0</v>
      </c>
      <c r="AE17" s="31">
        <f t="shared" si="9"/>
        <v>214</v>
      </c>
      <c r="AF17" s="31">
        <f t="shared" si="9"/>
        <v>611</v>
      </c>
    </row>
    <row r="18" spans="2:32" ht="23.1" customHeight="1" x14ac:dyDescent="0.25">
      <c r="B18" s="23" t="s">
        <v>45</v>
      </c>
      <c r="C18" s="50">
        <v>33</v>
      </c>
      <c r="D18" s="50">
        <v>3</v>
      </c>
      <c r="E18" s="50">
        <v>0</v>
      </c>
      <c r="F18" s="50">
        <v>6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108</v>
      </c>
      <c r="N18" s="50">
        <v>0</v>
      </c>
      <c r="O18" s="15">
        <f t="shared" si="0"/>
        <v>44</v>
      </c>
      <c r="P18" s="15">
        <f t="shared" si="1"/>
        <v>152</v>
      </c>
      <c r="R18" s="1" t="s">
        <v>14</v>
      </c>
      <c r="S18" s="17">
        <f t="shared" ref="S18:AF18" si="10">SUM(C42:C45)</f>
        <v>106</v>
      </c>
      <c r="T18" s="17">
        <f t="shared" si="10"/>
        <v>9</v>
      </c>
      <c r="U18" s="17">
        <f t="shared" si="10"/>
        <v>10</v>
      </c>
      <c r="V18" s="17">
        <f t="shared" si="10"/>
        <v>16</v>
      </c>
      <c r="W18" s="17">
        <f t="shared" si="10"/>
        <v>0</v>
      </c>
      <c r="X18" s="17">
        <f t="shared" si="10"/>
        <v>0</v>
      </c>
      <c r="Y18" s="17">
        <f t="shared" si="10"/>
        <v>7</v>
      </c>
      <c r="Z18" s="17">
        <f t="shared" si="10"/>
        <v>3</v>
      </c>
      <c r="AA18" s="17">
        <f t="shared" si="10"/>
        <v>0</v>
      </c>
      <c r="AB18" s="17">
        <f t="shared" si="10"/>
        <v>0</v>
      </c>
      <c r="AC18" s="17">
        <f t="shared" si="10"/>
        <v>442</v>
      </c>
      <c r="AD18" s="17">
        <f t="shared" si="10"/>
        <v>0</v>
      </c>
      <c r="AE18" s="31">
        <f t="shared" si="10"/>
        <v>151</v>
      </c>
      <c r="AF18" s="31">
        <f t="shared" si="10"/>
        <v>593</v>
      </c>
    </row>
    <row r="19" spans="2:32" ht="23.1" customHeight="1" x14ac:dyDescent="0.25">
      <c r="B19" s="23" t="s">
        <v>46</v>
      </c>
      <c r="C19" s="50">
        <v>36</v>
      </c>
      <c r="D19" s="50">
        <v>10</v>
      </c>
      <c r="E19" s="50">
        <v>4</v>
      </c>
      <c r="F19" s="50">
        <v>12</v>
      </c>
      <c r="G19" s="50">
        <v>0</v>
      </c>
      <c r="H19" s="50">
        <v>0</v>
      </c>
      <c r="I19" s="50">
        <v>5</v>
      </c>
      <c r="J19" s="50">
        <v>1</v>
      </c>
      <c r="K19" s="50">
        <v>0</v>
      </c>
      <c r="L19" s="50">
        <v>0</v>
      </c>
      <c r="M19" s="50">
        <v>110</v>
      </c>
      <c r="N19" s="50">
        <v>0</v>
      </c>
      <c r="O19" s="15">
        <f t="shared" si="0"/>
        <v>68</v>
      </c>
      <c r="P19" s="15">
        <f t="shared" si="1"/>
        <v>178</v>
      </c>
      <c r="R19" s="1" t="s">
        <v>15</v>
      </c>
      <c r="S19" s="17">
        <f t="shared" ref="S19:AF19" si="11">SUM(C46:C49)</f>
        <v>129</v>
      </c>
      <c r="T19" s="17">
        <f t="shared" si="11"/>
        <v>12</v>
      </c>
      <c r="U19" s="17">
        <f t="shared" si="11"/>
        <v>8</v>
      </c>
      <c r="V19" s="17">
        <f t="shared" si="11"/>
        <v>19</v>
      </c>
      <c r="W19" s="17">
        <f t="shared" si="11"/>
        <v>1</v>
      </c>
      <c r="X19" s="17">
        <f t="shared" si="11"/>
        <v>0</v>
      </c>
      <c r="Y19" s="17">
        <f t="shared" si="11"/>
        <v>2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355</v>
      </c>
      <c r="AD19" s="17">
        <f t="shared" si="11"/>
        <v>0</v>
      </c>
      <c r="AE19" s="31">
        <f t="shared" si="11"/>
        <v>171</v>
      </c>
      <c r="AF19" s="31">
        <f t="shared" si="11"/>
        <v>526</v>
      </c>
    </row>
    <row r="20" spans="2:32" ht="23.1" customHeight="1" x14ac:dyDescent="0.25">
      <c r="B20" s="23" t="s">
        <v>47</v>
      </c>
      <c r="C20" s="50">
        <v>43</v>
      </c>
      <c r="D20" s="50">
        <v>6</v>
      </c>
      <c r="E20" s="50">
        <v>3</v>
      </c>
      <c r="F20" s="50">
        <v>9</v>
      </c>
      <c r="G20" s="50">
        <v>0</v>
      </c>
      <c r="H20" s="50">
        <v>0</v>
      </c>
      <c r="I20" s="50">
        <v>9</v>
      </c>
      <c r="J20" s="50">
        <v>3</v>
      </c>
      <c r="K20" s="50">
        <v>0</v>
      </c>
      <c r="L20" s="50">
        <v>0</v>
      </c>
      <c r="M20" s="50">
        <v>95</v>
      </c>
      <c r="N20" s="50">
        <v>0</v>
      </c>
      <c r="O20" s="15">
        <f t="shared" si="0"/>
        <v>73</v>
      </c>
      <c r="P20" s="15">
        <f t="shared" si="1"/>
        <v>168</v>
      </c>
      <c r="R20" s="1" t="s">
        <v>16</v>
      </c>
      <c r="S20" s="17">
        <f t="shared" ref="S20:AF20" si="12">SUM(C50:C53)</f>
        <v>132</v>
      </c>
      <c r="T20" s="17">
        <f t="shared" si="12"/>
        <v>22</v>
      </c>
      <c r="U20" s="17">
        <f t="shared" si="12"/>
        <v>12</v>
      </c>
      <c r="V20" s="17">
        <f t="shared" si="12"/>
        <v>28</v>
      </c>
      <c r="W20" s="17">
        <f t="shared" si="12"/>
        <v>0</v>
      </c>
      <c r="X20" s="17">
        <f t="shared" si="12"/>
        <v>0</v>
      </c>
      <c r="Y20" s="17">
        <f t="shared" si="12"/>
        <v>8</v>
      </c>
      <c r="Z20" s="17">
        <f t="shared" si="12"/>
        <v>4</v>
      </c>
      <c r="AA20" s="17">
        <f t="shared" si="12"/>
        <v>1</v>
      </c>
      <c r="AB20" s="17">
        <f t="shared" si="12"/>
        <v>0</v>
      </c>
      <c r="AC20" s="17">
        <f t="shared" si="12"/>
        <v>332</v>
      </c>
      <c r="AD20" s="17">
        <f t="shared" si="12"/>
        <v>0</v>
      </c>
      <c r="AE20" s="31">
        <f t="shared" si="12"/>
        <v>207</v>
      </c>
      <c r="AF20" s="31">
        <f t="shared" si="12"/>
        <v>539</v>
      </c>
    </row>
    <row r="21" spans="2:32" ht="23.1" customHeight="1" x14ac:dyDescent="0.25">
      <c r="B21" s="23" t="s">
        <v>48</v>
      </c>
      <c r="C21" s="50">
        <v>46</v>
      </c>
      <c r="D21" s="50">
        <v>3</v>
      </c>
      <c r="E21" s="50">
        <v>8</v>
      </c>
      <c r="F21" s="50">
        <v>13</v>
      </c>
      <c r="G21" s="50">
        <v>0</v>
      </c>
      <c r="H21" s="50">
        <v>0</v>
      </c>
      <c r="I21" s="50">
        <v>2</v>
      </c>
      <c r="J21" s="50">
        <v>6</v>
      </c>
      <c r="K21" s="50">
        <v>0</v>
      </c>
      <c r="L21" s="50">
        <v>0</v>
      </c>
      <c r="M21" s="50">
        <v>99</v>
      </c>
      <c r="N21" s="50">
        <v>0</v>
      </c>
      <c r="O21" s="15">
        <f t="shared" si="0"/>
        <v>78</v>
      </c>
      <c r="P21" s="15">
        <f t="shared" si="1"/>
        <v>177</v>
      </c>
      <c r="R21" s="36" t="s">
        <v>20</v>
      </c>
      <c r="S21" s="34">
        <f t="shared" ref="S21:AF21" si="13">SUM(C54:C57)</f>
        <v>113</v>
      </c>
      <c r="T21" s="17">
        <f t="shared" si="13"/>
        <v>13</v>
      </c>
      <c r="U21" s="17">
        <f t="shared" si="13"/>
        <v>7</v>
      </c>
      <c r="V21" s="17">
        <f t="shared" si="13"/>
        <v>21</v>
      </c>
      <c r="W21" s="17">
        <f t="shared" si="13"/>
        <v>0</v>
      </c>
      <c r="X21" s="17">
        <f t="shared" si="13"/>
        <v>0</v>
      </c>
      <c r="Y21" s="17">
        <f t="shared" si="13"/>
        <v>6</v>
      </c>
      <c r="Z21" s="17">
        <f t="shared" si="13"/>
        <v>5</v>
      </c>
      <c r="AA21" s="17">
        <f t="shared" si="13"/>
        <v>3</v>
      </c>
      <c r="AB21" s="17">
        <f t="shared" si="13"/>
        <v>2</v>
      </c>
      <c r="AC21" s="17">
        <f t="shared" si="13"/>
        <v>333</v>
      </c>
      <c r="AD21" s="17">
        <f t="shared" si="13"/>
        <v>1</v>
      </c>
      <c r="AE21" s="31">
        <f t="shared" si="13"/>
        <v>171</v>
      </c>
      <c r="AF21" s="31">
        <f t="shared" si="13"/>
        <v>504</v>
      </c>
    </row>
    <row r="22" spans="2:32" ht="23.1" customHeight="1" x14ac:dyDescent="0.25">
      <c r="B22" s="23" t="s">
        <v>49</v>
      </c>
      <c r="C22" s="50">
        <v>47</v>
      </c>
      <c r="D22" s="50">
        <v>5</v>
      </c>
      <c r="E22" s="50">
        <v>5</v>
      </c>
      <c r="F22" s="50">
        <v>10</v>
      </c>
      <c r="G22" s="50">
        <v>0</v>
      </c>
      <c r="H22" s="50">
        <v>0</v>
      </c>
      <c r="I22" s="50">
        <v>5</v>
      </c>
      <c r="J22" s="50">
        <v>0</v>
      </c>
      <c r="K22" s="50">
        <v>0</v>
      </c>
      <c r="L22" s="50">
        <v>0</v>
      </c>
      <c r="M22" s="50">
        <v>97</v>
      </c>
      <c r="N22" s="50">
        <v>0</v>
      </c>
      <c r="O22" s="15">
        <f t="shared" si="0"/>
        <v>72</v>
      </c>
      <c r="P22" s="15">
        <f t="shared" si="1"/>
        <v>169</v>
      </c>
      <c r="R22" s="38" t="s">
        <v>90</v>
      </c>
      <c r="S22" s="39">
        <f>MAX(S10:S12)</f>
        <v>158</v>
      </c>
      <c r="T22" s="39">
        <f t="shared" ref="T22:AF22" si="14">MAX(T10:T12)</f>
        <v>22</v>
      </c>
      <c r="U22" s="39">
        <f t="shared" si="14"/>
        <v>15</v>
      </c>
      <c r="V22" s="39">
        <f t="shared" si="14"/>
        <v>40</v>
      </c>
      <c r="W22" s="39">
        <f t="shared" si="14"/>
        <v>3</v>
      </c>
      <c r="X22" s="39">
        <f t="shared" si="14"/>
        <v>0</v>
      </c>
      <c r="Y22" s="39">
        <f t="shared" si="14"/>
        <v>18</v>
      </c>
      <c r="Z22" s="39">
        <f t="shared" si="14"/>
        <v>10</v>
      </c>
      <c r="AA22" s="39">
        <f t="shared" si="14"/>
        <v>1</v>
      </c>
      <c r="AB22" s="39">
        <f t="shared" si="14"/>
        <v>0</v>
      </c>
      <c r="AC22" s="39">
        <f t="shared" si="14"/>
        <v>412</v>
      </c>
      <c r="AD22" s="39">
        <f t="shared" si="14"/>
        <v>0</v>
      </c>
      <c r="AE22" s="40">
        <f t="shared" si="14"/>
        <v>263</v>
      </c>
      <c r="AF22" s="40">
        <f t="shared" si="14"/>
        <v>675</v>
      </c>
    </row>
    <row r="23" spans="2:32" ht="23.1" customHeight="1" x14ac:dyDescent="0.25">
      <c r="B23" s="23" t="s">
        <v>50</v>
      </c>
      <c r="C23" s="50">
        <v>50</v>
      </c>
      <c r="D23" s="50">
        <v>7</v>
      </c>
      <c r="E23" s="50">
        <v>2</v>
      </c>
      <c r="F23" s="50">
        <v>11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99</v>
      </c>
      <c r="N23" s="50">
        <v>0</v>
      </c>
      <c r="O23" s="15">
        <f t="shared" si="0"/>
        <v>72</v>
      </c>
      <c r="P23" s="15">
        <f t="shared" si="1"/>
        <v>171</v>
      </c>
      <c r="R23" s="38" t="s">
        <v>91</v>
      </c>
      <c r="S23" s="39">
        <f>MAX(S13:S18)</f>
        <v>195</v>
      </c>
      <c r="T23" s="39">
        <f t="shared" ref="T23:AF23" si="15">MAX(T13:T18)</f>
        <v>23</v>
      </c>
      <c r="U23" s="39">
        <f t="shared" si="15"/>
        <v>14</v>
      </c>
      <c r="V23" s="39">
        <f t="shared" si="15"/>
        <v>30</v>
      </c>
      <c r="W23" s="39">
        <f t="shared" si="15"/>
        <v>3</v>
      </c>
      <c r="X23" s="39">
        <f t="shared" si="15"/>
        <v>0</v>
      </c>
      <c r="Y23" s="39">
        <f t="shared" si="15"/>
        <v>15</v>
      </c>
      <c r="Z23" s="39">
        <f t="shared" si="15"/>
        <v>6</v>
      </c>
      <c r="AA23" s="39">
        <f t="shared" si="15"/>
        <v>1</v>
      </c>
      <c r="AB23" s="39">
        <f t="shared" si="15"/>
        <v>1</v>
      </c>
      <c r="AC23" s="39">
        <f t="shared" si="15"/>
        <v>442</v>
      </c>
      <c r="AD23" s="39">
        <f t="shared" si="15"/>
        <v>0</v>
      </c>
      <c r="AE23" s="40">
        <f t="shared" si="15"/>
        <v>277</v>
      </c>
      <c r="AF23" s="40">
        <f t="shared" si="15"/>
        <v>683</v>
      </c>
    </row>
    <row r="24" spans="2:32" ht="23.1" customHeight="1" x14ac:dyDescent="0.25">
      <c r="B24" s="23" t="s">
        <v>51</v>
      </c>
      <c r="C24" s="50">
        <v>50</v>
      </c>
      <c r="D24" s="50">
        <v>5</v>
      </c>
      <c r="E24" s="50">
        <v>3</v>
      </c>
      <c r="F24" s="50">
        <v>5</v>
      </c>
      <c r="G24" s="50">
        <v>0</v>
      </c>
      <c r="H24" s="50">
        <v>0</v>
      </c>
      <c r="I24" s="50">
        <v>6</v>
      </c>
      <c r="J24" s="50">
        <v>1</v>
      </c>
      <c r="K24" s="50">
        <v>0</v>
      </c>
      <c r="L24" s="50">
        <v>1</v>
      </c>
      <c r="M24" s="50">
        <v>104</v>
      </c>
      <c r="N24" s="50">
        <v>0</v>
      </c>
      <c r="O24" s="15">
        <f t="shared" si="0"/>
        <v>71</v>
      </c>
      <c r="P24" s="15">
        <f t="shared" si="1"/>
        <v>175</v>
      </c>
      <c r="R24" s="38" t="s">
        <v>92</v>
      </c>
      <c r="S24" s="39">
        <f>MAX(S19:S21)</f>
        <v>132</v>
      </c>
      <c r="T24" s="39">
        <f t="shared" ref="T24:AF24" si="16">MAX(T19:T21)</f>
        <v>22</v>
      </c>
      <c r="U24" s="39">
        <f t="shared" si="16"/>
        <v>12</v>
      </c>
      <c r="V24" s="39">
        <f t="shared" si="16"/>
        <v>28</v>
      </c>
      <c r="W24" s="39">
        <f t="shared" si="16"/>
        <v>1</v>
      </c>
      <c r="X24" s="39">
        <f t="shared" si="16"/>
        <v>0</v>
      </c>
      <c r="Y24" s="39">
        <f t="shared" si="16"/>
        <v>8</v>
      </c>
      <c r="Z24" s="39">
        <f t="shared" si="16"/>
        <v>5</v>
      </c>
      <c r="AA24" s="39">
        <f t="shared" si="16"/>
        <v>3</v>
      </c>
      <c r="AB24" s="39">
        <f t="shared" si="16"/>
        <v>2</v>
      </c>
      <c r="AC24" s="39">
        <f t="shared" si="16"/>
        <v>355</v>
      </c>
      <c r="AD24" s="39">
        <f t="shared" si="16"/>
        <v>1</v>
      </c>
      <c r="AE24" s="40">
        <f t="shared" si="16"/>
        <v>207</v>
      </c>
      <c r="AF24" s="40">
        <f t="shared" si="16"/>
        <v>539</v>
      </c>
    </row>
    <row r="25" spans="2:32" ht="23.1" customHeight="1" x14ac:dyDescent="0.25">
      <c r="B25" s="23" t="s">
        <v>52</v>
      </c>
      <c r="C25" s="50">
        <v>48</v>
      </c>
      <c r="D25" s="50">
        <v>6</v>
      </c>
      <c r="E25" s="50">
        <v>2</v>
      </c>
      <c r="F25" s="50">
        <v>4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106</v>
      </c>
      <c r="N25" s="50">
        <v>0</v>
      </c>
      <c r="O25" s="15">
        <f t="shared" si="0"/>
        <v>62</v>
      </c>
      <c r="P25" s="15">
        <f t="shared" si="1"/>
        <v>168</v>
      </c>
      <c r="R25" s="37" t="s">
        <v>85</v>
      </c>
      <c r="S25" s="35">
        <f t="shared" ref="S25:AF25" si="17">SUM(S10:S12)</f>
        <v>358</v>
      </c>
      <c r="T25" s="16">
        <f t="shared" si="17"/>
        <v>44</v>
      </c>
      <c r="U25" s="16">
        <f t="shared" si="17"/>
        <v>37</v>
      </c>
      <c r="V25" s="16">
        <f t="shared" si="17"/>
        <v>100</v>
      </c>
      <c r="W25" s="16">
        <f t="shared" si="17"/>
        <v>3</v>
      </c>
      <c r="X25" s="16">
        <f t="shared" si="17"/>
        <v>0</v>
      </c>
      <c r="Y25" s="16">
        <f t="shared" si="17"/>
        <v>36</v>
      </c>
      <c r="Z25" s="16">
        <f t="shared" si="17"/>
        <v>10</v>
      </c>
      <c r="AA25" s="16">
        <f t="shared" si="17"/>
        <v>1</v>
      </c>
      <c r="AB25" s="16">
        <f t="shared" si="17"/>
        <v>0</v>
      </c>
      <c r="AC25" s="16">
        <f t="shared" si="17"/>
        <v>1058</v>
      </c>
      <c r="AD25" s="16">
        <f t="shared" si="17"/>
        <v>0</v>
      </c>
      <c r="AE25" s="32">
        <f t="shared" si="17"/>
        <v>589</v>
      </c>
      <c r="AF25" s="32">
        <f t="shared" si="17"/>
        <v>1647</v>
      </c>
    </row>
    <row r="26" spans="2:32" ht="23.1" customHeight="1" x14ac:dyDescent="0.25">
      <c r="B26" s="23" t="s">
        <v>53</v>
      </c>
      <c r="C26" s="50">
        <v>38</v>
      </c>
      <c r="D26" s="50">
        <v>7</v>
      </c>
      <c r="E26" s="50">
        <v>4</v>
      </c>
      <c r="F26" s="50">
        <v>7</v>
      </c>
      <c r="G26" s="50">
        <v>0</v>
      </c>
      <c r="H26" s="50">
        <v>0</v>
      </c>
      <c r="I26" s="50">
        <v>5</v>
      </c>
      <c r="J26" s="50">
        <v>0</v>
      </c>
      <c r="K26" s="50">
        <v>0</v>
      </c>
      <c r="L26" s="50">
        <v>0</v>
      </c>
      <c r="M26" s="50">
        <v>104</v>
      </c>
      <c r="N26" s="50">
        <v>0</v>
      </c>
      <c r="O26" s="15">
        <f t="shared" si="0"/>
        <v>61</v>
      </c>
      <c r="P26" s="15">
        <f t="shared" si="1"/>
        <v>165</v>
      </c>
      <c r="R26" s="28" t="s">
        <v>86</v>
      </c>
      <c r="S26" s="16">
        <f t="shared" ref="S26:AF26" si="18">SUM(S13:S18)</f>
        <v>912</v>
      </c>
      <c r="T26" s="16">
        <f t="shared" si="18"/>
        <v>99</v>
      </c>
      <c r="U26" s="16">
        <f t="shared" si="18"/>
        <v>70</v>
      </c>
      <c r="V26" s="16">
        <f t="shared" si="18"/>
        <v>139</v>
      </c>
      <c r="W26" s="16">
        <f t="shared" si="18"/>
        <v>6</v>
      </c>
      <c r="X26" s="16">
        <f t="shared" si="18"/>
        <v>0</v>
      </c>
      <c r="Y26" s="16">
        <f t="shared" si="18"/>
        <v>65</v>
      </c>
      <c r="Z26" s="16">
        <f t="shared" si="18"/>
        <v>17</v>
      </c>
      <c r="AA26" s="16">
        <f t="shared" si="18"/>
        <v>1</v>
      </c>
      <c r="AB26" s="16">
        <f t="shared" si="18"/>
        <v>2</v>
      </c>
      <c r="AC26" s="16">
        <f t="shared" si="18"/>
        <v>2476</v>
      </c>
      <c r="AD26" s="16">
        <f t="shared" si="18"/>
        <v>0</v>
      </c>
      <c r="AE26" s="32">
        <f t="shared" si="18"/>
        <v>1311</v>
      </c>
      <c r="AF26" s="32">
        <f t="shared" si="18"/>
        <v>3787</v>
      </c>
    </row>
    <row r="27" spans="2:32" ht="23.1" customHeight="1" x14ac:dyDescent="0.25">
      <c r="B27" s="23" t="s">
        <v>54</v>
      </c>
      <c r="C27" s="50">
        <v>44</v>
      </c>
      <c r="D27" s="50">
        <v>5</v>
      </c>
      <c r="E27" s="50">
        <v>0</v>
      </c>
      <c r="F27" s="50">
        <v>13</v>
      </c>
      <c r="G27" s="50">
        <v>0</v>
      </c>
      <c r="H27" s="50">
        <v>0</v>
      </c>
      <c r="I27" s="50">
        <v>4</v>
      </c>
      <c r="J27" s="50">
        <v>0</v>
      </c>
      <c r="K27" s="50">
        <v>0</v>
      </c>
      <c r="L27" s="50">
        <v>0</v>
      </c>
      <c r="M27" s="50">
        <v>97</v>
      </c>
      <c r="N27" s="50">
        <v>0</v>
      </c>
      <c r="O27" s="15">
        <f t="shared" si="0"/>
        <v>66</v>
      </c>
      <c r="P27" s="15">
        <f t="shared" si="1"/>
        <v>163</v>
      </c>
      <c r="R27" s="29" t="s">
        <v>87</v>
      </c>
      <c r="S27" s="16">
        <f t="shared" ref="S27:AF27" si="19">SUM(S19:S21)</f>
        <v>374</v>
      </c>
      <c r="T27" s="16">
        <f t="shared" si="19"/>
        <v>47</v>
      </c>
      <c r="U27" s="16">
        <f t="shared" si="19"/>
        <v>27</v>
      </c>
      <c r="V27" s="16">
        <f t="shared" si="19"/>
        <v>68</v>
      </c>
      <c r="W27" s="16">
        <f t="shared" si="19"/>
        <v>1</v>
      </c>
      <c r="X27" s="16">
        <f t="shared" si="19"/>
        <v>0</v>
      </c>
      <c r="Y27" s="16">
        <f t="shared" si="19"/>
        <v>16</v>
      </c>
      <c r="Z27" s="16">
        <f t="shared" si="19"/>
        <v>9</v>
      </c>
      <c r="AA27" s="16">
        <f t="shared" si="19"/>
        <v>4</v>
      </c>
      <c r="AB27" s="16">
        <f t="shared" si="19"/>
        <v>2</v>
      </c>
      <c r="AC27" s="16">
        <f t="shared" si="19"/>
        <v>1020</v>
      </c>
      <c r="AD27" s="16">
        <f t="shared" si="19"/>
        <v>1</v>
      </c>
      <c r="AE27" s="32">
        <f t="shared" si="19"/>
        <v>549</v>
      </c>
      <c r="AF27" s="32">
        <f t="shared" si="19"/>
        <v>1569</v>
      </c>
    </row>
    <row r="28" spans="2:32" ht="23.1" customHeight="1" x14ac:dyDescent="0.25">
      <c r="B28" s="23" t="s">
        <v>55</v>
      </c>
      <c r="C28" s="50">
        <v>42</v>
      </c>
      <c r="D28" s="50">
        <v>2</v>
      </c>
      <c r="E28" s="50">
        <v>5</v>
      </c>
      <c r="F28" s="50">
        <v>5</v>
      </c>
      <c r="G28" s="50">
        <v>0</v>
      </c>
      <c r="H28" s="50">
        <v>0</v>
      </c>
      <c r="I28" s="50">
        <v>3</v>
      </c>
      <c r="J28" s="50">
        <v>1</v>
      </c>
      <c r="K28" s="50">
        <v>0</v>
      </c>
      <c r="L28" s="50">
        <v>0</v>
      </c>
      <c r="M28" s="50">
        <v>99</v>
      </c>
      <c r="N28" s="50">
        <v>0</v>
      </c>
      <c r="O28" s="15">
        <f t="shared" si="0"/>
        <v>58</v>
      </c>
      <c r="P28" s="15">
        <f t="shared" si="1"/>
        <v>157</v>
      </c>
      <c r="R28" s="5" t="s">
        <v>17</v>
      </c>
      <c r="S28" s="16">
        <f t="shared" ref="S28:AF28" si="20">SUM(S10:S21)</f>
        <v>1644</v>
      </c>
      <c r="T28" s="16">
        <f t="shared" si="20"/>
        <v>190</v>
      </c>
      <c r="U28" s="16">
        <f t="shared" si="20"/>
        <v>134</v>
      </c>
      <c r="V28" s="16">
        <f t="shared" si="20"/>
        <v>307</v>
      </c>
      <c r="W28" s="16">
        <f t="shared" si="20"/>
        <v>10</v>
      </c>
      <c r="X28" s="16">
        <f t="shared" si="20"/>
        <v>0</v>
      </c>
      <c r="Y28" s="16">
        <f t="shared" si="20"/>
        <v>117</v>
      </c>
      <c r="Z28" s="16">
        <f t="shared" si="20"/>
        <v>36</v>
      </c>
      <c r="AA28" s="16">
        <f t="shared" si="20"/>
        <v>6</v>
      </c>
      <c r="AB28" s="16">
        <f t="shared" si="20"/>
        <v>4</v>
      </c>
      <c r="AC28" s="16">
        <f t="shared" si="20"/>
        <v>4554</v>
      </c>
      <c r="AD28" s="16">
        <f t="shared" si="20"/>
        <v>1</v>
      </c>
      <c r="AE28" s="32">
        <f t="shared" si="20"/>
        <v>2449</v>
      </c>
      <c r="AF28" s="32">
        <f t="shared" si="20"/>
        <v>7003</v>
      </c>
    </row>
    <row r="29" spans="2:32" ht="23.1" customHeight="1" x14ac:dyDescent="0.25">
      <c r="B29" s="23" t="s">
        <v>56</v>
      </c>
      <c r="C29" s="50">
        <v>48</v>
      </c>
      <c r="D29" s="50">
        <v>4</v>
      </c>
      <c r="E29" s="50">
        <v>5</v>
      </c>
      <c r="F29" s="50">
        <v>4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97</v>
      </c>
      <c r="N29" s="50">
        <v>0</v>
      </c>
      <c r="O29" s="15">
        <f t="shared" si="0"/>
        <v>63</v>
      </c>
      <c r="P29" s="15">
        <f t="shared" si="1"/>
        <v>160</v>
      </c>
      <c r="R29"/>
      <c r="S29" s="20"/>
      <c r="T29" s="19"/>
    </row>
    <row r="30" spans="2:32" ht="23.1" customHeight="1" x14ac:dyDescent="0.25">
      <c r="B30" s="23" t="s">
        <v>57</v>
      </c>
      <c r="C30" s="50">
        <v>43</v>
      </c>
      <c r="D30" s="50">
        <v>4</v>
      </c>
      <c r="E30" s="50">
        <v>3</v>
      </c>
      <c r="F30" s="50">
        <v>5</v>
      </c>
      <c r="G30" s="50">
        <v>3</v>
      </c>
      <c r="H30" s="50">
        <v>0</v>
      </c>
      <c r="I30" s="50">
        <v>5</v>
      </c>
      <c r="J30" s="50">
        <v>0</v>
      </c>
      <c r="K30" s="50">
        <v>0</v>
      </c>
      <c r="L30" s="50">
        <v>0</v>
      </c>
      <c r="M30" s="50">
        <v>106</v>
      </c>
      <c r="N30" s="50">
        <v>0</v>
      </c>
      <c r="O30" s="15">
        <f t="shared" si="0"/>
        <v>63</v>
      </c>
      <c r="P30" s="15">
        <f t="shared" si="1"/>
        <v>169</v>
      </c>
    </row>
    <row r="31" spans="2:32" ht="23.1" customHeight="1" x14ac:dyDescent="0.25">
      <c r="B31" s="24" t="s">
        <v>58</v>
      </c>
      <c r="C31" s="50">
        <v>32</v>
      </c>
      <c r="D31" s="50">
        <v>3</v>
      </c>
      <c r="E31" s="50">
        <v>3</v>
      </c>
      <c r="F31" s="50">
        <v>6</v>
      </c>
      <c r="G31" s="50">
        <v>0</v>
      </c>
      <c r="H31" s="50">
        <v>0</v>
      </c>
      <c r="I31" s="50">
        <v>2</v>
      </c>
      <c r="J31" s="50">
        <v>3</v>
      </c>
      <c r="K31" s="50">
        <v>0</v>
      </c>
      <c r="L31" s="50">
        <v>0</v>
      </c>
      <c r="M31" s="50">
        <v>103</v>
      </c>
      <c r="N31" s="50">
        <v>0</v>
      </c>
      <c r="O31" s="15">
        <f t="shared" si="0"/>
        <v>49</v>
      </c>
      <c r="P31" s="15">
        <f t="shared" si="1"/>
        <v>152</v>
      </c>
    </row>
    <row r="32" spans="2:32" ht="23.1" customHeight="1" x14ac:dyDescent="0.25">
      <c r="B32" s="24" t="s">
        <v>59</v>
      </c>
      <c r="C32" s="50">
        <v>34</v>
      </c>
      <c r="D32" s="50">
        <v>7</v>
      </c>
      <c r="E32" s="50">
        <v>2</v>
      </c>
      <c r="F32" s="50">
        <v>7</v>
      </c>
      <c r="G32" s="50">
        <v>0</v>
      </c>
      <c r="H32" s="50">
        <v>0</v>
      </c>
      <c r="I32" s="50">
        <v>3</v>
      </c>
      <c r="J32" s="50">
        <v>0</v>
      </c>
      <c r="K32" s="50">
        <v>0</v>
      </c>
      <c r="L32" s="50">
        <v>0</v>
      </c>
      <c r="M32" s="50">
        <v>102</v>
      </c>
      <c r="N32" s="50">
        <v>0</v>
      </c>
      <c r="O32" s="15">
        <f t="shared" si="0"/>
        <v>53</v>
      </c>
      <c r="P32" s="15">
        <f t="shared" si="1"/>
        <v>155</v>
      </c>
    </row>
    <row r="33" spans="2:20" ht="23.1" customHeight="1" x14ac:dyDescent="0.25">
      <c r="B33" s="23" t="s">
        <v>60</v>
      </c>
      <c r="C33" s="50">
        <v>37</v>
      </c>
      <c r="D33" s="50">
        <v>4</v>
      </c>
      <c r="E33" s="50">
        <v>2</v>
      </c>
      <c r="F33" s="50">
        <v>6</v>
      </c>
      <c r="G33" s="50">
        <v>0</v>
      </c>
      <c r="H33" s="50">
        <v>0</v>
      </c>
      <c r="I33" s="50">
        <v>1</v>
      </c>
      <c r="J33" s="50">
        <v>1</v>
      </c>
      <c r="K33" s="50">
        <v>0</v>
      </c>
      <c r="L33" s="50">
        <v>1</v>
      </c>
      <c r="M33" s="50">
        <v>108</v>
      </c>
      <c r="N33" s="50">
        <v>0</v>
      </c>
      <c r="O33" s="15">
        <f t="shared" si="0"/>
        <v>52</v>
      </c>
      <c r="P33" s="15">
        <f t="shared" si="1"/>
        <v>160</v>
      </c>
    </row>
    <row r="34" spans="2:20" ht="23.1" customHeight="1" x14ac:dyDescent="0.25">
      <c r="B34" s="24" t="s">
        <v>61</v>
      </c>
      <c r="C34" s="50">
        <v>39</v>
      </c>
      <c r="D34" s="50">
        <v>3</v>
      </c>
      <c r="E34" s="50">
        <v>2</v>
      </c>
      <c r="F34" s="50">
        <v>6</v>
      </c>
      <c r="G34" s="50">
        <v>1</v>
      </c>
      <c r="H34" s="50">
        <v>0</v>
      </c>
      <c r="I34" s="50">
        <v>2</v>
      </c>
      <c r="J34" s="50">
        <v>2</v>
      </c>
      <c r="K34" s="50">
        <v>0</v>
      </c>
      <c r="L34" s="50">
        <v>0</v>
      </c>
      <c r="M34" s="50">
        <v>106</v>
      </c>
      <c r="N34" s="50">
        <v>0</v>
      </c>
      <c r="O34" s="15">
        <f t="shared" si="0"/>
        <v>55</v>
      </c>
      <c r="P34" s="15">
        <f t="shared" si="1"/>
        <v>161</v>
      </c>
    </row>
    <row r="35" spans="2:20" ht="23.1" customHeight="1" x14ac:dyDescent="0.25">
      <c r="B35" s="24" t="s">
        <v>62</v>
      </c>
      <c r="C35" s="50">
        <v>32</v>
      </c>
      <c r="D35" s="50">
        <v>3</v>
      </c>
      <c r="E35" s="50">
        <v>2</v>
      </c>
      <c r="F35" s="50">
        <v>8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105</v>
      </c>
      <c r="N35" s="50">
        <v>0</v>
      </c>
      <c r="O35" s="15">
        <f t="shared" si="0"/>
        <v>47</v>
      </c>
      <c r="P35" s="15">
        <f t="shared" si="1"/>
        <v>152</v>
      </c>
    </row>
    <row r="36" spans="2:20" ht="23.1" customHeight="1" x14ac:dyDescent="0.25">
      <c r="B36" s="24" t="s">
        <v>63</v>
      </c>
      <c r="C36" s="50">
        <v>34</v>
      </c>
      <c r="D36" s="50">
        <v>2</v>
      </c>
      <c r="E36" s="50">
        <v>3</v>
      </c>
      <c r="F36" s="50">
        <v>5</v>
      </c>
      <c r="G36" s="50">
        <v>0</v>
      </c>
      <c r="H36" s="50">
        <v>0</v>
      </c>
      <c r="I36" s="50">
        <v>2</v>
      </c>
      <c r="J36" s="50">
        <v>2</v>
      </c>
      <c r="K36" s="50">
        <v>1</v>
      </c>
      <c r="L36" s="50">
        <v>0</v>
      </c>
      <c r="M36" s="50">
        <v>107</v>
      </c>
      <c r="N36" s="50">
        <v>0</v>
      </c>
      <c r="O36" s="15">
        <f t="shared" si="0"/>
        <v>49</v>
      </c>
      <c r="P36" s="15">
        <f t="shared" si="1"/>
        <v>156</v>
      </c>
    </row>
    <row r="37" spans="2:20" ht="23.1" customHeight="1" x14ac:dyDescent="0.25">
      <c r="B37" s="23" t="s">
        <v>64</v>
      </c>
      <c r="C37" s="50">
        <v>35</v>
      </c>
      <c r="D37" s="50">
        <v>4</v>
      </c>
      <c r="E37" s="50">
        <v>4</v>
      </c>
      <c r="F37" s="50">
        <v>5</v>
      </c>
      <c r="G37" s="50">
        <v>0</v>
      </c>
      <c r="H37" s="50">
        <v>0</v>
      </c>
      <c r="I37" s="50">
        <v>3</v>
      </c>
      <c r="J37" s="50">
        <v>2</v>
      </c>
      <c r="K37" s="50">
        <v>0</v>
      </c>
      <c r="L37" s="50">
        <v>0</v>
      </c>
      <c r="M37" s="50">
        <v>97</v>
      </c>
      <c r="N37" s="50">
        <v>0</v>
      </c>
      <c r="O37" s="15">
        <f t="shared" si="0"/>
        <v>53</v>
      </c>
      <c r="P37" s="15">
        <f t="shared" si="1"/>
        <v>150</v>
      </c>
    </row>
    <row r="38" spans="2:20" ht="23.1" customHeight="1" x14ac:dyDescent="0.25">
      <c r="B38" s="24" t="s">
        <v>65</v>
      </c>
      <c r="C38" s="50">
        <v>35</v>
      </c>
      <c r="D38" s="50">
        <v>3</v>
      </c>
      <c r="E38" s="50">
        <v>5</v>
      </c>
      <c r="F38" s="50">
        <v>4</v>
      </c>
      <c r="G38" s="50">
        <v>1</v>
      </c>
      <c r="H38" s="50">
        <v>0</v>
      </c>
      <c r="I38" s="50">
        <v>4</v>
      </c>
      <c r="J38" s="50">
        <v>0</v>
      </c>
      <c r="K38" s="50">
        <v>0</v>
      </c>
      <c r="L38" s="50">
        <v>0</v>
      </c>
      <c r="M38" s="50">
        <v>100</v>
      </c>
      <c r="N38" s="50">
        <v>0</v>
      </c>
      <c r="O38" s="15">
        <f t="shared" si="0"/>
        <v>52</v>
      </c>
      <c r="P38" s="15">
        <f t="shared" si="1"/>
        <v>152</v>
      </c>
    </row>
    <row r="39" spans="2:20" ht="23.1" customHeight="1" x14ac:dyDescent="0.25">
      <c r="B39" s="24" t="s">
        <v>66</v>
      </c>
      <c r="C39" s="50">
        <v>38</v>
      </c>
      <c r="D39" s="50">
        <v>3</v>
      </c>
      <c r="E39" s="50">
        <v>2</v>
      </c>
      <c r="F39" s="50">
        <v>6</v>
      </c>
      <c r="G39" s="50">
        <v>0</v>
      </c>
      <c r="H39" s="50">
        <v>0</v>
      </c>
      <c r="I39" s="50">
        <v>2</v>
      </c>
      <c r="J39" s="50">
        <v>1</v>
      </c>
      <c r="K39" s="50">
        <v>0</v>
      </c>
      <c r="L39" s="50">
        <v>0</v>
      </c>
      <c r="M39" s="50">
        <v>101</v>
      </c>
      <c r="N39" s="50">
        <v>0</v>
      </c>
      <c r="O39" s="15">
        <f t="shared" si="0"/>
        <v>52</v>
      </c>
      <c r="P39" s="15">
        <f t="shared" si="1"/>
        <v>153</v>
      </c>
    </row>
    <row r="40" spans="2:20" ht="23.1" customHeight="1" x14ac:dyDescent="0.25">
      <c r="B40" s="24" t="s">
        <v>67</v>
      </c>
      <c r="C40" s="50">
        <v>42</v>
      </c>
      <c r="D40" s="50">
        <v>5</v>
      </c>
      <c r="E40" s="50">
        <v>2</v>
      </c>
      <c r="F40" s="50">
        <v>4</v>
      </c>
      <c r="G40" s="50">
        <v>1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98</v>
      </c>
      <c r="N40" s="50">
        <v>0</v>
      </c>
      <c r="O40" s="15">
        <f t="shared" si="0"/>
        <v>54</v>
      </c>
      <c r="P40" s="15">
        <f t="shared" si="1"/>
        <v>152</v>
      </c>
    </row>
    <row r="41" spans="2:20" ht="23.1" customHeight="1" x14ac:dyDescent="0.25">
      <c r="B41" s="23" t="s">
        <v>68</v>
      </c>
      <c r="C41" s="50">
        <v>38</v>
      </c>
      <c r="D41" s="50">
        <v>8</v>
      </c>
      <c r="E41" s="50">
        <v>4</v>
      </c>
      <c r="F41" s="50">
        <v>2</v>
      </c>
      <c r="G41" s="50">
        <v>0</v>
      </c>
      <c r="H41" s="50">
        <v>0</v>
      </c>
      <c r="I41" s="50">
        <v>3</v>
      </c>
      <c r="J41" s="50">
        <v>1</v>
      </c>
      <c r="K41" s="50">
        <v>0</v>
      </c>
      <c r="L41" s="50">
        <v>0</v>
      </c>
      <c r="M41" s="50">
        <v>98</v>
      </c>
      <c r="N41" s="50">
        <v>0</v>
      </c>
      <c r="O41" s="15">
        <f t="shared" si="0"/>
        <v>56</v>
      </c>
      <c r="P41" s="15">
        <f t="shared" si="1"/>
        <v>154</v>
      </c>
    </row>
    <row r="42" spans="2:20" ht="23.1" customHeight="1" x14ac:dyDescent="0.25">
      <c r="B42" s="24" t="s">
        <v>69</v>
      </c>
      <c r="C42" s="50">
        <v>3</v>
      </c>
      <c r="D42" s="50">
        <v>3</v>
      </c>
      <c r="E42" s="50">
        <v>2</v>
      </c>
      <c r="F42" s="50">
        <v>4</v>
      </c>
      <c r="G42" s="50">
        <v>0</v>
      </c>
      <c r="H42" s="50">
        <v>0</v>
      </c>
      <c r="I42" s="50">
        <v>2</v>
      </c>
      <c r="J42" s="50">
        <v>1</v>
      </c>
      <c r="K42" s="50">
        <v>0</v>
      </c>
      <c r="L42" s="50">
        <v>0</v>
      </c>
      <c r="M42" s="50">
        <v>103</v>
      </c>
      <c r="N42" s="50">
        <v>0</v>
      </c>
      <c r="O42" s="15">
        <f t="shared" si="0"/>
        <v>15</v>
      </c>
      <c r="P42" s="15">
        <f t="shared" si="1"/>
        <v>118</v>
      </c>
    </row>
    <row r="43" spans="2:20" ht="23.1" customHeight="1" x14ac:dyDescent="0.25">
      <c r="B43" s="23" t="s">
        <v>70</v>
      </c>
      <c r="C43" s="50">
        <v>33</v>
      </c>
      <c r="D43" s="50">
        <v>3</v>
      </c>
      <c r="E43" s="50">
        <v>3</v>
      </c>
      <c r="F43" s="50">
        <v>5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0</v>
      </c>
      <c r="M43" s="50">
        <v>110</v>
      </c>
      <c r="N43" s="50">
        <v>0</v>
      </c>
      <c r="O43" s="15">
        <f t="shared" si="0"/>
        <v>47</v>
      </c>
      <c r="P43" s="15">
        <f t="shared" si="1"/>
        <v>157</v>
      </c>
    </row>
    <row r="44" spans="2:20" ht="23.1" customHeight="1" x14ac:dyDescent="0.25">
      <c r="B44" s="25" t="s">
        <v>71</v>
      </c>
      <c r="C44" s="50">
        <v>33</v>
      </c>
      <c r="D44" s="50">
        <v>1</v>
      </c>
      <c r="E44" s="50">
        <v>3</v>
      </c>
      <c r="F44" s="50">
        <v>4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115</v>
      </c>
      <c r="N44" s="50">
        <v>0</v>
      </c>
      <c r="O44" s="15">
        <f t="shared" si="0"/>
        <v>41</v>
      </c>
      <c r="P44" s="15">
        <f t="shared" si="1"/>
        <v>156</v>
      </c>
    </row>
    <row r="45" spans="2:20" ht="23.1" customHeight="1" x14ac:dyDescent="0.25">
      <c r="B45" s="23" t="s">
        <v>72</v>
      </c>
      <c r="C45" s="50">
        <v>37</v>
      </c>
      <c r="D45" s="50">
        <v>2</v>
      </c>
      <c r="E45" s="50">
        <v>2</v>
      </c>
      <c r="F45" s="50">
        <v>3</v>
      </c>
      <c r="G45" s="50">
        <v>0</v>
      </c>
      <c r="H45" s="50">
        <v>0</v>
      </c>
      <c r="I45" s="50">
        <v>3</v>
      </c>
      <c r="J45" s="50">
        <v>1</v>
      </c>
      <c r="K45" s="50">
        <v>0</v>
      </c>
      <c r="L45" s="50">
        <v>0</v>
      </c>
      <c r="M45" s="50">
        <v>114</v>
      </c>
      <c r="N45" s="50">
        <v>0</v>
      </c>
      <c r="O45" s="15">
        <f t="shared" si="0"/>
        <v>48</v>
      </c>
      <c r="P45" s="15">
        <f t="shared" si="1"/>
        <v>162</v>
      </c>
    </row>
    <row r="46" spans="2:20" ht="23.1" customHeight="1" x14ac:dyDescent="0.25">
      <c r="B46" s="24" t="s">
        <v>73</v>
      </c>
      <c r="C46" s="50">
        <v>38</v>
      </c>
      <c r="D46" s="50">
        <v>3</v>
      </c>
      <c r="E46" s="50">
        <v>4</v>
      </c>
      <c r="F46" s="50">
        <v>3</v>
      </c>
      <c r="G46" s="50">
        <v>1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98</v>
      </c>
      <c r="N46" s="50">
        <v>0</v>
      </c>
      <c r="O46" s="15">
        <f t="shared" si="0"/>
        <v>49</v>
      </c>
      <c r="P46" s="15">
        <f t="shared" si="1"/>
        <v>147</v>
      </c>
      <c r="R46" s="8"/>
      <c r="T46"/>
    </row>
    <row r="47" spans="2:20" ht="23.1" customHeight="1" x14ac:dyDescent="0.25">
      <c r="B47" s="24" t="s">
        <v>74</v>
      </c>
      <c r="C47" s="50">
        <v>27</v>
      </c>
      <c r="D47" s="50">
        <v>1</v>
      </c>
      <c r="E47" s="50">
        <v>2</v>
      </c>
      <c r="F47" s="50">
        <v>6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87</v>
      </c>
      <c r="N47" s="50">
        <v>0</v>
      </c>
      <c r="O47" s="15">
        <f t="shared" si="0"/>
        <v>36</v>
      </c>
      <c r="P47" s="15">
        <f t="shared" si="1"/>
        <v>123</v>
      </c>
      <c r="R47" s="8"/>
      <c r="T47"/>
    </row>
    <row r="48" spans="2:20" ht="23.1" customHeight="1" x14ac:dyDescent="0.25">
      <c r="B48" s="24" t="s">
        <v>75</v>
      </c>
      <c r="C48" s="50">
        <v>32</v>
      </c>
      <c r="D48" s="50">
        <v>5</v>
      </c>
      <c r="E48" s="50">
        <v>2</v>
      </c>
      <c r="F48" s="50">
        <v>4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85</v>
      </c>
      <c r="N48" s="50">
        <v>0</v>
      </c>
      <c r="O48" s="15">
        <f t="shared" si="0"/>
        <v>45</v>
      </c>
      <c r="P48" s="15">
        <f t="shared" si="1"/>
        <v>130</v>
      </c>
      <c r="R48" s="8"/>
      <c r="T48"/>
    </row>
    <row r="49" spans="2:20" ht="23.1" customHeight="1" x14ac:dyDescent="0.25">
      <c r="B49" s="23" t="s">
        <v>76</v>
      </c>
      <c r="C49" s="50">
        <v>32</v>
      </c>
      <c r="D49" s="50">
        <v>3</v>
      </c>
      <c r="E49" s="50">
        <v>0</v>
      </c>
      <c r="F49" s="50">
        <v>6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85</v>
      </c>
      <c r="N49" s="50">
        <v>0</v>
      </c>
      <c r="O49" s="15">
        <f t="shared" si="0"/>
        <v>41</v>
      </c>
      <c r="P49" s="15">
        <f t="shared" si="1"/>
        <v>126</v>
      </c>
      <c r="R49" s="8"/>
      <c r="T49"/>
    </row>
    <row r="50" spans="2:20" ht="23.1" customHeight="1" x14ac:dyDescent="0.25">
      <c r="B50" s="24" t="s">
        <v>77</v>
      </c>
      <c r="C50" s="50">
        <v>38</v>
      </c>
      <c r="D50" s="50">
        <v>7</v>
      </c>
      <c r="E50" s="50">
        <v>6</v>
      </c>
      <c r="F50" s="50">
        <v>6</v>
      </c>
      <c r="G50" s="50">
        <v>0</v>
      </c>
      <c r="H50" s="50">
        <v>0</v>
      </c>
      <c r="I50" s="50">
        <v>3</v>
      </c>
      <c r="J50" s="50">
        <v>1</v>
      </c>
      <c r="K50" s="50">
        <v>0</v>
      </c>
      <c r="L50" s="50">
        <v>0</v>
      </c>
      <c r="M50" s="50">
        <v>85</v>
      </c>
      <c r="N50" s="50">
        <v>0</v>
      </c>
      <c r="O50" s="15">
        <f t="shared" si="0"/>
        <v>61</v>
      </c>
      <c r="P50" s="15">
        <f t="shared" si="1"/>
        <v>146</v>
      </c>
      <c r="R50" s="8"/>
      <c r="T50"/>
    </row>
    <row r="51" spans="2:20" ht="23.1" customHeight="1" x14ac:dyDescent="0.25">
      <c r="B51" s="24" t="s">
        <v>78</v>
      </c>
      <c r="C51" s="50">
        <v>31</v>
      </c>
      <c r="D51" s="50">
        <v>6</v>
      </c>
      <c r="E51" s="50">
        <v>2</v>
      </c>
      <c r="F51" s="50">
        <v>8</v>
      </c>
      <c r="G51" s="50">
        <v>0</v>
      </c>
      <c r="H51" s="50">
        <v>0</v>
      </c>
      <c r="I51" s="50">
        <v>1</v>
      </c>
      <c r="J51" s="50">
        <v>1</v>
      </c>
      <c r="K51" s="50">
        <v>0</v>
      </c>
      <c r="L51" s="50">
        <v>0</v>
      </c>
      <c r="M51" s="50">
        <v>80</v>
      </c>
      <c r="N51" s="50">
        <v>0</v>
      </c>
      <c r="O51" s="15">
        <f t="shared" si="0"/>
        <v>49</v>
      </c>
      <c r="P51" s="15">
        <f t="shared" si="1"/>
        <v>129</v>
      </c>
      <c r="R51" s="8"/>
      <c r="T51"/>
    </row>
    <row r="52" spans="2:20" ht="23.1" customHeight="1" x14ac:dyDescent="0.25">
      <c r="B52" s="24" t="s">
        <v>79</v>
      </c>
      <c r="C52" s="50">
        <v>33</v>
      </c>
      <c r="D52" s="50">
        <v>8</v>
      </c>
      <c r="E52" s="50">
        <v>2</v>
      </c>
      <c r="F52" s="50">
        <v>9</v>
      </c>
      <c r="G52" s="50">
        <v>0</v>
      </c>
      <c r="H52" s="50">
        <v>0</v>
      </c>
      <c r="I52" s="50">
        <v>2</v>
      </c>
      <c r="J52" s="50">
        <v>1</v>
      </c>
      <c r="K52" s="50">
        <v>0</v>
      </c>
      <c r="L52" s="50">
        <v>0</v>
      </c>
      <c r="M52" s="50">
        <v>88</v>
      </c>
      <c r="N52" s="50">
        <v>0</v>
      </c>
      <c r="O52" s="15">
        <f t="shared" si="0"/>
        <v>55</v>
      </c>
      <c r="P52" s="15">
        <f t="shared" si="1"/>
        <v>143</v>
      </c>
      <c r="R52" s="8"/>
      <c r="T52"/>
    </row>
    <row r="53" spans="2:20" ht="23.1" customHeight="1" x14ac:dyDescent="0.25">
      <c r="B53" s="23" t="s">
        <v>80</v>
      </c>
      <c r="C53" s="50">
        <v>30</v>
      </c>
      <c r="D53" s="50">
        <v>1</v>
      </c>
      <c r="E53" s="50">
        <v>2</v>
      </c>
      <c r="F53" s="50">
        <v>5</v>
      </c>
      <c r="G53" s="50">
        <v>0</v>
      </c>
      <c r="H53" s="50">
        <v>0</v>
      </c>
      <c r="I53" s="50">
        <v>2</v>
      </c>
      <c r="J53" s="50">
        <v>1</v>
      </c>
      <c r="K53" s="50">
        <v>1</v>
      </c>
      <c r="L53" s="50">
        <v>0</v>
      </c>
      <c r="M53" s="50">
        <v>79</v>
      </c>
      <c r="N53" s="50">
        <v>0</v>
      </c>
      <c r="O53" s="15">
        <f t="shared" si="0"/>
        <v>42</v>
      </c>
      <c r="P53" s="15">
        <f t="shared" si="1"/>
        <v>121</v>
      </c>
      <c r="R53" s="8"/>
      <c r="T53"/>
    </row>
    <row r="54" spans="2:20" ht="23.1" customHeight="1" x14ac:dyDescent="0.25">
      <c r="B54" s="23" t="s">
        <v>81</v>
      </c>
      <c r="C54" s="50">
        <v>30</v>
      </c>
      <c r="D54" s="50">
        <v>6</v>
      </c>
      <c r="E54" s="50">
        <v>2</v>
      </c>
      <c r="F54" s="50">
        <v>5</v>
      </c>
      <c r="G54" s="50">
        <v>0</v>
      </c>
      <c r="H54" s="50">
        <v>0</v>
      </c>
      <c r="I54" s="50">
        <v>2</v>
      </c>
      <c r="J54" s="50">
        <v>2</v>
      </c>
      <c r="K54" s="50">
        <v>0</v>
      </c>
      <c r="L54" s="50">
        <v>0</v>
      </c>
      <c r="M54" s="50">
        <v>82</v>
      </c>
      <c r="N54" s="50">
        <v>0</v>
      </c>
      <c r="O54" s="15">
        <f t="shared" si="0"/>
        <v>47</v>
      </c>
      <c r="P54" s="15">
        <f t="shared" si="1"/>
        <v>129</v>
      </c>
      <c r="R54" s="8"/>
      <c r="T54"/>
    </row>
    <row r="55" spans="2:20" ht="23.1" customHeight="1" x14ac:dyDescent="0.25">
      <c r="B55" s="23" t="s">
        <v>82</v>
      </c>
      <c r="C55" s="50">
        <v>33</v>
      </c>
      <c r="D55" s="50">
        <v>3</v>
      </c>
      <c r="E55" s="50">
        <v>2</v>
      </c>
      <c r="F55" s="50">
        <v>4</v>
      </c>
      <c r="G55" s="50">
        <v>0</v>
      </c>
      <c r="H55" s="50">
        <v>0</v>
      </c>
      <c r="I55" s="50">
        <v>1</v>
      </c>
      <c r="J55" s="50">
        <v>0</v>
      </c>
      <c r="K55" s="50">
        <v>1</v>
      </c>
      <c r="L55" s="50">
        <v>0</v>
      </c>
      <c r="M55" s="50">
        <v>80</v>
      </c>
      <c r="N55" s="50">
        <v>1</v>
      </c>
      <c r="O55" s="15">
        <f t="shared" si="0"/>
        <v>45</v>
      </c>
      <c r="P55" s="15">
        <f t="shared" si="1"/>
        <v>125</v>
      </c>
      <c r="R55" s="8"/>
      <c r="T55"/>
    </row>
    <row r="56" spans="2:20" ht="23.1" customHeight="1" x14ac:dyDescent="0.25">
      <c r="B56" s="23" t="s">
        <v>83</v>
      </c>
      <c r="C56" s="50">
        <v>27</v>
      </c>
      <c r="D56" s="50">
        <v>2</v>
      </c>
      <c r="E56" s="50">
        <v>0</v>
      </c>
      <c r="F56" s="50">
        <v>4</v>
      </c>
      <c r="G56" s="50">
        <v>0</v>
      </c>
      <c r="H56" s="50">
        <v>0</v>
      </c>
      <c r="I56" s="50">
        <v>2</v>
      </c>
      <c r="J56" s="50">
        <v>1</v>
      </c>
      <c r="K56" s="50">
        <v>0</v>
      </c>
      <c r="L56" s="50">
        <v>2</v>
      </c>
      <c r="M56" s="50">
        <v>84</v>
      </c>
      <c r="N56" s="50">
        <v>0</v>
      </c>
      <c r="O56" s="15">
        <f t="shared" si="0"/>
        <v>38</v>
      </c>
      <c r="P56" s="15">
        <f t="shared" si="1"/>
        <v>122</v>
      </c>
      <c r="R56" s="8"/>
      <c r="T56"/>
    </row>
    <row r="57" spans="2:20" ht="23.1" customHeight="1" x14ac:dyDescent="0.25">
      <c r="B57" s="23" t="s">
        <v>84</v>
      </c>
      <c r="C57" s="50">
        <v>23</v>
      </c>
      <c r="D57" s="50">
        <v>2</v>
      </c>
      <c r="E57" s="50">
        <v>3</v>
      </c>
      <c r="F57" s="50">
        <v>8</v>
      </c>
      <c r="G57" s="50">
        <v>0</v>
      </c>
      <c r="H57" s="50">
        <v>0</v>
      </c>
      <c r="I57" s="50">
        <v>1</v>
      </c>
      <c r="J57" s="50">
        <v>2</v>
      </c>
      <c r="K57" s="50">
        <v>2</v>
      </c>
      <c r="L57" s="50">
        <v>0</v>
      </c>
      <c r="M57" s="50">
        <v>87</v>
      </c>
      <c r="N57" s="50">
        <v>0</v>
      </c>
      <c r="O57" s="15">
        <f t="shared" si="0"/>
        <v>41</v>
      </c>
      <c r="P57" s="15">
        <f t="shared" si="1"/>
        <v>128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1644</v>
      </c>
      <c r="D58" s="16">
        <f t="shared" si="21"/>
        <v>190</v>
      </c>
      <c r="E58" s="16">
        <f t="shared" si="21"/>
        <v>134</v>
      </c>
      <c r="F58" s="16">
        <f t="shared" si="21"/>
        <v>307</v>
      </c>
      <c r="G58" s="16">
        <f t="shared" si="21"/>
        <v>10</v>
      </c>
      <c r="H58" s="16">
        <f t="shared" si="21"/>
        <v>0</v>
      </c>
      <c r="I58" s="16">
        <f t="shared" si="21"/>
        <v>117</v>
      </c>
      <c r="J58" s="16">
        <f t="shared" si="21"/>
        <v>36</v>
      </c>
      <c r="K58" s="16">
        <f t="shared" si="21"/>
        <v>6</v>
      </c>
      <c r="L58" s="16">
        <f t="shared" si="21"/>
        <v>4</v>
      </c>
      <c r="M58" s="16">
        <f t="shared" si="21"/>
        <v>4554</v>
      </c>
      <c r="N58" s="16">
        <f t="shared" si="21"/>
        <v>1</v>
      </c>
      <c r="O58" s="16">
        <f t="shared" si="21"/>
        <v>2449</v>
      </c>
      <c r="P58" s="16">
        <f t="shared" si="21"/>
        <v>7003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0.23475653291446522</v>
      </c>
      <c r="D59" s="43">
        <f t="shared" si="22"/>
        <v>2.7131229473082965E-2</v>
      </c>
      <c r="E59" s="43">
        <f t="shared" si="22"/>
        <v>1.9134656575753247E-2</v>
      </c>
      <c r="F59" s="43">
        <f t="shared" si="22"/>
        <v>4.383835499071826E-2</v>
      </c>
      <c r="G59" s="43">
        <f t="shared" si="22"/>
        <v>1.4279594459517349E-3</v>
      </c>
      <c r="H59" s="43">
        <f t="shared" si="22"/>
        <v>0</v>
      </c>
      <c r="I59" s="43">
        <f t="shared" si="22"/>
        <v>1.6707125517635299E-2</v>
      </c>
      <c r="J59" s="43">
        <f t="shared" si="22"/>
        <v>5.140654005426246E-3</v>
      </c>
      <c r="K59" s="43">
        <f t="shared" si="22"/>
        <v>8.5677566757104103E-4</v>
      </c>
      <c r="L59" s="43">
        <f t="shared" si="22"/>
        <v>5.7118377838069395E-4</v>
      </c>
      <c r="M59" s="43">
        <f t="shared" si="22"/>
        <v>0.6502927316864201</v>
      </c>
      <c r="N59" s="43">
        <f t="shared" si="22"/>
        <v>1.4279594459517349E-4</v>
      </c>
      <c r="R59" s="8"/>
      <c r="T59"/>
    </row>
    <row r="60" spans="2:20" ht="23.1" customHeight="1" x14ac:dyDescent="0.25">
      <c r="B60" s="42" t="s">
        <v>94</v>
      </c>
      <c r="C60" s="44">
        <f>C58/$O$58</f>
        <v>0.67129440587995104</v>
      </c>
      <c r="D60" s="44">
        <f t="shared" ref="D60:N60" si="23">D58/$O$58</f>
        <v>7.7582686810943241E-2</v>
      </c>
      <c r="E60" s="44">
        <f t="shared" si="23"/>
        <v>5.4716210698244179E-2</v>
      </c>
      <c r="F60" s="44">
        <f t="shared" si="23"/>
        <v>0.12535728868926091</v>
      </c>
      <c r="G60" s="44">
        <f t="shared" si="23"/>
        <v>4.0832993058391182E-3</v>
      </c>
      <c r="H60" s="44">
        <f t="shared" si="23"/>
        <v>0</v>
      </c>
      <c r="I60" s="44">
        <f t="shared" si="23"/>
        <v>4.7774601878317682E-2</v>
      </c>
      <c r="J60" s="44">
        <f t="shared" si="23"/>
        <v>1.4699877501020826E-2</v>
      </c>
      <c r="K60" s="44">
        <f t="shared" si="23"/>
        <v>2.4499795835034709E-3</v>
      </c>
      <c r="L60" s="44">
        <f t="shared" si="23"/>
        <v>1.6333197223356473E-3</v>
      </c>
      <c r="M60" s="44"/>
      <c r="N60" s="44">
        <f t="shared" si="23"/>
        <v>4.0832993058391182E-4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G55" zoomScale="60" workbookViewId="0">
      <selection activeCell="AC55" sqref="AC55"/>
    </sheetView>
  </sheetViews>
  <sheetFormatPr defaultColWidth="15" defaultRowHeight="20.100000000000001" customHeight="1" x14ac:dyDescent="0.25"/>
  <cols>
    <col min="1" max="1" width="4.85546875" customWidth="1"/>
    <col min="2" max="2" width="21.85546875" bestFit="1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'28.07 Nyanama-Ndeeba'!C3:G3</f>
        <v>MCC - C1 - STN04 - WERAGA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 t="s">
        <v>181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0" t="s">
        <v>168</v>
      </c>
      <c r="E5" s="71"/>
      <c r="F5" s="41" t="s">
        <v>1</v>
      </c>
      <c r="G5" s="68" t="str">
        <f>'28.07 Ndeeba-Nyanama'!G5:H5</f>
        <v>Golden Mille Hotel</v>
      </c>
      <c r="H5" s="69"/>
      <c r="I5" s="14"/>
      <c r="J5" s="2" t="s">
        <v>5</v>
      </c>
      <c r="K5" s="68" t="str">
        <f>'28.07 Ndeeba-Nyanama'!K5:L5</f>
        <v>Steven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tr">
        <f>'28.07 Ndeeba-Nyanama'!D6:E6</f>
        <v>Ndeeba</v>
      </c>
      <c r="E6" s="69"/>
      <c r="F6" s="2" t="s">
        <v>2</v>
      </c>
      <c r="G6" s="68" t="str">
        <f>'28.07 Ndeeba-Nyanama'!G6:H6</f>
        <v>Nyanama</v>
      </c>
      <c r="H6" s="69"/>
      <c r="J6" s="2" t="s">
        <v>21</v>
      </c>
      <c r="K6" s="68" t="str">
        <f>'28.07 Ndeeba-Nyanama'!K6:L6</f>
        <v>Denis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AVERAGE('22.07 Ndeeba-Nyanama'!C10,'23.07 Ndeeba-Nyanama'!C10,'24.07 Ndeeba-Nyanama'!C10,'25.07 Ndeeba-Nyanama'!C10,'26.07 Ndeeba-Nyanama-24h'!C10,'27.07 Ndeeba-Nyanama-24h'!C10,'28.07 Ndeeba-Nyanama'!C10)</f>
        <v>43</v>
      </c>
      <c r="D10" s="49">
        <f>AVERAGE('22.07 Ndeeba-Nyanama'!D10,'23.07 Ndeeba-Nyanama'!D10,'24.07 Ndeeba-Nyanama'!D10,'25.07 Ndeeba-Nyanama'!D10,'26.07 Ndeeba-Nyanama-24h'!D10,'27.07 Ndeeba-Nyanama-24h'!D10,'28.07 Ndeeba-Nyanama'!D10)</f>
        <v>1.4285714285714286</v>
      </c>
      <c r="E10" s="49">
        <f>AVERAGE('22.07 Ndeeba-Nyanama'!E10,'23.07 Ndeeba-Nyanama'!E10,'24.07 Ndeeba-Nyanama'!E10,'25.07 Ndeeba-Nyanama'!E10,'26.07 Ndeeba-Nyanama-24h'!E10,'27.07 Ndeeba-Nyanama-24h'!E10,'28.07 Ndeeba-Nyanama'!E10)</f>
        <v>5.8571428571428568</v>
      </c>
      <c r="F10" s="49">
        <f>AVERAGE('22.07 Ndeeba-Nyanama'!F10,'23.07 Ndeeba-Nyanama'!F10,'24.07 Ndeeba-Nyanama'!F10,'25.07 Ndeeba-Nyanama'!F10,'26.07 Ndeeba-Nyanama-24h'!F10,'27.07 Ndeeba-Nyanama-24h'!F10,'28.07 Ndeeba-Nyanama'!F10)</f>
        <v>28.857142857142858</v>
      </c>
      <c r="G10" s="49">
        <f>AVERAGE('22.07 Ndeeba-Nyanama'!G10,'23.07 Ndeeba-Nyanama'!G10,'24.07 Ndeeba-Nyanama'!G10,'25.07 Ndeeba-Nyanama'!G10,'26.07 Ndeeba-Nyanama-24h'!G10,'27.07 Ndeeba-Nyanama-24h'!G10,'28.07 Ndeeba-Nyanama'!G10)</f>
        <v>0.2857142857142857</v>
      </c>
      <c r="H10" s="49">
        <f>AVERAGE('22.07 Ndeeba-Nyanama'!H10,'23.07 Ndeeba-Nyanama'!H10,'24.07 Ndeeba-Nyanama'!H10,'25.07 Ndeeba-Nyanama'!H10,'26.07 Ndeeba-Nyanama-24h'!H10,'27.07 Ndeeba-Nyanama-24h'!H10,'28.07 Ndeeba-Nyanama'!H10)</f>
        <v>0</v>
      </c>
      <c r="I10" s="49">
        <f>AVERAGE('22.07 Ndeeba-Nyanama'!I10,'23.07 Ndeeba-Nyanama'!I10,'24.07 Ndeeba-Nyanama'!I10,'25.07 Ndeeba-Nyanama'!I10,'26.07 Ndeeba-Nyanama-24h'!I10,'27.07 Ndeeba-Nyanama-24h'!I10,'28.07 Ndeeba-Nyanama'!I10)</f>
        <v>0.5714285714285714</v>
      </c>
      <c r="J10" s="49">
        <f>AVERAGE('22.07 Ndeeba-Nyanama'!J10,'23.07 Ndeeba-Nyanama'!J10,'24.07 Ndeeba-Nyanama'!J10,'25.07 Ndeeba-Nyanama'!J10,'26.07 Ndeeba-Nyanama-24h'!J10,'27.07 Ndeeba-Nyanama-24h'!J10,'28.07 Ndeeba-Nyanama'!J10)</f>
        <v>0</v>
      </c>
      <c r="K10" s="49">
        <f>AVERAGE('22.07 Ndeeba-Nyanama'!K10,'23.07 Ndeeba-Nyanama'!K10,'24.07 Ndeeba-Nyanama'!K10,'25.07 Ndeeba-Nyanama'!K10,'26.07 Ndeeba-Nyanama-24h'!K10,'27.07 Ndeeba-Nyanama-24h'!K10,'28.07 Ndeeba-Nyanama'!K10)</f>
        <v>0</v>
      </c>
      <c r="L10" s="49">
        <f>AVERAGE('22.07 Ndeeba-Nyanama'!L10,'23.07 Ndeeba-Nyanama'!L10,'24.07 Ndeeba-Nyanama'!L10,'25.07 Ndeeba-Nyanama'!L10,'26.07 Ndeeba-Nyanama-24h'!L10,'27.07 Ndeeba-Nyanama-24h'!L10,'28.07 Ndeeba-Nyanama'!L10)</f>
        <v>0</v>
      </c>
      <c r="M10" s="49">
        <f>AVERAGE('22.07 Ndeeba-Nyanama'!M10,'23.07 Ndeeba-Nyanama'!M10,'24.07 Ndeeba-Nyanama'!M10,'25.07 Ndeeba-Nyanama'!M10,'26.07 Ndeeba-Nyanama-24h'!M10,'27.07 Ndeeba-Nyanama-24h'!M10,'28.07 Ndeeba-Nyanama'!M10)</f>
        <v>74.571428571428569</v>
      </c>
      <c r="N10" s="49">
        <f>AVERAGE('22.07 Ndeeba-Nyanama'!N10,'23.07 Ndeeba-Nyanama'!N10,'24.07 Ndeeba-Nyanama'!N10,'25.07 Ndeeba-Nyanama'!N10,'26.07 Ndeeba-Nyanama-24h'!N10,'27.07 Ndeeba-Nyanama-24h'!N10,'28.07 Ndeeba-Nyanama'!N10)</f>
        <v>0</v>
      </c>
      <c r="O10" s="15">
        <f t="shared" ref="O10:O73" si="0">SUM(C10:L10,N10)</f>
        <v>80</v>
      </c>
      <c r="P10" s="15">
        <f t="shared" ref="P10:P73" si="1">SUM(C10:N10)</f>
        <v>154.57142857142856</v>
      </c>
      <c r="R10" s="1" t="s">
        <v>6</v>
      </c>
      <c r="S10" s="17">
        <f t="shared" ref="S10:AF10" si="2">SUM(C10:C13)</f>
        <v>166.28571428571431</v>
      </c>
      <c r="T10" s="17">
        <f t="shared" si="2"/>
        <v>6.4285714285714279</v>
      </c>
      <c r="U10" s="17">
        <f t="shared" si="2"/>
        <v>21.857142857142858</v>
      </c>
      <c r="V10" s="17">
        <f t="shared" si="2"/>
        <v>92.714285714285708</v>
      </c>
      <c r="W10" s="17">
        <f t="shared" si="2"/>
        <v>0.8571428571428571</v>
      </c>
      <c r="X10" s="17">
        <f t="shared" si="2"/>
        <v>0.14285714285714285</v>
      </c>
      <c r="Y10" s="17">
        <f t="shared" si="2"/>
        <v>4.1428571428571432</v>
      </c>
      <c r="Z10" s="17">
        <f t="shared" si="2"/>
        <v>0.71428571428571419</v>
      </c>
      <c r="AA10" s="17">
        <f t="shared" si="2"/>
        <v>0.42857142857142855</v>
      </c>
      <c r="AB10" s="17">
        <f t="shared" si="2"/>
        <v>0.2857142857142857</v>
      </c>
      <c r="AC10" s="17">
        <f t="shared" si="2"/>
        <v>382.85714285714289</v>
      </c>
      <c r="AD10" s="17">
        <f t="shared" si="2"/>
        <v>0</v>
      </c>
      <c r="AE10" s="31">
        <f t="shared" si="2"/>
        <v>293.85714285714289</v>
      </c>
      <c r="AF10" s="31">
        <f t="shared" si="2"/>
        <v>676.71428571428567</v>
      </c>
    </row>
    <row r="11" spans="2:32" s="6" customFormat="1" ht="23.1" customHeight="1" x14ac:dyDescent="0.25">
      <c r="B11" s="23" t="s">
        <v>38</v>
      </c>
      <c r="C11" s="49">
        <f>AVERAGE('22.07 Ndeeba-Nyanama'!C11,'23.07 Ndeeba-Nyanama'!C11,'24.07 Ndeeba-Nyanama'!C11,'25.07 Ndeeba-Nyanama'!C11,'26.07 Ndeeba-Nyanama-24h'!C11,'27.07 Ndeeba-Nyanama-24h'!C11,'28.07 Ndeeba-Nyanama'!C11)</f>
        <v>48.714285714285715</v>
      </c>
      <c r="D11" s="49">
        <f>AVERAGE('22.07 Ndeeba-Nyanama'!D11,'23.07 Ndeeba-Nyanama'!D11,'24.07 Ndeeba-Nyanama'!D11,'25.07 Ndeeba-Nyanama'!D11,'26.07 Ndeeba-Nyanama-24h'!D11,'27.07 Ndeeba-Nyanama-24h'!D11,'28.07 Ndeeba-Nyanama'!D11)</f>
        <v>1.4285714285714286</v>
      </c>
      <c r="E11" s="49">
        <f>AVERAGE('22.07 Ndeeba-Nyanama'!E11,'23.07 Ndeeba-Nyanama'!E11,'24.07 Ndeeba-Nyanama'!E11,'25.07 Ndeeba-Nyanama'!E11,'26.07 Ndeeba-Nyanama-24h'!E11,'27.07 Ndeeba-Nyanama-24h'!E11,'28.07 Ndeeba-Nyanama'!E11)</f>
        <v>7</v>
      </c>
      <c r="F11" s="49">
        <f>AVERAGE('22.07 Ndeeba-Nyanama'!F11,'23.07 Ndeeba-Nyanama'!F11,'24.07 Ndeeba-Nyanama'!F11,'25.07 Ndeeba-Nyanama'!F11,'26.07 Ndeeba-Nyanama-24h'!F11,'27.07 Ndeeba-Nyanama-24h'!F11,'28.07 Ndeeba-Nyanama'!F11)</f>
        <v>25.571428571428573</v>
      </c>
      <c r="G11" s="49">
        <f>AVERAGE('22.07 Ndeeba-Nyanama'!G11,'23.07 Ndeeba-Nyanama'!G11,'24.07 Ndeeba-Nyanama'!G11,'25.07 Ndeeba-Nyanama'!G11,'26.07 Ndeeba-Nyanama-24h'!G11,'27.07 Ndeeba-Nyanama-24h'!G11,'28.07 Ndeeba-Nyanama'!G11)</f>
        <v>0</v>
      </c>
      <c r="H11" s="49">
        <f>AVERAGE('22.07 Ndeeba-Nyanama'!H11,'23.07 Ndeeba-Nyanama'!H11,'24.07 Ndeeba-Nyanama'!H11,'25.07 Ndeeba-Nyanama'!H11,'26.07 Ndeeba-Nyanama-24h'!H11,'27.07 Ndeeba-Nyanama-24h'!H11,'28.07 Ndeeba-Nyanama'!H11)</f>
        <v>0.14285714285714285</v>
      </c>
      <c r="I11" s="49">
        <f>AVERAGE('22.07 Ndeeba-Nyanama'!I11,'23.07 Ndeeba-Nyanama'!I11,'24.07 Ndeeba-Nyanama'!I11,'25.07 Ndeeba-Nyanama'!I11,'26.07 Ndeeba-Nyanama-24h'!I11,'27.07 Ndeeba-Nyanama-24h'!I11,'28.07 Ndeeba-Nyanama'!I11)</f>
        <v>0.5714285714285714</v>
      </c>
      <c r="J11" s="49">
        <f>AVERAGE('22.07 Ndeeba-Nyanama'!J11,'23.07 Ndeeba-Nyanama'!J11,'24.07 Ndeeba-Nyanama'!J11,'25.07 Ndeeba-Nyanama'!J11,'26.07 Ndeeba-Nyanama-24h'!J11,'27.07 Ndeeba-Nyanama-24h'!J11,'28.07 Ndeeba-Nyanama'!J11)</f>
        <v>0</v>
      </c>
      <c r="K11" s="49">
        <f>AVERAGE('22.07 Ndeeba-Nyanama'!K11,'23.07 Ndeeba-Nyanama'!K11,'24.07 Ndeeba-Nyanama'!K11,'25.07 Ndeeba-Nyanama'!K11,'26.07 Ndeeba-Nyanama-24h'!K11,'27.07 Ndeeba-Nyanama-24h'!K11,'28.07 Ndeeba-Nyanama'!K11)</f>
        <v>0.2857142857142857</v>
      </c>
      <c r="L11" s="49">
        <f>AVERAGE('22.07 Ndeeba-Nyanama'!L11,'23.07 Ndeeba-Nyanama'!L11,'24.07 Ndeeba-Nyanama'!L11,'25.07 Ndeeba-Nyanama'!L11,'26.07 Ndeeba-Nyanama-24h'!L11,'27.07 Ndeeba-Nyanama-24h'!L11,'28.07 Ndeeba-Nyanama'!L11)</f>
        <v>0.14285714285714285</v>
      </c>
      <c r="M11" s="49">
        <f>AVERAGE('22.07 Ndeeba-Nyanama'!M11,'23.07 Ndeeba-Nyanama'!M11,'24.07 Ndeeba-Nyanama'!M11,'25.07 Ndeeba-Nyanama'!M11,'26.07 Ndeeba-Nyanama-24h'!M11,'27.07 Ndeeba-Nyanama-24h'!M11,'28.07 Ndeeba-Nyanama'!M11)</f>
        <v>98.857142857142861</v>
      </c>
      <c r="N11" s="49">
        <f>AVERAGE('22.07 Ndeeba-Nyanama'!N11,'23.07 Ndeeba-Nyanama'!N11,'24.07 Ndeeba-Nyanama'!N11,'25.07 Ndeeba-Nyanama'!N11,'26.07 Ndeeba-Nyanama-24h'!N11,'27.07 Ndeeba-Nyanama-24h'!N11,'28.07 Ndeeba-Nyanama'!N11)</f>
        <v>0</v>
      </c>
      <c r="O11" s="15">
        <f t="shared" si="0"/>
        <v>83.857142857142861</v>
      </c>
      <c r="P11" s="15">
        <f t="shared" si="1"/>
        <v>182.71428571428572</v>
      </c>
      <c r="R11" s="1" t="s">
        <v>7</v>
      </c>
      <c r="S11" s="17">
        <f t="shared" ref="S11:AF11" si="3">SUM(C14:C17)</f>
        <v>138</v>
      </c>
      <c r="T11" s="17">
        <f t="shared" si="3"/>
        <v>4.7142857142857135</v>
      </c>
      <c r="U11" s="17">
        <f t="shared" si="3"/>
        <v>9</v>
      </c>
      <c r="V11" s="17">
        <f t="shared" si="3"/>
        <v>59</v>
      </c>
      <c r="W11" s="17">
        <f t="shared" si="3"/>
        <v>1.1428571428571428</v>
      </c>
      <c r="X11" s="17">
        <f t="shared" si="3"/>
        <v>0.14285714285714285</v>
      </c>
      <c r="Y11" s="17">
        <f t="shared" si="3"/>
        <v>6.7142857142857144</v>
      </c>
      <c r="Z11" s="17">
        <f t="shared" si="3"/>
        <v>1.8571428571428572</v>
      </c>
      <c r="AA11" s="17">
        <f t="shared" si="3"/>
        <v>0.5714285714285714</v>
      </c>
      <c r="AB11" s="17">
        <f t="shared" si="3"/>
        <v>1.2857142857142856</v>
      </c>
      <c r="AC11" s="17">
        <f t="shared" si="3"/>
        <v>411.42857142857144</v>
      </c>
      <c r="AD11" s="17">
        <f t="shared" si="3"/>
        <v>0</v>
      </c>
      <c r="AE11" s="31">
        <f t="shared" si="3"/>
        <v>222.42857142857144</v>
      </c>
      <c r="AF11" s="31">
        <f t="shared" si="3"/>
        <v>633.85714285714289</v>
      </c>
    </row>
    <row r="12" spans="2:32" ht="23.1" customHeight="1" x14ac:dyDescent="0.25">
      <c r="B12" s="23" t="s">
        <v>39</v>
      </c>
      <c r="C12" s="49">
        <f>AVERAGE('22.07 Ndeeba-Nyanama'!C12,'23.07 Ndeeba-Nyanama'!C12,'24.07 Ndeeba-Nyanama'!C12,'25.07 Ndeeba-Nyanama'!C12,'26.07 Ndeeba-Nyanama-24h'!C12,'27.07 Ndeeba-Nyanama-24h'!C12,'28.07 Ndeeba-Nyanama'!C12)</f>
        <v>41.714285714285715</v>
      </c>
      <c r="D12" s="49">
        <f>AVERAGE('22.07 Ndeeba-Nyanama'!D12,'23.07 Ndeeba-Nyanama'!D12,'24.07 Ndeeba-Nyanama'!D12,'25.07 Ndeeba-Nyanama'!D12,'26.07 Ndeeba-Nyanama-24h'!D12,'27.07 Ndeeba-Nyanama-24h'!D12,'28.07 Ndeeba-Nyanama'!D12)</f>
        <v>2.2857142857142856</v>
      </c>
      <c r="E12" s="49">
        <f>AVERAGE('22.07 Ndeeba-Nyanama'!E12,'23.07 Ndeeba-Nyanama'!E12,'24.07 Ndeeba-Nyanama'!E12,'25.07 Ndeeba-Nyanama'!E12,'26.07 Ndeeba-Nyanama-24h'!E12,'27.07 Ndeeba-Nyanama-24h'!E12,'28.07 Ndeeba-Nyanama'!E12)</f>
        <v>3.7142857142857144</v>
      </c>
      <c r="F12" s="49">
        <f>AVERAGE('22.07 Ndeeba-Nyanama'!F12,'23.07 Ndeeba-Nyanama'!F12,'24.07 Ndeeba-Nyanama'!F12,'25.07 Ndeeba-Nyanama'!F12,'26.07 Ndeeba-Nyanama-24h'!F12,'27.07 Ndeeba-Nyanama-24h'!F12,'28.07 Ndeeba-Nyanama'!F12)</f>
        <v>19.714285714285715</v>
      </c>
      <c r="G12" s="49">
        <f>AVERAGE('22.07 Ndeeba-Nyanama'!G12,'23.07 Ndeeba-Nyanama'!G12,'24.07 Ndeeba-Nyanama'!G12,'25.07 Ndeeba-Nyanama'!G12,'26.07 Ndeeba-Nyanama-24h'!G12,'27.07 Ndeeba-Nyanama-24h'!G12,'28.07 Ndeeba-Nyanama'!G12)</f>
        <v>0.2857142857142857</v>
      </c>
      <c r="H12" s="49">
        <f>AVERAGE('22.07 Ndeeba-Nyanama'!H12,'23.07 Ndeeba-Nyanama'!H12,'24.07 Ndeeba-Nyanama'!H12,'25.07 Ndeeba-Nyanama'!H12,'26.07 Ndeeba-Nyanama-24h'!H12,'27.07 Ndeeba-Nyanama-24h'!H12,'28.07 Ndeeba-Nyanama'!H12)</f>
        <v>0</v>
      </c>
      <c r="I12" s="49">
        <f>AVERAGE('22.07 Ndeeba-Nyanama'!I12,'23.07 Ndeeba-Nyanama'!I12,'24.07 Ndeeba-Nyanama'!I12,'25.07 Ndeeba-Nyanama'!I12,'26.07 Ndeeba-Nyanama-24h'!I12,'27.07 Ndeeba-Nyanama-24h'!I12,'28.07 Ndeeba-Nyanama'!I12)</f>
        <v>1.2857142857142858</v>
      </c>
      <c r="J12" s="49">
        <f>AVERAGE('22.07 Ndeeba-Nyanama'!J12,'23.07 Ndeeba-Nyanama'!J12,'24.07 Ndeeba-Nyanama'!J12,'25.07 Ndeeba-Nyanama'!J12,'26.07 Ndeeba-Nyanama-24h'!J12,'27.07 Ndeeba-Nyanama-24h'!J12,'28.07 Ndeeba-Nyanama'!J12)</f>
        <v>0.14285714285714285</v>
      </c>
      <c r="K12" s="49">
        <f>AVERAGE('22.07 Ndeeba-Nyanama'!K12,'23.07 Ndeeba-Nyanama'!K12,'24.07 Ndeeba-Nyanama'!K12,'25.07 Ndeeba-Nyanama'!K12,'26.07 Ndeeba-Nyanama-24h'!K12,'27.07 Ndeeba-Nyanama-24h'!K12,'28.07 Ndeeba-Nyanama'!K12)</f>
        <v>0.14285714285714285</v>
      </c>
      <c r="L12" s="49">
        <f>AVERAGE('22.07 Ndeeba-Nyanama'!L12,'23.07 Ndeeba-Nyanama'!L12,'24.07 Ndeeba-Nyanama'!L12,'25.07 Ndeeba-Nyanama'!L12,'26.07 Ndeeba-Nyanama-24h'!L12,'27.07 Ndeeba-Nyanama-24h'!L12,'28.07 Ndeeba-Nyanama'!L12)</f>
        <v>0</v>
      </c>
      <c r="M12" s="49">
        <f>AVERAGE('22.07 Ndeeba-Nyanama'!M12,'23.07 Ndeeba-Nyanama'!M12,'24.07 Ndeeba-Nyanama'!M12,'25.07 Ndeeba-Nyanama'!M12,'26.07 Ndeeba-Nyanama-24h'!M12,'27.07 Ndeeba-Nyanama-24h'!M12,'28.07 Ndeeba-Nyanama'!M12)</f>
        <v>98.571428571428569</v>
      </c>
      <c r="N12" s="49">
        <f>AVERAGE('22.07 Ndeeba-Nyanama'!N12,'23.07 Ndeeba-Nyanama'!N12,'24.07 Ndeeba-Nyanama'!N12,'25.07 Ndeeba-Nyanama'!N12,'26.07 Ndeeba-Nyanama-24h'!N12,'27.07 Ndeeba-Nyanama-24h'!N12,'28.07 Ndeeba-Nyanama'!N12)</f>
        <v>0</v>
      </c>
      <c r="O12" s="15">
        <f t="shared" si="0"/>
        <v>69.285714285714292</v>
      </c>
      <c r="P12" s="15">
        <f t="shared" si="1"/>
        <v>167.85714285714286</v>
      </c>
      <c r="R12" s="1" t="s">
        <v>8</v>
      </c>
      <c r="S12" s="17">
        <f t="shared" ref="S12:AF12" si="4">SUM(C18:C21)</f>
        <v>140.71428571428572</v>
      </c>
      <c r="T12" s="17">
        <f t="shared" si="4"/>
        <v>2</v>
      </c>
      <c r="U12" s="17">
        <f t="shared" si="4"/>
        <v>8.2857142857142865</v>
      </c>
      <c r="V12" s="17">
        <f t="shared" si="4"/>
        <v>64.571428571428569</v>
      </c>
      <c r="W12" s="17">
        <f t="shared" si="4"/>
        <v>1.2857142857142856</v>
      </c>
      <c r="X12" s="17">
        <f t="shared" si="4"/>
        <v>0.2857142857142857</v>
      </c>
      <c r="Y12" s="17">
        <f t="shared" si="4"/>
        <v>8.2857142857142865</v>
      </c>
      <c r="Z12" s="17">
        <f t="shared" si="4"/>
        <v>4</v>
      </c>
      <c r="AA12" s="17">
        <f t="shared" si="4"/>
        <v>1</v>
      </c>
      <c r="AB12" s="17">
        <f t="shared" si="4"/>
        <v>0.8571428571428571</v>
      </c>
      <c r="AC12" s="17">
        <f t="shared" si="4"/>
        <v>352.85714285714283</v>
      </c>
      <c r="AD12" s="17">
        <f t="shared" si="4"/>
        <v>0</v>
      </c>
      <c r="AE12" s="31">
        <f t="shared" si="4"/>
        <v>231.28571428571431</v>
      </c>
      <c r="AF12" s="31">
        <f t="shared" si="4"/>
        <v>584.14285714285711</v>
      </c>
    </row>
    <row r="13" spans="2:32" ht="23.1" customHeight="1" x14ac:dyDescent="0.25">
      <c r="B13" s="23" t="s">
        <v>40</v>
      </c>
      <c r="C13" s="49">
        <f>AVERAGE('22.07 Ndeeba-Nyanama'!C13,'23.07 Ndeeba-Nyanama'!C13,'24.07 Ndeeba-Nyanama'!C13,'25.07 Ndeeba-Nyanama'!C13,'26.07 Ndeeba-Nyanama-24h'!C13,'27.07 Ndeeba-Nyanama-24h'!C13,'28.07 Ndeeba-Nyanama'!C13)</f>
        <v>32.857142857142854</v>
      </c>
      <c r="D13" s="49">
        <f>AVERAGE('22.07 Ndeeba-Nyanama'!D13,'23.07 Ndeeba-Nyanama'!D13,'24.07 Ndeeba-Nyanama'!D13,'25.07 Ndeeba-Nyanama'!D13,'26.07 Ndeeba-Nyanama-24h'!D13,'27.07 Ndeeba-Nyanama-24h'!D13,'28.07 Ndeeba-Nyanama'!D13)</f>
        <v>1.2857142857142858</v>
      </c>
      <c r="E13" s="49">
        <f>AVERAGE('22.07 Ndeeba-Nyanama'!E13,'23.07 Ndeeba-Nyanama'!E13,'24.07 Ndeeba-Nyanama'!E13,'25.07 Ndeeba-Nyanama'!E13,'26.07 Ndeeba-Nyanama-24h'!E13,'27.07 Ndeeba-Nyanama-24h'!E13,'28.07 Ndeeba-Nyanama'!E13)</f>
        <v>5.2857142857142856</v>
      </c>
      <c r="F13" s="49">
        <f>AVERAGE('22.07 Ndeeba-Nyanama'!F13,'23.07 Ndeeba-Nyanama'!F13,'24.07 Ndeeba-Nyanama'!F13,'25.07 Ndeeba-Nyanama'!F13,'26.07 Ndeeba-Nyanama-24h'!F13,'27.07 Ndeeba-Nyanama-24h'!F13,'28.07 Ndeeba-Nyanama'!F13)</f>
        <v>18.571428571428573</v>
      </c>
      <c r="G13" s="49">
        <f>AVERAGE('22.07 Ndeeba-Nyanama'!G13,'23.07 Ndeeba-Nyanama'!G13,'24.07 Ndeeba-Nyanama'!G13,'25.07 Ndeeba-Nyanama'!G13,'26.07 Ndeeba-Nyanama-24h'!G13,'27.07 Ndeeba-Nyanama-24h'!G13,'28.07 Ndeeba-Nyanama'!G13)</f>
        <v>0.2857142857142857</v>
      </c>
      <c r="H13" s="49">
        <f>AVERAGE('22.07 Ndeeba-Nyanama'!H13,'23.07 Ndeeba-Nyanama'!H13,'24.07 Ndeeba-Nyanama'!H13,'25.07 Ndeeba-Nyanama'!H13,'26.07 Ndeeba-Nyanama-24h'!H13,'27.07 Ndeeba-Nyanama-24h'!H13,'28.07 Ndeeba-Nyanama'!H13)</f>
        <v>0</v>
      </c>
      <c r="I13" s="49">
        <f>AVERAGE('22.07 Ndeeba-Nyanama'!I13,'23.07 Ndeeba-Nyanama'!I13,'24.07 Ndeeba-Nyanama'!I13,'25.07 Ndeeba-Nyanama'!I13,'26.07 Ndeeba-Nyanama-24h'!I13,'27.07 Ndeeba-Nyanama-24h'!I13,'28.07 Ndeeba-Nyanama'!I13)</f>
        <v>1.7142857142857142</v>
      </c>
      <c r="J13" s="49">
        <f>AVERAGE('22.07 Ndeeba-Nyanama'!J13,'23.07 Ndeeba-Nyanama'!J13,'24.07 Ndeeba-Nyanama'!J13,'25.07 Ndeeba-Nyanama'!J13,'26.07 Ndeeba-Nyanama-24h'!J13,'27.07 Ndeeba-Nyanama-24h'!J13,'28.07 Ndeeba-Nyanama'!J13)</f>
        <v>0.5714285714285714</v>
      </c>
      <c r="K13" s="49">
        <f>AVERAGE('22.07 Ndeeba-Nyanama'!K13,'23.07 Ndeeba-Nyanama'!K13,'24.07 Ndeeba-Nyanama'!K13,'25.07 Ndeeba-Nyanama'!K13,'26.07 Ndeeba-Nyanama-24h'!K13,'27.07 Ndeeba-Nyanama-24h'!K13,'28.07 Ndeeba-Nyanama'!K13)</f>
        <v>0</v>
      </c>
      <c r="L13" s="49">
        <f>AVERAGE('22.07 Ndeeba-Nyanama'!L13,'23.07 Ndeeba-Nyanama'!L13,'24.07 Ndeeba-Nyanama'!L13,'25.07 Ndeeba-Nyanama'!L13,'26.07 Ndeeba-Nyanama-24h'!L13,'27.07 Ndeeba-Nyanama-24h'!L13,'28.07 Ndeeba-Nyanama'!L13)</f>
        <v>0.14285714285714285</v>
      </c>
      <c r="M13" s="49">
        <f>AVERAGE('22.07 Ndeeba-Nyanama'!M13,'23.07 Ndeeba-Nyanama'!M13,'24.07 Ndeeba-Nyanama'!M13,'25.07 Ndeeba-Nyanama'!M13,'26.07 Ndeeba-Nyanama-24h'!M13,'27.07 Ndeeba-Nyanama-24h'!M13,'28.07 Ndeeba-Nyanama'!M13)</f>
        <v>110.85714285714286</v>
      </c>
      <c r="N13" s="49">
        <f>AVERAGE('22.07 Ndeeba-Nyanama'!N13,'23.07 Ndeeba-Nyanama'!N13,'24.07 Ndeeba-Nyanama'!N13,'25.07 Ndeeba-Nyanama'!N13,'26.07 Ndeeba-Nyanama-24h'!N13,'27.07 Ndeeba-Nyanama-24h'!N13,'28.07 Ndeeba-Nyanama'!N13)</f>
        <v>0</v>
      </c>
      <c r="O13" s="15">
        <f t="shared" si="0"/>
        <v>60.714285714285715</v>
      </c>
      <c r="P13" s="15">
        <f t="shared" si="1"/>
        <v>171.57142857142858</v>
      </c>
      <c r="R13" s="1" t="s">
        <v>9</v>
      </c>
      <c r="S13" s="17">
        <f t="shared" ref="S13:AF13" si="5">SUM(C22:C25)</f>
        <v>172.71428571428572</v>
      </c>
      <c r="T13" s="17">
        <f t="shared" si="5"/>
        <v>4.4285714285714288</v>
      </c>
      <c r="U13" s="17">
        <f t="shared" si="5"/>
        <v>9.7142857142857135</v>
      </c>
      <c r="V13" s="17">
        <f t="shared" si="5"/>
        <v>67.571428571428569</v>
      </c>
      <c r="W13" s="17">
        <f t="shared" si="5"/>
        <v>1.1428571428571428</v>
      </c>
      <c r="X13" s="17">
        <f t="shared" si="5"/>
        <v>0</v>
      </c>
      <c r="Y13" s="17">
        <f t="shared" si="5"/>
        <v>8.4285714285714288</v>
      </c>
      <c r="Z13" s="17">
        <f t="shared" si="5"/>
        <v>3.1428571428571428</v>
      </c>
      <c r="AA13" s="17">
        <f t="shared" si="5"/>
        <v>1</v>
      </c>
      <c r="AB13" s="17">
        <f t="shared" si="5"/>
        <v>0.99999999999999989</v>
      </c>
      <c r="AC13" s="17">
        <f t="shared" si="5"/>
        <v>371.42857142857144</v>
      </c>
      <c r="AD13" s="17">
        <f t="shared" si="5"/>
        <v>0</v>
      </c>
      <c r="AE13" s="31">
        <f t="shared" si="5"/>
        <v>269.14285714285722</v>
      </c>
      <c r="AF13" s="31">
        <f t="shared" si="5"/>
        <v>640.57142857142867</v>
      </c>
    </row>
    <row r="14" spans="2:32" ht="23.1" customHeight="1" x14ac:dyDescent="0.25">
      <c r="B14" s="23" t="s">
        <v>41</v>
      </c>
      <c r="C14" s="49">
        <f>AVERAGE('22.07 Ndeeba-Nyanama'!C14,'23.07 Ndeeba-Nyanama'!C14,'24.07 Ndeeba-Nyanama'!C14,'25.07 Ndeeba-Nyanama'!C14,'26.07 Ndeeba-Nyanama-24h'!C14,'27.07 Ndeeba-Nyanama-24h'!C14,'28.07 Ndeeba-Nyanama'!C14)</f>
        <v>35.428571428571431</v>
      </c>
      <c r="D14" s="49">
        <f>AVERAGE('22.07 Ndeeba-Nyanama'!D14,'23.07 Ndeeba-Nyanama'!D14,'24.07 Ndeeba-Nyanama'!D14,'25.07 Ndeeba-Nyanama'!D14,'26.07 Ndeeba-Nyanama-24h'!D14,'27.07 Ndeeba-Nyanama-24h'!D14,'28.07 Ndeeba-Nyanama'!D14)</f>
        <v>1.1428571428571428</v>
      </c>
      <c r="E14" s="49">
        <f>AVERAGE('22.07 Ndeeba-Nyanama'!E14,'23.07 Ndeeba-Nyanama'!E14,'24.07 Ndeeba-Nyanama'!E14,'25.07 Ndeeba-Nyanama'!E14,'26.07 Ndeeba-Nyanama-24h'!E14,'27.07 Ndeeba-Nyanama-24h'!E14,'28.07 Ndeeba-Nyanama'!E14)</f>
        <v>3.2857142857142856</v>
      </c>
      <c r="F14" s="49">
        <f>AVERAGE('22.07 Ndeeba-Nyanama'!F14,'23.07 Ndeeba-Nyanama'!F14,'24.07 Ndeeba-Nyanama'!F14,'25.07 Ndeeba-Nyanama'!F14,'26.07 Ndeeba-Nyanama-24h'!F14,'27.07 Ndeeba-Nyanama-24h'!F14,'28.07 Ndeeba-Nyanama'!F14)</f>
        <v>20.142857142857142</v>
      </c>
      <c r="G14" s="49">
        <f>AVERAGE('22.07 Ndeeba-Nyanama'!G14,'23.07 Ndeeba-Nyanama'!G14,'24.07 Ndeeba-Nyanama'!G14,'25.07 Ndeeba-Nyanama'!G14,'26.07 Ndeeba-Nyanama-24h'!G14,'27.07 Ndeeba-Nyanama-24h'!G14,'28.07 Ndeeba-Nyanama'!G14)</f>
        <v>0</v>
      </c>
      <c r="H14" s="49">
        <f>AVERAGE('22.07 Ndeeba-Nyanama'!H14,'23.07 Ndeeba-Nyanama'!H14,'24.07 Ndeeba-Nyanama'!H14,'25.07 Ndeeba-Nyanama'!H14,'26.07 Ndeeba-Nyanama-24h'!H14,'27.07 Ndeeba-Nyanama-24h'!H14,'28.07 Ndeeba-Nyanama'!H14)</f>
        <v>0.14285714285714285</v>
      </c>
      <c r="I14" s="49">
        <f>AVERAGE('22.07 Ndeeba-Nyanama'!I14,'23.07 Ndeeba-Nyanama'!I14,'24.07 Ndeeba-Nyanama'!I14,'25.07 Ndeeba-Nyanama'!I14,'26.07 Ndeeba-Nyanama-24h'!I14,'27.07 Ndeeba-Nyanama-24h'!I14,'28.07 Ndeeba-Nyanama'!I14)</f>
        <v>2</v>
      </c>
      <c r="J14" s="49">
        <f>AVERAGE('22.07 Ndeeba-Nyanama'!J14,'23.07 Ndeeba-Nyanama'!J14,'24.07 Ndeeba-Nyanama'!J14,'25.07 Ndeeba-Nyanama'!J14,'26.07 Ndeeba-Nyanama-24h'!J14,'27.07 Ndeeba-Nyanama-24h'!J14,'28.07 Ndeeba-Nyanama'!J14)</f>
        <v>0.42857142857142855</v>
      </c>
      <c r="K14" s="49">
        <f>AVERAGE('22.07 Ndeeba-Nyanama'!K14,'23.07 Ndeeba-Nyanama'!K14,'24.07 Ndeeba-Nyanama'!K14,'25.07 Ndeeba-Nyanama'!K14,'26.07 Ndeeba-Nyanama-24h'!K14,'27.07 Ndeeba-Nyanama-24h'!K14,'28.07 Ndeeba-Nyanama'!K14)</f>
        <v>0</v>
      </c>
      <c r="L14" s="49">
        <f>AVERAGE('22.07 Ndeeba-Nyanama'!L14,'23.07 Ndeeba-Nyanama'!L14,'24.07 Ndeeba-Nyanama'!L14,'25.07 Ndeeba-Nyanama'!L14,'26.07 Ndeeba-Nyanama-24h'!L14,'27.07 Ndeeba-Nyanama-24h'!L14,'28.07 Ndeeba-Nyanama'!L14)</f>
        <v>0.2857142857142857</v>
      </c>
      <c r="M14" s="49">
        <f>AVERAGE('22.07 Ndeeba-Nyanama'!M14,'23.07 Ndeeba-Nyanama'!M14,'24.07 Ndeeba-Nyanama'!M14,'25.07 Ndeeba-Nyanama'!M14,'26.07 Ndeeba-Nyanama-24h'!M14,'27.07 Ndeeba-Nyanama-24h'!M14,'28.07 Ndeeba-Nyanama'!M14)</f>
        <v>110.42857142857143</v>
      </c>
      <c r="N14" s="49">
        <f>AVERAGE('22.07 Ndeeba-Nyanama'!N14,'23.07 Ndeeba-Nyanama'!N14,'24.07 Ndeeba-Nyanama'!N14,'25.07 Ndeeba-Nyanama'!N14,'26.07 Ndeeba-Nyanama-24h'!N14,'27.07 Ndeeba-Nyanama-24h'!N14,'28.07 Ndeeba-Nyanama'!N14)</f>
        <v>0</v>
      </c>
      <c r="O14" s="15">
        <f t="shared" si="0"/>
        <v>62.857142857142861</v>
      </c>
      <c r="P14" s="15">
        <f t="shared" si="1"/>
        <v>173.28571428571428</v>
      </c>
      <c r="R14" s="1" t="s">
        <v>10</v>
      </c>
      <c r="S14" s="17">
        <f t="shared" ref="S14:AF14" si="6">SUM(C26:C29)</f>
        <v>183</v>
      </c>
      <c r="T14" s="17">
        <f t="shared" si="6"/>
        <v>6.1428571428571432</v>
      </c>
      <c r="U14" s="17">
        <f t="shared" si="6"/>
        <v>10.428571428571427</v>
      </c>
      <c r="V14" s="17">
        <f t="shared" si="6"/>
        <v>34.285714285714285</v>
      </c>
      <c r="W14" s="17">
        <f t="shared" si="6"/>
        <v>1.4285714285714284</v>
      </c>
      <c r="X14" s="17">
        <f t="shared" si="6"/>
        <v>0.2857142857142857</v>
      </c>
      <c r="Y14" s="17">
        <f t="shared" si="6"/>
        <v>11.428571428571429</v>
      </c>
      <c r="Z14" s="17">
        <f t="shared" si="6"/>
        <v>3.8571428571428568</v>
      </c>
      <c r="AA14" s="17">
        <f t="shared" si="6"/>
        <v>2.2857142857142856</v>
      </c>
      <c r="AB14" s="17">
        <f t="shared" si="6"/>
        <v>1.4285714285714284</v>
      </c>
      <c r="AC14" s="17">
        <f t="shared" si="6"/>
        <v>333.28571428571428</v>
      </c>
      <c r="AD14" s="17">
        <f t="shared" si="6"/>
        <v>0.14285714285714285</v>
      </c>
      <c r="AE14" s="31">
        <f t="shared" si="6"/>
        <v>254.71428571428572</v>
      </c>
      <c r="AF14" s="31">
        <f t="shared" si="6"/>
        <v>588</v>
      </c>
    </row>
    <row r="15" spans="2:32" ht="23.1" customHeight="1" x14ac:dyDescent="0.25">
      <c r="B15" s="23" t="s">
        <v>42</v>
      </c>
      <c r="C15" s="49">
        <f>AVERAGE('22.07 Ndeeba-Nyanama'!C15,'23.07 Ndeeba-Nyanama'!C15,'24.07 Ndeeba-Nyanama'!C15,'25.07 Ndeeba-Nyanama'!C15,'26.07 Ndeeba-Nyanama-24h'!C15,'27.07 Ndeeba-Nyanama-24h'!C15,'28.07 Ndeeba-Nyanama'!C15)</f>
        <v>33.285714285714285</v>
      </c>
      <c r="D15" s="49">
        <f>AVERAGE('22.07 Ndeeba-Nyanama'!D15,'23.07 Ndeeba-Nyanama'!D15,'24.07 Ndeeba-Nyanama'!D15,'25.07 Ndeeba-Nyanama'!D15,'26.07 Ndeeba-Nyanama-24h'!D15,'27.07 Ndeeba-Nyanama-24h'!D15,'28.07 Ndeeba-Nyanama'!D15)</f>
        <v>1.1428571428571428</v>
      </c>
      <c r="E15" s="49">
        <f>AVERAGE('22.07 Ndeeba-Nyanama'!E15,'23.07 Ndeeba-Nyanama'!E15,'24.07 Ndeeba-Nyanama'!E15,'25.07 Ndeeba-Nyanama'!E15,'26.07 Ndeeba-Nyanama-24h'!E15,'27.07 Ndeeba-Nyanama-24h'!E15,'28.07 Ndeeba-Nyanama'!E15)</f>
        <v>1.5714285714285714</v>
      </c>
      <c r="F15" s="49">
        <f>AVERAGE('22.07 Ndeeba-Nyanama'!F15,'23.07 Ndeeba-Nyanama'!F15,'24.07 Ndeeba-Nyanama'!F15,'25.07 Ndeeba-Nyanama'!F15,'26.07 Ndeeba-Nyanama-24h'!F15,'27.07 Ndeeba-Nyanama-24h'!F15,'28.07 Ndeeba-Nyanama'!F15)</f>
        <v>12.428571428571429</v>
      </c>
      <c r="G15" s="49">
        <f>AVERAGE('22.07 Ndeeba-Nyanama'!G15,'23.07 Ndeeba-Nyanama'!G15,'24.07 Ndeeba-Nyanama'!G15,'25.07 Ndeeba-Nyanama'!G15,'26.07 Ndeeba-Nyanama-24h'!G15,'27.07 Ndeeba-Nyanama-24h'!G15,'28.07 Ndeeba-Nyanama'!G15)</f>
        <v>0.14285714285714285</v>
      </c>
      <c r="H15" s="49">
        <f>AVERAGE('22.07 Ndeeba-Nyanama'!H15,'23.07 Ndeeba-Nyanama'!H15,'24.07 Ndeeba-Nyanama'!H15,'25.07 Ndeeba-Nyanama'!H15,'26.07 Ndeeba-Nyanama-24h'!H15,'27.07 Ndeeba-Nyanama-24h'!H15,'28.07 Ndeeba-Nyanama'!H15)</f>
        <v>0</v>
      </c>
      <c r="I15" s="49">
        <f>AVERAGE('22.07 Ndeeba-Nyanama'!I15,'23.07 Ndeeba-Nyanama'!I15,'24.07 Ndeeba-Nyanama'!I15,'25.07 Ndeeba-Nyanama'!I15,'26.07 Ndeeba-Nyanama-24h'!I15,'27.07 Ndeeba-Nyanama-24h'!I15,'28.07 Ndeeba-Nyanama'!I15)</f>
        <v>1.7142857142857142</v>
      </c>
      <c r="J15" s="49">
        <f>AVERAGE('22.07 Ndeeba-Nyanama'!J15,'23.07 Ndeeba-Nyanama'!J15,'24.07 Ndeeba-Nyanama'!J15,'25.07 Ndeeba-Nyanama'!J15,'26.07 Ndeeba-Nyanama-24h'!J15,'27.07 Ndeeba-Nyanama-24h'!J15,'28.07 Ndeeba-Nyanama'!J15)</f>
        <v>0.5714285714285714</v>
      </c>
      <c r="K15" s="49">
        <f>AVERAGE('22.07 Ndeeba-Nyanama'!K15,'23.07 Ndeeba-Nyanama'!K15,'24.07 Ndeeba-Nyanama'!K15,'25.07 Ndeeba-Nyanama'!K15,'26.07 Ndeeba-Nyanama-24h'!K15,'27.07 Ndeeba-Nyanama-24h'!K15,'28.07 Ndeeba-Nyanama'!K15)</f>
        <v>0.2857142857142857</v>
      </c>
      <c r="L15" s="49">
        <f>AVERAGE('22.07 Ndeeba-Nyanama'!L15,'23.07 Ndeeba-Nyanama'!L15,'24.07 Ndeeba-Nyanama'!L15,'25.07 Ndeeba-Nyanama'!L15,'26.07 Ndeeba-Nyanama-24h'!L15,'27.07 Ndeeba-Nyanama-24h'!L15,'28.07 Ndeeba-Nyanama'!L15)</f>
        <v>0.5714285714285714</v>
      </c>
      <c r="M15" s="49">
        <f>AVERAGE('22.07 Ndeeba-Nyanama'!M15,'23.07 Ndeeba-Nyanama'!M15,'24.07 Ndeeba-Nyanama'!M15,'25.07 Ndeeba-Nyanama'!M15,'26.07 Ndeeba-Nyanama-24h'!M15,'27.07 Ndeeba-Nyanama-24h'!M15,'28.07 Ndeeba-Nyanama'!M15)</f>
        <v>102</v>
      </c>
      <c r="N15" s="49">
        <f>AVERAGE('22.07 Ndeeba-Nyanama'!N15,'23.07 Ndeeba-Nyanama'!N15,'24.07 Ndeeba-Nyanama'!N15,'25.07 Ndeeba-Nyanama'!N15,'26.07 Ndeeba-Nyanama-24h'!N15,'27.07 Ndeeba-Nyanama-24h'!N15,'28.07 Ndeeba-Nyanama'!N15)</f>
        <v>0</v>
      </c>
      <c r="O15" s="15">
        <f t="shared" si="0"/>
        <v>51.714285714285715</v>
      </c>
      <c r="P15" s="15">
        <f t="shared" si="1"/>
        <v>153.71428571428572</v>
      </c>
      <c r="R15" s="1" t="s">
        <v>11</v>
      </c>
      <c r="S15" s="17">
        <f t="shared" ref="S15:AF15" si="7">SUM(C30:C33)</f>
        <v>186.57142857142858</v>
      </c>
      <c r="T15" s="17">
        <f t="shared" si="7"/>
        <v>4.8571428571428577</v>
      </c>
      <c r="U15" s="17">
        <f t="shared" si="7"/>
        <v>9.7142857142857135</v>
      </c>
      <c r="V15" s="17">
        <f t="shared" si="7"/>
        <v>30.857142857142854</v>
      </c>
      <c r="W15" s="17">
        <f t="shared" si="7"/>
        <v>0.99999999999999989</v>
      </c>
      <c r="X15" s="17">
        <f t="shared" si="7"/>
        <v>0</v>
      </c>
      <c r="Y15" s="17">
        <f t="shared" si="7"/>
        <v>10.142857142857142</v>
      </c>
      <c r="Z15" s="17">
        <f t="shared" si="7"/>
        <v>3.8571428571428572</v>
      </c>
      <c r="AA15" s="17">
        <f t="shared" si="7"/>
        <v>1.5714285714285714</v>
      </c>
      <c r="AB15" s="17">
        <f t="shared" si="7"/>
        <v>2.5714285714285716</v>
      </c>
      <c r="AC15" s="17">
        <f t="shared" si="7"/>
        <v>357.28571428571433</v>
      </c>
      <c r="AD15" s="17">
        <f t="shared" si="7"/>
        <v>0.14285714285714285</v>
      </c>
      <c r="AE15" s="31">
        <f t="shared" si="7"/>
        <v>251.28571428571428</v>
      </c>
      <c r="AF15" s="31">
        <f t="shared" si="7"/>
        <v>608.57142857142856</v>
      </c>
    </row>
    <row r="16" spans="2:32" ht="23.1" customHeight="1" x14ac:dyDescent="0.25">
      <c r="B16" s="23" t="s">
        <v>43</v>
      </c>
      <c r="C16" s="49">
        <f>AVERAGE('22.07 Ndeeba-Nyanama'!C16,'23.07 Ndeeba-Nyanama'!C16,'24.07 Ndeeba-Nyanama'!C16,'25.07 Ndeeba-Nyanama'!C16,'26.07 Ndeeba-Nyanama-24h'!C16,'27.07 Ndeeba-Nyanama-24h'!C16,'28.07 Ndeeba-Nyanama'!C16)</f>
        <v>29.428571428571427</v>
      </c>
      <c r="D16" s="49">
        <f>AVERAGE('22.07 Ndeeba-Nyanama'!D16,'23.07 Ndeeba-Nyanama'!D16,'24.07 Ndeeba-Nyanama'!D16,'25.07 Ndeeba-Nyanama'!D16,'26.07 Ndeeba-Nyanama-24h'!D16,'27.07 Ndeeba-Nyanama-24h'!D16,'28.07 Ndeeba-Nyanama'!D16)</f>
        <v>1.5714285714285714</v>
      </c>
      <c r="E16" s="49">
        <f>AVERAGE('22.07 Ndeeba-Nyanama'!E16,'23.07 Ndeeba-Nyanama'!E16,'24.07 Ndeeba-Nyanama'!E16,'25.07 Ndeeba-Nyanama'!E16,'26.07 Ndeeba-Nyanama-24h'!E16,'27.07 Ndeeba-Nyanama-24h'!E16,'28.07 Ndeeba-Nyanama'!E16)</f>
        <v>2</v>
      </c>
      <c r="F16" s="49">
        <f>AVERAGE('22.07 Ndeeba-Nyanama'!F16,'23.07 Ndeeba-Nyanama'!F16,'24.07 Ndeeba-Nyanama'!F16,'25.07 Ndeeba-Nyanama'!F16,'26.07 Ndeeba-Nyanama-24h'!F16,'27.07 Ndeeba-Nyanama-24h'!F16,'28.07 Ndeeba-Nyanama'!F16)</f>
        <v>11</v>
      </c>
      <c r="G16" s="49">
        <f>AVERAGE('22.07 Ndeeba-Nyanama'!G16,'23.07 Ndeeba-Nyanama'!G16,'24.07 Ndeeba-Nyanama'!G16,'25.07 Ndeeba-Nyanama'!G16,'26.07 Ndeeba-Nyanama-24h'!G16,'27.07 Ndeeba-Nyanama-24h'!G16,'28.07 Ndeeba-Nyanama'!G16)</f>
        <v>0.5714285714285714</v>
      </c>
      <c r="H16" s="49">
        <f>AVERAGE('22.07 Ndeeba-Nyanama'!H16,'23.07 Ndeeba-Nyanama'!H16,'24.07 Ndeeba-Nyanama'!H16,'25.07 Ndeeba-Nyanama'!H16,'26.07 Ndeeba-Nyanama-24h'!H16,'27.07 Ndeeba-Nyanama-24h'!H16,'28.07 Ndeeba-Nyanama'!H16)</f>
        <v>0</v>
      </c>
      <c r="I16" s="49">
        <f>AVERAGE('22.07 Ndeeba-Nyanama'!I16,'23.07 Ndeeba-Nyanama'!I16,'24.07 Ndeeba-Nyanama'!I16,'25.07 Ndeeba-Nyanama'!I16,'26.07 Ndeeba-Nyanama-24h'!I16,'27.07 Ndeeba-Nyanama-24h'!I16,'28.07 Ndeeba-Nyanama'!I16)</f>
        <v>1.5714285714285714</v>
      </c>
      <c r="J16" s="49">
        <f>AVERAGE('22.07 Ndeeba-Nyanama'!J16,'23.07 Ndeeba-Nyanama'!J16,'24.07 Ndeeba-Nyanama'!J16,'25.07 Ndeeba-Nyanama'!J16,'26.07 Ndeeba-Nyanama-24h'!J16,'27.07 Ndeeba-Nyanama-24h'!J16,'28.07 Ndeeba-Nyanama'!J16)</f>
        <v>0.5714285714285714</v>
      </c>
      <c r="K16" s="49">
        <f>AVERAGE('22.07 Ndeeba-Nyanama'!K16,'23.07 Ndeeba-Nyanama'!K16,'24.07 Ndeeba-Nyanama'!K16,'25.07 Ndeeba-Nyanama'!K16,'26.07 Ndeeba-Nyanama-24h'!K16,'27.07 Ndeeba-Nyanama-24h'!K16,'28.07 Ndeeba-Nyanama'!K16)</f>
        <v>0.14285714285714285</v>
      </c>
      <c r="L16" s="49">
        <f>AVERAGE('22.07 Ndeeba-Nyanama'!L16,'23.07 Ndeeba-Nyanama'!L16,'24.07 Ndeeba-Nyanama'!L16,'25.07 Ndeeba-Nyanama'!L16,'26.07 Ndeeba-Nyanama-24h'!L16,'27.07 Ndeeba-Nyanama-24h'!L16,'28.07 Ndeeba-Nyanama'!L16)</f>
        <v>0</v>
      </c>
      <c r="M16" s="49">
        <f>AVERAGE('22.07 Ndeeba-Nyanama'!M16,'23.07 Ndeeba-Nyanama'!M16,'24.07 Ndeeba-Nyanama'!M16,'25.07 Ndeeba-Nyanama'!M16,'26.07 Ndeeba-Nyanama-24h'!M16,'27.07 Ndeeba-Nyanama-24h'!M16,'28.07 Ndeeba-Nyanama'!M16)</f>
        <v>104.57142857142857</v>
      </c>
      <c r="N16" s="49">
        <f>AVERAGE('22.07 Ndeeba-Nyanama'!N16,'23.07 Ndeeba-Nyanama'!N16,'24.07 Ndeeba-Nyanama'!N16,'25.07 Ndeeba-Nyanama'!N16,'26.07 Ndeeba-Nyanama-24h'!N16,'27.07 Ndeeba-Nyanama-24h'!N16,'28.07 Ndeeba-Nyanama'!N16)</f>
        <v>0</v>
      </c>
      <c r="O16" s="15">
        <f t="shared" si="0"/>
        <v>46.857142857142854</v>
      </c>
      <c r="P16" s="15">
        <f t="shared" si="1"/>
        <v>151.42857142857142</v>
      </c>
      <c r="R16" s="1" t="s">
        <v>12</v>
      </c>
      <c r="S16" s="17">
        <f t="shared" ref="S16:AF16" si="8">SUM(C34:C37)</f>
        <v>204.85714285714286</v>
      </c>
      <c r="T16" s="17">
        <f t="shared" si="8"/>
        <v>4.1428571428571432</v>
      </c>
      <c r="U16" s="17">
        <f t="shared" si="8"/>
        <v>10.714285714285715</v>
      </c>
      <c r="V16" s="17">
        <f t="shared" si="8"/>
        <v>33.285714285714285</v>
      </c>
      <c r="W16" s="17">
        <f t="shared" si="8"/>
        <v>0.71428571428571419</v>
      </c>
      <c r="X16" s="17">
        <f t="shared" si="8"/>
        <v>0</v>
      </c>
      <c r="Y16" s="17">
        <f t="shared" si="8"/>
        <v>8.2857142857142847</v>
      </c>
      <c r="Z16" s="17">
        <f t="shared" si="8"/>
        <v>4.4285714285714279</v>
      </c>
      <c r="AA16" s="17">
        <f t="shared" si="8"/>
        <v>1.2857142857142856</v>
      </c>
      <c r="AB16" s="17">
        <f t="shared" si="8"/>
        <v>1.7142857142857142</v>
      </c>
      <c r="AC16" s="17">
        <f t="shared" si="8"/>
        <v>348.14285714285717</v>
      </c>
      <c r="AD16" s="17">
        <f t="shared" si="8"/>
        <v>0</v>
      </c>
      <c r="AE16" s="31">
        <f t="shared" si="8"/>
        <v>269.42857142857144</v>
      </c>
      <c r="AF16" s="31">
        <f t="shared" si="8"/>
        <v>617.57142857142867</v>
      </c>
    </row>
    <row r="17" spans="2:32" ht="23.1" customHeight="1" x14ac:dyDescent="0.25">
      <c r="B17" s="23" t="s">
        <v>44</v>
      </c>
      <c r="C17" s="49">
        <f>AVERAGE('22.07 Ndeeba-Nyanama'!C17,'23.07 Ndeeba-Nyanama'!C17,'24.07 Ndeeba-Nyanama'!C17,'25.07 Ndeeba-Nyanama'!C17,'26.07 Ndeeba-Nyanama-24h'!C17,'27.07 Ndeeba-Nyanama-24h'!C17,'28.07 Ndeeba-Nyanama'!C17)</f>
        <v>39.857142857142854</v>
      </c>
      <c r="D17" s="49">
        <f>AVERAGE('22.07 Ndeeba-Nyanama'!D17,'23.07 Ndeeba-Nyanama'!D17,'24.07 Ndeeba-Nyanama'!D17,'25.07 Ndeeba-Nyanama'!D17,'26.07 Ndeeba-Nyanama-24h'!D17,'27.07 Ndeeba-Nyanama-24h'!D17,'28.07 Ndeeba-Nyanama'!D17)</f>
        <v>0.8571428571428571</v>
      </c>
      <c r="E17" s="49">
        <f>AVERAGE('22.07 Ndeeba-Nyanama'!E17,'23.07 Ndeeba-Nyanama'!E17,'24.07 Ndeeba-Nyanama'!E17,'25.07 Ndeeba-Nyanama'!E17,'26.07 Ndeeba-Nyanama-24h'!E17,'27.07 Ndeeba-Nyanama-24h'!E17,'28.07 Ndeeba-Nyanama'!E17)</f>
        <v>2.1428571428571428</v>
      </c>
      <c r="F17" s="49">
        <f>AVERAGE('22.07 Ndeeba-Nyanama'!F17,'23.07 Ndeeba-Nyanama'!F17,'24.07 Ndeeba-Nyanama'!F17,'25.07 Ndeeba-Nyanama'!F17,'26.07 Ndeeba-Nyanama-24h'!F17,'27.07 Ndeeba-Nyanama-24h'!F17,'28.07 Ndeeba-Nyanama'!F17)</f>
        <v>15.428571428571429</v>
      </c>
      <c r="G17" s="49">
        <f>AVERAGE('22.07 Ndeeba-Nyanama'!G17,'23.07 Ndeeba-Nyanama'!G17,'24.07 Ndeeba-Nyanama'!G17,'25.07 Ndeeba-Nyanama'!G17,'26.07 Ndeeba-Nyanama-24h'!G17,'27.07 Ndeeba-Nyanama-24h'!G17,'28.07 Ndeeba-Nyanama'!G17)</f>
        <v>0.42857142857142855</v>
      </c>
      <c r="H17" s="49">
        <f>AVERAGE('22.07 Ndeeba-Nyanama'!H17,'23.07 Ndeeba-Nyanama'!H17,'24.07 Ndeeba-Nyanama'!H17,'25.07 Ndeeba-Nyanama'!H17,'26.07 Ndeeba-Nyanama-24h'!H17,'27.07 Ndeeba-Nyanama-24h'!H17,'28.07 Ndeeba-Nyanama'!H17)</f>
        <v>0</v>
      </c>
      <c r="I17" s="49">
        <f>AVERAGE('22.07 Ndeeba-Nyanama'!I17,'23.07 Ndeeba-Nyanama'!I17,'24.07 Ndeeba-Nyanama'!I17,'25.07 Ndeeba-Nyanama'!I17,'26.07 Ndeeba-Nyanama-24h'!I17,'27.07 Ndeeba-Nyanama-24h'!I17,'28.07 Ndeeba-Nyanama'!I17)</f>
        <v>1.4285714285714286</v>
      </c>
      <c r="J17" s="49">
        <f>AVERAGE('22.07 Ndeeba-Nyanama'!J17,'23.07 Ndeeba-Nyanama'!J17,'24.07 Ndeeba-Nyanama'!J17,'25.07 Ndeeba-Nyanama'!J17,'26.07 Ndeeba-Nyanama-24h'!J17,'27.07 Ndeeba-Nyanama-24h'!J17,'28.07 Ndeeba-Nyanama'!J17)</f>
        <v>0.2857142857142857</v>
      </c>
      <c r="K17" s="49">
        <f>AVERAGE('22.07 Ndeeba-Nyanama'!K17,'23.07 Ndeeba-Nyanama'!K17,'24.07 Ndeeba-Nyanama'!K17,'25.07 Ndeeba-Nyanama'!K17,'26.07 Ndeeba-Nyanama-24h'!K17,'27.07 Ndeeba-Nyanama-24h'!K17,'28.07 Ndeeba-Nyanama'!K17)</f>
        <v>0.14285714285714285</v>
      </c>
      <c r="L17" s="49">
        <f>AVERAGE('22.07 Ndeeba-Nyanama'!L17,'23.07 Ndeeba-Nyanama'!L17,'24.07 Ndeeba-Nyanama'!L17,'25.07 Ndeeba-Nyanama'!L17,'26.07 Ndeeba-Nyanama-24h'!L17,'27.07 Ndeeba-Nyanama-24h'!L17,'28.07 Ndeeba-Nyanama'!L17)</f>
        <v>0.42857142857142855</v>
      </c>
      <c r="M17" s="49">
        <f>AVERAGE('22.07 Ndeeba-Nyanama'!M17,'23.07 Ndeeba-Nyanama'!M17,'24.07 Ndeeba-Nyanama'!M17,'25.07 Ndeeba-Nyanama'!M17,'26.07 Ndeeba-Nyanama-24h'!M17,'27.07 Ndeeba-Nyanama-24h'!M17,'28.07 Ndeeba-Nyanama'!M17)</f>
        <v>94.428571428571431</v>
      </c>
      <c r="N17" s="49">
        <f>AVERAGE('22.07 Ndeeba-Nyanama'!N17,'23.07 Ndeeba-Nyanama'!N17,'24.07 Ndeeba-Nyanama'!N17,'25.07 Ndeeba-Nyanama'!N17,'26.07 Ndeeba-Nyanama-24h'!N17,'27.07 Ndeeba-Nyanama-24h'!N17,'28.07 Ndeeba-Nyanama'!N17)</f>
        <v>0</v>
      </c>
      <c r="O17" s="15">
        <f t="shared" si="0"/>
        <v>61.000000000000007</v>
      </c>
      <c r="P17" s="15">
        <f t="shared" si="1"/>
        <v>155.42857142857144</v>
      </c>
      <c r="R17" s="1" t="s">
        <v>13</v>
      </c>
      <c r="S17" s="17">
        <f t="shared" ref="S17:AF17" si="9">SUM(C38:C41)</f>
        <v>173.42857142857144</v>
      </c>
      <c r="T17" s="17">
        <f t="shared" si="9"/>
        <v>4</v>
      </c>
      <c r="U17" s="17">
        <f t="shared" si="9"/>
        <v>8.7142857142857135</v>
      </c>
      <c r="V17" s="17">
        <f t="shared" si="9"/>
        <v>37.428571428571431</v>
      </c>
      <c r="W17" s="17">
        <f t="shared" si="9"/>
        <v>0.42857142857142855</v>
      </c>
      <c r="X17" s="17">
        <f t="shared" si="9"/>
        <v>0</v>
      </c>
      <c r="Y17" s="17">
        <f t="shared" si="9"/>
        <v>6.2857142857142856</v>
      </c>
      <c r="Z17" s="17">
        <f t="shared" si="9"/>
        <v>2.2857142857142856</v>
      </c>
      <c r="AA17" s="17">
        <f t="shared" si="9"/>
        <v>2.1428571428571428</v>
      </c>
      <c r="AB17" s="17">
        <f t="shared" si="9"/>
        <v>1.2857142857142856</v>
      </c>
      <c r="AC17" s="17">
        <f t="shared" si="9"/>
        <v>295.14285714285711</v>
      </c>
      <c r="AD17" s="17">
        <f t="shared" si="9"/>
        <v>0.14285714285714285</v>
      </c>
      <c r="AE17" s="31">
        <f t="shared" si="9"/>
        <v>236.14285714285717</v>
      </c>
      <c r="AF17" s="31">
        <f t="shared" si="9"/>
        <v>531.28571428571422</v>
      </c>
    </row>
    <row r="18" spans="2:32" ht="23.1" customHeight="1" x14ac:dyDescent="0.25">
      <c r="B18" s="23" t="s">
        <v>45</v>
      </c>
      <c r="C18" s="49">
        <f>AVERAGE('22.07 Ndeeba-Nyanama'!C18,'23.07 Ndeeba-Nyanama'!C18,'24.07 Ndeeba-Nyanama'!C18,'25.07 Ndeeba-Nyanama'!C18,'26.07 Ndeeba-Nyanama-24h'!C18,'27.07 Ndeeba-Nyanama-24h'!C18,'28.07 Ndeeba-Nyanama'!C18)</f>
        <v>25.285714285714285</v>
      </c>
      <c r="D18" s="49">
        <f>AVERAGE('22.07 Ndeeba-Nyanama'!D18,'23.07 Ndeeba-Nyanama'!D18,'24.07 Ndeeba-Nyanama'!D18,'25.07 Ndeeba-Nyanama'!D18,'26.07 Ndeeba-Nyanama-24h'!D18,'27.07 Ndeeba-Nyanama-24h'!D18,'28.07 Ndeeba-Nyanama'!D18)</f>
        <v>0.7142857142857143</v>
      </c>
      <c r="E18" s="49">
        <f>AVERAGE('22.07 Ndeeba-Nyanama'!E18,'23.07 Ndeeba-Nyanama'!E18,'24.07 Ndeeba-Nyanama'!E18,'25.07 Ndeeba-Nyanama'!E18,'26.07 Ndeeba-Nyanama-24h'!E18,'27.07 Ndeeba-Nyanama-24h'!E18,'28.07 Ndeeba-Nyanama'!E18)</f>
        <v>1.5714285714285714</v>
      </c>
      <c r="F18" s="49">
        <f>AVERAGE('22.07 Ndeeba-Nyanama'!F18,'23.07 Ndeeba-Nyanama'!F18,'24.07 Ndeeba-Nyanama'!F18,'25.07 Ndeeba-Nyanama'!F18,'26.07 Ndeeba-Nyanama-24h'!F18,'27.07 Ndeeba-Nyanama-24h'!F18,'28.07 Ndeeba-Nyanama'!F18)</f>
        <v>12.428571428571429</v>
      </c>
      <c r="G18" s="49">
        <f>AVERAGE('22.07 Ndeeba-Nyanama'!G18,'23.07 Ndeeba-Nyanama'!G18,'24.07 Ndeeba-Nyanama'!G18,'25.07 Ndeeba-Nyanama'!G18,'26.07 Ndeeba-Nyanama-24h'!G18,'27.07 Ndeeba-Nyanama-24h'!G18,'28.07 Ndeeba-Nyanama'!G18)</f>
        <v>0.42857142857142855</v>
      </c>
      <c r="H18" s="49">
        <f>AVERAGE('22.07 Ndeeba-Nyanama'!H18,'23.07 Ndeeba-Nyanama'!H18,'24.07 Ndeeba-Nyanama'!H18,'25.07 Ndeeba-Nyanama'!H18,'26.07 Ndeeba-Nyanama-24h'!H18,'27.07 Ndeeba-Nyanama-24h'!H18,'28.07 Ndeeba-Nyanama'!H18)</f>
        <v>0</v>
      </c>
      <c r="I18" s="49">
        <f>AVERAGE('22.07 Ndeeba-Nyanama'!I18,'23.07 Ndeeba-Nyanama'!I18,'24.07 Ndeeba-Nyanama'!I18,'25.07 Ndeeba-Nyanama'!I18,'26.07 Ndeeba-Nyanama-24h'!I18,'27.07 Ndeeba-Nyanama-24h'!I18,'28.07 Ndeeba-Nyanama'!I18)</f>
        <v>2.8571428571428572</v>
      </c>
      <c r="J18" s="49">
        <f>AVERAGE('22.07 Ndeeba-Nyanama'!J18,'23.07 Ndeeba-Nyanama'!J18,'24.07 Ndeeba-Nyanama'!J18,'25.07 Ndeeba-Nyanama'!J18,'26.07 Ndeeba-Nyanama-24h'!J18,'27.07 Ndeeba-Nyanama-24h'!J18,'28.07 Ndeeba-Nyanama'!J18)</f>
        <v>0.5714285714285714</v>
      </c>
      <c r="K18" s="49">
        <f>AVERAGE('22.07 Ndeeba-Nyanama'!K18,'23.07 Ndeeba-Nyanama'!K18,'24.07 Ndeeba-Nyanama'!K18,'25.07 Ndeeba-Nyanama'!K18,'26.07 Ndeeba-Nyanama-24h'!K18,'27.07 Ndeeba-Nyanama-24h'!K18,'28.07 Ndeeba-Nyanama'!K18)</f>
        <v>0.14285714285714285</v>
      </c>
      <c r="L18" s="49">
        <f>AVERAGE('22.07 Ndeeba-Nyanama'!L18,'23.07 Ndeeba-Nyanama'!L18,'24.07 Ndeeba-Nyanama'!L18,'25.07 Ndeeba-Nyanama'!L18,'26.07 Ndeeba-Nyanama-24h'!L18,'27.07 Ndeeba-Nyanama-24h'!L18,'28.07 Ndeeba-Nyanama'!L18)</f>
        <v>0</v>
      </c>
      <c r="M18" s="49">
        <f>AVERAGE('22.07 Ndeeba-Nyanama'!M18,'23.07 Ndeeba-Nyanama'!M18,'24.07 Ndeeba-Nyanama'!M18,'25.07 Ndeeba-Nyanama'!M18,'26.07 Ndeeba-Nyanama-24h'!M18,'27.07 Ndeeba-Nyanama-24h'!M18,'28.07 Ndeeba-Nyanama'!M18)</f>
        <v>101.14285714285714</v>
      </c>
      <c r="N18" s="49">
        <f>AVERAGE('22.07 Ndeeba-Nyanama'!N18,'23.07 Ndeeba-Nyanama'!N18,'24.07 Ndeeba-Nyanama'!N18,'25.07 Ndeeba-Nyanama'!N18,'26.07 Ndeeba-Nyanama-24h'!N18,'27.07 Ndeeba-Nyanama-24h'!N18,'28.07 Ndeeba-Nyanama'!N18)</f>
        <v>0</v>
      </c>
      <c r="O18" s="15">
        <f t="shared" si="0"/>
        <v>44</v>
      </c>
      <c r="P18" s="15">
        <f t="shared" si="1"/>
        <v>145.14285714285714</v>
      </c>
      <c r="R18" s="1" t="s">
        <v>14</v>
      </c>
      <c r="S18" s="17">
        <f t="shared" ref="S18:AF18" si="10">SUM(C42:C45)</f>
        <v>207.57142857142856</v>
      </c>
      <c r="T18" s="17">
        <f t="shared" si="10"/>
        <v>4.1428571428571432</v>
      </c>
      <c r="U18" s="17">
        <f t="shared" si="10"/>
        <v>15.571428571428571</v>
      </c>
      <c r="V18" s="17">
        <f t="shared" si="10"/>
        <v>42.428571428571431</v>
      </c>
      <c r="W18" s="17">
        <f t="shared" si="10"/>
        <v>0.8571428571428571</v>
      </c>
      <c r="X18" s="17">
        <f t="shared" si="10"/>
        <v>0.2857142857142857</v>
      </c>
      <c r="Y18" s="17">
        <f t="shared" si="10"/>
        <v>13.142857142857142</v>
      </c>
      <c r="Z18" s="17">
        <f t="shared" si="10"/>
        <v>4.8571428571428568</v>
      </c>
      <c r="AA18" s="17">
        <f t="shared" si="10"/>
        <v>0.71428571428571419</v>
      </c>
      <c r="AB18" s="17">
        <f t="shared" si="10"/>
        <v>1.5714285714285712</v>
      </c>
      <c r="AC18" s="17">
        <f t="shared" si="10"/>
        <v>270.28571428571428</v>
      </c>
      <c r="AD18" s="17">
        <f t="shared" si="10"/>
        <v>0</v>
      </c>
      <c r="AE18" s="31">
        <f t="shared" si="10"/>
        <v>291.14285714285711</v>
      </c>
      <c r="AF18" s="31">
        <f t="shared" si="10"/>
        <v>561.42857142857144</v>
      </c>
    </row>
    <row r="19" spans="2:32" ht="23.1" customHeight="1" x14ac:dyDescent="0.25">
      <c r="B19" s="23" t="s">
        <v>46</v>
      </c>
      <c r="C19" s="49">
        <f>AVERAGE('22.07 Ndeeba-Nyanama'!C19,'23.07 Ndeeba-Nyanama'!C19,'24.07 Ndeeba-Nyanama'!C19,'25.07 Ndeeba-Nyanama'!C19,'26.07 Ndeeba-Nyanama-24h'!C19,'27.07 Ndeeba-Nyanama-24h'!C19,'28.07 Ndeeba-Nyanama'!C19)</f>
        <v>31.571428571428573</v>
      </c>
      <c r="D19" s="49">
        <f>AVERAGE('22.07 Ndeeba-Nyanama'!D19,'23.07 Ndeeba-Nyanama'!D19,'24.07 Ndeeba-Nyanama'!D19,'25.07 Ndeeba-Nyanama'!D19,'26.07 Ndeeba-Nyanama-24h'!D19,'27.07 Ndeeba-Nyanama-24h'!D19,'28.07 Ndeeba-Nyanama'!D19)</f>
        <v>0.7142857142857143</v>
      </c>
      <c r="E19" s="49">
        <f>AVERAGE('22.07 Ndeeba-Nyanama'!E19,'23.07 Ndeeba-Nyanama'!E19,'24.07 Ndeeba-Nyanama'!E19,'25.07 Ndeeba-Nyanama'!E19,'26.07 Ndeeba-Nyanama-24h'!E19,'27.07 Ndeeba-Nyanama-24h'!E19,'28.07 Ndeeba-Nyanama'!E19)</f>
        <v>1.7142857142857142</v>
      </c>
      <c r="F19" s="49">
        <f>AVERAGE('22.07 Ndeeba-Nyanama'!F19,'23.07 Ndeeba-Nyanama'!F19,'24.07 Ndeeba-Nyanama'!F19,'25.07 Ndeeba-Nyanama'!F19,'26.07 Ndeeba-Nyanama-24h'!F19,'27.07 Ndeeba-Nyanama-24h'!F19,'28.07 Ndeeba-Nyanama'!F19)</f>
        <v>14.857142857142858</v>
      </c>
      <c r="G19" s="49">
        <f>AVERAGE('22.07 Ndeeba-Nyanama'!G19,'23.07 Ndeeba-Nyanama'!G19,'24.07 Ndeeba-Nyanama'!G19,'25.07 Ndeeba-Nyanama'!G19,'26.07 Ndeeba-Nyanama-24h'!G19,'27.07 Ndeeba-Nyanama-24h'!G19,'28.07 Ndeeba-Nyanama'!G19)</f>
        <v>0.42857142857142855</v>
      </c>
      <c r="H19" s="49">
        <f>AVERAGE('22.07 Ndeeba-Nyanama'!H19,'23.07 Ndeeba-Nyanama'!H19,'24.07 Ndeeba-Nyanama'!H19,'25.07 Ndeeba-Nyanama'!H19,'26.07 Ndeeba-Nyanama-24h'!H19,'27.07 Ndeeba-Nyanama-24h'!H19,'28.07 Ndeeba-Nyanama'!H19)</f>
        <v>0.2857142857142857</v>
      </c>
      <c r="I19" s="49">
        <f>AVERAGE('22.07 Ndeeba-Nyanama'!I19,'23.07 Ndeeba-Nyanama'!I19,'24.07 Ndeeba-Nyanama'!I19,'25.07 Ndeeba-Nyanama'!I19,'26.07 Ndeeba-Nyanama-24h'!I19,'27.07 Ndeeba-Nyanama-24h'!I19,'28.07 Ndeeba-Nyanama'!I19)</f>
        <v>1.2857142857142858</v>
      </c>
      <c r="J19" s="49">
        <f>AVERAGE('22.07 Ndeeba-Nyanama'!J19,'23.07 Ndeeba-Nyanama'!J19,'24.07 Ndeeba-Nyanama'!J19,'25.07 Ndeeba-Nyanama'!J19,'26.07 Ndeeba-Nyanama-24h'!J19,'27.07 Ndeeba-Nyanama-24h'!J19,'28.07 Ndeeba-Nyanama'!J19)</f>
        <v>0.7142857142857143</v>
      </c>
      <c r="K19" s="49">
        <f>AVERAGE('22.07 Ndeeba-Nyanama'!K19,'23.07 Ndeeba-Nyanama'!K19,'24.07 Ndeeba-Nyanama'!K19,'25.07 Ndeeba-Nyanama'!K19,'26.07 Ndeeba-Nyanama-24h'!K19,'27.07 Ndeeba-Nyanama-24h'!K19,'28.07 Ndeeba-Nyanama'!K19)</f>
        <v>0.2857142857142857</v>
      </c>
      <c r="L19" s="49">
        <f>AVERAGE('22.07 Ndeeba-Nyanama'!L19,'23.07 Ndeeba-Nyanama'!L19,'24.07 Ndeeba-Nyanama'!L19,'25.07 Ndeeba-Nyanama'!L19,'26.07 Ndeeba-Nyanama-24h'!L19,'27.07 Ndeeba-Nyanama-24h'!L19,'28.07 Ndeeba-Nyanama'!L19)</f>
        <v>0.2857142857142857</v>
      </c>
      <c r="M19" s="49">
        <f>AVERAGE('22.07 Ndeeba-Nyanama'!M19,'23.07 Ndeeba-Nyanama'!M19,'24.07 Ndeeba-Nyanama'!M19,'25.07 Ndeeba-Nyanama'!M19,'26.07 Ndeeba-Nyanama-24h'!M19,'27.07 Ndeeba-Nyanama-24h'!M19,'28.07 Ndeeba-Nyanama'!M19)</f>
        <v>84.857142857142861</v>
      </c>
      <c r="N19" s="49">
        <f>AVERAGE('22.07 Ndeeba-Nyanama'!N19,'23.07 Ndeeba-Nyanama'!N19,'24.07 Ndeeba-Nyanama'!N19,'25.07 Ndeeba-Nyanama'!N19,'26.07 Ndeeba-Nyanama-24h'!N19,'27.07 Ndeeba-Nyanama-24h'!N19,'28.07 Ndeeba-Nyanama'!N19)</f>
        <v>0</v>
      </c>
      <c r="O19" s="15">
        <f t="shared" si="0"/>
        <v>52.142857142857146</v>
      </c>
      <c r="P19" s="15">
        <f t="shared" si="1"/>
        <v>137</v>
      </c>
      <c r="R19" s="1" t="s">
        <v>15</v>
      </c>
      <c r="S19" s="17">
        <f t="shared" ref="S19:AF19" si="11">SUM(C46:C49)</f>
        <v>243</v>
      </c>
      <c r="T19" s="17">
        <f t="shared" si="11"/>
        <v>9.0000000000000018</v>
      </c>
      <c r="U19" s="17">
        <f t="shared" si="11"/>
        <v>13.142857142857142</v>
      </c>
      <c r="V19" s="17">
        <f t="shared" si="11"/>
        <v>63.714285714285708</v>
      </c>
      <c r="W19" s="17">
        <f t="shared" si="11"/>
        <v>2.1428571428571428</v>
      </c>
      <c r="X19" s="17">
        <f t="shared" si="11"/>
        <v>0</v>
      </c>
      <c r="Y19" s="17">
        <f t="shared" si="11"/>
        <v>11.142857142857142</v>
      </c>
      <c r="Z19" s="17">
        <f t="shared" si="11"/>
        <v>2.8571428571428572</v>
      </c>
      <c r="AA19" s="17">
        <f t="shared" si="11"/>
        <v>1.5714285714285714</v>
      </c>
      <c r="AB19" s="17">
        <f t="shared" si="11"/>
        <v>0.42857142857142855</v>
      </c>
      <c r="AC19" s="17">
        <f t="shared" si="11"/>
        <v>337.71428571428572</v>
      </c>
      <c r="AD19" s="17">
        <f t="shared" si="11"/>
        <v>0</v>
      </c>
      <c r="AE19" s="31">
        <f t="shared" si="11"/>
        <v>347</v>
      </c>
      <c r="AF19" s="31">
        <f t="shared" si="11"/>
        <v>684.71428571428578</v>
      </c>
    </row>
    <row r="20" spans="2:32" ht="23.1" customHeight="1" x14ac:dyDescent="0.25">
      <c r="B20" s="23" t="s">
        <v>47</v>
      </c>
      <c r="C20" s="49">
        <f>AVERAGE('22.07 Ndeeba-Nyanama'!C20,'23.07 Ndeeba-Nyanama'!C20,'24.07 Ndeeba-Nyanama'!C20,'25.07 Ndeeba-Nyanama'!C20,'26.07 Ndeeba-Nyanama-24h'!C20,'27.07 Ndeeba-Nyanama-24h'!C20,'28.07 Ndeeba-Nyanama'!C20)</f>
        <v>43.428571428571431</v>
      </c>
      <c r="D20" s="49">
        <f>AVERAGE('22.07 Ndeeba-Nyanama'!D20,'23.07 Ndeeba-Nyanama'!D20,'24.07 Ndeeba-Nyanama'!D20,'25.07 Ndeeba-Nyanama'!D20,'26.07 Ndeeba-Nyanama-24h'!D20,'27.07 Ndeeba-Nyanama-24h'!D20,'28.07 Ndeeba-Nyanama'!D20)</f>
        <v>0</v>
      </c>
      <c r="E20" s="49">
        <f>AVERAGE('22.07 Ndeeba-Nyanama'!E20,'23.07 Ndeeba-Nyanama'!E20,'24.07 Ndeeba-Nyanama'!E20,'25.07 Ndeeba-Nyanama'!E20,'26.07 Ndeeba-Nyanama-24h'!E20,'27.07 Ndeeba-Nyanama-24h'!E20,'28.07 Ndeeba-Nyanama'!E20)</f>
        <v>2.5714285714285716</v>
      </c>
      <c r="F20" s="49">
        <f>AVERAGE('22.07 Ndeeba-Nyanama'!F20,'23.07 Ndeeba-Nyanama'!F20,'24.07 Ndeeba-Nyanama'!F20,'25.07 Ndeeba-Nyanama'!F20,'26.07 Ndeeba-Nyanama-24h'!F20,'27.07 Ndeeba-Nyanama-24h'!F20,'28.07 Ndeeba-Nyanama'!F20)</f>
        <v>13.428571428571429</v>
      </c>
      <c r="G20" s="49">
        <f>AVERAGE('22.07 Ndeeba-Nyanama'!G20,'23.07 Ndeeba-Nyanama'!G20,'24.07 Ndeeba-Nyanama'!G20,'25.07 Ndeeba-Nyanama'!G20,'26.07 Ndeeba-Nyanama-24h'!G20,'27.07 Ndeeba-Nyanama-24h'!G20,'28.07 Ndeeba-Nyanama'!G20)</f>
        <v>0.42857142857142855</v>
      </c>
      <c r="H20" s="49">
        <f>AVERAGE('22.07 Ndeeba-Nyanama'!H20,'23.07 Ndeeba-Nyanama'!H20,'24.07 Ndeeba-Nyanama'!H20,'25.07 Ndeeba-Nyanama'!H20,'26.07 Ndeeba-Nyanama-24h'!H20,'27.07 Ndeeba-Nyanama-24h'!H20,'28.07 Ndeeba-Nyanama'!H20)</f>
        <v>0</v>
      </c>
      <c r="I20" s="49">
        <f>AVERAGE('22.07 Ndeeba-Nyanama'!I20,'23.07 Ndeeba-Nyanama'!I20,'24.07 Ndeeba-Nyanama'!I20,'25.07 Ndeeba-Nyanama'!I20,'26.07 Ndeeba-Nyanama-24h'!I20,'27.07 Ndeeba-Nyanama-24h'!I20,'28.07 Ndeeba-Nyanama'!I20)</f>
        <v>2.1428571428571428</v>
      </c>
      <c r="J20" s="49">
        <f>AVERAGE('22.07 Ndeeba-Nyanama'!J20,'23.07 Ndeeba-Nyanama'!J20,'24.07 Ndeeba-Nyanama'!J20,'25.07 Ndeeba-Nyanama'!J20,'26.07 Ndeeba-Nyanama-24h'!J20,'27.07 Ndeeba-Nyanama-24h'!J20,'28.07 Ndeeba-Nyanama'!J20)</f>
        <v>1.2857142857142858</v>
      </c>
      <c r="K20" s="49">
        <f>AVERAGE('22.07 Ndeeba-Nyanama'!K20,'23.07 Ndeeba-Nyanama'!K20,'24.07 Ndeeba-Nyanama'!K20,'25.07 Ndeeba-Nyanama'!K20,'26.07 Ndeeba-Nyanama-24h'!K20,'27.07 Ndeeba-Nyanama-24h'!K20,'28.07 Ndeeba-Nyanama'!K20)</f>
        <v>0.14285714285714285</v>
      </c>
      <c r="L20" s="49">
        <f>AVERAGE('22.07 Ndeeba-Nyanama'!L20,'23.07 Ndeeba-Nyanama'!L20,'24.07 Ndeeba-Nyanama'!L20,'25.07 Ndeeba-Nyanama'!L20,'26.07 Ndeeba-Nyanama-24h'!L20,'27.07 Ndeeba-Nyanama-24h'!L20,'28.07 Ndeeba-Nyanama'!L20)</f>
        <v>0.2857142857142857</v>
      </c>
      <c r="M20" s="49">
        <f>AVERAGE('22.07 Ndeeba-Nyanama'!M20,'23.07 Ndeeba-Nyanama'!M20,'24.07 Ndeeba-Nyanama'!M20,'25.07 Ndeeba-Nyanama'!M20,'26.07 Ndeeba-Nyanama-24h'!M20,'27.07 Ndeeba-Nyanama-24h'!M20,'28.07 Ndeeba-Nyanama'!M20)</f>
        <v>80.571428571428569</v>
      </c>
      <c r="N20" s="49">
        <f>AVERAGE('22.07 Ndeeba-Nyanama'!N20,'23.07 Ndeeba-Nyanama'!N20,'24.07 Ndeeba-Nyanama'!N20,'25.07 Ndeeba-Nyanama'!N20,'26.07 Ndeeba-Nyanama-24h'!N20,'27.07 Ndeeba-Nyanama-24h'!N20,'28.07 Ndeeba-Nyanama'!N20)</f>
        <v>0</v>
      </c>
      <c r="O20" s="15">
        <f t="shared" si="0"/>
        <v>63.714285714285722</v>
      </c>
      <c r="P20" s="15">
        <f t="shared" si="1"/>
        <v>144.28571428571428</v>
      </c>
      <c r="R20" s="1" t="s">
        <v>16</v>
      </c>
      <c r="S20" s="17">
        <f t="shared" ref="S20:AF20" si="12">SUM(C50:C53)</f>
        <v>293.85714285714283</v>
      </c>
      <c r="T20" s="17">
        <f t="shared" si="12"/>
        <v>9.1428571428571423</v>
      </c>
      <c r="U20" s="17">
        <f t="shared" si="12"/>
        <v>12.285714285714285</v>
      </c>
      <c r="V20" s="17">
        <f t="shared" si="12"/>
        <v>116.14285714285714</v>
      </c>
      <c r="W20" s="17">
        <f t="shared" si="12"/>
        <v>0.5714285714285714</v>
      </c>
      <c r="X20" s="17">
        <f t="shared" si="12"/>
        <v>0</v>
      </c>
      <c r="Y20" s="17">
        <f t="shared" si="12"/>
        <v>16</v>
      </c>
      <c r="Z20" s="17">
        <f t="shared" si="12"/>
        <v>3.1428571428571428</v>
      </c>
      <c r="AA20" s="17">
        <f t="shared" si="12"/>
        <v>0.42857142857142855</v>
      </c>
      <c r="AB20" s="17">
        <f t="shared" si="12"/>
        <v>1.9999999999999998</v>
      </c>
      <c r="AC20" s="17">
        <f t="shared" si="12"/>
        <v>372.71428571428572</v>
      </c>
      <c r="AD20" s="17">
        <f t="shared" si="12"/>
        <v>0</v>
      </c>
      <c r="AE20" s="31">
        <f t="shared" si="12"/>
        <v>453.57142857142856</v>
      </c>
      <c r="AF20" s="31">
        <f t="shared" si="12"/>
        <v>826.28571428571422</v>
      </c>
    </row>
    <row r="21" spans="2:32" ht="23.1" customHeight="1" x14ac:dyDescent="0.25">
      <c r="B21" s="23" t="s">
        <v>48</v>
      </c>
      <c r="C21" s="49">
        <f>AVERAGE('22.07 Ndeeba-Nyanama'!C21,'23.07 Ndeeba-Nyanama'!C21,'24.07 Ndeeba-Nyanama'!C21,'25.07 Ndeeba-Nyanama'!C21,'26.07 Ndeeba-Nyanama-24h'!C21,'27.07 Ndeeba-Nyanama-24h'!C21,'28.07 Ndeeba-Nyanama'!C21)</f>
        <v>40.428571428571431</v>
      </c>
      <c r="D21" s="49">
        <f>AVERAGE('22.07 Ndeeba-Nyanama'!D21,'23.07 Ndeeba-Nyanama'!D21,'24.07 Ndeeba-Nyanama'!D21,'25.07 Ndeeba-Nyanama'!D21,'26.07 Ndeeba-Nyanama-24h'!D21,'27.07 Ndeeba-Nyanama-24h'!D21,'28.07 Ndeeba-Nyanama'!D21)</f>
        <v>0.5714285714285714</v>
      </c>
      <c r="E21" s="49">
        <f>AVERAGE('22.07 Ndeeba-Nyanama'!E21,'23.07 Ndeeba-Nyanama'!E21,'24.07 Ndeeba-Nyanama'!E21,'25.07 Ndeeba-Nyanama'!E21,'26.07 Ndeeba-Nyanama-24h'!E21,'27.07 Ndeeba-Nyanama-24h'!E21,'28.07 Ndeeba-Nyanama'!E21)</f>
        <v>2.4285714285714284</v>
      </c>
      <c r="F21" s="49">
        <f>AVERAGE('22.07 Ndeeba-Nyanama'!F21,'23.07 Ndeeba-Nyanama'!F21,'24.07 Ndeeba-Nyanama'!F21,'25.07 Ndeeba-Nyanama'!F21,'26.07 Ndeeba-Nyanama-24h'!F21,'27.07 Ndeeba-Nyanama-24h'!F21,'28.07 Ndeeba-Nyanama'!F21)</f>
        <v>23.857142857142858</v>
      </c>
      <c r="G21" s="49">
        <f>AVERAGE('22.07 Ndeeba-Nyanama'!G21,'23.07 Ndeeba-Nyanama'!G21,'24.07 Ndeeba-Nyanama'!G21,'25.07 Ndeeba-Nyanama'!G21,'26.07 Ndeeba-Nyanama-24h'!G21,'27.07 Ndeeba-Nyanama-24h'!G21,'28.07 Ndeeba-Nyanama'!G21)</f>
        <v>0</v>
      </c>
      <c r="H21" s="49">
        <f>AVERAGE('22.07 Ndeeba-Nyanama'!H21,'23.07 Ndeeba-Nyanama'!H21,'24.07 Ndeeba-Nyanama'!H21,'25.07 Ndeeba-Nyanama'!H21,'26.07 Ndeeba-Nyanama-24h'!H21,'27.07 Ndeeba-Nyanama-24h'!H21,'28.07 Ndeeba-Nyanama'!H21)</f>
        <v>0</v>
      </c>
      <c r="I21" s="49">
        <f>AVERAGE('22.07 Ndeeba-Nyanama'!I21,'23.07 Ndeeba-Nyanama'!I21,'24.07 Ndeeba-Nyanama'!I21,'25.07 Ndeeba-Nyanama'!I21,'26.07 Ndeeba-Nyanama-24h'!I21,'27.07 Ndeeba-Nyanama-24h'!I21,'28.07 Ndeeba-Nyanama'!I21)</f>
        <v>2</v>
      </c>
      <c r="J21" s="49">
        <f>AVERAGE('22.07 Ndeeba-Nyanama'!J21,'23.07 Ndeeba-Nyanama'!J21,'24.07 Ndeeba-Nyanama'!J21,'25.07 Ndeeba-Nyanama'!J21,'26.07 Ndeeba-Nyanama-24h'!J21,'27.07 Ndeeba-Nyanama-24h'!J21,'28.07 Ndeeba-Nyanama'!J21)</f>
        <v>1.4285714285714286</v>
      </c>
      <c r="K21" s="49">
        <f>AVERAGE('22.07 Ndeeba-Nyanama'!K21,'23.07 Ndeeba-Nyanama'!K21,'24.07 Ndeeba-Nyanama'!K21,'25.07 Ndeeba-Nyanama'!K21,'26.07 Ndeeba-Nyanama-24h'!K21,'27.07 Ndeeba-Nyanama-24h'!K21,'28.07 Ndeeba-Nyanama'!K21)</f>
        <v>0.42857142857142855</v>
      </c>
      <c r="L21" s="49">
        <f>AVERAGE('22.07 Ndeeba-Nyanama'!L21,'23.07 Ndeeba-Nyanama'!L21,'24.07 Ndeeba-Nyanama'!L21,'25.07 Ndeeba-Nyanama'!L21,'26.07 Ndeeba-Nyanama-24h'!L21,'27.07 Ndeeba-Nyanama-24h'!L21,'28.07 Ndeeba-Nyanama'!L21)</f>
        <v>0.2857142857142857</v>
      </c>
      <c r="M21" s="49">
        <f>AVERAGE('22.07 Ndeeba-Nyanama'!M21,'23.07 Ndeeba-Nyanama'!M21,'24.07 Ndeeba-Nyanama'!M21,'25.07 Ndeeba-Nyanama'!M21,'26.07 Ndeeba-Nyanama-24h'!M21,'27.07 Ndeeba-Nyanama-24h'!M21,'28.07 Ndeeba-Nyanama'!M21)</f>
        <v>86.285714285714292</v>
      </c>
      <c r="N21" s="49">
        <f>AVERAGE('22.07 Ndeeba-Nyanama'!N21,'23.07 Ndeeba-Nyanama'!N21,'24.07 Ndeeba-Nyanama'!N21,'25.07 Ndeeba-Nyanama'!N21,'26.07 Ndeeba-Nyanama-24h'!N21,'27.07 Ndeeba-Nyanama-24h'!N21,'28.07 Ndeeba-Nyanama'!N21)</f>
        <v>0</v>
      </c>
      <c r="O21" s="15">
        <f t="shared" si="0"/>
        <v>71.428571428571445</v>
      </c>
      <c r="P21" s="15">
        <f t="shared" si="1"/>
        <v>157.71428571428572</v>
      </c>
      <c r="R21" s="36" t="s">
        <v>20</v>
      </c>
      <c r="S21" s="34">
        <f>SUM(C54:C57)</f>
        <v>300</v>
      </c>
      <c r="T21" s="17">
        <f t="shared" ref="T21:AF21" si="13">SUM(D54:D57)</f>
        <v>13</v>
      </c>
      <c r="U21" s="17">
        <f t="shared" si="13"/>
        <v>11.428571428571429</v>
      </c>
      <c r="V21" s="17">
        <f t="shared" si="13"/>
        <v>146.28571428571428</v>
      </c>
      <c r="W21" s="17">
        <f t="shared" si="13"/>
        <v>1.1428571428571428</v>
      </c>
      <c r="X21" s="17">
        <f t="shared" si="13"/>
        <v>0</v>
      </c>
      <c r="Y21" s="17">
        <f t="shared" si="13"/>
        <v>18.857142857142861</v>
      </c>
      <c r="Z21" s="17">
        <f t="shared" si="13"/>
        <v>3.8571428571428568</v>
      </c>
      <c r="AA21" s="17">
        <f t="shared" si="13"/>
        <v>1.5714285714285714</v>
      </c>
      <c r="AB21" s="17">
        <f t="shared" si="13"/>
        <v>0.42857142857142855</v>
      </c>
      <c r="AC21" s="17">
        <f t="shared" si="13"/>
        <v>401</v>
      </c>
      <c r="AD21" s="17">
        <f t="shared" si="13"/>
        <v>0</v>
      </c>
      <c r="AE21" s="31">
        <f t="shared" si="13"/>
        <v>496.57142857142861</v>
      </c>
      <c r="AF21" s="31">
        <f t="shared" si="13"/>
        <v>897.57142857142867</v>
      </c>
    </row>
    <row r="22" spans="2:32" ht="23.1" customHeight="1" x14ac:dyDescent="0.25">
      <c r="B22" s="23" t="s">
        <v>49</v>
      </c>
      <c r="C22" s="49">
        <f>AVERAGE('22.07 Ndeeba-Nyanama'!C22,'23.07 Ndeeba-Nyanama'!C22,'24.07 Ndeeba-Nyanama'!C22,'25.07 Ndeeba-Nyanama'!C22,'26.07 Ndeeba-Nyanama-24h'!C22,'27.07 Ndeeba-Nyanama-24h'!C22,'28.07 Ndeeba-Nyanama'!C22)</f>
        <v>43.571428571428569</v>
      </c>
      <c r="D22" s="49">
        <f>AVERAGE('22.07 Ndeeba-Nyanama'!D22,'23.07 Ndeeba-Nyanama'!D22,'24.07 Ndeeba-Nyanama'!D22,'25.07 Ndeeba-Nyanama'!D22,'26.07 Ndeeba-Nyanama-24h'!D22,'27.07 Ndeeba-Nyanama-24h'!D22,'28.07 Ndeeba-Nyanama'!D22)</f>
        <v>1.1428571428571428</v>
      </c>
      <c r="E22" s="49">
        <f>AVERAGE('22.07 Ndeeba-Nyanama'!E22,'23.07 Ndeeba-Nyanama'!E22,'24.07 Ndeeba-Nyanama'!E22,'25.07 Ndeeba-Nyanama'!E22,'26.07 Ndeeba-Nyanama-24h'!E22,'27.07 Ndeeba-Nyanama-24h'!E22,'28.07 Ndeeba-Nyanama'!E22)</f>
        <v>2</v>
      </c>
      <c r="F22" s="49">
        <f>AVERAGE('22.07 Ndeeba-Nyanama'!F22,'23.07 Ndeeba-Nyanama'!F22,'24.07 Ndeeba-Nyanama'!F22,'25.07 Ndeeba-Nyanama'!F22,'26.07 Ndeeba-Nyanama-24h'!F22,'27.07 Ndeeba-Nyanama-24h'!F22,'28.07 Ndeeba-Nyanama'!F22)</f>
        <v>15.428571428571429</v>
      </c>
      <c r="G22" s="49">
        <f>AVERAGE('22.07 Ndeeba-Nyanama'!G22,'23.07 Ndeeba-Nyanama'!G22,'24.07 Ndeeba-Nyanama'!G22,'25.07 Ndeeba-Nyanama'!G22,'26.07 Ndeeba-Nyanama-24h'!G22,'27.07 Ndeeba-Nyanama-24h'!G22,'28.07 Ndeeba-Nyanama'!G22)</f>
        <v>0.2857142857142857</v>
      </c>
      <c r="H22" s="49">
        <f>AVERAGE('22.07 Ndeeba-Nyanama'!H22,'23.07 Ndeeba-Nyanama'!H22,'24.07 Ndeeba-Nyanama'!H22,'25.07 Ndeeba-Nyanama'!H22,'26.07 Ndeeba-Nyanama-24h'!H22,'27.07 Ndeeba-Nyanama-24h'!H22,'28.07 Ndeeba-Nyanama'!H22)</f>
        <v>0</v>
      </c>
      <c r="I22" s="49">
        <f>AVERAGE('22.07 Ndeeba-Nyanama'!I22,'23.07 Ndeeba-Nyanama'!I22,'24.07 Ndeeba-Nyanama'!I22,'25.07 Ndeeba-Nyanama'!I22,'26.07 Ndeeba-Nyanama-24h'!I22,'27.07 Ndeeba-Nyanama-24h'!I22,'28.07 Ndeeba-Nyanama'!I22)</f>
        <v>2.1428571428571428</v>
      </c>
      <c r="J22" s="49">
        <f>AVERAGE('22.07 Ndeeba-Nyanama'!J22,'23.07 Ndeeba-Nyanama'!J22,'24.07 Ndeeba-Nyanama'!J22,'25.07 Ndeeba-Nyanama'!J22,'26.07 Ndeeba-Nyanama-24h'!J22,'27.07 Ndeeba-Nyanama-24h'!J22,'28.07 Ndeeba-Nyanama'!J22)</f>
        <v>0.7142857142857143</v>
      </c>
      <c r="K22" s="49">
        <f>AVERAGE('22.07 Ndeeba-Nyanama'!K22,'23.07 Ndeeba-Nyanama'!K22,'24.07 Ndeeba-Nyanama'!K22,'25.07 Ndeeba-Nyanama'!K22,'26.07 Ndeeba-Nyanama-24h'!K22,'27.07 Ndeeba-Nyanama-24h'!K22,'28.07 Ndeeba-Nyanama'!K22)</f>
        <v>0.2857142857142857</v>
      </c>
      <c r="L22" s="49">
        <f>AVERAGE('22.07 Ndeeba-Nyanama'!L22,'23.07 Ndeeba-Nyanama'!L22,'24.07 Ndeeba-Nyanama'!L22,'25.07 Ndeeba-Nyanama'!L22,'26.07 Ndeeba-Nyanama-24h'!L22,'27.07 Ndeeba-Nyanama-24h'!L22,'28.07 Ndeeba-Nyanama'!L22)</f>
        <v>0</v>
      </c>
      <c r="M22" s="49">
        <f>AVERAGE('22.07 Ndeeba-Nyanama'!M22,'23.07 Ndeeba-Nyanama'!M22,'24.07 Ndeeba-Nyanama'!M22,'25.07 Ndeeba-Nyanama'!M22,'26.07 Ndeeba-Nyanama-24h'!M22,'27.07 Ndeeba-Nyanama-24h'!M22,'28.07 Ndeeba-Nyanama'!M22)</f>
        <v>100.57142857142857</v>
      </c>
      <c r="N22" s="49">
        <f>AVERAGE('22.07 Ndeeba-Nyanama'!N22,'23.07 Ndeeba-Nyanama'!N22,'24.07 Ndeeba-Nyanama'!N22,'25.07 Ndeeba-Nyanama'!N22,'26.07 Ndeeba-Nyanama-24h'!N22,'27.07 Ndeeba-Nyanama-24h'!N22,'28.07 Ndeeba-Nyanama'!N22)</f>
        <v>0</v>
      </c>
      <c r="O22" s="15">
        <f t="shared" si="0"/>
        <v>65.571428571428569</v>
      </c>
      <c r="P22" s="15">
        <f t="shared" si="1"/>
        <v>166.14285714285714</v>
      </c>
      <c r="R22" s="1" t="s">
        <v>146</v>
      </c>
      <c r="S22" s="34">
        <f>SUM(C58:C61)</f>
        <v>228.5</v>
      </c>
      <c r="T22" s="34">
        <f t="shared" ref="T22:AF22" si="14">SUM(D58:D61)</f>
        <v>6</v>
      </c>
      <c r="U22" s="34">
        <f t="shared" si="14"/>
        <v>11</v>
      </c>
      <c r="V22" s="34">
        <f t="shared" si="14"/>
        <v>100</v>
      </c>
      <c r="W22" s="34">
        <f t="shared" si="14"/>
        <v>0</v>
      </c>
      <c r="X22" s="34">
        <f t="shared" si="14"/>
        <v>0</v>
      </c>
      <c r="Y22" s="34">
        <f t="shared" si="14"/>
        <v>15.5</v>
      </c>
      <c r="Z22" s="34">
        <f t="shared" si="14"/>
        <v>0.5</v>
      </c>
      <c r="AA22" s="34">
        <f t="shared" si="14"/>
        <v>0</v>
      </c>
      <c r="AB22" s="34">
        <f t="shared" si="14"/>
        <v>0.5</v>
      </c>
      <c r="AC22" s="34">
        <f t="shared" si="14"/>
        <v>353</v>
      </c>
      <c r="AD22" s="34">
        <f t="shared" si="14"/>
        <v>0</v>
      </c>
      <c r="AE22" s="31">
        <f t="shared" si="14"/>
        <v>362</v>
      </c>
      <c r="AF22" s="31">
        <f t="shared" si="14"/>
        <v>715</v>
      </c>
    </row>
    <row r="23" spans="2:32" ht="23.1" customHeight="1" x14ac:dyDescent="0.25">
      <c r="B23" s="23" t="s">
        <v>50</v>
      </c>
      <c r="C23" s="49">
        <f>AVERAGE('22.07 Ndeeba-Nyanama'!C23,'23.07 Ndeeba-Nyanama'!C23,'24.07 Ndeeba-Nyanama'!C23,'25.07 Ndeeba-Nyanama'!C23,'26.07 Ndeeba-Nyanama-24h'!C23,'27.07 Ndeeba-Nyanama-24h'!C23,'28.07 Ndeeba-Nyanama'!C23)</f>
        <v>42.142857142857146</v>
      </c>
      <c r="D23" s="49">
        <f>AVERAGE('22.07 Ndeeba-Nyanama'!D23,'23.07 Ndeeba-Nyanama'!D23,'24.07 Ndeeba-Nyanama'!D23,'25.07 Ndeeba-Nyanama'!D23,'26.07 Ndeeba-Nyanama-24h'!D23,'27.07 Ndeeba-Nyanama-24h'!D23,'28.07 Ndeeba-Nyanama'!D23)</f>
        <v>1.5714285714285714</v>
      </c>
      <c r="E23" s="49">
        <f>AVERAGE('22.07 Ndeeba-Nyanama'!E23,'23.07 Ndeeba-Nyanama'!E23,'24.07 Ndeeba-Nyanama'!E23,'25.07 Ndeeba-Nyanama'!E23,'26.07 Ndeeba-Nyanama-24h'!E23,'27.07 Ndeeba-Nyanama-24h'!E23,'28.07 Ndeeba-Nyanama'!E23)</f>
        <v>2.7142857142857144</v>
      </c>
      <c r="F23" s="49">
        <f>AVERAGE('22.07 Ndeeba-Nyanama'!F23,'23.07 Ndeeba-Nyanama'!F23,'24.07 Ndeeba-Nyanama'!F23,'25.07 Ndeeba-Nyanama'!F23,'26.07 Ndeeba-Nyanama-24h'!F23,'27.07 Ndeeba-Nyanama-24h'!F23,'28.07 Ndeeba-Nyanama'!F23)</f>
        <v>14.714285714285714</v>
      </c>
      <c r="G23" s="49">
        <f>AVERAGE('22.07 Ndeeba-Nyanama'!G23,'23.07 Ndeeba-Nyanama'!G23,'24.07 Ndeeba-Nyanama'!G23,'25.07 Ndeeba-Nyanama'!G23,'26.07 Ndeeba-Nyanama-24h'!G23,'27.07 Ndeeba-Nyanama-24h'!G23,'28.07 Ndeeba-Nyanama'!G23)</f>
        <v>0.14285714285714285</v>
      </c>
      <c r="H23" s="49">
        <f>AVERAGE('22.07 Ndeeba-Nyanama'!H23,'23.07 Ndeeba-Nyanama'!H23,'24.07 Ndeeba-Nyanama'!H23,'25.07 Ndeeba-Nyanama'!H23,'26.07 Ndeeba-Nyanama-24h'!H23,'27.07 Ndeeba-Nyanama-24h'!H23,'28.07 Ndeeba-Nyanama'!H23)</f>
        <v>0</v>
      </c>
      <c r="I23" s="49">
        <f>AVERAGE('22.07 Ndeeba-Nyanama'!I23,'23.07 Ndeeba-Nyanama'!I23,'24.07 Ndeeba-Nyanama'!I23,'25.07 Ndeeba-Nyanama'!I23,'26.07 Ndeeba-Nyanama-24h'!I23,'27.07 Ndeeba-Nyanama-24h'!I23,'28.07 Ndeeba-Nyanama'!I23)</f>
        <v>1.4285714285714286</v>
      </c>
      <c r="J23" s="49">
        <f>AVERAGE('22.07 Ndeeba-Nyanama'!J23,'23.07 Ndeeba-Nyanama'!J23,'24.07 Ndeeba-Nyanama'!J23,'25.07 Ndeeba-Nyanama'!J23,'26.07 Ndeeba-Nyanama-24h'!J23,'27.07 Ndeeba-Nyanama-24h'!J23,'28.07 Ndeeba-Nyanama'!J23)</f>
        <v>1.1428571428571428</v>
      </c>
      <c r="K23" s="49">
        <f>AVERAGE('22.07 Ndeeba-Nyanama'!K23,'23.07 Ndeeba-Nyanama'!K23,'24.07 Ndeeba-Nyanama'!K23,'25.07 Ndeeba-Nyanama'!K23,'26.07 Ndeeba-Nyanama-24h'!K23,'27.07 Ndeeba-Nyanama-24h'!K23,'28.07 Ndeeba-Nyanama'!K23)</f>
        <v>0.14285714285714285</v>
      </c>
      <c r="L23" s="49">
        <f>AVERAGE('22.07 Ndeeba-Nyanama'!L23,'23.07 Ndeeba-Nyanama'!L23,'24.07 Ndeeba-Nyanama'!L23,'25.07 Ndeeba-Nyanama'!L23,'26.07 Ndeeba-Nyanama-24h'!L23,'27.07 Ndeeba-Nyanama-24h'!L23,'28.07 Ndeeba-Nyanama'!L23)</f>
        <v>0.2857142857142857</v>
      </c>
      <c r="M23" s="49">
        <f>AVERAGE('22.07 Ndeeba-Nyanama'!M23,'23.07 Ndeeba-Nyanama'!M23,'24.07 Ndeeba-Nyanama'!M23,'25.07 Ndeeba-Nyanama'!M23,'26.07 Ndeeba-Nyanama-24h'!M23,'27.07 Ndeeba-Nyanama-24h'!M23,'28.07 Ndeeba-Nyanama'!M23)</f>
        <v>96.285714285714292</v>
      </c>
      <c r="N23" s="49">
        <f>AVERAGE('22.07 Ndeeba-Nyanama'!N23,'23.07 Ndeeba-Nyanama'!N23,'24.07 Ndeeba-Nyanama'!N23,'25.07 Ndeeba-Nyanama'!N23,'26.07 Ndeeba-Nyanama-24h'!N23,'27.07 Ndeeba-Nyanama-24h'!N23,'28.07 Ndeeba-Nyanama'!N23)</f>
        <v>0</v>
      </c>
      <c r="O23" s="15">
        <f t="shared" si="0"/>
        <v>64.285714285714306</v>
      </c>
      <c r="P23" s="15">
        <f t="shared" si="1"/>
        <v>160.57142857142861</v>
      </c>
      <c r="R23" s="1" t="s">
        <v>147</v>
      </c>
      <c r="S23" s="34">
        <f>SUM(C62:C65)</f>
        <v>281</v>
      </c>
      <c r="T23" s="34">
        <f t="shared" ref="T23:AF23" si="15">SUM(D62:D65)</f>
        <v>22</v>
      </c>
      <c r="U23" s="34">
        <f t="shared" si="15"/>
        <v>12.5</v>
      </c>
      <c r="V23" s="34">
        <f t="shared" si="15"/>
        <v>118</v>
      </c>
      <c r="W23" s="34">
        <f t="shared" si="15"/>
        <v>1.5</v>
      </c>
      <c r="X23" s="34">
        <f t="shared" si="15"/>
        <v>0</v>
      </c>
      <c r="Y23" s="34">
        <f t="shared" si="15"/>
        <v>24.5</v>
      </c>
      <c r="Z23" s="34">
        <f t="shared" si="15"/>
        <v>7</v>
      </c>
      <c r="AA23" s="34">
        <f t="shared" si="15"/>
        <v>0.5</v>
      </c>
      <c r="AB23" s="34">
        <f t="shared" si="15"/>
        <v>0</v>
      </c>
      <c r="AC23" s="34">
        <f t="shared" si="15"/>
        <v>385</v>
      </c>
      <c r="AD23" s="34">
        <f t="shared" si="15"/>
        <v>0</v>
      </c>
      <c r="AE23" s="31">
        <f t="shared" si="15"/>
        <v>467</v>
      </c>
      <c r="AF23" s="31">
        <f t="shared" si="15"/>
        <v>852</v>
      </c>
    </row>
    <row r="24" spans="2:32" ht="23.1" customHeight="1" x14ac:dyDescent="0.25">
      <c r="B24" s="23" t="s">
        <v>51</v>
      </c>
      <c r="C24" s="49">
        <f>AVERAGE('22.07 Ndeeba-Nyanama'!C24,'23.07 Ndeeba-Nyanama'!C24,'24.07 Ndeeba-Nyanama'!C24,'25.07 Ndeeba-Nyanama'!C24,'26.07 Ndeeba-Nyanama-24h'!C24,'27.07 Ndeeba-Nyanama-24h'!C24,'28.07 Ndeeba-Nyanama'!C24)</f>
        <v>43.857142857142854</v>
      </c>
      <c r="D24" s="49">
        <f>AVERAGE('22.07 Ndeeba-Nyanama'!D24,'23.07 Ndeeba-Nyanama'!D24,'24.07 Ndeeba-Nyanama'!D24,'25.07 Ndeeba-Nyanama'!D24,'26.07 Ndeeba-Nyanama-24h'!D24,'27.07 Ndeeba-Nyanama-24h'!D24,'28.07 Ndeeba-Nyanama'!D24)</f>
        <v>1.2857142857142858</v>
      </c>
      <c r="E24" s="49">
        <f>AVERAGE('22.07 Ndeeba-Nyanama'!E24,'23.07 Ndeeba-Nyanama'!E24,'24.07 Ndeeba-Nyanama'!E24,'25.07 Ndeeba-Nyanama'!E24,'26.07 Ndeeba-Nyanama-24h'!E24,'27.07 Ndeeba-Nyanama-24h'!E24,'28.07 Ndeeba-Nyanama'!E24)</f>
        <v>3.4285714285714284</v>
      </c>
      <c r="F24" s="49">
        <f>AVERAGE('22.07 Ndeeba-Nyanama'!F24,'23.07 Ndeeba-Nyanama'!F24,'24.07 Ndeeba-Nyanama'!F24,'25.07 Ndeeba-Nyanama'!F24,'26.07 Ndeeba-Nyanama-24h'!F24,'27.07 Ndeeba-Nyanama-24h'!F24,'28.07 Ndeeba-Nyanama'!F24)</f>
        <v>17.857142857142858</v>
      </c>
      <c r="G24" s="49">
        <f>AVERAGE('22.07 Ndeeba-Nyanama'!G24,'23.07 Ndeeba-Nyanama'!G24,'24.07 Ndeeba-Nyanama'!G24,'25.07 Ndeeba-Nyanama'!G24,'26.07 Ndeeba-Nyanama-24h'!G24,'27.07 Ndeeba-Nyanama-24h'!G24,'28.07 Ndeeba-Nyanama'!G24)</f>
        <v>0.14285714285714285</v>
      </c>
      <c r="H24" s="49">
        <f>AVERAGE('22.07 Ndeeba-Nyanama'!H24,'23.07 Ndeeba-Nyanama'!H24,'24.07 Ndeeba-Nyanama'!H24,'25.07 Ndeeba-Nyanama'!H24,'26.07 Ndeeba-Nyanama-24h'!H24,'27.07 Ndeeba-Nyanama-24h'!H24,'28.07 Ndeeba-Nyanama'!H24)</f>
        <v>0</v>
      </c>
      <c r="I24" s="49">
        <f>AVERAGE('22.07 Ndeeba-Nyanama'!I24,'23.07 Ndeeba-Nyanama'!I24,'24.07 Ndeeba-Nyanama'!I24,'25.07 Ndeeba-Nyanama'!I24,'26.07 Ndeeba-Nyanama-24h'!I24,'27.07 Ndeeba-Nyanama-24h'!I24,'28.07 Ndeeba-Nyanama'!I24)</f>
        <v>3.4285714285714284</v>
      </c>
      <c r="J24" s="49">
        <f>AVERAGE('22.07 Ndeeba-Nyanama'!J24,'23.07 Ndeeba-Nyanama'!J24,'24.07 Ndeeba-Nyanama'!J24,'25.07 Ndeeba-Nyanama'!J24,'26.07 Ndeeba-Nyanama-24h'!J24,'27.07 Ndeeba-Nyanama-24h'!J24,'28.07 Ndeeba-Nyanama'!J24)</f>
        <v>0.42857142857142855</v>
      </c>
      <c r="K24" s="49">
        <f>AVERAGE('22.07 Ndeeba-Nyanama'!K24,'23.07 Ndeeba-Nyanama'!K24,'24.07 Ndeeba-Nyanama'!K24,'25.07 Ndeeba-Nyanama'!K24,'26.07 Ndeeba-Nyanama-24h'!K24,'27.07 Ndeeba-Nyanama-24h'!K24,'28.07 Ndeeba-Nyanama'!K24)</f>
        <v>0</v>
      </c>
      <c r="L24" s="49">
        <f>AVERAGE('22.07 Ndeeba-Nyanama'!L24,'23.07 Ndeeba-Nyanama'!L24,'24.07 Ndeeba-Nyanama'!L24,'25.07 Ndeeba-Nyanama'!L24,'26.07 Ndeeba-Nyanama-24h'!L24,'27.07 Ndeeba-Nyanama-24h'!L24,'28.07 Ndeeba-Nyanama'!L24)</f>
        <v>0.42857142857142855</v>
      </c>
      <c r="M24" s="49">
        <f>AVERAGE('22.07 Ndeeba-Nyanama'!M24,'23.07 Ndeeba-Nyanama'!M24,'24.07 Ndeeba-Nyanama'!M24,'25.07 Ndeeba-Nyanama'!M24,'26.07 Ndeeba-Nyanama-24h'!M24,'27.07 Ndeeba-Nyanama-24h'!M24,'28.07 Ndeeba-Nyanama'!M24)</f>
        <v>94.571428571428569</v>
      </c>
      <c r="N24" s="49">
        <f>AVERAGE('22.07 Ndeeba-Nyanama'!N24,'23.07 Ndeeba-Nyanama'!N24,'24.07 Ndeeba-Nyanama'!N24,'25.07 Ndeeba-Nyanama'!N24,'26.07 Ndeeba-Nyanama-24h'!N24,'27.07 Ndeeba-Nyanama-24h'!N24,'28.07 Ndeeba-Nyanama'!N24)</f>
        <v>0</v>
      </c>
      <c r="O24" s="15">
        <f t="shared" si="0"/>
        <v>70.857142857142861</v>
      </c>
      <c r="P24" s="15">
        <f t="shared" si="1"/>
        <v>165.42857142857144</v>
      </c>
      <c r="R24" s="1" t="s">
        <v>148</v>
      </c>
      <c r="S24" s="34">
        <f>SUM(C66:C69)</f>
        <v>298</v>
      </c>
      <c r="T24" s="34">
        <f t="shared" ref="T24:AF24" si="16">SUM(D66:D69)</f>
        <v>13</v>
      </c>
      <c r="U24" s="34">
        <f t="shared" si="16"/>
        <v>13.5</v>
      </c>
      <c r="V24" s="34">
        <f t="shared" si="16"/>
        <v>106</v>
      </c>
      <c r="W24" s="34">
        <f t="shared" si="16"/>
        <v>0.5</v>
      </c>
      <c r="X24" s="34">
        <f t="shared" si="16"/>
        <v>0</v>
      </c>
      <c r="Y24" s="34">
        <f t="shared" si="16"/>
        <v>22</v>
      </c>
      <c r="Z24" s="34">
        <f t="shared" si="16"/>
        <v>5</v>
      </c>
      <c r="AA24" s="34">
        <f t="shared" si="16"/>
        <v>0.5</v>
      </c>
      <c r="AB24" s="34">
        <f t="shared" si="16"/>
        <v>0</v>
      </c>
      <c r="AC24" s="34">
        <f t="shared" si="16"/>
        <v>458</v>
      </c>
      <c r="AD24" s="34">
        <f t="shared" si="16"/>
        <v>0</v>
      </c>
      <c r="AE24" s="31">
        <f t="shared" si="16"/>
        <v>458.5</v>
      </c>
      <c r="AF24" s="31">
        <f t="shared" si="16"/>
        <v>916.5</v>
      </c>
    </row>
    <row r="25" spans="2:32" ht="23.1" customHeight="1" x14ac:dyDescent="0.25">
      <c r="B25" s="23" t="s">
        <v>52</v>
      </c>
      <c r="C25" s="49">
        <f>AVERAGE('22.07 Ndeeba-Nyanama'!C25,'23.07 Ndeeba-Nyanama'!C25,'24.07 Ndeeba-Nyanama'!C25,'25.07 Ndeeba-Nyanama'!C25,'26.07 Ndeeba-Nyanama-24h'!C25,'27.07 Ndeeba-Nyanama-24h'!C25,'28.07 Ndeeba-Nyanama'!C25)</f>
        <v>43.142857142857146</v>
      </c>
      <c r="D25" s="49">
        <f>AVERAGE('22.07 Ndeeba-Nyanama'!D25,'23.07 Ndeeba-Nyanama'!D25,'24.07 Ndeeba-Nyanama'!D25,'25.07 Ndeeba-Nyanama'!D25,'26.07 Ndeeba-Nyanama-24h'!D25,'27.07 Ndeeba-Nyanama-24h'!D25,'28.07 Ndeeba-Nyanama'!D25)</f>
        <v>0.42857142857142855</v>
      </c>
      <c r="E25" s="49">
        <f>AVERAGE('22.07 Ndeeba-Nyanama'!E25,'23.07 Ndeeba-Nyanama'!E25,'24.07 Ndeeba-Nyanama'!E25,'25.07 Ndeeba-Nyanama'!E25,'26.07 Ndeeba-Nyanama-24h'!E25,'27.07 Ndeeba-Nyanama-24h'!E25,'28.07 Ndeeba-Nyanama'!E25)</f>
        <v>1.5714285714285714</v>
      </c>
      <c r="F25" s="49">
        <f>AVERAGE('22.07 Ndeeba-Nyanama'!F25,'23.07 Ndeeba-Nyanama'!F25,'24.07 Ndeeba-Nyanama'!F25,'25.07 Ndeeba-Nyanama'!F25,'26.07 Ndeeba-Nyanama-24h'!F25,'27.07 Ndeeba-Nyanama-24h'!F25,'28.07 Ndeeba-Nyanama'!F25)</f>
        <v>19.571428571428573</v>
      </c>
      <c r="G25" s="49">
        <f>AVERAGE('22.07 Ndeeba-Nyanama'!G25,'23.07 Ndeeba-Nyanama'!G25,'24.07 Ndeeba-Nyanama'!G25,'25.07 Ndeeba-Nyanama'!G25,'26.07 Ndeeba-Nyanama-24h'!G25,'27.07 Ndeeba-Nyanama-24h'!G25,'28.07 Ndeeba-Nyanama'!G25)</f>
        <v>0.5714285714285714</v>
      </c>
      <c r="H25" s="49">
        <f>AVERAGE('22.07 Ndeeba-Nyanama'!H25,'23.07 Ndeeba-Nyanama'!H25,'24.07 Ndeeba-Nyanama'!H25,'25.07 Ndeeba-Nyanama'!H25,'26.07 Ndeeba-Nyanama-24h'!H25,'27.07 Ndeeba-Nyanama-24h'!H25,'28.07 Ndeeba-Nyanama'!H25)</f>
        <v>0</v>
      </c>
      <c r="I25" s="49">
        <f>AVERAGE('22.07 Ndeeba-Nyanama'!I25,'23.07 Ndeeba-Nyanama'!I25,'24.07 Ndeeba-Nyanama'!I25,'25.07 Ndeeba-Nyanama'!I25,'26.07 Ndeeba-Nyanama-24h'!I25,'27.07 Ndeeba-Nyanama-24h'!I25,'28.07 Ndeeba-Nyanama'!I25)</f>
        <v>1.4285714285714286</v>
      </c>
      <c r="J25" s="49">
        <f>AVERAGE('22.07 Ndeeba-Nyanama'!J25,'23.07 Ndeeba-Nyanama'!J25,'24.07 Ndeeba-Nyanama'!J25,'25.07 Ndeeba-Nyanama'!J25,'26.07 Ndeeba-Nyanama-24h'!J25,'27.07 Ndeeba-Nyanama-24h'!J25,'28.07 Ndeeba-Nyanama'!J25)</f>
        <v>0.8571428571428571</v>
      </c>
      <c r="K25" s="49">
        <f>AVERAGE('22.07 Ndeeba-Nyanama'!K25,'23.07 Ndeeba-Nyanama'!K25,'24.07 Ndeeba-Nyanama'!K25,'25.07 Ndeeba-Nyanama'!K25,'26.07 Ndeeba-Nyanama-24h'!K25,'27.07 Ndeeba-Nyanama-24h'!K25,'28.07 Ndeeba-Nyanama'!K25)</f>
        <v>0.5714285714285714</v>
      </c>
      <c r="L25" s="49">
        <f>AVERAGE('22.07 Ndeeba-Nyanama'!L25,'23.07 Ndeeba-Nyanama'!L25,'24.07 Ndeeba-Nyanama'!L25,'25.07 Ndeeba-Nyanama'!L25,'26.07 Ndeeba-Nyanama-24h'!L25,'27.07 Ndeeba-Nyanama-24h'!L25,'28.07 Ndeeba-Nyanama'!L25)</f>
        <v>0.2857142857142857</v>
      </c>
      <c r="M25" s="49">
        <f>AVERAGE('22.07 Ndeeba-Nyanama'!M25,'23.07 Ndeeba-Nyanama'!M25,'24.07 Ndeeba-Nyanama'!M25,'25.07 Ndeeba-Nyanama'!M25,'26.07 Ndeeba-Nyanama-24h'!M25,'27.07 Ndeeba-Nyanama-24h'!M25,'28.07 Ndeeba-Nyanama'!M25)</f>
        <v>80</v>
      </c>
      <c r="N25" s="49">
        <f>AVERAGE('22.07 Ndeeba-Nyanama'!N25,'23.07 Ndeeba-Nyanama'!N25,'24.07 Ndeeba-Nyanama'!N25,'25.07 Ndeeba-Nyanama'!N25,'26.07 Ndeeba-Nyanama-24h'!N25,'27.07 Ndeeba-Nyanama-24h'!N25,'28.07 Ndeeba-Nyanama'!N25)</f>
        <v>0</v>
      </c>
      <c r="O25" s="15">
        <f t="shared" si="0"/>
        <v>68.428571428571445</v>
      </c>
      <c r="P25" s="15">
        <f t="shared" si="1"/>
        <v>148.42857142857144</v>
      </c>
      <c r="R25" s="1" t="s">
        <v>149</v>
      </c>
      <c r="S25" s="34">
        <f>SUM(C70:C73)</f>
        <v>219</v>
      </c>
      <c r="T25" s="34">
        <f t="shared" ref="T25:AF25" si="17">SUM(D70:D73)</f>
        <v>11.5</v>
      </c>
      <c r="U25" s="34">
        <f t="shared" si="17"/>
        <v>5.5</v>
      </c>
      <c r="V25" s="34">
        <f t="shared" si="17"/>
        <v>22</v>
      </c>
      <c r="W25" s="34">
        <f t="shared" si="17"/>
        <v>1.5</v>
      </c>
      <c r="X25" s="34">
        <f t="shared" si="17"/>
        <v>0</v>
      </c>
      <c r="Y25" s="34">
        <f t="shared" si="17"/>
        <v>13</v>
      </c>
      <c r="Z25" s="34">
        <f t="shared" si="17"/>
        <v>4.5</v>
      </c>
      <c r="AA25" s="34">
        <f t="shared" si="17"/>
        <v>0.5</v>
      </c>
      <c r="AB25" s="34">
        <f t="shared" si="17"/>
        <v>0</v>
      </c>
      <c r="AC25" s="34">
        <f t="shared" si="17"/>
        <v>309.5</v>
      </c>
      <c r="AD25" s="34">
        <f t="shared" si="17"/>
        <v>0</v>
      </c>
      <c r="AE25" s="31">
        <f t="shared" si="17"/>
        <v>277.5</v>
      </c>
      <c r="AF25" s="31">
        <f t="shared" si="17"/>
        <v>587</v>
      </c>
    </row>
    <row r="26" spans="2:32" ht="23.1" customHeight="1" x14ac:dyDescent="0.25">
      <c r="B26" s="23" t="s">
        <v>53</v>
      </c>
      <c r="C26" s="49">
        <f>AVERAGE('22.07 Ndeeba-Nyanama'!C26,'23.07 Ndeeba-Nyanama'!C26,'24.07 Ndeeba-Nyanama'!C26,'25.07 Ndeeba-Nyanama'!C26,'26.07 Ndeeba-Nyanama-24h'!C26,'27.07 Ndeeba-Nyanama-24h'!C26,'28.07 Ndeeba-Nyanama'!C26)</f>
        <v>47.571428571428569</v>
      </c>
      <c r="D26" s="49">
        <f>AVERAGE('22.07 Ndeeba-Nyanama'!D26,'23.07 Ndeeba-Nyanama'!D26,'24.07 Ndeeba-Nyanama'!D26,'25.07 Ndeeba-Nyanama'!D26,'26.07 Ndeeba-Nyanama-24h'!D26,'27.07 Ndeeba-Nyanama-24h'!D26,'28.07 Ndeeba-Nyanama'!D26)</f>
        <v>1</v>
      </c>
      <c r="E26" s="49">
        <f>AVERAGE('22.07 Ndeeba-Nyanama'!E26,'23.07 Ndeeba-Nyanama'!E26,'24.07 Ndeeba-Nyanama'!E26,'25.07 Ndeeba-Nyanama'!E26,'26.07 Ndeeba-Nyanama-24h'!E26,'27.07 Ndeeba-Nyanama-24h'!E26,'28.07 Ndeeba-Nyanama'!E26)</f>
        <v>2.2857142857142856</v>
      </c>
      <c r="F26" s="49">
        <f>AVERAGE('22.07 Ndeeba-Nyanama'!F26,'23.07 Ndeeba-Nyanama'!F26,'24.07 Ndeeba-Nyanama'!F26,'25.07 Ndeeba-Nyanama'!F26,'26.07 Ndeeba-Nyanama-24h'!F26,'27.07 Ndeeba-Nyanama-24h'!F26,'28.07 Ndeeba-Nyanama'!F26)</f>
        <v>10.285714285714286</v>
      </c>
      <c r="G26" s="49">
        <f>AVERAGE('22.07 Ndeeba-Nyanama'!G26,'23.07 Ndeeba-Nyanama'!G26,'24.07 Ndeeba-Nyanama'!G26,'25.07 Ndeeba-Nyanama'!G26,'26.07 Ndeeba-Nyanama-24h'!G26,'27.07 Ndeeba-Nyanama-24h'!G26,'28.07 Ndeeba-Nyanama'!G26)</f>
        <v>0.5714285714285714</v>
      </c>
      <c r="H26" s="49">
        <f>AVERAGE('22.07 Ndeeba-Nyanama'!H26,'23.07 Ndeeba-Nyanama'!H26,'24.07 Ndeeba-Nyanama'!H26,'25.07 Ndeeba-Nyanama'!H26,'26.07 Ndeeba-Nyanama-24h'!H26,'27.07 Ndeeba-Nyanama-24h'!H26,'28.07 Ndeeba-Nyanama'!H26)</f>
        <v>0</v>
      </c>
      <c r="I26" s="49">
        <f>AVERAGE('22.07 Ndeeba-Nyanama'!I26,'23.07 Ndeeba-Nyanama'!I26,'24.07 Ndeeba-Nyanama'!I26,'25.07 Ndeeba-Nyanama'!I26,'26.07 Ndeeba-Nyanama-24h'!I26,'27.07 Ndeeba-Nyanama-24h'!I26,'28.07 Ndeeba-Nyanama'!I26)</f>
        <v>2.5714285714285716</v>
      </c>
      <c r="J26" s="49">
        <f>AVERAGE('22.07 Ndeeba-Nyanama'!J26,'23.07 Ndeeba-Nyanama'!J26,'24.07 Ndeeba-Nyanama'!J26,'25.07 Ndeeba-Nyanama'!J26,'26.07 Ndeeba-Nyanama-24h'!J26,'27.07 Ndeeba-Nyanama-24h'!J26,'28.07 Ndeeba-Nyanama'!J26)</f>
        <v>0.42857142857142855</v>
      </c>
      <c r="K26" s="49">
        <f>AVERAGE('22.07 Ndeeba-Nyanama'!K26,'23.07 Ndeeba-Nyanama'!K26,'24.07 Ndeeba-Nyanama'!K26,'25.07 Ndeeba-Nyanama'!K26,'26.07 Ndeeba-Nyanama-24h'!K26,'27.07 Ndeeba-Nyanama-24h'!K26,'28.07 Ndeeba-Nyanama'!K26)</f>
        <v>0.2857142857142857</v>
      </c>
      <c r="L26" s="49">
        <f>AVERAGE('22.07 Ndeeba-Nyanama'!L26,'23.07 Ndeeba-Nyanama'!L26,'24.07 Ndeeba-Nyanama'!L26,'25.07 Ndeeba-Nyanama'!L26,'26.07 Ndeeba-Nyanama-24h'!L26,'27.07 Ndeeba-Nyanama-24h'!L26,'28.07 Ndeeba-Nyanama'!L26)</f>
        <v>0.2857142857142857</v>
      </c>
      <c r="M26" s="49">
        <f>AVERAGE('22.07 Ndeeba-Nyanama'!M26,'23.07 Ndeeba-Nyanama'!M26,'24.07 Ndeeba-Nyanama'!M26,'25.07 Ndeeba-Nyanama'!M26,'26.07 Ndeeba-Nyanama-24h'!M26,'27.07 Ndeeba-Nyanama-24h'!M26,'28.07 Ndeeba-Nyanama'!M26)</f>
        <v>95.142857142857139</v>
      </c>
      <c r="N26" s="49">
        <f>AVERAGE('22.07 Ndeeba-Nyanama'!N26,'23.07 Ndeeba-Nyanama'!N26,'24.07 Ndeeba-Nyanama'!N26,'25.07 Ndeeba-Nyanama'!N26,'26.07 Ndeeba-Nyanama-24h'!N26,'27.07 Ndeeba-Nyanama-24h'!N26,'28.07 Ndeeba-Nyanama'!N26)</f>
        <v>0.14285714285714285</v>
      </c>
      <c r="O26" s="15">
        <f t="shared" si="0"/>
        <v>65.428571428571431</v>
      </c>
      <c r="P26" s="15">
        <f t="shared" si="1"/>
        <v>160.57142857142858</v>
      </c>
      <c r="R26" s="1" t="s">
        <v>150</v>
      </c>
      <c r="S26" s="34">
        <f>SUM(C74:C77)</f>
        <v>143.5</v>
      </c>
      <c r="T26" s="34">
        <f t="shared" ref="T26:AF26" si="18">SUM(D74:D77)</f>
        <v>16</v>
      </c>
      <c r="U26" s="34">
        <f t="shared" si="18"/>
        <v>6</v>
      </c>
      <c r="V26" s="34">
        <f t="shared" si="18"/>
        <v>13.5</v>
      </c>
      <c r="W26" s="34">
        <f t="shared" si="18"/>
        <v>0.5</v>
      </c>
      <c r="X26" s="34">
        <f t="shared" si="18"/>
        <v>0.5</v>
      </c>
      <c r="Y26" s="34">
        <f t="shared" si="18"/>
        <v>6</v>
      </c>
      <c r="Z26" s="34">
        <f t="shared" si="18"/>
        <v>5</v>
      </c>
      <c r="AA26" s="34">
        <f t="shared" si="18"/>
        <v>3</v>
      </c>
      <c r="AB26" s="34">
        <f t="shared" si="18"/>
        <v>0</v>
      </c>
      <c r="AC26" s="34">
        <f t="shared" si="18"/>
        <v>210.5</v>
      </c>
      <c r="AD26" s="34">
        <f t="shared" si="18"/>
        <v>0</v>
      </c>
      <c r="AE26" s="31">
        <f t="shared" si="18"/>
        <v>194</v>
      </c>
      <c r="AF26" s="31">
        <f t="shared" si="18"/>
        <v>404.5</v>
      </c>
    </row>
    <row r="27" spans="2:32" ht="23.1" customHeight="1" x14ac:dyDescent="0.25">
      <c r="B27" s="23" t="s">
        <v>54</v>
      </c>
      <c r="C27" s="49">
        <f>AVERAGE('22.07 Ndeeba-Nyanama'!C27,'23.07 Ndeeba-Nyanama'!C27,'24.07 Ndeeba-Nyanama'!C27,'25.07 Ndeeba-Nyanama'!C27,'26.07 Ndeeba-Nyanama-24h'!C27,'27.07 Ndeeba-Nyanama-24h'!C27,'28.07 Ndeeba-Nyanama'!C27)</f>
        <v>42.142857142857146</v>
      </c>
      <c r="D27" s="49">
        <f>AVERAGE('22.07 Ndeeba-Nyanama'!D27,'23.07 Ndeeba-Nyanama'!D27,'24.07 Ndeeba-Nyanama'!D27,'25.07 Ndeeba-Nyanama'!D27,'26.07 Ndeeba-Nyanama-24h'!D27,'27.07 Ndeeba-Nyanama-24h'!D27,'28.07 Ndeeba-Nyanama'!D27)</f>
        <v>1</v>
      </c>
      <c r="E27" s="49">
        <f>AVERAGE('22.07 Ndeeba-Nyanama'!E27,'23.07 Ndeeba-Nyanama'!E27,'24.07 Ndeeba-Nyanama'!E27,'25.07 Ndeeba-Nyanama'!E27,'26.07 Ndeeba-Nyanama-24h'!E27,'27.07 Ndeeba-Nyanama-24h'!E27,'28.07 Ndeeba-Nyanama'!E27)</f>
        <v>1.7142857142857142</v>
      </c>
      <c r="F27" s="49">
        <f>AVERAGE('22.07 Ndeeba-Nyanama'!F27,'23.07 Ndeeba-Nyanama'!F27,'24.07 Ndeeba-Nyanama'!F27,'25.07 Ndeeba-Nyanama'!F27,'26.07 Ndeeba-Nyanama-24h'!F27,'27.07 Ndeeba-Nyanama-24h'!F27,'28.07 Ndeeba-Nyanama'!F27)</f>
        <v>7</v>
      </c>
      <c r="G27" s="49">
        <f>AVERAGE('22.07 Ndeeba-Nyanama'!G27,'23.07 Ndeeba-Nyanama'!G27,'24.07 Ndeeba-Nyanama'!G27,'25.07 Ndeeba-Nyanama'!G27,'26.07 Ndeeba-Nyanama-24h'!G27,'27.07 Ndeeba-Nyanama-24h'!G27,'28.07 Ndeeba-Nyanama'!G27)</f>
        <v>0.2857142857142857</v>
      </c>
      <c r="H27" s="49">
        <f>AVERAGE('22.07 Ndeeba-Nyanama'!H27,'23.07 Ndeeba-Nyanama'!H27,'24.07 Ndeeba-Nyanama'!H27,'25.07 Ndeeba-Nyanama'!H27,'26.07 Ndeeba-Nyanama-24h'!H27,'27.07 Ndeeba-Nyanama-24h'!H27,'28.07 Ndeeba-Nyanama'!H27)</f>
        <v>0.14285714285714285</v>
      </c>
      <c r="I27" s="49">
        <f>AVERAGE('22.07 Ndeeba-Nyanama'!I27,'23.07 Ndeeba-Nyanama'!I27,'24.07 Ndeeba-Nyanama'!I27,'25.07 Ndeeba-Nyanama'!I27,'26.07 Ndeeba-Nyanama-24h'!I27,'27.07 Ndeeba-Nyanama-24h'!I27,'28.07 Ndeeba-Nyanama'!I27)</f>
        <v>3.4285714285714284</v>
      </c>
      <c r="J27" s="49">
        <f>AVERAGE('22.07 Ndeeba-Nyanama'!J27,'23.07 Ndeeba-Nyanama'!J27,'24.07 Ndeeba-Nyanama'!J27,'25.07 Ndeeba-Nyanama'!J27,'26.07 Ndeeba-Nyanama-24h'!J27,'27.07 Ndeeba-Nyanama-24h'!J27,'28.07 Ndeeba-Nyanama'!J27)</f>
        <v>1.8571428571428572</v>
      </c>
      <c r="K27" s="49">
        <f>AVERAGE('22.07 Ndeeba-Nyanama'!K27,'23.07 Ndeeba-Nyanama'!K27,'24.07 Ndeeba-Nyanama'!K27,'25.07 Ndeeba-Nyanama'!K27,'26.07 Ndeeba-Nyanama-24h'!K27,'27.07 Ndeeba-Nyanama-24h'!K27,'28.07 Ndeeba-Nyanama'!K27)</f>
        <v>0.14285714285714285</v>
      </c>
      <c r="L27" s="49">
        <f>AVERAGE('22.07 Ndeeba-Nyanama'!L27,'23.07 Ndeeba-Nyanama'!L27,'24.07 Ndeeba-Nyanama'!L27,'25.07 Ndeeba-Nyanama'!L27,'26.07 Ndeeba-Nyanama-24h'!L27,'27.07 Ndeeba-Nyanama-24h'!L27,'28.07 Ndeeba-Nyanama'!L27)</f>
        <v>0.14285714285714285</v>
      </c>
      <c r="M27" s="49">
        <f>AVERAGE('22.07 Ndeeba-Nyanama'!M27,'23.07 Ndeeba-Nyanama'!M27,'24.07 Ndeeba-Nyanama'!M27,'25.07 Ndeeba-Nyanama'!M27,'26.07 Ndeeba-Nyanama-24h'!M27,'27.07 Ndeeba-Nyanama-24h'!M27,'28.07 Ndeeba-Nyanama'!M27)</f>
        <v>81.428571428571431</v>
      </c>
      <c r="N27" s="49">
        <f>AVERAGE('22.07 Ndeeba-Nyanama'!N27,'23.07 Ndeeba-Nyanama'!N27,'24.07 Ndeeba-Nyanama'!N27,'25.07 Ndeeba-Nyanama'!N27,'26.07 Ndeeba-Nyanama-24h'!N27,'27.07 Ndeeba-Nyanama-24h'!N27,'28.07 Ndeeba-Nyanama'!N27)</f>
        <v>0</v>
      </c>
      <c r="O27" s="15">
        <f t="shared" si="0"/>
        <v>57.857142857142868</v>
      </c>
      <c r="P27" s="15">
        <f t="shared" si="1"/>
        <v>139.28571428571431</v>
      </c>
      <c r="R27" s="1" t="s">
        <v>151</v>
      </c>
      <c r="S27" s="34">
        <f>SUM(C78:C81)</f>
        <v>58</v>
      </c>
      <c r="T27" s="34">
        <f t="shared" ref="T27:AF27" si="19">SUM(D78:D81)</f>
        <v>6</v>
      </c>
      <c r="U27" s="34">
        <f t="shared" si="19"/>
        <v>3</v>
      </c>
      <c r="V27" s="34">
        <f t="shared" si="19"/>
        <v>18</v>
      </c>
      <c r="W27" s="34">
        <f t="shared" si="19"/>
        <v>0</v>
      </c>
      <c r="X27" s="34">
        <f t="shared" si="19"/>
        <v>0</v>
      </c>
      <c r="Y27" s="34">
        <f t="shared" si="19"/>
        <v>3.5</v>
      </c>
      <c r="Z27" s="34">
        <f t="shared" si="19"/>
        <v>2.5</v>
      </c>
      <c r="AA27" s="34">
        <f t="shared" si="19"/>
        <v>1</v>
      </c>
      <c r="AB27" s="34">
        <f t="shared" si="19"/>
        <v>0</v>
      </c>
      <c r="AC27" s="34">
        <f t="shared" si="19"/>
        <v>104.5</v>
      </c>
      <c r="AD27" s="34">
        <f t="shared" si="19"/>
        <v>0</v>
      </c>
      <c r="AE27" s="31">
        <f t="shared" si="19"/>
        <v>92</v>
      </c>
      <c r="AF27" s="31">
        <f t="shared" si="19"/>
        <v>196.5</v>
      </c>
    </row>
    <row r="28" spans="2:32" ht="23.1" customHeight="1" x14ac:dyDescent="0.25">
      <c r="B28" s="23" t="s">
        <v>55</v>
      </c>
      <c r="C28" s="49">
        <f>AVERAGE('22.07 Ndeeba-Nyanama'!C28,'23.07 Ndeeba-Nyanama'!C28,'24.07 Ndeeba-Nyanama'!C28,'25.07 Ndeeba-Nyanama'!C28,'26.07 Ndeeba-Nyanama-24h'!C28,'27.07 Ndeeba-Nyanama-24h'!C28,'28.07 Ndeeba-Nyanama'!C28)</f>
        <v>51.714285714285715</v>
      </c>
      <c r="D28" s="49">
        <f>AVERAGE('22.07 Ndeeba-Nyanama'!D28,'23.07 Ndeeba-Nyanama'!D28,'24.07 Ndeeba-Nyanama'!D28,'25.07 Ndeeba-Nyanama'!D28,'26.07 Ndeeba-Nyanama-24h'!D28,'27.07 Ndeeba-Nyanama-24h'!D28,'28.07 Ndeeba-Nyanama'!D28)</f>
        <v>1.4285714285714286</v>
      </c>
      <c r="E28" s="49">
        <f>AVERAGE('22.07 Ndeeba-Nyanama'!E28,'23.07 Ndeeba-Nyanama'!E28,'24.07 Ndeeba-Nyanama'!E28,'25.07 Ndeeba-Nyanama'!E28,'26.07 Ndeeba-Nyanama-24h'!E28,'27.07 Ndeeba-Nyanama-24h'!E28,'28.07 Ndeeba-Nyanama'!E28)</f>
        <v>3.1428571428571428</v>
      </c>
      <c r="F28" s="49">
        <f>AVERAGE('22.07 Ndeeba-Nyanama'!F28,'23.07 Ndeeba-Nyanama'!F28,'24.07 Ndeeba-Nyanama'!F28,'25.07 Ndeeba-Nyanama'!F28,'26.07 Ndeeba-Nyanama-24h'!F28,'27.07 Ndeeba-Nyanama-24h'!F28,'28.07 Ndeeba-Nyanama'!F28)</f>
        <v>12.428571428571429</v>
      </c>
      <c r="G28" s="49">
        <f>AVERAGE('22.07 Ndeeba-Nyanama'!G28,'23.07 Ndeeba-Nyanama'!G28,'24.07 Ndeeba-Nyanama'!G28,'25.07 Ndeeba-Nyanama'!G28,'26.07 Ndeeba-Nyanama-24h'!G28,'27.07 Ndeeba-Nyanama-24h'!G28,'28.07 Ndeeba-Nyanama'!G28)</f>
        <v>0.42857142857142855</v>
      </c>
      <c r="H28" s="49">
        <f>AVERAGE('22.07 Ndeeba-Nyanama'!H28,'23.07 Ndeeba-Nyanama'!H28,'24.07 Ndeeba-Nyanama'!H28,'25.07 Ndeeba-Nyanama'!H28,'26.07 Ndeeba-Nyanama-24h'!H28,'27.07 Ndeeba-Nyanama-24h'!H28,'28.07 Ndeeba-Nyanama'!H28)</f>
        <v>0</v>
      </c>
      <c r="I28" s="49">
        <f>AVERAGE('22.07 Ndeeba-Nyanama'!I28,'23.07 Ndeeba-Nyanama'!I28,'24.07 Ndeeba-Nyanama'!I28,'25.07 Ndeeba-Nyanama'!I28,'26.07 Ndeeba-Nyanama-24h'!I28,'27.07 Ndeeba-Nyanama-24h'!I28,'28.07 Ndeeba-Nyanama'!I28)</f>
        <v>2.8571428571428572</v>
      </c>
      <c r="J28" s="49">
        <f>AVERAGE('22.07 Ndeeba-Nyanama'!J28,'23.07 Ndeeba-Nyanama'!J28,'24.07 Ndeeba-Nyanama'!J28,'25.07 Ndeeba-Nyanama'!J28,'26.07 Ndeeba-Nyanama-24h'!J28,'27.07 Ndeeba-Nyanama-24h'!J28,'28.07 Ndeeba-Nyanama'!J28)</f>
        <v>1.1428571428571428</v>
      </c>
      <c r="K28" s="49">
        <f>AVERAGE('22.07 Ndeeba-Nyanama'!K28,'23.07 Ndeeba-Nyanama'!K28,'24.07 Ndeeba-Nyanama'!K28,'25.07 Ndeeba-Nyanama'!K28,'26.07 Ndeeba-Nyanama-24h'!K28,'27.07 Ndeeba-Nyanama-24h'!K28,'28.07 Ndeeba-Nyanama'!K28)</f>
        <v>1</v>
      </c>
      <c r="L28" s="49">
        <f>AVERAGE('22.07 Ndeeba-Nyanama'!L28,'23.07 Ndeeba-Nyanama'!L28,'24.07 Ndeeba-Nyanama'!L28,'25.07 Ndeeba-Nyanama'!L28,'26.07 Ndeeba-Nyanama-24h'!L28,'27.07 Ndeeba-Nyanama-24h'!L28,'28.07 Ndeeba-Nyanama'!L28)</f>
        <v>0.7142857142857143</v>
      </c>
      <c r="M28" s="49">
        <f>AVERAGE('22.07 Ndeeba-Nyanama'!M28,'23.07 Ndeeba-Nyanama'!M28,'24.07 Ndeeba-Nyanama'!M28,'25.07 Ndeeba-Nyanama'!M28,'26.07 Ndeeba-Nyanama-24h'!M28,'27.07 Ndeeba-Nyanama-24h'!M28,'28.07 Ndeeba-Nyanama'!M28)</f>
        <v>78.714285714285708</v>
      </c>
      <c r="N28" s="49">
        <f>AVERAGE('22.07 Ndeeba-Nyanama'!N28,'23.07 Ndeeba-Nyanama'!N28,'24.07 Ndeeba-Nyanama'!N28,'25.07 Ndeeba-Nyanama'!N28,'26.07 Ndeeba-Nyanama-24h'!N28,'27.07 Ndeeba-Nyanama-24h'!N28,'28.07 Ndeeba-Nyanama'!N28)</f>
        <v>0</v>
      </c>
      <c r="O28" s="15">
        <f t="shared" si="0"/>
        <v>74.857142857142861</v>
      </c>
      <c r="P28" s="15">
        <f t="shared" si="1"/>
        <v>153.57142857142856</v>
      </c>
      <c r="R28" s="1" t="s">
        <v>152</v>
      </c>
      <c r="S28" s="34">
        <f>SUM(C82:C85)</f>
        <v>44</v>
      </c>
      <c r="T28" s="34">
        <f t="shared" ref="T28:AF28" si="20">SUM(D82:D85)</f>
        <v>2.5</v>
      </c>
      <c r="U28" s="34">
        <f t="shared" si="20"/>
        <v>1.5</v>
      </c>
      <c r="V28" s="34">
        <f t="shared" si="20"/>
        <v>6</v>
      </c>
      <c r="W28" s="34">
        <f t="shared" si="20"/>
        <v>0</v>
      </c>
      <c r="X28" s="34">
        <f t="shared" si="20"/>
        <v>0</v>
      </c>
      <c r="Y28" s="34">
        <f t="shared" si="20"/>
        <v>6</v>
      </c>
      <c r="Z28" s="34">
        <f t="shared" si="20"/>
        <v>4</v>
      </c>
      <c r="AA28" s="34">
        <f t="shared" si="20"/>
        <v>2.5</v>
      </c>
      <c r="AB28" s="34">
        <f t="shared" si="20"/>
        <v>0</v>
      </c>
      <c r="AC28" s="34">
        <f t="shared" si="20"/>
        <v>95</v>
      </c>
      <c r="AD28" s="34">
        <f t="shared" si="20"/>
        <v>0</v>
      </c>
      <c r="AE28" s="31">
        <f t="shared" si="20"/>
        <v>66.5</v>
      </c>
      <c r="AF28" s="31">
        <f t="shared" si="20"/>
        <v>161.5</v>
      </c>
    </row>
    <row r="29" spans="2:32" ht="23.1" customHeight="1" x14ac:dyDescent="0.25">
      <c r="B29" s="23" t="s">
        <v>56</v>
      </c>
      <c r="C29" s="49">
        <f>AVERAGE('22.07 Ndeeba-Nyanama'!C29,'23.07 Ndeeba-Nyanama'!C29,'24.07 Ndeeba-Nyanama'!C29,'25.07 Ndeeba-Nyanama'!C29,'26.07 Ndeeba-Nyanama-24h'!C29,'27.07 Ndeeba-Nyanama-24h'!C29,'28.07 Ndeeba-Nyanama'!C29)</f>
        <v>41.571428571428569</v>
      </c>
      <c r="D29" s="49">
        <f>AVERAGE('22.07 Ndeeba-Nyanama'!D29,'23.07 Ndeeba-Nyanama'!D29,'24.07 Ndeeba-Nyanama'!D29,'25.07 Ndeeba-Nyanama'!D29,'26.07 Ndeeba-Nyanama-24h'!D29,'27.07 Ndeeba-Nyanama-24h'!D29,'28.07 Ndeeba-Nyanama'!D29)</f>
        <v>2.7142857142857144</v>
      </c>
      <c r="E29" s="49">
        <f>AVERAGE('22.07 Ndeeba-Nyanama'!E29,'23.07 Ndeeba-Nyanama'!E29,'24.07 Ndeeba-Nyanama'!E29,'25.07 Ndeeba-Nyanama'!E29,'26.07 Ndeeba-Nyanama-24h'!E29,'27.07 Ndeeba-Nyanama-24h'!E29,'28.07 Ndeeba-Nyanama'!E29)</f>
        <v>3.2857142857142856</v>
      </c>
      <c r="F29" s="49">
        <f>AVERAGE('22.07 Ndeeba-Nyanama'!F29,'23.07 Ndeeba-Nyanama'!F29,'24.07 Ndeeba-Nyanama'!F29,'25.07 Ndeeba-Nyanama'!F29,'26.07 Ndeeba-Nyanama-24h'!F29,'27.07 Ndeeba-Nyanama-24h'!F29,'28.07 Ndeeba-Nyanama'!F29)</f>
        <v>4.5714285714285712</v>
      </c>
      <c r="G29" s="49">
        <f>AVERAGE('22.07 Ndeeba-Nyanama'!G29,'23.07 Ndeeba-Nyanama'!G29,'24.07 Ndeeba-Nyanama'!G29,'25.07 Ndeeba-Nyanama'!G29,'26.07 Ndeeba-Nyanama-24h'!G29,'27.07 Ndeeba-Nyanama-24h'!G29,'28.07 Ndeeba-Nyanama'!G29)</f>
        <v>0.14285714285714285</v>
      </c>
      <c r="H29" s="49">
        <f>AVERAGE('22.07 Ndeeba-Nyanama'!H29,'23.07 Ndeeba-Nyanama'!H29,'24.07 Ndeeba-Nyanama'!H29,'25.07 Ndeeba-Nyanama'!H29,'26.07 Ndeeba-Nyanama-24h'!H29,'27.07 Ndeeba-Nyanama-24h'!H29,'28.07 Ndeeba-Nyanama'!H29)</f>
        <v>0.14285714285714285</v>
      </c>
      <c r="I29" s="49">
        <f>AVERAGE('22.07 Ndeeba-Nyanama'!I29,'23.07 Ndeeba-Nyanama'!I29,'24.07 Ndeeba-Nyanama'!I29,'25.07 Ndeeba-Nyanama'!I29,'26.07 Ndeeba-Nyanama-24h'!I29,'27.07 Ndeeba-Nyanama-24h'!I29,'28.07 Ndeeba-Nyanama'!I29)</f>
        <v>2.5714285714285716</v>
      </c>
      <c r="J29" s="49">
        <f>AVERAGE('22.07 Ndeeba-Nyanama'!J29,'23.07 Ndeeba-Nyanama'!J29,'24.07 Ndeeba-Nyanama'!J29,'25.07 Ndeeba-Nyanama'!J29,'26.07 Ndeeba-Nyanama-24h'!J29,'27.07 Ndeeba-Nyanama-24h'!J29,'28.07 Ndeeba-Nyanama'!J29)</f>
        <v>0.42857142857142855</v>
      </c>
      <c r="K29" s="49">
        <f>AVERAGE('22.07 Ndeeba-Nyanama'!K29,'23.07 Ndeeba-Nyanama'!K29,'24.07 Ndeeba-Nyanama'!K29,'25.07 Ndeeba-Nyanama'!K29,'26.07 Ndeeba-Nyanama-24h'!K29,'27.07 Ndeeba-Nyanama-24h'!K29,'28.07 Ndeeba-Nyanama'!K29)</f>
        <v>0.8571428571428571</v>
      </c>
      <c r="L29" s="49">
        <f>AVERAGE('22.07 Ndeeba-Nyanama'!L29,'23.07 Ndeeba-Nyanama'!L29,'24.07 Ndeeba-Nyanama'!L29,'25.07 Ndeeba-Nyanama'!L29,'26.07 Ndeeba-Nyanama-24h'!L29,'27.07 Ndeeba-Nyanama-24h'!L29,'28.07 Ndeeba-Nyanama'!L29)</f>
        <v>0.2857142857142857</v>
      </c>
      <c r="M29" s="49">
        <f>AVERAGE('22.07 Ndeeba-Nyanama'!M29,'23.07 Ndeeba-Nyanama'!M29,'24.07 Ndeeba-Nyanama'!M29,'25.07 Ndeeba-Nyanama'!M29,'26.07 Ndeeba-Nyanama-24h'!M29,'27.07 Ndeeba-Nyanama-24h'!M29,'28.07 Ndeeba-Nyanama'!M29)</f>
        <v>78</v>
      </c>
      <c r="N29" s="49">
        <f>AVERAGE('22.07 Ndeeba-Nyanama'!N29,'23.07 Ndeeba-Nyanama'!N29,'24.07 Ndeeba-Nyanama'!N29,'25.07 Ndeeba-Nyanama'!N29,'26.07 Ndeeba-Nyanama-24h'!N29,'27.07 Ndeeba-Nyanama-24h'!N29,'28.07 Ndeeba-Nyanama'!N29)</f>
        <v>0</v>
      </c>
      <c r="O29" s="15">
        <f t="shared" si="0"/>
        <v>56.571428571428569</v>
      </c>
      <c r="P29" s="15">
        <f t="shared" si="1"/>
        <v>134.57142857142856</v>
      </c>
      <c r="R29" s="1" t="s">
        <v>153</v>
      </c>
      <c r="S29" s="34">
        <f>SUM(C86:C89)</f>
        <v>22.5</v>
      </c>
      <c r="T29" s="34">
        <f t="shared" ref="T29:AF29" si="21">SUM(D86:D89)</f>
        <v>0.5</v>
      </c>
      <c r="U29" s="34">
        <f t="shared" si="21"/>
        <v>0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2.5</v>
      </c>
      <c r="Z29" s="34">
        <f t="shared" si="21"/>
        <v>1</v>
      </c>
      <c r="AA29" s="34">
        <f t="shared" si="21"/>
        <v>1.5</v>
      </c>
      <c r="AB29" s="34">
        <f t="shared" si="21"/>
        <v>0</v>
      </c>
      <c r="AC29" s="34">
        <f t="shared" si="21"/>
        <v>61</v>
      </c>
      <c r="AD29" s="34">
        <f t="shared" si="21"/>
        <v>0</v>
      </c>
      <c r="AE29" s="31">
        <f t="shared" si="21"/>
        <v>29</v>
      </c>
      <c r="AF29" s="31">
        <f t="shared" si="21"/>
        <v>90</v>
      </c>
    </row>
    <row r="30" spans="2:32" ht="23.1" customHeight="1" x14ac:dyDescent="0.25">
      <c r="B30" s="23" t="s">
        <v>57</v>
      </c>
      <c r="C30" s="49">
        <f>AVERAGE('22.07 Ndeeba-Nyanama'!C30,'23.07 Ndeeba-Nyanama'!C30,'24.07 Ndeeba-Nyanama'!C30,'25.07 Ndeeba-Nyanama'!C30,'26.07 Ndeeba-Nyanama-24h'!C30,'27.07 Ndeeba-Nyanama-24h'!C30,'28.07 Ndeeba-Nyanama'!C30)</f>
        <v>43.428571428571431</v>
      </c>
      <c r="D30" s="49">
        <f>AVERAGE('22.07 Ndeeba-Nyanama'!D30,'23.07 Ndeeba-Nyanama'!D30,'24.07 Ndeeba-Nyanama'!D30,'25.07 Ndeeba-Nyanama'!D30,'26.07 Ndeeba-Nyanama-24h'!D30,'27.07 Ndeeba-Nyanama-24h'!D30,'28.07 Ndeeba-Nyanama'!D30)</f>
        <v>0.7142857142857143</v>
      </c>
      <c r="E30" s="49">
        <f>AVERAGE('22.07 Ndeeba-Nyanama'!E30,'23.07 Ndeeba-Nyanama'!E30,'24.07 Ndeeba-Nyanama'!E30,'25.07 Ndeeba-Nyanama'!E30,'26.07 Ndeeba-Nyanama-24h'!E30,'27.07 Ndeeba-Nyanama-24h'!E30,'28.07 Ndeeba-Nyanama'!E30)</f>
        <v>2.7142857142857144</v>
      </c>
      <c r="F30" s="49">
        <f>AVERAGE('22.07 Ndeeba-Nyanama'!F30,'23.07 Ndeeba-Nyanama'!F30,'24.07 Ndeeba-Nyanama'!F30,'25.07 Ndeeba-Nyanama'!F30,'26.07 Ndeeba-Nyanama-24h'!F30,'27.07 Ndeeba-Nyanama-24h'!F30,'28.07 Ndeeba-Nyanama'!F30)</f>
        <v>5.7142857142857144</v>
      </c>
      <c r="G30" s="49">
        <f>AVERAGE('22.07 Ndeeba-Nyanama'!G30,'23.07 Ndeeba-Nyanama'!G30,'24.07 Ndeeba-Nyanama'!G30,'25.07 Ndeeba-Nyanama'!G30,'26.07 Ndeeba-Nyanama-24h'!G30,'27.07 Ndeeba-Nyanama-24h'!G30,'28.07 Ndeeba-Nyanama'!G30)</f>
        <v>0.14285714285714285</v>
      </c>
      <c r="H30" s="49">
        <f>AVERAGE('22.07 Ndeeba-Nyanama'!H30,'23.07 Ndeeba-Nyanama'!H30,'24.07 Ndeeba-Nyanama'!H30,'25.07 Ndeeba-Nyanama'!H30,'26.07 Ndeeba-Nyanama-24h'!H30,'27.07 Ndeeba-Nyanama-24h'!H30,'28.07 Ndeeba-Nyanama'!H30)</f>
        <v>0</v>
      </c>
      <c r="I30" s="49">
        <f>AVERAGE('22.07 Ndeeba-Nyanama'!I30,'23.07 Ndeeba-Nyanama'!I30,'24.07 Ndeeba-Nyanama'!I30,'25.07 Ndeeba-Nyanama'!I30,'26.07 Ndeeba-Nyanama-24h'!I30,'27.07 Ndeeba-Nyanama-24h'!I30,'28.07 Ndeeba-Nyanama'!I30)</f>
        <v>2.7142857142857144</v>
      </c>
      <c r="J30" s="49">
        <f>AVERAGE('22.07 Ndeeba-Nyanama'!J30,'23.07 Ndeeba-Nyanama'!J30,'24.07 Ndeeba-Nyanama'!J30,'25.07 Ndeeba-Nyanama'!J30,'26.07 Ndeeba-Nyanama-24h'!J30,'27.07 Ndeeba-Nyanama-24h'!J30,'28.07 Ndeeba-Nyanama'!J30)</f>
        <v>1.4285714285714286</v>
      </c>
      <c r="K30" s="49">
        <f>AVERAGE('22.07 Ndeeba-Nyanama'!K30,'23.07 Ndeeba-Nyanama'!K30,'24.07 Ndeeba-Nyanama'!K30,'25.07 Ndeeba-Nyanama'!K30,'26.07 Ndeeba-Nyanama-24h'!K30,'27.07 Ndeeba-Nyanama-24h'!K30,'28.07 Ndeeba-Nyanama'!K30)</f>
        <v>0.2857142857142857</v>
      </c>
      <c r="L30" s="49">
        <f>AVERAGE('22.07 Ndeeba-Nyanama'!L30,'23.07 Ndeeba-Nyanama'!L30,'24.07 Ndeeba-Nyanama'!L30,'25.07 Ndeeba-Nyanama'!L30,'26.07 Ndeeba-Nyanama-24h'!L30,'27.07 Ndeeba-Nyanama-24h'!L30,'28.07 Ndeeba-Nyanama'!L30)</f>
        <v>0.14285714285714285</v>
      </c>
      <c r="M30" s="49">
        <f>AVERAGE('22.07 Ndeeba-Nyanama'!M30,'23.07 Ndeeba-Nyanama'!M30,'24.07 Ndeeba-Nyanama'!M30,'25.07 Ndeeba-Nyanama'!M30,'26.07 Ndeeba-Nyanama-24h'!M30,'27.07 Ndeeba-Nyanama-24h'!M30,'28.07 Ndeeba-Nyanama'!M30)</f>
        <v>93</v>
      </c>
      <c r="N30" s="49">
        <f>AVERAGE('22.07 Ndeeba-Nyanama'!N30,'23.07 Ndeeba-Nyanama'!N30,'24.07 Ndeeba-Nyanama'!N30,'25.07 Ndeeba-Nyanama'!N30,'26.07 Ndeeba-Nyanama-24h'!N30,'27.07 Ndeeba-Nyanama-24h'!N30,'28.07 Ndeeba-Nyanama'!N30)</f>
        <v>0</v>
      </c>
      <c r="O30" s="15">
        <f t="shared" si="0"/>
        <v>57.285714285714299</v>
      </c>
      <c r="P30" s="15">
        <f t="shared" si="1"/>
        <v>150.28571428571431</v>
      </c>
      <c r="R30" s="1" t="s">
        <v>154</v>
      </c>
      <c r="S30" s="34">
        <f>SUM(C90:C93)</f>
        <v>18</v>
      </c>
      <c r="T30" s="34">
        <f t="shared" ref="T30:AF30" si="22">SUM(D90:D93)</f>
        <v>1</v>
      </c>
      <c r="U30" s="34">
        <f t="shared" si="22"/>
        <v>0</v>
      </c>
      <c r="V30" s="34">
        <f t="shared" si="22"/>
        <v>0.5</v>
      </c>
      <c r="W30" s="34">
        <f t="shared" si="22"/>
        <v>0</v>
      </c>
      <c r="X30" s="34">
        <f t="shared" si="22"/>
        <v>0</v>
      </c>
      <c r="Y30" s="34">
        <f t="shared" si="22"/>
        <v>1.5</v>
      </c>
      <c r="Z30" s="34">
        <f t="shared" si="22"/>
        <v>0</v>
      </c>
      <c r="AA30" s="34">
        <f t="shared" si="22"/>
        <v>1</v>
      </c>
      <c r="AB30" s="34">
        <f t="shared" si="22"/>
        <v>0</v>
      </c>
      <c r="AC30" s="34">
        <f t="shared" si="22"/>
        <v>30</v>
      </c>
      <c r="AD30" s="34">
        <f t="shared" si="22"/>
        <v>0</v>
      </c>
      <c r="AE30" s="31">
        <f t="shared" si="22"/>
        <v>22</v>
      </c>
      <c r="AF30" s="31">
        <f t="shared" si="22"/>
        <v>52</v>
      </c>
    </row>
    <row r="31" spans="2:32" ht="23.1" customHeight="1" x14ac:dyDescent="0.25">
      <c r="B31" s="24" t="s">
        <v>58</v>
      </c>
      <c r="C31" s="49">
        <f>AVERAGE('22.07 Ndeeba-Nyanama'!C31,'23.07 Ndeeba-Nyanama'!C31,'24.07 Ndeeba-Nyanama'!C31,'25.07 Ndeeba-Nyanama'!C31,'26.07 Ndeeba-Nyanama-24h'!C31,'27.07 Ndeeba-Nyanama-24h'!C31,'28.07 Ndeeba-Nyanama'!C31)</f>
        <v>42.285714285714285</v>
      </c>
      <c r="D31" s="49">
        <f>AVERAGE('22.07 Ndeeba-Nyanama'!D31,'23.07 Ndeeba-Nyanama'!D31,'24.07 Ndeeba-Nyanama'!D31,'25.07 Ndeeba-Nyanama'!D31,'26.07 Ndeeba-Nyanama-24h'!D31,'27.07 Ndeeba-Nyanama-24h'!D31,'28.07 Ndeeba-Nyanama'!D31)</f>
        <v>1.8571428571428572</v>
      </c>
      <c r="E31" s="49">
        <f>AVERAGE('22.07 Ndeeba-Nyanama'!E31,'23.07 Ndeeba-Nyanama'!E31,'24.07 Ndeeba-Nyanama'!E31,'25.07 Ndeeba-Nyanama'!E31,'26.07 Ndeeba-Nyanama-24h'!E31,'27.07 Ndeeba-Nyanama-24h'!E31,'28.07 Ndeeba-Nyanama'!E31)</f>
        <v>2.4285714285714284</v>
      </c>
      <c r="F31" s="49">
        <f>AVERAGE('22.07 Ndeeba-Nyanama'!F31,'23.07 Ndeeba-Nyanama'!F31,'24.07 Ndeeba-Nyanama'!F31,'25.07 Ndeeba-Nyanama'!F31,'26.07 Ndeeba-Nyanama-24h'!F31,'27.07 Ndeeba-Nyanama-24h'!F31,'28.07 Ndeeba-Nyanama'!F31)</f>
        <v>8.5714285714285712</v>
      </c>
      <c r="G31" s="49">
        <f>AVERAGE('22.07 Ndeeba-Nyanama'!G31,'23.07 Ndeeba-Nyanama'!G31,'24.07 Ndeeba-Nyanama'!G31,'25.07 Ndeeba-Nyanama'!G31,'26.07 Ndeeba-Nyanama-24h'!G31,'27.07 Ndeeba-Nyanama-24h'!G31,'28.07 Ndeeba-Nyanama'!G31)</f>
        <v>0</v>
      </c>
      <c r="H31" s="49">
        <f>AVERAGE('22.07 Ndeeba-Nyanama'!H31,'23.07 Ndeeba-Nyanama'!H31,'24.07 Ndeeba-Nyanama'!H31,'25.07 Ndeeba-Nyanama'!H31,'26.07 Ndeeba-Nyanama-24h'!H31,'27.07 Ndeeba-Nyanama-24h'!H31,'28.07 Ndeeba-Nyanama'!H31)</f>
        <v>0</v>
      </c>
      <c r="I31" s="49">
        <f>AVERAGE('22.07 Ndeeba-Nyanama'!I31,'23.07 Ndeeba-Nyanama'!I31,'24.07 Ndeeba-Nyanama'!I31,'25.07 Ndeeba-Nyanama'!I31,'26.07 Ndeeba-Nyanama-24h'!I31,'27.07 Ndeeba-Nyanama-24h'!I31,'28.07 Ndeeba-Nyanama'!I31)</f>
        <v>3.5714285714285716</v>
      </c>
      <c r="J31" s="49">
        <f>AVERAGE('22.07 Ndeeba-Nyanama'!J31,'23.07 Ndeeba-Nyanama'!J31,'24.07 Ndeeba-Nyanama'!J31,'25.07 Ndeeba-Nyanama'!J31,'26.07 Ndeeba-Nyanama-24h'!J31,'27.07 Ndeeba-Nyanama-24h'!J31,'28.07 Ndeeba-Nyanama'!J31)</f>
        <v>0.8571428571428571</v>
      </c>
      <c r="K31" s="49">
        <f>AVERAGE('22.07 Ndeeba-Nyanama'!K31,'23.07 Ndeeba-Nyanama'!K31,'24.07 Ndeeba-Nyanama'!K31,'25.07 Ndeeba-Nyanama'!K31,'26.07 Ndeeba-Nyanama-24h'!K31,'27.07 Ndeeba-Nyanama-24h'!K31,'28.07 Ndeeba-Nyanama'!K31)</f>
        <v>0.2857142857142857</v>
      </c>
      <c r="L31" s="49">
        <f>AVERAGE('22.07 Ndeeba-Nyanama'!L31,'23.07 Ndeeba-Nyanama'!L31,'24.07 Ndeeba-Nyanama'!L31,'25.07 Ndeeba-Nyanama'!L31,'26.07 Ndeeba-Nyanama-24h'!L31,'27.07 Ndeeba-Nyanama-24h'!L31,'28.07 Ndeeba-Nyanama'!L31)</f>
        <v>0.7142857142857143</v>
      </c>
      <c r="M31" s="49">
        <f>AVERAGE('22.07 Ndeeba-Nyanama'!M31,'23.07 Ndeeba-Nyanama'!M31,'24.07 Ndeeba-Nyanama'!M31,'25.07 Ndeeba-Nyanama'!M31,'26.07 Ndeeba-Nyanama-24h'!M31,'27.07 Ndeeba-Nyanama-24h'!M31,'28.07 Ndeeba-Nyanama'!M31)</f>
        <v>97</v>
      </c>
      <c r="N31" s="49">
        <f>AVERAGE('22.07 Ndeeba-Nyanama'!N31,'23.07 Ndeeba-Nyanama'!N31,'24.07 Ndeeba-Nyanama'!N31,'25.07 Ndeeba-Nyanama'!N31,'26.07 Ndeeba-Nyanama-24h'!N31,'27.07 Ndeeba-Nyanama-24h'!N31,'28.07 Ndeeba-Nyanama'!N31)</f>
        <v>0.14285714285714285</v>
      </c>
      <c r="O31" s="15">
        <f t="shared" si="0"/>
        <v>60.714285714285708</v>
      </c>
      <c r="P31" s="15">
        <f t="shared" si="1"/>
        <v>157.71428571428569</v>
      </c>
      <c r="R31" s="1" t="s">
        <v>155</v>
      </c>
      <c r="S31" s="34">
        <f>SUM(C94:C97)</f>
        <v>15</v>
      </c>
      <c r="T31" s="34">
        <f t="shared" ref="T31:AF31" si="23">SUM(D94:D97)</f>
        <v>0.5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1.5</v>
      </c>
      <c r="Z31" s="34">
        <f t="shared" si="23"/>
        <v>0.5</v>
      </c>
      <c r="AA31" s="34">
        <f t="shared" si="23"/>
        <v>0.5</v>
      </c>
      <c r="AB31" s="34">
        <f t="shared" si="23"/>
        <v>0</v>
      </c>
      <c r="AC31" s="34">
        <f t="shared" si="23"/>
        <v>21.5</v>
      </c>
      <c r="AD31" s="34">
        <f t="shared" si="23"/>
        <v>0</v>
      </c>
      <c r="AE31" s="31">
        <f t="shared" si="23"/>
        <v>18</v>
      </c>
      <c r="AF31" s="31">
        <f t="shared" si="23"/>
        <v>39.5</v>
      </c>
    </row>
    <row r="32" spans="2:32" ht="23.1" customHeight="1" x14ac:dyDescent="0.25">
      <c r="B32" s="24" t="s">
        <v>59</v>
      </c>
      <c r="C32" s="49">
        <f>AVERAGE('22.07 Ndeeba-Nyanama'!C32,'23.07 Ndeeba-Nyanama'!C32,'24.07 Ndeeba-Nyanama'!C32,'25.07 Ndeeba-Nyanama'!C32,'26.07 Ndeeba-Nyanama-24h'!C32,'27.07 Ndeeba-Nyanama-24h'!C32,'28.07 Ndeeba-Nyanama'!C32)</f>
        <v>53.714285714285715</v>
      </c>
      <c r="D32" s="49">
        <f>AVERAGE('22.07 Ndeeba-Nyanama'!D32,'23.07 Ndeeba-Nyanama'!D32,'24.07 Ndeeba-Nyanama'!D32,'25.07 Ndeeba-Nyanama'!D32,'26.07 Ndeeba-Nyanama-24h'!D32,'27.07 Ndeeba-Nyanama-24h'!D32,'28.07 Ndeeba-Nyanama'!D32)</f>
        <v>0.7142857142857143</v>
      </c>
      <c r="E32" s="49">
        <f>AVERAGE('22.07 Ndeeba-Nyanama'!E32,'23.07 Ndeeba-Nyanama'!E32,'24.07 Ndeeba-Nyanama'!E32,'25.07 Ndeeba-Nyanama'!E32,'26.07 Ndeeba-Nyanama-24h'!E32,'27.07 Ndeeba-Nyanama-24h'!E32,'28.07 Ndeeba-Nyanama'!E32)</f>
        <v>1.2857142857142858</v>
      </c>
      <c r="F32" s="49">
        <f>AVERAGE('22.07 Ndeeba-Nyanama'!F32,'23.07 Ndeeba-Nyanama'!F32,'24.07 Ndeeba-Nyanama'!F32,'25.07 Ndeeba-Nyanama'!F32,'26.07 Ndeeba-Nyanama-24h'!F32,'27.07 Ndeeba-Nyanama-24h'!F32,'28.07 Ndeeba-Nyanama'!F32)</f>
        <v>7</v>
      </c>
      <c r="G32" s="49">
        <f>AVERAGE('22.07 Ndeeba-Nyanama'!G32,'23.07 Ndeeba-Nyanama'!G32,'24.07 Ndeeba-Nyanama'!G32,'25.07 Ndeeba-Nyanama'!G32,'26.07 Ndeeba-Nyanama-24h'!G32,'27.07 Ndeeba-Nyanama-24h'!G32,'28.07 Ndeeba-Nyanama'!G32)</f>
        <v>0.5714285714285714</v>
      </c>
      <c r="H32" s="49">
        <f>AVERAGE('22.07 Ndeeba-Nyanama'!H32,'23.07 Ndeeba-Nyanama'!H32,'24.07 Ndeeba-Nyanama'!H32,'25.07 Ndeeba-Nyanama'!H32,'26.07 Ndeeba-Nyanama-24h'!H32,'27.07 Ndeeba-Nyanama-24h'!H32,'28.07 Ndeeba-Nyanama'!H32)</f>
        <v>0</v>
      </c>
      <c r="I32" s="49">
        <f>AVERAGE('22.07 Ndeeba-Nyanama'!I32,'23.07 Ndeeba-Nyanama'!I32,'24.07 Ndeeba-Nyanama'!I32,'25.07 Ndeeba-Nyanama'!I32,'26.07 Ndeeba-Nyanama-24h'!I32,'27.07 Ndeeba-Nyanama-24h'!I32,'28.07 Ndeeba-Nyanama'!I32)</f>
        <v>1.7142857142857142</v>
      </c>
      <c r="J32" s="49">
        <f>AVERAGE('22.07 Ndeeba-Nyanama'!J32,'23.07 Ndeeba-Nyanama'!J32,'24.07 Ndeeba-Nyanama'!J32,'25.07 Ndeeba-Nyanama'!J32,'26.07 Ndeeba-Nyanama-24h'!J32,'27.07 Ndeeba-Nyanama-24h'!J32,'28.07 Ndeeba-Nyanama'!J32)</f>
        <v>0.7142857142857143</v>
      </c>
      <c r="K32" s="49">
        <f>AVERAGE('22.07 Ndeeba-Nyanama'!K32,'23.07 Ndeeba-Nyanama'!K32,'24.07 Ndeeba-Nyanama'!K32,'25.07 Ndeeba-Nyanama'!K32,'26.07 Ndeeba-Nyanama-24h'!K32,'27.07 Ndeeba-Nyanama-24h'!K32,'28.07 Ndeeba-Nyanama'!K32)</f>
        <v>0</v>
      </c>
      <c r="L32" s="49">
        <f>AVERAGE('22.07 Ndeeba-Nyanama'!L32,'23.07 Ndeeba-Nyanama'!L32,'24.07 Ndeeba-Nyanama'!L32,'25.07 Ndeeba-Nyanama'!L32,'26.07 Ndeeba-Nyanama-24h'!L32,'27.07 Ndeeba-Nyanama-24h'!L32,'28.07 Ndeeba-Nyanama'!L32)</f>
        <v>0.7142857142857143</v>
      </c>
      <c r="M32" s="49">
        <f>AVERAGE('22.07 Ndeeba-Nyanama'!M32,'23.07 Ndeeba-Nyanama'!M32,'24.07 Ndeeba-Nyanama'!M32,'25.07 Ndeeba-Nyanama'!M32,'26.07 Ndeeba-Nyanama-24h'!M32,'27.07 Ndeeba-Nyanama-24h'!M32,'28.07 Ndeeba-Nyanama'!M32)</f>
        <v>86.857142857142861</v>
      </c>
      <c r="N32" s="49">
        <f>AVERAGE('22.07 Ndeeba-Nyanama'!N32,'23.07 Ndeeba-Nyanama'!N32,'24.07 Ndeeba-Nyanama'!N32,'25.07 Ndeeba-Nyanama'!N32,'26.07 Ndeeba-Nyanama-24h'!N32,'27.07 Ndeeba-Nyanama-24h'!N32,'28.07 Ndeeba-Nyanama'!N32)</f>
        <v>0</v>
      </c>
      <c r="O32" s="15">
        <f t="shared" si="0"/>
        <v>66.428571428571416</v>
      </c>
      <c r="P32" s="15">
        <f t="shared" si="1"/>
        <v>153.28571428571428</v>
      </c>
      <c r="R32" s="1" t="s">
        <v>156</v>
      </c>
      <c r="S32" s="34">
        <f>SUM(C98:C101)</f>
        <v>20</v>
      </c>
      <c r="T32" s="34">
        <f t="shared" ref="T32:AF32" si="24">SUM(D98:D101)</f>
        <v>1</v>
      </c>
      <c r="U32" s="34">
        <f t="shared" si="24"/>
        <v>0</v>
      </c>
      <c r="V32" s="34">
        <f t="shared" si="24"/>
        <v>2</v>
      </c>
      <c r="W32" s="34">
        <f t="shared" si="24"/>
        <v>0.5</v>
      </c>
      <c r="X32" s="34">
        <f t="shared" si="24"/>
        <v>0</v>
      </c>
      <c r="Y32" s="34">
        <f t="shared" si="24"/>
        <v>5</v>
      </c>
      <c r="Z32" s="34">
        <f t="shared" si="24"/>
        <v>0.5</v>
      </c>
      <c r="AA32" s="34">
        <f t="shared" si="24"/>
        <v>2</v>
      </c>
      <c r="AB32" s="34">
        <f t="shared" si="24"/>
        <v>0</v>
      </c>
      <c r="AC32" s="34">
        <f t="shared" si="24"/>
        <v>63</v>
      </c>
      <c r="AD32" s="34">
        <f t="shared" si="24"/>
        <v>0</v>
      </c>
      <c r="AE32" s="31">
        <f t="shared" si="24"/>
        <v>31</v>
      </c>
      <c r="AF32" s="31">
        <f t="shared" si="24"/>
        <v>94</v>
      </c>
    </row>
    <row r="33" spans="2:32" ht="23.1" customHeight="1" x14ac:dyDescent="0.25">
      <c r="B33" s="23" t="s">
        <v>60</v>
      </c>
      <c r="C33" s="49">
        <f>AVERAGE('22.07 Ndeeba-Nyanama'!C33,'23.07 Ndeeba-Nyanama'!C33,'24.07 Ndeeba-Nyanama'!C33,'25.07 Ndeeba-Nyanama'!C33,'26.07 Ndeeba-Nyanama-24h'!C33,'27.07 Ndeeba-Nyanama-24h'!C33,'28.07 Ndeeba-Nyanama'!C33)</f>
        <v>47.142857142857146</v>
      </c>
      <c r="D33" s="49">
        <f>AVERAGE('22.07 Ndeeba-Nyanama'!D33,'23.07 Ndeeba-Nyanama'!D33,'24.07 Ndeeba-Nyanama'!D33,'25.07 Ndeeba-Nyanama'!D33,'26.07 Ndeeba-Nyanama-24h'!D33,'27.07 Ndeeba-Nyanama-24h'!D33,'28.07 Ndeeba-Nyanama'!D33)</f>
        <v>1.5714285714285714</v>
      </c>
      <c r="E33" s="49">
        <f>AVERAGE('22.07 Ndeeba-Nyanama'!E33,'23.07 Ndeeba-Nyanama'!E33,'24.07 Ndeeba-Nyanama'!E33,'25.07 Ndeeba-Nyanama'!E33,'26.07 Ndeeba-Nyanama-24h'!E33,'27.07 Ndeeba-Nyanama-24h'!E33,'28.07 Ndeeba-Nyanama'!E33)</f>
        <v>3.2857142857142856</v>
      </c>
      <c r="F33" s="49">
        <f>AVERAGE('22.07 Ndeeba-Nyanama'!F33,'23.07 Ndeeba-Nyanama'!F33,'24.07 Ndeeba-Nyanama'!F33,'25.07 Ndeeba-Nyanama'!F33,'26.07 Ndeeba-Nyanama-24h'!F33,'27.07 Ndeeba-Nyanama-24h'!F33,'28.07 Ndeeba-Nyanama'!F33)</f>
        <v>9.5714285714285712</v>
      </c>
      <c r="G33" s="49">
        <f>AVERAGE('22.07 Ndeeba-Nyanama'!G33,'23.07 Ndeeba-Nyanama'!G33,'24.07 Ndeeba-Nyanama'!G33,'25.07 Ndeeba-Nyanama'!G33,'26.07 Ndeeba-Nyanama-24h'!G33,'27.07 Ndeeba-Nyanama-24h'!G33,'28.07 Ndeeba-Nyanama'!G33)</f>
        <v>0.2857142857142857</v>
      </c>
      <c r="H33" s="49">
        <f>AVERAGE('22.07 Ndeeba-Nyanama'!H33,'23.07 Ndeeba-Nyanama'!H33,'24.07 Ndeeba-Nyanama'!H33,'25.07 Ndeeba-Nyanama'!H33,'26.07 Ndeeba-Nyanama-24h'!H33,'27.07 Ndeeba-Nyanama-24h'!H33,'28.07 Ndeeba-Nyanama'!H33)</f>
        <v>0</v>
      </c>
      <c r="I33" s="49">
        <f>AVERAGE('22.07 Ndeeba-Nyanama'!I33,'23.07 Ndeeba-Nyanama'!I33,'24.07 Ndeeba-Nyanama'!I33,'25.07 Ndeeba-Nyanama'!I33,'26.07 Ndeeba-Nyanama-24h'!I33,'27.07 Ndeeba-Nyanama-24h'!I33,'28.07 Ndeeba-Nyanama'!I33)</f>
        <v>2.1428571428571428</v>
      </c>
      <c r="J33" s="49">
        <f>AVERAGE('22.07 Ndeeba-Nyanama'!J33,'23.07 Ndeeba-Nyanama'!J33,'24.07 Ndeeba-Nyanama'!J33,'25.07 Ndeeba-Nyanama'!J33,'26.07 Ndeeba-Nyanama-24h'!J33,'27.07 Ndeeba-Nyanama-24h'!J33,'28.07 Ndeeba-Nyanama'!J33)</f>
        <v>0.8571428571428571</v>
      </c>
      <c r="K33" s="49">
        <f>AVERAGE('22.07 Ndeeba-Nyanama'!K33,'23.07 Ndeeba-Nyanama'!K33,'24.07 Ndeeba-Nyanama'!K33,'25.07 Ndeeba-Nyanama'!K33,'26.07 Ndeeba-Nyanama-24h'!K33,'27.07 Ndeeba-Nyanama-24h'!K33,'28.07 Ndeeba-Nyanama'!K33)</f>
        <v>1</v>
      </c>
      <c r="L33" s="49">
        <f>AVERAGE('22.07 Ndeeba-Nyanama'!L33,'23.07 Ndeeba-Nyanama'!L33,'24.07 Ndeeba-Nyanama'!L33,'25.07 Ndeeba-Nyanama'!L33,'26.07 Ndeeba-Nyanama-24h'!L33,'27.07 Ndeeba-Nyanama-24h'!L33,'28.07 Ndeeba-Nyanama'!L33)</f>
        <v>1</v>
      </c>
      <c r="M33" s="49">
        <f>AVERAGE('22.07 Ndeeba-Nyanama'!M33,'23.07 Ndeeba-Nyanama'!M33,'24.07 Ndeeba-Nyanama'!M33,'25.07 Ndeeba-Nyanama'!M33,'26.07 Ndeeba-Nyanama-24h'!M33,'27.07 Ndeeba-Nyanama-24h'!M33,'28.07 Ndeeba-Nyanama'!M33)</f>
        <v>80.428571428571431</v>
      </c>
      <c r="N33" s="49">
        <f>AVERAGE('22.07 Ndeeba-Nyanama'!N33,'23.07 Ndeeba-Nyanama'!N33,'24.07 Ndeeba-Nyanama'!N33,'25.07 Ndeeba-Nyanama'!N33,'26.07 Ndeeba-Nyanama-24h'!N33,'27.07 Ndeeba-Nyanama-24h'!N33,'28.07 Ndeeba-Nyanama'!N33)</f>
        <v>0</v>
      </c>
      <c r="O33" s="15">
        <f t="shared" si="0"/>
        <v>66.857142857142861</v>
      </c>
      <c r="P33" s="15">
        <f t="shared" si="1"/>
        <v>147.28571428571428</v>
      </c>
      <c r="R33" s="1" t="s">
        <v>157</v>
      </c>
      <c r="S33" s="34">
        <f>SUM(C102:C105)</f>
        <v>24.5</v>
      </c>
      <c r="T33" s="34">
        <f t="shared" ref="T33:AF33" si="25">SUM(D102:D105)</f>
        <v>0.5</v>
      </c>
      <c r="U33" s="34">
        <f t="shared" si="25"/>
        <v>2</v>
      </c>
      <c r="V33" s="34">
        <f t="shared" si="25"/>
        <v>7</v>
      </c>
      <c r="W33" s="34">
        <f t="shared" si="25"/>
        <v>0</v>
      </c>
      <c r="X33" s="34">
        <f t="shared" si="25"/>
        <v>0</v>
      </c>
      <c r="Y33" s="34">
        <f t="shared" si="25"/>
        <v>2.5</v>
      </c>
      <c r="Z33" s="34">
        <f t="shared" si="25"/>
        <v>0</v>
      </c>
      <c r="AA33" s="34">
        <f t="shared" si="25"/>
        <v>3</v>
      </c>
      <c r="AB33" s="34">
        <f t="shared" si="25"/>
        <v>0</v>
      </c>
      <c r="AC33" s="34">
        <f t="shared" si="25"/>
        <v>97</v>
      </c>
      <c r="AD33" s="34">
        <f t="shared" si="25"/>
        <v>0</v>
      </c>
      <c r="AE33" s="31">
        <f t="shared" si="25"/>
        <v>39.5</v>
      </c>
      <c r="AF33" s="31">
        <f t="shared" si="25"/>
        <v>136.5</v>
      </c>
    </row>
    <row r="34" spans="2:32" ht="23.1" customHeight="1" x14ac:dyDescent="0.25">
      <c r="B34" s="24" t="s">
        <v>61</v>
      </c>
      <c r="C34" s="49">
        <f>AVERAGE('22.07 Ndeeba-Nyanama'!C34,'23.07 Ndeeba-Nyanama'!C34,'24.07 Ndeeba-Nyanama'!C34,'25.07 Ndeeba-Nyanama'!C34,'26.07 Ndeeba-Nyanama-24h'!C34,'27.07 Ndeeba-Nyanama-24h'!C34,'28.07 Ndeeba-Nyanama'!C34)</f>
        <v>52.285714285714285</v>
      </c>
      <c r="D34" s="49">
        <f>AVERAGE('22.07 Ndeeba-Nyanama'!D34,'23.07 Ndeeba-Nyanama'!D34,'24.07 Ndeeba-Nyanama'!D34,'25.07 Ndeeba-Nyanama'!D34,'26.07 Ndeeba-Nyanama-24h'!D34,'27.07 Ndeeba-Nyanama-24h'!D34,'28.07 Ndeeba-Nyanama'!D34)</f>
        <v>0.5714285714285714</v>
      </c>
      <c r="E34" s="49">
        <f>AVERAGE('22.07 Ndeeba-Nyanama'!E34,'23.07 Ndeeba-Nyanama'!E34,'24.07 Ndeeba-Nyanama'!E34,'25.07 Ndeeba-Nyanama'!E34,'26.07 Ndeeba-Nyanama-24h'!E34,'27.07 Ndeeba-Nyanama-24h'!E34,'28.07 Ndeeba-Nyanama'!E34)</f>
        <v>2.8571428571428572</v>
      </c>
      <c r="F34" s="49">
        <f>AVERAGE('22.07 Ndeeba-Nyanama'!F34,'23.07 Ndeeba-Nyanama'!F34,'24.07 Ndeeba-Nyanama'!F34,'25.07 Ndeeba-Nyanama'!F34,'26.07 Ndeeba-Nyanama-24h'!F34,'27.07 Ndeeba-Nyanama-24h'!F34,'28.07 Ndeeba-Nyanama'!F34)</f>
        <v>7.7142857142857144</v>
      </c>
      <c r="G34" s="49">
        <f>AVERAGE('22.07 Ndeeba-Nyanama'!G34,'23.07 Ndeeba-Nyanama'!G34,'24.07 Ndeeba-Nyanama'!G34,'25.07 Ndeeba-Nyanama'!G34,'26.07 Ndeeba-Nyanama-24h'!G34,'27.07 Ndeeba-Nyanama-24h'!G34,'28.07 Ndeeba-Nyanama'!G34)</f>
        <v>0.14285714285714285</v>
      </c>
      <c r="H34" s="49">
        <f>AVERAGE('22.07 Ndeeba-Nyanama'!H34,'23.07 Ndeeba-Nyanama'!H34,'24.07 Ndeeba-Nyanama'!H34,'25.07 Ndeeba-Nyanama'!H34,'26.07 Ndeeba-Nyanama-24h'!H34,'27.07 Ndeeba-Nyanama-24h'!H34,'28.07 Ndeeba-Nyanama'!H34)</f>
        <v>0</v>
      </c>
      <c r="I34" s="49">
        <f>AVERAGE('22.07 Ndeeba-Nyanama'!I34,'23.07 Ndeeba-Nyanama'!I34,'24.07 Ndeeba-Nyanama'!I34,'25.07 Ndeeba-Nyanama'!I34,'26.07 Ndeeba-Nyanama-24h'!I34,'27.07 Ndeeba-Nyanama-24h'!I34,'28.07 Ndeeba-Nyanama'!I34)</f>
        <v>2</v>
      </c>
      <c r="J34" s="49">
        <f>AVERAGE('22.07 Ndeeba-Nyanama'!J34,'23.07 Ndeeba-Nyanama'!J34,'24.07 Ndeeba-Nyanama'!J34,'25.07 Ndeeba-Nyanama'!J34,'26.07 Ndeeba-Nyanama-24h'!J34,'27.07 Ndeeba-Nyanama-24h'!J34,'28.07 Ndeeba-Nyanama'!J34)</f>
        <v>1.4285714285714286</v>
      </c>
      <c r="K34" s="49">
        <f>AVERAGE('22.07 Ndeeba-Nyanama'!K34,'23.07 Ndeeba-Nyanama'!K34,'24.07 Ndeeba-Nyanama'!K34,'25.07 Ndeeba-Nyanama'!K34,'26.07 Ndeeba-Nyanama-24h'!K34,'27.07 Ndeeba-Nyanama-24h'!K34,'28.07 Ndeeba-Nyanama'!K34)</f>
        <v>0.42857142857142855</v>
      </c>
      <c r="L34" s="49">
        <f>AVERAGE('22.07 Ndeeba-Nyanama'!L34,'23.07 Ndeeba-Nyanama'!L34,'24.07 Ndeeba-Nyanama'!L34,'25.07 Ndeeba-Nyanama'!L34,'26.07 Ndeeba-Nyanama-24h'!L34,'27.07 Ndeeba-Nyanama-24h'!L34,'28.07 Ndeeba-Nyanama'!L34)</f>
        <v>0.14285714285714285</v>
      </c>
      <c r="M34" s="49">
        <f>AVERAGE('22.07 Ndeeba-Nyanama'!M34,'23.07 Ndeeba-Nyanama'!M34,'24.07 Ndeeba-Nyanama'!M34,'25.07 Ndeeba-Nyanama'!M34,'26.07 Ndeeba-Nyanama-24h'!M34,'27.07 Ndeeba-Nyanama-24h'!M34,'28.07 Ndeeba-Nyanama'!M34)</f>
        <v>84.285714285714292</v>
      </c>
      <c r="N34" s="49">
        <f>AVERAGE('22.07 Ndeeba-Nyanama'!N34,'23.07 Ndeeba-Nyanama'!N34,'24.07 Ndeeba-Nyanama'!N34,'25.07 Ndeeba-Nyanama'!N34,'26.07 Ndeeba-Nyanama-24h'!N34,'27.07 Ndeeba-Nyanama-24h'!N34,'28.07 Ndeeba-Nyanama'!N34)</f>
        <v>0</v>
      </c>
      <c r="O34" s="15">
        <f t="shared" si="0"/>
        <v>67.571428571428569</v>
      </c>
      <c r="P34" s="15">
        <f t="shared" si="1"/>
        <v>151.85714285714286</v>
      </c>
      <c r="R34" s="38" t="s">
        <v>90</v>
      </c>
      <c r="S34" s="39">
        <f t="shared" ref="S34:AF34" si="26">MAX(S10:S12)</f>
        <v>166.28571428571431</v>
      </c>
      <c r="T34" s="39">
        <f t="shared" si="26"/>
        <v>6.4285714285714279</v>
      </c>
      <c r="U34" s="39">
        <f t="shared" si="26"/>
        <v>21.857142857142858</v>
      </c>
      <c r="V34" s="39">
        <f t="shared" si="26"/>
        <v>92.714285714285708</v>
      </c>
      <c r="W34" s="39">
        <f t="shared" si="26"/>
        <v>1.2857142857142856</v>
      </c>
      <c r="X34" s="39">
        <f t="shared" si="26"/>
        <v>0.2857142857142857</v>
      </c>
      <c r="Y34" s="39">
        <f t="shared" si="26"/>
        <v>8.2857142857142865</v>
      </c>
      <c r="Z34" s="39">
        <f t="shared" si="26"/>
        <v>4</v>
      </c>
      <c r="AA34" s="39">
        <f t="shared" si="26"/>
        <v>1</v>
      </c>
      <c r="AB34" s="39">
        <f t="shared" si="26"/>
        <v>1.2857142857142856</v>
      </c>
      <c r="AC34" s="39">
        <f t="shared" si="26"/>
        <v>411.42857142857144</v>
      </c>
      <c r="AD34" s="39">
        <f t="shared" si="26"/>
        <v>0</v>
      </c>
      <c r="AE34" s="40">
        <f t="shared" si="26"/>
        <v>293.85714285714289</v>
      </c>
      <c r="AF34" s="40">
        <f t="shared" si="26"/>
        <v>676.71428571428567</v>
      </c>
    </row>
    <row r="35" spans="2:32" ht="23.1" customHeight="1" x14ac:dyDescent="0.25">
      <c r="B35" s="24" t="s">
        <v>62</v>
      </c>
      <c r="C35" s="49">
        <f>AVERAGE('22.07 Ndeeba-Nyanama'!C35,'23.07 Ndeeba-Nyanama'!C35,'24.07 Ndeeba-Nyanama'!C35,'25.07 Ndeeba-Nyanama'!C35,'26.07 Ndeeba-Nyanama-24h'!C35,'27.07 Ndeeba-Nyanama-24h'!C35,'28.07 Ndeeba-Nyanama'!C35)</f>
        <v>48.142857142857146</v>
      </c>
      <c r="D35" s="49">
        <f>AVERAGE('22.07 Ndeeba-Nyanama'!D35,'23.07 Ndeeba-Nyanama'!D35,'24.07 Ndeeba-Nyanama'!D35,'25.07 Ndeeba-Nyanama'!D35,'26.07 Ndeeba-Nyanama-24h'!D35,'27.07 Ndeeba-Nyanama-24h'!D35,'28.07 Ndeeba-Nyanama'!D35)</f>
        <v>1.5714285714285714</v>
      </c>
      <c r="E35" s="49">
        <f>AVERAGE('22.07 Ndeeba-Nyanama'!E35,'23.07 Ndeeba-Nyanama'!E35,'24.07 Ndeeba-Nyanama'!E35,'25.07 Ndeeba-Nyanama'!E35,'26.07 Ndeeba-Nyanama-24h'!E35,'27.07 Ndeeba-Nyanama-24h'!E35,'28.07 Ndeeba-Nyanama'!E35)</f>
        <v>3.2857142857142856</v>
      </c>
      <c r="F35" s="49">
        <f>AVERAGE('22.07 Ndeeba-Nyanama'!F35,'23.07 Ndeeba-Nyanama'!F35,'24.07 Ndeeba-Nyanama'!F35,'25.07 Ndeeba-Nyanama'!F35,'26.07 Ndeeba-Nyanama-24h'!F35,'27.07 Ndeeba-Nyanama-24h'!F35,'28.07 Ndeeba-Nyanama'!F35)</f>
        <v>6.7142857142857144</v>
      </c>
      <c r="G35" s="49">
        <f>AVERAGE('22.07 Ndeeba-Nyanama'!G35,'23.07 Ndeeba-Nyanama'!G35,'24.07 Ndeeba-Nyanama'!G35,'25.07 Ndeeba-Nyanama'!G35,'26.07 Ndeeba-Nyanama-24h'!G35,'27.07 Ndeeba-Nyanama-24h'!G35,'28.07 Ndeeba-Nyanama'!G35)</f>
        <v>0</v>
      </c>
      <c r="H35" s="49">
        <f>AVERAGE('22.07 Ndeeba-Nyanama'!H35,'23.07 Ndeeba-Nyanama'!H35,'24.07 Ndeeba-Nyanama'!H35,'25.07 Ndeeba-Nyanama'!H35,'26.07 Ndeeba-Nyanama-24h'!H35,'27.07 Ndeeba-Nyanama-24h'!H35,'28.07 Ndeeba-Nyanama'!H35)</f>
        <v>0</v>
      </c>
      <c r="I35" s="49">
        <f>AVERAGE('22.07 Ndeeba-Nyanama'!I35,'23.07 Ndeeba-Nyanama'!I35,'24.07 Ndeeba-Nyanama'!I35,'25.07 Ndeeba-Nyanama'!I35,'26.07 Ndeeba-Nyanama-24h'!I35,'27.07 Ndeeba-Nyanama-24h'!I35,'28.07 Ndeeba-Nyanama'!I35)</f>
        <v>2</v>
      </c>
      <c r="J35" s="49">
        <f>AVERAGE('22.07 Ndeeba-Nyanama'!J35,'23.07 Ndeeba-Nyanama'!J35,'24.07 Ndeeba-Nyanama'!J35,'25.07 Ndeeba-Nyanama'!J35,'26.07 Ndeeba-Nyanama-24h'!J35,'27.07 Ndeeba-Nyanama-24h'!J35,'28.07 Ndeeba-Nyanama'!J35)</f>
        <v>2.1428571428571428</v>
      </c>
      <c r="K35" s="49">
        <f>AVERAGE('22.07 Ndeeba-Nyanama'!K35,'23.07 Ndeeba-Nyanama'!K35,'24.07 Ndeeba-Nyanama'!K35,'25.07 Ndeeba-Nyanama'!K35,'26.07 Ndeeba-Nyanama-24h'!K35,'27.07 Ndeeba-Nyanama-24h'!K35,'28.07 Ndeeba-Nyanama'!K35)</f>
        <v>0.2857142857142857</v>
      </c>
      <c r="L35" s="49">
        <f>AVERAGE('22.07 Ndeeba-Nyanama'!L35,'23.07 Ndeeba-Nyanama'!L35,'24.07 Ndeeba-Nyanama'!L35,'25.07 Ndeeba-Nyanama'!L35,'26.07 Ndeeba-Nyanama-24h'!L35,'27.07 Ndeeba-Nyanama-24h'!L35,'28.07 Ndeeba-Nyanama'!L35)</f>
        <v>1</v>
      </c>
      <c r="M35" s="49">
        <f>AVERAGE('22.07 Ndeeba-Nyanama'!M35,'23.07 Ndeeba-Nyanama'!M35,'24.07 Ndeeba-Nyanama'!M35,'25.07 Ndeeba-Nyanama'!M35,'26.07 Ndeeba-Nyanama-24h'!M35,'27.07 Ndeeba-Nyanama-24h'!M35,'28.07 Ndeeba-Nyanama'!M35)</f>
        <v>93.857142857142861</v>
      </c>
      <c r="N35" s="49">
        <f>AVERAGE('22.07 Ndeeba-Nyanama'!N35,'23.07 Ndeeba-Nyanama'!N35,'24.07 Ndeeba-Nyanama'!N35,'25.07 Ndeeba-Nyanama'!N35,'26.07 Ndeeba-Nyanama-24h'!N35,'27.07 Ndeeba-Nyanama-24h'!N35,'28.07 Ndeeba-Nyanama'!N35)</f>
        <v>0</v>
      </c>
      <c r="O35" s="15">
        <f t="shared" si="0"/>
        <v>65.142857142857153</v>
      </c>
      <c r="P35" s="15">
        <f t="shared" si="1"/>
        <v>159</v>
      </c>
      <c r="R35" s="38" t="s">
        <v>91</v>
      </c>
      <c r="S35" s="39">
        <f t="shared" ref="S35:AF35" si="27">MAX(S13:S18)</f>
        <v>207.57142857142856</v>
      </c>
      <c r="T35" s="39">
        <f t="shared" si="27"/>
        <v>6.1428571428571432</v>
      </c>
      <c r="U35" s="39">
        <f t="shared" si="27"/>
        <v>15.571428571428571</v>
      </c>
      <c r="V35" s="39">
        <f t="shared" si="27"/>
        <v>67.571428571428569</v>
      </c>
      <c r="W35" s="39">
        <f t="shared" si="27"/>
        <v>1.4285714285714284</v>
      </c>
      <c r="X35" s="39">
        <f t="shared" si="27"/>
        <v>0.2857142857142857</v>
      </c>
      <c r="Y35" s="39">
        <f t="shared" si="27"/>
        <v>13.142857142857142</v>
      </c>
      <c r="Z35" s="39">
        <f t="shared" si="27"/>
        <v>4.8571428571428568</v>
      </c>
      <c r="AA35" s="39">
        <f t="shared" si="27"/>
        <v>2.2857142857142856</v>
      </c>
      <c r="AB35" s="39">
        <f t="shared" si="27"/>
        <v>2.5714285714285716</v>
      </c>
      <c r="AC35" s="39">
        <f t="shared" si="27"/>
        <v>371.42857142857144</v>
      </c>
      <c r="AD35" s="39">
        <f t="shared" si="27"/>
        <v>0.14285714285714285</v>
      </c>
      <c r="AE35" s="40">
        <f t="shared" si="27"/>
        <v>291.14285714285711</v>
      </c>
      <c r="AF35" s="40">
        <f t="shared" si="27"/>
        <v>640.57142857142867</v>
      </c>
    </row>
    <row r="36" spans="2:32" ht="23.1" customHeight="1" x14ac:dyDescent="0.25">
      <c r="B36" s="24" t="s">
        <v>63</v>
      </c>
      <c r="C36" s="49">
        <f>AVERAGE('22.07 Ndeeba-Nyanama'!C36,'23.07 Ndeeba-Nyanama'!C36,'24.07 Ndeeba-Nyanama'!C36,'25.07 Ndeeba-Nyanama'!C36,'26.07 Ndeeba-Nyanama-24h'!C36,'27.07 Ndeeba-Nyanama-24h'!C36,'28.07 Ndeeba-Nyanama'!C36)</f>
        <v>51.285714285714285</v>
      </c>
      <c r="D36" s="49">
        <f>AVERAGE('22.07 Ndeeba-Nyanama'!D36,'23.07 Ndeeba-Nyanama'!D36,'24.07 Ndeeba-Nyanama'!D36,'25.07 Ndeeba-Nyanama'!D36,'26.07 Ndeeba-Nyanama-24h'!D36,'27.07 Ndeeba-Nyanama-24h'!D36,'28.07 Ndeeba-Nyanama'!D36)</f>
        <v>1.5714285714285714</v>
      </c>
      <c r="E36" s="49">
        <f>AVERAGE('22.07 Ndeeba-Nyanama'!E36,'23.07 Ndeeba-Nyanama'!E36,'24.07 Ndeeba-Nyanama'!E36,'25.07 Ndeeba-Nyanama'!E36,'26.07 Ndeeba-Nyanama-24h'!E36,'27.07 Ndeeba-Nyanama-24h'!E36,'28.07 Ndeeba-Nyanama'!E36)</f>
        <v>1.8571428571428572</v>
      </c>
      <c r="F36" s="49">
        <f>AVERAGE('22.07 Ndeeba-Nyanama'!F36,'23.07 Ndeeba-Nyanama'!F36,'24.07 Ndeeba-Nyanama'!F36,'25.07 Ndeeba-Nyanama'!F36,'26.07 Ndeeba-Nyanama-24h'!F36,'27.07 Ndeeba-Nyanama-24h'!F36,'28.07 Ndeeba-Nyanama'!F36)</f>
        <v>6.4285714285714288</v>
      </c>
      <c r="G36" s="49">
        <f>AVERAGE('22.07 Ndeeba-Nyanama'!G36,'23.07 Ndeeba-Nyanama'!G36,'24.07 Ndeeba-Nyanama'!G36,'25.07 Ndeeba-Nyanama'!G36,'26.07 Ndeeba-Nyanama-24h'!G36,'27.07 Ndeeba-Nyanama-24h'!G36,'28.07 Ndeeba-Nyanama'!G36)</f>
        <v>0.14285714285714285</v>
      </c>
      <c r="H36" s="49">
        <f>AVERAGE('22.07 Ndeeba-Nyanama'!H36,'23.07 Ndeeba-Nyanama'!H36,'24.07 Ndeeba-Nyanama'!H36,'25.07 Ndeeba-Nyanama'!H36,'26.07 Ndeeba-Nyanama-24h'!H36,'27.07 Ndeeba-Nyanama-24h'!H36,'28.07 Ndeeba-Nyanama'!H36)</f>
        <v>0</v>
      </c>
      <c r="I36" s="49">
        <f>AVERAGE('22.07 Ndeeba-Nyanama'!I36,'23.07 Ndeeba-Nyanama'!I36,'24.07 Ndeeba-Nyanama'!I36,'25.07 Ndeeba-Nyanama'!I36,'26.07 Ndeeba-Nyanama-24h'!I36,'27.07 Ndeeba-Nyanama-24h'!I36,'28.07 Ndeeba-Nyanama'!I36)</f>
        <v>1.5714285714285714</v>
      </c>
      <c r="J36" s="49">
        <f>AVERAGE('22.07 Ndeeba-Nyanama'!J36,'23.07 Ndeeba-Nyanama'!J36,'24.07 Ndeeba-Nyanama'!J36,'25.07 Ndeeba-Nyanama'!J36,'26.07 Ndeeba-Nyanama-24h'!J36,'27.07 Ndeeba-Nyanama-24h'!J36,'28.07 Ndeeba-Nyanama'!J36)</f>
        <v>0.5714285714285714</v>
      </c>
      <c r="K36" s="49">
        <f>AVERAGE('22.07 Ndeeba-Nyanama'!K36,'23.07 Ndeeba-Nyanama'!K36,'24.07 Ndeeba-Nyanama'!K36,'25.07 Ndeeba-Nyanama'!K36,'26.07 Ndeeba-Nyanama-24h'!K36,'27.07 Ndeeba-Nyanama-24h'!K36,'28.07 Ndeeba-Nyanama'!K36)</f>
        <v>0.14285714285714285</v>
      </c>
      <c r="L36" s="49">
        <f>AVERAGE('22.07 Ndeeba-Nyanama'!L36,'23.07 Ndeeba-Nyanama'!L36,'24.07 Ndeeba-Nyanama'!L36,'25.07 Ndeeba-Nyanama'!L36,'26.07 Ndeeba-Nyanama-24h'!L36,'27.07 Ndeeba-Nyanama-24h'!L36,'28.07 Ndeeba-Nyanama'!L36)</f>
        <v>0.14285714285714285</v>
      </c>
      <c r="M36" s="49">
        <f>AVERAGE('22.07 Ndeeba-Nyanama'!M36,'23.07 Ndeeba-Nyanama'!M36,'24.07 Ndeeba-Nyanama'!M36,'25.07 Ndeeba-Nyanama'!M36,'26.07 Ndeeba-Nyanama-24h'!M36,'27.07 Ndeeba-Nyanama-24h'!M36,'28.07 Ndeeba-Nyanama'!M36)</f>
        <v>88.714285714285708</v>
      </c>
      <c r="N36" s="49">
        <f>AVERAGE('22.07 Ndeeba-Nyanama'!N36,'23.07 Ndeeba-Nyanama'!N36,'24.07 Ndeeba-Nyanama'!N36,'25.07 Ndeeba-Nyanama'!N36,'26.07 Ndeeba-Nyanama-24h'!N36,'27.07 Ndeeba-Nyanama-24h'!N36,'28.07 Ndeeba-Nyanama'!N36)</f>
        <v>0</v>
      </c>
      <c r="O36" s="15">
        <f t="shared" si="0"/>
        <v>63.714285714285715</v>
      </c>
      <c r="P36" s="15">
        <f t="shared" si="1"/>
        <v>152.42857142857142</v>
      </c>
      <c r="R36" s="38" t="s">
        <v>92</v>
      </c>
      <c r="S36" s="39">
        <f t="shared" ref="S36:AF36" si="28">MAX(S19:S21)</f>
        <v>300</v>
      </c>
      <c r="T36" s="39">
        <f t="shared" si="28"/>
        <v>13</v>
      </c>
      <c r="U36" s="39">
        <f t="shared" si="28"/>
        <v>13.142857142857142</v>
      </c>
      <c r="V36" s="39">
        <f t="shared" si="28"/>
        <v>146.28571428571428</v>
      </c>
      <c r="W36" s="39">
        <f t="shared" si="28"/>
        <v>2.1428571428571428</v>
      </c>
      <c r="X36" s="39">
        <f t="shared" si="28"/>
        <v>0</v>
      </c>
      <c r="Y36" s="39">
        <f t="shared" si="28"/>
        <v>18.857142857142861</v>
      </c>
      <c r="Z36" s="39">
        <f t="shared" si="28"/>
        <v>3.8571428571428568</v>
      </c>
      <c r="AA36" s="39">
        <f t="shared" si="28"/>
        <v>1.5714285714285714</v>
      </c>
      <c r="AB36" s="39">
        <f t="shared" si="28"/>
        <v>1.9999999999999998</v>
      </c>
      <c r="AC36" s="39">
        <f t="shared" si="28"/>
        <v>401</v>
      </c>
      <c r="AD36" s="39">
        <f t="shared" si="28"/>
        <v>0</v>
      </c>
      <c r="AE36" s="40">
        <f t="shared" si="28"/>
        <v>496.57142857142861</v>
      </c>
      <c r="AF36" s="40">
        <f t="shared" si="28"/>
        <v>897.57142857142867</v>
      </c>
    </row>
    <row r="37" spans="2:32" ht="23.1" customHeight="1" x14ac:dyDescent="0.25">
      <c r="B37" s="23" t="s">
        <v>64</v>
      </c>
      <c r="C37" s="49">
        <f>AVERAGE('22.07 Ndeeba-Nyanama'!C37,'23.07 Ndeeba-Nyanama'!C37,'24.07 Ndeeba-Nyanama'!C37,'25.07 Ndeeba-Nyanama'!C37,'26.07 Ndeeba-Nyanama-24h'!C37,'27.07 Ndeeba-Nyanama-24h'!C37,'28.07 Ndeeba-Nyanama'!C37)</f>
        <v>53.142857142857146</v>
      </c>
      <c r="D37" s="49">
        <f>AVERAGE('22.07 Ndeeba-Nyanama'!D37,'23.07 Ndeeba-Nyanama'!D37,'24.07 Ndeeba-Nyanama'!D37,'25.07 Ndeeba-Nyanama'!D37,'26.07 Ndeeba-Nyanama-24h'!D37,'27.07 Ndeeba-Nyanama-24h'!D37,'28.07 Ndeeba-Nyanama'!D37)</f>
        <v>0.42857142857142855</v>
      </c>
      <c r="E37" s="49">
        <f>AVERAGE('22.07 Ndeeba-Nyanama'!E37,'23.07 Ndeeba-Nyanama'!E37,'24.07 Ndeeba-Nyanama'!E37,'25.07 Ndeeba-Nyanama'!E37,'26.07 Ndeeba-Nyanama-24h'!E37,'27.07 Ndeeba-Nyanama-24h'!E37,'28.07 Ndeeba-Nyanama'!E37)</f>
        <v>2.7142857142857144</v>
      </c>
      <c r="F37" s="49">
        <f>AVERAGE('22.07 Ndeeba-Nyanama'!F37,'23.07 Ndeeba-Nyanama'!F37,'24.07 Ndeeba-Nyanama'!F37,'25.07 Ndeeba-Nyanama'!F37,'26.07 Ndeeba-Nyanama-24h'!F37,'27.07 Ndeeba-Nyanama-24h'!F37,'28.07 Ndeeba-Nyanama'!F37)</f>
        <v>12.428571428571429</v>
      </c>
      <c r="G37" s="49">
        <f>AVERAGE('22.07 Ndeeba-Nyanama'!G37,'23.07 Ndeeba-Nyanama'!G37,'24.07 Ndeeba-Nyanama'!G37,'25.07 Ndeeba-Nyanama'!G37,'26.07 Ndeeba-Nyanama-24h'!G37,'27.07 Ndeeba-Nyanama-24h'!G37,'28.07 Ndeeba-Nyanama'!G37)</f>
        <v>0.42857142857142855</v>
      </c>
      <c r="H37" s="49">
        <f>AVERAGE('22.07 Ndeeba-Nyanama'!H37,'23.07 Ndeeba-Nyanama'!H37,'24.07 Ndeeba-Nyanama'!H37,'25.07 Ndeeba-Nyanama'!H37,'26.07 Ndeeba-Nyanama-24h'!H37,'27.07 Ndeeba-Nyanama-24h'!H37,'28.07 Ndeeba-Nyanama'!H37)</f>
        <v>0</v>
      </c>
      <c r="I37" s="49">
        <f>AVERAGE('22.07 Ndeeba-Nyanama'!I37,'23.07 Ndeeba-Nyanama'!I37,'24.07 Ndeeba-Nyanama'!I37,'25.07 Ndeeba-Nyanama'!I37,'26.07 Ndeeba-Nyanama-24h'!I37,'27.07 Ndeeba-Nyanama-24h'!I37,'28.07 Ndeeba-Nyanama'!I37)</f>
        <v>2.7142857142857144</v>
      </c>
      <c r="J37" s="49">
        <f>AVERAGE('22.07 Ndeeba-Nyanama'!J37,'23.07 Ndeeba-Nyanama'!J37,'24.07 Ndeeba-Nyanama'!J37,'25.07 Ndeeba-Nyanama'!J37,'26.07 Ndeeba-Nyanama-24h'!J37,'27.07 Ndeeba-Nyanama-24h'!J37,'28.07 Ndeeba-Nyanama'!J37)</f>
        <v>0.2857142857142857</v>
      </c>
      <c r="K37" s="49">
        <f>AVERAGE('22.07 Ndeeba-Nyanama'!K37,'23.07 Ndeeba-Nyanama'!K37,'24.07 Ndeeba-Nyanama'!K37,'25.07 Ndeeba-Nyanama'!K37,'26.07 Ndeeba-Nyanama-24h'!K37,'27.07 Ndeeba-Nyanama-24h'!K37,'28.07 Ndeeba-Nyanama'!K37)</f>
        <v>0.42857142857142855</v>
      </c>
      <c r="L37" s="49">
        <f>AVERAGE('22.07 Ndeeba-Nyanama'!L37,'23.07 Ndeeba-Nyanama'!L37,'24.07 Ndeeba-Nyanama'!L37,'25.07 Ndeeba-Nyanama'!L37,'26.07 Ndeeba-Nyanama-24h'!L37,'27.07 Ndeeba-Nyanama-24h'!L37,'28.07 Ndeeba-Nyanama'!L37)</f>
        <v>0.42857142857142855</v>
      </c>
      <c r="M37" s="49">
        <f>AVERAGE('22.07 Ndeeba-Nyanama'!M37,'23.07 Ndeeba-Nyanama'!M37,'24.07 Ndeeba-Nyanama'!M37,'25.07 Ndeeba-Nyanama'!M37,'26.07 Ndeeba-Nyanama-24h'!M37,'27.07 Ndeeba-Nyanama-24h'!M37,'28.07 Ndeeba-Nyanama'!M37)</f>
        <v>81.285714285714292</v>
      </c>
      <c r="N37" s="49">
        <f>AVERAGE('22.07 Ndeeba-Nyanama'!N37,'23.07 Ndeeba-Nyanama'!N37,'24.07 Ndeeba-Nyanama'!N37,'25.07 Ndeeba-Nyanama'!N37,'26.07 Ndeeba-Nyanama-24h'!N37,'27.07 Ndeeba-Nyanama-24h'!N37,'28.07 Ndeeba-Nyanama'!N37)</f>
        <v>0</v>
      </c>
      <c r="O37" s="15">
        <f t="shared" si="0"/>
        <v>73.000000000000014</v>
      </c>
      <c r="P37" s="15">
        <f t="shared" si="1"/>
        <v>154.28571428571431</v>
      </c>
      <c r="R37" s="37" t="s">
        <v>85</v>
      </c>
      <c r="S37" s="35">
        <f t="shared" ref="S37:AF37" si="29">SUM(S10:S12)</f>
        <v>445.00000000000006</v>
      </c>
      <c r="T37" s="16">
        <f t="shared" si="29"/>
        <v>13.142857142857142</v>
      </c>
      <c r="U37" s="16">
        <f t="shared" si="29"/>
        <v>39.142857142857146</v>
      </c>
      <c r="V37" s="16">
        <f t="shared" si="29"/>
        <v>216.28571428571428</v>
      </c>
      <c r="W37" s="16">
        <f t="shared" si="29"/>
        <v>3.2857142857142856</v>
      </c>
      <c r="X37" s="16">
        <f t="shared" si="29"/>
        <v>0.5714285714285714</v>
      </c>
      <c r="Y37" s="16">
        <f t="shared" si="29"/>
        <v>19.142857142857146</v>
      </c>
      <c r="Z37" s="16">
        <f t="shared" si="29"/>
        <v>6.5714285714285712</v>
      </c>
      <c r="AA37" s="16">
        <f t="shared" si="29"/>
        <v>2</v>
      </c>
      <c r="AB37" s="16">
        <f t="shared" si="29"/>
        <v>2.4285714285714284</v>
      </c>
      <c r="AC37" s="16">
        <f t="shared" si="29"/>
        <v>1147.1428571428571</v>
      </c>
      <c r="AD37" s="16">
        <f t="shared" si="29"/>
        <v>0</v>
      </c>
      <c r="AE37" s="32">
        <f t="shared" si="29"/>
        <v>747.57142857142867</v>
      </c>
      <c r="AF37" s="32">
        <f t="shared" si="29"/>
        <v>1894.7142857142856</v>
      </c>
    </row>
    <row r="38" spans="2:32" ht="23.1" customHeight="1" x14ac:dyDescent="0.25">
      <c r="B38" s="24" t="s">
        <v>65</v>
      </c>
      <c r="C38" s="49">
        <f>AVERAGE('22.07 Ndeeba-Nyanama'!C38,'23.07 Ndeeba-Nyanama'!C38,'24.07 Ndeeba-Nyanama'!C38,'25.07 Ndeeba-Nyanama'!C38,'26.07 Ndeeba-Nyanama-24h'!C38,'27.07 Ndeeba-Nyanama-24h'!C38,'28.07 Ndeeba-Nyanama'!C38)</f>
        <v>43</v>
      </c>
      <c r="D38" s="49">
        <f>AVERAGE('22.07 Ndeeba-Nyanama'!D38,'23.07 Ndeeba-Nyanama'!D38,'24.07 Ndeeba-Nyanama'!D38,'25.07 Ndeeba-Nyanama'!D38,'26.07 Ndeeba-Nyanama-24h'!D38,'27.07 Ndeeba-Nyanama-24h'!D38,'28.07 Ndeeba-Nyanama'!D38)</f>
        <v>0.8571428571428571</v>
      </c>
      <c r="E38" s="49">
        <f>AVERAGE('22.07 Ndeeba-Nyanama'!E38,'23.07 Ndeeba-Nyanama'!E38,'24.07 Ndeeba-Nyanama'!E38,'25.07 Ndeeba-Nyanama'!E38,'26.07 Ndeeba-Nyanama-24h'!E38,'27.07 Ndeeba-Nyanama-24h'!E38,'28.07 Ndeeba-Nyanama'!E38)</f>
        <v>2.2857142857142856</v>
      </c>
      <c r="F38" s="49">
        <f>AVERAGE('22.07 Ndeeba-Nyanama'!F38,'23.07 Ndeeba-Nyanama'!F38,'24.07 Ndeeba-Nyanama'!F38,'25.07 Ndeeba-Nyanama'!F38,'26.07 Ndeeba-Nyanama-24h'!F38,'27.07 Ndeeba-Nyanama-24h'!F38,'28.07 Ndeeba-Nyanama'!F38)</f>
        <v>5.5714285714285712</v>
      </c>
      <c r="G38" s="49">
        <f>AVERAGE('22.07 Ndeeba-Nyanama'!G38,'23.07 Ndeeba-Nyanama'!G38,'24.07 Ndeeba-Nyanama'!G38,'25.07 Ndeeba-Nyanama'!G38,'26.07 Ndeeba-Nyanama-24h'!G38,'27.07 Ndeeba-Nyanama-24h'!G38,'28.07 Ndeeba-Nyanama'!G38)</f>
        <v>0.14285714285714285</v>
      </c>
      <c r="H38" s="49">
        <f>AVERAGE('22.07 Ndeeba-Nyanama'!H38,'23.07 Ndeeba-Nyanama'!H38,'24.07 Ndeeba-Nyanama'!H38,'25.07 Ndeeba-Nyanama'!H38,'26.07 Ndeeba-Nyanama-24h'!H38,'27.07 Ndeeba-Nyanama-24h'!H38,'28.07 Ndeeba-Nyanama'!H38)</f>
        <v>0</v>
      </c>
      <c r="I38" s="49">
        <f>AVERAGE('22.07 Ndeeba-Nyanama'!I38,'23.07 Ndeeba-Nyanama'!I38,'24.07 Ndeeba-Nyanama'!I38,'25.07 Ndeeba-Nyanama'!I38,'26.07 Ndeeba-Nyanama-24h'!I38,'27.07 Ndeeba-Nyanama-24h'!I38,'28.07 Ndeeba-Nyanama'!I38)</f>
        <v>2.2857142857142856</v>
      </c>
      <c r="J38" s="49">
        <f>AVERAGE('22.07 Ndeeba-Nyanama'!J38,'23.07 Ndeeba-Nyanama'!J38,'24.07 Ndeeba-Nyanama'!J38,'25.07 Ndeeba-Nyanama'!J38,'26.07 Ndeeba-Nyanama-24h'!J38,'27.07 Ndeeba-Nyanama-24h'!J38,'28.07 Ndeeba-Nyanama'!J38)</f>
        <v>0.8571428571428571</v>
      </c>
      <c r="K38" s="49">
        <f>AVERAGE('22.07 Ndeeba-Nyanama'!K38,'23.07 Ndeeba-Nyanama'!K38,'24.07 Ndeeba-Nyanama'!K38,'25.07 Ndeeba-Nyanama'!K38,'26.07 Ndeeba-Nyanama-24h'!K38,'27.07 Ndeeba-Nyanama-24h'!K38,'28.07 Ndeeba-Nyanama'!K38)</f>
        <v>0.2857142857142857</v>
      </c>
      <c r="L38" s="49">
        <f>AVERAGE('22.07 Ndeeba-Nyanama'!L38,'23.07 Ndeeba-Nyanama'!L38,'24.07 Ndeeba-Nyanama'!L38,'25.07 Ndeeba-Nyanama'!L38,'26.07 Ndeeba-Nyanama-24h'!L38,'27.07 Ndeeba-Nyanama-24h'!L38,'28.07 Ndeeba-Nyanama'!L38)</f>
        <v>0.42857142857142855</v>
      </c>
      <c r="M38" s="49">
        <f>AVERAGE('22.07 Ndeeba-Nyanama'!M38,'23.07 Ndeeba-Nyanama'!M38,'24.07 Ndeeba-Nyanama'!M38,'25.07 Ndeeba-Nyanama'!M38,'26.07 Ndeeba-Nyanama-24h'!M38,'27.07 Ndeeba-Nyanama-24h'!M38,'28.07 Ndeeba-Nyanama'!M38)</f>
        <v>79.571428571428569</v>
      </c>
      <c r="N38" s="49">
        <f>AVERAGE('22.07 Ndeeba-Nyanama'!N38,'23.07 Ndeeba-Nyanama'!N38,'24.07 Ndeeba-Nyanama'!N38,'25.07 Ndeeba-Nyanama'!N38,'26.07 Ndeeba-Nyanama-24h'!N38,'27.07 Ndeeba-Nyanama-24h'!N38,'28.07 Ndeeba-Nyanama'!N38)</f>
        <v>0.14285714285714285</v>
      </c>
      <c r="O38" s="15">
        <f t="shared" si="0"/>
        <v>55.857142857142854</v>
      </c>
      <c r="P38" s="15">
        <f t="shared" si="1"/>
        <v>135.42857142857142</v>
      </c>
      <c r="R38" s="28" t="s">
        <v>86</v>
      </c>
      <c r="S38" s="16">
        <f t="shared" ref="S38:AF38" si="30">SUM(S13:S18)</f>
        <v>1128.1428571428573</v>
      </c>
      <c r="T38" s="16">
        <f t="shared" si="30"/>
        <v>27.714285714285715</v>
      </c>
      <c r="U38" s="16">
        <f t="shared" si="30"/>
        <v>64.857142857142861</v>
      </c>
      <c r="V38" s="16">
        <f t="shared" si="30"/>
        <v>245.85714285714289</v>
      </c>
      <c r="W38" s="16">
        <f t="shared" si="30"/>
        <v>5.5714285714285712</v>
      </c>
      <c r="X38" s="16">
        <f t="shared" si="30"/>
        <v>0.5714285714285714</v>
      </c>
      <c r="Y38" s="16">
        <f t="shared" si="30"/>
        <v>57.714285714285708</v>
      </c>
      <c r="Z38" s="16">
        <f t="shared" si="30"/>
        <v>22.428571428571427</v>
      </c>
      <c r="AA38" s="16">
        <f t="shared" si="30"/>
        <v>8.9999999999999982</v>
      </c>
      <c r="AB38" s="16">
        <f t="shared" si="30"/>
        <v>9.5714285714285712</v>
      </c>
      <c r="AC38" s="16">
        <f t="shared" si="30"/>
        <v>1975.5714285714284</v>
      </c>
      <c r="AD38" s="16">
        <f t="shared" si="30"/>
        <v>0.42857142857142855</v>
      </c>
      <c r="AE38" s="32">
        <f t="shared" si="30"/>
        <v>1571.8571428571427</v>
      </c>
      <c r="AF38" s="32">
        <f t="shared" si="30"/>
        <v>3547.428571428572</v>
      </c>
    </row>
    <row r="39" spans="2:32" ht="23.1" customHeight="1" x14ac:dyDescent="0.25">
      <c r="B39" s="24" t="s">
        <v>66</v>
      </c>
      <c r="C39" s="49">
        <f>AVERAGE('22.07 Ndeeba-Nyanama'!C39,'23.07 Ndeeba-Nyanama'!C39,'24.07 Ndeeba-Nyanama'!C39,'25.07 Ndeeba-Nyanama'!C39,'26.07 Ndeeba-Nyanama-24h'!C39,'27.07 Ndeeba-Nyanama-24h'!C39,'28.07 Ndeeba-Nyanama'!C39)</f>
        <v>48.714285714285715</v>
      </c>
      <c r="D39" s="49">
        <f>AVERAGE('22.07 Ndeeba-Nyanama'!D39,'23.07 Ndeeba-Nyanama'!D39,'24.07 Ndeeba-Nyanama'!D39,'25.07 Ndeeba-Nyanama'!D39,'26.07 Ndeeba-Nyanama-24h'!D39,'27.07 Ndeeba-Nyanama-24h'!D39,'28.07 Ndeeba-Nyanama'!D39)</f>
        <v>1</v>
      </c>
      <c r="E39" s="49">
        <f>AVERAGE('22.07 Ndeeba-Nyanama'!E39,'23.07 Ndeeba-Nyanama'!E39,'24.07 Ndeeba-Nyanama'!E39,'25.07 Ndeeba-Nyanama'!E39,'26.07 Ndeeba-Nyanama-24h'!E39,'27.07 Ndeeba-Nyanama-24h'!E39,'28.07 Ndeeba-Nyanama'!E39)</f>
        <v>3</v>
      </c>
      <c r="F39" s="49">
        <f>AVERAGE('22.07 Ndeeba-Nyanama'!F39,'23.07 Ndeeba-Nyanama'!F39,'24.07 Ndeeba-Nyanama'!F39,'25.07 Ndeeba-Nyanama'!F39,'26.07 Ndeeba-Nyanama-24h'!F39,'27.07 Ndeeba-Nyanama-24h'!F39,'28.07 Ndeeba-Nyanama'!F39)</f>
        <v>7.4285714285714288</v>
      </c>
      <c r="G39" s="49">
        <f>AVERAGE('22.07 Ndeeba-Nyanama'!G39,'23.07 Ndeeba-Nyanama'!G39,'24.07 Ndeeba-Nyanama'!G39,'25.07 Ndeeba-Nyanama'!G39,'26.07 Ndeeba-Nyanama-24h'!G39,'27.07 Ndeeba-Nyanama-24h'!G39,'28.07 Ndeeba-Nyanama'!G39)</f>
        <v>0</v>
      </c>
      <c r="H39" s="49">
        <f>AVERAGE('22.07 Ndeeba-Nyanama'!H39,'23.07 Ndeeba-Nyanama'!H39,'24.07 Ndeeba-Nyanama'!H39,'25.07 Ndeeba-Nyanama'!H39,'26.07 Ndeeba-Nyanama-24h'!H39,'27.07 Ndeeba-Nyanama-24h'!H39,'28.07 Ndeeba-Nyanama'!H39)</f>
        <v>0</v>
      </c>
      <c r="I39" s="49">
        <f>AVERAGE('22.07 Ndeeba-Nyanama'!I39,'23.07 Ndeeba-Nyanama'!I39,'24.07 Ndeeba-Nyanama'!I39,'25.07 Ndeeba-Nyanama'!I39,'26.07 Ndeeba-Nyanama-24h'!I39,'27.07 Ndeeba-Nyanama-24h'!I39,'28.07 Ndeeba-Nyanama'!I39)</f>
        <v>1.2857142857142858</v>
      </c>
      <c r="J39" s="49">
        <f>AVERAGE('22.07 Ndeeba-Nyanama'!J39,'23.07 Ndeeba-Nyanama'!J39,'24.07 Ndeeba-Nyanama'!J39,'25.07 Ndeeba-Nyanama'!J39,'26.07 Ndeeba-Nyanama-24h'!J39,'27.07 Ndeeba-Nyanama-24h'!J39,'28.07 Ndeeba-Nyanama'!J39)</f>
        <v>0.2857142857142857</v>
      </c>
      <c r="K39" s="49">
        <f>AVERAGE('22.07 Ndeeba-Nyanama'!K39,'23.07 Ndeeba-Nyanama'!K39,'24.07 Ndeeba-Nyanama'!K39,'25.07 Ndeeba-Nyanama'!K39,'26.07 Ndeeba-Nyanama-24h'!K39,'27.07 Ndeeba-Nyanama-24h'!K39,'28.07 Ndeeba-Nyanama'!K39)</f>
        <v>0.8571428571428571</v>
      </c>
      <c r="L39" s="49">
        <f>AVERAGE('22.07 Ndeeba-Nyanama'!L39,'23.07 Ndeeba-Nyanama'!L39,'24.07 Ndeeba-Nyanama'!L39,'25.07 Ndeeba-Nyanama'!L39,'26.07 Ndeeba-Nyanama-24h'!L39,'27.07 Ndeeba-Nyanama-24h'!L39,'28.07 Ndeeba-Nyanama'!L39)</f>
        <v>0.14285714285714285</v>
      </c>
      <c r="M39" s="49">
        <f>AVERAGE('22.07 Ndeeba-Nyanama'!M39,'23.07 Ndeeba-Nyanama'!M39,'24.07 Ndeeba-Nyanama'!M39,'25.07 Ndeeba-Nyanama'!M39,'26.07 Ndeeba-Nyanama-24h'!M39,'27.07 Ndeeba-Nyanama-24h'!M39,'28.07 Ndeeba-Nyanama'!M39)</f>
        <v>71</v>
      </c>
      <c r="N39" s="49">
        <f>AVERAGE('22.07 Ndeeba-Nyanama'!N39,'23.07 Ndeeba-Nyanama'!N39,'24.07 Ndeeba-Nyanama'!N39,'25.07 Ndeeba-Nyanama'!N39,'26.07 Ndeeba-Nyanama-24h'!N39,'27.07 Ndeeba-Nyanama-24h'!N39,'28.07 Ndeeba-Nyanama'!N39)</f>
        <v>0</v>
      </c>
      <c r="O39" s="15">
        <f t="shared" si="0"/>
        <v>62.714285714285715</v>
      </c>
      <c r="P39" s="15">
        <f t="shared" si="1"/>
        <v>133.71428571428572</v>
      </c>
      <c r="R39" s="29" t="s">
        <v>87</v>
      </c>
      <c r="S39" s="16">
        <f t="shared" ref="S39:AF39" si="31">SUM(S19:S21)</f>
        <v>836.85714285714289</v>
      </c>
      <c r="T39" s="16">
        <f t="shared" si="31"/>
        <v>31.142857142857146</v>
      </c>
      <c r="U39" s="16">
        <f t="shared" si="31"/>
        <v>36.857142857142854</v>
      </c>
      <c r="V39" s="16">
        <f t="shared" si="31"/>
        <v>326.14285714285711</v>
      </c>
      <c r="W39" s="16">
        <f t="shared" si="31"/>
        <v>3.8571428571428572</v>
      </c>
      <c r="X39" s="16">
        <f t="shared" si="31"/>
        <v>0</v>
      </c>
      <c r="Y39" s="16">
        <f t="shared" si="31"/>
        <v>46</v>
      </c>
      <c r="Z39" s="16">
        <f t="shared" si="31"/>
        <v>9.8571428571428577</v>
      </c>
      <c r="AA39" s="16">
        <f t="shared" si="31"/>
        <v>3.5714285714285712</v>
      </c>
      <c r="AB39" s="16">
        <f t="shared" si="31"/>
        <v>2.8571428571428568</v>
      </c>
      <c r="AC39" s="16">
        <f t="shared" si="31"/>
        <v>1111.4285714285716</v>
      </c>
      <c r="AD39" s="16">
        <f t="shared" si="31"/>
        <v>0</v>
      </c>
      <c r="AE39" s="32">
        <f t="shared" si="31"/>
        <v>1297.1428571428571</v>
      </c>
      <c r="AF39" s="32">
        <f t="shared" si="31"/>
        <v>2408.5714285714284</v>
      </c>
    </row>
    <row r="40" spans="2:32" ht="23.1" customHeight="1" x14ac:dyDescent="0.25">
      <c r="B40" s="24" t="s">
        <v>67</v>
      </c>
      <c r="C40" s="49">
        <f>AVERAGE('22.07 Ndeeba-Nyanama'!C40,'23.07 Ndeeba-Nyanama'!C40,'24.07 Ndeeba-Nyanama'!C40,'25.07 Ndeeba-Nyanama'!C40,'26.07 Ndeeba-Nyanama-24h'!C40,'27.07 Ndeeba-Nyanama-24h'!C40,'28.07 Ndeeba-Nyanama'!C40)</f>
        <v>40.428571428571431</v>
      </c>
      <c r="D40" s="49">
        <f>AVERAGE('22.07 Ndeeba-Nyanama'!D40,'23.07 Ndeeba-Nyanama'!D40,'24.07 Ndeeba-Nyanama'!D40,'25.07 Ndeeba-Nyanama'!D40,'26.07 Ndeeba-Nyanama-24h'!D40,'27.07 Ndeeba-Nyanama-24h'!D40,'28.07 Ndeeba-Nyanama'!D40)</f>
        <v>1.1428571428571428</v>
      </c>
      <c r="E40" s="49">
        <f>AVERAGE('22.07 Ndeeba-Nyanama'!E40,'23.07 Ndeeba-Nyanama'!E40,'24.07 Ndeeba-Nyanama'!E40,'25.07 Ndeeba-Nyanama'!E40,'26.07 Ndeeba-Nyanama-24h'!E40,'27.07 Ndeeba-Nyanama-24h'!E40,'28.07 Ndeeba-Nyanama'!E40)</f>
        <v>2.2857142857142856</v>
      </c>
      <c r="F40" s="49">
        <f>AVERAGE('22.07 Ndeeba-Nyanama'!F40,'23.07 Ndeeba-Nyanama'!F40,'24.07 Ndeeba-Nyanama'!F40,'25.07 Ndeeba-Nyanama'!F40,'26.07 Ndeeba-Nyanama-24h'!F40,'27.07 Ndeeba-Nyanama-24h'!F40,'28.07 Ndeeba-Nyanama'!F40)</f>
        <v>11.428571428571429</v>
      </c>
      <c r="G40" s="49">
        <f>AVERAGE('22.07 Ndeeba-Nyanama'!G40,'23.07 Ndeeba-Nyanama'!G40,'24.07 Ndeeba-Nyanama'!G40,'25.07 Ndeeba-Nyanama'!G40,'26.07 Ndeeba-Nyanama-24h'!G40,'27.07 Ndeeba-Nyanama-24h'!G40,'28.07 Ndeeba-Nyanama'!G40)</f>
        <v>0.14285714285714285</v>
      </c>
      <c r="H40" s="49">
        <f>AVERAGE('22.07 Ndeeba-Nyanama'!H40,'23.07 Ndeeba-Nyanama'!H40,'24.07 Ndeeba-Nyanama'!H40,'25.07 Ndeeba-Nyanama'!H40,'26.07 Ndeeba-Nyanama-24h'!H40,'27.07 Ndeeba-Nyanama-24h'!H40,'28.07 Ndeeba-Nyanama'!H40)</f>
        <v>0</v>
      </c>
      <c r="I40" s="49">
        <f>AVERAGE('22.07 Ndeeba-Nyanama'!I40,'23.07 Ndeeba-Nyanama'!I40,'24.07 Ndeeba-Nyanama'!I40,'25.07 Ndeeba-Nyanama'!I40,'26.07 Ndeeba-Nyanama-24h'!I40,'27.07 Ndeeba-Nyanama-24h'!I40,'28.07 Ndeeba-Nyanama'!I40)</f>
        <v>1.7142857142857142</v>
      </c>
      <c r="J40" s="49">
        <f>AVERAGE('22.07 Ndeeba-Nyanama'!J40,'23.07 Ndeeba-Nyanama'!J40,'24.07 Ndeeba-Nyanama'!J40,'25.07 Ndeeba-Nyanama'!J40,'26.07 Ndeeba-Nyanama-24h'!J40,'27.07 Ndeeba-Nyanama-24h'!J40,'28.07 Ndeeba-Nyanama'!J40)</f>
        <v>0.5714285714285714</v>
      </c>
      <c r="K40" s="49">
        <f>AVERAGE('22.07 Ndeeba-Nyanama'!K40,'23.07 Ndeeba-Nyanama'!K40,'24.07 Ndeeba-Nyanama'!K40,'25.07 Ndeeba-Nyanama'!K40,'26.07 Ndeeba-Nyanama-24h'!K40,'27.07 Ndeeba-Nyanama-24h'!K40,'28.07 Ndeeba-Nyanama'!K40)</f>
        <v>0.8571428571428571</v>
      </c>
      <c r="L40" s="49">
        <f>AVERAGE('22.07 Ndeeba-Nyanama'!L40,'23.07 Ndeeba-Nyanama'!L40,'24.07 Ndeeba-Nyanama'!L40,'25.07 Ndeeba-Nyanama'!L40,'26.07 Ndeeba-Nyanama-24h'!L40,'27.07 Ndeeba-Nyanama-24h'!L40,'28.07 Ndeeba-Nyanama'!L40)</f>
        <v>0.2857142857142857</v>
      </c>
      <c r="M40" s="49">
        <f>AVERAGE('22.07 Ndeeba-Nyanama'!M40,'23.07 Ndeeba-Nyanama'!M40,'24.07 Ndeeba-Nyanama'!M40,'25.07 Ndeeba-Nyanama'!M40,'26.07 Ndeeba-Nyanama-24h'!M40,'27.07 Ndeeba-Nyanama-24h'!M40,'28.07 Ndeeba-Nyanama'!M40)</f>
        <v>73.428571428571431</v>
      </c>
      <c r="N40" s="49">
        <f>AVERAGE('22.07 Ndeeba-Nyanama'!N40,'23.07 Ndeeba-Nyanama'!N40,'24.07 Ndeeba-Nyanama'!N40,'25.07 Ndeeba-Nyanama'!N40,'26.07 Ndeeba-Nyanama-24h'!N40,'27.07 Ndeeba-Nyanama-24h'!N40,'28.07 Ndeeba-Nyanama'!N40)</f>
        <v>0</v>
      </c>
      <c r="O40" s="15">
        <f t="shared" si="0"/>
        <v>58.857142857142861</v>
      </c>
      <c r="P40" s="15">
        <f t="shared" si="1"/>
        <v>132.28571428571428</v>
      </c>
      <c r="R40" s="5" t="s">
        <v>17</v>
      </c>
      <c r="S40" s="16">
        <f t="shared" ref="S40:AF40" si="32">SUM(S10:S21)</f>
        <v>2409.9999999999995</v>
      </c>
      <c r="T40" s="16">
        <f t="shared" si="32"/>
        <v>72</v>
      </c>
      <c r="U40" s="16">
        <f t="shared" si="32"/>
        <v>140.85714285714283</v>
      </c>
      <c r="V40" s="16">
        <f t="shared" si="32"/>
        <v>788.28571428571422</v>
      </c>
      <c r="W40" s="16">
        <f t="shared" si="32"/>
        <v>12.714285714285714</v>
      </c>
      <c r="X40" s="16">
        <f t="shared" si="32"/>
        <v>1.1428571428571428</v>
      </c>
      <c r="Y40" s="16">
        <f t="shared" si="32"/>
        <v>122.85714285714286</v>
      </c>
      <c r="Z40" s="16">
        <f t="shared" si="32"/>
        <v>38.857142857142854</v>
      </c>
      <c r="AA40" s="16">
        <f t="shared" si="32"/>
        <v>14.571428571428569</v>
      </c>
      <c r="AB40" s="16">
        <f t="shared" si="32"/>
        <v>14.857142857142856</v>
      </c>
      <c r="AC40" s="16">
        <f t="shared" si="32"/>
        <v>4234.1428571428569</v>
      </c>
      <c r="AD40" s="16">
        <f t="shared" si="32"/>
        <v>0.42857142857142855</v>
      </c>
      <c r="AE40" s="32">
        <f t="shared" si="32"/>
        <v>3616.5714285714284</v>
      </c>
      <c r="AF40" s="32">
        <f t="shared" si="32"/>
        <v>7850.7142857142853</v>
      </c>
    </row>
    <row r="41" spans="2:32" ht="23.1" customHeight="1" x14ac:dyDescent="0.25">
      <c r="B41" s="23" t="s">
        <v>68</v>
      </c>
      <c r="C41" s="49">
        <f>AVERAGE('22.07 Ndeeba-Nyanama'!C41,'23.07 Ndeeba-Nyanama'!C41,'24.07 Ndeeba-Nyanama'!C41,'25.07 Ndeeba-Nyanama'!C41,'26.07 Ndeeba-Nyanama-24h'!C41,'27.07 Ndeeba-Nyanama-24h'!C41,'28.07 Ndeeba-Nyanama'!C41)</f>
        <v>41.285714285714285</v>
      </c>
      <c r="D41" s="49">
        <f>AVERAGE('22.07 Ndeeba-Nyanama'!D41,'23.07 Ndeeba-Nyanama'!D41,'24.07 Ndeeba-Nyanama'!D41,'25.07 Ndeeba-Nyanama'!D41,'26.07 Ndeeba-Nyanama-24h'!D41,'27.07 Ndeeba-Nyanama-24h'!D41,'28.07 Ndeeba-Nyanama'!D41)</f>
        <v>1</v>
      </c>
      <c r="E41" s="49">
        <f>AVERAGE('22.07 Ndeeba-Nyanama'!E41,'23.07 Ndeeba-Nyanama'!E41,'24.07 Ndeeba-Nyanama'!E41,'25.07 Ndeeba-Nyanama'!E41,'26.07 Ndeeba-Nyanama-24h'!E41,'27.07 Ndeeba-Nyanama-24h'!E41,'28.07 Ndeeba-Nyanama'!E41)</f>
        <v>1.1428571428571428</v>
      </c>
      <c r="F41" s="49">
        <f>AVERAGE('22.07 Ndeeba-Nyanama'!F41,'23.07 Ndeeba-Nyanama'!F41,'24.07 Ndeeba-Nyanama'!F41,'25.07 Ndeeba-Nyanama'!F41,'26.07 Ndeeba-Nyanama-24h'!F41,'27.07 Ndeeba-Nyanama-24h'!F41,'28.07 Ndeeba-Nyanama'!F41)</f>
        <v>13</v>
      </c>
      <c r="G41" s="49">
        <f>AVERAGE('22.07 Ndeeba-Nyanama'!G41,'23.07 Ndeeba-Nyanama'!G41,'24.07 Ndeeba-Nyanama'!G41,'25.07 Ndeeba-Nyanama'!G41,'26.07 Ndeeba-Nyanama-24h'!G41,'27.07 Ndeeba-Nyanama-24h'!G41,'28.07 Ndeeba-Nyanama'!G41)</f>
        <v>0.14285714285714285</v>
      </c>
      <c r="H41" s="49">
        <f>AVERAGE('22.07 Ndeeba-Nyanama'!H41,'23.07 Ndeeba-Nyanama'!H41,'24.07 Ndeeba-Nyanama'!H41,'25.07 Ndeeba-Nyanama'!H41,'26.07 Ndeeba-Nyanama-24h'!H41,'27.07 Ndeeba-Nyanama-24h'!H41,'28.07 Ndeeba-Nyanama'!H41)</f>
        <v>0</v>
      </c>
      <c r="I41" s="49">
        <f>AVERAGE('22.07 Ndeeba-Nyanama'!I41,'23.07 Ndeeba-Nyanama'!I41,'24.07 Ndeeba-Nyanama'!I41,'25.07 Ndeeba-Nyanama'!I41,'26.07 Ndeeba-Nyanama-24h'!I41,'27.07 Ndeeba-Nyanama-24h'!I41,'28.07 Ndeeba-Nyanama'!I41)</f>
        <v>1</v>
      </c>
      <c r="J41" s="49">
        <f>AVERAGE('22.07 Ndeeba-Nyanama'!J41,'23.07 Ndeeba-Nyanama'!J41,'24.07 Ndeeba-Nyanama'!J41,'25.07 Ndeeba-Nyanama'!J41,'26.07 Ndeeba-Nyanama-24h'!J41,'27.07 Ndeeba-Nyanama-24h'!J41,'28.07 Ndeeba-Nyanama'!J41)</f>
        <v>0.5714285714285714</v>
      </c>
      <c r="K41" s="49">
        <f>AVERAGE('22.07 Ndeeba-Nyanama'!K41,'23.07 Ndeeba-Nyanama'!K41,'24.07 Ndeeba-Nyanama'!K41,'25.07 Ndeeba-Nyanama'!K41,'26.07 Ndeeba-Nyanama-24h'!K41,'27.07 Ndeeba-Nyanama-24h'!K41,'28.07 Ndeeba-Nyanama'!K41)</f>
        <v>0.14285714285714285</v>
      </c>
      <c r="L41" s="49">
        <f>AVERAGE('22.07 Ndeeba-Nyanama'!L41,'23.07 Ndeeba-Nyanama'!L41,'24.07 Ndeeba-Nyanama'!L41,'25.07 Ndeeba-Nyanama'!L41,'26.07 Ndeeba-Nyanama-24h'!L41,'27.07 Ndeeba-Nyanama-24h'!L41,'28.07 Ndeeba-Nyanama'!L41)</f>
        <v>0.42857142857142855</v>
      </c>
      <c r="M41" s="49">
        <f>AVERAGE('22.07 Ndeeba-Nyanama'!M41,'23.07 Ndeeba-Nyanama'!M41,'24.07 Ndeeba-Nyanama'!M41,'25.07 Ndeeba-Nyanama'!M41,'26.07 Ndeeba-Nyanama-24h'!M41,'27.07 Ndeeba-Nyanama-24h'!M41,'28.07 Ndeeba-Nyanama'!M41)</f>
        <v>71.142857142857139</v>
      </c>
      <c r="N41" s="49">
        <f>AVERAGE('22.07 Ndeeba-Nyanama'!N41,'23.07 Ndeeba-Nyanama'!N41,'24.07 Ndeeba-Nyanama'!N41,'25.07 Ndeeba-Nyanama'!N41,'26.07 Ndeeba-Nyanama-24h'!N41,'27.07 Ndeeba-Nyanama-24h'!N41,'28.07 Ndeeba-Nyanama'!N41)</f>
        <v>0</v>
      </c>
      <c r="O41" s="15">
        <f t="shared" si="0"/>
        <v>58.714285714285722</v>
      </c>
      <c r="P41" s="15">
        <f t="shared" si="1"/>
        <v>129.85714285714286</v>
      </c>
      <c r="R41" s="5" t="s">
        <v>182</v>
      </c>
      <c r="S41" s="16">
        <f>SUM(S10:S33)</f>
        <v>3781.9999999999995</v>
      </c>
      <c r="T41" s="16">
        <f t="shared" ref="T41:AD41" si="33">SUM(T10:T33)</f>
        <v>152.5</v>
      </c>
      <c r="U41" s="16">
        <f t="shared" si="33"/>
        <v>195.85714285714283</v>
      </c>
      <c r="V41" s="16">
        <f t="shared" si="33"/>
        <v>1182.2857142857142</v>
      </c>
      <c r="W41" s="16">
        <f t="shared" si="33"/>
        <v>17.214285714285715</v>
      </c>
      <c r="X41" s="16">
        <f t="shared" si="33"/>
        <v>1.6428571428571428</v>
      </c>
      <c r="Y41" s="16">
        <f t="shared" si="33"/>
        <v>226.35714285714286</v>
      </c>
      <c r="Z41" s="16">
        <f t="shared" si="33"/>
        <v>69.357142857142861</v>
      </c>
      <c r="AA41" s="16">
        <f t="shared" si="33"/>
        <v>30.571428571428569</v>
      </c>
      <c r="AB41" s="16">
        <f t="shared" si="33"/>
        <v>15.357142857142856</v>
      </c>
      <c r="AC41" s="16">
        <f t="shared" si="33"/>
        <v>6422.1428571428569</v>
      </c>
      <c r="AD41" s="16">
        <f t="shared" si="33"/>
        <v>0.42857142857142855</v>
      </c>
      <c r="AE41" s="32">
        <f>SUM(AE10:AE33)</f>
        <v>5673.5714285714284</v>
      </c>
      <c r="AF41" s="32">
        <f>SUM(AF10:AF33)</f>
        <v>12095.714285714286</v>
      </c>
    </row>
    <row r="42" spans="2:32" ht="23.1" customHeight="1" x14ac:dyDescent="0.25">
      <c r="B42" s="24" t="s">
        <v>69</v>
      </c>
      <c r="C42" s="49">
        <f>AVERAGE('22.07 Ndeeba-Nyanama'!C42,'23.07 Ndeeba-Nyanama'!C42,'24.07 Ndeeba-Nyanama'!C42,'25.07 Ndeeba-Nyanama'!C42,'26.07 Ndeeba-Nyanama-24h'!C42,'27.07 Ndeeba-Nyanama-24h'!C42,'28.07 Ndeeba-Nyanama'!C42)</f>
        <v>47.142857142857146</v>
      </c>
      <c r="D42" s="49">
        <f>AVERAGE('22.07 Ndeeba-Nyanama'!D42,'23.07 Ndeeba-Nyanama'!D42,'24.07 Ndeeba-Nyanama'!D42,'25.07 Ndeeba-Nyanama'!D42,'26.07 Ndeeba-Nyanama-24h'!D42,'27.07 Ndeeba-Nyanama-24h'!D42,'28.07 Ndeeba-Nyanama'!D42)</f>
        <v>1.2857142857142858</v>
      </c>
      <c r="E42" s="49">
        <f>AVERAGE('22.07 Ndeeba-Nyanama'!E42,'23.07 Ndeeba-Nyanama'!E42,'24.07 Ndeeba-Nyanama'!E42,'25.07 Ndeeba-Nyanama'!E42,'26.07 Ndeeba-Nyanama-24h'!E42,'27.07 Ndeeba-Nyanama-24h'!E42,'28.07 Ndeeba-Nyanama'!E42)</f>
        <v>3</v>
      </c>
      <c r="F42" s="49">
        <f>AVERAGE('22.07 Ndeeba-Nyanama'!F42,'23.07 Ndeeba-Nyanama'!F42,'24.07 Ndeeba-Nyanama'!F42,'25.07 Ndeeba-Nyanama'!F42,'26.07 Ndeeba-Nyanama-24h'!F42,'27.07 Ndeeba-Nyanama-24h'!F42,'28.07 Ndeeba-Nyanama'!F42)</f>
        <v>11.714285714285714</v>
      </c>
      <c r="G42" s="49">
        <f>AVERAGE('22.07 Ndeeba-Nyanama'!G42,'23.07 Ndeeba-Nyanama'!G42,'24.07 Ndeeba-Nyanama'!G42,'25.07 Ndeeba-Nyanama'!G42,'26.07 Ndeeba-Nyanama-24h'!G42,'27.07 Ndeeba-Nyanama-24h'!G42,'28.07 Ndeeba-Nyanama'!G42)</f>
        <v>0</v>
      </c>
      <c r="H42" s="49">
        <f>AVERAGE('22.07 Ndeeba-Nyanama'!H42,'23.07 Ndeeba-Nyanama'!H42,'24.07 Ndeeba-Nyanama'!H42,'25.07 Ndeeba-Nyanama'!H42,'26.07 Ndeeba-Nyanama-24h'!H42,'27.07 Ndeeba-Nyanama-24h'!H42,'28.07 Ndeeba-Nyanama'!H42)</f>
        <v>0</v>
      </c>
      <c r="I42" s="49">
        <f>AVERAGE('22.07 Ndeeba-Nyanama'!I42,'23.07 Ndeeba-Nyanama'!I42,'24.07 Ndeeba-Nyanama'!I42,'25.07 Ndeeba-Nyanama'!I42,'26.07 Ndeeba-Nyanama-24h'!I42,'27.07 Ndeeba-Nyanama-24h'!I42,'28.07 Ndeeba-Nyanama'!I42)</f>
        <v>3</v>
      </c>
      <c r="J42" s="49">
        <f>AVERAGE('22.07 Ndeeba-Nyanama'!J42,'23.07 Ndeeba-Nyanama'!J42,'24.07 Ndeeba-Nyanama'!J42,'25.07 Ndeeba-Nyanama'!J42,'26.07 Ndeeba-Nyanama-24h'!J42,'27.07 Ndeeba-Nyanama-24h'!J42,'28.07 Ndeeba-Nyanama'!J42)</f>
        <v>1</v>
      </c>
      <c r="K42" s="49">
        <f>AVERAGE('22.07 Ndeeba-Nyanama'!K42,'23.07 Ndeeba-Nyanama'!K42,'24.07 Ndeeba-Nyanama'!K42,'25.07 Ndeeba-Nyanama'!K42,'26.07 Ndeeba-Nyanama-24h'!K42,'27.07 Ndeeba-Nyanama-24h'!K42,'28.07 Ndeeba-Nyanama'!K42)</f>
        <v>0.14285714285714285</v>
      </c>
      <c r="L42" s="49">
        <f>AVERAGE('22.07 Ndeeba-Nyanama'!L42,'23.07 Ndeeba-Nyanama'!L42,'24.07 Ndeeba-Nyanama'!L42,'25.07 Ndeeba-Nyanama'!L42,'26.07 Ndeeba-Nyanama-24h'!L42,'27.07 Ndeeba-Nyanama-24h'!L42,'28.07 Ndeeba-Nyanama'!L42)</f>
        <v>0.2857142857142857</v>
      </c>
      <c r="M42" s="49">
        <f>AVERAGE('22.07 Ndeeba-Nyanama'!M42,'23.07 Ndeeba-Nyanama'!M42,'24.07 Ndeeba-Nyanama'!M42,'25.07 Ndeeba-Nyanama'!M42,'26.07 Ndeeba-Nyanama-24h'!M42,'27.07 Ndeeba-Nyanama-24h'!M42,'28.07 Ndeeba-Nyanama'!M42)</f>
        <v>67.285714285714292</v>
      </c>
      <c r="N42" s="49">
        <f>AVERAGE('22.07 Ndeeba-Nyanama'!N42,'23.07 Ndeeba-Nyanama'!N42,'24.07 Ndeeba-Nyanama'!N42,'25.07 Ndeeba-Nyanama'!N42,'26.07 Ndeeba-Nyanama-24h'!N42,'27.07 Ndeeba-Nyanama-24h'!N42,'28.07 Ndeeba-Nyanama'!N42)</f>
        <v>0</v>
      </c>
      <c r="O42" s="15">
        <f t="shared" si="0"/>
        <v>67.571428571428569</v>
      </c>
      <c r="P42" s="15">
        <f t="shared" si="1"/>
        <v>134.85714285714286</v>
      </c>
      <c r="R42" s="5" t="s">
        <v>160</v>
      </c>
      <c r="S42" s="48">
        <f>S41/S40</f>
        <v>1.5692946058091288</v>
      </c>
      <c r="T42" s="48">
        <f t="shared" ref="T42:AF42" si="34">T41/T40</f>
        <v>2.1180555555555554</v>
      </c>
      <c r="U42" s="48">
        <f t="shared" si="34"/>
        <v>1.3904665314401623</v>
      </c>
      <c r="V42" s="48">
        <f t="shared" si="34"/>
        <v>1.4998187749184488</v>
      </c>
      <c r="W42" s="48">
        <f t="shared" si="34"/>
        <v>1.353932584269663</v>
      </c>
      <c r="X42" s="48">
        <f t="shared" si="34"/>
        <v>1.4375</v>
      </c>
      <c r="Y42" s="48">
        <f t="shared" si="34"/>
        <v>1.8424418604651163</v>
      </c>
      <c r="Z42" s="48">
        <f t="shared" si="34"/>
        <v>1.7849264705882355</v>
      </c>
      <c r="AA42" s="48">
        <f t="shared" si="34"/>
        <v>2.0980392156862746</v>
      </c>
      <c r="AB42" s="48">
        <f t="shared" si="34"/>
        <v>1.0336538461538463</v>
      </c>
      <c r="AC42" s="48">
        <f t="shared" si="34"/>
        <v>1.5167515773136746</v>
      </c>
      <c r="AD42" s="48">
        <f t="shared" si="34"/>
        <v>1</v>
      </c>
      <c r="AE42" s="51">
        <f t="shared" si="34"/>
        <v>1.5687707378732818</v>
      </c>
      <c r="AF42" s="51">
        <f t="shared" si="34"/>
        <v>1.5407151305613684</v>
      </c>
    </row>
    <row r="43" spans="2:32" ht="23.1" customHeight="1" x14ac:dyDescent="0.25">
      <c r="B43" s="23" t="s">
        <v>70</v>
      </c>
      <c r="C43" s="49">
        <f>AVERAGE('22.07 Ndeeba-Nyanama'!C43,'23.07 Ndeeba-Nyanama'!C43,'24.07 Ndeeba-Nyanama'!C43,'25.07 Ndeeba-Nyanama'!C43,'26.07 Ndeeba-Nyanama-24h'!C43,'27.07 Ndeeba-Nyanama-24h'!C43,'28.07 Ndeeba-Nyanama'!C43)</f>
        <v>48</v>
      </c>
      <c r="D43" s="49">
        <f>AVERAGE('22.07 Ndeeba-Nyanama'!D43,'23.07 Ndeeba-Nyanama'!D43,'24.07 Ndeeba-Nyanama'!D43,'25.07 Ndeeba-Nyanama'!D43,'26.07 Ndeeba-Nyanama-24h'!D43,'27.07 Ndeeba-Nyanama-24h'!D43,'28.07 Ndeeba-Nyanama'!D43)</f>
        <v>1.4285714285714286</v>
      </c>
      <c r="E43" s="49">
        <f>AVERAGE('22.07 Ndeeba-Nyanama'!E43,'23.07 Ndeeba-Nyanama'!E43,'24.07 Ndeeba-Nyanama'!E43,'25.07 Ndeeba-Nyanama'!E43,'26.07 Ndeeba-Nyanama-24h'!E43,'27.07 Ndeeba-Nyanama-24h'!E43,'28.07 Ndeeba-Nyanama'!E43)</f>
        <v>6.1428571428571432</v>
      </c>
      <c r="F43" s="49">
        <f>AVERAGE('22.07 Ndeeba-Nyanama'!F43,'23.07 Ndeeba-Nyanama'!F43,'24.07 Ndeeba-Nyanama'!F43,'25.07 Ndeeba-Nyanama'!F43,'26.07 Ndeeba-Nyanama-24h'!F43,'27.07 Ndeeba-Nyanama-24h'!F43,'28.07 Ndeeba-Nyanama'!F43)</f>
        <v>6.1428571428571432</v>
      </c>
      <c r="G43" s="49">
        <f>AVERAGE('22.07 Ndeeba-Nyanama'!G43,'23.07 Ndeeba-Nyanama'!G43,'24.07 Ndeeba-Nyanama'!G43,'25.07 Ndeeba-Nyanama'!G43,'26.07 Ndeeba-Nyanama-24h'!G43,'27.07 Ndeeba-Nyanama-24h'!G43,'28.07 Ndeeba-Nyanama'!G43)</f>
        <v>0.2857142857142857</v>
      </c>
      <c r="H43" s="49">
        <f>AVERAGE('22.07 Ndeeba-Nyanama'!H43,'23.07 Ndeeba-Nyanama'!H43,'24.07 Ndeeba-Nyanama'!H43,'25.07 Ndeeba-Nyanama'!H43,'26.07 Ndeeba-Nyanama-24h'!H43,'27.07 Ndeeba-Nyanama-24h'!H43,'28.07 Ndeeba-Nyanama'!H43)</f>
        <v>0</v>
      </c>
      <c r="I43" s="49">
        <f>AVERAGE('22.07 Ndeeba-Nyanama'!I43,'23.07 Ndeeba-Nyanama'!I43,'24.07 Ndeeba-Nyanama'!I43,'25.07 Ndeeba-Nyanama'!I43,'26.07 Ndeeba-Nyanama-24h'!I43,'27.07 Ndeeba-Nyanama-24h'!I43,'28.07 Ndeeba-Nyanama'!I43)</f>
        <v>2.1428571428571428</v>
      </c>
      <c r="J43" s="49">
        <f>AVERAGE('22.07 Ndeeba-Nyanama'!J43,'23.07 Ndeeba-Nyanama'!J43,'24.07 Ndeeba-Nyanama'!J43,'25.07 Ndeeba-Nyanama'!J43,'26.07 Ndeeba-Nyanama-24h'!J43,'27.07 Ndeeba-Nyanama-24h'!J43,'28.07 Ndeeba-Nyanama'!J43)</f>
        <v>0.8571428571428571</v>
      </c>
      <c r="K43" s="49">
        <f>AVERAGE('22.07 Ndeeba-Nyanama'!K43,'23.07 Ndeeba-Nyanama'!K43,'24.07 Ndeeba-Nyanama'!K43,'25.07 Ndeeba-Nyanama'!K43,'26.07 Ndeeba-Nyanama-24h'!K43,'27.07 Ndeeba-Nyanama-24h'!K43,'28.07 Ndeeba-Nyanama'!K43)</f>
        <v>0.14285714285714285</v>
      </c>
      <c r="L43" s="49">
        <f>AVERAGE('22.07 Ndeeba-Nyanama'!L43,'23.07 Ndeeba-Nyanama'!L43,'24.07 Ndeeba-Nyanama'!L43,'25.07 Ndeeba-Nyanama'!L43,'26.07 Ndeeba-Nyanama-24h'!L43,'27.07 Ndeeba-Nyanama-24h'!L43,'28.07 Ndeeba-Nyanama'!L43)</f>
        <v>0.14285714285714285</v>
      </c>
      <c r="M43" s="49">
        <f>AVERAGE('22.07 Ndeeba-Nyanama'!M43,'23.07 Ndeeba-Nyanama'!M43,'24.07 Ndeeba-Nyanama'!M43,'25.07 Ndeeba-Nyanama'!M43,'26.07 Ndeeba-Nyanama-24h'!M43,'27.07 Ndeeba-Nyanama-24h'!M43,'28.07 Ndeeba-Nyanama'!M43)</f>
        <v>55.428571428571431</v>
      </c>
      <c r="N43" s="49">
        <f>AVERAGE('22.07 Ndeeba-Nyanama'!N43,'23.07 Ndeeba-Nyanama'!N43,'24.07 Ndeeba-Nyanama'!N43,'25.07 Ndeeba-Nyanama'!N43,'26.07 Ndeeba-Nyanama-24h'!N43,'27.07 Ndeeba-Nyanama-24h'!N43,'28.07 Ndeeba-Nyanama'!N43)</f>
        <v>0</v>
      </c>
      <c r="O43" s="15">
        <f t="shared" si="0"/>
        <v>65.285714285714292</v>
      </c>
      <c r="P43" s="15">
        <f t="shared" si="1"/>
        <v>120.71428571428572</v>
      </c>
    </row>
    <row r="44" spans="2:32" ht="23.1" customHeight="1" x14ac:dyDescent="0.25">
      <c r="B44" s="25" t="s">
        <v>71</v>
      </c>
      <c r="C44" s="49">
        <f>AVERAGE('22.07 Ndeeba-Nyanama'!C44,'23.07 Ndeeba-Nyanama'!C44,'24.07 Ndeeba-Nyanama'!C44,'25.07 Ndeeba-Nyanama'!C44,'26.07 Ndeeba-Nyanama-24h'!C44,'27.07 Ndeeba-Nyanama-24h'!C44,'28.07 Ndeeba-Nyanama'!C44)</f>
        <v>54.285714285714285</v>
      </c>
      <c r="D44" s="49">
        <f>AVERAGE('22.07 Ndeeba-Nyanama'!D44,'23.07 Ndeeba-Nyanama'!D44,'24.07 Ndeeba-Nyanama'!D44,'25.07 Ndeeba-Nyanama'!D44,'26.07 Ndeeba-Nyanama-24h'!D44,'27.07 Ndeeba-Nyanama-24h'!D44,'28.07 Ndeeba-Nyanama'!D44)</f>
        <v>0.7142857142857143</v>
      </c>
      <c r="E44" s="49">
        <f>AVERAGE('22.07 Ndeeba-Nyanama'!E44,'23.07 Ndeeba-Nyanama'!E44,'24.07 Ndeeba-Nyanama'!E44,'25.07 Ndeeba-Nyanama'!E44,'26.07 Ndeeba-Nyanama-24h'!E44,'27.07 Ndeeba-Nyanama-24h'!E44,'28.07 Ndeeba-Nyanama'!E44)</f>
        <v>4</v>
      </c>
      <c r="F44" s="49">
        <f>AVERAGE('22.07 Ndeeba-Nyanama'!F44,'23.07 Ndeeba-Nyanama'!F44,'24.07 Ndeeba-Nyanama'!F44,'25.07 Ndeeba-Nyanama'!F44,'26.07 Ndeeba-Nyanama-24h'!F44,'27.07 Ndeeba-Nyanama-24h'!F44,'28.07 Ndeeba-Nyanama'!F44)</f>
        <v>9.1428571428571423</v>
      </c>
      <c r="G44" s="49">
        <f>AVERAGE('22.07 Ndeeba-Nyanama'!G44,'23.07 Ndeeba-Nyanama'!G44,'24.07 Ndeeba-Nyanama'!G44,'25.07 Ndeeba-Nyanama'!G44,'26.07 Ndeeba-Nyanama-24h'!G44,'27.07 Ndeeba-Nyanama-24h'!G44,'28.07 Ndeeba-Nyanama'!G44)</f>
        <v>0</v>
      </c>
      <c r="H44" s="49">
        <f>AVERAGE('22.07 Ndeeba-Nyanama'!H44,'23.07 Ndeeba-Nyanama'!H44,'24.07 Ndeeba-Nyanama'!H44,'25.07 Ndeeba-Nyanama'!H44,'26.07 Ndeeba-Nyanama-24h'!H44,'27.07 Ndeeba-Nyanama-24h'!H44,'28.07 Ndeeba-Nyanama'!H44)</f>
        <v>0.14285714285714285</v>
      </c>
      <c r="I44" s="49">
        <f>AVERAGE('22.07 Ndeeba-Nyanama'!I44,'23.07 Ndeeba-Nyanama'!I44,'24.07 Ndeeba-Nyanama'!I44,'25.07 Ndeeba-Nyanama'!I44,'26.07 Ndeeba-Nyanama-24h'!I44,'27.07 Ndeeba-Nyanama-24h'!I44,'28.07 Ndeeba-Nyanama'!I44)</f>
        <v>2.2857142857142856</v>
      </c>
      <c r="J44" s="49">
        <f>AVERAGE('22.07 Ndeeba-Nyanama'!J44,'23.07 Ndeeba-Nyanama'!J44,'24.07 Ndeeba-Nyanama'!J44,'25.07 Ndeeba-Nyanama'!J44,'26.07 Ndeeba-Nyanama-24h'!J44,'27.07 Ndeeba-Nyanama-24h'!J44,'28.07 Ndeeba-Nyanama'!J44)</f>
        <v>1.4285714285714286</v>
      </c>
      <c r="K44" s="49">
        <f>AVERAGE('22.07 Ndeeba-Nyanama'!K44,'23.07 Ndeeba-Nyanama'!K44,'24.07 Ndeeba-Nyanama'!K44,'25.07 Ndeeba-Nyanama'!K44,'26.07 Ndeeba-Nyanama-24h'!K44,'27.07 Ndeeba-Nyanama-24h'!K44,'28.07 Ndeeba-Nyanama'!K44)</f>
        <v>0.14285714285714285</v>
      </c>
      <c r="L44" s="49">
        <f>AVERAGE('22.07 Ndeeba-Nyanama'!L44,'23.07 Ndeeba-Nyanama'!L44,'24.07 Ndeeba-Nyanama'!L44,'25.07 Ndeeba-Nyanama'!L44,'26.07 Ndeeba-Nyanama-24h'!L44,'27.07 Ndeeba-Nyanama-24h'!L44,'28.07 Ndeeba-Nyanama'!L44)</f>
        <v>0.2857142857142857</v>
      </c>
      <c r="M44" s="49">
        <f>AVERAGE('22.07 Ndeeba-Nyanama'!M44,'23.07 Ndeeba-Nyanama'!M44,'24.07 Ndeeba-Nyanama'!M44,'25.07 Ndeeba-Nyanama'!M44,'26.07 Ndeeba-Nyanama-24h'!M44,'27.07 Ndeeba-Nyanama-24h'!M44,'28.07 Ndeeba-Nyanama'!M44)</f>
        <v>62.857142857142854</v>
      </c>
      <c r="N44" s="49">
        <f>AVERAGE('22.07 Ndeeba-Nyanama'!N44,'23.07 Ndeeba-Nyanama'!N44,'24.07 Ndeeba-Nyanama'!N44,'25.07 Ndeeba-Nyanama'!N44,'26.07 Ndeeba-Nyanama-24h'!N44,'27.07 Ndeeba-Nyanama-24h'!N44,'28.07 Ndeeba-Nyanama'!N44)</f>
        <v>0</v>
      </c>
      <c r="O44" s="15">
        <f t="shared" si="0"/>
        <v>72.428571428571431</v>
      </c>
      <c r="P44" s="15">
        <f t="shared" si="1"/>
        <v>135.28571428571428</v>
      </c>
    </row>
    <row r="45" spans="2:32" ht="23.1" customHeight="1" x14ac:dyDescent="0.25">
      <c r="B45" s="23" t="s">
        <v>72</v>
      </c>
      <c r="C45" s="49">
        <f>AVERAGE('22.07 Ndeeba-Nyanama'!C45,'23.07 Ndeeba-Nyanama'!C45,'24.07 Ndeeba-Nyanama'!C45,'25.07 Ndeeba-Nyanama'!C45,'26.07 Ndeeba-Nyanama-24h'!C45,'27.07 Ndeeba-Nyanama-24h'!C45,'28.07 Ndeeba-Nyanama'!C45)</f>
        <v>58.142857142857146</v>
      </c>
      <c r="D45" s="49">
        <f>AVERAGE('22.07 Ndeeba-Nyanama'!D45,'23.07 Ndeeba-Nyanama'!D45,'24.07 Ndeeba-Nyanama'!D45,'25.07 Ndeeba-Nyanama'!D45,'26.07 Ndeeba-Nyanama-24h'!D45,'27.07 Ndeeba-Nyanama-24h'!D45,'28.07 Ndeeba-Nyanama'!D45)</f>
        <v>0.7142857142857143</v>
      </c>
      <c r="E45" s="49">
        <f>AVERAGE('22.07 Ndeeba-Nyanama'!E45,'23.07 Ndeeba-Nyanama'!E45,'24.07 Ndeeba-Nyanama'!E45,'25.07 Ndeeba-Nyanama'!E45,'26.07 Ndeeba-Nyanama-24h'!E45,'27.07 Ndeeba-Nyanama-24h'!E45,'28.07 Ndeeba-Nyanama'!E45)</f>
        <v>2.4285714285714284</v>
      </c>
      <c r="F45" s="49">
        <f>AVERAGE('22.07 Ndeeba-Nyanama'!F45,'23.07 Ndeeba-Nyanama'!F45,'24.07 Ndeeba-Nyanama'!F45,'25.07 Ndeeba-Nyanama'!F45,'26.07 Ndeeba-Nyanama-24h'!F45,'27.07 Ndeeba-Nyanama-24h'!F45,'28.07 Ndeeba-Nyanama'!F45)</f>
        <v>15.428571428571429</v>
      </c>
      <c r="G45" s="49">
        <f>AVERAGE('22.07 Ndeeba-Nyanama'!G45,'23.07 Ndeeba-Nyanama'!G45,'24.07 Ndeeba-Nyanama'!G45,'25.07 Ndeeba-Nyanama'!G45,'26.07 Ndeeba-Nyanama-24h'!G45,'27.07 Ndeeba-Nyanama-24h'!G45,'28.07 Ndeeba-Nyanama'!G45)</f>
        <v>0.5714285714285714</v>
      </c>
      <c r="H45" s="49">
        <f>AVERAGE('22.07 Ndeeba-Nyanama'!H45,'23.07 Ndeeba-Nyanama'!H45,'24.07 Ndeeba-Nyanama'!H45,'25.07 Ndeeba-Nyanama'!H45,'26.07 Ndeeba-Nyanama-24h'!H45,'27.07 Ndeeba-Nyanama-24h'!H45,'28.07 Ndeeba-Nyanama'!H45)</f>
        <v>0.14285714285714285</v>
      </c>
      <c r="I45" s="49">
        <f>AVERAGE('22.07 Ndeeba-Nyanama'!I45,'23.07 Ndeeba-Nyanama'!I45,'24.07 Ndeeba-Nyanama'!I45,'25.07 Ndeeba-Nyanama'!I45,'26.07 Ndeeba-Nyanama-24h'!I45,'27.07 Ndeeba-Nyanama-24h'!I45,'28.07 Ndeeba-Nyanama'!I45)</f>
        <v>5.7142857142857144</v>
      </c>
      <c r="J45" s="49">
        <f>AVERAGE('22.07 Ndeeba-Nyanama'!J45,'23.07 Ndeeba-Nyanama'!J45,'24.07 Ndeeba-Nyanama'!J45,'25.07 Ndeeba-Nyanama'!J45,'26.07 Ndeeba-Nyanama-24h'!J45,'27.07 Ndeeba-Nyanama-24h'!J45,'28.07 Ndeeba-Nyanama'!J45)</f>
        <v>1.5714285714285714</v>
      </c>
      <c r="K45" s="49">
        <f>AVERAGE('22.07 Ndeeba-Nyanama'!K45,'23.07 Ndeeba-Nyanama'!K45,'24.07 Ndeeba-Nyanama'!K45,'25.07 Ndeeba-Nyanama'!K45,'26.07 Ndeeba-Nyanama-24h'!K45,'27.07 Ndeeba-Nyanama-24h'!K45,'28.07 Ndeeba-Nyanama'!K45)</f>
        <v>0.2857142857142857</v>
      </c>
      <c r="L45" s="49">
        <f>AVERAGE('22.07 Ndeeba-Nyanama'!L45,'23.07 Ndeeba-Nyanama'!L45,'24.07 Ndeeba-Nyanama'!L45,'25.07 Ndeeba-Nyanama'!L45,'26.07 Ndeeba-Nyanama-24h'!L45,'27.07 Ndeeba-Nyanama-24h'!L45,'28.07 Ndeeba-Nyanama'!L45)</f>
        <v>0.8571428571428571</v>
      </c>
      <c r="M45" s="49">
        <f>AVERAGE('22.07 Ndeeba-Nyanama'!M45,'23.07 Ndeeba-Nyanama'!M45,'24.07 Ndeeba-Nyanama'!M45,'25.07 Ndeeba-Nyanama'!M45,'26.07 Ndeeba-Nyanama-24h'!M45,'27.07 Ndeeba-Nyanama-24h'!M45,'28.07 Ndeeba-Nyanama'!M45)</f>
        <v>84.714285714285708</v>
      </c>
      <c r="N45" s="49">
        <f>AVERAGE('22.07 Ndeeba-Nyanama'!N45,'23.07 Ndeeba-Nyanama'!N45,'24.07 Ndeeba-Nyanama'!N45,'25.07 Ndeeba-Nyanama'!N45,'26.07 Ndeeba-Nyanama-24h'!N45,'27.07 Ndeeba-Nyanama-24h'!N45,'28.07 Ndeeba-Nyanama'!N45)</f>
        <v>0</v>
      </c>
      <c r="O45" s="15">
        <f t="shared" si="0"/>
        <v>85.857142857142861</v>
      </c>
      <c r="P45" s="15">
        <f t="shared" si="1"/>
        <v>170.57142857142856</v>
      </c>
    </row>
    <row r="46" spans="2:32" ht="23.1" customHeight="1" x14ac:dyDescent="0.25">
      <c r="B46" s="24" t="s">
        <v>73</v>
      </c>
      <c r="C46" s="49">
        <f>AVERAGE('22.07 Ndeeba-Nyanama'!C46,'23.07 Ndeeba-Nyanama'!C46,'24.07 Ndeeba-Nyanama'!C46,'25.07 Ndeeba-Nyanama'!C46,'26.07 Ndeeba-Nyanama-24h'!C46,'27.07 Ndeeba-Nyanama-24h'!C46,'28.07 Ndeeba-Nyanama'!C46)</f>
        <v>59.571428571428569</v>
      </c>
      <c r="D46" s="49">
        <f>AVERAGE('22.07 Ndeeba-Nyanama'!D46,'23.07 Ndeeba-Nyanama'!D46,'24.07 Ndeeba-Nyanama'!D46,'25.07 Ndeeba-Nyanama'!D46,'26.07 Ndeeba-Nyanama-24h'!D46,'27.07 Ndeeba-Nyanama-24h'!D46,'28.07 Ndeeba-Nyanama'!D46)</f>
        <v>3.5714285714285716</v>
      </c>
      <c r="E46" s="49">
        <f>AVERAGE('22.07 Ndeeba-Nyanama'!E46,'23.07 Ndeeba-Nyanama'!E46,'24.07 Ndeeba-Nyanama'!E46,'25.07 Ndeeba-Nyanama'!E46,'26.07 Ndeeba-Nyanama-24h'!E46,'27.07 Ndeeba-Nyanama-24h'!E46,'28.07 Ndeeba-Nyanama'!E46)</f>
        <v>3.2857142857142856</v>
      </c>
      <c r="F46" s="49">
        <f>AVERAGE('22.07 Ndeeba-Nyanama'!F46,'23.07 Ndeeba-Nyanama'!F46,'24.07 Ndeeba-Nyanama'!F46,'25.07 Ndeeba-Nyanama'!F46,'26.07 Ndeeba-Nyanama-24h'!F46,'27.07 Ndeeba-Nyanama-24h'!F46,'28.07 Ndeeba-Nyanama'!F46)</f>
        <v>15.285714285714286</v>
      </c>
      <c r="G46" s="49">
        <f>AVERAGE('22.07 Ndeeba-Nyanama'!G46,'23.07 Ndeeba-Nyanama'!G46,'24.07 Ndeeba-Nyanama'!G46,'25.07 Ndeeba-Nyanama'!G46,'26.07 Ndeeba-Nyanama-24h'!G46,'27.07 Ndeeba-Nyanama-24h'!G46,'28.07 Ndeeba-Nyanama'!G46)</f>
        <v>0.5714285714285714</v>
      </c>
      <c r="H46" s="49">
        <f>AVERAGE('22.07 Ndeeba-Nyanama'!H46,'23.07 Ndeeba-Nyanama'!H46,'24.07 Ndeeba-Nyanama'!H46,'25.07 Ndeeba-Nyanama'!H46,'26.07 Ndeeba-Nyanama-24h'!H46,'27.07 Ndeeba-Nyanama-24h'!H46,'28.07 Ndeeba-Nyanama'!H46)</f>
        <v>0</v>
      </c>
      <c r="I46" s="49">
        <f>AVERAGE('22.07 Ndeeba-Nyanama'!I46,'23.07 Ndeeba-Nyanama'!I46,'24.07 Ndeeba-Nyanama'!I46,'25.07 Ndeeba-Nyanama'!I46,'26.07 Ndeeba-Nyanama-24h'!I46,'27.07 Ndeeba-Nyanama-24h'!I46,'28.07 Ndeeba-Nyanama'!I46)</f>
        <v>2.2857142857142856</v>
      </c>
      <c r="J46" s="49">
        <f>AVERAGE('22.07 Ndeeba-Nyanama'!J46,'23.07 Ndeeba-Nyanama'!J46,'24.07 Ndeeba-Nyanama'!J46,'25.07 Ndeeba-Nyanama'!J46,'26.07 Ndeeba-Nyanama-24h'!J46,'27.07 Ndeeba-Nyanama-24h'!J46,'28.07 Ndeeba-Nyanama'!J46)</f>
        <v>0.8571428571428571</v>
      </c>
      <c r="K46" s="49">
        <f>AVERAGE('22.07 Ndeeba-Nyanama'!K46,'23.07 Ndeeba-Nyanama'!K46,'24.07 Ndeeba-Nyanama'!K46,'25.07 Ndeeba-Nyanama'!K46,'26.07 Ndeeba-Nyanama-24h'!K46,'27.07 Ndeeba-Nyanama-24h'!K46,'28.07 Ndeeba-Nyanama'!K46)</f>
        <v>0.14285714285714285</v>
      </c>
      <c r="L46" s="49">
        <f>AVERAGE('22.07 Ndeeba-Nyanama'!L46,'23.07 Ndeeba-Nyanama'!L46,'24.07 Ndeeba-Nyanama'!L46,'25.07 Ndeeba-Nyanama'!L46,'26.07 Ndeeba-Nyanama-24h'!L46,'27.07 Ndeeba-Nyanama-24h'!L46,'28.07 Ndeeba-Nyanama'!L46)</f>
        <v>0</v>
      </c>
      <c r="M46" s="49">
        <f>AVERAGE('22.07 Ndeeba-Nyanama'!M46,'23.07 Ndeeba-Nyanama'!M46,'24.07 Ndeeba-Nyanama'!M46,'25.07 Ndeeba-Nyanama'!M46,'26.07 Ndeeba-Nyanama-24h'!M46,'27.07 Ndeeba-Nyanama-24h'!M46,'28.07 Ndeeba-Nyanama'!M46)</f>
        <v>91.857142857142861</v>
      </c>
      <c r="N46" s="49">
        <f>AVERAGE('22.07 Ndeeba-Nyanama'!N46,'23.07 Ndeeba-Nyanama'!N46,'24.07 Ndeeba-Nyanama'!N46,'25.07 Ndeeba-Nyanama'!N46,'26.07 Ndeeba-Nyanama-24h'!N46,'27.07 Ndeeba-Nyanama-24h'!N46,'28.07 Ndeeba-Nyanama'!N46)</f>
        <v>0</v>
      </c>
      <c r="O46" s="15">
        <f t="shared" si="0"/>
        <v>85.571428571428584</v>
      </c>
      <c r="P46" s="15">
        <f t="shared" si="1"/>
        <v>177.42857142857144</v>
      </c>
      <c r="R46" s="8"/>
      <c r="T46"/>
    </row>
    <row r="47" spans="2:32" ht="23.1" customHeight="1" x14ac:dyDescent="0.25">
      <c r="B47" s="24" t="s">
        <v>74</v>
      </c>
      <c r="C47" s="49">
        <f>AVERAGE('22.07 Ndeeba-Nyanama'!C47,'23.07 Ndeeba-Nyanama'!C47,'24.07 Ndeeba-Nyanama'!C47,'25.07 Ndeeba-Nyanama'!C47,'26.07 Ndeeba-Nyanama-24h'!C47,'27.07 Ndeeba-Nyanama-24h'!C47,'28.07 Ndeeba-Nyanama'!C47)</f>
        <v>58.285714285714285</v>
      </c>
      <c r="D47" s="49">
        <f>AVERAGE('22.07 Ndeeba-Nyanama'!D47,'23.07 Ndeeba-Nyanama'!D47,'24.07 Ndeeba-Nyanama'!D47,'25.07 Ndeeba-Nyanama'!D47,'26.07 Ndeeba-Nyanama-24h'!D47,'27.07 Ndeeba-Nyanama-24h'!D47,'28.07 Ndeeba-Nyanama'!D47)</f>
        <v>2.7142857142857144</v>
      </c>
      <c r="E47" s="49">
        <f>AVERAGE('22.07 Ndeeba-Nyanama'!E47,'23.07 Ndeeba-Nyanama'!E47,'24.07 Ndeeba-Nyanama'!E47,'25.07 Ndeeba-Nyanama'!E47,'26.07 Ndeeba-Nyanama-24h'!E47,'27.07 Ndeeba-Nyanama-24h'!E47,'28.07 Ndeeba-Nyanama'!E47)</f>
        <v>3</v>
      </c>
      <c r="F47" s="49">
        <f>AVERAGE('22.07 Ndeeba-Nyanama'!F47,'23.07 Ndeeba-Nyanama'!F47,'24.07 Ndeeba-Nyanama'!F47,'25.07 Ndeeba-Nyanama'!F47,'26.07 Ndeeba-Nyanama-24h'!F47,'27.07 Ndeeba-Nyanama-24h'!F47,'28.07 Ndeeba-Nyanama'!F47)</f>
        <v>12.857142857142858</v>
      </c>
      <c r="G47" s="49">
        <f>AVERAGE('22.07 Ndeeba-Nyanama'!G47,'23.07 Ndeeba-Nyanama'!G47,'24.07 Ndeeba-Nyanama'!G47,'25.07 Ndeeba-Nyanama'!G47,'26.07 Ndeeba-Nyanama-24h'!G47,'27.07 Ndeeba-Nyanama-24h'!G47,'28.07 Ndeeba-Nyanama'!G47)</f>
        <v>0.5714285714285714</v>
      </c>
      <c r="H47" s="49">
        <f>AVERAGE('22.07 Ndeeba-Nyanama'!H47,'23.07 Ndeeba-Nyanama'!H47,'24.07 Ndeeba-Nyanama'!H47,'25.07 Ndeeba-Nyanama'!H47,'26.07 Ndeeba-Nyanama-24h'!H47,'27.07 Ndeeba-Nyanama-24h'!H47,'28.07 Ndeeba-Nyanama'!H47)</f>
        <v>0</v>
      </c>
      <c r="I47" s="49">
        <f>AVERAGE('22.07 Ndeeba-Nyanama'!I47,'23.07 Ndeeba-Nyanama'!I47,'24.07 Ndeeba-Nyanama'!I47,'25.07 Ndeeba-Nyanama'!I47,'26.07 Ndeeba-Nyanama-24h'!I47,'27.07 Ndeeba-Nyanama-24h'!I47,'28.07 Ndeeba-Nyanama'!I47)</f>
        <v>4</v>
      </c>
      <c r="J47" s="49">
        <f>AVERAGE('22.07 Ndeeba-Nyanama'!J47,'23.07 Ndeeba-Nyanama'!J47,'24.07 Ndeeba-Nyanama'!J47,'25.07 Ndeeba-Nyanama'!J47,'26.07 Ndeeba-Nyanama-24h'!J47,'27.07 Ndeeba-Nyanama-24h'!J47,'28.07 Ndeeba-Nyanama'!J47)</f>
        <v>0.7142857142857143</v>
      </c>
      <c r="K47" s="49">
        <f>AVERAGE('22.07 Ndeeba-Nyanama'!K47,'23.07 Ndeeba-Nyanama'!K47,'24.07 Ndeeba-Nyanama'!K47,'25.07 Ndeeba-Nyanama'!K47,'26.07 Ndeeba-Nyanama-24h'!K47,'27.07 Ndeeba-Nyanama-24h'!K47,'28.07 Ndeeba-Nyanama'!K47)</f>
        <v>0.8571428571428571</v>
      </c>
      <c r="L47" s="49">
        <f>AVERAGE('22.07 Ndeeba-Nyanama'!L47,'23.07 Ndeeba-Nyanama'!L47,'24.07 Ndeeba-Nyanama'!L47,'25.07 Ndeeba-Nyanama'!L47,'26.07 Ndeeba-Nyanama-24h'!L47,'27.07 Ndeeba-Nyanama-24h'!L47,'28.07 Ndeeba-Nyanama'!L47)</f>
        <v>0.14285714285714285</v>
      </c>
      <c r="M47" s="49">
        <f>AVERAGE('22.07 Ndeeba-Nyanama'!M47,'23.07 Ndeeba-Nyanama'!M47,'24.07 Ndeeba-Nyanama'!M47,'25.07 Ndeeba-Nyanama'!M47,'26.07 Ndeeba-Nyanama-24h'!M47,'27.07 Ndeeba-Nyanama-24h'!M47,'28.07 Ndeeba-Nyanama'!M47)</f>
        <v>85.285714285714292</v>
      </c>
      <c r="N47" s="49">
        <f>AVERAGE('22.07 Ndeeba-Nyanama'!N47,'23.07 Ndeeba-Nyanama'!N47,'24.07 Ndeeba-Nyanama'!N47,'25.07 Ndeeba-Nyanama'!N47,'26.07 Ndeeba-Nyanama-24h'!N47,'27.07 Ndeeba-Nyanama-24h'!N47,'28.07 Ndeeba-Nyanama'!N47)</f>
        <v>0</v>
      </c>
      <c r="O47" s="15">
        <f t="shared" si="0"/>
        <v>83.142857142857139</v>
      </c>
      <c r="P47" s="15">
        <f t="shared" si="1"/>
        <v>168.42857142857144</v>
      </c>
      <c r="R47" s="8"/>
      <c r="T47"/>
    </row>
    <row r="48" spans="2:32" ht="23.1" customHeight="1" x14ac:dyDescent="0.25">
      <c r="B48" s="24" t="s">
        <v>75</v>
      </c>
      <c r="C48" s="49">
        <f>AVERAGE('22.07 Ndeeba-Nyanama'!C48,'23.07 Ndeeba-Nyanama'!C48,'24.07 Ndeeba-Nyanama'!C48,'25.07 Ndeeba-Nyanama'!C48,'26.07 Ndeeba-Nyanama-24h'!C48,'27.07 Ndeeba-Nyanama-24h'!C48,'28.07 Ndeeba-Nyanama'!C48)</f>
        <v>56.142857142857146</v>
      </c>
      <c r="D48" s="49">
        <f>AVERAGE('22.07 Ndeeba-Nyanama'!D48,'23.07 Ndeeba-Nyanama'!D48,'24.07 Ndeeba-Nyanama'!D48,'25.07 Ndeeba-Nyanama'!D48,'26.07 Ndeeba-Nyanama-24h'!D48,'27.07 Ndeeba-Nyanama-24h'!D48,'28.07 Ndeeba-Nyanama'!D48)</f>
        <v>0.14285714285714285</v>
      </c>
      <c r="E48" s="49">
        <f>AVERAGE('22.07 Ndeeba-Nyanama'!E48,'23.07 Ndeeba-Nyanama'!E48,'24.07 Ndeeba-Nyanama'!E48,'25.07 Ndeeba-Nyanama'!E48,'26.07 Ndeeba-Nyanama-24h'!E48,'27.07 Ndeeba-Nyanama-24h'!E48,'28.07 Ndeeba-Nyanama'!E48)</f>
        <v>2.4285714285714284</v>
      </c>
      <c r="F48" s="49">
        <f>AVERAGE('22.07 Ndeeba-Nyanama'!F48,'23.07 Ndeeba-Nyanama'!F48,'24.07 Ndeeba-Nyanama'!F48,'25.07 Ndeeba-Nyanama'!F48,'26.07 Ndeeba-Nyanama-24h'!F48,'27.07 Ndeeba-Nyanama-24h'!F48,'28.07 Ndeeba-Nyanama'!F48)</f>
        <v>20.428571428571427</v>
      </c>
      <c r="G48" s="49">
        <f>AVERAGE('22.07 Ndeeba-Nyanama'!G48,'23.07 Ndeeba-Nyanama'!G48,'24.07 Ndeeba-Nyanama'!G48,'25.07 Ndeeba-Nyanama'!G48,'26.07 Ndeeba-Nyanama-24h'!G48,'27.07 Ndeeba-Nyanama-24h'!G48,'28.07 Ndeeba-Nyanama'!G48)</f>
        <v>0.14285714285714285</v>
      </c>
      <c r="H48" s="49">
        <f>AVERAGE('22.07 Ndeeba-Nyanama'!H48,'23.07 Ndeeba-Nyanama'!H48,'24.07 Ndeeba-Nyanama'!H48,'25.07 Ndeeba-Nyanama'!H48,'26.07 Ndeeba-Nyanama-24h'!H48,'27.07 Ndeeba-Nyanama-24h'!H48,'28.07 Ndeeba-Nyanama'!H48)</f>
        <v>0</v>
      </c>
      <c r="I48" s="49">
        <f>AVERAGE('22.07 Ndeeba-Nyanama'!I48,'23.07 Ndeeba-Nyanama'!I48,'24.07 Ndeeba-Nyanama'!I48,'25.07 Ndeeba-Nyanama'!I48,'26.07 Ndeeba-Nyanama-24h'!I48,'27.07 Ndeeba-Nyanama-24h'!I48,'28.07 Ndeeba-Nyanama'!I48)</f>
        <v>2.1428571428571428</v>
      </c>
      <c r="J48" s="49">
        <f>AVERAGE('22.07 Ndeeba-Nyanama'!J48,'23.07 Ndeeba-Nyanama'!J48,'24.07 Ndeeba-Nyanama'!J48,'25.07 Ndeeba-Nyanama'!J48,'26.07 Ndeeba-Nyanama-24h'!J48,'27.07 Ndeeba-Nyanama-24h'!J48,'28.07 Ndeeba-Nyanama'!J48)</f>
        <v>0.42857142857142855</v>
      </c>
      <c r="K48" s="49">
        <f>AVERAGE('22.07 Ndeeba-Nyanama'!K48,'23.07 Ndeeba-Nyanama'!K48,'24.07 Ndeeba-Nyanama'!K48,'25.07 Ndeeba-Nyanama'!K48,'26.07 Ndeeba-Nyanama-24h'!K48,'27.07 Ndeeba-Nyanama-24h'!K48,'28.07 Ndeeba-Nyanama'!K48)</f>
        <v>0.42857142857142855</v>
      </c>
      <c r="L48" s="49">
        <f>AVERAGE('22.07 Ndeeba-Nyanama'!L48,'23.07 Ndeeba-Nyanama'!L48,'24.07 Ndeeba-Nyanama'!L48,'25.07 Ndeeba-Nyanama'!L48,'26.07 Ndeeba-Nyanama-24h'!L48,'27.07 Ndeeba-Nyanama-24h'!L48,'28.07 Ndeeba-Nyanama'!L48)</f>
        <v>0</v>
      </c>
      <c r="M48" s="49">
        <f>AVERAGE('22.07 Ndeeba-Nyanama'!M48,'23.07 Ndeeba-Nyanama'!M48,'24.07 Ndeeba-Nyanama'!M48,'25.07 Ndeeba-Nyanama'!M48,'26.07 Ndeeba-Nyanama-24h'!M48,'27.07 Ndeeba-Nyanama-24h'!M48,'28.07 Ndeeba-Nyanama'!M48)</f>
        <v>77.571428571428569</v>
      </c>
      <c r="N48" s="49">
        <f>AVERAGE('22.07 Ndeeba-Nyanama'!N48,'23.07 Ndeeba-Nyanama'!N48,'24.07 Ndeeba-Nyanama'!N48,'25.07 Ndeeba-Nyanama'!N48,'26.07 Ndeeba-Nyanama-24h'!N48,'27.07 Ndeeba-Nyanama-24h'!N48,'28.07 Ndeeba-Nyanama'!N48)</f>
        <v>0</v>
      </c>
      <c r="O48" s="15">
        <f t="shared" si="0"/>
        <v>82.285714285714292</v>
      </c>
      <c r="P48" s="15">
        <f t="shared" si="1"/>
        <v>159.85714285714286</v>
      </c>
      <c r="R48" s="8"/>
      <c r="T48"/>
    </row>
    <row r="49" spans="2:20" ht="23.1" customHeight="1" x14ac:dyDescent="0.25">
      <c r="B49" s="23" t="s">
        <v>76</v>
      </c>
      <c r="C49" s="49">
        <f>AVERAGE('22.07 Ndeeba-Nyanama'!C49,'23.07 Ndeeba-Nyanama'!C49,'24.07 Ndeeba-Nyanama'!C49,'25.07 Ndeeba-Nyanama'!C49,'26.07 Ndeeba-Nyanama-24h'!C49,'27.07 Ndeeba-Nyanama-24h'!C49,'28.07 Ndeeba-Nyanama'!C49)</f>
        <v>69</v>
      </c>
      <c r="D49" s="49">
        <f>AVERAGE('22.07 Ndeeba-Nyanama'!D49,'23.07 Ndeeba-Nyanama'!D49,'24.07 Ndeeba-Nyanama'!D49,'25.07 Ndeeba-Nyanama'!D49,'26.07 Ndeeba-Nyanama-24h'!D49,'27.07 Ndeeba-Nyanama-24h'!D49,'28.07 Ndeeba-Nyanama'!D49)</f>
        <v>2.5714285714285716</v>
      </c>
      <c r="E49" s="49">
        <f>AVERAGE('22.07 Ndeeba-Nyanama'!E49,'23.07 Ndeeba-Nyanama'!E49,'24.07 Ndeeba-Nyanama'!E49,'25.07 Ndeeba-Nyanama'!E49,'26.07 Ndeeba-Nyanama-24h'!E49,'27.07 Ndeeba-Nyanama-24h'!E49,'28.07 Ndeeba-Nyanama'!E49)</f>
        <v>4.4285714285714288</v>
      </c>
      <c r="F49" s="49">
        <f>AVERAGE('22.07 Ndeeba-Nyanama'!F49,'23.07 Ndeeba-Nyanama'!F49,'24.07 Ndeeba-Nyanama'!F49,'25.07 Ndeeba-Nyanama'!F49,'26.07 Ndeeba-Nyanama-24h'!F49,'27.07 Ndeeba-Nyanama-24h'!F49,'28.07 Ndeeba-Nyanama'!F49)</f>
        <v>15.142857142857142</v>
      </c>
      <c r="G49" s="49">
        <f>AVERAGE('22.07 Ndeeba-Nyanama'!G49,'23.07 Ndeeba-Nyanama'!G49,'24.07 Ndeeba-Nyanama'!G49,'25.07 Ndeeba-Nyanama'!G49,'26.07 Ndeeba-Nyanama-24h'!G49,'27.07 Ndeeba-Nyanama-24h'!G49,'28.07 Ndeeba-Nyanama'!G49)</f>
        <v>0.8571428571428571</v>
      </c>
      <c r="H49" s="49">
        <f>AVERAGE('22.07 Ndeeba-Nyanama'!H49,'23.07 Ndeeba-Nyanama'!H49,'24.07 Ndeeba-Nyanama'!H49,'25.07 Ndeeba-Nyanama'!H49,'26.07 Ndeeba-Nyanama-24h'!H49,'27.07 Ndeeba-Nyanama-24h'!H49,'28.07 Ndeeba-Nyanama'!H49)</f>
        <v>0</v>
      </c>
      <c r="I49" s="49">
        <f>AVERAGE('22.07 Ndeeba-Nyanama'!I49,'23.07 Ndeeba-Nyanama'!I49,'24.07 Ndeeba-Nyanama'!I49,'25.07 Ndeeba-Nyanama'!I49,'26.07 Ndeeba-Nyanama-24h'!I49,'27.07 Ndeeba-Nyanama-24h'!I49,'28.07 Ndeeba-Nyanama'!I49)</f>
        <v>2.7142857142857144</v>
      </c>
      <c r="J49" s="49">
        <f>AVERAGE('22.07 Ndeeba-Nyanama'!J49,'23.07 Ndeeba-Nyanama'!J49,'24.07 Ndeeba-Nyanama'!J49,'25.07 Ndeeba-Nyanama'!J49,'26.07 Ndeeba-Nyanama-24h'!J49,'27.07 Ndeeba-Nyanama-24h'!J49,'28.07 Ndeeba-Nyanama'!J49)</f>
        <v>0.8571428571428571</v>
      </c>
      <c r="K49" s="49">
        <f>AVERAGE('22.07 Ndeeba-Nyanama'!K49,'23.07 Ndeeba-Nyanama'!K49,'24.07 Ndeeba-Nyanama'!K49,'25.07 Ndeeba-Nyanama'!K49,'26.07 Ndeeba-Nyanama-24h'!K49,'27.07 Ndeeba-Nyanama-24h'!K49,'28.07 Ndeeba-Nyanama'!K49)</f>
        <v>0.14285714285714285</v>
      </c>
      <c r="L49" s="49">
        <f>AVERAGE('22.07 Ndeeba-Nyanama'!L49,'23.07 Ndeeba-Nyanama'!L49,'24.07 Ndeeba-Nyanama'!L49,'25.07 Ndeeba-Nyanama'!L49,'26.07 Ndeeba-Nyanama-24h'!L49,'27.07 Ndeeba-Nyanama-24h'!L49,'28.07 Ndeeba-Nyanama'!L49)</f>
        <v>0.2857142857142857</v>
      </c>
      <c r="M49" s="49">
        <f>AVERAGE('22.07 Ndeeba-Nyanama'!M49,'23.07 Ndeeba-Nyanama'!M49,'24.07 Ndeeba-Nyanama'!M49,'25.07 Ndeeba-Nyanama'!M49,'26.07 Ndeeba-Nyanama-24h'!M49,'27.07 Ndeeba-Nyanama-24h'!M49,'28.07 Ndeeba-Nyanama'!M49)</f>
        <v>83</v>
      </c>
      <c r="N49" s="49">
        <f>AVERAGE('22.07 Ndeeba-Nyanama'!N49,'23.07 Ndeeba-Nyanama'!N49,'24.07 Ndeeba-Nyanama'!N49,'25.07 Ndeeba-Nyanama'!N49,'26.07 Ndeeba-Nyanama-24h'!N49,'27.07 Ndeeba-Nyanama-24h'!N49,'28.07 Ndeeba-Nyanama'!N49)</f>
        <v>0</v>
      </c>
      <c r="O49" s="15">
        <f t="shared" si="0"/>
        <v>96</v>
      </c>
      <c r="P49" s="15">
        <f t="shared" si="1"/>
        <v>179</v>
      </c>
      <c r="R49" s="8"/>
      <c r="T49"/>
    </row>
    <row r="50" spans="2:20" ht="23.1" customHeight="1" x14ac:dyDescent="0.25">
      <c r="B50" s="24" t="s">
        <v>77</v>
      </c>
      <c r="C50" s="49">
        <f>AVERAGE('22.07 Ndeeba-Nyanama'!C50,'23.07 Ndeeba-Nyanama'!C50,'24.07 Ndeeba-Nyanama'!C50,'25.07 Ndeeba-Nyanama'!C50,'26.07 Ndeeba-Nyanama-24h'!C50,'27.07 Ndeeba-Nyanama-24h'!C50,'28.07 Ndeeba-Nyanama'!C50)</f>
        <v>65.428571428571431</v>
      </c>
      <c r="D50" s="49">
        <f>AVERAGE('22.07 Ndeeba-Nyanama'!D50,'23.07 Ndeeba-Nyanama'!D50,'24.07 Ndeeba-Nyanama'!D50,'25.07 Ndeeba-Nyanama'!D50,'26.07 Ndeeba-Nyanama-24h'!D50,'27.07 Ndeeba-Nyanama-24h'!D50,'28.07 Ndeeba-Nyanama'!D50)</f>
        <v>2.7142857142857144</v>
      </c>
      <c r="E50" s="49">
        <f>AVERAGE('22.07 Ndeeba-Nyanama'!E50,'23.07 Ndeeba-Nyanama'!E50,'24.07 Ndeeba-Nyanama'!E50,'25.07 Ndeeba-Nyanama'!E50,'26.07 Ndeeba-Nyanama-24h'!E50,'27.07 Ndeeba-Nyanama-24h'!E50,'28.07 Ndeeba-Nyanama'!E50)</f>
        <v>2.4285714285714284</v>
      </c>
      <c r="F50" s="49">
        <f>AVERAGE('22.07 Ndeeba-Nyanama'!F50,'23.07 Ndeeba-Nyanama'!F50,'24.07 Ndeeba-Nyanama'!F50,'25.07 Ndeeba-Nyanama'!F50,'26.07 Ndeeba-Nyanama-24h'!F50,'27.07 Ndeeba-Nyanama-24h'!F50,'28.07 Ndeeba-Nyanama'!F50)</f>
        <v>26.285714285714285</v>
      </c>
      <c r="G50" s="49">
        <f>AVERAGE('22.07 Ndeeba-Nyanama'!G50,'23.07 Ndeeba-Nyanama'!G50,'24.07 Ndeeba-Nyanama'!G50,'25.07 Ndeeba-Nyanama'!G50,'26.07 Ndeeba-Nyanama-24h'!G50,'27.07 Ndeeba-Nyanama-24h'!G50,'28.07 Ndeeba-Nyanama'!G50)</f>
        <v>0.14285714285714285</v>
      </c>
      <c r="H50" s="49">
        <f>AVERAGE('22.07 Ndeeba-Nyanama'!H50,'23.07 Ndeeba-Nyanama'!H50,'24.07 Ndeeba-Nyanama'!H50,'25.07 Ndeeba-Nyanama'!H50,'26.07 Ndeeba-Nyanama-24h'!H50,'27.07 Ndeeba-Nyanama-24h'!H50,'28.07 Ndeeba-Nyanama'!H50)</f>
        <v>0</v>
      </c>
      <c r="I50" s="49">
        <f>AVERAGE('22.07 Ndeeba-Nyanama'!I50,'23.07 Ndeeba-Nyanama'!I50,'24.07 Ndeeba-Nyanama'!I50,'25.07 Ndeeba-Nyanama'!I50,'26.07 Ndeeba-Nyanama-24h'!I50,'27.07 Ndeeba-Nyanama-24h'!I50,'28.07 Ndeeba-Nyanama'!I50)</f>
        <v>3.5714285714285716</v>
      </c>
      <c r="J50" s="49">
        <f>AVERAGE('22.07 Ndeeba-Nyanama'!J50,'23.07 Ndeeba-Nyanama'!J50,'24.07 Ndeeba-Nyanama'!J50,'25.07 Ndeeba-Nyanama'!J50,'26.07 Ndeeba-Nyanama-24h'!J50,'27.07 Ndeeba-Nyanama-24h'!J50,'28.07 Ndeeba-Nyanama'!J50)</f>
        <v>0.7142857142857143</v>
      </c>
      <c r="K50" s="49">
        <f>AVERAGE('22.07 Ndeeba-Nyanama'!K50,'23.07 Ndeeba-Nyanama'!K50,'24.07 Ndeeba-Nyanama'!K50,'25.07 Ndeeba-Nyanama'!K50,'26.07 Ndeeba-Nyanama-24h'!K50,'27.07 Ndeeba-Nyanama-24h'!K50,'28.07 Ndeeba-Nyanama'!K50)</f>
        <v>0.14285714285714285</v>
      </c>
      <c r="L50" s="49">
        <f>AVERAGE('22.07 Ndeeba-Nyanama'!L50,'23.07 Ndeeba-Nyanama'!L50,'24.07 Ndeeba-Nyanama'!L50,'25.07 Ndeeba-Nyanama'!L50,'26.07 Ndeeba-Nyanama-24h'!L50,'27.07 Ndeeba-Nyanama-24h'!L50,'28.07 Ndeeba-Nyanama'!L50)</f>
        <v>0.7142857142857143</v>
      </c>
      <c r="M50" s="49">
        <f>AVERAGE('22.07 Ndeeba-Nyanama'!M50,'23.07 Ndeeba-Nyanama'!M50,'24.07 Ndeeba-Nyanama'!M50,'25.07 Ndeeba-Nyanama'!M50,'26.07 Ndeeba-Nyanama-24h'!M50,'27.07 Ndeeba-Nyanama-24h'!M50,'28.07 Ndeeba-Nyanama'!M50)</f>
        <v>96.142857142857139</v>
      </c>
      <c r="N50" s="49">
        <f>AVERAGE('22.07 Ndeeba-Nyanama'!N50,'23.07 Ndeeba-Nyanama'!N50,'24.07 Ndeeba-Nyanama'!N50,'25.07 Ndeeba-Nyanama'!N50,'26.07 Ndeeba-Nyanama-24h'!N50,'27.07 Ndeeba-Nyanama-24h'!N50,'28.07 Ndeeba-Nyanama'!N50)</f>
        <v>0</v>
      </c>
      <c r="O50" s="15">
        <f t="shared" si="0"/>
        <v>102.14285714285712</v>
      </c>
      <c r="P50" s="15">
        <f t="shared" si="1"/>
        <v>198.28571428571428</v>
      </c>
      <c r="R50" s="8"/>
      <c r="T50"/>
    </row>
    <row r="51" spans="2:20" ht="23.1" customHeight="1" x14ac:dyDescent="0.25">
      <c r="B51" s="24" t="s">
        <v>78</v>
      </c>
      <c r="C51" s="49">
        <f>AVERAGE('22.07 Ndeeba-Nyanama'!C51,'23.07 Ndeeba-Nyanama'!C51,'24.07 Ndeeba-Nyanama'!C51,'25.07 Ndeeba-Nyanama'!C51,'26.07 Ndeeba-Nyanama-24h'!C51,'27.07 Ndeeba-Nyanama-24h'!C51,'28.07 Ndeeba-Nyanama'!C51)</f>
        <v>69.428571428571431</v>
      </c>
      <c r="D51" s="49">
        <f>AVERAGE('22.07 Ndeeba-Nyanama'!D51,'23.07 Ndeeba-Nyanama'!D51,'24.07 Ndeeba-Nyanama'!D51,'25.07 Ndeeba-Nyanama'!D51,'26.07 Ndeeba-Nyanama-24h'!D51,'27.07 Ndeeba-Nyanama-24h'!D51,'28.07 Ndeeba-Nyanama'!D51)</f>
        <v>3</v>
      </c>
      <c r="E51" s="49">
        <f>AVERAGE('22.07 Ndeeba-Nyanama'!E51,'23.07 Ndeeba-Nyanama'!E51,'24.07 Ndeeba-Nyanama'!E51,'25.07 Ndeeba-Nyanama'!E51,'26.07 Ndeeba-Nyanama-24h'!E51,'27.07 Ndeeba-Nyanama-24h'!E51,'28.07 Ndeeba-Nyanama'!E51)</f>
        <v>3.2857142857142856</v>
      </c>
      <c r="F51" s="49">
        <f>AVERAGE('22.07 Ndeeba-Nyanama'!F51,'23.07 Ndeeba-Nyanama'!F51,'24.07 Ndeeba-Nyanama'!F51,'25.07 Ndeeba-Nyanama'!F51,'26.07 Ndeeba-Nyanama-24h'!F51,'27.07 Ndeeba-Nyanama-24h'!F51,'28.07 Ndeeba-Nyanama'!F51)</f>
        <v>31.428571428571427</v>
      </c>
      <c r="G51" s="49">
        <f>AVERAGE('22.07 Ndeeba-Nyanama'!G51,'23.07 Ndeeba-Nyanama'!G51,'24.07 Ndeeba-Nyanama'!G51,'25.07 Ndeeba-Nyanama'!G51,'26.07 Ndeeba-Nyanama-24h'!G51,'27.07 Ndeeba-Nyanama-24h'!G51,'28.07 Ndeeba-Nyanama'!G51)</f>
        <v>0.2857142857142857</v>
      </c>
      <c r="H51" s="49">
        <f>AVERAGE('22.07 Ndeeba-Nyanama'!H51,'23.07 Ndeeba-Nyanama'!H51,'24.07 Ndeeba-Nyanama'!H51,'25.07 Ndeeba-Nyanama'!H51,'26.07 Ndeeba-Nyanama-24h'!H51,'27.07 Ndeeba-Nyanama-24h'!H51,'28.07 Ndeeba-Nyanama'!H51)</f>
        <v>0</v>
      </c>
      <c r="I51" s="49">
        <f>AVERAGE('22.07 Ndeeba-Nyanama'!I51,'23.07 Ndeeba-Nyanama'!I51,'24.07 Ndeeba-Nyanama'!I51,'25.07 Ndeeba-Nyanama'!I51,'26.07 Ndeeba-Nyanama-24h'!I51,'27.07 Ndeeba-Nyanama-24h'!I51,'28.07 Ndeeba-Nyanama'!I51)</f>
        <v>3.2857142857142856</v>
      </c>
      <c r="J51" s="49">
        <f>AVERAGE('22.07 Ndeeba-Nyanama'!J51,'23.07 Ndeeba-Nyanama'!J51,'24.07 Ndeeba-Nyanama'!J51,'25.07 Ndeeba-Nyanama'!J51,'26.07 Ndeeba-Nyanama-24h'!J51,'27.07 Ndeeba-Nyanama-24h'!J51,'28.07 Ndeeba-Nyanama'!J51)</f>
        <v>1.2857142857142858</v>
      </c>
      <c r="K51" s="49">
        <f>AVERAGE('22.07 Ndeeba-Nyanama'!K51,'23.07 Ndeeba-Nyanama'!K51,'24.07 Ndeeba-Nyanama'!K51,'25.07 Ndeeba-Nyanama'!K51,'26.07 Ndeeba-Nyanama-24h'!K51,'27.07 Ndeeba-Nyanama-24h'!K51,'28.07 Ndeeba-Nyanama'!K51)</f>
        <v>0</v>
      </c>
      <c r="L51" s="49">
        <f>AVERAGE('22.07 Ndeeba-Nyanama'!L51,'23.07 Ndeeba-Nyanama'!L51,'24.07 Ndeeba-Nyanama'!L51,'25.07 Ndeeba-Nyanama'!L51,'26.07 Ndeeba-Nyanama-24h'!L51,'27.07 Ndeeba-Nyanama-24h'!L51,'28.07 Ndeeba-Nyanama'!L51)</f>
        <v>0.5714285714285714</v>
      </c>
      <c r="M51" s="49">
        <f>AVERAGE('22.07 Ndeeba-Nyanama'!M51,'23.07 Ndeeba-Nyanama'!M51,'24.07 Ndeeba-Nyanama'!M51,'25.07 Ndeeba-Nyanama'!M51,'26.07 Ndeeba-Nyanama-24h'!M51,'27.07 Ndeeba-Nyanama-24h'!M51,'28.07 Ndeeba-Nyanama'!M51)</f>
        <v>88.571428571428569</v>
      </c>
      <c r="N51" s="49">
        <f>AVERAGE('22.07 Ndeeba-Nyanama'!N51,'23.07 Ndeeba-Nyanama'!N51,'24.07 Ndeeba-Nyanama'!N51,'25.07 Ndeeba-Nyanama'!N51,'26.07 Ndeeba-Nyanama-24h'!N51,'27.07 Ndeeba-Nyanama-24h'!N51,'28.07 Ndeeba-Nyanama'!N51)</f>
        <v>0</v>
      </c>
      <c r="O51" s="15">
        <f t="shared" si="0"/>
        <v>112.5714285714286</v>
      </c>
      <c r="P51" s="15">
        <f t="shared" si="1"/>
        <v>201.14285714285717</v>
      </c>
      <c r="R51" s="8"/>
      <c r="T51"/>
    </row>
    <row r="52" spans="2:20" ht="23.1" customHeight="1" x14ac:dyDescent="0.25">
      <c r="B52" s="24" t="s">
        <v>79</v>
      </c>
      <c r="C52" s="49">
        <f>AVERAGE('22.07 Ndeeba-Nyanama'!C52,'23.07 Ndeeba-Nyanama'!C52,'24.07 Ndeeba-Nyanama'!C52,'25.07 Ndeeba-Nyanama'!C52,'26.07 Ndeeba-Nyanama-24h'!C52,'27.07 Ndeeba-Nyanama-24h'!C52,'28.07 Ndeeba-Nyanama'!C52)</f>
        <v>80.714285714285708</v>
      </c>
      <c r="D52" s="49">
        <f>AVERAGE('22.07 Ndeeba-Nyanama'!D52,'23.07 Ndeeba-Nyanama'!D52,'24.07 Ndeeba-Nyanama'!D52,'25.07 Ndeeba-Nyanama'!D52,'26.07 Ndeeba-Nyanama-24h'!D52,'27.07 Ndeeba-Nyanama-24h'!D52,'28.07 Ndeeba-Nyanama'!D52)</f>
        <v>1.4285714285714286</v>
      </c>
      <c r="E52" s="49">
        <f>AVERAGE('22.07 Ndeeba-Nyanama'!E52,'23.07 Ndeeba-Nyanama'!E52,'24.07 Ndeeba-Nyanama'!E52,'25.07 Ndeeba-Nyanama'!E52,'26.07 Ndeeba-Nyanama-24h'!E52,'27.07 Ndeeba-Nyanama-24h'!E52,'28.07 Ndeeba-Nyanama'!E52)</f>
        <v>3.8571428571428572</v>
      </c>
      <c r="F52" s="49">
        <f>AVERAGE('22.07 Ndeeba-Nyanama'!F52,'23.07 Ndeeba-Nyanama'!F52,'24.07 Ndeeba-Nyanama'!F52,'25.07 Ndeeba-Nyanama'!F52,'26.07 Ndeeba-Nyanama-24h'!F52,'27.07 Ndeeba-Nyanama-24h'!F52,'28.07 Ndeeba-Nyanama'!F52)</f>
        <v>33</v>
      </c>
      <c r="G52" s="49">
        <f>AVERAGE('22.07 Ndeeba-Nyanama'!G52,'23.07 Ndeeba-Nyanama'!G52,'24.07 Ndeeba-Nyanama'!G52,'25.07 Ndeeba-Nyanama'!G52,'26.07 Ndeeba-Nyanama-24h'!G52,'27.07 Ndeeba-Nyanama-24h'!G52,'28.07 Ndeeba-Nyanama'!G52)</f>
        <v>0.14285714285714285</v>
      </c>
      <c r="H52" s="49">
        <f>AVERAGE('22.07 Ndeeba-Nyanama'!H52,'23.07 Ndeeba-Nyanama'!H52,'24.07 Ndeeba-Nyanama'!H52,'25.07 Ndeeba-Nyanama'!H52,'26.07 Ndeeba-Nyanama-24h'!H52,'27.07 Ndeeba-Nyanama-24h'!H52,'28.07 Ndeeba-Nyanama'!H52)</f>
        <v>0</v>
      </c>
      <c r="I52" s="49">
        <f>AVERAGE('22.07 Ndeeba-Nyanama'!I52,'23.07 Ndeeba-Nyanama'!I52,'24.07 Ndeeba-Nyanama'!I52,'25.07 Ndeeba-Nyanama'!I52,'26.07 Ndeeba-Nyanama-24h'!I52,'27.07 Ndeeba-Nyanama-24h'!I52,'28.07 Ndeeba-Nyanama'!I52)</f>
        <v>5.5714285714285712</v>
      </c>
      <c r="J52" s="49">
        <f>AVERAGE('22.07 Ndeeba-Nyanama'!J52,'23.07 Ndeeba-Nyanama'!J52,'24.07 Ndeeba-Nyanama'!J52,'25.07 Ndeeba-Nyanama'!J52,'26.07 Ndeeba-Nyanama-24h'!J52,'27.07 Ndeeba-Nyanama-24h'!J52,'28.07 Ndeeba-Nyanama'!J52)</f>
        <v>0.2857142857142857</v>
      </c>
      <c r="K52" s="49">
        <f>AVERAGE('22.07 Ndeeba-Nyanama'!K52,'23.07 Ndeeba-Nyanama'!K52,'24.07 Ndeeba-Nyanama'!K52,'25.07 Ndeeba-Nyanama'!K52,'26.07 Ndeeba-Nyanama-24h'!K52,'27.07 Ndeeba-Nyanama-24h'!K52,'28.07 Ndeeba-Nyanama'!K52)</f>
        <v>0</v>
      </c>
      <c r="L52" s="49">
        <f>AVERAGE('22.07 Ndeeba-Nyanama'!L52,'23.07 Ndeeba-Nyanama'!L52,'24.07 Ndeeba-Nyanama'!L52,'25.07 Ndeeba-Nyanama'!L52,'26.07 Ndeeba-Nyanama-24h'!L52,'27.07 Ndeeba-Nyanama-24h'!L52,'28.07 Ndeeba-Nyanama'!L52)</f>
        <v>0.2857142857142857</v>
      </c>
      <c r="M52" s="49">
        <f>AVERAGE('22.07 Ndeeba-Nyanama'!M52,'23.07 Ndeeba-Nyanama'!M52,'24.07 Ndeeba-Nyanama'!M52,'25.07 Ndeeba-Nyanama'!M52,'26.07 Ndeeba-Nyanama-24h'!M52,'27.07 Ndeeba-Nyanama-24h'!M52,'28.07 Ndeeba-Nyanama'!M52)</f>
        <v>101.42857142857143</v>
      </c>
      <c r="N52" s="49">
        <f>AVERAGE('22.07 Ndeeba-Nyanama'!N52,'23.07 Ndeeba-Nyanama'!N52,'24.07 Ndeeba-Nyanama'!N52,'25.07 Ndeeba-Nyanama'!N52,'26.07 Ndeeba-Nyanama-24h'!N52,'27.07 Ndeeba-Nyanama-24h'!N52,'28.07 Ndeeba-Nyanama'!N52)</f>
        <v>0</v>
      </c>
      <c r="O52" s="15">
        <f t="shared" si="0"/>
        <v>125.28571428571429</v>
      </c>
      <c r="P52" s="15">
        <f t="shared" si="1"/>
        <v>226.71428571428572</v>
      </c>
      <c r="R52" s="8"/>
      <c r="T52"/>
    </row>
    <row r="53" spans="2:20" ht="23.1" customHeight="1" x14ac:dyDescent="0.25">
      <c r="B53" s="23" t="s">
        <v>80</v>
      </c>
      <c r="C53" s="49">
        <f>AVERAGE('22.07 Ndeeba-Nyanama'!C53,'23.07 Ndeeba-Nyanama'!C53,'24.07 Ndeeba-Nyanama'!C53,'25.07 Ndeeba-Nyanama'!C53,'26.07 Ndeeba-Nyanama-24h'!C53,'27.07 Ndeeba-Nyanama-24h'!C53,'28.07 Ndeeba-Nyanama'!C53)</f>
        <v>78.285714285714292</v>
      </c>
      <c r="D53" s="49">
        <f>AVERAGE('22.07 Ndeeba-Nyanama'!D53,'23.07 Ndeeba-Nyanama'!D53,'24.07 Ndeeba-Nyanama'!D53,'25.07 Ndeeba-Nyanama'!D53,'26.07 Ndeeba-Nyanama-24h'!D53,'27.07 Ndeeba-Nyanama-24h'!D53,'28.07 Ndeeba-Nyanama'!D53)</f>
        <v>2</v>
      </c>
      <c r="E53" s="49">
        <f>AVERAGE('22.07 Ndeeba-Nyanama'!E53,'23.07 Ndeeba-Nyanama'!E53,'24.07 Ndeeba-Nyanama'!E53,'25.07 Ndeeba-Nyanama'!E53,'26.07 Ndeeba-Nyanama-24h'!E53,'27.07 Ndeeba-Nyanama-24h'!E53,'28.07 Ndeeba-Nyanama'!E53)</f>
        <v>2.7142857142857144</v>
      </c>
      <c r="F53" s="49">
        <f>AVERAGE('22.07 Ndeeba-Nyanama'!F53,'23.07 Ndeeba-Nyanama'!F53,'24.07 Ndeeba-Nyanama'!F53,'25.07 Ndeeba-Nyanama'!F53,'26.07 Ndeeba-Nyanama-24h'!F53,'27.07 Ndeeba-Nyanama-24h'!F53,'28.07 Ndeeba-Nyanama'!F53)</f>
        <v>25.428571428571427</v>
      </c>
      <c r="G53" s="49">
        <f>AVERAGE('22.07 Ndeeba-Nyanama'!G53,'23.07 Ndeeba-Nyanama'!G53,'24.07 Ndeeba-Nyanama'!G53,'25.07 Ndeeba-Nyanama'!G53,'26.07 Ndeeba-Nyanama-24h'!G53,'27.07 Ndeeba-Nyanama-24h'!G53,'28.07 Ndeeba-Nyanama'!G53)</f>
        <v>0</v>
      </c>
      <c r="H53" s="49">
        <f>AVERAGE('22.07 Ndeeba-Nyanama'!H53,'23.07 Ndeeba-Nyanama'!H53,'24.07 Ndeeba-Nyanama'!H53,'25.07 Ndeeba-Nyanama'!H53,'26.07 Ndeeba-Nyanama-24h'!H53,'27.07 Ndeeba-Nyanama-24h'!H53,'28.07 Ndeeba-Nyanama'!H53)</f>
        <v>0</v>
      </c>
      <c r="I53" s="49">
        <f>AVERAGE('22.07 Ndeeba-Nyanama'!I53,'23.07 Ndeeba-Nyanama'!I53,'24.07 Ndeeba-Nyanama'!I53,'25.07 Ndeeba-Nyanama'!I53,'26.07 Ndeeba-Nyanama-24h'!I53,'27.07 Ndeeba-Nyanama-24h'!I53,'28.07 Ndeeba-Nyanama'!I53)</f>
        <v>3.5714285714285716</v>
      </c>
      <c r="J53" s="49">
        <f>AVERAGE('22.07 Ndeeba-Nyanama'!J53,'23.07 Ndeeba-Nyanama'!J53,'24.07 Ndeeba-Nyanama'!J53,'25.07 Ndeeba-Nyanama'!J53,'26.07 Ndeeba-Nyanama-24h'!J53,'27.07 Ndeeba-Nyanama-24h'!J53,'28.07 Ndeeba-Nyanama'!J53)</f>
        <v>0.8571428571428571</v>
      </c>
      <c r="K53" s="49">
        <f>AVERAGE('22.07 Ndeeba-Nyanama'!K53,'23.07 Ndeeba-Nyanama'!K53,'24.07 Ndeeba-Nyanama'!K53,'25.07 Ndeeba-Nyanama'!K53,'26.07 Ndeeba-Nyanama-24h'!K53,'27.07 Ndeeba-Nyanama-24h'!K53,'28.07 Ndeeba-Nyanama'!K53)</f>
        <v>0.2857142857142857</v>
      </c>
      <c r="L53" s="49">
        <f>AVERAGE('22.07 Ndeeba-Nyanama'!L53,'23.07 Ndeeba-Nyanama'!L53,'24.07 Ndeeba-Nyanama'!L53,'25.07 Ndeeba-Nyanama'!L53,'26.07 Ndeeba-Nyanama-24h'!L53,'27.07 Ndeeba-Nyanama-24h'!L53,'28.07 Ndeeba-Nyanama'!L53)</f>
        <v>0.42857142857142855</v>
      </c>
      <c r="M53" s="49">
        <f>AVERAGE('22.07 Ndeeba-Nyanama'!M53,'23.07 Ndeeba-Nyanama'!M53,'24.07 Ndeeba-Nyanama'!M53,'25.07 Ndeeba-Nyanama'!M53,'26.07 Ndeeba-Nyanama-24h'!M53,'27.07 Ndeeba-Nyanama-24h'!M53,'28.07 Ndeeba-Nyanama'!M53)</f>
        <v>86.571428571428569</v>
      </c>
      <c r="N53" s="49">
        <f>AVERAGE('22.07 Ndeeba-Nyanama'!N53,'23.07 Ndeeba-Nyanama'!N53,'24.07 Ndeeba-Nyanama'!N53,'25.07 Ndeeba-Nyanama'!N53,'26.07 Ndeeba-Nyanama-24h'!N53,'27.07 Ndeeba-Nyanama-24h'!N53,'28.07 Ndeeba-Nyanama'!N53)</f>
        <v>0</v>
      </c>
      <c r="O53" s="15">
        <f t="shared" si="0"/>
        <v>113.57142857142858</v>
      </c>
      <c r="P53" s="15">
        <f t="shared" si="1"/>
        <v>200.14285714285717</v>
      </c>
      <c r="R53" s="8"/>
      <c r="T53"/>
    </row>
    <row r="54" spans="2:20" ht="23.1" customHeight="1" x14ac:dyDescent="0.25">
      <c r="B54" s="23" t="s">
        <v>81</v>
      </c>
      <c r="C54" s="49">
        <f>AVERAGE('22.07 Ndeeba-Nyanama'!C54,'23.07 Ndeeba-Nyanama'!C54,'24.07 Ndeeba-Nyanama'!C54,'25.07 Ndeeba-Nyanama'!C54,'26.07 Ndeeba-Nyanama-24h'!C54,'27.07 Ndeeba-Nyanama-24h'!C54,'28.07 Ndeeba-Nyanama'!C54)</f>
        <v>73.428571428571431</v>
      </c>
      <c r="D54" s="49">
        <f>AVERAGE('22.07 Ndeeba-Nyanama'!D54,'23.07 Ndeeba-Nyanama'!D54,'24.07 Ndeeba-Nyanama'!D54,'25.07 Ndeeba-Nyanama'!D54,'26.07 Ndeeba-Nyanama-24h'!D54,'27.07 Ndeeba-Nyanama-24h'!D54,'28.07 Ndeeba-Nyanama'!D54)</f>
        <v>3.2857142857142856</v>
      </c>
      <c r="E54" s="49">
        <f>AVERAGE('22.07 Ndeeba-Nyanama'!E54,'23.07 Ndeeba-Nyanama'!E54,'24.07 Ndeeba-Nyanama'!E54,'25.07 Ndeeba-Nyanama'!E54,'26.07 Ndeeba-Nyanama-24h'!E54,'27.07 Ndeeba-Nyanama-24h'!E54,'28.07 Ndeeba-Nyanama'!E54)</f>
        <v>2.4285714285714284</v>
      </c>
      <c r="F54" s="49">
        <f>AVERAGE('22.07 Ndeeba-Nyanama'!F54,'23.07 Ndeeba-Nyanama'!F54,'24.07 Ndeeba-Nyanama'!F54,'25.07 Ndeeba-Nyanama'!F54,'26.07 Ndeeba-Nyanama-24h'!F54,'27.07 Ndeeba-Nyanama-24h'!F54,'28.07 Ndeeba-Nyanama'!F54)</f>
        <v>29.857142857142858</v>
      </c>
      <c r="G54" s="49">
        <f>AVERAGE('22.07 Ndeeba-Nyanama'!G54,'23.07 Ndeeba-Nyanama'!G54,'24.07 Ndeeba-Nyanama'!G54,'25.07 Ndeeba-Nyanama'!G54,'26.07 Ndeeba-Nyanama-24h'!G54,'27.07 Ndeeba-Nyanama-24h'!G54,'28.07 Ndeeba-Nyanama'!G54)</f>
        <v>0.42857142857142855</v>
      </c>
      <c r="H54" s="49">
        <f>AVERAGE('22.07 Ndeeba-Nyanama'!H54,'23.07 Ndeeba-Nyanama'!H54,'24.07 Ndeeba-Nyanama'!H54,'25.07 Ndeeba-Nyanama'!H54,'26.07 Ndeeba-Nyanama-24h'!H54,'27.07 Ndeeba-Nyanama-24h'!H54,'28.07 Ndeeba-Nyanama'!H54)</f>
        <v>0</v>
      </c>
      <c r="I54" s="49">
        <f>AVERAGE('22.07 Ndeeba-Nyanama'!I54,'23.07 Ndeeba-Nyanama'!I54,'24.07 Ndeeba-Nyanama'!I54,'25.07 Ndeeba-Nyanama'!I54,'26.07 Ndeeba-Nyanama-24h'!I54,'27.07 Ndeeba-Nyanama-24h'!I54,'28.07 Ndeeba-Nyanama'!I54)</f>
        <v>5.1428571428571432</v>
      </c>
      <c r="J54" s="49">
        <f>AVERAGE('22.07 Ndeeba-Nyanama'!J54,'23.07 Ndeeba-Nyanama'!J54,'24.07 Ndeeba-Nyanama'!J54,'25.07 Ndeeba-Nyanama'!J54,'26.07 Ndeeba-Nyanama-24h'!J54,'27.07 Ndeeba-Nyanama-24h'!J54,'28.07 Ndeeba-Nyanama'!J54)</f>
        <v>0.7142857142857143</v>
      </c>
      <c r="K54" s="49">
        <f>AVERAGE('22.07 Ndeeba-Nyanama'!K54,'23.07 Ndeeba-Nyanama'!K54,'24.07 Ndeeba-Nyanama'!K54,'25.07 Ndeeba-Nyanama'!K54,'26.07 Ndeeba-Nyanama-24h'!K54,'27.07 Ndeeba-Nyanama-24h'!K54,'28.07 Ndeeba-Nyanama'!K54)</f>
        <v>0.42857142857142855</v>
      </c>
      <c r="L54" s="49">
        <f>AVERAGE('22.07 Ndeeba-Nyanama'!L54,'23.07 Ndeeba-Nyanama'!L54,'24.07 Ndeeba-Nyanama'!L54,'25.07 Ndeeba-Nyanama'!L54,'26.07 Ndeeba-Nyanama-24h'!L54,'27.07 Ndeeba-Nyanama-24h'!L54,'28.07 Ndeeba-Nyanama'!L54)</f>
        <v>0</v>
      </c>
      <c r="M54" s="49">
        <f>AVERAGE('22.07 Ndeeba-Nyanama'!M54,'23.07 Ndeeba-Nyanama'!M54,'24.07 Ndeeba-Nyanama'!M54,'25.07 Ndeeba-Nyanama'!M54,'26.07 Ndeeba-Nyanama-24h'!M54,'27.07 Ndeeba-Nyanama-24h'!M54,'28.07 Ndeeba-Nyanama'!M54)</f>
        <v>111.42857142857143</v>
      </c>
      <c r="N54" s="49">
        <f>AVERAGE('22.07 Ndeeba-Nyanama'!N54,'23.07 Ndeeba-Nyanama'!N54,'24.07 Ndeeba-Nyanama'!N54,'25.07 Ndeeba-Nyanama'!N54,'26.07 Ndeeba-Nyanama-24h'!N54,'27.07 Ndeeba-Nyanama-24h'!N54,'28.07 Ndeeba-Nyanama'!N54)</f>
        <v>0</v>
      </c>
      <c r="O54" s="15">
        <f t="shared" si="0"/>
        <v>115.71428571428572</v>
      </c>
      <c r="P54" s="15">
        <f t="shared" si="1"/>
        <v>227.14285714285717</v>
      </c>
      <c r="R54" s="8"/>
      <c r="T54"/>
    </row>
    <row r="55" spans="2:20" ht="23.1" customHeight="1" x14ac:dyDescent="0.25">
      <c r="B55" s="23" t="s">
        <v>82</v>
      </c>
      <c r="C55" s="49">
        <f>AVERAGE('22.07 Ndeeba-Nyanama'!C55,'23.07 Ndeeba-Nyanama'!C55,'24.07 Ndeeba-Nyanama'!C55,'25.07 Ndeeba-Nyanama'!C55,'26.07 Ndeeba-Nyanama-24h'!C55,'27.07 Ndeeba-Nyanama-24h'!C55,'28.07 Ndeeba-Nyanama'!C55)</f>
        <v>79</v>
      </c>
      <c r="D55" s="49">
        <f>AVERAGE('22.07 Ndeeba-Nyanama'!D55,'23.07 Ndeeba-Nyanama'!D55,'24.07 Ndeeba-Nyanama'!D55,'25.07 Ndeeba-Nyanama'!D55,'26.07 Ndeeba-Nyanama-24h'!D55,'27.07 Ndeeba-Nyanama-24h'!D55,'28.07 Ndeeba-Nyanama'!D55)</f>
        <v>3.2857142857142856</v>
      </c>
      <c r="E55" s="49">
        <f>AVERAGE('22.07 Ndeeba-Nyanama'!E55,'23.07 Ndeeba-Nyanama'!E55,'24.07 Ndeeba-Nyanama'!E55,'25.07 Ndeeba-Nyanama'!E55,'26.07 Ndeeba-Nyanama-24h'!E55,'27.07 Ndeeba-Nyanama-24h'!E55,'28.07 Ndeeba-Nyanama'!E55)</f>
        <v>3.5714285714285716</v>
      </c>
      <c r="F55" s="49">
        <f>AVERAGE('22.07 Ndeeba-Nyanama'!F55,'23.07 Ndeeba-Nyanama'!F55,'24.07 Ndeeba-Nyanama'!F55,'25.07 Ndeeba-Nyanama'!F55,'26.07 Ndeeba-Nyanama-24h'!F55,'27.07 Ndeeba-Nyanama-24h'!F55,'28.07 Ndeeba-Nyanama'!F55)</f>
        <v>38.714285714285715</v>
      </c>
      <c r="G55" s="49">
        <f>AVERAGE('22.07 Ndeeba-Nyanama'!G55,'23.07 Ndeeba-Nyanama'!G55,'24.07 Ndeeba-Nyanama'!G55,'25.07 Ndeeba-Nyanama'!G55,'26.07 Ndeeba-Nyanama-24h'!G55,'27.07 Ndeeba-Nyanama-24h'!G55,'28.07 Ndeeba-Nyanama'!G55)</f>
        <v>0.2857142857142857</v>
      </c>
      <c r="H55" s="49">
        <f>AVERAGE('22.07 Ndeeba-Nyanama'!H55,'23.07 Ndeeba-Nyanama'!H55,'24.07 Ndeeba-Nyanama'!H55,'25.07 Ndeeba-Nyanama'!H55,'26.07 Ndeeba-Nyanama-24h'!H55,'27.07 Ndeeba-Nyanama-24h'!H55,'28.07 Ndeeba-Nyanama'!H55)</f>
        <v>0</v>
      </c>
      <c r="I55" s="49">
        <f>AVERAGE('22.07 Ndeeba-Nyanama'!I55,'23.07 Ndeeba-Nyanama'!I55,'24.07 Ndeeba-Nyanama'!I55,'25.07 Ndeeba-Nyanama'!I55,'26.07 Ndeeba-Nyanama-24h'!I55,'27.07 Ndeeba-Nyanama-24h'!I55,'28.07 Ndeeba-Nyanama'!I55)</f>
        <v>4.1428571428571432</v>
      </c>
      <c r="J55" s="49">
        <f>AVERAGE('22.07 Ndeeba-Nyanama'!J55,'23.07 Ndeeba-Nyanama'!J55,'24.07 Ndeeba-Nyanama'!J55,'25.07 Ndeeba-Nyanama'!J55,'26.07 Ndeeba-Nyanama-24h'!J55,'27.07 Ndeeba-Nyanama-24h'!J55,'28.07 Ndeeba-Nyanama'!J55)</f>
        <v>0.42857142857142855</v>
      </c>
      <c r="K55" s="49">
        <f>AVERAGE('22.07 Ndeeba-Nyanama'!K55,'23.07 Ndeeba-Nyanama'!K55,'24.07 Ndeeba-Nyanama'!K55,'25.07 Ndeeba-Nyanama'!K55,'26.07 Ndeeba-Nyanama-24h'!K55,'27.07 Ndeeba-Nyanama-24h'!K55,'28.07 Ndeeba-Nyanama'!K55)</f>
        <v>0.14285714285714285</v>
      </c>
      <c r="L55" s="49">
        <f>AVERAGE('22.07 Ndeeba-Nyanama'!L55,'23.07 Ndeeba-Nyanama'!L55,'24.07 Ndeeba-Nyanama'!L55,'25.07 Ndeeba-Nyanama'!L55,'26.07 Ndeeba-Nyanama-24h'!L55,'27.07 Ndeeba-Nyanama-24h'!L55,'28.07 Ndeeba-Nyanama'!L55)</f>
        <v>0.2857142857142857</v>
      </c>
      <c r="M55" s="49">
        <f>AVERAGE('22.07 Ndeeba-Nyanama'!M55,'23.07 Ndeeba-Nyanama'!M55,'24.07 Ndeeba-Nyanama'!M55,'25.07 Ndeeba-Nyanama'!M55,'26.07 Ndeeba-Nyanama-24h'!M55,'27.07 Ndeeba-Nyanama-24h'!M55,'28.07 Ndeeba-Nyanama'!M55)</f>
        <v>91.285714285714292</v>
      </c>
      <c r="N55" s="49">
        <f>AVERAGE('22.07 Ndeeba-Nyanama'!N55,'23.07 Ndeeba-Nyanama'!N55,'24.07 Ndeeba-Nyanama'!N55,'25.07 Ndeeba-Nyanama'!N55,'26.07 Ndeeba-Nyanama-24h'!N55,'27.07 Ndeeba-Nyanama-24h'!N55,'28.07 Ndeeba-Nyanama'!N55)</f>
        <v>0</v>
      </c>
      <c r="O55" s="15">
        <f t="shared" si="0"/>
        <v>129.85714285714286</v>
      </c>
      <c r="P55" s="15">
        <f t="shared" si="1"/>
        <v>221.14285714285717</v>
      </c>
      <c r="R55" s="8"/>
      <c r="T55"/>
    </row>
    <row r="56" spans="2:20" ht="23.1" customHeight="1" x14ac:dyDescent="0.25">
      <c r="B56" s="23" t="s">
        <v>83</v>
      </c>
      <c r="C56" s="49">
        <f>AVERAGE('22.07 Ndeeba-Nyanama'!C56,'23.07 Ndeeba-Nyanama'!C56,'24.07 Ndeeba-Nyanama'!C56,'25.07 Ndeeba-Nyanama'!C56,'26.07 Ndeeba-Nyanama-24h'!C56,'27.07 Ndeeba-Nyanama-24h'!C56,'28.07 Ndeeba-Nyanama'!C56)</f>
        <v>66.857142857142861</v>
      </c>
      <c r="D56" s="49">
        <f>AVERAGE('22.07 Ndeeba-Nyanama'!D56,'23.07 Ndeeba-Nyanama'!D56,'24.07 Ndeeba-Nyanama'!D56,'25.07 Ndeeba-Nyanama'!D56,'26.07 Ndeeba-Nyanama-24h'!D56,'27.07 Ndeeba-Nyanama-24h'!D56,'28.07 Ndeeba-Nyanama'!D56)</f>
        <v>4.1428571428571432</v>
      </c>
      <c r="E56" s="49">
        <f>AVERAGE('22.07 Ndeeba-Nyanama'!E56,'23.07 Ndeeba-Nyanama'!E56,'24.07 Ndeeba-Nyanama'!E56,'25.07 Ndeeba-Nyanama'!E56,'26.07 Ndeeba-Nyanama-24h'!E56,'27.07 Ndeeba-Nyanama-24h'!E56,'28.07 Ndeeba-Nyanama'!E56)</f>
        <v>2.5714285714285716</v>
      </c>
      <c r="F56" s="49">
        <f>AVERAGE('22.07 Ndeeba-Nyanama'!F56,'23.07 Ndeeba-Nyanama'!F56,'24.07 Ndeeba-Nyanama'!F56,'25.07 Ndeeba-Nyanama'!F56,'26.07 Ndeeba-Nyanama-24h'!F56,'27.07 Ndeeba-Nyanama-24h'!F56,'28.07 Ndeeba-Nyanama'!F56)</f>
        <v>41</v>
      </c>
      <c r="G56" s="49">
        <f>AVERAGE('22.07 Ndeeba-Nyanama'!G56,'23.07 Ndeeba-Nyanama'!G56,'24.07 Ndeeba-Nyanama'!G56,'25.07 Ndeeba-Nyanama'!G56,'26.07 Ndeeba-Nyanama-24h'!G56,'27.07 Ndeeba-Nyanama-24h'!G56,'28.07 Ndeeba-Nyanama'!G56)</f>
        <v>0</v>
      </c>
      <c r="H56" s="49">
        <f>AVERAGE('22.07 Ndeeba-Nyanama'!H56,'23.07 Ndeeba-Nyanama'!H56,'24.07 Ndeeba-Nyanama'!H56,'25.07 Ndeeba-Nyanama'!H56,'26.07 Ndeeba-Nyanama-24h'!H56,'27.07 Ndeeba-Nyanama-24h'!H56,'28.07 Ndeeba-Nyanama'!H56)</f>
        <v>0</v>
      </c>
      <c r="I56" s="49">
        <f>AVERAGE('22.07 Ndeeba-Nyanama'!I56,'23.07 Ndeeba-Nyanama'!I56,'24.07 Ndeeba-Nyanama'!I56,'25.07 Ndeeba-Nyanama'!I56,'26.07 Ndeeba-Nyanama-24h'!I56,'27.07 Ndeeba-Nyanama-24h'!I56,'28.07 Ndeeba-Nyanama'!I56)</f>
        <v>5.1428571428571432</v>
      </c>
      <c r="J56" s="49">
        <f>AVERAGE('22.07 Ndeeba-Nyanama'!J56,'23.07 Ndeeba-Nyanama'!J56,'24.07 Ndeeba-Nyanama'!J56,'25.07 Ndeeba-Nyanama'!J56,'26.07 Ndeeba-Nyanama-24h'!J56,'27.07 Ndeeba-Nyanama-24h'!J56,'28.07 Ndeeba-Nyanama'!J56)</f>
        <v>1.7142857142857142</v>
      </c>
      <c r="K56" s="49">
        <f>AVERAGE('22.07 Ndeeba-Nyanama'!K56,'23.07 Ndeeba-Nyanama'!K56,'24.07 Ndeeba-Nyanama'!K56,'25.07 Ndeeba-Nyanama'!K56,'26.07 Ndeeba-Nyanama-24h'!K56,'27.07 Ndeeba-Nyanama-24h'!K56,'28.07 Ndeeba-Nyanama'!K56)</f>
        <v>0.42857142857142855</v>
      </c>
      <c r="L56" s="49">
        <f>AVERAGE('22.07 Ndeeba-Nyanama'!L56,'23.07 Ndeeba-Nyanama'!L56,'24.07 Ndeeba-Nyanama'!L56,'25.07 Ndeeba-Nyanama'!L56,'26.07 Ndeeba-Nyanama-24h'!L56,'27.07 Ndeeba-Nyanama-24h'!L56,'28.07 Ndeeba-Nyanama'!L56)</f>
        <v>0</v>
      </c>
      <c r="M56" s="49">
        <f>AVERAGE('22.07 Ndeeba-Nyanama'!M56,'23.07 Ndeeba-Nyanama'!M56,'24.07 Ndeeba-Nyanama'!M56,'25.07 Ndeeba-Nyanama'!M56,'26.07 Ndeeba-Nyanama-24h'!M56,'27.07 Ndeeba-Nyanama-24h'!M56,'28.07 Ndeeba-Nyanama'!M56)</f>
        <v>98.285714285714292</v>
      </c>
      <c r="N56" s="49">
        <f>AVERAGE('22.07 Ndeeba-Nyanama'!N56,'23.07 Ndeeba-Nyanama'!N56,'24.07 Ndeeba-Nyanama'!N56,'25.07 Ndeeba-Nyanama'!N56,'26.07 Ndeeba-Nyanama-24h'!N56,'27.07 Ndeeba-Nyanama-24h'!N56,'28.07 Ndeeba-Nyanama'!N56)</f>
        <v>0</v>
      </c>
      <c r="O56" s="15">
        <f t="shared" si="0"/>
        <v>121.85714285714285</v>
      </c>
      <c r="P56" s="15">
        <f t="shared" si="1"/>
        <v>220.14285714285714</v>
      </c>
      <c r="R56" s="8"/>
      <c r="T56"/>
    </row>
    <row r="57" spans="2:20" ht="23.1" customHeight="1" x14ac:dyDescent="0.25">
      <c r="B57" s="23" t="s">
        <v>84</v>
      </c>
      <c r="C57" s="49">
        <f>AVERAGE('22.07 Ndeeba-Nyanama'!C57,'23.07 Ndeeba-Nyanama'!C57,'24.07 Ndeeba-Nyanama'!C57,'25.07 Ndeeba-Nyanama'!C57,'26.07 Ndeeba-Nyanama-24h'!C57,'27.07 Ndeeba-Nyanama-24h'!C57,'28.07 Ndeeba-Nyanama'!C57)</f>
        <v>80.714285714285708</v>
      </c>
      <c r="D57" s="49">
        <f>AVERAGE('22.07 Ndeeba-Nyanama'!D57,'23.07 Ndeeba-Nyanama'!D57,'24.07 Ndeeba-Nyanama'!D57,'25.07 Ndeeba-Nyanama'!D57,'26.07 Ndeeba-Nyanama-24h'!D57,'27.07 Ndeeba-Nyanama-24h'!D57,'28.07 Ndeeba-Nyanama'!D57)</f>
        <v>2.2857142857142856</v>
      </c>
      <c r="E57" s="49">
        <f>AVERAGE('22.07 Ndeeba-Nyanama'!E57,'23.07 Ndeeba-Nyanama'!E57,'24.07 Ndeeba-Nyanama'!E57,'25.07 Ndeeba-Nyanama'!E57,'26.07 Ndeeba-Nyanama-24h'!E57,'27.07 Ndeeba-Nyanama-24h'!E57,'28.07 Ndeeba-Nyanama'!E57)</f>
        <v>2.8571428571428572</v>
      </c>
      <c r="F57" s="49">
        <f>AVERAGE('22.07 Ndeeba-Nyanama'!F57,'23.07 Ndeeba-Nyanama'!F57,'24.07 Ndeeba-Nyanama'!F57,'25.07 Ndeeba-Nyanama'!F57,'26.07 Ndeeba-Nyanama-24h'!F57,'27.07 Ndeeba-Nyanama-24h'!F57,'28.07 Ndeeba-Nyanama'!F57)</f>
        <v>36.714285714285715</v>
      </c>
      <c r="G57" s="49">
        <f>AVERAGE('22.07 Ndeeba-Nyanama'!G57,'23.07 Ndeeba-Nyanama'!G57,'24.07 Ndeeba-Nyanama'!G57,'25.07 Ndeeba-Nyanama'!G57,'26.07 Ndeeba-Nyanama-24h'!G57,'27.07 Ndeeba-Nyanama-24h'!G57,'28.07 Ndeeba-Nyanama'!G57)</f>
        <v>0.42857142857142855</v>
      </c>
      <c r="H57" s="49">
        <f>AVERAGE('22.07 Ndeeba-Nyanama'!H57,'23.07 Ndeeba-Nyanama'!H57,'24.07 Ndeeba-Nyanama'!H57,'25.07 Ndeeba-Nyanama'!H57,'26.07 Ndeeba-Nyanama-24h'!H57,'27.07 Ndeeba-Nyanama-24h'!H57,'28.07 Ndeeba-Nyanama'!H57)</f>
        <v>0</v>
      </c>
      <c r="I57" s="49">
        <f>AVERAGE('22.07 Ndeeba-Nyanama'!I57,'23.07 Ndeeba-Nyanama'!I57,'24.07 Ndeeba-Nyanama'!I57,'25.07 Ndeeba-Nyanama'!I57,'26.07 Ndeeba-Nyanama-24h'!I57,'27.07 Ndeeba-Nyanama-24h'!I57,'28.07 Ndeeba-Nyanama'!I57)</f>
        <v>4.4285714285714288</v>
      </c>
      <c r="J57" s="49">
        <f>AVERAGE('22.07 Ndeeba-Nyanama'!J57,'23.07 Ndeeba-Nyanama'!J57,'24.07 Ndeeba-Nyanama'!J57,'25.07 Ndeeba-Nyanama'!J57,'26.07 Ndeeba-Nyanama-24h'!J57,'27.07 Ndeeba-Nyanama-24h'!J57,'28.07 Ndeeba-Nyanama'!J57)</f>
        <v>1</v>
      </c>
      <c r="K57" s="49">
        <f>AVERAGE('22.07 Ndeeba-Nyanama'!K57,'23.07 Ndeeba-Nyanama'!K57,'24.07 Ndeeba-Nyanama'!K57,'25.07 Ndeeba-Nyanama'!K57,'26.07 Ndeeba-Nyanama-24h'!K57,'27.07 Ndeeba-Nyanama-24h'!K57,'28.07 Ndeeba-Nyanama'!K57)</f>
        <v>0.5714285714285714</v>
      </c>
      <c r="L57" s="49">
        <f>AVERAGE('22.07 Ndeeba-Nyanama'!L57,'23.07 Ndeeba-Nyanama'!L57,'24.07 Ndeeba-Nyanama'!L57,'25.07 Ndeeba-Nyanama'!L57,'26.07 Ndeeba-Nyanama-24h'!L57,'27.07 Ndeeba-Nyanama-24h'!L57,'28.07 Ndeeba-Nyanama'!L57)</f>
        <v>0.14285714285714285</v>
      </c>
      <c r="M57" s="49">
        <f>AVERAGE('22.07 Ndeeba-Nyanama'!M57,'23.07 Ndeeba-Nyanama'!M57,'24.07 Ndeeba-Nyanama'!M57,'25.07 Ndeeba-Nyanama'!M57,'26.07 Ndeeba-Nyanama-24h'!M57,'27.07 Ndeeba-Nyanama-24h'!M57,'28.07 Ndeeba-Nyanama'!M57)</f>
        <v>100</v>
      </c>
      <c r="N57" s="49">
        <f>AVERAGE('22.07 Ndeeba-Nyanama'!N57,'23.07 Ndeeba-Nyanama'!N57,'24.07 Ndeeba-Nyanama'!N57,'25.07 Ndeeba-Nyanama'!N57,'26.07 Ndeeba-Nyanama-24h'!N57,'27.07 Ndeeba-Nyanama-24h'!N57,'28.07 Ndeeba-Nyanama'!N57)</f>
        <v>0</v>
      </c>
      <c r="O57" s="15">
        <f t="shared" si="0"/>
        <v>129.14285714285717</v>
      </c>
      <c r="P57" s="15">
        <f t="shared" si="1"/>
        <v>229.14285714285717</v>
      </c>
      <c r="R57" s="8"/>
      <c r="T57"/>
    </row>
    <row r="58" spans="2:20" ht="23.1" customHeight="1" x14ac:dyDescent="0.25">
      <c r="B58" s="23" t="s">
        <v>99</v>
      </c>
      <c r="C58" s="49">
        <f>AVERAGE('26.07 Ndeeba-Nyanama-24h'!C58,'27.07 Ndeeba-Nyanama-24h'!C58)</f>
        <v>36.5</v>
      </c>
      <c r="D58" s="49">
        <f>AVERAGE('26.07 Ndeeba-Nyanama-24h'!D58,'27.07 Ndeeba-Nyanama-24h'!D58)</f>
        <v>2</v>
      </c>
      <c r="E58" s="49">
        <f>AVERAGE('26.07 Ndeeba-Nyanama-24h'!E58,'27.07 Ndeeba-Nyanama-24h'!E58)</f>
        <v>4</v>
      </c>
      <c r="F58" s="49">
        <f>AVERAGE('26.07 Ndeeba-Nyanama-24h'!F58,'27.07 Ndeeba-Nyanama-24h'!F58)</f>
        <v>23.5</v>
      </c>
      <c r="G58" s="49">
        <f>AVERAGE('26.07 Ndeeba-Nyanama-24h'!G58,'27.07 Ndeeba-Nyanama-24h'!G58)</f>
        <v>0</v>
      </c>
      <c r="H58" s="49">
        <f>AVERAGE('26.07 Ndeeba-Nyanama-24h'!H58,'27.07 Ndeeba-Nyanama-24h'!H58)</f>
        <v>0</v>
      </c>
      <c r="I58" s="49">
        <f>AVERAGE('26.07 Ndeeba-Nyanama-24h'!I58,'27.07 Ndeeba-Nyanama-24h'!I58)</f>
        <v>7.5</v>
      </c>
      <c r="J58" s="49">
        <f>AVERAGE('26.07 Ndeeba-Nyanama-24h'!J58,'27.07 Ndeeba-Nyanama-24h'!J58)</f>
        <v>0.5</v>
      </c>
      <c r="K58" s="49">
        <f>AVERAGE('26.07 Ndeeba-Nyanama-24h'!K58,'27.07 Ndeeba-Nyanama-24h'!K58)</f>
        <v>0</v>
      </c>
      <c r="L58" s="49">
        <f>AVERAGE('26.07 Ndeeba-Nyanama-24h'!L58,'27.07 Ndeeba-Nyanama-24h'!L58)</f>
        <v>0</v>
      </c>
      <c r="M58" s="49">
        <f>AVERAGE('26.07 Ndeeba-Nyanama-24h'!M58,'27.07 Ndeeba-Nyanama-24h'!M58)</f>
        <v>96.5</v>
      </c>
      <c r="N58" s="49">
        <f>AVERAGE('26.07 Ndeeba-Nyanama-24h'!N58,'27.07 Ndeeba-Nyanama-24h'!N58)</f>
        <v>0</v>
      </c>
      <c r="O58" s="15">
        <f t="shared" si="0"/>
        <v>74</v>
      </c>
      <c r="P58" s="15">
        <f t="shared" si="1"/>
        <v>170.5</v>
      </c>
      <c r="R58" s="8"/>
      <c r="T58"/>
    </row>
    <row r="59" spans="2:20" ht="23.1" customHeight="1" x14ac:dyDescent="0.25">
      <c r="B59" s="23" t="s">
        <v>100</v>
      </c>
      <c r="C59" s="49">
        <f>AVERAGE('26.07 Ndeeba-Nyanama-24h'!C59,'27.07 Ndeeba-Nyanama-24h'!C59)</f>
        <v>60</v>
      </c>
      <c r="D59" s="49">
        <f>AVERAGE('26.07 Ndeeba-Nyanama-24h'!D59,'27.07 Ndeeba-Nyanama-24h'!D59)</f>
        <v>0.5</v>
      </c>
      <c r="E59" s="49">
        <f>AVERAGE('26.07 Ndeeba-Nyanama-24h'!E59,'27.07 Ndeeba-Nyanama-24h'!E59)</f>
        <v>4</v>
      </c>
      <c r="F59" s="49">
        <f>AVERAGE('26.07 Ndeeba-Nyanama-24h'!F59,'27.07 Ndeeba-Nyanama-24h'!F59)</f>
        <v>11.5</v>
      </c>
      <c r="G59" s="49">
        <f>AVERAGE('26.07 Ndeeba-Nyanama-24h'!G59,'27.07 Ndeeba-Nyanama-24h'!G59)</f>
        <v>0</v>
      </c>
      <c r="H59" s="49">
        <f>AVERAGE('26.07 Ndeeba-Nyanama-24h'!H59,'27.07 Ndeeba-Nyanama-24h'!H59)</f>
        <v>0</v>
      </c>
      <c r="I59" s="49">
        <f>AVERAGE('26.07 Ndeeba-Nyanama-24h'!I59,'27.07 Ndeeba-Nyanama-24h'!I59)</f>
        <v>2</v>
      </c>
      <c r="J59" s="49">
        <f>AVERAGE('26.07 Ndeeba-Nyanama-24h'!J59,'27.07 Ndeeba-Nyanama-24h'!J59)</f>
        <v>0</v>
      </c>
      <c r="K59" s="49">
        <f>AVERAGE('26.07 Ndeeba-Nyanama-24h'!K59,'27.07 Ndeeba-Nyanama-24h'!K59)</f>
        <v>0</v>
      </c>
      <c r="L59" s="49">
        <f>AVERAGE('26.07 Ndeeba-Nyanama-24h'!L59,'27.07 Ndeeba-Nyanama-24h'!L59)</f>
        <v>0</v>
      </c>
      <c r="M59" s="49">
        <f>AVERAGE('26.07 Ndeeba-Nyanama-24h'!M59,'27.07 Ndeeba-Nyanama-24h'!M59)</f>
        <v>90</v>
      </c>
      <c r="N59" s="49">
        <f>AVERAGE('26.07 Ndeeba-Nyanama-24h'!N59,'27.07 Ndeeba-Nyanama-24h'!N59)</f>
        <v>0</v>
      </c>
      <c r="O59" s="15">
        <f t="shared" si="0"/>
        <v>78</v>
      </c>
      <c r="P59" s="15">
        <f t="shared" si="1"/>
        <v>168</v>
      </c>
      <c r="R59" s="8"/>
      <c r="T59"/>
    </row>
    <row r="60" spans="2:20" ht="23.1" customHeight="1" x14ac:dyDescent="0.25">
      <c r="B60" s="23" t="s">
        <v>101</v>
      </c>
      <c r="C60" s="49">
        <f>AVERAGE('26.07 Ndeeba-Nyanama-24h'!C60,'27.07 Ndeeba-Nyanama-24h'!C60)</f>
        <v>62</v>
      </c>
      <c r="D60" s="49">
        <f>AVERAGE('26.07 Ndeeba-Nyanama-24h'!D60,'27.07 Ndeeba-Nyanama-24h'!D60)</f>
        <v>1</v>
      </c>
      <c r="E60" s="49">
        <f>AVERAGE('26.07 Ndeeba-Nyanama-24h'!E60,'27.07 Ndeeba-Nyanama-24h'!E60)</f>
        <v>1.5</v>
      </c>
      <c r="F60" s="49">
        <f>AVERAGE('26.07 Ndeeba-Nyanama-24h'!F60,'27.07 Ndeeba-Nyanama-24h'!F60)</f>
        <v>34</v>
      </c>
      <c r="G60" s="49">
        <f>AVERAGE('26.07 Ndeeba-Nyanama-24h'!G60,'27.07 Ndeeba-Nyanama-24h'!G60)</f>
        <v>0</v>
      </c>
      <c r="H60" s="49">
        <f>AVERAGE('26.07 Ndeeba-Nyanama-24h'!H60,'27.07 Ndeeba-Nyanama-24h'!H60)</f>
        <v>0</v>
      </c>
      <c r="I60" s="49">
        <f>AVERAGE('26.07 Ndeeba-Nyanama-24h'!I60,'27.07 Ndeeba-Nyanama-24h'!I60)</f>
        <v>1.5</v>
      </c>
      <c r="J60" s="49">
        <f>AVERAGE('26.07 Ndeeba-Nyanama-24h'!J60,'27.07 Ndeeba-Nyanama-24h'!J60)</f>
        <v>0</v>
      </c>
      <c r="K60" s="49">
        <f>AVERAGE('26.07 Ndeeba-Nyanama-24h'!K60,'27.07 Ndeeba-Nyanama-24h'!K60)</f>
        <v>0</v>
      </c>
      <c r="L60" s="49">
        <f>AVERAGE('26.07 Ndeeba-Nyanama-24h'!L60,'27.07 Ndeeba-Nyanama-24h'!L60)</f>
        <v>0</v>
      </c>
      <c r="M60" s="49">
        <f>AVERAGE('26.07 Ndeeba-Nyanama-24h'!M60,'27.07 Ndeeba-Nyanama-24h'!M60)</f>
        <v>69</v>
      </c>
      <c r="N60" s="49">
        <f>AVERAGE('26.07 Ndeeba-Nyanama-24h'!N60,'27.07 Ndeeba-Nyanama-24h'!N60)</f>
        <v>0</v>
      </c>
      <c r="O60" s="15">
        <f t="shared" si="0"/>
        <v>100</v>
      </c>
      <c r="P60" s="15">
        <f t="shared" si="1"/>
        <v>169</v>
      </c>
      <c r="R60" s="8"/>
      <c r="T60"/>
    </row>
    <row r="61" spans="2:20" ht="23.1" customHeight="1" x14ac:dyDescent="0.25">
      <c r="B61" s="23" t="s">
        <v>102</v>
      </c>
      <c r="C61" s="49">
        <f>AVERAGE('26.07 Ndeeba-Nyanama-24h'!C61,'27.07 Ndeeba-Nyanama-24h'!C61)</f>
        <v>70</v>
      </c>
      <c r="D61" s="49">
        <f>AVERAGE('26.07 Ndeeba-Nyanama-24h'!D61,'27.07 Ndeeba-Nyanama-24h'!D61)</f>
        <v>2.5</v>
      </c>
      <c r="E61" s="49">
        <f>AVERAGE('26.07 Ndeeba-Nyanama-24h'!E61,'27.07 Ndeeba-Nyanama-24h'!E61)</f>
        <v>1.5</v>
      </c>
      <c r="F61" s="49">
        <f>AVERAGE('26.07 Ndeeba-Nyanama-24h'!F61,'27.07 Ndeeba-Nyanama-24h'!F61)</f>
        <v>31</v>
      </c>
      <c r="G61" s="49">
        <f>AVERAGE('26.07 Ndeeba-Nyanama-24h'!G61,'27.07 Ndeeba-Nyanama-24h'!G61)</f>
        <v>0</v>
      </c>
      <c r="H61" s="49">
        <f>AVERAGE('26.07 Ndeeba-Nyanama-24h'!H61,'27.07 Ndeeba-Nyanama-24h'!H61)</f>
        <v>0</v>
      </c>
      <c r="I61" s="49">
        <f>AVERAGE('26.07 Ndeeba-Nyanama-24h'!I61,'27.07 Ndeeba-Nyanama-24h'!I61)</f>
        <v>4.5</v>
      </c>
      <c r="J61" s="49">
        <f>AVERAGE('26.07 Ndeeba-Nyanama-24h'!J61,'27.07 Ndeeba-Nyanama-24h'!J61)</f>
        <v>0</v>
      </c>
      <c r="K61" s="49">
        <f>AVERAGE('26.07 Ndeeba-Nyanama-24h'!K61,'27.07 Ndeeba-Nyanama-24h'!K61)</f>
        <v>0</v>
      </c>
      <c r="L61" s="49">
        <f>AVERAGE('26.07 Ndeeba-Nyanama-24h'!L61,'27.07 Ndeeba-Nyanama-24h'!L61)</f>
        <v>0.5</v>
      </c>
      <c r="M61" s="49">
        <f>AVERAGE('26.07 Ndeeba-Nyanama-24h'!M61,'27.07 Ndeeba-Nyanama-24h'!M61)</f>
        <v>97.5</v>
      </c>
      <c r="N61" s="49">
        <f>AVERAGE('26.07 Ndeeba-Nyanama-24h'!N61,'27.07 Ndeeba-Nyanama-24h'!N61)</f>
        <v>0</v>
      </c>
      <c r="O61" s="15">
        <f t="shared" si="0"/>
        <v>110</v>
      </c>
      <c r="P61" s="15">
        <f t="shared" si="1"/>
        <v>207.5</v>
      </c>
      <c r="R61" s="8"/>
      <c r="T61"/>
    </row>
    <row r="62" spans="2:20" ht="23.1" customHeight="1" x14ac:dyDescent="0.25">
      <c r="B62" s="23" t="s">
        <v>107</v>
      </c>
      <c r="C62" s="49">
        <f>AVERAGE('26.07 Ndeeba-Nyanama-24h'!C62,'27.07 Ndeeba-Nyanama-24h'!C62)</f>
        <v>80</v>
      </c>
      <c r="D62" s="49">
        <f>AVERAGE('26.07 Ndeeba-Nyanama-24h'!D62,'27.07 Ndeeba-Nyanama-24h'!D62)</f>
        <v>5</v>
      </c>
      <c r="E62" s="49">
        <f>AVERAGE('26.07 Ndeeba-Nyanama-24h'!E62,'27.07 Ndeeba-Nyanama-24h'!E62)</f>
        <v>2.5</v>
      </c>
      <c r="F62" s="49">
        <f>AVERAGE('26.07 Ndeeba-Nyanama-24h'!F62,'27.07 Ndeeba-Nyanama-24h'!F62)</f>
        <v>39.5</v>
      </c>
      <c r="G62" s="49">
        <f>AVERAGE('26.07 Ndeeba-Nyanama-24h'!G62,'27.07 Ndeeba-Nyanama-24h'!G62)</f>
        <v>0</v>
      </c>
      <c r="H62" s="49">
        <f>AVERAGE('26.07 Ndeeba-Nyanama-24h'!H62,'27.07 Ndeeba-Nyanama-24h'!H62)</f>
        <v>0</v>
      </c>
      <c r="I62" s="49">
        <f>AVERAGE('26.07 Ndeeba-Nyanama-24h'!I62,'27.07 Ndeeba-Nyanama-24h'!I62)</f>
        <v>7.5</v>
      </c>
      <c r="J62" s="49">
        <f>AVERAGE('26.07 Ndeeba-Nyanama-24h'!J62,'27.07 Ndeeba-Nyanama-24h'!J62)</f>
        <v>1.5</v>
      </c>
      <c r="K62" s="49">
        <f>AVERAGE('26.07 Ndeeba-Nyanama-24h'!K62,'27.07 Ndeeba-Nyanama-24h'!K62)</f>
        <v>0</v>
      </c>
      <c r="L62" s="49">
        <f>AVERAGE('26.07 Ndeeba-Nyanama-24h'!L62,'27.07 Ndeeba-Nyanama-24h'!L62)</f>
        <v>0</v>
      </c>
      <c r="M62" s="49">
        <f>AVERAGE('26.07 Ndeeba-Nyanama-24h'!M62,'27.07 Ndeeba-Nyanama-24h'!M62)</f>
        <v>91.5</v>
      </c>
      <c r="N62" s="49">
        <f>AVERAGE('26.07 Ndeeba-Nyanama-24h'!N62,'27.07 Ndeeba-Nyanama-24h'!N62)</f>
        <v>0</v>
      </c>
      <c r="O62" s="15">
        <f t="shared" si="0"/>
        <v>136</v>
      </c>
      <c r="P62" s="15">
        <f t="shared" si="1"/>
        <v>227.5</v>
      </c>
      <c r="R62" s="8"/>
      <c r="T62"/>
    </row>
    <row r="63" spans="2:20" ht="23.1" customHeight="1" x14ac:dyDescent="0.25">
      <c r="B63" s="23" t="s">
        <v>108</v>
      </c>
      <c r="C63" s="49">
        <f>AVERAGE('26.07 Ndeeba-Nyanama-24h'!C63,'27.07 Ndeeba-Nyanama-24h'!C63)</f>
        <v>68</v>
      </c>
      <c r="D63" s="49">
        <f>AVERAGE('26.07 Ndeeba-Nyanama-24h'!D63,'27.07 Ndeeba-Nyanama-24h'!D63)</f>
        <v>9</v>
      </c>
      <c r="E63" s="49">
        <f>AVERAGE('26.07 Ndeeba-Nyanama-24h'!E63,'27.07 Ndeeba-Nyanama-24h'!E63)</f>
        <v>0.5</v>
      </c>
      <c r="F63" s="49">
        <f>AVERAGE('26.07 Ndeeba-Nyanama-24h'!F63,'27.07 Ndeeba-Nyanama-24h'!F63)</f>
        <v>25</v>
      </c>
      <c r="G63" s="49">
        <f>AVERAGE('26.07 Ndeeba-Nyanama-24h'!G63,'27.07 Ndeeba-Nyanama-24h'!G63)</f>
        <v>0.5</v>
      </c>
      <c r="H63" s="49">
        <f>AVERAGE('26.07 Ndeeba-Nyanama-24h'!H63,'27.07 Ndeeba-Nyanama-24h'!H63)</f>
        <v>0</v>
      </c>
      <c r="I63" s="49">
        <f>AVERAGE('26.07 Ndeeba-Nyanama-24h'!I63,'27.07 Ndeeba-Nyanama-24h'!I63)</f>
        <v>8</v>
      </c>
      <c r="J63" s="49">
        <f>AVERAGE('26.07 Ndeeba-Nyanama-24h'!J63,'27.07 Ndeeba-Nyanama-24h'!J63)</f>
        <v>2</v>
      </c>
      <c r="K63" s="49">
        <f>AVERAGE('26.07 Ndeeba-Nyanama-24h'!K63,'27.07 Ndeeba-Nyanama-24h'!K63)</f>
        <v>0.5</v>
      </c>
      <c r="L63" s="49">
        <f>AVERAGE('26.07 Ndeeba-Nyanama-24h'!L63,'27.07 Ndeeba-Nyanama-24h'!L63)</f>
        <v>0</v>
      </c>
      <c r="M63" s="49">
        <f>AVERAGE('26.07 Ndeeba-Nyanama-24h'!M63,'27.07 Ndeeba-Nyanama-24h'!M63)</f>
        <v>100</v>
      </c>
      <c r="N63" s="49">
        <f>AVERAGE('26.07 Ndeeba-Nyanama-24h'!N63,'27.07 Ndeeba-Nyanama-24h'!N63)</f>
        <v>0</v>
      </c>
      <c r="O63" s="15">
        <f t="shared" si="0"/>
        <v>113.5</v>
      </c>
      <c r="P63" s="15">
        <f t="shared" si="1"/>
        <v>213.5</v>
      </c>
      <c r="R63" s="8"/>
      <c r="T63"/>
    </row>
    <row r="64" spans="2:20" ht="23.1" customHeight="1" x14ac:dyDescent="0.25">
      <c r="B64" s="23" t="s">
        <v>109</v>
      </c>
      <c r="C64" s="49">
        <f>AVERAGE('26.07 Ndeeba-Nyanama-24h'!C64,'27.07 Ndeeba-Nyanama-24h'!C64)</f>
        <v>69</v>
      </c>
      <c r="D64" s="49">
        <f>AVERAGE('26.07 Ndeeba-Nyanama-24h'!D64,'27.07 Ndeeba-Nyanama-24h'!D64)</f>
        <v>3.5</v>
      </c>
      <c r="E64" s="49">
        <f>AVERAGE('26.07 Ndeeba-Nyanama-24h'!E64,'27.07 Ndeeba-Nyanama-24h'!E64)</f>
        <v>5.5</v>
      </c>
      <c r="F64" s="49">
        <f>AVERAGE('26.07 Ndeeba-Nyanama-24h'!F64,'27.07 Ndeeba-Nyanama-24h'!F64)</f>
        <v>35</v>
      </c>
      <c r="G64" s="49">
        <f>AVERAGE('26.07 Ndeeba-Nyanama-24h'!G64,'27.07 Ndeeba-Nyanama-24h'!G64)</f>
        <v>1</v>
      </c>
      <c r="H64" s="49">
        <f>AVERAGE('26.07 Ndeeba-Nyanama-24h'!H64,'27.07 Ndeeba-Nyanama-24h'!H64)</f>
        <v>0</v>
      </c>
      <c r="I64" s="49">
        <f>AVERAGE('26.07 Ndeeba-Nyanama-24h'!I64,'27.07 Ndeeba-Nyanama-24h'!I64)</f>
        <v>5.5</v>
      </c>
      <c r="J64" s="49">
        <f>AVERAGE('26.07 Ndeeba-Nyanama-24h'!J64,'27.07 Ndeeba-Nyanama-24h'!J64)</f>
        <v>2.5</v>
      </c>
      <c r="K64" s="49">
        <f>AVERAGE('26.07 Ndeeba-Nyanama-24h'!K64,'27.07 Ndeeba-Nyanama-24h'!K64)</f>
        <v>0</v>
      </c>
      <c r="L64" s="49">
        <f>AVERAGE('26.07 Ndeeba-Nyanama-24h'!L64,'27.07 Ndeeba-Nyanama-24h'!L64)</f>
        <v>0</v>
      </c>
      <c r="M64" s="49">
        <f>AVERAGE('26.07 Ndeeba-Nyanama-24h'!M64,'27.07 Ndeeba-Nyanama-24h'!M64)</f>
        <v>105</v>
      </c>
      <c r="N64" s="49">
        <f>AVERAGE('26.07 Ndeeba-Nyanama-24h'!N64,'27.07 Ndeeba-Nyanama-24h'!N64)</f>
        <v>0</v>
      </c>
      <c r="O64" s="15">
        <f t="shared" si="0"/>
        <v>122</v>
      </c>
      <c r="P64" s="15">
        <f t="shared" si="1"/>
        <v>227</v>
      </c>
      <c r="R64" s="8"/>
      <c r="T64"/>
    </row>
    <row r="65" spans="2:20" ht="23.1" customHeight="1" x14ac:dyDescent="0.25">
      <c r="B65" s="23" t="s">
        <v>158</v>
      </c>
      <c r="C65" s="49">
        <f>AVERAGE('26.07 Ndeeba-Nyanama-24h'!C65,'27.07 Ndeeba-Nyanama-24h'!C65)</f>
        <v>64</v>
      </c>
      <c r="D65" s="49">
        <f>AVERAGE('26.07 Ndeeba-Nyanama-24h'!D65,'27.07 Ndeeba-Nyanama-24h'!D65)</f>
        <v>4.5</v>
      </c>
      <c r="E65" s="49">
        <f>AVERAGE('26.07 Ndeeba-Nyanama-24h'!E65,'27.07 Ndeeba-Nyanama-24h'!E65)</f>
        <v>4</v>
      </c>
      <c r="F65" s="49">
        <f>AVERAGE('26.07 Ndeeba-Nyanama-24h'!F65,'27.07 Ndeeba-Nyanama-24h'!F65)</f>
        <v>18.5</v>
      </c>
      <c r="G65" s="49">
        <f>AVERAGE('26.07 Ndeeba-Nyanama-24h'!G65,'27.07 Ndeeba-Nyanama-24h'!G65)</f>
        <v>0</v>
      </c>
      <c r="H65" s="49">
        <f>AVERAGE('26.07 Ndeeba-Nyanama-24h'!H65,'27.07 Ndeeba-Nyanama-24h'!H65)</f>
        <v>0</v>
      </c>
      <c r="I65" s="49">
        <f>AVERAGE('26.07 Ndeeba-Nyanama-24h'!I65,'27.07 Ndeeba-Nyanama-24h'!I65)</f>
        <v>3.5</v>
      </c>
      <c r="J65" s="49">
        <f>AVERAGE('26.07 Ndeeba-Nyanama-24h'!J65,'27.07 Ndeeba-Nyanama-24h'!J65)</f>
        <v>1</v>
      </c>
      <c r="K65" s="49">
        <f>AVERAGE('26.07 Ndeeba-Nyanama-24h'!K65,'27.07 Ndeeba-Nyanama-24h'!K65)</f>
        <v>0</v>
      </c>
      <c r="L65" s="49">
        <f>AVERAGE('26.07 Ndeeba-Nyanama-24h'!L65,'27.07 Ndeeba-Nyanama-24h'!L65)</f>
        <v>0</v>
      </c>
      <c r="M65" s="49">
        <f>AVERAGE('26.07 Ndeeba-Nyanama-24h'!M65,'27.07 Ndeeba-Nyanama-24h'!M65)</f>
        <v>88.5</v>
      </c>
      <c r="N65" s="49">
        <f>AVERAGE('26.07 Ndeeba-Nyanama-24h'!N65,'27.07 Ndeeba-Nyanama-24h'!N65)</f>
        <v>0</v>
      </c>
      <c r="O65" s="15">
        <f t="shared" si="0"/>
        <v>95.5</v>
      </c>
      <c r="P65" s="15">
        <f t="shared" si="1"/>
        <v>184</v>
      </c>
      <c r="R65" s="8"/>
      <c r="T65"/>
    </row>
    <row r="66" spans="2:20" ht="23.1" customHeight="1" x14ac:dyDescent="0.25">
      <c r="B66" s="23" t="s">
        <v>103</v>
      </c>
      <c r="C66" s="49">
        <f>AVERAGE('26.07 Ndeeba-Nyanama-24h'!C66,'27.07 Ndeeba-Nyanama-24h'!C66)</f>
        <v>87.5</v>
      </c>
      <c r="D66" s="49">
        <f>AVERAGE('26.07 Ndeeba-Nyanama-24h'!D66,'27.07 Ndeeba-Nyanama-24h'!D66)</f>
        <v>3.5</v>
      </c>
      <c r="E66" s="49">
        <f>AVERAGE('26.07 Ndeeba-Nyanama-24h'!E66,'27.07 Ndeeba-Nyanama-24h'!E66)</f>
        <v>5</v>
      </c>
      <c r="F66" s="49">
        <f>AVERAGE('26.07 Ndeeba-Nyanama-24h'!F66,'27.07 Ndeeba-Nyanama-24h'!F66)</f>
        <v>31</v>
      </c>
      <c r="G66" s="49">
        <f>AVERAGE('26.07 Ndeeba-Nyanama-24h'!G66,'27.07 Ndeeba-Nyanama-24h'!G66)</f>
        <v>0.5</v>
      </c>
      <c r="H66" s="49">
        <f>AVERAGE('26.07 Ndeeba-Nyanama-24h'!H66,'27.07 Ndeeba-Nyanama-24h'!H66)</f>
        <v>0</v>
      </c>
      <c r="I66" s="49">
        <f>AVERAGE('26.07 Ndeeba-Nyanama-24h'!I66,'27.07 Ndeeba-Nyanama-24h'!I66)</f>
        <v>10.5</v>
      </c>
      <c r="J66" s="49">
        <f>AVERAGE('26.07 Ndeeba-Nyanama-24h'!J66,'27.07 Ndeeba-Nyanama-24h'!J66)</f>
        <v>1.5</v>
      </c>
      <c r="K66" s="49">
        <f>AVERAGE('26.07 Ndeeba-Nyanama-24h'!K66,'27.07 Ndeeba-Nyanama-24h'!K66)</f>
        <v>0</v>
      </c>
      <c r="L66" s="49">
        <f>AVERAGE('26.07 Ndeeba-Nyanama-24h'!L66,'27.07 Ndeeba-Nyanama-24h'!L66)</f>
        <v>0</v>
      </c>
      <c r="M66" s="49">
        <f>AVERAGE('26.07 Ndeeba-Nyanama-24h'!M66,'27.07 Ndeeba-Nyanama-24h'!M66)</f>
        <v>144</v>
      </c>
      <c r="N66" s="49">
        <f>AVERAGE('26.07 Ndeeba-Nyanama-24h'!N66,'27.07 Ndeeba-Nyanama-24h'!N66)</f>
        <v>0</v>
      </c>
      <c r="O66" s="15">
        <f t="shared" si="0"/>
        <v>139.5</v>
      </c>
      <c r="P66" s="15">
        <f t="shared" si="1"/>
        <v>283.5</v>
      </c>
      <c r="R66" s="8"/>
      <c r="T66"/>
    </row>
    <row r="67" spans="2:20" ht="23.1" customHeight="1" x14ac:dyDescent="0.25">
      <c r="B67" s="23" t="s">
        <v>104</v>
      </c>
      <c r="C67" s="49">
        <f>AVERAGE('26.07 Ndeeba-Nyanama-24h'!C67,'27.07 Ndeeba-Nyanama-24h'!C67)</f>
        <v>76.5</v>
      </c>
      <c r="D67" s="49">
        <f>AVERAGE('26.07 Ndeeba-Nyanama-24h'!D67,'27.07 Ndeeba-Nyanama-24h'!D67)</f>
        <v>2.5</v>
      </c>
      <c r="E67" s="49">
        <f>AVERAGE('26.07 Ndeeba-Nyanama-24h'!E67,'27.07 Ndeeba-Nyanama-24h'!E67)</f>
        <v>5</v>
      </c>
      <c r="F67" s="49">
        <f>AVERAGE('26.07 Ndeeba-Nyanama-24h'!F67,'27.07 Ndeeba-Nyanama-24h'!F67)</f>
        <v>28</v>
      </c>
      <c r="G67" s="49">
        <f>AVERAGE('26.07 Ndeeba-Nyanama-24h'!G67,'27.07 Ndeeba-Nyanama-24h'!G67)</f>
        <v>0</v>
      </c>
      <c r="H67" s="49">
        <f>AVERAGE('26.07 Ndeeba-Nyanama-24h'!H67,'27.07 Ndeeba-Nyanama-24h'!H67)</f>
        <v>0</v>
      </c>
      <c r="I67" s="49">
        <f>AVERAGE('26.07 Ndeeba-Nyanama-24h'!I67,'27.07 Ndeeba-Nyanama-24h'!I67)</f>
        <v>4.5</v>
      </c>
      <c r="J67" s="49">
        <f>AVERAGE('26.07 Ndeeba-Nyanama-24h'!J67,'27.07 Ndeeba-Nyanama-24h'!J67)</f>
        <v>0.5</v>
      </c>
      <c r="K67" s="49">
        <f>AVERAGE('26.07 Ndeeba-Nyanama-24h'!K67,'27.07 Ndeeba-Nyanama-24h'!K67)</f>
        <v>0</v>
      </c>
      <c r="L67" s="49">
        <f>AVERAGE('26.07 Ndeeba-Nyanama-24h'!L67,'27.07 Ndeeba-Nyanama-24h'!L67)</f>
        <v>0</v>
      </c>
      <c r="M67" s="49">
        <f>AVERAGE('26.07 Ndeeba-Nyanama-24h'!M67,'27.07 Ndeeba-Nyanama-24h'!M67)</f>
        <v>105.5</v>
      </c>
      <c r="N67" s="49">
        <f>AVERAGE('26.07 Ndeeba-Nyanama-24h'!N67,'27.07 Ndeeba-Nyanama-24h'!N67)</f>
        <v>0</v>
      </c>
      <c r="O67" s="15">
        <f t="shared" si="0"/>
        <v>117</v>
      </c>
      <c r="P67" s="15">
        <f t="shared" si="1"/>
        <v>222.5</v>
      </c>
      <c r="R67" s="8"/>
      <c r="T67"/>
    </row>
    <row r="68" spans="2:20" ht="23.1" customHeight="1" x14ac:dyDescent="0.25">
      <c r="B68" s="23" t="s">
        <v>105</v>
      </c>
      <c r="C68" s="49">
        <f>AVERAGE('26.07 Ndeeba-Nyanama-24h'!C68,'27.07 Ndeeba-Nyanama-24h'!C68)</f>
        <v>62</v>
      </c>
      <c r="D68" s="49">
        <f>AVERAGE('26.07 Ndeeba-Nyanama-24h'!D68,'27.07 Ndeeba-Nyanama-24h'!D68)</f>
        <v>4.5</v>
      </c>
      <c r="E68" s="49">
        <f>AVERAGE('26.07 Ndeeba-Nyanama-24h'!E68,'27.07 Ndeeba-Nyanama-24h'!E68)</f>
        <v>0.5</v>
      </c>
      <c r="F68" s="49">
        <f>AVERAGE('26.07 Ndeeba-Nyanama-24h'!F68,'27.07 Ndeeba-Nyanama-24h'!F68)</f>
        <v>25</v>
      </c>
      <c r="G68" s="49">
        <f>AVERAGE('26.07 Ndeeba-Nyanama-24h'!G68,'27.07 Ndeeba-Nyanama-24h'!G68)</f>
        <v>0</v>
      </c>
      <c r="H68" s="49">
        <f>AVERAGE('26.07 Ndeeba-Nyanama-24h'!H68,'27.07 Ndeeba-Nyanama-24h'!H68)</f>
        <v>0</v>
      </c>
      <c r="I68" s="49">
        <f>AVERAGE('26.07 Ndeeba-Nyanama-24h'!I68,'27.07 Ndeeba-Nyanama-24h'!I68)</f>
        <v>2</v>
      </c>
      <c r="J68" s="49">
        <f>AVERAGE('26.07 Ndeeba-Nyanama-24h'!J68,'27.07 Ndeeba-Nyanama-24h'!J68)</f>
        <v>2.5</v>
      </c>
      <c r="K68" s="49">
        <f>AVERAGE('26.07 Ndeeba-Nyanama-24h'!K68,'27.07 Ndeeba-Nyanama-24h'!K68)</f>
        <v>0.5</v>
      </c>
      <c r="L68" s="49">
        <f>AVERAGE('26.07 Ndeeba-Nyanama-24h'!L68,'27.07 Ndeeba-Nyanama-24h'!L68)</f>
        <v>0</v>
      </c>
      <c r="M68" s="49">
        <f>AVERAGE('26.07 Ndeeba-Nyanama-24h'!M68,'27.07 Ndeeba-Nyanama-24h'!M68)</f>
        <v>123</v>
      </c>
      <c r="N68" s="49">
        <f>AVERAGE('26.07 Ndeeba-Nyanama-24h'!N68,'27.07 Ndeeba-Nyanama-24h'!N68)</f>
        <v>0</v>
      </c>
      <c r="O68" s="15">
        <f t="shared" si="0"/>
        <v>97</v>
      </c>
      <c r="P68" s="15">
        <f t="shared" si="1"/>
        <v>220</v>
      </c>
      <c r="R68" s="8"/>
      <c r="T68"/>
    </row>
    <row r="69" spans="2:20" ht="23.1" customHeight="1" x14ac:dyDescent="0.25">
      <c r="B69" s="23" t="s">
        <v>106</v>
      </c>
      <c r="C69" s="49">
        <f>AVERAGE('26.07 Ndeeba-Nyanama-24h'!C69,'27.07 Ndeeba-Nyanama-24h'!C69)</f>
        <v>72</v>
      </c>
      <c r="D69" s="49">
        <f>AVERAGE('26.07 Ndeeba-Nyanama-24h'!D69,'27.07 Ndeeba-Nyanama-24h'!D69)</f>
        <v>2.5</v>
      </c>
      <c r="E69" s="49">
        <f>AVERAGE('26.07 Ndeeba-Nyanama-24h'!E69,'27.07 Ndeeba-Nyanama-24h'!E69)</f>
        <v>3</v>
      </c>
      <c r="F69" s="49">
        <f>AVERAGE('26.07 Ndeeba-Nyanama-24h'!F69,'27.07 Ndeeba-Nyanama-24h'!F69)</f>
        <v>22</v>
      </c>
      <c r="G69" s="49">
        <f>AVERAGE('26.07 Ndeeba-Nyanama-24h'!G69,'27.07 Ndeeba-Nyanama-24h'!G69)</f>
        <v>0</v>
      </c>
      <c r="H69" s="49">
        <f>AVERAGE('26.07 Ndeeba-Nyanama-24h'!H69,'27.07 Ndeeba-Nyanama-24h'!H69)</f>
        <v>0</v>
      </c>
      <c r="I69" s="49">
        <f>AVERAGE('26.07 Ndeeba-Nyanama-24h'!I69,'27.07 Ndeeba-Nyanama-24h'!I69)</f>
        <v>5</v>
      </c>
      <c r="J69" s="49">
        <f>AVERAGE('26.07 Ndeeba-Nyanama-24h'!J69,'27.07 Ndeeba-Nyanama-24h'!J69)</f>
        <v>0.5</v>
      </c>
      <c r="K69" s="49">
        <f>AVERAGE('26.07 Ndeeba-Nyanama-24h'!K69,'27.07 Ndeeba-Nyanama-24h'!K69)</f>
        <v>0</v>
      </c>
      <c r="L69" s="49">
        <f>AVERAGE('26.07 Ndeeba-Nyanama-24h'!L69,'27.07 Ndeeba-Nyanama-24h'!L69)</f>
        <v>0</v>
      </c>
      <c r="M69" s="49">
        <f>AVERAGE('26.07 Ndeeba-Nyanama-24h'!M69,'27.07 Ndeeba-Nyanama-24h'!M69)</f>
        <v>85.5</v>
      </c>
      <c r="N69" s="49">
        <f>AVERAGE('26.07 Ndeeba-Nyanama-24h'!N69,'27.07 Ndeeba-Nyanama-24h'!N69)</f>
        <v>0</v>
      </c>
      <c r="O69" s="15">
        <f t="shared" si="0"/>
        <v>105</v>
      </c>
      <c r="P69" s="15">
        <f t="shared" si="1"/>
        <v>190.5</v>
      </c>
      <c r="R69" s="8"/>
      <c r="T69"/>
    </row>
    <row r="70" spans="2:20" ht="23.1" customHeight="1" x14ac:dyDescent="0.25">
      <c r="B70" s="23" t="s">
        <v>110</v>
      </c>
      <c r="C70" s="49">
        <f>AVERAGE('26.07 Ndeeba-Nyanama-24h'!C70,'27.07 Ndeeba-Nyanama-24h'!C70)</f>
        <v>62</v>
      </c>
      <c r="D70" s="49">
        <f>AVERAGE('26.07 Ndeeba-Nyanama-24h'!D70,'27.07 Ndeeba-Nyanama-24h'!D70)</f>
        <v>4</v>
      </c>
      <c r="E70" s="49">
        <f>AVERAGE('26.07 Ndeeba-Nyanama-24h'!E70,'27.07 Ndeeba-Nyanama-24h'!E70)</f>
        <v>2</v>
      </c>
      <c r="F70" s="49">
        <f>AVERAGE('26.07 Ndeeba-Nyanama-24h'!F70,'27.07 Ndeeba-Nyanama-24h'!F70)</f>
        <v>5.5</v>
      </c>
      <c r="G70" s="49">
        <f>AVERAGE('26.07 Ndeeba-Nyanama-24h'!G70,'27.07 Ndeeba-Nyanama-24h'!G70)</f>
        <v>0.5</v>
      </c>
      <c r="H70" s="49">
        <f>AVERAGE('26.07 Ndeeba-Nyanama-24h'!H70,'27.07 Ndeeba-Nyanama-24h'!H70)</f>
        <v>0</v>
      </c>
      <c r="I70" s="49">
        <f>AVERAGE('26.07 Ndeeba-Nyanama-24h'!I70,'27.07 Ndeeba-Nyanama-24h'!I70)</f>
        <v>3.5</v>
      </c>
      <c r="J70" s="49">
        <f>AVERAGE('26.07 Ndeeba-Nyanama-24h'!J70,'27.07 Ndeeba-Nyanama-24h'!J70)</f>
        <v>0</v>
      </c>
      <c r="K70" s="49">
        <f>AVERAGE('26.07 Ndeeba-Nyanama-24h'!K70,'27.07 Ndeeba-Nyanama-24h'!K70)</f>
        <v>0</v>
      </c>
      <c r="L70" s="49">
        <f>AVERAGE('26.07 Ndeeba-Nyanama-24h'!L70,'27.07 Ndeeba-Nyanama-24h'!L70)</f>
        <v>0</v>
      </c>
      <c r="M70" s="49">
        <f>AVERAGE('26.07 Ndeeba-Nyanama-24h'!M70,'27.07 Ndeeba-Nyanama-24h'!M70)</f>
        <v>85</v>
      </c>
      <c r="N70" s="49">
        <f>AVERAGE('26.07 Ndeeba-Nyanama-24h'!N70,'27.07 Ndeeba-Nyanama-24h'!N70)</f>
        <v>0</v>
      </c>
      <c r="O70" s="15">
        <f t="shared" si="0"/>
        <v>77.5</v>
      </c>
      <c r="P70" s="15">
        <f t="shared" si="1"/>
        <v>162.5</v>
      </c>
      <c r="R70" s="8"/>
      <c r="T70"/>
    </row>
    <row r="71" spans="2:20" ht="23.1" customHeight="1" x14ac:dyDescent="0.25">
      <c r="B71" s="23" t="s">
        <v>111</v>
      </c>
      <c r="C71" s="49">
        <f>AVERAGE('26.07 Ndeeba-Nyanama-24h'!C71,'27.07 Ndeeba-Nyanama-24h'!C71)</f>
        <v>48</v>
      </c>
      <c r="D71" s="49">
        <f>AVERAGE('26.07 Ndeeba-Nyanama-24h'!D71,'27.07 Ndeeba-Nyanama-24h'!D71)</f>
        <v>0</v>
      </c>
      <c r="E71" s="49">
        <f>AVERAGE('26.07 Ndeeba-Nyanama-24h'!E71,'27.07 Ndeeba-Nyanama-24h'!E71)</f>
        <v>1.5</v>
      </c>
      <c r="F71" s="49">
        <f>AVERAGE('26.07 Ndeeba-Nyanama-24h'!F71,'27.07 Ndeeba-Nyanama-24h'!F71)</f>
        <v>7</v>
      </c>
      <c r="G71" s="49">
        <f>AVERAGE('26.07 Ndeeba-Nyanama-24h'!G71,'27.07 Ndeeba-Nyanama-24h'!G71)</f>
        <v>0.5</v>
      </c>
      <c r="H71" s="49">
        <f>AVERAGE('26.07 Ndeeba-Nyanama-24h'!H71,'27.07 Ndeeba-Nyanama-24h'!H71)</f>
        <v>0</v>
      </c>
      <c r="I71" s="49">
        <f>AVERAGE('26.07 Ndeeba-Nyanama-24h'!I71,'27.07 Ndeeba-Nyanama-24h'!I71)</f>
        <v>4</v>
      </c>
      <c r="J71" s="49">
        <f>AVERAGE('26.07 Ndeeba-Nyanama-24h'!J71,'27.07 Ndeeba-Nyanama-24h'!J71)</f>
        <v>2.5</v>
      </c>
      <c r="K71" s="49">
        <f>AVERAGE('26.07 Ndeeba-Nyanama-24h'!K71,'27.07 Ndeeba-Nyanama-24h'!K71)</f>
        <v>0.5</v>
      </c>
      <c r="L71" s="49">
        <f>AVERAGE('26.07 Ndeeba-Nyanama-24h'!L71,'27.07 Ndeeba-Nyanama-24h'!L71)</f>
        <v>0</v>
      </c>
      <c r="M71" s="49">
        <f>AVERAGE('26.07 Ndeeba-Nyanama-24h'!M71,'27.07 Ndeeba-Nyanama-24h'!M71)</f>
        <v>67.5</v>
      </c>
      <c r="N71" s="49">
        <f>AVERAGE('26.07 Ndeeba-Nyanama-24h'!N71,'27.07 Ndeeba-Nyanama-24h'!N71)</f>
        <v>0</v>
      </c>
      <c r="O71" s="15">
        <f t="shared" si="0"/>
        <v>64</v>
      </c>
      <c r="P71" s="15">
        <f t="shared" si="1"/>
        <v>131.5</v>
      </c>
      <c r="R71" s="8"/>
      <c r="T71"/>
    </row>
    <row r="72" spans="2:20" ht="23.1" customHeight="1" x14ac:dyDescent="0.25">
      <c r="B72" s="23" t="s">
        <v>112</v>
      </c>
      <c r="C72" s="49">
        <f>AVERAGE('26.07 Ndeeba-Nyanama-24h'!C72,'27.07 Ndeeba-Nyanama-24h'!C72)</f>
        <v>54.5</v>
      </c>
      <c r="D72" s="49">
        <f>AVERAGE('26.07 Ndeeba-Nyanama-24h'!D72,'27.07 Ndeeba-Nyanama-24h'!D72)</f>
        <v>3</v>
      </c>
      <c r="E72" s="49">
        <f>AVERAGE('26.07 Ndeeba-Nyanama-24h'!E72,'27.07 Ndeeba-Nyanama-24h'!E72)</f>
        <v>1</v>
      </c>
      <c r="F72" s="49">
        <f>AVERAGE('26.07 Ndeeba-Nyanama-24h'!F72,'27.07 Ndeeba-Nyanama-24h'!F72)</f>
        <v>5</v>
      </c>
      <c r="G72" s="49">
        <f>AVERAGE('26.07 Ndeeba-Nyanama-24h'!G72,'27.07 Ndeeba-Nyanama-24h'!G72)</f>
        <v>0</v>
      </c>
      <c r="H72" s="49">
        <f>AVERAGE('26.07 Ndeeba-Nyanama-24h'!H72,'27.07 Ndeeba-Nyanama-24h'!H72)</f>
        <v>0</v>
      </c>
      <c r="I72" s="49">
        <f>AVERAGE('26.07 Ndeeba-Nyanama-24h'!I72,'27.07 Ndeeba-Nyanama-24h'!I72)</f>
        <v>2</v>
      </c>
      <c r="J72" s="49">
        <f>AVERAGE('26.07 Ndeeba-Nyanama-24h'!J72,'27.07 Ndeeba-Nyanama-24h'!J72)</f>
        <v>0</v>
      </c>
      <c r="K72" s="49">
        <f>AVERAGE('26.07 Ndeeba-Nyanama-24h'!K72,'27.07 Ndeeba-Nyanama-24h'!K72)</f>
        <v>0</v>
      </c>
      <c r="L72" s="49">
        <f>AVERAGE('26.07 Ndeeba-Nyanama-24h'!L72,'27.07 Ndeeba-Nyanama-24h'!L72)</f>
        <v>0</v>
      </c>
      <c r="M72" s="49">
        <f>AVERAGE('26.07 Ndeeba-Nyanama-24h'!M72,'27.07 Ndeeba-Nyanama-24h'!M72)</f>
        <v>66.5</v>
      </c>
      <c r="N72" s="49">
        <f>AVERAGE('26.07 Ndeeba-Nyanama-24h'!N72,'27.07 Ndeeba-Nyanama-24h'!N72)</f>
        <v>0</v>
      </c>
      <c r="O72" s="15">
        <f t="shared" si="0"/>
        <v>65.5</v>
      </c>
      <c r="P72" s="15">
        <f t="shared" si="1"/>
        <v>132</v>
      </c>
      <c r="R72" s="8"/>
      <c r="T72"/>
    </row>
    <row r="73" spans="2:20" ht="23.1" customHeight="1" x14ac:dyDescent="0.25">
      <c r="B73" s="23" t="s">
        <v>113</v>
      </c>
      <c r="C73" s="49">
        <f>AVERAGE('26.07 Ndeeba-Nyanama-24h'!C73,'27.07 Ndeeba-Nyanama-24h'!C73)</f>
        <v>54.5</v>
      </c>
      <c r="D73" s="49">
        <f>AVERAGE('26.07 Ndeeba-Nyanama-24h'!D73,'27.07 Ndeeba-Nyanama-24h'!D73)</f>
        <v>4.5</v>
      </c>
      <c r="E73" s="49">
        <f>AVERAGE('26.07 Ndeeba-Nyanama-24h'!E73,'27.07 Ndeeba-Nyanama-24h'!E73)</f>
        <v>1</v>
      </c>
      <c r="F73" s="49">
        <f>AVERAGE('26.07 Ndeeba-Nyanama-24h'!F73,'27.07 Ndeeba-Nyanama-24h'!F73)</f>
        <v>4.5</v>
      </c>
      <c r="G73" s="49">
        <f>AVERAGE('26.07 Ndeeba-Nyanama-24h'!G73,'27.07 Ndeeba-Nyanama-24h'!G73)</f>
        <v>0.5</v>
      </c>
      <c r="H73" s="49">
        <f>AVERAGE('26.07 Ndeeba-Nyanama-24h'!H73,'27.07 Ndeeba-Nyanama-24h'!H73)</f>
        <v>0</v>
      </c>
      <c r="I73" s="49">
        <f>AVERAGE('26.07 Ndeeba-Nyanama-24h'!I73,'27.07 Ndeeba-Nyanama-24h'!I73)</f>
        <v>3.5</v>
      </c>
      <c r="J73" s="49">
        <f>AVERAGE('26.07 Ndeeba-Nyanama-24h'!J73,'27.07 Ndeeba-Nyanama-24h'!J73)</f>
        <v>2</v>
      </c>
      <c r="K73" s="49">
        <f>AVERAGE('26.07 Ndeeba-Nyanama-24h'!K73,'27.07 Ndeeba-Nyanama-24h'!K73)</f>
        <v>0</v>
      </c>
      <c r="L73" s="49">
        <f>AVERAGE('26.07 Ndeeba-Nyanama-24h'!L73,'27.07 Ndeeba-Nyanama-24h'!L73)</f>
        <v>0</v>
      </c>
      <c r="M73" s="49">
        <f>AVERAGE('26.07 Ndeeba-Nyanama-24h'!M73,'27.07 Ndeeba-Nyanama-24h'!M73)</f>
        <v>90.5</v>
      </c>
      <c r="N73" s="49">
        <f>AVERAGE('26.07 Ndeeba-Nyanama-24h'!N73,'27.07 Ndeeba-Nyanama-24h'!N73)</f>
        <v>0</v>
      </c>
      <c r="O73" s="15">
        <f t="shared" si="0"/>
        <v>70.5</v>
      </c>
      <c r="P73" s="15">
        <f t="shared" si="1"/>
        <v>161</v>
      </c>
      <c r="R73" s="8"/>
      <c r="T73"/>
    </row>
    <row r="74" spans="2:20" ht="23.1" customHeight="1" x14ac:dyDescent="0.25">
      <c r="B74" s="23" t="s">
        <v>114</v>
      </c>
      <c r="C74" s="49">
        <f>AVERAGE('26.07 Ndeeba-Nyanama-24h'!C74,'27.07 Ndeeba-Nyanama-24h'!C74)</f>
        <v>48.5</v>
      </c>
      <c r="D74" s="49">
        <f>AVERAGE('26.07 Ndeeba-Nyanama-24h'!D74,'27.07 Ndeeba-Nyanama-24h'!D74)</f>
        <v>13.5</v>
      </c>
      <c r="E74" s="49">
        <f>AVERAGE('26.07 Ndeeba-Nyanama-24h'!E74,'27.07 Ndeeba-Nyanama-24h'!E74)</f>
        <v>3</v>
      </c>
      <c r="F74" s="49">
        <f>AVERAGE('26.07 Ndeeba-Nyanama-24h'!F74,'27.07 Ndeeba-Nyanama-24h'!F74)</f>
        <v>5</v>
      </c>
      <c r="G74" s="49">
        <f>AVERAGE('26.07 Ndeeba-Nyanama-24h'!G74,'27.07 Ndeeba-Nyanama-24h'!G74)</f>
        <v>0.5</v>
      </c>
      <c r="H74" s="49">
        <f>AVERAGE('26.07 Ndeeba-Nyanama-24h'!H74,'27.07 Ndeeba-Nyanama-24h'!H74)</f>
        <v>0</v>
      </c>
      <c r="I74" s="49">
        <f>AVERAGE('26.07 Ndeeba-Nyanama-24h'!I74,'27.07 Ndeeba-Nyanama-24h'!I74)</f>
        <v>3.5</v>
      </c>
      <c r="J74" s="49">
        <f>AVERAGE('26.07 Ndeeba-Nyanama-24h'!J74,'27.07 Ndeeba-Nyanama-24h'!J74)</f>
        <v>2.5</v>
      </c>
      <c r="K74" s="49">
        <f>AVERAGE('26.07 Ndeeba-Nyanama-24h'!K74,'27.07 Ndeeba-Nyanama-24h'!K74)</f>
        <v>1</v>
      </c>
      <c r="L74" s="49">
        <f>AVERAGE('26.07 Ndeeba-Nyanama-24h'!L74,'27.07 Ndeeba-Nyanama-24h'!L74)</f>
        <v>0</v>
      </c>
      <c r="M74" s="49">
        <f>AVERAGE('26.07 Ndeeba-Nyanama-24h'!M74,'27.07 Ndeeba-Nyanama-24h'!M74)</f>
        <v>76.5</v>
      </c>
      <c r="N74" s="49">
        <f>AVERAGE('26.07 Ndeeba-Nyanama-24h'!N74,'27.07 Ndeeba-Nyanama-24h'!N74)</f>
        <v>0</v>
      </c>
      <c r="O74" s="15">
        <f t="shared" ref="O74:O105" si="35">SUM(C74:L74,N74)</f>
        <v>77.5</v>
      </c>
      <c r="P74" s="15">
        <f t="shared" ref="P74:P105" si="36">SUM(C74:N74)</f>
        <v>154</v>
      </c>
      <c r="R74" s="8"/>
      <c r="T74"/>
    </row>
    <row r="75" spans="2:20" ht="23.1" customHeight="1" x14ac:dyDescent="0.25">
      <c r="B75" s="23" t="s">
        <v>115</v>
      </c>
      <c r="C75" s="49">
        <f>AVERAGE('26.07 Ndeeba-Nyanama-24h'!C75,'27.07 Ndeeba-Nyanama-24h'!C75)</f>
        <v>40</v>
      </c>
      <c r="D75" s="49">
        <f>AVERAGE('26.07 Ndeeba-Nyanama-24h'!D75,'27.07 Ndeeba-Nyanama-24h'!D75)</f>
        <v>1</v>
      </c>
      <c r="E75" s="49">
        <f>AVERAGE('26.07 Ndeeba-Nyanama-24h'!E75,'27.07 Ndeeba-Nyanama-24h'!E75)</f>
        <v>0.5</v>
      </c>
      <c r="F75" s="49">
        <f>AVERAGE('26.07 Ndeeba-Nyanama-24h'!F75,'27.07 Ndeeba-Nyanama-24h'!F75)</f>
        <v>4</v>
      </c>
      <c r="G75" s="49">
        <f>AVERAGE('26.07 Ndeeba-Nyanama-24h'!G75,'27.07 Ndeeba-Nyanama-24h'!G75)</f>
        <v>0</v>
      </c>
      <c r="H75" s="49">
        <f>AVERAGE('26.07 Ndeeba-Nyanama-24h'!H75,'27.07 Ndeeba-Nyanama-24h'!H75)</f>
        <v>0</v>
      </c>
      <c r="I75" s="49">
        <f>AVERAGE('26.07 Ndeeba-Nyanama-24h'!I75,'27.07 Ndeeba-Nyanama-24h'!I75)</f>
        <v>0.5</v>
      </c>
      <c r="J75" s="49">
        <f>AVERAGE('26.07 Ndeeba-Nyanama-24h'!J75,'27.07 Ndeeba-Nyanama-24h'!J75)</f>
        <v>1</v>
      </c>
      <c r="K75" s="49">
        <f>AVERAGE('26.07 Ndeeba-Nyanama-24h'!K75,'27.07 Ndeeba-Nyanama-24h'!K75)</f>
        <v>0.5</v>
      </c>
      <c r="L75" s="49">
        <f>AVERAGE('26.07 Ndeeba-Nyanama-24h'!L75,'27.07 Ndeeba-Nyanama-24h'!L75)</f>
        <v>0</v>
      </c>
      <c r="M75" s="49">
        <f>AVERAGE('26.07 Ndeeba-Nyanama-24h'!M75,'27.07 Ndeeba-Nyanama-24h'!M75)</f>
        <v>36.5</v>
      </c>
      <c r="N75" s="49">
        <f>AVERAGE('26.07 Ndeeba-Nyanama-24h'!N75,'27.07 Ndeeba-Nyanama-24h'!N75)</f>
        <v>0</v>
      </c>
      <c r="O75" s="15">
        <f t="shared" si="35"/>
        <v>47.5</v>
      </c>
      <c r="P75" s="15">
        <f t="shared" si="36"/>
        <v>84</v>
      </c>
      <c r="R75" s="8"/>
      <c r="T75"/>
    </row>
    <row r="76" spans="2:20" ht="23.1" customHeight="1" x14ac:dyDescent="0.25">
      <c r="B76" s="23" t="s">
        <v>116</v>
      </c>
      <c r="C76" s="49">
        <f>AVERAGE('26.07 Ndeeba-Nyanama-24h'!C76,'27.07 Ndeeba-Nyanama-24h'!C76)</f>
        <v>35</v>
      </c>
      <c r="D76" s="49">
        <f>AVERAGE('26.07 Ndeeba-Nyanama-24h'!D76,'27.07 Ndeeba-Nyanama-24h'!D76)</f>
        <v>0.5</v>
      </c>
      <c r="E76" s="49">
        <f>AVERAGE('26.07 Ndeeba-Nyanama-24h'!E76,'27.07 Ndeeba-Nyanama-24h'!E76)</f>
        <v>1.5</v>
      </c>
      <c r="F76" s="49">
        <f>AVERAGE('26.07 Ndeeba-Nyanama-24h'!F76,'27.07 Ndeeba-Nyanama-24h'!F76)</f>
        <v>2.5</v>
      </c>
      <c r="G76" s="49">
        <f>AVERAGE('26.07 Ndeeba-Nyanama-24h'!G76,'27.07 Ndeeba-Nyanama-24h'!G76)</f>
        <v>0</v>
      </c>
      <c r="H76" s="49">
        <f>AVERAGE('26.07 Ndeeba-Nyanama-24h'!H76,'27.07 Ndeeba-Nyanama-24h'!H76)</f>
        <v>0.5</v>
      </c>
      <c r="I76" s="49">
        <f>AVERAGE('26.07 Ndeeba-Nyanama-24h'!I76,'27.07 Ndeeba-Nyanama-24h'!I76)</f>
        <v>1.5</v>
      </c>
      <c r="J76" s="49">
        <f>AVERAGE('26.07 Ndeeba-Nyanama-24h'!J76,'27.07 Ndeeba-Nyanama-24h'!J76)</f>
        <v>0</v>
      </c>
      <c r="K76" s="49">
        <f>AVERAGE('26.07 Ndeeba-Nyanama-24h'!K76,'27.07 Ndeeba-Nyanama-24h'!K76)</f>
        <v>0.5</v>
      </c>
      <c r="L76" s="49">
        <f>AVERAGE('26.07 Ndeeba-Nyanama-24h'!L76,'27.07 Ndeeba-Nyanama-24h'!L76)</f>
        <v>0</v>
      </c>
      <c r="M76" s="49">
        <f>AVERAGE('26.07 Ndeeba-Nyanama-24h'!M76,'27.07 Ndeeba-Nyanama-24h'!M76)</f>
        <v>55</v>
      </c>
      <c r="N76" s="49">
        <f>AVERAGE('26.07 Ndeeba-Nyanama-24h'!N76,'27.07 Ndeeba-Nyanama-24h'!N76)</f>
        <v>0</v>
      </c>
      <c r="O76" s="15">
        <f t="shared" si="35"/>
        <v>42</v>
      </c>
      <c r="P76" s="15">
        <f t="shared" si="36"/>
        <v>97</v>
      </c>
      <c r="R76" s="8"/>
      <c r="T76"/>
    </row>
    <row r="77" spans="2:20" ht="23.1" customHeight="1" x14ac:dyDescent="0.25">
      <c r="B77" s="23" t="s">
        <v>117</v>
      </c>
      <c r="C77" s="49">
        <f>AVERAGE('26.07 Ndeeba-Nyanama-24h'!C77,'27.07 Ndeeba-Nyanama-24h'!C77)</f>
        <v>20</v>
      </c>
      <c r="D77" s="49">
        <f>AVERAGE('26.07 Ndeeba-Nyanama-24h'!D77,'27.07 Ndeeba-Nyanama-24h'!D77)</f>
        <v>1</v>
      </c>
      <c r="E77" s="49">
        <f>AVERAGE('26.07 Ndeeba-Nyanama-24h'!E77,'27.07 Ndeeba-Nyanama-24h'!E77)</f>
        <v>1</v>
      </c>
      <c r="F77" s="49">
        <f>AVERAGE('26.07 Ndeeba-Nyanama-24h'!F77,'27.07 Ndeeba-Nyanama-24h'!F77)</f>
        <v>2</v>
      </c>
      <c r="G77" s="49">
        <f>AVERAGE('26.07 Ndeeba-Nyanama-24h'!G77,'27.07 Ndeeba-Nyanama-24h'!G77)</f>
        <v>0</v>
      </c>
      <c r="H77" s="49">
        <f>AVERAGE('26.07 Ndeeba-Nyanama-24h'!H77,'27.07 Ndeeba-Nyanama-24h'!H77)</f>
        <v>0</v>
      </c>
      <c r="I77" s="49">
        <f>AVERAGE('26.07 Ndeeba-Nyanama-24h'!I77,'27.07 Ndeeba-Nyanama-24h'!I77)</f>
        <v>0.5</v>
      </c>
      <c r="J77" s="49">
        <f>AVERAGE('26.07 Ndeeba-Nyanama-24h'!J77,'27.07 Ndeeba-Nyanama-24h'!J77)</f>
        <v>1.5</v>
      </c>
      <c r="K77" s="49">
        <f>AVERAGE('26.07 Ndeeba-Nyanama-24h'!K77,'27.07 Ndeeba-Nyanama-24h'!K77)</f>
        <v>1</v>
      </c>
      <c r="L77" s="49">
        <f>AVERAGE('26.07 Ndeeba-Nyanama-24h'!L77,'27.07 Ndeeba-Nyanama-24h'!L77)</f>
        <v>0</v>
      </c>
      <c r="M77" s="49">
        <f>AVERAGE('26.07 Ndeeba-Nyanama-24h'!M77,'27.07 Ndeeba-Nyanama-24h'!M77)</f>
        <v>42.5</v>
      </c>
      <c r="N77" s="49">
        <f>AVERAGE('26.07 Ndeeba-Nyanama-24h'!N77,'27.07 Ndeeba-Nyanama-24h'!N77)</f>
        <v>0</v>
      </c>
      <c r="O77" s="15">
        <f t="shared" si="35"/>
        <v>27</v>
      </c>
      <c r="P77" s="15">
        <f t="shared" si="36"/>
        <v>69.5</v>
      </c>
      <c r="R77" s="8"/>
      <c r="T77"/>
    </row>
    <row r="78" spans="2:20" ht="23.1" customHeight="1" x14ac:dyDescent="0.25">
      <c r="B78" s="24" t="s">
        <v>118</v>
      </c>
      <c r="C78" s="49">
        <f>AVERAGE('26.07 Ndeeba-Nyanama-24h'!C78,'27.07 Ndeeba-Nyanama-24h'!C78)</f>
        <v>19.5</v>
      </c>
      <c r="D78" s="49">
        <f>AVERAGE('26.07 Ndeeba-Nyanama-24h'!D78,'27.07 Ndeeba-Nyanama-24h'!D78)</f>
        <v>1</v>
      </c>
      <c r="E78" s="49">
        <f>AVERAGE('26.07 Ndeeba-Nyanama-24h'!E78,'27.07 Ndeeba-Nyanama-24h'!E78)</f>
        <v>1</v>
      </c>
      <c r="F78" s="49">
        <f>AVERAGE('26.07 Ndeeba-Nyanama-24h'!F78,'27.07 Ndeeba-Nyanama-24h'!F78)</f>
        <v>5.5</v>
      </c>
      <c r="G78" s="49">
        <f>AVERAGE('26.07 Ndeeba-Nyanama-24h'!G78,'27.07 Ndeeba-Nyanama-24h'!G78)</f>
        <v>0</v>
      </c>
      <c r="H78" s="49">
        <f>AVERAGE('26.07 Ndeeba-Nyanama-24h'!H78,'27.07 Ndeeba-Nyanama-24h'!H78)</f>
        <v>0</v>
      </c>
      <c r="I78" s="49">
        <f>AVERAGE('26.07 Ndeeba-Nyanama-24h'!I78,'27.07 Ndeeba-Nyanama-24h'!I78)</f>
        <v>1.5</v>
      </c>
      <c r="J78" s="49">
        <f>AVERAGE('26.07 Ndeeba-Nyanama-24h'!J78,'27.07 Ndeeba-Nyanama-24h'!J78)</f>
        <v>0</v>
      </c>
      <c r="K78" s="49">
        <f>AVERAGE('26.07 Ndeeba-Nyanama-24h'!K78,'27.07 Ndeeba-Nyanama-24h'!K78)</f>
        <v>0.5</v>
      </c>
      <c r="L78" s="49">
        <f>AVERAGE('26.07 Ndeeba-Nyanama-24h'!L78,'27.07 Ndeeba-Nyanama-24h'!L78)</f>
        <v>0</v>
      </c>
      <c r="M78" s="49">
        <f>AVERAGE('26.07 Ndeeba-Nyanama-24h'!M78,'27.07 Ndeeba-Nyanama-24h'!M78)</f>
        <v>36.5</v>
      </c>
      <c r="N78" s="49">
        <f>AVERAGE('26.07 Ndeeba-Nyanama-24h'!N78,'27.07 Ndeeba-Nyanama-24h'!N78)</f>
        <v>0</v>
      </c>
      <c r="O78" s="15">
        <f t="shared" si="35"/>
        <v>29</v>
      </c>
      <c r="P78" s="15">
        <f t="shared" si="36"/>
        <v>65.5</v>
      </c>
      <c r="R78" s="8"/>
      <c r="T78"/>
    </row>
    <row r="79" spans="2:20" ht="23.1" customHeight="1" x14ac:dyDescent="0.25">
      <c r="B79" s="23" t="s">
        <v>119</v>
      </c>
      <c r="C79" s="49">
        <f>AVERAGE('26.07 Ndeeba-Nyanama-24h'!C79,'27.07 Ndeeba-Nyanama-24h'!C79)</f>
        <v>10</v>
      </c>
      <c r="D79" s="49">
        <f>AVERAGE('26.07 Ndeeba-Nyanama-24h'!D79,'27.07 Ndeeba-Nyanama-24h'!D79)</f>
        <v>2.5</v>
      </c>
      <c r="E79" s="49">
        <f>AVERAGE('26.07 Ndeeba-Nyanama-24h'!E79,'27.07 Ndeeba-Nyanama-24h'!E79)</f>
        <v>2</v>
      </c>
      <c r="F79" s="49">
        <f>AVERAGE('26.07 Ndeeba-Nyanama-24h'!F79,'27.07 Ndeeba-Nyanama-24h'!F79)</f>
        <v>3.5</v>
      </c>
      <c r="G79" s="49">
        <f>AVERAGE('26.07 Ndeeba-Nyanama-24h'!G79,'27.07 Ndeeba-Nyanama-24h'!G79)</f>
        <v>0</v>
      </c>
      <c r="H79" s="49">
        <f>AVERAGE('26.07 Ndeeba-Nyanama-24h'!H79,'27.07 Ndeeba-Nyanama-24h'!H79)</f>
        <v>0</v>
      </c>
      <c r="I79" s="49">
        <f>AVERAGE('26.07 Ndeeba-Nyanama-24h'!I79,'27.07 Ndeeba-Nyanama-24h'!I79)</f>
        <v>0.5</v>
      </c>
      <c r="J79" s="49">
        <f>AVERAGE('26.07 Ndeeba-Nyanama-24h'!J79,'27.07 Ndeeba-Nyanama-24h'!J79)</f>
        <v>0.5</v>
      </c>
      <c r="K79" s="49">
        <f>AVERAGE('26.07 Ndeeba-Nyanama-24h'!K79,'27.07 Ndeeba-Nyanama-24h'!K79)</f>
        <v>0.5</v>
      </c>
      <c r="L79" s="49">
        <f>AVERAGE('26.07 Ndeeba-Nyanama-24h'!L79,'27.07 Ndeeba-Nyanama-24h'!L79)</f>
        <v>0</v>
      </c>
      <c r="M79" s="49">
        <f>AVERAGE('26.07 Ndeeba-Nyanama-24h'!M79,'27.07 Ndeeba-Nyanama-24h'!M79)</f>
        <v>26</v>
      </c>
      <c r="N79" s="49">
        <f>AVERAGE('26.07 Ndeeba-Nyanama-24h'!N79,'27.07 Ndeeba-Nyanama-24h'!N79)</f>
        <v>0</v>
      </c>
      <c r="O79" s="15">
        <f t="shared" si="35"/>
        <v>19.5</v>
      </c>
      <c r="P79" s="15">
        <f t="shared" si="36"/>
        <v>45.5</v>
      </c>
      <c r="R79" s="8"/>
      <c r="T79"/>
    </row>
    <row r="80" spans="2:20" ht="23.1" customHeight="1" x14ac:dyDescent="0.25">
      <c r="B80" s="25" t="s">
        <v>120</v>
      </c>
      <c r="C80" s="49">
        <f>AVERAGE('26.07 Ndeeba-Nyanama-24h'!C80,'27.07 Ndeeba-Nyanama-24h'!C80)</f>
        <v>18.5</v>
      </c>
      <c r="D80" s="49">
        <f>AVERAGE('26.07 Ndeeba-Nyanama-24h'!D80,'27.07 Ndeeba-Nyanama-24h'!D80)</f>
        <v>0.5</v>
      </c>
      <c r="E80" s="49">
        <f>AVERAGE('26.07 Ndeeba-Nyanama-24h'!E80,'27.07 Ndeeba-Nyanama-24h'!E80)</f>
        <v>0</v>
      </c>
      <c r="F80" s="49">
        <f>AVERAGE('26.07 Ndeeba-Nyanama-24h'!F80,'27.07 Ndeeba-Nyanama-24h'!F80)</f>
        <v>5</v>
      </c>
      <c r="G80" s="49">
        <f>AVERAGE('26.07 Ndeeba-Nyanama-24h'!G80,'27.07 Ndeeba-Nyanama-24h'!G80)</f>
        <v>0</v>
      </c>
      <c r="H80" s="49">
        <f>AVERAGE('26.07 Ndeeba-Nyanama-24h'!H80,'27.07 Ndeeba-Nyanama-24h'!H80)</f>
        <v>0</v>
      </c>
      <c r="I80" s="49">
        <f>AVERAGE('26.07 Ndeeba-Nyanama-24h'!I80,'27.07 Ndeeba-Nyanama-24h'!I80)</f>
        <v>0.5</v>
      </c>
      <c r="J80" s="49">
        <f>AVERAGE('26.07 Ndeeba-Nyanama-24h'!J80,'27.07 Ndeeba-Nyanama-24h'!J80)</f>
        <v>0</v>
      </c>
      <c r="K80" s="49">
        <f>AVERAGE('26.07 Ndeeba-Nyanama-24h'!K80,'27.07 Ndeeba-Nyanama-24h'!K80)</f>
        <v>0</v>
      </c>
      <c r="L80" s="49">
        <f>AVERAGE('26.07 Ndeeba-Nyanama-24h'!L80,'27.07 Ndeeba-Nyanama-24h'!L80)</f>
        <v>0</v>
      </c>
      <c r="M80" s="49">
        <f>AVERAGE('26.07 Ndeeba-Nyanama-24h'!M80,'27.07 Ndeeba-Nyanama-24h'!M80)</f>
        <v>22.5</v>
      </c>
      <c r="N80" s="49">
        <f>AVERAGE('26.07 Ndeeba-Nyanama-24h'!N80,'27.07 Ndeeba-Nyanama-24h'!N80)</f>
        <v>0</v>
      </c>
      <c r="O80" s="15">
        <f t="shared" si="35"/>
        <v>24.5</v>
      </c>
      <c r="P80" s="15">
        <f t="shared" si="36"/>
        <v>47</v>
      </c>
      <c r="R80" s="8"/>
      <c r="T80"/>
    </row>
    <row r="81" spans="2:20" ht="23.1" customHeight="1" x14ac:dyDescent="0.25">
      <c r="B81" s="23" t="s">
        <v>121</v>
      </c>
      <c r="C81" s="49">
        <f>AVERAGE('26.07 Ndeeba-Nyanama-24h'!C81,'27.07 Ndeeba-Nyanama-24h'!C81)</f>
        <v>10</v>
      </c>
      <c r="D81" s="49">
        <f>AVERAGE('26.07 Ndeeba-Nyanama-24h'!D81,'27.07 Ndeeba-Nyanama-24h'!D81)</f>
        <v>2</v>
      </c>
      <c r="E81" s="49">
        <f>AVERAGE('26.07 Ndeeba-Nyanama-24h'!E81,'27.07 Ndeeba-Nyanama-24h'!E81)</f>
        <v>0</v>
      </c>
      <c r="F81" s="49">
        <f>AVERAGE('26.07 Ndeeba-Nyanama-24h'!F81,'27.07 Ndeeba-Nyanama-24h'!F81)</f>
        <v>4</v>
      </c>
      <c r="G81" s="49">
        <f>AVERAGE('26.07 Ndeeba-Nyanama-24h'!G81,'27.07 Ndeeba-Nyanama-24h'!G81)</f>
        <v>0</v>
      </c>
      <c r="H81" s="49">
        <f>AVERAGE('26.07 Ndeeba-Nyanama-24h'!H81,'27.07 Ndeeba-Nyanama-24h'!H81)</f>
        <v>0</v>
      </c>
      <c r="I81" s="49">
        <f>AVERAGE('26.07 Ndeeba-Nyanama-24h'!I81,'27.07 Ndeeba-Nyanama-24h'!I81)</f>
        <v>1</v>
      </c>
      <c r="J81" s="49">
        <f>AVERAGE('26.07 Ndeeba-Nyanama-24h'!J81,'27.07 Ndeeba-Nyanama-24h'!J81)</f>
        <v>2</v>
      </c>
      <c r="K81" s="49">
        <f>AVERAGE('26.07 Ndeeba-Nyanama-24h'!K81,'27.07 Ndeeba-Nyanama-24h'!K81)</f>
        <v>0</v>
      </c>
      <c r="L81" s="49">
        <f>AVERAGE('26.07 Ndeeba-Nyanama-24h'!L81,'27.07 Ndeeba-Nyanama-24h'!L81)</f>
        <v>0</v>
      </c>
      <c r="M81" s="49">
        <f>AVERAGE('26.07 Ndeeba-Nyanama-24h'!M81,'27.07 Ndeeba-Nyanama-24h'!M81)</f>
        <v>19.5</v>
      </c>
      <c r="N81" s="49">
        <f>AVERAGE('26.07 Ndeeba-Nyanama-24h'!N81,'27.07 Ndeeba-Nyanama-24h'!N81)</f>
        <v>0</v>
      </c>
      <c r="O81" s="15">
        <f t="shared" si="35"/>
        <v>19</v>
      </c>
      <c r="P81" s="15">
        <f t="shared" si="36"/>
        <v>38.5</v>
      </c>
      <c r="R81" s="8"/>
      <c r="T81"/>
    </row>
    <row r="82" spans="2:20" ht="23.1" customHeight="1" x14ac:dyDescent="0.25">
      <c r="B82" s="24" t="s">
        <v>122</v>
      </c>
      <c r="C82" s="49">
        <f>AVERAGE('26.07 Ndeeba-Nyanama-24h'!C82,'27.07 Ndeeba-Nyanama-24h'!C82)</f>
        <v>15.5</v>
      </c>
      <c r="D82" s="49">
        <f>AVERAGE('26.07 Ndeeba-Nyanama-24h'!D82,'27.07 Ndeeba-Nyanama-24h'!D82)</f>
        <v>1</v>
      </c>
      <c r="E82" s="49">
        <f>AVERAGE('26.07 Ndeeba-Nyanama-24h'!E82,'27.07 Ndeeba-Nyanama-24h'!E82)</f>
        <v>1</v>
      </c>
      <c r="F82" s="49">
        <f>AVERAGE('26.07 Ndeeba-Nyanama-24h'!F82,'27.07 Ndeeba-Nyanama-24h'!F82)</f>
        <v>2.5</v>
      </c>
      <c r="G82" s="49">
        <f>AVERAGE('26.07 Ndeeba-Nyanama-24h'!G82,'27.07 Ndeeba-Nyanama-24h'!G82)</f>
        <v>0</v>
      </c>
      <c r="H82" s="49">
        <f>AVERAGE('26.07 Ndeeba-Nyanama-24h'!H82,'27.07 Ndeeba-Nyanama-24h'!H82)</f>
        <v>0</v>
      </c>
      <c r="I82" s="49">
        <f>AVERAGE('26.07 Ndeeba-Nyanama-24h'!I82,'27.07 Ndeeba-Nyanama-24h'!I82)</f>
        <v>2.5</v>
      </c>
      <c r="J82" s="49">
        <f>AVERAGE('26.07 Ndeeba-Nyanama-24h'!J82,'27.07 Ndeeba-Nyanama-24h'!J82)</f>
        <v>1</v>
      </c>
      <c r="K82" s="49">
        <f>AVERAGE('26.07 Ndeeba-Nyanama-24h'!K82,'27.07 Ndeeba-Nyanama-24h'!K82)</f>
        <v>1.5</v>
      </c>
      <c r="L82" s="49">
        <f>AVERAGE('26.07 Ndeeba-Nyanama-24h'!L82,'27.07 Ndeeba-Nyanama-24h'!L82)</f>
        <v>0</v>
      </c>
      <c r="M82" s="49">
        <f>AVERAGE('26.07 Ndeeba-Nyanama-24h'!M82,'27.07 Ndeeba-Nyanama-24h'!M82)</f>
        <v>26</v>
      </c>
      <c r="N82" s="49">
        <f>AVERAGE('26.07 Ndeeba-Nyanama-24h'!N82,'27.07 Ndeeba-Nyanama-24h'!N82)</f>
        <v>0</v>
      </c>
      <c r="O82" s="15">
        <f t="shared" si="35"/>
        <v>25</v>
      </c>
      <c r="P82" s="15">
        <f t="shared" si="36"/>
        <v>51</v>
      </c>
      <c r="R82" s="8"/>
      <c r="T82"/>
    </row>
    <row r="83" spans="2:20" ht="23.1" customHeight="1" x14ac:dyDescent="0.25">
      <c r="B83" s="23" t="s">
        <v>123</v>
      </c>
      <c r="C83" s="49">
        <f>AVERAGE('26.07 Ndeeba-Nyanama-24h'!C83,'27.07 Ndeeba-Nyanama-24h'!C83)</f>
        <v>14.5</v>
      </c>
      <c r="D83" s="49">
        <f>AVERAGE('26.07 Ndeeba-Nyanama-24h'!D83,'27.07 Ndeeba-Nyanama-24h'!D83)</f>
        <v>0</v>
      </c>
      <c r="E83" s="49">
        <f>AVERAGE('26.07 Ndeeba-Nyanama-24h'!E83,'27.07 Ndeeba-Nyanama-24h'!E83)</f>
        <v>0.5</v>
      </c>
      <c r="F83" s="49">
        <f>AVERAGE('26.07 Ndeeba-Nyanama-24h'!F83,'27.07 Ndeeba-Nyanama-24h'!F83)</f>
        <v>2</v>
      </c>
      <c r="G83" s="49">
        <f>AVERAGE('26.07 Ndeeba-Nyanama-24h'!G83,'27.07 Ndeeba-Nyanama-24h'!G83)</f>
        <v>0</v>
      </c>
      <c r="H83" s="49">
        <f>AVERAGE('26.07 Ndeeba-Nyanama-24h'!H83,'27.07 Ndeeba-Nyanama-24h'!H83)</f>
        <v>0</v>
      </c>
      <c r="I83" s="49">
        <f>AVERAGE('26.07 Ndeeba-Nyanama-24h'!I83,'27.07 Ndeeba-Nyanama-24h'!I83)</f>
        <v>0.5</v>
      </c>
      <c r="J83" s="49">
        <f>AVERAGE('26.07 Ndeeba-Nyanama-24h'!J83,'27.07 Ndeeba-Nyanama-24h'!J83)</f>
        <v>0</v>
      </c>
      <c r="K83" s="49">
        <f>AVERAGE('26.07 Ndeeba-Nyanama-24h'!K83,'27.07 Ndeeba-Nyanama-24h'!K83)</f>
        <v>0.5</v>
      </c>
      <c r="L83" s="49">
        <f>AVERAGE('26.07 Ndeeba-Nyanama-24h'!L83,'27.07 Ndeeba-Nyanama-24h'!L83)</f>
        <v>0</v>
      </c>
      <c r="M83" s="49">
        <f>AVERAGE('26.07 Ndeeba-Nyanama-24h'!M83,'27.07 Ndeeba-Nyanama-24h'!M83)</f>
        <v>24</v>
      </c>
      <c r="N83" s="49">
        <f>AVERAGE('26.07 Ndeeba-Nyanama-24h'!N83,'27.07 Ndeeba-Nyanama-24h'!N83)</f>
        <v>0</v>
      </c>
      <c r="O83" s="15">
        <f t="shared" si="35"/>
        <v>18</v>
      </c>
      <c r="P83" s="15">
        <f t="shared" si="36"/>
        <v>42</v>
      </c>
      <c r="R83" s="8"/>
      <c r="T83"/>
    </row>
    <row r="84" spans="2:20" ht="23.1" customHeight="1" x14ac:dyDescent="0.25">
      <c r="B84" s="25" t="s">
        <v>124</v>
      </c>
      <c r="C84" s="49">
        <f>AVERAGE('26.07 Ndeeba-Nyanama-24h'!C84,'27.07 Ndeeba-Nyanama-24h'!C84)</f>
        <v>6</v>
      </c>
      <c r="D84" s="49">
        <f>AVERAGE('26.07 Ndeeba-Nyanama-24h'!D84,'27.07 Ndeeba-Nyanama-24h'!D84)</f>
        <v>1</v>
      </c>
      <c r="E84" s="49">
        <f>AVERAGE('26.07 Ndeeba-Nyanama-24h'!E84,'27.07 Ndeeba-Nyanama-24h'!E84)</f>
        <v>0</v>
      </c>
      <c r="F84" s="49">
        <f>AVERAGE('26.07 Ndeeba-Nyanama-24h'!F84,'27.07 Ndeeba-Nyanama-24h'!F84)</f>
        <v>0.5</v>
      </c>
      <c r="G84" s="49">
        <f>AVERAGE('26.07 Ndeeba-Nyanama-24h'!G84,'27.07 Ndeeba-Nyanama-24h'!G84)</f>
        <v>0</v>
      </c>
      <c r="H84" s="49">
        <f>AVERAGE('26.07 Ndeeba-Nyanama-24h'!H84,'27.07 Ndeeba-Nyanama-24h'!H84)</f>
        <v>0</v>
      </c>
      <c r="I84" s="49">
        <f>AVERAGE('26.07 Ndeeba-Nyanama-24h'!I84,'27.07 Ndeeba-Nyanama-24h'!I84)</f>
        <v>1</v>
      </c>
      <c r="J84" s="49">
        <f>AVERAGE('26.07 Ndeeba-Nyanama-24h'!J84,'27.07 Ndeeba-Nyanama-24h'!J84)</f>
        <v>1</v>
      </c>
      <c r="K84" s="49">
        <f>AVERAGE('26.07 Ndeeba-Nyanama-24h'!K84,'27.07 Ndeeba-Nyanama-24h'!K84)</f>
        <v>0.5</v>
      </c>
      <c r="L84" s="49">
        <f>AVERAGE('26.07 Ndeeba-Nyanama-24h'!L84,'27.07 Ndeeba-Nyanama-24h'!L84)</f>
        <v>0</v>
      </c>
      <c r="M84" s="49">
        <f>AVERAGE('26.07 Ndeeba-Nyanama-24h'!M84,'27.07 Ndeeba-Nyanama-24h'!M84)</f>
        <v>21</v>
      </c>
      <c r="N84" s="49">
        <f>AVERAGE('26.07 Ndeeba-Nyanama-24h'!N84,'27.07 Ndeeba-Nyanama-24h'!N84)</f>
        <v>0</v>
      </c>
      <c r="O84" s="15">
        <f t="shared" si="35"/>
        <v>10</v>
      </c>
      <c r="P84" s="15">
        <f t="shared" si="36"/>
        <v>31</v>
      </c>
      <c r="R84" s="8"/>
      <c r="T84"/>
    </row>
    <row r="85" spans="2:20" ht="23.1" customHeight="1" x14ac:dyDescent="0.25">
      <c r="B85" s="23" t="s">
        <v>125</v>
      </c>
      <c r="C85" s="49">
        <f>AVERAGE('26.07 Ndeeba-Nyanama-24h'!C85,'27.07 Ndeeba-Nyanama-24h'!C85)</f>
        <v>8</v>
      </c>
      <c r="D85" s="49">
        <f>AVERAGE('26.07 Ndeeba-Nyanama-24h'!D85,'27.07 Ndeeba-Nyanama-24h'!D85)</f>
        <v>0.5</v>
      </c>
      <c r="E85" s="49">
        <f>AVERAGE('26.07 Ndeeba-Nyanama-24h'!E85,'27.07 Ndeeba-Nyanama-24h'!E85)</f>
        <v>0</v>
      </c>
      <c r="F85" s="49">
        <f>AVERAGE('26.07 Ndeeba-Nyanama-24h'!F85,'27.07 Ndeeba-Nyanama-24h'!F85)</f>
        <v>1</v>
      </c>
      <c r="G85" s="49">
        <f>AVERAGE('26.07 Ndeeba-Nyanama-24h'!G85,'27.07 Ndeeba-Nyanama-24h'!G85)</f>
        <v>0</v>
      </c>
      <c r="H85" s="49">
        <f>AVERAGE('26.07 Ndeeba-Nyanama-24h'!H85,'27.07 Ndeeba-Nyanama-24h'!H85)</f>
        <v>0</v>
      </c>
      <c r="I85" s="49">
        <f>AVERAGE('26.07 Ndeeba-Nyanama-24h'!I85,'27.07 Ndeeba-Nyanama-24h'!I85)</f>
        <v>2</v>
      </c>
      <c r="J85" s="49">
        <f>AVERAGE('26.07 Ndeeba-Nyanama-24h'!J85,'27.07 Ndeeba-Nyanama-24h'!J85)</f>
        <v>2</v>
      </c>
      <c r="K85" s="49">
        <f>AVERAGE('26.07 Ndeeba-Nyanama-24h'!K85,'27.07 Ndeeba-Nyanama-24h'!K85)</f>
        <v>0</v>
      </c>
      <c r="L85" s="49">
        <f>AVERAGE('26.07 Ndeeba-Nyanama-24h'!L85,'27.07 Ndeeba-Nyanama-24h'!L85)</f>
        <v>0</v>
      </c>
      <c r="M85" s="49">
        <f>AVERAGE('26.07 Ndeeba-Nyanama-24h'!M85,'27.07 Ndeeba-Nyanama-24h'!M85)</f>
        <v>24</v>
      </c>
      <c r="N85" s="49">
        <f>AVERAGE('26.07 Ndeeba-Nyanama-24h'!N85,'27.07 Ndeeba-Nyanama-24h'!N85)</f>
        <v>0</v>
      </c>
      <c r="O85" s="15">
        <f t="shared" si="35"/>
        <v>13.5</v>
      </c>
      <c r="P85" s="15">
        <f t="shared" si="36"/>
        <v>37.5</v>
      </c>
      <c r="R85" s="8"/>
      <c r="T85"/>
    </row>
    <row r="86" spans="2:20" ht="23.1" customHeight="1" x14ac:dyDescent="0.25">
      <c r="B86" s="24" t="s">
        <v>126</v>
      </c>
      <c r="C86" s="49">
        <f>AVERAGE('26.07 Ndeeba-Nyanama-24h'!C86,'27.07 Ndeeba-Nyanama-24h'!C86)</f>
        <v>4</v>
      </c>
      <c r="D86" s="49">
        <f>AVERAGE('26.07 Ndeeba-Nyanama-24h'!D86,'27.07 Ndeeba-Nyanama-24h'!D86)</f>
        <v>0</v>
      </c>
      <c r="E86" s="49">
        <f>AVERAGE('26.07 Ndeeba-Nyanama-24h'!E86,'27.07 Ndeeba-Nyanama-24h'!E86)</f>
        <v>0</v>
      </c>
      <c r="F86" s="49">
        <f>AVERAGE('26.07 Ndeeba-Nyanama-24h'!F86,'27.07 Ndeeba-Nyanama-24h'!F86)</f>
        <v>0.5</v>
      </c>
      <c r="G86" s="49">
        <f>AVERAGE('26.07 Ndeeba-Nyanama-24h'!G86,'27.07 Ndeeba-Nyanama-24h'!G86)</f>
        <v>0</v>
      </c>
      <c r="H86" s="49">
        <f>AVERAGE('26.07 Ndeeba-Nyanama-24h'!H86,'27.07 Ndeeba-Nyanama-24h'!H86)</f>
        <v>0</v>
      </c>
      <c r="I86" s="49">
        <f>AVERAGE('26.07 Ndeeba-Nyanama-24h'!I86,'27.07 Ndeeba-Nyanama-24h'!I86)</f>
        <v>1</v>
      </c>
      <c r="J86" s="49">
        <f>AVERAGE('26.07 Ndeeba-Nyanama-24h'!J86,'27.07 Ndeeba-Nyanama-24h'!J86)</f>
        <v>0</v>
      </c>
      <c r="K86" s="49">
        <f>AVERAGE('26.07 Ndeeba-Nyanama-24h'!K86,'27.07 Ndeeba-Nyanama-24h'!K86)</f>
        <v>0.5</v>
      </c>
      <c r="L86" s="49">
        <f>AVERAGE('26.07 Ndeeba-Nyanama-24h'!L86,'27.07 Ndeeba-Nyanama-24h'!L86)</f>
        <v>0</v>
      </c>
      <c r="M86" s="49">
        <f>AVERAGE('26.07 Ndeeba-Nyanama-24h'!M86,'27.07 Ndeeba-Nyanama-24h'!M86)</f>
        <v>13</v>
      </c>
      <c r="N86" s="49">
        <f>AVERAGE('26.07 Ndeeba-Nyanama-24h'!N86,'27.07 Ndeeba-Nyanama-24h'!N86)</f>
        <v>0</v>
      </c>
      <c r="O86" s="15">
        <f t="shared" si="35"/>
        <v>6</v>
      </c>
      <c r="P86" s="15">
        <f t="shared" si="36"/>
        <v>19</v>
      </c>
      <c r="R86" s="8"/>
      <c r="T86"/>
    </row>
    <row r="87" spans="2:20" ht="23.1" customHeight="1" x14ac:dyDescent="0.25">
      <c r="B87" s="23" t="s">
        <v>127</v>
      </c>
      <c r="C87" s="49">
        <f>AVERAGE('26.07 Ndeeba-Nyanama-24h'!C87,'27.07 Ndeeba-Nyanama-24h'!C87)</f>
        <v>2.5</v>
      </c>
      <c r="D87" s="49">
        <f>AVERAGE('26.07 Ndeeba-Nyanama-24h'!D87,'27.07 Ndeeba-Nyanama-24h'!D87)</f>
        <v>0.5</v>
      </c>
      <c r="E87" s="49">
        <f>AVERAGE('26.07 Ndeeba-Nyanama-24h'!E87,'27.07 Ndeeba-Nyanama-24h'!E87)</f>
        <v>0</v>
      </c>
      <c r="F87" s="49">
        <f>AVERAGE('26.07 Ndeeba-Nyanama-24h'!F87,'27.07 Ndeeba-Nyanama-24h'!F87)</f>
        <v>0</v>
      </c>
      <c r="G87" s="49">
        <f>AVERAGE('26.07 Ndeeba-Nyanama-24h'!G87,'27.07 Ndeeba-Nyanama-24h'!G87)</f>
        <v>0</v>
      </c>
      <c r="H87" s="49">
        <f>AVERAGE('26.07 Ndeeba-Nyanama-24h'!H87,'27.07 Ndeeba-Nyanama-24h'!H87)</f>
        <v>0</v>
      </c>
      <c r="I87" s="49">
        <f>AVERAGE('26.07 Ndeeba-Nyanama-24h'!I87,'27.07 Ndeeba-Nyanama-24h'!I87)</f>
        <v>0.5</v>
      </c>
      <c r="J87" s="49">
        <f>AVERAGE('26.07 Ndeeba-Nyanama-24h'!J87,'27.07 Ndeeba-Nyanama-24h'!J87)</f>
        <v>0</v>
      </c>
      <c r="K87" s="49">
        <f>AVERAGE('26.07 Ndeeba-Nyanama-24h'!K87,'27.07 Ndeeba-Nyanama-24h'!K87)</f>
        <v>1</v>
      </c>
      <c r="L87" s="49">
        <f>AVERAGE('26.07 Ndeeba-Nyanama-24h'!L87,'27.07 Ndeeba-Nyanama-24h'!L87)</f>
        <v>0</v>
      </c>
      <c r="M87" s="49">
        <f>AVERAGE('26.07 Ndeeba-Nyanama-24h'!M87,'27.07 Ndeeba-Nyanama-24h'!M87)</f>
        <v>14.5</v>
      </c>
      <c r="N87" s="49">
        <f>AVERAGE('26.07 Ndeeba-Nyanama-24h'!N87,'27.07 Ndeeba-Nyanama-24h'!N87)</f>
        <v>0</v>
      </c>
      <c r="O87" s="15">
        <f t="shared" si="35"/>
        <v>4.5</v>
      </c>
      <c r="P87" s="15">
        <f t="shared" si="36"/>
        <v>19</v>
      </c>
      <c r="R87" s="8"/>
      <c r="T87"/>
    </row>
    <row r="88" spans="2:20" ht="23.1" customHeight="1" x14ac:dyDescent="0.25">
      <c r="B88" s="25" t="s">
        <v>128</v>
      </c>
      <c r="C88" s="49">
        <f>AVERAGE('26.07 Ndeeba-Nyanama-24h'!C88,'27.07 Ndeeba-Nyanama-24h'!C88)</f>
        <v>10.5</v>
      </c>
      <c r="D88" s="49">
        <f>AVERAGE('26.07 Ndeeba-Nyanama-24h'!D88,'27.07 Ndeeba-Nyanama-24h'!D88)</f>
        <v>0</v>
      </c>
      <c r="E88" s="49">
        <f>AVERAGE('26.07 Ndeeba-Nyanama-24h'!E88,'27.07 Ndeeba-Nyanama-24h'!E88)</f>
        <v>0</v>
      </c>
      <c r="F88" s="49">
        <f>AVERAGE('26.07 Ndeeba-Nyanama-24h'!F88,'27.07 Ndeeba-Nyanama-24h'!F88)</f>
        <v>0</v>
      </c>
      <c r="G88" s="49">
        <f>AVERAGE('26.07 Ndeeba-Nyanama-24h'!G88,'27.07 Ndeeba-Nyanama-24h'!G88)</f>
        <v>0</v>
      </c>
      <c r="H88" s="49">
        <f>AVERAGE('26.07 Ndeeba-Nyanama-24h'!H88,'27.07 Ndeeba-Nyanama-24h'!H88)</f>
        <v>0</v>
      </c>
      <c r="I88" s="49">
        <f>AVERAGE('26.07 Ndeeba-Nyanama-24h'!I88,'27.07 Ndeeba-Nyanama-24h'!I88)</f>
        <v>0.5</v>
      </c>
      <c r="J88" s="49">
        <f>AVERAGE('26.07 Ndeeba-Nyanama-24h'!J88,'27.07 Ndeeba-Nyanama-24h'!J88)</f>
        <v>0.5</v>
      </c>
      <c r="K88" s="49">
        <f>AVERAGE('26.07 Ndeeba-Nyanama-24h'!K88,'27.07 Ndeeba-Nyanama-24h'!K88)</f>
        <v>0</v>
      </c>
      <c r="L88" s="49">
        <f>AVERAGE('26.07 Ndeeba-Nyanama-24h'!L88,'27.07 Ndeeba-Nyanama-24h'!L88)</f>
        <v>0</v>
      </c>
      <c r="M88" s="49">
        <f>AVERAGE('26.07 Ndeeba-Nyanama-24h'!M88,'27.07 Ndeeba-Nyanama-24h'!M88)</f>
        <v>17.5</v>
      </c>
      <c r="N88" s="49">
        <f>AVERAGE('26.07 Ndeeba-Nyanama-24h'!N88,'27.07 Ndeeba-Nyanama-24h'!N88)</f>
        <v>0</v>
      </c>
      <c r="O88" s="15">
        <f t="shared" si="35"/>
        <v>11.5</v>
      </c>
      <c r="P88" s="15">
        <f t="shared" si="36"/>
        <v>29</v>
      </c>
      <c r="R88" s="8"/>
      <c r="T88"/>
    </row>
    <row r="89" spans="2:20" ht="23.1" customHeight="1" x14ac:dyDescent="0.25">
      <c r="B89" s="23" t="s">
        <v>129</v>
      </c>
      <c r="C89" s="49">
        <f>AVERAGE('26.07 Ndeeba-Nyanama-24h'!C89,'27.07 Ndeeba-Nyanama-24h'!C89)</f>
        <v>5.5</v>
      </c>
      <c r="D89" s="49">
        <f>AVERAGE('26.07 Ndeeba-Nyanama-24h'!D89,'27.07 Ndeeba-Nyanama-24h'!D89)</f>
        <v>0</v>
      </c>
      <c r="E89" s="49">
        <f>AVERAGE('26.07 Ndeeba-Nyanama-24h'!E89,'27.07 Ndeeba-Nyanama-24h'!E89)</f>
        <v>0</v>
      </c>
      <c r="F89" s="49">
        <f>AVERAGE('26.07 Ndeeba-Nyanama-24h'!F89,'27.07 Ndeeba-Nyanama-24h'!F89)</f>
        <v>0.5</v>
      </c>
      <c r="G89" s="49">
        <f>AVERAGE('26.07 Ndeeba-Nyanama-24h'!G89,'27.07 Ndeeba-Nyanama-24h'!G89)</f>
        <v>0</v>
      </c>
      <c r="H89" s="49">
        <f>AVERAGE('26.07 Ndeeba-Nyanama-24h'!H89,'27.07 Ndeeba-Nyanama-24h'!H89)</f>
        <v>0</v>
      </c>
      <c r="I89" s="49">
        <f>AVERAGE('26.07 Ndeeba-Nyanama-24h'!I89,'27.07 Ndeeba-Nyanama-24h'!I89)</f>
        <v>0.5</v>
      </c>
      <c r="J89" s="49">
        <f>AVERAGE('26.07 Ndeeba-Nyanama-24h'!J89,'27.07 Ndeeba-Nyanama-24h'!J89)</f>
        <v>0.5</v>
      </c>
      <c r="K89" s="49">
        <f>AVERAGE('26.07 Ndeeba-Nyanama-24h'!K89,'27.07 Ndeeba-Nyanama-24h'!K89)</f>
        <v>0</v>
      </c>
      <c r="L89" s="49">
        <f>AVERAGE('26.07 Ndeeba-Nyanama-24h'!L89,'27.07 Ndeeba-Nyanama-24h'!L89)</f>
        <v>0</v>
      </c>
      <c r="M89" s="49">
        <f>AVERAGE('26.07 Ndeeba-Nyanama-24h'!M89,'27.07 Ndeeba-Nyanama-24h'!M89)</f>
        <v>16</v>
      </c>
      <c r="N89" s="49">
        <f>AVERAGE('26.07 Ndeeba-Nyanama-24h'!N89,'27.07 Ndeeba-Nyanama-24h'!N89)</f>
        <v>0</v>
      </c>
      <c r="O89" s="15">
        <f t="shared" si="35"/>
        <v>7</v>
      </c>
      <c r="P89" s="15">
        <f t="shared" si="36"/>
        <v>23</v>
      </c>
      <c r="R89" s="8"/>
      <c r="T89"/>
    </row>
    <row r="90" spans="2:20" ht="23.1" customHeight="1" x14ac:dyDescent="0.25">
      <c r="B90" s="24" t="s">
        <v>130</v>
      </c>
      <c r="C90" s="49">
        <f>AVERAGE('26.07 Ndeeba-Nyanama-24h'!C90,'27.07 Ndeeba-Nyanama-24h'!C90)</f>
        <v>4</v>
      </c>
      <c r="D90" s="49">
        <f>AVERAGE('26.07 Ndeeba-Nyanama-24h'!D90,'27.07 Ndeeba-Nyanama-24h'!D90)</f>
        <v>0</v>
      </c>
      <c r="E90" s="49">
        <f>AVERAGE('26.07 Ndeeba-Nyanama-24h'!E90,'27.07 Ndeeba-Nyanama-24h'!E90)</f>
        <v>0</v>
      </c>
      <c r="F90" s="49">
        <f>AVERAGE('26.07 Ndeeba-Nyanama-24h'!F90,'27.07 Ndeeba-Nyanama-24h'!F90)</f>
        <v>0.5</v>
      </c>
      <c r="G90" s="49">
        <f>AVERAGE('26.07 Ndeeba-Nyanama-24h'!G90,'27.07 Ndeeba-Nyanama-24h'!G90)</f>
        <v>0</v>
      </c>
      <c r="H90" s="49">
        <f>AVERAGE('26.07 Ndeeba-Nyanama-24h'!H90,'27.07 Ndeeba-Nyanama-24h'!H90)</f>
        <v>0</v>
      </c>
      <c r="I90" s="49">
        <f>AVERAGE('26.07 Ndeeba-Nyanama-24h'!I90,'27.07 Ndeeba-Nyanama-24h'!I90)</f>
        <v>0.5</v>
      </c>
      <c r="J90" s="49">
        <f>AVERAGE('26.07 Ndeeba-Nyanama-24h'!J90,'27.07 Ndeeba-Nyanama-24h'!J90)</f>
        <v>0</v>
      </c>
      <c r="K90" s="49">
        <f>AVERAGE('26.07 Ndeeba-Nyanama-24h'!K90,'27.07 Ndeeba-Nyanama-24h'!K90)</f>
        <v>0</v>
      </c>
      <c r="L90" s="49">
        <f>AVERAGE('26.07 Ndeeba-Nyanama-24h'!L90,'27.07 Ndeeba-Nyanama-24h'!L90)</f>
        <v>0</v>
      </c>
      <c r="M90" s="49">
        <f>AVERAGE('26.07 Ndeeba-Nyanama-24h'!M90,'27.07 Ndeeba-Nyanama-24h'!M90)</f>
        <v>10.5</v>
      </c>
      <c r="N90" s="49">
        <f>AVERAGE('26.07 Ndeeba-Nyanama-24h'!N90,'27.07 Ndeeba-Nyanama-24h'!N90)</f>
        <v>0</v>
      </c>
      <c r="O90" s="15">
        <f t="shared" si="35"/>
        <v>5</v>
      </c>
      <c r="P90" s="15">
        <f t="shared" si="36"/>
        <v>15.5</v>
      </c>
      <c r="R90" s="8"/>
      <c r="T90"/>
    </row>
    <row r="91" spans="2:20" ht="23.1" customHeight="1" x14ac:dyDescent="0.25">
      <c r="B91" s="23" t="s">
        <v>131</v>
      </c>
      <c r="C91" s="49">
        <f>AVERAGE('26.07 Ndeeba-Nyanama-24h'!C91,'27.07 Ndeeba-Nyanama-24h'!C91)</f>
        <v>4</v>
      </c>
      <c r="D91" s="49">
        <f>AVERAGE('26.07 Ndeeba-Nyanama-24h'!D91,'27.07 Ndeeba-Nyanama-24h'!D91)</f>
        <v>0.5</v>
      </c>
      <c r="E91" s="49">
        <f>AVERAGE('26.07 Ndeeba-Nyanama-24h'!E91,'27.07 Ndeeba-Nyanama-24h'!E91)</f>
        <v>0</v>
      </c>
      <c r="F91" s="49">
        <f>AVERAGE('26.07 Ndeeba-Nyanama-24h'!F91,'27.07 Ndeeba-Nyanama-24h'!F91)</f>
        <v>0</v>
      </c>
      <c r="G91" s="49">
        <f>AVERAGE('26.07 Ndeeba-Nyanama-24h'!G91,'27.07 Ndeeba-Nyanama-24h'!G91)</f>
        <v>0</v>
      </c>
      <c r="H91" s="49">
        <f>AVERAGE('26.07 Ndeeba-Nyanama-24h'!H91,'27.07 Ndeeba-Nyanama-24h'!H91)</f>
        <v>0</v>
      </c>
      <c r="I91" s="49">
        <f>AVERAGE('26.07 Ndeeba-Nyanama-24h'!I91,'27.07 Ndeeba-Nyanama-24h'!I91)</f>
        <v>1</v>
      </c>
      <c r="J91" s="49">
        <f>AVERAGE('26.07 Ndeeba-Nyanama-24h'!J91,'27.07 Ndeeba-Nyanama-24h'!J91)</f>
        <v>0</v>
      </c>
      <c r="K91" s="49">
        <f>AVERAGE('26.07 Ndeeba-Nyanama-24h'!K91,'27.07 Ndeeba-Nyanama-24h'!K91)</f>
        <v>0.5</v>
      </c>
      <c r="L91" s="49">
        <f>AVERAGE('26.07 Ndeeba-Nyanama-24h'!L91,'27.07 Ndeeba-Nyanama-24h'!L91)</f>
        <v>0</v>
      </c>
      <c r="M91" s="49">
        <f>AVERAGE('26.07 Ndeeba-Nyanama-24h'!M91,'27.07 Ndeeba-Nyanama-24h'!M91)</f>
        <v>7</v>
      </c>
      <c r="N91" s="49">
        <f>AVERAGE('26.07 Ndeeba-Nyanama-24h'!N91,'27.07 Ndeeba-Nyanama-24h'!N91)</f>
        <v>0</v>
      </c>
      <c r="O91" s="15">
        <f t="shared" si="35"/>
        <v>6</v>
      </c>
      <c r="P91" s="15">
        <f t="shared" si="36"/>
        <v>13</v>
      </c>
      <c r="R91" s="8"/>
      <c r="T91"/>
    </row>
    <row r="92" spans="2:20" ht="23.1" customHeight="1" x14ac:dyDescent="0.25">
      <c r="B92" s="25" t="s">
        <v>132</v>
      </c>
      <c r="C92" s="49">
        <f>AVERAGE('26.07 Ndeeba-Nyanama-24h'!C92,'27.07 Ndeeba-Nyanama-24h'!C92)</f>
        <v>5</v>
      </c>
      <c r="D92" s="49">
        <f>AVERAGE('26.07 Ndeeba-Nyanama-24h'!D92,'27.07 Ndeeba-Nyanama-24h'!D92)</f>
        <v>0.5</v>
      </c>
      <c r="E92" s="49">
        <f>AVERAGE('26.07 Ndeeba-Nyanama-24h'!E92,'27.07 Ndeeba-Nyanama-24h'!E92)</f>
        <v>0</v>
      </c>
      <c r="F92" s="49">
        <f>AVERAGE('26.07 Ndeeba-Nyanama-24h'!F92,'27.07 Ndeeba-Nyanama-24h'!F92)</f>
        <v>0</v>
      </c>
      <c r="G92" s="49">
        <f>AVERAGE('26.07 Ndeeba-Nyanama-24h'!G92,'27.07 Ndeeba-Nyanama-24h'!G92)</f>
        <v>0</v>
      </c>
      <c r="H92" s="49">
        <f>AVERAGE('26.07 Ndeeba-Nyanama-24h'!H92,'27.07 Ndeeba-Nyanama-24h'!H92)</f>
        <v>0</v>
      </c>
      <c r="I92" s="49">
        <f>AVERAGE('26.07 Ndeeba-Nyanama-24h'!I92,'27.07 Ndeeba-Nyanama-24h'!I92)</f>
        <v>0</v>
      </c>
      <c r="J92" s="49">
        <f>AVERAGE('26.07 Ndeeba-Nyanama-24h'!J92,'27.07 Ndeeba-Nyanama-24h'!J92)</f>
        <v>0</v>
      </c>
      <c r="K92" s="49">
        <f>AVERAGE('26.07 Ndeeba-Nyanama-24h'!K92,'27.07 Ndeeba-Nyanama-24h'!K92)</f>
        <v>0</v>
      </c>
      <c r="L92" s="49">
        <f>AVERAGE('26.07 Ndeeba-Nyanama-24h'!L92,'27.07 Ndeeba-Nyanama-24h'!L92)</f>
        <v>0</v>
      </c>
      <c r="M92" s="49">
        <f>AVERAGE('26.07 Ndeeba-Nyanama-24h'!M92,'27.07 Ndeeba-Nyanama-24h'!M92)</f>
        <v>6</v>
      </c>
      <c r="N92" s="49">
        <f>AVERAGE('26.07 Ndeeba-Nyanama-24h'!N92,'27.07 Ndeeba-Nyanama-24h'!N92)</f>
        <v>0</v>
      </c>
      <c r="O92" s="15">
        <f t="shared" si="35"/>
        <v>5.5</v>
      </c>
      <c r="P92" s="15">
        <f t="shared" si="36"/>
        <v>11.5</v>
      </c>
      <c r="R92" s="8"/>
      <c r="T92"/>
    </row>
    <row r="93" spans="2:20" ht="23.1" customHeight="1" x14ac:dyDescent="0.25">
      <c r="B93" s="23" t="s">
        <v>133</v>
      </c>
      <c r="C93" s="49">
        <f>AVERAGE('26.07 Ndeeba-Nyanama-24h'!C93,'27.07 Ndeeba-Nyanama-24h'!C93)</f>
        <v>5</v>
      </c>
      <c r="D93" s="49">
        <f>AVERAGE('26.07 Ndeeba-Nyanama-24h'!D93,'27.07 Ndeeba-Nyanama-24h'!D93)</f>
        <v>0</v>
      </c>
      <c r="E93" s="49">
        <f>AVERAGE('26.07 Ndeeba-Nyanama-24h'!E93,'27.07 Ndeeba-Nyanama-24h'!E93)</f>
        <v>0</v>
      </c>
      <c r="F93" s="49">
        <f>AVERAGE('26.07 Ndeeba-Nyanama-24h'!F93,'27.07 Ndeeba-Nyanama-24h'!F93)</f>
        <v>0</v>
      </c>
      <c r="G93" s="49">
        <f>AVERAGE('26.07 Ndeeba-Nyanama-24h'!G93,'27.07 Ndeeba-Nyanama-24h'!G93)</f>
        <v>0</v>
      </c>
      <c r="H93" s="49">
        <f>AVERAGE('26.07 Ndeeba-Nyanama-24h'!H93,'27.07 Ndeeba-Nyanama-24h'!H93)</f>
        <v>0</v>
      </c>
      <c r="I93" s="49">
        <f>AVERAGE('26.07 Ndeeba-Nyanama-24h'!I93,'27.07 Ndeeba-Nyanama-24h'!I93)</f>
        <v>0</v>
      </c>
      <c r="J93" s="49">
        <f>AVERAGE('26.07 Ndeeba-Nyanama-24h'!J93,'27.07 Ndeeba-Nyanama-24h'!J93)</f>
        <v>0</v>
      </c>
      <c r="K93" s="49">
        <f>AVERAGE('26.07 Ndeeba-Nyanama-24h'!K93,'27.07 Ndeeba-Nyanama-24h'!K93)</f>
        <v>0.5</v>
      </c>
      <c r="L93" s="49">
        <f>AVERAGE('26.07 Ndeeba-Nyanama-24h'!L93,'27.07 Ndeeba-Nyanama-24h'!L93)</f>
        <v>0</v>
      </c>
      <c r="M93" s="49">
        <f>AVERAGE('26.07 Ndeeba-Nyanama-24h'!M93,'27.07 Ndeeba-Nyanama-24h'!M93)</f>
        <v>6.5</v>
      </c>
      <c r="N93" s="49">
        <f>AVERAGE('26.07 Ndeeba-Nyanama-24h'!N93,'27.07 Ndeeba-Nyanama-24h'!N93)</f>
        <v>0</v>
      </c>
      <c r="O93" s="15">
        <f t="shared" si="35"/>
        <v>5.5</v>
      </c>
      <c r="P93" s="15">
        <f t="shared" si="36"/>
        <v>12</v>
      </c>
      <c r="R93" s="8"/>
      <c r="T93"/>
    </row>
    <row r="94" spans="2:20" ht="23.1" customHeight="1" x14ac:dyDescent="0.25">
      <c r="B94" s="24" t="s">
        <v>134</v>
      </c>
      <c r="C94" s="49">
        <f>AVERAGE('26.07 Ndeeba-Nyanama-24h'!C94,'27.07 Ndeeba-Nyanama-24h'!C94)</f>
        <v>4.5</v>
      </c>
      <c r="D94" s="49">
        <f>AVERAGE('26.07 Ndeeba-Nyanama-24h'!D94,'27.07 Ndeeba-Nyanama-24h'!D94)</f>
        <v>0.5</v>
      </c>
      <c r="E94" s="49">
        <f>AVERAGE('26.07 Ndeeba-Nyanama-24h'!E94,'27.07 Ndeeba-Nyanama-24h'!E94)</f>
        <v>0</v>
      </c>
      <c r="F94" s="49">
        <f>AVERAGE('26.07 Ndeeba-Nyanama-24h'!F94,'27.07 Ndeeba-Nyanama-24h'!F94)</f>
        <v>0</v>
      </c>
      <c r="G94" s="49">
        <f>AVERAGE('26.07 Ndeeba-Nyanama-24h'!G94,'27.07 Ndeeba-Nyanama-24h'!G94)</f>
        <v>0</v>
      </c>
      <c r="H94" s="49">
        <f>AVERAGE('26.07 Ndeeba-Nyanama-24h'!H94,'27.07 Ndeeba-Nyanama-24h'!H94)</f>
        <v>0</v>
      </c>
      <c r="I94" s="49">
        <f>AVERAGE('26.07 Ndeeba-Nyanama-24h'!I94,'27.07 Ndeeba-Nyanama-24h'!I94)</f>
        <v>0.5</v>
      </c>
      <c r="J94" s="49">
        <f>AVERAGE('26.07 Ndeeba-Nyanama-24h'!J94,'27.07 Ndeeba-Nyanama-24h'!J94)</f>
        <v>0.5</v>
      </c>
      <c r="K94" s="49">
        <f>AVERAGE('26.07 Ndeeba-Nyanama-24h'!K94,'27.07 Ndeeba-Nyanama-24h'!K94)</f>
        <v>0.5</v>
      </c>
      <c r="L94" s="49">
        <f>AVERAGE('26.07 Ndeeba-Nyanama-24h'!L94,'27.07 Ndeeba-Nyanama-24h'!L94)</f>
        <v>0</v>
      </c>
      <c r="M94" s="49">
        <f>AVERAGE('26.07 Ndeeba-Nyanama-24h'!M94,'27.07 Ndeeba-Nyanama-24h'!M94)</f>
        <v>5.5</v>
      </c>
      <c r="N94" s="49">
        <f>AVERAGE('26.07 Ndeeba-Nyanama-24h'!N94,'27.07 Ndeeba-Nyanama-24h'!N94)</f>
        <v>0</v>
      </c>
      <c r="O94" s="15">
        <f t="shared" si="35"/>
        <v>6.5</v>
      </c>
      <c r="P94" s="15">
        <f t="shared" si="36"/>
        <v>12</v>
      </c>
      <c r="R94" s="8"/>
      <c r="T94"/>
    </row>
    <row r="95" spans="2:20" ht="23.1" customHeight="1" x14ac:dyDescent="0.25">
      <c r="B95" s="23" t="s">
        <v>135</v>
      </c>
      <c r="C95" s="49">
        <f>AVERAGE('26.07 Ndeeba-Nyanama-24h'!C95,'27.07 Ndeeba-Nyanama-24h'!C95)</f>
        <v>3</v>
      </c>
      <c r="D95" s="49">
        <f>AVERAGE('26.07 Ndeeba-Nyanama-24h'!D95,'27.07 Ndeeba-Nyanama-24h'!D95)</f>
        <v>0</v>
      </c>
      <c r="E95" s="49">
        <f>AVERAGE('26.07 Ndeeba-Nyanama-24h'!E95,'27.07 Ndeeba-Nyanama-24h'!E95)</f>
        <v>0</v>
      </c>
      <c r="F95" s="49">
        <f>AVERAGE('26.07 Ndeeba-Nyanama-24h'!F95,'27.07 Ndeeba-Nyanama-24h'!F95)</f>
        <v>0</v>
      </c>
      <c r="G95" s="49">
        <f>AVERAGE('26.07 Ndeeba-Nyanama-24h'!G95,'27.07 Ndeeba-Nyanama-24h'!G95)</f>
        <v>0</v>
      </c>
      <c r="H95" s="49">
        <f>AVERAGE('26.07 Ndeeba-Nyanama-24h'!H95,'27.07 Ndeeba-Nyanama-24h'!H95)</f>
        <v>0</v>
      </c>
      <c r="I95" s="49">
        <f>AVERAGE('26.07 Ndeeba-Nyanama-24h'!I95,'27.07 Ndeeba-Nyanama-24h'!I95)</f>
        <v>1</v>
      </c>
      <c r="J95" s="49">
        <f>AVERAGE('26.07 Ndeeba-Nyanama-24h'!J95,'27.07 Ndeeba-Nyanama-24h'!J95)</f>
        <v>0</v>
      </c>
      <c r="K95" s="49">
        <f>AVERAGE('26.07 Ndeeba-Nyanama-24h'!K95,'27.07 Ndeeba-Nyanama-24h'!K95)</f>
        <v>0</v>
      </c>
      <c r="L95" s="49">
        <f>AVERAGE('26.07 Ndeeba-Nyanama-24h'!L95,'27.07 Ndeeba-Nyanama-24h'!L95)</f>
        <v>0</v>
      </c>
      <c r="M95" s="49">
        <f>AVERAGE('26.07 Ndeeba-Nyanama-24h'!M95,'27.07 Ndeeba-Nyanama-24h'!M95)</f>
        <v>4</v>
      </c>
      <c r="N95" s="49">
        <f>AVERAGE('26.07 Ndeeba-Nyanama-24h'!N95,'27.07 Ndeeba-Nyanama-24h'!N95)</f>
        <v>0</v>
      </c>
      <c r="O95" s="15">
        <f t="shared" si="35"/>
        <v>4</v>
      </c>
      <c r="P95" s="15">
        <f t="shared" si="36"/>
        <v>8</v>
      </c>
      <c r="R95" s="8"/>
      <c r="T95"/>
    </row>
    <row r="96" spans="2:20" ht="23.1" customHeight="1" x14ac:dyDescent="0.25">
      <c r="B96" s="25" t="s">
        <v>136</v>
      </c>
      <c r="C96" s="49">
        <f>AVERAGE('26.07 Ndeeba-Nyanama-24h'!C96,'27.07 Ndeeba-Nyanama-24h'!C96)</f>
        <v>4.5</v>
      </c>
      <c r="D96" s="49">
        <f>AVERAGE('26.07 Ndeeba-Nyanama-24h'!D96,'27.07 Ndeeba-Nyanama-24h'!D96)</f>
        <v>0</v>
      </c>
      <c r="E96" s="49">
        <f>AVERAGE('26.07 Ndeeba-Nyanama-24h'!E96,'27.07 Ndeeba-Nyanama-24h'!E96)</f>
        <v>0</v>
      </c>
      <c r="F96" s="49">
        <f>AVERAGE('26.07 Ndeeba-Nyanama-24h'!F96,'27.07 Ndeeba-Nyanama-24h'!F96)</f>
        <v>0</v>
      </c>
      <c r="G96" s="49">
        <f>AVERAGE('26.07 Ndeeba-Nyanama-24h'!G96,'27.07 Ndeeba-Nyanama-24h'!G96)</f>
        <v>0</v>
      </c>
      <c r="H96" s="49">
        <f>AVERAGE('26.07 Ndeeba-Nyanama-24h'!H96,'27.07 Ndeeba-Nyanama-24h'!H96)</f>
        <v>0</v>
      </c>
      <c r="I96" s="49">
        <f>AVERAGE('26.07 Ndeeba-Nyanama-24h'!I96,'27.07 Ndeeba-Nyanama-24h'!I96)</f>
        <v>0</v>
      </c>
      <c r="J96" s="49">
        <f>AVERAGE('26.07 Ndeeba-Nyanama-24h'!J96,'27.07 Ndeeba-Nyanama-24h'!J96)</f>
        <v>0</v>
      </c>
      <c r="K96" s="49">
        <f>AVERAGE('26.07 Ndeeba-Nyanama-24h'!K96,'27.07 Ndeeba-Nyanama-24h'!K96)</f>
        <v>0</v>
      </c>
      <c r="L96" s="49">
        <f>AVERAGE('26.07 Ndeeba-Nyanama-24h'!L96,'27.07 Ndeeba-Nyanama-24h'!L96)</f>
        <v>0</v>
      </c>
      <c r="M96" s="49">
        <f>AVERAGE('26.07 Ndeeba-Nyanama-24h'!M96,'27.07 Ndeeba-Nyanama-24h'!M96)</f>
        <v>5</v>
      </c>
      <c r="N96" s="49">
        <f>AVERAGE('26.07 Ndeeba-Nyanama-24h'!N96,'27.07 Ndeeba-Nyanama-24h'!N96)</f>
        <v>0</v>
      </c>
      <c r="O96" s="15">
        <f t="shared" si="35"/>
        <v>4.5</v>
      </c>
      <c r="P96" s="15">
        <f t="shared" si="36"/>
        <v>9.5</v>
      </c>
      <c r="R96" s="8"/>
      <c r="T96"/>
    </row>
    <row r="97" spans="2:20" ht="23.1" customHeight="1" x14ac:dyDescent="0.25">
      <c r="B97" s="23" t="s">
        <v>137</v>
      </c>
      <c r="C97" s="49">
        <f>AVERAGE('26.07 Ndeeba-Nyanama-24h'!C97,'27.07 Ndeeba-Nyanama-24h'!C97)</f>
        <v>3</v>
      </c>
      <c r="D97" s="49">
        <f>AVERAGE('26.07 Ndeeba-Nyanama-24h'!D97,'27.07 Ndeeba-Nyanama-24h'!D97)</f>
        <v>0</v>
      </c>
      <c r="E97" s="49">
        <f>AVERAGE('26.07 Ndeeba-Nyanama-24h'!E97,'27.07 Ndeeba-Nyanama-24h'!E97)</f>
        <v>0</v>
      </c>
      <c r="F97" s="49">
        <f>AVERAGE('26.07 Ndeeba-Nyanama-24h'!F97,'27.07 Ndeeba-Nyanama-24h'!F97)</f>
        <v>0</v>
      </c>
      <c r="G97" s="49">
        <f>AVERAGE('26.07 Ndeeba-Nyanama-24h'!G97,'27.07 Ndeeba-Nyanama-24h'!G97)</f>
        <v>0</v>
      </c>
      <c r="H97" s="49">
        <f>AVERAGE('26.07 Ndeeba-Nyanama-24h'!H97,'27.07 Ndeeba-Nyanama-24h'!H97)</f>
        <v>0</v>
      </c>
      <c r="I97" s="49">
        <f>AVERAGE('26.07 Ndeeba-Nyanama-24h'!I97,'27.07 Ndeeba-Nyanama-24h'!I97)</f>
        <v>0</v>
      </c>
      <c r="J97" s="49">
        <f>AVERAGE('26.07 Ndeeba-Nyanama-24h'!J97,'27.07 Ndeeba-Nyanama-24h'!J97)</f>
        <v>0</v>
      </c>
      <c r="K97" s="49">
        <f>AVERAGE('26.07 Ndeeba-Nyanama-24h'!K97,'27.07 Ndeeba-Nyanama-24h'!K97)</f>
        <v>0</v>
      </c>
      <c r="L97" s="49">
        <f>AVERAGE('26.07 Ndeeba-Nyanama-24h'!L97,'27.07 Ndeeba-Nyanama-24h'!L97)</f>
        <v>0</v>
      </c>
      <c r="M97" s="49">
        <f>AVERAGE('26.07 Ndeeba-Nyanama-24h'!M97,'27.07 Ndeeba-Nyanama-24h'!M97)</f>
        <v>7</v>
      </c>
      <c r="N97" s="49">
        <f>AVERAGE('26.07 Ndeeba-Nyanama-24h'!N97,'27.07 Ndeeba-Nyanama-24h'!N97)</f>
        <v>0</v>
      </c>
      <c r="O97" s="15">
        <f t="shared" si="35"/>
        <v>3</v>
      </c>
      <c r="P97" s="15">
        <f t="shared" si="36"/>
        <v>10</v>
      </c>
      <c r="R97" s="8"/>
      <c r="T97"/>
    </row>
    <row r="98" spans="2:20" ht="23.1" customHeight="1" x14ac:dyDescent="0.25">
      <c r="B98" s="24" t="s">
        <v>138</v>
      </c>
      <c r="C98" s="49">
        <f>AVERAGE('26.07 Ndeeba-Nyanama-24h'!C98,'27.07 Ndeeba-Nyanama-24h'!C98)</f>
        <v>4.5</v>
      </c>
      <c r="D98" s="49">
        <f>AVERAGE('26.07 Ndeeba-Nyanama-24h'!D98,'27.07 Ndeeba-Nyanama-24h'!D98)</f>
        <v>1</v>
      </c>
      <c r="E98" s="49">
        <f>AVERAGE('26.07 Ndeeba-Nyanama-24h'!E98,'27.07 Ndeeba-Nyanama-24h'!E98)</f>
        <v>0</v>
      </c>
      <c r="F98" s="49">
        <f>AVERAGE('26.07 Ndeeba-Nyanama-24h'!F98,'27.07 Ndeeba-Nyanama-24h'!F98)</f>
        <v>0.5</v>
      </c>
      <c r="G98" s="49">
        <f>AVERAGE('26.07 Ndeeba-Nyanama-24h'!G98,'27.07 Ndeeba-Nyanama-24h'!G98)</f>
        <v>0.5</v>
      </c>
      <c r="H98" s="49">
        <f>AVERAGE('26.07 Ndeeba-Nyanama-24h'!H98,'27.07 Ndeeba-Nyanama-24h'!H98)</f>
        <v>0</v>
      </c>
      <c r="I98" s="49">
        <f>AVERAGE('26.07 Ndeeba-Nyanama-24h'!I98,'27.07 Ndeeba-Nyanama-24h'!I98)</f>
        <v>1.5</v>
      </c>
      <c r="J98" s="49">
        <f>AVERAGE('26.07 Ndeeba-Nyanama-24h'!J98,'27.07 Ndeeba-Nyanama-24h'!J98)</f>
        <v>0.5</v>
      </c>
      <c r="K98" s="49">
        <f>AVERAGE('26.07 Ndeeba-Nyanama-24h'!K98,'27.07 Ndeeba-Nyanama-24h'!K98)</f>
        <v>0</v>
      </c>
      <c r="L98" s="49">
        <f>AVERAGE('26.07 Ndeeba-Nyanama-24h'!L98,'27.07 Ndeeba-Nyanama-24h'!L98)</f>
        <v>0</v>
      </c>
      <c r="M98" s="49">
        <f>AVERAGE('26.07 Ndeeba-Nyanama-24h'!M98,'27.07 Ndeeba-Nyanama-24h'!M98)</f>
        <v>15.5</v>
      </c>
      <c r="N98" s="49">
        <f>AVERAGE('26.07 Ndeeba-Nyanama-24h'!N98,'27.07 Ndeeba-Nyanama-24h'!N98)</f>
        <v>0</v>
      </c>
      <c r="O98" s="15">
        <f t="shared" si="35"/>
        <v>8.5</v>
      </c>
      <c r="P98" s="15">
        <f t="shared" si="36"/>
        <v>24</v>
      </c>
      <c r="R98" s="8"/>
      <c r="T98"/>
    </row>
    <row r="99" spans="2:20" ht="23.1" customHeight="1" x14ac:dyDescent="0.25">
      <c r="B99" s="23" t="s">
        <v>139</v>
      </c>
      <c r="C99" s="49">
        <f>AVERAGE('26.07 Ndeeba-Nyanama-24h'!C99,'27.07 Ndeeba-Nyanama-24h'!C99)</f>
        <v>6</v>
      </c>
      <c r="D99" s="49">
        <f>AVERAGE('26.07 Ndeeba-Nyanama-24h'!D99,'27.07 Ndeeba-Nyanama-24h'!D99)</f>
        <v>0</v>
      </c>
      <c r="E99" s="49">
        <f>AVERAGE('26.07 Ndeeba-Nyanama-24h'!E99,'27.07 Ndeeba-Nyanama-24h'!E99)</f>
        <v>0</v>
      </c>
      <c r="F99" s="49">
        <f>AVERAGE('26.07 Ndeeba-Nyanama-24h'!F99,'27.07 Ndeeba-Nyanama-24h'!F99)</f>
        <v>0</v>
      </c>
      <c r="G99" s="49">
        <f>AVERAGE('26.07 Ndeeba-Nyanama-24h'!G99,'27.07 Ndeeba-Nyanama-24h'!G99)</f>
        <v>0</v>
      </c>
      <c r="H99" s="49">
        <f>AVERAGE('26.07 Ndeeba-Nyanama-24h'!H99,'27.07 Ndeeba-Nyanama-24h'!H99)</f>
        <v>0</v>
      </c>
      <c r="I99" s="49">
        <f>AVERAGE('26.07 Ndeeba-Nyanama-24h'!I99,'27.07 Ndeeba-Nyanama-24h'!I99)</f>
        <v>0.5</v>
      </c>
      <c r="J99" s="49">
        <f>AVERAGE('26.07 Ndeeba-Nyanama-24h'!J99,'27.07 Ndeeba-Nyanama-24h'!J99)</f>
        <v>0</v>
      </c>
      <c r="K99" s="49">
        <f>AVERAGE('26.07 Ndeeba-Nyanama-24h'!K99,'27.07 Ndeeba-Nyanama-24h'!K99)</f>
        <v>1.5</v>
      </c>
      <c r="L99" s="49">
        <f>AVERAGE('26.07 Ndeeba-Nyanama-24h'!L99,'27.07 Ndeeba-Nyanama-24h'!L99)</f>
        <v>0</v>
      </c>
      <c r="M99" s="49">
        <f>AVERAGE('26.07 Ndeeba-Nyanama-24h'!M99,'27.07 Ndeeba-Nyanama-24h'!M99)</f>
        <v>14.5</v>
      </c>
      <c r="N99" s="49">
        <f>AVERAGE('26.07 Ndeeba-Nyanama-24h'!N99,'27.07 Ndeeba-Nyanama-24h'!N99)</f>
        <v>0</v>
      </c>
      <c r="O99" s="15">
        <f t="shared" si="35"/>
        <v>8</v>
      </c>
      <c r="P99" s="15">
        <f t="shared" si="36"/>
        <v>22.5</v>
      </c>
      <c r="R99" s="8"/>
      <c r="T99"/>
    </row>
    <row r="100" spans="2:20" ht="23.1" customHeight="1" x14ac:dyDescent="0.25">
      <c r="B100" s="25" t="s">
        <v>140</v>
      </c>
      <c r="C100" s="49">
        <f>AVERAGE('26.07 Ndeeba-Nyanama-24h'!C100,'27.07 Ndeeba-Nyanama-24h'!C100)</f>
        <v>5.5</v>
      </c>
      <c r="D100" s="49">
        <f>AVERAGE('26.07 Ndeeba-Nyanama-24h'!D100,'27.07 Ndeeba-Nyanama-24h'!D100)</f>
        <v>0</v>
      </c>
      <c r="E100" s="49">
        <f>AVERAGE('26.07 Ndeeba-Nyanama-24h'!E100,'27.07 Ndeeba-Nyanama-24h'!E100)</f>
        <v>0</v>
      </c>
      <c r="F100" s="49">
        <f>AVERAGE('26.07 Ndeeba-Nyanama-24h'!F100,'27.07 Ndeeba-Nyanama-24h'!F100)</f>
        <v>0.5</v>
      </c>
      <c r="G100" s="49">
        <f>AVERAGE('26.07 Ndeeba-Nyanama-24h'!G100,'27.07 Ndeeba-Nyanama-24h'!G100)</f>
        <v>0</v>
      </c>
      <c r="H100" s="49">
        <f>AVERAGE('26.07 Ndeeba-Nyanama-24h'!H100,'27.07 Ndeeba-Nyanama-24h'!H100)</f>
        <v>0</v>
      </c>
      <c r="I100" s="49">
        <f>AVERAGE('26.07 Ndeeba-Nyanama-24h'!I100,'27.07 Ndeeba-Nyanama-24h'!I100)</f>
        <v>2</v>
      </c>
      <c r="J100" s="49">
        <f>AVERAGE('26.07 Ndeeba-Nyanama-24h'!J100,'27.07 Ndeeba-Nyanama-24h'!J100)</f>
        <v>0</v>
      </c>
      <c r="K100" s="49">
        <f>AVERAGE('26.07 Ndeeba-Nyanama-24h'!K100,'27.07 Ndeeba-Nyanama-24h'!K100)</f>
        <v>0</v>
      </c>
      <c r="L100" s="49">
        <f>AVERAGE('26.07 Ndeeba-Nyanama-24h'!L100,'27.07 Ndeeba-Nyanama-24h'!L100)</f>
        <v>0</v>
      </c>
      <c r="M100" s="49">
        <f>AVERAGE('26.07 Ndeeba-Nyanama-24h'!M100,'27.07 Ndeeba-Nyanama-24h'!M100)</f>
        <v>18.5</v>
      </c>
      <c r="N100" s="49">
        <f>AVERAGE('26.07 Ndeeba-Nyanama-24h'!N100,'27.07 Ndeeba-Nyanama-24h'!N100)</f>
        <v>0</v>
      </c>
      <c r="O100" s="15">
        <f t="shared" si="35"/>
        <v>8</v>
      </c>
      <c r="P100" s="15">
        <f t="shared" si="36"/>
        <v>26.5</v>
      </c>
      <c r="R100" s="8"/>
      <c r="T100"/>
    </row>
    <row r="101" spans="2:20" ht="23.1" customHeight="1" x14ac:dyDescent="0.25">
      <c r="B101" s="23" t="s">
        <v>141</v>
      </c>
      <c r="C101" s="49">
        <f>AVERAGE('26.07 Ndeeba-Nyanama-24h'!C101,'27.07 Ndeeba-Nyanama-24h'!C101)</f>
        <v>4</v>
      </c>
      <c r="D101" s="49">
        <f>AVERAGE('26.07 Ndeeba-Nyanama-24h'!D101,'27.07 Ndeeba-Nyanama-24h'!D101)</f>
        <v>0</v>
      </c>
      <c r="E101" s="49">
        <f>AVERAGE('26.07 Ndeeba-Nyanama-24h'!E101,'27.07 Ndeeba-Nyanama-24h'!E101)</f>
        <v>0</v>
      </c>
      <c r="F101" s="49">
        <f>AVERAGE('26.07 Ndeeba-Nyanama-24h'!F101,'27.07 Ndeeba-Nyanama-24h'!F101)</f>
        <v>1</v>
      </c>
      <c r="G101" s="49">
        <f>AVERAGE('26.07 Ndeeba-Nyanama-24h'!G101,'27.07 Ndeeba-Nyanama-24h'!G101)</f>
        <v>0</v>
      </c>
      <c r="H101" s="49">
        <f>AVERAGE('26.07 Ndeeba-Nyanama-24h'!H101,'27.07 Ndeeba-Nyanama-24h'!H101)</f>
        <v>0</v>
      </c>
      <c r="I101" s="49">
        <f>AVERAGE('26.07 Ndeeba-Nyanama-24h'!I101,'27.07 Ndeeba-Nyanama-24h'!I101)</f>
        <v>1</v>
      </c>
      <c r="J101" s="49">
        <f>AVERAGE('26.07 Ndeeba-Nyanama-24h'!J101,'27.07 Ndeeba-Nyanama-24h'!J101)</f>
        <v>0</v>
      </c>
      <c r="K101" s="49">
        <f>AVERAGE('26.07 Ndeeba-Nyanama-24h'!K101,'27.07 Ndeeba-Nyanama-24h'!K101)</f>
        <v>0.5</v>
      </c>
      <c r="L101" s="49">
        <f>AVERAGE('26.07 Ndeeba-Nyanama-24h'!L101,'27.07 Ndeeba-Nyanama-24h'!L101)</f>
        <v>0</v>
      </c>
      <c r="M101" s="49">
        <f>AVERAGE('26.07 Ndeeba-Nyanama-24h'!M101,'27.07 Ndeeba-Nyanama-24h'!M101)</f>
        <v>14.5</v>
      </c>
      <c r="N101" s="49">
        <f>AVERAGE('26.07 Ndeeba-Nyanama-24h'!N101,'27.07 Ndeeba-Nyanama-24h'!N101)</f>
        <v>0</v>
      </c>
      <c r="O101" s="15">
        <f>SUM(C101:L101,N101)</f>
        <v>6.5</v>
      </c>
      <c r="P101" s="15">
        <f t="shared" si="36"/>
        <v>21</v>
      </c>
      <c r="R101" s="8"/>
      <c r="T101"/>
    </row>
    <row r="102" spans="2:20" ht="23.1" customHeight="1" x14ac:dyDescent="0.25">
      <c r="B102" s="24" t="s">
        <v>142</v>
      </c>
      <c r="C102" s="49">
        <f>AVERAGE('26.07 Ndeeba-Nyanama-24h'!C102,'27.07 Ndeeba-Nyanama-24h'!C102)</f>
        <v>8.5</v>
      </c>
      <c r="D102" s="49">
        <f>AVERAGE('26.07 Ndeeba-Nyanama-24h'!D102,'27.07 Ndeeba-Nyanama-24h'!D102)</f>
        <v>0</v>
      </c>
      <c r="E102" s="49">
        <f>AVERAGE('26.07 Ndeeba-Nyanama-24h'!E102,'27.07 Ndeeba-Nyanama-24h'!E102)</f>
        <v>0.5</v>
      </c>
      <c r="F102" s="49">
        <f>AVERAGE('26.07 Ndeeba-Nyanama-24h'!F102,'27.07 Ndeeba-Nyanama-24h'!F102)</f>
        <v>0.5</v>
      </c>
      <c r="G102" s="49">
        <f>AVERAGE('26.07 Ndeeba-Nyanama-24h'!G102,'27.07 Ndeeba-Nyanama-24h'!G102)</f>
        <v>0</v>
      </c>
      <c r="H102" s="49">
        <f>AVERAGE('26.07 Ndeeba-Nyanama-24h'!H102,'27.07 Ndeeba-Nyanama-24h'!H102)</f>
        <v>0</v>
      </c>
      <c r="I102" s="49">
        <f>AVERAGE('26.07 Ndeeba-Nyanama-24h'!I102,'27.07 Ndeeba-Nyanama-24h'!I102)</f>
        <v>1.5</v>
      </c>
      <c r="J102" s="49">
        <f>AVERAGE('26.07 Ndeeba-Nyanama-24h'!J102,'27.07 Ndeeba-Nyanama-24h'!J102)</f>
        <v>0</v>
      </c>
      <c r="K102" s="49">
        <f>AVERAGE('26.07 Ndeeba-Nyanama-24h'!K102,'27.07 Ndeeba-Nyanama-24h'!K102)</f>
        <v>1</v>
      </c>
      <c r="L102" s="49">
        <f>AVERAGE('26.07 Ndeeba-Nyanama-24h'!L102,'27.07 Ndeeba-Nyanama-24h'!L102)</f>
        <v>0</v>
      </c>
      <c r="M102" s="49">
        <f>AVERAGE('26.07 Ndeeba-Nyanama-24h'!M102,'27.07 Ndeeba-Nyanama-24h'!M102)</f>
        <v>28.5</v>
      </c>
      <c r="N102" s="49">
        <f>AVERAGE('26.07 Ndeeba-Nyanama-24h'!N102,'27.07 Ndeeba-Nyanama-24h'!N102)</f>
        <v>0</v>
      </c>
      <c r="O102" s="15">
        <f t="shared" si="35"/>
        <v>12</v>
      </c>
      <c r="P102" s="15">
        <f t="shared" si="36"/>
        <v>40.5</v>
      </c>
      <c r="R102" s="8"/>
      <c r="T102"/>
    </row>
    <row r="103" spans="2:20" ht="23.1" customHeight="1" x14ac:dyDescent="0.25">
      <c r="B103" s="23" t="s">
        <v>143</v>
      </c>
      <c r="C103" s="49">
        <f>AVERAGE('26.07 Ndeeba-Nyanama-24h'!C103,'27.07 Ndeeba-Nyanama-24h'!C103)</f>
        <v>4.5</v>
      </c>
      <c r="D103" s="49">
        <f>AVERAGE('26.07 Ndeeba-Nyanama-24h'!D103,'27.07 Ndeeba-Nyanama-24h'!D103)</f>
        <v>0.5</v>
      </c>
      <c r="E103" s="49">
        <f>AVERAGE('26.07 Ndeeba-Nyanama-24h'!E103,'27.07 Ndeeba-Nyanama-24h'!E103)</f>
        <v>0</v>
      </c>
      <c r="F103" s="49">
        <f>AVERAGE('26.07 Ndeeba-Nyanama-24h'!F103,'27.07 Ndeeba-Nyanama-24h'!F103)</f>
        <v>2.5</v>
      </c>
      <c r="G103" s="49">
        <f>AVERAGE('26.07 Ndeeba-Nyanama-24h'!G103,'27.07 Ndeeba-Nyanama-24h'!G103)</f>
        <v>0</v>
      </c>
      <c r="H103" s="49">
        <f>AVERAGE('26.07 Ndeeba-Nyanama-24h'!H103,'27.07 Ndeeba-Nyanama-24h'!H103)</f>
        <v>0</v>
      </c>
      <c r="I103" s="49">
        <f>AVERAGE('26.07 Ndeeba-Nyanama-24h'!I103,'27.07 Ndeeba-Nyanama-24h'!I103)</f>
        <v>0</v>
      </c>
      <c r="J103" s="49">
        <f>AVERAGE('26.07 Ndeeba-Nyanama-24h'!J103,'27.07 Ndeeba-Nyanama-24h'!J103)</f>
        <v>0</v>
      </c>
      <c r="K103" s="49">
        <f>AVERAGE('26.07 Ndeeba-Nyanama-24h'!K103,'27.07 Ndeeba-Nyanama-24h'!K103)</f>
        <v>1</v>
      </c>
      <c r="L103" s="49">
        <f>AVERAGE('26.07 Ndeeba-Nyanama-24h'!L103,'27.07 Ndeeba-Nyanama-24h'!L103)</f>
        <v>0</v>
      </c>
      <c r="M103" s="49">
        <f>AVERAGE('26.07 Ndeeba-Nyanama-24h'!M103,'27.07 Ndeeba-Nyanama-24h'!M103)</f>
        <v>22.5</v>
      </c>
      <c r="N103" s="49">
        <f>AVERAGE('26.07 Ndeeba-Nyanama-24h'!N103,'27.07 Ndeeba-Nyanama-24h'!N103)</f>
        <v>0</v>
      </c>
      <c r="O103" s="15">
        <f t="shared" si="35"/>
        <v>8.5</v>
      </c>
      <c r="P103" s="15">
        <f t="shared" si="36"/>
        <v>31</v>
      </c>
      <c r="R103" s="8"/>
      <c r="T103"/>
    </row>
    <row r="104" spans="2:20" ht="23.1" customHeight="1" x14ac:dyDescent="0.25">
      <c r="B104" s="25" t="s">
        <v>144</v>
      </c>
      <c r="C104" s="49">
        <f>AVERAGE('26.07 Ndeeba-Nyanama-24h'!C104,'27.07 Ndeeba-Nyanama-24h'!C104)</f>
        <v>3.5</v>
      </c>
      <c r="D104" s="49">
        <f>AVERAGE('26.07 Ndeeba-Nyanama-24h'!D104,'27.07 Ndeeba-Nyanama-24h'!D104)</f>
        <v>0</v>
      </c>
      <c r="E104" s="49">
        <f>AVERAGE('26.07 Ndeeba-Nyanama-24h'!E104,'27.07 Ndeeba-Nyanama-24h'!E104)</f>
        <v>0.5</v>
      </c>
      <c r="F104" s="49">
        <f>AVERAGE('26.07 Ndeeba-Nyanama-24h'!F104,'27.07 Ndeeba-Nyanama-24h'!F104)</f>
        <v>1.5</v>
      </c>
      <c r="G104" s="49">
        <f>AVERAGE('26.07 Ndeeba-Nyanama-24h'!G104,'27.07 Ndeeba-Nyanama-24h'!G104)</f>
        <v>0</v>
      </c>
      <c r="H104" s="49">
        <f>AVERAGE('26.07 Ndeeba-Nyanama-24h'!H104,'27.07 Ndeeba-Nyanama-24h'!H104)</f>
        <v>0</v>
      </c>
      <c r="I104" s="49">
        <f>AVERAGE('26.07 Ndeeba-Nyanama-24h'!I104,'27.07 Ndeeba-Nyanama-24h'!I104)</f>
        <v>0.5</v>
      </c>
      <c r="J104" s="49">
        <f>AVERAGE('26.07 Ndeeba-Nyanama-24h'!J104,'27.07 Ndeeba-Nyanama-24h'!J104)</f>
        <v>0</v>
      </c>
      <c r="K104" s="49">
        <f>AVERAGE('26.07 Ndeeba-Nyanama-24h'!K104,'27.07 Ndeeba-Nyanama-24h'!K104)</f>
        <v>1</v>
      </c>
      <c r="L104" s="49">
        <f>AVERAGE('26.07 Ndeeba-Nyanama-24h'!L104,'27.07 Ndeeba-Nyanama-24h'!L104)</f>
        <v>0</v>
      </c>
      <c r="M104" s="49">
        <f>AVERAGE('26.07 Ndeeba-Nyanama-24h'!M104,'27.07 Ndeeba-Nyanama-24h'!M104)</f>
        <v>20</v>
      </c>
      <c r="N104" s="49">
        <f>AVERAGE('26.07 Ndeeba-Nyanama-24h'!N104,'27.07 Ndeeba-Nyanama-24h'!N104)</f>
        <v>0</v>
      </c>
      <c r="O104" s="15">
        <f t="shared" si="35"/>
        <v>7</v>
      </c>
      <c r="P104" s="15">
        <f t="shared" si="36"/>
        <v>27</v>
      </c>
      <c r="R104" s="8"/>
      <c r="T104"/>
    </row>
    <row r="105" spans="2:20" ht="23.1" customHeight="1" x14ac:dyDescent="0.25">
      <c r="B105" s="23" t="s">
        <v>145</v>
      </c>
      <c r="C105" s="49">
        <f>AVERAGE('26.07 Ndeeba-Nyanama-24h'!C105,'27.07 Ndeeba-Nyanama-24h'!C105)</f>
        <v>8</v>
      </c>
      <c r="D105" s="49">
        <f>AVERAGE('26.07 Ndeeba-Nyanama-24h'!D105,'27.07 Ndeeba-Nyanama-24h'!D105)</f>
        <v>0</v>
      </c>
      <c r="E105" s="49">
        <f>AVERAGE('26.07 Ndeeba-Nyanama-24h'!E105,'27.07 Ndeeba-Nyanama-24h'!E105)</f>
        <v>1</v>
      </c>
      <c r="F105" s="49">
        <f>AVERAGE('26.07 Ndeeba-Nyanama-24h'!F105,'27.07 Ndeeba-Nyanama-24h'!F105)</f>
        <v>2.5</v>
      </c>
      <c r="G105" s="49">
        <f>AVERAGE('26.07 Ndeeba-Nyanama-24h'!G105,'27.07 Ndeeba-Nyanama-24h'!G105)</f>
        <v>0</v>
      </c>
      <c r="H105" s="49">
        <f>AVERAGE('26.07 Ndeeba-Nyanama-24h'!H105,'27.07 Ndeeba-Nyanama-24h'!H105)</f>
        <v>0</v>
      </c>
      <c r="I105" s="49">
        <f>AVERAGE('26.07 Ndeeba-Nyanama-24h'!I105,'27.07 Ndeeba-Nyanama-24h'!I105)</f>
        <v>0.5</v>
      </c>
      <c r="J105" s="49">
        <f>AVERAGE('26.07 Ndeeba-Nyanama-24h'!J105,'27.07 Ndeeba-Nyanama-24h'!J105)</f>
        <v>0</v>
      </c>
      <c r="K105" s="49">
        <f>AVERAGE('26.07 Ndeeba-Nyanama-24h'!K105,'27.07 Ndeeba-Nyanama-24h'!K105)</f>
        <v>0</v>
      </c>
      <c r="L105" s="49">
        <f>AVERAGE('26.07 Ndeeba-Nyanama-24h'!L105,'27.07 Ndeeba-Nyanama-24h'!L105)</f>
        <v>0</v>
      </c>
      <c r="M105" s="49">
        <f>AVERAGE('26.07 Ndeeba-Nyanama-24h'!M105,'27.07 Ndeeba-Nyanama-24h'!M105)</f>
        <v>26</v>
      </c>
      <c r="N105" s="49">
        <f>AVERAGE('26.07 Ndeeba-Nyanama-24h'!N105,'27.07 Ndeeba-Nyanama-24h'!N105)</f>
        <v>0</v>
      </c>
      <c r="O105" s="15">
        <f t="shared" si="35"/>
        <v>12</v>
      </c>
      <c r="P105" s="15">
        <f t="shared" si="36"/>
        <v>38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3781.9999999999995</v>
      </c>
      <c r="D106" s="16">
        <f t="shared" ref="D106:P106" si="37">SUM(D10:D105)</f>
        <v>152.5</v>
      </c>
      <c r="E106" s="16">
        <f t="shared" si="37"/>
        <v>195.85714285714292</v>
      </c>
      <c r="F106" s="16">
        <f t="shared" si="37"/>
        <v>1182.2857142857142</v>
      </c>
      <c r="G106" s="16">
        <f t="shared" si="37"/>
        <v>17.214285714285715</v>
      </c>
      <c r="H106" s="16">
        <f t="shared" si="37"/>
        <v>1.6428571428571426</v>
      </c>
      <c r="I106" s="16">
        <f t="shared" si="37"/>
        <v>226.35714285714283</v>
      </c>
      <c r="J106" s="16">
        <f t="shared" si="37"/>
        <v>69.357142857142861</v>
      </c>
      <c r="K106" s="16">
        <f t="shared" si="37"/>
        <v>30.571428571428569</v>
      </c>
      <c r="L106" s="16">
        <f t="shared" si="37"/>
        <v>15.357142857142859</v>
      </c>
      <c r="M106" s="16">
        <f t="shared" si="37"/>
        <v>6422.1428571428569</v>
      </c>
      <c r="N106" s="16">
        <f t="shared" si="37"/>
        <v>0.42857142857142855</v>
      </c>
      <c r="O106" s="16">
        <f t="shared" si="37"/>
        <v>5673.5714285714284</v>
      </c>
      <c r="P106" s="16">
        <f t="shared" si="37"/>
        <v>12095.714285714284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0.31267272942010155</v>
      </c>
      <c r="D107" s="43">
        <f t="shared" si="38"/>
        <v>1.2607771347584742E-2</v>
      </c>
      <c r="E107" s="43">
        <f t="shared" si="38"/>
        <v>1.6192275894649822E-2</v>
      </c>
      <c r="F107" s="43">
        <f t="shared" si="38"/>
        <v>9.7744183299870085E-2</v>
      </c>
      <c r="G107" s="43">
        <f t="shared" si="38"/>
        <v>1.4231723160505493E-3</v>
      </c>
      <c r="H107" s="43">
        <f t="shared" si="38"/>
        <v>1.3582142435337191E-4</v>
      </c>
      <c r="I107" s="43">
        <f t="shared" si="38"/>
        <v>1.8713830164166764E-2</v>
      </c>
      <c r="J107" s="43">
        <f t="shared" si="38"/>
        <v>5.7340262194401801E-3</v>
      </c>
      <c r="K107" s="43">
        <f t="shared" si="38"/>
        <v>2.5274595488366603E-3</v>
      </c>
      <c r="L107" s="43">
        <f t="shared" si="38"/>
        <v>1.2696350537380421E-3</v>
      </c>
      <c r="M107" s="43">
        <f t="shared" si="38"/>
        <v>0.53094366363529</v>
      </c>
      <c r="N107" s="43">
        <f t="shared" si="38"/>
        <v>3.5431675918270939E-5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0.66659952159133817</v>
      </c>
      <c r="D108" s="44">
        <f t="shared" ref="D108:N108" si="39">D106/$O$106</f>
        <v>2.6879012967392674E-2</v>
      </c>
      <c r="E108" s="44">
        <f t="shared" si="39"/>
        <v>3.4520961853204093E-2</v>
      </c>
      <c r="F108" s="44">
        <f t="shared" si="39"/>
        <v>0.20838474128163162</v>
      </c>
      <c r="G108" s="44">
        <f t="shared" si="39"/>
        <v>3.0341180914012339E-3</v>
      </c>
      <c r="H108" s="44">
        <f t="shared" si="39"/>
        <v>2.8956313735364469E-4</v>
      </c>
      <c r="I108" s="44">
        <f t="shared" si="39"/>
        <v>3.9896764446682609E-2</v>
      </c>
      <c r="J108" s="44">
        <f t="shared" si="39"/>
        <v>1.2224600276973436E-2</v>
      </c>
      <c r="K108" s="44">
        <f t="shared" si="39"/>
        <v>5.3883922951026061E-3</v>
      </c>
      <c r="L108" s="44">
        <f t="shared" si="39"/>
        <v>2.7067858491753752E-3</v>
      </c>
      <c r="M108" s="44"/>
      <c r="N108" s="44">
        <f t="shared" si="39"/>
        <v>7.5538209744429054E-5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G43" zoomScale="60" workbookViewId="0">
      <selection activeCell="AE46" sqref="AE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'28.07 Nyanama-Ndeeba'!C3:G3</f>
        <v>MCC - C1 - STN04 - WERAGA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0" t="s">
        <v>168</v>
      </c>
      <c r="E5" s="71"/>
      <c r="F5" s="41" t="s">
        <v>1</v>
      </c>
      <c r="G5" s="68" t="str">
        <f>'28.07 Nyanama-Ndeeba'!G5:H5</f>
        <v>Golden Mille Hotel</v>
      </c>
      <c r="H5" s="69"/>
      <c r="I5" s="14"/>
      <c r="J5" s="2" t="s">
        <v>5</v>
      </c>
      <c r="K5" s="68" t="str">
        <f>'28.07 Nyanama-Ndeeba'!K5:L5</f>
        <v>Walter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tr">
        <f>'28.07 Nyanama-Ndeeba'!D6:E6</f>
        <v>Nyanama</v>
      </c>
      <c r="E6" s="69"/>
      <c r="F6" s="2" t="s">
        <v>2</v>
      </c>
      <c r="G6" s="68" t="str">
        <f>'28.07 Nyanama-Ndeeba'!G6:H6</f>
        <v>Ndeeba</v>
      </c>
      <c r="H6" s="69"/>
      <c r="J6" s="2" t="s">
        <v>21</v>
      </c>
      <c r="K6" s="68" t="str">
        <f>'28.07 Nyanama-Ndeeba'!K6:L6</f>
        <v>Denis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AVERAGE('22.07 Nyanama-Ndeeba'!C10,'23.07 Nyanama-Ndeeba'!C10,'24.07 Nyanama-Ndeeba'!C10,'25.07 Nyanama-Ndeeba'!C10,'26.07 Nyanama-Ndeeba-24h'!C10,'27.07 Nyanama-Ndeeba-24h'!C10,'28.07 Nyanama-Ndeeba'!C10)</f>
        <v>40.571428571428569</v>
      </c>
      <c r="D10" s="49">
        <f>AVERAGE('22.07 Nyanama-Ndeeba'!D10,'23.07 Nyanama-Ndeeba'!D10,'24.07 Nyanama-Ndeeba'!D10,'25.07 Nyanama-Ndeeba'!D10,'26.07 Nyanama-Ndeeba-24h'!D10,'27.07 Nyanama-Ndeeba-24h'!D10,'28.07 Nyanama-Ndeeba'!D10)</f>
        <v>4</v>
      </c>
      <c r="E10" s="49">
        <f>AVERAGE('22.07 Nyanama-Ndeeba'!E10,'23.07 Nyanama-Ndeeba'!E10,'24.07 Nyanama-Ndeeba'!E10,'25.07 Nyanama-Ndeeba'!E10,'26.07 Nyanama-Ndeeba-24h'!E10,'27.07 Nyanama-Ndeeba-24h'!E10,'28.07 Nyanama-Ndeeba'!E10)</f>
        <v>2.7142857142857144</v>
      </c>
      <c r="F10" s="49">
        <f>AVERAGE('22.07 Nyanama-Ndeeba'!F10,'23.07 Nyanama-Ndeeba'!F10,'24.07 Nyanama-Ndeeba'!F10,'25.07 Nyanama-Ndeeba'!F10,'26.07 Nyanama-Ndeeba-24h'!F10,'27.07 Nyanama-Ndeeba-24h'!F10,'28.07 Nyanama-Ndeeba'!F10)</f>
        <v>19.142857142857142</v>
      </c>
      <c r="G10" s="49">
        <f>AVERAGE('22.07 Nyanama-Ndeeba'!G10,'23.07 Nyanama-Ndeeba'!G10,'24.07 Nyanama-Ndeeba'!G10,'25.07 Nyanama-Ndeeba'!G10,'26.07 Nyanama-Ndeeba-24h'!G10,'27.07 Nyanama-Ndeeba-24h'!G10,'28.07 Nyanama-Ndeeba'!G10)</f>
        <v>0.14285714285714285</v>
      </c>
      <c r="H10" s="49">
        <f>AVERAGE('22.07 Nyanama-Ndeeba'!H10,'23.07 Nyanama-Ndeeba'!H10,'24.07 Nyanama-Ndeeba'!H10,'25.07 Nyanama-Ndeeba'!H10,'26.07 Nyanama-Ndeeba-24h'!H10,'27.07 Nyanama-Ndeeba-24h'!H10,'28.07 Nyanama-Ndeeba'!H10)</f>
        <v>0</v>
      </c>
      <c r="I10" s="49">
        <f>AVERAGE('22.07 Nyanama-Ndeeba'!I10,'23.07 Nyanama-Ndeeba'!I10,'24.07 Nyanama-Ndeeba'!I10,'25.07 Nyanama-Ndeeba'!I10,'26.07 Nyanama-Ndeeba-24h'!I10,'27.07 Nyanama-Ndeeba-24h'!I10,'28.07 Nyanama-Ndeeba'!I10)</f>
        <v>2.4285714285714284</v>
      </c>
      <c r="J10" s="49">
        <f>AVERAGE('22.07 Nyanama-Ndeeba'!J10,'23.07 Nyanama-Ndeeba'!J10,'24.07 Nyanama-Ndeeba'!J10,'25.07 Nyanama-Ndeeba'!J10,'26.07 Nyanama-Ndeeba-24h'!J10,'27.07 Nyanama-Ndeeba-24h'!J10,'28.07 Nyanama-Ndeeba'!J10)</f>
        <v>0.2857142857142857</v>
      </c>
      <c r="K10" s="49">
        <f>AVERAGE('22.07 Nyanama-Ndeeba'!K10,'23.07 Nyanama-Ndeeba'!K10,'24.07 Nyanama-Ndeeba'!K10,'25.07 Nyanama-Ndeeba'!K10,'26.07 Nyanama-Ndeeba-24h'!K10,'27.07 Nyanama-Ndeeba-24h'!K10,'28.07 Nyanama-Ndeeba'!K10)</f>
        <v>0.5714285714285714</v>
      </c>
      <c r="L10" s="49">
        <f>AVERAGE('22.07 Nyanama-Ndeeba'!L10,'23.07 Nyanama-Ndeeba'!L10,'24.07 Nyanama-Ndeeba'!L10,'25.07 Nyanama-Ndeeba'!L10,'26.07 Nyanama-Ndeeba-24h'!L10,'27.07 Nyanama-Ndeeba-24h'!L10,'28.07 Nyanama-Ndeeba'!L10)</f>
        <v>0</v>
      </c>
      <c r="M10" s="49">
        <f>AVERAGE('22.07 Nyanama-Ndeeba'!M10,'23.07 Nyanama-Ndeeba'!M10,'24.07 Nyanama-Ndeeba'!M10,'25.07 Nyanama-Ndeeba'!M10,'26.07 Nyanama-Ndeeba-24h'!M10,'27.07 Nyanama-Ndeeba-24h'!M10,'28.07 Nyanama-Ndeeba'!M10)</f>
        <v>71</v>
      </c>
      <c r="N10" s="49">
        <f>AVERAGE('22.07 Nyanama-Ndeeba'!N10,'23.07 Nyanama-Ndeeba'!N10,'24.07 Nyanama-Ndeeba'!N10,'25.07 Nyanama-Ndeeba'!N10,'26.07 Nyanama-Ndeeba-24h'!N10,'27.07 Nyanama-Ndeeba-24h'!N10,'28.07 Nyanama-Ndeeba'!N10)</f>
        <v>0</v>
      </c>
      <c r="O10" s="15">
        <f t="shared" ref="O10:O73" si="0">SUM(C10:L10,N10)</f>
        <v>69.857142857142861</v>
      </c>
      <c r="P10" s="15">
        <f t="shared" ref="P10:P73" si="1">SUM(C10:N10)</f>
        <v>140.85714285714286</v>
      </c>
      <c r="R10" s="1" t="s">
        <v>6</v>
      </c>
      <c r="S10" s="17">
        <f t="shared" ref="S10:AF10" si="2">SUM(C10:C13)</f>
        <v>209.57142857142856</v>
      </c>
      <c r="T10" s="17">
        <f t="shared" si="2"/>
        <v>22.428571428571431</v>
      </c>
      <c r="U10" s="17">
        <f t="shared" si="2"/>
        <v>15.285714285714288</v>
      </c>
      <c r="V10" s="17">
        <f t="shared" si="2"/>
        <v>96.285714285714292</v>
      </c>
      <c r="W10" s="17">
        <f t="shared" si="2"/>
        <v>1.4285714285714284</v>
      </c>
      <c r="X10" s="17">
        <f t="shared" si="2"/>
        <v>0</v>
      </c>
      <c r="Y10" s="17">
        <f t="shared" si="2"/>
        <v>11.571428571428573</v>
      </c>
      <c r="Z10" s="17">
        <f t="shared" si="2"/>
        <v>2.1428571428571428</v>
      </c>
      <c r="AA10" s="17">
        <f t="shared" si="2"/>
        <v>5</v>
      </c>
      <c r="AB10" s="17">
        <f t="shared" si="2"/>
        <v>0</v>
      </c>
      <c r="AC10" s="17">
        <f t="shared" si="2"/>
        <v>382.28571428571428</v>
      </c>
      <c r="AD10" s="17">
        <f t="shared" si="2"/>
        <v>0</v>
      </c>
      <c r="AE10" s="31">
        <f t="shared" si="2"/>
        <v>363.71428571428578</v>
      </c>
      <c r="AF10" s="31">
        <f t="shared" si="2"/>
        <v>746</v>
      </c>
    </row>
    <row r="11" spans="2:32" s="6" customFormat="1" ht="23.1" customHeight="1" x14ac:dyDescent="0.25">
      <c r="B11" s="23" t="s">
        <v>38</v>
      </c>
      <c r="C11" s="49">
        <f>AVERAGE('22.07 Nyanama-Ndeeba'!C11,'23.07 Nyanama-Ndeeba'!C11,'24.07 Nyanama-Ndeeba'!C11,'25.07 Nyanama-Ndeeba'!C11,'26.07 Nyanama-Ndeeba-24h'!C11,'27.07 Nyanama-Ndeeba-24h'!C11,'28.07 Nyanama-Ndeeba'!C11)</f>
        <v>52.428571428571431</v>
      </c>
      <c r="D11" s="49">
        <f>AVERAGE('22.07 Nyanama-Ndeeba'!D11,'23.07 Nyanama-Ndeeba'!D11,'24.07 Nyanama-Ndeeba'!D11,'25.07 Nyanama-Ndeeba'!D11,'26.07 Nyanama-Ndeeba-24h'!D11,'27.07 Nyanama-Ndeeba-24h'!D11,'28.07 Nyanama-Ndeeba'!D11)</f>
        <v>5.4285714285714288</v>
      </c>
      <c r="E11" s="49">
        <f>AVERAGE('22.07 Nyanama-Ndeeba'!E11,'23.07 Nyanama-Ndeeba'!E11,'24.07 Nyanama-Ndeeba'!E11,'25.07 Nyanama-Ndeeba'!E11,'26.07 Nyanama-Ndeeba-24h'!E11,'27.07 Nyanama-Ndeeba-24h'!E11,'28.07 Nyanama-Ndeeba'!E11)</f>
        <v>2.5714285714285716</v>
      </c>
      <c r="F11" s="49">
        <f>AVERAGE('22.07 Nyanama-Ndeeba'!F11,'23.07 Nyanama-Ndeeba'!F11,'24.07 Nyanama-Ndeeba'!F11,'25.07 Nyanama-Ndeeba'!F11,'26.07 Nyanama-Ndeeba-24h'!F11,'27.07 Nyanama-Ndeeba-24h'!F11,'28.07 Nyanama-Ndeeba'!F11)</f>
        <v>22.857142857142858</v>
      </c>
      <c r="G11" s="49">
        <f>AVERAGE('22.07 Nyanama-Ndeeba'!G11,'23.07 Nyanama-Ndeeba'!G11,'24.07 Nyanama-Ndeeba'!G11,'25.07 Nyanama-Ndeeba'!G11,'26.07 Nyanama-Ndeeba-24h'!G11,'27.07 Nyanama-Ndeeba-24h'!G11,'28.07 Nyanama-Ndeeba'!G11)</f>
        <v>0.42857142857142855</v>
      </c>
      <c r="H11" s="49">
        <f>AVERAGE('22.07 Nyanama-Ndeeba'!H11,'23.07 Nyanama-Ndeeba'!H11,'24.07 Nyanama-Ndeeba'!H11,'25.07 Nyanama-Ndeeba'!H11,'26.07 Nyanama-Ndeeba-24h'!H11,'27.07 Nyanama-Ndeeba-24h'!H11,'28.07 Nyanama-Ndeeba'!H11)</f>
        <v>0</v>
      </c>
      <c r="I11" s="49">
        <f>AVERAGE('22.07 Nyanama-Ndeeba'!I11,'23.07 Nyanama-Ndeeba'!I11,'24.07 Nyanama-Ndeeba'!I11,'25.07 Nyanama-Ndeeba'!I11,'26.07 Nyanama-Ndeeba-24h'!I11,'27.07 Nyanama-Ndeeba-24h'!I11,'28.07 Nyanama-Ndeeba'!I11)</f>
        <v>1.8571428571428572</v>
      </c>
      <c r="J11" s="49">
        <f>AVERAGE('22.07 Nyanama-Ndeeba'!J11,'23.07 Nyanama-Ndeeba'!J11,'24.07 Nyanama-Ndeeba'!J11,'25.07 Nyanama-Ndeeba'!J11,'26.07 Nyanama-Ndeeba-24h'!J11,'27.07 Nyanama-Ndeeba-24h'!J11,'28.07 Nyanama-Ndeeba'!J11)</f>
        <v>0.7142857142857143</v>
      </c>
      <c r="K11" s="49">
        <f>AVERAGE('22.07 Nyanama-Ndeeba'!K11,'23.07 Nyanama-Ndeeba'!K11,'24.07 Nyanama-Ndeeba'!K11,'25.07 Nyanama-Ndeeba'!K11,'26.07 Nyanama-Ndeeba-24h'!K11,'27.07 Nyanama-Ndeeba-24h'!K11,'28.07 Nyanama-Ndeeba'!K11)</f>
        <v>1.2857142857142858</v>
      </c>
      <c r="L11" s="49">
        <f>AVERAGE('22.07 Nyanama-Ndeeba'!L11,'23.07 Nyanama-Ndeeba'!L11,'24.07 Nyanama-Ndeeba'!L11,'25.07 Nyanama-Ndeeba'!L11,'26.07 Nyanama-Ndeeba-24h'!L11,'27.07 Nyanama-Ndeeba-24h'!L11,'28.07 Nyanama-Ndeeba'!L11)</f>
        <v>0</v>
      </c>
      <c r="M11" s="49">
        <f>AVERAGE('22.07 Nyanama-Ndeeba'!M11,'23.07 Nyanama-Ndeeba'!M11,'24.07 Nyanama-Ndeeba'!M11,'25.07 Nyanama-Ndeeba'!M11,'26.07 Nyanama-Ndeeba-24h'!M11,'27.07 Nyanama-Ndeeba-24h'!M11,'28.07 Nyanama-Ndeeba'!M11)</f>
        <v>91.571428571428569</v>
      </c>
      <c r="N11" s="49">
        <f>AVERAGE('22.07 Nyanama-Ndeeba'!N11,'23.07 Nyanama-Ndeeba'!N11,'24.07 Nyanama-Ndeeba'!N11,'25.07 Nyanama-Ndeeba'!N11,'26.07 Nyanama-Ndeeba-24h'!N11,'27.07 Nyanama-Ndeeba-24h'!N11,'28.07 Nyanama-Ndeeba'!N11)</f>
        <v>0</v>
      </c>
      <c r="O11" s="15">
        <f t="shared" si="0"/>
        <v>87.571428571428584</v>
      </c>
      <c r="P11" s="15">
        <f t="shared" si="1"/>
        <v>179.14285714285717</v>
      </c>
      <c r="R11" s="1" t="s">
        <v>7</v>
      </c>
      <c r="S11" s="17">
        <f t="shared" ref="S11:AF11" si="3">SUM(C14:C17)</f>
        <v>218.57142857142856</v>
      </c>
      <c r="T11" s="17">
        <f t="shared" si="3"/>
        <v>27.571428571428569</v>
      </c>
      <c r="U11" s="17">
        <f t="shared" si="3"/>
        <v>17.857142857142858</v>
      </c>
      <c r="V11" s="17">
        <f t="shared" si="3"/>
        <v>81.571428571428569</v>
      </c>
      <c r="W11" s="17">
        <f t="shared" si="3"/>
        <v>1.7142857142857142</v>
      </c>
      <c r="X11" s="17">
        <f t="shared" si="3"/>
        <v>0</v>
      </c>
      <c r="Y11" s="17">
        <f t="shared" si="3"/>
        <v>9</v>
      </c>
      <c r="Z11" s="17">
        <f t="shared" si="3"/>
        <v>3</v>
      </c>
      <c r="AA11" s="17">
        <f t="shared" si="3"/>
        <v>1.1428571428571428</v>
      </c>
      <c r="AB11" s="17">
        <f t="shared" si="3"/>
        <v>0.2857142857142857</v>
      </c>
      <c r="AC11" s="17">
        <f t="shared" si="3"/>
        <v>447.57142857142861</v>
      </c>
      <c r="AD11" s="17">
        <f t="shared" si="3"/>
        <v>0</v>
      </c>
      <c r="AE11" s="31">
        <f t="shared" si="3"/>
        <v>360.71428571428578</v>
      </c>
      <c r="AF11" s="31">
        <f t="shared" si="3"/>
        <v>808.28571428571445</v>
      </c>
    </row>
    <row r="12" spans="2:32" ht="23.1" customHeight="1" x14ac:dyDescent="0.25">
      <c r="B12" s="23" t="s">
        <v>39</v>
      </c>
      <c r="C12" s="49">
        <f>AVERAGE('22.07 Nyanama-Ndeeba'!C12,'23.07 Nyanama-Ndeeba'!C12,'24.07 Nyanama-Ndeeba'!C12,'25.07 Nyanama-Ndeeba'!C12,'26.07 Nyanama-Ndeeba-24h'!C12,'27.07 Nyanama-Ndeeba-24h'!C12,'28.07 Nyanama-Ndeeba'!C12)</f>
        <v>56</v>
      </c>
      <c r="D12" s="49">
        <f>AVERAGE('22.07 Nyanama-Ndeeba'!D12,'23.07 Nyanama-Ndeeba'!D12,'24.07 Nyanama-Ndeeba'!D12,'25.07 Nyanama-Ndeeba'!D12,'26.07 Nyanama-Ndeeba-24h'!D12,'27.07 Nyanama-Ndeeba-24h'!D12,'28.07 Nyanama-Ndeeba'!D12)</f>
        <v>6.4285714285714288</v>
      </c>
      <c r="E12" s="49">
        <f>AVERAGE('22.07 Nyanama-Ndeeba'!E12,'23.07 Nyanama-Ndeeba'!E12,'24.07 Nyanama-Ndeeba'!E12,'25.07 Nyanama-Ndeeba'!E12,'26.07 Nyanama-Ndeeba-24h'!E12,'27.07 Nyanama-Ndeeba-24h'!E12,'28.07 Nyanama-Ndeeba'!E12)</f>
        <v>4.2857142857142856</v>
      </c>
      <c r="F12" s="49">
        <f>AVERAGE('22.07 Nyanama-Ndeeba'!F12,'23.07 Nyanama-Ndeeba'!F12,'24.07 Nyanama-Ndeeba'!F12,'25.07 Nyanama-Ndeeba'!F12,'26.07 Nyanama-Ndeeba-24h'!F12,'27.07 Nyanama-Ndeeba-24h'!F12,'28.07 Nyanama-Ndeeba'!F12)</f>
        <v>26.714285714285715</v>
      </c>
      <c r="G12" s="49">
        <f>AVERAGE('22.07 Nyanama-Ndeeba'!G12,'23.07 Nyanama-Ndeeba'!G12,'24.07 Nyanama-Ndeeba'!G12,'25.07 Nyanama-Ndeeba'!G12,'26.07 Nyanama-Ndeeba-24h'!G12,'27.07 Nyanama-Ndeeba-24h'!G12,'28.07 Nyanama-Ndeeba'!G12)</f>
        <v>0.2857142857142857</v>
      </c>
      <c r="H12" s="49">
        <f>AVERAGE('22.07 Nyanama-Ndeeba'!H12,'23.07 Nyanama-Ndeeba'!H12,'24.07 Nyanama-Ndeeba'!H12,'25.07 Nyanama-Ndeeba'!H12,'26.07 Nyanama-Ndeeba-24h'!H12,'27.07 Nyanama-Ndeeba-24h'!H12,'28.07 Nyanama-Ndeeba'!H12)</f>
        <v>0</v>
      </c>
      <c r="I12" s="49">
        <f>AVERAGE('22.07 Nyanama-Ndeeba'!I12,'23.07 Nyanama-Ndeeba'!I12,'24.07 Nyanama-Ndeeba'!I12,'25.07 Nyanama-Ndeeba'!I12,'26.07 Nyanama-Ndeeba-24h'!I12,'27.07 Nyanama-Ndeeba-24h'!I12,'28.07 Nyanama-Ndeeba'!I12)</f>
        <v>3.5714285714285716</v>
      </c>
      <c r="J12" s="49">
        <f>AVERAGE('22.07 Nyanama-Ndeeba'!J12,'23.07 Nyanama-Ndeeba'!J12,'24.07 Nyanama-Ndeeba'!J12,'25.07 Nyanama-Ndeeba'!J12,'26.07 Nyanama-Ndeeba-24h'!J12,'27.07 Nyanama-Ndeeba-24h'!J12,'28.07 Nyanama-Ndeeba'!J12)</f>
        <v>0.42857142857142855</v>
      </c>
      <c r="K12" s="49">
        <f>AVERAGE('22.07 Nyanama-Ndeeba'!K12,'23.07 Nyanama-Ndeeba'!K12,'24.07 Nyanama-Ndeeba'!K12,'25.07 Nyanama-Ndeeba'!K12,'26.07 Nyanama-Ndeeba-24h'!K12,'27.07 Nyanama-Ndeeba-24h'!K12,'28.07 Nyanama-Ndeeba'!K12)</f>
        <v>2.5714285714285716</v>
      </c>
      <c r="L12" s="49">
        <f>AVERAGE('22.07 Nyanama-Ndeeba'!L12,'23.07 Nyanama-Ndeeba'!L12,'24.07 Nyanama-Ndeeba'!L12,'25.07 Nyanama-Ndeeba'!L12,'26.07 Nyanama-Ndeeba-24h'!L12,'27.07 Nyanama-Ndeeba-24h'!L12,'28.07 Nyanama-Ndeeba'!L12)</f>
        <v>0</v>
      </c>
      <c r="M12" s="49">
        <f>AVERAGE('22.07 Nyanama-Ndeeba'!M12,'23.07 Nyanama-Ndeeba'!M12,'24.07 Nyanama-Ndeeba'!M12,'25.07 Nyanama-Ndeeba'!M12,'26.07 Nyanama-Ndeeba-24h'!M12,'27.07 Nyanama-Ndeeba-24h'!M12,'28.07 Nyanama-Ndeeba'!M12)</f>
        <v>102.71428571428571</v>
      </c>
      <c r="N12" s="49">
        <f>AVERAGE('22.07 Nyanama-Ndeeba'!N12,'23.07 Nyanama-Ndeeba'!N12,'24.07 Nyanama-Ndeeba'!N12,'25.07 Nyanama-Ndeeba'!N12,'26.07 Nyanama-Ndeeba-24h'!N12,'27.07 Nyanama-Ndeeba-24h'!N12,'28.07 Nyanama-Ndeeba'!N12)</f>
        <v>0</v>
      </c>
      <c r="O12" s="15">
        <f t="shared" si="0"/>
        <v>100.28571428571431</v>
      </c>
      <c r="P12" s="15">
        <f t="shared" si="1"/>
        <v>203</v>
      </c>
      <c r="R12" s="1" t="s">
        <v>8</v>
      </c>
      <c r="S12" s="17">
        <f t="shared" ref="S12:AF12" si="4">SUM(C18:C21)</f>
        <v>207.28571428571428</v>
      </c>
      <c r="T12" s="17">
        <f t="shared" si="4"/>
        <v>26.714285714285715</v>
      </c>
      <c r="U12" s="17">
        <f t="shared" si="4"/>
        <v>21</v>
      </c>
      <c r="V12" s="17">
        <f t="shared" si="4"/>
        <v>54</v>
      </c>
      <c r="W12" s="17">
        <f t="shared" si="4"/>
        <v>1.1428571428571428</v>
      </c>
      <c r="X12" s="17">
        <f t="shared" si="4"/>
        <v>0.14285714285714285</v>
      </c>
      <c r="Y12" s="17">
        <f t="shared" si="4"/>
        <v>12.857142857142858</v>
      </c>
      <c r="Z12" s="17">
        <f t="shared" si="4"/>
        <v>5.4285714285714288</v>
      </c>
      <c r="AA12" s="17">
        <f t="shared" si="4"/>
        <v>0.5714285714285714</v>
      </c>
      <c r="AB12" s="17">
        <f t="shared" si="4"/>
        <v>0.2857142857142857</v>
      </c>
      <c r="AC12" s="17">
        <f t="shared" si="4"/>
        <v>428.85714285714289</v>
      </c>
      <c r="AD12" s="17">
        <f t="shared" si="4"/>
        <v>0</v>
      </c>
      <c r="AE12" s="31">
        <f t="shared" si="4"/>
        <v>329.42857142857144</v>
      </c>
      <c r="AF12" s="31">
        <f t="shared" si="4"/>
        <v>758.28571428571422</v>
      </c>
    </row>
    <row r="13" spans="2:32" ht="23.1" customHeight="1" x14ac:dyDescent="0.25">
      <c r="B13" s="23" t="s">
        <v>40</v>
      </c>
      <c r="C13" s="49">
        <f>AVERAGE('22.07 Nyanama-Ndeeba'!C13,'23.07 Nyanama-Ndeeba'!C13,'24.07 Nyanama-Ndeeba'!C13,'25.07 Nyanama-Ndeeba'!C13,'26.07 Nyanama-Ndeeba-24h'!C13,'27.07 Nyanama-Ndeeba-24h'!C13,'28.07 Nyanama-Ndeeba'!C13)</f>
        <v>60.571428571428569</v>
      </c>
      <c r="D13" s="49">
        <f>AVERAGE('22.07 Nyanama-Ndeeba'!D13,'23.07 Nyanama-Ndeeba'!D13,'24.07 Nyanama-Ndeeba'!D13,'25.07 Nyanama-Ndeeba'!D13,'26.07 Nyanama-Ndeeba-24h'!D13,'27.07 Nyanama-Ndeeba-24h'!D13,'28.07 Nyanama-Ndeeba'!D13)</f>
        <v>6.5714285714285712</v>
      </c>
      <c r="E13" s="49">
        <f>AVERAGE('22.07 Nyanama-Ndeeba'!E13,'23.07 Nyanama-Ndeeba'!E13,'24.07 Nyanama-Ndeeba'!E13,'25.07 Nyanama-Ndeeba'!E13,'26.07 Nyanama-Ndeeba-24h'!E13,'27.07 Nyanama-Ndeeba-24h'!E13,'28.07 Nyanama-Ndeeba'!E13)</f>
        <v>5.7142857142857144</v>
      </c>
      <c r="F13" s="49">
        <f>AVERAGE('22.07 Nyanama-Ndeeba'!F13,'23.07 Nyanama-Ndeeba'!F13,'24.07 Nyanama-Ndeeba'!F13,'25.07 Nyanama-Ndeeba'!F13,'26.07 Nyanama-Ndeeba-24h'!F13,'27.07 Nyanama-Ndeeba-24h'!F13,'28.07 Nyanama-Ndeeba'!F13)</f>
        <v>27.571428571428573</v>
      </c>
      <c r="G13" s="49">
        <f>AVERAGE('22.07 Nyanama-Ndeeba'!G13,'23.07 Nyanama-Ndeeba'!G13,'24.07 Nyanama-Ndeeba'!G13,'25.07 Nyanama-Ndeeba'!G13,'26.07 Nyanama-Ndeeba-24h'!G13,'27.07 Nyanama-Ndeeba-24h'!G13,'28.07 Nyanama-Ndeeba'!G13)</f>
        <v>0.5714285714285714</v>
      </c>
      <c r="H13" s="49">
        <f>AVERAGE('22.07 Nyanama-Ndeeba'!H13,'23.07 Nyanama-Ndeeba'!H13,'24.07 Nyanama-Ndeeba'!H13,'25.07 Nyanama-Ndeeba'!H13,'26.07 Nyanama-Ndeeba-24h'!H13,'27.07 Nyanama-Ndeeba-24h'!H13,'28.07 Nyanama-Ndeeba'!H13)</f>
        <v>0</v>
      </c>
      <c r="I13" s="49">
        <f>AVERAGE('22.07 Nyanama-Ndeeba'!I13,'23.07 Nyanama-Ndeeba'!I13,'24.07 Nyanama-Ndeeba'!I13,'25.07 Nyanama-Ndeeba'!I13,'26.07 Nyanama-Ndeeba-24h'!I13,'27.07 Nyanama-Ndeeba-24h'!I13,'28.07 Nyanama-Ndeeba'!I13)</f>
        <v>3.7142857142857144</v>
      </c>
      <c r="J13" s="49">
        <f>AVERAGE('22.07 Nyanama-Ndeeba'!J13,'23.07 Nyanama-Ndeeba'!J13,'24.07 Nyanama-Ndeeba'!J13,'25.07 Nyanama-Ndeeba'!J13,'26.07 Nyanama-Ndeeba-24h'!J13,'27.07 Nyanama-Ndeeba-24h'!J13,'28.07 Nyanama-Ndeeba'!J13)</f>
        <v>0.7142857142857143</v>
      </c>
      <c r="K13" s="49">
        <f>AVERAGE('22.07 Nyanama-Ndeeba'!K13,'23.07 Nyanama-Ndeeba'!K13,'24.07 Nyanama-Ndeeba'!K13,'25.07 Nyanama-Ndeeba'!K13,'26.07 Nyanama-Ndeeba-24h'!K13,'27.07 Nyanama-Ndeeba-24h'!K13,'28.07 Nyanama-Ndeeba'!K13)</f>
        <v>0.5714285714285714</v>
      </c>
      <c r="L13" s="49">
        <f>AVERAGE('22.07 Nyanama-Ndeeba'!L13,'23.07 Nyanama-Ndeeba'!L13,'24.07 Nyanama-Ndeeba'!L13,'25.07 Nyanama-Ndeeba'!L13,'26.07 Nyanama-Ndeeba-24h'!L13,'27.07 Nyanama-Ndeeba-24h'!L13,'28.07 Nyanama-Ndeeba'!L13)</f>
        <v>0</v>
      </c>
      <c r="M13" s="49">
        <f>AVERAGE('22.07 Nyanama-Ndeeba'!M13,'23.07 Nyanama-Ndeeba'!M13,'24.07 Nyanama-Ndeeba'!M13,'25.07 Nyanama-Ndeeba'!M13,'26.07 Nyanama-Ndeeba-24h'!M13,'27.07 Nyanama-Ndeeba-24h'!M13,'28.07 Nyanama-Ndeeba'!M13)</f>
        <v>117</v>
      </c>
      <c r="N13" s="49">
        <f>AVERAGE('22.07 Nyanama-Ndeeba'!N13,'23.07 Nyanama-Ndeeba'!N13,'24.07 Nyanama-Ndeeba'!N13,'25.07 Nyanama-Ndeeba'!N13,'26.07 Nyanama-Ndeeba-24h'!N13,'27.07 Nyanama-Ndeeba-24h'!N13,'28.07 Nyanama-Ndeeba'!N13)</f>
        <v>0</v>
      </c>
      <c r="O13" s="15">
        <f t="shared" si="0"/>
        <v>105.99999999999997</v>
      </c>
      <c r="P13" s="15">
        <f t="shared" si="1"/>
        <v>222.99999999999997</v>
      </c>
      <c r="R13" s="1" t="s">
        <v>9</v>
      </c>
      <c r="S13" s="17">
        <f t="shared" ref="S13:AF13" si="5">SUM(C22:C25)</f>
        <v>181.42857142857142</v>
      </c>
      <c r="T13" s="17">
        <f t="shared" si="5"/>
        <v>21.857142857142858</v>
      </c>
      <c r="U13" s="17">
        <f t="shared" si="5"/>
        <v>16.142857142857142</v>
      </c>
      <c r="V13" s="17">
        <f t="shared" si="5"/>
        <v>31.714285714285715</v>
      </c>
      <c r="W13" s="17">
        <f t="shared" si="5"/>
        <v>1.2857142857142856</v>
      </c>
      <c r="X13" s="17">
        <f t="shared" si="5"/>
        <v>0</v>
      </c>
      <c r="Y13" s="17">
        <f t="shared" si="5"/>
        <v>13.142857142857142</v>
      </c>
      <c r="Z13" s="17">
        <f t="shared" si="5"/>
        <v>4.4285714285714288</v>
      </c>
      <c r="AA13" s="17">
        <f t="shared" si="5"/>
        <v>0.71428571428571419</v>
      </c>
      <c r="AB13" s="17">
        <f t="shared" si="5"/>
        <v>0.14285714285714285</v>
      </c>
      <c r="AC13" s="17">
        <f t="shared" si="5"/>
        <v>381</v>
      </c>
      <c r="AD13" s="17">
        <f t="shared" si="5"/>
        <v>0</v>
      </c>
      <c r="AE13" s="31">
        <f t="shared" si="5"/>
        <v>270.85714285714289</v>
      </c>
      <c r="AF13" s="31">
        <f t="shared" si="5"/>
        <v>651.85714285714278</v>
      </c>
    </row>
    <row r="14" spans="2:32" ht="23.1" customHeight="1" x14ac:dyDescent="0.25">
      <c r="B14" s="23" t="s">
        <v>41</v>
      </c>
      <c r="C14" s="49">
        <f>AVERAGE('22.07 Nyanama-Ndeeba'!C14,'23.07 Nyanama-Ndeeba'!C14,'24.07 Nyanama-Ndeeba'!C14,'25.07 Nyanama-Ndeeba'!C14,'26.07 Nyanama-Ndeeba-24h'!C14,'27.07 Nyanama-Ndeeba-24h'!C14,'28.07 Nyanama-Ndeeba'!C14)</f>
        <v>54.714285714285715</v>
      </c>
      <c r="D14" s="49">
        <f>AVERAGE('22.07 Nyanama-Ndeeba'!D14,'23.07 Nyanama-Ndeeba'!D14,'24.07 Nyanama-Ndeeba'!D14,'25.07 Nyanama-Ndeeba'!D14,'26.07 Nyanama-Ndeeba-24h'!D14,'27.07 Nyanama-Ndeeba-24h'!D14,'28.07 Nyanama-Ndeeba'!D14)</f>
        <v>8.7142857142857135</v>
      </c>
      <c r="E14" s="49">
        <f>AVERAGE('22.07 Nyanama-Ndeeba'!E14,'23.07 Nyanama-Ndeeba'!E14,'24.07 Nyanama-Ndeeba'!E14,'25.07 Nyanama-Ndeeba'!E14,'26.07 Nyanama-Ndeeba-24h'!E14,'27.07 Nyanama-Ndeeba-24h'!E14,'28.07 Nyanama-Ndeeba'!E14)</f>
        <v>4.1428571428571432</v>
      </c>
      <c r="F14" s="49">
        <f>AVERAGE('22.07 Nyanama-Ndeeba'!F14,'23.07 Nyanama-Ndeeba'!F14,'24.07 Nyanama-Ndeeba'!F14,'25.07 Nyanama-Ndeeba'!F14,'26.07 Nyanama-Ndeeba-24h'!F14,'27.07 Nyanama-Ndeeba-24h'!F14,'28.07 Nyanama-Ndeeba'!F14)</f>
        <v>24.142857142857142</v>
      </c>
      <c r="G14" s="49">
        <f>AVERAGE('22.07 Nyanama-Ndeeba'!G14,'23.07 Nyanama-Ndeeba'!G14,'24.07 Nyanama-Ndeeba'!G14,'25.07 Nyanama-Ndeeba'!G14,'26.07 Nyanama-Ndeeba-24h'!G14,'27.07 Nyanama-Ndeeba-24h'!G14,'28.07 Nyanama-Ndeeba'!G14)</f>
        <v>0.5714285714285714</v>
      </c>
      <c r="H14" s="49">
        <f>AVERAGE('22.07 Nyanama-Ndeeba'!H14,'23.07 Nyanama-Ndeeba'!H14,'24.07 Nyanama-Ndeeba'!H14,'25.07 Nyanama-Ndeeba'!H14,'26.07 Nyanama-Ndeeba-24h'!H14,'27.07 Nyanama-Ndeeba-24h'!H14,'28.07 Nyanama-Ndeeba'!H14)</f>
        <v>0</v>
      </c>
      <c r="I14" s="49">
        <f>AVERAGE('22.07 Nyanama-Ndeeba'!I14,'23.07 Nyanama-Ndeeba'!I14,'24.07 Nyanama-Ndeeba'!I14,'25.07 Nyanama-Ndeeba'!I14,'26.07 Nyanama-Ndeeba-24h'!I14,'27.07 Nyanama-Ndeeba-24h'!I14,'28.07 Nyanama-Ndeeba'!I14)</f>
        <v>2.4285714285714284</v>
      </c>
      <c r="J14" s="49">
        <f>AVERAGE('22.07 Nyanama-Ndeeba'!J14,'23.07 Nyanama-Ndeeba'!J14,'24.07 Nyanama-Ndeeba'!J14,'25.07 Nyanama-Ndeeba'!J14,'26.07 Nyanama-Ndeeba-24h'!J14,'27.07 Nyanama-Ndeeba-24h'!J14,'28.07 Nyanama-Ndeeba'!J14)</f>
        <v>0.42857142857142855</v>
      </c>
      <c r="K14" s="49">
        <f>AVERAGE('22.07 Nyanama-Ndeeba'!K14,'23.07 Nyanama-Ndeeba'!K14,'24.07 Nyanama-Ndeeba'!K14,'25.07 Nyanama-Ndeeba'!K14,'26.07 Nyanama-Ndeeba-24h'!K14,'27.07 Nyanama-Ndeeba-24h'!K14,'28.07 Nyanama-Ndeeba'!K14)</f>
        <v>0.42857142857142855</v>
      </c>
      <c r="L14" s="49">
        <f>AVERAGE('22.07 Nyanama-Ndeeba'!L14,'23.07 Nyanama-Ndeeba'!L14,'24.07 Nyanama-Ndeeba'!L14,'25.07 Nyanama-Ndeeba'!L14,'26.07 Nyanama-Ndeeba-24h'!L14,'27.07 Nyanama-Ndeeba-24h'!L14,'28.07 Nyanama-Ndeeba'!L14)</f>
        <v>0</v>
      </c>
      <c r="M14" s="49">
        <f>AVERAGE('22.07 Nyanama-Ndeeba'!M14,'23.07 Nyanama-Ndeeba'!M14,'24.07 Nyanama-Ndeeba'!M14,'25.07 Nyanama-Ndeeba'!M14,'26.07 Nyanama-Ndeeba-24h'!M14,'27.07 Nyanama-Ndeeba-24h'!M14,'28.07 Nyanama-Ndeeba'!M14)</f>
        <v>110.85714285714286</v>
      </c>
      <c r="N14" s="49">
        <f>AVERAGE('22.07 Nyanama-Ndeeba'!N14,'23.07 Nyanama-Ndeeba'!N14,'24.07 Nyanama-Ndeeba'!N14,'25.07 Nyanama-Ndeeba'!N14,'26.07 Nyanama-Ndeeba-24h'!N14,'27.07 Nyanama-Ndeeba-24h'!N14,'28.07 Nyanama-Ndeeba'!N14)</f>
        <v>0</v>
      </c>
      <c r="O14" s="15">
        <f t="shared" si="0"/>
        <v>95.571428571428569</v>
      </c>
      <c r="P14" s="15">
        <f t="shared" si="1"/>
        <v>206.42857142857144</v>
      </c>
      <c r="R14" s="1" t="s">
        <v>10</v>
      </c>
      <c r="S14" s="17">
        <f t="shared" ref="S14:AF14" si="6">SUM(C26:C29)</f>
        <v>148.42857142857144</v>
      </c>
      <c r="T14" s="17">
        <f t="shared" si="6"/>
        <v>19.571428571428573</v>
      </c>
      <c r="U14" s="17">
        <f t="shared" si="6"/>
        <v>16.714285714285715</v>
      </c>
      <c r="V14" s="17">
        <f t="shared" si="6"/>
        <v>29.857142857142861</v>
      </c>
      <c r="W14" s="17">
        <f t="shared" si="6"/>
        <v>1.5714285714285714</v>
      </c>
      <c r="X14" s="17">
        <f t="shared" si="6"/>
        <v>0</v>
      </c>
      <c r="Y14" s="17">
        <f t="shared" si="6"/>
        <v>14.428571428571431</v>
      </c>
      <c r="Z14" s="17">
        <f t="shared" si="6"/>
        <v>6.1428571428571432</v>
      </c>
      <c r="AA14" s="17">
        <f t="shared" si="6"/>
        <v>0.71428571428571419</v>
      </c>
      <c r="AB14" s="17">
        <f t="shared" si="6"/>
        <v>0.2857142857142857</v>
      </c>
      <c r="AC14" s="17">
        <f t="shared" si="6"/>
        <v>346.28571428571433</v>
      </c>
      <c r="AD14" s="17">
        <f t="shared" si="6"/>
        <v>0</v>
      </c>
      <c r="AE14" s="31">
        <f t="shared" si="6"/>
        <v>237.71428571428575</v>
      </c>
      <c r="AF14" s="31">
        <f t="shared" si="6"/>
        <v>584</v>
      </c>
    </row>
    <row r="15" spans="2:32" ht="23.1" customHeight="1" x14ac:dyDescent="0.25">
      <c r="B15" s="23" t="s">
        <v>42</v>
      </c>
      <c r="C15" s="49">
        <f>AVERAGE('22.07 Nyanama-Ndeeba'!C15,'23.07 Nyanama-Ndeeba'!C15,'24.07 Nyanama-Ndeeba'!C15,'25.07 Nyanama-Ndeeba'!C15,'26.07 Nyanama-Ndeeba-24h'!C15,'27.07 Nyanama-Ndeeba-24h'!C15,'28.07 Nyanama-Ndeeba'!C15)</f>
        <v>56.428571428571431</v>
      </c>
      <c r="D15" s="49">
        <f>AVERAGE('22.07 Nyanama-Ndeeba'!D15,'23.07 Nyanama-Ndeeba'!D15,'24.07 Nyanama-Ndeeba'!D15,'25.07 Nyanama-Ndeeba'!D15,'26.07 Nyanama-Ndeeba-24h'!D15,'27.07 Nyanama-Ndeeba-24h'!D15,'28.07 Nyanama-Ndeeba'!D15)</f>
        <v>7.5714285714285712</v>
      </c>
      <c r="E15" s="49">
        <f>AVERAGE('22.07 Nyanama-Ndeeba'!E15,'23.07 Nyanama-Ndeeba'!E15,'24.07 Nyanama-Ndeeba'!E15,'25.07 Nyanama-Ndeeba'!E15,'26.07 Nyanama-Ndeeba-24h'!E15,'27.07 Nyanama-Ndeeba-24h'!E15,'28.07 Nyanama-Ndeeba'!E15)</f>
        <v>5.1428571428571432</v>
      </c>
      <c r="F15" s="49">
        <f>AVERAGE('22.07 Nyanama-Ndeeba'!F15,'23.07 Nyanama-Ndeeba'!F15,'24.07 Nyanama-Ndeeba'!F15,'25.07 Nyanama-Ndeeba'!F15,'26.07 Nyanama-Ndeeba-24h'!F15,'27.07 Nyanama-Ndeeba-24h'!F15,'28.07 Nyanama-Ndeeba'!F15)</f>
        <v>23.428571428571427</v>
      </c>
      <c r="G15" s="49">
        <f>AVERAGE('22.07 Nyanama-Ndeeba'!G15,'23.07 Nyanama-Ndeeba'!G15,'24.07 Nyanama-Ndeeba'!G15,'25.07 Nyanama-Ndeeba'!G15,'26.07 Nyanama-Ndeeba-24h'!G15,'27.07 Nyanama-Ndeeba-24h'!G15,'28.07 Nyanama-Ndeeba'!G15)</f>
        <v>0.2857142857142857</v>
      </c>
      <c r="H15" s="49">
        <f>AVERAGE('22.07 Nyanama-Ndeeba'!H15,'23.07 Nyanama-Ndeeba'!H15,'24.07 Nyanama-Ndeeba'!H15,'25.07 Nyanama-Ndeeba'!H15,'26.07 Nyanama-Ndeeba-24h'!H15,'27.07 Nyanama-Ndeeba-24h'!H15,'28.07 Nyanama-Ndeeba'!H15)</f>
        <v>0</v>
      </c>
      <c r="I15" s="49">
        <f>AVERAGE('22.07 Nyanama-Ndeeba'!I15,'23.07 Nyanama-Ndeeba'!I15,'24.07 Nyanama-Ndeeba'!I15,'25.07 Nyanama-Ndeeba'!I15,'26.07 Nyanama-Ndeeba-24h'!I15,'27.07 Nyanama-Ndeeba-24h'!I15,'28.07 Nyanama-Ndeeba'!I15)</f>
        <v>2.4285714285714284</v>
      </c>
      <c r="J15" s="49">
        <f>AVERAGE('22.07 Nyanama-Ndeeba'!J15,'23.07 Nyanama-Ndeeba'!J15,'24.07 Nyanama-Ndeeba'!J15,'25.07 Nyanama-Ndeeba'!J15,'26.07 Nyanama-Ndeeba-24h'!J15,'27.07 Nyanama-Ndeeba-24h'!J15,'28.07 Nyanama-Ndeeba'!J15)</f>
        <v>1.1428571428571428</v>
      </c>
      <c r="K15" s="49">
        <f>AVERAGE('22.07 Nyanama-Ndeeba'!K15,'23.07 Nyanama-Ndeeba'!K15,'24.07 Nyanama-Ndeeba'!K15,'25.07 Nyanama-Ndeeba'!K15,'26.07 Nyanama-Ndeeba-24h'!K15,'27.07 Nyanama-Ndeeba-24h'!K15,'28.07 Nyanama-Ndeeba'!K15)</f>
        <v>0.2857142857142857</v>
      </c>
      <c r="L15" s="49">
        <f>AVERAGE('22.07 Nyanama-Ndeeba'!L15,'23.07 Nyanama-Ndeeba'!L15,'24.07 Nyanama-Ndeeba'!L15,'25.07 Nyanama-Ndeeba'!L15,'26.07 Nyanama-Ndeeba-24h'!L15,'27.07 Nyanama-Ndeeba-24h'!L15,'28.07 Nyanama-Ndeeba'!L15)</f>
        <v>0.14285714285714285</v>
      </c>
      <c r="M15" s="49">
        <f>AVERAGE('22.07 Nyanama-Ndeeba'!M15,'23.07 Nyanama-Ndeeba'!M15,'24.07 Nyanama-Ndeeba'!M15,'25.07 Nyanama-Ndeeba'!M15,'26.07 Nyanama-Ndeeba-24h'!M15,'27.07 Nyanama-Ndeeba-24h'!M15,'28.07 Nyanama-Ndeeba'!M15)</f>
        <v>112.28571428571429</v>
      </c>
      <c r="N15" s="49">
        <f>AVERAGE('22.07 Nyanama-Ndeeba'!N15,'23.07 Nyanama-Ndeeba'!N15,'24.07 Nyanama-Ndeeba'!N15,'25.07 Nyanama-Ndeeba'!N15,'26.07 Nyanama-Ndeeba-24h'!N15,'27.07 Nyanama-Ndeeba-24h'!N15,'28.07 Nyanama-Ndeeba'!N15)</f>
        <v>0</v>
      </c>
      <c r="O15" s="15">
        <f t="shared" si="0"/>
        <v>96.857142857142861</v>
      </c>
      <c r="P15" s="15">
        <f t="shared" si="1"/>
        <v>209.14285714285717</v>
      </c>
      <c r="R15" s="1" t="s">
        <v>11</v>
      </c>
      <c r="S15" s="17">
        <f t="shared" ref="S15:AF15" si="7">SUM(C30:C33)</f>
        <v>139.28571428571428</v>
      </c>
      <c r="T15" s="17">
        <f t="shared" si="7"/>
        <v>14.571428571428571</v>
      </c>
      <c r="U15" s="17">
        <f t="shared" si="7"/>
        <v>13.142857142857144</v>
      </c>
      <c r="V15" s="17">
        <f t="shared" si="7"/>
        <v>25.000000000000004</v>
      </c>
      <c r="W15" s="17">
        <f t="shared" si="7"/>
        <v>0.71428571428571419</v>
      </c>
      <c r="X15" s="17">
        <f t="shared" si="7"/>
        <v>0.5714285714285714</v>
      </c>
      <c r="Y15" s="17">
        <f t="shared" si="7"/>
        <v>10.571428571428571</v>
      </c>
      <c r="Z15" s="17">
        <f t="shared" si="7"/>
        <v>4.8571428571428577</v>
      </c>
      <c r="AA15" s="17">
        <f t="shared" si="7"/>
        <v>0.2857142857142857</v>
      </c>
      <c r="AB15" s="17">
        <f t="shared" si="7"/>
        <v>0.42857142857142855</v>
      </c>
      <c r="AC15" s="17">
        <f t="shared" si="7"/>
        <v>341.42857142857144</v>
      </c>
      <c r="AD15" s="17">
        <f t="shared" si="7"/>
        <v>0</v>
      </c>
      <c r="AE15" s="31">
        <f t="shared" si="7"/>
        <v>209.42857142857142</v>
      </c>
      <c r="AF15" s="31">
        <f t="shared" si="7"/>
        <v>550.85714285714289</v>
      </c>
    </row>
    <row r="16" spans="2:32" ht="23.1" customHeight="1" x14ac:dyDescent="0.25">
      <c r="B16" s="23" t="s">
        <v>43</v>
      </c>
      <c r="C16" s="49">
        <f>AVERAGE('22.07 Nyanama-Ndeeba'!C16,'23.07 Nyanama-Ndeeba'!C16,'24.07 Nyanama-Ndeeba'!C16,'25.07 Nyanama-Ndeeba'!C16,'26.07 Nyanama-Ndeeba-24h'!C16,'27.07 Nyanama-Ndeeba-24h'!C16,'28.07 Nyanama-Ndeeba'!C16)</f>
        <v>51.428571428571431</v>
      </c>
      <c r="D16" s="49">
        <f>AVERAGE('22.07 Nyanama-Ndeeba'!D16,'23.07 Nyanama-Ndeeba'!D16,'24.07 Nyanama-Ndeeba'!D16,'25.07 Nyanama-Ndeeba'!D16,'26.07 Nyanama-Ndeeba-24h'!D16,'27.07 Nyanama-Ndeeba-24h'!D16,'28.07 Nyanama-Ndeeba'!D16)</f>
        <v>5.7142857142857144</v>
      </c>
      <c r="E16" s="49">
        <f>AVERAGE('22.07 Nyanama-Ndeeba'!E16,'23.07 Nyanama-Ndeeba'!E16,'24.07 Nyanama-Ndeeba'!E16,'25.07 Nyanama-Ndeeba'!E16,'26.07 Nyanama-Ndeeba-24h'!E16,'27.07 Nyanama-Ndeeba-24h'!E16,'28.07 Nyanama-Ndeeba'!E16)</f>
        <v>4</v>
      </c>
      <c r="F16" s="49">
        <f>AVERAGE('22.07 Nyanama-Ndeeba'!F16,'23.07 Nyanama-Ndeeba'!F16,'24.07 Nyanama-Ndeeba'!F16,'25.07 Nyanama-Ndeeba'!F16,'26.07 Nyanama-Ndeeba-24h'!F16,'27.07 Nyanama-Ndeeba-24h'!F16,'28.07 Nyanama-Ndeeba'!F16)</f>
        <v>19.285714285714285</v>
      </c>
      <c r="G16" s="49">
        <f>AVERAGE('22.07 Nyanama-Ndeeba'!G16,'23.07 Nyanama-Ndeeba'!G16,'24.07 Nyanama-Ndeeba'!G16,'25.07 Nyanama-Ndeeba'!G16,'26.07 Nyanama-Ndeeba-24h'!G16,'27.07 Nyanama-Ndeeba-24h'!G16,'28.07 Nyanama-Ndeeba'!G16)</f>
        <v>0.8571428571428571</v>
      </c>
      <c r="H16" s="49">
        <f>AVERAGE('22.07 Nyanama-Ndeeba'!H16,'23.07 Nyanama-Ndeeba'!H16,'24.07 Nyanama-Ndeeba'!H16,'25.07 Nyanama-Ndeeba'!H16,'26.07 Nyanama-Ndeeba-24h'!H16,'27.07 Nyanama-Ndeeba-24h'!H16,'28.07 Nyanama-Ndeeba'!H16)</f>
        <v>0</v>
      </c>
      <c r="I16" s="49">
        <f>AVERAGE('22.07 Nyanama-Ndeeba'!I16,'23.07 Nyanama-Ndeeba'!I16,'24.07 Nyanama-Ndeeba'!I16,'25.07 Nyanama-Ndeeba'!I16,'26.07 Nyanama-Ndeeba-24h'!I16,'27.07 Nyanama-Ndeeba-24h'!I16,'28.07 Nyanama-Ndeeba'!I16)</f>
        <v>2</v>
      </c>
      <c r="J16" s="49">
        <f>AVERAGE('22.07 Nyanama-Ndeeba'!J16,'23.07 Nyanama-Ndeeba'!J16,'24.07 Nyanama-Ndeeba'!J16,'25.07 Nyanama-Ndeeba'!J16,'26.07 Nyanama-Ndeeba-24h'!J16,'27.07 Nyanama-Ndeeba-24h'!J16,'28.07 Nyanama-Ndeeba'!J16)</f>
        <v>0.5714285714285714</v>
      </c>
      <c r="K16" s="49">
        <f>AVERAGE('22.07 Nyanama-Ndeeba'!K16,'23.07 Nyanama-Ndeeba'!K16,'24.07 Nyanama-Ndeeba'!K16,'25.07 Nyanama-Ndeeba'!K16,'26.07 Nyanama-Ndeeba-24h'!K16,'27.07 Nyanama-Ndeeba-24h'!K16,'28.07 Nyanama-Ndeeba'!K16)</f>
        <v>0</v>
      </c>
      <c r="L16" s="49">
        <f>AVERAGE('22.07 Nyanama-Ndeeba'!L16,'23.07 Nyanama-Ndeeba'!L16,'24.07 Nyanama-Ndeeba'!L16,'25.07 Nyanama-Ndeeba'!L16,'26.07 Nyanama-Ndeeba-24h'!L16,'27.07 Nyanama-Ndeeba-24h'!L16,'28.07 Nyanama-Ndeeba'!L16)</f>
        <v>0</v>
      </c>
      <c r="M16" s="49">
        <f>AVERAGE('22.07 Nyanama-Ndeeba'!M16,'23.07 Nyanama-Ndeeba'!M16,'24.07 Nyanama-Ndeeba'!M16,'25.07 Nyanama-Ndeeba'!M16,'26.07 Nyanama-Ndeeba-24h'!M16,'27.07 Nyanama-Ndeeba-24h'!M16,'28.07 Nyanama-Ndeeba'!M16)</f>
        <v>114.14285714285714</v>
      </c>
      <c r="N16" s="49">
        <f>AVERAGE('22.07 Nyanama-Ndeeba'!N16,'23.07 Nyanama-Ndeeba'!N16,'24.07 Nyanama-Ndeeba'!N16,'25.07 Nyanama-Ndeeba'!N16,'26.07 Nyanama-Ndeeba-24h'!N16,'27.07 Nyanama-Ndeeba-24h'!N16,'28.07 Nyanama-Ndeeba'!N16)</f>
        <v>0</v>
      </c>
      <c r="O16" s="15">
        <f t="shared" si="0"/>
        <v>83.857142857142861</v>
      </c>
      <c r="P16" s="15">
        <f t="shared" si="1"/>
        <v>198</v>
      </c>
      <c r="R16" s="1" t="s">
        <v>12</v>
      </c>
      <c r="S16" s="17">
        <f t="shared" ref="S16:AF16" si="8">SUM(C34:C37)</f>
        <v>116.14285714285714</v>
      </c>
      <c r="T16" s="17">
        <f t="shared" si="8"/>
        <v>15.285714285714285</v>
      </c>
      <c r="U16" s="17">
        <f t="shared" si="8"/>
        <v>14.142857142857142</v>
      </c>
      <c r="V16" s="17">
        <f t="shared" si="8"/>
        <v>25.428571428571427</v>
      </c>
      <c r="W16" s="17">
        <f t="shared" si="8"/>
        <v>0.2857142857142857</v>
      </c>
      <c r="X16" s="17">
        <f t="shared" si="8"/>
        <v>0</v>
      </c>
      <c r="Y16" s="17">
        <f t="shared" si="8"/>
        <v>9.8571428571428577</v>
      </c>
      <c r="Z16" s="17">
        <f t="shared" si="8"/>
        <v>4.5714285714285721</v>
      </c>
      <c r="AA16" s="17">
        <f t="shared" si="8"/>
        <v>1.2857142857142856</v>
      </c>
      <c r="AB16" s="17">
        <f t="shared" si="8"/>
        <v>0</v>
      </c>
      <c r="AC16" s="17">
        <f t="shared" si="8"/>
        <v>286.28571428571433</v>
      </c>
      <c r="AD16" s="17">
        <f t="shared" si="8"/>
        <v>0</v>
      </c>
      <c r="AE16" s="31">
        <f t="shared" si="8"/>
        <v>187</v>
      </c>
      <c r="AF16" s="31">
        <f t="shared" si="8"/>
        <v>473.28571428571433</v>
      </c>
    </row>
    <row r="17" spans="2:32" ht="23.1" customHeight="1" x14ac:dyDescent="0.25">
      <c r="B17" s="23" t="s">
        <v>44</v>
      </c>
      <c r="C17" s="49">
        <f>AVERAGE('22.07 Nyanama-Ndeeba'!C17,'23.07 Nyanama-Ndeeba'!C17,'24.07 Nyanama-Ndeeba'!C17,'25.07 Nyanama-Ndeeba'!C17,'26.07 Nyanama-Ndeeba-24h'!C17,'27.07 Nyanama-Ndeeba-24h'!C17,'28.07 Nyanama-Ndeeba'!C17)</f>
        <v>56</v>
      </c>
      <c r="D17" s="49">
        <f>AVERAGE('22.07 Nyanama-Ndeeba'!D17,'23.07 Nyanama-Ndeeba'!D17,'24.07 Nyanama-Ndeeba'!D17,'25.07 Nyanama-Ndeeba'!D17,'26.07 Nyanama-Ndeeba-24h'!D17,'27.07 Nyanama-Ndeeba-24h'!D17,'28.07 Nyanama-Ndeeba'!D17)</f>
        <v>5.5714285714285712</v>
      </c>
      <c r="E17" s="49">
        <f>AVERAGE('22.07 Nyanama-Ndeeba'!E17,'23.07 Nyanama-Ndeeba'!E17,'24.07 Nyanama-Ndeeba'!E17,'25.07 Nyanama-Ndeeba'!E17,'26.07 Nyanama-Ndeeba-24h'!E17,'27.07 Nyanama-Ndeeba-24h'!E17,'28.07 Nyanama-Ndeeba'!E17)</f>
        <v>4.5714285714285712</v>
      </c>
      <c r="F17" s="49">
        <f>AVERAGE('22.07 Nyanama-Ndeeba'!F17,'23.07 Nyanama-Ndeeba'!F17,'24.07 Nyanama-Ndeeba'!F17,'25.07 Nyanama-Ndeeba'!F17,'26.07 Nyanama-Ndeeba-24h'!F17,'27.07 Nyanama-Ndeeba-24h'!F17,'28.07 Nyanama-Ndeeba'!F17)</f>
        <v>14.714285714285714</v>
      </c>
      <c r="G17" s="49">
        <f>AVERAGE('22.07 Nyanama-Ndeeba'!G17,'23.07 Nyanama-Ndeeba'!G17,'24.07 Nyanama-Ndeeba'!G17,'25.07 Nyanama-Ndeeba'!G17,'26.07 Nyanama-Ndeeba-24h'!G17,'27.07 Nyanama-Ndeeba-24h'!G17,'28.07 Nyanama-Ndeeba'!G17)</f>
        <v>0</v>
      </c>
      <c r="H17" s="49">
        <f>AVERAGE('22.07 Nyanama-Ndeeba'!H17,'23.07 Nyanama-Ndeeba'!H17,'24.07 Nyanama-Ndeeba'!H17,'25.07 Nyanama-Ndeeba'!H17,'26.07 Nyanama-Ndeeba-24h'!H17,'27.07 Nyanama-Ndeeba-24h'!H17,'28.07 Nyanama-Ndeeba'!H17)</f>
        <v>0</v>
      </c>
      <c r="I17" s="49">
        <f>AVERAGE('22.07 Nyanama-Ndeeba'!I17,'23.07 Nyanama-Ndeeba'!I17,'24.07 Nyanama-Ndeeba'!I17,'25.07 Nyanama-Ndeeba'!I17,'26.07 Nyanama-Ndeeba-24h'!I17,'27.07 Nyanama-Ndeeba-24h'!I17,'28.07 Nyanama-Ndeeba'!I17)</f>
        <v>2.1428571428571428</v>
      </c>
      <c r="J17" s="49">
        <f>AVERAGE('22.07 Nyanama-Ndeeba'!J17,'23.07 Nyanama-Ndeeba'!J17,'24.07 Nyanama-Ndeeba'!J17,'25.07 Nyanama-Ndeeba'!J17,'26.07 Nyanama-Ndeeba-24h'!J17,'27.07 Nyanama-Ndeeba-24h'!J17,'28.07 Nyanama-Ndeeba'!J17)</f>
        <v>0.8571428571428571</v>
      </c>
      <c r="K17" s="49">
        <f>AVERAGE('22.07 Nyanama-Ndeeba'!K17,'23.07 Nyanama-Ndeeba'!K17,'24.07 Nyanama-Ndeeba'!K17,'25.07 Nyanama-Ndeeba'!K17,'26.07 Nyanama-Ndeeba-24h'!K17,'27.07 Nyanama-Ndeeba-24h'!K17,'28.07 Nyanama-Ndeeba'!K17)</f>
        <v>0.42857142857142855</v>
      </c>
      <c r="L17" s="49">
        <f>AVERAGE('22.07 Nyanama-Ndeeba'!L17,'23.07 Nyanama-Ndeeba'!L17,'24.07 Nyanama-Ndeeba'!L17,'25.07 Nyanama-Ndeeba'!L17,'26.07 Nyanama-Ndeeba-24h'!L17,'27.07 Nyanama-Ndeeba-24h'!L17,'28.07 Nyanama-Ndeeba'!L17)</f>
        <v>0.14285714285714285</v>
      </c>
      <c r="M17" s="49">
        <f>AVERAGE('22.07 Nyanama-Ndeeba'!M17,'23.07 Nyanama-Ndeeba'!M17,'24.07 Nyanama-Ndeeba'!M17,'25.07 Nyanama-Ndeeba'!M17,'26.07 Nyanama-Ndeeba-24h'!M17,'27.07 Nyanama-Ndeeba-24h'!M17,'28.07 Nyanama-Ndeeba'!M17)</f>
        <v>110.28571428571429</v>
      </c>
      <c r="N17" s="49">
        <f>AVERAGE('22.07 Nyanama-Ndeeba'!N17,'23.07 Nyanama-Ndeeba'!N17,'24.07 Nyanama-Ndeeba'!N17,'25.07 Nyanama-Ndeeba'!N17,'26.07 Nyanama-Ndeeba-24h'!N17,'27.07 Nyanama-Ndeeba-24h'!N17,'28.07 Nyanama-Ndeeba'!N17)</f>
        <v>0</v>
      </c>
      <c r="O17" s="15">
        <f t="shared" si="0"/>
        <v>84.428571428571416</v>
      </c>
      <c r="P17" s="15">
        <f t="shared" si="1"/>
        <v>194.71428571428572</v>
      </c>
      <c r="R17" s="1" t="s">
        <v>13</v>
      </c>
      <c r="S17" s="17">
        <f t="shared" ref="S17:AF17" si="9">SUM(C38:C41)</f>
        <v>117.14285714285714</v>
      </c>
      <c r="T17" s="17">
        <f t="shared" si="9"/>
        <v>16.428571428571427</v>
      </c>
      <c r="U17" s="17">
        <f t="shared" si="9"/>
        <v>14.142857142857142</v>
      </c>
      <c r="V17" s="17">
        <f t="shared" si="9"/>
        <v>25.714285714285715</v>
      </c>
      <c r="W17" s="17">
        <f t="shared" si="9"/>
        <v>1.2857142857142856</v>
      </c>
      <c r="X17" s="17">
        <f t="shared" si="9"/>
        <v>0</v>
      </c>
      <c r="Y17" s="17">
        <f t="shared" si="9"/>
        <v>8.7142857142857135</v>
      </c>
      <c r="Z17" s="17">
        <f t="shared" si="9"/>
        <v>4.2857142857142847</v>
      </c>
      <c r="AA17" s="17">
        <f t="shared" si="9"/>
        <v>0.71428571428571419</v>
      </c>
      <c r="AB17" s="17">
        <f t="shared" si="9"/>
        <v>0.42857142857142855</v>
      </c>
      <c r="AC17" s="17">
        <f t="shared" si="9"/>
        <v>274.28571428571428</v>
      </c>
      <c r="AD17" s="17">
        <f t="shared" si="9"/>
        <v>0.14285714285714285</v>
      </c>
      <c r="AE17" s="31">
        <f t="shared" si="9"/>
        <v>189</v>
      </c>
      <c r="AF17" s="31">
        <f t="shared" si="9"/>
        <v>463.28571428571433</v>
      </c>
    </row>
    <row r="18" spans="2:32" ht="23.1" customHeight="1" x14ac:dyDescent="0.25">
      <c r="B18" s="23" t="s">
        <v>45</v>
      </c>
      <c r="C18" s="49">
        <f>AVERAGE('22.07 Nyanama-Ndeeba'!C18,'23.07 Nyanama-Ndeeba'!C18,'24.07 Nyanama-Ndeeba'!C18,'25.07 Nyanama-Ndeeba'!C18,'26.07 Nyanama-Ndeeba-24h'!C18,'27.07 Nyanama-Ndeeba-24h'!C18,'28.07 Nyanama-Ndeeba'!C18)</f>
        <v>49.285714285714285</v>
      </c>
      <c r="D18" s="49">
        <f>AVERAGE('22.07 Nyanama-Ndeeba'!D18,'23.07 Nyanama-Ndeeba'!D18,'24.07 Nyanama-Ndeeba'!D18,'25.07 Nyanama-Ndeeba'!D18,'26.07 Nyanama-Ndeeba-24h'!D18,'27.07 Nyanama-Ndeeba-24h'!D18,'28.07 Nyanama-Ndeeba'!D18)</f>
        <v>6.1428571428571432</v>
      </c>
      <c r="E18" s="49">
        <f>AVERAGE('22.07 Nyanama-Ndeeba'!E18,'23.07 Nyanama-Ndeeba'!E18,'24.07 Nyanama-Ndeeba'!E18,'25.07 Nyanama-Ndeeba'!E18,'26.07 Nyanama-Ndeeba-24h'!E18,'27.07 Nyanama-Ndeeba-24h'!E18,'28.07 Nyanama-Ndeeba'!E18)</f>
        <v>4.5714285714285712</v>
      </c>
      <c r="F18" s="49">
        <f>AVERAGE('22.07 Nyanama-Ndeeba'!F18,'23.07 Nyanama-Ndeeba'!F18,'24.07 Nyanama-Ndeeba'!F18,'25.07 Nyanama-Ndeeba'!F18,'26.07 Nyanama-Ndeeba-24h'!F18,'27.07 Nyanama-Ndeeba-24h'!F18,'28.07 Nyanama-Ndeeba'!F18)</f>
        <v>13.285714285714286</v>
      </c>
      <c r="G18" s="49">
        <f>AVERAGE('22.07 Nyanama-Ndeeba'!G18,'23.07 Nyanama-Ndeeba'!G18,'24.07 Nyanama-Ndeeba'!G18,'25.07 Nyanama-Ndeeba'!G18,'26.07 Nyanama-Ndeeba-24h'!G18,'27.07 Nyanama-Ndeeba-24h'!G18,'28.07 Nyanama-Ndeeba'!G18)</f>
        <v>0.7142857142857143</v>
      </c>
      <c r="H18" s="49">
        <f>AVERAGE('22.07 Nyanama-Ndeeba'!H18,'23.07 Nyanama-Ndeeba'!H18,'24.07 Nyanama-Ndeeba'!H18,'25.07 Nyanama-Ndeeba'!H18,'26.07 Nyanama-Ndeeba-24h'!H18,'27.07 Nyanama-Ndeeba-24h'!H18,'28.07 Nyanama-Ndeeba'!H18)</f>
        <v>0.14285714285714285</v>
      </c>
      <c r="I18" s="49">
        <f>AVERAGE('22.07 Nyanama-Ndeeba'!I18,'23.07 Nyanama-Ndeeba'!I18,'24.07 Nyanama-Ndeeba'!I18,'25.07 Nyanama-Ndeeba'!I18,'26.07 Nyanama-Ndeeba-24h'!I18,'27.07 Nyanama-Ndeeba-24h'!I18,'28.07 Nyanama-Ndeeba'!I18)</f>
        <v>3</v>
      </c>
      <c r="J18" s="49">
        <f>AVERAGE('22.07 Nyanama-Ndeeba'!J18,'23.07 Nyanama-Ndeeba'!J18,'24.07 Nyanama-Ndeeba'!J18,'25.07 Nyanama-Ndeeba'!J18,'26.07 Nyanama-Ndeeba-24h'!J18,'27.07 Nyanama-Ndeeba-24h'!J18,'28.07 Nyanama-Ndeeba'!J18)</f>
        <v>1.1428571428571428</v>
      </c>
      <c r="K18" s="49">
        <f>AVERAGE('22.07 Nyanama-Ndeeba'!K18,'23.07 Nyanama-Ndeeba'!K18,'24.07 Nyanama-Ndeeba'!K18,'25.07 Nyanama-Ndeeba'!K18,'26.07 Nyanama-Ndeeba-24h'!K18,'27.07 Nyanama-Ndeeba-24h'!K18,'28.07 Nyanama-Ndeeba'!K18)</f>
        <v>0</v>
      </c>
      <c r="L18" s="49">
        <f>AVERAGE('22.07 Nyanama-Ndeeba'!L18,'23.07 Nyanama-Ndeeba'!L18,'24.07 Nyanama-Ndeeba'!L18,'25.07 Nyanama-Ndeeba'!L18,'26.07 Nyanama-Ndeeba-24h'!L18,'27.07 Nyanama-Ndeeba-24h'!L18,'28.07 Nyanama-Ndeeba'!L18)</f>
        <v>0.14285714285714285</v>
      </c>
      <c r="M18" s="49">
        <f>AVERAGE('22.07 Nyanama-Ndeeba'!M18,'23.07 Nyanama-Ndeeba'!M18,'24.07 Nyanama-Ndeeba'!M18,'25.07 Nyanama-Ndeeba'!M18,'26.07 Nyanama-Ndeeba-24h'!M18,'27.07 Nyanama-Ndeeba-24h'!M18,'28.07 Nyanama-Ndeeba'!M18)</f>
        <v>112</v>
      </c>
      <c r="N18" s="49">
        <f>AVERAGE('22.07 Nyanama-Ndeeba'!N18,'23.07 Nyanama-Ndeeba'!N18,'24.07 Nyanama-Ndeeba'!N18,'25.07 Nyanama-Ndeeba'!N18,'26.07 Nyanama-Ndeeba-24h'!N18,'27.07 Nyanama-Ndeeba-24h'!N18,'28.07 Nyanama-Ndeeba'!N18)</f>
        <v>0</v>
      </c>
      <c r="O18" s="15">
        <f t="shared" si="0"/>
        <v>78.428571428571416</v>
      </c>
      <c r="P18" s="15">
        <f t="shared" si="1"/>
        <v>190.42857142857142</v>
      </c>
      <c r="R18" s="1" t="s">
        <v>14</v>
      </c>
      <c r="S18" s="17">
        <f t="shared" ref="S18:AF18" si="10">SUM(C42:C45)</f>
        <v>113.28571428571429</v>
      </c>
      <c r="T18" s="17">
        <f t="shared" si="10"/>
        <v>14</v>
      </c>
      <c r="U18" s="17">
        <f t="shared" si="10"/>
        <v>12.857142857142856</v>
      </c>
      <c r="V18" s="17">
        <f t="shared" si="10"/>
        <v>20.285714285714288</v>
      </c>
      <c r="W18" s="17">
        <f t="shared" si="10"/>
        <v>0</v>
      </c>
      <c r="X18" s="17">
        <f t="shared" si="10"/>
        <v>0</v>
      </c>
      <c r="Y18" s="17">
        <f t="shared" si="10"/>
        <v>8</v>
      </c>
      <c r="Z18" s="17">
        <f t="shared" si="10"/>
        <v>4.7142857142857144</v>
      </c>
      <c r="AA18" s="17">
        <f t="shared" si="10"/>
        <v>0.42857142857142855</v>
      </c>
      <c r="AB18" s="17">
        <f t="shared" si="10"/>
        <v>0.5714285714285714</v>
      </c>
      <c r="AC18" s="17">
        <f t="shared" si="10"/>
        <v>271.14285714285717</v>
      </c>
      <c r="AD18" s="17">
        <f t="shared" si="10"/>
        <v>0.14285714285714285</v>
      </c>
      <c r="AE18" s="31">
        <f t="shared" si="10"/>
        <v>174.28571428571428</v>
      </c>
      <c r="AF18" s="31">
        <f t="shared" si="10"/>
        <v>445.42857142857144</v>
      </c>
    </row>
    <row r="19" spans="2:32" ht="23.1" customHeight="1" x14ac:dyDescent="0.25">
      <c r="B19" s="23" t="s">
        <v>46</v>
      </c>
      <c r="C19" s="49">
        <f>AVERAGE('22.07 Nyanama-Ndeeba'!C19,'23.07 Nyanama-Ndeeba'!C19,'24.07 Nyanama-Ndeeba'!C19,'25.07 Nyanama-Ndeeba'!C19,'26.07 Nyanama-Ndeeba-24h'!C19,'27.07 Nyanama-Ndeeba-24h'!C19,'28.07 Nyanama-Ndeeba'!C19)</f>
        <v>53</v>
      </c>
      <c r="D19" s="49">
        <f>AVERAGE('22.07 Nyanama-Ndeeba'!D19,'23.07 Nyanama-Ndeeba'!D19,'24.07 Nyanama-Ndeeba'!D19,'25.07 Nyanama-Ndeeba'!D19,'26.07 Nyanama-Ndeeba-24h'!D19,'27.07 Nyanama-Ndeeba-24h'!D19,'28.07 Nyanama-Ndeeba'!D19)</f>
        <v>9</v>
      </c>
      <c r="E19" s="49">
        <f>AVERAGE('22.07 Nyanama-Ndeeba'!E19,'23.07 Nyanama-Ndeeba'!E19,'24.07 Nyanama-Ndeeba'!E19,'25.07 Nyanama-Ndeeba'!E19,'26.07 Nyanama-Ndeeba-24h'!E19,'27.07 Nyanama-Ndeeba-24h'!E19,'28.07 Nyanama-Ndeeba'!E19)</f>
        <v>5.2857142857142856</v>
      </c>
      <c r="F19" s="49">
        <f>AVERAGE('22.07 Nyanama-Ndeeba'!F19,'23.07 Nyanama-Ndeeba'!F19,'24.07 Nyanama-Ndeeba'!F19,'25.07 Nyanama-Ndeeba'!F19,'26.07 Nyanama-Ndeeba-24h'!F19,'27.07 Nyanama-Ndeeba-24h'!F19,'28.07 Nyanama-Ndeeba'!F19)</f>
        <v>13.857142857142858</v>
      </c>
      <c r="G19" s="49">
        <f>AVERAGE('22.07 Nyanama-Ndeeba'!G19,'23.07 Nyanama-Ndeeba'!G19,'24.07 Nyanama-Ndeeba'!G19,'25.07 Nyanama-Ndeeba'!G19,'26.07 Nyanama-Ndeeba-24h'!G19,'27.07 Nyanama-Ndeeba-24h'!G19,'28.07 Nyanama-Ndeeba'!G19)</f>
        <v>0.2857142857142857</v>
      </c>
      <c r="H19" s="49">
        <f>AVERAGE('22.07 Nyanama-Ndeeba'!H19,'23.07 Nyanama-Ndeeba'!H19,'24.07 Nyanama-Ndeeba'!H19,'25.07 Nyanama-Ndeeba'!H19,'26.07 Nyanama-Ndeeba-24h'!H19,'27.07 Nyanama-Ndeeba-24h'!H19,'28.07 Nyanama-Ndeeba'!H19)</f>
        <v>0</v>
      </c>
      <c r="I19" s="49">
        <f>AVERAGE('22.07 Nyanama-Ndeeba'!I19,'23.07 Nyanama-Ndeeba'!I19,'24.07 Nyanama-Ndeeba'!I19,'25.07 Nyanama-Ndeeba'!I19,'26.07 Nyanama-Ndeeba-24h'!I19,'27.07 Nyanama-Ndeeba-24h'!I19,'28.07 Nyanama-Ndeeba'!I19)</f>
        <v>3.4285714285714284</v>
      </c>
      <c r="J19" s="49">
        <f>AVERAGE('22.07 Nyanama-Ndeeba'!J19,'23.07 Nyanama-Ndeeba'!J19,'24.07 Nyanama-Ndeeba'!J19,'25.07 Nyanama-Ndeeba'!J19,'26.07 Nyanama-Ndeeba-24h'!J19,'27.07 Nyanama-Ndeeba-24h'!J19,'28.07 Nyanama-Ndeeba'!J19)</f>
        <v>1</v>
      </c>
      <c r="K19" s="49">
        <f>AVERAGE('22.07 Nyanama-Ndeeba'!K19,'23.07 Nyanama-Ndeeba'!K19,'24.07 Nyanama-Ndeeba'!K19,'25.07 Nyanama-Ndeeba'!K19,'26.07 Nyanama-Ndeeba-24h'!K19,'27.07 Nyanama-Ndeeba-24h'!K19,'28.07 Nyanama-Ndeeba'!K19)</f>
        <v>0</v>
      </c>
      <c r="L19" s="49">
        <f>AVERAGE('22.07 Nyanama-Ndeeba'!L19,'23.07 Nyanama-Ndeeba'!L19,'24.07 Nyanama-Ndeeba'!L19,'25.07 Nyanama-Ndeeba'!L19,'26.07 Nyanama-Ndeeba-24h'!L19,'27.07 Nyanama-Ndeeba-24h'!L19,'28.07 Nyanama-Ndeeba'!L19)</f>
        <v>0</v>
      </c>
      <c r="M19" s="49">
        <f>AVERAGE('22.07 Nyanama-Ndeeba'!M19,'23.07 Nyanama-Ndeeba'!M19,'24.07 Nyanama-Ndeeba'!M19,'25.07 Nyanama-Ndeeba'!M19,'26.07 Nyanama-Ndeeba-24h'!M19,'27.07 Nyanama-Ndeeba-24h'!M19,'28.07 Nyanama-Ndeeba'!M19)</f>
        <v>106.71428571428571</v>
      </c>
      <c r="N19" s="49">
        <f>AVERAGE('22.07 Nyanama-Ndeeba'!N19,'23.07 Nyanama-Ndeeba'!N19,'24.07 Nyanama-Ndeeba'!N19,'25.07 Nyanama-Ndeeba'!N19,'26.07 Nyanama-Ndeeba-24h'!N19,'27.07 Nyanama-Ndeeba-24h'!N19,'28.07 Nyanama-Ndeeba'!N19)</f>
        <v>0</v>
      </c>
      <c r="O19" s="15">
        <f t="shared" si="0"/>
        <v>85.857142857142875</v>
      </c>
      <c r="P19" s="15">
        <f t="shared" si="1"/>
        <v>192.57142857142858</v>
      </c>
      <c r="R19" s="1" t="s">
        <v>15</v>
      </c>
      <c r="S19" s="17">
        <f t="shared" ref="S19:AF19" si="11">SUM(C46:C49)</f>
        <v>123.28571428571429</v>
      </c>
      <c r="T19" s="17">
        <f t="shared" si="11"/>
        <v>16.571428571428573</v>
      </c>
      <c r="U19" s="17">
        <f t="shared" si="11"/>
        <v>13.142857142857141</v>
      </c>
      <c r="V19" s="17">
        <f t="shared" si="11"/>
        <v>25</v>
      </c>
      <c r="W19" s="17">
        <f t="shared" si="11"/>
        <v>0.5714285714285714</v>
      </c>
      <c r="X19" s="17">
        <f t="shared" si="11"/>
        <v>0</v>
      </c>
      <c r="Y19" s="17">
        <f t="shared" si="11"/>
        <v>9</v>
      </c>
      <c r="Z19" s="17">
        <f t="shared" si="11"/>
        <v>2.2857142857142856</v>
      </c>
      <c r="AA19" s="17">
        <f t="shared" si="11"/>
        <v>0.8571428571428571</v>
      </c>
      <c r="AB19" s="17">
        <f t="shared" si="11"/>
        <v>0</v>
      </c>
      <c r="AC19" s="17">
        <f t="shared" si="11"/>
        <v>284.42857142857144</v>
      </c>
      <c r="AD19" s="17">
        <f t="shared" si="11"/>
        <v>0.2857142857142857</v>
      </c>
      <c r="AE19" s="31">
        <f t="shared" si="11"/>
        <v>191</v>
      </c>
      <c r="AF19" s="31">
        <f t="shared" si="11"/>
        <v>475.42857142857144</v>
      </c>
    </row>
    <row r="20" spans="2:32" ht="23.1" customHeight="1" x14ac:dyDescent="0.25">
      <c r="B20" s="23" t="s">
        <v>47</v>
      </c>
      <c r="C20" s="49">
        <f>AVERAGE('22.07 Nyanama-Ndeeba'!C20,'23.07 Nyanama-Ndeeba'!C20,'24.07 Nyanama-Ndeeba'!C20,'25.07 Nyanama-Ndeeba'!C20,'26.07 Nyanama-Ndeeba-24h'!C20,'27.07 Nyanama-Ndeeba-24h'!C20,'28.07 Nyanama-Ndeeba'!C20)</f>
        <v>57.142857142857146</v>
      </c>
      <c r="D20" s="49">
        <f>AVERAGE('22.07 Nyanama-Ndeeba'!D20,'23.07 Nyanama-Ndeeba'!D20,'24.07 Nyanama-Ndeeba'!D20,'25.07 Nyanama-Ndeeba'!D20,'26.07 Nyanama-Ndeeba-24h'!D20,'27.07 Nyanama-Ndeeba-24h'!D20,'28.07 Nyanama-Ndeeba'!D20)</f>
        <v>5.7142857142857144</v>
      </c>
      <c r="E20" s="49">
        <f>AVERAGE('22.07 Nyanama-Ndeeba'!E20,'23.07 Nyanama-Ndeeba'!E20,'24.07 Nyanama-Ndeeba'!E20,'25.07 Nyanama-Ndeeba'!E20,'26.07 Nyanama-Ndeeba-24h'!E20,'27.07 Nyanama-Ndeeba-24h'!E20,'28.07 Nyanama-Ndeeba'!E20)</f>
        <v>5.1428571428571432</v>
      </c>
      <c r="F20" s="49">
        <f>AVERAGE('22.07 Nyanama-Ndeeba'!F20,'23.07 Nyanama-Ndeeba'!F20,'24.07 Nyanama-Ndeeba'!F20,'25.07 Nyanama-Ndeeba'!F20,'26.07 Nyanama-Ndeeba-24h'!F20,'27.07 Nyanama-Ndeeba-24h'!F20,'28.07 Nyanama-Ndeeba'!F20)</f>
        <v>13.857142857142858</v>
      </c>
      <c r="G20" s="49">
        <f>AVERAGE('22.07 Nyanama-Ndeeba'!G20,'23.07 Nyanama-Ndeeba'!G20,'24.07 Nyanama-Ndeeba'!G20,'25.07 Nyanama-Ndeeba'!G20,'26.07 Nyanama-Ndeeba-24h'!G20,'27.07 Nyanama-Ndeeba-24h'!G20,'28.07 Nyanama-Ndeeba'!G20)</f>
        <v>0</v>
      </c>
      <c r="H20" s="49">
        <f>AVERAGE('22.07 Nyanama-Ndeeba'!H20,'23.07 Nyanama-Ndeeba'!H20,'24.07 Nyanama-Ndeeba'!H20,'25.07 Nyanama-Ndeeba'!H20,'26.07 Nyanama-Ndeeba-24h'!H20,'27.07 Nyanama-Ndeeba-24h'!H20,'28.07 Nyanama-Ndeeba'!H20)</f>
        <v>0</v>
      </c>
      <c r="I20" s="49">
        <f>AVERAGE('22.07 Nyanama-Ndeeba'!I20,'23.07 Nyanama-Ndeeba'!I20,'24.07 Nyanama-Ndeeba'!I20,'25.07 Nyanama-Ndeeba'!I20,'26.07 Nyanama-Ndeeba-24h'!I20,'27.07 Nyanama-Ndeeba-24h'!I20,'28.07 Nyanama-Ndeeba'!I20)</f>
        <v>3.2857142857142856</v>
      </c>
      <c r="J20" s="49">
        <f>AVERAGE('22.07 Nyanama-Ndeeba'!J20,'23.07 Nyanama-Ndeeba'!J20,'24.07 Nyanama-Ndeeba'!J20,'25.07 Nyanama-Ndeeba'!J20,'26.07 Nyanama-Ndeeba-24h'!J20,'27.07 Nyanama-Ndeeba-24h'!J20,'28.07 Nyanama-Ndeeba'!J20)</f>
        <v>1.5714285714285714</v>
      </c>
      <c r="K20" s="49">
        <f>AVERAGE('22.07 Nyanama-Ndeeba'!K20,'23.07 Nyanama-Ndeeba'!K20,'24.07 Nyanama-Ndeeba'!K20,'25.07 Nyanama-Ndeeba'!K20,'26.07 Nyanama-Ndeeba-24h'!K20,'27.07 Nyanama-Ndeeba-24h'!K20,'28.07 Nyanama-Ndeeba'!K20)</f>
        <v>0.42857142857142855</v>
      </c>
      <c r="L20" s="49">
        <f>AVERAGE('22.07 Nyanama-Ndeeba'!L20,'23.07 Nyanama-Ndeeba'!L20,'24.07 Nyanama-Ndeeba'!L20,'25.07 Nyanama-Ndeeba'!L20,'26.07 Nyanama-Ndeeba-24h'!L20,'27.07 Nyanama-Ndeeba-24h'!L20,'28.07 Nyanama-Ndeeba'!L20)</f>
        <v>0</v>
      </c>
      <c r="M20" s="49">
        <f>AVERAGE('22.07 Nyanama-Ndeeba'!M20,'23.07 Nyanama-Ndeeba'!M20,'24.07 Nyanama-Ndeeba'!M20,'25.07 Nyanama-Ndeeba'!M20,'26.07 Nyanama-Ndeeba-24h'!M20,'27.07 Nyanama-Ndeeba-24h'!M20,'28.07 Nyanama-Ndeeba'!M20)</f>
        <v>105.71428571428571</v>
      </c>
      <c r="N20" s="49">
        <f>AVERAGE('22.07 Nyanama-Ndeeba'!N20,'23.07 Nyanama-Ndeeba'!N20,'24.07 Nyanama-Ndeeba'!N20,'25.07 Nyanama-Ndeeba'!N20,'26.07 Nyanama-Ndeeba-24h'!N20,'27.07 Nyanama-Ndeeba-24h'!N20,'28.07 Nyanama-Ndeeba'!N20)</f>
        <v>0</v>
      </c>
      <c r="O20" s="15">
        <f t="shared" si="0"/>
        <v>87.142857142857153</v>
      </c>
      <c r="P20" s="15">
        <f t="shared" si="1"/>
        <v>192.85714285714286</v>
      </c>
      <c r="R20" s="1" t="s">
        <v>16</v>
      </c>
      <c r="S20" s="17">
        <f t="shared" ref="S20:AF20" si="12">SUM(C50:C53)</f>
        <v>125.71428571428572</v>
      </c>
      <c r="T20" s="17">
        <f t="shared" si="12"/>
        <v>17.142857142857142</v>
      </c>
      <c r="U20" s="17">
        <f t="shared" si="12"/>
        <v>101.00000000000001</v>
      </c>
      <c r="V20" s="17">
        <f t="shared" si="12"/>
        <v>28.857142857142858</v>
      </c>
      <c r="W20" s="17">
        <f t="shared" si="12"/>
        <v>1.5714285714285712</v>
      </c>
      <c r="X20" s="17">
        <f t="shared" si="12"/>
        <v>0.85714285714285698</v>
      </c>
      <c r="Y20" s="17">
        <f t="shared" si="12"/>
        <v>8.8571428571428577</v>
      </c>
      <c r="Z20" s="17">
        <f t="shared" si="12"/>
        <v>2.8571428571428572</v>
      </c>
      <c r="AA20" s="17">
        <f t="shared" si="12"/>
        <v>0.99999999999999989</v>
      </c>
      <c r="AB20" s="17">
        <f t="shared" si="12"/>
        <v>0</v>
      </c>
      <c r="AC20" s="17">
        <f t="shared" si="12"/>
        <v>338.28571428571428</v>
      </c>
      <c r="AD20" s="17">
        <f t="shared" si="12"/>
        <v>0</v>
      </c>
      <c r="AE20" s="31">
        <f t="shared" si="12"/>
        <v>287.85714285714283</v>
      </c>
      <c r="AF20" s="31">
        <f t="shared" si="12"/>
        <v>626.14285714285711</v>
      </c>
    </row>
    <row r="21" spans="2:32" ht="23.1" customHeight="1" x14ac:dyDescent="0.25">
      <c r="B21" s="23" t="s">
        <v>48</v>
      </c>
      <c r="C21" s="49">
        <f>AVERAGE('22.07 Nyanama-Ndeeba'!C21,'23.07 Nyanama-Ndeeba'!C21,'24.07 Nyanama-Ndeeba'!C21,'25.07 Nyanama-Ndeeba'!C21,'26.07 Nyanama-Ndeeba-24h'!C21,'27.07 Nyanama-Ndeeba-24h'!C21,'28.07 Nyanama-Ndeeba'!C21)</f>
        <v>47.857142857142854</v>
      </c>
      <c r="D21" s="49">
        <f>AVERAGE('22.07 Nyanama-Ndeeba'!D21,'23.07 Nyanama-Ndeeba'!D21,'24.07 Nyanama-Ndeeba'!D21,'25.07 Nyanama-Ndeeba'!D21,'26.07 Nyanama-Ndeeba-24h'!D21,'27.07 Nyanama-Ndeeba-24h'!D21,'28.07 Nyanama-Ndeeba'!D21)</f>
        <v>5.8571428571428568</v>
      </c>
      <c r="E21" s="49">
        <f>AVERAGE('22.07 Nyanama-Ndeeba'!E21,'23.07 Nyanama-Ndeeba'!E21,'24.07 Nyanama-Ndeeba'!E21,'25.07 Nyanama-Ndeeba'!E21,'26.07 Nyanama-Ndeeba-24h'!E21,'27.07 Nyanama-Ndeeba-24h'!E21,'28.07 Nyanama-Ndeeba'!E21)</f>
        <v>6</v>
      </c>
      <c r="F21" s="49">
        <f>AVERAGE('22.07 Nyanama-Ndeeba'!F21,'23.07 Nyanama-Ndeeba'!F21,'24.07 Nyanama-Ndeeba'!F21,'25.07 Nyanama-Ndeeba'!F21,'26.07 Nyanama-Ndeeba-24h'!F21,'27.07 Nyanama-Ndeeba-24h'!F21,'28.07 Nyanama-Ndeeba'!F21)</f>
        <v>13</v>
      </c>
      <c r="G21" s="49">
        <f>AVERAGE('22.07 Nyanama-Ndeeba'!G21,'23.07 Nyanama-Ndeeba'!G21,'24.07 Nyanama-Ndeeba'!G21,'25.07 Nyanama-Ndeeba'!G21,'26.07 Nyanama-Ndeeba-24h'!G21,'27.07 Nyanama-Ndeeba-24h'!G21,'28.07 Nyanama-Ndeeba'!G21)</f>
        <v>0.14285714285714285</v>
      </c>
      <c r="H21" s="49">
        <f>AVERAGE('22.07 Nyanama-Ndeeba'!H21,'23.07 Nyanama-Ndeeba'!H21,'24.07 Nyanama-Ndeeba'!H21,'25.07 Nyanama-Ndeeba'!H21,'26.07 Nyanama-Ndeeba-24h'!H21,'27.07 Nyanama-Ndeeba-24h'!H21,'28.07 Nyanama-Ndeeba'!H21)</f>
        <v>0</v>
      </c>
      <c r="I21" s="49">
        <f>AVERAGE('22.07 Nyanama-Ndeeba'!I21,'23.07 Nyanama-Ndeeba'!I21,'24.07 Nyanama-Ndeeba'!I21,'25.07 Nyanama-Ndeeba'!I21,'26.07 Nyanama-Ndeeba-24h'!I21,'27.07 Nyanama-Ndeeba-24h'!I21,'28.07 Nyanama-Ndeeba'!I21)</f>
        <v>3.1428571428571428</v>
      </c>
      <c r="J21" s="49">
        <f>AVERAGE('22.07 Nyanama-Ndeeba'!J21,'23.07 Nyanama-Ndeeba'!J21,'24.07 Nyanama-Ndeeba'!J21,'25.07 Nyanama-Ndeeba'!J21,'26.07 Nyanama-Ndeeba-24h'!J21,'27.07 Nyanama-Ndeeba-24h'!J21,'28.07 Nyanama-Ndeeba'!J21)</f>
        <v>1.7142857142857142</v>
      </c>
      <c r="K21" s="49">
        <f>AVERAGE('22.07 Nyanama-Ndeeba'!K21,'23.07 Nyanama-Ndeeba'!K21,'24.07 Nyanama-Ndeeba'!K21,'25.07 Nyanama-Ndeeba'!K21,'26.07 Nyanama-Ndeeba-24h'!K21,'27.07 Nyanama-Ndeeba-24h'!K21,'28.07 Nyanama-Ndeeba'!K21)</f>
        <v>0.14285714285714285</v>
      </c>
      <c r="L21" s="49">
        <f>AVERAGE('22.07 Nyanama-Ndeeba'!L21,'23.07 Nyanama-Ndeeba'!L21,'24.07 Nyanama-Ndeeba'!L21,'25.07 Nyanama-Ndeeba'!L21,'26.07 Nyanama-Ndeeba-24h'!L21,'27.07 Nyanama-Ndeeba-24h'!L21,'28.07 Nyanama-Ndeeba'!L21)</f>
        <v>0.14285714285714285</v>
      </c>
      <c r="M21" s="49">
        <f>AVERAGE('22.07 Nyanama-Ndeeba'!M21,'23.07 Nyanama-Ndeeba'!M21,'24.07 Nyanama-Ndeeba'!M21,'25.07 Nyanama-Ndeeba'!M21,'26.07 Nyanama-Ndeeba-24h'!M21,'27.07 Nyanama-Ndeeba-24h'!M21,'28.07 Nyanama-Ndeeba'!M21)</f>
        <v>104.42857142857143</v>
      </c>
      <c r="N21" s="49">
        <f>AVERAGE('22.07 Nyanama-Ndeeba'!N21,'23.07 Nyanama-Ndeeba'!N21,'24.07 Nyanama-Ndeeba'!N21,'25.07 Nyanama-Ndeeba'!N21,'26.07 Nyanama-Ndeeba-24h'!N21,'27.07 Nyanama-Ndeeba-24h'!N21,'28.07 Nyanama-Ndeeba'!N21)</f>
        <v>0</v>
      </c>
      <c r="O21" s="15">
        <f t="shared" si="0"/>
        <v>77.999999999999972</v>
      </c>
      <c r="P21" s="15">
        <f t="shared" si="1"/>
        <v>182.42857142857139</v>
      </c>
      <c r="R21" s="36" t="s">
        <v>20</v>
      </c>
      <c r="S21" s="34">
        <f t="shared" ref="S21:AF21" si="13">SUM(C54:C57)</f>
        <v>115.71428571428572</v>
      </c>
      <c r="T21" s="17">
        <f t="shared" si="13"/>
        <v>15.714285714285714</v>
      </c>
      <c r="U21" s="17">
        <f t="shared" si="13"/>
        <v>11.857142857142858</v>
      </c>
      <c r="V21" s="17">
        <f t="shared" si="13"/>
        <v>32.857142857142854</v>
      </c>
      <c r="W21" s="17">
        <f t="shared" si="13"/>
        <v>2.1428571428571428</v>
      </c>
      <c r="X21" s="17">
        <f t="shared" si="13"/>
        <v>0.99999999999999989</v>
      </c>
      <c r="Y21" s="17">
        <f t="shared" si="13"/>
        <v>7.2857142857142856</v>
      </c>
      <c r="Z21" s="17">
        <f t="shared" si="13"/>
        <v>3.1428571428571428</v>
      </c>
      <c r="AA21" s="17">
        <f t="shared" si="13"/>
        <v>2.2857142857142856</v>
      </c>
      <c r="AB21" s="17">
        <f t="shared" si="13"/>
        <v>0.8571428571428571</v>
      </c>
      <c r="AC21" s="17">
        <f t="shared" si="13"/>
        <v>376.14285714285711</v>
      </c>
      <c r="AD21" s="17">
        <f t="shared" si="13"/>
        <v>0.14285714285714285</v>
      </c>
      <c r="AE21" s="31">
        <f t="shared" si="13"/>
        <v>193</v>
      </c>
      <c r="AF21" s="31">
        <f t="shared" si="13"/>
        <v>569.14285714285711</v>
      </c>
    </row>
    <row r="22" spans="2:32" ht="23.1" customHeight="1" x14ac:dyDescent="0.25">
      <c r="B22" s="23" t="s">
        <v>49</v>
      </c>
      <c r="C22" s="49">
        <f>AVERAGE('22.07 Nyanama-Ndeeba'!C22,'23.07 Nyanama-Ndeeba'!C22,'24.07 Nyanama-Ndeeba'!C22,'25.07 Nyanama-Ndeeba'!C22,'26.07 Nyanama-Ndeeba-24h'!C22,'27.07 Nyanama-Ndeeba-24h'!C22,'28.07 Nyanama-Ndeeba'!C22)</f>
        <v>47.714285714285715</v>
      </c>
      <c r="D22" s="49">
        <f>AVERAGE('22.07 Nyanama-Ndeeba'!D22,'23.07 Nyanama-Ndeeba'!D22,'24.07 Nyanama-Ndeeba'!D22,'25.07 Nyanama-Ndeeba'!D22,'26.07 Nyanama-Ndeeba-24h'!D22,'27.07 Nyanama-Ndeeba-24h'!D22,'28.07 Nyanama-Ndeeba'!D22)</f>
        <v>3.8571428571428572</v>
      </c>
      <c r="E22" s="49">
        <f>AVERAGE('22.07 Nyanama-Ndeeba'!E22,'23.07 Nyanama-Ndeeba'!E22,'24.07 Nyanama-Ndeeba'!E22,'25.07 Nyanama-Ndeeba'!E22,'26.07 Nyanama-Ndeeba-24h'!E22,'27.07 Nyanama-Ndeeba-24h'!E22,'28.07 Nyanama-Ndeeba'!E22)</f>
        <v>4.5714285714285712</v>
      </c>
      <c r="F22" s="49">
        <f>AVERAGE('22.07 Nyanama-Ndeeba'!F22,'23.07 Nyanama-Ndeeba'!F22,'24.07 Nyanama-Ndeeba'!F22,'25.07 Nyanama-Ndeeba'!F22,'26.07 Nyanama-Ndeeba-24h'!F22,'27.07 Nyanama-Ndeeba-24h'!F22,'28.07 Nyanama-Ndeeba'!F22)</f>
        <v>8.1428571428571423</v>
      </c>
      <c r="G22" s="49">
        <f>AVERAGE('22.07 Nyanama-Ndeeba'!G22,'23.07 Nyanama-Ndeeba'!G22,'24.07 Nyanama-Ndeeba'!G22,'25.07 Nyanama-Ndeeba'!G22,'26.07 Nyanama-Ndeeba-24h'!G22,'27.07 Nyanama-Ndeeba-24h'!G22,'28.07 Nyanama-Ndeeba'!G22)</f>
        <v>0.5714285714285714</v>
      </c>
      <c r="H22" s="49">
        <f>AVERAGE('22.07 Nyanama-Ndeeba'!H22,'23.07 Nyanama-Ndeeba'!H22,'24.07 Nyanama-Ndeeba'!H22,'25.07 Nyanama-Ndeeba'!H22,'26.07 Nyanama-Ndeeba-24h'!H22,'27.07 Nyanama-Ndeeba-24h'!H22,'28.07 Nyanama-Ndeeba'!H22)</f>
        <v>0</v>
      </c>
      <c r="I22" s="49">
        <f>AVERAGE('22.07 Nyanama-Ndeeba'!I22,'23.07 Nyanama-Ndeeba'!I22,'24.07 Nyanama-Ndeeba'!I22,'25.07 Nyanama-Ndeeba'!I22,'26.07 Nyanama-Ndeeba-24h'!I22,'27.07 Nyanama-Ndeeba-24h'!I22,'28.07 Nyanama-Ndeeba'!I22)</f>
        <v>3</v>
      </c>
      <c r="J22" s="49">
        <f>AVERAGE('22.07 Nyanama-Ndeeba'!J22,'23.07 Nyanama-Ndeeba'!J22,'24.07 Nyanama-Ndeeba'!J22,'25.07 Nyanama-Ndeeba'!J22,'26.07 Nyanama-Ndeeba-24h'!J22,'27.07 Nyanama-Ndeeba-24h'!J22,'28.07 Nyanama-Ndeeba'!J22)</f>
        <v>0.5714285714285714</v>
      </c>
      <c r="K22" s="49">
        <f>AVERAGE('22.07 Nyanama-Ndeeba'!K22,'23.07 Nyanama-Ndeeba'!K22,'24.07 Nyanama-Ndeeba'!K22,'25.07 Nyanama-Ndeeba'!K22,'26.07 Nyanama-Ndeeba-24h'!K22,'27.07 Nyanama-Ndeeba-24h'!K22,'28.07 Nyanama-Ndeeba'!K22)</f>
        <v>0.42857142857142855</v>
      </c>
      <c r="L22" s="49">
        <f>AVERAGE('22.07 Nyanama-Ndeeba'!L22,'23.07 Nyanama-Ndeeba'!L22,'24.07 Nyanama-Ndeeba'!L22,'25.07 Nyanama-Ndeeba'!L22,'26.07 Nyanama-Ndeeba-24h'!L22,'27.07 Nyanama-Ndeeba-24h'!L22,'28.07 Nyanama-Ndeeba'!L22)</f>
        <v>0</v>
      </c>
      <c r="M22" s="49">
        <f>AVERAGE('22.07 Nyanama-Ndeeba'!M22,'23.07 Nyanama-Ndeeba'!M22,'24.07 Nyanama-Ndeeba'!M22,'25.07 Nyanama-Ndeeba'!M22,'26.07 Nyanama-Ndeeba-24h'!M22,'27.07 Nyanama-Ndeeba-24h'!M22,'28.07 Nyanama-Ndeeba'!M22)</f>
        <v>98</v>
      </c>
      <c r="N22" s="49">
        <f>AVERAGE('22.07 Nyanama-Ndeeba'!N22,'23.07 Nyanama-Ndeeba'!N22,'24.07 Nyanama-Ndeeba'!N22,'25.07 Nyanama-Ndeeba'!N22,'26.07 Nyanama-Ndeeba-24h'!N22,'27.07 Nyanama-Ndeeba-24h'!N22,'28.07 Nyanama-Ndeeba'!N22)</f>
        <v>0</v>
      </c>
      <c r="O22" s="15">
        <f t="shared" si="0"/>
        <v>68.857142857142847</v>
      </c>
      <c r="P22" s="15">
        <f t="shared" si="1"/>
        <v>166.85714285714283</v>
      </c>
      <c r="R22" s="1" t="s">
        <v>146</v>
      </c>
      <c r="S22" s="34">
        <f>SUM(C58:C61)</f>
        <v>124</v>
      </c>
      <c r="T22" s="34">
        <f t="shared" ref="T22:AF22" si="14">SUM(D58:D61)</f>
        <v>62.5</v>
      </c>
      <c r="U22" s="34">
        <f t="shared" si="14"/>
        <v>37</v>
      </c>
      <c r="V22" s="34">
        <f t="shared" si="14"/>
        <v>62.5</v>
      </c>
      <c r="W22" s="34">
        <f t="shared" si="14"/>
        <v>7</v>
      </c>
      <c r="X22" s="34">
        <f t="shared" si="14"/>
        <v>1.5</v>
      </c>
      <c r="Y22" s="34">
        <f t="shared" si="14"/>
        <v>14</v>
      </c>
      <c r="Z22" s="34">
        <f t="shared" si="14"/>
        <v>13</v>
      </c>
      <c r="AA22" s="34">
        <f t="shared" si="14"/>
        <v>10</v>
      </c>
      <c r="AB22" s="34">
        <f t="shared" si="14"/>
        <v>2.5</v>
      </c>
      <c r="AC22" s="34">
        <f t="shared" si="14"/>
        <v>240</v>
      </c>
      <c r="AD22" s="34">
        <f t="shared" si="14"/>
        <v>0</v>
      </c>
      <c r="AE22" s="31">
        <f t="shared" si="14"/>
        <v>334</v>
      </c>
      <c r="AF22" s="31">
        <f t="shared" si="14"/>
        <v>574</v>
      </c>
    </row>
    <row r="23" spans="2:32" ht="23.1" customHeight="1" x14ac:dyDescent="0.25">
      <c r="B23" s="23" t="s">
        <v>50</v>
      </c>
      <c r="C23" s="49">
        <f>AVERAGE('22.07 Nyanama-Ndeeba'!C23,'23.07 Nyanama-Ndeeba'!C23,'24.07 Nyanama-Ndeeba'!C23,'25.07 Nyanama-Ndeeba'!C23,'26.07 Nyanama-Ndeeba-24h'!C23,'27.07 Nyanama-Ndeeba-24h'!C23,'28.07 Nyanama-Ndeeba'!C23)</f>
        <v>45.428571428571431</v>
      </c>
      <c r="D23" s="49">
        <f>AVERAGE('22.07 Nyanama-Ndeeba'!D23,'23.07 Nyanama-Ndeeba'!D23,'24.07 Nyanama-Ndeeba'!D23,'25.07 Nyanama-Ndeeba'!D23,'26.07 Nyanama-Ndeeba-24h'!D23,'27.07 Nyanama-Ndeeba-24h'!D23,'28.07 Nyanama-Ndeeba'!D23)</f>
        <v>6.2857142857142856</v>
      </c>
      <c r="E23" s="49">
        <f>AVERAGE('22.07 Nyanama-Ndeeba'!E23,'23.07 Nyanama-Ndeeba'!E23,'24.07 Nyanama-Ndeeba'!E23,'25.07 Nyanama-Ndeeba'!E23,'26.07 Nyanama-Ndeeba-24h'!E23,'27.07 Nyanama-Ndeeba-24h'!E23,'28.07 Nyanama-Ndeeba'!E23)</f>
        <v>3.7142857142857144</v>
      </c>
      <c r="F23" s="49">
        <f>AVERAGE('22.07 Nyanama-Ndeeba'!F23,'23.07 Nyanama-Ndeeba'!F23,'24.07 Nyanama-Ndeeba'!F23,'25.07 Nyanama-Ndeeba'!F23,'26.07 Nyanama-Ndeeba-24h'!F23,'27.07 Nyanama-Ndeeba-24h'!F23,'28.07 Nyanama-Ndeeba'!F23)</f>
        <v>7.8571428571428568</v>
      </c>
      <c r="G23" s="49">
        <f>AVERAGE('22.07 Nyanama-Ndeeba'!G23,'23.07 Nyanama-Ndeeba'!G23,'24.07 Nyanama-Ndeeba'!G23,'25.07 Nyanama-Ndeeba'!G23,'26.07 Nyanama-Ndeeba-24h'!G23,'27.07 Nyanama-Ndeeba-24h'!G23,'28.07 Nyanama-Ndeeba'!G23)</f>
        <v>0.2857142857142857</v>
      </c>
      <c r="H23" s="49">
        <f>AVERAGE('22.07 Nyanama-Ndeeba'!H23,'23.07 Nyanama-Ndeeba'!H23,'24.07 Nyanama-Ndeeba'!H23,'25.07 Nyanama-Ndeeba'!H23,'26.07 Nyanama-Ndeeba-24h'!H23,'27.07 Nyanama-Ndeeba-24h'!H23,'28.07 Nyanama-Ndeeba'!H23)</f>
        <v>0</v>
      </c>
      <c r="I23" s="49">
        <f>AVERAGE('22.07 Nyanama-Ndeeba'!I23,'23.07 Nyanama-Ndeeba'!I23,'24.07 Nyanama-Ndeeba'!I23,'25.07 Nyanama-Ndeeba'!I23,'26.07 Nyanama-Ndeeba-24h'!I23,'27.07 Nyanama-Ndeeba-24h'!I23,'28.07 Nyanama-Ndeeba'!I23)</f>
        <v>3.4285714285714284</v>
      </c>
      <c r="J23" s="49">
        <f>AVERAGE('22.07 Nyanama-Ndeeba'!J23,'23.07 Nyanama-Ndeeba'!J23,'24.07 Nyanama-Ndeeba'!J23,'25.07 Nyanama-Ndeeba'!J23,'26.07 Nyanama-Ndeeba-24h'!J23,'27.07 Nyanama-Ndeeba-24h'!J23,'28.07 Nyanama-Ndeeba'!J23)</f>
        <v>1.1428571428571428</v>
      </c>
      <c r="K23" s="49">
        <f>AVERAGE('22.07 Nyanama-Ndeeba'!K23,'23.07 Nyanama-Ndeeba'!K23,'24.07 Nyanama-Ndeeba'!K23,'25.07 Nyanama-Ndeeba'!K23,'26.07 Nyanama-Ndeeba-24h'!K23,'27.07 Nyanama-Ndeeba-24h'!K23,'28.07 Nyanama-Ndeeba'!K23)</f>
        <v>0.2857142857142857</v>
      </c>
      <c r="L23" s="49">
        <f>AVERAGE('22.07 Nyanama-Ndeeba'!L23,'23.07 Nyanama-Ndeeba'!L23,'24.07 Nyanama-Ndeeba'!L23,'25.07 Nyanama-Ndeeba'!L23,'26.07 Nyanama-Ndeeba-24h'!L23,'27.07 Nyanama-Ndeeba-24h'!L23,'28.07 Nyanama-Ndeeba'!L23)</f>
        <v>0</v>
      </c>
      <c r="M23" s="49">
        <f>AVERAGE('22.07 Nyanama-Ndeeba'!M23,'23.07 Nyanama-Ndeeba'!M23,'24.07 Nyanama-Ndeeba'!M23,'25.07 Nyanama-Ndeeba'!M23,'26.07 Nyanama-Ndeeba-24h'!M23,'27.07 Nyanama-Ndeeba-24h'!M23,'28.07 Nyanama-Ndeeba'!M23)</f>
        <v>96.142857142857139</v>
      </c>
      <c r="N23" s="49">
        <f>AVERAGE('22.07 Nyanama-Ndeeba'!N23,'23.07 Nyanama-Ndeeba'!N23,'24.07 Nyanama-Ndeeba'!N23,'25.07 Nyanama-Ndeeba'!N23,'26.07 Nyanama-Ndeeba-24h'!N23,'27.07 Nyanama-Ndeeba-24h'!N23,'28.07 Nyanama-Ndeeba'!N23)</f>
        <v>0</v>
      </c>
      <c r="O23" s="15">
        <f t="shared" si="0"/>
        <v>68.428571428571431</v>
      </c>
      <c r="P23" s="15">
        <f t="shared" si="1"/>
        <v>164.57142857142856</v>
      </c>
      <c r="R23" s="1" t="s">
        <v>147</v>
      </c>
      <c r="S23" s="34">
        <f>SUM(C62:C65)</f>
        <v>120.5</v>
      </c>
      <c r="T23" s="34">
        <f t="shared" ref="T23:AF23" si="15">SUM(D62:D65)</f>
        <v>45.5</v>
      </c>
      <c r="U23" s="34">
        <f t="shared" si="15"/>
        <v>24.5</v>
      </c>
      <c r="V23" s="34">
        <f t="shared" si="15"/>
        <v>64</v>
      </c>
      <c r="W23" s="34">
        <f t="shared" si="15"/>
        <v>2</v>
      </c>
      <c r="X23" s="34">
        <f t="shared" si="15"/>
        <v>14.5</v>
      </c>
      <c r="Y23" s="34">
        <f t="shared" si="15"/>
        <v>18</v>
      </c>
      <c r="Z23" s="34">
        <f t="shared" si="15"/>
        <v>4</v>
      </c>
      <c r="AA23" s="34">
        <f t="shared" si="15"/>
        <v>0</v>
      </c>
      <c r="AB23" s="34">
        <f t="shared" si="15"/>
        <v>0</v>
      </c>
      <c r="AC23" s="34">
        <f t="shared" si="15"/>
        <v>183</v>
      </c>
      <c r="AD23" s="34">
        <f t="shared" si="15"/>
        <v>0</v>
      </c>
      <c r="AE23" s="31">
        <f t="shared" si="15"/>
        <v>293</v>
      </c>
      <c r="AF23" s="31">
        <f t="shared" si="15"/>
        <v>476</v>
      </c>
    </row>
    <row r="24" spans="2:32" ht="23.1" customHeight="1" x14ac:dyDescent="0.25">
      <c r="B24" s="23" t="s">
        <v>51</v>
      </c>
      <c r="C24" s="49">
        <f>AVERAGE('22.07 Nyanama-Ndeeba'!C24,'23.07 Nyanama-Ndeeba'!C24,'24.07 Nyanama-Ndeeba'!C24,'25.07 Nyanama-Ndeeba'!C24,'26.07 Nyanama-Ndeeba-24h'!C24,'27.07 Nyanama-Ndeeba-24h'!C24,'28.07 Nyanama-Ndeeba'!C24)</f>
        <v>42.428571428571431</v>
      </c>
      <c r="D24" s="49">
        <f>AVERAGE('22.07 Nyanama-Ndeeba'!D24,'23.07 Nyanama-Ndeeba'!D24,'24.07 Nyanama-Ndeeba'!D24,'25.07 Nyanama-Ndeeba'!D24,'26.07 Nyanama-Ndeeba-24h'!D24,'27.07 Nyanama-Ndeeba-24h'!D24,'28.07 Nyanama-Ndeeba'!D24)</f>
        <v>6.5714285714285712</v>
      </c>
      <c r="E24" s="49">
        <f>AVERAGE('22.07 Nyanama-Ndeeba'!E24,'23.07 Nyanama-Ndeeba'!E24,'24.07 Nyanama-Ndeeba'!E24,'25.07 Nyanama-Ndeeba'!E24,'26.07 Nyanama-Ndeeba-24h'!E24,'27.07 Nyanama-Ndeeba-24h'!E24,'28.07 Nyanama-Ndeeba'!E24)</f>
        <v>3.7142857142857144</v>
      </c>
      <c r="F24" s="49">
        <f>AVERAGE('22.07 Nyanama-Ndeeba'!F24,'23.07 Nyanama-Ndeeba'!F24,'24.07 Nyanama-Ndeeba'!F24,'25.07 Nyanama-Ndeeba'!F24,'26.07 Nyanama-Ndeeba-24h'!F24,'27.07 Nyanama-Ndeeba-24h'!F24,'28.07 Nyanama-Ndeeba'!F24)</f>
        <v>7.8571428571428568</v>
      </c>
      <c r="G24" s="49">
        <f>AVERAGE('22.07 Nyanama-Ndeeba'!G24,'23.07 Nyanama-Ndeeba'!G24,'24.07 Nyanama-Ndeeba'!G24,'25.07 Nyanama-Ndeeba'!G24,'26.07 Nyanama-Ndeeba-24h'!G24,'27.07 Nyanama-Ndeeba-24h'!G24,'28.07 Nyanama-Ndeeba'!G24)</f>
        <v>0.42857142857142855</v>
      </c>
      <c r="H24" s="49">
        <f>AVERAGE('22.07 Nyanama-Ndeeba'!H24,'23.07 Nyanama-Ndeeba'!H24,'24.07 Nyanama-Ndeeba'!H24,'25.07 Nyanama-Ndeeba'!H24,'26.07 Nyanama-Ndeeba-24h'!H24,'27.07 Nyanama-Ndeeba-24h'!H24,'28.07 Nyanama-Ndeeba'!H24)</f>
        <v>0</v>
      </c>
      <c r="I24" s="49">
        <f>AVERAGE('22.07 Nyanama-Ndeeba'!I24,'23.07 Nyanama-Ndeeba'!I24,'24.07 Nyanama-Ndeeba'!I24,'25.07 Nyanama-Ndeeba'!I24,'26.07 Nyanama-Ndeeba-24h'!I24,'27.07 Nyanama-Ndeeba-24h'!I24,'28.07 Nyanama-Ndeeba'!I24)</f>
        <v>3.1428571428571428</v>
      </c>
      <c r="J24" s="49">
        <f>AVERAGE('22.07 Nyanama-Ndeeba'!J24,'23.07 Nyanama-Ndeeba'!J24,'24.07 Nyanama-Ndeeba'!J24,'25.07 Nyanama-Ndeeba'!J24,'26.07 Nyanama-Ndeeba-24h'!J24,'27.07 Nyanama-Ndeeba-24h'!J24,'28.07 Nyanama-Ndeeba'!J24)</f>
        <v>1.4285714285714286</v>
      </c>
      <c r="K24" s="49">
        <f>AVERAGE('22.07 Nyanama-Ndeeba'!K24,'23.07 Nyanama-Ndeeba'!K24,'24.07 Nyanama-Ndeeba'!K24,'25.07 Nyanama-Ndeeba'!K24,'26.07 Nyanama-Ndeeba-24h'!K24,'27.07 Nyanama-Ndeeba-24h'!K24,'28.07 Nyanama-Ndeeba'!K24)</f>
        <v>0</v>
      </c>
      <c r="L24" s="49">
        <f>AVERAGE('22.07 Nyanama-Ndeeba'!L24,'23.07 Nyanama-Ndeeba'!L24,'24.07 Nyanama-Ndeeba'!L24,'25.07 Nyanama-Ndeeba'!L24,'26.07 Nyanama-Ndeeba-24h'!L24,'27.07 Nyanama-Ndeeba-24h'!L24,'28.07 Nyanama-Ndeeba'!L24)</f>
        <v>0.14285714285714285</v>
      </c>
      <c r="M24" s="49">
        <f>AVERAGE('22.07 Nyanama-Ndeeba'!M24,'23.07 Nyanama-Ndeeba'!M24,'24.07 Nyanama-Ndeeba'!M24,'25.07 Nyanama-Ndeeba'!M24,'26.07 Nyanama-Ndeeba-24h'!M24,'27.07 Nyanama-Ndeeba-24h'!M24,'28.07 Nyanama-Ndeeba'!M24)</f>
        <v>94.857142857142861</v>
      </c>
      <c r="N24" s="49">
        <f>AVERAGE('22.07 Nyanama-Ndeeba'!N24,'23.07 Nyanama-Ndeeba'!N24,'24.07 Nyanama-Ndeeba'!N24,'25.07 Nyanama-Ndeeba'!N24,'26.07 Nyanama-Ndeeba-24h'!N24,'27.07 Nyanama-Ndeeba-24h'!N24,'28.07 Nyanama-Ndeeba'!N24)</f>
        <v>0</v>
      </c>
      <c r="O24" s="15">
        <f t="shared" si="0"/>
        <v>65.714285714285708</v>
      </c>
      <c r="P24" s="15">
        <f t="shared" si="1"/>
        <v>160.57142857142856</v>
      </c>
      <c r="R24" s="1" t="s">
        <v>148</v>
      </c>
      <c r="S24" s="34">
        <f>SUM(C66:C69)</f>
        <v>112</v>
      </c>
      <c r="T24" s="34">
        <f t="shared" ref="T24:AF24" si="16">SUM(D66:D69)</f>
        <v>48.5</v>
      </c>
      <c r="U24" s="34">
        <f t="shared" si="16"/>
        <v>11</v>
      </c>
      <c r="V24" s="34">
        <f t="shared" si="16"/>
        <v>47.5</v>
      </c>
      <c r="W24" s="34">
        <f t="shared" si="16"/>
        <v>1.5</v>
      </c>
      <c r="X24" s="34">
        <f t="shared" si="16"/>
        <v>0</v>
      </c>
      <c r="Y24" s="34">
        <f t="shared" si="16"/>
        <v>12.5</v>
      </c>
      <c r="Z24" s="34">
        <f t="shared" si="16"/>
        <v>2</v>
      </c>
      <c r="AA24" s="34">
        <f t="shared" si="16"/>
        <v>2.5</v>
      </c>
      <c r="AB24" s="34">
        <f t="shared" si="16"/>
        <v>0</v>
      </c>
      <c r="AC24" s="34">
        <f t="shared" si="16"/>
        <v>198</v>
      </c>
      <c r="AD24" s="34">
        <f t="shared" si="16"/>
        <v>0</v>
      </c>
      <c r="AE24" s="31">
        <f t="shared" si="16"/>
        <v>237.5</v>
      </c>
      <c r="AF24" s="31">
        <f t="shared" si="16"/>
        <v>435.5</v>
      </c>
    </row>
    <row r="25" spans="2:32" ht="23.1" customHeight="1" x14ac:dyDescent="0.25">
      <c r="B25" s="23" t="s">
        <v>52</v>
      </c>
      <c r="C25" s="49">
        <f>AVERAGE('22.07 Nyanama-Ndeeba'!C25,'23.07 Nyanama-Ndeeba'!C25,'24.07 Nyanama-Ndeeba'!C25,'25.07 Nyanama-Ndeeba'!C25,'26.07 Nyanama-Ndeeba-24h'!C25,'27.07 Nyanama-Ndeeba-24h'!C25,'28.07 Nyanama-Ndeeba'!C25)</f>
        <v>45.857142857142854</v>
      </c>
      <c r="D25" s="49">
        <f>AVERAGE('22.07 Nyanama-Ndeeba'!D25,'23.07 Nyanama-Ndeeba'!D25,'24.07 Nyanama-Ndeeba'!D25,'25.07 Nyanama-Ndeeba'!D25,'26.07 Nyanama-Ndeeba-24h'!D25,'27.07 Nyanama-Ndeeba-24h'!D25,'28.07 Nyanama-Ndeeba'!D25)</f>
        <v>5.1428571428571432</v>
      </c>
      <c r="E25" s="49">
        <f>AVERAGE('22.07 Nyanama-Ndeeba'!E25,'23.07 Nyanama-Ndeeba'!E25,'24.07 Nyanama-Ndeeba'!E25,'25.07 Nyanama-Ndeeba'!E25,'26.07 Nyanama-Ndeeba-24h'!E25,'27.07 Nyanama-Ndeeba-24h'!E25,'28.07 Nyanama-Ndeeba'!E25)</f>
        <v>4.1428571428571432</v>
      </c>
      <c r="F25" s="49">
        <f>AVERAGE('22.07 Nyanama-Ndeeba'!F25,'23.07 Nyanama-Ndeeba'!F25,'24.07 Nyanama-Ndeeba'!F25,'25.07 Nyanama-Ndeeba'!F25,'26.07 Nyanama-Ndeeba-24h'!F25,'27.07 Nyanama-Ndeeba-24h'!F25,'28.07 Nyanama-Ndeeba'!F25)</f>
        <v>7.8571428571428568</v>
      </c>
      <c r="G25" s="49">
        <f>AVERAGE('22.07 Nyanama-Ndeeba'!G25,'23.07 Nyanama-Ndeeba'!G25,'24.07 Nyanama-Ndeeba'!G25,'25.07 Nyanama-Ndeeba'!G25,'26.07 Nyanama-Ndeeba-24h'!G25,'27.07 Nyanama-Ndeeba-24h'!G25,'28.07 Nyanama-Ndeeba'!G25)</f>
        <v>0</v>
      </c>
      <c r="H25" s="49">
        <f>AVERAGE('22.07 Nyanama-Ndeeba'!H25,'23.07 Nyanama-Ndeeba'!H25,'24.07 Nyanama-Ndeeba'!H25,'25.07 Nyanama-Ndeeba'!H25,'26.07 Nyanama-Ndeeba-24h'!H25,'27.07 Nyanama-Ndeeba-24h'!H25,'28.07 Nyanama-Ndeeba'!H25)</f>
        <v>0</v>
      </c>
      <c r="I25" s="49">
        <f>AVERAGE('22.07 Nyanama-Ndeeba'!I25,'23.07 Nyanama-Ndeeba'!I25,'24.07 Nyanama-Ndeeba'!I25,'25.07 Nyanama-Ndeeba'!I25,'26.07 Nyanama-Ndeeba-24h'!I25,'27.07 Nyanama-Ndeeba-24h'!I25,'28.07 Nyanama-Ndeeba'!I25)</f>
        <v>3.5714285714285716</v>
      </c>
      <c r="J25" s="49">
        <f>AVERAGE('22.07 Nyanama-Ndeeba'!J25,'23.07 Nyanama-Ndeeba'!J25,'24.07 Nyanama-Ndeeba'!J25,'25.07 Nyanama-Ndeeba'!J25,'26.07 Nyanama-Ndeeba-24h'!J25,'27.07 Nyanama-Ndeeba-24h'!J25,'28.07 Nyanama-Ndeeba'!J25)</f>
        <v>1.2857142857142858</v>
      </c>
      <c r="K25" s="49">
        <f>AVERAGE('22.07 Nyanama-Ndeeba'!K25,'23.07 Nyanama-Ndeeba'!K25,'24.07 Nyanama-Ndeeba'!K25,'25.07 Nyanama-Ndeeba'!K25,'26.07 Nyanama-Ndeeba-24h'!K25,'27.07 Nyanama-Ndeeba-24h'!K25,'28.07 Nyanama-Ndeeba'!K25)</f>
        <v>0</v>
      </c>
      <c r="L25" s="49">
        <f>AVERAGE('22.07 Nyanama-Ndeeba'!L25,'23.07 Nyanama-Ndeeba'!L25,'24.07 Nyanama-Ndeeba'!L25,'25.07 Nyanama-Ndeeba'!L25,'26.07 Nyanama-Ndeeba-24h'!L25,'27.07 Nyanama-Ndeeba-24h'!L25,'28.07 Nyanama-Ndeeba'!L25)</f>
        <v>0</v>
      </c>
      <c r="M25" s="49">
        <f>AVERAGE('22.07 Nyanama-Ndeeba'!M25,'23.07 Nyanama-Ndeeba'!M25,'24.07 Nyanama-Ndeeba'!M25,'25.07 Nyanama-Ndeeba'!M25,'26.07 Nyanama-Ndeeba-24h'!M25,'27.07 Nyanama-Ndeeba-24h'!M25,'28.07 Nyanama-Ndeeba'!M25)</f>
        <v>92</v>
      </c>
      <c r="N25" s="49">
        <f>AVERAGE('22.07 Nyanama-Ndeeba'!N25,'23.07 Nyanama-Ndeeba'!N25,'24.07 Nyanama-Ndeeba'!N25,'25.07 Nyanama-Ndeeba'!N25,'26.07 Nyanama-Ndeeba-24h'!N25,'27.07 Nyanama-Ndeeba-24h'!N25,'28.07 Nyanama-Ndeeba'!N25)</f>
        <v>0</v>
      </c>
      <c r="O25" s="15">
        <f t="shared" si="0"/>
        <v>67.857142857142861</v>
      </c>
      <c r="P25" s="15">
        <f t="shared" si="1"/>
        <v>159.85714285714286</v>
      </c>
      <c r="R25" s="1" t="s">
        <v>149</v>
      </c>
      <c r="S25" s="34">
        <f>SUM(C70:C73)</f>
        <v>116</v>
      </c>
      <c r="T25" s="34">
        <f t="shared" ref="T25:AF25" si="17">SUM(D70:D73)</f>
        <v>62</v>
      </c>
      <c r="U25" s="34">
        <f t="shared" si="17"/>
        <v>12</v>
      </c>
      <c r="V25" s="34">
        <f t="shared" si="17"/>
        <v>37</v>
      </c>
      <c r="W25" s="34">
        <f t="shared" si="17"/>
        <v>1.5</v>
      </c>
      <c r="X25" s="34">
        <f t="shared" si="17"/>
        <v>0.5</v>
      </c>
      <c r="Y25" s="34">
        <f t="shared" si="17"/>
        <v>7.5</v>
      </c>
      <c r="Z25" s="34">
        <f t="shared" si="17"/>
        <v>7.5</v>
      </c>
      <c r="AA25" s="34">
        <f t="shared" si="17"/>
        <v>1</v>
      </c>
      <c r="AB25" s="34">
        <f t="shared" si="17"/>
        <v>1</v>
      </c>
      <c r="AC25" s="34">
        <f t="shared" si="17"/>
        <v>273</v>
      </c>
      <c r="AD25" s="34">
        <f t="shared" si="17"/>
        <v>0</v>
      </c>
      <c r="AE25" s="31">
        <f t="shared" si="17"/>
        <v>246</v>
      </c>
      <c r="AF25" s="31">
        <f t="shared" si="17"/>
        <v>519</v>
      </c>
    </row>
    <row r="26" spans="2:32" ht="23.1" customHeight="1" x14ac:dyDescent="0.25">
      <c r="B26" s="23" t="s">
        <v>53</v>
      </c>
      <c r="C26" s="49">
        <f>AVERAGE('22.07 Nyanama-Ndeeba'!C26,'23.07 Nyanama-Ndeeba'!C26,'24.07 Nyanama-Ndeeba'!C26,'25.07 Nyanama-Ndeeba'!C26,'26.07 Nyanama-Ndeeba-24h'!C26,'27.07 Nyanama-Ndeeba-24h'!C26,'28.07 Nyanama-Ndeeba'!C26)</f>
        <v>33.857142857142854</v>
      </c>
      <c r="D26" s="49">
        <f>AVERAGE('22.07 Nyanama-Ndeeba'!D26,'23.07 Nyanama-Ndeeba'!D26,'24.07 Nyanama-Ndeeba'!D26,'25.07 Nyanama-Ndeeba'!D26,'26.07 Nyanama-Ndeeba-24h'!D26,'27.07 Nyanama-Ndeeba-24h'!D26,'28.07 Nyanama-Ndeeba'!D26)</f>
        <v>4.4285714285714288</v>
      </c>
      <c r="E26" s="49">
        <f>AVERAGE('22.07 Nyanama-Ndeeba'!E26,'23.07 Nyanama-Ndeeba'!E26,'24.07 Nyanama-Ndeeba'!E26,'25.07 Nyanama-Ndeeba'!E26,'26.07 Nyanama-Ndeeba-24h'!E26,'27.07 Nyanama-Ndeeba-24h'!E26,'28.07 Nyanama-Ndeeba'!E26)</f>
        <v>4.7142857142857144</v>
      </c>
      <c r="F26" s="49">
        <f>AVERAGE('22.07 Nyanama-Ndeeba'!F26,'23.07 Nyanama-Ndeeba'!F26,'24.07 Nyanama-Ndeeba'!F26,'25.07 Nyanama-Ndeeba'!F26,'26.07 Nyanama-Ndeeba-24h'!F26,'27.07 Nyanama-Ndeeba-24h'!F26,'28.07 Nyanama-Ndeeba'!F26)</f>
        <v>7.7142857142857144</v>
      </c>
      <c r="G26" s="49">
        <f>AVERAGE('22.07 Nyanama-Ndeeba'!G26,'23.07 Nyanama-Ndeeba'!G26,'24.07 Nyanama-Ndeeba'!G26,'25.07 Nyanama-Ndeeba'!G26,'26.07 Nyanama-Ndeeba-24h'!G26,'27.07 Nyanama-Ndeeba-24h'!G26,'28.07 Nyanama-Ndeeba'!G26)</f>
        <v>0.7142857142857143</v>
      </c>
      <c r="H26" s="49">
        <f>AVERAGE('22.07 Nyanama-Ndeeba'!H26,'23.07 Nyanama-Ndeeba'!H26,'24.07 Nyanama-Ndeeba'!H26,'25.07 Nyanama-Ndeeba'!H26,'26.07 Nyanama-Ndeeba-24h'!H26,'27.07 Nyanama-Ndeeba-24h'!H26,'28.07 Nyanama-Ndeeba'!H26)</f>
        <v>0</v>
      </c>
      <c r="I26" s="49">
        <f>AVERAGE('22.07 Nyanama-Ndeeba'!I26,'23.07 Nyanama-Ndeeba'!I26,'24.07 Nyanama-Ndeeba'!I26,'25.07 Nyanama-Ndeeba'!I26,'26.07 Nyanama-Ndeeba-24h'!I26,'27.07 Nyanama-Ndeeba-24h'!I26,'28.07 Nyanama-Ndeeba'!I26)</f>
        <v>4.1428571428571432</v>
      </c>
      <c r="J26" s="49">
        <f>AVERAGE('22.07 Nyanama-Ndeeba'!J26,'23.07 Nyanama-Ndeeba'!J26,'24.07 Nyanama-Ndeeba'!J26,'25.07 Nyanama-Ndeeba'!J26,'26.07 Nyanama-Ndeeba-24h'!J26,'27.07 Nyanama-Ndeeba-24h'!J26,'28.07 Nyanama-Ndeeba'!J26)</f>
        <v>1.2857142857142858</v>
      </c>
      <c r="K26" s="49">
        <f>AVERAGE('22.07 Nyanama-Ndeeba'!K26,'23.07 Nyanama-Ndeeba'!K26,'24.07 Nyanama-Ndeeba'!K26,'25.07 Nyanama-Ndeeba'!K26,'26.07 Nyanama-Ndeeba-24h'!K26,'27.07 Nyanama-Ndeeba-24h'!K26,'28.07 Nyanama-Ndeeba'!K26)</f>
        <v>0</v>
      </c>
      <c r="L26" s="49">
        <f>AVERAGE('22.07 Nyanama-Ndeeba'!L26,'23.07 Nyanama-Ndeeba'!L26,'24.07 Nyanama-Ndeeba'!L26,'25.07 Nyanama-Ndeeba'!L26,'26.07 Nyanama-Ndeeba-24h'!L26,'27.07 Nyanama-Ndeeba-24h'!L26,'28.07 Nyanama-Ndeeba'!L26)</f>
        <v>0</v>
      </c>
      <c r="M26" s="49">
        <f>AVERAGE('22.07 Nyanama-Ndeeba'!M26,'23.07 Nyanama-Ndeeba'!M26,'24.07 Nyanama-Ndeeba'!M26,'25.07 Nyanama-Ndeeba'!M26,'26.07 Nyanama-Ndeeba-24h'!M26,'27.07 Nyanama-Ndeeba-24h'!M26,'28.07 Nyanama-Ndeeba'!M26)</f>
        <v>87.142857142857139</v>
      </c>
      <c r="N26" s="49">
        <f>AVERAGE('22.07 Nyanama-Ndeeba'!N26,'23.07 Nyanama-Ndeeba'!N26,'24.07 Nyanama-Ndeeba'!N26,'25.07 Nyanama-Ndeeba'!N26,'26.07 Nyanama-Ndeeba-24h'!N26,'27.07 Nyanama-Ndeeba-24h'!N26,'28.07 Nyanama-Ndeeba'!N26)</f>
        <v>0</v>
      </c>
      <c r="O26" s="15">
        <f t="shared" si="0"/>
        <v>56.857142857142861</v>
      </c>
      <c r="P26" s="15">
        <f t="shared" si="1"/>
        <v>144</v>
      </c>
      <c r="R26" s="1" t="s">
        <v>150</v>
      </c>
      <c r="S26" s="34">
        <f>SUM(C74:C77)</f>
        <v>75.5</v>
      </c>
      <c r="T26" s="34">
        <f t="shared" ref="T26:AF26" si="18">SUM(D74:D77)</f>
        <v>37</v>
      </c>
      <c r="U26" s="34">
        <f t="shared" si="18"/>
        <v>6.5</v>
      </c>
      <c r="V26" s="34">
        <f t="shared" si="18"/>
        <v>19</v>
      </c>
      <c r="W26" s="34">
        <f t="shared" si="18"/>
        <v>0</v>
      </c>
      <c r="X26" s="34">
        <f t="shared" si="18"/>
        <v>0.5</v>
      </c>
      <c r="Y26" s="34">
        <f t="shared" si="18"/>
        <v>7</v>
      </c>
      <c r="Z26" s="34">
        <f t="shared" si="18"/>
        <v>6</v>
      </c>
      <c r="AA26" s="34">
        <f t="shared" si="18"/>
        <v>1</v>
      </c>
      <c r="AB26" s="34">
        <f t="shared" si="18"/>
        <v>0</v>
      </c>
      <c r="AC26" s="34">
        <f t="shared" si="18"/>
        <v>233</v>
      </c>
      <c r="AD26" s="34">
        <f t="shared" si="18"/>
        <v>0</v>
      </c>
      <c r="AE26" s="31">
        <f t="shared" si="18"/>
        <v>152.5</v>
      </c>
      <c r="AF26" s="31">
        <f t="shared" si="18"/>
        <v>385.5</v>
      </c>
    </row>
    <row r="27" spans="2:32" ht="23.1" customHeight="1" x14ac:dyDescent="0.25">
      <c r="B27" s="23" t="s">
        <v>54</v>
      </c>
      <c r="C27" s="49">
        <f>AVERAGE('22.07 Nyanama-Ndeeba'!C27,'23.07 Nyanama-Ndeeba'!C27,'24.07 Nyanama-Ndeeba'!C27,'25.07 Nyanama-Ndeeba'!C27,'26.07 Nyanama-Ndeeba-24h'!C27,'27.07 Nyanama-Ndeeba-24h'!C27,'28.07 Nyanama-Ndeeba'!C27)</f>
        <v>38</v>
      </c>
      <c r="D27" s="49">
        <f>AVERAGE('22.07 Nyanama-Ndeeba'!D27,'23.07 Nyanama-Ndeeba'!D27,'24.07 Nyanama-Ndeeba'!D27,'25.07 Nyanama-Ndeeba'!D27,'26.07 Nyanama-Ndeeba-24h'!D27,'27.07 Nyanama-Ndeeba-24h'!D27,'28.07 Nyanama-Ndeeba'!D27)</f>
        <v>5.1428571428571432</v>
      </c>
      <c r="E27" s="49">
        <f>AVERAGE('22.07 Nyanama-Ndeeba'!E27,'23.07 Nyanama-Ndeeba'!E27,'24.07 Nyanama-Ndeeba'!E27,'25.07 Nyanama-Ndeeba'!E27,'26.07 Nyanama-Ndeeba-24h'!E27,'27.07 Nyanama-Ndeeba-24h'!E27,'28.07 Nyanama-Ndeeba'!E27)</f>
        <v>3.1428571428571428</v>
      </c>
      <c r="F27" s="49">
        <f>AVERAGE('22.07 Nyanama-Ndeeba'!F27,'23.07 Nyanama-Ndeeba'!F27,'24.07 Nyanama-Ndeeba'!F27,'25.07 Nyanama-Ndeeba'!F27,'26.07 Nyanama-Ndeeba-24h'!F27,'27.07 Nyanama-Ndeeba-24h'!F27,'28.07 Nyanama-Ndeeba'!F27)</f>
        <v>8.1428571428571423</v>
      </c>
      <c r="G27" s="49">
        <f>AVERAGE('22.07 Nyanama-Ndeeba'!G27,'23.07 Nyanama-Ndeeba'!G27,'24.07 Nyanama-Ndeeba'!G27,'25.07 Nyanama-Ndeeba'!G27,'26.07 Nyanama-Ndeeba-24h'!G27,'27.07 Nyanama-Ndeeba-24h'!G27,'28.07 Nyanama-Ndeeba'!G27)</f>
        <v>0.2857142857142857</v>
      </c>
      <c r="H27" s="49">
        <f>AVERAGE('22.07 Nyanama-Ndeeba'!H27,'23.07 Nyanama-Ndeeba'!H27,'24.07 Nyanama-Ndeeba'!H27,'25.07 Nyanama-Ndeeba'!H27,'26.07 Nyanama-Ndeeba-24h'!H27,'27.07 Nyanama-Ndeeba-24h'!H27,'28.07 Nyanama-Ndeeba'!H27)</f>
        <v>0</v>
      </c>
      <c r="I27" s="49">
        <f>AVERAGE('22.07 Nyanama-Ndeeba'!I27,'23.07 Nyanama-Ndeeba'!I27,'24.07 Nyanama-Ndeeba'!I27,'25.07 Nyanama-Ndeeba'!I27,'26.07 Nyanama-Ndeeba-24h'!I27,'27.07 Nyanama-Ndeeba-24h'!I27,'28.07 Nyanama-Ndeeba'!I27)</f>
        <v>4.1428571428571432</v>
      </c>
      <c r="J27" s="49">
        <f>AVERAGE('22.07 Nyanama-Ndeeba'!J27,'23.07 Nyanama-Ndeeba'!J27,'24.07 Nyanama-Ndeeba'!J27,'25.07 Nyanama-Ndeeba'!J27,'26.07 Nyanama-Ndeeba-24h'!J27,'27.07 Nyanama-Ndeeba-24h'!J27,'28.07 Nyanama-Ndeeba'!J27)</f>
        <v>1.1428571428571428</v>
      </c>
      <c r="K27" s="49">
        <f>AVERAGE('22.07 Nyanama-Ndeeba'!K27,'23.07 Nyanama-Ndeeba'!K27,'24.07 Nyanama-Ndeeba'!K27,'25.07 Nyanama-Ndeeba'!K27,'26.07 Nyanama-Ndeeba-24h'!K27,'27.07 Nyanama-Ndeeba-24h'!K27,'28.07 Nyanama-Ndeeba'!K27)</f>
        <v>0.14285714285714285</v>
      </c>
      <c r="L27" s="49">
        <f>AVERAGE('22.07 Nyanama-Ndeeba'!L27,'23.07 Nyanama-Ndeeba'!L27,'24.07 Nyanama-Ndeeba'!L27,'25.07 Nyanama-Ndeeba'!L27,'26.07 Nyanama-Ndeeba-24h'!L27,'27.07 Nyanama-Ndeeba-24h'!L27,'28.07 Nyanama-Ndeeba'!L27)</f>
        <v>0</v>
      </c>
      <c r="M27" s="49">
        <f>AVERAGE('22.07 Nyanama-Ndeeba'!M27,'23.07 Nyanama-Ndeeba'!M27,'24.07 Nyanama-Ndeeba'!M27,'25.07 Nyanama-Ndeeba'!M27,'26.07 Nyanama-Ndeeba-24h'!M27,'27.07 Nyanama-Ndeeba-24h'!M27,'28.07 Nyanama-Ndeeba'!M27)</f>
        <v>85.571428571428569</v>
      </c>
      <c r="N27" s="49">
        <f>AVERAGE('22.07 Nyanama-Ndeeba'!N27,'23.07 Nyanama-Ndeeba'!N27,'24.07 Nyanama-Ndeeba'!N27,'25.07 Nyanama-Ndeeba'!N27,'26.07 Nyanama-Ndeeba-24h'!N27,'27.07 Nyanama-Ndeeba-24h'!N27,'28.07 Nyanama-Ndeeba'!N27)</f>
        <v>0</v>
      </c>
      <c r="O27" s="15">
        <f t="shared" si="0"/>
        <v>60.142857142857153</v>
      </c>
      <c r="P27" s="15">
        <f t="shared" si="1"/>
        <v>145.71428571428572</v>
      </c>
      <c r="R27" s="1" t="s">
        <v>151</v>
      </c>
      <c r="S27" s="34">
        <f>SUM(C78:C81)</f>
        <v>47.5</v>
      </c>
      <c r="T27" s="34">
        <f t="shared" ref="T27:AF27" si="19">SUM(D78:D81)</f>
        <v>27</v>
      </c>
      <c r="U27" s="34">
        <f t="shared" si="19"/>
        <v>7</v>
      </c>
      <c r="V27" s="34">
        <f t="shared" si="19"/>
        <v>11</v>
      </c>
      <c r="W27" s="34">
        <f t="shared" si="19"/>
        <v>0</v>
      </c>
      <c r="X27" s="34">
        <f t="shared" si="19"/>
        <v>0</v>
      </c>
      <c r="Y27" s="34">
        <f t="shared" si="19"/>
        <v>6.5</v>
      </c>
      <c r="Z27" s="34">
        <f t="shared" si="19"/>
        <v>2</v>
      </c>
      <c r="AA27" s="34">
        <f t="shared" si="19"/>
        <v>3.5</v>
      </c>
      <c r="AB27" s="34">
        <f t="shared" si="19"/>
        <v>0.5</v>
      </c>
      <c r="AC27" s="34">
        <f t="shared" si="19"/>
        <v>129</v>
      </c>
      <c r="AD27" s="34">
        <f t="shared" si="19"/>
        <v>0</v>
      </c>
      <c r="AE27" s="31">
        <f t="shared" si="19"/>
        <v>105</v>
      </c>
      <c r="AF27" s="31">
        <f t="shared" si="19"/>
        <v>234</v>
      </c>
    </row>
    <row r="28" spans="2:32" ht="23.1" customHeight="1" x14ac:dyDescent="0.25">
      <c r="B28" s="23" t="s">
        <v>55</v>
      </c>
      <c r="C28" s="49">
        <f>AVERAGE('22.07 Nyanama-Ndeeba'!C28,'23.07 Nyanama-Ndeeba'!C28,'24.07 Nyanama-Ndeeba'!C28,'25.07 Nyanama-Ndeeba'!C28,'26.07 Nyanama-Ndeeba-24h'!C28,'27.07 Nyanama-Ndeeba-24h'!C28,'28.07 Nyanama-Ndeeba'!C28)</f>
        <v>38.428571428571431</v>
      </c>
      <c r="D28" s="49">
        <f>AVERAGE('22.07 Nyanama-Ndeeba'!D28,'23.07 Nyanama-Ndeeba'!D28,'24.07 Nyanama-Ndeeba'!D28,'25.07 Nyanama-Ndeeba'!D28,'26.07 Nyanama-Ndeeba-24h'!D28,'27.07 Nyanama-Ndeeba-24h'!D28,'28.07 Nyanama-Ndeeba'!D28)</f>
        <v>4.2857142857142856</v>
      </c>
      <c r="E28" s="49">
        <f>AVERAGE('22.07 Nyanama-Ndeeba'!E28,'23.07 Nyanama-Ndeeba'!E28,'24.07 Nyanama-Ndeeba'!E28,'25.07 Nyanama-Ndeeba'!E28,'26.07 Nyanama-Ndeeba-24h'!E28,'27.07 Nyanama-Ndeeba-24h'!E28,'28.07 Nyanama-Ndeeba'!E28)</f>
        <v>4</v>
      </c>
      <c r="F28" s="49">
        <f>AVERAGE('22.07 Nyanama-Ndeeba'!F28,'23.07 Nyanama-Ndeeba'!F28,'24.07 Nyanama-Ndeeba'!F28,'25.07 Nyanama-Ndeeba'!F28,'26.07 Nyanama-Ndeeba-24h'!F28,'27.07 Nyanama-Ndeeba-24h'!F28,'28.07 Nyanama-Ndeeba'!F28)</f>
        <v>7.5714285714285712</v>
      </c>
      <c r="G28" s="49">
        <f>AVERAGE('22.07 Nyanama-Ndeeba'!G28,'23.07 Nyanama-Ndeeba'!G28,'24.07 Nyanama-Ndeeba'!G28,'25.07 Nyanama-Ndeeba'!G28,'26.07 Nyanama-Ndeeba-24h'!G28,'27.07 Nyanama-Ndeeba-24h'!G28,'28.07 Nyanama-Ndeeba'!G28)</f>
        <v>0.14285714285714285</v>
      </c>
      <c r="H28" s="49">
        <f>AVERAGE('22.07 Nyanama-Ndeeba'!H28,'23.07 Nyanama-Ndeeba'!H28,'24.07 Nyanama-Ndeeba'!H28,'25.07 Nyanama-Ndeeba'!H28,'26.07 Nyanama-Ndeeba-24h'!H28,'27.07 Nyanama-Ndeeba-24h'!H28,'28.07 Nyanama-Ndeeba'!H28)</f>
        <v>0</v>
      </c>
      <c r="I28" s="49">
        <f>AVERAGE('22.07 Nyanama-Ndeeba'!I28,'23.07 Nyanama-Ndeeba'!I28,'24.07 Nyanama-Ndeeba'!I28,'25.07 Nyanama-Ndeeba'!I28,'26.07 Nyanama-Ndeeba-24h'!I28,'27.07 Nyanama-Ndeeba-24h'!I28,'28.07 Nyanama-Ndeeba'!I28)</f>
        <v>3.8571428571428572</v>
      </c>
      <c r="J28" s="49">
        <f>AVERAGE('22.07 Nyanama-Ndeeba'!J28,'23.07 Nyanama-Ndeeba'!J28,'24.07 Nyanama-Ndeeba'!J28,'25.07 Nyanama-Ndeeba'!J28,'26.07 Nyanama-Ndeeba-24h'!J28,'27.07 Nyanama-Ndeeba-24h'!J28,'28.07 Nyanama-Ndeeba'!J28)</f>
        <v>1.7142857142857142</v>
      </c>
      <c r="K28" s="49">
        <f>AVERAGE('22.07 Nyanama-Ndeeba'!K28,'23.07 Nyanama-Ndeeba'!K28,'24.07 Nyanama-Ndeeba'!K28,'25.07 Nyanama-Ndeeba'!K28,'26.07 Nyanama-Ndeeba-24h'!K28,'27.07 Nyanama-Ndeeba-24h'!K28,'28.07 Nyanama-Ndeeba'!K28)</f>
        <v>0.14285714285714285</v>
      </c>
      <c r="L28" s="49">
        <f>AVERAGE('22.07 Nyanama-Ndeeba'!L28,'23.07 Nyanama-Ndeeba'!L28,'24.07 Nyanama-Ndeeba'!L28,'25.07 Nyanama-Ndeeba'!L28,'26.07 Nyanama-Ndeeba-24h'!L28,'27.07 Nyanama-Ndeeba-24h'!L28,'28.07 Nyanama-Ndeeba'!L28)</f>
        <v>0.14285714285714285</v>
      </c>
      <c r="M28" s="49">
        <f>AVERAGE('22.07 Nyanama-Ndeeba'!M28,'23.07 Nyanama-Ndeeba'!M28,'24.07 Nyanama-Ndeeba'!M28,'25.07 Nyanama-Ndeeba'!M28,'26.07 Nyanama-Ndeeba-24h'!M28,'27.07 Nyanama-Ndeeba-24h'!M28,'28.07 Nyanama-Ndeeba'!M28)</f>
        <v>85.714285714285708</v>
      </c>
      <c r="N28" s="49">
        <f>AVERAGE('22.07 Nyanama-Ndeeba'!N28,'23.07 Nyanama-Ndeeba'!N28,'24.07 Nyanama-Ndeeba'!N28,'25.07 Nyanama-Ndeeba'!N28,'26.07 Nyanama-Ndeeba-24h'!N28,'27.07 Nyanama-Ndeeba-24h'!N28,'28.07 Nyanama-Ndeeba'!N28)</f>
        <v>0</v>
      </c>
      <c r="O28" s="15">
        <f t="shared" si="0"/>
        <v>60.285714285714292</v>
      </c>
      <c r="P28" s="15">
        <f t="shared" si="1"/>
        <v>146</v>
      </c>
      <c r="R28" s="1" t="s">
        <v>152</v>
      </c>
      <c r="S28" s="34">
        <f>SUM(C82:C85)</f>
        <v>31.5</v>
      </c>
      <c r="T28" s="34">
        <f t="shared" ref="T28:AF28" si="20">SUM(D82:D85)</f>
        <v>15.5</v>
      </c>
      <c r="U28" s="34">
        <f t="shared" si="20"/>
        <v>6.5</v>
      </c>
      <c r="V28" s="34">
        <f t="shared" si="20"/>
        <v>9</v>
      </c>
      <c r="W28" s="34">
        <f t="shared" si="20"/>
        <v>0</v>
      </c>
      <c r="X28" s="34">
        <f t="shared" si="20"/>
        <v>0</v>
      </c>
      <c r="Y28" s="34">
        <f t="shared" si="20"/>
        <v>10.5</v>
      </c>
      <c r="Z28" s="34">
        <f t="shared" si="20"/>
        <v>1</v>
      </c>
      <c r="AA28" s="34">
        <f t="shared" si="20"/>
        <v>3</v>
      </c>
      <c r="AB28" s="34">
        <f t="shared" si="20"/>
        <v>0.5</v>
      </c>
      <c r="AC28" s="34">
        <f t="shared" si="20"/>
        <v>159.5</v>
      </c>
      <c r="AD28" s="34">
        <f t="shared" si="20"/>
        <v>0</v>
      </c>
      <c r="AE28" s="31">
        <f t="shared" si="20"/>
        <v>77.5</v>
      </c>
      <c r="AF28" s="31">
        <f t="shared" si="20"/>
        <v>237</v>
      </c>
    </row>
    <row r="29" spans="2:32" ht="23.1" customHeight="1" x14ac:dyDescent="0.25">
      <c r="B29" s="23" t="s">
        <v>56</v>
      </c>
      <c r="C29" s="49">
        <f>AVERAGE('22.07 Nyanama-Ndeeba'!C29,'23.07 Nyanama-Ndeeba'!C29,'24.07 Nyanama-Ndeeba'!C29,'25.07 Nyanama-Ndeeba'!C29,'26.07 Nyanama-Ndeeba-24h'!C29,'27.07 Nyanama-Ndeeba-24h'!C29,'28.07 Nyanama-Ndeeba'!C29)</f>
        <v>38.142857142857146</v>
      </c>
      <c r="D29" s="49">
        <f>AVERAGE('22.07 Nyanama-Ndeeba'!D29,'23.07 Nyanama-Ndeeba'!D29,'24.07 Nyanama-Ndeeba'!D29,'25.07 Nyanama-Ndeeba'!D29,'26.07 Nyanama-Ndeeba-24h'!D29,'27.07 Nyanama-Ndeeba-24h'!D29,'28.07 Nyanama-Ndeeba'!D29)</f>
        <v>5.7142857142857144</v>
      </c>
      <c r="E29" s="49">
        <f>AVERAGE('22.07 Nyanama-Ndeeba'!E29,'23.07 Nyanama-Ndeeba'!E29,'24.07 Nyanama-Ndeeba'!E29,'25.07 Nyanama-Ndeeba'!E29,'26.07 Nyanama-Ndeeba-24h'!E29,'27.07 Nyanama-Ndeeba-24h'!E29,'28.07 Nyanama-Ndeeba'!E29)</f>
        <v>4.8571428571428568</v>
      </c>
      <c r="F29" s="49">
        <f>AVERAGE('22.07 Nyanama-Ndeeba'!F29,'23.07 Nyanama-Ndeeba'!F29,'24.07 Nyanama-Ndeeba'!F29,'25.07 Nyanama-Ndeeba'!F29,'26.07 Nyanama-Ndeeba-24h'!F29,'27.07 Nyanama-Ndeeba-24h'!F29,'28.07 Nyanama-Ndeeba'!F29)</f>
        <v>6.4285714285714288</v>
      </c>
      <c r="G29" s="49">
        <f>AVERAGE('22.07 Nyanama-Ndeeba'!G29,'23.07 Nyanama-Ndeeba'!G29,'24.07 Nyanama-Ndeeba'!G29,'25.07 Nyanama-Ndeeba'!G29,'26.07 Nyanama-Ndeeba-24h'!G29,'27.07 Nyanama-Ndeeba-24h'!G29,'28.07 Nyanama-Ndeeba'!G29)</f>
        <v>0.42857142857142855</v>
      </c>
      <c r="H29" s="49">
        <f>AVERAGE('22.07 Nyanama-Ndeeba'!H29,'23.07 Nyanama-Ndeeba'!H29,'24.07 Nyanama-Ndeeba'!H29,'25.07 Nyanama-Ndeeba'!H29,'26.07 Nyanama-Ndeeba-24h'!H29,'27.07 Nyanama-Ndeeba-24h'!H29,'28.07 Nyanama-Ndeeba'!H29)</f>
        <v>0</v>
      </c>
      <c r="I29" s="49">
        <f>AVERAGE('22.07 Nyanama-Ndeeba'!I29,'23.07 Nyanama-Ndeeba'!I29,'24.07 Nyanama-Ndeeba'!I29,'25.07 Nyanama-Ndeeba'!I29,'26.07 Nyanama-Ndeeba-24h'!I29,'27.07 Nyanama-Ndeeba-24h'!I29,'28.07 Nyanama-Ndeeba'!I29)</f>
        <v>2.2857142857142856</v>
      </c>
      <c r="J29" s="49">
        <f>AVERAGE('22.07 Nyanama-Ndeeba'!J29,'23.07 Nyanama-Ndeeba'!J29,'24.07 Nyanama-Ndeeba'!J29,'25.07 Nyanama-Ndeeba'!J29,'26.07 Nyanama-Ndeeba-24h'!J29,'27.07 Nyanama-Ndeeba-24h'!J29,'28.07 Nyanama-Ndeeba'!J29)</f>
        <v>2</v>
      </c>
      <c r="K29" s="49">
        <f>AVERAGE('22.07 Nyanama-Ndeeba'!K29,'23.07 Nyanama-Ndeeba'!K29,'24.07 Nyanama-Ndeeba'!K29,'25.07 Nyanama-Ndeeba'!K29,'26.07 Nyanama-Ndeeba-24h'!K29,'27.07 Nyanama-Ndeeba-24h'!K29,'28.07 Nyanama-Ndeeba'!K29)</f>
        <v>0.42857142857142855</v>
      </c>
      <c r="L29" s="49">
        <f>AVERAGE('22.07 Nyanama-Ndeeba'!L29,'23.07 Nyanama-Ndeeba'!L29,'24.07 Nyanama-Ndeeba'!L29,'25.07 Nyanama-Ndeeba'!L29,'26.07 Nyanama-Ndeeba-24h'!L29,'27.07 Nyanama-Ndeeba-24h'!L29,'28.07 Nyanama-Ndeeba'!L29)</f>
        <v>0.14285714285714285</v>
      </c>
      <c r="M29" s="49">
        <f>AVERAGE('22.07 Nyanama-Ndeeba'!M29,'23.07 Nyanama-Ndeeba'!M29,'24.07 Nyanama-Ndeeba'!M29,'25.07 Nyanama-Ndeeba'!M29,'26.07 Nyanama-Ndeeba-24h'!M29,'27.07 Nyanama-Ndeeba-24h'!M29,'28.07 Nyanama-Ndeeba'!M29)</f>
        <v>87.857142857142861</v>
      </c>
      <c r="N29" s="49">
        <f>AVERAGE('22.07 Nyanama-Ndeeba'!N29,'23.07 Nyanama-Ndeeba'!N29,'24.07 Nyanama-Ndeeba'!N29,'25.07 Nyanama-Ndeeba'!N29,'26.07 Nyanama-Ndeeba-24h'!N29,'27.07 Nyanama-Ndeeba-24h'!N29,'28.07 Nyanama-Ndeeba'!N29)</f>
        <v>0</v>
      </c>
      <c r="O29" s="15">
        <f t="shared" si="0"/>
        <v>60.428571428571438</v>
      </c>
      <c r="P29" s="15">
        <f t="shared" si="1"/>
        <v>148.28571428571431</v>
      </c>
      <c r="R29" s="1" t="s">
        <v>153</v>
      </c>
      <c r="S29" s="34">
        <f>SUM(C86:C89)</f>
        <v>12</v>
      </c>
      <c r="T29" s="34">
        <f t="shared" ref="T29:AF29" si="21">SUM(D86:D89)</f>
        <v>4.5</v>
      </c>
      <c r="U29" s="34">
        <f t="shared" si="21"/>
        <v>0.5</v>
      </c>
      <c r="V29" s="34">
        <f t="shared" si="21"/>
        <v>1.5</v>
      </c>
      <c r="W29" s="34">
        <f t="shared" si="21"/>
        <v>0</v>
      </c>
      <c r="X29" s="34">
        <f t="shared" si="21"/>
        <v>0</v>
      </c>
      <c r="Y29" s="34">
        <f t="shared" si="21"/>
        <v>1.5</v>
      </c>
      <c r="Z29" s="34">
        <f t="shared" si="21"/>
        <v>3</v>
      </c>
      <c r="AA29" s="34">
        <f t="shared" si="21"/>
        <v>1</v>
      </c>
      <c r="AB29" s="34">
        <f t="shared" si="21"/>
        <v>0.5</v>
      </c>
      <c r="AC29" s="34">
        <f t="shared" si="21"/>
        <v>68.5</v>
      </c>
      <c r="AD29" s="34">
        <f t="shared" si="21"/>
        <v>0</v>
      </c>
      <c r="AE29" s="31">
        <f t="shared" si="21"/>
        <v>24.5</v>
      </c>
      <c r="AF29" s="31">
        <f t="shared" si="21"/>
        <v>93</v>
      </c>
    </row>
    <row r="30" spans="2:32" ht="23.1" customHeight="1" x14ac:dyDescent="0.25">
      <c r="B30" s="23" t="s">
        <v>57</v>
      </c>
      <c r="C30" s="49">
        <f>AVERAGE('22.07 Nyanama-Ndeeba'!C30,'23.07 Nyanama-Ndeeba'!C30,'24.07 Nyanama-Ndeeba'!C30,'25.07 Nyanama-Ndeeba'!C30,'26.07 Nyanama-Ndeeba-24h'!C30,'27.07 Nyanama-Ndeeba-24h'!C30,'28.07 Nyanama-Ndeeba'!C30)</f>
        <v>36.571428571428569</v>
      </c>
      <c r="D30" s="49">
        <f>AVERAGE('22.07 Nyanama-Ndeeba'!D30,'23.07 Nyanama-Ndeeba'!D30,'24.07 Nyanama-Ndeeba'!D30,'25.07 Nyanama-Ndeeba'!D30,'26.07 Nyanama-Ndeeba-24h'!D30,'27.07 Nyanama-Ndeeba-24h'!D30,'28.07 Nyanama-Ndeeba'!D30)</f>
        <v>4.7142857142857144</v>
      </c>
      <c r="E30" s="49">
        <f>AVERAGE('22.07 Nyanama-Ndeeba'!E30,'23.07 Nyanama-Ndeeba'!E30,'24.07 Nyanama-Ndeeba'!E30,'25.07 Nyanama-Ndeeba'!E30,'26.07 Nyanama-Ndeeba-24h'!E30,'27.07 Nyanama-Ndeeba-24h'!E30,'28.07 Nyanama-Ndeeba'!E30)</f>
        <v>3.5714285714285716</v>
      </c>
      <c r="F30" s="49">
        <f>AVERAGE('22.07 Nyanama-Ndeeba'!F30,'23.07 Nyanama-Ndeeba'!F30,'24.07 Nyanama-Ndeeba'!F30,'25.07 Nyanama-Ndeeba'!F30,'26.07 Nyanama-Ndeeba-24h'!F30,'27.07 Nyanama-Ndeeba-24h'!F30,'28.07 Nyanama-Ndeeba'!F30)</f>
        <v>6.1428571428571432</v>
      </c>
      <c r="G30" s="49">
        <f>AVERAGE('22.07 Nyanama-Ndeeba'!G30,'23.07 Nyanama-Ndeeba'!G30,'24.07 Nyanama-Ndeeba'!G30,'25.07 Nyanama-Ndeeba'!G30,'26.07 Nyanama-Ndeeba-24h'!G30,'27.07 Nyanama-Ndeeba-24h'!G30,'28.07 Nyanama-Ndeeba'!G30)</f>
        <v>0.5714285714285714</v>
      </c>
      <c r="H30" s="49">
        <f>AVERAGE('22.07 Nyanama-Ndeeba'!H30,'23.07 Nyanama-Ndeeba'!H30,'24.07 Nyanama-Ndeeba'!H30,'25.07 Nyanama-Ndeeba'!H30,'26.07 Nyanama-Ndeeba-24h'!H30,'27.07 Nyanama-Ndeeba-24h'!H30,'28.07 Nyanama-Ndeeba'!H30)</f>
        <v>0</v>
      </c>
      <c r="I30" s="49">
        <f>AVERAGE('22.07 Nyanama-Ndeeba'!I30,'23.07 Nyanama-Ndeeba'!I30,'24.07 Nyanama-Ndeeba'!I30,'25.07 Nyanama-Ndeeba'!I30,'26.07 Nyanama-Ndeeba-24h'!I30,'27.07 Nyanama-Ndeeba-24h'!I30,'28.07 Nyanama-Ndeeba'!I30)</f>
        <v>2.8571428571428572</v>
      </c>
      <c r="J30" s="49">
        <f>AVERAGE('22.07 Nyanama-Ndeeba'!J30,'23.07 Nyanama-Ndeeba'!J30,'24.07 Nyanama-Ndeeba'!J30,'25.07 Nyanama-Ndeeba'!J30,'26.07 Nyanama-Ndeeba-24h'!J30,'27.07 Nyanama-Ndeeba-24h'!J30,'28.07 Nyanama-Ndeeba'!J30)</f>
        <v>1.4285714285714286</v>
      </c>
      <c r="K30" s="49">
        <f>AVERAGE('22.07 Nyanama-Ndeeba'!K30,'23.07 Nyanama-Ndeeba'!K30,'24.07 Nyanama-Ndeeba'!K30,'25.07 Nyanama-Ndeeba'!K30,'26.07 Nyanama-Ndeeba-24h'!K30,'27.07 Nyanama-Ndeeba-24h'!K30,'28.07 Nyanama-Ndeeba'!K30)</f>
        <v>0</v>
      </c>
      <c r="L30" s="49">
        <f>AVERAGE('22.07 Nyanama-Ndeeba'!L30,'23.07 Nyanama-Ndeeba'!L30,'24.07 Nyanama-Ndeeba'!L30,'25.07 Nyanama-Ndeeba'!L30,'26.07 Nyanama-Ndeeba-24h'!L30,'27.07 Nyanama-Ndeeba-24h'!L30,'28.07 Nyanama-Ndeeba'!L30)</f>
        <v>0</v>
      </c>
      <c r="M30" s="49">
        <f>AVERAGE('22.07 Nyanama-Ndeeba'!M30,'23.07 Nyanama-Ndeeba'!M30,'24.07 Nyanama-Ndeeba'!M30,'25.07 Nyanama-Ndeeba'!M30,'26.07 Nyanama-Ndeeba-24h'!M30,'27.07 Nyanama-Ndeeba-24h'!M30,'28.07 Nyanama-Ndeeba'!M30)</f>
        <v>80.285714285714292</v>
      </c>
      <c r="N30" s="49">
        <f>AVERAGE('22.07 Nyanama-Ndeeba'!N30,'23.07 Nyanama-Ndeeba'!N30,'24.07 Nyanama-Ndeeba'!N30,'25.07 Nyanama-Ndeeba'!N30,'26.07 Nyanama-Ndeeba-24h'!N30,'27.07 Nyanama-Ndeeba-24h'!N30,'28.07 Nyanama-Ndeeba'!N30)</f>
        <v>0</v>
      </c>
      <c r="O30" s="15">
        <f t="shared" si="0"/>
        <v>55.857142857142854</v>
      </c>
      <c r="P30" s="15">
        <f t="shared" si="1"/>
        <v>136.14285714285714</v>
      </c>
      <c r="R30" s="1" t="s">
        <v>154</v>
      </c>
      <c r="S30" s="34">
        <f>SUM(C90:C93)</f>
        <v>9</v>
      </c>
      <c r="T30" s="34">
        <f t="shared" ref="T30:AF30" si="22">SUM(D90:D93)</f>
        <v>2</v>
      </c>
      <c r="U30" s="34">
        <f t="shared" si="22"/>
        <v>0.5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46</v>
      </c>
      <c r="AD30" s="34">
        <f t="shared" si="22"/>
        <v>0</v>
      </c>
      <c r="AE30" s="31">
        <f t="shared" si="22"/>
        <v>13.5</v>
      </c>
      <c r="AF30" s="31">
        <f t="shared" si="22"/>
        <v>59.5</v>
      </c>
    </row>
    <row r="31" spans="2:32" ht="23.1" customHeight="1" x14ac:dyDescent="0.25">
      <c r="B31" s="24" t="s">
        <v>58</v>
      </c>
      <c r="C31" s="49">
        <f>AVERAGE('22.07 Nyanama-Ndeeba'!C31,'23.07 Nyanama-Ndeeba'!C31,'24.07 Nyanama-Ndeeba'!C31,'25.07 Nyanama-Ndeeba'!C31,'26.07 Nyanama-Ndeeba-24h'!C31,'27.07 Nyanama-Ndeeba-24h'!C31,'28.07 Nyanama-Ndeeba'!C31)</f>
        <v>37.857142857142854</v>
      </c>
      <c r="D31" s="49">
        <f>AVERAGE('22.07 Nyanama-Ndeeba'!D31,'23.07 Nyanama-Ndeeba'!D31,'24.07 Nyanama-Ndeeba'!D31,'25.07 Nyanama-Ndeeba'!D31,'26.07 Nyanama-Ndeeba-24h'!D31,'27.07 Nyanama-Ndeeba-24h'!D31,'28.07 Nyanama-Ndeeba'!D31)</f>
        <v>3.4285714285714284</v>
      </c>
      <c r="E31" s="49">
        <f>AVERAGE('22.07 Nyanama-Ndeeba'!E31,'23.07 Nyanama-Ndeeba'!E31,'24.07 Nyanama-Ndeeba'!E31,'25.07 Nyanama-Ndeeba'!E31,'26.07 Nyanama-Ndeeba-24h'!E31,'27.07 Nyanama-Ndeeba-24h'!E31,'28.07 Nyanama-Ndeeba'!E31)</f>
        <v>4.2857142857142856</v>
      </c>
      <c r="F31" s="49">
        <f>AVERAGE('22.07 Nyanama-Ndeeba'!F31,'23.07 Nyanama-Ndeeba'!F31,'24.07 Nyanama-Ndeeba'!F31,'25.07 Nyanama-Ndeeba'!F31,'26.07 Nyanama-Ndeeba-24h'!F31,'27.07 Nyanama-Ndeeba-24h'!F31,'28.07 Nyanama-Ndeeba'!F31)</f>
        <v>6.5714285714285712</v>
      </c>
      <c r="G31" s="49">
        <f>AVERAGE('22.07 Nyanama-Ndeeba'!G31,'23.07 Nyanama-Ndeeba'!G31,'24.07 Nyanama-Ndeeba'!G31,'25.07 Nyanama-Ndeeba'!G31,'26.07 Nyanama-Ndeeba-24h'!G31,'27.07 Nyanama-Ndeeba-24h'!G31,'28.07 Nyanama-Ndeeba'!G31)</f>
        <v>0</v>
      </c>
      <c r="H31" s="49">
        <f>AVERAGE('22.07 Nyanama-Ndeeba'!H31,'23.07 Nyanama-Ndeeba'!H31,'24.07 Nyanama-Ndeeba'!H31,'25.07 Nyanama-Ndeeba'!H31,'26.07 Nyanama-Ndeeba-24h'!H31,'27.07 Nyanama-Ndeeba-24h'!H31,'28.07 Nyanama-Ndeeba'!H31)</f>
        <v>0</v>
      </c>
      <c r="I31" s="49">
        <f>AVERAGE('22.07 Nyanama-Ndeeba'!I31,'23.07 Nyanama-Ndeeba'!I31,'24.07 Nyanama-Ndeeba'!I31,'25.07 Nyanama-Ndeeba'!I31,'26.07 Nyanama-Ndeeba-24h'!I31,'27.07 Nyanama-Ndeeba-24h'!I31,'28.07 Nyanama-Ndeeba'!I31)</f>
        <v>2.8571428571428572</v>
      </c>
      <c r="J31" s="49">
        <f>AVERAGE('22.07 Nyanama-Ndeeba'!J31,'23.07 Nyanama-Ndeeba'!J31,'24.07 Nyanama-Ndeeba'!J31,'25.07 Nyanama-Ndeeba'!J31,'26.07 Nyanama-Ndeeba-24h'!J31,'27.07 Nyanama-Ndeeba-24h'!J31,'28.07 Nyanama-Ndeeba'!J31)</f>
        <v>1.5714285714285714</v>
      </c>
      <c r="K31" s="49">
        <f>AVERAGE('22.07 Nyanama-Ndeeba'!K31,'23.07 Nyanama-Ndeeba'!K31,'24.07 Nyanama-Ndeeba'!K31,'25.07 Nyanama-Ndeeba'!K31,'26.07 Nyanama-Ndeeba-24h'!K31,'27.07 Nyanama-Ndeeba-24h'!K31,'28.07 Nyanama-Ndeeba'!K31)</f>
        <v>0.14285714285714285</v>
      </c>
      <c r="L31" s="49">
        <f>AVERAGE('22.07 Nyanama-Ndeeba'!L31,'23.07 Nyanama-Ndeeba'!L31,'24.07 Nyanama-Ndeeba'!L31,'25.07 Nyanama-Ndeeba'!L31,'26.07 Nyanama-Ndeeba-24h'!L31,'27.07 Nyanama-Ndeeba-24h'!L31,'28.07 Nyanama-Ndeeba'!L31)</f>
        <v>0</v>
      </c>
      <c r="M31" s="49">
        <f>AVERAGE('22.07 Nyanama-Ndeeba'!M31,'23.07 Nyanama-Ndeeba'!M31,'24.07 Nyanama-Ndeeba'!M31,'25.07 Nyanama-Ndeeba'!M31,'26.07 Nyanama-Ndeeba-24h'!M31,'27.07 Nyanama-Ndeeba-24h'!M31,'28.07 Nyanama-Ndeeba'!M31)</f>
        <v>88.428571428571431</v>
      </c>
      <c r="N31" s="49">
        <f>AVERAGE('22.07 Nyanama-Ndeeba'!N31,'23.07 Nyanama-Ndeeba'!N31,'24.07 Nyanama-Ndeeba'!N31,'25.07 Nyanama-Ndeeba'!N31,'26.07 Nyanama-Ndeeba-24h'!N31,'27.07 Nyanama-Ndeeba-24h'!N31,'28.07 Nyanama-Ndeeba'!N31)</f>
        <v>0</v>
      </c>
      <c r="O31" s="15">
        <f t="shared" si="0"/>
        <v>56.714285714285708</v>
      </c>
      <c r="P31" s="15">
        <f t="shared" si="1"/>
        <v>145.14285714285714</v>
      </c>
      <c r="R31" s="1" t="s">
        <v>155</v>
      </c>
      <c r="S31" s="34">
        <f>SUM(C94:C97)</f>
        <v>8.5</v>
      </c>
      <c r="T31" s="34">
        <f t="shared" ref="T31:AF31" si="23">SUM(D94:D97)</f>
        <v>1.5</v>
      </c>
      <c r="U31" s="34">
        <f t="shared" si="23"/>
        <v>0.5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1.5</v>
      </c>
      <c r="Z31" s="34">
        <f t="shared" si="23"/>
        <v>0</v>
      </c>
      <c r="AA31" s="34">
        <f t="shared" si="23"/>
        <v>1.5</v>
      </c>
      <c r="AB31" s="34">
        <f t="shared" si="23"/>
        <v>1</v>
      </c>
      <c r="AC31" s="34">
        <f t="shared" si="23"/>
        <v>37</v>
      </c>
      <c r="AD31" s="34">
        <f t="shared" si="23"/>
        <v>0</v>
      </c>
      <c r="AE31" s="31">
        <f t="shared" si="23"/>
        <v>15.5</v>
      </c>
      <c r="AF31" s="31">
        <f t="shared" si="23"/>
        <v>52.5</v>
      </c>
    </row>
    <row r="32" spans="2:32" ht="23.1" customHeight="1" x14ac:dyDescent="0.25">
      <c r="B32" s="24" t="s">
        <v>59</v>
      </c>
      <c r="C32" s="49">
        <f>AVERAGE('22.07 Nyanama-Ndeeba'!C32,'23.07 Nyanama-Ndeeba'!C32,'24.07 Nyanama-Ndeeba'!C32,'25.07 Nyanama-Ndeeba'!C32,'26.07 Nyanama-Ndeeba-24h'!C32,'27.07 Nyanama-Ndeeba-24h'!C32,'28.07 Nyanama-Ndeeba'!C32)</f>
        <v>30.571428571428573</v>
      </c>
      <c r="D32" s="49">
        <f>AVERAGE('22.07 Nyanama-Ndeeba'!D32,'23.07 Nyanama-Ndeeba'!D32,'24.07 Nyanama-Ndeeba'!D32,'25.07 Nyanama-Ndeeba'!D32,'26.07 Nyanama-Ndeeba-24h'!D32,'27.07 Nyanama-Ndeeba-24h'!D32,'28.07 Nyanama-Ndeeba'!D32)</f>
        <v>4</v>
      </c>
      <c r="E32" s="49">
        <f>AVERAGE('22.07 Nyanama-Ndeeba'!E32,'23.07 Nyanama-Ndeeba'!E32,'24.07 Nyanama-Ndeeba'!E32,'25.07 Nyanama-Ndeeba'!E32,'26.07 Nyanama-Ndeeba-24h'!E32,'27.07 Nyanama-Ndeeba-24h'!E32,'28.07 Nyanama-Ndeeba'!E32)</f>
        <v>2.4285714285714284</v>
      </c>
      <c r="F32" s="49">
        <f>AVERAGE('22.07 Nyanama-Ndeeba'!F32,'23.07 Nyanama-Ndeeba'!F32,'24.07 Nyanama-Ndeeba'!F32,'25.07 Nyanama-Ndeeba'!F32,'26.07 Nyanama-Ndeeba-24h'!F32,'27.07 Nyanama-Ndeeba-24h'!F32,'28.07 Nyanama-Ndeeba'!F32)</f>
        <v>5.4285714285714288</v>
      </c>
      <c r="G32" s="49">
        <f>AVERAGE('22.07 Nyanama-Ndeeba'!G32,'23.07 Nyanama-Ndeeba'!G32,'24.07 Nyanama-Ndeeba'!G32,'25.07 Nyanama-Ndeeba'!G32,'26.07 Nyanama-Ndeeba-24h'!G32,'27.07 Nyanama-Ndeeba-24h'!G32,'28.07 Nyanama-Ndeeba'!G32)</f>
        <v>0.14285714285714285</v>
      </c>
      <c r="H32" s="49">
        <f>AVERAGE('22.07 Nyanama-Ndeeba'!H32,'23.07 Nyanama-Ndeeba'!H32,'24.07 Nyanama-Ndeeba'!H32,'25.07 Nyanama-Ndeeba'!H32,'26.07 Nyanama-Ndeeba-24h'!H32,'27.07 Nyanama-Ndeeba-24h'!H32,'28.07 Nyanama-Ndeeba'!H32)</f>
        <v>0.5714285714285714</v>
      </c>
      <c r="I32" s="49">
        <f>AVERAGE('22.07 Nyanama-Ndeeba'!I32,'23.07 Nyanama-Ndeeba'!I32,'24.07 Nyanama-Ndeeba'!I32,'25.07 Nyanama-Ndeeba'!I32,'26.07 Nyanama-Ndeeba-24h'!I32,'27.07 Nyanama-Ndeeba-24h'!I32,'28.07 Nyanama-Ndeeba'!I32)</f>
        <v>2.7142857142857144</v>
      </c>
      <c r="J32" s="49">
        <f>AVERAGE('22.07 Nyanama-Ndeeba'!J32,'23.07 Nyanama-Ndeeba'!J32,'24.07 Nyanama-Ndeeba'!J32,'25.07 Nyanama-Ndeeba'!J32,'26.07 Nyanama-Ndeeba-24h'!J32,'27.07 Nyanama-Ndeeba-24h'!J32,'28.07 Nyanama-Ndeeba'!J32)</f>
        <v>0.8571428571428571</v>
      </c>
      <c r="K32" s="49">
        <f>AVERAGE('22.07 Nyanama-Ndeeba'!K32,'23.07 Nyanama-Ndeeba'!K32,'24.07 Nyanama-Ndeeba'!K32,'25.07 Nyanama-Ndeeba'!K32,'26.07 Nyanama-Ndeeba-24h'!K32,'27.07 Nyanama-Ndeeba-24h'!K32,'28.07 Nyanama-Ndeeba'!K32)</f>
        <v>0</v>
      </c>
      <c r="L32" s="49">
        <f>AVERAGE('22.07 Nyanama-Ndeeba'!L32,'23.07 Nyanama-Ndeeba'!L32,'24.07 Nyanama-Ndeeba'!L32,'25.07 Nyanama-Ndeeba'!L32,'26.07 Nyanama-Ndeeba-24h'!L32,'27.07 Nyanama-Ndeeba-24h'!L32,'28.07 Nyanama-Ndeeba'!L32)</f>
        <v>0.14285714285714285</v>
      </c>
      <c r="M32" s="49">
        <f>AVERAGE('22.07 Nyanama-Ndeeba'!M32,'23.07 Nyanama-Ndeeba'!M32,'24.07 Nyanama-Ndeeba'!M32,'25.07 Nyanama-Ndeeba'!M32,'26.07 Nyanama-Ndeeba-24h'!M32,'27.07 Nyanama-Ndeeba-24h'!M32,'28.07 Nyanama-Ndeeba'!M32)</f>
        <v>80.857142857142861</v>
      </c>
      <c r="N32" s="49">
        <f>AVERAGE('22.07 Nyanama-Ndeeba'!N32,'23.07 Nyanama-Ndeeba'!N32,'24.07 Nyanama-Ndeeba'!N32,'25.07 Nyanama-Ndeeba'!N32,'26.07 Nyanama-Ndeeba-24h'!N32,'27.07 Nyanama-Ndeeba-24h'!N32,'28.07 Nyanama-Ndeeba'!N32)</f>
        <v>0</v>
      </c>
      <c r="O32" s="15">
        <f t="shared" si="0"/>
        <v>46.857142857142861</v>
      </c>
      <c r="P32" s="15">
        <f t="shared" si="1"/>
        <v>127.71428571428572</v>
      </c>
      <c r="R32" s="1" t="s">
        <v>156</v>
      </c>
      <c r="S32" s="34">
        <f>SUM(C98:C101)</f>
        <v>16.5</v>
      </c>
      <c r="T32" s="34">
        <f t="shared" ref="T32:AF32" si="24">SUM(D98:D101)</f>
        <v>5.5</v>
      </c>
      <c r="U32" s="34">
        <f t="shared" si="24"/>
        <v>2.5</v>
      </c>
      <c r="V32" s="34">
        <f t="shared" si="24"/>
        <v>14.5</v>
      </c>
      <c r="W32" s="34">
        <f t="shared" si="24"/>
        <v>0.5</v>
      </c>
      <c r="X32" s="34">
        <f t="shared" si="24"/>
        <v>0</v>
      </c>
      <c r="Y32" s="34">
        <f t="shared" si="24"/>
        <v>3</v>
      </c>
      <c r="Z32" s="34">
        <f t="shared" si="24"/>
        <v>0.5</v>
      </c>
      <c r="AA32" s="34">
        <f t="shared" si="24"/>
        <v>1</v>
      </c>
      <c r="AB32" s="34">
        <f t="shared" si="24"/>
        <v>0</v>
      </c>
      <c r="AC32" s="34">
        <f t="shared" si="24"/>
        <v>115.5</v>
      </c>
      <c r="AD32" s="34">
        <f t="shared" si="24"/>
        <v>0</v>
      </c>
      <c r="AE32" s="31">
        <f t="shared" si="24"/>
        <v>44</v>
      </c>
      <c r="AF32" s="31">
        <f t="shared" si="24"/>
        <v>159.5</v>
      </c>
    </row>
    <row r="33" spans="2:32" ht="23.1" customHeight="1" x14ac:dyDescent="0.25">
      <c r="B33" s="23" t="s">
        <v>60</v>
      </c>
      <c r="C33" s="49">
        <f>AVERAGE('22.07 Nyanama-Ndeeba'!C33,'23.07 Nyanama-Ndeeba'!C33,'24.07 Nyanama-Ndeeba'!C33,'25.07 Nyanama-Ndeeba'!C33,'26.07 Nyanama-Ndeeba-24h'!C33,'27.07 Nyanama-Ndeeba-24h'!C33,'28.07 Nyanama-Ndeeba'!C33)</f>
        <v>34.285714285714285</v>
      </c>
      <c r="D33" s="49">
        <f>AVERAGE('22.07 Nyanama-Ndeeba'!D33,'23.07 Nyanama-Ndeeba'!D33,'24.07 Nyanama-Ndeeba'!D33,'25.07 Nyanama-Ndeeba'!D33,'26.07 Nyanama-Ndeeba-24h'!D33,'27.07 Nyanama-Ndeeba-24h'!D33,'28.07 Nyanama-Ndeeba'!D33)</f>
        <v>2.4285714285714284</v>
      </c>
      <c r="E33" s="49">
        <f>AVERAGE('22.07 Nyanama-Ndeeba'!E33,'23.07 Nyanama-Ndeeba'!E33,'24.07 Nyanama-Ndeeba'!E33,'25.07 Nyanama-Ndeeba'!E33,'26.07 Nyanama-Ndeeba-24h'!E33,'27.07 Nyanama-Ndeeba-24h'!E33,'28.07 Nyanama-Ndeeba'!E33)</f>
        <v>2.8571428571428572</v>
      </c>
      <c r="F33" s="49">
        <f>AVERAGE('22.07 Nyanama-Ndeeba'!F33,'23.07 Nyanama-Ndeeba'!F33,'24.07 Nyanama-Ndeeba'!F33,'25.07 Nyanama-Ndeeba'!F33,'26.07 Nyanama-Ndeeba-24h'!F33,'27.07 Nyanama-Ndeeba-24h'!F33,'28.07 Nyanama-Ndeeba'!F33)</f>
        <v>6.8571428571428568</v>
      </c>
      <c r="G33" s="49">
        <f>AVERAGE('22.07 Nyanama-Ndeeba'!G33,'23.07 Nyanama-Ndeeba'!G33,'24.07 Nyanama-Ndeeba'!G33,'25.07 Nyanama-Ndeeba'!G33,'26.07 Nyanama-Ndeeba-24h'!G33,'27.07 Nyanama-Ndeeba-24h'!G33,'28.07 Nyanama-Ndeeba'!G33)</f>
        <v>0</v>
      </c>
      <c r="H33" s="49">
        <f>AVERAGE('22.07 Nyanama-Ndeeba'!H33,'23.07 Nyanama-Ndeeba'!H33,'24.07 Nyanama-Ndeeba'!H33,'25.07 Nyanama-Ndeeba'!H33,'26.07 Nyanama-Ndeeba-24h'!H33,'27.07 Nyanama-Ndeeba-24h'!H33,'28.07 Nyanama-Ndeeba'!H33)</f>
        <v>0</v>
      </c>
      <c r="I33" s="49">
        <f>AVERAGE('22.07 Nyanama-Ndeeba'!I33,'23.07 Nyanama-Ndeeba'!I33,'24.07 Nyanama-Ndeeba'!I33,'25.07 Nyanama-Ndeeba'!I33,'26.07 Nyanama-Ndeeba-24h'!I33,'27.07 Nyanama-Ndeeba-24h'!I33,'28.07 Nyanama-Ndeeba'!I33)</f>
        <v>2.1428571428571428</v>
      </c>
      <c r="J33" s="49">
        <f>AVERAGE('22.07 Nyanama-Ndeeba'!J33,'23.07 Nyanama-Ndeeba'!J33,'24.07 Nyanama-Ndeeba'!J33,'25.07 Nyanama-Ndeeba'!J33,'26.07 Nyanama-Ndeeba-24h'!J33,'27.07 Nyanama-Ndeeba-24h'!J33,'28.07 Nyanama-Ndeeba'!J33)</f>
        <v>1</v>
      </c>
      <c r="K33" s="49">
        <f>AVERAGE('22.07 Nyanama-Ndeeba'!K33,'23.07 Nyanama-Ndeeba'!K33,'24.07 Nyanama-Ndeeba'!K33,'25.07 Nyanama-Ndeeba'!K33,'26.07 Nyanama-Ndeeba-24h'!K33,'27.07 Nyanama-Ndeeba-24h'!K33,'28.07 Nyanama-Ndeeba'!K33)</f>
        <v>0.14285714285714285</v>
      </c>
      <c r="L33" s="49">
        <f>AVERAGE('22.07 Nyanama-Ndeeba'!L33,'23.07 Nyanama-Ndeeba'!L33,'24.07 Nyanama-Ndeeba'!L33,'25.07 Nyanama-Ndeeba'!L33,'26.07 Nyanama-Ndeeba-24h'!L33,'27.07 Nyanama-Ndeeba-24h'!L33,'28.07 Nyanama-Ndeeba'!L33)</f>
        <v>0.2857142857142857</v>
      </c>
      <c r="M33" s="49">
        <f>AVERAGE('22.07 Nyanama-Ndeeba'!M33,'23.07 Nyanama-Ndeeba'!M33,'24.07 Nyanama-Ndeeba'!M33,'25.07 Nyanama-Ndeeba'!M33,'26.07 Nyanama-Ndeeba-24h'!M33,'27.07 Nyanama-Ndeeba-24h'!M33,'28.07 Nyanama-Ndeeba'!M33)</f>
        <v>91.857142857142861</v>
      </c>
      <c r="N33" s="49">
        <f>AVERAGE('22.07 Nyanama-Ndeeba'!N33,'23.07 Nyanama-Ndeeba'!N33,'24.07 Nyanama-Ndeeba'!N33,'25.07 Nyanama-Ndeeba'!N33,'26.07 Nyanama-Ndeeba-24h'!N33,'27.07 Nyanama-Ndeeba-24h'!N33,'28.07 Nyanama-Ndeeba'!N33)</f>
        <v>0</v>
      </c>
      <c r="O33" s="15">
        <f t="shared" si="0"/>
        <v>50</v>
      </c>
      <c r="P33" s="15">
        <f t="shared" si="1"/>
        <v>141.85714285714286</v>
      </c>
      <c r="R33" s="1" t="s">
        <v>157</v>
      </c>
      <c r="S33" s="34">
        <f>SUM(C102:C105)</f>
        <v>36</v>
      </c>
      <c r="T33" s="34">
        <f t="shared" ref="T33:AF33" si="25">SUM(D102:D105)</f>
        <v>19</v>
      </c>
      <c r="U33" s="34">
        <f t="shared" si="25"/>
        <v>3</v>
      </c>
      <c r="V33" s="34">
        <f t="shared" si="25"/>
        <v>32.5</v>
      </c>
      <c r="W33" s="34">
        <f t="shared" si="25"/>
        <v>0</v>
      </c>
      <c r="X33" s="34">
        <f t="shared" si="25"/>
        <v>0</v>
      </c>
      <c r="Y33" s="34">
        <f t="shared" si="25"/>
        <v>8</v>
      </c>
      <c r="Z33" s="34">
        <f t="shared" si="25"/>
        <v>1</v>
      </c>
      <c r="AA33" s="34">
        <f t="shared" si="25"/>
        <v>3</v>
      </c>
      <c r="AB33" s="34">
        <f t="shared" si="25"/>
        <v>1</v>
      </c>
      <c r="AC33" s="34">
        <f t="shared" si="25"/>
        <v>133.5</v>
      </c>
      <c r="AD33" s="34">
        <f t="shared" si="25"/>
        <v>0</v>
      </c>
      <c r="AE33" s="31">
        <f t="shared" si="25"/>
        <v>103.5</v>
      </c>
      <c r="AF33" s="31">
        <f t="shared" si="25"/>
        <v>237</v>
      </c>
    </row>
    <row r="34" spans="2:32" ht="23.1" customHeight="1" x14ac:dyDescent="0.25">
      <c r="B34" s="24" t="s">
        <v>61</v>
      </c>
      <c r="C34" s="49">
        <f>AVERAGE('22.07 Nyanama-Ndeeba'!C34,'23.07 Nyanama-Ndeeba'!C34,'24.07 Nyanama-Ndeeba'!C34,'25.07 Nyanama-Ndeeba'!C34,'26.07 Nyanama-Ndeeba-24h'!C34,'27.07 Nyanama-Ndeeba-24h'!C34,'28.07 Nyanama-Ndeeba'!C34)</f>
        <v>27.285714285714285</v>
      </c>
      <c r="D34" s="49">
        <f>AVERAGE('22.07 Nyanama-Ndeeba'!D34,'23.07 Nyanama-Ndeeba'!D34,'24.07 Nyanama-Ndeeba'!D34,'25.07 Nyanama-Ndeeba'!D34,'26.07 Nyanama-Ndeeba-24h'!D34,'27.07 Nyanama-Ndeeba-24h'!D34,'28.07 Nyanama-Ndeeba'!D34)</f>
        <v>3.4285714285714284</v>
      </c>
      <c r="E34" s="49">
        <f>AVERAGE('22.07 Nyanama-Ndeeba'!E34,'23.07 Nyanama-Ndeeba'!E34,'24.07 Nyanama-Ndeeba'!E34,'25.07 Nyanama-Ndeeba'!E34,'26.07 Nyanama-Ndeeba-24h'!E34,'27.07 Nyanama-Ndeeba-24h'!E34,'28.07 Nyanama-Ndeeba'!E34)</f>
        <v>3.1428571428571428</v>
      </c>
      <c r="F34" s="49">
        <f>AVERAGE('22.07 Nyanama-Ndeeba'!F34,'23.07 Nyanama-Ndeeba'!F34,'24.07 Nyanama-Ndeeba'!F34,'25.07 Nyanama-Ndeeba'!F34,'26.07 Nyanama-Ndeeba-24h'!F34,'27.07 Nyanama-Ndeeba-24h'!F34,'28.07 Nyanama-Ndeeba'!F34)</f>
        <v>5.4285714285714288</v>
      </c>
      <c r="G34" s="49">
        <f>AVERAGE('22.07 Nyanama-Ndeeba'!G34,'23.07 Nyanama-Ndeeba'!G34,'24.07 Nyanama-Ndeeba'!G34,'25.07 Nyanama-Ndeeba'!G34,'26.07 Nyanama-Ndeeba-24h'!G34,'27.07 Nyanama-Ndeeba-24h'!G34,'28.07 Nyanama-Ndeeba'!G34)</f>
        <v>0.14285714285714285</v>
      </c>
      <c r="H34" s="49">
        <f>AVERAGE('22.07 Nyanama-Ndeeba'!H34,'23.07 Nyanama-Ndeeba'!H34,'24.07 Nyanama-Ndeeba'!H34,'25.07 Nyanama-Ndeeba'!H34,'26.07 Nyanama-Ndeeba-24h'!H34,'27.07 Nyanama-Ndeeba-24h'!H34,'28.07 Nyanama-Ndeeba'!H34)</f>
        <v>0</v>
      </c>
      <c r="I34" s="49">
        <f>AVERAGE('22.07 Nyanama-Ndeeba'!I34,'23.07 Nyanama-Ndeeba'!I34,'24.07 Nyanama-Ndeeba'!I34,'25.07 Nyanama-Ndeeba'!I34,'26.07 Nyanama-Ndeeba-24h'!I34,'27.07 Nyanama-Ndeeba-24h'!I34,'28.07 Nyanama-Ndeeba'!I34)</f>
        <v>2.5714285714285716</v>
      </c>
      <c r="J34" s="49">
        <f>AVERAGE('22.07 Nyanama-Ndeeba'!J34,'23.07 Nyanama-Ndeeba'!J34,'24.07 Nyanama-Ndeeba'!J34,'25.07 Nyanama-Ndeeba'!J34,'26.07 Nyanama-Ndeeba-24h'!J34,'27.07 Nyanama-Ndeeba-24h'!J34,'28.07 Nyanama-Ndeeba'!J34)</f>
        <v>1.1428571428571428</v>
      </c>
      <c r="K34" s="49">
        <f>AVERAGE('22.07 Nyanama-Ndeeba'!K34,'23.07 Nyanama-Ndeeba'!K34,'24.07 Nyanama-Ndeeba'!K34,'25.07 Nyanama-Ndeeba'!K34,'26.07 Nyanama-Ndeeba-24h'!K34,'27.07 Nyanama-Ndeeba-24h'!K34,'28.07 Nyanama-Ndeeba'!K34)</f>
        <v>0.2857142857142857</v>
      </c>
      <c r="L34" s="49">
        <f>AVERAGE('22.07 Nyanama-Ndeeba'!L34,'23.07 Nyanama-Ndeeba'!L34,'24.07 Nyanama-Ndeeba'!L34,'25.07 Nyanama-Ndeeba'!L34,'26.07 Nyanama-Ndeeba-24h'!L34,'27.07 Nyanama-Ndeeba-24h'!L34,'28.07 Nyanama-Ndeeba'!L34)</f>
        <v>0</v>
      </c>
      <c r="M34" s="49">
        <f>AVERAGE('22.07 Nyanama-Ndeeba'!M34,'23.07 Nyanama-Ndeeba'!M34,'24.07 Nyanama-Ndeeba'!M34,'25.07 Nyanama-Ndeeba'!M34,'26.07 Nyanama-Ndeeba-24h'!M34,'27.07 Nyanama-Ndeeba-24h'!M34,'28.07 Nyanama-Ndeeba'!M34)</f>
        <v>69.142857142857139</v>
      </c>
      <c r="N34" s="49">
        <f>AVERAGE('22.07 Nyanama-Ndeeba'!N34,'23.07 Nyanama-Ndeeba'!N34,'24.07 Nyanama-Ndeeba'!N34,'25.07 Nyanama-Ndeeba'!N34,'26.07 Nyanama-Ndeeba-24h'!N34,'27.07 Nyanama-Ndeeba-24h'!N34,'28.07 Nyanama-Ndeeba'!N34)</f>
        <v>0</v>
      </c>
      <c r="O34" s="15">
        <f t="shared" si="0"/>
        <v>43.428571428571431</v>
      </c>
      <c r="P34" s="15">
        <f t="shared" si="1"/>
        <v>112.57142857142857</v>
      </c>
      <c r="R34" s="38" t="s">
        <v>90</v>
      </c>
      <c r="S34" s="39">
        <f t="shared" ref="S34:AF34" si="26">MAX(S10:S12)</f>
        <v>218.57142857142856</v>
      </c>
      <c r="T34" s="39">
        <f t="shared" si="26"/>
        <v>27.571428571428569</v>
      </c>
      <c r="U34" s="39">
        <f t="shared" si="26"/>
        <v>21</v>
      </c>
      <c r="V34" s="39">
        <f t="shared" si="26"/>
        <v>96.285714285714292</v>
      </c>
      <c r="W34" s="39">
        <f t="shared" si="26"/>
        <v>1.7142857142857142</v>
      </c>
      <c r="X34" s="39">
        <f t="shared" si="26"/>
        <v>0.14285714285714285</v>
      </c>
      <c r="Y34" s="39">
        <f t="shared" si="26"/>
        <v>12.857142857142858</v>
      </c>
      <c r="Z34" s="39">
        <f t="shared" si="26"/>
        <v>5.4285714285714288</v>
      </c>
      <c r="AA34" s="39">
        <f t="shared" si="26"/>
        <v>5</v>
      </c>
      <c r="AB34" s="39">
        <f t="shared" si="26"/>
        <v>0.2857142857142857</v>
      </c>
      <c r="AC34" s="39">
        <f t="shared" si="26"/>
        <v>447.57142857142861</v>
      </c>
      <c r="AD34" s="39">
        <f t="shared" si="26"/>
        <v>0</v>
      </c>
      <c r="AE34" s="40">
        <f t="shared" si="26"/>
        <v>363.71428571428578</v>
      </c>
      <c r="AF34" s="40">
        <f t="shared" si="26"/>
        <v>808.28571428571445</v>
      </c>
    </row>
    <row r="35" spans="2:32" ht="23.1" customHeight="1" x14ac:dyDescent="0.25">
      <c r="B35" s="24" t="s">
        <v>62</v>
      </c>
      <c r="C35" s="49">
        <f>AVERAGE('22.07 Nyanama-Ndeeba'!C35,'23.07 Nyanama-Ndeeba'!C35,'24.07 Nyanama-Ndeeba'!C35,'25.07 Nyanama-Ndeeba'!C35,'26.07 Nyanama-Ndeeba-24h'!C35,'27.07 Nyanama-Ndeeba-24h'!C35,'28.07 Nyanama-Ndeeba'!C35)</f>
        <v>27.285714285714285</v>
      </c>
      <c r="D35" s="49">
        <f>AVERAGE('22.07 Nyanama-Ndeeba'!D35,'23.07 Nyanama-Ndeeba'!D35,'24.07 Nyanama-Ndeeba'!D35,'25.07 Nyanama-Ndeeba'!D35,'26.07 Nyanama-Ndeeba-24h'!D35,'27.07 Nyanama-Ndeeba-24h'!D35,'28.07 Nyanama-Ndeeba'!D35)</f>
        <v>4.1428571428571432</v>
      </c>
      <c r="E35" s="49">
        <f>AVERAGE('22.07 Nyanama-Ndeeba'!E35,'23.07 Nyanama-Ndeeba'!E35,'24.07 Nyanama-Ndeeba'!E35,'25.07 Nyanama-Ndeeba'!E35,'26.07 Nyanama-Ndeeba-24h'!E35,'27.07 Nyanama-Ndeeba-24h'!E35,'28.07 Nyanama-Ndeeba'!E35)</f>
        <v>3</v>
      </c>
      <c r="F35" s="49">
        <f>AVERAGE('22.07 Nyanama-Ndeeba'!F35,'23.07 Nyanama-Ndeeba'!F35,'24.07 Nyanama-Ndeeba'!F35,'25.07 Nyanama-Ndeeba'!F35,'26.07 Nyanama-Ndeeba-24h'!F35,'27.07 Nyanama-Ndeeba-24h'!F35,'28.07 Nyanama-Ndeeba'!F35)</f>
        <v>6.7142857142857144</v>
      </c>
      <c r="G35" s="49">
        <f>AVERAGE('22.07 Nyanama-Ndeeba'!G35,'23.07 Nyanama-Ndeeba'!G35,'24.07 Nyanama-Ndeeba'!G35,'25.07 Nyanama-Ndeeba'!G35,'26.07 Nyanama-Ndeeba-24h'!G35,'27.07 Nyanama-Ndeeba-24h'!G35,'28.07 Nyanama-Ndeeba'!G35)</f>
        <v>0</v>
      </c>
      <c r="H35" s="49">
        <f>AVERAGE('22.07 Nyanama-Ndeeba'!H35,'23.07 Nyanama-Ndeeba'!H35,'24.07 Nyanama-Ndeeba'!H35,'25.07 Nyanama-Ndeeba'!H35,'26.07 Nyanama-Ndeeba-24h'!H35,'27.07 Nyanama-Ndeeba-24h'!H35,'28.07 Nyanama-Ndeeba'!H35)</f>
        <v>0</v>
      </c>
      <c r="I35" s="49">
        <f>AVERAGE('22.07 Nyanama-Ndeeba'!I35,'23.07 Nyanama-Ndeeba'!I35,'24.07 Nyanama-Ndeeba'!I35,'25.07 Nyanama-Ndeeba'!I35,'26.07 Nyanama-Ndeeba-24h'!I35,'27.07 Nyanama-Ndeeba-24h'!I35,'28.07 Nyanama-Ndeeba'!I35)</f>
        <v>2.7142857142857144</v>
      </c>
      <c r="J35" s="49">
        <f>AVERAGE('22.07 Nyanama-Ndeeba'!J35,'23.07 Nyanama-Ndeeba'!J35,'24.07 Nyanama-Ndeeba'!J35,'25.07 Nyanama-Ndeeba'!J35,'26.07 Nyanama-Ndeeba-24h'!J35,'27.07 Nyanama-Ndeeba-24h'!J35,'28.07 Nyanama-Ndeeba'!J35)</f>
        <v>1.2857142857142858</v>
      </c>
      <c r="K35" s="49">
        <f>AVERAGE('22.07 Nyanama-Ndeeba'!K35,'23.07 Nyanama-Ndeeba'!K35,'24.07 Nyanama-Ndeeba'!K35,'25.07 Nyanama-Ndeeba'!K35,'26.07 Nyanama-Ndeeba-24h'!K35,'27.07 Nyanama-Ndeeba-24h'!K35,'28.07 Nyanama-Ndeeba'!K35)</f>
        <v>0.14285714285714285</v>
      </c>
      <c r="L35" s="49">
        <f>AVERAGE('22.07 Nyanama-Ndeeba'!L35,'23.07 Nyanama-Ndeeba'!L35,'24.07 Nyanama-Ndeeba'!L35,'25.07 Nyanama-Ndeeba'!L35,'26.07 Nyanama-Ndeeba-24h'!L35,'27.07 Nyanama-Ndeeba-24h'!L35,'28.07 Nyanama-Ndeeba'!L35)</f>
        <v>0</v>
      </c>
      <c r="M35" s="49">
        <f>AVERAGE('22.07 Nyanama-Ndeeba'!M35,'23.07 Nyanama-Ndeeba'!M35,'24.07 Nyanama-Ndeeba'!M35,'25.07 Nyanama-Ndeeba'!M35,'26.07 Nyanama-Ndeeba-24h'!M35,'27.07 Nyanama-Ndeeba-24h'!M35,'28.07 Nyanama-Ndeeba'!M35)</f>
        <v>70.571428571428569</v>
      </c>
      <c r="N35" s="49">
        <f>AVERAGE('22.07 Nyanama-Ndeeba'!N35,'23.07 Nyanama-Ndeeba'!N35,'24.07 Nyanama-Ndeeba'!N35,'25.07 Nyanama-Ndeeba'!N35,'26.07 Nyanama-Ndeeba-24h'!N35,'27.07 Nyanama-Ndeeba-24h'!N35,'28.07 Nyanama-Ndeeba'!N35)</f>
        <v>0</v>
      </c>
      <c r="O35" s="15">
        <f t="shared" si="0"/>
        <v>45.285714285714292</v>
      </c>
      <c r="P35" s="15">
        <f t="shared" si="1"/>
        <v>115.85714285714286</v>
      </c>
      <c r="R35" s="38" t="s">
        <v>91</v>
      </c>
      <c r="S35" s="39">
        <f t="shared" ref="S35:AF35" si="27">MAX(S13:S18)</f>
        <v>181.42857142857142</v>
      </c>
      <c r="T35" s="39">
        <f t="shared" si="27"/>
        <v>21.857142857142858</v>
      </c>
      <c r="U35" s="39">
        <f t="shared" si="27"/>
        <v>16.714285714285715</v>
      </c>
      <c r="V35" s="39">
        <f t="shared" si="27"/>
        <v>31.714285714285715</v>
      </c>
      <c r="W35" s="39">
        <f t="shared" si="27"/>
        <v>1.5714285714285714</v>
      </c>
      <c r="X35" s="39">
        <f t="shared" si="27"/>
        <v>0.5714285714285714</v>
      </c>
      <c r="Y35" s="39">
        <f t="shared" si="27"/>
        <v>14.428571428571431</v>
      </c>
      <c r="Z35" s="39">
        <f t="shared" si="27"/>
        <v>6.1428571428571432</v>
      </c>
      <c r="AA35" s="39">
        <f t="shared" si="27"/>
        <v>1.2857142857142856</v>
      </c>
      <c r="AB35" s="39">
        <f t="shared" si="27"/>
        <v>0.5714285714285714</v>
      </c>
      <c r="AC35" s="39">
        <f t="shared" si="27"/>
        <v>381</v>
      </c>
      <c r="AD35" s="39">
        <f t="shared" si="27"/>
        <v>0.14285714285714285</v>
      </c>
      <c r="AE35" s="40">
        <f t="shared" si="27"/>
        <v>270.85714285714289</v>
      </c>
      <c r="AF35" s="40">
        <f t="shared" si="27"/>
        <v>651.85714285714278</v>
      </c>
    </row>
    <row r="36" spans="2:32" ht="23.1" customHeight="1" x14ac:dyDescent="0.25">
      <c r="B36" s="24" t="s">
        <v>63</v>
      </c>
      <c r="C36" s="49">
        <f>AVERAGE('22.07 Nyanama-Ndeeba'!C36,'23.07 Nyanama-Ndeeba'!C36,'24.07 Nyanama-Ndeeba'!C36,'25.07 Nyanama-Ndeeba'!C36,'26.07 Nyanama-Ndeeba-24h'!C36,'27.07 Nyanama-Ndeeba-24h'!C36,'28.07 Nyanama-Ndeeba'!C36)</f>
        <v>29.142857142857142</v>
      </c>
      <c r="D36" s="49">
        <f>AVERAGE('22.07 Nyanama-Ndeeba'!D36,'23.07 Nyanama-Ndeeba'!D36,'24.07 Nyanama-Ndeeba'!D36,'25.07 Nyanama-Ndeeba'!D36,'26.07 Nyanama-Ndeeba-24h'!D36,'27.07 Nyanama-Ndeeba-24h'!D36,'28.07 Nyanama-Ndeeba'!D36)</f>
        <v>2.7142857142857144</v>
      </c>
      <c r="E36" s="49">
        <f>AVERAGE('22.07 Nyanama-Ndeeba'!E36,'23.07 Nyanama-Ndeeba'!E36,'24.07 Nyanama-Ndeeba'!E36,'25.07 Nyanama-Ndeeba'!E36,'26.07 Nyanama-Ndeeba-24h'!E36,'27.07 Nyanama-Ndeeba-24h'!E36,'28.07 Nyanama-Ndeeba'!E36)</f>
        <v>3.2857142857142856</v>
      </c>
      <c r="F36" s="49">
        <f>AVERAGE('22.07 Nyanama-Ndeeba'!F36,'23.07 Nyanama-Ndeeba'!F36,'24.07 Nyanama-Ndeeba'!F36,'25.07 Nyanama-Ndeeba'!F36,'26.07 Nyanama-Ndeeba-24h'!F36,'27.07 Nyanama-Ndeeba-24h'!F36,'28.07 Nyanama-Ndeeba'!F36)</f>
        <v>6.2857142857142856</v>
      </c>
      <c r="G36" s="49">
        <f>AVERAGE('22.07 Nyanama-Ndeeba'!G36,'23.07 Nyanama-Ndeeba'!G36,'24.07 Nyanama-Ndeeba'!G36,'25.07 Nyanama-Ndeeba'!G36,'26.07 Nyanama-Ndeeba-24h'!G36,'27.07 Nyanama-Ndeeba-24h'!G36,'28.07 Nyanama-Ndeeba'!G36)</f>
        <v>0.14285714285714285</v>
      </c>
      <c r="H36" s="49">
        <f>AVERAGE('22.07 Nyanama-Ndeeba'!H36,'23.07 Nyanama-Ndeeba'!H36,'24.07 Nyanama-Ndeeba'!H36,'25.07 Nyanama-Ndeeba'!H36,'26.07 Nyanama-Ndeeba-24h'!H36,'27.07 Nyanama-Ndeeba-24h'!H36,'28.07 Nyanama-Ndeeba'!H36)</f>
        <v>0</v>
      </c>
      <c r="I36" s="49">
        <f>AVERAGE('22.07 Nyanama-Ndeeba'!I36,'23.07 Nyanama-Ndeeba'!I36,'24.07 Nyanama-Ndeeba'!I36,'25.07 Nyanama-Ndeeba'!I36,'26.07 Nyanama-Ndeeba-24h'!I36,'27.07 Nyanama-Ndeeba-24h'!I36,'28.07 Nyanama-Ndeeba'!I36)</f>
        <v>2</v>
      </c>
      <c r="J36" s="49">
        <f>AVERAGE('22.07 Nyanama-Ndeeba'!J36,'23.07 Nyanama-Ndeeba'!J36,'24.07 Nyanama-Ndeeba'!J36,'25.07 Nyanama-Ndeeba'!J36,'26.07 Nyanama-Ndeeba-24h'!J36,'27.07 Nyanama-Ndeeba-24h'!J36,'28.07 Nyanama-Ndeeba'!J36)</f>
        <v>1.4285714285714286</v>
      </c>
      <c r="K36" s="49">
        <f>AVERAGE('22.07 Nyanama-Ndeeba'!K36,'23.07 Nyanama-Ndeeba'!K36,'24.07 Nyanama-Ndeeba'!K36,'25.07 Nyanama-Ndeeba'!K36,'26.07 Nyanama-Ndeeba-24h'!K36,'27.07 Nyanama-Ndeeba-24h'!K36,'28.07 Nyanama-Ndeeba'!K36)</f>
        <v>0.2857142857142857</v>
      </c>
      <c r="L36" s="49">
        <f>AVERAGE('22.07 Nyanama-Ndeeba'!L36,'23.07 Nyanama-Ndeeba'!L36,'24.07 Nyanama-Ndeeba'!L36,'25.07 Nyanama-Ndeeba'!L36,'26.07 Nyanama-Ndeeba-24h'!L36,'27.07 Nyanama-Ndeeba-24h'!L36,'28.07 Nyanama-Ndeeba'!L36)</f>
        <v>0</v>
      </c>
      <c r="M36" s="49">
        <f>AVERAGE('22.07 Nyanama-Ndeeba'!M36,'23.07 Nyanama-Ndeeba'!M36,'24.07 Nyanama-Ndeeba'!M36,'25.07 Nyanama-Ndeeba'!M36,'26.07 Nyanama-Ndeeba-24h'!M36,'27.07 Nyanama-Ndeeba-24h'!M36,'28.07 Nyanama-Ndeeba'!M36)</f>
        <v>72.428571428571431</v>
      </c>
      <c r="N36" s="49">
        <f>AVERAGE('22.07 Nyanama-Ndeeba'!N36,'23.07 Nyanama-Ndeeba'!N36,'24.07 Nyanama-Ndeeba'!N36,'25.07 Nyanama-Ndeeba'!N36,'26.07 Nyanama-Ndeeba-24h'!N36,'27.07 Nyanama-Ndeeba-24h'!N36,'28.07 Nyanama-Ndeeba'!N36)</f>
        <v>0</v>
      </c>
      <c r="O36" s="15">
        <f t="shared" si="0"/>
        <v>45.285714285714292</v>
      </c>
      <c r="P36" s="15">
        <f t="shared" si="1"/>
        <v>117.71428571428572</v>
      </c>
      <c r="R36" s="38" t="s">
        <v>92</v>
      </c>
      <c r="S36" s="39">
        <f t="shared" ref="S36:AF36" si="28">MAX(S19:S21)</f>
        <v>125.71428571428572</v>
      </c>
      <c r="T36" s="39">
        <f t="shared" si="28"/>
        <v>17.142857142857142</v>
      </c>
      <c r="U36" s="39">
        <f t="shared" si="28"/>
        <v>101.00000000000001</v>
      </c>
      <c r="V36" s="39">
        <f t="shared" si="28"/>
        <v>32.857142857142854</v>
      </c>
      <c r="W36" s="39">
        <f t="shared" si="28"/>
        <v>2.1428571428571428</v>
      </c>
      <c r="X36" s="39">
        <f t="shared" si="28"/>
        <v>0.99999999999999989</v>
      </c>
      <c r="Y36" s="39">
        <f t="shared" si="28"/>
        <v>9</v>
      </c>
      <c r="Z36" s="39">
        <f t="shared" si="28"/>
        <v>3.1428571428571428</v>
      </c>
      <c r="AA36" s="39">
        <f t="shared" si="28"/>
        <v>2.2857142857142856</v>
      </c>
      <c r="AB36" s="39">
        <f t="shared" si="28"/>
        <v>0.8571428571428571</v>
      </c>
      <c r="AC36" s="39">
        <f t="shared" si="28"/>
        <v>376.14285714285711</v>
      </c>
      <c r="AD36" s="39">
        <f t="shared" si="28"/>
        <v>0.2857142857142857</v>
      </c>
      <c r="AE36" s="40">
        <f t="shared" si="28"/>
        <v>287.85714285714283</v>
      </c>
      <c r="AF36" s="40">
        <f t="shared" si="28"/>
        <v>626.14285714285711</v>
      </c>
    </row>
    <row r="37" spans="2:32" ht="23.1" customHeight="1" x14ac:dyDescent="0.25">
      <c r="B37" s="23" t="s">
        <v>64</v>
      </c>
      <c r="C37" s="49">
        <f>AVERAGE('22.07 Nyanama-Ndeeba'!C37,'23.07 Nyanama-Ndeeba'!C37,'24.07 Nyanama-Ndeeba'!C37,'25.07 Nyanama-Ndeeba'!C37,'26.07 Nyanama-Ndeeba-24h'!C37,'27.07 Nyanama-Ndeeba-24h'!C37,'28.07 Nyanama-Ndeeba'!C37)</f>
        <v>32.428571428571431</v>
      </c>
      <c r="D37" s="49">
        <f>AVERAGE('22.07 Nyanama-Ndeeba'!D37,'23.07 Nyanama-Ndeeba'!D37,'24.07 Nyanama-Ndeeba'!D37,'25.07 Nyanama-Ndeeba'!D37,'26.07 Nyanama-Ndeeba-24h'!D37,'27.07 Nyanama-Ndeeba-24h'!D37,'28.07 Nyanama-Ndeeba'!D37)</f>
        <v>5</v>
      </c>
      <c r="E37" s="49">
        <f>AVERAGE('22.07 Nyanama-Ndeeba'!E37,'23.07 Nyanama-Ndeeba'!E37,'24.07 Nyanama-Ndeeba'!E37,'25.07 Nyanama-Ndeeba'!E37,'26.07 Nyanama-Ndeeba-24h'!E37,'27.07 Nyanama-Ndeeba-24h'!E37,'28.07 Nyanama-Ndeeba'!E37)</f>
        <v>4.7142857142857144</v>
      </c>
      <c r="F37" s="49">
        <f>AVERAGE('22.07 Nyanama-Ndeeba'!F37,'23.07 Nyanama-Ndeeba'!F37,'24.07 Nyanama-Ndeeba'!F37,'25.07 Nyanama-Ndeeba'!F37,'26.07 Nyanama-Ndeeba-24h'!F37,'27.07 Nyanama-Ndeeba-24h'!F37,'28.07 Nyanama-Ndeeba'!F37)</f>
        <v>7</v>
      </c>
      <c r="G37" s="49">
        <f>AVERAGE('22.07 Nyanama-Ndeeba'!G37,'23.07 Nyanama-Ndeeba'!G37,'24.07 Nyanama-Ndeeba'!G37,'25.07 Nyanama-Ndeeba'!G37,'26.07 Nyanama-Ndeeba-24h'!G37,'27.07 Nyanama-Ndeeba-24h'!G37,'28.07 Nyanama-Ndeeba'!G37)</f>
        <v>0</v>
      </c>
      <c r="H37" s="49">
        <f>AVERAGE('22.07 Nyanama-Ndeeba'!H37,'23.07 Nyanama-Ndeeba'!H37,'24.07 Nyanama-Ndeeba'!H37,'25.07 Nyanama-Ndeeba'!H37,'26.07 Nyanama-Ndeeba-24h'!H37,'27.07 Nyanama-Ndeeba-24h'!H37,'28.07 Nyanama-Ndeeba'!H37)</f>
        <v>0</v>
      </c>
      <c r="I37" s="49">
        <f>AVERAGE('22.07 Nyanama-Ndeeba'!I37,'23.07 Nyanama-Ndeeba'!I37,'24.07 Nyanama-Ndeeba'!I37,'25.07 Nyanama-Ndeeba'!I37,'26.07 Nyanama-Ndeeba-24h'!I37,'27.07 Nyanama-Ndeeba-24h'!I37,'28.07 Nyanama-Ndeeba'!I37)</f>
        <v>2.5714285714285716</v>
      </c>
      <c r="J37" s="49">
        <f>AVERAGE('22.07 Nyanama-Ndeeba'!J37,'23.07 Nyanama-Ndeeba'!J37,'24.07 Nyanama-Ndeeba'!J37,'25.07 Nyanama-Ndeeba'!J37,'26.07 Nyanama-Ndeeba-24h'!J37,'27.07 Nyanama-Ndeeba-24h'!J37,'28.07 Nyanama-Ndeeba'!J37)</f>
        <v>0.7142857142857143</v>
      </c>
      <c r="K37" s="49">
        <f>AVERAGE('22.07 Nyanama-Ndeeba'!K37,'23.07 Nyanama-Ndeeba'!K37,'24.07 Nyanama-Ndeeba'!K37,'25.07 Nyanama-Ndeeba'!K37,'26.07 Nyanama-Ndeeba-24h'!K37,'27.07 Nyanama-Ndeeba-24h'!K37,'28.07 Nyanama-Ndeeba'!K37)</f>
        <v>0.5714285714285714</v>
      </c>
      <c r="L37" s="49">
        <f>AVERAGE('22.07 Nyanama-Ndeeba'!L37,'23.07 Nyanama-Ndeeba'!L37,'24.07 Nyanama-Ndeeba'!L37,'25.07 Nyanama-Ndeeba'!L37,'26.07 Nyanama-Ndeeba-24h'!L37,'27.07 Nyanama-Ndeeba-24h'!L37,'28.07 Nyanama-Ndeeba'!L37)</f>
        <v>0</v>
      </c>
      <c r="M37" s="49">
        <f>AVERAGE('22.07 Nyanama-Ndeeba'!M37,'23.07 Nyanama-Ndeeba'!M37,'24.07 Nyanama-Ndeeba'!M37,'25.07 Nyanama-Ndeeba'!M37,'26.07 Nyanama-Ndeeba-24h'!M37,'27.07 Nyanama-Ndeeba-24h'!M37,'28.07 Nyanama-Ndeeba'!M37)</f>
        <v>74.142857142857139</v>
      </c>
      <c r="N37" s="49">
        <f>AVERAGE('22.07 Nyanama-Ndeeba'!N37,'23.07 Nyanama-Ndeeba'!N37,'24.07 Nyanama-Ndeeba'!N37,'25.07 Nyanama-Ndeeba'!N37,'26.07 Nyanama-Ndeeba-24h'!N37,'27.07 Nyanama-Ndeeba-24h'!N37,'28.07 Nyanama-Ndeeba'!N37)</f>
        <v>0</v>
      </c>
      <c r="O37" s="15">
        <f t="shared" si="0"/>
        <v>53</v>
      </c>
      <c r="P37" s="15">
        <f t="shared" si="1"/>
        <v>127.14285714285714</v>
      </c>
      <c r="R37" s="37" t="s">
        <v>85</v>
      </c>
      <c r="S37" s="35">
        <f t="shared" ref="S37:AF37" si="29">SUM(S10:S12)</f>
        <v>635.42857142857133</v>
      </c>
      <c r="T37" s="16">
        <f t="shared" si="29"/>
        <v>76.714285714285722</v>
      </c>
      <c r="U37" s="16">
        <f t="shared" si="29"/>
        <v>54.142857142857146</v>
      </c>
      <c r="V37" s="16">
        <f t="shared" si="29"/>
        <v>231.85714285714286</v>
      </c>
      <c r="W37" s="16">
        <f t="shared" si="29"/>
        <v>4.2857142857142847</v>
      </c>
      <c r="X37" s="16">
        <f t="shared" si="29"/>
        <v>0.14285714285714285</v>
      </c>
      <c r="Y37" s="16">
        <f t="shared" si="29"/>
        <v>33.428571428571431</v>
      </c>
      <c r="Z37" s="16">
        <f t="shared" si="29"/>
        <v>10.571428571428571</v>
      </c>
      <c r="AA37" s="16">
        <f t="shared" si="29"/>
        <v>6.7142857142857135</v>
      </c>
      <c r="AB37" s="16">
        <f t="shared" si="29"/>
        <v>0.5714285714285714</v>
      </c>
      <c r="AC37" s="16">
        <f t="shared" si="29"/>
        <v>1258.7142857142858</v>
      </c>
      <c r="AD37" s="16">
        <f t="shared" si="29"/>
        <v>0</v>
      </c>
      <c r="AE37" s="32">
        <f t="shared" si="29"/>
        <v>1053.8571428571431</v>
      </c>
      <c r="AF37" s="32">
        <f t="shared" si="29"/>
        <v>2312.5714285714284</v>
      </c>
    </row>
    <row r="38" spans="2:32" ht="23.1" customHeight="1" x14ac:dyDescent="0.25">
      <c r="B38" s="24" t="s">
        <v>65</v>
      </c>
      <c r="C38" s="49">
        <f>AVERAGE('22.07 Nyanama-Ndeeba'!C38,'23.07 Nyanama-Ndeeba'!C38,'24.07 Nyanama-Ndeeba'!C38,'25.07 Nyanama-Ndeeba'!C38,'26.07 Nyanama-Ndeeba-24h'!C38,'27.07 Nyanama-Ndeeba-24h'!C38,'28.07 Nyanama-Ndeeba'!C38)</f>
        <v>27.285714285714285</v>
      </c>
      <c r="D38" s="49">
        <f>AVERAGE('22.07 Nyanama-Ndeeba'!D38,'23.07 Nyanama-Ndeeba'!D38,'24.07 Nyanama-Ndeeba'!D38,'25.07 Nyanama-Ndeeba'!D38,'26.07 Nyanama-Ndeeba-24h'!D38,'27.07 Nyanama-Ndeeba-24h'!D38,'28.07 Nyanama-Ndeeba'!D38)</f>
        <v>3.5714285714285716</v>
      </c>
      <c r="E38" s="49">
        <f>AVERAGE('22.07 Nyanama-Ndeeba'!E38,'23.07 Nyanama-Ndeeba'!E38,'24.07 Nyanama-Ndeeba'!E38,'25.07 Nyanama-Ndeeba'!E38,'26.07 Nyanama-Ndeeba-24h'!E38,'27.07 Nyanama-Ndeeba-24h'!E38,'28.07 Nyanama-Ndeeba'!E38)</f>
        <v>2.4285714285714284</v>
      </c>
      <c r="F38" s="49">
        <f>AVERAGE('22.07 Nyanama-Ndeeba'!F38,'23.07 Nyanama-Ndeeba'!F38,'24.07 Nyanama-Ndeeba'!F38,'25.07 Nyanama-Ndeeba'!F38,'26.07 Nyanama-Ndeeba-24h'!F38,'27.07 Nyanama-Ndeeba-24h'!F38,'28.07 Nyanama-Ndeeba'!F38)</f>
        <v>5.5714285714285712</v>
      </c>
      <c r="G38" s="49">
        <f>AVERAGE('22.07 Nyanama-Ndeeba'!G38,'23.07 Nyanama-Ndeeba'!G38,'24.07 Nyanama-Ndeeba'!G38,'25.07 Nyanama-Ndeeba'!G38,'26.07 Nyanama-Ndeeba-24h'!G38,'27.07 Nyanama-Ndeeba-24h'!G38,'28.07 Nyanama-Ndeeba'!G38)</f>
        <v>0.42857142857142855</v>
      </c>
      <c r="H38" s="49">
        <f>AVERAGE('22.07 Nyanama-Ndeeba'!H38,'23.07 Nyanama-Ndeeba'!H38,'24.07 Nyanama-Ndeeba'!H38,'25.07 Nyanama-Ndeeba'!H38,'26.07 Nyanama-Ndeeba-24h'!H38,'27.07 Nyanama-Ndeeba-24h'!H38,'28.07 Nyanama-Ndeeba'!H38)</f>
        <v>0</v>
      </c>
      <c r="I38" s="49">
        <f>AVERAGE('22.07 Nyanama-Ndeeba'!I38,'23.07 Nyanama-Ndeeba'!I38,'24.07 Nyanama-Ndeeba'!I38,'25.07 Nyanama-Ndeeba'!I38,'26.07 Nyanama-Ndeeba-24h'!I38,'27.07 Nyanama-Ndeeba-24h'!I38,'28.07 Nyanama-Ndeeba'!I38)</f>
        <v>2.4285714285714284</v>
      </c>
      <c r="J38" s="49">
        <f>AVERAGE('22.07 Nyanama-Ndeeba'!J38,'23.07 Nyanama-Ndeeba'!J38,'24.07 Nyanama-Ndeeba'!J38,'25.07 Nyanama-Ndeeba'!J38,'26.07 Nyanama-Ndeeba-24h'!J38,'27.07 Nyanama-Ndeeba-24h'!J38,'28.07 Nyanama-Ndeeba'!J38)</f>
        <v>1.1428571428571428</v>
      </c>
      <c r="K38" s="49">
        <f>AVERAGE('22.07 Nyanama-Ndeeba'!K38,'23.07 Nyanama-Ndeeba'!K38,'24.07 Nyanama-Ndeeba'!K38,'25.07 Nyanama-Ndeeba'!K38,'26.07 Nyanama-Ndeeba-24h'!K38,'27.07 Nyanama-Ndeeba-24h'!K38,'28.07 Nyanama-Ndeeba'!K38)</f>
        <v>0.14285714285714285</v>
      </c>
      <c r="L38" s="49">
        <f>AVERAGE('22.07 Nyanama-Ndeeba'!L38,'23.07 Nyanama-Ndeeba'!L38,'24.07 Nyanama-Ndeeba'!L38,'25.07 Nyanama-Ndeeba'!L38,'26.07 Nyanama-Ndeeba-24h'!L38,'27.07 Nyanama-Ndeeba-24h'!L38,'28.07 Nyanama-Ndeeba'!L38)</f>
        <v>0</v>
      </c>
      <c r="M38" s="49">
        <f>AVERAGE('22.07 Nyanama-Ndeeba'!M38,'23.07 Nyanama-Ndeeba'!M38,'24.07 Nyanama-Ndeeba'!M38,'25.07 Nyanama-Ndeeba'!M38,'26.07 Nyanama-Ndeeba-24h'!M38,'27.07 Nyanama-Ndeeba-24h'!M38,'28.07 Nyanama-Ndeeba'!M38)</f>
        <v>69.285714285714292</v>
      </c>
      <c r="N38" s="49">
        <f>AVERAGE('22.07 Nyanama-Ndeeba'!N38,'23.07 Nyanama-Ndeeba'!N38,'24.07 Nyanama-Ndeeba'!N38,'25.07 Nyanama-Ndeeba'!N38,'26.07 Nyanama-Ndeeba-24h'!N38,'27.07 Nyanama-Ndeeba-24h'!N38,'28.07 Nyanama-Ndeeba'!N38)</f>
        <v>0.14285714285714285</v>
      </c>
      <c r="O38" s="15">
        <f t="shared" si="0"/>
        <v>43.142857142857153</v>
      </c>
      <c r="P38" s="15">
        <f t="shared" si="1"/>
        <v>112.42857142857144</v>
      </c>
      <c r="R38" s="28" t="s">
        <v>86</v>
      </c>
      <c r="S38" s="16">
        <f t="shared" ref="S38:AF38" si="30">SUM(S13:S18)</f>
        <v>815.71428571428578</v>
      </c>
      <c r="T38" s="16">
        <f t="shared" si="30"/>
        <v>101.71428571428571</v>
      </c>
      <c r="U38" s="16">
        <f t="shared" si="30"/>
        <v>87.142857142857153</v>
      </c>
      <c r="V38" s="16">
        <f t="shared" si="30"/>
        <v>158</v>
      </c>
      <c r="W38" s="16">
        <f t="shared" si="30"/>
        <v>5.1428571428571423</v>
      </c>
      <c r="X38" s="16">
        <f t="shared" si="30"/>
        <v>0.5714285714285714</v>
      </c>
      <c r="Y38" s="16">
        <f t="shared" si="30"/>
        <v>64.714285714285722</v>
      </c>
      <c r="Z38" s="16">
        <f t="shared" si="30"/>
        <v>29.000000000000004</v>
      </c>
      <c r="AA38" s="16">
        <f t="shared" si="30"/>
        <v>4.1428571428571423</v>
      </c>
      <c r="AB38" s="16">
        <f t="shared" si="30"/>
        <v>1.857142857142857</v>
      </c>
      <c r="AC38" s="16">
        <f t="shared" si="30"/>
        <v>1900.4285714285713</v>
      </c>
      <c r="AD38" s="16">
        <f t="shared" si="30"/>
        <v>0.2857142857142857</v>
      </c>
      <c r="AE38" s="32">
        <f t="shared" si="30"/>
        <v>1268.2857142857142</v>
      </c>
      <c r="AF38" s="32">
        <f t="shared" si="30"/>
        <v>3168.7142857142858</v>
      </c>
    </row>
    <row r="39" spans="2:32" ht="23.1" customHeight="1" x14ac:dyDescent="0.25">
      <c r="B39" s="24" t="s">
        <v>66</v>
      </c>
      <c r="C39" s="49">
        <f>AVERAGE('22.07 Nyanama-Ndeeba'!C39,'23.07 Nyanama-Ndeeba'!C39,'24.07 Nyanama-Ndeeba'!C39,'25.07 Nyanama-Ndeeba'!C39,'26.07 Nyanama-Ndeeba-24h'!C39,'27.07 Nyanama-Ndeeba-24h'!C39,'28.07 Nyanama-Ndeeba'!C39)</f>
        <v>28.428571428571427</v>
      </c>
      <c r="D39" s="49">
        <f>AVERAGE('22.07 Nyanama-Ndeeba'!D39,'23.07 Nyanama-Ndeeba'!D39,'24.07 Nyanama-Ndeeba'!D39,'25.07 Nyanama-Ndeeba'!D39,'26.07 Nyanama-Ndeeba-24h'!D39,'27.07 Nyanama-Ndeeba-24h'!D39,'28.07 Nyanama-Ndeeba'!D39)</f>
        <v>3.4285714285714284</v>
      </c>
      <c r="E39" s="49">
        <f>AVERAGE('22.07 Nyanama-Ndeeba'!E39,'23.07 Nyanama-Ndeeba'!E39,'24.07 Nyanama-Ndeeba'!E39,'25.07 Nyanama-Ndeeba'!E39,'26.07 Nyanama-Ndeeba-24h'!E39,'27.07 Nyanama-Ndeeba-24h'!E39,'28.07 Nyanama-Ndeeba'!E39)</f>
        <v>3.5714285714285716</v>
      </c>
      <c r="F39" s="49">
        <f>AVERAGE('22.07 Nyanama-Ndeeba'!F39,'23.07 Nyanama-Ndeeba'!F39,'24.07 Nyanama-Ndeeba'!F39,'25.07 Nyanama-Ndeeba'!F39,'26.07 Nyanama-Ndeeba-24h'!F39,'27.07 Nyanama-Ndeeba-24h'!F39,'28.07 Nyanama-Ndeeba'!F39)</f>
        <v>6.7142857142857144</v>
      </c>
      <c r="G39" s="49">
        <f>AVERAGE('22.07 Nyanama-Ndeeba'!G39,'23.07 Nyanama-Ndeeba'!G39,'24.07 Nyanama-Ndeeba'!G39,'25.07 Nyanama-Ndeeba'!G39,'26.07 Nyanama-Ndeeba-24h'!G39,'27.07 Nyanama-Ndeeba-24h'!G39,'28.07 Nyanama-Ndeeba'!G39)</f>
        <v>0.2857142857142857</v>
      </c>
      <c r="H39" s="49">
        <f>AVERAGE('22.07 Nyanama-Ndeeba'!H39,'23.07 Nyanama-Ndeeba'!H39,'24.07 Nyanama-Ndeeba'!H39,'25.07 Nyanama-Ndeeba'!H39,'26.07 Nyanama-Ndeeba-24h'!H39,'27.07 Nyanama-Ndeeba-24h'!H39,'28.07 Nyanama-Ndeeba'!H39)</f>
        <v>0</v>
      </c>
      <c r="I39" s="49">
        <f>AVERAGE('22.07 Nyanama-Ndeeba'!I39,'23.07 Nyanama-Ndeeba'!I39,'24.07 Nyanama-Ndeeba'!I39,'25.07 Nyanama-Ndeeba'!I39,'26.07 Nyanama-Ndeeba-24h'!I39,'27.07 Nyanama-Ndeeba-24h'!I39,'28.07 Nyanama-Ndeeba'!I39)</f>
        <v>2.1428571428571428</v>
      </c>
      <c r="J39" s="49">
        <f>AVERAGE('22.07 Nyanama-Ndeeba'!J39,'23.07 Nyanama-Ndeeba'!J39,'24.07 Nyanama-Ndeeba'!J39,'25.07 Nyanama-Ndeeba'!J39,'26.07 Nyanama-Ndeeba-24h'!J39,'27.07 Nyanama-Ndeeba-24h'!J39,'28.07 Nyanama-Ndeeba'!J39)</f>
        <v>1.4285714285714286</v>
      </c>
      <c r="K39" s="49">
        <f>AVERAGE('22.07 Nyanama-Ndeeba'!K39,'23.07 Nyanama-Ndeeba'!K39,'24.07 Nyanama-Ndeeba'!K39,'25.07 Nyanama-Ndeeba'!K39,'26.07 Nyanama-Ndeeba-24h'!K39,'27.07 Nyanama-Ndeeba-24h'!K39,'28.07 Nyanama-Ndeeba'!K39)</f>
        <v>0</v>
      </c>
      <c r="L39" s="49">
        <f>AVERAGE('22.07 Nyanama-Ndeeba'!L39,'23.07 Nyanama-Ndeeba'!L39,'24.07 Nyanama-Ndeeba'!L39,'25.07 Nyanama-Ndeeba'!L39,'26.07 Nyanama-Ndeeba-24h'!L39,'27.07 Nyanama-Ndeeba-24h'!L39,'28.07 Nyanama-Ndeeba'!L39)</f>
        <v>0</v>
      </c>
      <c r="M39" s="49">
        <f>AVERAGE('22.07 Nyanama-Ndeeba'!M39,'23.07 Nyanama-Ndeeba'!M39,'24.07 Nyanama-Ndeeba'!M39,'25.07 Nyanama-Ndeeba'!M39,'26.07 Nyanama-Ndeeba-24h'!M39,'27.07 Nyanama-Ndeeba-24h'!M39,'28.07 Nyanama-Ndeeba'!M39)</f>
        <v>71.142857142857139</v>
      </c>
      <c r="N39" s="49">
        <f>AVERAGE('22.07 Nyanama-Ndeeba'!N39,'23.07 Nyanama-Ndeeba'!N39,'24.07 Nyanama-Ndeeba'!N39,'25.07 Nyanama-Ndeeba'!N39,'26.07 Nyanama-Ndeeba-24h'!N39,'27.07 Nyanama-Ndeeba-24h'!N39,'28.07 Nyanama-Ndeeba'!N39)</f>
        <v>0</v>
      </c>
      <c r="O39" s="15">
        <f t="shared" si="0"/>
        <v>46</v>
      </c>
      <c r="P39" s="15">
        <f t="shared" si="1"/>
        <v>117.14285714285714</v>
      </c>
      <c r="R39" s="29" t="s">
        <v>87</v>
      </c>
      <c r="S39" s="16">
        <f t="shared" ref="S39:AF39" si="31">SUM(S19:S21)</f>
        <v>364.71428571428572</v>
      </c>
      <c r="T39" s="16">
        <f t="shared" si="31"/>
        <v>49.428571428571431</v>
      </c>
      <c r="U39" s="16">
        <f t="shared" si="31"/>
        <v>126.00000000000001</v>
      </c>
      <c r="V39" s="16">
        <f t="shared" si="31"/>
        <v>86.714285714285722</v>
      </c>
      <c r="W39" s="16">
        <f t="shared" si="31"/>
        <v>4.2857142857142847</v>
      </c>
      <c r="X39" s="16">
        <f t="shared" si="31"/>
        <v>1.8571428571428568</v>
      </c>
      <c r="Y39" s="16">
        <f t="shared" si="31"/>
        <v>25.142857142857142</v>
      </c>
      <c r="Z39" s="16">
        <f t="shared" si="31"/>
        <v>8.2857142857142847</v>
      </c>
      <c r="AA39" s="16">
        <f t="shared" si="31"/>
        <v>4.1428571428571423</v>
      </c>
      <c r="AB39" s="16">
        <f t="shared" si="31"/>
        <v>0.8571428571428571</v>
      </c>
      <c r="AC39" s="16">
        <f t="shared" si="31"/>
        <v>998.85714285714289</v>
      </c>
      <c r="AD39" s="16">
        <f t="shared" si="31"/>
        <v>0.42857142857142855</v>
      </c>
      <c r="AE39" s="32">
        <f t="shared" si="31"/>
        <v>671.85714285714289</v>
      </c>
      <c r="AF39" s="32">
        <f t="shared" si="31"/>
        <v>1670.7142857142856</v>
      </c>
    </row>
    <row r="40" spans="2:32" ht="23.1" customHeight="1" x14ac:dyDescent="0.25">
      <c r="B40" s="24" t="s">
        <v>67</v>
      </c>
      <c r="C40" s="49">
        <f>AVERAGE('22.07 Nyanama-Ndeeba'!C40,'23.07 Nyanama-Ndeeba'!C40,'24.07 Nyanama-Ndeeba'!C40,'25.07 Nyanama-Ndeeba'!C40,'26.07 Nyanama-Ndeeba-24h'!C40,'27.07 Nyanama-Ndeeba-24h'!C40,'28.07 Nyanama-Ndeeba'!C40)</f>
        <v>31.428571428571427</v>
      </c>
      <c r="D40" s="49">
        <f>AVERAGE('22.07 Nyanama-Ndeeba'!D40,'23.07 Nyanama-Ndeeba'!D40,'24.07 Nyanama-Ndeeba'!D40,'25.07 Nyanama-Ndeeba'!D40,'26.07 Nyanama-Ndeeba-24h'!D40,'27.07 Nyanama-Ndeeba-24h'!D40,'28.07 Nyanama-Ndeeba'!D40)</f>
        <v>4.2857142857142856</v>
      </c>
      <c r="E40" s="49">
        <f>AVERAGE('22.07 Nyanama-Ndeeba'!E40,'23.07 Nyanama-Ndeeba'!E40,'24.07 Nyanama-Ndeeba'!E40,'25.07 Nyanama-Ndeeba'!E40,'26.07 Nyanama-Ndeeba-24h'!E40,'27.07 Nyanama-Ndeeba-24h'!E40,'28.07 Nyanama-Ndeeba'!E40)</f>
        <v>4</v>
      </c>
      <c r="F40" s="49">
        <f>AVERAGE('22.07 Nyanama-Ndeeba'!F40,'23.07 Nyanama-Ndeeba'!F40,'24.07 Nyanama-Ndeeba'!F40,'25.07 Nyanama-Ndeeba'!F40,'26.07 Nyanama-Ndeeba-24h'!F40,'27.07 Nyanama-Ndeeba-24h'!F40,'28.07 Nyanama-Ndeeba'!F40)</f>
        <v>6.8571428571428568</v>
      </c>
      <c r="G40" s="49">
        <f>AVERAGE('22.07 Nyanama-Ndeeba'!G40,'23.07 Nyanama-Ndeeba'!G40,'24.07 Nyanama-Ndeeba'!G40,'25.07 Nyanama-Ndeeba'!G40,'26.07 Nyanama-Ndeeba-24h'!G40,'27.07 Nyanama-Ndeeba-24h'!G40,'28.07 Nyanama-Ndeeba'!G40)</f>
        <v>0.2857142857142857</v>
      </c>
      <c r="H40" s="49">
        <f>AVERAGE('22.07 Nyanama-Ndeeba'!H40,'23.07 Nyanama-Ndeeba'!H40,'24.07 Nyanama-Ndeeba'!H40,'25.07 Nyanama-Ndeeba'!H40,'26.07 Nyanama-Ndeeba-24h'!H40,'27.07 Nyanama-Ndeeba-24h'!H40,'28.07 Nyanama-Ndeeba'!H40)</f>
        <v>0</v>
      </c>
      <c r="I40" s="49">
        <f>AVERAGE('22.07 Nyanama-Ndeeba'!I40,'23.07 Nyanama-Ndeeba'!I40,'24.07 Nyanama-Ndeeba'!I40,'25.07 Nyanama-Ndeeba'!I40,'26.07 Nyanama-Ndeeba-24h'!I40,'27.07 Nyanama-Ndeeba-24h'!I40,'28.07 Nyanama-Ndeeba'!I40)</f>
        <v>1.5714285714285714</v>
      </c>
      <c r="J40" s="49">
        <f>AVERAGE('22.07 Nyanama-Ndeeba'!J40,'23.07 Nyanama-Ndeeba'!J40,'24.07 Nyanama-Ndeeba'!J40,'25.07 Nyanama-Ndeeba'!J40,'26.07 Nyanama-Ndeeba-24h'!J40,'27.07 Nyanama-Ndeeba-24h'!J40,'28.07 Nyanama-Ndeeba'!J40)</f>
        <v>0.5714285714285714</v>
      </c>
      <c r="K40" s="49">
        <f>AVERAGE('22.07 Nyanama-Ndeeba'!K40,'23.07 Nyanama-Ndeeba'!K40,'24.07 Nyanama-Ndeeba'!K40,'25.07 Nyanama-Ndeeba'!K40,'26.07 Nyanama-Ndeeba-24h'!K40,'27.07 Nyanama-Ndeeba-24h'!K40,'28.07 Nyanama-Ndeeba'!K40)</f>
        <v>0.42857142857142855</v>
      </c>
      <c r="L40" s="49">
        <f>AVERAGE('22.07 Nyanama-Ndeeba'!L40,'23.07 Nyanama-Ndeeba'!L40,'24.07 Nyanama-Ndeeba'!L40,'25.07 Nyanama-Ndeeba'!L40,'26.07 Nyanama-Ndeeba-24h'!L40,'27.07 Nyanama-Ndeeba-24h'!L40,'28.07 Nyanama-Ndeeba'!L40)</f>
        <v>0.14285714285714285</v>
      </c>
      <c r="M40" s="49">
        <f>AVERAGE('22.07 Nyanama-Ndeeba'!M40,'23.07 Nyanama-Ndeeba'!M40,'24.07 Nyanama-Ndeeba'!M40,'25.07 Nyanama-Ndeeba'!M40,'26.07 Nyanama-Ndeeba-24h'!M40,'27.07 Nyanama-Ndeeba-24h'!M40,'28.07 Nyanama-Ndeeba'!M40)</f>
        <v>69.285714285714292</v>
      </c>
      <c r="N40" s="49">
        <f>AVERAGE('22.07 Nyanama-Ndeeba'!N40,'23.07 Nyanama-Ndeeba'!N40,'24.07 Nyanama-Ndeeba'!N40,'25.07 Nyanama-Ndeeba'!N40,'26.07 Nyanama-Ndeeba-24h'!N40,'27.07 Nyanama-Ndeeba-24h'!N40,'28.07 Nyanama-Ndeeba'!N40)</f>
        <v>0</v>
      </c>
      <c r="O40" s="15">
        <f t="shared" si="0"/>
        <v>49.571428571428569</v>
      </c>
      <c r="P40" s="15">
        <f t="shared" si="1"/>
        <v>118.85714285714286</v>
      </c>
      <c r="R40" s="5" t="s">
        <v>17</v>
      </c>
      <c r="S40" s="16">
        <f t="shared" ref="S40:AF40" si="32">SUM(S10:S21)</f>
        <v>1815.8571428571427</v>
      </c>
      <c r="T40" s="16">
        <f t="shared" si="32"/>
        <v>227.85714285714286</v>
      </c>
      <c r="U40" s="16">
        <f t="shared" si="32"/>
        <v>267.28571428571428</v>
      </c>
      <c r="V40" s="16">
        <f t="shared" si="32"/>
        <v>476.57142857142856</v>
      </c>
      <c r="W40" s="16">
        <f t="shared" si="32"/>
        <v>13.714285714285712</v>
      </c>
      <c r="X40" s="16">
        <f t="shared" si="32"/>
        <v>2.5714285714285712</v>
      </c>
      <c r="Y40" s="16">
        <f t="shared" si="32"/>
        <v>123.28571428571429</v>
      </c>
      <c r="Z40" s="16">
        <f t="shared" si="32"/>
        <v>47.857142857142861</v>
      </c>
      <c r="AA40" s="16">
        <f t="shared" si="32"/>
        <v>15</v>
      </c>
      <c r="AB40" s="16">
        <f t="shared" si="32"/>
        <v>3.2857142857142856</v>
      </c>
      <c r="AC40" s="16">
        <f t="shared" si="32"/>
        <v>4158</v>
      </c>
      <c r="AD40" s="16">
        <f t="shared" si="32"/>
        <v>0.71428571428571419</v>
      </c>
      <c r="AE40" s="32">
        <f t="shared" si="32"/>
        <v>2994</v>
      </c>
      <c r="AF40" s="32">
        <f t="shared" si="32"/>
        <v>7152</v>
      </c>
    </row>
    <row r="41" spans="2:32" ht="23.1" customHeight="1" x14ac:dyDescent="0.25">
      <c r="B41" s="23" t="s">
        <v>68</v>
      </c>
      <c r="C41" s="49">
        <f>AVERAGE('22.07 Nyanama-Ndeeba'!C41,'23.07 Nyanama-Ndeeba'!C41,'24.07 Nyanama-Ndeeba'!C41,'25.07 Nyanama-Ndeeba'!C41,'26.07 Nyanama-Ndeeba-24h'!C41,'27.07 Nyanama-Ndeeba-24h'!C41,'28.07 Nyanama-Ndeeba'!C41)</f>
        <v>30</v>
      </c>
      <c r="D41" s="49">
        <f>AVERAGE('22.07 Nyanama-Ndeeba'!D41,'23.07 Nyanama-Ndeeba'!D41,'24.07 Nyanama-Ndeeba'!D41,'25.07 Nyanama-Ndeeba'!D41,'26.07 Nyanama-Ndeeba-24h'!D41,'27.07 Nyanama-Ndeeba-24h'!D41,'28.07 Nyanama-Ndeeba'!D41)</f>
        <v>5.1428571428571432</v>
      </c>
      <c r="E41" s="49">
        <f>AVERAGE('22.07 Nyanama-Ndeeba'!E41,'23.07 Nyanama-Ndeeba'!E41,'24.07 Nyanama-Ndeeba'!E41,'25.07 Nyanama-Ndeeba'!E41,'26.07 Nyanama-Ndeeba-24h'!E41,'27.07 Nyanama-Ndeeba-24h'!E41,'28.07 Nyanama-Ndeeba'!E41)</f>
        <v>4.1428571428571432</v>
      </c>
      <c r="F41" s="49">
        <f>AVERAGE('22.07 Nyanama-Ndeeba'!F41,'23.07 Nyanama-Ndeeba'!F41,'24.07 Nyanama-Ndeeba'!F41,'25.07 Nyanama-Ndeeba'!F41,'26.07 Nyanama-Ndeeba-24h'!F41,'27.07 Nyanama-Ndeeba-24h'!F41,'28.07 Nyanama-Ndeeba'!F41)</f>
        <v>6.5714285714285712</v>
      </c>
      <c r="G41" s="49">
        <f>AVERAGE('22.07 Nyanama-Ndeeba'!G41,'23.07 Nyanama-Ndeeba'!G41,'24.07 Nyanama-Ndeeba'!G41,'25.07 Nyanama-Ndeeba'!G41,'26.07 Nyanama-Ndeeba-24h'!G41,'27.07 Nyanama-Ndeeba-24h'!G41,'28.07 Nyanama-Ndeeba'!G41)</f>
        <v>0.2857142857142857</v>
      </c>
      <c r="H41" s="49">
        <f>AVERAGE('22.07 Nyanama-Ndeeba'!H41,'23.07 Nyanama-Ndeeba'!H41,'24.07 Nyanama-Ndeeba'!H41,'25.07 Nyanama-Ndeeba'!H41,'26.07 Nyanama-Ndeeba-24h'!H41,'27.07 Nyanama-Ndeeba-24h'!H41,'28.07 Nyanama-Ndeeba'!H41)</f>
        <v>0</v>
      </c>
      <c r="I41" s="49">
        <f>AVERAGE('22.07 Nyanama-Ndeeba'!I41,'23.07 Nyanama-Ndeeba'!I41,'24.07 Nyanama-Ndeeba'!I41,'25.07 Nyanama-Ndeeba'!I41,'26.07 Nyanama-Ndeeba-24h'!I41,'27.07 Nyanama-Ndeeba-24h'!I41,'28.07 Nyanama-Ndeeba'!I41)</f>
        <v>2.5714285714285716</v>
      </c>
      <c r="J41" s="49">
        <f>AVERAGE('22.07 Nyanama-Ndeeba'!J41,'23.07 Nyanama-Ndeeba'!J41,'24.07 Nyanama-Ndeeba'!J41,'25.07 Nyanama-Ndeeba'!J41,'26.07 Nyanama-Ndeeba-24h'!J41,'27.07 Nyanama-Ndeeba-24h'!J41,'28.07 Nyanama-Ndeeba'!J41)</f>
        <v>1.1428571428571428</v>
      </c>
      <c r="K41" s="49">
        <f>AVERAGE('22.07 Nyanama-Ndeeba'!K41,'23.07 Nyanama-Ndeeba'!K41,'24.07 Nyanama-Ndeeba'!K41,'25.07 Nyanama-Ndeeba'!K41,'26.07 Nyanama-Ndeeba-24h'!K41,'27.07 Nyanama-Ndeeba-24h'!K41,'28.07 Nyanama-Ndeeba'!K41)</f>
        <v>0.14285714285714285</v>
      </c>
      <c r="L41" s="49">
        <f>AVERAGE('22.07 Nyanama-Ndeeba'!L41,'23.07 Nyanama-Ndeeba'!L41,'24.07 Nyanama-Ndeeba'!L41,'25.07 Nyanama-Ndeeba'!L41,'26.07 Nyanama-Ndeeba-24h'!L41,'27.07 Nyanama-Ndeeba-24h'!L41,'28.07 Nyanama-Ndeeba'!L41)</f>
        <v>0.2857142857142857</v>
      </c>
      <c r="M41" s="49">
        <f>AVERAGE('22.07 Nyanama-Ndeeba'!M41,'23.07 Nyanama-Ndeeba'!M41,'24.07 Nyanama-Ndeeba'!M41,'25.07 Nyanama-Ndeeba'!M41,'26.07 Nyanama-Ndeeba-24h'!M41,'27.07 Nyanama-Ndeeba-24h'!M41,'28.07 Nyanama-Ndeeba'!M41)</f>
        <v>64.571428571428569</v>
      </c>
      <c r="N41" s="49">
        <f>AVERAGE('22.07 Nyanama-Ndeeba'!N41,'23.07 Nyanama-Ndeeba'!N41,'24.07 Nyanama-Ndeeba'!N41,'25.07 Nyanama-Ndeeba'!N41,'26.07 Nyanama-Ndeeba-24h'!N41,'27.07 Nyanama-Ndeeba-24h'!N41,'28.07 Nyanama-Ndeeba'!N41)</f>
        <v>0</v>
      </c>
      <c r="O41" s="15">
        <f t="shared" si="0"/>
        <v>50.285714285714292</v>
      </c>
      <c r="P41" s="15">
        <f t="shared" si="1"/>
        <v>114.85714285714286</v>
      </c>
    </row>
    <row r="42" spans="2:32" ht="23.1" customHeight="1" x14ac:dyDescent="0.25">
      <c r="B42" s="24" t="s">
        <v>69</v>
      </c>
      <c r="C42" s="49">
        <f>AVERAGE('22.07 Nyanama-Ndeeba'!C42,'23.07 Nyanama-Ndeeba'!C42,'24.07 Nyanama-Ndeeba'!C42,'25.07 Nyanama-Ndeeba'!C42,'26.07 Nyanama-Ndeeba-24h'!C42,'27.07 Nyanama-Ndeeba-24h'!C42,'28.07 Nyanama-Ndeeba'!C42)</f>
        <v>24.285714285714285</v>
      </c>
      <c r="D42" s="49">
        <f>AVERAGE('22.07 Nyanama-Ndeeba'!D42,'23.07 Nyanama-Ndeeba'!D42,'24.07 Nyanama-Ndeeba'!D42,'25.07 Nyanama-Ndeeba'!D42,'26.07 Nyanama-Ndeeba-24h'!D42,'27.07 Nyanama-Ndeeba-24h'!D42,'28.07 Nyanama-Ndeeba'!D42)</f>
        <v>3.4285714285714284</v>
      </c>
      <c r="E42" s="49">
        <f>AVERAGE('22.07 Nyanama-Ndeeba'!E42,'23.07 Nyanama-Ndeeba'!E42,'24.07 Nyanama-Ndeeba'!E42,'25.07 Nyanama-Ndeeba'!E42,'26.07 Nyanama-Ndeeba-24h'!E42,'27.07 Nyanama-Ndeeba-24h'!E42,'28.07 Nyanama-Ndeeba'!E42)</f>
        <v>3.8571428571428572</v>
      </c>
      <c r="F42" s="49">
        <f>AVERAGE('22.07 Nyanama-Ndeeba'!F42,'23.07 Nyanama-Ndeeba'!F42,'24.07 Nyanama-Ndeeba'!F42,'25.07 Nyanama-Ndeeba'!F42,'26.07 Nyanama-Ndeeba-24h'!F42,'27.07 Nyanama-Ndeeba-24h'!F42,'28.07 Nyanama-Ndeeba'!F42)</f>
        <v>5.7142857142857144</v>
      </c>
      <c r="G42" s="49">
        <f>AVERAGE('22.07 Nyanama-Ndeeba'!G42,'23.07 Nyanama-Ndeeba'!G42,'24.07 Nyanama-Ndeeba'!G42,'25.07 Nyanama-Ndeeba'!G42,'26.07 Nyanama-Ndeeba-24h'!G42,'27.07 Nyanama-Ndeeba-24h'!G42,'28.07 Nyanama-Ndeeba'!G42)</f>
        <v>0</v>
      </c>
      <c r="H42" s="49">
        <f>AVERAGE('22.07 Nyanama-Ndeeba'!H42,'23.07 Nyanama-Ndeeba'!H42,'24.07 Nyanama-Ndeeba'!H42,'25.07 Nyanama-Ndeeba'!H42,'26.07 Nyanama-Ndeeba-24h'!H42,'27.07 Nyanama-Ndeeba-24h'!H42,'28.07 Nyanama-Ndeeba'!H42)</f>
        <v>0</v>
      </c>
      <c r="I42" s="49">
        <f>AVERAGE('22.07 Nyanama-Ndeeba'!I42,'23.07 Nyanama-Ndeeba'!I42,'24.07 Nyanama-Ndeeba'!I42,'25.07 Nyanama-Ndeeba'!I42,'26.07 Nyanama-Ndeeba-24h'!I42,'27.07 Nyanama-Ndeeba-24h'!I42,'28.07 Nyanama-Ndeeba'!I42)</f>
        <v>2</v>
      </c>
      <c r="J42" s="49">
        <f>AVERAGE('22.07 Nyanama-Ndeeba'!J42,'23.07 Nyanama-Ndeeba'!J42,'24.07 Nyanama-Ndeeba'!J42,'25.07 Nyanama-Ndeeba'!J42,'26.07 Nyanama-Ndeeba-24h'!J42,'27.07 Nyanama-Ndeeba-24h'!J42,'28.07 Nyanama-Ndeeba'!J42)</f>
        <v>0.8571428571428571</v>
      </c>
      <c r="K42" s="49">
        <f>AVERAGE('22.07 Nyanama-Ndeeba'!K42,'23.07 Nyanama-Ndeeba'!K42,'24.07 Nyanama-Ndeeba'!K42,'25.07 Nyanama-Ndeeba'!K42,'26.07 Nyanama-Ndeeba-24h'!K42,'27.07 Nyanama-Ndeeba-24h'!K42,'28.07 Nyanama-Ndeeba'!K42)</f>
        <v>0</v>
      </c>
      <c r="L42" s="49">
        <f>AVERAGE('22.07 Nyanama-Ndeeba'!L42,'23.07 Nyanama-Ndeeba'!L42,'24.07 Nyanama-Ndeeba'!L42,'25.07 Nyanama-Ndeeba'!L42,'26.07 Nyanama-Ndeeba-24h'!L42,'27.07 Nyanama-Ndeeba-24h'!L42,'28.07 Nyanama-Ndeeba'!L42)</f>
        <v>0.14285714285714285</v>
      </c>
      <c r="M42" s="49">
        <f>AVERAGE('22.07 Nyanama-Ndeeba'!M42,'23.07 Nyanama-Ndeeba'!M42,'24.07 Nyanama-Ndeeba'!M42,'25.07 Nyanama-Ndeeba'!M42,'26.07 Nyanama-Ndeeba-24h'!M42,'27.07 Nyanama-Ndeeba-24h'!M42,'28.07 Nyanama-Ndeeba'!M42)</f>
        <v>61</v>
      </c>
      <c r="N42" s="49">
        <f>AVERAGE('22.07 Nyanama-Ndeeba'!N42,'23.07 Nyanama-Ndeeba'!N42,'24.07 Nyanama-Ndeeba'!N42,'25.07 Nyanama-Ndeeba'!N42,'26.07 Nyanama-Ndeeba-24h'!N42,'27.07 Nyanama-Ndeeba-24h'!N42,'28.07 Nyanama-Ndeeba'!N42)</f>
        <v>0.14285714285714285</v>
      </c>
      <c r="O42" s="15">
        <f t="shared" si="0"/>
        <v>40.428571428571431</v>
      </c>
      <c r="P42" s="15">
        <f t="shared" si="1"/>
        <v>101.42857142857142</v>
      </c>
    </row>
    <row r="43" spans="2:32" ht="23.1" customHeight="1" x14ac:dyDescent="0.25">
      <c r="B43" s="23" t="s">
        <v>70</v>
      </c>
      <c r="C43" s="49">
        <f>AVERAGE('22.07 Nyanama-Ndeeba'!C43,'23.07 Nyanama-Ndeeba'!C43,'24.07 Nyanama-Ndeeba'!C43,'25.07 Nyanama-Ndeeba'!C43,'26.07 Nyanama-Ndeeba-24h'!C43,'27.07 Nyanama-Ndeeba-24h'!C43,'28.07 Nyanama-Ndeeba'!C43)</f>
        <v>28.571428571428573</v>
      </c>
      <c r="D43" s="49">
        <f>AVERAGE('22.07 Nyanama-Ndeeba'!D43,'23.07 Nyanama-Ndeeba'!D43,'24.07 Nyanama-Ndeeba'!D43,'25.07 Nyanama-Ndeeba'!D43,'26.07 Nyanama-Ndeeba-24h'!D43,'27.07 Nyanama-Ndeeba-24h'!D43,'28.07 Nyanama-Ndeeba'!D43)</f>
        <v>2.7142857142857144</v>
      </c>
      <c r="E43" s="49">
        <f>AVERAGE('22.07 Nyanama-Ndeeba'!E43,'23.07 Nyanama-Ndeeba'!E43,'24.07 Nyanama-Ndeeba'!E43,'25.07 Nyanama-Ndeeba'!E43,'26.07 Nyanama-Ndeeba-24h'!E43,'27.07 Nyanama-Ndeeba-24h'!E43,'28.07 Nyanama-Ndeeba'!E43)</f>
        <v>3.4285714285714284</v>
      </c>
      <c r="F43" s="49">
        <f>AVERAGE('22.07 Nyanama-Ndeeba'!F43,'23.07 Nyanama-Ndeeba'!F43,'24.07 Nyanama-Ndeeba'!F43,'25.07 Nyanama-Ndeeba'!F43,'26.07 Nyanama-Ndeeba-24h'!F43,'27.07 Nyanama-Ndeeba-24h'!F43,'28.07 Nyanama-Ndeeba'!F43)</f>
        <v>5.7142857142857144</v>
      </c>
      <c r="G43" s="49">
        <f>AVERAGE('22.07 Nyanama-Ndeeba'!G43,'23.07 Nyanama-Ndeeba'!G43,'24.07 Nyanama-Ndeeba'!G43,'25.07 Nyanama-Ndeeba'!G43,'26.07 Nyanama-Ndeeba-24h'!G43,'27.07 Nyanama-Ndeeba-24h'!G43,'28.07 Nyanama-Ndeeba'!G43)</f>
        <v>0</v>
      </c>
      <c r="H43" s="49">
        <f>AVERAGE('22.07 Nyanama-Ndeeba'!H43,'23.07 Nyanama-Ndeeba'!H43,'24.07 Nyanama-Ndeeba'!H43,'25.07 Nyanama-Ndeeba'!H43,'26.07 Nyanama-Ndeeba-24h'!H43,'27.07 Nyanama-Ndeeba-24h'!H43,'28.07 Nyanama-Ndeeba'!H43)</f>
        <v>0</v>
      </c>
      <c r="I43" s="49">
        <f>AVERAGE('22.07 Nyanama-Ndeeba'!I43,'23.07 Nyanama-Ndeeba'!I43,'24.07 Nyanama-Ndeeba'!I43,'25.07 Nyanama-Ndeeba'!I43,'26.07 Nyanama-Ndeeba-24h'!I43,'27.07 Nyanama-Ndeeba-24h'!I43,'28.07 Nyanama-Ndeeba'!I43)</f>
        <v>2.1428571428571428</v>
      </c>
      <c r="J43" s="49">
        <f>AVERAGE('22.07 Nyanama-Ndeeba'!J43,'23.07 Nyanama-Ndeeba'!J43,'24.07 Nyanama-Ndeeba'!J43,'25.07 Nyanama-Ndeeba'!J43,'26.07 Nyanama-Ndeeba-24h'!J43,'27.07 Nyanama-Ndeeba-24h'!J43,'28.07 Nyanama-Ndeeba'!J43)</f>
        <v>0.8571428571428571</v>
      </c>
      <c r="K43" s="49">
        <f>AVERAGE('22.07 Nyanama-Ndeeba'!K43,'23.07 Nyanama-Ndeeba'!K43,'24.07 Nyanama-Ndeeba'!K43,'25.07 Nyanama-Ndeeba'!K43,'26.07 Nyanama-Ndeeba-24h'!K43,'27.07 Nyanama-Ndeeba-24h'!K43,'28.07 Nyanama-Ndeeba'!K43)</f>
        <v>0</v>
      </c>
      <c r="L43" s="49">
        <f>AVERAGE('22.07 Nyanama-Ndeeba'!L43,'23.07 Nyanama-Ndeeba'!L43,'24.07 Nyanama-Ndeeba'!L43,'25.07 Nyanama-Ndeeba'!L43,'26.07 Nyanama-Ndeeba-24h'!L43,'27.07 Nyanama-Ndeeba-24h'!L43,'28.07 Nyanama-Ndeeba'!L43)</f>
        <v>0.14285714285714285</v>
      </c>
      <c r="M43" s="49">
        <f>AVERAGE('22.07 Nyanama-Ndeeba'!M43,'23.07 Nyanama-Ndeeba'!M43,'24.07 Nyanama-Ndeeba'!M43,'25.07 Nyanama-Ndeeba'!M43,'26.07 Nyanama-Ndeeba-24h'!M43,'27.07 Nyanama-Ndeeba-24h'!M43,'28.07 Nyanama-Ndeeba'!M43)</f>
        <v>66.857142857142861</v>
      </c>
      <c r="N43" s="49">
        <f>AVERAGE('22.07 Nyanama-Ndeeba'!N43,'23.07 Nyanama-Ndeeba'!N43,'24.07 Nyanama-Ndeeba'!N43,'25.07 Nyanama-Ndeeba'!N43,'26.07 Nyanama-Ndeeba-24h'!N43,'27.07 Nyanama-Ndeeba-24h'!N43,'28.07 Nyanama-Ndeeba'!N43)</f>
        <v>0</v>
      </c>
      <c r="O43" s="15">
        <f t="shared" si="0"/>
        <v>43.571428571428577</v>
      </c>
      <c r="P43" s="15">
        <f t="shared" si="1"/>
        <v>110.42857142857144</v>
      </c>
    </row>
    <row r="44" spans="2:32" ht="23.1" customHeight="1" x14ac:dyDescent="0.25">
      <c r="B44" s="25" t="s">
        <v>71</v>
      </c>
      <c r="C44" s="49">
        <f>AVERAGE('22.07 Nyanama-Ndeeba'!C44,'23.07 Nyanama-Ndeeba'!C44,'24.07 Nyanama-Ndeeba'!C44,'25.07 Nyanama-Ndeeba'!C44,'26.07 Nyanama-Ndeeba-24h'!C44,'27.07 Nyanama-Ndeeba-24h'!C44,'28.07 Nyanama-Ndeeba'!C44)</f>
        <v>28.571428571428573</v>
      </c>
      <c r="D44" s="49">
        <f>AVERAGE('22.07 Nyanama-Ndeeba'!D44,'23.07 Nyanama-Ndeeba'!D44,'24.07 Nyanama-Ndeeba'!D44,'25.07 Nyanama-Ndeeba'!D44,'26.07 Nyanama-Ndeeba-24h'!D44,'27.07 Nyanama-Ndeeba-24h'!D44,'28.07 Nyanama-Ndeeba'!D44)</f>
        <v>3.1428571428571428</v>
      </c>
      <c r="E44" s="49">
        <f>AVERAGE('22.07 Nyanama-Ndeeba'!E44,'23.07 Nyanama-Ndeeba'!E44,'24.07 Nyanama-Ndeeba'!E44,'25.07 Nyanama-Ndeeba'!E44,'26.07 Nyanama-Ndeeba-24h'!E44,'27.07 Nyanama-Ndeeba-24h'!E44,'28.07 Nyanama-Ndeeba'!E44)</f>
        <v>3</v>
      </c>
      <c r="F44" s="49">
        <f>AVERAGE('22.07 Nyanama-Ndeeba'!F44,'23.07 Nyanama-Ndeeba'!F44,'24.07 Nyanama-Ndeeba'!F44,'25.07 Nyanama-Ndeeba'!F44,'26.07 Nyanama-Ndeeba-24h'!F44,'27.07 Nyanama-Ndeeba-24h'!F44,'28.07 Nyanama-Ndeeba'!F44)</f>
        <v>4.1428571428571432</v>
      </c>
      <c r="G44" s="49">
        <f>AVERAGE('22.07 Nyanama-Ndeeba'!G44,'23.07 Nyanama-Ndeeba'!G44,'24.07 Nyanama-Ndeeba'!G44,'25.07 Nyanama-Ndeeba'!G44,'26.07 Nyanama-Ndeeba-24h'!G44,'27.07 Nyanama-Ndeeba-24h'!G44,'28.07 Nyanama-Ndeeba'!G44)</f>
        <v>0</v>
      </c>
      <c r="H44" s="49">
        <f>AVERAGE('22.07 Nyanama-Ndeeba'!H44,'23.07 Nyanama-Ndeeba'!H44,'24.07 Nyanama-Ndeeba'!H44,'25.07 Nyanama-Ndeeba'!H44,'26.07 Nyanama-Ndeeba-24h'!H44,'27.07 Nyanama-Ndeeba-24h'!H44,'28.07 Nyanama-Ndeeba'!H44)</f>
        <v>0</v>
      </c>
      <c r="I44" s="49">
        <f>AVERAGE('22.07 Nyanama-Ndeeba'!I44,'23.07 Nyanama-Ndeeba'!I44,'24.07 Nyanama-Ndeeba'!I44,'25.07 Nyanama-Ndeeba'!I44,'26.07 Nyanama-Ndeeba-24h'!I44,'27.07 Nyanama-Ndeeba-24h'!I44,'28.07 Nyanama-Ndeeba'!I44)</f>
        <v>1.8571428571428572</v>
      </c>
      <c r="J44" s="49">
        <f>AVERAGE('22.07 Nyanama-Ndeeba'!J44,'23.07 Nyanama-Ndeeba'!J44,'24.07 Nyanama-Ndeeba'!J44,'25.07 Nyanama-Ndeeba'!J44,'26.07 Nyanama-Ndeeba-24h'!J44,'27.07 Nyanama-Ndeeba-24h'!J44,'28.07 Nyanama-Ndeeba'!J44)</f>
        <v>1.5714285714285714</v>
      </c>
      <c r="K44" s="49">
        <f>AVERAGE('22.07 Nyanama-Ndeeba'!K44,'23.07 Nyanama-Ndeeba'!K44,'24.07 Nyanama-Ndeeba'!K44,'25.07 Nyanama-Ndeeba'!K44,'26.07 Nyanama-Ndeeba-24h'!K44,'27.07 Nyanama-Ndeeba-24h'!K44,'28.07 Nyanama-Ndeeba'!K44)</f>
        <v>0.14285714285714285</v>
      </c>
      <c r="L44" s="49">
        <f>AVERAGE('22.07 Nyanama-Ndeeba'!L44,'23.07 Nyanama-Ndeeba'!L44,'24.07 Nyanama-Ndeeba'!L44,'25.07 Nyanama-Ndeeba'!L44,'26.07 Nyanama-Ndeeba-24h'!L44,'27.07 Nyanama-Ndeeba-24h'!L44,'28.07 Nyanama-Ndeeba'!L44)</f>
        <v>0</v>
      </c>
      <c r="M44" s="49">
        <f>AVERAGE('22.07 Nyanama-Ndeeba'!M44,'23.07 Nyanama-Ndeeba'!M44,'24.07 Nyanama-Ndeeba'!M44,'25.07 Nyanama-Ndeeba'!M44,'26.07 Nyanama-Ndeeba-24h'!M44,'27.07 Nyanama-Ndeeba-24h'!M44,'28.07 Nyanama-Ndeeba'!M44)</f>
        <v>72</v>
      </c>
      <c r="N44" s="49">
        <f>AVERAGE('22.07 Nyanama-Ndeeba'!N44,'23.07 Nyanama-Ndeeba'!N44,'24.07 Nyanama-Ndeeba'!N44,'25.07 Nyanama-Ndeeba'!N44,'26.07 Nyanama-Ndeeba-24h'!N44,'27.07 Nyanama-Ndeeba-24h'!N44,'28.07 Nyanama-Ndeeba'!N44)</f>
        <v>0</v>
      </c>
      <c r="O44" s="15">
        <f t="shared" si="0"/>
        <v>42.428571428571431</v>
      </c>
      <c r="P44" s="15">
        <f t="shared" si="1"/>
        <v>114.42857142857143</v>
      </c>
    </row>
    <row r="45" spans="2:32" ht="23.1" customHeight="1" x14ac:dyDescent="0.25">
      <c r="B45" s="23" t="s">
        <v>72</v>
      </c>
      <c r="C45" s="49">
        <f>AVERAGE('22.07 Nyanama-Ndeeba'!C45,'23.07 Nyanama-Ndeeba'!C45,'24.07 Nyanama-Ndeeba'!C45,'25.07 Nyanama-Ndeeba'!C45,'26.07 Nyanama-Ndeeba-24h'!C45,'27.07 Nyanama-Ndeeba-24h'!C45,'28.07 Nyanama-Ndeeba'!C45)</f>
        <v>31.857142857142858</v>
      </c>
      <c r="D45" s="49">
        <f>AVERAGE('22.07 Nyanama-Ndeeba'!D45,'23.07 Nyanama-Ndeeba'!D45,'24.07 Nyanama-Ndeeba'!D45,'25.07 Nyanama-Ndeeba'!D45,'26.07 Nyanama-Ndeeba-24h'!D45,'27.07 Nyanama-Ndeeba-24h'!D45,'28.07 Nyanama-Ndeeba'!D45)</f>
        <v>4.7142857142857144</v>
      </c>
      <c r="E45" s="49">
        <f>AVERAGE('22.07 Nyanama-Ndeeba'!E45,'23.07 Nyanama-Ndeeba'!E45,'24.07 Nyanama-Ndeeba'!E45,'25.07 Nyanama-Ndeeba'!E45,'26.07 Nyanama-Ndeeba-24h'!E45,'27.07 Nyanama-Ndeeba-24h'!E45,'28.07 Nyanama-Ndeeba'!E45)</f>
        <v>2.5714285714285716</v>
      </c>
      <c r="F45" s="49">
        <f>AVERAGE('22.07 Nyanama-Ndeeba'!F45,'23.07 Nyanama-Ndeeba'!F45,'24.07 Nyanama-Ndeeba'!F45,'25.07 Nyanama-Ndeeba'!F45,'26.07 Nyanama-Ndeeba-24h'!F45,'27.07 Nyanama-Ndeeba-24h'!F45,'28.07 Nyanama-Ndeeba'!F45)</f>
        <v>4.7142857142857144</v>
      </c>
      <c r="G45" s="49">
        <f>AVERAGE('22.07 Nyanama-Ndeeba'!G45,'23.07 Nyanama-Ndeeba'!G45,'24.07 Nyanama-Ndeeba'!G45,'25.07 Nyanama-Ndeeba'!G45,'26.07 Nyanama-Ndeeba-24h'!G45,'27.07 Nyanama-Ndeeba-24h'!G45,'28.07 Nyanama-Ndeeba'!G45)</f>
        <v>0</v>
      </c>
      <c r="H45" s="49">
        <f>AVERAGE('22.07 Nyanama-Ndeeba'!H45,'23.07 Nyanama-Ndeeba'!H45,'24.07 Nyanama-Ndeeba'!H45,'25.07 Nyanama-Ndeeba'!H45,'26.07 Nyanama-Ndeeba-24h'!H45,'27.07 Nyanama-Ndeeba-24h'!H45,'28.07 Nyanama-Ndeeba'!H45)</f>
        <v>0</v>
      </c>
      <c r="I45" s="49">
        <f>AVERAGE('22.07 Nyanama-Ndeeba'!I45,'23.07 Nyanama-Ndeeba'!I45,'24.07 Nyanama-Ndeeba'!I45,'25.07 Nyanama-Ndeeba'!I45,'26.07 Nyanama-Ndeeba-24h'!I45,'27.07 Nyanama-Ndeeba-24h'!I45,'28.07 Nyanama-Ndeeba'!I45)</f>
        <v>2</v>
      </c>
      <c r="J45" s="49">
        <f>AVERAGE('22.07 Nyanama-Ndeeba'!J45,'23.07 Nyanama-Ndeeba'!J45,'24.07 Nyanama-Ndeeba'!J45,'25.07 Nyanama-Ndeeba'!J45,'26.07 Nyanama-Ndeeba-24h'!J45,'27.07 Nyanama-Ndeeba-24h'!J45,'28.07 Nyanama-Ndeeba'!J45)</f>
        <v>1.4285714285714286</v>
      </c>
      <c r="K45" s="49">
        <f>AVERAGE('22.07 Nyanama-Ndeeba'!K45,'23.07 Nyanama-Ndeeba'!K45,'24.07 Nyanama-Ndeeba'!K45,'25.07 Nyanama-Ndeeba'!K45,'26.07 Nyanama-Ndeeba-24h'!K45,'27.07 Nyanama-Ndeeba-24h'!K45,'28.07 Nyanama-Ndeeba'!K45)</f>
        <v>0.2857142857142857</v>
      </c>
      <c r="L45" s="49">
        <f>AVERAGE('22.07 Nyanama-Ndeeba'!L45,'23.07 Nyanama-Ndeeba'!L45,'24.07 Nyanama-Ndeeba'!L45,'25.07 Nyanama-Ndeeba'!L45,'26.07 Nyanama-Ndeeba-24h'!L45,'27.07 Nyanama-Ndeeba-24h'!L45,'28.07 Nyanama-Ndeeba'!L45)</f>
        <v>0.2857142857142857</v>
      </c>
      <c r="M45" s="49">
        <f>AVERAGE('22.07 Nyanama-Ndeeba'!M45,'23.07 Nyanama-Ndeeba'!M45,'24.07 Nyanama-Ndeeba'!M45,'25.07 Nyanama-Ndeeba'!M45,'26.07 Nyanama-Ndeeba-24h'!M45,'27.07 Nyanama-Ndeeba-24h'!M45,'28.07 Nyanama-Ndeeba'!M45)</f>
        <v>71.285714285714292</v>
      </c>
      <c r="N45" s="49">
        <f>AVERAGE('22.07 Nyanama-Ndeeba'!N45,'23.07 Nyanama-Ndeeba'!N45,'24.07 Nyanama-Ndeeba'!N45,'25.07 Nyanama-Ndeeba'!N45,'26.07 Nyanama-Ndeeba-24h'!N45,'27.07 Nyanama-Ndeeba-24h'!N45,'28.07 Nyanama-Ndeeba'!N45)</f>
        <v>0</v>
      </c>
      <c r="O45" s="15">
        <f t="shared" si="0"/>
        <v>47.857142857142854</v>
      </c>
      <c r="P45" s="15">
        <f t="shared" si="1"/>
        <v>119.14285714285714</v>
      </c>
    </row>
    <row r="46" spans="2:32" ht="23.1" customHeight="1" x14ac:dyDescent="0.25">
      <c r="B46" s="24" t="s">
        <v>73</v>
      </c>
      <c r="C46" s="49">
        <f>AVERAGE('22.07 Nyanama-Ndeeba'!C46,'23.07 Nyanama-Ndeeba'!C46,'24.07 Nyanama-Ndeeba'!C46,'25.07 Nyanama-Ndeeba'!C46,'26.07 Nyanama-Ndeeba-24h'!C46,'27.07 Nyanama-Ndeeba-24h'!C46,'28.07 Nyanama-Ndeeba'!C46)</f>
        <v>32.714285714285715</v>
      </c>
      <c r="D46" s="49">
        <f>AVERAGE('22.07 Nyanama-Ndeeba'!D46,'23.07 Nyanama-Ndeeba'!D46,'24.07 Nyanama-Ndeeba'!D46,'25.07 Nyanama-Ndeeba'!D46,'26.07 Nyanama-Ndeeba-24h'!D46,'27.07 Nyanama-Ndeeba-24h'!D46,'28.07 Nyanama-Ndeeba'!D46)</f>
        <v>3.8571428571428572</v>
      </c>
      <c r="E46" s="49">
        <f>AVERAGE('22.07 Nyanama-Ndeeba'!E46,'23.07 Nyanama-Ndeeba'!E46,'24.07 Nyanama-Ndeeba'!E46,'25.07 Nyanama-Ndeeba'!E46,'26.07 Nyanama-Ndeeba-24h'!E46,'27.07 Nyanama-Ndeeba-24h'!E46,'28.07 Nyanama-Ndeeba'!E46)</f>
        <v>5.2857142857142856</v>
      </c>
      <c r="F46" s="49">
        <f>AVERAGE('22.07 Nyanama-Ndeeba'!F46,'23.07 Nyanama-Ndeeba'!F46,'24.07 Nyanama-Ndeeba'!F46,'25.07 Nyanama-Ndeeba'!F46,'26.07 Nyanama-Ndeeba-24h'!F46,'27.07 Nyanama-Ndeeba-24h'!F46,'28.07 Nyanama-Ndeeba'!F46)</f>
        <v>5.4285714285714288</v>
      </c>
      <c r="G46" s="49">
        <f>AVERAGE('22.07 Nyanama-Ndeeba'!G46,'23.07 Nyanama-Ndeeba'!G46,'24.07 Nyanama-Ndeeba'!G46,'25.07 Nyanama-Ndeeba'!G46,'26.07 Nyanama-Ndeeba-24h'!G46,'27.07 Nyanama-Ndeeba-24h'!G46,'28.07 Nyanama-Ndeeba'!G46)</f>
        <v>0.14285714285714285</v>
      </c>
      <c r="H46" s="49">
        <f>AVERAGE('22.07 Nyanama-Ndeeba'!H46,'23.07 Nyanama-Ndeeba'!H46,'24.07 Nyanama-Ndeeba'!H46,'25.07 Nyanama-Ndeeba'!H46,'26.07 Nyanama-Ndeeba-24h'!H46,'27.07 Nyanama-Ndeeba-24h'!H46,'28.07 Nyanama-Ndeeba'!H46)</f>
        <v>0</v>
      </c>
      <c r="I46" s="49">
        <f>AVERAGE('22.07 Nyanama-Ndeeba'!I46,'23.07 Nyanama-Ndeeba'!I46,'24.07 Nyanama-Ndeeba'!I46,'25.07 Nyanama-Ndeeba'!I46,'26.07 Nyanama-Ndeeba-24h'!I46,'27.07 Nyanama-Ndeeba-24h'!I46,'28.07 Nyanama-Ndeeba'!I46)</f>
        <v>2.2857142857142856</v>
      </c>
      <c r="J46" s="49">
        <f>AVERAGE('22.07 Nyanama-Ndeeba'!J46,'23.07 Nyanama-Ndeeba'!J46,'24.07 Nyanama-Ndeeba'!J46,'25.07 Nyanama-Ndeeba'!J46,'26.07 Nyanama-Ndeeba-24h'!J46,'27.07 Nyanama-Ndeeba-24h'!J46,'28.07 Nyanama-Ndeeba'!J46)</f>
        <v>0.42857142857142855</v>
      </c>
      <c r="K46" s="49">
        <f>AVERAGE('22.07 Nyanama-Ndeeba'!K46,'23.07 Nyanama-Ndeeba'!K46,'24.07 Nyanama-Ndeeba'!K46,'25.07 Nyanama-Ndeeba'!K46,'26.07 Nyanama-Ndeeba-24h'!K46,'27.07 Nyanama-Ndeeba-24h'!K46,'28.07 Nyanama-Ndeeba'!K46)</f>
        <v>0.2857142857142857</v>
      </c>
      <c r="L46" s="49">
        <f>AVERAGE('22.07 Nyanama-Ndeeba'!L46,'23.07 Nyanama-Ndeeba'!L46,'24.07 Nyanama-Ndeeba'!L46,'25.07 Nyanama-Ndeeba'!L46,'26.07 Nyanama-Ndeeba-24h'!L46,'27.07 Nyanama-Ndeeba-24h'!L46,'28.07 Nyanama-Ndeeba'!L46)</f>
        <v>0</v>
      </c>
      <c r="M46" s="49">
        <f>AVERAGE('22.07 Nyanama-Ndeeba'!M46,'23.07 Nyanama-Ndeeba'!M46,'24.07 Nyanama-Ndeeba'!M46,'25.07 Nyanama-Ndeeba'!M46,'26.07 Nyanama-Ndeeba-24h'!M46,'27.07 Nyanama-Ndeeba-24h'!M46,'28.07 Nyanama-Ndeeba'!M46)</f>
        <v>74.428571428571431</v>
      </c>
      <c r="N46" s="49">
        <f>AVERAGE('22.07 Nyanama-Ndeeba'!N46,'23.07 Nyanama-Ndeeba'!N46,'24.07 Nyanama-Ndeeba'!N46,'25.07 Nyanama-Ndeeba'!N46,'26.07 Nyanama-Ndeeba-24h'!N46,'27.07 Nyanama-Ndeeba-24h'!N46,'28.07 Nyanama-Ndeeba'!N46)</f>
        <v>0.14285714285714285</v>
      </c>
      <c r="O46" s="15">
        <f t="shared" si="0"/>
        <v>50.571428571428577</v>
      </c>
      <c r="P46" s="15">
        <f t="shared" si="1"/>
        <v>125</v>
      </c>
      <c r="R46" s="8"/>
      <c r="T46"/>
    </row>
    <row r="47" spans="2:32" ht="23.1" customHeight="1" x14ac:dyDescent="0.25">
      <c r="B47" s="24" t="s">
        <v>74</v>
      </c>
      <c r="C47" s="49">
        <f>AVERAGE('22.07 Nyanama-Ndeeba'!C47,'23.07 Nyanama-Ndeeba'!C47,'24.07 Nyanama-Ndeeba'!C47,'25.07 Nyanama-Ndeeba'!C47,'26.07 Nyanama-Ndeeba-24h'!C47,'27.07 Nyanama-Ndeeba-24h'!C47,'28.07 Nyanama-Ndeeba'!C47)</f>
        <v>29.857142857142858</v>
      </c>
      <c r="D47" s="49">
        <f>AVERAGE('22.07 Nyanama-Ndeeba'!D47,'23.07 Nyanama-Ndeeba'!D47,'24.07 Nyanama-Ndeeba'!D47,'25.07 Nyanama-Ndeeba'!D47,'26.07 Nyanama-Ndeeba-24h'!D47,'27.07 Nyanama-Ndeeba-24h'!D47,'28.07 Nyanama-Ndeeba'!D47)</f>
        <v>3</v>
      </c>
      <c r="E47" s="49">
        <f>AVERAGE('22.07 Nyanama-Ndeeba'!E47,'23.07 Nyanama-Ndeeba'!E47,'24.07 Nyanama-Ndeeba'!E47,'25.07 Nyanama-Ndeeba'!E47,'26.07 Nyanama-Ndeeba-24h'!E47,'27.07 Nyanama-Ndeeba-24h'!E47,'28.07 Nyanama-Ndeeba'!E47)</f>
        <v>3.4285714285714284</v>
      </c>
      <c r="F47" s="49">
        <f>AVERAGE('22.07 Nyanama-Ndeeba'!F47,'23.07 Nyanama-Ndeeba'!F47,'24.07 Nyanama-Ndeeba'!F47,'25.07 Nyanama-Ndeeba'!F47,'26.07 Nyanama-Ndeeba-24h'!F47,'27.07 Nyanama-Ndeeba-24h'!F47,'28.07 Nyanama-Ndeeba'!F47)</f>
        <v>5.7142857142857144</v>
      </c>
      <c r="G47" s="49">
        <f>AVERAGE('22.07 Nyanama-Ndeeba'!G47,'23.07 Nyanama-Ndeeba'!G47,'24.07 Nyanama-Ndeeba'!G47,'25.07 Nyanama-Ndeeba'!G47,'26.07 Nyanama-Ndeeba-24h'!G47,'27.07 Nyanama-Ndeeba-24h'!G47,'28.07 Nyanama-Ndeeba'!G47)</f>
        <v>0</v>
      </c>
      <c r="H47" s="49">
        <f>AVERAGE('22.07 Nyanama-Ndeeba'!H47,'23.07 Nyanama-Ndeeba'!H47,'24.07 Nyanama-Ndeeba'!H47,'25.07 Nyanama-Ndeeba'!H47,'26.07 Nyanama-Ndeeba-24h'!H47,'27.07 Nyanama-Ndeeba-24h'!H47,'28.07 Nyanama-Ndeeba'!H47)</f>
        <v>0</v>
      </c>
      <c r="I47" s="49">
        <f>AVERAGE('22.07 Nyanama-Ndeeba'!I47,'23.07 Nyanama-Ndeeba'!I47,'24.07 Nyanama-Ndeeba'!I47,'25.07 Nyanama-Ndeeba'!I47,'26.07 Nyanama-Ndeeba-24h'!I47,'27.07 Nyanama-Ndeeba-24h'!I47,'28.07 Nyanama-Ndeeba'!I47)</f>
        <v>2</v>
      </c>
      <c r="J47" s="49">
        <f>AVERAGE('22.07 Nyanama-Ndeeba'!J47,'23.07 Nyanama-Ndeeba'!J47,'24.07 Nyanama-Ndeeba'!J47,'25.07 Nyanama-Ndeeba'!J47,'26.07 Nyanama-Ndeeba-24h'!J47,'27.07 Nyanama-Ndeeba-24h'!J47,'28.07 Nyanama-Ndeeba'!J47)</f>
        <v>0.7142857142857143</v>
      </c>
      <c r="K47" s="49">
        <f>AVERAGE('22.07 Nyanama-Ndeeba'!K47,'23.07 Nyanama-Ndeeba'!K47,'24.07 Nyanama-Ndeeba'!K47,'25.07 Nyanama-Ndeeba'!K47,'26.07 Nyanama-Ndeeba-24h'!K47,'27.07 Nyanama-Ndeeba-24h'!K47,'28.07 Nyanama-Ndeeba'!K47)</f>
        <v>0.14285714285714285</v>
      </c>
      <c r="L47" s="49">
        <f>AVERAGE('22.07 Nyanama-Ndeeba'!L47,'23.07 Nyanama-Ndeeba'!L47,'24.07 Nyanama-Ndeeba'!L47,'25.07 Nyanama-Ndeeba'!L47,'26.07 Nyanama-Ndeeba-24h'!L47,'27.07 Nyanama-Ndeeba-24h'!L47,'28.07 Nyanama-Ndeeba'!L47)</f>
        <v>0</v>
      </c>
      <c r="M47" s="49">
        <f>AVERAGE('22.07 Nyanama-Ndeeba'!M47,'23.07 Nyanama-Ndeeba'!M47,'24.07 Nyanama-Ndeeba'!M47,'25.07 Nyanama-Ndeeba'!M47,'26.07 Nyanama-Ndeeba-24h'!M47,'27.07 Nyanama-Ndeeba-24h'!M47,'28.07 Nyanama-Ndeeba'!M47)</f>
        <v>68.571428571428569</v>
      </c>
      <c r="N47" s="49">
        <f>AVERAGE('22.07 Nyanama-Ndeeba'!N47,'23.07 Nyanama-Ndeeba'!N47,'24.07 Nyanama-Ndeeba'!N47,'25.07 Nyanama-Ndeeba'!N47,'26.07 Nyanama-Ndeeba-24h'!N47,'27.07 Nyanama-Ndeeba-24h'!N47,'28.07 Nyanama-Ndeeba'!N47)</f>
        <v>0</v>
      </c>
      <c r="O47" s="15">
        <f t="shared" si="0"/>
        <v>44.857142857142868</v>
      </c>
      <c r="P47" s="15">
        <f t="shared" si="1"/>
        <v>113.42857142857144</v>
      </c>
      <c r="R47" s="8"/>
      <c r="T47"/>
    </row>
    <row r="48" spans="2:32" ht="23.1" customHeight="1" x14ac:dyDescent="0.25">
      <c r="B48" s="24" t="s">
        <v>75</v>
      </c>
      <c r="C48" s="49">
        <f>AVERAGE('22.07 Nyanama-Ndeeba'!C48,'23.07 Nyanama-Ndeeba'!C48,'24.07 Nyanama-Ndeeba'!C48,'25.07 Nyanama-Ndeeba'!C48,'26.07 Nyanama-Ndeeba-24h'!C48,'27.07 Nyanama-Ndeeba-24h'!C48,'28.07 Nyanama-Ndeeba'!C48)</f>
        <v>30.285714285714285</v>
      </c>
      <c r="D48" s="49">
        <f>AVERAGE('22.07 Nyanama-Ndeeba'!D48,'23.07 Nyanama-Ndeeba'!D48,'24.07 Nyanama-Ndeeba'!D48,'25.07 Nyanama-Ndeeba'!D48,'26.07 Nyanama-Ndeeba-24h'!D48,'27.07 Nyanama-Ndeeba-24h'!D48,'28.07 Nyanama-Ndeeba'!D48)</f>
        <v>3.8571428571428572</v>
      </c>
      <c r="E48" s="49">
        <f>AVERAGE('22.07 Nyanama-Ndeeba'!E48,'23.07 Nyanama-Ndeeba'!E48,'24.07 Nyanama-Ndeeba'!E48,'25.07 Nyanama-Ndeeba'!E48,'26.07 Nyanama-Ndeeba-24h'!E48,'27.07 Nyanama-Ndeeba-24h'!E48,'28.07 Nyanama-Ndeeba'!E48)</f>
        <v>2.7142857142857144</v>
      </c>
      <c r="F48" s="49">
        <f>AVERAGE('22.07 Nyanama-Ndeeba'!F48,'23.07 Nyanama-Ndeeba'!F48,'24.07 Nyanama-Ndeeba'!F48,'25.07 Nyanama-Ndeeba'!F48,'26.07 Nyanama-Ndeeba-24h'!F48,'27.07 Nyanama-Ndeeba-24h'!F48,'28.07 Nyanama-Ndeeba'!F48)</f>
        <v>6.4285714285714288</v>
      </c>
      <c r="G48" s="49">
        <f>AVERAGE('22.07 Nyanama-Ndeeba'!G48,'23.07 Nyanama-Ndeeba'!G48,'24.07 Nyanama-Ndeeba'!G48,'25.07 Nyanama-Ndeeba'!G48,'26.07 Nyanama-Ndeeba-24h'!G48,'27.07 Nyanama-Ndeeba-24h'!G48,'28.07 Nyanama-Ndeeba'!G48)</f>
        <v>0.14285714285714285</v>
      </c>
      <c r="H48" s="49">
        <f>AVERAGE('22.07 Nyanama-Ndeeba'!H48,'23.07 Nyanama-Ndeeba'!H48,'24.07 Nyanama-Ndeeba'!H48,'25.07 Nyanama-Ndeeba'!H48,'26.07 Nyanama-Ndeeba-24h'!H48,'27.07 Nyanama-Ndeeba-24h'!H48,'28.07 Nyanama-Ndeeba'!H48)</f>
        <v>0</v>
      </c>
      <c r="I48" s="49">
        <f>AVERAGE('22.07 Nyanama-Ndeeba'!I48,'23.07 Nyanama-Ndeeba'!I48,'24.07 Nyanama-Ndeeba'!I48,'25.07 Nyanama-Ndeeba'!I48,'26.07 Nyanama-Ndeeba-24h'!I48,'27.07 Nyanama-Ndeeba-24h'!I48,'28.07 Nyanama-Ndeeba'!I48)</f>
        <v>3.4285714285714284</v>
      </c>
      <c r="J48" s="49">
        <f>AVERAGE('22.07 Nyanama-Ndeeba'!J48,'23.07 Nyanama-Ndeeba'!J48,'24.07 Nyanama-Ndeeba'!J48,'25.07 Nyanama-Ndeeba'!J48,'26.07 Nyanama-Ndeeba-24h'!J48,'27.07 Nyanama-Ndeeba-24h'!J48,'28.07 Nyanama-Ndeeba'!J48)</f>
        <v>1</v>
      </c>
      <c r="K48" s="49">
        <f>AVERAGE('22.07 Nyanama-Ndeeba'!K48,'23.07 Nyanama-Ndeeba'!K48,'24.07 Nyanama-Ndeeba'!K48,'25.07 Nyanama-Ndeeba'!K48,'26.07 Nyanama-Ndeeba-24h'!K48,'27.07 Nyanama-Ndeeba-24h'!K48,'28.07 Nyanama-Ndeeba'!K48)</f>
        <v>0.42857142857142855</v>
      </c>
      <c r="L48" s="49">
        <f>AVERAGE('22.07 Nyanama-Ndeeba'!L48,'23.07 Nyanama-Ndeeba'!L48,'24.07 Nyanama-Ndeeba'!L48,'25.07 Nyanama-Ndeeba'!L48,'26.07 Nyanama-Ndeeba-24h'!L48,'27.07 Nyanama-Ndeeba-24h'!L48,'28.07 Nyanama-Ndeeba'!L48)</f>
        <v>0</v>
      </c>
      <c r="M48" s="49">
        <f>AVERAGE('22.07 Nyanama-Ndeeba'!M48,'23.07 Nyanama-Ndeeba'!M48,'24.07 Nyanama-Ndeeba'!M48,'25.07 Nyanama-Ndeeba'!M48,'26.07 Nyanama-Ndeeba-24h'!M48,'27.07 Nyanama-Ndeeba-24h'!M48,'28.07 Nyanama-Ndeeba'!M48)</f>
        <v>68.571428571428569</v>
      </c>
      <c r="N48" s="49">
        <f>AVERAGE('22.07 Nyanama-Ndeeba'!N48,'23.07 Nyanama-Ndeeba'!N48,'24.07 Nyanama-Ndeeba'!N48,'25.07 Nyanama-Ndeeba'!N48,'26.07 Nyanama-Ndeeba-24h'!N48,'27.07 Nyanama-Ndeeba-24h'!N48,'28.07 Nyanama-Ndeeba'!N48)</f>
        <v>0</v>
      </c>
      <c r="O48" s="15">
        <f t="shared" si="0"/>
        <v>48.285714285714292</v>
      </c>
      <c r="P48" s="15">
        <f t="shared" si="1"/>
        <v>116.85714285714286</v>
      </c>
      <c r="R48" s="8"/>
      <c r="T48"/>
    </row>
    <row r="49" spans="2:20" ht="23.1" customHeight="1" x14ac:dyDescent="0.25">
      <c r="B49" s="23" t="s">
        <v>76</v>
      </c>
      <c r="C49" s="49">
        <f>AVERAGE('22.07 Nyanama-Ndeeba'!C49,'23.07 Nyanama-Ndeeba'!C49,'24.07 Nyanama-Ndeeba'!C49,'25.07 Nyanama-Ndeeba'!C49,'26.07 Nyanama-Ndeeba-24h'!C49,'27.07 Nyanama-Ndeeba-24h'!C49,'28.07 Nyanama-Ndeeba'!C49)</f>
        <v>30.428571428571427</v>
      </c>
      <c r="D49" s="49">
        <f>AVERAGE('22.07 Nyanama-Ndeeba'!D49,'23.07 Nyanama-Ndeeba'!D49,'24.07 Nyanama-Ndeeba'!D49,'25.07 Nyanama-Ndeeba'!D49,'26.07 Nyanama-Ndeeba-24h'!D49,'27.07 Nyanama-Ndeeba-24h'!D49,'28.07 Nyanama-Ndeeba'!D49)</f>
        <v>5.8571428571428568</v>
      </c>
      <c r="E49" s="49">
        <f>AVERAGE('22.07 Nyanama-Ndeeba'!E49,'23.07 Nyanama-Ndeeba'!E49,'24.07 Nyanama-Ndeeba'!E49,'25.07 Nyanama-Ndeeba'!E49,'26.07 Nyanama-Ndeeba-24h'!E49,'27.07 Nyanama-Ndeeba-24h'!E49,'28.07 Nyanama-Ndeeba'!E49)</f>
        <v>1.7142857142857142</v>
      </c>
      <c r="F49" s="49">
        <f>AVERAGE('22.07 Nyanama-Ndeeba'!F49,'23.07 Nyanama-Ndeeba'!F49,'24.07 Nyanama-Ndeeba'!F49,'25.07 Nyanama-Ndeeba'!F49,'26.07 Nyanama-Ndeeba-24h'!F49,'27.07 Nyanama-Ndeeba-24h'!F49,'28.07 Nyanama-Ndeeba'!F49)</f>
        <v>7.4285714285714288</v>
      </c>
      <c r="G49" s="49">
        <f>AVERAGE('22.07 Nyanama-Ndeeba'!G49,'23.07 Nyanama-Ndeeba'!G49,'24.07 Nyanama-Ndeeba'!G49,'25.07 Nyanama-Ndeeba'!G49,'26.07 Nyanama-Ndeeba-24h'!G49,'27.07 Nyanama-Ndeeba-24h'!G49,'28.07 Nyanama-Ndeeba'!G49)</f>
        <v>0.2857142857142857</v>
      </c>
      <c r="H49" s="49">
        <f>AVERAGE('22.07 Nyanama-Ndeeba'!H49,'23.07 Nyanama-Ndeeba'!H49,'24.07 Nyanama-Ndeeba'!H49,'25.07 Nyanama-Ndeeba'!H49,'26.07 Nyanama-Ndeeba-24h'!H49,'27.07 Nyanama-Ndeeba-24h'!H49,'28.07 Nyanama-Ndeeba'!H49)</f>
        <v>0</v>
      </c>
      <c r="I49" s="49">
        <f>AVERAGE('22.07 Nyanama-Ndeeba'!I49,'23.07 Nyanama-Ndeeba'!I49,'24.07 Nyanama-Ndeeba'!I49,'25.07 Nyanama-Ndeeba'!I49,'26.07 Nyanama-Ndeeba-24h'!I49,'27.07 Nyanama-Ndeeba-24h'!I49,'28.07 Nyanama-Ndeeba'!I49)</f>
        <v>1.2857142857142858</v>
      </c>
      <c r="J49" s="49">
        <f>AVERAGE('22.07 Nyanama-Ndeeba'!J49,'23.07 Nyanama-Ndeeba'!J49,'24.07 Nyanama-Ndeeba'!J49,'25.07 Nyanama-Ndeeba'!J49,'26.07 Nyanama-Ndeeba-24h'!J49,'27.07 Nyanama-Ndeeba-24h'!J49,'28.07 Nyanama-Ndeeba'!J49)</f>
        <v>0.14285714285714285</v>
      </c>
      <c r="K49" s="49">
        <f>AVERAGE('22.07 Nyanama-Ndeeba'!K49,'23.07 Nyanama-Ndeeba'!K49,'24.07 Nyanama-Ndeeba'!K49,'25.07 Nyanama-Ndeeba'!K49,'26.07 Nyanama-Ndeeba-24h'!K49,'27.07 Nyanama-Ndeeba-24h'!K49,'28.07 Nyanama-Ndeeba'!K49)</f>
        <v>0</v>
      </c>
      <c r="L49" s="49">
        <f>AVERAGE('22.07 Nyanama-Ndeeba'!L49,'23.07 Nyanama-Ndeeba'!L49,'24.07 Nyanama-Ndeeba'!L49,'25.07 Nyanama-Ndeeba'!L49,'26.07 Nyanama-Ndeeba-24h'!L49,'27.07 Nyanama-Ndeeba-24h'!L49,'28.07 Nyanama-Ndeeba'!L49)</f>
        <v>0</v>
      </c>
      <c r="M49" s="49">
        <f>AVERAGE('22.07 Nyanama-Ndeeba'!M49,'23.07 Nyanama-Ndeeba'!M49,'24.07 Nyanama-Ndeeba'!M49,'25.07 Nyanama-Ndeeba'!M49,'26.07 Nyanama-Ndeeba-24h'!M49,'27.07 Nyanama-Ndeeba-24h'!M49,'28.07 Nyanama-Ndeeba'!M49)</f>
        <v>72.857142857142861</v>
      </c>
      <c r="N49" s="49">
        <f>AVERAGE('22.07 Nyanama-Ndeeba'!N49,'23.07 Nyanama-Ndeeba'!N49,'24.07 Nyanama-Ndeeba'!N49,'25.07 Nyanama-Ndeeba'!N49,'26.07 Nyanama-Ndeeba-24h'!N49,'27.07 Nyanama-Ndeeba-24h'!N49,'28.07 Nyanama-Ndeeba'!N49)</f>
        <v>0.14285714285714285</v>
      </c>
      <c r="O49" s="15">
        <f t="shared" si="0"/>
        <v>47.285714285714292</v>
      </c>
      <c r="P49" s="15">
        <f t="shared" si="1"/>
        <v>120.14285714285714</v>
      </c>
      <c r="R49" s="8"/>
      <c r="T49"/>
    </row>
    <row r="50" spans="2:20" ht="23.1" customHeight="1" x14ac:dyDescent="0.25">
      <c r="B50" s="24" t="s">
        <v>77</v>
      </c>
      <c r="C50" s="49">
        <f>AVERAGE('22.07 Nyanama-Ndeeba'!C50,'23.07 Nyanama-Ndeeba'!C50,'24.07 Nyanama-Ndeeba'!C50,'25.07 Nyanama-Ndeeba'!C50,'26.07 Nyanama-Ndeeba-24h'!C50,'27.07 Nyanama-Ndeeba-24h'!C50,'28.07 Nyanama-Ndeeba'!C50)</f>
        <v>38.142857142857146</v>
      </c>
      <c r="D50" s="49">
        <f>AVERAGE('22.07 Nyanama-Ndeeba'!D50,'23.07 Nyanama-Ndeeba'!D50,'24.07 Nyanama-Ndeeba'!D50,'25.07 Nyanama-Ndeeba'!D50,'26.07 Nyanama-Ndeeba-24h'!D50,'27.07 Nyanama-Ndeeba-24h'!D50,'28.07 Nyanama-Ndeeba'!D50)</f>
        <v>4</v>
      </c>
      <c r="E50" s="49">
        <f>AVERAGE('22.07 Nyanama-Ndeeba'!E50,'23.07 Nyanama-Ndeeba'!E50,'24.07 Nyanama-Ndeeba'!E50,'25.07 Nyanama-Ndeeba'!E50,'26.07 Nyanama-Ndeeba-24h'!E50,'27.07 Nyanama-Ndeeba-24h'!E50,'28.07 Nyanama-Ndeeba'!E50)</f>
        <v>90.428571428571431</v>
      </c>
      <c r="F50" s="49">
        <f>AVERAGE('22.07 Nyanama-Ndeeba'!F50,'23.07 Nyanama-Ndeeba'!F50,'24.07 Nyanama-Ndeeba'!F50,'25.07 Nyanama-Ndeeba'!F50,'26.07 Nyanama-Ndeeba-24h'!F50,'27.07 Nyanama-Ndeeba-24h'!F50,'28.07 Nyanama-Ndeeba'!F50)</f>
        <v>7</v>
      </c>
      <c r="G50" s="49">
        <f>AVERAGE('22.07 Nyanama-Ndeeba'!G50,'23.07 Nyanama-Ndeeba'!G50,'24.07 Nyanama-Ndeeba'!G50,'25.07 Nyanama-Ndeeba'!G50,'26.07 Nyanama-Ndeeba-24h'!G50,'27.07 Nyanama-Ndeeba-24h'!G50,'28.07 Nyanama-Ndeeba'!G50)</f>
        <v>0.2857142857142857</v>
      </c>
      <c r="H50" s="49">
        <f>AVERAGE('22.07 Nyanama-Ndeeba'!H50,'23.07 Nyanama-Ndeeba'!H50,'24.07 Nyanama-Ndeeba'!H50,'25.07 Nyanama-Ndeeba'!H50,'26.07 Nyanama-Ndeeba-24h'!H50,'27.07 Nyanama-Ndeeba-24h'!H50,'28.07 Nyanama-Ndeeba'!H50)</f>
        <v>0.5714285714285714</v>
      </c>
      <c r="I50" s="49">
        <f>AVERAGE('22.07 Nyanama-Ndeeba'!I50,'23.07 Nyanama-Ndeeba'!I50,'24.07 Nyanama-Ndeeba'!I50,'25.07 Nyanama-Ndeeba'!I50,'26.07 Nyanama-Ndeeba-24h'!I50,'27.07 Nyanama-Ndeeba-24h'!I50,'28.07 Nyanama-Ndeeba'!I50)</f>
        <v>3</v>
      </c>
      <c r="J50" s="49">
        <f>AVERAGE('22.07 Nyanama-Ndeeba'!J50,'23.07 Nyanama-Ndeeba'!J50,'24.07 Nyanama-Ndeeba'!J50,'25.07 Nyanama-Ndeeba'!J50,'26.07 Nyanama-Ndeeba-24h'!J50,'27.07 Nyanama-Ndeeba-24h'!J50,'28.07 Nyanama-Ndeeba'!J50)</f>
        <v>0.42857142857142855</v>
      </c>
      <c r="K50" s="49">
        <f>AVERAGE('22.07 Nyanama-Ndeeba'!K50,'23.07 Nyanama-Ndeeba'!K50,'24.07 Nyanama-Ndeeba'!K50,'25.07 Nyanama-Ndeeba'!K50,'26.07 Nyanama-Ndeeba-24h'!K50,'27.07 Nyanama-Ndeeba-24h'!K50,'28.07 Nyanama-Ndeeba'!K50)</f>
        <v>0.42857142857142855</v>
      </c>
      <c r="L50" s="49">
        <f>AVERAGE('22.07 Nyanama-Ndeeba'!L50,'23.07 Nyanama-Ndeeba'!L50,'24.07 Nyanama-Ndeeba'!L50,'25.07 Nyanama-Ndeeba'!L50,'26.07 Nyanama-Ndeeba-24h'!L50,'27.07 Nyanama-Ndeeba-24h'!L50,'28.07 Nyanama-Ndeeba'!L50)</f>
        <v>0</v>
      </c>
      <c r="M50" s="49">
        <f>AVERAGE('22.07 Nyanama-Ndeeba'!M50,'23.07 Nyanama-Ndeeba'!M50,'24.07 Nyanama-Ndeeba'!M50,'25.07 Nyanama-Ndeeba'!M50,'26.07 Nyanama-Ndeeba-24h'!M50,'27.07 Nyanama-Ndeeba-24h'!M50,'28.07 Nyanama-Ndeeba'!M50)</f>
        <v>80.285714285714292</v>
      </c>
      <c r="N50" s="49">
        <f>AVERAGE('22.07 Nyanama-Ndeeba'!N50,'23.07 Nyanama-Ndeeba'!N50,'24.07 Nyanama-Ndeeba'!N50,'25.07 Nyanama-Ndeeba'!N50,'26.07 Nyanama-Ndeeba-24h'!N50,'27.07 Nyanama-Ndeeba-24h'!N50,'28.07 Nyanama-Ndeeba'!N50)</f>
        <v>0</v>
      </c>
      <c r="O50" s="15">
        <f t="shared" si="0"/>
        <v>144.28571428571428</v>
      </c>
      <c r="P50" s="15">
        <f t="shared" si="1"/>
        <v>224.57142857142856</v>
      </c>
      <c r="R50" s="8"/>
      <c r="T50"/>
    </row>
    <row r="51" spans="2:20" ht="23.1" customHeight="1" x14ac:dyDescent="0.25">
      <c r="B51" s="24" t="s">
        <v>78</v>
      </c>
      <c r="C51" s="49">
        <f>AVERAGE('22.07 Nyanama-Ndeeba'!C51,'23.07 Nyanama-Ndeeba'!C51,'24.07 Nyanama-Ndeeba'!C51,'25.07 Nyanama-Ndeeba'!C51,'26.07 Nyanama-Ndeeba-24h'!C51,'27.07 Nyanama-Ndeeba-24h'!C51,'28.07 Nyanama-Ndeeba'!C51)</f>
        <v>31.714285714285715</v>
      </c>
      <c r="D51" s="49">
        <f>AVERAGE('22.07 Nyanama-Ndeeba'!D51,'23.07 Nyanama-Ndeeba'!D51,'24.07 Nyanama-Ndeeba'!D51,'25.07 Nyanama-Ndeeba'!D51,'26.07 Nyanama-Ndeeba-24h'!D51,'27.07 Nyanama-Ndeeba-24h'!D51,'28.07 Nyanama-Ndeeba'!D51)</f>
        <v>4.2857142857142856</v>
      </c>
      <c r="E51" s="49">
        <f>AVERAGE('22.07 Nyanama-Ndeeba'!E51,'23.07 Nyanama-Ndeeba'!E51,'24.07 Nyanama-Ndeeba'!E51,'25.07 Nyanama-Ndeeba'!E51,'26.07 Nyanama-Ndeeba-24h'!E51,'27.07 Nyanama-Ndeeba-24h'!E51,'28.07 Nyanama-Ndeeba'!E51)</f>
        <v>4</v>
      </c>
      <c r="F51" s="49">
        <f>AVERAGE('22.07 Nyanama-Ndeeba'!F51,'23.07 Nyanama-Ndeeba'!F51,'24.07 Nyanama-Ndeeba'!F51,'25.07 Nyanama-Ndeeba'!F51,'26.07 Nyanama-Ndeeba-24h'!F51,'27.07 Nyanama-Ndeeba-24h'!F51,'28.07 Nyanama-Ndeeba'!F51)</f>
        <v>7</v>
      </c>
      <c r="G51" s="49">
        <f>AVERAGE('22.07 Nyanama-Ndeeba'!G51,'23.07 Nyanama-Ndeeba'!G51,'24.07 Nyanama-Ndeeba'!G51,'25.07 Nyanama-Ndeeba'!G51,'26.07 Nyanama-Ndeeba-24h'!G51,'27.07 Nyanama-Ndeeba-24h'!G51,'28.07 Nyanama-Ndeeba'!G51)</f>
        <v>0.14285714285714285</v>
      </c>
      <c r="H51" s="49">
        <f>AVERAGE('22.07 Nyanama-Ndeeba'!H51,'23.07 Nyanama-Ndeeba'!H51,'24.07 Nyanama-Ndeeba'!H51,'25.07 Nyanama-Ndeeba'!H51,'26.07 Nyanama-Ndeeba-24h'!H51,'27.07 Nyanama-Ndeeba-24h'!H51,'28.07 Nyanama-Ndeeba'!H51)</f>
        <v>0.14285714285714285</v>
      </c>
      <c r="I51" s="49">
        <f>AVERAGE('22.07 Nyanama-Ndeeba'!I51,'23.07 Nyanama-Ndeeba'!I51,'24.07 Nyanama-Ndeeba'!I51,'25.07 Nyanama-Ndeeba'!I51,'26.07 Nyanama-Ndeeba-24h'!I51,'27.07 Nyanama-Ndeeba-24h'!I51,'28.07 Nyanama-Ndeeba'!I51)</f>
        <v>2</v>
      </c>
      <c r="J51" s="49">
        <f>AVERAGE('22.07 Nyanama-Ndeeba'!J51,'23.07 Nyanama-Ndeeba'!J51,'24.07 Nyanama-Ndeeba'!J51,'25.07 Nyanama-Ndeeba'!J51,'26.07 Nyanama-Ndeeba-24h'!J51,'27.07 Nyanama-Ndeeba-24h'!J51,'28.07 Nyanama-Ndeeba'!J51)</f>
        <v>0.8571428571428571</v>
      </c>
      <c r="K51" s="49">
        <f>AVERAGE('22.07 Nyanama-Ndeeba'!K51,'23.07 Nyanama-Ndeeba'!K51,'24.07 Nyanama-Ndeeba'!K51,'25.07 Nyanama-Ndeeba'!K51,'26.07 Nyanama-Ndeeba-24h'!K51,'27.07 Nyanama-Ndeeba-24h'!K51,'28.07 Nyanama-Ndeeba'!K51)</f>
        <v>0.14285714285714285</v>
      </c>
      <c r="L51" s="49">
        <f>AVERAGE('22.07 Nyanama-Ndeeba'!L51,'23.07 Nyanama-Ndeeba'!L51,'24.07 Nyanama-Ndeeba'!L51,'25.07 Nyanama-Ndeeba'!L51,'26.07 Nyanama-Ndeeba-24h'!L51,'27.07 Nyanama-Ndeeba-24h'!L51,'28.07 Nyanama-Ndeeba'!L51)</f>
        <v>0</v>
      </c>
      <c r="M51" s="49">
        <f>AVERAGE('22.07 Nyanama-Ndeeba'!M51,'23.07 Nyanama-Ndeeba'!M51,'24.07 Nyanama-Ndeeba'!M51,'25.07 Nyanama-Ndeeba'!M51,'26.07 Nyanama-Ndeeba-24h'!M51,'27.07 Nyanama-Ndeeba-24h'!M51,'28.07 Nyanama-Ndeeba'!M51)</f>
        <v>82.714285714285708</v>
      </c>
      <c r="N51" s="49">
        <f>AVERAGE('22.07 Nyanama-Ndeeba'!N51,'23.07 Nyanama-Ndeeba'!N51,'24.07 Nyanama-Ndeeba'!N51,'25.07 Nyanama-Ndeeba'!N51,'26.07 Nyanama-Ndeeba-24h'!N51,'27.07 Nyanama-Ndeeba-24h'!N51,'28.07 Nyanama-Ndeeba'!N51)</f>
        <v>0</v>
      </c>
      <c r="O51" s="15">
        <f t="shared" si="0"/>
        <v>50.285714285714292</v>
      </c>
      <c r="P51" s="15">
        <f t="shared" si="1"/>
        <v>133</v>
      </c>
      <c r="R51" s="8"/>
      <c r="T51"/>
    </row>
    <row r="52" spans="2:20" ht="23.1" customHeight="1" x14ac:dyDescent="0.25">
      <c r="B52" s="24" t="s">
        <v>79</v>
      </c>
      <c r="C52" s="49">
        <f>AVERAGE('22.07 Nyanama-Ndeeba'!C52,'23.07 Nyanama-Ndeeba'!C52,'24.07 Nyanama-Ndeeba'!C52,'25.07 Nyanama-Ndeeba'!C52,'26.07 Nyanama-Ndeeba-24h'!C52,'27.07 Nyanama-Ndeeba-24h'!C52,'28.07 Nyanama-Ndeeba'!C52)</f>
        <v>27.857142857142858</v>
      </c>
      <c r="D52" s="49">
        <f>AVERAGE('22.07 Nyanama-Ndeeba'!D52,'23.07 Nyanama-Ndeeba'!D52,'24.07 Nyanama-Ndeeba'!D52,'25.07 Nyanama-Ndeeba'!D52,'26.07 Nyanama-Ndeeba-24h'!D52,'27.07 Nyanama-Ndeeba-24h'!D52,'28.07 Nyanama-Ndeeba'!D52)</f>
        <v>5.1428571428571432</v>
      </c>
      <c r="E52" s="49">
        <f>AVERAGE('22.07 Nyanama-Ndeeba'!E52,'23.07 Nyanama-Ndeeba'!E52,'24.07 Nyanama-Ndeeba'!E52,'25.07 Nyanama-Ndeeba'!E52,'26.07 Nyanama-Ndeeba-24h'!E52,'27.07 Nyanama-Ndeeba-24h'!E52,'28.07 Nyanama-Ndeeba'!E52)</f>
        <v>3.2857142857142856</v>
      </c>
      <c r="F52" s="49">
        <f>AVERAGE('22.07 Nyanama-Ndeeba'!F52,'23.07 Nyanama-Ndeeba'!F52,'24.07 Nyanama-Ndeeba'!F52,'25.07 Nyanama-Ndeeba'!F52,'26.07 Nyanama-Ndeeba-24h'!F52,'27.07 Nyanama-Ndeeba-24h'!F52,'28.07 Nyanama-Ndeeba'!F52)</f>
        <v>7.8571428571428568</v>
      </c>
      <c r="G52" s="49">
        <f>AVERAGE('22.07 Nyanama-Ndeeba'!G52,'23.07 Nyanama-Ndeeba'!G52,'24.07 Nyanama-Ndeeba'!G52,'25.07 Nyanama-Ndeeba'!G52,'26.07 Nyanama-Ndeeba-24h'!G52,'27.07 Nyanama-Ndeeba-24h'!G52,'28.07 Nyanama-Ndeeba'!G52)</f>
        <v>0.2857142857142857</v>
      </c>
      <c r="H52" s="49">
        <f>AVERAGE('22.07 Nyanama-Ndeeba'!H52,'23.07 Nyanama-Ndeeba'!H52,'24.07 Nyanama-Ndeeba'!H52,'25.07 Nyanama-Ndeeba'!H52,'26.07 Nyanama-Ndeeba-24h'!H52,'27.07 Nyanama-Ndeeba-24h'!H52,'28.07 Nyanama-Ndeeba'!H52)</f>
        <v>0.14285714285714285</v>
      </c>
      <c r="I52" s="49">
        <f>AVERAGE('22.07 Nyanama-Ndeeba'!I52,'23.07 Nyanama-Ndeeba'!I52,'24.07 Nyanama-Ndeeba'!I52,'25.07 Nyanama-Ndeeba'!I52,'26.07 Nyanama-Ndeeba-24h'!I52,'27.07 Nyanama-Ndeeba-24h'!I52,'28.07 Nyanama-Ndeeba'!I52)</f>
        <v>2.5714285714285716</v>
      </c>
      <c r="J52" s="49">
        <f>AVERAGE('22.07 Nyanama-Ndeeba'!J52,'23.07 Nyanama-Ndeeba'!J52,'24.07 Nyanama-Ndeeba'!J52,'25.07 Nyanama-Ndeeba'!J52,'26.07 Nyanama-Ndeeba-24h'!J52,'27.07 Nyanama-Ndeeba-24h'!J52,'28.07 Nyanama-Ndeeba'!J52)</f>
        <v>0.7142857142857143</v>
      </c>
      <c r="K52" s="49">
        <f>AVERAGE('22.07 Nyanama-Ndeeba'!K52,'23.07 Nyanama-Ndeeba'!K52,'24.07 Nyanama-Ndeeba'!K52,'25.07 Nyanama-Ndeeba'!K52,'26.07 Nyanama-Ndeeba-24h'!K52,'27.07 Nyanama-Ndeeba-24h'!K52,'28.07 Nyanama-Ndeeba'!K52)</f>
        <v>0.14285714285714285</v>
      </c>
      <c r="L52" s="49">
        <f>AVERAGE('22.07 Nyanama-Ndeeba'!L52,'23.07 Nyanama-Ndeeba'!L52,'24.07 Nyanama-Ndeeba'!L52,'25.07 Nyanama-Ndeeba'!L52,'26.07 Nyanama-Ndeeba-24h'!L52,'27.07 Nyanama-Ndeeba-24h'!L52,'28.07 Nyanama-Ndeeba'!L52)</f>
        <v>0</v>
      </c>
      <c r="M52" s="49">
        <f>AVERAGE('22.07 Nyanama-Ndeeba'!M52,'23.07 Nyanama-Ndeeba'!M52,'24.07 Nyanama-Ndeeba'!M52,'25.07 Nyanama-Ndeeba'!M52,'26.07 Nyanama-Ndeeba-24h'!M52,'27.07 Nyanama-Ndeeba-24h'!M52,'28.07 Nyanama-Ndeeba'!M52)</f>
        <v>85.857142857142861</v>
      </c>
      <c r="N52" s="49">
        <f>AVERAGE('22.07 Nyanama-Ndeeba'!N52,'23.07 Nyanama-Ndeeba'!N52,'24.07 Nyanama-Ndeeba'!N52,'25.07 Nyanama-Ndeeba'!N52,'26.07 Nyanama-Ndeeba-24h'!N52,'27.07 Nyanama-Ndeeba-24h'!N52,'28.07 Nyanama-Ndeeba'!N52)</f>
        <v>0</v>
      </c>
      <c r="O52" s="15">
        <f t="shared" si="0"/>
        <v>48</v>
      </c>
      <c r="P52" s="15">
        <f t="shared" si="1"/>
        <v>133.85714285714286</v>
      </c>
      <c r="R52" s="8"/>
      <c r="T52"/>
    </row>
    <row r="53" spans="2:20" ht="23.1" customHeight="1" x14ac:dyDescent="0.25">
      <c r="B53" s="23" t="s">
        <v>80</v>
      </c>
      <c r="C53" s="49">
        <f>AVERAGE('22.07 Nyanama-Ndeeba'!C53,'23.07 Nyanama-Ndeeba'!C53,'24.07 Nyanama-Ndeeba'!C53,'25.07 Nyanama-Ndeeba'!C53,'26.07 Nyanama-Ndeeba-24h'!C53,'27.07 Nyanama-Ndeeba-24h'!C53,'28.07 Nyanama-Ndeeba'!C53)</f>
        <v>28</v>
      </c>
      <c r="D53" s="49">
        <f>AVERAGE('22.07 Nyanama-Ndeeba'!D53,'23.07 Nyanama-Ndeeba'!D53,'24.07 Nyanama-Ndeeba'!D53,'25.07 Nyanama-Ndeeba'!D53,'26.07 Nyanama-Ndeeba-24h'!D53,'27.07 Nyanama-Ndeeba-24h'!D53,'28.07 Nyanama-Ndeeba'!D53)</f>
        <v>3.7142857142857144</v>
      </c>
      <c r="E53" s="49">
        <f>AVERAGE('22.07 Nyanama-Ndeeba'!E53,'23.07 Nyanama-Ndeeba'!E53,'24.07 Nyanama-Ndeeba'!E53,'25.07 Nyanama-Ndeeba'!E53,'26.07 Nyanama-Ndeeba-24h'!E53,'27.07 Nyanama-Ndeeba-24h'!E53,'28.07 Nyanama-Ndeeba'!E53)</f>
        <v>3.2857142857142856</v>
      </c>
      <c r="F53" s="49">
        <f>AVERAGE('22.07 Nyanama-Ndeeba'!F53,'23.07 Nyanama-Ndeeba'!F53,'24.07 Nyanama-Ndeeba'!F53,'25.07 Nyanama-Ndeeba'!F53,'26.07 Nyanama-Ndeeba-24h'!F53,'27.07 Nyanama-Ndeeba-24h'!F53,'28.07 Nyanama-Ndeeba'!F53)</f>
        <v>7</v>
      </c>
      <c r="G53" s="49">
        <f>AVERAGE('22.07 Nyanama-Ndeeba'!G53,'23.07 Nyanama-Ndeeba'!G53,'24.07 Nyanama-Ndeeba'!G53,'25.07 Nyanama-Ndeeba'!G53,'26.07 Nyanama-Ndeeba-24h'!G53,'27.07 Nyanama-Ndeeba-24h'!G53,'28.07 Nyanama-Ndeeba'!G53)</f>
        <v>0.8571428571428571</v>
      </c>
      <c r="H53" s="49">
        <f>AVERAGE('22.07 Nyanama-Ndeeba'!H53,'23.07 Nyanama-Ndeeba'!H53,'24.07 Nyanama-Ndeeba'!H53,'25.07 Nyanama-Ndeeba'!H53,'26.07 Nyanama-Ndeeba-24h'!H53,'27.07 Nyanama-Ndeeba-24h'!H53,'28.07 Nyanama-Ndeeba'!H53)</f>
        <v>0</v>
      </c>
      <c r="I53" s="49">
        <f>AVERAGE('22.07 Nyanama-Ndeeba'!I53,'23.07 Nyanama-Ndeeba'!I53,'24.07 Nyanama-Ndeeba'!I53,'25.07 Nyanama-Ndeeba'!I53,'26.07 Nyanama-Ndeeba-24h'!I53,'27.07 Nyanama-Ndeeba-24h'!I53,'28.07 Nyanama-Ndeeba'!I53)</f>
        <v>1.2857142857142858</v>
      </c>
      <c r="J53" s="49">
        <f>AVERAGE('22.07 Nyanama-Ndeeba'!J53,'23.07 Nyanama-Ndeeba'!J53,'24.07 Nyanama-Ndeeba'!J53,'25.07 Nyanama-Ndeeba'!J53,'26.07 Nyanama-Ndeeba-24h'!J53,'27.07 Nyanama-Ndeeba-24h'!J53,'28.07 Nyanama-Ndeeba'!J53)</f>
        <v>0.8571428571428571</v>
      </c>
      <c r="K53" s="49">
        <f>AVERAGE('22.07 Nyanama-Ndeeba'!K53,'23.07 Nyanama-Ndeeba'!K53,'24.07 Nyanama-Ndeeba'!K53,'25.07 Nyanama-Ndeeba'!K53,'26.07 Nyanama-Ndeeba-24h'!K53,'27.07 Nyanama-Ndeeba-24h'!K53,'28.07 Nyanama-Ndeeba'!K53)</f>
        <v>0.2857142857142857</v>
      </c>
      <c r="L53" s="49">
        <f>AVERAGE('22.07 Nyanama-Ndeeba'!L53,'23.07 Nyanama-Ndeeba'!L53,'24.07 Nyanama-Ndeeba'!L53,'25.07 Nyanama-Ndeeba'!L53,'26.07 Nyanama-Ndeeba-24h'!L53,'27.07 Nyanama-Ndeeba-24h'!L53,'28.07 Nyanama-Ndeeba'!L53)</f>
        <v>0</v>
      </c>
      <c r="M53" s="49">
        <f>AVERAGE('22.07 Nyanama-Ndeeba'!M53,'23.07 Nyanama-Ndeeba'!M53,'24.07 Nyanama-Ndeeba'!M53,'25.07 Nyanama-Ndeeba'!M53,'26.07 Nyanama-Ndeeba-24h'!M53,'27.07 Nyanama-Ndeeba-24h'!M53,'28.07 Nyanama-Ndeeba'!M53)</f>
        <v>89.428571428571431</v>
      </c>
      <c r="N53" s="49">
        <f>AVERAGE('22.07 Nyanama-Ndeeba'!N53,'23.07 Nyanama-Ndeeba'!N53,'24.07 Nyanama-Ndeeba'!N53,'25.07 Nyanama-Ndeeba'!N53,'26.07 Nyanama-Ndeeba-24h'!N53,'27.07 Nyanama-Ndeeba-24h'!N53,'28.07 Nyanama-Ndeeba'!N53)</f>
        <v>0</v>
      </c>
      <c r="O53" s="15">
        <f t="shared" si="0"/>
        <v>45.285714285714278</v>
      </c>
      <c r="P53" s="15">
        <f t="shared" si="1"/>
        <v>134.71428571428572</v>
      </c>
      <c r="R53" s="8"/>
      <c r="T53"/>
    </row>
    <row r="54" spans="2:20" ht="23.1" customHeight="1" x14ac:dyDescent="0.25">
      <c r="B54" s="23" t="s">
        <v>81</v>
      </c>
      <c r="C54" s="49">
        <f>AVERAGE('22.07 Nyanama-Ndeeba'!C54,'23.07 Nyanama-Ndeeba'!C54,'24.07 Nyanama-Ndeeba'!C54,'25.07 Nyanama-Ndeeba'!C54,'26.07 Nyanama-Ndeeba-24h'!C54,'27.07 Nyanama-Ndeeba-24h'!C54,'28.07 Nyanama-Ndeeba'!C54)</f>
        <v>29</v>
      </c>
      <c r="D54" s="49">
        <f>AVERAGE('22.07 Nyanama-Ndeeba'!D54,'23.07 Nyanama-Ndeeba'!D54,'24.07 Nyanama-Ndeeba'!D54,'25.07 Nyanama-Ndeeba'!D54,'26.07 Nyanama-Ndeeba-24h'!D54,'27.07 Nyanama-Ndeeba-24h'!D54,'28.07 Nyanama-Ndeeba'!D54)</f>
        <v>3.4285714285714284</v>
      </c>
      <c r="E54" s="49">
        <f>AVERAGE('22.07 Nyanama-Ndeeba'!E54,'23.07 Nyanama-Ndeeba'!E54,'24.07 Nyanama-Ndeeba'!E54,'25.07 Nyanama-Ndeeba'!E54,'26.07 Nyanama-Ndeeba-24h'!E54,'27.07 Nyanama-Ndeeba-24h'!E54,'28.07 Nyanama-Ndeeba'!E54)</f>
        <v>2.7142857142857144</v>
      </c>
      <c r="F54" s="49">
        <f>AVERAGE('22.07 Nyanama-Ndeeba'!F54,'23.07 Nyanama-Ndeeba'!F54,'24.07 Nyanama-Ndeeba'!F54,'25.07 Nyanama-Ndeeba'!F54,'26.07 Nyanama-Ndeeba-24h'!F54,'27.07 Nyanama-Ndeeba-24h'!F54,'28.07 Nyanama-Ndeeba'!F54)</f>
        <v>8.4285714285714288</v>
      </c>
      <c r="G54" s="49">
        <f>AVERAGE('22.07 Nyanama-Ndeeba'!G54,'23.07 Nyanama-Ndeeba'!G54,'24.07 Nyanama-Ndeeba'!G54,'25.07 Nyanama-Ndeeba'!G54,'26.07 Nyanama-Ndeeba-24h'!G54,'27.07 Nyanama-Ndeeba-24h'!G54,'28.07 Nyanama-Ndeeba'!G54)</f>
        <v>0.42857142857142855</v>
      </c>
      <c r="H54" s="49">
        <f>AVERAGE('22.07 Nyanama-Ndeeba'!H54,'23.07 Nyanama-Ndeeba'!H54,'24.07 Nyanama-Ndeeba'!H54,'25.07 Nyanama-Ndeeba'!H54,'26.07 Nyanama-Ndeeba-24h'!H54,'27.07 Nyanama-Ndeeba-24h'!H54,'28.07 Nyanama-Ndeeba'!H54)</f>
        <v>0.14285714285714285</v>
      </c>
      <c r="I54" s="49">
        <f>AVERAGE('22.07 Nyanama-Ndeeba'!I54,'23.07 Nyanama-Ndeeba'!I54,'24.07 Nyanama-Ndeeba'!I54,'25.07 Nyanama-Ndeeba'!I54,'26.07 Nyanama-Ndeeba-24h'!I54,'27.07 Nyanama-Ndeeba-24h'!I54,'28.07 Nyanama-Ndeeba'!I54)</f>
        <v>1.4285714285714286</v>
      </c>
      <c r="J54" s="49">
        <f>AVERAGE('22.07 Nyanama-Ndeeba'!J54,'23.07 Nyanama-Ndeeba'!J54,'24.07 Nyanama-Ndeeba'!J54,'25.07 Nyanama-Ndeeba'!J54,'26.07 Nyanama-Ndeeba-24h'!J54,'27.07 Nyanama-Ndeeba-24h'!J54,'28.07 Nyanama-Ndeeba'!J54)</f>
        <v>0.8571428571428571</v>
      </c>
      <c r="K54" s="49">
        <f>AVERAGE('22.07 Nyanama-Ndeeba'!K54,'23.07 Nyanama-Ndeeba'!K54,'24.07 Nyanama-Ndeeba'!K54,'25.07 Nyanama-Ndeeba'!K54,'26.07 Nyanama-Ndeeba-24h'!K54,'27.07 Nyanama-Ndeeba-24h'!K54,'28.07 Nyanama-Ndeeba'!K54)</f>
        <v>0.42857142857142855</v>
      </c>
      <c r="L54" s="49">
        <f>AVERAGE('22.07 Nyanama-Ndeeba'!L54,'23.07 Nyanama-Ndeeba'!L54,'24.07 Nyanama-Ndeeba'!L54,'25.07 Nyanama-Ndeeba'!L54,'26.07 Nyanama-Ndeeba-24h'!L54,'27.07 Nyanama-Ndeeba-24h'!L54,'28.07 Nyanama-Ndeeba'!L54)</f>
        <v>0.2857142857142857</v>
      </c>
      <c r="M54" s="49">
        <f>AVERAGE('22.07 Nyanama-Ndeeba'!M54,'23.07 Nyanama-Ndeeba'!M54,'24.07 Nyanama-Ndeeba'!M54,'25.07 Nyanama-Ndeeba'!M54,'26.07 Nyanama-Ndeeba-24h'!M54,'27.07 Nyanama-Ndeeba-24h'!M54,'28.07 Nyanama-Ndeeba'!M54)</f>
        <v>87.714285714285708</v>
      </c>
      <c r="N54" s="49">
        <f>AVERAGE('22.07 Nyanama-Ndeeba'!N54,'23.07 Nyanama-Ndeeba'!N54,'24.07 Nyanama-Ndeeba'!N54,'25.07 Nyanama-Ndeeba'!N54,'26.07 Nyanama-Ndeeba-24h'!N54,'27.07 Nyanama-Ndeeba-24h'!N54,'28.07 Nyanama-Ndeeba'!N54)</f>
        <v>0</v>
      </c>
      <c r="O54" s="15">
        <f t="shared" si="0"/>
        <v>47.142857142857153</v>
      </c>
      <c r="P54" s="15">
        <f t="shared" si="1"/>
        <v>134.85714285714286</v>
      </c>
      <c r="R54" s="8"/>
      <c r="T54"/>
    </row>
    <row r="55" spans="2:20" ht="23.1" customHeight="1" x14ac:dyDescent="0.25">
      <c r="B55" s="23" t="s">
        <v>82</v>
      </c>
      <c r="C55" s="49">
        <f>AVERAGE('22.07 Nyanama-Ndeeba'!C55,'23.07 Nyanama-Ndeeba'!C55,'24.07 Nyanama-Ndeeba'!C55,'25.07 Nyanama-Ndeeba'!C55,'26.07 Nyanama-Ndeeba-24h'!C55,'27.07 Nyanama-Ndeeba-24h'!C55,'28.07 Nyanama-Ndeeba'!C55)</f>
        <v>31.142857142857142</v>
      </c>
      <c r="D55" s="49">
        <f>AVERAGE('22.07 Nyanama-Ndeeba'!D55,'23.07 Nyanama-Ndeeba'!D55,'24.07 Nyanama-Ndeeba'!D55,'25.07 Nyanama-Ndeeba'!D55,'26.07 Nyanama-Ndeeba-24h'!D55,'27.07 Nyanama-Ndeeba-24h'!D55,'28.07 Nyanama-Ndeeba'!D55)</f>
        <v>3.4285714285714284</v>
      </c>
      <c r="E55" s="49">
        <f>AVERAGE('22.07 Nyanama-Ndeeba'!E55,'23.07 Nyanama-Ndeeba'!E55,'24.07 Nyanama-Ndeeba'!E55,'25.07 Nyanama-Ndeeba'!E55,'26.07 Nyanama-Ndeeba-24h'!E55,'27.07 Nyanama-Ndeeba-24h'!E55,'28.07 Nyanama-Ndeeba'!E55)</f>
        <v>2.5714285714285716</v>
      </c>
      <c r="F55" s="49">
        <f>AVERAGE('22.07 Nyanama-Ndeeba'!F55,'23.07 Nyanama-Ndeeba'!F55,'24.07 Nyanama-Ndeeba'!F55,'25.07 Nyanama-Ndeeba'!F55,'26.07 Nyanama-Ndeeba-24h'!F55,'27.07 Nyanama-Ndeeba-24h'!F55,'28.07 Nyanama-Ndeeba'!F55)</f>
        <v>7.7142857142857144</v>
      </c>
      <c r="G55" s="49">
        <f>AVERAGE('22.07 Nyanama-Ndeeba'!G55,'23.07 Nyanama-Ndeeba'!G55,'24.07 Nyanama-Ndeeba'!G55,'25.07 Nyanama-Ndeeba'!G55,'26.07 Nyanama-Ndeeba-24h'!G55,'27.07 Nyanama-Ndeeba-24h'!G55,'28.07 Nyanama-Ndeeba'!G55)</f>
        <v>0.7142857142857143</v>
      </c>
      <c r="H55" s="49">
        <f>AVERAGE('22.07 Nyanama-Ndeeba'!H55,'23.07 Nyanama-Ndeeba'!H55,'24.07 Nyanama-Ndeeba'!H55,'25.07 Nyanama-Ndeeba'!H55,'26.07 Nyanama-Ndeeba-24h'!H55,'27.07 Nyanama-Ndeeba-24h'!H55,'28.07 Nyanama-Ndeeba'!H55)</f>
        <v>0.5714285714285714</v>
      </c>
      <c r="I55" s="49">
        <f>AVERAGE('22.07 Nyanama-Ndeeba'!I55,'23.07 Nyanama-Ndeeba'!I55,'24.07 Nyanama-Ndeeba'!I55,'25.07 Nyanama-Ndeeba'!I55,'26.07 Nyanama-Ndeeba-24h'!I55,'27.07 Nyanama-Ndeeba-24h'!I55,'28.07 Nyanama-Ndeeba'!I55)</f>
        <v>2.4285714285714284</v>
      </c>
      <c r="J55" s="49">
        <f>AVERAGE('22.07 Nyanama-Ndeeba'!J55,'23.07 Nyanama-Ndeeba'!J55,'24.07 Nyanama-Ndeeba'!J55,'25.07 Nyanama-Ndeeba'!J55,'26.07 Nyanama-Ndeeba-24h'!J55,'27.07 Nyanama-Ndeeba-24h'!J55,'28.07 Nyanama-Ndeeba'!J55)</f>
        <v>0.42857142857142855</v>
      </c>
      <c r="K55" s="49">
        <f>AVERAGE('22.07 Nyanama-Ndeeba'!K55,'23.07 Nyanama-Ndeeba'!K55,'24.07 Nyanama-Ndeeba'!K55,'25.07 Nyanama-Ndeeba'!K55,'26.07 Nyanama-Ndeeba-24h'!K55,'27.07 Nyanama-Ndeeba-24h'!K55,'28.07 Nyanama-Ndeeba'!K55)</f>
        <v>0.42857142857142855</v>
      </c>
      <c r="L55" s="49">
        <f>AVERAGE('22.07 Nyanama-Ndeeba'!L55,'23.07 Nyanama-Ndeeba'!L55,'24.07 Nyanama-Ndeeba'!L55,'25.07 Nyanama-Ndeeba'!L55,'26.07 Nyanama-Ndeeba-24h'!L55,'27.07 Nyanama-Ndeeba-24h'!L55,'28.07 Nyanama-Ndeeba'!L55)</f>
        <v>0</v>
      </c>
      <c r="M55" s="49">
        <f>AVERAGE('22.07 Nyanama-Ndeeba'!M55,'23.07 Nyanama-Ndeeba'!M55,'24.07 Nyanama-Ndeeba'!M55,'25.07 Nyanama-Ndeeba'!M55,'26.07 Nyanama-Ndeeba-24h'!M55,'27.07 Nyanama-Ndeeba-24h'!M55,'28.07 Nyanama-Ndeeba'!M55)</f>
        <v>93.714285714285708</v>
      </c>
      <c r="N55" s="49">
        <f>AVERAGE('22.07 Nyanama-Ndeeba'!N55,'23.07 Nyanama-Ndeeba'!N55,'24.07 Nyanama-Ndeeba'!N55,'25.07 Nyanama-Ndeeba'!N55,'26.07 Nyanama-Ndeeba-24h'!N55,'27.07 Nyanama-Ndeeba-24h'!N55,'28.07 Nyanama-Ndeeba'!N55)</f>
        <v>0.14285714285714285</v>
      </c>
      <c r="O55" s="15">
        <f t="shared" si="0"/>
        <v>49.571428571428577</v>
      </c>
      <c r="P55" s="15">
        <f t="shared" si="1"/>
        <v>143.28571428571428</v>
      </c>
      <c r="R55" s="8"/>
      <c r="T55"/>
    </row>
    <row r="56" spans="2:20" ht="23.1" customHeight="1" x14ac:dyDescent="0.25">
      <c r="B56" s="23" t="s">
        <v>83</v>
      </c>
      <c r="C56" s="49">
        <f>AVERAGE('22.07 Nyanama-Ndeeba'!C56,'23.07 Nyanama-Ndeeba'!C56,'24.07 Nyanama-Ndeeba'!C56,'25.07 Nyanama-Ndeeba'!C56,'26.07 Nyanama-Ndeeba-24h'!C56,'27.07 Nyanama-Ndeeba-24h'!C56,'28.07 Nyanama-Ndeeba'!C56)</f>
        <v>28.714285714285715</v>
      </c>
      <c r="D56" s="49">
        <f>AVERAGE('22.07 Nyanama-Ndeeba'!D56,'23.07 Nyanama-Ndeeba'!D56,'24.07 Nyanama-Ndeeba'!D56,'25.07 Nyanama-Ndeeba'!D56,'26.07 Nyanama-Ndeeba-24h'!D56,'27.07 Nyanama-Ndeeba-24h'!D56,'28.07 Nyanama-Ndeeba'!D56)</f>
        <v>4.2857142857142856</v>
      </c>
      <c r="E56" s="49">
        <f>AVERAGE('22.07 Nyanama-Ndeeba'!E56,'23.07 Nyanama-Ndeeba'!E56,'24.07 Nyanama-Ndeeba'!E56,'25.07 Nyanama-Ndeeba'!E56,'26.07 Nyanama-Ndeeba-24h'!E56,'27.07 Nyanama-Ndeeba-24h'!E56,'28.07 Nyanama-Ndeeba'!E56)</f>
        <v>2.1428571428571428</v>
      </c>
      <c r="F56" s="49">
        <f>AVERAGE('22.07 Nyanama-Ndeeba'!F56,'23.07 Nyanama-Ndeeba'!F56,'24.07 Nyanama-Ndeeba'!F56,'25.07 Nyanama-Ndeeba'!F56,'26.07 Nyanama-Ndeeba-24h'!F56,'27.07 Nyanama-Ndeeba-24h'!F56,'28.07 Nyanama-Ndeeba'!F56)</f>
        <v>7.2857142857142856</v>
      </c>
      <c r="G56" s="49">
        <f>AVERAGE('22.07 Nyanama-Ndeeba'!G56,'23.07 Nyanama-Ndeeba'!G56,'24.07 Nyanama-Ndeeba'!G56,'25.07 Nyanama-Ndeeba'!G56,'26.07 Nyanama-Ndeeba-24h'!G56,'27.07 Nyanama-Ndeeba-24h'!G56,'28.07 Nyanama-Ndeeba'!G56)</f>
        <v>0.7142857142857143</v>
      </c>
      <c r="H56" s="49">
        <f>AVERAGE('22.07 Nyanama-Ndeeba'!H56,'23.07 Nyanama-Ndeeba'!H56,'24.07 Nyanama-Ndeeba'!H56,'25.07 Nyanama-Ndeeba'!H56,'26.07 Nyanama-Ndeeba-24h'!H56,'27.07 Nyanama-Ndeeba-24h'!H56,'28.07 Nyanama-Ndeeba'!H56)</f>
        <v>0.2857142857142857</v>
      </c>
      <c r="I56" s="49">
        <f>AVERAGE('22.07 Nyanama-Ndeeba'!I56,'23.07 Nyanama-Ndeeba'!I56,'24.07 Nyanama-Ndeeba'!I56,'25.07 Nyanama-Ndeeba'!I56,'26.07 Nyanama-Ndeeba-24h'!I56,'27.07 Nyanama-Ndeeba-24h'!I56,'28.07 Nyanama-Ndeeba'!I56)</f>
        <v>1.7142857142857142</v>
      </c>
      <c r="J56" s="49">
        <f>AVERAGE('22.07 Nyanama-Ndeeba'!J56,'23.07 Nyanama-Ndeeba'!J56,'24.07 Nyanama-Ndeeba'!J56,'25.07 Nyanama-Ndeeba'!J56,'26.07 Nyanama-Ndeeba-24h'!J56,'27.07 Nyanama-Ndeeba-24h'!J56,'28.07 Nyanama-Ndeeba'!J56)</f>
        <v>1</v>
      </c>
      <c r="K56" s="49">
        <f>AVERAGE('22.07 Nyanama-Ndeeba'!K56,'23.07 Nyanama-Ndeeba'!K56,'24.07 Nyanama-Ndeeba'!K56,'25.07 Nyanama-Ndeeba'!K56,'26.07 Nyanama-Ndeeba-24h'!K56,'27.07 Nyanama-Ndeeba-24h'!K56,'28.07 Nyanama-Ndeeba'!K56)</f>
        <v>0.42857142857142855</v>
      </c>
      <c r="L56" s="49">
        <f>AVERAGE('22.07 Nyanama-Ndeeba'!L56,'23.07 Nyanama-Ndeeba'!L56,'24.07 Nyanama-Ndeeba'!L56,'25.07 Nyanama-Ndeeba'!L56,'26.07 Nyanama-Ndeeba-24h'!L56,'27.07 Nyanama-Ndeeba-24h'!L56,'28.07 Nyanama-Ndeeba'!L56)</f>
        <v>0.2857142857142857</v>
      </c>
      <c r="M56" s="49">
        <f>AVERAGE('22.07 Nyanama-Ndeeba'!M56,'23.07 Nyanama-Ndeeba'!M56,'24.07 Nyanama-Ndeeba'!M56,'25.07 Nyanama-Ndeeba'!M56,'26.07 Nyanama-Ndeeba-24h'!M56,'27.07 Nyanama-Ndeeba-24h'!M56,'28.07 Nyanama-Ndeeba'!M56)</f>
        <v>93.857142857142861</v>
      </c>
      <c r="N56" s="49">
        <f>AVERAGE('22.07 Nyanama-Ndeeba'!N56,'23.07 Nyanama-Ndeeba'!N56,'24.07 Nyanama-Ndeeba'!N56,'25.07 Nyanama-Ndeeba'!N56,'26.07 Nyanama-Ndeeba-24h'!N56,'27.07 Nyanama-Ndeeba-24h'!N56,'28.07 Nyanama-Ndeeba'!N56)</f>
        <v>0</v>
      </c>
      <c r="O56" s="15">
        <f t="shared" si="0"/>
        <v>46.857142857142861</v>
      </c>
      <c r="P56" s="15">
        <f t="shared" si="1"/>
        <v>140.71428571428572</v>
      </c>
      <c r="R56" s="8"/>
      <c r="T56"/>
    </row>
    <row r="57" spans="2:20" ht="23.1" customHeight="1" x14ac:dyDescent="0.25">
      <c r="B57" s="23" t="s">
        <v>84</v>
      </c>
      <c r="C57" s="49">
        <f>AVERAGE('22.07 Nyanama-Ndeeba'!C57,'23.07 Nyanama-Ndeeba'!C57,'24.07 Nyanama-Ndeeba'!C57,'25.07 Nyanama-Ndeeba'!C57,'26.07 Nyanama-Ndeeba-24h'!C57,'27.07 Nyanama-Ndeeba-24h'!C57,'28.07 Nyanama-Ndeeba'!C57)</f>
        <v>26.857142857142858</v>
      </c>
      <c r="D57" s="49">
        <f>AVERAGE('22.07 Nyanama-Ndeeba'!D57,'23.07 Nyanama-Ndeeba'!D57,'24.07 Nyanama-Ndeeba'!D57,'25.07 Nyanama-Ndeeba'!D57,'26.07 Nyanama-Ndeeba-24h'!D57,'27.07 Nyanama-Ndeeba-24h'!D57,'28.07 Nyanama-Ndeeba'!D57)</f>
        <v>4.5714285714285712</v>
      </c>
      <c r="E57" s="49">
        <f>AVERAGE('22.07 Nyanama-Ndeeba'!E57,'23.07 Nyanama-Ndeeba'!E57,'24.07 Nyanama-Ndeeba'!E57,'25.07 Nyanama-Ndeeba'!E57,'26.07 Nyanama-Ndeeba-24h'!E57,'27.07 Nyanama-Ndeeba-24h'!E57,'28.07 Nyanama-Ndeeba'!E57)</f>
        <v>4.4285714285714288</v>
      </c>
      <c r="F57" s="49">
        <f>AVERAGE('22.07 Nyanama-Ndeeba'!F57,'23.07 Nyanama-Ndeeba'!F57,'24.07 Nyanama-Ndeeba'!F57,'25.07 Nyanama-Ndeeba'!F57,'26.07 Nyanama-Ndeeba-24h'!F57,'27.07 Nyanama-Ndeeba-24h'!F57,'28.07 Nyanama-Ndeeba'!F57)</f>
        <v>9.4285714285714288</v>
      </c>
      <c r="G57" s="49">
        <f>AVERAGE('22.07 Nyanama-Ndeeba'!G57,'23.07 Nyanama-Ndeeba'!G57,'24.07 Nyanama-Ndeeba'!G57,'25.07 Nyanama-Ndeeba'!G57,'26.07 Nyanama-Ndeeba-24h'!G57,'27.07 Nyanama-Ndeeba-24h'!G57,'28.07 Nyanama-Ndeeba'!G57)</f>
        <v>0.2857142857142857</v>
      </c>
      <c r="H57" s="49">
        <f>AVERAGE('22.07 Nyanama-Ndeeba'!H57,'23.07 Nyanama-Ndeeba'!H57,'24.07 Nyanama-Ndeeba'!H57,'25.07 Nyanama-Ndeeba'!H57,'26.07 Nyanama-Ndeeba-24h'!H57,'27.07 Nyanama-Ndeeba-24h'!H57,'28.07 Nyanama-Ndeeba'!H57)</f>
        <v>0</v>
      </c>
      <c r="I57" s="49">
        <f>AVERAGE('22.07 Nyanama-Ndeeba'!I57,'23.07 Nyanama-Ndeeba'!I57,'24.07 Nyanama-Ndeeba'!I57,'25.07 Nyanama-Ndeeba'!I57,'26.07 Nyanama-Ndeeba-24h'!I57,'27.07 Nyanama-Ndeeba-24h'!I57,'28.07 Nyanama-Ndeeba'!I57)</f>
        <v>1.7142857142857142</v>
      </c>
      <c r="J57" s="49">
        <f>AVERAGE('22.07 Nyanama-Ndeeba'!J57,'23.07 Nyanama-Ndeeba'!J57,'24.07 Nyanama-Ndeeba'!J57,'25.07 Nyanama-Ndeeba'!J57,'26.07 Nyanama-Ndeeba-24h'!J57,'27.07 Nyanama-Ndeeba-24h'!J57,'28.07 Nyanama-Ndeeba'!J57)</f>
        <v>0.8571428571428571</v>
      </c>
      <c r="K57" s="49">
        <f>AVERAGE('22.07 Nyanama-Ndeeba'!K57,'23.07 Nyanama-Ndeeba'!K57,'24.07 Nyanama-Ndeeba'!K57,'25.07 Nyanama-Ndeeba'!K57,'26.07 Nyanama-Ndeeba-24h'!K57,'27.07 Nyanama-Ndeeba-24h'!K57,'28.07 Nyanama-Ndeeba'!K57)</f>
        <v>1</v>
      </c>
      <c r="L57" s="49">
        <f>AVERAGE('22.07 Nyanama-Ndeeba'!L57,'23.07 Nyanama-Ndeeba'!L57,'24.07 Nyanama-Ndeeba'!L57,'25.07 Nyanama-Ndeeba'!L57,'26.07 Nyanama-Ndeeba-24h'!L57,'27.07 Nyanama-Ndeeba-24h'!L57,'28.07 Nyanama-Ndeeba'!L57)</f>
        <v>0.2857142857142857</v>
      </c>
      <c r="M57" s="49">
        <f>AVERAGE('22.07 Nyanama-Ndeeba'!M57,'23.07 Nyanama-Ndeeba'!M57,'24.07 Nyanama-Ndeeba'!M57,'25.07 Nyanama-Ndeeba'!M57,'26.07 Nyanama-Ndeeba-24h'!M57,'27.07 Nyanama-Ndeeba-24h'!M57,'28.07 Nyanama-Ndeeba'!M57)</f>
        <v>100.85714285714286</v>
      </c>
      <c r="N57" s="49">
        <f>AVERAGE('22.07 Nyanama-Ndeeba'!N57,'23.07 Nyanama-Ndeeba'!N57,'24.07 Nyanama-Ndeeba'!N57,'25.07 Nyanama-Ndeeba'!N57,'26.07 Nyanama-Ndeeba-24h'!N57,'27.07 Nyanama-Ndeeba-24h'!N57,'28.07 Nyanama-Ndeeba'!N57)</f>
        <v>0</v>
      </c>
      <c r="O57" s="15">
        <f t="shared" si="0"/>
        <v>49.428571428571431</v>
      </c>
      <c r="P57" s="15">
        <f t="shared" si="1"/>
        <v>150.28571428571428</v>
      </c>
      <c r="R57" s="8"/>
      <c r="T57"/>
    </row>
    <row r="58" spans="2:20" ht="23.1" customHeight="1" x14ac:dyDescent="0.25">
      <c r="B58" s="23" t="s">
        <v>99</v>
      </c>
      <c r="C58" s="49">
        <f>AVERAGE('26.07 Nyanama-Ndeeba-24h'!C58,'27.07 Nyanama-Ndeeba-24h'!C58)</f>
        <v>49</v>
      </c>
      <c r="D58" s="49">
        <f>AVERAGE('26.07 Nyanama-Ndeeba-24h'!D58,'27.07 Nyanama-Ndeeba-24h'!D58)</f>
        <v>24.5</v>
      </c>
      <c r="E58" s="49">
        <f>AVERAGE('26.07 Nyanama-Ndeeba-24h'!E58,'27.07 Nyanama-Ndeeba-24h'!E58)</f>
        <v>13</v>
      </c>
      <c r="F58" s="49">
        <f>AVERAGE('26.07 Nyanama-Ndeeba-24h'!F58,'27.07 Nyanama-Ndeeba-24h'!F58)</f>
        <v>22</v>
      </c>
      <c r="G58" s="49">
        <f>AVERAGE('26.07 Nyanama-Ndeeba-24h'!G58,'27.07 Nyanama-Ndeeba-24h'!G58)</f>
        <v>3.5</v>
      </c>
      <c r="H58" s="49">
        <f>AVERAGE('26.07 Nyanama-Ndeeba-24h'!H58,'27.07 Nyanama-Ndeeba-24h'!H58)</f>
        <v>0</v>
      </c>
      <c r="I58" s="49">
        <f>AVERAGE('26.07 Nyanama-Ndeeba-24h'!I58,'27.07 Nyanama-Ndeeba-24h'!I58)</f>
        <v>4</v>
      </c>
      <c r="J58" s="49">
        <f>AVERAGE('26.07 Nyanama-Ndeeba-24h'!J58,'27.07 Nyanama-Ndeeba-24h'!J58)</f>
        <v>1</v>
      </c>
      <c r="K58" s="49">
        <f>AVERAGE('26.07 Nyanama-Ndeeba-24h'!K58,'27.07 Nyanama-Ndeeba-24h'!K58)</f>
        <v>4</v>
      </c>
      <c r="L58" s="49">
        <f>AVERAGE('26.07 Nyanama-Ndeeba-24h'!L58,'27.07 Nyanama-Ndeeba-24h'!L58)</f>
        <v>0.5</v>
      </c>
      <c r="M58" s="49">
        <f>AVERAGE('26.07 Nyanama-Ndeeba-24h'!M58,'27.07 Nyanama-Ndeeba-24h'!M58)</f>
        <v>92.5</v>
      </c>
      <c r="N58" s="49">
        <f>AVERAGE('26.07 Nyanama-Ndeeba-24h'!N58,'27.07 Nyanama-Ndeeba-24h'!N58)</f>
        <v>0</v>
      </c>
      <c r="O58" s="15">
        <f t="shared" si="0"/>
        <v>121.5</v>
      </c>
      <c r="P58" s="15">
        <f t="shared" si="1"/>
        <v>214</v>
      </c>
      <c r="R58" s="8"/>
      <c r="T58"/>
    </row>
    <row r="59" spans="2:20" ht="23.1" customHeight="1" x14ac:dyDescent="0.25">
      <c r="B59" s="23" t="s">
        <v>100</v>
      </c>
      <c r="C59" s="49">
        <f>AVERAGE('26.07 Nyanama-Ndeeba-24h'!C59,'27.07 Nyanama-Ndeeba-24h'!C59)</f>
        <v>25</v>
      </c>
      <c r="D59" s="49">
        <f>AVERAGE('26.07 Nyanama-Ndeeba-24h'!D59,'27.07 Nyanama-Ndeeba-24h'!D59)</f>
        <v>12.5</v>
      </c>
      <c r="E59" s="49">
        <f>AVERAGE('26.07 Nyanama-Ndeeba-24h'!E59,'27.07 Nyanama-Ndeeba-24h'!E59)</f>
        <v>10</v>
      </c>
      <c r="F59" s="49">
        <f>AVERAGE('26.07 Nyanama-Ndeeba-24h'!F59,'27.07 Nyanama-Ndeeba-24h'!F59)</f>
        <v>12.5</v>
      </c>
      <c r="G59" s="49">
        <f>AVERAGE('26.07 Nyanama-Ndeeba-24h'!G59,'27.07 Nyanama-Ndeeba-24h'!G59)</f>
        <v>1</v>
      </c>
      <c r="H59" s="49">
        <f>AVERAGE('26.07 Nyanama-Ndeeba-24h'!H59,'27.07 Nyanama-Ndeeba-24h'!H59)</f>
        <v>0.5</v>
      </c>
      <c r="I59" s="49">
        <f>AVERAGE('26.07 Nyanama-Ndeeba-24h'!I59,'27.07 Nyanama-Ndeeba-24h'!I59)</f>
        <v>5</v>
      </c>
      <c r="J59" s="49">
        <f>AVERAGE('26.07 Nyanama-Ndeeba-24h'!J59,'27.07 Nyanama-Ndeeba-24h'!J59)</f>
        <v>3</v>
      </c>
      <c r="K59" s="49">
        <f>AVERAGE('26.07 Nyanama-Ndeeba-24h'!K59,'27.07 Nyanama-Ndeeba-24h'!K59)</f>
        <v>1.5</v>
      </c>
      <c r="L59" s="49">
        <f>AVERAGE('26.07 Nyanama-Ndeeba-24h'!L59,'27.07 Nyanama-Ndeeba-24h'!L59)</f>
        <v>0</v>
      </c>
      <c r="M59" s="49">
        <f>AVERAGE('26.07 Nyanama-Ndeeba-24h'!M59,'27.07 Nyanama-Ndeeba-24h'!M59)</f>
        <v>52.5</v>
      </c>
      <c r="N59" s="49">
        <f>AVERAGE('26.07 Nyanama-Ndeeba-24h'!N59,'27.07 Nyanama-Ndeeba-24h'!N59)</f>
        <v>0</v>
      </c>
      <c r="O59" s="15">
        <f t="shared" si="0"/>
        <v>71</v>
      </c>
      <c r="P59" s="15">
        <f t="shared" si="1"/>
        <v>123.5</v>
      </c>
      <c r="R59" s="8"/>
      <c r="T59"/>
    </row>
    <row r="60" spans="2:20" ht="23.1" customHeight="1" x14ac:dyDescent="0.25">
      <c r="B60" s="23" t="s">
        <v>101</v>
      </c>
      <c r="C60" s="49">
        <f>AVERAGE('26.07 Nyanama-Ndeeba-24h'!C60,'27.07 Nyanama-Ndeeba-24h'!C60)</f>
        <v>25</v>
      </c>
      <c r="D60" s="49">
        <f>AVERAGE('26.07 Nyanama-Ndeeba-24h'!D60,'27.07 Nyanama-Ndeeba-24h'!D60)</f>
        <v>10</v>
      </c>
      <c r="E60" s="49">
        <f>AVERAGE('26.07 Nyanama-Ndeeba-24h'!E60,'27.07 Nyanama-Ndeeba-24h'!E60)</f>
        <v>8</v>
      </c>
      <c r="F60" s="49">
        <f>AVERAGE('26.07 Nyanama-Ndeeba-24h'!F60,'27.07 Nyanama-Ndeeba-24h'!F60)</f>
        <v>17.5</v>
      </c>
      <c r="G60" s="49">
        <f>AVERAGE('26.07 Nyanama-Ndeeba-24h'!G60,'27.07 Nyanama-Ndeeba-24h'!G60)</f>
        <v>2</v>
      </c>
      <c r="H60" s="49">
        <f>AVERAGE('26.07 Nyanama-Ndeeba-24h'!H60,'27.07 Nyanama-Ndeeba-24h'!H60)</f>
        <v>0</v>
      </c>
      <c r="I60" s="49">
        <f>AVERAGE('26.07 Nyanama-Ndeeba-24h'!I60,'27.07 Nyanama-Ndeeba-24h'!I60)</f>
        <v>1.5</v>
      </c>
      <c r="J60" s="49">
        <f>AVERAGE('26.07 Nyanama-Ndeeba-24h'!J60,'27.07 Nyanama-Ndeeba-24h'!J60)</f>
        <v>7.5</v>
      </c>
      <c r="K60" s="49">
        <f>AVERAGE('26.07 Nyanama-Ndeeba-24h'!K60,'27.07 Nyanama-Ndeeba-24h'!K60)</f>
        <v>4.5</v>
      </c>
      <c r="L60" s="49">
        <f>AVERAGE('26.07 Nyanama-Ndeeba-24h'!L60,'27.07 Nyanama-Ndeeba-24h'!L60)</f>
        <v>1.5</v>
      </c>
      <c r="M60" s="49">
        <f>AVERAGE('26.07 Nyanama-Ndeeba-24h'!M60,'27.07 Nyanama-Ndeeba-24h'!M60)</f>
        <v>50</v>
      </c>
      <c r="N60" s="49">
        <f>AVERAGE('26.07 Nyanama-Ndeeba-24h'!N60,'27.07 Nyanama-Ndeeba-24h'!N60)</f>
        <v>0</v>
      </c>
      <c r="O60" s="15">
        <f t="shared" si="0"/>
        <v>77.5</v>
      </c>
      <c r="P60" s="15">
        <f t="shared" si="1"/>
        <v>127.5</v>
      </c>
      <c r="R60" s="8"/>
      <c r="T60"/>
    </row>
    <row r="61" spans="2:20" ht="23.1" customHeight="1" x14ac:dyDescent="0.25">
      <c r="B61" s="23" t="s">
        <v>102</v>
      </c>
      <c r="C61" s="49">
        <f>AVERAGE('26.07 Nyanama-Ndeeba-24h'!C61,'27.07 Nyanama-Ndeeba-24h'!C61)</f>
        <v>25</v>
      </c>
      <c r="D61" s="49">
        <f>AVERAGE('26.07 Nyanama-Ndeeba-24h'!D61,'27.07 Nyanama-Ndeeba-24h'!D61)</f>
        <v>15.5</v>
      </c>
      <c r="E61" s="49">
        <f>AVERAGE('26.07 Nyanama-Ndeeba-24h'!E61,'27.07 Nyanama-Ndeeba-24h'!E61)</f>
        <v>6</v>
      </c>
      <c r="F61" s="49">
        <f>AVERAGE('26.07 Nyanama-Ndeeba-24h'!F61,'27.07 Nyanama-Ndeeba-24h'!F61)</f>
        <v>10.5</v>
      </c>
      <c r="G61" s="49">
        <f>AVERAGE('26.07 Nyanama-Ndeeba-24h'!G61,'27.07 Nyanama-Ndeeba-24h'!G61)</f>
        <v>0.5</v>
      </c>
      <c r="H61" s="49">
        <f>AVERAGE('26.07 Nyanama-Ndeeba-24h'!H61,'27.07 Nyanama-Ndeeba-24h'!H61)</f>
        <v>1</v>
      </c>
      <c r="I61" s="49">
        <f>AVERAGE('26.07 Nyanama-Ndeeba-24h'!I61,'27.07 Nyanama-Ndeeba-24h'!I61)</f>
        <v>3.5</v>
      </c>
      <c r="J61" s="49">
        <f>AVERAGE('26.07 Nyanama-Ndeeba-24h'!J61,'27.07 Nyanama-Ndeeba-24h'!J61)</f>
        <v>1.5</v>
      </c>
      <c r="K61" s="49">
        <f>AVERAGE('26.07 Nyanama-Ndeeba-24h'!K61,'27.07 Nyanama-Ndeeba-24h'!K61)</f>
        <v>0</v>
      </c>
      <c r="L61" s="49">
        <f>AVERAGE('26.07 Nyanama-Ndeeba-24h'!L61,'27.07 Nyanama-Ndeeba-24h'!L61)</f>
        <v>0.5</v>
      </c>
      <c r="M61" s="49">
        <f>AVERAGE('26.07 Nyanama-Ndeeba-24h'!M61,'27.07 Nyanama-Ndeeba-24h'!M61)</f>
        <v>45</v>
      </c>
      <c r="N61" s="49">
        <f>AVERAGE('26.07 Nyanama-Ndeeba-24h'!N61,'27.07 Nyanama-Ndeeba-24h'!N61)</f>
        <v>0</v>
      </c>
      <c r="O61" s="15">
        <f t="shared" si="0"/>
        <v>64</v>
      </c>
      <c r="P61" s="15">
        <f t="shared" si="1"/>
        <v>109</v>
      </c>
      <c r="R61" s="8"/>
      <c r="T61"/>
    </row>
    <row r="62" spans="2:20" ht="23.1" customHeight="1" x14ac:dyDescent="0.25">
      <c r="B62" s="23" t="s">
        <v>107</v>
      </c>
      <c r="C62" s="49">
        <f>AVERAGE('26.07 Nyanama-Ndeeba-24h'!C62,'27.07 Nyanama-Ndeeba-24h'!C62)</f>
        <v>23.5</v>
      </c>
      <c r="D62" s="49">
        <f>AVERAGE('26.07 Nyanama-Ndeeba-24h'!D62,'27.07 Nyanama-Ndeeba-24h'!D62)</f>
        <v>15.5</v>
      </c>
      <c r="E62" s="49">
        <f>AVERAGE('26.07 Nyanama-Ndeeba-24h'!E62,'27.07 Nyanama-Ndeeba-24h'!E62)</f>
        <v>5</v>
      </c>
      <c r="F62" s="49">
        <f>AVERAGE('26.07 Nyanama-Ndeeba-24h'!F62,'27.07 Nyanama-Ndeeba-24h'!F62)</f>
        <v>13</v>
      </c>
      <c r="G62" s="49">
        <f>AVERAGE('26.07 Nyanama-Ndeeba-24h'!G62,'27.07 Nyanama-Ndeeba-24h'!G62)</f>
        <v>0.5</v>
      </c>
      <c r="H62" s="49">
        <f>AVERAGE('26.07 Nyanama-Ndeeba-24h'!H62,'27.07 Nyanama-Ndeeba-24h'!H62)</f>
        <v>0</v>
      </c>
      <c r="I62" s="49">
        <f>AVERAGE('26.07 Nyanama-Ndeeba-24h'!I62,'27.07 Nyanama-Ndeeba-24h'!I62)</f>
        <v>5.5</v>
      </c>
      <c r="J62" s="49">
        <f>AVERAGE('26.07 Nyanama-Ndeeba-24h'!J62,'27.07 Nyanama-Ndeeba-24h'!J62)</f>
        <v>0</v>
      </c>
      <c r="K62" s="49">
        <f>AVERAGE('26.07 Nyanama-Ndeeba-24h'!K62,'27.07 Nyanama-Ndeeba-24h'!K62)</f>
        <v>0</v>
      </c>
      <c r="L62" s="49">
        <f>AVERAGE('26.07 Nyanama-Ndeeba-24h'!L62,'27.07 Nyanama-Ndeeba-24h'!L62)</f>
        <v>0</v>
      </c>
      <c r="M62" s="49">
        <f>AVERAGE('26.07 Nyanama-Ndeeba-24h'!M62,'27.07 Nyanama-Ndeeba-24h'!M62)</f>
        <v>21.5</v>
      </c>
      <c r="N62" s="49">
        <f>AVERAGE('26.07 Nyanama-Ndeeba-24h'!N62,'27.07 Nyanama-Ndeeba-24h'!N62)</f>
        <v>0</v>
      </c>
      <c r="O62" s="15">
        <f t="shared" si="0"/>
        <v>63</v>
      </c>
      <c r="P62" s="15">
        <f t="shared" si="1"/>
        <v>84.5</v>
      </c>
      <c r="R62" s="8"/>
      <c r="T62"/>
    </row>
    <row r="63" spans="2:20" ht="23.1" customHeight="1" x14ac:dyDescent="0.25">
      <c r="B63" s="23" t="s">
        <v>108</v>
      </c>
      <c r="C63" s="49">
        <f>AVERAGE('26.07 Nyanama-Ndeeba-24h'!C63,'27.07 Nyanama-Ndeeba-24h'!C63)</f>
        <v>33.5</v>
      </c>
      <c r="D63" s="49">
        <f>AVERAGE('26.07 Nyanama-Ndeeba-24h'!D63,'27.07 Nyanama-Ndeeba-24h'!D63)</f>
        <v>9.5</v>
      </c>
      <c r="E63" s="49">
        <f>AVERAGE('26.07 Nyanama-Ndeeba-24h'!E63,'27.07 Nyanama-Ndeeba-24h'!E63)</f>
        <v>5.5</v>
      </c>
      <c r="F63" s="49">
        <f>AVERAGE('26.07 Nyanama-Ndeeba-24h'!F63,'27.07 Nyanama-Ndeeba-24h'!F63)</f>
        <v>20.5</v>
      </c>
      <c r="G63" s="49">
        <f>AVERAGE('26.07 Nyanama-Ndeeba-24h'!G63,'27.07 Nyanama-Ndeeba-24h'!G63)</f>
        <v>0</v>
      </c>
      <c r="H63" s="49">
        <f>AVERAGE('26.07 Nyanama-Ndeeba-24h'!H63,'27.07 Nyanama-Ndeeba-24h'!H63)</f>
        <v>6.5</v>
      </c>
      <c r="I63" s="49">
        <f>AVERAGE('26.07 Nyanama-Ndeeba-24h'!I63,'27.07 Nyanama-Ndeeba-24h'!I63)</f>
        <v>4</v>
      </c>
      <c r="J63" s="49">
        <f>AVERAGE('26.07 Nyanama-Ndeeba-24h'!J63,'27.07 Nyanama-Ndeeba-24h'!J63)</f>
        <v>0</v>
      </c>
      <c r="K63" s="49">
        <f>AVERAGE('26.07 Nyanama-Ndeeba-24h'!K63,'27.07 Nyanama-Ndeeba-24h'!K63)</f>
        <v>0</v>
      </c>
      <c r="L63" s="49">
        <f>AVERAGE('26.07 Nyanama-Ndeeba-24h'!L63,'27.07 Nyanama-Ndeeba-24h'!L63)</f>
        <v>0</v>
      </c>
      <c r="M63" s="49">
        <f>AVERAGE('26.07 Nyanama-Ndeeba-24h'!M63,'27.07 Nyanama-Ndeeba-24h'!M63)</f>
        <v>52</v>
      </c>
      <c r="N63" s="49">
        <f>AVERAGE('26.07 Nyanama-Ndeeba-24h'!N63,'27.07 Nyanama-Ndeeba-24h'!N63)</f>
        <v>0</v>
      </c>
      <c r="O63" s="15">
        <f t="shared" si="0"/>
        <v>79.5</v>
      </c>
      <c r="P63" s="15">
        <f t="shared" si="1"/>
        <v>131.5</v>
      </c>
      <c r="R63" s="8"/>
      <c r="T63"/>
    </row>
    <row r="64" spans="2:20" ht="23.1" customHeight="1" x14ac:dyDescent="0.25">
      <c r="B64" s="23" t="s">
        <v>109</v>
      </c>
      <c r="C64" s="49">
        <f>AVERAGE('26.07 Nyanama-Ndeeba-24h'!C64,'27.07 Nyanama-Ndeeba-24h'!C64)</f>
        <v>27.5</v>
      </c>
      <c r="D64" s="49">
        <f>AVERAGE('26.07 Nyanama-Ndeeba-24h'!D64,'27.07 Nyanama-Ndeeba-24h'!D64)</f>
        <v>10.5</v>
      </c>
      <c r="E64" s="49">
        <f>AVERAGE('26.07 Nyanama-Ndeeba-24h'!E64,'27.07 Nyanama-Ndeeba-24h'!E64)</f>
        <v>4.5</v>
      </c>
      <c r="F64" s="49">
        <f>AVERAGE('26.07 Nyanama-Ndeeba-24h'!F64,'27.07 Nyanama-Ndeeba-24h'!F64)</f>
        <v>19</v>
      </c>
      <c r="G64" s="49">
        <f>AVERAGE('26.07 Nyanama-Ndeeba-24h'!G64,'27.07 Nyanama-Ndeeba-24h'!G64)</f>
        <v>1</v>
      </c>
      <c r="H64" s="49">
        <f>AVERAGE('26.07 Nyanama-Ndeeba-24h'!H64,'27.07 Nyanama-Ndeeba-24h'!H64)</f>
        <v>7.5</v>
      </c>
      <c r="I64" s="49">
        <f>AVERAGE('26.07 Nyanama-Ndeeba-24h'!I64,'27.07 Nyanama-Ndeeba-24h'!I64)</f>
        <v>6</v>
      </c>
      <c r="J64" s="49">
        <f>AVERAGE('26.07 Nyanama-Ndeeba-24h'!J64,'27.07 Nyanama-Ndeeba-24h'!J64)</f>
        <v>1.5</v>
      </c>
      <c r="K64" s="49">
        <f>AVERAGE('26.07 Nyanama-Ndeeba-24h'!K64,'27.07 Nyanama-Ndeeba-24h'!K64)</f>
        <v>0</v>
      </c>
      <c r="L64" s="49">
        <f>AVERAGE('26.07 Nyanama-Ndeeba-24h'!L64,'27.07 Nyanama-Ndeeba-24h'!L64)</f>
        <v>0</v>
      </c>
      <c r="M64" s="49">
        <f>AVERAGE('26.07 Nyanama-Ndeeba-24h'!M64,'27.07 Nyanama-Ndeeba-24h'!M64)</f>
        <v>50</v>
      </c>
      <c r="N64" s="49">
        <f>AVERAGE('26.07 Nyanama-Ndeeba-24h'!N64,'27.07 Nyanama-Ndeeba-24h'!N64)</f>
        <v>0</v>
      </c>
      <c r="O64" s="15">
        <f t="shared" si="0"/>
        <v>77.5</v>
      </c>
      <c r="P64" s="15">
        <f t="shared" si="1"/>
        <v>127.5</v>
      </c>
      <c r="R64" s="8"/>
      <c r="T64"/>
    </row>
    <row r="65" spans="2:20" ht="23.1" customHeight="1" x14ac:dyDescent="0.25">
      <c r="B65" s="23" t="s">
        <v>158</v>
      </c>
      <c r="C65" s="49">
        <f>AVERAGE('26.07 Nyanama-Ndeeba-24h'!C65,'27.07 Nyanama-Ndeeba-24h'!C65)</f>
        <v>36</v>
      </c>
      <c r="D65" s="49">
        <f>AVERAGE('26.07 Nyanama-Ndeeba-24h'!D65,'27.07 Nyanama-Ndeeba-24h'!D65)</f>
        <v>10</v>
      </c>
      <c r="E65" s="49">
        <f>AVERAGE('26.07 Nyanama-Ndeeba-24h'!E65,'27.07 Nyanama-Ndeeba-24h'!E65)</f>
        <v>9.5</v>
      </c>
      <c r="F65" s="49">
        <f>AVERAGE('26.07 Nyanama-Ndeeba-24h'!F65,'27.07 Nyanama-Ndeeba-24h'!F65)</f>
        <v>11.5</v>
      </c>
      <c r="G65" s="49">
        <f>AVERAGE('26.07 Nyanama-Ndeeba-24h'!G65,'27.07 Nyanama-Ndeeba-24h'!G65)</f>
        <v>0.5</v>
      </c>
      <c r="H65" s="49">
        <f>AVERAGE('26.07 Nyanama-Ndeeba-24h'!H65,'27.07 Nyanama-Ndeeba-24h'!H65)</f>
        <v>0.5</v>
      </c>
      <c r="I65" s="49">
        <f>AVERAGE('26.07 Nyanama-Ndeeba-24h'!I65,'27.07 Nyanama-Ndeeba-24h'!I65)</f>
        <v>2.5</v>
      </c>
      <c r="J65" s="49">
        <f>AVERAGE('26.07 Nyanama-Ndeeba-24h'!J65,'27.07 Nyanama-Ndeeba-24h'!J65)</f>
        <v>2.5</v>
      </c>
      <c r="K65" s="49">
        <f>AVERAGE('26.07 Nyanama-Ndeeba-24h'!K65,'27.07 Nyanama-Ndeeba-24h'!K65)</f>
        <v>0</v>
      </c>
      <c r="L65" s="49">
        <f>AVERAGE('26.07 Nyanama-Ndeeba-24h'!L65,'27.07 Nyanama-Ndeeba-24h'!L65)</f>
        <v>0</v>
      </c>
      <c r="M65" s="49">
        <f>AVERAGE('26.07 Nyanama-Ndeeba-24h'!M65,'27.07 Nyanama-Ndeeba-24h'!M65)</f>
        <v>59.5</v>
      </c>
      <c r="N65" s="49">
        <f>AVERAGE('26.07 Nyanama-Ndeeba-24h'!N65,'27.07 Nyanama-Ndeeba-24h'!N65)</f>
        <v>0</v>
      </c>
      <c r="O65" s="15">
        <f t="shared" si="0"/>
        <v>73</v>
      </c>
      <c r="P65" s="15">
        <f t="shared" si="1"/>
        <v>132.5</v>
      </c>
      <c r="R65" s="8"/>
      <c r="T65"/>
    </row>
    <row r="66" spans="2:20" ht="23.1" customHeight="1" x14ac:dyDescent="0.25">
      <c r="B66" s="23" t="s">
        <v>103</v>
      </c>
      <c r="C66" s="49">
        <f>AVERAGE('26.07 Nyanama-Ndeeba-24h'!C66,'27.07 Nyanama-Ndeeba-24h'!C66)</f>
        <v>19</v>
      </c>
      <c r="D66" s="49">
        <f>AVERAGE('26.07 Nyanama-Ndeeba-24h'!D66,'27.07 Nyanama-Ndeeba-24h'!D66)</f>
        <v>9.5</v>
      </c>
      <c r="E66" s="49">
        <f>AVERAGE('26.07 Nyanama-Ndeeba-24h'!E66,'27.07 Nyanama-Ndeeba-24h'!E66)</f>
        <v>2.5</v>
      </c>
      <c r="F66" s="49">
        <f>AVERAGE('26.07 Nyanama-Ndeeba-24h'!F66,'27.07 Nyanama-Ndeeba-24h'!F66)</f>
        <v>11</v>
      </c>
      <c r="G66" s="49">
        <f>AVERAGE('26.07 Nyanama-Ndeeba-24h'!G66,'27.07 Nyanama-Ndeeba-24h'!G66)</f>
        <v>1</v>
      </c>
      <c r="H66" s="49">
        <f>AVERAGE('26.07 Nyanama-Ndeeba-24h'!H66,'27.07 Nyanama-Ndeeba-24h'!H66)</f>
        <v>0</v>
      </c>
      <c r="I66" s="49">
        <f>AVERAGE('26.07 Nyanama-Ndeeba-24h'!I66,'27.07 Nyanama-Ndeeba-24h'!I66)</f>
        <v>2</v>
      </c>
      <c r="J66" s="49">
        <f>AVERAGE('26.07 Nyanama-Ndeeba-24h'!J66,'27.07 Nyanama-Ndeeba-24h'!J66)</f>
        <v>1</v>
      </c>
      <c r="K66" s="49">
        <f>AVERAGE('26.07 Nyanama-Ndeeba-24h'!K66,'27.07 Nyanama-Ndeeba-24h'!K66)</f>
        <v>0.5</v>
      </c>
      <c r="L66" s="49">
        <f>AVERAGE('26.07 Nyanama-Ndeeba-24h'!L66,'27.07 Nyanama-Ndeeba-24h'!L66)</f>
        <v>0</v>
      </c>
      <c r="M66" s="49">
        <f>AVERAGE('26.07 Nyanama-Ndeeba-24h'!M66,'27.07 Nyanama-Ndeeba-24h'!M66)</f>
        <v>45</v>
      </c>
      <c r="N66" s="49">
        <f>AVERAGE('26.07 Nyanama-Ndeeba-24h'!N66,'27.07 Nyanama-Ndeeba-24h'!N66)</f>
        <v>0</v>
      </c>
      <c r="O66" s="15">
        <f t="shared" si="0"/>
        <v>46.5</v>
      </c>
      <c r="P66" s="15">
        <f t="shared" si="1"/>
        <v>91.5</v>
      </c>
      <c r="R66" s="8"/>
      <c r="T66"/>
    </row>
    <row r="67" spans="2:20" ht="23.1" customHeight="1" x14ac:dyDescent="0.25">
      <c r="B67" s="23" t="s">
        <v>104</v>
      </c>
      <c r="C67" s="49">
        <f>AVERAGE('26.07 Nyanama-Ndeeba-24h'!C67,'27.07 Nyanama-Ndeeba-24h'!C67)</f>
        <v>27.5</v>
      </c>
      <c r="D67" s="49">
        <f>AVERAGE('26.07 Nyanama-Ndeeba-24h'!D67,'27.07 Nyanama-Ndeeba-24h'!D67)</f>
        <v>14</v>
      </c>
      <c r="E67" s="49">
        <f>AVERAGE('26.07 Nyanama-Ndeeba-24h'!E67,'27.07 Nyanama-Ndeeba-24h'!E67)</f>
        <v>3</v>
      </c>
      <c r="F67" s="49">
        <f>AVERAGE('26.07 Nyanama-Ndeeba-24h'!F67,'27.07 Nyanama-Ndeeba-24h'!F67)</f>
        <v>15</v>
      </c>
      <c r="G67" s="49">
        <f>AVERAGE('26.07 Nyanama-Ndeeba-24h'!G67,'27.07 Nyanama-Ndeeba-24h'!G67)</f>
        <v>0.5</v>
      </c>
      <c r="H67" s="49">
        <f>AVERAGE('26.07 Nyanama-Ndeeba-24h'!H67,'27.07 Nyanama-Ndeeba-24h'!H67)</f>
        <v>0</v>
      </c>
      <c r="I67" s="49">
        <f>AVERAGE('26.07 Nyanama-Ndeeba-24h'!I67,'27.07 Nyanama-Ndeeba-24h'!I67)</f>
        <v>3</v>
      </c>
      <c r="J67" s="49">
        <f>AVERAGE('26.07 Nyanama-Ndeeba-24h'!J67,'27.07 Nyanama-Ndeeba-24h'!J67)</f>
        <v>1</v>
      </c>
      <c r="K67" s="49">
        <f>AVERAGE('26.07 Nyanama-Ndeeba-24h'!K67,'27.07 Nyanama-Ndeeba-24h'!K67)</f>
        <v>1</v>
      </c>
      <c r="L67" s="49">
        <f>AVERAGE('26.07 Nyanama-Ndeeba-24h'!L67,'27.07 Nyanama-Ndeeba-24h'!L67)</f>
        <v>0</v>
      </c>
      <c r="M67" s="49">
        <f>AVERAGE('26.07 Nyanama-Ndeeba-24h'!M67,'27.07 Nyanama-Ndeeba-24h'!M67)</f>
        <v>51.5</v>
      </c>
      <c r="N67" s="49">
        <f>AVERAGE('26.07 Nyanama-Ndeeba-24h'!N67,'27.07 Nyanama-Ndeeba-24h'!N67)</f>
        <v>0</v>
      </c>
      <c r="O67" s="15">
        <f t="shared" si="0"/>
        <v>65</v>
      </c>
      <c r="P67" s="15">
        <f t="shared" si="1"/>
        <v>116.5</v>
      </c>
      <c r="R67" s="8"/>
      <c r="T67"/>
    </row>
    <row r="68" spans="2:20" ht="23.1" customHeight="1" x14ac:dyDescent="0.25">
      <c r="B68" s="23" t="s">
        <v>105</v>
      </c>
      <c r="C68" s="49">
        <f>AVERAGE('26.07 Nyanama-Ndeeba-24h'!C68,'27.07 Nyanama-Ndeeba-24h'!C68)</f>
        <v>29</v>
      </c>
      <c r="D68" s="49">
        <f>AVERAGE('26.07 Nyanama-Ndeeba-24h'!D68,'27.07 Nyanama-Ndeeba-24h'!D68)</f>
        <v>13.5</v>
      </c>
      <c r="E68" s="49">
        <f>AVERAGE('26.07 Nyanama-Ndeeba-24h'!E68,'27.07 Nyanama-Ndeeba-24h'!E68)</f>
        <v>4.5</v>
      </c>
      <c r="F68" s="49">
        <f>AVERAGE('26.07 Nyanama-Ndeeba-24h'!F68,'27.07 Nyanama-Ndeeba-24h'!F68)</f>
        <v>12.5</v>
      </c>
      <c r="G68" s="49">
        <f>AVERAGE('26.07 Nyanama-Ndeeba-24h'!G68,'27.07 Nyanama-Ndeeba-24h'!G68)</f>
        <v>0</v>
      </c>
      <c r="H68" s="49">
        <f>AVERAGE('26.07 Nyanama-Ndeeba-24h'!H68,'27.07 Nyanama-Ndeeba-24h'!H68)</f>
        <v>0</v>
      </c>
      <c r="I68" s="49">
        <f>AVERAGE('26.07 Nyanama-Ndeeba-24h'!I68,'27.07 Nyanama-Ndeeba-24h'!I68)</f>
        <v>3.5</v>
      </c>
      <c r="J68" s="49">
        <f>AVERAGE('26.07 Nyanama-Ndeeba-24h'!J68,'27.07 Nyanama-Ndeeba-24h'!J68)</f>
        <v>0</v>
      </c>
      <c r="K68" s="49">
        <f>AVERAGE('26.07 Nyanama-Ndeeba-24h'!K68,'27.07 Nyanama-Ndeeba-24h'!K68)</f>
        <v>0.5</v>
      </c>
      <c r="L68" s="49">
        <f>AVERAGE('26.07 Nyanama-Ndeeba-24h'!L68,'27.07 Nyanama-Ndeeba-24h'!L68)</f>
        <v>0</v>
      </c>
      <c r="M68" s="49">
        <f>AVERAGE('26.07 Nyanama-Ndeeba-24h'!M68,'27.07 Nyanama-Ndeeba-24h'!M68)</f>
        <v>40</v>
      </c>
      <c r="N68" s="49">
        <f>AVERAGE('26.07 Nyanama-Ndeeba-24h'!N68,'27.07 Nyanama-Ndeeba-24h'!N68)</f>
        <v>0</v>
      </c>
      <c r="O68" s="15">
        <f t="shared" si="0"/>
        <v>63.5</v>
      </c>
      <c r="P68" s="15">
        <f t="shared" si="1"/>
        <v>103.5</v>
      </c>
      <c r="R68" s="8"/>
      <c r="T68"/>
    </row>
    <row r="69" spans="2:20" ht="23.1" customHeight="1" x14ac:dyDescent="0.25">
      <c r="B69" s="23" t="s">
        <v>106</v>
      </c>
      <c r="C69" s="49">
        <f>AVERAGE('26.07 Nyanama-Ndeeba-24h'!C69,'27.07 Nyanama-Ndeeba-24h'!C69)</f>
        <v>36.5</v>
      </c>
      <c r="D69" s="49">
        <f>AVERAGE('26.07 Nyanama-Ndeeba-24h'!D69,'27.07 Nyanama-Ndeeba-24h'!D69)</f>
        <v>11.5</v>
      </c>
      <c r="E69" s="49">
        <f>AVERAGE('26.07 Nyanama-Ndeeba-24h'!E69,'27.07 Nyanama-Ndeeba-24h'!E69)</f>
        <v>1</v>
      </c>
      <c r="F69" s="49">
        <f>AVERAGE('26.07 Nyanama-Ndeeba-24h'!F69,'27.07 Nyanama-Ndeeba-24h'!F69)</f>
        <v>9</v>
      </c>
      <c r="G69" s="49">
        <f>AVERAGE('26.07 Nyanama-Ndeeba-24h'!G69,'27.07 Nyanama-Ndeeba-24h'!G69)</f>
        <v>0</v>
      </c>
      <c r="H69" s="49">
        <f>AVERAGE('26.07 Nyanama-Ndeeba-24h'!H69,'27.07 Nyanama-Ndeeba-24h'!H69)</f>
        <v>0</v>
      </c>
      <c r="I69" s="49">
        <f>AVERAGE('26.07 Nyanama-Ndeeba-24h'!I69,'27.07 Nyanama-Ndeeba-24h'!I69)</f>
        <v>4</v>
      </c>
      <c r="J69" s="49">
        <f>AVERAGE('26.07 Nyanama-Ndeeba-24h'!J69,'27.07 Nyanama-Ndeeba-24h'!J69)</f>
        <v>0</v>
      </c>
      <c r="K69" s="49">
        <f>AVERAGE('26.07 Nyanama-Ndeeba-24h'!K69,'27.07 Nyanama-Ndeeba-24h'!K69)</f>
        <v>0.5</v>
      </c>
      <c r="L69" s="49">
        <f>AVERAGE('26.07 Nyanama-Ndeeba-24h'!L69,'27.07 Nyanama-Ndeeba-24h'!L69)</f>
        <v>0</v>
      </c>
      <c r="M69" s="49">
        <f>AVERAGE('26.07 Nyanama-Ndeeba-24h'!M69,'27.07 Nyanama-Ndeeba-24h'!M69)</f>
        <v>61.5</v>
      </c>
      <c r="N69" s="49">
        <f>AVERAGE('26.07 Nyanama-Ndeeba-24h'!N69,'27.07 Nyanama-Ndeeba-24h'!N69)</f>
        <v>0</v>
      </c>
      <c r="O69" s="15">
        <f t="shared" si="0"/>
        <v>62.5</v>
      </c>
      <c r="P69" s="15">
        <f t="shared" si="1"/>
        <v>124</v>
      </c>
      <c r="R69" s="8"/>
      <c r="T69"/>
    </row>
    <row r="70" spans="2:20" ht="23.1" customHeight="1" x14ac:dyDescent="0.25">
      <c r="B70" s="23" t="s">
        <v>110</v>
      </c>
      <c r="C70" s="49">
        <f>AVERAGE('26.07 Nyanama-Ndeeba-24h'!C70,'27.07 Nyanama-Ndeeba-24h'!C70)</f>
        <v>27</v>
      </c>
      <c r="D70" s="49">
        <f>AVERAGE('26.07 Nyanama-Ndeeba-24h'!D70,'27.07 Nyanama-Ndeeba-24h'!D70)</f>
        <v>16</v>
      </c>
      <c r="E70" s="49">
        <f>AVERAGE('26.07 Nyanama-Ndeeba-24h'!E70,'27.07 Nyanama-Ndeeba-24h'!E70)</f>
        <v>6.5</v>
      </c>
      <c r="F70" s="49">
        <f>AVERAGE('26.07 Nyanama-Ndeeba-24h'!F70,'27.07 Nyanama-Ndeeba-24h'!F70)</f>
        <v>14.5</v>
      </c>
      <c r="G70" s="49">
        <f>AVERAGE('26.07 Nyanama-Ndeeba-24h'!G70,'27.07 Nyanama-Ndeeba-24h'!G70)</f>
        <v>0.5</v>
      </c>
      <c r="H70" s="49">
        <f>AVERAGE('26.07 Nyanama-Ndeeba-24h'!H70,'27.07 Nyanama-Ndeeba-24h'!H70)</f>
        <v>0</v>
      </c>
      <c r="I70" s="49">
        <f>AVERAGE('26.07 Nyanama-Ndeeba-24h'!I70,'27.07 Nyanama-Ndeeba-24h'!I70)</f>
        <v>3</v>
      </c>
      <c r="J70" s="49">
        <f>AVERAGE('26.07 Nyanama-Ndeeba-24h'!J70,'27.07 Nyanama-Ndeeba-24h'!J70)</f>
        <v>2.5</v>
      </c>
      <c r="K70" s="49">
        <f>AVERAGE('26.07 Nyanama-Ndeeba-24h'!K70,'27.07 Nyanama-Ndeeba-24h'!K70)</f>
        <v>0.5</v>
      </c>
      <c r="L70" s="49">
        <f>AVERAGE('26.07 Nyanama-Ndeeba-24h'!L70,'27.07 Nyanama-Ndeeba-24h'!L70)</f>
        <v>0.5</v>
      </c>
      <c r="M70" s="49">
        <f>AVERAGE('26.07 Nyanama-Ndeeba-24h'!M70,'27.07 Nyanama-Ndeeba-24h'!M70)</f>
        <v>62</v>
      </c>
      <c r="N70" s="49">
        <f>AVERAGE('26.07 Nyanama-Ndeeba-24h'!N70,'27.07 Nyanama-Ndeeba-24h'!N70)</f>
        <v>0</v>
      </c>
      <c r="O70" s="15">
        <f t="shared" si="0"/>
        <v>71</v>
      </c>
      <c r="P70" s="15">
        <f t="shared" si="1"/>
        <v>133</v>
      </c>
      <c r="R70" s="8"/>
      <c r="T70"/>
    </row>
    <row r="71" spans="2:20" ht="23.1" customHeight="1" x14ac:dyDescent="0.25">
      <c r="B71" s="23" t="s">
        <v>111</v>
      </c>
      <c r="C71" s="49">
        <f>AVERAGE('26.07 Nyanama-Ndeeba-24h'!C71,'27.07 Nyanama-Ndeeba-24h'!C71)</f>
        <v>27</v>
      </c>
      <c r="D71" s="49">
        <f>AVERAGE('26.07 Nyanama-Ndeeba-24h'!D71,'27.07 Nyanama-Ndeeba-24h'!D71)</f>
        <v>16</v>
      </c>
      <c r="E71" s="49">
        <f>AVERAGE('26.07 Nyanama-Ndeeba-24h'!E71,'27.07 Nyanama-Ndeeba-24h'!E71)</f>
        <v>2</v>
      </c>
      <c r="F71" s="49">
        <f>AVERAGE('26.07 Nyanama-Ndeeba-24h'!F71,'27.07 Nyanama-Ndeeba-24h'!F71)</f>
        <v>7.5</v>
      </c>
      <c r="G71" s="49">
        <f>AVERAGE('26.07 Nyanama-Ndeeba-24h'!G71,'27.07 Nyanama-Ndeeba-24h'!G71)</f>
        <v>0.5</v>
      </c>
      <c r="H71" s="49">
        <f>AVERAGE('26.07 Nyanama-Ndeeba-24h'!H71,'27.07 Nyanama-Ndeeba-24h'!H71)</f>
        <v>0</v>
      </c>
      <c r="I71" s="49">
        <f>AVERAGE('26.07 Nyanama-Ndeeba-24h'!I71,'27.07 Nyanama-Ndeeba-24h'!I71)</f>
        <v>1</v>
      </c>
      <c r="J71" s="49">
        <f>AVERAGE('26.07 Nyanama-Ndeeba-24h'!J71,'27.07 Nyanama-Ndeeba-24h'!J71)</f>
        <v>1</v>
      </c>
      <c r="K71" s="49">
        <f>AVERAGE('26.07 Nyanama-Ndeeba-24h'!K71,'27.07 Nyanama-Ndeeba-24h'!K71)</f>
        <v>0</v>
      </c>
      <c r="L71" s="49">
        <f>AVERAGE('26.07 Nyanama-Ndeeba-24h'!L71,'27.07 Nyanama-Ndeeba-24h'!L71)</f>
        <v>0</v>
      </c>
      <c r="M71" s="49">
        <f>AVERAGE('26.07 Nyanama-Ndeeba-24h'!M71,'27.07 Nyanama-Ndeeba-24h'!M71)</f>
        <v>57.5</v>
      </c>
      <c r="N71" s="49">
        <f>AVERAGE('26.07 Nyanama-Ndeeba-24h'!N71,'27.07 Nyanama-Ndeeba-24h'!N71)</f>
        <v>0</v>
      </c>
      <c r="O71" s="15">
        <f t="shared" si="0"/>
        <v>55</v>
      </c>
      <c r="P71" s="15">
        <f t="shared" si="1"/>
        <v>112.5</v>
      </c>
      <c r="R71" s="8"/>
      <c r="T71"/>
    </row>
    <row r="72" spans="2:20" ht="23.1" customHeight="1" x14ac:dyDescent="0.25">
      <c r="B72" s="23" t="s">
        <v>112</v>
      </c>
      <c r="C72" s="49">
        <f>AVERAGE('26.07 Nyanama-Ndeeba-24h'!C72,'27.07 Nyanama-Ndeeba-24h'!C72)</f>
        <v>29.5</v>
      </c>
      <c r="D72" s="49">
        <f>AVERAGE('26.07 Nyanama-Ndeeba-24h'!D72,'27.07 Nyanama-Ndeeba-24h'!D72)</f>
        <v>14.5</v>
      </c>
      <c r="E72" s="49">
        <f>AVERAGE('26.07 Nyanama-Ndeeba-24h'!E72,'27.07 Nyanama-Ndeeba-24h'!E72)</f>
        <v>2</v>
      </c>
      <c r="F72" s="49">
        <f>AVERAGE('26.07 Nyanama-Ndeeba-24h'!F72,'27.07 Nyanama-Ndeeba-24h'!F72)</f>
        <v>4.5</v>
      </c>
      <c r="G72" s="49">
        <f>AVERAGE('26.07 Nyanama-Ndeeba-24h'!G72,'27.07 Nyanama-Ndeeba-24h'!G72)</f>
        <v>0.5</v>
      </c>
      <c r="H72" s="49">
        <f>AVERAGE('26.07 Nyanama-Ndeeba-24h'!H72,'27.07 Nyanama-Ndeeba-24h'!H72)</f>
        <v>0</v>
      </c>
      <c r="I72" s="49">
        <f>AVERAGE('26.07 Nyanama-Ndeeba-24h'!I72,'27.07 Nyanama-Ndeeba-24h'!I72)</f>
        <v>3</v>
      </c>
      <c r="J72" s="49">
        <f>AVERAGE('26.07 Nyanama-Ndeeba-24h'!J72,'27.07 Nyanama-Ndeeba-24h'!J72)</f>
        <v>2</v>
      </c>
      <c r="K72" s="49">
        <f>AVERAGE('26.07 Nyanama-Ndeeba-24h'!K72,'27.07 Nyanama-Ndeeba-24h'!K72)</f>
        <v>0.5</v>
      </c>
      <c r="L72" s="49">
        <f>AVERAGE('26.07 Nyanama-Ndeeba-24h'!L72,'27.07 Nyanama-Ndeeba-24h'!L72)</f>
        <v>0</v>
      </c>
      <c r="M72" s="49">
        <f>AVERAGE('26.07 Nyanama-Ndeeba-24h'!M72,'27.07 Nyanama-Ndeeba-24h'!M72)</f>
        <v>73.5</v>
      </c>
      <c r="N72" s="49">
        <f>AVERAGE('26.07 Nyanama-Ndeeba-24h'!N72,'27.07 Nyanama-Ndeeba-24h'!N72)</f>
        <v>0</v>
      </c>
      <c r="O72" s="15">
        <f t="shared" si="0"/>
        <v>56.5</v>
      </c>
      <c r="P72" s="15">
        <f t="shared" si="1"/>
        <v>130</v>
      </c>
      <c r="R72" s="8"/>
      <c r="T72"/>
    </row>
    <row r="73" spans="2:20" ht="23.1" customHeight="1" x14ac:dyDescent="0.25">
      <c r="B73" s="23" t="s">
        <v>113</v>
      </c>
      <c r="C73" s="49">
        <f>AVERAGE('26.07 Nyanama-Ndeeba-24h'!C73,'27.07 Nyanama-Ndeeba-24h'!C73)</f>
        <v>32.5</v>
      </c>
      <c r="D73" s="49">
        <f>AVERAGE('26.07 Nyanama-Ndeeba-24h'!D73,'27.07 Nyanama-Ndeeba-24h'!D73)</f>
        <v>15.5</v>
      </c>
      <c r="E73" s="49">
        <f>AVERAGE('26.07 Nyanama-Ndeeba-24h'!E73,'27.07 Nyanama-Ndeeba-24h'!E73)</f>
        <v>1.5</v>
      </c>
      <c r="F73" s="49">
        <f>AVERAGE('26.07 Nyanama-Ndeeba-24h'!F73,'27.07 Nyanama-Ndeeba-24h'!F73)</f>
        <v>10.5</v>
      </c>
      <c r="G73" s="49">
        <f>AVERAGE('26.07 Nyanama-Ndeeba-24h'!G73,'27.07 Nyanama-Ndeeba-24h'!G73)</f>
        <v>0</v>
      </c>
      <c r="H73" s="49">
        <f>AVERAGE('26.07 Nyanama-Ndeeba-24h'!H73,'27.07 Nyanama-Ndeeba-24h'!H73)</f>
        <v>0.5</v>
      </c>
      <c r="I73" s="49">
        <f>AVERAGE('26.07 Nyanama-Ndeeba-24h'!I73,'27.07 Nyanama-Ndeeba-24h'!I73)</f>
        <v>0.5</v>
      </c>
      <c r="J73" s="49">
        <f>AVERAGE('26.07 Nyanama-Ndeeba-24h'!J73,'27.07 Nyanama-Ndeeba-24h'!J73)</f>
        <v>2</v>
      </c>
      <c r="K73" s="49">
        <f>AVERAGE('26.07 Nyanama-Ndeeba-24h'!K73,'27.07 Nyanama-Ndeeba-24h'!K73)</f>
        <v>0</v>
      </c>
      <c r="L73" s="49">
        <f>AVERAGE('26.07 Nyanama-Ndeeba-24h'!L73,'27.07 Nyanama-Ndeeba-24h'!L73)</f>
        <v>0.5</v>
      </c>
      <c r="M73" s="49">
        <f>AVERAGE('26.07 Nyanama-Ndeeba-24h'!M73,'27.07 Nyanama-Ndeeba-24h'!M73)</f>
        <v>80</v>
      </c>
      <c r="N73" s="49">
        <f>AVERAGE('26.07 Nyanama-Ndeeba-24h'!N73,'27.07 Nyanama-Ndeeba-24h'!N73)</f>
        <v>0</v>
      </c>
      <c r="O73" s="15">
        <f t="shared" si="0"/>
        <v>63.5</v>
      </c>
      <c r="P73" s="15">
        <f t="shared" si="1"/>
        <v>143.5</v>
      </c>
      <c r="R73" s="8"/>
      <c r="T73"/>
    </row>
    <row r="74" spans="2:20" ht="23.1" customHeight="1" x14ac:dyDescent="0.25">
      <c r="B74" s="23" t="s">
        <v>114</v>
      </c>
      <c r="C74" s="49">
        <f>AVERAGE('26.07 Nyanama-Ndeeba-24h'!C74,'27.07 Nyanama-Ndeeba-24h'!C74)</f>
        <v>18.5</v>
      </c>
      <c r="D74" s="49">
        <f>AVERAGE('26.07 Nyanama-Ndeeba-24h'!D74,'27.07 Nyanama-Ndeeba-24h'!D74)</f>
        <v>7.5</v>
      </c>
      <c r="E74" s="49">
        <f>AVERAGE('26.07 Nyanama-Ndeeba-24h'!E74,'27.07 Nyanama-Ndeeba-24h'!E74)</f>
        <v>2</v>
      </c>
      <c r="F74" s="49">
        <f>AVERAGE('26.07 Nyanama-Ndeeba-24h'!F74,'27.07 Nyanama-Ndeeba-24h'!F74)</f>
        <v>5.5</v>
      </c>
      <c r="G74" s="49">
        <f>AVERAGE('26.07 Nyanama-Ndeeba-24h'!G74,'27.07 Nyanama-Ndeeba-24h'!G74)</f>
        <v>0</v>
      </c>
      <c r="H74" s="49">
        <f>AVERAGE('26.07 Nyanama-Ndeeba-24h'!H74,'27.07 Nyanama-Ndeeba-24h'!H74)</f>
        <v>0</v>
      </c>
      <c r="I74" s="49">
        <f>AVERAGE('26.07 Nyanama-Ndeeba-24h'!I74,'27.07 Nyanama-Ndeeba-24h'!I74)</f>
        <v>4</v>
      </c>
      <c r="J74" s="49">
        <f>AVERAGE('26.07 Nyanama-Ndeeba-24h'!J74,'27.07 Nyanama-Ndeeba-24h'!J74)</f>
        <v>0.5</v>
      </c>
      <c r="K74" s="49">
        <f>AVERAGE('26.07 Nyanama-Ndeeba-24h'!K74,'27.07 Nyanama-Ndeeba-24h'!K74)</f>
        <v>0</v>
      </c>
      <c r="L74" s="49">
        <f>AVERAGE('26.07 Nyanama-Ndeeba-24h'!L74,'27.07 Nyanama-Ndeeba-24h'!L74)</f>
        <v>0</v>
      </c>
      <c r="M74" s="49">
        <f>AVERAGE('26.07 Nyanama-Ndeeba-24h'!M74,'27.07 Nyanama-Ndeeba-24h'!M74)</f>
        <v>77.5</v>
      </c>
      <c r="N74" s="49">
        <f>AVERAGE('26.07 Nyanama-Ndeeba-24h'!N74,'27.07 Nyanama-Ndeeba-24h'!N74)</f>
        <v>0</v>
      </c>
      <c r="O74" s="15">
        <f t="shared" ref="O74:O105" si="33">SUM(C74:L74,N74)</f>
        <v>38</v>
      </c>
      <c r="P74" s="15">
        <f t="shared" ref="P74:P105" si="34">SUM(C74:N74)</f>
        <v>115.5</v>
      </c>
      <c r="R74" s="8"/>
      <c r="T74"/>
    </row>
    <row r="75" spans="2:20" ht="23.1" customHeight="1" x14ac:dyDescent="0.25">
      <c r="B75" s="23" t="s">
        <v>115</v>
      </c>
      <c r="C75" s="49">
        <f>AVERAGE('26.07 Nyanama-Ndeeba-24h'!C75,'27.07 Nyanama-Ndeeba-24h'!C75)</f>
        <v>18</v>
      </c>
      <c r="D75" s="49">
        <f>AVERAGE('26.07 Nyanama-Ndeeba-24h'!D75,'27.07 Nyanama-Ndeeba-24h'!D75)</f>
        <v>17</v>
      </c>
      <c r="E75" s="49">
        <f>AVERAGE('26.07 Nyanama-Ndeeba-24h'!E75,'27.07 Nyanama-Ndeeba-24h'!E75)</f>
        <v>1.5</v>
      </c>
      <c r="F75" s="49">
        <f>AVERAGE('26.07 Nyanama-Ndeeba-24h'!F75,'27.07 Nyanama-Ndeeba-24h'!F75)</f>
        <v>4.5</v>
      </c>
      <c r="G75" s="49">
        <f>AVERAGE('26.07 Nyanama-Ndeeba-24h'!G75,'27.07 Nyanama-Ndeeba-24h'!G75)</f>
        <v>0</v>
      </c>
      <c r="H75" s="49">
        <f>AVERAGE('26.07 Nyanama-Ndeeba-24h'!H75,'27.07 Nyanama-Ndeeba-24h'!H75)</f>
        <v>0</v>
      </c>
      <c r="I75" s="49">
        <f>AVERAGE('26.07 Nyanama-Ndeeba-24h'!I75,'27.07 Nyanama-Ndeeba-24h'!I75)</f>
        <v>2</v>
      </c>
      <c r="J75" s="49">
        <f>AVERAGE('26.07 Nyanama-Ndeeba-24h'!J75,'27.07 Nyanama-Ndeeba-24h'!J75)</f>
        <v>0.5</v>
      </c>
      <c r="K75" s="49">
        <f>AVERAGE('26.07 Nyanama-Ndeeba-24h'!K75,'27.07 Nyanama-Ndeeba-24h'!K75)</f>
        <v>0.5</v>
      </c>
      <c r="L75" s="49">
        <f>AVERAGE('26.07 Nyanama-Ndeeba-24h'!L75,'27.07 Nyanama-Ndeeba-24h'!L75)</f>
        <v>0</v>
      </c>
      <c r="M75" s="49">
        <f>AVERAGE('26.07 Nyanama-Ndeeba-24h'!M75,'27.07 Nyanama-Ndeeba-24h'!M75)</f>
        <v>54.5</v>
      </c>
      <c r="N75" s="49">
        <f>AVERAGE('26.07 Nyanama-Ndeeba-24h'!N75,'27.07 Nyanama-Ndeeba-24h'!N75)</f>
        <v>0</v>
      </c>
      <c r="O75" s="15">
        <f t="shared" si="33"/>
        <v>44</v>
      </c>
      <c r="P75" s="15">
        <f t="shared" si="34"/>
        <v>98.5</v>
      </c>
      <c r="R75" s="8"/>
      <c r="T75"/>
    </row>
    <row r="76" spans="2:20" ht="23.1" customHeight="1" x14ac:dyDescent="0.25">
      <c r="B76" s="23" t="s">
        <v>116</v>
      </c>
      <c r="C76" s="49">
        <f>AVERAGE('26.07 Nyanama-Ndeeba-24h'!C76,'27.07 Nyanama-Ndeeba-24h'!C76)</f>
        <v>20</v>
      </c>
      <c r="D76" s="49">
        <f>AVERAGE('26.07 Nyanama-Ndeeba-24h'!D76,'27.07 Nyanama-Ndeeba-24h'!D76)</f>
        <v>5.5</v>
      </c>
      <c r="E76" s="49">
        <f>AVERAGE('26.07 Nyanama-Ndeeba-24h'!E76,'27.07 Nyanama-Ndeeba-24h'!E76)</f>
        <v>0.5</v>
      </c>
      <c r="F76" s="49">
        <f>AVERAGE('26.07 Nyanama-Ndeeba-24h'!F76,'27.07 Nyanama-Ndeeba-24h'!F76)</f>
        <v>6</v>
      </c>
      <c r="G76" s="49">
        <f>AVERAGE('26.07 Nyanama-Ndeeba-24h'!G76,'27.07 Nyanama-Ndeeba-24h'!G76)</f>
        <v>0</v>
      </c>
      <c r="H76" s="49">
        <f>AVERAGE('26.07 Nyanama-Ndeeba-24h'!H76,'27.07 Nyanama-Ndeeba-24h'!H76)</f>
        <v>0</v>
      </c>
      <c r="I76" s="49">
        <f>AVERAGE('26.07 Nyanama-Ndeeba-24h'!I76,'27.07 Nyanama-Ndeeba-24h'!I76)</f>
        <v>0</v>
      </c>
      <c r="J76" s="49">
        <f>AVERAGE('26.07 Nyanama-Ndeeba-24h'!J76,'27.07 Nyanama-Ndeeba-24h'!J76)</f>
        <v>2.5</v>
      </c>
      <c r="K76" s="49">
        <f>AVERAGE('26.07 Nyanama-Ndeeba-24h'!K76,'27.07 Nyanama-Ndeeba-24h'!K76)</f>
        <v>0</v>
      </c>
      <c r="L76" s="49">
        <f>AVERAGE('26.07 Nyanama-Ndeeba-24h'!L76,'27.07 Nyanama-Ndeeba-24h'!L76)</f>
        <v>0</v>
      </c>
      <c r="M76" s="49">
        <f>AVERAGE('26.07 Nyanama-Ndeeba-24h'!M76,'27.07 Nyanama-Ndeeba-24h'!M76)</f>
        <v>58.5</v>
      </c>
      <c r="N76" s="49">
        <f>AVERAGE('26.07 Nyanama-Ndeeba-24h'!N76,'27.07 Nyanama-Ndeeba-24h'!N76)</f>
        <v>0</v>
      </c>
      <c r="O76" s="15">
        <f t="shared" si="33"/>
        <v>34.5</v>
      </c>
      <c r="P76" s="15">
        <f t="shared" si="34"/>
        <v>93</v>
      </c>
      <c r="R76" s="8"/>
      <c r="T76"/>
    </row>
    <row r="77" spans="2:20" ht="23.1" customHeight="1" x14ac:dyDescent="0.25">
      <c r="B77" s="23" t="s">
        <v>117</v>
      </c>
      <c r="C77" s="49">
        <f>AVERAGE('26.07 Nyanama-Ndeeba-24h'!C77,'27.07 Nyanama-Ndeeba-24h'!C77)</f>
        <v>19</v>
      </c>
      <c r="D77" s="49">
        <f>AVERAGE('26.07 Nyanama-Ndeeba-24h'!D77,'27.07 Nyanama-Ndeeba-24h'!D77)</f>
        <v>7</v>
      </c>
      <c r="E77" s="49">
        <f>AVERAGE('26.07 Nyanama-Ndeeba-24h'!E77,'27.07 Nyanama-Ndeeba-24h'!E77)</f>
        <v>2.5</v>
      </c>
      <c r="F77" s="49">
        <f>AVERAGE('26.07 Nyanama-Ndeeba-24h'!F77,'27.07 Nyanama-Ndeeba-24h'!F77)</f>
        <v>3</v>
      </c>
      <c r="G77" s="49">
        <f>AVERAGE('26.07 Nyanama-Ndeeba-24h'!G77,'27.07 Nyanama-Ndeeba-24h'!G77)</f>
        <v>0</v>
      </c>
      <c r="H77" s="49">
        <f>AVERAGE('26.07 Nyanama-Ndeeba-24h'!H77,'27.07 Nyanama-Ndeeba-24h'!H77)</f>
        <v>0.5</v>
      </c>
      <c r="I77" s="49">
        <f>AVERAGE('26.07 Nyanama-Ndeeba-24h'!I77,'27.07 Nyanama-Ndeeba-24h'!I77)</f>
        <v>1</v>
      </c>
      <c r="J77" s="49">
        <f>AVERAGE('26.07 Nyanama-Ndeeba-24h'!J77,'27.07 Nyanama-Ndeeba-24h'!J77)</f>
        <v>2.5</v>
      </c>
      <c r="K77" s="49">
        <f>AVERAGE('26.07 Nyanama-Ndeeba-24h'!K77,'27.07 Nyanama-Ndeeba-24h'!K77)</f>
        <v>0.5</v>
      </c>
      <c r="L77" s="49">
        <f>AVERAGE('26.07 Nyanama-Ndeeba-24h'!L77,'27.07 Nyanama-Ndeeba-24h'!L77)</f>
        <v>0</v>
      </c>
      <c r="M77" s="49">
        <f>AVERAGE('26.07 Nyanama-Ndeeba-24h'!M77,'27.07 Nyanama-Ndeeba-24h'!M77)</f>
        <v>42.5</v>
      </c>
      <c r="N77" s="49">
        <f>AVERAGE('26.07 Nyanama-Ndeeba-24h'!N77,'27.07 Nyanama-Ndeeba-24h'!N77)</f>
        <v>0</v>
      </c>
      <c r="O77" s="15">
        <f t="shared" si="33"/>
        <v>36</v>
      </c>
      <c r="P77" s="15">
        <f t="shared" si="34"/>
        <v>78.5</v>
      </c>
      <c r="R77" s="8"/>
      <c r="T77"/>
    </row>
    <row r="78" spans="2:20" ht="23.1" customHeight="1" x14ac:dyDescent="0.25">
      <c r="B78" s="24" t="s">
        <v>118</v>
      </c>
      <c r="C78" s="49">
        <f>AVERAGE('26.07 Nyanama-Ndeeba-24h'!C78,'27.07 Nyanama-Ndeeba-24h'!C78)</f>
        <v>18.5</v>
      </c>
      <c r="D78" s="49">
        <f>AVERAGE('26.07 Nyanama-Ndeeba-24h'!D78,'27.07 Nyanama-Ndeeba-24h'!D78)</f>
        <v>11.5</v>
      </c>
      <c r="E78" s="49">
        <f>AVERAGE('26.07 Nyanama-Ndeeba-24h'!E78,'27.07 Nyanama-Ndeeba-24h'!E78)</f>
        <v>2</v>
      </c>
      <c r="F78" s="49">
        <f>AVERAGE('26.07 Nyanama-Ndeeba-24h'!F78,'27.07 Nyanama-Ndeeba-24h'!F78)</f>
        <v>5.5</v>
      </c>
      <c r="G78" s="49">
        <f>AVERAGE('26.07 Nyanama-Ndeeba-24h'!G78,'27.07 Nyanama-Ndeeba-24h'!G78)</f>
        <v>0</v>
      </c>
      <c r="H78" s="49">
        <f>AVERAGE('26.07 Nyanama-Ndeeba-24h'!H78,'27.07 Nyanama-Ndeeba-24h'!H78)</f>
        <v>0</v>
      </c>
      <c r="I78" s="49">
        <f>AVERAGE('26.07 Nyanama-Ndeeba-24h'!I78,'27.07 Nyanama-Ndeeba-24h'!I78)</f>
        <v>3</v>
      </c>
      <c r="J78" s="49">
        <f>AVERAGE('26.07 Nyanama-Ndeeba-24h'!J78,'27.07 Nyanama-Ndeeba-24h'!J78)</f>
        <v>0.5</v>
      </c>
      <c r="K78" s="49">
        <f>AVERAGE('26.07 Nyanama-Ndeeba-24h'!K78,'27.07 Nyanama-Ndeeba-24h'!K78)</f>
        <v>1.5</v>
      </c>
      <c r="L78" s="49">
        <f>AVERAGE('26.07 Nyanama-Ndeeba-24h'!L78,'27.07 Nyanama-Ndeeba-24h'!L78)</f>
        <v>0.5</v>
      </c>
      <c r="M78" s="49">
        <f>AVERAGE('26.07 Nyanama-Ndeeba-24h'!M78,'27.07 Nyanama-Ndeeba-24h'!M78)</f>
        <v>43.5</v>
      </c>
      <c r="N78" s="49">
        <f>AVERAGE('26.07 Nyanama-Ndeeba-24h'!N78,'27.07 Nyanama-Ndeeba-24h'!N78)</f>
        <v>0</v>
      </c>
      <c r="O78" s="15">
        <f t="shared" si="33"/>
        <v>43</v>
      </c>
      <c r="P78" s="15">
        <f t="shared" si="34"/>
        <v>86.5</v>
      </c>
      <c r="R78" s="8"/>
      <c r="T78"/>
    </row>
    <row r="79" spans="2:20" ht="23.1" customHeight="1" x14ac:dyDescent="0.25">
      <c r="B79" s="23" t="s">
        <v>119</v>
      </c>
      <c r="C79" s="49">
        <f>AVERAGE('26.07 Nyanama-Ndeeba-24h'!C79,'27.07 Nyanama-Ndeeba-24h'!C79)</f>
        <v>13</v>
      </c>
      <c r="D79" s="49">
        <f>AVERAGE('26.07 Nyanama-Ndeeba-24h'!D79,'27.07 Nyanama-Ndeeba-24h'!D79)</f>
        <v>8.5</v>
      </c>
      <c r="E79" s="49">
        <f>AVERAGE('26.07 Nyanama-Ndeeba-24h'!E79,'27.07 Nyanama-Ndeeba-24h'!E79)</f>
        <v>2.5</v>
      </c>
      <c r="F79" s="49">
        <f>AVERAGE('26.07 Nyanama-Ndeeba-24h'!F79,'27.07 Nyanama-Ndeeba-24h'!F79)</f>
        <v>3.5</v>
      </c>
      <c r="G79" s="49">
        <f>AVERAGE('26.07 Nyanama-Ndeeba-24h'!G79,'27.07 Nyanama-Ndeeba-24h'!G79)</f>
        <v>0</v>
      </c>
      <c r="H79" s="49">
        <f>AVERAGE('26.07 Nyanama-Ndeeba-24h'!H79,'27.07 Nyanama-Ndeeba-24h'!H79)</f>
        <v>0</v>
      </c>
      <c r="I79" s="49">
        <f>AVERAGE('26.07 Nyanama-Ndeeba-24h'!I79,'27.07 Nyanama-Ndeeba-24h'!I79)</f>
        <v>1</v>
      </c>
      <c r="J79" s="49">
        <f>AVERAGE('26.07 Nyanama-Ndeeba-24h'!J79,'27.07 Nyanama-Ndeeba-24h'!J79)</f>
        <v>0</v>
      </c>
      <c r="K79" s="49">
        <f>AVERAGE('26.07 Nyanama-Ndeeba-24h'!K79,'27.07 Nyanama-Ndeeba-24h'!K79)</f>
        <v>1</v>
      </c>
      <c r="L79" s="49">
        <f>AVERAGE('26.07 Nyanama-Ndeeba-24h'!L79,'27.07 Nyanama-Ndeeba-24h'!L79)</f>
        <v>0</v>
      </c>
      <c r="M79" s="49">
        <f>AVERAGE('26.07 Nyanama-Ndeeba-24h'!M79,'27.07 Nyanama-Ndeeba-24h'!M79)</f>
        <v>31.5</v>
      </c>
      <c r="N79" s="49">
        <f>AVERAGE('26.07 Nyanama-Ndeeba-24h'!N79,'27.07 Nyanama-Ndeeba-24h'!N79)</f>
        <v>0</v>
      </c>
      <c r="O79" s="15">
        <f t="shared" si="33"/>
        <v>29.5</v>
      </c>
      <c r="P79" s="15">
        <f t="shared" si="34"/>
        <v>61</v>
      </c>
      <c r="R79" s="8"/>
      <c r="T79"/>
    </row>
    <row r="80" spans="2:20" ht="23.1" customHeight="1" x14ac:dyDescent="0.25">
      <c r="B80" s="25" t="s">
        <v>120</v>
      </c>
      <c r="C80" s="49">
        <f>AVERAGE('26.07 Nyanama-Ndeeba-24h'!C80,'27.07 Nyanama-Ndeeba-24h'!C80)</f>
        <v>7.5</v>
      </c>
      <c r="D80" s="49">
        <f>AVERAGE('26.07 Nyanama-Ndeeba-24h'!D80,'27.07 Nyanama-Ndeeba-24h'!D80)</f>
        <v>3.5</v>
      </c>
      <c r="E80" s="49">
        <f>AVERAGE('26.07 Nyanama-Ndeeba-24h'!E80,'27.07 Nyanama-Ndeeba-24h'!E80)</f>
        <v>1.5</v>
      </c>
      <c r="F80" s="49">
        <f>AVERAGE('26.07 Nyanama-Ndeeba-24h'!F80,'27.07 Nyanama-Ndeeba-24h'!F80)</f>
        <v>0.5</v>
      </c>
      <c r="G80" s="49">
        <f>AVERAGE('26.07 Nyanama-Ndeeba-24h'!G80,'27.07 Nyanama-Ndeeba-24h'!G80)</f>
        <v>0</v>
      </c>
      <c r="H80" s="49">
        <f>AVERAGE('26.07 Nyanama-Ndeeba-24h'!H80,'27.07 Nyanama-Ndeeba-24h'!H80)</f>
        <v>0</v>
      </c>
      <c r="I80" s="49">
        <f>AVERAGE('26.07 Nyanama-Ndeeba-24h'!I80,'27.07 Nyanama-Ndeeba-24h'!I80)</f>
        <v>1.5</v>
      </c>
      <c r="J80" s="49">
        <f>AVERAGE('26.07 Nyanama-Ndeeba-24h'!J80,'27.07 Nyanama-Ndeeba-24h'!J80)</f>
        <v>1</v>
      </c>
      <c r="K80" s="49">
        <f>AVERAGE('26.07 Nyanama-Ndeeba-24h'!K80,'27.07 Nyanama-Ndeeba-24h'!K80)</f>
        <v>0.5</v>
      </c>
      <c r="L80" s="49">
        <f>AVERAGE('26.07 Nyanama-Ndeeba-24h'!L80,'27.07 Nyanama-Ndeeba-24h'!L80)</f>
        <v>0</v>
      </c>
      <c r="M80" s="49">
        <f>AVERAGE('26.07 Nyanama-Ndeeba-24h'!M80,'27.07 Nyanama-Ndeeba-24h'!M80)</f>
        <v>29</v>
      </c>
      <c r="N80" s="49">
        <f>AVERAGE('26.07 Nyanama-Ndeeba-24h'!N80,'27.07 Nyanama-Ndeeba-24h'!N80)</f>
        <v>0</v>
      </c>
      <c r="O80" s="15">
        <f t="shared" si="33"/>
        <v>16</v>
      </c>
      <c r="P80" s="15">
        <f t="shared" si="34"/>
        <v>45</v>
      </c>
      <c r="R80" s="8"/>
      <c r="T80"/>
    </row>
    <row r="81" spans="2:20" ht="23.1" customHeight="1" x14ac:dyDescent="0.25">
      <c r="B81" s="23" t="s">
        <v>121</v>
      </c>
      <c r="C81" s="49">
        <f>AVERAGE('26.07 Nyanama-Ndeeba-24h'!C81,'27.07 Nyanama-Ndeeba-24h'!C81)</f>
        <v>8.5</v>
      </c>
      <c r="D81" s="49">
        <f>AVERAGE('26.07 Nyanama-Ndeeba-24h'!D81,'27.07 Nyanama-Ndeeba-24h'!D81)</f>
        <v>3.5</v>
      </c>
      <c r="E81" s="49">
        <f>AVERAGE('26.07 Nyanama-Ndeeba-24h'!E81,'27.07 Nyanama-Ndeeba-24h'!E81)</f>
        <v>1</v>
      </c>
      <c r="F81" s="49">
        <f>AVERAGE('26.07 Nyanama-Ndeeba-24h'!F81,'27.07 Nyanama-Ndeeba-24h'!F81)</f>
        <v>1.5</v>
      </c>
      <c r="G81" s="49">
        <f>AVERAGE('26.07 Nyanama-Ndeeba-24h'!G81,'27.07 Nyanama-Ndeeba-24h'!G81)</f>
        <v>0</v>
      </c>
      <c r="H81" s="49">
        <f>AVERAGE('26.07 Nyanama-Ndeeba-24h'!H81,'27.07 Nyanama-Ndeeba-24h'!H81)</f>
        <v>0</v>
      </c>
      <c r="I81" s="49">
        <f>AVERAGE('26.07 Nyanama-Ndeeba-24h'!I81,'27.07 Nyanama-Ndeeba-24h'!I81)</f>
        <v>1</v>
      </c>
      <c r="J81" s="49">
        <f>AVERAGE('26.07 Nyanama-Ndeeba-24h'!J81,'27.07 Nyanama-Ndeeba-24h'!J81)</f>
        <v>0.5</v>
      </c>
      <c r="K81" s="49">
        <f>AVERAGE('26.07 Nyanama-Ndeeba-24h'!K81,'27.07 Nyanama-Ndeeba-24h'!K81)</f>
        <v>0.5</v>
      </c>
      <c r="L81" s="49">
        <f>AVERAGE('26.07 Nyanama-Ndeeba-24h'!L81,'27.07 Nyanama-Ndeeba-24h'!L81)</f>
        <v>0</v>
      </c>
      <c r="M81" s="49">
        <f>AVERAGE('26.07 Nyanama-Ndeeba-24h'!M81,'27.07 Nyanama-Ndeeba-24h'!M81)</f>
        <v>25</v>
      </c>
      <c r="N81" s="49">
        <f>AVERAGE('26.07 Nyanama-Ndeeba-24h'!N81,'27.07 Nyanama-Ndeeba-24h'!N81)</f>
        <v>0</v>
      </c>
      <c r="O81" s="15">
        <f t="shared" si="33"/>
        <v>16.5</v>
      </c>
      <c r="P81" s="15">
        <f t="shared" si="34"/>
        <v>41.5</v>
      </c>
      <c r="R81" s="8"/>
      <c r="T81"/>
    </row>
    <row r="82" spans="2:20" ht="23.1" customHeight="1" x14ac:dyDescent="0.25">
      <c r="B82" s="24" t="s">
        <v>122</v>
      </c>
      <c r="C82" s="49">
        <f>AVERAGE('26.07 Nyanama-Ndeeba-24h'!C82,'27.07 Nyanama-Ndeeba-24h'!C82)</f>
        <v>11</v>
      </c>
      <c r="D82" s="49">
        <f>AVERAGE('26.07 Nyanama-Ndeeba-24h'!D82,'27.07 Nyanama-Ndeeba-24h'!D82)</f>
        <v>4.5</v>
      </c>
      <c r="E82" s="49">
        <f>AVERAGE('26.07 Nyanama-Ndeeba-24h'!E82,'27.07 Nyanama-Ndeeba-24h'!E82)</f>
        <v>1</v>
      </c>
      <c r="F82" s="49">
        <f>AVERAGE('26.07 Nyanama-Ndeeba-24h'!F82,'27.07 Nyanama-Ndeeba-24h'!F82)</f>
        <v>3.5</v>
      </c>
      <c r="G82" s="49">
        <f>AVERAGE('26.07 Nyanama-Ndeeba-24h'!G82,'27.07 Nyanama-Ndeeba-24h'!G82)</f>
        <v>0</v>
      </c>
      <c r="H82" s="49">
        <f>AVERAGE('26.07 Nyanama-Ndeeba-24h'!H82,'27.07 Nyanama-Ndeeba-24h'!H82)</f>
        <v>0</v>
      </c>
      <c r="I82" s="49">
        <f>AVERAGE('26.07 Nyanama-Ndeeba-24h'!I82,'27.07 Nyanama-Ndeeba-24h'!I82)</f>
        <v>1.5</v>
      </c>
      <c r="J82" s="49">
        <f>AVERAGE('26.07 Nyanama-Ndeeba-24h'!J82,'27.07 Nyanama-Ndeeba-24h'!J82)</f>
        <v>0</v>
      </c>
      <c r="K82" s="49">
        <f>AVERAGE('26.07 Nyanama-Ndeeba-24h'!K82,'27.07 Nyanama-Ndeeba-24h'!K82)</f>
        <v>1</v>
      </c>
      <c r="L82" s="49">
        <f>AVERAGE('26.07 Nyanama-Ndeeba-24h'!L82,'27.07 Nyanama-Ndeeba-24h'!L82)</f>
        <v>0.5</v>
      </c>
      <c r="M82" s="49">
        <f>AVERAGE('26.07 Nyanama-Ndeeba-24h'!M82,'27.07 Nyanama-Ndeeba-24h'!M82)</f>
        <v>59</v>
      </c>
      <c r="N82" s="49">
        <f>AVERAGE('26.07 Nyanama-Ndeeba-24h'!N82,'27.07 Nyanama-Ndeeba-24h'!N82)</f>
        <v>0</v>
      </c>
      <c r="O82" s="15">
        <f t="shared" si="33"/>
        <v>23</v>
      </c>
      <c r="P82" s="15">
        <f t="shared" si="34"/>
        <v>82</v>
      </c>
      <c r="R82" s="8"/>
      <c r="T82"/>
    </row>
    <row r="83" spans="2:20" ht="23.1" customHeight="1" x14ac:dyDescent="0.25">
      <c r="B83" s="23" t="s">
        <v>123</v>
      </c>
      <c r="C83" s="49">
        <f>AVERAGE('26.07 Nyanama-Ndeeba-24h'!C83,'27.07 Nyanama-Ndeeba-24h'!C83)</f>
        <v>9.5</v>
      </c>
      <c r="D83" s="49">
        <f>AVERAGE('26.07 Nyanama-Ndeeba-24h'!D83,'27.07 Nyanama-Ndeeba-24h'!D83)</f>
        <v>4</v>
      </c>
      <c r="E83" s="49">
        <f>AVERAGE('26.07 Nyanama-Ndeeba-24h'!E83,'27.07 Nyanama-Ndeeba-24h'!E83)</f>
        <v>1</v>
      </c>
      <c r="F83" s="49">
        <f>AVERAGE('26.07 Nyanama-Ndeeba-24h'!F83,'27.07 Nyanama-Ndeeba-24h'!F83)</f>
        <v>1.5</v>
      </c>
      <c r="G83" s="49">
        <f>AVERAGE('26.07 Nyanama-Ndeeba-24h'!G83,'27.07 Nyanama-Ndeeba-24h'!G83)</f>
        <v>0</v>
      </c>
      <c r="H83" s="49">
        <f>AVERAGE('26.07 Nyanama-Ndeeba-24h'!H83,'27.07 Nyanama-Ndeeba-24h'!H83)</f>
        <v>0</v>
      </c>
      <c r="I83" s="49">
        <f>AVERAGE('26.07 Nyanama-Ndeeba-24h'!I83,'27.07 Nyanama-Ndeeba-24h'!I83)</f>
        <v>2.5</v>
      </c>
      <c r="J83" s="49">
        <f>AVERAGE('26.07 Nyanama-Ndeeba-24h'!J83,'27.07 Nyanama-Ndeeba-24h'!J83)</f>
        <v>0.5</v>
      </c>
      <c r="K83" s="49">
        <f>AVERAGE('26.07 Nyanama-Ndeeba-24h'!K83,'27.07 Nyanama-Ndeeba-24h'!K83)</f>
        <v>1.5</v>
      </c>
      <c r="L83" s="49">
        <f>AVERAGE('26.07 Nyanama-Ndeeba-24h'!L83,'27.07 Nyanama-Ndeeba-24h'!L83)</f>
        <v>0</v>
      </c>
      <c r="M83" s="49">
        <f>AVERAGE('26.07 Nyanama-Ndeeba-24h'!M83,'27.07 Nyanama-Ndeeba-24h'!M83)</f>
        <v>30</v>
      </c>
      <c r="N83" s="49">
        <f>AVERAGE('26.07 Nyanama-Ndeeba-24h'!N83,'27.07 Nyanama-Ndeeba-24h'!N83)</f>
        <v>0</v>
      </c>
      <c r="O83" s="15">
        <f t="shared" si="33"/>
        <v>20.5</v>
      </c>
      <c r="P83" s="15">
        <f t="shared" si="34"/>
        <v>50.5</v>
      </c>
      <c r="R83" s="8"/>
      <c r="T83"/>
    </row>
    <row r="84" spans="2:20" ht="23.1" customHeight="1" x14ac:dyDescent="0.25">
      <c r="B84" s="25" t="s">
        <v>124</v>
      </c>
      <c r="C84" s="49">
        <f>AVERAGE('26.07 Nyanama-Ndeeba-24h'!C84,'27.07 Nyanama-Ndeeba-24h'!C84)</f>
        <v>6.5</v>
      </c>
      <c r="D84" s="49">
        <f>AVERAGE('26.07 Nyanama-Ndeeba-24h'!D84,'27.07 Nyanama-Ndeeba-24h'!D84)</f>
        <v>4.5</v>
      </c>
      <c r="E84" s="49">
        <f>AVERAGE('26.07 Nyanama-Ndeeba-24h'!E84,'27.07 Nyanama-Ndeeba-24h'!E84)</f>
        <v>3.5</v>
      </c>
      <c r="F84" s="49">
        <f>AVERAGE('26.07 Nyanama-Ndeeba-24h'!F84,'27.07 Nyanama-Ndeeba-24h'!F84)</f>
        <v>2.5</v>
      </c>
      <c r="G84" s="49">
        <f>AVERAGE('26.07 Nyanama-Ndeeba-24h'!G84,'27.07 Nyanama-Ndeeba-24h'!G84)</f>
        <v>0</v>
      </c>
      <c r="H84" s="49">
        <f>AVERAGE('26.07 Nyanama-Ndeeba-24h'!H84,'27.07 Nyanama-Ndeeba-24h'!H84)</f>
        <v>0</v>
      </c>
      <c r="I84" s="49">
        <f>AVERAGE('26.07 Nyanama-Ndeeba-24h'!I84,'27.07 Nyanama-Ndeeba-24h'!I84)</f>
        <v>3</v>
      </c>
      <c r="J84" s="49">
        <f>AVERAGE('26.07 Nyanama-Ndeeba-24h'!J84,'27.07 Nyanama-Ndeeba-24h'!J84)</f>
        <v>0.5</v>
      </c>
      <c r="K84" s="49">
        <f>AVERAGE('26.07 Nyanama-Ndeeba-24h'!K84,'27.07 Nyanama-Ndeeba-24h'!K84)</f>
        <v>0.5</v>
      </c>
      <c r="L84" s="49">
        <f>AVERAGE('26.07 Nyanama-Ndeeba-24h'!L84,'27.07 Nyanama-Ndeeba-24h'!L84)</f>
        <v>0</v>
      </c>
      <c r="M84" s="49">
        <f>AVERAGE('26.07 Nyanama-Ndeeba-24h'!M84,'27.07 Nyanama-Ndeeba-24h'!M84)</f>
        <v>36</v>
      </c>
      <c r="N84" s="49">
        <f>AVERAGE('26.07 Nyanama-Ndeeba-24h'!N84,'27.07 Nyanama-Ndeeba-24h'!N84)</f>
        <v>0</v>
      </c>
      <c r="O84" s="15">
        <f t="shared" si="33"/>
        <v>21</v>
      </c>
      <c r="P84" s="15">
        <f t="shared" si="34"/>
        <v>57</v>
      </c>
      <c r="R84" s="8"/>
      <c r="T84"/>
    </row>
    <row r="85" spans="2:20" ht="23.1" customHeight="1" x14ac:dyDescent="0.25">
      <c r="B85" s="23" t="s">
        <v>125</v>
      </c>
      <c r="C85" s="49">
        <f>AVERAGE('26.07 Nyanama-Ndeeba-24h'!C85,'27.07 Nyanama-Ndeeba-24h'!C85)</f>
        <v>4.5</v>
      </c>
      <c r="D85" s="49">
        <f>AVERAGE('26.07 Nyanama-Ndeeba-24h'!D85,'27.07 Nyanama-Ndeeba-24h'!D85)</f>
        <v>2.5</v>
      </c>
      <c r="E85" s="49">
        <f>AVERAGE('26.07 Nyanama-Ndeeba-24h'!E85,'27.07 Nyanama-Ndeeba-24h'!E85)</f>
        <v>1</v>
      </c>
      <c r="F85" s="49">
        <f>AVERAGE('26.07 Nyanama-Ndeeba-24h'!F85,'27.07 Nyanama-Ndeeba-24h'!F85)</f>
        <v>1.5</v>
      </c>
      <c r="G85" s="49">
        <f>AVERAGE('26.07 Nyanama-Ndeeba-24h'!G85,'27.07 Nyanama-Ndeeba-24h'!G85)</f>
        <v>0</v>
      </c>
      <c r="H85" s="49">
        <f>AVERAGE('26.07 Nyanama-Ndeeba-24h'!H85,'27.07 Nyanama-Ndeeba-24h'!H85)</f>
        <v>0</v>
      </c>
      <c r="I85" s="49">
        <f>AVERAGE('26.07 Nyanama-Ndeeba-24h'!I85,'27.07 Nyanama-Ndeeba-24h'!I85)</f>
        <v>3.5</v>
      </c>
      <c r="J85" s="49">
        <f>AVERAGE('26.07 Nyanama-Ndeeba-24h'!J85,'27.07 Nyanama-Ndeeba-24h'!J85)</f>
        <v>0</v>
      </c>
      <c r="K85" s="49">
        <f>AVERAGE('26.07 Nyanama-Ndeeba-24h'!K85,'27.07 Nyanama-Ndeeba-24h'!K85)</f>
        <v>0</v>
      </c>
      <c r="L85" s="49">
        <f>AVERAGE('26.07 Nyanama-Ndeeba-24h'!L85,'27.07 Nyanama-Ndeeba-24h'!L85)</f>
        <v>0</v>
      </c>
      <c r="M85" s="49">
        <f>AVERAGE('26.07 Nyanama-Ndeeba-24h'!M85,'27.07 Nyanama-Ndeeba-24h'!M85)</f>
        <v>34.5</v>
      </c>
      <c r="N85" s="49">
        <f>AVERAGE('26.07 Nyanama-Ndeeba-24h'!N85,'27.07 Nyanama-Ndeeba-24h'!N85)</f>
        <v>0</v>
      </c>
      <c r="O85" s="15">
        <f t="shared" si="33"/>
        <v>13</v>
      </c>
      <c r="P85" s="15">
        <f t="shared" si="34"/>
        <v>47.5</v>
      </c>
      <c r="R85" s="8"/>
      <c r="T85"/>
    </row>
    <row r="86" spans="2:20" ht="23.1" customHeight="1" x14ac:dyDescent="0.25">
      <c r="B86" s="24" t="s">
        <v>126</v>
      </c>
      <c r="C86" s="49">
        <f>AVERAGE('26.07 Nyanama-Ndeeba-24h'!C86,'27.07 Nyanama-Ndeeba-24h'!C86)</f>
        <v>3.5</v>
      </c>
      <c r="D86" s="49">
        <f>AVERAGE('26.07 Nyanama-Ndeeba-24h'!D86,'27.07 Nyanama-Ndeeba-24h'!D86)</f>
        <v>1</v>
      </c>
      <c r="E86" s="49">
        <f>AVERAGE('26.07 Nyanama-Ndeeba-24h'!E86,'27.07 Nyanama-Ndeeba-24h'!E86)</f>
        <v>0.5</v>
      </c>
      <c r="F86" s="49">
        <f>AVERAGE('26.07 Nyanama-Ndeeba-24h'!F86,'27.07 Nyanama-Ndeeba-24h'!F86)</f>
        <v>0</v>
      </c>
      <c r="G86" s="49">
        <f>AVERAGE('26.07 Nyanama-Ndeeba-24h'!G86,'27.07 Nyanama-Ndeeba-24h'!G86)</f>
        <v>0</v>
      </c>
      <c r="H86" s="49">
        <f>AVERAGE('26.07 Nyanama-Ndeeba-24h'!H86,'27.07 Nyanama-Ndeeba-24h'!H86)</f>
        <v>0</v>
      </c>
      <c r="I86" s="49">
        <f>AVERAGE('26.07 Nyanama-Ndeeba-24h'!I86,'27.07 Nyanama-Ndeeba-24h'!I86)</f>
        <v>0</v>
      </c>
      <c r="J86" s="49">
        <f>AVERAGE('26.07 Nyanama-Ndeeba-24h'!J86,'27.07 Nyanama-Ndeeba-24h'!J86)</f>
        <v>0</v>
      </c>
      <c r="K86" s="49">
        <f>AVERAGE('26.07 Nyanama-Ndeeba-24h'!K86,'27.07 Nyanama-Ndeeba-24h'!K86)</f>
        <v>0.5</v>
      </c>
      <c r="L86" s="49">
        <f>AVERAGE('26.07 Nyanama-Ndeeba-24h'!L86,'27.07 Nyanama-Ndeeba-24h'!L86)</f>
        <v>0</v>
      </c>
      <c r="M86" s="49">
        <f>AVERAGE('26.07 Nyanama-Ndeeba-24h'!M86,'27.07 Nyanama-Ndeeba-24h'!M86)</f>
        <v>26.5</v>
      </c>
      <c r="N86" s="49">
        <f>AVERAGE('26.07 Nyanama-Ndeeba-24h'!N86,'27.07 Nyanama-Ndeeba-24h'!N86)</f>
        <v>0</v>
      </c>
      <c r="O86" s="15">
        <f t="shared" si="33"/>
        <v>5.5</v>
      </c>
      <c r="P86" s="15">
        <f t="shared" si="34"/>
        <v>32</v>
      </c>
      <c r="R86" s="8"/>
      <c r="T86"/>
    </row>
    <row r="87" spans="2:20" ht="23.1" customHeight="1" x14ac:dyDescent="0.25">
      <c r="B87" s="23" t="s">
        <v>127</v>
      </c>
      <c r="C87" s="49">
        <f>AVERAGE('26.07 Nyanama-Ndeeba-24h'!C87,'27.07 Nyanama-Ndeeba-24h'!C87)</f>
        <v>1.5</v>
      </c>
      <c r="D87" s="49">
        <f>AVERAGE('26.07 Nyanama-Ndeeba-24h'!D87,'27.07 Nyanama-Ndeeba-24h'!D87)</f>
        <v>2</v>
      </c>
      <c r="E87" s="49">
        <f>AVERAGE('26.07 Nyanama-Ndeeba-24h'!E87,'27.07 Nyanama-Ndeeba-24h'!E87)</f>
        <v>0</v>
      </c>
      <c r="F87" s="49">
        <f>AVERAGE('26.07 Nyanama-Ndeeba-24h'!F87,'27.07 Nyanama-Ndeeba-24h'!F87)</f>
        <v>0.5</v>
      </c>
      <c r="G87" s="49">
        <f>AVERAGE('26.07 Nyanama-Ndeeba-24h'!G87,'27.07 Nyanama-Ndeeba-24h'!G87)</f>
        <v>0</v>
      </c>
      <c r="H87" s="49">
        <f>AVERAGE('26.07 Nyanama-Ndeeba-24h'!H87,'27.07 Nyanama-Ndeeba-24h'!H87)</f>
        <v>0</v>
      </c>
      <c r="I87" s="49">
        <f>AVERAGE('26.07 Nyanama-Ndeeba-24h'!I87,'27.07 Nyanama-Ndeeba-24h'!I87)</f>
        <v>0.5</v>
      </c>
      <c r="J87" s="49">
        <f>AVERAGE('26.07 Nyanama-Ndeeba-24h'!J87,'27.07 Nyanama-Ndeeba-24h'!J87)</f>
        <v>2</v>
      </c>
      <c r="K87" s="49">
        <f>AVERAGE('26.07 Nyanama-Ndeeba-24h'!K87,'27.07 Nyanama-Ndeeba-24h'!K87)</f>
        <v>0</v>
      </c>
      <c r="L87" s="49">
        <f>AVERAGE('26.07 Nyanama-Ndeeba-24h'!L87,'27.07 Nyanama-Ndeeba-24h'!L87)</f>
        <v>0</v>
      </c>
      <c r="M87" s="49">
        <f>AVERAGE('26.07 Nyanama-Ndeeba-24h'!M87,'27.07 Nyanama-Ndeeba-24h'!M87)</f>
        <v>16</v>
      </c>
      <c r="N87" s="49">
        <f>AVERAGE('26.07 Nyanama-Ndeeba-24h'!N87,'27.07 Nyanama-Ndeeba-24h'!N87)</f>
        <v>0</v>
      </c>
      <c r="O87" s="15">
        <f t="shared" si="33"/>
        <v>6.5</v>
      </c>
      <c r="P87" s="15">
        <f t="shared" si="34"/>
        <v>22.5</v>
      </c>
      <c r="R87" s="8"/>
      <c r="T87"/>
    </row>
    <row r="88" spans="2:20" ht="23.1" customHeight="1" x14ac:dyDescent="0.25">
      <c r="B88" s="25" t="s">
        <v>128</v>
      </c>
      <c r="C88" s="49">
        <f>AVERAGE('26.07 Nyanama-Ndeeba-24h'!C88,'27.07 Nyanama-Ndeeba-24h'!C88)</f>
        <v>4</v>
      </c>
      <c r="D88" s="49">
        <f>AVERAGE('26.07 Nyanama-Ndeeba-24h'!D88,'27.07 Nyanama-Ndeeba-24h'!D88)</f>
        <v>1</v>
      </c>
      <c r="E88" s="49">
        <f>AVERAGE('26.07 Nyanama-Ndeeba-24h'!E88,'27.07 Nyanama-Ndeeba-24h'!E88)</f>
        <v>0</v>
      </c>
      <c r="F88" s="49">
        <f>AVERAGE('26.07 Nyanama-Ndeeba-24h'!F88,'27.07 Nyanama-Ndeeba-24h'!F88)</f>
        <v>0.5</v>
      </c>
      <c r="G88" s="49">
        <f>AVERAGE('26.07 Nyanama-Ndeeba-24h'!G88,'27.07 Nyanama-Ndeeba-24h'!G88)</f>
        <v>0</v>
      </c>
      <c r="H88" s="49">
        <f>AVERAGE('26.07 Nyanama-Ndeeba-24h'!H88,'27.07 Nyanama-Ndeeba-24h'!H88)</f>
        <v>0</v>
      </c>
      <c r="I88" s="49">
        <f>AVERAGE('26.07 Nyanama-Ndeeba-24h'!I88,'27.07 Nyanama-Ndeeba-24h'!I88)</f>
        <v>0</v>
      </c>
      <c r="J88" s="49">
        <f>AVERAGE('26.07 Nyanama-Ndeeba-24h'!J88,'27.07 Nyanama-Ndeeba-24h'!J88)</f>
        <v>0.5</v>
      </c>
      <c r="K88" s="49">
        <f>AVERAGE('26.07 Nyanama-Ndeeba-24h'!K88,'27.07 Nyanama-Ndeeba-24h'!K88)</f>
        <v>0</v>
      </c>
      <c r="L88" s="49">
        <f>AVERAGE('26.07 Nyanama-Ndeeba-24h'!L88,'27.07 Nyanama-Ndeeba-24h'!L88)</f>
        <v>0</v>
      </c>
      <c r="M88" s="49">
        <f>AVERAGE('26.07 Nyanama-Ndeeba-24h'!M88,'27.07 Nyanama-Ndeeba-24h'!M88)</f>
        <v>12</v>
      </c>
      <c r="N88" s="49">
        <f>AVERAGE('26.07 Nyanama-Ndeeba-24h'!N88,'27.07 Nyanama-Ndeeba-24h'!N88)</f>
        <v>0</v>
      </c>
      <c r="O88" s="15">
        <f t="shared" si="33"/>
        <v>6</v>
      </c>
      <c r="P88" s="15">
        <f t="shared" si="34"/>
        <v>18</v>
      </c>
      <c r="R88" s="8"/>
      <c r="T88"/>
    </row>
    <row r="89" spans="2:20" ht="23.1" customHeight="1" x14ac:dyDescent="0.25">
      <c r="B89" s="23" t="s">
        <v>129</v>
      </c>
      <c r="C89" s="49">
        <f>AVERAGE('26.07 Nyanama-Ndeeba-24h'!C89,'27.07 Nyanama-Ndeeba-24h'!C89)</f>
        <v>3</v>
      </c>
      <c r="D89" s="49">
        <f>AVERAGE('26.07 Nyanama-Ndeeba-24h'!D89,'27.07 Nyanama-Ndeeba-24h'!D89)</f>
        <v>0.5</v>
      </c>
      <c r="E89" s="49">
        <f>AVERAGE('26.07 Nyanama-Ndeeba-24h'!E89,'27.07 Nyanama-Ndeeba-24h'!E89)</f>
        <v>0</v>
      </c>
      <c r="F89" s="49">
        <f>AVERAGE('26.07 Nyanama-Ndeeba-24h'!F89,'27.07 Nyanama-Ndeeba-24h'!F89)</f>
        <v>0.5</v>
      </c>
      <c r="G89" s="49">
        <f>AVERAGE('26.07 Nyanama-Ndeeba-24h'!G89,'27.07 Nyanama-Ndeeba-24h'!G89)</f>
        <v>0</v>
      </c>
      <c r="H89" s="49">
        <f>AVERAGE('26.07 Nyanama-Ndeeba-24h'!H89,'27.07 Nyanama-Ndeeba-24h'!H89)</f>
        <v>0</v>
      </c>
      <c r="I89" s="49">
        <f>AVERAGE('26.07 Nyanama-Ndeeba-24h'!I89,'27.07 Nyanama-Ndeeba-24h'!I89)</f>
        <v>1</v>
      </c>
      <c r="J89" s="49">
        <f>AVERAGE('26.07 Nyanama-Ndeeba-24h'!J89,'27.07 Nyanama-Ndeeba-24h'!J89)</f>
        <v>0.5</v>
      </c>
      <c r="K89" s="49">
        <f>AVERAGE('26.07 Nyanama-Ndeeba-24h'!K89,'27.07 Nyanama-Ndeeba-24h'!K89)</f>
        <v>0.5</v>
      </c>
      <c r="L89" s="49">
        <f>AVERAGE('26.07 Nyanama-Ndeeba-24h'!L89,'27.07 Nyanama-Ndeeba-24h'!L89)</f>
        <v>0.5</v>
      </c>
      <c r="M89" s="49">
        <f>AVERAGE('26.07 Nyanama-Ndeeba-24h'!M89,'27.07 Nyanama-Ndeeba-24h'!M89)</f>
        <v>14</v>
      </c>
      <c r="N89" s="49">
        <f>AVERAGE('26.07 Nyanama-Ndeeba-24h'!N89,'27.07 Nyanama-Ndeeba-24h'!N89)</f>
        <v>0</v>
      </c>
      <c r="O89" s="15">
        <f t="shared" si="33"/>
        <v>6.5</v>
      </c>
      <c r="P89" s="15">
        <f t="shared" si="34"/>
        <v>20.5</v>
      </c>
      <c r="R89" s="8"/>
      <c r="T89"/>
    </row>
    <row r="90" spans="2:20" ht="23.1" customHeight="1" x14ac:dyDescent="0.25">
      <c r="B90" s="24" t="s">
        <v>130</v>
      </c>
      <c r="C90" s="49">
        <f>AVERAGE('26.07 Nyanama-Ndeeba-24h'!C90,'27.07 Nyanama-Ndeeba-24h'!C90)</f>
        <v>4.5</v>
      </c>
      <c r="D90" s="49">
        <f>AVERAGE('26.07 Nyanama-Ndeeba-24h'!D90,'27.07 Nyanama-Ndeeba-24h'!D90)</f>
        <v>0.5</v>
      </c>
      <c r="E90" s="49">
        <f>AVERAGE('26.07 Nyanama-Ndeeba-24h'!E90,'27.07 Nyanama-Ndeeba-24h'!E90)</f>
        <v>0.5</v>
      </c>
      <c r="F90" s="49">
        <f>AVERAGE('26.07 Nyanama-Ndeeba-24h'!F90,'27.07 Nyanama-Ndeeba-24h'!F90)</f>
        <v>1</v>
      </c>
      <c r="G90" s="49">
        <f>AVERAGE('26.07 Nyanama-Ndeeba-24h'!G90,'27.07 Nyanama-Ndeeba-24h'!G90)</f>
        <v>0</v>
      </c>
      <c r="H90" s="49">
        <f>AVERAGE('26.07 Nyanama-Ndeeba-24h'!H90,'27.07 Nyanama-Ndeeba-24h'!H90)</f>
        <v>0</v>
      </c>
      <c r="I90" s="49">
        <f>AVERAGE('26.07 Nyanama-Ndeeba-24h'!I90,'27.07 Nyanama-Ndeeba-24h'!I90)</f>
        <v>0.5</v>
      </c>
      <c r="J90" s="49">
        <f>AVERAGE('26.07 Nyanama-Ndeeba-24h'!J90,'27.07 Nyanama-Ndeeba-24h'!J90)</f>
        <v>0</v>
      </c>
      <c r="K90" s="49">
        <f>AVERAGE('26.07 Nyanama-Ndeeba-24h'!K90,'27.07 Nyanama-Ndeeba-24h'!K90)</f>
        <v>0</v>
      </c>
      <c r="L90" s="49">
        <f>AVERAGE('26.07 Nyanama-Ndeeba-24h'!L90,'27.07 Nyanama-Ndeeba-24h'!L90)</f>
        <v>0</v>
      </c>
      <c r="M90" s="49">
        <f>AVERAGE('26.07 Nyanama-Ndeeba-24h'!M90,'27.07 Nyanama-Ndeeba-24h'!M90)</f>
        <v>22</v>
      </c>
      <c r="N90" s="49">
        <f>AVERAGE('26.07 Nyanama-Ndeeba-24h'!N90,'27.07 Nyanama-Ndeeba-24h'!N90)</f>
        <v>0</v>
      </c>
      <c r="O90" s="15">
        <f t="shared" si="33"/>
        <v>7</v>
      </c>
      <c r="P90" s="15">
        <f t="shared" si="34"/>
        <v>29</v>
      </c>
      <c r="R90" s="8"/>
      <c r="T90"/>
    </row>
    <row r="91" spans="2:20" ht="23.1" customHeight="1" x14ac:dyDescent="0.25">
      <c r="B91" s="23" t="s">
        <v>131</v>
      </c>
      <c r="C91" s="49">
        <f>AVERAGE('26.07 Nyanama-Ndeeba-24h'!C91,'27.07 Nyanama-Ndeeba-24h'!C91)</f>
        <v>1.5</v>
      </c>
      <c r="D91" s="49">
        <f>AVERAGE('26.07 Nyanama-Ndeeba-24h'!D91,'27.07 Nyanama-Ndeeba-24h'!D91)</f>
        <v>1</v>
      </c>
      <c r="E91" s="49">
        <f>AVERAGE('26.07 Nyanama-Ndeeba-24h'!E91,'27.07 Nyanama-Ndeeba-24h'!E91)</f>
        <v>0</v>
      </c>
      <c r="F91" s="49">
        <f>AVERAGE('26.07 Nyanama-Ndeeba-24h'!F91,'27.07 Nyanama-Ndeeba-24h'!F91)</f>
        <v>0</v>
      </c>
      <c r="G91" s="49">
        <f>AVERAGE('26.07 Nyanama-Ndeeba-24h'!G91,'27.07 Nyanama-Ndeeba-24h'!G91)</f>
        <v>0</v>
      </c>
      <c r="H91" s="49">
        <f>AVERAGE('26.07 Nyanama-Ndeeba-24h'!H91,'27.07 Nyanama-Ndeeba-24h'!H91)</f>
        <v>0</v>
      </c>
      <c r="I91" s="49">
        <f>AVERAGE('26.07 Nyanama-Ndeeba-24h'!I91,'27.07 Nyanama-Ndeeba-24h'!I91)</f>
        <v>0</v>
      </c>
      <c r="J91" s="49">
        <f>AVERAGE('26.07 Nyanama-Ndeeba-24h'!J91,'27.07 Nyanama-Ndeeba-24h'!J91)</f>
        <v>0</v>
      </c>
      <c r="K91" s="49">
        <f>AVERAGE('26.07 Nyanama-Ndeeba-24h'!K91,'27.07 Nyanama-Ndeeba-24h'!K91)</f>
        <v>0</v>
      </c>
      <c r="L91" s="49">
        <f>AVERAGE('26.07 Nyanama-Ndeeba-24h'!L91,'27.07 Nyanama-Ndeeba-24h'!L91)</f>
        <v>0</v>
      </c>
      <c r="M91" s="49">
        <f>AVERAGE('26.07 Nyanama-Ndeeba-24h'!M91,'27.07 Nyanama-Ndeeba-24h'!M91)</f>
        <v>12.5</v>
      </c>
      <c r="N91" s="49">
        <f>AVERAGE('26.07 Nyanama-Ndeeba-24h'!N91,'27.07 Nyanama-Ndeeba-24h'!N91)</f>
        <v>0</v>
      </c>
      <c r="O91" s="15">
        <f t="shared" si="33"/>
        <v>2.5</v>
      </c>
      <c r="P91" s="15">
        <f t="shared" si="34"/>
        <v>15</v>
      </c>
      <c r="R91" s="8"/>
      <c r="T91"/>
    </row>
    <row r="92" spans="2:20" ht="23.1" customHeight="1" x14ac:dyDescent="0.25">
      <c r="B92" s="25" t="s">
        <v>132</v>
      </c>
      <c r="C92" s="49">
        <f>AVERAGE('26.07 Nyanama-Ndeeba-24h'!C92,'27.07 Nyanama-Ndeeba-24h'!C92)</f>
        <v>0.5</v>
      </c>
      <c r="D92" s="49">
        <f>AVERAGE('26.07 Nyanama-Ndeeba-24h'!D92,'27.07 Nyanama-Ndeeba-24h'!D92)</f>
        <v>0.5</v>
      </c>
      <c r="E92" s="49">
        <f>AVERAGE('26.07 Nyanama-Ndeeba-24h'!E92,'27.07 Nyanama-Ndeeba-24h'!E92)</f>
        <v>0</v>
      </c>
      <c r="F92" s="49">
        <f>AVERAGE('26.07 Nyanama-Ndeeba-24h'!F92,'27.07 Nyanama-Ndeeba-24h'!F92)</f>
        <v>0</v>
      </c>
      <c r="G92" s="49">
        <f>AVERAGE('26.07 Nyanama-Ndeeba-24h'!G92,'27.07 Nyanama-Ndeeba-24h'!G92)</f>
        <v>0</v>
      </c>
      <c r="H92" s="49">
        <f>AVERAGE('26.07 Nyanama-Ndeeba-24h'!H92,'27.07 Nyanama-Ndeeba-24h'!H92)</f>
        <v>0</v>
      </c>
      <c r="I92" s="49">
        <f>AVERAGE('26.07 Nyanama-Ndeeba-24h'!I92,'27.07 Nyanama-Ndeeba-24h'!I92)</f>
        <v>0</v>
      </c>
      <c r="J92" s="49">
        <f>AVERAGE('26.07 Nyanama-Ndeeba-24h'!J92,'27.07 Nyanama-Ndeeba-24h'!J92)</f>
        <v>0</v>
      </c>
      <c r="K92" s="49">
        <f>AVERAGE('26.07 Nyanama-Ndeeba-24h'!K92,'27.07 Nyanama-Ndeeba-24h'!K92)</f>
        <v>0</v>
      </c>
      <c r="L92" s="49">
        <f>AVERAGE('26.07 Nyanama-Ndeeba-24h'!L92,'27.07 Nyanama-Ndeeba-24h'!L92)</f>
        <v>0</v>
      </c>
      <c r="M92" s="49">
        <f>AVERAGE('26.07 Nyanama-Ndeeba-24h'!M92,'27.07 Nyanama-Ndeeba-24h'!M92)</f>
        <v>4.5</v>
      </c>
      <c r="N92" s="49">
        <f>AVERAGE('26.07 Nyanama-Ndeeba-24h'!N92,'27.07 Nyanama-Ndeeba-24h'!N92)</f>
        <v>0</v>
      </c>
      <c r="O92" s="15">
        <f t="shared" si="33"/>
        <v>1</v>
      </c>
      <c r="P92" s="15">
        <f t="shared" si="34"/>
        <v>5.5</v>
      </c>
      <c r="R92" s="8"/>
      <c r="T92"/>
    </row>
    <row r="93" spans="2:20" ht="23.1" customHeight="1" x14ac:dyDescent="0.25">
      <c r="B93" s="23" t="s">
        <v>133</v>
      </c>
      <c r="C93" s="49">
        <f>AVERAGE('26.07 Nyanama-Ndeeba-24h'!C93,'27.07 Nyanama-Ndeeba-24h'!C93)</f>
        <v>2.5</v>
      </c>
      <c r="D93" s="49">
        <f>AVERAGE('26.07 Nyanama-Ndeeba-24h'!D93,'27.07 Nyanama-Ndeeba-24h'!D93)</f>
        <v>0</v>
      </c>
      <c r="E93" s="49">
        <f>AVERAGE('26.07 Nyanama-Ndeeba-24h'!E93,'27.07 Nyanama-Ndeeba-24h'!E93)</f>
        <v>0</v>
      </c>
      <c r="F93" s="49">
        <f>AVERAGE('26.07 Nyanama-Ndeeba-24h'!F93,'27.07 Nyanama-Ndeeba-24h'!F93)</f>
        <v>0</v>
      </c>
      <c r="G93" s="49">
        <f>AVERAGE('26.07 Nyanama-Ndeeba-24h'!G93,'27.07 Nyanama-Ndeeba-24h'!G93)</f>
        <v>0</v>
      </c>
      <c r="H93" s="49">
        <f>AVERAGE('26.07 Nyanama-Ndeeba-24h'!H93,'27.07 Nyanama-Ndeeba-24h'!H93)</f>
        <v>0</v>
      </c>
      <c r="I93" s="49">
        <f>AVERAGE('26.07 Nyanama-Ndeeba-24h'!I93,'27.07 Nyanama-Ndeeba-24h'!I93)</f>
        <v>0.5</v>
      </c>
      <c r="J93" s="49">
        <f>AVERAGE('26.07 Nyanama-Ndeeba-24h'!J93,'27.07 Nyanama-Ndeeba-24h'!J93)</f>
        <v>0</v>
      </c>
      <c r="K93" s="49">
        <f>AVERAGE('26.07 Nyanama-Ndeeba-24h'!K93,'27.07 Nyanama-Ndeeba-24h'!K93)</f>
        <v>0</v>
      </c>
      <c r="L93" s="49">
        <f>AVERAGE('26.07 Nyanama-Ndeeba-24h'!L93,'27.07 Nyanama-Ndeeba-24h'!L93)</f>
        <v>0</v>
      </c>
      <c r="M93" s="49">
        <f>AVERAGE('26.07 Nyanama-Ndeeba-24h'!M93,'27.07 Nyanama-Ndeeba-24h'!M93)</f>
        <v>7</v>
      </c>
      <c r="N93" s="49">
        <f>AVERAGE('26.07 Nyanama-Ndeeba-24h'!N93,'27.07 Nyanama-Ndeeba-24h'!N93)</f>
        <v>0</v>
      </c>
      <c r="O93" s="15">
        <f t="shared" si="33"/>
        <v>3</v>
      </c>
      <c r="P93" s="15">
        <f t="shared" si="34"/>
        <v>10</v>
      </c>
      <c r="R93" s="8"/>
      <c r="T93"/>
    </row>
    <row r="94" spans="2:20" ht="23.1" customHeight="1" x14ac:dyDescent="0.25">
      <c r="B94" s="24" t="s">
        <v>134</v>
      </c>
      <c r="C94" s="49">
        <f>AVERAGE('26.07 Nyanama-Ndeeba-24h'!C94,'27.07 Nyanama-Ndeeba-24h'!C94)</f>
        <v>0.5</v>
      </c>
      <c r="D94" s="49">
        <f>AVERAGE('26.07 Nyanama-Ndeeba-24h'!D94,'27.07 Nyanama-Ndeeba-24h'!D94)</f>
        <v>0.5</v>
      </c>
      <c r="E94" s="49">
        <f>AVERAGE('26.07 Nyanama-Ndeeba-24h'!E94,'27.07 Nyanama-Ndeeba-24h'!E94)</f>
        <v>0.5</v>
      </c>
      <c r="F94" s="49">
        <f>AVERAGE('26.07 Nyanama-Ndeeba-24h'!F94,'27.07 Nyanama-Ndeeba-24h'!F94)</f>
        <v>0.5</v>
      </c>
      <c r="G94" s="49">
        <f>AVERAGE('26.07 Nyanama-Ndeeba-24h'!G94,'27.07 Nyanama-Ndeeba-24h'!G94)</f>
        <v>0</v>
      </c>
      <c r="H94" s="49">
        <f>AVERAGE('26.07 Nyanama-Ndeeba-24h'!H94,'27.07 Nyanama-Ndeeba-24h'!H94)</f>
        <v>0</v>
      </c>
      <c r="I94" s="49">
        <f>AVERAGE('26.07 Nyanama-Ndeeba-24h'!I94,'27.07 Nyanama-Ndeeba-24h'!I94)</f>
        <v>0.5</v>
      </c>
      <c r="J94" s="49">
        <f>AVERAGE('26.07 Nyanama-Ndeeba-24h'!J94,'27.07 Nyanama-Ndeeba-24h'!J94)</f>
        <v>0</v>
      </c>
      <c r="K94" s="49">
        <f>AVERAGE('26.07 Nyanama-Ndeeba-24h'!K94,'27.07 Nyanama-Ndeeba-24h'!K94)</f>
        <v>0.5</v>
      </c>
      <c r="L94" s="49">
        <f>AVERAGE('26.07 Nyanama-Ndeeba-24h'!L94,'27.07 Nyanama-Ndeeba-24h'!L94)</f>
        <v>1</v>
      </c>
      <c r="M94" s="49">
        <f>AVERAGE('26.07 Nyanama-Ndeeba-24h'!M94,'27.07 Nyanama-Ndeeba-24h'!M94)</f>
        <v>11.5</v>
      </c>
      <c r="N94" s="49">
        <f>AVERAGE('26.07 Nyanama-Ndeeba-24h'!N94,'27.07 Nyanama-Ndeeba-24h'!N94)</f>
        <v>0</v>
      </c>
      <c r="O94" s="15">
        <f t="shared" si="33"/>
        <v>4</v>
      </c>
      <c r="P94" s="15">
        <f t="shared" si="34"/>
        <v>15.5</v>
      </c>
      <c r="R94" s="8"/>
      <c r="T94"/>
    </row>
    <row r="95" spans="2:20" ht="23.1" customHeight="1" x14ac:dyDescent="0.25">
      <c r="B95" s="23" t="s">
        <v>135</v>
      </c>
      <c r="C95" s="49">
        <f>AVERAGE('26.07 Nyanama-Ndeeba-24h'!C95,'27.07 Nyanama-Ndeeba-24h'!C95)</f>
        <v>3</v>
      </c>
      <c r="D95" s="49">
        <f>AVERAGE('26.07 Nyanama-Ndeeba-24h'!D95,'27.07 Nyanama-Ndeeba-24h'!D95)</f>
        <v>1</v>
      </c>
      <c r="E95" s="49">
        <f>AVERAGE('26.07 Nyanama-Ndeeba-24h'!E95,'27.07 Nyanama-Ndeeba-24h'!E95)</f>
        <v>0</v>
      </c>
      <c r="F95" s="49">
        <f>AVERAGE('26.07 Nyanama-Ndeeba-24h'!F95,'27.07 Nyanama-Ndeeba-24h'!F95)</f>
        <v>0</v>
      </c>
      <c r="G95" s="49">
        <f>AVERAGE('26.07 Nyanama-Ndeeba-24h'!G95,'27.07 Nyanama-Ndeeba-24h'!G95)</f>
        <v>0</v>
      </c>
      <c r="H95" s="49">
        <f>AVERAGE('26.07 Nyanama-Ndeeba-24h'!H95,'27.07 Nyanama-Ndeeba-24h'!H95)</f>
        <v>0</v>
      </c>
      <c r="I95" s="49">
        <f>AVERAGE('26.07 Nyanama-Ndeeba-24h'!I95,'27.07 Nyanama-Ndeeba-24h'!I95)</f>
        <v>0.5</v>
      </c>
      <c r="J95" s="49">
        <f>AVERAGE('26.07 Nyanama-Ndeeba-24h'!J95,'27.07 Nyanama-Ndeeba-24h'!J95)</f>
        <v>0</v>
      </c>
      <c r="K95" s="49">
        <f>AVERAGE('26.07 Nyanama-Ndeeba-24h'!K95,'27.07 Nyanama-Ndeeba-24h'!K95)</f>
        <v>0.5</v>
      </c>
      <c r="L95" s="49">
        <f>AVERAGE('26.07 Nyanama-Ndeeba-24h'!L95,'27.07 Nyanama-Ndeeba-24h'!L95)</f>
        <v>0</v>
      </c>
      <c r="M95" s="49">
        <f>AVERAGE('26.07 Nyanama-Ndeeba-24h'!M95,'27.07 Nyanama-Ndeeba-24h'!M95)</f>
        <v>7.5</v>
      </c>
      <c r="N95" s="49">
        <f>AVERAGE('26.07 Nyanama-Ndeeba-24h'!N95,'27.07 Nyanama-Ndeeba-24h'!N95)</f>
        <v>0</v>
      </c>
      <c r="O95" s="15">
        <f t="shared" si="33"/>
        <v>5</v>
      </c>
      <c r="P95" s="15">
        <f t="shared" si="34"/>
        <v>12.5</v>
      </c>
      <c r="R95" s="8"/>
      <c r="T95"/>
    </row>
    <row r="96" spans="2:20" ht="23.1" customHeight="1" x14ac:dyDescent="0.25">
      <c r="B96" s="25" t="s">
        <v>136</v>
      </c>
      <c r="C96" s="49">
        <f>AVERAGE('26.07 Nyanama-Ndeeba-24h'!C96,'27.07 Nyanama-Ndeeba-24h'!C96)</f>
        <v>2.5</v>
      </c>
      <c r="D96" s="49">
        <f>AVERAGE('26.07 Nyanama-Ndeeba-24h'!D96,'27.07 Nyanama-Ndeeba-24h'!D96)</f>
        <v>0</v>
      </c>
      <c r="E96" s="49">
        <f>AVERAGE('26.07 Nyanama-Ndeeba-24h'!E96,'27.07 Nyanama-Ndeeba-24h'!E96)</f>
        <v>0</v>
      </c>
      <c r="F96" s="49">
        <f>AVERAGE('26.07 Nyanama-Ndeeba-24h'!F96,'27.07 Nyanama-Ndeeba-24h'!F96)</f>
        <v>0.5</v>
      </c>
      <c r="G96" s="49">
        <f>AVERAGE('26.07 Nyanama-Ndeeba-24h'!G96,'27.07 Nyanama-Ndeeba-24h'!G96)</f>
        <v>0</v>
      </c>
      <c r="H96" s="49">
        <f>AVERAGE('26.07 Nyanama-Ndeeba-24h'!H96,'27.07 Nyanama-Ndeeba-24h'!H96)</f>
        <v>0</v>
      </c>
      <c r="I96" s="49">
        <f>AVERAGE('26.07 Nyanama-Ndeeba-24h'!I96,'27.07 Nyanama-Ndeeba-24h'!I96)</f>
        <v>0.5</v>
      </c>
      <c r="J96" s="49">
        <f>AVERAGE('26.07 Nyanama-Ndeeba-24h'!J96,'27.07 Nyanama-Ndeeba-24h'!J96)</f>
        <v>0</v>
      </c>
      <c r="K96" s="49">
        <f>AVERAGE('26.07 Nyanama-Ndeeba-24h'!K96,'27.07 Nyanama-Ndeeba-24h'!K96)</f>
        <v>0</v>
      </c>
      <c r="L96" s="49">
        <f>AVERAGE('26.07 Nyanama-Ndeeba-24h'!L96,'27.07 Nyanama-Ndeeba-24h'!L96)</f>
        <v>0</v>
      </c>
      <c r="M96" s="49">
        <f>AVERAGE('26.07 Nyanama-Ndeeba-24h'!M96,'27.07 Nyanama-Ndeeba-24h'!M96)</f>
        <v>9</v>
      </c>
      <c r="N96" s="49">
        <f>AVERAGE('26.07 Nyanama-Ndeeba-24h'!N96,'27.07 Nyanama-Ndeeba-24h'!N96)</f>
        <v>0</v>
      </c>
      <c r="O96" s="15">
        <f t="shared" si="33"/>
        <v>3.5</v>
      </c>
      <c r="P96" s="15">
        <f t="shared" si="34"/>
        <v>12.5</v>
      </c>
      <c r="R96" s="8"/>
      <c r="T96"/>
    </row>
    <row r="97" spans="2:20" ht="23.1" customHeight="1" x14ac:dyDescent="0.25">
      <c r="B97" s="23" t="s">
        <v>137</v>
      </c>
      <c r="C97" s="49">
        <f>AVERAGE('26.07 Nyanama-Ndeeba-24h'!C97,'27.07 Nyanama-Ndeeba-24h'!C97)</f>
        <v>2.5</v>
      </c>
      <c r="D97" s="49">
        <f>AVERAGE('26.07 Nyanama-Ndeeba-24h'!D97,'27.07 Nyanama-Ndeeba-24h'!D97)</f>
        <v>0</v>
      </c>
      <c r="E97" s="49">
        <f>AVERAGE('26.07 Nyanama-Ndeeba-24h'!E97,'27.07 Nyanama-Ndeeba-24h'!E97)</f>
        <v>0</v>
      </c>
      <c r="F97" s="49">
        <f>AVERAGE('26.07 Nyanama-Ndeeba-24h'!F97,'27.07 Nyanama-Ndeeba-24h'!F97)</f>
        <v>0</v>
      </c>
      <c r="G97" s="49">
        <f>AVERAGE('26.07 Nyanama-Ndeeba-24h'!G97,'27.07 Nyanama-Ndeeba-24h'!G97)</f>
        <v>0</v>
      </c>
      <c r="H97" s="49">
        <f>AVERAGE('26.07 Nyanama-Ndeeba-24h'!H97,'27.07 Nyanama-Ndeeba-24h'!H97)</f>
        <v>0</v>
      </c>
      <c r="I97" s="49">
        <f>AVERAGE('26.07 Nyanama-Ndeeba-24h'!I97,'27.07 Nyanama-Ndeeba-24h'!I97)</f>
        <v>0</v>
      </c>
      <c r="J97" s="49">
        <f>AVERAGE('26.07 Nyanama-Ndeeba-24h'!J97,'27.07 Nyanama-Ndeeba-24h'!J97)</f>
        <v>0</v>
      </c>
      <c r="K97" s="49">
        <f>AVERAGE('26.07 Nyanama-Ndeeba-24h'!K97,'27.07 Nyanama-Ndeeba-24h'!K97)</f>
        <v>0.5</v>
      </c>
      <c r="L97" s="49">
        <f>AVERAGE('26.07 Nyanama-Ndeeba-24h'!L97,'27.07 Nyanama-Ndeeba-24h'!L97)</f>
        <v>0</v>
      </c>
      <c r="M97" s="49">
        <f>AVERAGE('26.07 Nyanama-Ndeeba-24h'!M97,'27.07 Nyanama-Ndeeba-24h'!M97)</f>
        <v>9</v>
      </c>
      <c r="N97" s="49">
        <f>AVERAGE('26.07 Nyanama-Ndeeba-24h'!N97,'27.07 Nyanama-Ndeeba-24h'!N97)</f>
        <v>0</v>
      </c>
      <c r="O97" s="15">
        <f t="shared" si="33"/>
        <v>3</v>
      </c>
      <c r="P97" s="15">
        <f t="shared" si="34"/>
        <v>12</v>
      </c>
      <c r="R97" s="8"/>
      <c r="T97"/>
    </row>
    <row r="98" spans="2:20" ht="23.1" customHeight="1" x14ac:dyDescent="0.25">
      <c r="B98" s="24" t="s">
        <v>138</v>
      </c>
      <c r="C98" s="49">
        <f>AVERAGE('26.07 Nyanama-Ndeeba-24h'!C98,'27.07 Nyanama-Ndeeba-24h'!C98)</f>
        <v>4.5</v>
      </c>
      <c r="D98" s="49">
        <f>AVERAGE('26.07 Nyanama-Ndeeba-24h'!D98,'27.07 Nyanama-Ndeeba-24h'!D98)</f>
        <v>1.5</v>
      </c>
      <c r="E98" s="49">
        <f>AVERAGE('26.07 Nyanama-Ndeeba-24h'!E98,'27.07 Nyanama-Ndeeba-24h'!E98)</f>
        <v>1.5</v>
      </c>
      <c r="F98" s="49">
        <f>AVERAGE('26.07 Nyanama-Ndeeba-24h'!F98,'27.07 Nyanama-Ndeeba-24h'!F98)</f>
        <v>0.5</v>
      </c>
      <c r="G98" s="49">
        <f>AVERAGE('26.07 Nyanama-Ndeeba-24h'!G98,'27.07 Nyanama-Ndeeba-24h'!G98)</f>
        <v>0</v>
      </c>
      <c r="H98" s="49">
        <f>AVERAGE('26.07 Nyanama-Ndeeba-24h'!H98,'27.07 Nyanama-Ndeeba-24h'!H98)</f>
        <v>0</v>
      </c>
      <c r="I98" s="49">
        <f>AVERAGE('26.07 Nyanama-Ndeeba-24h'!I98,'27.07 Nyanama-Ndeeba-24h'!I98)</f>
        <v>0</v>
      </c>
      <c r="J98" s="49">
        <f>AVERAGE('26.07 Nyanama-Ndeeba-24h'!J98,'27.07 Nyanama-Ndeeba-24h'!J98)</f>
        <v>0</v>
      </c>
      <c r="K98" s="49">
        <f>AVERAGE('26.07 Nyanama-Ndeeba-24h'!K98,'27.07 Nyanama-Ndeeba-24h'!K98)</f>
        <v>0.5</v>
      </c>
      <c r="L98" s="49">
        <f>AVERAGE('26.07 Nyanama-Ndeeba-24h'!L98,'27.07 Nyanama-Ndeeba-24h'!L98)</f>
        <v>0</v>
      </c>
      <c r="M98" s="49">
        <f>AVERAGE('26.07 Nyanama-Ndeeba-24h'!M98,'27.07 Nyanama-Ndeeba-24h'!M98)</f>
        <v>28</v>
      </c>
      <c r="N98" s="49">
        <f>AVERAGE('26.07 Nyanama-Ndeeba-24h'!N98,'27.07 Nyanama-Ndeeba-24h'!N98)</f>
        <v>0</v>
      </c>
      <c r="O98" s="15">
        <f t="shared" si="33"/>
        <v>8.5</v>
      </c>
      <c r="P98" s="15">
        <f t="shared" si="34"/>
        <v>36.5</v>
      </c>
      <c r="R98" s="8"/>
      <c r="T98"/>
    </row>
    <row r="99" spans="2:20" ht="23.1" customHeight="1" x14ac:dyDescent="0.25">
      <c r="B99" s="23" t="s">
        <v>139</v>
      </c>
      <c r="C99" s="49">
        <f>AVERAGE('26.07 Nyanama-Ndeeba-24h'!C99,'27.07 Nyanama-Ndeeba-24h'!C99)</f>
        <v>1.5</v>
      </c>
      <c r="D99" s="49">
        <f>AVERAGE('26.07 Nyanama-Ndeeba-24h'!D99,'27.07 Nyanama-Ndeeba-24h'!D99)</f>
        <v>0.5</v>
      </c>
      <c r="E99" s="49">
        <f>AVERAGE('26.07 Nyanama-Ndeeba-24h'!E99,'27.07 Nyanama-Ndeeba-24h'!E99)</f>
        <v>0</v>
      </c>
      <c r="F99" s="49">
        <f>AVERAGE('26.07 Nyanama-Ndeeba-24h'!F99,'27.07 Nyanama-Ndeeba-24h'!F99)</f>
        <v>4</v>
      </c>
      <c r="G99" s="49">
        <f>AVERAGE('26.07 Nyanama-Ndeeba-24h'!G99,'27.07 Nyanama-Ndeeba-24h'!G99)</f>
        <v>0</v>
      </c>
      <c r="H99" s="49">
        <f>AVERAGE('26.07 Nyanama-Ndeeba-24h'!H99,'27.07 Nyanama-Ndeeba-24h'!H99)</f>
        <v>0</v>
      </c>
      <c r="I99" s="49">
        <f>AVERAGE('26.07 Nyanama-Ndeeba-24h'!I99,'27.07 Nyanama-Ndeeba-24h'!I99)</f>
        <v>1</v>
      </c>
      <c r="J99" s="49">
        <f>AVERAGE('26.07 Nyanama-Ndeeba-24h'!J99,'27.07 Nyanama-Ndeeba-24h'!J99)</f>
        <v>0</v>
      </c>
      <c r="K99" s="49">
        <f>AVERAGE('26.07 Nyanama-Ndeeba-24h'!K99,'27.07 Nyanama-Ndeeba-24h'!K99)</f>
        <v>0.5</v>
      </c>
      <c r="L99" s="49">
        <f>AVERAGE('26.07 Nyanama-Ndeeba-24h'!L99,'27.07 Nyanama-Ndeeba-24h'!L99)</f>
        <v>0</v>
      </c>
      <c r="M99" s="49">
        <f>AVERAGE('26.07 Nyanama-Ndeeba-24h'!M99,'27.07 Nyanama-Ndeeba-24h'!M99)</f>
        <v>21.5</v>
      </c>
      <c r="N99" s="49">
        <f>AVERAGE('26.07 Nyanama-Ndeeba-24h'!N99,'27.07 Nyanama-Ndeeba-24h'!N99)</f>
        <v>0</v>
      </c>
      <c r="O99" s="15">
        <f t="shared" si="33"/>
        <v>7.5</v>
      </c>
      <c r="P99" s="15">
        <f t="shared" si="34"/>
        <v>29</v>
      </c>
      <c r="R99" s="8"/>
      <c r="T99"/>
    </row>
    <row r="100" spans="2:20" ht="23.1" customHeight="1" x14ac:dyDescent="0.25">
      <c r="B100" s="25" t="s">
        <v>140</v>
      </c>
      <c r="C100" s="49">
        <f>AVERAGE('26.07 Nyanama-Ndeeba-24h'!C100,'27.07 Nyanama-Ndeeba-24h'!C100)</f>
        <v>4</v>
      </c>
      <c r="D100" s="49">
        <f>AVERAGE('26.07 Nyanama-Ndeeba-24h'!D100,'27.07 Nyanama-Ndeeba-24h'!D100)</f>
        <v>0.5</v>
      </c>
      <c r="E100" s="49">
        <f>AVERAGE('26.07 Nyanama-Ndeeba-24h'!E100,'27.07 Nyanama-Ndeeba-24h'!E100)</f>
        <v>1</v>
      </c>
      <c r="F100" s="49">
        <f>AVERAGE('26.07 Nyanama-Ndeeba-24h'!F100,'27.07 Nyanama-Ndeeba-24h'!F100)</f>
        <v>7.5</v>
      </c>
      <c r="G100" s="49">
        <f>AVERAGE('26.07 Nyanama-Ndeeba-24h'!G100,'27.07 Nyanama-Ndeeba-24h'!G100)</f>
        <v>0.5</v>
      </c>
      <c r="H100" s="49">
        <f>AVERAGE('26.07 Nyanama-Ndeeba-24h'!H100,'27.07 Nyanama-Ndeeba-24h'!H100)</f>
        <v>0</v>
      </c>
      <c r="I100" s="49">
        <f>AVERAGE('26.07 Nyanama-Ndeeba-24h'!I100,'27.07 Nyanama-Ndeeba-24h'!I100)</f>
        <v>0.5</v>
      </c>
      <c r="J100" s="49">
        <f>AVERAGE('26.07 Nyanama-Ndeeba-24h'!J100,'27.07 Nyanama-Ndeeba-24h'!J100)</f>
        <v>0</v>
      </c>
      <c r="K100" s="49">
        <f>AVERAGE('26.07 Nyanama-Ndeeba-24h'!K100,'27.07 Nyanama-Ndeeba-24h'!K100)</f>
        <v>0</v>
      </c>
      <c r="L100" s="49">
        <f>AVERAGE('26.07 Nyanama-Ndeeba-24h'!L100,'27.07 Nyanama-Ndeeba-24h'!L100)</f>
        <v>0</v>
      </c>
      <c r="M100" s="49">
        <f>AVERAGE('26.07 Nyanama-Ndeeba-24h'!M100,'27.07 Nyanama-Ndeeba-24h'!M100)</f>
        <v>37</v>
      </c>
      <c r="N100" s="49">
        <f>AVERAGE('26.07 Nyanama-Ndeeba-24h'!N100,'27.07 Nyanama-Ndeeba-24h'!N100)</f>
        <v>0</v>
      </c>
      <c r="O100" s="15">
        <f t="shared" si="33"/>
        <v>14</v>
      </c>
      <c r="P100" s="15">
        <f t="shared" si="34"/>
        <v>51</v>
      </c>
      <c r="R100" s="8"/>
      <c r="T100"/>
    </row>
    <row r="101" spans="2:20" ht="23.1" customHeight="1" x14ac:dyDescent="0.25">
      <c r="B101" s="23" t="s">
        <v>141</v>
      </c>
      <c r="C101" s="49">
        <f>AVERAGE('26.07 Nyanama-Ndeeba-24h'!C101,'27.07 Nyanama-Ndeeba-24h'!C101)</f>
        <v>6.5</v>
      </c>
      <c r="D101" s="49">
        <f>AVERAGE('26.07 Nyanama-Ndeeba-24h'!D101,'27.07 Nyanama-Ndeeba-24h'!D101)</f>
        <v>3</v>
      </c>
      <c r="E101" s="49">
        <f>AVERAGE('26.07 Nyanama-Ndeeba-24h'!E101,'27.07 Nyanama-Ndeeba-24h'!E101)</f>
        <v>0</v>
      </c>
      <c r="F101" s="49">
        <f>AVERAGE('26.07 Nyanama-Ndeeba-24h'!F101,'27.07 Nyanama-Ndeeba-24h'!F101)</f>
        <v>2.5</v>
      </c>
      <c r="G101" s="49">
        <f>AVERAGE('26.07 Nyanama-Ndeeba-24h'!G101,'27.07 Nyanama-Ndeeba-24h'!G101)</f>
        <v>0</v>
      </c>
      <c r="H101" s="49">
        <f>AVERAGE('26.07 Nyanama-Ndeeba-24h'!H101,'27.07 Nyanama-Ndeeba-24h'!H101)</f>
        <v>0</v>
      </c>
      <c r="I101" s="49">
        <f>AVERAGE('26.07 Nyanama-Ndeeba-24h'!I101,'27.07 Nyanama-Ndeeba-24h'!I101)</f>
        <v>1.5</v>
      </c>
      <c r="J101" s="49">
        <f>AVERAGE('26.07 Nyanama-Ndeeba-24h'!J101,'27.07 Nyanama-Ndeeba-24h'!J101)</f>
        <v>0.5</v>
      </c>
      <c r="K101" s="49">
        <f>AVERAGE('26.07 Nyanama-Ndeeba-24h'!K101,'27.07 Nyanama-Ndeeba-24h'!K101)</f>
        <v>0</v>
      </c>
      <c r="L101" s="49">
        <f>AVERAGE('26.07 Nyanama-Ndeeba-24h'!L101,'27.07 Nyanama-Ndeeba-24h'!L101)</f>
        <v>0</v>
      </c>
      <c r="M101" s="49">
        <f>AVERAGE('26.07 Nyanama-Ndeeba-24h'!M101,'27.07 Nyanama-Ndeeba-24h'!M101)</f>
        <v>29</v>
      </c>
      <c r="N101" s="49">
        <f>AVERAGE('26.07 Nyanama-Ndeeba-24h'!N101,'27.07 Nyanama-Ndeeba-24h'!N101)</f>
        <v>0</v>
      </c>
      <c r="O101" s="15">
        <f t="shared" si="33"/>
        <v>14</v>
      </c>
      <c r="P101" s="15">
        <f t="shared" si="34"/>
        <v>43</v>
      </c>
      <c r="R101" s="8"/>
      <c r="T101"/>
    </row>
    <row r="102" spans="2:20" ht="23.1" customHeight="1" x14ac:dyDescent="0.25">
      <c r="B102" s="24" t="s">
        <v>142</v>
      </c>
      <c r="C102" s="49">
        <f>AVERAGE('26.07 Nyanama-Ndeeba-24h'!C102,'27.07 Nyanama-Ndeeba-24h'!C102)</f>
        <v>12</v>
      </c>
      <c r="D102" s="49">
        <f>AVERAGE('26.07 Nyanama-Ndeeba-24h'!D102,'27.07 Nyanama-Ndeeba-24h'!D102)</f>
        <v>2.5</v>
      </c>
      <c r="E102" s="49">
        <f>AVERAGE('26.07 Nyanama-Ndeeba-24h'!E102,'27.07 Nyanama-Ndeeba-24h'!E102)</f>
        <v>0</v>
      </c>
      <c r="F102" s="49">
        <f>AVERAGE('26.07 Nyanama-Ndeeba-24h'!F102,'27.07 Nyanama-Ndeeba-24h'!F102)</f>
        <v>15.5</v>
      </c>
      <c r="G102" s="49">
        <f>AVERAGE('26.07 Nyanama-Ndeeba-24h'!G102,'27.07 Nyanama-Ndeeba-24h'!G102)</f>
        <v>0</v>
      </c>
      <c r="H102" s="49">
        <f>AVERAGE('26.07 Nyanama-Ndeeba-24h'!H102,'27.07 Nyanama-Ndeeba-24h'!H102)</f>
        <v>0</v>
      </c>
      <c r="I102" s="49">
        <f>AVERAGE('26.07 Nyanama-Ndeeba-24h'!I102,'27.07 Nyanama-Ndeeba-24h'!I102)</f>
        <v>3.5</v>
      </c>
      <c r="J102" s="49">
        <f>AVERAGE('26.07 Nyanama-Ndeeba-24h'!J102,'27.07 Nyanama-Ndeeba-24h'!J102)</f>
        <v>0</v>
      </c>
      <c r="K102" s="49">
        <f>AVERAGE('26.07 Nyanama-Ndeeba-24h'!K102,'27.07 Nyanama-Ndeeba-24h'!K102)</f>
        <v>0</v>
      </c>
      <c r="L102" s="49">
        <f>AVERAGE('26.07 Nyanama-Ndeeba-24h'!L102,'27.07 Nyanama-Ndeeba-24h'!L102)</f>
        <v>0.5</v>
      </c>
      <c r="M102" s="49">
        <f>AVERAGE('26.07 Nyanama-Ndeeba-24h'!M102,'27.07 Nyanama-Ndeeba-24h'!M102)</f>
        <v>27</v>
      </c>
      <c r="N102" s="49">
        <f>AVERAGE('26.07 Nyanama-Ndeeba-24h'!N102,'27.07 Nyanama-Ndeeba-24h'!N102)</f>
        <v>0</v>
      </c>
      <c r="O102" s="15">
        <f t="shared" si="33"/>
        <v>34</v>
      </c>
      <c r="P102" s="15">
        <f t="shared" si="34"/>
        <v>61</v>
      </c>
      <c r="R102" s="8"/>
      <c r="T102"/>
    </row>
    <row r="103" spans="2:20" ht="23.1" customHeight="1" x14ac:dyDescent="0.25">
      <c r="B103" s="23" t="s">
        <v>143</v>
      </c>
      <c r="C103" s="49">
        <f>AVERAGE('26.07 Nyanama-Ndeeba-24h'!C103,'27.07 Nyanama-Ndeeba-24h'!C103)</f>
        <v>5.5</v>
      </c>
      <c r="D103" s="49">
        <f>AVERAGE('26.07 Nyanama-Ndeeba-24h'!D103,'27.07 Nyanama-Ndeeba-24h'!D103)</f>
        <v>1</v>
      </c>
      <c r="E103" s="49">
        <f>AVERAGE('26.07 Nyanama-Ndeeba-24h'!E103,'27.07 Nyanama-Ndeeba-24h'!E103)</f>
        <v>0.5</v>
      </c>
      <c r="F103" s="49">
        <f>AVERAGE('26.07 Nyanama-Ndeeba-24h'!F103,'27.07 Nyanama-Ndeeba-24h'!F103)</f>
        <v>6</v>
      </c>
      <c r="G103" s="49">
        <f>AVERAGE('26.07 Nyanama-Ndeeba-24h'!G103,'27.07 Nyanama-Ndeeba-24h'!G103)</f>
        <v>0</v>
      </c>
      <c r="H103" s="49">
        <f>AVERAGE('26.07 Nyanama-Ndeeba-24h'!H103,'27.07 Nyanama-Ndeeba-24h'!H103)</f>
        <v>0</v>
      </c>
      <c r="I103" s="49">
        <f>AVERAGE('26.07 Nyanama-Ndeeba-24h'!I103,'27.07 Nyanama-Ndeeba-24h'!I103)</f>
        <v>1</v>
      </c>
      <c r="J103" s="49">
        <f>AVERAGE('26.07 Nyanama-Ndeeba-24h'!J103,'27.07 Nyanama-Ndeeba-24h'!J103)</f>
        <v>1</v>
      </c>
      <c r="K103" s="49">
        <f>AVERAGE('26.07 Nyanama-Ndeeba-24h'!K103,'27.07 Nyanama-Ndeeba-24h'!K103)</f>
        <v>2.5</v>
      </c>
      <c r="L103" s="49">
        <f>AVERAGE('26.07 Nyanama-Ndeeba-24h'!L103,'27.07 Nyanama-Ndeeba-24h'!L103)</f>
        <v>0</v>
      </c>
      <c r="M103" s="49">
        <f>AVERAGE('26.07 Nyanama-Ndeeba-24h'!M103,'27.07 Nyanama-Ndeeba-24h'!M103)</f>
        <v>21.5</v>
      </c>
      <c r="N103" s="49">
        <f>AVERAGE('26.07 Nyanama-Ndeeba-24h'!N103,'27.07 Nyanama-Ndeeba-24h'!N103)</f>
        <v>0</v>
      </c>
      <c r="O103" s="15">
        <f t="shared" si="33"/>
        <v>17.5</v>
      </c>
      <c r="P103" s="15">
        <f t="shared" si="34"/>
        <v>39</v>
      </c>
      <c r="R103" s="8"/>
      <c r="T103"/>
    </row>
    <row r="104" spans="2:20" ht="23.1" customHeight="1" x14ac:dyDescent="0.25">
      <c r="B104" s="25" t="s">
        <v>144</v>
      </c>
      <c r="C104" s="49">
        <f>AVERAGE('26.07 Nyanama-Ndeeba-24h'!C104,'27.07 Nyanama-Ndeeba-24h'!C104)</f>
        <v>11</v>
      </c>
      <c r="D104" s="49">
        <f>AVERAGE('26.07 Nyanama-Ndeeba-24h'!D104,'27.07 Nyanama-Ndeeba-24h'!D104)</f>
        <v>2</v>
      </c>
      <c r="E104" s="49">
        <f>AVERAGE('26.07 Nyanama-Ndeeba-24h'!E104,'27.07 Nyanama-Ndeeba-24h'!E104)</f>
        <v>2.5</v>
      </c>
      <c r="F104" s="49">
        <f>AVERAGE('26.07 Nyanama-Ndeeba-24h'!F104,'27.07 Nyanama-Ndeeba-24h'!F104)</f>
        <v>6</v>
      </c>
      <c r="G104" s="49">
        <f>AVERAGE('26.07 Nyanama-Ndeeba-24h'!G104,'27.07 Nyanama-Ndeeba-24h'!G104)</f>
        <v>0</v>
      </c>
      <c r="H104" s="49">
        <f>AVERAGE('26.07 Nyanama-Ndeeba-24h'!H104,'27.07 Nyanama-Ndeeba-24h'!H104)</f>
        <v>0</v>
      </c>
      <c r="I104" s="49">
        <f>AVERAGE('26.07 Nyanama-Ndeeba-24h'!I104,'27.07 Nyanama-Ndeeba-24h'!I104)</f>
        <v>2.5</v>
      </c>
      <c r="J104" s="49">
        <f>AVERAGE('26.07 Nyanama-Ndeeba-24h'!J104,'27.07 Nyanama-Ndeeba-24h'!J104)</f>
        <v>0</v>
      </c>
      <c r="K104" s="49">
        <f>AVERAGE('26.07 Nyanama-Ndeeba-24h'!K104,'27.07 Nyanama-Ndeeba-24h'!K104)</f>
        <v>0</v>
      </c>
      <c r="L104" s="49">
        <f>AVERAGE('26.07 Nyanama-Ndeeba-24h'!L104,'27.07 Nyanama-Ndeeba-24h'!L104)</f>
        <v>0.5</v>
      </c>
      <c r="M104" s="49">
        <f>AVERAGE('26.07 Nyanama-Ndeeba-24h'!M104,'27.07 Nyanama-Ndeeba-24h'!M104)</f>
        <v>47.5</v>
      </c>
      <c r="N104" s="49">
        <f>AVERAGE('26.07 Nyanama-Ndeeba-24h'!N104,'27.07 Nyanama-Ndeeba-24h'!N104)</f>
        <v>0</v>
      </c>
      <c r="O104" s="15">
        <f t="shared" si="33"/>
        <v>24.5</v>
      </c>
      <c r="P104" s="15">
        <f t="shared" si="34"/>
        <v>72</v>
      </c>
      <c r="R104" s="8"/>
      <c r="T104"/>
    </row>
    <row r="105" spans="2:20" ht="23.1" customHeight="1" x14ac:dyDescent="0.25">
      <c r="B105" s="23" t="s">
        <v>145</v>
      </c>
      <c r="C105" s="49">
        <f>AVERAGE('26.07 Nyanama-Ndeeba-24h'!C105,'27.07 Nyanama-Ndeeba-24h'!C105)</f>
        <v>7.5</v>
      </c>
      <c r="D105" s="49">
        <f>AVERAGE('26.07 Nyanama-Ndeeba-24h'!D105,'27.07 Nyanama-Ndeeba-24h'!D105)</f>
        <v>13.5</v>
      </c>
      <c r="E105" s="49">
        <f>AVERAGE('26.07 Nyanama-Ndeeba-24h'!E105,'27.07 Nyanama-Ndeeba-24h'!E105)</f>
        <v>0</v>
      </c>
      <c r="F105" s="49">
        <f>AVERAGE('26.07 Nyanama-Ndeeba-24h'!F105,'27.07 Nyanama-Ndeeba-24h'!F105)</f>
        <v>5</v>
      </c>
      <c r="G105" s="49">
        <f>AVERAGE('26.07 Nyanama-Ndeeba-24h'!G105,'27.07 Nyanama-Ndeeba-24h'!G105)</f>
        <v>0</v>
      </c>
      <c r="H105" s="49">
        <f>AVERAGE('26.07 Nyanama-Ndeeba-24h'!H105,'27.07 Nyanama-Ndeeba-24h'!H105)</f>
        <v>0</v>
      </c>
      <c r="I105" s="49">
        <f>AVERAGE('26.07 Nyanama-Ndeeba-24h'!I105,'27.07 Nyanama-Ndeeba-24h'!I105)</f>
        <v>1</v>
      </c>
      <c r="J105" s="49">
        <f>AVERAGE('26.07 Nyanama-Ndeeba-24h'!J105,'27.07 Nyanama-Ndeeba-24h'!J105)</f>
        <v>0</v>
      </c>
      <c r="K105" s="49">
        <f>AVERAGE('26.07 Nyanama-Ndeeba-24h'!K105,'27.07 Nyanama-Ndeeba-24h'!K105)</f>
        <v>0.5</v>
      </c>
      <c r="L105" s="49">
        <f>AVERAGE('26.07 Nyanama-Ndeeba-24h'!L105,'27.07 Nyanama-Ndeeba-24h'!L105)</f>
        <v>0</v>
      </c>
      <c r="M105" s="49">
        <f>AVERAGE('26.07 Nyanama-Ndeeba-24h'!M105,'27.07 Nyanama-Ndeeba-24h'!M105)</f>
        <v>37.5</v>
      </c>
      <c r="N105" s="49">
        <f>AVERAGE('26.07 Nyanama-Ndeeba-24h'!N105,'27.07 Nyanama-Ndeeba-24h'!N105)</f>
        <v>0</v>
      </c>
      <c r="O105" s="15">
        <f t="shared" si="33"/>
        <v>27.5</v>
      </c>
      <c r="P105" s="15">
        <f t="shared" si="34"/>
        <v>65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2524.8571428571427</v>
      </c>
      <c r="D106" s="16">
        <f t="shared" ref="D106:P106" si="35">SUM(D10:D105)</f>
        <v>558.35714285714278</v>
      </c>
      <c r="E106" s="16">
        <f t="shared" si="35"/>
        <v>378.78571428571428</v>
      </c>
      <c r="F106" s="16">
        <f t="shared" si="35"/>
        <v>777.07142857142867</v>
      </c>
      <c r="G106" s="16">
        <f t="shared" si="35"/>
        <v>26.214285714285719</v>
      </c>
      <c r="H106" s="16">
        <f t="shared" si="35"/>
        <v>19.571428571428569</v>
      </c>
      <c r="I106" s="16">
        <f t="shared" si="35"/>
        <v>214.28571428571428</v>
      </c>
      <c r="J106" s="16">
        <f t="shared" si="35"/>
        <v>87.857142857142847</v>
      </c>
      <c r="K106" s="16">
        <f t="shared" si="35"/>
        <v>42.5</v>
      </c>
      <c r="L106" s="16">
        <f t="shared" si="35"/>
        <v>10.285714285714285</v>
      </c>
      <c r="M106" s="16">
        <f t="shared" si="35"/>
        <v>5974</v>
      </c>
      <c r="N106" s="16">
        <f t="shared" si="35"/>
        <v>0.71428571428571419</v>
      </c>
      <c r="O106" s="16">
        <f t="shared" si="35"/>
        <v>4640.4999999999991</v>
      </c>
      <c r="P106" s="16">
        <f t="shared" si="35"/>
        <v>10614.5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6">C106/$P$106</f>
        <v>0.23786868367395003</v>
      </c>
      <c r="D107" s="43">
        <f t="shared" si="36"/>
        <v>5.26032448873845E-2</v>
      </c>
      <c r="E107" s="43">
        <f t="shared" si="36"/>
        <v>3.5685686022489449E-2</v>
      </c>
      <c r="F107" s="43">
        <f t="shared" si="36"/>
        <v>7.3208481659185892E-2</v>
      </c>
      <c r="G107" s="43">
        <f t="shared" si="36"/>
        <v>2.4696675033478465E-3</v>
      </c>
      <c r="H107" s="43">
        <f t="shared" si="36"/>
        <v>1.8438389534531602E-3</v>
      </c>
      <c r="I107" s="43">
        <f t="shared" si="36"/>
        <v>2.018801773853825E-2</v>
      </c>
      <c r="J107" s="43">
        <f t="shared" si="36"/>
        <v>8.277087272800682E-3</v>
      </c>
      <c r="K107" s="43">
        <f t="shared" si="36"/>
        <v>4.0039568514767532E-3</v>
      </c>
      <c r="L107" s="43">
        <f t="shared" si="36"/>
        <v>9.6902485144983606E-4</v>
      </c>
      <c r="M107" s="43">
        <f t="shared" si="36"/>
        <v>0.56281501719346172</v>
      </c>
      <c r="N107" s="43">
        <f t="shared" si="36"/>
        <v>6.7293392461794164E-5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0.5440916157433775</v>
      </c>
      <c r="D108" s="44">
        <f t="shared" ref="D108:N108" si="37">D106/$O$106</f>
        <v>0.12032262533286131</v>
      </c>
      <c r="E108" s="44">
        <f t="shared" si="37"/>
        <v>8.1626056305508968E-2</v>
      </c>
      <c r="F108" s="44">
        <f t="shared" si="37"/>
        <v>0.16745424600181635</v>
      </c>
      <c r="G108" s="44">
        <f t="shared" si="37"/>
        <v>5.6490218110733159E-3</v>
      </c>
      <c r="H108" s="44">
        <f t="shared" si="37"/>
        <v>4.2175258208013303E-3</v>
      </c>
      <c r="I108" s="44">
        <f t="shared" si="37"/>
        <v>4.6177290008773693E-2</v>
      </c>
      <c r="J108" s="44">
        <f t="shared" si="37"/>
        <v>1.8932688903597214E-2</v>
      </c>
      <c r="K108" s="44">
        <f t="shared" si="37"/>
        <v>9.1584958517401168E-3</v>
      </c>
      <c r="L108" s="44">
        <f t="shared" si="37"/>
        <v>2.2165099204211371E-3</v>
      </c>
      <c r="M108" s="44"/>
      <c r="N108" s="44">
        <f t="shared" si="37"/>
        <v>1.5392430002924561E-4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52"/>
  <sheetViews>
    <sheetView tabSelected="1" view="pageBreakPreview" topLeftCell="H58" zoomScale="60" workbookViewId="0">
      <selection activeCell="AC59" sqref="AC5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customWidth="1"/>
    <col min="19" max="20" width="10.7109375" style="19" customWidth="1"/>
    <col min="21" max="28" width="10.7109375" customWidth="1"/>
    <col min="29" max="29" width="12.42578125" customWidth="1"/>
    <col min="30" max="31" width="10.7109375" customWidth="1"/>
    <col min="32" max="32" width="12.4257812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'28.07 Nyanama-Ndeeba'!C3:G3</f>
        <v>MCC - C1 - STN04 - WERAGA ROAD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0" t="s">
        <v>168</v>
      </c>
      <c r="E5" s="71"/>
      <c r="F5" s="41" t="s">
        <v>1</v>
      </c>
      <c r="G5" s="68" t="str">
        <f>'28.07 Nyanama-Ndeeba'!G5:H5</f>
        <v>Golden Mille Hotel</v>
      </c>
      <c r="H5" s="69"/>
      <c r="I5" s="14"/>
      <c r="J5" s="2" t="s">
        <v>5</v>
      </c>
      <c r="K5" s="68" t="str">
        <f>'28.07 Nyanama-Ndeeba'!K5:L5</f>
        <v>Walter</v>
      </c>
      <c r="L5" s="69"/>
      <c r="M5" s="19"/>
      <c r="N5" s="19"/>
    </row>
    <row r="6" spans="2:32" ht="23.25" customHeight="1" x14ac:dyDescent="0.25">
      <c r="C6" s="2" t="s">
        <v>4</v>
      </c>
      <c r="D6" s="68" t="str">
        <f>'28.07 Nyanama-Ndeeba'!D6:E6</f>
        <v>Nyanama</v>
      </c>
      <c r="E6" s="69"/>
      <c r="F6" s="2" t="s">
        <v>2</v>
      </c>
      <c r="G6" s="68" t="str">
        <f>'28.07 Nyanama-Ndeeba'!G6:H6</f>
        <v>Ndeeba</v>
      </c>
      <c r="H6" s="69"/>
      <c r="J6" s="2" t="s">
        <v>21</v>
      </c>
      <c r="K6" s="68" t="str">
        <f>'28.07 Nyanama-Ndeeba'!K6:L6</f>
        <v>Denis</v>
      </c>
      <c r="L6" s="69"/>
      <c r="M6" s="19"/>
      <c r="N6" s="19"/>
    </row>
    <row r="7" spans="2:32" ht="20.100000000000001" customHeight="1" x14ac:dyDescent="0.25">
      <c r="B7" s="2"/>
      <c r="I7" s="2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72" t="s">
        <v>88</v>
      </c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Ndeeba-Nyanama'!C10+'Avg Week Nyanama-Ndeeba'!C10</f>
        <v>83.571428571428569</v>
      </c>
      <c r="D10" s="49">
        <f>'Avg Week Ndeeba-Nyanama'!D10+'Avg Week Nyanama-Ndeeba'!D10</f>
        <v>5.4285714285714288</v>
      </c>
      <c r="E10" s="49">
        <f>'Avg Week Ndeeba-Nyanama'!E10+'Avg Week Nyanama-Ndeeba'!E10</f>
        <v>8.5714285714285712</v>
      </c>
      <c r="F10" s="49">
        <f>'Avg Week Ndeeba-Nyanama'!F10+'Avg Week Nyanama-Ndeeba'!F10</f>
        <v>48</v>
      </c>
      <c r="G10" s="49">
        <f>'Avg Week Ndeeba-Nyanama'!G10+'Avg Week Nyanama-Ndeeba'!G10</f>
        <v>0.42857142857142855</v>
      </c>
      <c r="H10" s="49">
        <f>'Avg Week Ndeeba-Nyanama'!H10+'Avg Week Nyanama-Ndeeba'!H10</f>
        <v>0</v>
      </c>
      <c r="I10" s="49">
        <f>'Avg Week Ndeeba-Nyanama'!I10+'Avg Week Nyanama-Ndeeba'!I10</f>
        <v>3</v>
      </c>
      <c r="J10" s="49">
        <f>'Avg Week Ndeeba-Nyanama'!J10+'Avg Week Nyanama-Ndeeba'!J10</f>
        <v>0.2857142857142857</v>
      </c>
      <c r="K10" s="49">
        <f>'Avg Week Ndeeba-Nyanama'!K10+'Avg Week Nyanama-Ndeeba'!K10</f>
        <v>0.5714285714285714</v>
      </c>
      <c r="L10" s="49">
        <f>'Avg Week Ndeeba-Nyanama'!L10+'Avg Week Nyanama-Ndeeba'!L10</f>
        <v>0</v>
      </c>
      <c r="M10" s="49">
        <f>'Avg Week Ndeeba-Nyanama'!M10+'Avg Week Nyanama-Ndeeba'!M10</f>
        <v>145.57142857142856</v>
      </c>
      <c r="N10" s="49">
        <f>'Avg Week Ndeeba-Nyanama'!N10+'Avg Week Nyanama-Ndeeba'!N10</f>
        <v>0</v>
      </c>
      <c r="O10" s="17">
        <f t="shared" ref="O10:O73" si="0">SUM(C10:L10,N10)</f>
        <v>149.85714285714283</v>
      </c>
      <c r="P10" s="17">
        <f t="shared" ref="P10:P73" si="1">SUM(C10:N10)</f>
        <v>295.42857142857139</v>
      </c>
      <c r="R10" s="1" t="s">
        <v>6</v>
      </c>
      <c r="S10" s="17">
        <f t="shared" ref="S10:AF10" si="2">SUM(C10:C13)</f>
        <v>375.85714285714289</v>
      </c>
      <c r="T10" s="17">
        <f t="shared" si="2"/>
        <v>28.857142857142858</v>
      </c>
      <c r="U10" s="17">
        <f t="shared" si="2"/>
        <v>37.142857142857139</v>
      </c>
      <c r="V10" s="17">
        <f t="shared" si="2"/>
        <v>189</v>
      </c>
      <c r="W10" s="17">
        <f t="shared" si="2"/>
        <v>2.2857142857142856</v>
      </c>
      <c r="X10" s="17">
        <f t="shared" si="2"/>
        <v>0.14285714285714285</v>
      </c>
      <c r="Y10" s="17">
        <f t="shared" si="2"/>
        <v>15.714285714285715</v>
      </c>
      <c r="Z10" s="17">
        <f t="shared" si="2"/>
        <v>2.8571428571428568</v>
      </c>
      <c r="AA10" s="17">
        <f t="shared" si="2"/>
        <v>5.4285714285714288</v>
      </c>
      <c r="AB10" s="17">
        <f t="shared" si="2"/>
        <v>0.2857142857142857</v>
      </c>
      <c r="AC10" s="17">
        <f t="shared" si="2"/>
        <v>765.14285714285711</v>
      </c>
      <c r="AD10" s="17">
        <f t="shared" si="2"/>
        <v>0</v>
      </c>
      <c r="AE10" s="31">
        <f t="shared" si="2"/>
        <v>657.57142857142856</v>
      </c>
      <c r="AF10" s="31">
        <f t="shared" si="2"/>
        <v>1422.7142857142858</v>
      </c>
    </row>
    <row r="11" spans="2:32" s="6" customFormat="1" ht="23.1" customHeight="1" x14ac:dyDescent="0.25">
      <c r="B11" s="23" t="s">
        <v>38</v>
      </c>
      <c r="C11" s="49">
        <f>'Avg Week Ndeeba-Nyanama'!C11+'Avg Week Nyanama-Ndeeba'!C11</f>
        <v>101.14285714285714</v>
      </c>
      <c r="D11" s="49">
        <f>'Avg Week Ndeeba-Nyanama'!D11+'Avg Week Nyanama-Ndeeba'!D11</f>
        <v>6.8571428571428577</v>
      </c>
      <c r="E11" s="49">
        <f>'Avg Week Ndeeba-Nyanama'!E11+'Avg Week Nyanama-Ndeeba'!E11</f>
        <v>9.5714285714285712</v>
      </c>
      <c r="F11" s="49">
        <f>'Avg Week Ndeeba-Nyanama'!F11+'Avg Week Nyanama-Ndeeba'!F11</f>
        <v>48.428571428571431</v>
      </c>
      <c r="G11" s="49">
        <f>'Avg Week Ndeeba-Nyanama'!G11+'Avg Week Nyanama-Ndeeba'!G11</f>
        <v>0.42857142857142855</v>
      </c>
      <c r="H11" s="49">
        <f>'Avg Week Ndeeba-Nyanama'!H11+'Avg Week Nyanama-Ndeeba'!H11</f>
        <v>0.14285714285714285</v>
      </c>
      <c r="I11" s="49">
        <f>'Avg Week Ndeeba-Nyanama'!I11+'Avg Week Nyanama-Ndeeba'!I11</f>
        <v>2.4285714285714288</v>
      </c>
      <c r="J11" s="49">
        <f>'Avg Week Ndeeba-Nyanama'!J11+'Avg Week Nyanama-Ndeeba'!J11</f>
        <v>0.7142857142857143</v>
      </c>
      <c r="K11" s="49">
        <f>'Avg Week Ndeeba-Nyanama'!K11+'Avg Week Nyanama-Ndeeba'!K11</f>
        <v>1.5714285714285716</v>
      </c>
      <c r="L11" s="49">
        <f>'Avg Week Ndeeba-Nyanama'!L11+'Avg Week Nyanama-Ndeeba'!L11</f>
        <v>0.14285714285714285</v>
      </c>
      <c r="M11" s="49">
        <f>'Avg Week Ndeeba-Nyanama'!M11+'Avg Week Nyanama-Ndeeba'!M11</f>
        <v>190.42857142857144</v>
      </c>
      <c r="N11" s="49">
        <f>'Avg Week Ndeeba-Nyanama'!N11+'Avg Week Nyanama-Ndeeba'!N11</f>
        <v>0</v>
      </c>
      <c r="O11" s="17">
        <f t="shared" si="0"/>
        <v>171.42857142857142</v>
      </c>
      <c r="P11" s="17">
        <f t="shared" si="1"/>
        <v>361.85714285714289</v>
      </c>
      <c r="R11" s="1" t="s">
        <v>7</v>
      </c>
      <c r="S11" s="17">
        <f>SUM(C14:C17)</f>
        <v>356.57142857142856</v>
      </c>
      <c r="T11" s="17">
        <f t="shared" ref="T11:AF11" si="3">SUM(D14:D17)</f>
        <v>32.285714285714285</v>
      </c>
      <c r="U11" s="17">
        <f t="shared" si="3"/>
        <v>26.857142857142854</v>
      </c>
      <c r="V11" s="17">
        <f t="shared" si="3"/>
        <v>140.57142857142856</v>
      </c>
      <c r="W11" s="17">
        <f t="shared" si="3"/>
        <v>2.8571428571428568</v>
      </c>
      <c r="X11" s="17">
        <f t="shared" si="3"/>
        <v>0.14285714285714285</v>
      </c>
      <c r="Y11" s="17">
        <f t="shared" si="3"/>
        <v>15.714285714285714</v>
      </c>
      <c r="Z11" s="17">
        <f t="shared" si="3"/>
        <v>4.8571428571428568</v>
      </c>
      <c r="AA11" s="17">
        <f t="shared" si="3"/>
        <v>1.7142857142857142</v>
      </c>
      <c r="AB11" s="17">
        <f t="shared" si="3"/>
        <v>1.5714285714285712</v>
      </c>
      <c r="AC11" s="17">
        <f t="shared" si="3"/>
        <v>859</v>
      </c>
      <c r="AD11" s="17">
        <f t="shared" si="3"/>
        <v>0</v>
      </c>
      <c r="AE11" s="31">
        <f t="shared" si="3"/>
        <v>583.14285714285711</v>
      </c>
      <c r="AF11" s="31">
        <f t="shared" si="3"/>
        <v>1442.1428571428571</v>
      </c>
    </row>
    <row r="12" spans="2:32" ht="23.1" customHeight="1" x14ac:dyDescent="0.25">
      <c r="B12" s="23" t="s">
        <v>39</v>
      </c>
      <c r="C12" s="49">
        <f>'Avg Week Ndeeba-Nyanama'!C12+'Avg Week Nyanama-Ndeeba'!C12</f>
        <v>97.714285714285722</v>
      </c>
      <c r="D12" s="49">
        <f>'Avg Week Ndeeba-Nyanama'!D12+'Avg Week Nyanama-Ndeeba'!D12</f>
        <v>8.7142857142857153</v>
      </c>
      <c r="E12" s="49">
        <f>'Avg Week Ndeeba-Nyanama'!E12+'Avg Week Nyanama-Ndeeba'!E12</f>
        <v>8</v>
      </c>
      <c r="F12" s="49">
        <f>'Avg Week Ndeeba-Nyanama'!F12+'Avg Week Nyanama-Ndeeba'!F12</f>
        <v>46.428571428571431</v>
      </c>
      <c r="G12" s="49">
        <f>'Avg Week Ndeeba-Nyanama'!G12+'Avg Week Nyanama-Ndeeba'!G12</f>
        <v>0.5714285714285714</v>
      </c>
      <c r="H12" s="49">
        <f>'Avg Week Ndeeba-Nyanama'!H12+'Avg Week Nyanama-Ndeeba'!H12</f>
        <v>0</v>
      </c>
      <c r="I12" s="49">
        <f>'Avg Week Ndeeba-Nyanama'!I12+'Avg Week Nyanama-Ndeeba'!I12</f>
        <v>4.8571428571428577</v>
      </c>
      <c r="J12" s="49">
        <f>'Avg Week Ndeeba-Nyanama'!J12+'Avg Week Nyanama-Ndeeba'!J12</f>
        <v>0.5714285714285714</v>
      </c>
      <c r="K12" s="49">
        <f>'Avg Week Ndeeba-Nyanama'!K12+'Avg Week Nyanama-Ndeeba'!K12</f>
        <v>2.7142857142857144</v>
      </c>
      <c r="L12" s="49">
        <f>'Avg Week Ndeeba-Nyanama'!L12+'Avg Week Nyanama-Ndeeba'!L12</f>
        <v>0</v>
      </c>
      <c r="M12" s="49">
        <f>'Avg Week Ndeeba-Nyanama'!M12+'Avg Week Nyanama-Ndeeba'!M12</f>
        <v>201.28571428571428</v>
      </c>
      <c r="N12" s="49">
        <f>'Avg Week Ndeeba-Nyanama'!N12+'Avg Week Nyanama-Ndeeba'!N12</f>
        <v>0</v>
      </c>
      <c r="O12" s="17">
        <f t="shared" si="0"/>
        <v>169.57142857142864</v>
      </c>
      <c r="P12" s="17">
        <f t="shared" si="1"/>
        <v>370.85714285714289</v>
      </c>
      <c r="R12" s="1" t="s">
        <v>8</v>
      </c>
      <c r="S12" s="17">
        <f t="shared" ref="S12:AF12" si="4">SUM(C18:C21)</f>
        <v>348</v>
      </c>
      <c r="T12" s="17">
        <f t="shared" si="4"/>
        <v>28.714285714285712</v>
      </c>
      <c r="U12" s="17">
        <f t="shared" si="4"/>
        <v>29.285714285714285</v>
      </c>
      <c r="V12" s="17">
        <f t="shared" si="4"/>
        <v>118.57142857142858</v>
      </c>
      <c r="W12" s="17">
        <f t="shared" si="4"/>
        <v>2.4285714285714284</v>
      </c>
      <c r="X12" s="17">
        <f t="shared" si="4"/>
        <v>0.42857142857142855</v>
      </c>
      <c r="Y12" s="17">
        <f t="shared" si="4"/>
        <v>21.142857142857142</v>
      </c>
      <c r="Z12" s="17">
        <f t="shared" si="4"/>
        <v>9.4285714285714288</v>
      </c>
      <c r="AA12" s="17">
        <f t="shared" si="4"/>
        <v>1.5714285714285714</v>
      </c>
      <c r="AB12" s="17">
        <f t="shared" si="4"/>
        <v>1.1428571428571428</v>
      </c>
      <c r="AC12" s="17">
        <f t="shared" si="4"/>
        <v>781.71428571428578</v>
      </c>
      <c r="AD12" s="17">
        <f t="shared" si="4"/>
        <v>0</v>
      </c>
      <c r="AE12" s="31">
        <f t="shared" si="4"/>
        <v>560.71428571428567</v>
      </c>
      <c r="AF12" s="31">
        <f t="shared" si="4"/>
        <v>1342.4285714285713</v>
      </c>
    </row>
    <row r="13" spans="2:32" ht="23.1" customHeight="1" x14ac:dyDescent="0.25">
      <c r="B13" s="23" t="s">
        <v>40</v>
      </c>
      <c r="C13" s="49">
        <f>'Avg Week Ndeeba-Nyanama'!C13+'Avg Week Nyanama-Ndeeba'!C13</f>
        <v>93.428571428571416</v>
      </c>
      <c r="D13" s="49">
        <f>'Avg Week Ndeeba-Nyanama'!D13+'Avg Week Nyanama-Ndeeba'!D13</f>
        <v>7.8571428571428568</v>
      </c>
      <c r="E13" s="49">
        <f>'Avg Week Ndeeba-Nyanama'!E13+'Avg Week Nyanama-Ndeeba'!E13</f>
        <v>11</v>
      </c>
      <c r="F13" s="49">
        <f>'Avg Week Ndeeba-Nyanama'!F13+'Avg Week Nyanama-Ndeeba'!F13</f>
        <v>46.142857142857146</v>
      </c>
      <c r="G13" s="49">
        <f>'Avg Week Ndeeba-Nyanama'!G13+'Avg Week Nyanama-Ndeeba'!G13</f>
        <v>0.8571428571428571</v>
      </c>
      <c r="H13" s="49">
        <f>'Avg Week Ndeeba-Nyanama'!H13+'Avg Week Nyanama-Ndeeba'!H13</f>
        <v>0</v>
      </c>
      <c r="I13" s="49">
        <f>'Avg Week Ndeeba-Nyanama'!I13+'Avg Week Nyanama-Ndeeba'!I13</f>
        <v>5.4285714285714288</v>
      </c>
      <c r="J13" s="49">
        <f>'Avg Week Ndeeba-Nyanama'!J13+'Avg Week Nyanama-Ndeeba'!J13</f>
        <v>1.2857142857142856</v>
      </c>
      <c r="K13" s="49">
        <f>'Avg Week Ndeeba-Nyanama'!K13+'Avg Week Nyanama-Ndeeba'!K13</f>
        <v>0.5714285714285714</v>
      </c>
      <c r="L13" s="49">
        <f>'Avg Week Ndeeba-Nyanama'!L13+'Avg Week Nyanama-Ndeeba'!L13</f>
        <v>0.14285714285714285</v>
      </c>
      <c r="M13" s="49">
        <f>'Avg Week Ndeeba-Nyanama'!M13+'Avg Week Nyanama-Ndeeba'!M13</f>
        <v>227.85714285714286</v>
      </c>
      <c r="N13" s="49">
        <f>'Avg Week Ndeeba-Nyanama'!N13+'Avg Week Nyanama-Ndeeba'!N13</f>
        <v>0</v>
      </c>
      <c r="O13" s="17">
        <f t="shared" si="0"/>
        <v>166.71428571428569</v>
      </c>
      <c r="P13" s="17">
        <f t="shared" si="1"/>
        <v>394.57142857142856</v>
      </c>
      <c r="R13" s="1" t="s">
        <v>9</v>
      </c>
      <c r="S13" s="17">
        <f>SUM(C22:C25)</f>
        <v>354.14285714285711</v>
      </c>
      <c r="T13" s="17">
        <f t="shared" ref="T13:AF13" si="5">SUM(D22:D25)</f>
        <v>26.285714285714288</v>
      </c>
      <c r="U13" s="17">
        <f t="shared" si="5"/>
        <v>25.857142857142858</v>
      </c>
      <c r="V13" s="17">
        <f t="shared" si="5"/>
        <v>99.285714285714292</v>
      </c>
      <c r="W13" s="17">
        <f t="shared" si="5"/>
        <v>2.4285714285714284</v>
      </c>
      <c r="X13" s="17">
        <f t="shared" si="5"/>
        <v>0</v>
      </c>
      <c r="Y13" s="17">
        <f t="shared" si="5"/>
        <v>21.571428571428569</v>
      </c>
      <c r="Z13" s="17">
        <f t="shared" si="5"/>
        <v>7.5714285714285712</v>
      </c>
      <c r="AA13" s="17">
        <f t="shared" si="5"/>
        <v>1.7142857142857142</v>
      </c>
      <c r="AB13" s="17">
        <f t="shared" si="5"/>
        <v>1.1428571428571428</v>
      </c>
      <c r="AC13" s="17">
        <f t="shared" si="5"/>
        <v>752.42857142857144</v>
      </c>
      <c r="AD13" s="17">
        <f t="shared" si="5"/>
        <v>0</v>
      </c>
      <c r="AE13" s="31">
        <f t="shared" si="5"/>
        <v>540</v>
      </c>
      <c r="AF13" s="31">
        <f t="shared" si="5"/>
        <v>1292.4285714285713</v>
      </c>
    </row>
    <row r="14" spans="2:32" ht="23.1" customHeight="1" x14ac:dyDescent="0.25">
      <c r="B14" s="23" t="s">
        <v>41</v>
      </c>
      <c r="C14" s="49">
        <f>'Avg Week Ndeeba-Nyanama'!C14+'Avg Week Nyanama-Ndeeba'!C14</f>
        <v>90.142857142857139</v>
      </c>
      <c r="D14" s="49">
        <f>'Avg Week Ndeeba-Nyanama'!D14+'Avg Week Nyanama-Ndeeba'!D14</f>
        <v>9.8571428571428559</v>
      </c>
      <c r="E14" s="49">
        <f>'Avg Week Ndeeba-Nyanama'!E14+'Avg Week Nyanama-Ndeeba'!E14</f>
        <v>7.4285714285714288</v>
      </c>
      <c r="F14" s="49">
        <f>'Avg Week Ndeeba-Nyanama'!F14+'Avg Week Nyanama-Ndeeba'!F14</f>
        <v>44.285714285714285</v>
      </c>
      <c r="G14" s="49">
        <f>'Avg Week Ndeeba-Nyanama'!G14+'Avg Week Nyanama-Ndeeba'!G14</f>
        <v>0.5714285714285714</v>
      </c>
      <c r="H14" s="49">
        <f>'Avg Week Ndeeba-Nyanama'!H14+'Avg Week Nyanama-Ndeeba'!H14</f>
        <v>0.14285714285714285</v>
      </c>
      <c r="I14" s="49">
        <f>'Avg Week Ndeeba-Nyanama'!I14+'Avg Week Nyanama-Ndeeba'!I14</f>
        <v>4.4285714285714288</v>
      </c>
      <c r="J14" s="49">
        <f>'Avg Week Ndeeba-Nyanama'!J14+'Avg Week Nyanama-Ndeeba'!J14</f>
        <v>0.8571428571428571</v>
      </c>
      <c r="K14" s="49">
        <f>'Avg Week Ndeeba-Nyanama'!K14+'Avg Week Nyanama-Ndeeba'!K14</f>
        <v>0.42857142857142855</v>
      </c>
      <c r="L14" s="49">
        <f>'Avg Week Ndeeba-Nyanama'!L14+'Avg Week Nyanama-Ndeeba'!L14</f>
        <v>0.2857142857142857</v>
      </c>
      <c r="M14" s="49">
        <f>'Avg Week Ndeeba-Nyanama'!M14+'Avg Week Nyanama-Ndeeba'!M14</f>
        <v>221.28571428571428</v>
      </c>
      <c r="N14" s="49">
        <f>'Avg Week Ndeeba-Nyanama'!N14+'Avg Week Nyanama-Ndeeba'!N14</f>
        <v>0</v>
      </c>
      <c r="O14" s="17">
        <f t="shared" si="0"/>
        <v>158.42857142857142</v>
      </c>
      <c r="P14" s="17">
        <f t="shared" si="1"/>
        <v>379.71428571428567</v>
      </c>
      <c r="R14" s="1" t="s">
        <v>10</v>
      </c>
      <c r="S14" s="17">
        <f t="shared" ref="S14:AF14" si="6">SUM(C26:C29)</f>
        <v>331.42857142857144</v>
      </c>
      <c r="T14" s="17">
        <f t="shared" si="6"/>
        <v>25.714285714285715</v>
      </c>
      <c r="U14" s="17">
        <f t="shared" si="6"/>
        <v>27.142857142857142</v>
      </c>
      <c r="V14" s="17">
        <f t="shared" si="6"/>
        <v>64.142857142857139</v>
      </c>
      <c r="W14" s="17">
        <f t="shared" si="6"/>
        <v>3</v>
      </c>
      <c r="X14" s="17">
        <f t="shared" si="6"/>
        <v>0.2857142857142857</v>
      </c>
      <c r="Y14" s="17">
        <f t="shared" si="6"/>
        <v>25.857142857142858</v>
      </c>
      <c r="Z14" s="17">
        <f t="shared" si="6"/>
        <v>10</v>
      </c>
      <c r="AA14" s="17">
        <f t="shared" si="6"/>
        <v>3</v>
      </c>
      <c r="AB14" s="17">
        <f t="shared" si="6"/>
        <v>1.7142857142857144</v>
      </c>
      <c r="AC14" s="17">
        <f t="shared" si="6"/>
        <v>679.57142857142856</v>
      </c>
      <c r="AD14" s="17">
        <f t="shared" si="6"/>
        <v>0.14285714285714285</v>
      </c>
      <c r="AE14" s="31">
        <f t="shared" si="6"/>
        <v>492.42857142857144</v>
      </c>
      <c r="AF14" s="31">
        <f t="shared" si="6"/>
        <v>1172</v>
      </c>
    </row>
    <row r="15" spans="2:32" ht="23.1" customHeight="1" x14ac:dyDescent="0.25">
      <c r="B15" s="23" t="s">
        <v>42</v>
      </c>
      <c r="C15" s="49">
        <f>'Avg Week Ndeeba-Nyanama'!C15+'Avg Week Nyanama-Ndeeba'!C15</f>
        <v>89.714285714285722</v>
      </c>
      <c r="D15" s="49">
        <f>'Avg Week Ndeeba-Nyanama'!D15+'Avg Week Nyanama-Ndeeba'!D15</f>
        <v>8.7142857142857135</v>
      </c>
      <c r="E15" s="49">
        <f>'Avg Week Ndeeba-Nyanama'!E15+'Avg Week Nyanama-Ndeeba'!E15</f>
        <v>6.7142857142857144</v>
      </c>
      <c r="F15" s="49">
        <f>'Avg Week Ndeeba-Nyanama'!F15+'Avg Week Nyanama-Ndeeba'!F15</f>
        <v>35.857142857142854</v>
      </c>
      <c r="G15" s="49">
        <f>'Avg Week Ndeeba-Nyanama'!G15+'Avg Week Nyanama-Ndeeba'!G15</f>
        <v>0.42857142857142855</v>
      </c>
      <c r="H15" s="49">
        <f>'Avg Week Ndeeba-Nyanama'!H15+'Avg Week Nyanama-Ndeeba'!H15</f>
        <v>0</v>
      </c>
      <c r="I15" s="49">
        <f>'Avg Week Ndeeba-Nyanama'!I15+'Avg Week Nyanama-Ndeeba'!I15</f>
        <v>4.1428571428571423</v>
      </c>
      <c r="J15" s="49">
        <f>'Avg Week Ndeeba-Nyanama'!J15+'Avg Week Nyanama-Ndeeba'!J15</f>
        <v>1.7142857142857142</v>
      </c>
      <c r="K15" s="49">
        <f>'Avg Week Ndeeba-Nyanama'!K15+'Avg Week Nyanama-Ndeeba'!K15</f>
        <v>0.5714285714285714</v>
      </c>
      <c r="L15" s="49">
        <f>'Avg Week Ndeeba-Nyanama'!L15+'Avg Week Nyanama-Ndeeba'!L15</f>
        <v>0.71428571428571419</v>
      </c>
      <c r="M15" s="49">
        <f>'Avg Week Ndeeba-Nyanama'!M15+'Avg Week Nyanama-Ndeeba'!M15</f>
        <v>214.28571428571428</v>
      </c>
      <c r="N15" s="49">
        <f>'Avg Week Ndeeba-Nyanama'!N15+'Avg Week Nyanama-Ndeeba'!N15</f>
        <v>0</v>
      </c>
      <c r="O15" s="17">
        <f t="shared" si="0"/>
        <v>148.57142857142858</v>
      </c>
      <c r="P15" s="17">
        <f t="shared" si="1"/>
        <v>362.85714285714289</v>
      </c>
      <c r="R15" s="1" t="s">
        <v>11</v>
      </c>
      <c r="S15" s="17">
        <f t="shared" ref="S15:AF15" si="7">SUM(C30:C33)</f>
        <v>325.85714285714289</v>
      </c>
      <c r="T15" s="17">
        <f t="shared" si="7"/>
        <v>19.428571428571431</v>
      </c>
      <c r="U15" s="17">
        <f t="shared" si="7"/>
        <v>22.857142857142858</v>
      </c>
      <c r="V15" s="17">
        <f t="shared" si="7"/>
        <v>55.857142857142861</v>
      </c>
      <c r="W15" s="17">
        <f t="shared" si="7"/>
        <v>1.714285714285714</v>
      </c>
      <c r="X15" s="17">
        <f t="shared" si="7"/>
        <v>0.5714285714285714</v>
      </c>
      <c r="Y15" s="17">
        <f t="shared" si="7"/>
        <v>20.714285714285715</v>
      </c>
      <c r="Z15" s="17">
        <f t="shared" si="7"/>
        <v>8.7142857142857135</v>
      </c>
      <c r="AA15" s="17">
        <f t="shared" si="7"/>
        <v>1.857142857142857</v>
      </c>
      <c r="AB15" s="17">
        <f t="shared" si="7"/>
        <v>3</v>
      </c>
      <c r="AC15" s="17">
        <f t="shared" si="7"/>
        <v>698.71428571428578</v>
      </c>
      <c r="AD15" s="17">
        <f t="shared" si="7"/>
        <v>0.14285714285714285</v>
      </c>
      <c r="AE15" s="31">
        <f t="shared" si="7"/>
        <v>460.71428571428572</v>
      </c>
      <c r="AF15" s="31">
        <f t="shared" si="7"/>
        <v>1159.4285714285716</v>
      </c>
    </row>
    <row r="16" spans="2:32" ht="23.1" customHeight="1" x14ac:dyDescent="0.25">
      <c r="B16" s="23" t="s">
        <v>43</v>
      </c>
      <c r="C16" s="49">
        <f>'Avg Week Ndeeba-Nyanama'!C16+'Avg Week Nyanama-Ndeeba'!C16</f>
        <v>80.857142857142861</v>
      </c>
      <c r="D16" s="49">
        <f>'Avg Week Ndeeba-Nyanama'!D16+'Avg Week Nyanama-Ndeeba'!D16</f>
        <v>7.2857142857142856</v>
      </c>
      <c r="E16" s="49">
        <f>'Avg Week Ndeeba-Nyanama'!E16+'Avg Week Nyanama-Ndeeba'!E16</f>
        <v>6</v>
      </c>
      <c r="F16" s="49">
        <f>'Avg Week Ndeeba-Nyanama'!F16+'Avg Week Nyanama-Ndeeba'!F16</f>
        <v>30.285714285714285</v>
      </c>
      <c r="G16" s="49">
        <f>'Avg Week Ndeeba-Nyanama'!G16+'Avg Week Nyanama-Ndeeba'!G16</f>
        <v>1.4285714285714284</v>
      </c>
      <c r="H16" s="49">
        <f>'Avg Week Ndeeba-Nyanama'!H16+'Avg Week Nyanama-Ndeeba'!H16</f>
        <v>0</v>
      </c>
      <c r="I16" s="49">
        <f>'Avg Week Ndeeba-Nyanama'!I16+'Avg Week Nyanama-Ndeeba'!I16</f>
        <v>3.5714285714285712</v>
      </c>
      <c r="J16" s="49">
        <f>'Avg Week Ndeeba-Nyanama'!J16+'Avg Week Nyanama-Ndeeba'!J16</f>
        <v>1.1428571428571428</v>
      </c>
      <c r="K16" s="49">
        <f>'Avg Week Ndeeba-Nyanama'!K16+'Avg Week Nyanama-Ndeeba'!K16</f>
        <v>0.14285714285714285</v>
      </c>
      <c r="L16" s="49">
        <f>'Avg Week Ndeeba-Nyanama'!L16+'Avg Week Nyanama-Ndeeba'!L16</f>
        <v>0</v>
      </c>
      <c r="M16" s="49">
        <f>'Avg Week Ndeeba-Nyanama'!M16+'Avg Week Nyanama-Ndeeba'!M16</f>
        <v>218.71428571428572</v>
      </c>
      <c r="N16" s="49">
        <f>'Avg Week Ndeeba-Nyanama'!N16+'Avg Week Nyanama-Ndeeba'!N16</f>
        <v>0</v>
      </c>
      <c r="O16" s="17">
        <f t="shared" si="0"/>
        <v>130.71428571428572</v>
      </c>
      <c r="P16" s="17">
        <f t="shared" si="1"/>
        <v>349.42857142857144</v>
      </c>
      <c r="R16" s="1" t="s">
        <v>12</v>
      </c>
      <c r="S16" s="17">
        <f t="shared" ref="S16:AF16" si="8">SUM(C34:C37)</f>
        <v>321</v>
      </c>
      <c r="T16" s="17">
        <f t="shared" si="8"/>
        <v>19.428571428571431</v>
      </c>
      <c r="U16" s="17">
        <f t="shared" si="8"/>
        <v>24.857142857142854</v>
      </c>
      <c r="V16" s="17">
        <f t="shared" si="8"/>
        <v>58.714285714285715</v>
      </c>
      <c r="W16" s="17">
        <f t="shared" si="8"/>
        <v>1</v>
      </c>
      <c r="X16" s="17">
        <f t="shared" si="8"/>
        <v>0</v>
      </c>
      <c r="Y16" s="17">
        <f t="shared" si="8"/>
        <v>18.142857142857142</v>
      </c>
      <c r="Z16" s="17">
        <f t="shared" si="8"/>
        <v>9</v>
      </c>
      <c r="AA16" s="17">
        <f t="shared" si="8"/>
        <v>2.5714285714285712</v>
      </c>
      <c r="AB16" s="17">
        <f t="shared" si="8"/>
        <v>1.7142857142857142</v>
      </c>
      <c r="AC16" s="17">
        <f t="shared" si="8"/>
        <v>634.42857142857144</v>
      </c>
      <c r="AD16" s="17">
        <f t="shared" si="8"/>
        <v>0</v>
      </c>
      <c r="AE16" s="31">
        <f t="shared" si="8"/>
        <v>456.42857142857144</v>
      </c>
      <c r="AF16" s="31">
        <f t="shared" si="8"/>
        <v>1090.8571428571431</v>
      </c>
    </row>
    <row r="17" spans="2:32" ht="23.1" customHeight="1" x14ac:dyDescent="0.25">
      <c r="B17" s="23" t="s">
        <v>44</v>
      </c>
      <c r="C17" s="49">
        <f>'Avg Week Ndeeba-Nyanama'!C17+'Avg Week Nyanama-Ndeeba'!C17</f>
        <v>95.857142857142861</v>
      </c>
      <c r="D17" s="49">
        <f>'Avg Week Ndeeba-Nyanama'!D17+'Avg Week Nyanama-Ndeeba'!D17</f>
        <v>6.4285714285714279</v>
      </c>
      <c r="E17" s="49">
        <f>'Avg Week Ndeeba-Nyanama'!E17+'Avg Week Nyanama-Ndeeba'!E17</f>
        <v>6.7142857142857135</v>
      </c>
      <c r="F17" s="49">
        <f>'Avg Week Ndeeba-Nyanama'!F17+'Avg Week Nyanama-Ndeeba'!F17</f>
        <v>30.142857142857142</v>
      </c>
      <c r="G17" s="49">
        <f>'Avg Week Ndeeba-Nyanama'!G17+'Avg Week Nyanama-Ndeeba'!G17</f>
        <v>0.42857142857142855</v>
      </c>
      <c r="H17" s="49">
        <f>'Avg Week Ndeeba-Nyanama'!H17+'Avg Week Nyanama-Ndeeba'!H17</f>
        <v>0</v>
      </c>
      <c r="I17" s="49">
        <f>'Avg Week Ndeeba-Nyanama'!I17+'Avg Week Nyanama-Ndeeba'!I17</f>
        <v>3.5714285714285712</v>
      </c>
      <c r="J17" s="49">
        <f>'Avg Week Ndeeba-Nyanama'!J17+'Avg Week Nyanama-Ndeeba'!J17</f>
        <v>1.1428571428571428</v>
      </c>
      <c r="K17" s="49">
        <f>'Avg Week Ndeeba-Nyanama'!K17+'Avg Week Nyanama-Ndeeba'!K17</f>
        <v>0.5714285714285714</v>
      </c>
      <c r="L17" s="49">
        <f>'Avg Week Ndeeba-Nyanama'!L17+'Avg Week Nyanama-Ndeeba'!L17</f>
        <v>0.5714285714285714</v>
      </c>
      <c r="M17" s="49">
        <f>'Avg Week Ndeeba-Nyanama'!M17+'Avg Week Nyanama-Ndeeba'!M17</f>
        <v>204.71428571428572</v>
      </c>
      <c r="N17" s="49">
        <f>'Avg Week Ndeeba-Nyanama'!N17+'Avg Week Nyanama-Ndeeba'!N17</f>
        <v>0</v>
      </c>
      <c r="O17" s="17">
        <f t="shared" si="0"/>
        <v>145.42857142857144</v>
      </c>
      <c r="P17" s="17">
        <f t="shared" si="1"/>
        <v>350.14285714285717</v>
      </c>
      <c r="R17" s="1" t="s">
        <v>13</v>
      </c>
      <c r="S17" s="17">
        <f t="shared" ref="S17:AF17" si="9">SUM(C38:C41)</f>
        <v>290.57142857142856</v>
      </c>
      <c r="T17" s="17">
        <f t="shared" si="9"/>
        <v>20.428571428571431</v>
      </c>
      <c r="U17" s="17">
        <f t="shared" si="9"/>
        <v>22.857142857142854</v>
      </c>
      <c r="V17" s="17">
        <f t="shared" si="9"/>
        <v>63.142857142857139</v>
      </c>
      <c r="W17" s="17">
        <f t="shared" si="9"/>
        <v>1.7142857142857142</v>
      </c>
      <c r="X17" s="17">
        <f t="shared" si="9"/>
        <v>0</v>
      </c>
      <c r="Y17" s="17">
        <f t="shared" si="9"/>
        <v>14.999999999999998</v>
      </c>
      <c r="Z17" s="17">
        <f t="shared" si="9"/>
        <v>6.5714285714285721</v>
      </c>
      <c r="AA17" s="17">
        <f t="shared" si="9"/>
        <v>2.8571428571428568</v>
      </c>
      <c r="AB17" s="17">
        <f t="shared" si="9"/>
        <v>1.7142857142857142</v>
      </c>
      <c r="AC17" s="17">
        <f t="shared" si="9"/>
        <v>569.42857142857144</v>
      </c>
      <c r="AD17" s="17">
        <f t="shared" si="9"/>
        <v>0.2857142857142857</v>
      </c>
      <c r="AE17" s="31">
        <f t="shared" si="9"/>
        <v>425.14285714285711</v>
      </c>
      <c r="AF17" s="31">
        <f t="shared" si="9"/>
        <v>994.57142857142867</v>
      </c>
    </row>
    <row r="18" spans="2:32" ht="23.1" customHeight="1" x14ac:dyDescent="0.25">
      <c r="B18" s="23" t="s">
        <v>45</v>
      </c>
      <c r="C18" s="49">
        <f>'Avg Week Ndeeba-Nyanama'!C18+'Avg Week Nyanama-Ndeeba'!C18</f>
        <v>74.571428571428569</v>
      </c>
      <c r="D18" s="49">
        <f>'Avg Week Ndeeba-Nyanama'!D18+'Avg Week Nyanama-Ndeeba'!D18</f>
        <v>6.8571428571428577</v>
      </c>
      <c r="E18" s="49">
        <f>'Avg Week Ndeeba-Nyanama'!E18+'Avg Week Nyanama-Ndeeba'!E18</f>
        <v>6.1428571428571423</v>
      </c>
      <c r="F18" s="49">
        <f>'Avg Week Ndeeba-Nyanama'!F18+'Avg Week Nyanama-Ndeeba'!F18</f>
        <v>25.714285714285715</v>
      </c>
      <c r="G18" s="49">
        <f>'Avg Week Ndeeba-Nyanama'!G18+'Avg Week Nyanama-Ndeeba'!G18</f>
        <v>1.1428571428571428</v>
      </c>
      <c r="H18" s="49">
        <f>'Avg Week Ndeeba-Nyanama'!H18+'Avg Week Nyanama-Ndeeba'!H18</f>
        <v>0.14285714285714285</v>
      </c>
      <c r="I18" s="49">
        <f>'Avg Week Ndeeba-Nyanama'!I18+'Avg Week Nyanama-Ndeeba'!I18</f>
        <v>5.8571428571428577</v>
      </c>
      <c r="J18" s="49">
        <f>'Avg Week Ndeeba-Nyanama'!J18+'Avg Week Nyanama-Ndeeba'!J18</f>
        <v>1.7142857142857142</v>
      </c>
      <c r="K18" s="49">
        <f>'Avg Week Ndeeba-Nyanama'!K18+'Avg Week Nyanama-Ndeeba'!K18</f>
        <v>0.14285714285714285</v>
      </c>
      <c r="L18" s="49">
        <f>'Avg Week Ndeeba-Nyanama'!L18+'Avg Week Nyanama-Ndeeba'!L18</f>
        <v>0.14285714285714285</v>
      </c>
      <c r="M18" s="49">
        <f>'Avg Week Ndeeba-Nyanama'!M18+'Avg Week Nyanama-Ndeeba'!M18</f>
        <v>213.14285714285714</v>
      </c>
      <c r="N18" s="49">
        <f>'Avg Week Ndeeba-Nyanama'!N18+'Avg Week Nyanama-Ndeeba'!N18</f>
        <v>0</v>
      </c>
      <c r="O18" s="17">
        <f t="shared" si="0"/>
        <v>122.4285714285714</v>
      </c>
      <c r="P18" s="17">
        <f t="shared" si="1"/>
        <v>335.57142857142856</v>
      </c>
      <c r="R18" s="1" t="s">
        <v>14</v>
      </c>
      <c r="S18" s="17">
        <f t="shared" ref="S18:AF18" si="10">SUM(C42:C45)</f>
        <v>320.85714285714289</v>
      </c>
      <c r="T18" s="17">
        <f t="shared" si="10"/>
        <v>18.142857142857146</v>
      </c>
      <c r="U18" s="17">
        <f t="shared" si="10"/>
        <v>28.428571428571431</v>
      </c>
      <c r="V18" s="17">
        <f t="shared" si="10"/>
        <v>62.714285714285708</v>
      </c>
      <c r="W18" s="17">
        <f t="shared" si="10"/>
        <v>0.8571428571428571</v>
      </c>
      <c r="X18" s="17">
        <f t="shared" si="10"/>
        <v>0.2857142857142857</v>
      </c>
      <c r="Y18" s="17">
        <f t="shared" si="10"/>
        <v>21.142857142857142</v>
      </c>
      <c r="Z18" s="17">
        <f t="shared" si="10"/>
        <v>9.5714285714285712</v>
      </c>
      <c r="AA18" s="17">
        <f t="shared" si="10"/>
        <v>1.1428571428571428</v>
      </c>
      <c r="AB18" s="17">
        <f t="shared" si="10"/>
        <v>2.1428571428571428</v>
      </c>
      <c r="AC18" s="17">
        <f t="shared" si="10"/>
        <v>541.42857142857144</v>
      </c>
      <c r="AD18" s="17">
        <f t="shared" si="10"/>
        <v>0.14285714285714285</v>
      </c>
      <c r="AE18" s="31">
        <f t="shared" si="10"/>
        <v>465.42857142857144</v>
      </c>
      <c r="AF18" s="31">
        <f t="shared" si="10"/>
        <v>1006.8571428571429</v>
      </c>
    </row>
    <row r="19" spans="2:32" ht="23.1" customHeight="1" x14ac:dyDescent="0.25">
      <c r="B19" s="23" t="s">
        <v>46</v>
      </c>
      <c r="C19" s="49">
        <f>'Avg Week Ndeeba-Nyanama'!C19+'Avg Week Nyanama-Ndeeba'!C19</f>
        <v>84.571428571428569</v>
      </c>
      <c r="D19" s="49">
        <f>'Avg Week Ndeeba-Nyanama'!D19+'Avg Week Nyanama-Ndeeba'!D19</f>
        <v>9.7142857142857135</v>
      </c>
      <c r="E19" s="49">
        <f>'Avg Week Ndeeba-Nyanama'!E19+'Avg Week Nyanama-Ndeeba'!E19</f>
        <v>7</v>
      </c>
      <c r="F19" s="49">
        <f>'Avg Week Ndeeba-Nyanama'!F19+'Avg Week Nyanama-Ndeeba'!F19</f>
        <v>28.714285714285715</v>
      </c>
      <c r="G19" s="49">
        <f>'Avg Week Ndeeba-Nyanama'!G19+'Avg Week Nyanama-Ndeeba'!G19</f>
        <v>0.71428571428571419</v>
      </c>
      <c r="H19" s="49">
        <f>'Avg Week Ndeeba-Nyanama'!H19+'Avg Week Nyanama-Ndeeba'!H19</f>
        <v>0.2857142857142857</v>
      </c>
      <c r="I19" s="49">
        <f>'Avg Week Ndeeba-Nyanama'!I19+'Avg Week Nyanama-Ndeeba'!I19</f>
        <v>4.7142857142857144</v>
      </c>
      <c r="J19" s="49">
        <f>'Avg Week Ndeeba-Nyanama'!J19+'Avg Week Nyanama-Ndeeba'!J19</f>
        <v>1.7142857142857144</v>
      </c>
      <c r="K19" s="49">
        <f>'Avg Week Ndeeba-Nyanama'!K19+'Avg Week Nyanama-Ndeeba'!K19</f>
        <v>0.2857142857142857</v>
      </c>
      <c r="L19" s="49">
        <f>'Avg Week Ndeeba-Nyanama'!L19+'Avg Week Nyanama-Ndeeba'!L19</f>
        <v>0.2857142857142857</v>
      </c>
      <c r="M19" s="49">
        <f>'Avg Week Ndeeba-Nyanama'!M19+'Avg Week Nyanama-Ndeeba'!M19</f>
        <v>191.57142857142856</v>
      </c>
      <c r="N19" s="49">
        <f>'Avg Week Ndeeba-Nyanama'!N19+'Avg Week Nyanama-Ndeeba'!N19</f>
        <v>0</v>
      </c>
      <c r="O19" s="17">
        <f t="shared" si="0"/>
        <v>138</v>
      </c>
      <c r="P19" s="17">
        <f t="shared" si="1"/>
        <v>329.57142857142856</v>
      </c>
      <c r="R19" s="1" t="s">
        <v>15</v>
      </c>
      <c r="S19" s="17">
        <f t="shared" ref="S19:AF19" si="11">SUM(C46:C49)</f>
        <v>366.28571428571428</v>
      </c>
      <c r="T19" s="17">
        <f t="shared" si="11"/>
        <v>25.571428571428569</v>
      </c>
      <c r="U19" s="17">
        <f t="shared" si="11"/>
        <v>26.285714285714285</v>
      </c>
      <c r="V19" s="17">
        <f t="shared" si="11"/>
        <v>88.714285714285708</v>
      </c>
      <c r="W19" s="17">
        <f t="shared" si="11"/>
        <v>2.714285714285714</v>
      </c>
      <c r="X19" s="17">
        <f t="shared" si="11"/>
        <v>0</v>
      </c>
      <c r="Y19" s="17">
        <f t="shared" si="11"/>
        <v>20.142857142857142</v>
      </c>
      <c r="Z19" s="17">
        <f t="shared" si="11"/>
        <v>5.1428571428571432</v>
      </c>
      <c r="AA19" s="17">
        <f t="shared" si="11"/>
        <v>2.4285714285714284</v>
      </c>
      <c r="AB19" s="17">
        <f t="shared" si="11"/>
        <v>0.42857142857142855</v>
      </c>
      <c r="AC19" s="17">
        <f t="shared" si="11"/>
        <v>622.14285714285711</v>
      </c>
      <c r="AD19" s="17">
        <f t="shared" si="11"/>
        <v>0.2857142857142857</v>
      </c>
      <c r="AE19" s="31">
        <f t="shared" si="11"/>
        <v>537.99999999999989</v>
      </c>
      <c r="AF19" s="31">
        <f t="shared" si="11"/>
        <v>1160.1428571428571</v>
      </c>
    </row>
    <row r="20" spans="2:32" ht="23.1" customHeight="1" x14ac:dyDescent="0.25">
      <c r="B20" s="23" t="s">
        <v>47</v>
      </c>
      <c r="C20" s="49">
        <f>'Avg Week Ndeeba-Nyanama'!C20+'Avg Week Nyanama-Ndeeba'!C20</f>
        <v>100.57142857142858</v>
      </c>
      <c r="D20" s="49">
        <f>'Avg Week Ndeeba-Nyanama'!D20+'Avg Week Nyanama-Ndeeba'!D20</f>
        <v>5.7142857142857144</v>
      </c>
      <c r="E20" s="49">
        <f>'Avg Week Ndeeba-Nyanama'!E20+'Avg Week Nyanama-Ndeeba'!E20</f>
        <v>7.7142857142857153</v>
      </c>
      <c r="F20" s="49">
        <f>'Avg Week Ndeeba-Nyanama'!F20+'Avg Week Nyanama-Ndeeba'!F20</f>
        <v>27.285714285714285</v>
      </c>
      <c r="G20" s="49">
        <f>'Avg Week Ndeeba-Nyanama'!G20+'Avg Week Nyanama-Ndeeba'!G20</f>
        <v>0.42857142857142855</v>
      </c>
      <c r="H20" s="49">
        <f>'Avg Week Ndeeba-Nyanama'!H20+'Avg Week Nyanama-Ndeeba'!H20</f>
        <v>0</v>
      </c>
      <c r="I20" s="49">
        <f>'Avg Week Ndeeba-Nyanama'!I20+'Avg Week Nyanama-Ndeeba'!I20</f>
        <v>5.4285714285714288</v>
      </c>
      <c r="J20" s="49">
        <f>'Avg Week Ndeeba-Nyanama'!J20+'Avg Week Nyanama-Ndeeba'!J20</f>
        <v>2.8571428571428572</v>
      </c>
      <c r="K20" s="49">
        <f>'Avg Week Ndeeba-Nyanama'!K20+'Avg Week Nyanama-Ndeeba'!K20</f>
        <v>0.5714285714285714</v>
      </c>
      <c r="L20" s="49">
        <f>'Avg Week Ndeeba-Nyanama'!L20+'Avg Week Nyanama-Ndeeba'!L20</f>
        <v>0.2857142857142857</v>
      </c>
      <c r="M20" s="49">
        <f>'Avg Week Ndeeba-Nyanama'!M20+'Avg Week Nyanama-Ndeeba'!M20</f>
        <v>186.28571428571428</v>
      </c>
      <c r="N20" s="49">
        <f>'Avg Week Ndeeba-Nyanama'!N20+'Avg Week Nyanama-Ndeeba'!N20</f>
        <v>0</v>
      </c>
      <c r="O20" s="17">
        <f t="shared" si="0"/>
        <v>150.85714285714283</v>
      </c>
      <c r="P20" s="17">
        <f t="shared" si="1"/>
        <v>337.14285714285711</v>
      </c>
      <c r="R20" s="1" t="s">
        <v>16</v>
      </c>
      <c r="S20" s="17">
        <f t="shared" ref="S20:AF20" si="12">SUM(C50:C53)</f>
        <v>419.57142857142856</v>
      </c>
      <c r="T20" s="17">
        <f t="shared" si="12"/>
        <v>26.285714285714288</v>
      </c>
      <c r="U20" s="17">
        <f t="shared" si="12"/>
        <v>113.28571428571429</v>
      </c>
      <c r="V20" s="17">
        <f t="shared" si="12"/>
        <v>145</v>
      </c>
      <c r="W20" s="17">
        <f t="shared" si="12"/>
        <v>2.1428571428571428</v>
      </c>
      <c r="X20" s="17">
        <f t="shared" si="12"/>
        <v>0.85714285714285698</v>
      </c>
      <c r="Y20" s="17">
        <f t="shared" si="12"/>
        <v>24.857142857142858</v>
      </c>
      <c r="Z20" s="17">
        <f t="shared" si="12"/>
        <v>6</v>
      </c>
      <c r="AA20" s="17">
        <f t="shared" si="12"/>
        <v>1.4285714285714284</v>
      </c>
      <c r="AB20" s="17">
        <f t="shared" si="12"/>
        <v>1.9999999999999998</v>
      </c>
      <c r="AC20" s="17">
        <f t="shared" si="12"/>
        <v>711</v>
      </c>
      <c r="AD20" s="17">
        <f t="shared" si="12"/>
        <v>0</v>
      </c>
      <c r="AE20" s="31">
        <f t="shared" si="12"/>
        <v>741.42857142857144</v>
      </c>
      <c r="AF20" s="31">
        <f t="shared" si="12"/>
        <v>1452.4285714285713</v>
      </c>
    </row>
    <row r="21" spans="2:32" ht="23.1" customHeight="1" x14ac:dyDescent="0.25">
      <c r="B21" s="23" t="s">
        <v>48</v>
      </c>
      <c r="C21" s="49">
        <f>'Avg Week Ndeeba-Nyanama'!C21+'Avg Week Nyanama-Ndeeba'!C21</f>
        <v>88.285714285714278</v>
      </c>
      <c r="D21" s="49">
        <f>'Avg Week Ndeeba-Nyanama'!D21+'Avg Week Nyanama-Ndeeba'!D21</f>
        <v>6.4285714285714279</v>
      </c>
      <c r="E21" s="49">
        <f>'Avg Week Ndeeba-Nyanama'!E21+'Avg Week Nyanama-Ndeeba'!E21</f>
        <v>8.4285714285714288</v>
      </c>
      <c r="F21" s="49">
        <f>'Avg Week Ndeeba-Nyanama'!F21+'Avg Week Nyanama-Ndeeba'!F21</f>
        <v>36.857142857142861</v>
      </c>
      <c r="G21" s="49">
        <f>'Avg Week Ndeeba-Nyanama'!G21+'Avg Week Nyanama-Ndeeba'!G21</f>
        <v>0.14285714285714285</v>
      </c>
      <c r="H21" s="49">
        <f>'Avg Week Ndeeba-Nyanama'!H21+'Avg Week Nyanama-Ndeeba'!H21</f>
        <v>0</v>
      </c>
      <c r="I21" s="49">
        <f>'Avg Week Ndeeba-Nyanama'!I21+'Avg Week Nyanama-Ndeeba'!I21</f>
        <v>5.1428571428571423</v>
      </c>
      <c r="J21" s="49">
        <f>'Avg Week Ndeeba-Nyanama'!J21+'Avg Week Nyanama-Ndeeba'!J21</f>
        <v>3.1428571428571428</v>
      </c>
      <c r="K21" s="49">
        <f>'Avg Week Ndeeba-Nyanama'!K21+'Avg Week Nyanama-Ndeeba'!K21</f>
        <v>0.5714285714285714</v>
      </c>
      <c r="L21" s="49">
        <f>'Avg Week Ndeeba-Nyanama'!L21+'Avg Week Nyanama-Ndeeba'!L21</f>
        <v>0.42857142857142855</v>
      </c>
      <c r="M21" s="49">
        <f>'Avg Week Ndeeba-Nyanama'!M21+'Avg Week Nyanama-Ndeeba'!M21</f>
        <v>190.71428571428572</v>
      </c>
      <c r="N21" s="49">
        <f>'Avg Week Ndeeba-Nyanama'!N21+'Avg Week Nyanama-Ndeeba'!N21</f>
        <v>0</v>
      </c>
      <c r="O21" s="17">
        <f t="shared" si="0"/>
        <v>149.42857142857142</v>
      </c>
      <c r="P21" s="17">
        <f t="shared" si="1"/>
        <v>340.14285714285711</v>
      </c>
      <c r="R21" s="36" t="s">
        <v>20</v>
      </c>
      <c r="S21" s="34">
        <f t="shared" ref="S21:AF21" si="13">SUM(C54:C57)</f>
        <v>415.71428571428567</v>
      </c>
      <c r="T21" s="17">
        <f t="shared" si="13"/>
        <v>28.714285714285712</v>
      </c>
      <c r="U21" s="17">
        <f t="shared" si="13"/>
        <v>23.285714285714285</v>
      </c>
      <c r="V21" s="17">
        <f t="shared" si="13"/>
        <v>179.14285714285714</v>
      </c>
      <c r="W21" s="17">
        <f t="shared" si="13"/>
        <v>3.2857142857142856</v>
      </c>
      <c r="X21" s="17">
        <f t="shared" si="13"/>
        <v>0.99999999999999989</v>
      </c>
      <c r="Y21" s="17">
        <f t="shared" si="13"/>
        <v>26.142857142857142</v>
      </c>
      <c r="Z21" s="17">
        <f t="shared" si="13"/>
        <v>7</v>
      </c>
      <c r="AA21" s="17">
        <f t="shared" si="13"/>
        <v>3.8571428571428568</v>
      </c>
      <c r="AB21" s="17">
        <f t="shared" si="13"/>
        <v>1.2857142857142856</v>
      </c>
      <c r="AC21" s="17">
        <f t="shared" si="13"/>
        <v>777.14285714285711</v>
      </c>
      <c r="AD21" s="17">
        <f t="shared" si="13"/>
        <v>0.14285714285714285</v>
      </c>
      <c r="AE21" s="31">
        <f t="shared" si="13"/>
        <v>689.57142857142867</v>
      </c>
      <c r="AF21" s="31">
        <f t="shared" si="13"/>
        <v>1466.7142857142858</v>
      </c>
    </row>
    <row r="22" spans="2:32" ht="23.1" customHeight="1" x14ac:dyDescent="0.25">
      <c r="B22" s="23" t="s">
        <v>49</v>
      </c>
      <c r="C22" s="49">
        <f>'Avg Week Ndeeba-Nyanama'!C22+'Avg Week Nyanama-Ndeeba'!C22</f>
        <v>91.285714285714278</v>
      </c>
      <c r="D22" s="49">
        <f>'Avg Week Ndeeba-Nyanama'!D22+'Avg Week Nyanama-Ndeeba'!D22</f>
        <v>5</v>
      </c>
      <c r="E22" s="49">
        <f>'Avg Week Ndeeba-Nyanama'!E22+'Avg Week Nyanama-Ndeeba'!E22</f>
        <v>6.5714285714285712</v>
      </c>
      <c r="F22" s="49">
        <f>'Avg Week Ndeeba-Nyanama'!F22+'Avg Week Nyanama-Ndeeba'!F22</f>
        <v>23.571428571428569</v>
      </c>
      <c r="G22" s="49">
        <f>'Avg Week Ndeeba-Nyanama'!G22+'Avg Week Nyanama-Ndeeba'!G22</f>
        <v>0.8571428571428571</v>
      </c>
      <c r="H22" s="49">
        <f>'Avg Week Ndeeba-Nyanama'!H22+'Avg Week Nyanama-Ndeeba'!H22</f>
        <v>0</v>
      </c>
      <c r="I22" s="49">
        <f>'Avg Week Ndeeba-Nyanama'!I22+'Avg Week Nyanama-Ndeeba'!I22</f>
        <v>5.1428571428571423</v>
      </c>
      <c r="J22" s="49">
        <f>'Avg Week Ndeeba-Nyanama'!J22+'Avg Week Nyanama-Ndeeba'!J22</f>
        <v>1.2857142857142856</v>
      </c>
      <c r="K22" s="49">
        <f>'Avg Week Ndeeba-Nyanama'!K22+'Avg Week Nyanama-Ndeeba'!K22</f>
        <v>0.71428571428571419</v>
      </c>
      <c r="L22" s="49">
        <f>'Avg Week Ndeeba-Nyanama'!L22+'Avg Week Nyanama-Ndeeba'!L22</f>
        <v>0</v>
      </c>
      <c r="M22" s="49">
        <f>'Avg Week Ndeeba-Nyanama'!M22+'Avg Week Nyanama-Ndeeba'!M22</f>
        <v>198.57142857142856</v>
      </c>
      <c r="N22" s="49">
        <f>'Avg Week Ndeeba-Nyanama'!N22+'Avg Week Nyanama-Ndeeba'!N22</f>
        <v>0</v>
      </c>
      <c r="O22" s="17">
        <f t="shared" si="0"/>
        <v>134.42857142857142</v>
      </c>
      <c r="P22" s="17">
        <f t="shared" si="1"/>
        <v>333</v>
      </c>
      <c r="R22" s="1" t="s">
        <v>146</v>
      </c>
      <c r="S22" s="34">
        <f>SUM(C58:C61)</f>
        <v>352.5</v>
      </c>
      <c r="T22" s="34">
        <f t="shared" ref="T22:AF22" si="14">SUM(D58:D61)</f>
        <v>68.5</v>
      </c>
      <c r="U22" s="34">
        <f t="shared" si="14"/>
        <v>48</v>
      </c>
      <c r="V22" s="34">
        <f t="shared" si="14"/>
        <v>162.5</v>
      </c>
      <c r="W22" s="34">
        <f t="shared" si="14"/>
        <v>7</v>
      </c>
      <c r="X22" s="34">
        <f t="shared" si="14"/>
        <v>1.5</v>
      </c>
      <c r="Y22" s="34">
        <f t="shared" si="14"/>
        <v>29.5</v>
      </c>
      <c r="Z22" s="34">
        <f t="shared" si="14"/>
        <v>13.5</v>
      </c>
      <c r="AA22" s="34">
        <f t="shared" si="14"/>
        <v>10</v>
      </c>
      <c r="AB22" s="34">
        <f t="shared" si="14"/>
        <v>3</v>
      </c>
      <c r="AC22" s="34">
        <f t="shared" si="14"/>
        <v>593</v>
      </c>
      <c r="AD22" s="34">
        <f t="shared" si="14"/>
        <v>0</v>
      </c>
      <c r="AE22" s="31">
        <f t="shared" si="14"/>
        <v>696</v>
      </c>
      <c r="AF22" s="31">
        <f t="shared" si="14"/>
        <v>1289</v>
      </c>
    </row>
    <row r="23" spans="2:32" ht="23.1" customHeight="1" x14ac:dyDescent="0.25">
      <c r="B23" s="23" t="s">
        <v>50</v>
      </c>
      <c r="C23" s="49">
        <f>'Avg Week Ndeeba-Nyanama'!C23+'Avg Week Nyanama-Ndeeba'!C23</f>
        <v>87.571428571428584</v>
      </c>
      <c r="D23" s="49">
        <f>'Avg Week Ndeeba-Nyanama'!D23+'Avg Week Nyanama-Ndeeba'!D23</f>
        <v>7.8571428571428568</v>
      </c>
      <c r="E23" s="49">
        <f>'Avg Week Ndeeba-Nyanama'!E23+'Avg Week Nyanama-Ndeeba'!E23</f>
        <v>6.4285714285714288</v>
      </c>
      <c r="F23" s="49">
        <f>'Avg Week Ndeeba-Nyanama'!F23+'Avg Week Nyanama-Ndeeba'!F23</f>
        <v>22.571428571428569</v>
      </c>
      <c r="G23" s="49">
        <f>'Avg Week Ndeeba-Nyanama'!G23+'Avg Week Nyanama-Ndeeba'!G23</f>
        <v>0.42857142857142855</v>
      </c>
      <c r="H23" s="49">
        <f>'Avg Week Ndeeba-Nyanama'!H23+'Avg Week Nyanama-Ndeeba'!H23</f>
        <v>0</v>
      </c>
      <c r="I23" s="49">
        <f>'Avg Week Ndeeba-Nyanama'!I23+'Avg Week Nyanama-Ndeeba'!I23</f>
        <v>4.8571428571428568</v>
      </c>
      <c r="J23" s="49">
        <f>'Avg Week Ndeeba-Nyanama'!J23+'Avg Week Nyanama-Ndeeba'!J23</f>
        <v>2.2857142857142856</v>
      </c>
      <c r="K23" s="49">
        <f>'Avg Week Ndeeba-Nyanama'!K23+'Avg Week Nyanama-Ndeeba'!K23</f>
        <v>0.42857142857142855</v>
      </c>
      <c r="L23" s="49">
        <f>'Avg Week Ndeeba-Nyanama'!L23+'Avg Week Nyanama-Ndeeba'!L23</f>
        <v>0.2857142857142857</v>
      </c>
      <c r="M23" s="49">
        <f>'Avg Week Ndeeba-Nyanama'!M23+'Avg Week Nyanama-Ndeeba'!M23</f>
        <v>192.42857142857144</v>
      </c>
      <c r="N23" s="49">
        <f>'Avg Week Ndeeba-Nyanama'!N23+'Avg Week Nyanama-Ndeeba'!N23</f>
        <v>0</v>
      </c>
      <c r="O23" s="17">
        <f t="shared" si="0"/>
        <v>132.71428571428569</v>
      </c>
      <c r="P23" s="17">
        <f t="shared" si="1"/>
        <v>325.14285714285711</v>
      </c>
      <c r="R23" s="1" t="s">
        <v>147</v>
      </c>
      <c r="S23" s="34">
        <f>SUM(C62:C65)</f>
        <v>401.5</v>
      </c>
      <c r="T23" s="34">
        <f t="shared" ref="T23:AF23" si="15">SUM(D62:D65)</f>
        <v>67.5</v>
      </c>
      <c r="U23" s="34">
        <f t="shared" si="15"/>
        <v>37</v>
      </c>
      <c r="V23" s="34">
        <f t="shared" si="15"/>
        <v>182</v>
      </c>
      <c r="W23" s="34">
        <f t="shared" si="15"/>
        <v>3.5</v>
      </c>
      <c r="X23" s="34">
        <f t="shared" si="15"/>
        <v>14.5</v>
      </c>
      <c r="Y23" s="34">
        <f t="shared" si="15"/>
        <v>42.5</v>
      </c>
      <c r="Z23" s="34">
        <f t="shared" si="15"/>
        <v>11</v>
      </c>
      <c r="AA23" s="34">
        <f t="shared" si="15"/>
        <v>0.5</v>
      </c>
      <c r="AB23" s="34">
        <f t="shared" si="15"/>
        <v>0</v>
      </c>
      <c r="AC23" s="34">
        <f t="shared" si="15"/>
        <v>568</v>
      </c>
      <c r="AD23" s="34">
        <f t="shared" si="15"/>
        <v>0</v>
      </c>
      <c r="AE23" s="31">
        <f t="shared" si="15"/>
        <v>760</v>
      </c>
      <c r="AF23" s="31">
        <f t="shared" si="15"/>
        <v>1328</v>
      </c>
    </row>
    <row r="24" spans="2:32" ht="23.1" customHeight="1" x14ac:dyDescent="0.25">
      <c r="B24" s="23" t="s">
        <v>51</v>
      </c>
      <c r="C24" s="49">
        <f>'Avg Week Ndeeba-Nyanama'!C24+'Avg Week Nyanama-Ndeeba'!C24</f>
        <v>86.285714285714278</v>
      </c>
      <c r="D24" s="49">
        <f>'Avg Week Ndeeba-Nyanama'!D24+'Avg Week Nyanama-Ndeeba'!D24</f>
        <v>7.8571428571428568</v>
      </c>
      <c r="E24" s="49">
        <f>'Avg Week Ndeeba-Nyanama'!E24+'Avg Week Nyanama-Ndeeba'!E24</f>
        <v>7.1428571428571423</v>
      </c>
      <c r="F24" s="49">
        <f>'Avg Week Ndeeba-Nyanama'!F24+'Avg Week Nyanama-Ndeeba'!F24</f>
        <v>25.714285714285715</v>
      </c>
      <c r="G24" s="49">
        <f>'Avg Week Ndeeba-Nyanama'!G24+'Avg Week Nyanama-Ndeeba'!G24</f>
        <v>0.5714285714285714</v>
      </c>
      <c r="H24" s="49">
        <f>'Avg Week Ndeeba-Nyanama'!H24+'Avg Week Nyanama-Ndeeba'!H24</f>
        <v>0</v>
      </c>
      <c r="I24" s="49">
        <f>'Avg Week Ndeeba-Nyanama'!I24+'Avg Week Nyanama-Ndeeba'!I24</f>
        <v>6.5714285714285712</v>
      </c>
      <c r="J24" s="49">
        <f>'Avg Week Ndeeba-Nyanama'!J24+'Avg Week Nyanama-Ndeeba'!J24</f>
        <v>1.8571428571428572</v>
      </c>
      <c r="K24" s="49">
        <f>'Avg Week Ndeeba-Nyanama'!K24+'Avg Week Nyanama-Ndeeba'!K24</f>
        <v>0</v>
      </c>
      <c r="L24" s="49">
        <f>'Avg Week Ndeeba-Nyanama'!L24+'Avg Week Nyanama-Ndeeba'!L24</f>
        <v>0.5714285714285714</v>
      </c>
      <c r="M24" s="49">
        <f>'Avg Week Ndeeba-Nyanama'!M24+'Avg Week Nyanama-Ndeeba'!M24</f>
        <v>189.42857142857144</v>
      </c>
      <c r="N24" s="49">
        <f>'Avg Week Ndeeba-Nyanama'!N24+'Avg Week Nyanama-Ndeeba'!N24</f>
        <v>0</v>
      </c>
      <c r="O24" s="17">
        <f t="shared" si="0"/>
        <v>136.57142857142858</v>
      </c>
      <c r="P24" s="17">
        <f t="shared" si="1"/>
        <v>326</v>
      </c>
      <c r="R24" s="1" t="s">
        <v>148</v>
      </c>
      <c r="S24" s="34">
        <f>SUM(C66:C69)</f>
        <v>410</v>
      </c>
      <c r="T24" s="34">
        <f t="shared" ref="T24:AF24" si="16">SUM(D66:D69)</f>
        <v>61.5</v>
      </c>
      <c r="U24" s="34">
        <f t="shared" si="16"/>
        <v>24.5</v>
      </c>
      <c r="V24" s="34">
        <f t="shared" si="16"/>
        <v>153.5</v>
      </c>
      <c r="W24" s="34">
        <f t="shared" si="16"/>
        <v>2</v>
      </c>
      <c r="X24" s="34">
        <f t="shared" si="16"/>
        <v>0</v>
      </c>
      <c r="Y24" s="34">
        <f t="shared" si="16"/>
        <v>34.5</v>
      </c>
      <c r="Z24" s="34">
        <f t="shared" si="16"/>
        <v>7</v>
      </c>
      <c r="AA24" s="34">
        <f t="shared" si="16"/>
        <v>3</v>
      </c>
      <c r="AB24" s="34">
        <f t="shared" si="16"/>
        <v>0</v>
      </c>
      <c r="AC24" s="34">
        <f t="shared" si="16"/>
        <v>656</v>
      </c>
      <c r="AD24" s="34">
        <f t="shared" si="16"/>
        <v>0</v>
      </c>
      <c r="AE24" s="31">
        <f t="shared" si="16"/>
        <v>696</v>
      </c>
      <c r="AF24" s="31">
        <f t="shared" si="16"/>
        <v>1352</v>
      </c>
    </row>
    <row r="25" spans="2:32" ht="23.1" customHeight="1" x14ac:dyDescent="0.25">
      <c r="B25" s="23" t="s">
        <v>52</v>
      </c>
      <c r="C25" s="49">
        <f>'Avg Week Ndeeba-Nyanama'!C25+'Avg Week Nyanama-Ndeeba'!C25</f>
        <v>89</v>
      </c>
      <c r="D25" s="49">
        <f>'Avg Week Ndeeba-Nyanama'!D25+'Avg Week Nyanama-Ndeeba'!D25</f>
        <v>5.5714285714285721</v>
      </c>
      <c r="E25" s="49">
        <f>'Avg Week Ndeeba-Nyanama'!E25+'Avg Week Nyanama-Ndeeba'!E25</f>
        <v>5.7142857142857144</v>
      </c>
      <c r="F25" s="49">
        <f>'Avg Week Ndeeba-Nyanama'!F25+'Avg Week Nyanama-Ndeeba'!F25</f>
        <v>27.428571428571431</v>
      </c>
      <c r="G25" s="49">
        <f>'Avg Week Ndeeba-Nyanama'!G25+'Avg Week Nyanama-Ndeeba'!G25</f>
        <v>0.5714285714285714</v>
      </c>
      <c r="H25" s="49">
        <f>'Avg Week Ndeeba-Nyanama'!H25+'Avg Week Nyanama-Ndeeba'!H25</f>
        <v>0</v>
      </c>
      <c r="I25" s="49">
        <f>'Avg Week Ndeeba-Nyanama'!I25+'Avg Week Nyanama-Ndeeba'!I25</f>
        <v>5</v>
      </c>
      <c r="J25" s="49">
        <f>'Avg Week Ndeeba-Nyanama'!J25+'Avg Week Nyanama-Ndeeba'!J25</f>
        <v>2.1428571428571428</v>
      </c>
      <c r="K25" s="49">
        <f>'Avg Week Ndeeba-Nyanama'!K25+'Avg Week Nyanama-Ndeeba'!K25</f>
        <v>0.5714285714285714</v>
      </c>
      <c r="L25" s="49">
        <f>'Avg Week Ndeeba-Nyanama'!L25+'Avg Week Nyanama-Ndeeba'!L25</f>
        <v>0.2857142857142857</v>
      </c>
      <c r="M25" s="49">
        <f>'Avg Week Ndeeba-Nyanama'!M25+'Avg Week Nyanama-Ndeeba'!M25</f>
        <v>172</v>
      </c>
      <c r="N25" s="49">
        <f>'Avg Week Ndeeba-Nyanama'!N25+'Avg Week Nyanama-Ndeeba'!N25</f>
        <v>0</v>
      </c>
      <c r="O25" s="17">
        <f t="shared" si="0"/>
        <v>136.28571428571428</v>
      </c>
      <c r="P25" s="17">
        <f t="shared" si="1"/>
        <v>308.28571428571428</v>
      </c>
      <c r="R25" s="1" t="s">
        <v>149</v>
      </c>
      <c r="S25" s="34">
        <f>SUM(C70:C73)</f>
        <v>335</v>
      </c>
      <c r="T25" s="34">
        <f t="shared" ref="T25:AF25" si="17">SUM(D70:D73)</f>
        <v>73.5</v>
      </c>
      <c r="U25" s="34">
        <f t="shared" si="17"/>
        <v>17.5</v>
      </c>
      <c r="V25" s="34">
        <f t="shared" si="17"/>
        <v>59</v>
      </c>
      <c r="W25" s="34">
        <f t="shared" si="17"/>
        <v>3</v>
      </c>
      <c r="X25" s="34">
        <f t="shared" si="17"/>
        <v>0.5</v>
      </c>
      <c r="Y25" s="34">
        <f t="shared" si="17"/>
        <v>20.5</v>
      </c>
      <c r="Z25" s="34">
        <f t="shared" si="17"/>
        <v>12</v>
      </c>
      <c r="AA25" s="34">
        <f t="shared" si="17"/>
        <v>1.5</v>
      </c>
      <c r="AB25" s="34">
        <f t="shared" si="17"/>
        <v>1</v>
      </c>
      <c r="AC25" s="34">
        <f t="shared" si="17"/>
        <v>582.5</v>
      </c>
      <c r="AD25" s="34">
        <f t="shared" si="17"/>
        <v>0</v>
      </c>
      <c r="AE25" s="31">
        <f t="shared" si="17"/>
        <v>523.5</v>
      </c>
      <c r="AF25" s="31">
        <f t="shared" si="17"/>
        <v>1106</v>
      </c>
    </row>
    <row r="26" spans="2:32" ht="23.1" customHeight="1" x14ac:dyDescent="0.25">
      <c r="B26" s="23" t="s">
        <v>53</v>
      </c>
      <c r="C26" s="49">
        <f>'Avg Week Ndeeba-Nyanama'!C26+'Avg Week Nyanama-Ndeeba'!C26</f>
        <v>81.428571428571416</v>
      </c>
      <c r="D26" s="49">
        <f>'Avg Week Ndeeba-Nyanama'!D26+'Avg Week Nyanama-Ndeeba'!D26</f>
        <v>5.4285714285714288</v>
      </c>
      <c r="E26" s="49">
        <f>'Avg Week Ndeeba-Nyanama'!E26+'Avg Week Nyanama-Ndeeba'!E26</f>
        <v>7</v>
      </c>
      <c r="F26" s="49">
        <f>'Avg Week Ndeeba-Nyanama'!F26+'Avg Week Nyanama-Ndeeba'!F26</f>
        <v>18</v>
      </c>
      <c r="G26" s="49">
        <f>'Avg Week Ndeeba-Nyanama'!G26+'Avg Week Nyanama-Ndeeba'!G26</f>
        <v>1.2857142857142856</v>
      </c>
      <c r="H26" s="49">
        <f>'Avg Week Ndeeba-Nyanama'!H26+'Avg Week Nyanama-Ndeeba'!H26</f>
        <v>0</v>
      </c>
      <c r="I26" s="49">
        <f>'Avg Week Ndeeba-Nyanama'!I26+'Avg Week Nyanama-Ndeeba'!I26</f>
        <v>6.7142857142857153</v>
      </c>
      <c r="J26" s="49">
        <f>'Avg Week Ndeeba-Nyanama'!J26+'Avg Week Nyanama-Ndeeba'!J26</f>
        <v>1.7142857142857144</v>
      </c>
      <c r="K26" s="49">
        <f>'Avg Week Ndeeba-Nyanama'!K26+'Avg Week Nyanama-Ndeeba'!K26</f>
        <v>0.2857142857142857</v>
      </c>
      <c r="L26" s="49">
        <f>'Avg Week Ndeeba-Nyanama'!L26+'Avg Week Nyanama-Ndeeba'!L26</f>
        <v>0.2857142857142857</v>
      </c>
      <c r="M26" s="49">
        <f>'Avg Week Ndeeba-Nyanama'!M26+'Avg Week Nyanama-Ndeeba'!M26</f>
        <v>182.28571428571428</v>
      </c>
      <c r="N26" s="49">
        <f>'Avg Week Ndeeba-Nyanama'!N26+'Avg Week Nyanama-Ndeeba'!N26</f>
        <v>0.14285714285714285</v>
      </c>
      <c r="O26" s="17">
        <f t="shared" si="0"/>
        <v>122.28571428571429</v>
      </c>
      <c r="P26" s="17">
        <f t="shared" si="1"/>
        <v>304.57142857142861</v>
      </c>
      <c r="R26" s="1" t="s">
        <v>150</v>
      </c>
      <c r="S26" s="34">
        <f>SUM(C74:C77)</f>
        <v>219</v>
      </c>
      <c r="T26" s="34">
        <f t="shared" ref="T26:AF26" si="18">SUM(D74:D77)</f>
        <v>53</v>
      </c>
      <c r="U26" s="34">
        <f t="shared" si="18"/>
        <v>12.5</v>
      </c>
      <c r="V26" s="34">
        <f t="shared" si="18"/>
        <v>32.5</v>
      </c>
      <c r="W26" s="34">
        <f t="shared" si="18"/>
        <v>0.5</v>
      </c>
      <c r="X26" s="34">
        <f t="shared" si="18"/>
        <v>1</v>
      </c>
      <c r="Y26" s="34">
        <f t="shared" si="18"/>
        <v>13</v>
      </c>
      <c r="Z26" s="34">
        <f t="shared" si="18"/>
        <v>11</v>
      </c>
      <c r="AA26" s="34">
        <f t="shared" si="18"/>
        <v>4</v>
      </c>
      <c r="AB26" s="34">
        <f t="shared" si="18"/>
        <v>0</v>
      </c>
      <c r="AC26" s="34">
        <f t="shared" si="18"/>
        <v>443.5</v>
      </c>
      <c r="AD26" s="34">
        <f t="shared" si="18"/>
        <v>0</v>
      </c>
      <c r="AE26" s="31">
        <f t="shared" si="18"/>
        <v>346.5</v>
      </c>
      <c r="AF26" s="31">
        <f t="shared" si="18"/>
        <v>790</v>
      </c>
    </row>
    <row r="27" spans="2:32" ht="23.1" customHeight="1" x14ac:dyDescent="0.25">
      <c r="B27" s="23" t="s">
        <v>54</v>
      </c>
      <c r="C27" s="49">
        <f>'Avg Week Ndeeba-Nyanama'!C27+'Avg Week Nyanama-Ndeeba'!C27</f>
        <v>80.142857142857139</v>
      </c>
      <c r="D27" s="49">
        <f>'Avg Week Ndeeba-Nyanama'!D27+'Avg Week Nyanama-Ndeeba'!D27</f>
        <v>6.1428571428571432</v>
      </c>
      <c r="E27" s="49">
        <f>'Avg Week Ndeeba-Nyanama'!E27+'Avg Week Nyanama-Ndeeba'!E27</f>
        <v>4.8571428571428568</v>
      </c>
      <c r="F27" s="49">
        <f>'Avg Week Ndeeba-Nyanama'!F27+'Avg Week Nyanama-Ndeeba'!F27</f>
        <v>15.142857142857142</v>
      </c>
      <c r="G27" s="49">
        <f>'Avg Week Ndeeba-Nyanama'!G27+'Avg Week Nyanama-Ndeeba'!G27</f>
        <v>0.5714285714285714</v>
      </c>
      <c r="H27" s="49">
        <f>'Avg Week Ndeeba-Nyanama'!H27+'Avg Week Nyanama-Ndeeba'!H27</f>
        <v>0.14285714285714285</v>
      </c>
      <c r="I27" s="49">
        <f>'Avg Week Ndeeba-Nyanama'!I27+'Avg Week Nyanama-Ndeeba'!I27</f>
        <v>7.5714285714285712</v>
      </c>
      <c r="J27" s="49">
        <f>'Avg Week Ndeeba-Nyanama'!J27+'Avg Week Nyanama-Ndeeba'!J27</f>
        <v>3</v>
      </c>
      <c r="K27" s="49">
        <f>'Avg Week Ndeeba-Nyanama'!K27+'Avg Week Nyanama-Ndeeba'!K27</f>
        <v>0.2857142857142857</v>
      </c>
      <c r="L27" s="49">
        <f>'Avg Week Ndeeba-Nyanama'!L27+'Avg Week Nyanama-Ndeeba'!L27</f>
        <v>0.14285714285714285</v>
      </c>
      <c r="M27" s="49">
        <f>'Avg Week Ndeeba-Nyanama'!M27+'Avg Week Nyanama-Ndeeba'!M27</f>
        <v>167</v>
      </c>
      <c r="N27" s="49">
        <f>'Avg Week Ndeeba-Nyanama'!N27+'Avg Week Nyanama-Ndeeba'!N27</f>
        <v>0</v>
      </c>
      <c r="O27" s="17">
        <f t="shared" si="0"/>
        <v>117.99999999999999</v>
      </c>
      <c r="P27" s="17">
        <f t="shared" si="1"/>
        <v>285</v>
      </c>
      <c r="R27" s="1" t="s">
        <v>151</v>
      </c>
      <c r="S27" s="34">
        <f>SUM(C78:C81)</f>
        <v>105.5</v>
      </c>
      <c r="T27" s="34">
        <f t="shared" ref="T27:AF27" si="19">SUM(D78:D81)</f>
        <v>33</v>
      </c>
      <c r="U27" s="34">
        <f t="shared" si="19"/>
        <v>10</v>
      </c>
      <c r="V27" s="34">
        <f t="shared" si="19"/>
        <v>29</v>
      </c>
      <c r="W27" s="34">
        <f t="shared" si="19"/>
        <v>0</v>
      </c>
      <c r="X27" s="34">
        <f t="shared" si="19"/>
        <v>0</v>
      </c>
      <c r="Y27" s="34">
        <f t="shared" si="19"/>
        <v>10</v>
      </c>
      <c r="Z27" s="34">
        <f t="shared" si="19"/>
        <v>4.5</v>
      </c>
      <c r="AA27" s="34">
        <f t="shared" si="19"/>
        <v>4.5</v>
      </c>
      <c r="AB27" s="34">
        <f t="shared" si="19"/>
        <v>0.5</v>
      </c>
      <c r="AC27" s="34">
        <f t="shared" si="19"/>
        <v>233.5</v>
      </c>
      <c r="AD27" s="34">
        <f t="shared" si="19"/>
        <v>0</v>
      </c>
      <c r="AE27" s="31">
        <f t="shared" si="19"/>
        <v>197</v>
      </c>
      <c r="AF27" s="31">
        <f t="shared" si="19"/>
        <v>430.5</v>
      </c>
    </row>
    <row r="28" spans="2:32" ht="23.1" customHeight="1" x14ac:dyDescent="0.25">
      <c r="B28" s="23" t="s">
        <v>55</v>
      </c>
      <c r="C28" s="49">
        <f>'Avg Week Ndeeba-Nyanama'!C28+'Avg Week Nyanama-Ndeeba'!C28</f>
        <v>90.142857142857139</v>
      </c>
      <c r="D28" s="49">
        <f>'Avg Week Ndeeba-Nyanama'!D28+'Avg Week Nyanama-Ndeeba'!D28</f>
        <v>5.7142857142857144</v>
      </c>
      <c r="E28" s="49">
        <f>'Avg Week Ndeeba-Nyanama'!E28+'Avg Week Nyanama-Ndeeba'!E28</f>
        <v>7.1428571428571423</v>
      </c>
      <c r="F28" s="49">
        <f>'Avg Week Ndeeba-Nyanama'!F28+'Avg Week Nyanama-Ndeeba'!F28</f>
        <v>20</v>
      </c>
      <c r="G28" s="49">
        <f>'Avg Week Ndeeba-Nyanama'!G28+'Avg Week Nyanama-Ndeeba'!G28</f>
        <v>0.5714285714285714</v>
      </c>
      <c r="H28" s="49">
        <f>'Avg Week Ndeeba-Nyanama'!H28+'Avg Week Nyanama-Ndeeba'!H28</f>
        <v>0</v>
      </c>
      <c r="I28" s="49">
        <f>'Avg Week Ndeeba-Nyanama'!I28+'Avg Week Nyanama-Ndeeba'!I28</f>
        <v>6.7142857142857144</v>
      </c>
      <c r="J28" s="49">
        <f>'Avg Week Ndeeba-Nyanama'!J28+'Avg Week Nyanama-Ndeeba'!J28</f>
        <v>2.8571428571428568</v>
      </c>
      <c r="K28" s="49">
        <f>'Avg Week Ndeeba-Nyanama'!K28+'Avg Week Nyanama-Ndeeba'!K28</f>
        <v>1.1428571428571428</v>
      </c>
      <c r="L28" s="49">
        <f>'Avg Week Ndeeba-Nyanama'!L28+'Avg Week Nyanama-Ndeeba'!L28</f>
        <v>0.85714285714285721</v>
      </c>
      <c r="M28" s="49">
        <f>'Avg Week Ndeeba-Nyanama'!M28+'Avg Week Nyanama-Ndeeba'!M28</f>
        <v>164.42857142857142</v>
      </c>
      <c r="N28" s="49">
        <f>'Avg Week Ndeeba-Nyanama'!N28+'Avg Week Nyanama-Ndeeba'!N28</f>
        <v>0</v>
      </c>
      <c r="O28" s="17">
        <f t="shared" si="0"/>
        <v>135.14285714285714</v>
      </c>
      <c r="P28" s="17">
        <f t="shared" si="1"/>
        <v>299.57142857142856</v>
      </c>
      <c r="R28" s="1" t="s">
        <v>152</v>
      </c>
      <c r="S28" s="34">
        <f>SUM(C82:C85)</f>
        <v>75.5</v>
      </c>
      <c r="T28" s="34">
        <f t="shared" ref="T28:AF28" si="20">SUM(D82:D85)</f>
        <v>18</v>
      </c>
      <c r="U28" s="34">
        <f t="shared" si="20"/>
        <v>8</v>
      </c>
      <c r="V28" s="34">
        <f t="shared" si="20"/>
        <v>15</v>
      </c>
      <c r="W28" s="34">
        <f t="shared" si="20"/>
        <v>0</v>
      </c>
      <c r="X28" s="34">
        <f t="shared" si="20"/>
        <v>0</v>
      </c>
      <c r="Y28" s="34">
        <f t="shared" si="20"/>
        <v>16.5</v>
      </c>
      <c r="Z28" s="34">
        <f t="shared" si="20"/>
        <v>5</v>
      </c>
      <c r="AA28" s="34">
        <f t="shared" si="20"/>
        <v>5.5</v>
      </c>
      <c r="AB28" s="34">
        <f t="shared" si="20"/>
        <v>0.5</v>
      </c>
      <c r="AC28" s="34">
        <f t="shared" si="20"/>
        <v>254.5</v>
      </c>
      <c r="AD28" s="34">
        <f t="shared" si="20"/>
        <v>0</v>
      </c>
      <c r="AE28" s="31">
        <f t="shared" si="20"/>
        <v>144</v>
      </c>
      <c r="AF28" s="31">
        <f t="shared" si="20"/>
        <v>398.5</v>
      </c>
    </row>
    <row r="29" spans="2:32" ht="23.1" customHeight="1" x14ac:dyDescent="0.25">
      <c r="B29" s="23" t="s">
        <v>56</v>
      </c>
      <c r="C29" s="49">
        <f>'Avg Week Ndeeba-Nyanama'!C29+'Avg Week Nyanama-Ndeeba'!C29</f>
        <v>79.714285714285722</v>
      </c>
      <c r="D29" s="49">
        <f>'Avg Week Ndeeba-Nyanama'!D29+'Avg Week Nyanama-Ndeeba'!D29</f>
        <v>8.4285714285714288</v>
      </c>
      <c r="E29" s="49">
        <f>'Avg Week Ndeeba-Nyanama'!E29+'Avg Week Nyanama-Ndeeba'!E29</f>
        <v>8.1428571428571423</v>
      </c>
      <c r="F29" s="49">
        <f>'Avg Week Ndeeba-Nyanama'!F29+'Avg Week Nyanama-Ndeeba'!F29</f>
        <v>11</v>
      </c>
      <c r="G29" s="49">
        <f>'Avg Week Ndeeba-Nyanama'!G29+'Avg Week Nyanama-Ndeeba'!G29</f>
        <v>0.5714285714285714</v>
      </c>
      <c r="H29" s="49">
        <f>'Avg Week Ndeeba-Nyanama'!H29+'Avg Week Nyanama-Ndeeba'!H29</f>
        <v>0.14285714285714285</v>
      </c>
      <c r="I29" s="49">
        <f>'Avg Week Ndeeba-Nyanama'!I29+'Avg Week Nyanama-Ndeeba'!I29</f>
        <v>4.8571428571428577</v>
      </c>
      <c r="J29" s="49">
        <f>'Avg Week Ndeeba-Nyanama'!J29+'Avg Week Nyanama-Ndeeba'!J29</f>
        <v>2.4285714285714284</v>
      </c>
      <c r="K29" s="49">
        <f>'Avg Week Ndeeba-Nyanama'!K29+'Avg Week Nyanama-Ndeeba'!K29</f>
        <v>1.2857142857142856</v>
      </c>
      <c r="L29" s="49">
        <f>'Avg Week Ndeeba-Nyanama'!L29+'Avg Week Nyanama-Ndeeba'!L29</f>
        <v>0.42857142857142855</v>
      </c>
      <c r="M29" s="49">
        <f>'Avg Week Ndeeba-Nyanama'!M29+'Avg Week Nyanama-Ndeeba'!M29</f>
        <v>165.85714285714286</v>
      </c>
      <c r="N29" s="49">
        <f>'Avg Week Ndeeba-Nyanama'!N29+'Avg Week Nyanama-Ndeeba'!N29</f>
        <v>0</v>
      </c>
      <c r="O29" s="17">
        <f t="shared" si="0"/>
        <v>117.00000000000001</v>
      </c>
      <c r="P29" s="17">
        <f t="shared" si="1"/>
        <v>282.85714285714289</v>
      </c>
      <c r="R29" s="1" t="s">
        <v>153</v>
      </c>
      <c r="S29" s="34">
        <f>SUM(C86:C89)</f>
        <v>34.5</v>
      </c>
      <c r="T29" s="34">
        <f t="shared" ref="T29:AF29" si="21">SUM(D86:D89)</f>
        <v>5</v>
      </c>
      <c r="U29" s="34">
        <f t="shared" si="21"/>
        <v>0.5</v>
      </c>
      <c r="V29" s="34">
        <f t="shared" si="21"/>
        <v>2.5</v>
      </c>
      <c r="W29" s="34">
        <f t="shared" si="21"/>
        <v>0</v>
      </c>
      <c r="X29" s="34">
        <f t="shared" si="21"/>
        <v>0</v>
      </c>
      <c r="Y29" s="34">
        <f t="shared" si="21"/>
        <v>4</v>
      </c>
      <c r="Z29" s="34">
        <f t="shared" si="21"/>
        <v>4</v>
      </c>
      <c r="AA29" s="34">
        <f t="shared" si="21"/>
        <v>2.5</v>
      </c>
      <c r="AB29" s="34">
        <f t="shared" si="21"/>
        <v>0.5</v>
      </c>
      <c r="AC29" s="34">
        <f t="shared" si="21"/>
        <v>129.5</v>
      </c>
      <c r="AD29" s="34">
        <f t="shared" si="21"/>
        <v>0</v>
      </c>
      <c r="AE29" s="31">
        <f t="shared" si="21"/>
        <v>53.5</v>
      </c>
      <c r="AF29" s="31">
        <f t="shared" si="21"/>
        <v>183</v>
      </c>
    </row>
    <row r="30" spans="2:32" ht="23.1" customHeight="1" x14ac:dyDescent="0.25">
      <c r="B30" s="23" t="s">
        <v>57</v>
      </c>
      <c r="C30" s="49">
        <f>'Avg Week Ndeeba-Nyanama'!C30+'Avg Week Nyanama-Ndeeba'!C30</f>
        <v>80</v>
      </c>
      <c r="D30" s="49">
        <f>'Avg Week Ndeeba-Nyanama'!D30+'Avg Week Nyanama-Ndeeba'!D30</f>
        <v>5.4285714285714288</v>
      </c>
      <c r="E30" s="49">
        <f>'Avg Week Ndeeba-Nyanama'!E30+'Avg Week Nyanama-Ndeeba'!E30</f>
        <v>6.2857142857142865</v>
      </c>
      <c r="F30" s="49">
        <f>'Avg Week Ndeeba-Nyanama'!F30+'Avg Week Nyanama-Ndeeba'!F30</f>
        <v>11.857142857142858</v>
      </c>
      <c r="G30" s="49">
        <f>'Avg Week Ndeeba-Nyanama'!G30+'Avg Week Nyanama-Ndeeba'!G30</f>
        <v>0.71428571428571419</v>
      </c>
      <c r="H30" s="49">
        <f>'Avg Week Ndeeba-Nyanama'!H30+'Avg Week Nyanama-Ndeeba'!H30</f>
        <v>0</v>
      </c>
      <c r="I30" s="49">
        <f>'Avg Week Ndeeba-Nyanama'!I30+'Avg Week Nyanama-Ndeeba'!I30</f>
        <v>5.5714285714285712</v>
      </c>
      <c r="J30" s="49">
        <f>'Avg Week Ndeeba-Nyanama'!J30+'Avg Week Nyanama-Ndeeba'!J30</f>
        <v>2.8571428571428572</v>
      </c>
      <c r="K30" s="49">
        <f>'Avg Week Ndeeba-Nyanama'!K30+'Avg Week Nyanama-Ndeeba'!K30</f>
        <v>0.2857142857142857</v>
      </c>
      <c r="L30" s="49">
        <f>'Avg Week Ndeeba-Nyanama'!L30+'Avg Week Nyanama-Ndeeba'!L30</f>
        <v>0.14285714285714285</v>
      </c>
      <c r="M30" s="49">
        <f>'Avg Week Ndeeba-Nyanama'!M30+'Avg Week Nyanama-Ndeeba'!M30</f>
        <v>173.28571428571428</v>
      </c>
      <c r="N30" s="49">
        <f>'Avg Week Ndeeba-Nyanama'!N30+'Avg Week Nyanama-Ndeeba'!N30</f>
        <v>0</v>
      </c>
      <c r="O30" s="17">
        <f t="shared" si="0"/>
        <v>113.14285714285715</v>
      </c>
      <c r="P30" s="17">
        <f t="shared" si="1"/>
        <v>286.42857142857144</v>
      </c>
      <c r="R30" s="1" t="s">
        <v>154</v>
      </c>
      <c r="S30" s="34">
        <f>SUM(C90:C93)</f>
        <v>27</v>
      </c>
      <c r="T30" s="34">
        <f t="shared" ref="T30:AF30" si="22">SUM(D90:D93)</f>
        <v>3</v>
      </c>
      <c r="U30" s="34">
        <f t="shared" si="22"/>
        <v>0.5</v>
      </c>
      <c r="V30" s="34">
        <f t="shared" si="22"/>
        <v>1.5</v>
      </c>
      <c r="W30" s="34">
        <f t="shared" si="22"/>
        <v>0</v>
      </c>
      <c r="X30" s="34">
        <f t="shared" si="22"/>
        <v>0</v>
      </c>
      <c r="Y30" s="34">
        <f t="shared" si="22"/>
        <v>2.5</v>
      </c>
      <c r="Z30" s="34">
        <f t="shared" si="22"/>
        <v>0</v>
      </c>
      <c r="AA30" s="34">
        <f t="shared" si="22"/>
        <v>1</v>
      </c>
      <c r="AB30" s="34">
        <f t="shared" si="22"/>
        <v>0</v>
      </c>
      <c r="AC30" s="34">
        <f t="shared" si="22"/>
        <v>76</v>
      </c>
      <c r="AD30" s="34">
        <f t="shared" si="22"/>
        <v>0</v>
      </c>
      <c r="AE30" s="31">
        <f t="shared" si="22"/>
        <v>35.5</v>
      </c>
      <c r="AF30" s="31">
        <f t="shared" si="22"/>
        <v>111.5</v>
      </c>
    </row>
    <row r="31" spans="2:32" ht="23.1" customHeight="1" x14ac:dyDescent="0.25">
      <c r="B31" s="24" t="s">
        <v>58</v>
      </c>
      <c r="C31" s="49">
        <f>'Avg Week Ndeeba-Nyanama'!C31+'Avg Week Nyanama-Ndeeba'!C31</f>
        <v>80.142857142857139</v>
      </c>
      <c r="D31" s="49">
        <f>'Avg Week Ndeeba-Nyanama'!D31+'Avg Week Nyanama-Ndeeba'!D31</f>
        <v>5.2857142857142856</v>
      </c>
      <c r="E31" s="49">
        <f>'Avg Week Ndeeba-Nyanama'!E31+'Avg Week Nyanama-Ndeeba'!E31</f>
        <v>6.7142857142857135</v>
      </c>
      <c r="F31" s="49">
        <f>'Avg Week Ndeeba-Nyanama'!F31+'Avg Week Nyanama-Ndeeba'!F31</f>
        <v>15.142857142857142</v>
      </c>
      <c r="G31" s="49">
        <f>'Avg Week Ndeeba-Nyanama'!G31+'Avg Week Nyanama-Ndeeba'!G31</f>
        <v>0</v>
      </c>
      <c r="H31" s="49">
        <f>'Avg Week Ndeeba-Nyanama'!H31+'Avg Week Nyanama-Ndeeba'!H31</f>
        <v>0</v>
      </c>
      <c r="I31" s="49">
        <f>'Avg Week Ndeeba-Nyanama'!I31+'Avg Week Nyanama-Ndeeba'!I31</f>
        <v>6.4285714285714288</v>
      </c>
      <c r="J31" s="49">
        <f>'Avg Week Ndeeba-Nyanama'!J31+'Avg Week Nyanama-Ndeeba'!J31</f>
        <v>2.4285714285714284</v>
      </c>
      <c r="K31" s="49">
        <f>'Avg Week Ndeeba-Nyanama'!K31+'Avg Week Nyanama-Ndeeba'!K31</f>
        <v>0.42857142857142855</v>
      </c>
      <c r="L31" s="49">
        <f>'Avg Week Ndeeba-Nyanama'!L31+'Avg Week Nyanama-Ndeeba'!L31</f>
        <v>0.7142857142857143</v>
      </c>
      <c r="M31" s="49">
        <f>'Avg Week Ndeeba-Nyanama'!M31+'Avg Week Nyanama-Ndeeba'!M31</f>
        <v>185.42857142857144</v>
      </c>
      <c r="N31" s="49">
        <f>'Avg Week Ndeeba-Nyanama'!N31+'Avg Week Nyanama-Ndeeba'!N31</f>
        <v>0.14285714285714285</v>
      </c>
      <c r="O31" s="17">
        <f t="shared" si="0"/>
        <v>117.42857142857142</v>
      </c>
      <c r="P31" s="17">
        <f t="shared" si="1"/>
        <v>302.85714285714289</v>
      </c>
      <c r="R31" s="1" t="s">
        <v>155</v>
      </c>
      <c r="S31" s="34">
        <f>SUM(C94:C97)</f>
        <v>23.5</v>
      </c>
      <c r="T31" s="34">
        <f t="shared" ref="T31:AF31" si="23">SUM(D94:D97)</f>
        <v>2</v>
      </c>
      <c r="U31" s="34">
        <f t="shared" si="23"/>
        <v>0.5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3</v>
      </c>
      <c r="Z31" s="34">
        <f t="shared" si="23"/>
        <v>0.5</v>
      </c>
      <c r="AA31" s="34">
        <f t="shared" si="23"/>
        <v>2</v>
      </c>
      <c r="AB31" s="34">
        <f t="shared" si="23"/>
        <v>1</v>
      </c>
      <c r="AC31" s="34">
        <f t="shared" si="23"/>
        <v>58.5</v>
      </c>
      <c r="AD31" s="34">
        <f t="shared" si="23"/>
        <v>0</v>
      </c>
      <c r="AE31" s="31">
        <f t="shared" si="23"/>
        <v>33.5</v>
      </c>
      <c r="AF31" s="31">
        <f t="shared" si="23"/>
        <v>92</v>
      </c>
    </row>
    <row r="32" spans="2:32" ht="23.1" customHeight="1" x14ac:dyDescent="0.25">
      <c r="B32" s="24" t="s">
        <v>59</v>
      </c>
      <c r="C32" s="49">
        <f>'Avg Week Ndeeba-Nyanama'!C32+'Avg Week Nyanama-Ndeeba'!C32</f>
        <v>84.285714285714292</v>
      </c>
      <c r="D32" s="49">
        <f>'Avg Week Ndeeba-Nyanama'!D32+'Avg Week Nyanama-Ndeeba'!D32</f>
        <v>4.7142857142857144</v>
      </c>
      <c r="E32" s="49">
        <f>'Avg Week Ndeeba-Nyanama'!E32+'Avg Week Nyanama-Ndeeba'!E32</f>
        <v>3.7142857142857144</v>
      </c>
      <c r="F32" s="49">
        <f>'Avg Week Ndeeba-Nyanama'!F32+'Avg Week Nyanama-Ndeeba'!F32</f>
        <v>12.428571428571429</v>
      </c>
      <c r="G32" s="49">
        <f>'Avg Week Ndeeba-Nyanama'!G32+'Avg Week Nyanama-Ndeeba'!G32</f>
        <v>0.71428571428571419</v>
      </c>
      <c r="H32" s="49">
        <f>'Avg Week Ndeeba-Nyanama'!H32+'Avg Week Nyanama-Ndeeba'!H32</f>
        <v>0.5714285714285714</v>
      </c>
      <c r="I32" s="49">
        <f>'Avg Week Ndeeba-Nyanama'!I32+'Avg Week Nyanama-Ndeeba'!I32</f>
        <v>4.4285714285714288</v>
      </c>
      <c r="J32" s="49">
        <f>'Avg Week Ndeeba-Nyanama'!J32+'Avg Week Nyanama-Ndeeba'!J32</f>
        <v>1.5714285714285714</v>
      </c>
      <c r="K32" s="49">
        <f>'Avg Week Ndeeba-Nyanama'!K32+'Avg Week Nyanama-Ndeeba'!K32</f>
        <v>0</v>
      </c>
      <c r="L32" s="49">
        <f>'Avg Week Ndeeba-Nyanama'!L32+'Avg Week Nyanama-Ndeeba'!L32</f>
        <v>0.85714285714285721</v>
      </c>
      <c r="M32" s="49">
        <f>'Avg Week Ndeeba-Nyanama'!M32+'Avg Week Nyanama-Ndeeba'!M32</f>
        <v>167.71428571428572</v>
      </c>
      <c r="N32" s="49">
        <f>'Avg Week Ndeeba-Nyanama'!N32+'Avg Week Nyanama-Ndeeba'!N32</f>
        <v>0</v>
      </c>
      <c r="O32" s="17">
        <f t="shared" si="0"/>
        <v>113.28571428571428</v>
      </c>
      <c r="P32" s="17">
        <f t="shared" si="1"/>
        <v>281</v>
      </c>
      <c r="R32" s="1" t="s">
        <v>156</v>
      </c>
      <c r="S32" s="34">
        <f>SUM(C98:C101)</f>
        <v>36.5</v>
      </c>
      <c r="T32" s="34">
        <f t="shared" ref="T32:AF32" si="24">SUM(D98:D101)</f>
        <v>6.5</v>
      </c>
      <c r="U32" s="34">
        <f t="shared" si="24"/>
        <v>2.5</v>
      </c>
      <c r="V32" s="34">
        <f t="shared" si="24"/>
        <v>16.5</v>
      </c>
      <c r="W32" s="34">
        <f t="shared" si="24"/>
        <v>1</v>
      </c>
      <c r="X32" s="34">
        <f t="shared" si="24"/>
        <v>0</v>
      </c>
      <c r="Y32" s="34">
        <f t="shared" si="24"/>
        <v>8</v>
      </c>
      <c r="Z32" s="34">
        <f t="shared" si="24"/>
        <v>1</v>
      </c>
      <c r="AA32" s="34">
        <f t="shared" si="24"/>
        <v>3</v>
      </c>
      <c r="AB32" s="34">
        <f t="shared" si="24"/>
        <v>0</v>
      </c>
      <c r="AC32" s="34">
        <f t="shared" si="24"/>
        <v>178.5</v>
      </c>
      <c r="AD32" s="34">
        <f t="shared" si="24"/>
        <v>0</v>
      </c>
      <c r="AE32" s="31">
        <f t="shared" si="24"/>
        <v>75</v>
      </c>
      <c r="AF32" s="31">
        <f t="shared" si="24"/>
        <v>253.5</v>
      </c>
    </row>
    <row r="33" spans="2:32" ht="23.1" customHeight="1" x14ac:dyDescent="0.25">
      <c r="B33" s="23" t="s">
        <v>60</v>
      </c>
      <c r="C33" s="49">
        <f>'Avg Week Ndeeba-Nyanama'!C33+'Avg Week Nyanama-Ndeeba'!C33</f>
        <v>81.428571428571431</v>
      </c>
      <c r="D33" s="49">
        <f>'Avg Week Ndeeba-Nyanama'!D33+'Avg Week Nyanama-Ndeeba'!D33</f>
        <v>4</v>
      </c>
      <c r="E33" s="49">
        <f>'Avg Week Ndeeba-Nyanama'!E33+'Avg Week Nyanama-Ndeeba'!E33</f>
        <v>6.1428571428571423</v>
      </c>
      <c r="F33" s="49">
        <f>'Avg Week Ndeeba-Nyanama'!F33+'Avg Week Nyanama-Ndeeba'!F33</f>
        <v>16.428571428571427</v>
      </c>
      <c r="G33" s="49">
        <f>'Avg Week Ndeeba-Nyanama'!G33+'Avg Week Nyanama-Ndeeba'!G33</f>
        <v>0.2857142857142857</v>
      </c>
      <c r="H33" s="49">
        <f>'Avg Week Ndeeba-Nyanama'!H33+'Avg Week Nyanama-Ndeeba'!H33</f>
        <v>0</v>
      </c>
      <c r="I33" s="49">
        <f>'Avg Week Ndeeba-Nyanama'!I33+'Avg Week Nyanama-Ndeeba'!I33</f>
        <v>4.2857142857142856</v>
      </c>
      <c r="J33" s="49">
        <f>'Avg Week Ndeeba-Nyanama'!J33+'Avg Week Nyanama-Ndeeba'!J33</f>
        <v>1.8571428571428572</v>
      </c>
      <c r="K33" s="49">
        <f>'Avg Week Ndeeba-Nyanama'!K33+'Avg Week Nyanama-Ndeeba'!K33</f>
        <v>1.1428571428571428</v>
      </c>
      <c r="L33" s="49">
        <f>'Avg Week Ndeeba-Nyanama'!L33+'Avg Week Nyanama-Ndeeba'!L33</f>
        <v>1.2857142857142856</v>
      </c>
      <c r="M33" s="49">
        <f>'Avg Week Ndeeba-Nyanama'!M33+'Avg Week Nyanama-Ndeeba'!M33</f>
        <v>172.28571428571428</v>
      </c>
      <c r="N33" s="49">
        <f>'Avg Week Ndeeba-Nyanama'!N33+'Avg Week Nyanama-Ndeeba'!N33</f>
        <v>0</v>
      </c>
      <c r="O33" s="17">
        <f t="shared" si="0"/>
        <v>116.85714285714288</v>
      </c>
      <c r="P33" s="17">
        <f t="shared" si="1"/>
        <v>289.14285714285717</v>
      </c>
      <c r="R33" s="1" t="s">
        <v>157</v>
      </c>
      <c r="S33" s="34">
        <f>SUM(C102:C105)</f>
        <v>60.5</v>
      </c>
      <c r="T33" s="34">
        <f t="shared" ref="T33:AF33" si="25">SUM(D102:D105)</f>
        <v>19.5</v>
      </c>
      <c r="U33" s="34">
        <f t="shared" si="25"/>
        <v>5</v>
      </c>
      <c r="V33" s="34">
        <f t="shared" si="25"/>
        <v>39.5</v>
      </c>
      <c r="W33" s="34">
        <f t="shared" si="25"/>
        <v>0</v>
      </c>
      <c r="X33" s="34">
        <f t="shared" si="25"/>
        <v>0</v>
      </c>
      <c r="Y33" s="34">
        <f t="shared" si="25"/>
        <v>10.5</v>
      </c>
      <c r="Z33" s="34">
        <f t="shared" si="25"/>
        <v>1</v>
      </c>
      <c r="AA33" s="34">
        <f t="shared" si="25"/>
        <v>6</v>
      </c>
      <c r="AB33" s="34">
        <f t="shared" si="25"/>
        <v>1</v>
      </c>
      <c r="AC33" s="34">
        <f t="shared" si="25"/>
        <v>230.5</v>
      </c>
      <c r="AD33" s="34">
        <f t="shared" si="25"/>
        <v>0</v>
      </c>
      <c r="AE33" s="31">
        <f t="shared" si="25"/>
        <v>143</v>
      </c>
      <c r="AF33" s="31">
        <f t="shared" si="25"/>
        <v>373.5</v>
      </c>
    </row>
    <row r="34" spans="2:32" ht="23.1" customHeight="1" x14ac:dyDescent="0.25">
      <c r="B34" s="24" t="s">
        <v>61</v>
      </c>
      <c r="C34" s="49">
        <f>'Avg Week Ndeeba-Nyanama'!C34+'Avg Week Nyanama-Ndeeba'!C34</f>
        <v>79.571428571428569</v>
      </c>
      <c r="D34" s="49">
        <f>'Avg Week Ndeeba-Nyanama'!D34+'Avg Week Nyanama-Ndeeba'!D34</f>
        <v>4</v>
      </c>
      <c r="E34" s="49">
        <f>'Avg Week Ndeeba-Nyanama'!E34+'Avg Week Nyanama-Ndeeba'!E34</f>
        <v>6</v>
      </c>
      <c r="F34" s="49">
        <f>'Avg Week Ndeeba-Nyanama'!F34+'Avg Week Nyanama-Ndeeba'!F34</f>
        <v>13.142857142857142</v>
      </c>
      <c r="G34" s="49">
        <f>'Avg Week Ndeeba-Nyanama'!G34+'Avg Week Nyanama-Ndeeba'!G34</f>
        <v>0.2857142857142857</v>
      </c>
      <c r="H34" s="49">
        <f>'Avg Week Ndeeba-Nyanama'!H34+'Avg Week Nyanama-Ndeeba'!H34</f>
        <v>0</v>
      </c>
      <c r="I34" s="49">
        <f>'Avg Week Ndeeba-Nyanama'!I34+'Avg Week Nyanama-Ndeeba'!I34</f>
        <v>4.5714285714285712</v>
      </c>
      <c r="J34" s="49">
        <f>'Avg Week Ndeeba-Nyanama'!J34+'Avg Week Nyanama-Ndeeba'!J34</f>
        <v>2.5714285714285712</v>
      </c>
      <c r="K34" s="49">
        <f>'Avg Week Ndeeba-Nyanama'!K34+'Avg Week Nyanama-Ndeeba'!K34</f>
        <v>0.71428571428571419</v>
      </c>
      <c r="L34" s="49">
        <f>'Avg Week Ndeeba-Nyanama'!L34+'Avg Week Nyanama-Ndeeba'!L34</f>
        <v>0.14285714285714285</v>
      </c>
      <c r="M34" s="49">
        <f>'Avg Week Ndeeba-Nyanama'!M34+'Avg Week Nyanama-Ndeeba'!M34</f>
        <v>153.42857142857144</v>
      </c>
      <c r="N34" s="49">
        <f>'Avg Week Ndeeba-Nyanama'!N34+'Avg Week Nyanama-Ndeeba'!N34</f>
        <v>0</v>
      </c>
      <c r="O34" s="17">
        <f t="shared" si="0"/>
        <v>110.99999999999999</v>
      </c>
      <c r="P34" s="17">
        <f t="shared" si="1"/>
        <v>264.42857142857144</v>
      </c>
      <c r="R34" s="52" t="s">
        <v>90</v>
      </c>
      <c r="S34" s="53">
        <f t="shared" ref="S34:AF34" si="26">MAX(S10:S12)</f>
        <v>375.85714285714289</v>
      </c>
      <c r="T34" s="53">
        <f t="shared" si="26"/>
        <v>32.285714285714285</v>
      </c>
      <c r="U34" s="53">
        <f t="shared" si="26"/>
        <v>37.142857142857139</v>
      </c>
      <c r="V34" s="53">
        <f t="shared" si="26"/>
        <v>189</v>
      </c>
      <c r="W34" s="53">
        <f t="shared" si="26"/>
        <v>2.8571428571428568</v>
      </c>
      <c r="X34" s="53">
        <f t="shared" si="26"/>
        <v>0.42857142857142855</v>
      </c>
      <c r="Y34" s="53">
        <f t="shared" si="26"/>
        <v>21.142857142857142</v>
      </c>
      <c r="Z34" s="53">
        <f t="shared" si="26"/>
        <v>9.4285714285714288</v>
      </c>
      <c r="AA34" s="53">
        <f t="shared" si="26"/>
        <v>5.4285714285714288</v>
      </c>
      <c r="AB34" s="53">
        <f t="shared" si="26"/>
        <v>1.5714285714285712</v>
      </c>
      <c r="AC34" s="53">
        <f t="shared" si="26"/>
        <v>859</v>
      </c>
      <c r="AD34" s="53">
        <f t="shared" si="26"/>
        <v>0</v>
      </c>
      <c r="AE34" s="40">
        <f t="shared" si="26"/>
        <v>657.57142857142856</v>
      </c>
      <c r="AF34" s="40">
        <f t="shared" si="26"/>
        <v>1442.1428571428571</v>
      </c>
    </row>
    <row r="35" spans="2:32" ht="23.1" customHeight="1" x14ac:dyDescent="0.25">
      <c r="B35" s="24" t="s">
        <v>62</v>
      </c>
      <c r="C35" s="49">
        <f>'Avg Week Ndeeba-Nyanama'!C35+'Avg Week Nyanama-Ndeeba'!C35</f>
        <v>75.428571428571431</v>
      </c>
      <c r="D35" s="49">
        <f>'Avg Week Ndeeba-Nyanama'!D35+'Avg Week Nyanama-Ndeeba'!D35</f>
        <v>5.7142857142857144</v>
      </c>
      <c r="E35" s="49">
        <f>'Avg Week Ndeeba-Nyanama'!E35+'Avg Week Nyanama-Ndeeba'!E35</f>
        <v>6.2857142857142856</v>
      </c>
      <c r="F35" s="49">
        <f>'Avg Week Ndeeba-Nyanama'!F35+'Avg Week Nyanama-Ndeeba'!F35</f>
        <v>13.428571428571429</v>
      </c>
      <c r="G35" s="49">
        <f>'Avg Week Ndeeba-Nyanama'!G35+'Avg Week Nyanama-Ndeeba'!G35</f>
        <v>0</v>
      </c>
      <c r="H35" s="49">
        <f>'Avg Week Ndeeba-Nyanama'!H35+'Avg Week Nyanama-Ndeeba'!H35</f>
        <v>0</v>
      </c>
      <c r="I35" s="49">
        <f>'Avg Week Ndeeba-Nyanama'!I35+'Avg Week Nyanama-Ndeeba'!I35</f>
        <v>4.7142857142857144</v>
      </c>
      <c r="J35" s="49">
        <f>'Avg Week Ndeeba-Nyanama'!J35+'Avg Week Nyanama-Ndeeba'!J35</f>
        <v>3.4285714285714288</v>
      </c>
      <c r="K35" s="49">
        <f>'Avg Week Ndeeba-Nyanama'!K35+'Avg Week Nyanama-Ndeeba'!K35</f>
        <v>0.42857142857142855</v>
      </c>
      <c r="L35" s="49">
        <f>'Avg Week Ndeeba-Nyanama'!L35+'Avg Week Nyanama-Ndeeba'!L35</f>
        <v>1</v>
      </c>
      <c r="M35" s="49">
        <f>'Avg Week Ndeeba-Nyanama'!M35+'Avg Week Nyanama-Ndeeba'!M35</f>
        <v>164.42857142857144</v>
      </c>
      <c r="N35" s="49">
        <f>'Avg Week Ndeeba-Nyanama'!N35+'Avg Week Nyanama-Ndeeba'!N35</f>
        <v>0</v>
      </c>
      <c r="O35" s="17">
        <f t="shared" si="0"/>
        <v>110.42857142857143</v>
      </c>
      <c r="P35" s="17">
        <f t="shared" si="1"/>
        <v>274.85714285714289</v>
      </c>
      <c r="R35" s="52" t="s">
        <v>91</v>
      </c>
      <c r="S35" s="53">
        <f t="shared" ref="S35:AF35" si="27">MAX(S13:S18)</f>
        <v>354.14285714285711</v>
      </c>
      <c r="T35" s="53">
        <f t="shared" si="27"/>
        <v>26.285714285714288</v>
      </c>
      <c r="U35" s="53">
        <f t="shared" si="27"/>
        <v>28.428571428571431</v>
      </c>
      <c r="V35" s="53">
        <f t="shared" si="27"/>
        <v>99.285714285714292</v>
      </c>
      <c r="W35" s="53">
        <f t="shared" si="27"/>
        <v>3</v>
      </c>
      <c r="X35" s="53">
        <f t="shared" si="27"/>
        <v>0.5714285714285714</v>
      </c>
      <c r="Y35" s="53">
        <f t="shared" si="27"/>
        <v>25.857142857142858</v>
      </c>
      <c r="Z35" s="53">
        <f t="shared" si="27"/>
        <v>10</v>
      </c>
      <c r="AA35" s="53">
        <f t="shared" si="27"/>
        <v>3</v>
      </c>
      <c r="AB35" s="53">
        <f t="shared" si="27"/>
        <v>3</v>
      </c>
      <c r="AC35" s="53">
        <f t="shared" si="27"/>
        <v>752.42857142857144</v>
      </c>
      <c r="AD35" s="53">
        <f t="shared" si="27"/>
        <v>0.2857142857142857</v>
      </c>
      <c r="AE35" s="40">
        <f t="shared" si="27"/>
        <v>540</v>
      </c>
      <c r="AF35" s="40">
        <f t="shared" si="27"/>
        <v>1292.4285714285713</v>
      </c>
    </row>
    <row r="36" spans="2:32" ht="23.1" customHeight="1" x14ac:dyDescent="0.25">
      <c r="B36" s="24" t="s">
        <v>63</v>
      </c>
      <c r="C36" s="49">
        <f>'Avg Week Ndeeba-Nyanama'!C36+'Avg Week Nyanama-Ndeeba'!C36</f>
        <v>80.428571428571431</v>
      </c>
      <c r="D36" s="49">
        <f>'Avg Week Ndeeba-Nyanama'!D36+'Avg Week Nyanama-Ndeeba'!D36</f>
        <v>4.2857142857142856</v>
      </c>
      <c r="E36" s="49">
        <f>'Avg Week Ndeeba-Nyanama'!E36+'Avg Week Nyanama-Ndeeba'!E36</f>
        <v>5.1428571428571423</v>
      </c>
      <c r="F36" s="49">
        <f>'Avg Week Ndeeba-Nyanama'!F36+'Avg Week Nyanama-Ndeeba'!F36</f>
        <v>12.714285714285715</v>
      </c>
      <c r="G36" s="49">
        <f>'Avg Week Ndeeba-Nyanama'!G36+'Avg Week Nyanama-Ndeeba'!G36</f>
        <v>0.2857142857142857</v>
      </c>
      <c r="H36" s="49">
        <f>'Avg Week Ndeeba-Nyanama'!H36+'Avg Week Nyanama-Ndeeba'!H36</f>
        <v>0</v>
      </c>
      <c r="I36" s="49">
        <f>'Avg Week Ndeeba-Nyanama'!I36+'Avg Week Nyanama-Ndeeba'!I36</f>
        <v>3.5714285714285712</v>
      </c>
      <c r="J36" s="49">
        <f>'Avg Week Ndeeba-Nyanama'!J36+'Avg Week Nyanama-Ndeeba'!J36</f>
        <v>2</v>
      </c>
      <c r="K36" s="49">
        <f>'Avg Week Ndeeba-Nyanama'!K36+'Avg Week Nyanama-Ndeeba'!K36</f>
        <v>0.42857142857142855</v>
      </c>
      <c r="L36" s="49">
        <f>'Avg Week Ndeeba-Nyanama'!L36+'Avg Week Nyanama-Ndeeba'!L36</f>
        <v>0.14285714285714285</v>
      </c>
      <c r="M36" s="49">
        <f>'Avg Week Ndeeba-Nyanama'!M36+'Avg Week Nyanama-Ndeeba'!M36</f>
        <v>161.14285714285714</v>
      </c>
      <c r="N36" s="49">
        <f>'Avg Week Ndeeba-Nyanama'!N36+'Avg Week Nyanama-Ndeeba'!N36</f>
        <v>0</v>
      </c>
      <c r="O36" s="17">
        <f t="shared" si="0"/>
        <v>109.00000000000001</v>
      </c>
      <c r="P36" s="17">
        <f t="shared" si="1"/>
        <v>270.14285714285717</v>
      </c>
      <c r="R36" s="52" t="s">
        <v>92</v>
      </c>
      <c r="S36" s="53">
        <f>MAX(S20:S22)</f>
        <v>419.57142857142856</v>
      </c>
      <c r="T36" s="53">
        <f t="shared" ref="T36:AF36" si="28">MAX(T19:T21)</f>
        <v>28.714285714285712</v>
      </c>
      <c r="U36" s="53">
        <f t="shared" si="28"/>
        <v>113.28571428571429</v>
      </c>
      <c r="V36" s="53">
        <f t="shared" si="28"/>
        <v>179.14285714285714</v>
      </c>
      <c r="W36" s="53">
        <f t="shared" si="28"/>
        <v>3.2857142857142856</v>
      </c>
      <c r="X36" s="53">
        <f t="shared" si="28"/>
        <v>0.99999999999999989</v>
      </c>
      <c r="Y36" s="53">
        <f t="shared" si="28"/>
        <v>26.142857142857142</v>
      </c>
      <c r="Z36" s="53">
        <f t="shared" si="28"/>
        <v>7</v>
      </c>
      <c r="AA36" s="53">
        <f t="shared" si="28"/>
        <v>3.8571428571428568</v>
      </c>
      <c r="AB36" s="53">
        <f t="shared" si="28"/>
        <v>1.9999999999999998</v>
      </c>
      <c r="AC36" s="53">
        <f t="shared" si="28"/>
        <v>777.14285714285711</v>
      </c>
      <c r="AD36" s="53">
        <f t="shared" si="28"/>
        <v>0.2857142857142857</v>
      </c>
      <c r="AE36" s="40">
        <f t="shared" si="28"/>
        <v>741.42857142857144</v>
      </c>
      <c r="AF36" s="40">
        <f t="shared" si="28"/>
        <v>1466.7142857142858</v>
      </c>
    </row>
    <row r="37" spans="2:32" ht="23.1" customHeight="1" x14ac:dyDescent="0.25">
      <c r="B37" s="23" t="s">
        <v>64</v>
      </c>
      <c r="C37" s="49">
        <f>'Avg Week Ndeeba-Nyanama'!C37+'Avg Week Nyanama-Ndeeba'!C37</f>
        <v>85.571428571428584</v>
      </c>
      <c r="D37" s="49">
        <f>'Avg Week Ndeeba-Nyanama'!D37+'Avg Week Nyanama-Ndeeba'!D37</f>
        <v>5.4285714285714288</v>
      </c>
      <c r="E37" s="49">
        <f>'Avg Week Ndeeba-Nyanama'!E37+'Avg Week Nyanama-Ndeeba'!E37</f>
        <v>7.4285714285714288</v>
      </c>
      <c r="F37" s="49">
        <f>'Avg Week Ndeeba-Nyanama'!F37+'Avg Week Nyanama-Ndeeba'!F37</f>
        <v>19.428571428571431</v>
      </c>
      <c r="G37" s="49">
        <f>'Avg Week Ndeeba-Nyanama'!G37+'Avg Week Nyanama-Ndeeba'!G37</f>
        <v>0.42857142857142855</v>
      </c>
      <c r="H37" s="49">
        <f>'Avg Week Ndeeba-Nyanama'!H37+'Avg Week Nyanama-Ndeeba'!H37</f>
        <v>0</v>
      </c>
      <c r="I37" s="49">
        <f>'Avg Week Ndeeba-Nyanama'!I37+'Avg Week Nyanama-Ndeeba'!I37</f>
        <v>5.2857142857142865</v>
      </c>
      <c r="J37" s="49">
        <f>'Avg Week Ndeeba-Nyanama'!J37+'Avg Week Nyanama-Ndeeba'!J37</f>
        <v>1</v>
      </c>
      <c r="K37" s="49">
        <f>'Avg Week Ndeeba-Nyanama'!K37+'Avg Week Nyanama-Ndeeba'!K37</f>
        <v>1</v>
      </c>
      <c r="L37" s="49">
        <f>'Avg Week Ndeeba-Nyanama'!L37+'Avg Week Nyanama-Ndeeba'!L37</f>
        <v>0.42857142857142855</v>
      </c>
      <c r="M37" s="49">
        <f>'Avg Week Ndeeba-Nyanama'!M37+'Avg Week Nyanama-Ndeeba'!M37</f>
        <v>155.42857142857144</v>
      </c>
      <c r="N37" s="49">
        <f>'Avg Week Ndeeba-Nyanama'!N37+'Avg Week Nyanama-Ndeeba'!N37</f>
        <v>0</v>
      </c>
      <c r="O37" s="17">
        <f t="shared" si="0"/>
        <v>126.00000000000003</v>
      </c>
      <c r="P37" s="17">
        <f t="shared" si="1"/>
        <v>281.42857142857144</v>
      </c>
      <c r="R37" s="37" t="s">
        <v>85</v>
      </c>
      <c r="S37" s="54">
        <f t="shared" ref="S37:AF37" si="29">SUM(S10:S12)</f>
        <v>1080.4285714285716</v>
      </c>
      <c r="T37" s="55">
        <f t="shared" si="29"/>
        <v>89.857142857142847</v>
      </c>
      <c r="U37" s="55">
        <f t="shared" si="29"/>
        <v>93.285714285714278</v>
      </c>
      <c r="V37" s="55">
        <f t="shared" si="29"/>
        <v>448.14285714285711</v>
      </c>
      <c r="W37" s="55">
        <f t="shared" si="29"/>
        <v>7.5714285714285712</v>
      </c>
      <c r="X37" s="55">
        <f t="shared" si="29"/>
        <v>0.71428571428571419</v>
      </c>
      <c r="Y37" s="55">
        <f t="shared" si="29"/>
        <v>52.571428571428569</v>
      </c>
      <c r="Z37" s="55">
        <f t="shared" si="29"/>
        <v>17.142857142857142</v>
      </c>
      <c r="AA37" s="55">
        <f t="shared" si="29"/>
        <v>8.7142857142857153</v>
      </c>
      <c r="AB37" s="55">
        <f t="shared" si="29"/>
        <v>2.9999999999999996</v>
      </c>
      <c r="AC37" s="55">
        <f t="shared" si="29"/>
        <v>2405.8571428571431</v>
      </c>
      <c r="AD37" s="55">
        <f t="shared" si="29"/>
        <v>0</v>
      </c>
      <c r="AE37" s="56">
        <f t="shared" si="29"/>
        <v>1801.4285714285716</v>
      </c>
      <c r="AF37" s="56">
        <f t="shared" si="29"/>
        <v>4207.2857142857147</v>
      </c>
    </row>
    <row r="38" spans="2:32" ht="23.1" customHeight="1" x14ac:dyDescent="0.25">
      <c r="B38" s="24" t="s">
        <v>65</v>
      </c>
      <c r="C38" s="49">
        <f>'Avg Week Ndeeba-Nyanama'!C38+'Avg Week Nyanama-Ndeeba'!C38</f>
        <v>70.285714285714278</v>
      </c>
      <c r="D38" s="49">
        <f>'Avg Week Ndeeba-Nyanama'!D38+'Avg Week Nyanama-Ndeeba'!D38</f>
        <v>4.4285714285714288</v>
      </c>
      <c r="E38" s="49">
        <f>'Avg Week Ndeeba-Nyanama'!E38+'Avg Week Nyanama-Ndeeba'!E38</f>
        <v>4.7142857142857135</v>
      </c>
      <c r="F38" s="49">
        <f>'Avg Week Ndeeba-Nyanama'!F38+'Avg Week Nyanama-Ndeeba'!F38</f>
        <v>11.142857142857142</v>
      </c>
      <c r="G38" s="49">
        <f>'Avg Week Ndeeba-Nyanama'!G38+'Avg Week Nyanama-Ndeeba'!G38</f>
        <v>0.5714285714285714</v>
      </c>
      <c r="H38" s="49">
        <f>'Avg Week Ndeeba-Nyanama'!H38+'Avg Week Nyanama-Ndeeba'!H38</f>
        <v>0</v>
      </c>
      <c r="I38" s="49">
        <f>'Avg Week Ndeeba-Nyanama'!I38+'Avg Week Nyanama-Ndeeba'!I38</f>
        <v>4.7142857142857135</v>
      </c>
      <c r="J38" s="49">
        <f>'Avg Week Ndeeba-Nyanama'!J38+'Avg Week Nyanama-Ndeeba'!J38</f>
        <v>2</v>
      </c>
      <c r="K38" s="49">
        <f>'Avg Week Ndeeba-Nyanama'!K38+'Avg Week Nyanama-Ndeeba'!K38</f>
        <v>0.42857142857142855</v>
      </c>
      <c r="L38" s="49">
        <f>'Avg Week Ndeeba-Nyanama'!L38+'Avg Week Nyanama-Ndeeba'!L38</f>
        <v>0.42857142857142855</v>
      </c>
      <c r="M38" s="49">
        <f>'Avg Week Ndeeba-Nyanama'!M38+'Avg Week Nyanama-Ndeeba'!M38</f>
        <v>148.85714285714286</v>
      </c>
      <c r="N38" s="49">
        <f>'Avg Week Ndeeba-Nyanama'!N38+'Avg Week Nyanama-Ndeeba'!N38</f>
        <v>0.2857142857142857</v>
      </c>
      <c r="O38" s="17">
        <f t="shared" si="0"/>
        <v>98.999999999999986</v>
      </c>
      <c r="P38" s="17">
        <f t="shared" si="1"/>
        <v>247.85714285714283</v>
      </c>
      <c r="R38" s="28" t="s">
        <v>86</v>
      </c>
      <c r="S38" s="55">
        <f t="shared" ref="S38:AF38" si="30">SUM(S13:S18)</f>
        <v>1943.8571428571429</v>
      </c>
      <c r="T38" s="55">
        <f t="shared" si="30"/>
        <v>129.42857142857144</v>
      </c>
      <c r="U38" s="55">
        <f t="shared" si="30"/>
        <v>152</v>
      </c>
      <c r="V38" s="55">
        <f t="shared" si="30"/>
        <v>403.85714285714283</v>
      </c>
      <c r="W38" s="55">
        <f t="shared" si="30"/>
        <v>10.714285714285714</v>
      </c>
      <c r="X38" s="55">
        <f t="shared" si="30"/>
        <v>1.1428571428571428</v>
      </c>
      <c r="Y38" s="55">
        <f t="shared" si="30"/>
        <v>122.42857142857142</v>
      </c>
      <c r="Z38" s="55">
        <f t="shared" si="30"/>
        <v>51.428571428571423</v>
      </c>
      <c r="AA38" s="55">
        <f t="shared" si="30"/>
        <v>13.142857142857142</v>
      </c>
      <c r="AB38" s="55">
        <f t="shared" si="30"/>
        <v>11.428571428571429</v>
      </c>
      <c r="AC38" s="55">
        <f t="shared" si="30"/>
        <v>3876.0000000000005</v>
      </c>
      <c r="AD38" s="55">
        <f t="shared" si="30"/>
        <v>0.71428571428571419</v>
      </c>
      <c r="AE38" s="56">
        <f t="shared" si="30"/>
        <v>2840.1428571428578</v>
      </c>
      <c r="AF38" s="56">
        <f t="shared" si="30"/>
        <v>6716.1428571428578</v>
      </c>
    </row>
    <row r="39" spans="2:32" ht="23.1" customHeight="1" x14ac:dyDescent="0.25">
      <c r="B39" s="24" t="s">
        <v>66</v>
      </c>
      <c r="C39" s="49">
        <f>'Avg Week Ndeeba-Nyanama'!C39+'Avg Week Nyanama-Ndeeba'!C39</f>
        <v>77.142857142857139</v>
      </c>
      <c r="D39" s="49">
        <f>'Avg Week Ndeeba-Nyanama'!D39+'Avg Week Nyanama-Ndeeba'!D39</f>
        <v>4.4285714285714288</v>
      </c>
      <c r="E39" s="49">
        <f>'Avg Week Ndeeba-Nyanama'!E39+'Avg Week Nyanama-Ndeeba'!E39</f>
        <v>6.5714285714285712</v>
      </c>
      <c r="F39" s="49">
        <f>'Avg Week Ndeeba-Nyanama'!F39+'Avg Week Nyanama-Ndeeba'!F39</f>
        <v>14.142857142857142</v>
      </c>
      <c r="G39" s="49">
        <f>'Avg Week Ndeeba-Nyanama'!G39+'Avg Week Nyanama-Ndeeba'!G39</f>
        <v>0.2857142857142857</v>
      </c>
      <c r="H39" s="49">
        <f>'Avg Week Ndeeba-Nyanama'!H39+'Avg Week Nyanama-Ndeeba'!H39</f>
        <v>0</v>
      </c>
      <c r="I39" s="49">
        <f>'Avg Week Ndeeba-Nyanama'!I39+'Avg Week Nyanama-Ndeeba'!I39</f>
        <v>3.4285714285714288</v>
      </c>
      <c r="J39" s="49">
        <f>'Avg Week Ndeeba-Nyanama'!J39+'Avg Week Nyanama-Ndeeba'!J39</f>
        <v>1.7142857142857144</v>
      </c>
      <c r="K39" s="49">
        <f>'Avg Week Ndeeba-Nyanama'!K39+'Avg Week Nyanama-Ndeeba'!K39</f>
        <v>0.8571428571428571</v>
      </c>
      <c r="L39" s="49">
        <f>'Avg Week Ndeeba-Nyanama'!L39+'Avg Week Nyanama-Ndeeba'!L39</f>
        <v>0.14285714285714285</v>
      </c>
      <c r="M39" s="49">
        <f>'Avg Week Ndeeba-Nyanama'!M39+'Avg Week Nyanama-Ndeeba'!M39</f>
        <v>142.14285714285714</v>
      </c>
      <c r="N39" s="49">
        <f>'Avg Week Ndeeba-Nyanama'!N39+'Avg Week Nyanama-Ndeeba'!N39</f>
        <v>0</v>
      </c>
      <c r="O39" s="17">
        <f t="shared" si="0"/>
        <v>108.71428571428571</v>
      </c>
      <c r="P39" s="17">
        <f t="shared" si="1"/>
        <v>250.85714285714283</v>
      </c>
      <c r="R39" s="29" t="s">
        <v>87</v>
      </c>
      <c r="S39" s="55">
        <f t="shared" ref="S39:AF39" si="31">SUM(S19:S21)</f>
        <v>1201.5714285714284</v>
      </c>
      <c r="T39" s="55">
        <f t="shared" si="31"/>
        <v>80.571428571428569</v>
      </c>
      <c r="U39" s="55">
        <f t="shared" si="31"/>
        <v>162.85714285714286</v>
      </c>
      <c r="V39" s="55">
        <f t="shared" si="31"/>
        <v>412.85714285714289</v>
      </c>
      <c r="W39" s="55">
        <f t="shared" si="31"/>
        <v>8.1428571428571423</v>
      </c>
      <c r="X39" s="55">
        <f t="shared" si="31"/>
        <v>1.8571428571428568</v>
      </c>
      <c r="Y39" s="55">
        <f t="shared" si="31"/>
        <v>71.142857142857139</v>
      </c>
      <c r="Z39" s="55">
        <f t="shared" si="31"/>
        <v>18.142857142857142</v>
      </c>
      <c r="AA39" s="55">
        <f t="shared" si="31"/>
        <v>7.7142857142857135</v>
      </c>
      <c r="AB39" s="55">
        <f t="shared" si="31"/>
        <v>3.714285714285714</v>
      </c>
      <c r="AC39" s="55">
        <f t="shared" si="31"/>
        <v>2110.2857142857142</v>
      </c>
      <c r="AD39" s="55">
        <f t="shared" si="31"/>
        <v>0.42857142857142855</v>
      </c>
      <c r="AE39" s="56">
        <f t="shared" si="31"/>
        <v>1969</v>
      </c>
      <c r="AF39" s="56">
        <f t="shared" si="31"/>
        <v>4079.2857142857142</v>
      </c>
    </row>
    <row r="40" spans="2:32" ht="23.1" customHeight="1" x14ac:dyDescent="0.25">
      <c r="B40" s="24" t="s">
        <v>67</v>
      </c>
      <c r="C40" s="49">
        <f>'Avg Week Ndeeba-Nyanama'!C40+'Avg Week Nyanama-Ndeeba'!C40</f>
        <v>71.857142857142861</v>
      </c>
      <c r="D40" s="49">
        <f>'Avg Week Ndeeba-Nyanama'!D40+'Avg Week Nyanama-Ndeeba'!D40</f>
        <v>5.4285714285714288</v>
      </c>
      <c r="E40" s="49">
        <f>'Avg Week Ndeeba-Nyanama'!E40+'Avg Week Nyanama-Ndeeba'!E40</f>
        <v>6.2857142857142856</v>
      </c>
      <c r="F40" s="49">
        <f>'Avg Week Ndeeba-Nyanama'!F40+'Avg Week Nyanama-Ndeeba'!F40</f>
        <v>18.285714285714285</v>
      </c>
      <c r="G40" s="49">
        <f>'Avg Week Ndeeba-Nyanama'!G40+'Avg Week Nyanama-Ndeeba'!G40</f>
        <v>0.42857142857142855</v>
      </c>
      <c r="H40" s="49">
        <f>'Avg Week Ndeeba-Nyanama'!H40+'Avg Week Nyanama-Ndeeba'!H40</f>
        <v>0</v>
      </c>
      <c r="I40" s="49">
        <f>'Avg Week Ndeeba-Nyanama'!I40+'Avg Week Nyanama-Ndeeba'!I40</f>
        <v>3.2857142857142856</v>
      </c>
      <c r="J40" s="49">
        <f>'Avg Week Ndeeba-Nyanama'!J40+'Avg Week Nyanama-Ndeeba'!J40</f>
        <v>1.1428571428571428</v>
      </c>
      <c r="K40" s="49">
        <f>'Avg Week Ndeeba-Nyanama'!K40+'Avg Week Nyanama-Ndeeba'!K40</f>
        <v>1.2857142857142856</v>
      </c>
      <c r="L40" s="49">
        <f>'Avg Week Ndeeba-Nyanama'!L40+'Avg Week Nyanama-Ndeeba'!L40</f>
        <v>0.42857142857142855</v>
      </c>
      <c r="M40" s="49">
        <f>'Avg Week Ndeeba-Nyanama'!M40+'Avg Week Nyanama-Ndeeba'!M40</f>
        <v>142.71428571428572</v>
      </c>
      <c r="N40" s="49">
        <f>'Avg Week Ndeeba-Nyanama'!N40+'Avg Week Nyanama-Ndeeba'!N40</f>
        <v>0</v>
      </c>
      <c r="O40" s="17">
        <f t="shared" si="0"/>
        <v>108.42857142857144</v>
      </c>
      <c r="P40" s="17">
        <f t="shared" si="1"/>
        <v>251.14285714285717</v>
      </c>
      <c r="R40" s="5" t="s">
        <v>17</v>
      </c>
      <c r="S40" s="55">
        <f t="shared" ref="S40:AF40" si="32">SUM(S10:S21)</f>
        <v>4225.8571428571431</v>
      </c>
      <c r="T40" s="55">
        <f t="shared" si="32"/>
        <v>299.85714285714289</v>
      </c>
      <c r="U40" s="55">
        <f t="shared" si="32"/>
        <v>408.14285714285711</v>
      </c>
      <c r="V40" s="55">
        <f t="shared" si="32"/>
        <v>1264.8571428571427</v>
      </c>
      <c r="W40" s="55">
        <f t="shared" si="32"/>
        <v>26.428571428571427</v>
      </c>
      <c r="X40" s="55">
        <f t="shared" si="32"/>
        <v>3.7142857142857135</v>
      </c>
      <c r="Y40" s="55">
        <f t="shared" si="32"/>
        <v>246.14285714285714</v>
      </c>
      <c r="Z40" s="55">
        <f t="shared" si="32"/>
        <v>86.714285714285708</v>
      </c>
      <c r="AA40" s="55">
        <f t="shared" si="32"/>
        <v>29.571428571428569</v>
      </c>
      <c r="AB40" s="55">
        <f t="shared" si="32"/>
        <v>18.142857142857139</v>
      </c>
      <c r="AC40" s="55">
        <f t="shared" si="32"/>
        <v>8392.1428571428587</v>
      </c>
      <c r="AD40" s="55">
        <f t="shared" si="32"/>
        <v>1.1428571428571428</v>
      </c>
      <c r="AE40" s="56">
        <f t="shared" si="32"/>
        <v>6610.5714285714294</v>
      </c>
      <c r="AF40" s="56">
        <f t="shared" si="32"/>
        <v>15002.714285714286</v>
      </c>
    </row>
    <row r="41" spans="2:32" ht="23.1" customHeight="1" x14ac:dyDescent="0.25">
      <c r="B41" s="23" t="s">
        <v>68</v>
      </c>
      <c r="C41" s="49">
        <f>'Avg Week Ndeeba-Nyanama'!C41+'Avg Week Nyanama-Ndeeba'!C41</f>
        <v>71.285714285714278</v>
      </c>
      <c r="D41" s="49">
        <f>'Avg Week Ndeeba-Nyanama'!D41+'Avg Week Nyanama-Ndeeba'!D41</f>
        <v>6.1428571428571432</v>
      </c>
      <c r="E41" s="49">
        <f>'Avg Week Ndeeba-Nyanama'!E41+'Avg Week Nyanama-Ndeeba'!E41</f>
        <v>5.2857142857142865</v>
      </c>
      <c r="F41" s="49">
        <f>'Avg Week Ndeeba-Nyanama'!F41+'Avg Week Nyanama-Ndeeba'!F41</f>
        <v>19.571428571428569</v>
      </c>
      <c r="G41" s="49">
        <f>'Avg Week Ndeeba-Nyanama'!G41+'Avg Week Nyanama-Ndeeba'!G41</f>
        <v>0.42857142857142855</v>
      </c>
      <c r="H41" s="49">
        <f>'Avg Week Ndeeba-Nyanama'!H41+'Avg Week Nyanama-Ndeeba'!H41</f>
        <v>0</v>
      </c>
      <c r="I41" s="49">
        <f>'Avg Week Ndeeba-Nyanama'!I41+'Avg Week Nyanama-Ndeeba'!I41</f>
        <v>3.5714285714285716</v>
      </c>
      <c r="J41" s="49">
        <f>'Avg Week Ndeeba-Nyanama'!J41+'Avg Week Nyanama-Ndeeba'!J41</f>
        <v>1.7142857142857142</v>
      </c>
      <c r="K41" s="49">
        <f>'Avg Week Ndeeba-Nyanama'!K41+'Avg Week Nyanama-Ndeeba'!K41</f>
        <v>0.2857142857142857</v>
      </c>
      <c r="L41" s="49">
        <f>'Avg Week Ndeeba-Nyanama'!L41+'Avg Week Nyanama-Ndeeba'!L41</f>
        <v>0.71428571428571419</v>
      </c>
      <c r="M41" s="49">
        <f>'Avg Week Ndeeba-Nyanama'!M41+'Avg Week Nyanama-Ndeeba'!M41</f>
        <v>135.71428571428572</v>
      </c>
      <c r="N41" s="49">
        <f>'Avg Week Ndeeba-Nyanama'!N41+'Avg Week Nyanama-Ndeeba'!N41</f>
        <v>0</v>
      </c>
      <c r="O41" s="17">
        <f t="shared" si="0"/>
        <v>108.99999999999999</v>
      </c>
      <c r="P41" s="17">
        <f t="shared" si="1"/>
        <v>244.71428571428572</v>
      </c>
      <c r="R41" s="5" t="s">
        <v>182</v>
      </c>
      <c r="S41" s="55">
        <f>SUM(S10:S33)</f>
        <v>6306.8571428571431</v>
      </c>
      <c r="T41" s="55">
        <f t="shared" ref="T41:AD41" si="33">SUM(T10:T33)</f>
        <v>710.85714285714289</v>
      </c>
      <c r="U41" s="55">
        <f t="shared" si="33"/>
        <v>574.64285714285711</v>
      </c>
      <c r="V41" s="55">
        <f t="shared" si="33"/>
        <v>1959.3571428571427</v>
      </c>
      <c r="W41" s="55">
        <f t="shared" si="33"/>
        <v>43.428571428571431</v>
      </c>
      <c r="X41" s="55">
        <f t="shared" si="33"/>
        <v>21.214285714285715</v>
      </c>
      <c r="Y41" s="55">
        <f t="shared" si="33"/>
        <v>440.64285714285711</v>
      </c>
      <c r="Z41" s="55">
        <f t="shared" si="33"/>
        <v>157.21428571428572</v>
      </c>
      <c r="AA41" s="55">
        <f t="shared" si="33"/>
        <v>73.071428571428569</v>
      </c>
      <c r="AB41" s="55">
        <f t="shared" si="33"/>
        <v>25.642857142857139</v>
      </c>
      <c r="AC41" s="55">
        <f t="shared" si="33"/>
        <v>12396.142857142859</v>
      </c>
      <c r="AD41" s="55">
        <f t="shared" si="33"/>
        <v>1.1428571428571428</v>
      </c>
      <c r="AE41" s="56">
        <f>SUM(AE10:AE33)</f>
        <v>10314.071428571429</v>
      </c>
      <c r="AF41" s="56">
        <f>SUM(AF10:AF33)</f>
        <v>22710.214285714286</v>
      </c>
    </row>
    <row r="42" spans="2:32" ht="23.1" customHeight="1" x14ac:dyDescent="0.25">
      <c r="B42" s="24" t="s">
        <v>69</v>
      </c>
      <c r="C42" s="49">
        <f>'Avg Week Ndeeba-Nyanama'!C42+'Avg Week Nyanama-Ndeeba'!C42</f>
        <v>71.428571428571431</v>
      </c>
      <c r="D42" s="49">
        <f>'Avg Week Ndeeba-Nyanama'!D42+'Avg Week Nyanama-Ndeeba'!D42</f>
        <v>4.7142857142857144</v>
      </c>
      <c r="E42" s="49">
        <f>'Avg Week Ndeeba-Nyanama'!E42+'Avg Week Nyanama-Ndeeba'!E42</f>
        <v>6.8571428571428577</v>
      </c>
      <c r="F42" s="49">
        <f>'Avg Week Ndeeba-Nyanama'!F42+'Avg Week Nyanama-Ndeeba'!F42</f>
        <v>17.428571428571427</v>
      </c>
      <c r="G42" s="49">
        <f>'Avg Week Ndeeba-Nyanama'!G42+'Avg Week Nyanama-Ndeeba'!G42</f>
        <v>0</v>
      </c>
      <c r="H42" s="49">
        <f>'Avg Week Ndeeba-Nyanama'!H42+'Avg Week Nyanama-Ndeeba'!H42</f>
        <v>0</v>
      </c>
      <c r="I42" s="49">
        <f>'Avg Week Ndeeba-Nyanama'!I42+'Avg Week Nyanama-Ndeeba'!I42</f>
        <v>5</v>
      </c>
      <c r="J42" s="49">
        <f>'Avg Week Ndeeba-Nyanama'!J42+'Avg Week Nyanama-Ndeeba'!J42</f>
        <v>1.8571428571428572</v>
      </c>
      <c r="K42" s="49">
        <f>'Avg Week Ndeeba-Nyanama'!K42+'Avg Week Nyanama-Ndeeba'!K42</f>
        <v>0.14285714285714285</v>
      </c>
      <c r="L42" s="49">
        <f>'Avg Week Ndeeba-Nyanama'!L42+'Avg Week Nyanama-Ndeeba'!L42</f>
        <v>0.42857142857142855</v>
      </c>
      <c r="M42" s="49">
        <f>'Avg Week Ndeeba-Nyanama'!M42+'Avg Week Nyanama-Ndeeba'!M42</f>
        <v>128.28571428571428</v>
      </c>
      <c r="N42" s="49">
        <f>'Avg Week Ndeeba-Nyanama'!N42+'Avg Week Nyanama-Ndeeba'!N42</f>
        <v>0.14285714285714285</v>
      </c>
      <c r="O42" s="17">
        <f t="shared" si="0"/>
        <v>108</v>
      </c>
      <c r="P42" s="17">
        <f t="shared" si="1"/>
        <v>236.28571428571428</v>
      </c>
      <c r="R42" s="5" t="s">
        <v>160</v>
      </c>
      <c r="S42" s="48">
        <f>S41/S40</f>
        <v>1.4924444744937628</v>
      </c>
      <c r="T42" s="48">
        <f t="shared" ref="T42:AF42" si="34">T41/T40</f>
        <v>2.37065269175798</v>
      </c>
      <c r="U42" s="48">
        <f t="shared" si="34"/>
        <v>1.4079453972698635</v>
      </c>
      <c r="V42" s="48">
        <f t="shared" si="34"/>
        <v>1.5490738649198104</v>
      </c>
      <c r="W42" s="48">
        <f t="shared" si="34"/>
        <v>1.6432432432432433</v>
      </c>
      <c r="X42" s="48">
        <f t="shared" si="34"/>
        <v>5.7115384615384626</v>
      </c>
      <c r="Y42" s="48">
        <f t="shared" si="34"/>
        <v>1.7901915264074288</v>
      </c>
      <c r="Z42" s="48">
        <f t="shared" si="34"/>
        <v>1.8130148270181221</v>
      </c>
      <c r="AA42" s="48">
        <f t="shared" si="34"/>
        <v>2.4710144927536235</v>
      </c>
      <c r="AB42" s="48">
        <f t="shared" si="34"/>
        <v>1.4133858267716537</v>
      </c>
      <c r="AC42" s="48">
        <f t="shared" si="34"/>
        <v>1.4771129457826198</v>
      </c>
      <c r="AD42" s="48">
        <f t="shared" si="34"/>
        <v>1</v>
      </c>
      <c r="AE42" s="51">
        <f t="shared" si="34"/>
        <v>1.5602390111077493</v>
      </c>
      <c r="AF42" s="51">
        <f t="shared" si="34"/>
        <v>1.5137403707900474</v>
      </c>
    </row>
    <row r="43" spans="2:32" ht="23.1" customHeight="1" x14ac:dyDescent="0.25">
      <c r="B43" s="23" t="s">
        <v>70</v>
      </c>
      <c r="C43" s="49">
        <f>'Avg Week Ndeeba-Nyanama'!C43+'Avg Week Nyanama-Ndeeba'!C43</f>
        <v>76.571428571428569</v>
      </c>
      <c r="D43" s="49">
        <f>'Avg Week Ndeeba-Nyanama'!D43+'Avg Week Nyanama-Ndeeba'!D43</f>
        <v>4.1428571428571432</v>
      </c>
      <c r="E43" s="49">
        <f>'Avg Week Ndeeba-Nyanama'!E43+'Avg Week Nyanama-Ndeeba'!E43</f>
        <v>9.5714285714285712</v>
      </c>
      <c r="F43" s="49">
        <f>'Avg Week Ndeeba-Nyanama'!F43+'Avg Week Nyanama-Ndeeba'!F43</f>
        <v>11.857142857142858</v>
      </c>
      <c r="G43" s="49">
        <f>'Avg Week Ndeeba-Nyanama'!G43+'Avg Week Nyanama-Ndeeba'!G43</f>
        <v>0.2857142857142857</v>
      </c>
      <c r="H43" s="49">
        <f>'Avg Week Ndeeba-Nyanama'!H43+'Avg Week Nyanama-Ndeeba'!H43</f>
        <v>0</v>
      </c>
      <c r="I43" s="49">
        <f>'Avg Week Ndeeba-Nyanama'!I43+'Avg Week Nyanama-Ndeeba'!I43</f>
        <v>4.2857142857142856</v>
      </c>
      <c r="J43" s="49">
        <f>'Avg Week Ndeeba-Nyanama'!J43+'Avg Week Nyanama-Ndeeba'!J43</f>
        <v>1.7142857142857142</v>
      </c>
      <c r="K43" s="49">
        <f>'Avg Week Ndeeba-Nyanama'!K43+'Avg Week Nyanama-Ndeeba'!K43</f>
        <v>0.14285714285714285</v>
      </c>
      <c r="L43" s="49">
        <f>'Avg Week Ndeeba-Nyanama'!L43+'Avg Week Nyanama-Ndeeba'!L43</f>
        <v>0.2857142857142857</v>
      </c>
      <c r="M43" s="49">
        <f>'Avg Week Ndeeba-Nyanama'!M43+'Avg Week Nyanama-Ndeeba'!M43</f>
        <v>122.28571428571429</v>
      </c>
      <c r="N43" s="49">
        <f>'Avg Week Ndeeba-Nyanama'!N43+'Avg Week Nyanama-Ndeeba'!N43</f>
        <v>0</v>
      </c>
      <c r="O43" s="17">
        <f t="shared" si="0"/>
        <v>108.85714285714286</v>
      </c>
      <c r="P43" s="17">
        <f t="shared" si="1"/>
        <v>231.14285714285717</v>
      </c>
    </row>
    <row r="44" spans="2:32" ht="23.1" customHeight="1" x14ac:dyDescent="0.25">
      <c r="B44" s="25" t="s">
        <v>71</v>
      </c>
      <c r="C44" s="49">
        <f>'Avg Week Ndeeba-Nyanama'!C44+'Avg Week Nyanama-Ndeeba'!C44</f>
        <v>82.857142857142861</v>
      </c>
      <c r="D44" s="49">
        <f>'Avg Week Ndeeba-Nyanama'!D44+'Avg Week Nyanama-Ndeeba'!D44</f>
        <v>3.8571428571428572</v>
      </c>
      <c r="E44" s="49">
        <f>'Avg Week Ndeeba-Nyanama'!E44+'Avg Week Nyanama-Ndeeba'!E44</f>
        <v>7</v>
      </c>
      <c r="F44" s="49">
        <f>'Avg Week Ndeeba-Nyanama'!F44+'Avg Week Nyanama-Ndeeba'!F44</f>
        <v>13.285714285714285</v>
      </c>
      <c r="G44" s="49">
        <f>'Avg Week Ndeeba-Nyanama'!G44+'Avg Week Nyanama-Ndeeba'!G44</f>
        <v>0</v>
      </c>
      <c r="H44" s="49">
        <f>'Avg Week Ndeeba-Nyanama'!H44+'Avg Week Nyanama-Ndeeba'!H44</f>
        <v>0.14285714285714285</v>
      </c>
      <c r="I44" s="49">
        <f>'Avg Week Ndeeba-Nyanama'!I44+'Avg Week Nyanama-Ndeeba'!I44</f>
        <v>4.1428571428571423</v>
      </c>
      <c r="J44" s="49">
        <f>'Avg Week Ndeeba-Nyanama'!J44+'Avg Week Nyanama-Ndeeba'!J44</f>
        <v>3</v>
      </c>
      <c r="K44" s="49">
        <f>'Avg Week Ndeeba-Nyanama'!K44+'Avg Week Nyanama-Ndeeba'!K44</f>
        <v>0.2857142857142857</v>
      </c>
      <c r="L44" s="49">
        <f>'Avg Week Ndeeba-Nyanama'!L44+'Avg Week Nyanama-Ndeeba'!L44</f>
        <v>0.2857142857142857</v>
      </c>
      <c r="M44" s="49">
        <f>'Avg Week Ndeeba-Nyanama'!M44+'Avg Week Nyanama-Ndeeba'!M44</f>
        <v>134.85714285714286</v>
      </c>
      <c r="N44" s="49">
        <f>'Avg Week Ndeeba-Nyanama'!N44+'Avg Week Nyanama-Ndeeba'!N44</f>
        <v>0</v>
      </c>
      <c r="O44" s="17">
        <f t="shared" si="0"/>
        <v>114.85714285714286</v>
      </c>
      <c r="P44" s="17">
        <f t="shared" si="1"/>
        <v>249.71428571428572</v>
      </c>
    </row>
    <row r="45" spans="2:32" ht="23.1" customHeight="1" x14ac:dyDescent="0.25">
      <c r="B45" s="23" t="s">
        <v>72</v>
      </c>
      <c r="C45" s="49">
        <f>'Avg Week Ndeeba-Nyanama'!C45+'Avg Week Nyanama-Ndeeba'!C45</f>
        <v>90</v>
      </c>
      <c r="D45" s="49">
        <f>'Avg Week Ndeeba-Nyanama'!D45+'Avg Week Nyanama-Ndeeba'!D45</f>
        <v>5.4285714285714288</v>
      </c>
      <c r="E45" s="49">
        <f>'Avg Week Ndeeba-Nyanama'!E45+'Avg Week Nyanama-Ndeeba'!E45</f>
        <v>5</v>
      </c>
      <c r="F45" s="49">
        <f>'Avg Week Ndeeba-Nyanama'!F45+'Avg Week Nyanama-Ndeeba'!F45</f>
        <v>20.142857142857142</v>
      </c>
      <c r="G45" s="49">
        <f>'Avg Week Ndeeba-Nyanama'!G45+'Avg Week Nyanama-Ndeeba'!G45</f>
        <v>0.5714285714285714</v>
      </c>
      <c r="H45" s="49">
        <f>'Avg Week Ndeeba-Nyanama'!H45+'Avg Week Nyanama-Ndeeba'!H45</f>
        <v>0.14285714285714285</v>
      </c>
      <c r="I45" s="49">
        <f>'Avg Week Ndeeba-Nyanama'!I45+'Avg Week Nyanama-Ndeeba'!I45</f>
        <v>7.7142857142857144</v>
      </c>
      <c r="J45" s="49">
        <f>'Avg Week Ndeeba-Nyanama'!J45+'Avg Week Nyanama-Ndeeba'!J45</f>
        <v>3</v>
      </c>
      <c r="K45" s="49">
        <f>'Avg Week Ndeeba-Nyanama'!K45+'Avg Week Nyanama-Ndeeba'!K45</f>
        <v>0.5714285714285714</v>
      </c>
      <c r="L45" s="49">
        <f>'Avg Week Ndeeba-Nyanama'!L45+'Avg Week Nyanama-Ndeeba'!L45</f>
        <v>1.1428571428571428</v>
      </c>
      <c r="M45" s="49">
        <f>'Avg Week Ndeeba-Nyanama'!M45+'Avg Week Nyanama-Ndeeba'!M45</f>
        <v>156</v>
      </c>
      <c r="N45" s="49">
        <f>'Avg Week Ndeeba-Nyanama'!N45+'Avg Week Nyanama-Ndeeba'!N45</f>
        <v>0</v>
      </c>
      <c r="O45" s="17">
        <f t="shared" si="0"/>
        <v>133.71428571428572</v>
      </c>
      <c r="P45" s="17">
        <f t="shared" si="1"/>
        <v>289.71428571428572</v>
      </c>
    </row>
    <row r="46" spans="2:32" ht="23.1" customHeight="1" x14ac:dyDescent="0.25">
      <c r="B46" s="24" t="s">
        <v>73</v>
      </c>
      <c r="C46" s="49">
        <f>'Avg Week Ndeeba-Nyanama'!C46+'Avg Week Nyanama-Ndeeba'!C46</f>
        <v>92.285714285714278</v>
      </c>
      <c r="D46" s="49">
        <f>'Avg Week Ndeeba-Nyanama'!D46+'Avg Week Nyanama-Ndeeba'!D46</f>
        <v>7.4285714285714288</v>
      </c>
      <c r="E46" s="49">
        <f>'Avg Week Ndeeba-Nyanama'!E46+'Avg Week Nyanama-Ndeeba'!E46</f>
        <v>8.5714285714285712</v>
      </c>
      <c r="F46" s="49">
        <f>'Avg Week Ndeeba-Nyanama'!F46+'Avg Week Nyanama-Ndeeba'!F46</f>
        <v>20.714285714285715</v>
      </c>
      <c r="G46" s="49">
        <f>'Avg Week Ndeeba-Nyanama'!G46+'Avg Week Nyanama-Ndeeba'!G46</f>
        <v>0.71428571428571419</v>
      </c>
      <c r="H46" s="49">
        <f>'Avg Week Ndeeba-Nyanama'!H46+'Avg Week Nyanama-Ndeeba'!H46</f>
        <v>0</v>
      </c>
      <c r="I46" s="49">
        <f>'Avg Week Ndeeba-Nyanama'!I46+'Avg Week Nyanama-Ndeeba'!I46</f>
        <v>4.5714285714285712</v>
      </c>
      <c r="J46" s="49">
        <f>'Avg Week Ndeeba-Nyanama'!J46+'Avg Week Nyanama-Ndeeba'!J46</f>
        <v>1.2857142857142856</v>
      </c>
      <c r="K46" s="49">
        <f>'Avg Week Ndeeba-Nyanama'!K46+'Avg Week Nyanama-Ndeeba'!K46</f>
        <v>0.42857142857142855</v>
      </c>
      <c r="L46" s="49">
        <f>'Avg Week Ndeeba-Nyanama'!L46+'Avg Week Nyanama-Ndeeba'!L46</f>
        <v>0</v>
      </c>
      <c r="M46" s="49">
        <f>'Avg Week Ndeeba-Nyanama'!M46+'Avg Week Nyanama-Ndeeba'!M46</f>
        <v>166.28571428571428</v>
      </c>
      <c r="N46" s="49">
        <f>'Avg Week Ndeeba-Nyanama'!N46+'Avg Week Nyanama-Ndeeba'!N46</f>
        <v>0.14285714285714285</v>
      </c>
      <c r="O46" s="17">
        <f t="shared" si="0"/>
        <v>136.14285714285714</v>
      </c>
      <c r="P46" s="17">
        <f t="shared" si="1"/>
        <v>302.42857142857144</v>
      </c>
      <c r="R46" s="19"/>
      <c r="T46"/>
    </row>
    <row r="47" spans="2:32" ht="23.1" customHeight="1" x14ac:dyDescent="0.25">
      <c r="B47" s="24" t="s">
        <v>74</v>
      </c>
      <c r="C47" s="49">
        <f>'Avg Week Ndeeba-Nyanama'!C47+'Avg Week Nyanama-Ndeeba'!C47</f>
        <v>88.142857142857139</v>
      </c>
      <c r="D47" s="49">
        <f>'Avg Week Ndeeba-Nyanama'!D47+'Avg Week Nyanama-Ndeeba'!D47</f>
        <v>5.7142857142857144</v>
      </c>
      <c r="E47" s="49">
        <f>'Avg Week Ndeeba-Nyanama'!E47+'Avg Week Nyanama-Ndeeba'!E47</f>
        <v>6.4285714285714288</v>
      </c>
      <c r="F47" s="49">
        <f>'Avg Week Ndeeba-Nyanama'!F47+'Avg Week Nyanama-Ndeeba'!F47</f>
        <v>18.571428571428573</v>
      </c>
      <c r="G47" s="49">
        <f>'Avg Week Ndeeba-Nyanama'!G47+'Avg Week Nyanama-Ndeeba'!G47</f>
        <v>0.5714285714285714</v>
      </c>
      <c r="H47" s="49">
        <f>'Avg Week Ndeeba-Nyanama'!H47+'Avg Week Nyanama-Ndeeba'!H47</f>
        <v>0</v>
      </c>
      <c r="I47" s="49">
        <f>'Avg Week Ndeeba-Nyanama'!I47+'Avg Week Nyanama-Ndeeba'!I47</f>
        <v>6</v>
      </c>
      <c r="J47" s="49">
        <f>'Avg Week Ndeeba-Nyanama'!J47+'Avg Week Nyanama-Ndeeba'!J47</f>
        <v>1.4285714285714286</v>
      </c>
      <c r="K47" s="49">
        <f>'Avg Week Ndeeba-Nyanama'!K47+'Avg Week Nyanama-Ndeeba'!K47</f>
        <v>1</v>
      </c>
      <c r="L47" s="49">
        <f>'Avg Week Ndeeba-Nyanama'!L47+'Avg Week Nyanama-Ndeeba'!L47</f>
        <v>0.14285714285714285</v>
      </c>
      <c r="M47" s="49">
        <f>'Avg Week Ndeeba-Nyanama'!M47+'Avg Week Nyanama-Ndeeba'!M47</f>
        <v>153.85714285714286</v>
      </c>
      <c r="N47" s="49">
        <f>'Avg Week Ndeeba-Nyanama'!N47+'Avg Week Nyanama-Ndeeba'!N47</f>
        <v>0</v>
      </c>
      <c r="O47" s="17">
        <f t="shared" si="0"/>
        <v>127.99999999999999</v>
      </c>
      <c r="P47" s="17">
        <f t="shared" si="1"/>
        <v>281.85714285714283</v>
      </c>
      <c r="R47" s="19"/>
      <c r="T47"/>
    </row>
    <row r="48" spans="2:32" ht="23.1" customHeight="1" x14ac:dyDescent="0.25">
      <c r="B48" s="24" t="s">
        <v>75</v>
      </c>
      <c r="C48" s="49">
        <f>'Avg Week Ndeeba-Nyanama'!C48+'Avg Week Nyanama-Ndeeba'!C48</f>
        <v>86.428571428571431</v>
      </c>
      <c r="D48" s="49">
        <f>'Avg Week Ndeeba-Nyanama'!D48+'Avg Week Nyanama-Ndeeba'!D48</f>
        <v>4</v>
      </c>
      <c r="E48" s="49">
        <f>'Avg Week Ndeeba-Nyanama'!E48+'Avg Week Nyanama-Ndeeba'!E48</f>
        <v>5.1428571428571423</v>
      </c>
      <c r="F48" s="49">
        <f>'Avg Week Ndeeba-Nyanama'!F48+'Avg Week Nyanama-Ndeeba'!F48</f>
        <v>26.857142857142854</v>
      </c>
      <c r="G48" s="49">
        <f>'Avg Week Ndeeba-Nyanama'!G48+'Avg Week Nyanama-Ndeeba'!G48</f>
        <v>0.2857142857142857</v>
      </c>
      <c r="H48" s="49">
        <f>'Avg Week Ndeeba-Nyanama'!H48+'Avg Week Nyanama-Ndeeba'!H48</f>
        <v>0</v>
      </c>
      <c r="I48" s="49">
        <f>'Avg Week Ndeeba-Nyanama'!I48+'Avg Week Nyanama-Ndeeba'!I48</f>
        <v>5.5714285714285712</v>
      </c>
      <c r="J48" s="49">
        <f>'Avg Week Ndeeba-Nyanama'!J48+'Avg Week Nyanama-Ndeeba'!J48</f>
        <v>1.4285714285714286</v>
      </c>
      <c r="K48" s="49">
        <f>'Avg Week Ndeeba-Nyanama'!K48+'Avg Week Nyanama-Ndeeba'!K48</f>
        <v>0.8571428571428571</v>
      </c>
      <c r="L48" s="49">
        <f>'Avg Week Ndeeba-Nyanama'!L48+'Avg Week Nyanama-Ndeeba'!L48</f>
        <v>0</v>
      </c>
      <c r="M48" s="49">
        <f>'Avg Week Ndeeba-Nyanama'!M48+'Avg Week Nyanama-Ndeeba'!M48</f>
        <v>146.14285714285714</v>
      </c>
      <c r="N48" s="49">
        <f>'Avg Week Ndeeba-Nyanama'!N48+'Avg Week Nyanama-Ndeeba'!N48</f>
        <v>0</v>
      </c>
      <c r="O48" s="17">
        <f t="shared" si="0"/>
        <v>130.57142857142856</v>
      </c>
      <c r="P48" s="17">
        <f t="shared" si="1"/>
        <v>276.71428571428567</v>
      </c>
      <c r="R48" s="19"/>
      <c r="T48"/>
    </row>
    <row r="49" spans="2:20" ht="23.1" customHeight="1" x14ac:dyDescent="0.25">
      <c r="B49" s="23" t="s">
        <v>76</v>
      </c>
      <c r="C49" s="49">
        <f>'Avg Week Ndeeba-Nyanama'!C49+'Avg Week Nyanama-Ndeeba'!C49</f>
        <v>99.428571428571431</v>
      </c>
      <c r="D49" s="49">
        <f>'Avg Week Ndeeba-Nyanama'!D49+'Avg Week Nyanama-Ndeeba'!D49</f>
        <v>8.4285714285714288</v>
      </c>
      <c r="E49" s="49">
        <f>'Avg Week Ndeeba-Nyanama'!E49+'Avg Week Nyanama-Ndeeba'!E49</f>
        <v>6.1428571428571432</v>
      </c>
      <c r="F49" s="49">
        <f>'Avg Week Ndeeba-Nyanama'!F49+'Avg Week Nyanama-Ndeeba'!F49</f>
        <v>22.571428571428569</v>
      </c>
      <c r="G49" s="49">
        <f>'Avg Week Ndeeba-Nyanama'!G49+'Avg Week Nyanama-Ndeeba'!G49</f>
        <v>1.1428571428571428</v>
      </c>
      <c r="H49" s="49">
        <f>'Avg Week Ndeeba-Nyanama'!H49+'Avg Week Nyanama-Ndeeba'!H49</f>
        <v>0</v>
      </c>
      <c r="I49" s="49">
        <f>'Avg Week Ndeeba-Nyanama'!I49+'Avg Week Nyanama-Ndeeba'!I49</f>
        <v>4</v>
      </c>
      <c r="J49" s="49">
        <f>'Avg Week Ndeeba-Nyanama'!J49+'Avg Week Nyanama-Ndeeba'!J49</f>
        <v>1</v>
      </c>
      <c r="K49" s="49">
        <f>'Avg Week Ndeeba-Nyanama'!K49+'Avg Week Nyanama-Ndeeba'!K49</f>
        <v>0.14285714285714285</v>
      </c>
      <c r="L49" s="49">
        <f>'Avg Week Ndeeba-Nyanama'!L49+'Avg Week Nyanama-Ndeeba'!L49</f>
        <v>0.2857142857142857</v>
      </c>
      <c r="M49" s="49">
        <f>'Avg Week Ndeeba-Nyanama'!M49+'Avg Week Nyanama-Ndeeba'!M49</f>
        <v>155.85714285714286</v>
      </c>
      <c r="N49" s="49">
        <f>'Avg Week Ndeeba-Nyanama'!N49+'Avg Week Nyanama-Ndeeba'!N49</f>
        <v>0.14285714285714285</v>
      </c>
      <c r="O49" s="17">
        <f t="shared" si="0"/>
        <v>143.28571428571425</v>
      </c>
      <c r="P49" s="17">
        <f t="shared" si="1"/>
        <v>299.14285714285717</v>
      </c>
      <c r="R49" s="19"/>
      <c r="T49"/>
    </row>
    <row r="50" spans="2:20" ht="23.1" customHeight="1" x14ac:dyDescent="0.25">
      <c r="B50" s="24" t="s">
        <v>77</v>
      </c>
      <c r="C50" s="49">
        <f>'Avg Week Ndeeba-Nyanama'!C50+'Avg Week Nyanama-Ndeeba'!C50</f>
        <v>103.57142857142858</v>
      </c>
      <c r="D50" s="49">
        <f>'Avg Week Ndeeba-Nyanama'!D50+'Avg Week Nyanama-Ndeeba'!D50</f>
        <v>6.7142857142857144</v>
      </c>
      <c r="E50" s="49">
        <f>'Avg Week Ndeeba-Nyanama'!E50+'Avg Week Nyanama-Ndeeba'!E50</f>
        <v>92.857142857142861</v>
      </c>
      <c r="F50" s="49">
        <f>'Avg Week Ndeeba-Nyanama'!F50+'Avg Week Nyanama-Ndeeba'!F50</f>
        <v>33.285714285714285</v>
      </c>
      <c r="G50" s="49">
        <f>'Avg Week Ndeeba-Nyanama'!G50+'Avg Week Nyanama-Ndeeba'!G50</f>
        <v>0.42857142857142855</v>
      </c>
      <c r="H50" s="49">
        <f>'Avg Week Ndeeba-Nyanama'!H50+'Avg Week Nyanama-Ndeeba'!H50</f>
        <v>0.5714285714285714</v>
      </c>
      <c r="I50" s="49">
        <f>'Avg Week Ndeeba-Nyanama'!I50+'Avg Week Nyanama-Ndeeba'!I50</f>
        <v>6.5714285714285712</v>
      </c>
      <c r="J50" s="49">
        <f>'Avg Week Ndeeba-Nyanama'!J50+'Avg Week Nyanama-Ndeeba'!J50</f>
        <v>1.1428571428571428</v>
      </c>
      <c r="K50" s="49">
        <f>'Avg Week Ndeeba-Nyanama'!K50+'Avg Week Nyanama-Ndeeba'!K50</f>
        <v>0.5714285714285714</v>
      </c>
      <c r="L50" s="49">
        <f>'Avg Week Ndeeba-Nyanama'!L50+'Avg Week Nyanama-Ndeeba'!L50</f>
        <v>0.7142857142857143</v>
      </c>
      <c r="M50" s="49">
        <f>'Avg Week Ndeeba-Nyanama'!M50+'Avg Week Nyanama-Ndeeba'!M50</f>
        <v>176.42857142857144</v>
      </c>
      <c r="N50" s="49">
        <f>'Avg Week Ndeeba-Nyanama'!N50+'Avg Week Nyanama-Ndeeba'!N50</f>
        <v>0</v>
      </c>
      <c r="O50" s="17">
        <f t="shared" si="0"/>
        <v>246.42857142857147</v>
      </c>
      <c r="P50" s="17">
        <f t="shared" si="1"/>
        <v>422.85714285714289</v>
      </c>
      <c r="R50" s="19"/>
      <c r="T50"/>
    </row>
    <row r="51" spans="2:20" ht="23.1" customHeight="1" x14ac:dyDescent="0.25">
      <c r="B51" s="24" t="s">
        <v>78</v>
      </c>
      <c r="C51" s="49">
        <f>'Avg Week Ndeeba-Nyanama'!C51+'Avg Week Nyanama-Ndeeba'!C51</f>
        <v>101.14285714285714</v>
      </c>
      <c r="D51" s="49">
        <f>'Avg Week Ndeeba-Nyanama'!D51+'Avg Week Nyanama-Ndeeba'!D51</f>
        <v>7.2857142857142856</v>
      </c>
      <c r="E51" s="49">
        <f>'Avg Week Ndeeba-Nyanama'!E51+'Avg Week Nyanama-Ndeeba'!E51</f>
        <v>7.2857142857142856</v>
      </c>
      <c r="F51" s="49">
        <f>'Avg Week Ndeeba-Nyanama'!F51+'Avg Week Nyanama-Ndeeba'!F51</f>
        <v>38.428571428571431</v>
      </c>
      <c r="G51" s="49">
        <f>'Avg Week Ndeeba-Nyanama'!G51+'Avg Week Nyanama-Ndeeba'!G51</f>
        <v>0.42857142857142855</v>
      </c>
      <c r="H51" s="49">
        <f>'Avg Week Ndeeba-Nyanama'!H51+'Avg Week Nyanama-Ndeeba'!H51</f>
        <v>0.14285714285714285</v>
      </c>
      <c r="I51" s="49">
        <f>'Avg Week Ndeeba-Nyanama'!I51+'Avg Week Nyanama-Ndeeba'!I51</f>
        <v>5.2857142857142856</v>
      </c>
      <c r="J51" s="49">
        <f>'Avg Week Ndeeba-Nyanama'!J51+'Avg Week Nyanama-Ndeeba'!J51</f>
        <v>2.1428571428571428</v>
      </c>
      <c r="K51" s="49">
        <f>'Avg Week Ndeeba-Nyanama'!K51+'Avg Week Nyanama-Ndeeba'!K51</f>
        <v>0.14285714285714285</v>
      </c>
      <c r="L51" s="49">
        <f>'Avg Week Ndeeba-Nyanama'!L51+'Avg Week Nyanama-Ndeeba'!L51</f>
        <v>0.5714285714285714</v>
      </c>
      <c r="M51" s="49">
        <f>'Avg Week Ndeeba-Nyanama'!M51+'Avg Week Nyanama-Ndeeba'!M51</f>
        <v>171.28571428571428</v>
      </c>
      <c r="N51" s="49">
        <f>'Avg Week Ndeeba-Nyanama'!N51+'Avg Week Nyanama-Ndeeba'!N51</f>
        <v>0</v>
      </c>
      <c r="O51" s="17">
        <f t="shared" si="0"/>
        <v>162.85714285714286</v>
      </c>
      <c r="P51" s="17">
        <f t="shared" si="1"/>
        <v>334.14285714285711</v>
      </c>
      <c r="R51" s="19"/>
      <c r="T51"/>
    </row>
    <row r="52" spans="2:20" ht="23.1" customHeight="1" x14ac:dyDescent="0.25">
      <c r="B52" s="24" t="s">
        <v>79</v>
      </c>
      <c r="C52" s="49">
        <f>'Avg Week Ndeeba-Nyanama'!C52+'Avg Week Nyanama-Ndeeba'!C52</f>
        <v>108.57142857142857</v>
      </c>
      <c r="D52" s="49">
        <f>'Avg Week Ndeeba-Nyanama'!D52+'Avg Week Nyanama-Ndeeba'!D52</f>
        <v>6.5714285714285721</v>
      </c>
      <c r="E52" s="49">
        <f>'Avg Week Ndeeba-Nyanama'!E52+'Avg Week Nyanama-Ndeeba'!E52</f>
        <v>7.1428571428571423</v>
      </c>
      <c r="F52" s="49">
        <f>'Avg Week Ndeeba-Nyanama'!F52+'Avg Week Nyanama-Ndeeba'!F52</f>
        <v>40.857142857142854</v>
      </c>
      <c r="G52" s="49">
        <f>'Avg Week Ndeeba-Nyanama'!G52+'Avg Week Nyanama-Ndeeba'!G52</f>
        <v>0.42857142857142855</v>
      </c>
      <c r="H52" s="49">
        <f>'Avg Week Ndeeba-Nyanama'!H52+'Avg Week Nyanama-Ndeeba'!H52</f>
        <v>0.14285714285714285</v>
      </c>
      <c r="I52" s="49">
        <f>'Avg Week Ndeeba-Nyanama'!I52+'Avg Week Nyanama-Ndeeba'!I52</f>
        <v>8.1428571428571423</v>
      </c>
      <c r="J52" s="49">
        <f>'Avg Week Ndeeba-Nyanama'!J52+'Avg Week Nyanama-Ndeeba'!J52</f>
        <v>1</v>
      </c>
      <c r="K52" s="49">
        <f>'Avg Week Ndeeba-Nyanama'!K52+'Avg Week Nyanama-Ndeeba'!K52</f>
        <v>0.14285714285714285</v>
      </c>
      <c r="L52" s="49">
        <f>'Avg Week Ndeeba-Nyanama'!L52+'Avg Week Nyanama-Ndeeba'!L52</f>
        <v>0.2857142857142857</v>
      </c>
      <c r="M52" s="49">
        <f>'Avg Week Ndeeba-Nyanama'!M52+'Avg Week Nyanama-Ndeeba'!M52</f>
        <v>187.28571428571428</v>
      </c>
      <c r="N52" s="49">
        <f>'Avg Week Ndeeba-Nyanama'!N52+'Avg Week Nyanama-Ndeeba'!N52</f>
        <v>0</v>
      </c>
      <c r="O52" s="17">
        <f t="shared" si="0"/>
        <v>173.28571428571425</v>
      </c>
      <c r="P52" s="17">
        <f t="shared" si="1"/>
        <v>360.57142857142856</v>
      </c>
      <c r="R52" s="19"/>
      <c r="T52"/>
    </row>
    <row r="53" spans="2:20" ht="23.1" customHeight="1" x14ac:dyDescent="0.25">
      <c r="B53" s="23" t="s">
        <v>80</v>
      </c>
      <c r="C53" s="49">
        <f>'Avg Week Ndeeba-Nyanama'!C53+'Avg Week Nyanama-Ndeeba'!C53</f>
        <v>106.28571428571429</v>
      </c>
      <c r="D53" s="49">
        <f>'Avg Week Ndeeba-Nyanama'!D53+'Avg Week Nyanama-Ndeeba'!D53</f>
        <v>5.7142857142857144</v>
      </c>
      <c r="E53" s="49">
        <f>'Avg Week Ndeeba-Nyanama'!E53+'Avg Week Nyanama-Ndeeba'!E53</f>
        <v>6</v>
      </c>
      <c r="F53" s="49">
        <f>'Avg Week Ndeeba-Nyanama'!F53+'Avg Week Nyanama-Ndeeba'!F53</f>
        <v>32.428571428571431</v>
      </c>
      <c r="G53" s="49">
        <f>'Avg Week Ndeeba-Nyanama'!G53+'Avg Week Nyanama-Ndeeba'!G53</f>
        <v>0.8571428571428571</v>
      </c>
      <c r="H53" s="49">
        <f>'Avg Week Ndeeba-Nyanama'!H53+'Avg Week Nyanama-Ndeeba'!H53</f>
        <v>0</v>
      </c>
      <c r="I53" s="49">
        <f>'Avg Week Ndeeba-Nyanama'!I53+'Avg Week Nyanama-Ndeeba'!I53</f>
        <v>4.8571428571428577</v>
      </c>
      <c r="J53" s="49">
        <f>'Avg Week Ndeeba-Nyanama'!J53+'Avg Week Nyanama-Ndeeba'!J53</f>
        <v>1.7142857142857142</v>
      </c>
      <c r="K53" s="49">
        <f>'Avg Week Ndeeba-Nyanama'!K53+'Avg Week Nyanama-Ndeeba'!K53</f>
        <v>0.5714285714285714</v>
      </c>
      <c r="L53" s="49">
        <f>'Avg Week Ndeeba-Nyanama'!L53+'Avg Week Nyanama-Ndeeba'!L53</f>
        <v>0.42857142857142855</v>
      </c>
      <c r="M53" s="49">
        <f>'Avg Week Ndeeba-Nyanama'!M53+'Avg Week Nyanama-Ndeeba'!M53</f>
        <v>176</v>
      </c>
      <c r="N53" s="49">
        <f>'Avg Week Ndeeba-Nyanama'!N53+'Avg Week Nyanama-Ndeeba'!N53</f>
        <v>0</v>
      </c>
      <c r="O53" s="17">
        <f t="shared" si="0"/>
        <v>158.85714285714289</v>
      </c>
      <c r="P53" s="17">
        <f t="shared" si="1"/>
        <v>334.85714285714289</v>
      </c>
      <c r="R53" s="19"/>
      <c r="T53"/>
    </row>
    <row r="54" spans="2:20" ht="23.1" customHeight="1" x14ac:dyDescent="0.25">
      <c r="B54" s="23" t="s">
        <v>81</v>
      </c>
      <c r="C54" s="49">
        <f>'Avg Week Ndeeba-Nyanama'!C54+'Avg Week Nyanama-Ndeeba'!C54</f>
        <v>102.42857142857143</v>
      </c>
      <c r="D54" s="49">
        <f>'Avg Week Ndeeba-Nyanama'!D54+'Avg Week Nyanama-Ndeeba'!D54</f>
        <v>6.7142857142857135</v>
      </c>
      <c r="E54" s="49">
        <f>'Avg Week Ndeeba-Nyanama'!E54+'Avg Week Nyanama-Ndeeba'!E54</f>
        <v>5.1428571428571423</v>
      </c>
      <c r="F54" s="49">
        <f>'Avg Week Ndeeba-Nyanama'!F54+'Avg Week Nyanama-Ndeeba'!F54</f>
        <v>38.285714285714285</v>
      </c>
      <c r="G54" s="49">
        <f>'Avg Week Ndeeba-Nyanama'!G54+'Avg Week Nyanama-Ndeeba'!G54</f>
        <v>0.8571428571428571</v>
      </c>
      <c r="H54" s="49">
        <f>'Avg Week Ndeeba-Nyanama'!H54+'Avg Week Nyanama-Ndeeba'!H54</f>
        <v>0.14285714285714285</v>
      </c>
      <c r="I54" s="49">
        <f>'Avg Week Ndeeba-Nyanama'!I54+'Avg Week Nyanama-Ndeeba'!I54</f>
        <v>6.5714285714285721</v>
      </c>
      <c r="J54" s="49">
        <f>'Avg Week Ndeeba-Nyanama'!J54+'Avg Week Nyanama-Ndeeba'!J54</f>
        <v>1.5714285714285714</v>
      </c>
      <c r="K54" s="49">
        <f>'Avg Week Ndeeba-Nyanama'!K54+'Avg Week Nyanama-Ndeeba'!K54</f>
        <v>0.8571428571428571</v>
      </c>
      <c r="L54" s="49">
        <f>'Avg Week Ndeeba-Nyanama'!L54+'Avg Week Nyanama-Ndeeba'!L54</f>
        <v>0.2857142857142857</v>
      </c>
      <c r="M54" s="49">
        <f>'Avg Week Ndeeba-Nyanama'!M54+'Avg Week Nyanama-Ndeeba'!M54</f>
        <v>199.14285714285714</v>
      </c>
      <c r="N54" s="49">
        <f>'Avg Week Ndeeba-Nyanama'!N54+'Avg Week Nyanama-Ndeeba'!N54</f>
        <v>0</v>
      </c>
      <c r="O54" s="17">
        <f t="shared" si="0"/>
        <v>162.85714285714286</v>
      </c>
      <c r="P54" s="17">
        <f t="shared" si="1"/>
        <v>362</v>
      </c>
      <c r="R54" s="19"/>
      <c r="T54"/>
    </row>
    <row r="55" spans="2:20" ht="23.1" customHeight="1" x14ac:dyDescent="0.25">
      <c r="B55" s="23" t="s">
        <v>82</v>
      </c>
      <c r="C55" s="49">
        <f>'Avg Week Ndeeba-Nyanama'!C55+'Avg Week Nyanama-Ndeeba'!C55</f>
        <v>110.14285714285714</v>
      </c>
      <c r="D55" s="49">
        <f>'Avg Week Ndeeba-Nyanama'!D55+'Avg Week Nyanama-Ndeeba'!D55</f>
        <v>6.7142857142857135</v>
      </c>
      <c r="E55" s="49">
        <f>'Avg Week Ndeeba-Nyanama'!E55+'Avg Week Nyanama-Ndeeba'!E55</f>
        <v>6.1428571428571432</v>
      </c>
      <c r="F55" s="49">
        <f>'Avg Week Ndeeba-Nyanama'!F55+'Avg Week Nyanama-Ndeeba'!F55</f>
        <v>46.428571428571431</v>
      </c>
      <c r="G55" s="49">
        <f>'Avg Week Ndeeba-Nyanama'!G55+'Avg Week Nyanama-Ndeeba'!G55</f>
        <v>1</v>
      </c>
      <c r="H55" s="49">
        <f>'Avg Week Ndeeba-Nyanama'!H55+'Avg Week Nyanama-Ndeeba'!H55</f>
        <v>0.5714285714285714</v>
      </c>
      <c r="I55" s="49">
        <f>'Avg Week Ndeeba-Nyanama'!I55+'Avg Week Nyanama-Ndeeba'!I55</f>
        <v>6.5714285714285712</v>
      </c>
      <c r="J55" s="49">
        <f>'Avg Week Ndeeba-Nyanama'!J55+'Avg Week Nyanama-Ndeeba'!J55</f>
        <v>0.8571428571428571</v>
      </c>
      <c r="K55" s="49">
        <f>'Avg Week Ndeeba-Nyanama'!K55+'Avg Week Nyanama-Ndeeba'!K55</f>
        <v>0.5714285714285714</v>
      </c>
      <c r="L55" s="49">
        <f>'Avg Week Ndeeba-Nyanama'!L55+'Avg Week Nyanama-Ndeeba'!L55</f>
        <v>0.2857142857142857</v>
      </c>
      <c r="M55" s="49">
        <f>'Avg Week Ndeeba-Nyanama'!M55+'Avg Week Nyanama-Ndeeba'!M55</f>
        <v>185</v>
      </c>
      <c r="N55" s="49">
        <f>'Avg Week Ndeeba-Nyanama'!N55+'Avg Week Nyanama-Ndeeba'!N55</f>
        <v>0.14285714285714285</v>
      </c>
      <c r="O55" s="17">
        <f t="shared" si="0"/>
        <v>179.42857142857144</v>
      </c>
      <c r="P55" s="17">
        <f t="shared" si="1"/>
        <v>364.4285714285715</v>
      </c>
      <c r="R55" s="19"/>
      <c r="T55"/>
    </row>
    <row r="56" spans="2:20" ht="23.1" customHeight="1" x14ac:dyDescent="0.25">
      <c r="B56" s="23" t="s">
        <v>83</v>
      </c>
      <c r="C56" s="49">
        <f>'Avg Week Ndeeba-Nyanama'!C56+'Avg Week Nyanama-Ndeeba'!C56</f>
        <v>95.571428571428584</v>
      </c>
      <c r="D56" s="49">
        <f>'Avg Week Ndeeba-Nyanama'!D56+'Avg Week Nyanama-Ndeeba'!D56</f>
        <v>8.4285714285714288</v>
      </c>
      <c r="E56" s="49">
        <f>'Avg Week Ndeeba-Nyanama'!E56+'Avg Week Nyanama-Ndeeba'!E56</f>
        <v>4.7142857142857144</v>
      </c>
      <c r="F56" s="49">
        <f>'Avg Week Ndeeba-Nyanama'!F56+'Avg Week Nyanama-Ndeeba'!F56</f>
        <v>48.285714285714285</v>
      </c>
      <c r="G56" s="49">
        <f>'Avg Week Ndeeba-Nyanama'!G56+'Avg Week Nyanama-Ndeeba'!G56</f>
        <v>0.7142857142857143</v>
      </c>
      <c r="H56" s="49">
        <f>'Avg Week Ndeeba-Nyanama'!H56+'Avg Week Nyanama-Ndeeba'!H56</f>
        <v>0.2857142857142857</v>
      </c>
      <c r="I56" s="49">
        <f>'Avg Week Ndeeba-Nyanama'!I56+'Avg Week Nyanama-Ndeeba'!I56</f>
        <v>6.8571428571428577</v>
      </c>
      <c r="J56" s="49">
        <f>'Avg Week Ndeeba-Nyanama'!J56+'Avg Week Nyanama-Ndeeba'!J56</f>
        <v>2.7142857142857144</v>
      </c>
      <c r="K56" s="49">
        <f>'Avg Week Ndeeba-Nyanama'!K56+'Avg Week Nyanama-Ndeeba'!K56</f>
        <v>0.8571428571428571</v>
      </c>
      <c r="L56" s="49">
        <f>'Avg Week Ndeeba-Nyanama'!L56+'Avg Week Nyanama-Ndeeba'!L56</f>
        <v>0.2857142857142857</v>
      </c>
      <c r="M56" s="49">
        <f>'Avg Week Ndeeba-Nyanama'!M56+'Avg Week Nyanama-Ndeeba'!M56</f>
        <v>192.14285714285717</v>
      </c>
      <c r="N56" s="49">
        <f>'Avg Week Ndeeba-Nyanama'!N56+'Avg Week Nyanama-Ndeeba'!N56</f>
        <v>0</v>
      </c>
      <c r="O56" s="17">
        <f t="shared" si="0"/>
        <v>168.71428571428572</v>
      </c>
      <c r="P56" s="17">
        <f t="shared" si="1"/>
        <v>360.85714285714289</v>
      </c>
      <c r="R56" s="19"/>
      <c r="T56"/>
    </row>
    <row r="57" spans="2:20" ht="23.1" customHeight="1" x14ac:dyDescent="0.25">
      <c r="B57" s="23" t="s">
        <v>84</v>
      </c>
      <c r="C57" s="49">
        <f>'Avg Week Ndeeba-Nyanama'!C57+'Avg Week Nyanama-Ndeeba'!C57</f>
        <v>107.57142857142857</v>
      </c>
      <c r="D57" s="49">
        <f>'Avg Week Ndeeba-Nyanama'!D57+'Avg Week Nyanama-Ndeeba'!D57</f>
        <v>6.8571428571428568</v>
      </c>
      <c r="E57" s="49">
        <f>'Avg Week Ndeeba-Nyanama'!E57+'Avg Week Nyanama-Ndeeba'!E57</f>
        <v>7.2857142857142865</v>
      </c>
      <c r="F57" s="49">
        <f>'Avg Week Ndeeba-Nyanama'!F57+'Avg Week Nyanama-Ndeeba'!F57</f>
        <v>46.142857142857146</v>
      </c>
      <c r="G57" s="49">
        <f>'Avg Week Ndeeba-Nyanama'!G57+'Avg Week Nyanama-Ndeeba'!G57</f>
        <v>0.71428571428571419</v>
      </c>
      <c r="H57" s="49">
        <f>'Avg Week Ndeeba-Nyanama'!H57+'Avg Week Nyanama-Ndeeba'!H57</f>
        <v>0</v>
      </c>
      <c r="I57" s="49">
        <f>'Avg Week Ndeeba-Nyanama'!I57+'Avg Week Nyanama-Ndeeba'!I57</f>
        <v>6.1428571428571432</v>
      </c>
      <c r="J57" s="49">
        <f>'Avg Week Ndeeba-Nyanama'!J57+'Avg Week Nyanama-Ndeeba'!J57</f>
        <v>1.8571428571428572</v>
      </c>
      <c r="K57" s="49">
        <f>'Avg Week Ndeeba-Nyanama'!K57+'Avg Week Nyanama-Ndeeba'!K57</f>
        <v>1.5714285714285714</v>
      </c>
      <c r="L57" s="49">
        <f>'Avg Week Ndeeba-Nyanama'!L57+'Avg Week Nyanama-Ndeeba'!L57</f>
        <v>0.42857142857142855</v>
      </c>
      <c r="M57" s="49">
        <f>'Avg Week Ndeeba-Nyanama'!M57+'Avg Week Nyanama-Ndeeba'!M57</f>
        <v>200.85714285714286</v>
      </c>
      <c r="N57" s="49">
        <f>'Avg Week Ndeeba-Nyanama'!N57+'Avg Week Nyanama-Ndeeba'!N57</f>
        <v>0</v>
      </c>
      <c r="O57" s="17">
        <f t="shared" si="0"/>
        <v>178.57142857142858</v>
      </c>
      <c r="P57" s="17">
        <f t="shared" si="1"/>
        <v>379.42857142857144</v>
      </c>
      <c r="R57" s="19"/>
      <c r="T57"/>
    </row>
    <row r="58" spans="2:20" ht="23.1" customHeight="1" x14ac:dyDescent="0.25">
      <c r="B58" s="23" t="s">
        <v>99</v>
      </c>
      <c r="C58" s="49">
        <f>'Avg Week Ndeeba-Nyanama'!C58+'Avg Week Nyanama-Ndeeba'!C58</f>
        <v>85.5</v>
      </c>
      <c r="D58" s="49">
        <f>'Avg Week Ndeeba-Nyanama'!D58+'Avg Week Nyanama-Ndeeba'!D58</f>
        <v>26.5</v>
      </c>
      <c r="E58" s="49">
        <f>'Avg Week Ndeeba-Nyanama'!E58+'Avg Week Nyanama-Ndeeba'!E58</f>
        <v>17</v>
      </c>
      <c r="F58" s="49">
        <f>'Avg Week Ndeeba-Nyanama'!F58+'Avg Week Nyanama-Ndeeba'!F58</f>
        <v>45.5</v>
      </c>
      <c r="G58" s="49">
        <f>'Avg Week Ndeeba-Nyanama'!G58+'Avg Week Nyanama-Ndeeba'!G58</f>
        <v>3.5</v>
      </c>
      <c r="H58" s="49">
        <f>'Avg Week Ndeeba-Nyanama'!H58+'Avg Week Nyanama-Ndeeba'!H58</f>
        <v>0</v>
      </c>
      <c r="I58" s="49">
        <f>'Avg Week Ndeeba-Nyanama'!I58+'Avg Week Nyanama-Ndeeba'!I58</f>
        <v>11.5</v>
      </c>
      <c r="J58" s="49">
        <f>'Avg Week Ndeeba-Nyanama'!J58+'Avg Week Nyanama-Ndeeba'!J58</f>
        <v>1.5</v>
      </c>
      <c r="K58" s="49">
        <f>'Avg Week Ndeeba-Nyanama'!K58+'Avg Week Nyanama-Ndeeba'!K58</f>
        <v>4</v>
      </c>
      <c r="L58" s="49">
        <f>'Avg Week Ndeeba-Nyanama'!L58+'Avg Week Nyanama-Ndeeba'!L58</f>
        <v>0.5</v>
      </c>
      <c r="M58" s="49">
        <f>'Avg Week Ndeeba-Nyanama'!M58+'Avg Week Nyanama-Ndeeba'!M58</f>
        <v>189</v>
      </c>
      <c r="N58" s="49">
        <f>'Avg Week Ndeeba-Nyanama'!N58+'Avg Week Nyanama-Ndeeba'!N58</f>
        <v>0</v>
      </c>
      <c r="O58" s="17">
        <f t="shared" si="0"/>
        <v>195.5</v>
      </c>
      <c r="P58" s="17">
        <f t="shared" si="1"/>
        <v>384.5</v>
      </c>
      <c r="R58" s="19"/>
      <c r="T58"/>
    </row>
    <row r="59" spans="2:20" ht="23.1" customHeight="1" x14ac:dyDescent="0.25">
      <c r="B59" s="23" t="s">
        <v>100</v>
      </c>
      <c r="C59" s="49">
        <f>'Avg Week Ndeeba-Nyanama'!C59+'Avg Week Nyanama-Ndeeba'!C59</f>
        <v>85</v>
      </c>
      <c r="D59" s="49">
        <f>'Avg Week Ndeeba-Nyanama'!D59+'Avg Week Nyanama-Ndeeba'!D59</f>
        <v>13</v>
      </c>
      <c r="E59" s="49">
        <f>'Avg Week Ndeeba-Nyanama'!E59+'Avg Week Nyanama-Ndeeba'!E59</f>
        <v>14</v>
      </c>
      <c r="F59" s="49">
        <f>'Avg Week Ndeeba-Nyanama'!F59+'Avg Week Nyanama-Ndeeba'!F59</f>
        <v>24</v>
      </c>
      <c r="G59" s="49">
        <f>'Avg Week Ndeeba-Nyanama'!G59+'Avg Week Nyanama-Ndeeba'!G59</f>
        <v>1</v>
      </c>
      <c r="H59" s="49">
        <f>'Avg Week Ndeeba-Nyanama'!H59+'Avg Week Nyanama-Ndeeba'!H59</f>
        <v>0.5</v>
      </c>
      <c r="I59" s="49">
        <f>'Avg Week Ndeeba-Nyanama'!I59+'Avg Week Nyanama-Ndeeba'!I59</f>
        <v>7</v>
      </c>
      <c r="J59" s="49">
        <f>'Avg Week Ndeeba-Nyanama'!J59+'Avg Week Nyanama-Ndeeba'!J59</f>
        <v>3</v>
      </c>
      <c r="K59" s="49">
        <f>'Avg Week Ndeeba-Nyanama'!K59+'Avg Week Nyanama-Ndeeba'!K59</f>
        <v>1.5</v>
      </c>
      <c r="L59" s="49">
        <f>'Avg Week Ndeeba-Nyanama'!L59+'Avg Week Nyanama-Ndeeba'!L59</f>
        <v>0</v>
      </c>
      <c r="M59" s="49">
        <f>'Avg Week Ndeeba-Nyanama'!M59+'Avg Week Nyanama-Ndeeba'!M59</f>
        <v>142.5</v>
      </c>
      <c r="N59" s="49">
        <f>'Avg Week Ndeeba-Nyanama'!N59+'Avg Week Nyanama-Ndeeba'!N59</f>
        <v>0</v>
      </c>
      <c r="O59" s="17">
        <f t="shared" si="0"/>
        <v>149</v>
      </c>
      <c r="P59" s="17">
        <f t="shared" si="1"/>
        <v>291.5</v>
      </c>
      <c r="R59" s="19"/>
      <c r="T59"/>
    </row>
    <row r="60" spans="2:20" ht="23.1" customHeight="1" x14ac:dyDescent="0.25">
      <c r="B60" s="23" t="s">
        <v>101</v>
      </c>
      <c r="C60" s="49">
        <f>'Avg Week Ndeeba-Nyanama'!C60+'Avg Week Nyanama-Ndeeba'!C60</f>
        <v>87</v>
      </c>
      <c r="D60" s="49">
        <f>'Avg Week Ndeeba-Nyanama'!D60+'Avg Week Nyanama-Ndeeba'!D60</f>
        <v>11</v>
      </c>
      <c r="E60" s="49">
        <f>'Avg Week Ndeeba-Nyanama'!E60+'Avg Week Nyanama-Ndeeba'!E60</f>
        <v>9.5</v>
      </c>
      <c r="F60" s="49">
        <f>'Avg Week Ndeeba-Nyanama'!F60+'Avg Week Nyanama-Ndeeba'!F60</f>
        <v>51.5</v>
      </c>
      <c r="G60" s="49">
        <f>'Avg Week Ndeeba-Nyanama'!G60+'Avg Week Nyanama-Ndeeba'!G60</f>
        <v>2</v>
      </c>
      <c r="H60" s="49">
        <f>'Avg Week Ndeeba-Nyanama'!H60+'Avg Week Nyanama-Ndeeba'!H60</f>
        <v>0</v>
      </c>
      <c r="I60" s="49">
        <f>'Avg Week Ndeeba-Nyanama'!I60+'Avg Week Nyanama-Ndeeba'!I60</f>
        <v>3</v>
      </c>
      <c r="J60" s="49">
        <f>'Avg Week Ndeeba-Nyanama'!J60+'Avg Week Nyanama-Ndeeba'!J60</f>
        <v>7.5</v>
      </c>
      <c r="K60" s="49">
        <f>'Avg Week Ndeeba-Nyanama'!K60+'Avg Week Nyanama-Ndeeba'!K60</f>
        <v>4.5</v>
      </c>
      <c r="L60" s="49">
        <f>'Avg Week Ndeeba-Nyanama'!L60+'Avg Week Nyanama-Ndeeba'!L60</f>
        <v>1.5</v>
      </c>
      <c r="M60" s="49">
        <f>'Avg Week Ndeeba-Nyanama'!M60+'Avg Week Nyanama-Ndeeba'!M60</f>
        <v>119</v>
      </c>
      <c r="N60" s="49">
        <f>'Avg Week Ndeeba-Nyanama'!N60+'Avg Week Nyanama-Ndeeba'!N60</f>
        <v>0</v>
      </c>
      <c r="O60" s="17">
        <f t="shared" si="0"/>
        <v>177.5</v>
      </c>
      <c r="P60" s="17">
        <f t="shared" si="1"/>
        <v>296.5</v>
      </c>
      <c r="R60" s="19"/>
      <c r="T60"/>
    </row>
    <row r="61" spans="2:20" ht="23.1" customHeight="1" x14ac:dyDescent="0.25">
      <c r="B61" s="23" t="s">
        <v>102</v>
      </c>
      <c r="C61" s="49">
        <f>'Avg Week Ndeeba-Nyanama'!C61+'Avg Week Nyanama-Ndeeba'!C61</f>
        <v>95</v>
      </c>
      <c r="D61" s="49">
        <f>'Avg Week Ndeeba-Nyanama'!D61+'Avg Week Nyanama-Ndeeba'!D61</f>
        <v>18</v>
      </c>
      <c r="E61" s="49">
        <f>'Avg Week Ndeeba-Nyanama'!E61+'Avg Week Nyanama-Ndeeba'!E61</f>
        <v>7.5</v>
      </c>
      <c r="F61" s="49">
        <f>'Avg Week Ndeeba-Nyanama'!F61+'Avg Week Nyanama-Ndeeba'!F61</f>
        <v>41.5</v>
      </c>
      <c r="G61" s="49">
        <f>'Avg Week Ndeeba-Nyanama'!G61+'Avg Week Nyanama-Ndeeba'!G61</f>
        <v>0.5</v>
      </c>
      <c r="H61" s="49">
        <f>'Avg Week Ndeeba-Nyanama'!H61+'Avg Week Nyanama-Ndeeba'!H61</f>
        <v>1</v>
      </c>
      <c r="I61" s="49">
        <f>'Avg Week Ndeeba-Nyanama'!I61+'Avg Week Nyanama-Ndeeba'!I61</f>
        <v>8</v>
      </c>
      <c r="J61" s="49">
        <f>'Avg Week Ndeeba-Nyanama'!J61+'Avg Week Nyanama-Ndeeba'!J61</f>
        <v>1.5</v>
      </c>
      <c r="K61" s="49">
        <f>'Avg Week Ndeeba-Nyanama'!K61+'Avg Week Nyanama-Ndeeba'!K61</f>
        <v>0</v>
      </c>
      <c r="L61" s="49">
        <f>'Avg Week Ndeeba-Nyanama'!L61+'Avg Week Nyanama-Ndeeba'!L61</f>
        <v>1</v>
      </c>
      <c r="M61" s="49">
        <f>'Avg Week Ndeeba-Nyanama'!M61+'Avg Week Nyanama-Ndeeba'!M61</f>
        <v>142.5</v>
      </c>
      <c r="N61" s="49">
        <f>'Avg Week Ndeeba-Nyanama'!N61+'Avg Week Nyanama-Ndeeba'!N61</f>
        <v>0</v>
      </c>
      <c r="O61" s="17">
        <f t="shared" si="0"/>
        <v>174</v>
      </c>
      <c r="P61" s="17">
        <f t="shared" si="1"/>
        <v>316.5</v>
      </c>
      <c r="R61" s="19"/>
      <c r="T61"/>
    </row>
    <row r="62" spans="2:20" ht="23.1" customHeight="1" x14ac:dyDescent="0.25">
      <c r="B62" s="23" t="s">
        <v>107</v>
      </c>
      <c r="C62" s="49">
        <f>'Avg Week Ndeeba-Nyanama'!C62+'Avg Week Nyanama-Ndeeba'!C62</f>
        <v>103.5</v>
      </c>
      <c r="D62" s="49">
        <f>'Avg Week Ndeeba-Nyanama'!D62+'Avg Week Nyanama-Ndeeba'!D62</f>
        <v>20.5</v>
      </c>
      <c r="E62" s="49">
        <f>'Avg Week Ndeeba-Nyanama'!E62+'Avg Week Nyanama-Ndeeba'!E62</f>
        <v>7.5</v>
      </c>
      <c r="F62" s="49">
        <f>'Avg Week Ndeeba-Nyanama'!F62+'Avg Week Nyanama-Ndeeba'!F62</f>
        <v>52.5</v>
      </c>
      <c r="G62" s="49">
        <f>'Avg Week Ndeeba-Nyanama'!G62+'Avg Week Nyanama-Ndeeba'!G62</f>
        <v>0.5</v>
      </c>
      <c r="H62" s="49">
        <f>'Avg Week Ndeeba-Nyanama'!H62+'Avg Week Nyanama-Ndeeba'!H62</f>
        <v>0</v>
      </c>
      <c r="I62" s="49">
        <f>'Avg Week Ndeeba-Nyanama'!I62+'Avg Week Nyanama-Ndeeba'!I62</f>
        <v>13</v>
      </c>
      <c r="J62" s="49">
        <f>'Avg Week Ndeeba-Nyanama'!J62+'Avg Week Nyanama-Ndeeba'!J62</f>
        <v>1.5</v>
      </c>
      <c r="K62" s="49">
        <f>'Avg Week Ndeeba-Nyanama'!K62+'Avg Week Nyanama-Ndeeba'!K62</f>
        <v>0</v>
      </c>
      <c r="L62" s="49">
        <f>'Avg Week Ndeeba-Nyanama'!L62+'Avg Week Nyanama-Ndeeba'!L62</f>
        <v>0</v>
      </c>
      <c r="M62" s="49">
        <f>'Avg Week Ndeeba-Nyanama'!M62+'Avg Week Nyanama-Ndeeba'!M62</f>
        <v>113</v>
      </c>
      <c r="N62" s="49">
        <f>'Avg Week Ndeeba-Nyanama'!N62+'Avg Week Nyanama-Ndeeba'!N62</f>
        <v>0</v>
      </c>
      <c r="O62" s="17">
        <f t="shared" si="0"/>
        <v>199</v>
      </c>
      <c r="P62" s="17">
        <f t="shared" si="1"/>
        <v>312</v>
      </c>
      <c r="R62" s="19"/>
      <c r="T62"/>
    </row>
    <row r="63" spans="2:20" ht="23.1" customHeight="1" x14ac:dyDescent="0.25">
      <c r="B63" s="23" t="s">
        <v>108</v>
      </c>
      <c r="C63" s="49">
        <f>'Avg Week Ndeeba-Nyanama'!C63+'Avg Week Nyanama-Ndeeba'!C63</f>
        <v>101.5</v>
      </c>
      <c r="D63" s="49">
        <f>'Avg Week Ndeeba-Nyanama'!D63+'Avg Week Nyanama-Ndeeba'!D63</f>
        <v>18.5</v>
      </c>
      <c r="E63" s="49">
        <f>'Avg Week Ndeeba-Nyanama'!E63+'Avg Week Nyanama-Ndeeba'!E63</f>
        <v>6</v>
      </c>
      <c r="F63" s="49">
        <f>'Avg Week Ndeeba-Nyanama'!F63+'Avg Week Nyanama-Ndeeba'!F63</f>
        <v>45.5</v>
      </c>
      <c r="G63" s="49">
        <f>'Avg Week Ndeeba-Nyanama'!G63+'Avg Week Nyanama-Ndeeba'!G63</f>
        <v>0.5</v>
      </c>
      <c r="H63" s="49">
        <f>'Avg Week Ndeeba-Nyanama'!H63+'Avg Week Nyanama-Ndeeba'!H63</f>
        <v>6.5</v>
      </c>
      <c r="I63" s="49">
        <f>'Avg Week Ndeeba-Nyanama'!I63+'Avg Week Nyanama-Ndeeba'!I63</f>
        <v>12</v>
      </c>
      <c r="J63" s="49">
        <f>'Avg Week Ndeeba-Nyanama'!J63+'Avg Week Nyanama-Ndeeba'!J63</f>
        <v>2</v>
      </c>
      <c r="K63" s="49">
        <f>'Avg Week Ndeeba-Nyanama'!K63+'Avg Week Nyanama-Ndeeba'!K63</f>
        <v>0.5</v>
      </c>
      <c r="L63" s="49">
        <f>'Avg Week Ndeeba-Nyanama'!L63+'Avg Week Nyanama-Ndeeba'!L63</f>
        <v>0</v>
      </c>
      <c r="M63" s="49">
        <f>'Avg Week Ndeeba-Nyanama'!M63+'Avg Week Nyanama-Ndeeba'!M63</f>
        <v>152</v>
      </c>
      <c r="N63" s="49">
        <f>'Avg Week Ndeeba-Nyanama'!N63+'Avg Week Nyanama-Ndeeba'!N63</f>
        <v>0</v>
      </c>
      <c r="O63" s="17">
        <f t="shared" si="0"/>
        <v>193</v>
      </c>
      <c r="P63" s="17">
        <f t="shared" si="1"/>
        <v>345</v>
      </c>
      <c r="R63" s="19"/>
      <c r="T63"/>
    </row>
    <row r="64" spans="2:20" ht="23.1" customHeight="1" x14ac:dyDescent="0.25">
      <c r="B64" s="23" t="s">
        <v>109</v>
      </c>
      <c r="C64" s="49">
        <f>'Avg Week Ndeeba-Nyanama'!C64+'Avg Week Nyanama-Ndeeba'!C64</f>
        <v>96.5</v>
      </c>
      <c r="D64" s="49">
        <f>'Avg Week Ndeeba-Nyanama'!D64+'Avg Week Nyanama-Ndeeba'!D64</f>
        <v>14</v>
      </c>
      <c r="E64" s="49">
        <f>'Avg Week Ndeeba-Nyanama'!E64+'Avg Week Nyanama-Ndeeba'!E64</f>
        <v>10</v>
      </c>
      <c r="F64" s="49">
        <f>'Avg Week Ndeeba-Nyanama'!F64+'Avg Week Nyanama-Ndeeba'!F64</f>
        <v>54</v>
      </c>
      <c r="G64" s="49">
        <f>'Avg Week Ndeeba-Nyanama'!G64+'Avg Week Nyanama-Ndeeba'!G64</f>
        <v>2</v>
      </c>
      <c r="H64" s="49">
        <f>'Avg Week Ndeeba-Nyanama'!H64+'Avg Week Nyanama-Ndeeba'!H64</f>
        <v>7.5</v>
      </c>
      <c r="I64" s="49">
        <f>'Avg Week Ndeeba-Nyanama'!I64+'Avg Week Nyanama-Ndeeba'!I64</f>
        <v>11.5</v>
      </c>
      <c r="J64" s="49">
        <f>'Avg Week Ndeeba-Nyanama'!J64+'Avg Week Nyanama-Ndeeba'!J64</f>
        <v>4</v>
      </c>
      <c r="K64" s="49">
        <f>'Avg Week Ndeeba-Nyanama'!K64+'Avg Week Nyanama-Ndeeba'!K64</f>
        <v>0</v>
      </c>
      <c r="L64" s="49">
        <f>'Avg Week Ndeeba-Nyanama'!L64+'Avg Week Nyanama-Ndeeba'!L64</f>
        <v>0</v>
      </c>
      <c r="M64" s="49">
        <f>'Avg Week Ndeeba-Nyanama'!M64+'Avg Week Nyanama-Ndeeba'!M64</f>
        <v>155</v>
      </c>
      <c r="N64" s="49">
        <f>'Avg Week Ndeeba-Nyanama'!N64+'Avg Week Nyanama-Ndeeba'!N64</f>
        <v>0</v>
      </c>
      <c r="O64" s="17">
        <f t="shared" si="0"/>
        <v>199.5</v>
      </c>
      <c r="P64" s="17">
        <f t="shared" si="1"/>
        <v>354.5</v>
      </c>
      <c r="R64" s="19"/>
      <c r="T64"/>
    </row>
    <row r="65" spans="2:20" ht="23.1" customHeight="1" x14ac:dyDescent="0.25">
      <c r="B65" s="23" t="s">
        <v>158</v>
      </c>
      <c r="C65" s="49">
        <f>'Avg Week Ndeeba-Nyanama'!C65+'Avg Week Nyanama-Ndeeba'!C65</f>
        <v>100</v>
      </c>
      <c r="D65" s="49">
        <f>'Avg Week Ndeeba-Nyanama'!D65+'Avg Week Nyanama-Ndeeba'!D65</f>
        <v>14.5</v>
      </c>
      <c r="E65" s="49">
        <f>'Avg Week Ndeeba-Nyanama'!E65+'Avg Week Nyanama-Ndeeba'!E65</f>
        <v>13.5</v>
      </c>
      <c r="F65" s="49">
        <f>'Avg Week Ndeeba-Nyanama'!F65+'Avg Week Nyanama-Ndeeba'!F65</f>
        <v>30</v>
      </c>
      <c r="G65" s="49">
        <f>'Avg Week Ndeeba-Nyanama'!G65+'Avg Week Nyanama-Ndeeba'!G65</f>
        <v>0.5</v>
      </c>
      <c r="H65" s="49">
        <f>'Avg Week Ndeeba-Nyanama'!H65+'Avg Week Nyanama-Ndeeba'!H65</f>
        <v>0.5</v>
      </c>
      <c r="I65" s="49">
        <f>'Avg Week Ndeeba-Nyanama'!I65+'Avg Week Nyanama-Ndeeba'!I65</f>
        <v>6</v>
      </c>
      <c r="J65" s="49">
        <f>'Avg Week Ndeeba-Nyanama'!J65+'Avg Week Nyanama-Ndeeba'!J65</f>
        <v>3.5</v>
      </c>
      <c r="K65" s="49">
        <f>'Avg Week Ndeeba-Nyanama'!K65+'Avg Week Nyanama-Ndeeba'!K65</f>
        <v>0</v>
      </c>
      <c r="L65" s="49">
        <f>'Avg Week Ndeeba-Nyanama'!L65+'Avg Week Nyanama-Ndeeba'!L65</f>
        <v>0</v>
      </c>
      <c r="M65" s="49">
        <f>'Avg Week Ndeeba-Nyanama'!M65+'Avg Week Nyanama-Ndeeba'!M65</f>
        <v>148</v>
      </c>
      <c r="N65" s="49">
        <f>'Avg Week Ndeeba-Nyanama'!N65+'Avg Week Nyanama-Ndeeba'!N65</f>
        <v>0</v>
      </c>
      <c r="O65" s="17">
        <f t="shared" si="0"/>
        <v>168.5</v>
      </c>
      <c r="P65" s="17">
        <f t="shared" si="1"/>
        <v>316.5</v>
      </c>
      <c r="R65" s="19"/>
      <c r="T65"/>
    </row>
    <row r="66" spans="2:20" ht="23.1" customHeight="1" x14ac:dyDescent="0.25">
      <c r="B66" s="23" t="s">
        <v>103</v>
      </c>
      <c r="C66" s="49">
        <f>'Avg Week Ndeeba-Nyanama'!C66+'Avg Week Nyanama-Ndeeba'!C66</f>
        <v>106.5</v>
      </c>
      <c r="D66" s="49">
        <f>'Avg Week Ndeeba-Nyanama'!D66+'Avg Week Nyanama-Ndeeba'!D66</f>
        <v>13</v>
      </c>
      <c r="E66" s="49">
        <f>'Avg Week Ndeeba-Nyanama'!E66+'Avg Week Nyanama-Ndeeba'!E66</f>
        <v>7.5</v>
      </c>
      <c r="F66" s="49">
        <f>'Avg Week Ndeeba-Nyanama'!F66+'Avg Week Nyanama-Ndeeba'!F66</f>
        <v>42</v>
      </c>
      <c r="G66" s="49">
        <f>'Avg Week Ndeeba-Nyanama'!G66+'Avg Week Nyanama-Ndeeba'!G66</f>
        <v>1.5</v>
      </c>
      <c r="H66" s="49">
        <f>'Avg Week Ndeeba-Nyanama'!H66+'Avg Week Nyanama-Ndeeba'!H66</f>
        <v>0</v>
      </c>
      <c r="I66" s="49">
        <f>'Avg Week Ndeeba-Nyanama'!I66+'Avg Week Nyanama-Ndeeba'!I66</f>
        <v>12.5</v>
      </c>
      <c r="J66" s="49">
        <f>'Avg Week Ndeeba-Nyanama'!J66+'Avg Week Nyanama-Ndeeba'!J66</f>
        <v>2.5</v>
      </c>
      <c r="K66" s="49">
        <f>'Avg Week Ndeeba-Nyanama'!K66+'Avg Week Nyanama-Ndeeba'!K66</f>
        <v>0.5</v>
      </c>
      <c r="L66" s="49">
        <f>'Avg Week Ndeeba-Nyanama'!L66+'Avg Week Nyanama-Ndeeba'!L66</f>
        <v>0</v>
      </c>
      <c r="M66" s="49">
        <f>'Avg Week Ndeeba-Nyanama'!M66+'Avg Week Nyanama-Ndeeba'!M66</f>
        <v>189</v>
      </c>
      <c r="N66" s="49">
        <f>'Avg Week Ndeeba-Nyanama'!N66+'Avg Week Nyanama-Ndeeba'!N66</f>
        <v>0</v>
      </c>
      <c r="O66" s="17">
        <f t="shared" si="0"/>
        <v>186</v>
      </c>
      <c r="P66" s="17">
        <f t="shared" si="1"/>
        <v>375</v>
      </c>
      <c r="R66" s="19"/>
      <c r="T66"/>
    </row>
    <row r="67" spans="2:20" ht="23.1" customHeight="1" x14ac:dyDescent="0.25">
      <c r="B67" s="23" t="s">
        <v>104</v>
      </c>
      <c r="C67" s="49">
        <f>'Avg Week Ndeeba-Nyanama'!C67+'Avg Week Nyanama-Ndeeba'!C67</f>
        <v>104</v>
      </c>
      <c r="D67" s="49">
        <f>'Avg Week Ndeeba-Nyanama'!D67+'Avg Week Nyanama-Ndeeba'!D67</f>
        <v>16.5</v>
      </c>
      <c r="E67" s="49">
        <f>'Avg Week Ndeeba-Nyanama'!E67+'Avg Week Nyanama-Ndeeba'!E67</f>
        <v>8</v>
      </c>
      <c r="F67" s="49">
        <f>'Avg Week Ndeeba-Nyanama'!F67+'Avg Week Nyanama-Ndeeba'!F67</f>
        <v>43</v>
      </c>
      <c r="G67" s="49">
        <f>'Avg Week Ndeeba-Nyanama'!G67+'Avg Week Nyanama-Ndeeba'!G67</f>
        <v>0.5</v>
      </c>
      <c r="H67" s="49">
        <f>'Avg Week Ndeeba-Nyanama'!H67+'Avg Week Nyanama-Ndeeba'!H67</f>
        <v>0</v>
      </c>
      <c r="I67" s="49">
        <f>'Avg Week Ndeeba-Nyanama'!I67+'Avg Week Nyanama-Ndeeba'!I67</f>
        <v>7.5</v>
      </c>
      <c r="J67" s="49">
        <f>'Avg Week Ndeeba-Nyanama'!J67+'Avg Week Nyanama-Ndeeba'!J67</f>
        <v>1.5</v>
      </c>
      <c r="K67" s="49">
        <f>'Avg Week Ndeeba-Nyanama'!K67+'Avg Week Nyanama-Ndeeba'!K67</f>
        <v>1</v>
      </c>
      <c r="L67" s="49">
        <f>'Avg Week Ndeeba-Nyanama'!L67+'Avg Week Nyanama-Ndeeba'!L67</f>
        <v>0</v>
      </c>
      <c r="M67" s="49">
        <f>'Avg Week Ndeeba-Nyanama'!M67+'Avg Week Nyanama-Ndeeba'!M67</f>
        <v>157</v>
      </c>
      <c r="N67" s="49">
        <f>'Avg Week Ndeeba-Nyanama'!N67+'Avg Week Nyanama-Ndeeba'!N67</f>
        <v>0</v>
      </c>
      <c r="O67" s="17">
        <f t="shared" si="0"/>
        <v>182</v>
      </c>
      <c r="P67" s="17">
        <f t="shared" si="1"/>
        <v>339</v>
      </c>
      <c r="R67" s="19"/>
      <c r="T67"/>
    </row>
    <row r="68" spans="2:20" ht="23.1" customHeight="1" x14ac:dyDescent="0.25">
      <c r="B68" s="23" t="s">
        <v>105</v>
      </c>
      <c r="C68" s="49">
        <f>'Avg Week Ndeeba-Nyanama'!C68+'Avg Week Nyanama-Ndeeba'!C68</f>
        <v>91</v>
      </c>
      <c r="D68" s="49">
        <f>'Avg Week Ndeeba-Nyanama'!D68+'Avg Week Nyanama-Ndeeba'!D68</f>
        <v>18</v>
      </c>
      <c r="E68" s="49">
        <f>'Avg Week Ndeeba-Nyanama'!E68+'Avg Week Nyanama-Ndeeba'!E68</f>
        <v>5</v>
      </c>
      <c r="F68" s="49">
        <f>'Avg Week Ndeeba-Nyanama'!F68+'Avg Week Nyanama-Ndeeba'!F68</f>
        <v>37.5</v>
      </c>
      <c r="G68" s="49">
        <f>'Avg Week Ndeeba-Nyanama'!G68+'Avg Week Nyanama-Ndeeba'!G68</f>
        <v>0</v>
      </c>
      <c r="H68" s="49">
        <f>'Avg Week Ndeeba-Nyanama'!H68+'Avg Week Nyanama-Ndeeba'!H68</f>
        <v>0</v>
      </c>
      <c r="I68" s="49">
        <f>'Avg Week Ndeeba-Nyanama'!I68+'Avg Week Nyanama-Ndeeba'!I68</f>
        <v>5.5</v>
      </c>
      <c r="J68" s="49">
        <f>'Avg Week Ndeeba-Nyanama'!J68+'Avg Week Nyanama-Ndeeba'!J68</f>
        <v>2.5</v>
      </c>
      <c r="K68" s="49">
        <f>'Avg Week Ndeeba-Nyanama'!K68+'Avg Week Nyanama-Ndeeba'!K68</f>
        <v>1</v>
      </c>
      <c r="L68" s="49">
        <f>'Avg Week Ndeeba-Nyanama'!L68+'Avg Week Nyanama-Ndeeba'!L68</f>
        <v>0</v>
      </c>
      <c r="M68" s="49">
        <f>'Avg Week Ndeeba-Nyanama'!M68+'Avg Week Nyanama-Ndeeba'!M68</f>
        <v>163</v>
      </c>
      <c r="N68" s="49">
        <f>'Avg Week Ndeeba-Nyanama'!N68+'Avg Week Nyanama-Ndeeba'!N68</f>
        <v>0</v>
      </c>
      <c r="O68" s="17">
        <f t="shared" si="0"/>
        <v>160.5</v>
      </c>
      <c r="P68" s="17">
        <f t="shared" si="1"/>
        <v>323.5</v>
      </c>
      <c r="R68" s="19"/>
      <c r="T68"/>
    </row>
    <row r="69" spans="2:20" ht="23.1" customHeight="1" x14ac:dyDescent="0.25">
      <c r="B69" s="23" t="s">
        <v>106</v>
      </c>
      <c r="C69" s="49">
        <f>'Avg Week Ndeeba-Nyanama'!C69+'Avg Week Nyanama-Ndeeba'!C69</f>
        <v>108.5</v>
      </c>
      <c r="D69" s="49">
        <f>'Avg Week Ndeeba-Nyanama'!D69+'Avg Week Nyanama-Ndeeba'!D69</f>
        <v>14</v>
      </c>
      <c r="E69" s="49">
        <f>'Avg Week Ndeeba-Nyanama'!E69+'Avg Week Nyanama-Ndeeba'!E69</f>
        <v>4</v>
      </c>
      <c r="F69" s="49">
        <f>'Avg Week Ndeeba-Nyanama'!F69+'Avg Week Nyanama-Ndeeba'!F69</f>
        <v>31</v>
      </c>
      <c r="G69" s="49">
        <f>'Avg Week Ndeeba-Nyanama'!G69+'Avg Week Nyanama-Ndeeba'!G69</f>
        <v>0</v>
      </c>
      <c r="H69" s="49">
        <f>'Avg Week Ndeeba-Nyanama'!H69+'Avg Week Nyanama-Ndeeba'!H69</f>
        <v>0</v>
      </c>
      <c r="I69" s="49">
        <f>'Avg Week Ndeeba-Nyanama'!I69+'Avg Week Nyanama-Ndeeba'!I69</f>
        <v>9</v>
      </c>
      <c r="J69" s="49">
        <f>'Avg Week Ndeeba-Nyanama'!J69+'Avg Week Nyanama-Ndeeba'!J69</f>
        <v>0.5</v>
      </c>
      <c r="K69" s="49">
        <f>'Avg Week Ndeeba-Nyanama'!K69+'Avg Week Nyanama-Ndeeba'!K69</f>
        <v>0.5</v>
      </c>
      <c r="L69" s="49">
        <f>'Avg Week Ndeeba-Nyanama'!L69+'Avg Week Nyanama-Ndeeba'!L69</f>
        <v>0</v>
      </c>
      <c r="M69" s="49">
        <f>'Avg Week Ndeeba-Nyanama'!M69+'Avg Week Nyanama-Ndeeba'!M69</f>
        <v>147</v>
      </c>
      <c r="N69" s="49">
        <f>'Avg Week Ndeeba-Nyanama'!N69+'Avg Week Nyanama-Ndeeba'!N69</f>
        <v>0</v>
      </c>
      <c r="O69" s="17">
        <f t="shared" si="0"/>
        <v>167.5</v>
      </c>
      <c r="P69" s="17">
        <f t="shared" si="1"/>
        <v>314.5</v>
      </c>
      <c r="R69" s="19"/>
      <c r="T69"/>
    </row>
    <row r="70" spans="2:20" ht="23.1" customHeight="1" x14ac:dyDescent="0.25">
      <c r="B70" s="23" t="s">
        <v>110</v>
      </c>
      <c r="C70" s="49">
        <f>'Avg Week Ndeeba-Nyanama'!C70+'Avg Week Nyanama-Ndeeba'!C70</f>
        <v>89</v>
      </c>
      <c r="D70" s="49">
        <f>'Avg Week Ndeeba-Nyanama'!D70+'Avg Week Nyanama-Ndeeba'!D70</f>
        <v>20</v>
      </c>
      <c r="E70" s="49">
        <f>'Avg Week Ndeeba-Nyanama'!E70+'Avg Week Nyanama-Ndeeba'!E70</f>
        <v>8.5</v>
      </c>
      <c r="F70" s="49">
        <f>'Avg Week Ndeeba-Nyanama'!F70+'Avg Week Nyanama-Ndeeba'!F70</f>
        <v>20</v>
      </c>
      <c r="G70" s="49">
        <f>'Avg Week Ndeeba-Nyanama'!G70+'Avg Week Nyanama-Ndeeba'!G70</f>
        <v>1</v>
      </c>
      <c r="H70" s="49">
        <f>'Avg Week Ndeeba-Nyanama'!H70+'Avg Week Nyanama-Ndeeba'!H70</f>
        <v>0</v>
      </c>
      <c r="I70" s="49">
        <f>'Avg Week Ndeeba-Nyanama'!I70+'Avg Week Nyanama-Ndeeba'!I70</f>
        <v>6.5</v>
      </c>
      <c r="J70" s="49">
        <f>'Avg Week Ndeeba-Nyanama'!J70+'Avg Week Nyanama-Ndeeba'!J70</f>
        <v>2.5</v>
      </c>
      <c r="K70" s="49">
        <f>'Avg Week Ndeeba-Nyanama'!K70+'Avg Week Nyanama-Ndeeba'!K70</f>
        <v>0.5</v>
      </c>
      <c r="L70" s="49">
        <f>'Avg Week Ndeeba-Nyanama'!L70+'Avg Week Nyanama-Ndeeba'!L70</f>
        <v>0.5</v>
      </c>
      <c r="M70" s="49">
        <f>'Avg Week Ndeeba-Nyanama'!M70+'Avg Week Nyanama-Ndeeba'!M70</f>
        <v>147</v>
      </c>
      <c r="N70" s="49">
        <f>'Avg Week Ndeeba-Nyanama'!N70+'Avg Week Nyanama-Ndeeba'!N70</f>
        <v>0</v>
      </c>
      <c r="O70" s="17">
        <f t="shared" si="0"/>
        <v>148.5</v>
      </c>
      <c r="P70" s="17">
        <f t="shared" si="1"/>
        <v>295.5</v>
      </c>
      <c r="R70" s="19"/>
      <c r="T70"/>
    </row>
    <row r="71" spans="2:20" ht="23.1" customHeight="1" x14ac:dyDescent="0.25">
      <c r="B71" s="23" t="s">
        <v>111</v>
      </c>
      <c r="C71" s="49">
        <f>'Avg Week Ndeeba-Nyanama'!C71+'Avg Week Nyanama-Ndeeba'!C71</f>
        <v>75</v>
      </c>
      <c r="D71" s="49">
        <f>'Avg Week Ndeeba-Nyanama'!D71+'Avg Week Nyanama-Ndeeba'!D71</f>
        <v>16</v>
      </c>
      <c r="E71" s="49">
        <f>'Avg Week Ndeeba-Nyanama'!E71+'Avg Week Nyanama-Ndeeba'!E71</f>
        <v>3.5</v>
      </c>
      <c r="F71" s="49">
        <f>'Avg Week Ndeeba-Nyanama'!F71+'Avg Week Nyanama-Ndeeba'!F71</f>
        <v>14.5</v>
      </c>
      <c r="G71" s="49">
        <f>'Avg Week Ndeeba-Nyanama'!G71+'Avg Week Nyanama-Ndeeba'!G71</f>
        <v>1</v>
      </c>
      <c r="H71" s="49">
        <f>'Avg Week Ndeeba-Nyanama'!H71+'Avg Week Nyanama-Ndeeba'!H71</f>
        <v>0</v>
      </c>
      <c r="I71" s="49">
        <f>'Avg Week Ndeeba-Nyanama'!I71+'Avg Week Nyanama-Ndeeba'!I71</f>
        <v>5</v>
      </c>
      <c r="J71" s="49">
        <f>'Avg Week Ndeeba-Nyanama'!J71+'Avg Week Nyanama-Ndeeba'!J71</f>
        <v>3.5</v>
      </c>
      <c r="K71" s="49">
        <f>'Avg Week Ndeeba-Nyanama'!K71+'Avg Week Nyanama-Ndeeba'!K71</f>
        <v>0.5</v>
      </c>
      <c r="L71" s="49">
        <f>'Avg Week Ndeeba-Nyanama'!L71+'Avg Week Nyanama-Ndeeba'!L71</f>
        <v>0</v>
      </c>
      <c r="M71" s="49">
        <f>'Avg Week Ndeeba-Nyanama'!M71+'Avg Week Nyanama-Ndeeba'!M71</f>
        <v>125</v>
      </c>
      <c r="N71" s="49">
        <f>'Avg Week Ndeeba-Nyanama'!N71+'Avg Week Nyanama-Ndeeba'!N71</f>
        <v>0</v>
      </c>
      <c r="O71" s="17">
        <f t="shared" si="0"/>
        <v>119</v>
      </c>
      <c r="P71" s="17">
        <f t="shared" si="1"/>
        <v>244</v>
      </c>
      <c r="R71" s="19"/>
      <c r="T71"/>
    </row>
    <row r="72" spans="2:20" ht="23.1" customHeight="1" x14ac:dyDescent="0.25">
      <c r="B72" s="23" t="s">
        <v>112</v>
      </c>
      <c r="C72" s="49">
        <f>'Avg Week Ndeeba-Nyanama'!C72+'Avg Week Nyanama-Ndeeba'!C72</f>
        <v>84</v>
      </c>
      <c r="D72" s="49">
        <f>'Avg Week Ndeeba-Nyanama'!D72+'Avg Week Nyanama-Ndeeba'!D72</f>
        <v>17.5</v>
      </c>
      <c r="E72" s="49">
        <f>'Avg Week Ndeeba-Nyanama'!E72+'Avg Week Nyanama-Ndeeba'!E72</f>
        <v>3</v>
      </c>
      <c r="F72" s="49">
        <f>'Avg Week Ndeeba-Nyanama'!F72+'Avg Week Nyanama-Ndeeba'!F72</f>
        <v>9.5</v>
      </c>
      <c r="G72" s="49">
        <f>'Avg Week Ndeeba-Nyanama'!G72+'Avg Week Nyanama-Ndeeba'!G72</f>
        <v>0.5</v>
      </c>
      <c r="H72" s="49">
        <f>'Avg Week Ndeeba-Nyanama'!H72+'Avg Week Nyanama-Ndeeba'!H72</f>
        <v>0</v>
      </c>
      <c r="I72" s="49">
        <f>'Avg Week Ndeeba-Nyanama'!I72+'Avg Week Nyanama-Ndeeba'!I72</f>
        <v>5</v>
      </c>
      <c r="J72" s="49">
        <f>'Avg Week Ndeeba-Nyanama'!J72+'Avg Week Nyanama-Ndeeba'!J72</f>
        <v>2</v>
      </c>
      <c r="K72" s="49">
        <f>'Avg Week Ndeeba-Nyanama'!K72+'Avg Week Nyanama-Ndeeba'!K72</f>
        <v>0.5</v>
      </c>
      <c r="L72" s="49">
        <f>'Avg Week Ndeeba-Nyanama'!L72+'Avg Week Nyanama-Ndeeba'!L72</f>
        <v>0</v>
      </c>
      <c r="M72" s="49">
        <f>'Avg Week Ndeeba-Nyanama'!M72+'Avg Week Nyanama-Ndeeba'!M72</f>
        <v>140</v>
      </c>
      <c r="N72" s="49">
        <f>'Avg Week Ndeeba-Nyanama'!N72+'Avg Week Nyanama-Ndeeba'!N72</f>
        <v>0</v>
      </c>
      <c r="O72" s="17">
        <f t="shared" si="0"/>
        <v>122</v>
      </c>
      <c r="P72" s="17">
        <f t="shared" si="1"/>
        <v>262</v>
      </c>
      <c r="R72" s="19"/>
      <c r="T72"/>
    </row>
    <row r="73" spans="2:20" ht="23.1" customHeight="1" x14ac:dyDescent="0.25">
      <c r="B73" s="23" t="s">
        <v>113</v>
      </c>
      <c r="C73" s="49">
        <f>'Avg Week Ndeeba-Nyanama'!C73+'Avg Week Nyanama-Ndeeba'!C73</f>
        <v>87</v>
      </c>
      <c r="D73" s="49">
        <f>'Avg Week Ndeeba-Nyanama'!D73+'Avg Week Nyanama-Ndeeba'!D73</f>
        <v>20</v>
      </c>
      <c r="E73" s="49">
        <f>'Avg Week Ndeeba-Nyanama'!E73+'Avg Week Nyanama-Ndeeba'!E73</f>
        <v>2.5</v>
      </c>
      <c r="F73" s="49">
        <f>'Avg Week Ndeeba-Nyanama'!F73+'Avg Week Nyanama-Ndeeba'!F73</f>
        <v>15</v>
      </c>
      <c r="G73" s="49">
        <f>'Avg Week Ndeeba-Nyanama'!G73+'Avg Week Nyanama-Ndeeba'!G73</f>
        <v>0.5</v>
      </c>
      <c r="H73" s="49">
        <f>'Avg Week Ndeeba-Nyanama'!H73+'Avg Week Nyanama-Ndeeba'!H73</f>
        <v>0.5</v>
      </c>
      <c r="I73" s="49">
        <f>'Avg Week Ndeeba-Nyanama'!I73+'Avg Week Nyanama-Ndeeba'!I73</f>
        <v>4</v>
      </c>
      <c r="J73" s="49">
        <f>'Avg Week Ndeeba-Nyanama'!J73+'Avg Week Nyanama-Ndeeba'!J73</f>
        <v>4</v>
      </c>
      <c r="K73" s="49">
        <f>'Avg Week Ndeeba-Nyanama'!K73+'Avg Week Nyanama-Ndeeba'!K73</f>
        <v>0</v>
      </c>
      <c r="L73" s="49">
        <f>'Avg Week Ndeeba-Nyanama'!L73+'Avg Week Nyanama-Ndeeba'!L73</f>
        <v>0.5</v>
      </c>
      <c r="M73" s="49">
        <f>'Avg Week Ndeeba-Nyanama'!M73+'Avg Week Nyanama-Ndeeba'!M73</f>
        <v>170.5</v>
      </c>
      <c r="N73" s="49">
        <f>'Avg Week Ndeeba-Nyanama'!N73+'Avg Week Nyanama-Ndeeba'!N73</f>
        <v>0</v>
      </c>
      <c r="O73" s="17">
        <f t="shared" si="0"/>
        <v>134</v>
      </c>
      <c r="P73" s="17">
        <f t="shared" si="1"/>
        <v>304.5</v>
      </c>
      <c r="R73" s="19"/>
      <c r="T73"/>
    </row>
    <row r="74" spans="2:20" ht="23.1" customHeight="1" x14ac:dyDescent="0.25">
      <c r="B74" s="23" t="s">
        <v>114</v>
      </c>
      <c r="C74" s="49">
        <f>'Avg Week Ndeeba-Nyanama'!C74+'Avg Week Nyanama-Ndeeba'!C74</f>
        <v>67</v>
      </c>
      <c r="D74" s="49">
        <f>'Avg Week Ndeeba-Nyanama'!D74+'Avg Week Nyanama-Ndeeba'!D74</f>
        <v>21</v>
      </c>
      <c r="E74" s="49">
        <f>'Avg Week Ndeeba-Nyanama'!E74+'Avg Week Nyanama-Ndeeba'!E74</f>
        <v>5</v>
      </c>
      <c r="F74" s="49">
        <f>'Avg Week Ndeeba-Nyanama'!F74+'Avg Week Nyanama-Ndeeba'!F74</f>
        <v>10.5</v>
      </c>
      <c r="G74" s="49">
        <f>'Avg Week Ndeeba-Nyanama'!G74+'Avg Week Nyanama-Ndeeba'!G74</f>
        <v>0.5</v>
      </c>
      <c r="H74" s="49">
        <f>'Avg Week Ndeeba-Nyanama'!H74+'Avg Week Nyanama-Ndeeba'!H74</f>
        <v>0</v>
      </c>
      <c r="I74" s="49">
        <f>'Avg Week Ndeeba-Nyanama'!I74+'Avg Week Nyanama-Ndeeba'!I74</f>
        <v>7.5</v>
      </c>
      <c r="J74" s="49">
        <f>'Avg Week Ndeeba-Nyanama'!J74+'Avg Week Nyanama-Ndeeba'!J74</f>
        <v>3</v>
      </c>
      <c r="K74" s="49">
        <f>'Avg Week Ndeeba-Nyanama'!K74+'Avg Week Nyanama-Ndeeba'!K74</f>
        <v>1</v>
      </c>
      <c r="L74" s="49">
        <f>'Avg Week Ndeeba-Nyanama'!L74+'Avg Week Nyanama-Ndeeba'!L74</f>
        <v>0</v>
      </c>
      <c r="M74" s="49">
        <f>'Avg Week Ndeeba-Nyanama'!M74+'Avg Week Nyanama-Ndeeba'!M74</f>
        <v>154</v>
      </c>
      <c r="N74" s="49">
        <f>'Avg Week Ndeeba-Nyanama'!N74+'Avg Week Nyanama-Ndeeba'!N74</f>
        <v>0</v>
      </c>
      <c r="O74" s="17">
        <f t="shared" ref="O74:O105" si="35">SUM(C74:L74,N74)</f>
        <v>115.5</v>
      </c>
      <c r="P74" s="17">
        <f t="shared" ref="P74:P105" si="36">SUM(C74:N74)</f>
        <v>269.5</v>
      </c>
      <c r="R74" s="19"/>
      <c r="T74"/>
    </row>
    <row r="75" spans="2:20" ht="23.1" customHeight="1" x14ac:dyDescent="0.25">
      <c r="B75" s="23" t="s">
        <v>115</v>
      </c>
      <c r="C75" s="49">
        <f>'Avg Week Ndeeba-Nyanama'!C75+'Avg Week Nyanama-Ndeeba'!C75</f>
        <v>58</v>
      </c>
      <c r="D75" s="49">
        <f>'Avg Week Ndeeba-Nyanama'!D75+'Avg Week Nyanama-Ndeeba'!D75</f>
        <v>18</v>
      </c>
      <c r="E75" s="49">
        <f>'Avg Week Ndeeba-Nyanama'!E75+'Avg Week Nyanama-Ndeeba'!E75</f>
        <v>2</v>
      </c>
      <c r="F75" s="49">
        <f>'Avg Week Ndeeba-Nyanama'!F75+'Avg Week Nyanama-Ndeeba'!F75</f>
        <v>8.5</v>
      </c>
      <c r="G75" s="49">
        <f>'Avg Week Ndeeba-Nyanama'!G75+'Avg Week Nyanama-Ndeeba'!G75</f>
        <v>0</v>
      </c>
      <c r="H75" s="49">
        <f>'Avg Week Ndeeba-Nyanama'!H75+'Avg Week Nyanama-Ndeeba'!H75</f>
        <v>0</v>
      </c>
      <c r="I75" s="49">
        <f>'Avg Week Ndeeba-Nyanama'!I75+'Avg Week Nyanama-Ndeeba'!I75</f>
        <v>2.5</v>
      </c>
      <c r="J75" s="49">
        <f>'Avg Week Ndeeba-Nyanama'!J75+'Avg Week Nyanama-Ndeeba'!J75</f>
        <v>1.5</v>
      </c>
      <c r="K75" s="49">
        <f>'Avg Week Ndeeba-Nyanama'!K75+'Avg Week Nyanama-Ndeeba'!K75</f>
        <v>1</v>
      </c>
      <c r="L75" s="49">
        <f>'Avg Week Ndeeba-Nyanama'!L75+'Avg Week Nyanama-Ndeeba'!L75</f>
        <v>0</v>
      </c>
      <c r="M75" s="49">
        <f>'Avg Week Ndeeba-Nyanama'!M75+'Avg Week Nyanama-Ndeeba'!M75</f>
        <v>91</v>
      </c>
      <c r="N75" s="49">
        <f>'Avg Week Ndeeba-Nyanama'!N75+'Avg Week Nyanama-Ndeeba'!N75</f>
        <v>0</v>
      </c>
      <c r="O75" s="17">
        <f t="shared" si="35"/>
        <v>91.5</v>
      </c>
      <c r="P75" s="17">
        <f t="shared" si="36"/>
        <v>182.5</v>
      </c>
      <c r="R75" s="19"/>
      <c r="T75"/>
    </row>
    <row r="76" spans="2:20" ht="23.1" customHeight="1" x14ac:dyDescent="0.25">
      <c r="B76" s="23" t="s">
        <v>116</v>
      </c>
      <c r="C76" s="49">
        <f>'Avg Week Ndeeba-Nyanama'!C76+'Avg Week Nyanama-Ndeeba'!C76</f>
        <v>55</v>
      </c>
      <c r="D76" s="49">
        <f>'Avg Week Ndeeba-Nyanama'!D76+'Avg Week Nyanama-Ndeeba'!D76</f>
        <v>6</v>
      </c>
      <c r="E76" s="49">
        <f>'Avg Week Ndeeba-Nyanama'!E76+'Avg Week Nyanama-Ndeeba'!E76</f>
        <v>2</v>
      </c>
      <c r="F76" s="49">
        <f>'Avg Week Ndeeba-Nyanama'!F76+'Avg Week Nyanama-Ndeeba'!F76</f>
        <v>8.5</v>
      </c>
      <c r="G76" s="49">
        <f>'Avg Week Ndeeba-Nyanama'!G76+'Avg Week Nyanama-Ndeeba'!G76</f>
        <v>0</v>
      </c>
      <c r="H76" s="49">
        <f>'Avg Week Ndeeba-Nyanama'!H76+'Avg Week Nyanama-Ndeeba'!H76</f>
        <v>0.5</v>
      </c>
      <c r="I76" s="49">
        <f>'Avg Week Ndeeba-Nyanama'!I76+'Avg Week Nyanama-Ndeeba'!I76</f>
        <v>1.5</v>
      </c>
      <c r="J76" s="49">
        <f>'Avg Week Ndeeba-Nyanama'!J76+'Avg Week Nyanama-Ndeeba'!J76</f>
        <v>2.5</v>
      </c>
      <c r="K76" s="49">
        <f>'Avg Week Ndeeba-Nyanama'!K76+'Avg Week Nyanama-Ndeeba'!K76</f>
        <v>0.5</v>
      </c>
      <c r="L76" s="49">
        <f>'Avg Week Ndeeba-Nyanama'!L76+'Avg Week Nyanama-Ndeeba'!L76</f>
        <v>0</v>
      </c>
      <c r="M76" s="49">
        <f>'Avg Week Ndeeba-Nyanama'!M76+'Avg Week Nyanama-Ndeeba'!M76</f>
        <v>113.5</v>
      </c>
      <c r="N76" s="49">
        <f>'Avg Week Ndeeba-Nyanama'!N76+'Avg Week Nyanama-Ndeeba'!N76</f>
        <v>0</v>
      </c>
      <c r="O76" s="17">
        <f t="shared" si="35"/>
        <v>76.5</v>
      </c>
      <c r="P76" s="17">
        <f t="shared" si="36"/>
        <v>190</v>
      </c>
      <c r="R76" s="19"/>
      <c r="T76"/>
    </row>
    <row r="77" spans="2:20" ht="23.1" customHeight="1" x14ac:dyDescent="0.25">
      <c r="B77" s="23" t="s">
        <v>117</v>
      </c>
      <c r="C77" s="49">
        <f>'Avg Week Ndeeba-Nyanama'!C77+'Avg Week Nyanama-Ndeeba'!C77</f>
        <v>39</v>
      </c>
      <c r="D77" s="49">
        <f>'Avg Week Ndeeba-Nyanama'!D77+'Avg Week Nyanama-Ndeeba'!D77</f>
        <v>8</v>
      </c>
      <c r="E77" s="49">
        <f>'Avg Week Ndeeba-Nyanama'!E77+'Avg Week Nyanama-Ndeeba'!E77</f>
        <v>3.5</v>
      </c>
      <c r="F77" s="49">
        <f>'Avg Week Ndeeba-Nyanama'!F77+'Avg Week Nyanama-Ndeeba'!F77</f>
        <v>5</v>
      </c>
      <c r="G77" s="49">
        <f>'Avg Week Ndeeba-Nyanama'!G77+'Avg Week Nyanama-Ndeeba'!G77</f>
        <v>0</v>
      </c>
      <c r="H77" s="49">
        <f>'Avg Week Ndeeba-Nyanama'!H77+'Avg Week Nyanama-Ndeeba'!H77</f>
        <v>0.5</v>
      </c>
      <c r="I77" s="49">
        <f>'Avg Week Ndeeba-Nyanama'!I77+'Avg Week Nyanama-Ndeeba'!I77</f>
        <v>1.5</v>
      </c>
      <c r="J77" s="49">
        <f>'Avg Week Ndeeba-Nyanama'!J77+'Avg Week Nyanama-Ndeeba'!J77</f>
        <v>4</v>
      </c>
      <c r="K77" s="49">
        <f>'Avg Week Ndeeba-Nyanama'!K77+'Avg Week Nyanama-Ndeeba'!K77</f>
        <v>1.5</v>
      </c>
      <c r="L77" s="49">
        <f>'Avg Week Ndeeba-Nyanama'!L77+'Avg Week Nyanama-Ndeeba'!L77</f>
        <v>0</v>
      </c>
      <c r="M77" s="49">
        <f>'Avg Week Ndeeba-Nyanama'!M77+'Avg Week Nyanama-Ndeeba'!M77</f>
        <v>85</v>
      </c>
      <c r="N77" s="49">
        <f>'Avg Week Ndeeba-Nyanama'!N77+'Avg Week Nyanama-Ndeeba'!N77</f>
        <v>0</v>
      </c>
      <c r="O77" s="17">
        <f t="shared" si="35"/>
        <v>63</v>
      </c>
      <c r="P77" s="17">
        <f t="shared" si="36"/>
        <v>148</v>
      </c>
      <c r="R77" s="19"/>
      <c r="T77"/>
    </row>
    <row r="78" spans="2:20" ht="23.1" customHeight="1" x14ac:dyDescent="0.25">
      <c r="B78" s="24" t="s">
        <v>118</v>
      </c>
      <c r="C78" s="49">
        <f>'Avg Week Ndeeba-Nyanama'!C78+'Avg Week Nyanama-Ndeeba'!C78</f>
        <v>38</v>
      </c>
      <c r="D78" s="49">
        <f>'Avg Week Ndeeba-Nyanama'!D78+'Avg Week Nyanama-Ndeeba'!D78</f>
        <v>12.5</v>
      </c>
      <c r="E78" s="49">
        <f>'Avg Week Ndeeba-Nyanama'!E78+'Avg Week Nyanama-Ndeeba'!E78</f>
        <v>3</v>
      </c>
      <c r="F78" s="49">
        <f>'Avg Week Ndeeba-Nyanama'!F78+'Avg Week Nyanama-Ndeeba'!F78</f>
        <v>11</v>
      </c>
      <c r="G78" s="49">
        <f>'Avg Week Ndeeba-Nyanama'!G78+'Avg Week Nyanama-Ndeeba'!G78</f>
        <v>0</v>
      </c>
      <c r="H78" s="49">
        <f>'Avg Week Ndeeba-Nyanama'!H78+'Avg Week Nyanama-Ndeeba'!H78</f>
        <v>0</v>
      </c>
      <c r="I78" s="49">
        <f>'Avg Week Ndeeba-Nyanama'!I78+'Avg Week Nyanama-Ndeeba'!I78</f>
        <v>4.5</v>
      </c>
      <c r="J78" s="49">
        <f>'Avg Week Ndeeba-Nyanama'!J78+'Avg Week Nyanama-Ndeeba'!J78</f>
        <v>0.5</v>
      </c>
      <c r="K78" s="49">
        <f>'Avg Week Ndeeba-Nyanama'!K78+'Avg Week Nyanama-Ndeeba'!K78</f>
        <v>2</v>
      </c>
      <c r="L78" s="49">
        <f>'Avg Week Ndeeba-Nyanama'!L78+'Avg Week Nyanama-Ndeeba'!L78</f>
        <v>0.5</v>
      </c>
      <c r="M78" s="49">
        <f>'Avg Week Ndeeba-Nyanama'!M78+'Avg Week Nyanama-Ndeeba'!M78</f>
        <v>80</v>
      </c>
      <c r="N78" s="49">
        <f>'Avg Week Ndeeba-Nyanama'!N78+'Avg Week Nyanama-Ndeeba'!N78</f>
        <v>0</v>
      </c>
      <c r="O78" s="17">
        <f t="shared" si="35"/>
        <v>72</v>
      </c>
      <c r="P78" s="17">
        <f t="shared" si="36"/>
        <v>152</v>
      </c>
      <c r="R78" s="19"/>
      <c r="T78"/>
    </row>
    <row r="79" spans="2:20" ht="23.1" customHeight="1" x14ac:dyDescent="0.25">
      <c r="B79" s="23" t="s">
        <v>119</v>
      </c>
      <c r="C79" s="49">
        <f>'Avg Week Ndeeba-Nyanama'!C79+'Avg Week Nyanama-Ndeeba'!C79</f>
        <v>23</v>
      </c>
      <c r="D79" s="49">
        <f>'Avg Week Ndeeba-Nyanama'!D79+'Avg Week Nyanama-Ndeeba'!D79</f>
        <v>11</v>
      </c>
      <c r="E79" s="49">
        <f>'Avg Week Ndeeba-Nyanama'!E79+'Avg Week Nyanama-Ndeeba'!E79</f>
        <v>4.5</v>
      </c>
      <c r="F79" s="49">
        <f>'Avg Week Ndeeba-Nyanama'!F79+'Avg Week Nyanama-Ndeeba'!F79</f>
        <v>7</v>
      </c>
      <c r="G79" s="49">
        <f>'Avg Week Ndeeba-Nyanama'!G79+'Avg Week Nyanama-Ndeeba'!G79</f>
        <v>0</v>
      </c>
      <c r="H79" s="49">
        <f>'Avg Week Ndeeba-Nyanama'!H79+'Avg Week Nyanama-Ndeeba'!H79</f>
        <v>0</v>
      </c>
      <c r="I79" s="49">
        <f>'Avg Week Ndeeba-Nyanama'!I79+'Avg Week Nyanama-Ndeeba'!I79</f>
        <v>1.5</v>
      </c>
      <c r="J79" s="49">
        <f>'Avg Week Ndeeba-Nyanama'!J79+'Avg Week Nyanama-Ndeeba'!J79</f>
        <v>0.5</v>
      </c>
      <c r="K79" s="49">
        <f>'Avg Week Ndeeba-Nyanama'!K79+'Avg Week Nyanama-Ndeeba'!K79</f>
        <v>1.5</v>
      </c>
      <c r="L79" s="49">
        <f>'Avg Week Ndeeba-Nyanama'!L79+'Avg Week Nyanama-Ndeeba'!L79</f>
        <v>0</v>
      </c>
      <c r="M79" s="49">
        <f>'Avg Week Ndeeba-Nyanama'!M79+'Avg Week Nyanama-Ndeeba'!M79</f>
        <v>57.5</v>
      </c>
      <c r="N79" s="49">
        <f>'Avg Week Ndeeba-Nyanama'!N79+'Avg Week Nyanama-Ndeeba'!N79</f>
        <v>0</v>
      </c>
      <c r="O79" s="17">
        <f t="shared" si="35"/>
        <v>49</v>
      </c>
      <c r="P79" s="17">
        <f t="shared" si="36"/>
        <v>106.5</v>
      </c>
      <c r="R79" s="19"/>
      <c r="T79"/>
    </row>
    <row r="80" spans="2:20" ht="23.1" customHeight="1" x14ac:dyDescent="0.25">
      <c r="B80" s="25" t="s">
        <v>120</v>
      </c>
      <c r="C80" s="49">
        <f>'Avg Week Ndeeba-Nyanama'!C80+'Avg Week Nyanama-Ndeeba'!C80</f>
        <v>26</v>
      </c>
      <c r="D80" s="49">
        <f>'Avg Week Ndeeba-Nyanama'!D80+'Avg Week Nyanama-Ndeeba'!D80</f>
        <v>4</v>
      </c>
      <c r="E80" s="49">
        <f>'Avg Week Ndeeba-Nyanama'!E80+'Avg Week Nyanama-Ndeeba'!E80</f>
        <v>1.5</v>
      </c>
      <c r="F80" s="49">
        <f>'Avg Week Ndeeba-Nyanama'!F80+'Avg Week Nyanama-Ndeeba'!F80</f>
        <v>5.5</v>
      </c>
      <c r="G80" s="49">
        <f>'Avg Week Ndeeba-Nyanama'!G80+'Avg Week Nyanama-Ndeeba'!G80</f>
        <v>0</v>
      </c>
      <c r="H80" s="49">
        <f>'Avg Week Ndeeba-Nyanama'!H80+'Avg Week Nyanama-Ndeeba'!H80</f>
        <v>0</v>
      </c>
      <c r="I80" s="49">
        <f>'Avg Week Ndeeba-Nyanama'!I80+'Avg Week Nyanama-Ndeeba'!I80</f>
        <v>2</v>
      </c>
      <c r="J80" s="49">
        <f>'Avg Week Ndeeba-Nyanama'!J80+'Avg Week Nyanama-Ndeeba'!J80</f>
        <v>1</v>
      </c>
      <c r="K80" s="49">
        <f>'Avg Week Ndeeba-Nyanama'!K80+'Avg Week Nyanama-Ndeeba'!K80</f>
        <v>0.5</v>
      </c>
      <c r="L80" s="49">
        <f>'Avg Week Ndeeba-Nyanama'!L80+'Avg Week Nyanama-Ndeeba'!L80</f>
        <v>0</v>
      </c>
      <c r="M80" s="49">
        <f>'Avg Week Ndeeba-Nyanama'!M80+'Avg Week Nyanama-Ndeeba'!M80</f>
        <v>51.5</v>
      </c>
      <c r="N80" s="49">
        <f>'Avg Week Ndeeba-Nyanama'!N80+'Avg Week Nyanama-Ndeeba'!N80</f>
        <v>0</v>
      </c>
      <c r="O80" s="17">
        <f t="shared" si="35"/>
        <v>40.5</v>
      </c>
      <c r="P80" s="17">
        <f t="shared" si="36"/>
        <v>92</v>
      </c>
      <c r="R80" s="19"/>
      <c r="T80"/>
    </row>
    <row r="81" spans="2:20" ht="23.1" customHeight="1" x14ac:dyDescent="0.25">
      <c r="B81" s="23" t="s">
        <v>121</v>
      </c>
      <c r="C81" s="49">
        <f>'Avg Week Ndeeba-Nyanama'!C81+'Avg Week Nyanama-Ndeeba'!C81</f>
        <v>18.5</v>
      </c>
      <c r="D81" s="49">
        <f>'Avg Week Ndeeba-Nyanama'!D81+'Avg Week Nyanama-Ndeeba'!D81</f>
        <v>5.5</v>
      </c>
      <c r="E81" s="49">
        <f>'Avg Week Ndeeba-Nyanama'!E81+'Avg Week Nyanama-Ndeeba'!E81</f>
        <v>1</v>
      </c>
      <c r="F81" s="49">
        <f>'Avg Week Ndeeba-Nyanama'!F81+'Avg Week Nyanama-Ndeeba'!F81</f>
        <v>5.5</v>
      </c>
      <c r="G81" s="49">
        <f>'Avg Week Ndeeba-Nyanama'!G81+'Avg Week Nyanama-Ndeeba'!G81</f>
        <v>0</v>
      </c>
      <c r="H81" s="49">
        <f>'Avg Week Ndeeba-Nyanama'!H81+'Avg Week Nyanama-Ndeeba'!H81</f>
        <v>0</v>
      </c>
      <c r="I81" s="49">
        <f>'Avg Week Ndeeba-Nyanama'!I81+'Avg Week Nyanama-Ndeeba'!I81</f>
        <v>2</v>
      </c>
      <c r="J81" s="49">
        <f>'Avg Week Ndeeba-Nyanama'!J81+'Avg Week Nyanama-Ndeeba'!J81</f>
        <v>2.5</v>
      </c>
      <c r="K81" s="49">
        <f>'Avg Week Ndeeba-Nyanama'!K81+'Avg Week Nyanama-Ndeeba'!K81</f>
        <v>0.5</v>
      </c>
      <c r="L81" s="49">
        <f>'Avg Week Ndeeba-Nyanama'!L81+'Avg Week Nyanama-Ndeeba'!L81</f>
        <v>0</v>
      </c>
      <c r="M81" s="49">
        <f>'Avg Week Ndeeba-Nyanama'!M81+'Avg Week Nyanama-Ndeeba'!M81</f>
        <v>44.5</v>
      </c>
      <c r="N81" s="49">
        <f>'Avg Week Ndeeba-Nyanama'!N81+'Avg Week Nyanama-Ndeeba'!N81</f>
        <v>0</v>
      </c>
      <c r="O81" s="17">
        <f t="shared" si="35"/>
        <v>35.5</v>
      </c>
      <c r="P81" s="17">
        <f t="shared" si="36"/>
        <v>80</v>
      </c>
      <c r="R81" s="19"/>
      <c r="T81"/>
    </row>
    <row r="82" spans="2:20" ht="23.1" customHeight="1" x14ac:dyDescent="0.25">
      <c r="B82" s="24" t="s">
        <v>122</v>
      </c>
      <c r="C82" s="49">
        <f>'Avg Week Ndeeba-Nyanama'!C82+'Avg Week Nyanama-Ndeeba'!C82</f>
        <v>26.5</v>
      </c>
      <c r="D82" s="49">
        <f>'Avg Week Ndeeba-Nyanama'!D82+'Avg Week Nyanama-Ndeeba'!D82</f>
        <v>5.5</v>
      </c>
      <c r="E82" s="49">
        <f>'Avg Week Ndeeba-Nyanama'!E82+'Avg Week Nyanama-Ndeeba'!E82</f>
        <v>2</v>
      </c>
      <c r="F82" s="49">
        <f>'Avg Week Ndeeba-Nyanama'!F82+'Avg Week Nyanama-Ndeeba'!F82</f>
        <v>6</v>
      </c>
      <c r="G82" s="49">
        <f>'Avg Week Ndeeba-Nyanama'!G82+'Avg Week Nyanama-Ndeeba'!G82</f>
        <v>0</v>
      </c>
      <c r="H82" s="49">
        <f>'Avg Week Ndeeba-Nyanama'!H82+'Avg Week Nyanama-Ndeeba'!H82</f>
        <v>0</v>
      </c>
      <c r="I82" s="49">
        <f>'Avg Week Ndeeba-Nyanama'!I82+'Avg Week Nyanama-Ndeeba'!I82</f>
        <v>4</v>
      </c>
      <c r="J82" s="49">
        <f>'Avg Week Ndeeba-Nyanama'!J82+'Avg Week Nyanama-Ndeeba'!J82</f>
        <v>1</v>
      </c>
      <c r="K82" s="49">
        <f>'Avg Week Ndeeba-Nyanama'!K82+'Avg Week Nyanama-Ndeeba'!K82</f>
        <v>2.5</v>
      </c>
      <c r="L82" s="49">
        <f>'Avg Week Ndeeba-Nyanama'!L82+'Avg Week Nyanama-Ndeeba'!L82</f>
        <v>0.5</v>
      </c>
      <c r="M82" s="49">
        <f>'Avg Week Ndeeba-Nyanama'!M82+'Avg Week Nyanama-Ndeeba'!M82</f>
        <v>85</v>
      </c>
      <c r="N82" s="49">
        <f>'Avg Week Ndeeba-Nyanama'!N82+'Avg Week Nyanama-Ndeeba'!N82</f>
        <v>0</v>
      </c>
      <c r="O82" s="17">
        <f t="shared" si="35"/>
        <v>48</v>
      </c>
      <c r="P82" s="17">
        <f t="shared" si="36"/>
        <v>133</v>
      </c>
      <c r="R82" s="19"/>
      <c r="T82"/>
    </row>
    <row r="83" spans="2:20" ht="23.1" customHeight="1" x14ac:dyDescent="0.25">
      <c r="B83" s="23" t="s">
        <v>123</v>
      </c>
      <c r="C83" s="49">
        <f>'Avg Week Ndeeba-Nyanama'!C83+'Avg Week Nyanama-Ndeeba'!C83</f>
        <v>24</v>
      </c>
      <c r="D83" s="49">
        <f>'Avg Week Ndeeba-Nyanama'!D83+'Avg Week Nyanama-Ndeeba'!D83</f>
        <v>4</v>
      </c>
      <c r="E83" s="49">
        <f>'Avg Week Ndeeba-Nyanama'!E83+'Avg Week Nyanama-Ndeeba'!E83</f>
        <v>1.5</v>
      </c>
      <c r="F83" s="49">
        <f>'Avg Week Ndeeba-Nyanama'!F83+'Avg Week Nyanama-Ndeeba'!F83</f>
        <v>3.5</v>
      </c>
      <c r="G83" s="49">
        <f>'Avg Week Ndeeba-Nyanama'!G83+'Avg Week Nyanama-Ndeeba'!G83</f>
        <v>0</v>
      </c>
      <c r="H83" s="49">
        <f>'Avg Week Ndeeba-Nyanama'!H83+'Avg Week Nyanama-Ndeeba'!H83</f>
        <v>0</v>
      </c>
      <c r="I83" s="49">
        <f>'Avg Week Ndeeba-Nyanama'!I83+'Avg Week Nyanama-Ndeeba'!I83</f>
        <v>3</v>
      </c>
      <c r="J83" s="49">
        <f>'Avg Week Ndeeba-Nyanama'!J83+'Avg Week Nyanama-Ndeeba'!J83</f>
        <v>0.5</v>
      </c>
      <c r="K83" s="49">
        <f>'Avg Week Ndeeba-Nyanama'!K83+'Avg Week Nyanama-Ndeeba'!K83</f>
        <v>2</v>
      </c>
      <c r="L83" s="49">
        <f>'Avg Week Ndeeba-Nyanama'!L83+'Avg Week Nyanama-Ndeeba'!L83</f>
        <v>0</v>
      </c>
      <c r="M83" s="49">
        <f>'Avg Week Ndeeba-Nyanama'!M83+'Avg Week Nyanama-Ndeeba'!M83</f>
        <v>54</v>
      </c>
      <c r="N83" s="49">
        <f>'Avg Week Ndeeba-Nyanama'!N83+'Avg Week Nyanama-Ndeeba'!N83</f>
        <v>0</v>
      </c>
      <c r="O83" s="17">
        <f t="shared" si="35"/>
        <v>38.5</v>
      </c>
      <c r="P83" s="17">
        <f t="shared" si="36"/>
        <v>92.5</v>
      </c>
      <c r="R83" s="19"/>
      <c r="T83"/>
    </row>
    <row r="84" spans="2:20" ht="23.1" customHeight="1" x14ac:dyDescent="0.25">
      <c r="B84" s="25" t="s">
        <v>124</v>
      </c>
      <c r="C84" s="49">
        <f>'Avg Week Ndeeba-Nyanama'!C84+'Avg Week Nyanama-Ndeeba'!C84</f>
        <v>12.5</v>
      </c>
      <c r="D84" s="49">
        <f>'Avg Week Ndeeba-Nyanama'!D84+'Avg Week Nyanama-Ndeeba'!D84</f>
        <v>5.5</v>
      </c>
      <c r="E84" s="49">
        <f>'Avg Week Ndeeba-Nyanama'!E84+'Avg Week Nyanama-Ndeeba'!E84</f>
        <v>3.5</v>
      </c>
      <c r="F84" s="49">
        <f>'Avg Week Ndeeba-Nyanama'!F84+'Avg Week Nyanama-Ndeeba'!F84</f>
        <v>3</v>
      </c>
      <c r="G84" s="49">
        <f>'Avg Week Ndeeba-Nyanama'!G84+'Avg Week Nyanama-Ndeeba'!G84</f>
        <v>0</v>
      </c>
      <c r="H84" s="49">
        <f>'Avg Week Ndeeba-Nyanama'!H84+'Avg Week Nyanama-Ndeeba'!H84</f>
        <v>0</v>
      </c>
      <c r="I84" s="49">
        <f>'Avg Week Ndeeba-Nyanama'!I84+'Avg Week Nyanama-Ndeeba'!I84</f>
        <v>4</v>
      </c>
      <c r="J84" s="49">
        <f>'Avg Week Ndeeba-Nyanama'!J84+'Avg Week Nyanama-Ndeeba'!J84</f>
        <v>1.5</v>
      </c>
      <c r="K84" s="49">
        <f>'Avg Week Ndeeba-Nyanama'!K84+'Avg Week Nyanama-Ndeeba'!K84</f>
        <v>1</v>
      </c>
      <c r="L84" s="49">
        <f>'Avg Week Ndeeba-Nyanama'!L84+'Avg Week Nyanama-Ndeeba'!L84</f>
        <v>0</v>
      </c>
      <c r="M84" s="49">
        <f>'Avg Week Ndeeba-Nyanama'!M84+'Avg Week Nyanama-Ndeeba'!M84</f>
        <v>57</v>
      </c>
      <c r="N84" s="49">
        <f>'Avg Week Ndeeba-Nyanama'!N84+'Avg Week Nyanama-Ndeeba'!N84</f>
        <v>0</v>
      </c>
      <c r="O84" s="17">
        <f t="shared" si="35"/>
        <v>31</v>
      </c>
      <c r="P84" s="17">
        <f t="shared" si="36"/>
        <v>88</v>
      </c>
      <c r="R84" s="19"/>
      <c r="T84"/>
    </row>
    <row r="85" spans="2:20" ht="23.1" customHeight="1" x14ac:dyDescent="0.25">
      <c r="B85" s="23" t="s">
        <v>125</v>
      </c>
      <c r="C85" s="49">
        <f>'Avg Week Ndeeba-Nyanama'!C85+'Avg Week Nyanama-Ndeeba'!C85</f>
        <v>12.5</v>
      </c>
      <c r="D85" s="49">
        <f>'Avg Week Ndeeba-Nyanama'!D85+'Avg Week Nyanama-Ndeeba'!D85</f>
        <v>3</v>
      </c>
      <c r="E85" s="49">
        <f>'Avg Week Ndeeba-Nyanama'!E85+'Avg Week Nyanama-Ndeeba'!E85</f>
        <v>1</v>
      </c>
      <c r="F85" s="49">
        <f>'Avg Week Ndeeba-Nyanama'!F85+'Avg Week Nyanama-Ndeeba'!F85</f>
        <v>2.5</v>
      </c>
      <c r="G85" s="49">
        <f>'Avg Week Ndeeba-Nyanama'!G85+'Avg Week Nyanama-Ndeeba'!G85</f>
        <v>0</v>
      </c>
      <c r="H85" s="49">
        <f>'Avg Week Ndeeba-Nyanama'!H85+'Avg Week Nyanama-Ndeeba'!H85</f>
        <v>0</v>
      </c>
      <c r="I85" s="49">
        <f>'Avg Week Ndeeba-Nyanama'!I85+'Avg Week Nyanama-Ndeeba'!I85</f>
        <v>5.5</v>
      </c>
      <c r="J85" s="49">
        <f>'Avg Week Ndeeba-Nyanama'!J85+'Avg Week Nyanama-Ndeeba'!J85</f>
        <v>2</v>
      </c>
      <c r="K85" s="49">
        <f>'Avg Week Ndeeba-Nyanama'!K85+'Avg Week Nyanama-Ndeeba'!K85</f>
        <v>0</v>
      </c>
      <c r="L85" s="49">
        <f>'Avg Week Ndeeba-Nyanama'!L85+'Avg Week Nyanama-Ndeeba'!L85</f>
        <v>0</v>
      </c>
      <c r="M85" s="49">
        <f>'Avg Week Ndeeba-Nyanama'!M85+'Avg Week Nyanama-Ndeeba'!M85</f>
        <v>58.5</v>
      </c>
      <c r="N85" s="49">
        <f>'Avg Week Ndeeba-Nyanama'!N85+'Avg Week Nyanama-Ndeeba'!N85</f>
        <v>0</v>
      </c>
      <c r="O85" s="17">
        <f t="shared" si="35"/>
        <v>26.5</v>
      </c>
      <c r="P85" s="17">
        <f t="shared" si="36"/>
        <v>85</v>
      </c>
      <c r="R85" s="19"/>
      <c r="T85"/>
    </row>
    <row r="86" spans="2:20" ht="23.1" customHeight="1" x14ac:dyDescent="0.25">
      <c r="B86" s="24" t="s">
        <v>126</v>
      </c>
      <c r="C86" s="49">
        <f>'Avg Week Ndeeba-Nyanama'!C86+'Avg Week Nyanama-Ndeeba'!C86</f>
        <v>7.5</v>
      </c>
      <c r="D86" s="49">
        <f>'Avg Week Ndeeba-Nyanama'!D86+'Avg Week Nyanama-Ndeeba'!D86</f>
        <v>1</v>
      </c>
      <c r="E86" s="49">
        <f>'Avg Week Ndeeba-Nyanama'!E86+'Avg Week Nyanama-Ndeeba'!E86</f>
        <v>0.5</v>
      </c>
      <c r="F86" s="49">
        <f>'Avg Week Ndeeba-Nyanama'!F86+'Avg Week Nyanama-Ndeeba'!F86</f>
        <v>0.5</v>
      </c>
      <c r="G86" s="49">
        <f>'Avg Week Ndeeba-Nyanama'!G86+'Avg Week Nyanama-Ndeeba'!G86</f>
        <v>0</v>
      </c>
      <c r="H86" s="49">
        <f>'Avg Week Ndeeba-Nyanama'!H86+'Avg Week Nyanama-Ndeeba'!H86</f>
        <v>0</v>
      </c>
      <c r="I86" s="49">
        <f>'Avg Week Ndeeba-Nyanama'!I86+'Avg Week Nyanama-Ndeeba'!I86</f>
        <v>1</v>
      </c>
      <c r="J86" s="49">
        <f>'Avg Week Ndeeba-Nyanama'!J86+'Avg Week Nyanama-Ndeeba'!J86</f>
        <v>0</v>
      </c>
      <c r="K86" s="49">
        <f>'Avg Week Ndeeba-Nyanama'!K86+'Avg Week Nyanama-Ndeeba'!K86</f>
        <v>1</v>
      </c>
      <c r="L86" s="49">
        <f>'Avg Week Ndeeba-Nyanama'!L86+'Avg Week Nyanama-Ndeeba'!L86</f>
        <v>0</v>
      </c>
      <c r="M86" s="49">
        <f>'Avg Week Ndeeba-Nyanama'!M86+'Avg Week Nyanama-Ndeeba'!M86</f>
        <v>39.5</v>
      </c>
      <c r="N86" s="49">
        <f>'Avg Week Ndeeba-Nyanama'!N86+'Avg Week Nyanama-Ndeeba'!N86</f>
        <v>0</v>
      </c>
      <c r="O86" s="17">
        <f t="shared" si="35"/>
        <v>11.5</v>
      </c>
      <c r="P86" s="17">
        <f t="shared" si="36"/>
        <v>51</v>
      </c>
      <c r="R86" s="19"/>
      <c r="T86"/>
    </row>
    <row r="87" spans="2:20" ht="23.1" customHeight="1" x14ac:dyDescent="0.25">
      <c r="B87" s="23" t="s">
        <v>127</v>
      </c>
      <c r="C87" s="49">
        <f>'Avg Week Ndeeba-Nyanama'!C87+'Avg Week Nyanama-Ndeeba'!C87</f>
        <v>4</v>
      </c>
      <c r="D87" s="49">
        <f>'Avg Week Ndeeba-Nyanama'!D87+'Avg Week Nyanama-Ndeeba'!D87</f>
        <v>2.5</v>
      </c>
      <c r="E87" s="49">
        <f>'Avg Week Ndeeba-Nyanama'!E87+'Avg Week Nyanama-Ndeeba'!E87</f>
        <v>0</v>
      </c>
      <c r="F87" s="49">
        <f>'Avg Week Ndeeba-Nyanama'!F87+'Avg Week Nyanama-Ndeeba'!F87</f>
        <v>0.5</v>
      </c>
      <c r="G87" s="49">
        <f>'Avg Week Ndeeba-Nyanama'!G87+'Avg Week Nyanama-Ndeeba'!G87</f>
        <v>0</v>
      </c>
      <c r="H87" s="49">
        <f>'Avg Week Ndeeba-Nyanama'!H87+'Avg Week Nyanama-Ndeeba'!H87</f>
        <v>0</v>
      </c>
      <c r="I87" s="49">
        <f>'Avg Week Ndeeba-Nyanama'!I87+'Avg Week Nyanama-Ndeeba'!I87</f>
        <v>1</v>
      </c>
      <c r="J87" s="49">
        <f>'Avg Week Ndeeba-Nyanama'!J87+'Avg Week Nyanama-Ndeeba'!J87</f>
        <v>2</v>
      </c>
      <c r="K87" s="49">
        <f>'Avg Week Ndeeba-Nyanama'!K87+'Avg Week Nyanama-Ndeeba'!K87</f>
        <v>1</v>
      </c>
      <c r="L87" s="49">
        <f>'Avg Week Ndeeba-Nyanama'!L87+'Avg Week Nyanama-Ndeeba'!L87</f>
        <v>0</v>
      </c>
      <c r="M87" s="49">
        <f>'Avg Week Ndeeba-Nyanama'!M87+'Avg Week Nyanama-Ndeeba'!M87</f>
        <v>30.5</v>
      </c>
      <c r="N87" s="49">
        <f>'Avg Week Ndeeba-Nyanama'!N87+'Avg Week Nyanama-Ndeeba'!N87</f>
        <v>0</v>
      </c>
      <c r="O87" s="17">
        <f t="shared" si="35"/>
        <v>11</v>
      </c>
      <c r="P87" s="17">
        <f t="shared" si="36"/>
        <v>41.5</v>
      </c>
      <c r="R87" s="19"/>
      <c r="T87"/>
    </row>
    <row r="88" spans="2:20" ht="23.1" customHeight="1" x14ac:dyDescent="0.25">
      <c r="B88" s="25" t="s">
        <v>128</v>
      </c>
      <c r="C88" s="49">
        <f>'Avg Week Ndeeba-Nyanama'!C88+'Avg Week Nyanama-Ndeeba'!C88</f>
        <v>14.5</v>
      </c>
      <c r="D88" s="49">
        <f>'Avg Week Ndeeba-Nyanama'!D88+'Avg Week Nyanama-Ndeeba'!D88</f>
        <v>1</v>
      </c>
      <c r="E88" s="49">
        <f>'Avg Week Ndeeba-Nyanama'!E88+'Avg Week Nyanama-Ndeeba'!E88</f>
        <v>0</v>
      </c>
      <c r="F88" s="49">
        <f>'Avg Week Ndeeba-Nyanama'!F88+'Avg Week Nyanama-Ndeeba'!F88</f>
        <v>0.5</v>
      </c>
      <c r="G88" s="49">
        <f>'Avg Week Ndeeba-Nyanama'!G88+'Avg Week Nyanama-Ndeeba'!G88</f>
        <v>0</v>
      </c>
      <c r="H88" s="49">
        <f>'Avg Week Ndeeba-Nyanama'!H88+'Avg Week Nyanama-Ndeeba'!H88</f>
        <v>0</v>
      </c>
      <c r="I88" s="49">
        <f>'Avg Week Ndeeba-Nyanama'!I88+'Avg Week Nyanama-Ndeeba'!I88</f>
        <v>0.5</v>
      </c>
      <c r="J88" s="49">
        <f>'Avg Week Ndeeba-Nyanama'!J88+'Avg Week Nyanama-Ndeeba'!J88</f>
        <v>1</v>
      </c>
      <c r="K88" s="49">
        <f>'Avg Week Ndeeba-Nyanama'!K88+'Avg Week Nyanama-Ndeeba'!K88</f>
        <v>0</v>
      </c>
      <c r="L88" s="49">
        <f>'Avg Week Ndeeba-Nyanama'!L88+'Avg Week Nyanama-Ndeeba'!L88</f>
        <v>0</v>
      </c>
      <c r="M88" s="49">
        <f>'Avg Week Ndeeba-Nyanama'!M88+'Avg Week Nyanama-Ndeeba'!M88</f>
        <v>29.5</v>
      </c>
      <c r="N88" s="49">
        <f>'Avg Week Ndeeba-Nyanama'!N88+'Avg Week Nyanama-Ndeeba'!N88</f>
        <v>0</v>
      </c>
      <c r="O88" s="17">
        <f t="shared" si="35"/>
        <v>17.5</v>
      </c>
      <c r="P88" s="17">
        <f t="shared" si="36"/>
        <v>47</v>
      </c>
      <c r="R88" s="19"/>
      <c r="T88"/>
    </row>
    <row r="89" spans="2:20" ht="23.1" customHeight="1" x14ac:dyDescent="0.25">
      <c r="B89" s="23" t="s">
        <v>129</v>
      </c>
      <c r="C89" s="49">
        <f>'Avg Week Ndeeba-Nyanama'!C89+'Avg Week Nyanama-Ndeeba'!C89</f>
        <v>8.5</v>
      </c>
      <c r="D89" s="49">
        <f>'Avg Week Ndeeba-Nyanama'!D89+'Avg Week Nyanama-Ndeeba'!D89</f>
        <v>0.5</v>
      </c>
      <c r="E89" s="49">
        <f>'Avg Week Ndeeba-Nyanama'!E89+'Avg Week Nyanama-Ndeeba'!E89</f>
        <v>0</v>
      </c>
      <c r="F89" s="49">
        <f>'Avg Week Ndeeba-Nyanama'!F89+'Avg Week Nyanama-Ndeeba'!F89</f>
        <v>1</v>
      </c>
      <c r="G89" s="49">
        <f>'Avg Week Ndeeba-Nyanama'!G89+'Avg Week Nyanama-Ndeeba'!G89</f>
        <v>0</v>
      </c>
      <c r="H89" s="49">
        <f>'Avg Week Ndeeba-Nyanama'!H89+'Avg Week Nyanama-Ndeeba'!H89</f>
        <v>0</v>
      </c>
      <c r="I89" s="49">
        <f>'Avg Week Ndeeba-Nyanama'!I89+'Avg Week Nyanama-Ndeeba'!I89</f>
        <v>1.5</v>
      </c>
      <c r="J89" s="49">
        <f>'Avg Week Ndeeba-Nyanama'!J89+'Avg Week Nyanama-Ndeeba'!J89</f>
        <v>1</v>
      </c>
      <c r="K89" s="49">
        <f>'Avg Week Ndeeba-Nyanama'!K89+'Avg Week Nyanama-Ndeeba'!K89</f>
        <v>0.5</v>
      </c>
      <c r="L89" s="49">
        <f>'Avg Week Ndeeba-Nyanama'!L89+'Avg Week Nyanama-Ndeeba'!L89</f>
        <v>0.5</v>
      </c>
      <c r="M89" s="49">
        <f>'Avg Week Ndeeba-Nyanama'!M89+'Avg Week Nyanama-Ndeeba'!M89</f>
        <v>30</v>
      </c>
      <c r="N89" s="49">
        <f>'Avg Week Ndeeba-Nyanama'!N89+'Avg Week Nyanama-Ndeeba'!N89</f>
        <v>0</v>
      </c>
      <c r="O89" s="17">
        <f t="shared" si="35"/>
        <v>13.5</v>
      </c>
      <c r="P89" s="17">
        <f t="shared" si="36"/>
        <v>43.5</v>
      </c>
      <c r="R89" s="19"/>
      <c r="T89"/>
    </row>
    <row r="90" spans="2:20" ht="23.1" customHeight="1" x14ac:dyDescent="0.25">
      <c r="B90" s="24" t="s">
        <v>130</v>
      </c>
      <c r="C90" s="49">
        <f>'Avg Week Ndeeba-Nyanama'!C90+'Avg Week Nyanama-Ndeeba'!C90</f>
        <v>8.5</v>
      </c>
      <c r="D90" s="49">
        <f>'Avg Week Ndeeba-Nyanama'!D90+'Avg Week Nyanama-Ndeeba'!D90</f>
        <v>0.5</v>
      </c>
      <c r="E90" s="49">
        <f>'Avg Week Ndeeba-Nyanama'!E90+'Avg Week Nyanama-Ndeeba'!E90</f>
        <v>0.5</v>
      </c>
      <c r="F90" s="49">
        <f>'Avg Week Ndeeba-Nyanama'!F90+'Avg Week Nyanama-Ndeeba'!F90</f>
        <v>1.5</v>
      </c>
      <c r="G90" s="49">
        <f>'Avg Week Ndeeba-Nyanama'!G90+'Avg Week Nyanama-Ndeeba'!G90</f>
        <v>0</v>
      </c>
      <c r="H90" s="49">
        <f>'Avg Week Ndeeba-Nyanama'!H90+'Avg Week Nyanama-Ndeeba'!H90</f>
        <v>0</v>
      </c>
      <c r="I90" s="49">
        <f>'Avg Week Ndeeba-Nyanama'!I90+'Avg Week Nyanama-Ndeeba'!I90</f>
        <v>1</v>
      </c>
      <c r="J90" s="49">
        <f>'Avg Week Ndeeba-Nyanama'!J90+'Avg Week Nyanama-Ndeeba'!J90</f>
        <v>0</v>
      </c>
      <c r="K90" s="49">
        <f>'Avg Week Ndeeba-Nyanama'!K90+'Avg Week Nyanama-Ndeeba'!K90</f>
        <v>0</v>
      </c>
      <c r="L90" s="49">
        <f>'Avg Week Ndeeba-Nyanama'!L90+'Avg Week Nyanama-Ndeeba'!L90</f>
        <v>0</v>
      </c>
      <c r="M90" s="49">
        <f>'Avg Week Ndeeba-Nyanama'!M90+'Avg Week Nyanama-Ndeeba'!M90</f>
        <v>32.5</v>
      </c>
      <c r="N90" s="49">
        <f>'Avg Week Ndeeba-Nyanama'!N90+'Avg Week Nyanama-Ndeeba'!N90</f>
        <v>0</v>
      </c>
      <c r="O90" s="17">
        <f t="shared" si="35"/>
        <v>12</v>
      </c>
      <c r="P90" s="17">
        <f t="shared" si="36"/>
        <v>44.5</v>
      </c>
      <c r="R90" s="19"/>
      <c r="T90"/>
    </row>
    <row r="91" spans="2:20" ht="23.1" customHeight="1" x14ac:dyDescent="0.25">
      <c r="B91" s="23" t="s">
        <v>131</v>
      </c>
      <c r="C91" s="49">
        <f>'Avg Week Ndeeba-Nyanama'!C91+'Avg Week Nyanama-Ndeeba'!C91</f>
        <v>5.5</v>
      </c>
      <c r="D91" s="49">
        <f>'Avg Week Ndeeba-Nyanama'!D91+'Avg Week Nyanama-Ndeeba'!D91</f>
        <v>1.5</v>
      </c>
      <c r="E91" s="49">
        <f>'Avg Week Ndeeba-Nyanama'!E91+'Avg Week Nyanama-Ndeeba'!E91</f>
        <v>0</v>
      </c>
      <c r="F91" s="49">
        <f>'Avg Week Ndeeba-Nyanama'!F91+'Avg Week Nyanama-Ndeeba'!F91</f>
        <v>0</v>
      </c>
      <c r="G91" s="49">
        <f>'Avg Week Ndeeba-Nyanama'!G91+'Avg Week Nyanama-Ndeeba'!G91</f>
        <v>0</v>
      </c>
      <c r="H91" s="49">
        <f>'Avg Week Ndeeba-Nyanama'!H91+'Avg Week Nyanama-Ndeeba'!H91</f>
        <v>0</v>
      </c>
      <c r="I91" s="49">
        <f>'Avg Week Ndeeba-Nyanama'!I91+'Avg Week Nyanama-Ndeeba'!I91</f>
        <v>1</v>
      </c>
      <c r="J91" s="49">
        <f>'Avg Week Ndeeba-Nyanama'!J91+'Avg Week Nyanama-Ndeeba'!J91</f>
        <v>0</v>
      </c>
      <c r="K91" s="49">
        <f>'Avg Week Ndeeba-Nyanama'!K91+'Avg Week Nyanama-Ndeeba'!K91</f>
        <v>0.5</v>
      </c>
      <c r="L91" s="49">
        <f>'Avg Week Ndeeba-Nyanama'!L91+'Avg Week Nyanama-Ndeeba'!L91</f>
        <v>0</v>
      </c>
      <c r="M91" s="49">
        <f>'Avg Week Ndeeba-Nyanama'!M91+'Avg Week Nyanama-Ndeeba'!M91</f>
        <v>19.5</v>
      </c>
      <c r="N91" s="49">
        <f>'Avg Week Ndeeba-Nyanama'!N91+'Avg Week Nyanama-Ndeeba'!N91</f>
        <v>0</v>
      </c>
      <c r="O91" s="17">
        <f t="shared" si="35"/>
        <v>8.5</v>
      </c>
      <c r="P91" s="17">
        <f t="shared" si="36"/>
        <v>28</v>
      </c>
      <c r="R91" s="19"/>
      <c r="T91"/>
    </row>
    <row r="92" spans="2:20" ht="23.1" customHeight="1" x14ac:dyDescent="0.25">
      <c r="B92" s="25" t="s">
        <v>132</v>
      </c>
      <c r="C92" s="49">
        <f>'Avg Week Ndeeba-Nyanama'!C92+'Avg Week Nyanama-Ndeeba'!C92</f>
        <v>5.5</v>
      </c>
      <c r="D92" s="49">
        <f>'Avg Week Ndeeba-Nyanama'!D92+'Avg Week Nyanama-Ndeeba'!D92</f>
        <v>1</v>
      </c>
      <c r="E92" s="49">
        <f>'Avg Week Ndeeba-Nyanama'!E92+'Avg Week Nyanama-Ndeeba'!E92</f>
        <v>0</v>
      </c>
      <c r="F92" s="49">
        <f>'Avg Week Ndeeba-Nyanama'!F92+'Avg Week Nyanama-Ndeeba'!F92</f>
        <v>0</v>
      </c>
      <c r="G92" s="49">
        <f>'Avg Week Ndeeba-Nyanama'!G92+'Avg Week Nyanama-Ndeeba'!G92</f>
        <v>0</v>
      </c>
      <c r="H92" s="49">
        <f>'Avg Week Ndeeba-Nyanama'!H92+'Avg Week Nyanama-Ndeeba'!H92</f>
        <v>0</v>
      </c>
      <c r="I92" s="49">
        <f>'Avg Week Ndeeba-Nyanama'!I92+'Avg Week Nyanama-Ndeeba'!I92</f>
        <v>0</v>
      </c>
      <c r="J92" s="49">
        <f>'Avg Week Ndeeba-Nyanama'!J92+'Avg Week Nyanama-Ndeeba'!J92</f>
        <v>0</v>
      </c>
      <c r="K92" s="49">
        <f>'Avg Week Ndeeba-Nyanama'!K92+'Avg Week Nyanama-Ndeeba'!K92</f>
        <v>0</v>
      </c>
      <c r="L92" s="49">
        <f>'Avg Week Ndeeba-Nyanama'!L92+'Avg Week Nyanama-Ndeeba'!L92</f>
        <v>0</v>
      </c>
      <c r="M92" s="49">
        <f>'Avg Week Ndeeba-Nyanama'!M92+'Avg Week Nyanama-Ndeeba'!M92</f>
        <v>10.5</v>
      </c>
      <c r="N92" s="49">
        <f>'Avg Week Ndeeba-Nyanama'!N92+'Avg Week Nyanama-Ndeeba'!N92</f>
        <v>0</v>
      </c>
      <c r="O92" s="17">
        <f t="shared" si="35"/>
        <v>6.5</v>
      </c>
      <c r="P92" s="17">
        <f t="shared" si="36"/>
        <v>17</v>
      </c>
      <c r="R92" s="19"/>
      <c r="T92"/>
    </row>
    <row r="93" spans="2:20" ht="23.1" customHeight="1" x14ac:dyDescent="0.25">
      <c r="B93" s="23" t="s">
        <v>133</v>
      </c>
      <c r="C93" s="49">
        <f>'Avg Week Ndeeba-Nyanama'!C93+'Avg Week Nyanama-Ndeeba'!C93</f>
        <v>7.5</v>
      </c>
      <c r="D93" s="49">
        <f>'Avg Week Ndeeba-Nyanama'!D93+'Avg Week Nyanama-Ndeeba'!D93</f>
        <v>0</v>
      </c>
      <c r="E93" s="49">
        <f>'Avg Week Ndeeba-Nyanama'!E93+'Avg Week Nyanama-Ndeeba'!E93</f>
        <v>0</v>
      </c>
      <c r="F93" s="49">
        <f>'Avg Week Ndeeba-Nyanama'!F93+'Avg Week Nyanama-Ndeeba'!F93</f>
        <v>0</v>
      </c>
      <c r="G93" s="49">
        <f>'Avg Week Ndeeba-Nyanama'!G93+'Avg Week Nyanama-Ndeeba'!G93</f>
        <v>0</v>
      </c>
      <c r="H93" s="49">
        <f>'Avg Week Ndeeba-Nyanama'!H93+'Avg Week Nyanama-Ndeeba'!H93</f>
        <v>0</v>
      </c>
      <c r="I93" s="49">
        <f>'Avg Week Ndeeba-Nyanama'!I93+'Avg Week Nyanama-Ndeeba'!I93</f>
        <v>0.5</v>
      </c>
      <c r="J93" s="49">
        <f>'Avg Week Ndeeba-Nyanama'!J93+'Avg Week Nyanama-Ndeeba'!J93</f>
        <v>0</v>
      </c>
      <c r="K93" s="49">
        <f>'Avg Week Ndeeba-Nyanama'!K93+'Avg Week Nyanama-Ndeeba'!K93</f>
        <v>0.5</v>
      </c>
      <c r="L93" s="49">
        <f>'Avg Week Ndeeba-Nyanama'!L93+'Avg Week Nyanama-Ndeeba'!L93</f>
        <v>0</v>
      </c>
      <c r="M93" s="49">
        <f>'Avg Week Ndeeba-Nyanama'!M93+'Avg Week Nyanama-Ndeeba'!M93</f>
        <v>13.5</v>
      </c>
      <c r="N93" s="49">
        <f>'Avg Week Ndeeba-Nyanama'!N93+'Avg Week Nyanama-Ndeeba'!N93</f>
        <v>0</v>
      </c>
      <c r="O93" s="17">
        <f t="shared" si="35"/>
        <v>8.5</v>
      </c>
      <c r="P93" s="17">
        <f t="shared" si="36"/>
        <v>22</v>
      </c>
      <c r="R93" s="19"/>
      <c r="T93"/>
    </row>
    <row r="94" spans="2:20" ht="23.1" customHeight="1" x14ac:dyDescent="0.25">
      <c r="B94" s="24" t="s">
        <v>134</v>
      </c>
      <c r="C94" s="49">
        <f>'Avg Week Ndeeba-Nyanama'!C94+'Avg Week Nyanama-Ndeeba'!C94</f>
        <v>5</v>
      </c>
      <c r="D94" s="49">
        <f>'Avg Week Ndeeba-Nyanama'!D94+'Avg Week Nyanama-Ndeeba'!D94</f>
        <v>1</v>
      </c>
      <c r="E94" s="49">
        <f>'Avg Week Ndeeba-Nyanama'!E94+'Avg Week Nyanama-Ndeeba'!E94</f>
        <v>0.5</v>
      </c>
      <c r="F94" s="49">
        <f>'Avg Week Ndeeba-Nyanama'!F94+'Avg Week Nyanama-Ndeeba'!F94</f>
        <v>0.5</v>
      </c>
      <c r="G94" s="49">
        <f>'Avg Week Ndeeba-Nyanama'!G94+'Avg Week Nyanama-Ndeeba'!G94</f>
        <v>0</v>
      </c>
      <c r="H94" s="49">
        <f>'Avg Week Ndeeba-Nyanama'!H94+'Avg Week Nyanama-Ndeeba'!H94</f>
        <v>0</v>
      </c>
      <c r="I94" s="49">
        <f>'Avg Week Ndeeba-Nyanama'!I94+'Avg Week Nyanama-Ndeeba'!I94</f>
        <v>1</v>
      </c>
      <c r="J94" s="49">
        <f>'Avg Week Ndeeba-Nyanama'!J94+'Avg Week Nyanama-Ndeeba'!J94</f>
        <v>0.5</v>
      </c>
      <c r="K94" s="49">
        <f>'Avg Week Ndeeba-Nyanama'!K94+'Avg Week Nyanama-Ndeeba'!K94</f>
        <v>1</v>
      </c>
      <c r="L94" s="49">
        <f>'Avg Week Ndeeba-Nyanama'!L94+'Avg Week Nyanama-Ndeeba'!L94</f>
        <v>1</v>
      </c>
      <c r="M94" s="49">
        <f>'Avg Week Ndeeba-Nyanama'!M94+'Avg Week Nyanama-Ndeeba'!M94</f>
        <v>17</v>
      </c>
      <c r="N94" s="49">
        <f>'Avg Week Ndeeba-Nyanama'!N94+'Avg Week Nyanama-Ndeeba'!N94</f>
        <v>0</v>
      </c>
      <c r="O94" s="17">
        <f t="shared" si="35"/>
        <v>10.5</v>
      </c>
      <c r="P94" s="17">
        <f t="shared" si="36"/>
        <v>27.5</v>
      </c>
      <c r="R94" s="19"/>
      <c r="T94"/>
    </row>
    <row r="95" spans="2:20" ht="23.1" customHeight="1" x14ac:dyDescent="0.25">
      <c r="B95" s="23" t="s">
        <v>135</v>
      </c>
      <c r="C95" s="49">
        <f>'Avg Week Ndeeba-Nyanama'!C95+'Avg Week Nyanama-Ndeeba'!C95</f>
        <v>6</v>
      </c>
      <c r="D95" s="49">
        <f>'Avg Week Ndeeba-Nyanama'!D95+'Avg Week Nyanama-Ndeeba'!D95</f>
        <v>1</v>
      </c>
      <c r="E95" s="49">
        <f>'Avg Week Ndeeba-Nyanama'!E95+'Avg Week Nyanama-Ndeeba'!E95</f>
        <v>0</v>
      </c>
      <c r="F95" s="49">
        <f>'Avg Week Ndeeba-Nyanama'!F95+'Avg Week Nyanama-Ndeeba'!F95</f>
        <v>0</v>
      </c>
      <c r="G95" s="49">
        <f>'Avg Week Ndeeba-Nyanama'!G95+'Avg Week Nyanama-Ndeeba'!G95</f>
        <v>0</v>
      </c>
      <c r="H95" s="49">
        <f>'Avg Week Ndeeba-Nyanama'!H95+'Avg Week Nyanama-Ndeeba'!H95</f>
        <v>0</v>
      </c>
      <c r="I95" s="49">
        <f>'Avg Week Ndeeba-Nyanama'!I95+'Avg Week Nyanama-Ndeeba'!I95</f>
        <v>1.5</v>
      </c>
      <c r="J95" s="49">
        <f>'Avg Week Ndeeba-Nyanama'!J95+'Avg Week Nyanama-Ndeeba'!J95</f>
        <v>0</v>
      </c>
      <c r="K95" s="49">
        <f>'Avg Week Ndeeba-Nyanama'!K95+'Avg Week Nyanama-Ndeeba'!K95</f>
        <v>0.5</v>
      </c>
      <c r="L95" s="49">
        <f>'Avg Week Ndeeba-Nyanama'!L95+'Avg Week Nyanama-Ndeeba'!L95</f>
        <v>0</v>
      </c>
      <c r="M95" s="49">
        <f>'Avg Week Ndeeba-Nyanama'!M95+'Avg Week Nyanama-Ndeeba'!M95</f>
        <v>11.5</v>
      </c>
      <c r="N95" s="49">
        <f>'Avg Week Ndeeba-Nyanama'!N95+'Avg Week Nyanama-Ndeeba'!N95</f>
        <v>0</v>
      </c>
      <c r="O95" s="17">
        <f t="shared" si="35"/>
        <v>9</v>
      </c>
      <c r="P95" s="17">
        <f t="shared" si="36"/>
        <v>20.5</v>
      </c>
      <c r="R95" s="19"/>
      <c r="T95"/>
    </row>
    <row r="96" spans="2:20" ht="23.1" customHeight="1" x14ac:dyDescent="0.25">
      <c r="B96" s="25" t="s">
        <v>136</v>
      </c>
      <c r="C96" s="49">
        <f>'Avg Week Ndeeba-Nyanama'!C96+'Avg Week Nyanama-Ndeeba'!C96</f>
        <v>7</v>
      </c>
      <c r="D96" s="49">
        <f>'Avg Week Ndeeba-Nyanama'!D96+'Avg Week Nyanama-Ndeeba'!D96</f>
        <v>0</v>
      </c>
      <c r="E96" s="49">
        <f>'Avg Week Ndeeba-Nyanama'!E96+'Avg Week Nyanama-Ndeeba'!E96</f>
        <v>0</v>
      </c>
      <c r="F96" s="49">
        <f>'Avg Week Ndeeba-Nyanama'!F96+'Avg Week Nyanama-Ndeeba'!F96</f>
        <v>0.5</v>
      </c>
      <c r="G96" s="49">
        <f>'Avg Week Ndeeba-Nyanama'!G96+'Avg Week Nyanama-Ndeeba'!G96</f>
        <v>0</v>
      </c>
      <c r="H96" s="49">
        <f>'Avg Week Ndeeba-Nyanama'!H96+'Avg Week Nyanama-Ndeeba'!H96</f>
        <v>0</v>
      </c>
      <c r="I96" s="49">
        <f>'Avg Week Ndeeba-Nyanama'!I96+'Avg Week Nyanama-Ndeeba'!I96</f>
        <v>0.5</v>
      </c>
      <c r="J96" s="49">
        <f>'Avg Week Ndeeba-Nyanama'!J96+'Avg Week Nyanama-Ndeeba'!J96</f>
        <v>0</v>
      </c>
      <c r="K96" s="49">
        <f>'Avg Week Ndeeba-Nyanama'!K96+'Avg Week Nyanama-Ndeeba'!K96</f>
        <v>0</v>
      </c>
      <c r="L96" s="49">
        <f>'Avg Week Ndeeba-Nyanama'!L96+'Avg Week Nyanama-Ndeeba'!L96</f>
        <v>0</v>
      </c>
      <c r="M96" s="49">
        <f>'Avg Week Ndeeba-Nyanama'!M96+'Avg Week Nyanama-Ndeeba'!M96</f>
        <v>14</v>
      </c>
      <c r="N96" s="49">
        <f>'Avg Week Ndeeba-Nyanama'!N96+'Avg Week Nyanama-Ndeeba'!N96</f>
        <v>0</v>
      </c>
      <c r="O96" s="17">
        <f t="shared" si="35"/>
        <v>8</v>
      </c>
      <c r="P96" s="17">
        <f t="shared" si="36"/>
        <v>22</v>
      </c>
      <c r="R96" s="19"/>
      <c r="T96"/>
    </row>
    <row r="97" spans="2:20" ht="23.1" customHeight="1" x14ac:dyDescent="0.25">
      <c r="B97" s="23" t="s">
        <v>137</v>
      </c>
      <c r="C97" s="49">
        <f>'Avg Week Ndeeba-Nyanama'!C97+'Avg Week Nyanama-Ndeeba'!C97</f>
        <v>5.5</v>
      </c>
      <c r="D97" s="49">
        <f>'Avg Week Ndeeba-Nyanama'!D97+'Avg Week Nyanama-Ndeeba'!D97</f>
        <v>0</v>
      </c>
      <c r="E97" s="49">
        <f>'Avg Week Ndeeba-Nyanama'!E97+'Avg Week Nyanama-Ndeeba'!E97</f>
        <v>0</v>
      </c>
      <c r="F97" s="49">
        <f>'Avg Week Ndeeba-Nyanama'!F97+'Avg Week Nyanama-Ndeeba'!F97</f>
        <v>0</v>
      </c>
      <c r="G97" s="49">
        <f>'Avg Week Ndeeba-Nyanama'!G97+'Avg Week Nyanama-Ndeeba'!G97</f>
        <v>0</v>
      </c>
      <c r="H97" s="49">
        <f>'Avg Week Ndeeba-Nyanama'!H97+'Avg Week Nyanama-Ndeeba'!H97</f>
        <v>0</v>
      </c>
      <c r="I97" s="49">
        <f>'Avg Week Ndeeba-Nyanama'!I97+'Avg Week Nyanama-Ndeeba'!I97</f>
        <v>0</v>
      </c>
      <c r="J97" s="49">
        <f>'Avg Week Ndeeba-Nyanama'!J97+'Avg Week Nyanama-Ndeeba'!J97</f>
        <v>0</v>
      </c>
      <c r="K97" s="49">
        <f>'Avg Week Ndeeba-Nyanama'!K97+'Avg Week Nyanama-Ndeeba'!K97</f>
        <v>0.5</v>
      </c>
      <c r="L97" s="49">
        <f>'Avg Week Ndeeba-Nyanama'!L97+'Avg Week Nyanama-Ndeeba'!L97</f>
        <v>0</v>
      </c>
      <c r="M97" s="49">
        <f>'Avg Week Ndeeba-Nyanama'!M97+'Avg Week Nyanama-Ndeeba'!M97</f>
        <v>16</v>
      </c>
      <c r="N97" s="49">
        <f>'Avg Week Ndeeba-Nyanama'!N97+'Avg Week Nyanama-Ndeeba'!N97</f>
        <v>0</v>
      </c>
      <c r="O97" s="17">
        <f t="shared" si="35"/>
        <v>6</v>
      </c>
      <c r="P97" s="17">
        <f t="shared" si="36"/>
        <v>22</v>
      </c>
      <c r="R97" s="19"/>
      <c r="T97"/>
    </row>
    <row r="98" spans="2:20" ht="23.1" customHeight="1" x14ac:dyDescent="0.25">
      <c r="B98" s="24" t="s">
        <v>138</v>
      </c>
      <c r="C98" s="49">
        <f>'Avg Week Ndeeba-Nyanama'!C98+'Avg Week Nyanama-Ndeeba'!C98</f>
        <v>9</v>
      </c>
      <c r="D98" s="49">
        <f>'Avg Week Ndeeba-Nyanama'!D98+'Avg Week Nyanama-Ndeeba'!D98</f>
        <v>2.5</v>
      </c>
      <c r="E98" s="49">
        <f>'Avg Week Ndeeba-Nyanama'!E98+'Avg Week Nyanama-Ndeeba'!E98</f>
        <v>1.5</v>
      </c>
      <c r="F98" s="49">
        <f>'Avg Week Ndeeba-Nyanama'!F98+'Avg Week Nyanama-Ndeeba'!F98</f>
        <v>1</v>
      </c>
      <c r="G98" s="49">
        <f>'Avg Week Ndeeba-Nyanama'!G98+'Avg Week Nyanama-Ndeeba'!G98</f>
        <v>0.5</v>
      </c>
      <c r="H98" s="49">
        <f>'Avg Week Ndeeba-Nyanama'!H98+'Avg Week Nyanama-Ndeeba'!H98</f>
        <v>0</v>
      </c>
      <c r="I98" s="49">
        <f>'Avg Week Ndeeba-Nyanama'!I98+'Avg Week Nyanama-Ndeeba'!I98</f>
        <v>1.5</v>
      </c>
      <c r="J98" s="49">
        <f>'Avg Week Ndeeba-Nyanama'!J98+'Avg Week Nyanama-Ndeeba'!J98</f>
        <v>0.5</v>
      </c>
      <c r="K98" s="49">
        <f>'Avg Week Ndeeba-Nyanama'!K98+'Avg Week Nyanama-Ndeeba'!K98</f>
        <v>0.5</v>
      </c>
      <c r="L98" s="49">
        <f>'Avg Week Ndeeba-Nyanama'!L98+'Avg Week Nyanama-Ndeeba'!L98</f>
        <v>0</v>
      </c>
      <c r="M98" s="49">
        <f>'Avg Week Ndeeba-Nyanama'!M98+'Avg Week Nyanama-Ndeeba'!M98</f>
        <v>43.5</v>
      </c>
      <c r="N98" s="49">
        <f>'Avg Week Ndeeba-Nyanama'!N98+'Avg Week Nyanama-Ndeeba'!N98</f>
        <v>0</v>
      </c>
      <c r="O98" s="17">
        <f t="shared" si="35"/>
        <v>17</v>
      </c>
      <c r="P98" s="17">
        <f t="shared" si="36"/>
        <v>60.5</v>
      </c>
      <c r="R98" s="19"/>
      <c r="T98"/>
    </row>
    <row r="99" spans="2:20" ht="23.1" customHeight="1" x14ac:dyDescent="0.25">
      <c r="B99" s="23" t="s">
        <v>139</v>
      </c>
      <c r="C99" s="49">
        <f>'Avg Week Ndeeba-Nyanama'!C99+'Avg Week Nyanama-Ndeeba'!C99</f>
        <v>7.5</v>
      </c>
      <c r="D99" s="49">
        <f>'Avg Week Ndeeba-Nyanama'!D99+'Avg Week Nyanama-Ndeeba'!D99</f>
        <v>0.5</v>
      </c>
      <c r="E99" s="49">
        <f>'Avg Week Ndeeba-Nyanama'!E99+'Avg Week Nyanama-Ndeeba'!E99</f>
        <v>0</v>
      </c>
      <c r="F99" s="49">
        <f>'Avg Week Ndeeba-Nyanama'!F99+'Avg Week Nyanama-Ndeeba'!F99</f>
        <v>4</v>
      </c>
      <c r="G99" s="49">
        <f>'Avg Week Ndeeba-Nyanama'!G99+'Avg Week Nyanama-Ndeeba'!G99</f>
        <v>0</v>
      </c>
      <c r="H99" s="49">
        <f>'Avg Week Ndeeba-Nyanama'!H99+'Avg Week Nyanama-Ndeeba'!H99</f>
        <v>0</v>
      </c>
      <c r="I99" s="49">
        <f>'Avg Week Ndeeba-Nyanama'!I99+'Avg Week Nyanama-Ndeeba'!I99</f>
        <v>1.5</v>
      </c>
      <c r="J99" s="49">
        <f>'Avg Week Ndeeba-Nyanama'!J99+'Avg Week Nyanama-Ndeeba'!J99</f>
        <v>0</v>
      </c>
      <c r="K99" s="49">
        <f>'Avg Week Ndeeba-Nyanama'!K99+'Avg Week Nyanama-Ndeeba'!K99</f>
        <v>2</v>
      </c>
      <c r="L99" s="49">
        <f>'Avg Week Ndeeba-Nyanama'!L99+'Avg Week Nyanama-Ndeeba'!L99</f>
        <v>0</v>
      </c>
      <c r="M99" s="49">
        <f>'Avg Week Ndeeba-Nyanama'!M99+'Avg Week Nyanama-Ndeeba'!M99</f>
        <v>36</v>
      </c>
      <c r="N99" s="49">
        <f>'Avg Week Ndeeba-Nyanama'!N99+'Avg Week Nyanama-Ndeeba'!N99</f>
        <v>0</v>
      </c>
      <c r="O99" s="17">
        <f t="shared" si="35"/>
        <v>15.5</v>
      </c>
      <c r="P99" s="17">
        <f t="shared" si="36"/>
        <v>51.5</v>
      </c>
      <c r="R99" s="19"/>
      <c r="T99"/>
    </row>
    <row r="100" spans="2:20" ht="23.1" customHeight="1" x14ac:dyDescent="0.25">
      <c r="B100" s="25" t="s">
        <v>140</v>
      </c>
      <c r="C100" s="49">
        <f>'Avg Week Ndeeba-Nyanama'!C100+'Avg Week Nyanama-Ndeeba'!C100</f>
        <v>9.5</v>
      </c>
      <c r="D100" s="49">
        <f>'Avg Week Ndeeba-Nyanama'!D100+'Avg Week Nyanama-Ndeeba'!D100</f>
        <v>0.5</v>
      </c>
      <c r="E100" s="49">
        <f>'Avg Week Ndeeba-Nyanama'!E100+'Avg Week Nyanama-Ndeeba'!E100</f>
        <v>1</v>
      </c>
      <c r="F100" s="49">
        <f>'Avg Week Ndeeba-Nyanama'!F100+'Avg Week Nyanama-Ndeeba'!F100</f>
        <v>8</v>
      </c>
      <c r="G100" s="49">
        <f>'Avg Week Ndeeba-Nyanama'!G100+'Avg Week Nyanama-Ndeeba'!G100</f>
        <v>0.5</v>
      </c>
      <c r="H100" s="49">
        <f>'Avg Week Ndeeba-Nyanama'!H100+'Avg Week Nyanama-Ndeeba'!H100</f>
        <v>0</v>
      </c>
      <c r="I100" s="49">
        <f>'Avg Week Ndeeba-Nyanama'!I100+'Avg Week Nyanama-Ndeeba'!I100</f>
        <v>2.5</v>
      </c>
      <c r="J100" s="49">
        <f>'Avg Week Ndeeba-Nyanama'!J100+'Avg Week Nyanama-Ndeeba'!J100</f>
        <v>0</v>
      </c>
      <c r="K100" s="49">
        <f>'Avg Week Ndeeba-Nyanama'!K100+'Avg Week Nyanama-Ndeeba'!K100</f>
        <v>0</v>
      </c>
      <c r="L100" s="49">
        <f>'Avg Week Ndeeba-Nyanama'!L100+'Avg Week Nyanama-Ndeeba'!L100</f>
        <v>0</v>
      </c>
      <c r="M100" s="49">
        <f>'Avg Week Ndeeba-Nyanama'!M100+'Avg Week Nyanama-Ndeeba'!M100</f>
        <v>55.5</v>
      </c>
      <c r="N100" s="49">
        <f>'Avg Week Ndeeba-Nyanama'!N100+'Avg Week Nyanama-Ndeeba'!N100</f>
        <v>0</v>
      </c>
      <c r="O100" s="17">
        <f t="shared" si="35"/>
        <v>22</v>
      </c>
      <c r="P100" s="17">
        <f t="shared" si="36"/>
        <v>77.5</v>
      </c>
      <c r="R100" s="19"/>
      <c r="T100"/>
    </row>
    <row r="101" spans="2:20" ht="23.1" customHeight="1" x14ac:dyDescent="0.25">
      <c r="B101" s="23" t="s">
        <v>141</v>
      </c>
      <c r="C101" s="49">
        <f>'Avg Week Ndeeba-Nyanama'!C101+'Avg Week Nyanama-Ndeeba'!C101</f>
        <v>10.5</v>
      </c>
      <c r="D101" s="49">
        <f>'Avg Week Ndeeba-Nyanama'!D101+'Avg Week Nyanama-Ndeeba'!D101</f>
        <v>3</v>
      </c>
      <c r="E101" s="49">
        <f>'Avg Week Ndeeba-Nyanama'!E101+'Avg Week Nyanama-Ndeeba'!E101</f>
        <v>0</v>
      </c>
      <c r="F101" s="49">
        <f>'Avg Week Ndeeba-Nyanama'!F101+'Avg Week Nyanama-Ndeeba'!F101</f>
        <v>3.5</v>
      </c>
      <c r="G101" s="49">
        <f>'Avg Week Ndeeba-Nyanama'!G101+'Avg Week Nyanama-Ndeeba'!G101</f>
        <v>0</v>
      </c>
      <c r="H101" s="49">
        <f>'Avg Week Ndeeba-Nyanama'!H101+'Avg Week Nyanama-Ndeeba'!H101</f>
        <v>0</v>
      </c>
      <c r="I101" s="49">
        <f>'Avg Week Ndeeba-Nyanama'!I101+'Avg Week Nyanama-Ndeeba'!I101</f>
        <v>2.5</v>
      </c>
      <c r="J101" s="49">
        <f>'Avg Week Ndeeba-Nyanama'!J101+'Avg Week Nyanama-Ndeeba'!J101</f>
        <v>0.5</v>
      </c>
      <c r="K101" s="49">
        <f>'Avg Week Ndeeba-Nyanama'!K101+'Avg Week Nyanama-Ndeeba'!K101</f>
        <v>0.5</v>
      </c>
      <c r="L101" s="49">
        <f>'Avg Week Ndeeba-Nyanama'!L101+'Avg Week Nyanama-Ndeeba'!L101</f>
        <v>0</v>
      </c>
      <c r="M101" s="49">
        <f>'Avg Week Ndeeba-Nyanama'!M101+'Avg Week Nyanama-Ndeeba'!M101</f>
        <v>43.5</v>
      </c>
      <c r="N101" s="49">
        <f>'Avg Week Ndeeba-Nyanama'!N101+'Avg Week Nyanama-Ndeeba'!N101</f>
        <v>0</v>
      </c>
      <c r="O101" s="17">
        <f t="shared" si="35"/>
        <v>20.5</v>
      </c>
      <c r="P101" s="17">
        <f t="shared" si="36"/>
        <v>64</v>
      </c>
      <c r="R101" s="19"/>
      <c r="T101"/>
    </row>
    <row r="102" spans="2:20" ht="23.1" customHeight="1" x14ac:dyDescent="0.25">
      <c r="B102" s="24" t="s">
        <v>142</v>
      </c>
      <c r="C102" s="49">
        <f>'Avg Week Ndeeba-Nyanama'!C102+'Avg Week Nyanama-Ndeeba'!C102</f>
        <v>20.5</v>
      </c>
      <c r="D102" s="49">
        <f>'Avg Week Ndeeba-Nyanama'!D102+'Avg Week Nyanama-Ndeeba'!D102</f>
        <v>2.5</v>
      </c>
      <c r="E102" s="49">
        <f>'Avg Week Ndeeba-Nyanama'!E102+'Avg Week Nyanama-Ndeeba'!E102</f>
        <v>0.5</v>
      </c>
      <c r="F102" s="49">
        <f>'Avg Week Ndeeba-Nyanama'!F102+'Avg Week Nyanama-Ndeeba'!F102</f>
        <v>16</v>
      </c>
      <c r="G102" s="49">
        <f>'Avg Week Ndeeba-Nyanama'!G102+'Avg Week Nyanama-Ndeeba'!G102</f>
        <v>0</v>
      </c>
      <c r="H102" s="49">
        <f>'Avg Week Ndeeba-Nyanama'!H102+'Avg Week Nyanama-Ndeeba'!H102</f>
        <v>0</v>
      </c>
      <c r="I102" s="49">
        <f>'Avg Week Ndeeba-Nyanama'!I102+'Avg Week Nyanama-Ndeeba'!I102</f>
        <v>5</v>
      </c>
      <c r="J102" s="49">
        <f>'Avg Week Ndeeba-Nyanama'!J102+'Avg Week Nyanama-Ndeeba'!J102</f>
        <v>0</v>
      </c>
      <c r="K102" s="49">
        <f>'Avg Week Ndeeba-Nyanama'!K102+'Avg Week Nyanama-Ndeeba'!K102</f>
        <v>1</v>
      </c>
      <c r="L102" s="49">
        <f>'Avg Week Ndeeba-Nyanama'!L102+'Avg Week Nyanama-Ndeeba'!L102</f>
        <v>0.5</v>
      </c>
      <c r="M102" s="49">
        <f>'Avg Week Ndeeba-Nyanama'!M102+'Avg Week Nyanama-Ndeeba'!M102</f>
        <v>55.5</v>
      </c>
      <c r="N102" s="49">
        <f>'Avg Week Ndeeba-Nyanama'!N102+'Avg Week Nyanama-Ndeeba'!N102</f>
        <v>0</v>
      </c>
      <c r="O102" s="17">
        <f t="shared" si="35"/>
        <v>46</v>
      </c>
      <c r="P102" s="17">
        <f t="shared" si="36"/>
        <v>101.5</v>
      </c>
      <c r="R102" s="19"/>
      <c r="T102"/>
    </row>
    <row r="103" spans="2:20" ht="23.1" customHeight="1" x14ac:dyDescent="0.25">
      <c r="B103" s="23" t="s">
        <v>143</v>
      </c>
      <c r="C103" s="49">
        <f>'Avg Week Ndeeba-Nyanama'!C103+'Avg Week Nyanama-Ndeeba'!C103</f>
        <v>10</v>
      </c>
      <c r="D103" s="49">
        <f>'Avg Week Ndeeba-Nyanama'!D103+'Avg Week Nyanama-Ndeeba'!D103</f>
        <v>1.5</v>
      </c>
      <c r="E103" s="49">
        <f>'Avg Week Ndeeba-Nyanama'!E103+'Avg Week Nyanama-Ndeeba'!E103</f>
        <v>0.5</v>
      </c>
      <c r="F103" s="49">
        <f>'Avg Week Ndeeba-Nyanama'!F103+'Avg Week Nyanama-Ndeeba'!F103</f>
        <v>8.5</v>
      </c>
      <c r="G103" s="49">
        <f>'Avg Week Ndeeba-Nyanama'!G103+'Avg Week Nyanama-Ndeeba'!G103</f>
        <v>0</v>
      </c>
      <c r="H103" s="49">
        <f>'Avg Week Ndeeba-Nyanama'!H103+'Avg Week Nyanama-Ndeeba'!H103</f>
        <v>0</v>
      </c>
      <c r="I103" s="49">
        <f>'Avg Week Ndeeba-Nyanama'!I103+'Avg Week Nyanama-Ndeeba'!I103</f>
        <v>1</v>
      </c>
      <c r="J103" s="49">
        <f>'Avg Week Ndeeba-Nyanama'!J103+'Avg Week Nyanama-Ndeeba'!J103</f>
        <v>1</v>
      </c>
      <c r="K103" s="49">
        <f>'Avg Week Ndeeba-Nyanama'!K103+'Avg Week Nyanama-Ndeeba'!K103</f>
        <v>3.5</v>
      </c>
      <c r="L103" s="49">
        <f>'Avg Week Ndeeba-Nyanama'!L103+'Avg Week Nyanama-Ndeeba'!L103</f>
        <v>0</v>
      </c>
      <c r="M103" s="49">
        <f>'Avg Week Ndeeba-Nyanama'!M103+'Avg Week Nyanama-Ndeeba'!M103</f>
        <v>44</v>
      </c>
      <c r="N103" s="49">
        <f>'Avg Week Ndeeba-Nyanama'!N103+'Avg Week Nyanama-Ndeeba'!N103</f>
        <v>0</v>
      </c>
      <c r="O103" s="17">
        <f t="shared" si="35"/>
        <v>26</v>
      </c>
      <c r="P103" s="17">
        <f t="shared" si="36"/>
        <v>70</v>
      </c>
      <c r="R103" s="19"/>
      <c r="T103"/>
    </row>
    <row r="104" spans="2:20" ht="23.1" customHeight="1" x14ac:dyDescent="0.25">
      <c r="B104" s="25" t="s">
        <v>144</v>
      </c>
      <c r="C104" s="49">
        <f>'Avg Week Ndeeba-Nyanama'!C104+'Avg Week Nyanama-Ndeeba'!C104</f>
        <v>14.5</v>
      </c>
      <c r="D104" s="49">
        <f>'Avg Week Ndeeba-Nyanama'!D104+'Avg Week Nyanama-Ndeeba'!D104</f>
        <v>2</v>
      </c>
      <c r="E104" s="49">
        <f>'Avg Week Ndeeba-Nyanama'!E104+'Avg Week Nyanama-Ndeeba'!E104</f>
        <v>3</v>
      </c>
      <c r="F104" s="49">
        <f>'Avg Week Ndeeba-Nyanama'!F104+'Avg Week Nyanama-Ndeeba'!F104</f>
        <v>7.5</v>
      </c>
      <c r="G104" s="49">
        <f>'Avg Week Ndeeba-Nyanama'!G104+'Avg Week Nyanama-Ndeeba'!G104</f>
        <v>0</v>
      </c>
      <c r="H104" s="49">
        <f>'Avg Week Ndeeba-Nyanama'!H104+'Avg Week Nyanama-Ndeeba'!H104</f>
        <v>0</v>
      </c>
      <c r="I104" s="49">
        <f>'Avg Week Ndeeba-Nyanama'!I104+'Avg Week Nyanama-Ndeeba'!I104</f>
        <v>3</v>
      </c>
      <c r="J104" s="49">
        <f>'Avg Week Ndeeba-Nyanama'!J104+'Avg Week Nyanama-Ndeeba'!J104</f>
        <v>0</v>
      </c>
      <c r="K104" s="49">
        <f>'Avg Week Ndeeba-Nyanama'!K104+'Avg Week Nyanama-Ndeeba'!K104</f>
        <v>1</v>
      </c>
      <c r="L104" s="49">
        <f>'Avg Week Ndeeba-Nyanama'!L104+'Avg Week Nyanama-Ndeeba'!L104</f>
        <v>0.5</v>
      </c>
      <c r="M104" s="49">
        <f>'Avg Week Ndeeba-Nyanama'!M104+'Avg Week Nyanama-Ndeeba'!M104</f>
        <v>67.5</v>
      </c>
      <c r="N104" s="49">
        <f>'Avg Week Ndeeba-Nyanama'!N104+'Avg Week Nyanama-Ndeeba'!N104</f>
        <v>0</v>
      </c>
      <c r="O104" s="17">
        <f t="shared" si="35"/>
        <v>31.5</v>
      </c>
      <c r="P104" s="17">
        <f t="shared" si="36"/>
        <v>99</v>
      </c>
      <c r="R104" s="19"/>
      <c r="T104"/>
    </row>
    <row r="105" spans="2:20" ht="23.1" customHeight="1" x14ac:dyDescent="0.25">
      <c r="B105" s="23" t="s">
        <v>145</v>
      </c>
      <c r="C105" s="49">
        <f>'Avg Week Ndeeba-Nyanama'!C105+'Avg Week Nyanama-Ndeeba'!C105</f>
        <v>15.5</v>
      </c>
      <c r="D105" s="49">
        <f>'Avg Week Ndeeba-Nyanama'!D105+'Avg Week Nyanama-Ndeeba'!D105</f>
        <v>13.5</v>
      </c>
      <c r="E105" s="49">
        <f>'Avg Week Ndeeba-Nyanama'!E105+'Avg Week Nyanama-Ndeeba'!E105</f>
        <v>1</v>
      </c>
      <c r="F105" s="49">
        <f>'Avg Week Ndeeba-Nyanama'!F105+'Avg Week Nyanama-Ndeeba'!F105</f>
        <v>7.5</v>
      </c>
      <c r="G105" s="49">
        <f>'Avg Week Ndeeba-Nyanama'!G105+'Avg Week Nyanama-Ndeeba'!G105</f>
        <v>0</v>
      </c>
      <c r="H105" s="49">
        <f>'Avg Week Ndeeba-Nyanama'!H105+'Avg Week Nyanama-Ndeeba'!H105</f>
        <v>0</v>
      </c>
      <c r="I105" s="49">
        <f>'Avg Week Ndeeba-Nyanama'!I105+'Avg Week Nyanama-Ndeeba'!I105</f>
        <v>1.5</v>
      </c>
      <c r="J105" s="49">
        <f>'Avg Week Ndeeba-Nyanama'!J105+'Avg Week Nyanama-Ndeeba'!J105</f>
        <v>0</v>
      </c>
      <c r="K105" s="49">
        <f>'Avg Week Ndeeba-Nyanama'!K105+'Avg Week Nyanama-Ndeeba'!K105</f>
        <v>0.5</v>
      </c>
      <c r="L105" s="49">
        <f>'Avg Week Ndeeba-Nyanama'!L105+'Avg Week Nyanama-Ndeeba'!L105</f>
        <v>0</v>
      </c>
      <c r="M105" s="49">
        <f>'Avg Week Ndeeba-Nyanama'!M105+'Avg Week Nyanama-Ndeeba'!M105</f>
        <v>63.5</v>
      </c>
      <c r="N105" s="49">
        <f>'Avg Week Ndeeba-Nyanama'!N105+'Avg Week Nyanama-Ndeeba'!N105</f>
        <v>0</v>
      </c>
      <c r="O105" s="17">
        <f t="shared" si="35"/>
        <v>39.5</v>
      </c>
      <c r="P105" s="17">
        <f t="shared" si="36"/>
        <v>103</v>
      </c>
      <c r="R105" s="19"/>
      <c r="T105"/>
    </row>
    <row r="106" spans="2:20" ht="23.1" customHeight="1" x14ac:dyDescent="0.25">
      <c r="B106" s="57" t="s">
        <v>18</v>
      </c>
      <c r="C106" s="16">
        <f>SUM(C10:C105)</f>
        <v>6306.8571428571431</v>
      </c>
      <c r="D106" s="16">
        <f t="shared" ref="D106:P106" si="37">SUM(D10:D105)</f>
        <v>710.85714285714278</v>
      </c>
      <c r="E106" s="16">
        <f t="shared" si="37"/>
        <v>574.64285714285722</v>
      </c>
      <c r="F106" s="16">
        <f t="shared" si="37"/>
        <v>1959.3571428571424</v>
      </c>
      <c r="G106" s="16">
        <f t="shared" si="37"/>
        <v>43.428571428571423</v>
      </c>
      <c r="H106" s="16">
        <f t="shared" si="37"/>
        <v>21.214285714285715</v>
      </c>
      <c r="I106" s="16">
        <f t="shared" si="37"/>
        <v>440.64285714285722</v>
      </c>
      <c r="J106" s="16">
        <f t="shared" si="37"/>
        <v>157.21428571428572</v>
      </c>
      <c r="K106" s="16">
        <f t="shared" si="37"/>
        <v>73.071428571428569</v>
      </c>
      <c r="L106" s="16">
        <f t="shared" si="37"/>
        <v>25.642857142857135</v>
      </c>
      <c r="M106" s="16">
        <f t="shared" si="37"/>
        <v>12396.142857142859</v>
      </c>
      <c r="N106" s="16">
        <f t="shared" si="37"/>
        <v>1.1428571428571426</v>
      </c>
      <c r="O106" s="16">
        <f t="shared" si="37"/>
        <v>10314.071428571429</v>
      </c>
      <c r="P106" s="16">
        <f t="shared" si="37"/>
        <v>22710.214285714286</v>
      </c>
      <c r="R106" s="19"/>
      <c r="T106"/>
    </row>
    <row r="107" spans="2:20" ht="23.1" customHeight="1" x14ac:dyDescent="0.25">
      <c r="B107" s="57" t="s">
        <v>93</v>
      </c>
      <c r="C107" s="43">
        <f t="shared" ref="C107:N107" si="38">C106/$P$106</f>
        <v>0.2777101555939272</v>
      </c>
      <c r="D107" s="43">
        <f t="shared" si="38"/>
        <v>3.1301208078177531E-2</v>
      </c>
      <c r="E107" s="43">
        <f t="shared" si="38"/>
        <v>2.5303277631525151E-2</v>
      </c>
      <c r="F107" s="43">
        <f t="shared" si="38"/>
        <v>8.6276470939759625E-2</v>
      </c>
      <c r="G107" s="43">
        <f t="shared" si="38"/>
        <v>1.912292454936891E-3</v>
      </c>
      <c r="H107" s="43">
        <f t="shared" si="38"/>
        <v>9.3412970249384328E-4</v>
      </c>
      <c r="I107" s="43">
        <f t="shared" si="38"/>
        <v>1.9402848938331718E-2</v>
      </c>
      <c r="J107" s="43">
        <f t="shared" si="38"/>
        <v>6.9226244955856867E-3</v>
      </c>
      <c r="K107" s="43">
        <f t="shared" si="38"/>
        <v>3.2175578641454598E-3</v>
      </c>
      <c r="L107" s="43">
        <f t="shared" si="38"/>
        <v>1.1291332094117495E-3</v>
      </c>
      <c r="M107" s="43">
        <f t="shared" si="38"/>
        <v>0.54583997760604896</v>
      </c>
      <c r="N107" s="43">
        <f t="shared" si="38"/>
        <v>5.0323485656233964E-5</v>
      </c>
      <c r="R107" s="19"/>
      <c r="T107"/>
    </row>
    <row r="108" spans="2:20" ht="23.1" customHeight="1" x14ac:dyDescent="0.25">
      <c r="B108" s="58" t="s">
        <v>94</v>
      </c>
      <c r="C108" s="44">
        <f>C106/$O$106</f>
        <v>0.61148084794005408</v>
      </c>
      <c r="D108" s="44">
        <f t="shared" ref="D108:N108" si="39">D106/$O$106</f>
        <v>6.892109946882552E-2</v>
      </c>
      <c r="E108" s="44">
        <f t="shared" si="39"/>
        <v>5.571445390139685E-2</v>
      </c>
      <c r="F108" s="44">
        <f t="shared" si="39"/>
        <v>0.18996932069225808</v>
      </c>
      <c r="G108" s="44">
        <f t="shared" si="39"/>
        <v>4.210613793915385E-3</v>
      </c>
      <c r="H108" s="44">
        <f t="shared" si="39"/>
        <v>2.0568294355145884E-3</v>
      </c>
      <c r="I108" s="44">
        <f t="shared" si="39"/>
        <v>4.2722494234644769E-2</v>
      </c>
      <c r="J108" s="44">
        <f t="shared" si="39"/>
        <v>1.5242698948039087E-2</v>
      </c>
      <c r="K108" s="44">
        <f t="shared" si="39"/>
        <v>7.0846347223280258E-3</v>
      </c>
      <c r="L108" s="44">
        <f t="shared" si="39"/>
        <v>2.4862012368678009E-3</v>
      </c>
      <c r="M108" s="44"/>
      <c r="N108" s="44">
        <f t="shared" si="39"/>
        <v>1.1080562615566801E-4</v>
      </c>
      <c r="R108" s="19"/>
      <c r="T108"/>
    </row>
    <row r="109" spans="2:20" ht="20.100000000000001" customHeight="1" x14ac:dyDescent="0.25">
      <c r="C109" s="18"/>
      <c r="R109" s="19"/>
      <c r="T109"/>
    </row>
    <row r="110" spans="2:20" ht="20.100000000000001" customHeight="1" x14ac:dyDescent="0.25">
      <c r="C110" s="18"/>
      <c r="R110" s="19"/>
      <c r="T110"/>
    </row>
    <row r="111" spans="2:20" ht="20.100000000000001" customHeight="1" x14ac:dyDescent="0.25">
      <c r="C111" s="18"/>
    </row>
    <row r="112" spans="2:20" ht="20.100000000000001" customHeight="1" x14ac:dyDescent="0.25">
      <c r="C112" s="18"/>
    </row>
    <row r="152" ht="22.5" customHeight="1" x14ac:dyDescent="0.25"/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3.937007874015748E-2" right="3.937007874015748E-2" top="0.74803149606299213" bottom="0.55118110236220474" header="0.31496062992125984" footer="0.31496062992125984"/>
  <pageSetup paperSize="8" scale="2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22.07 Ndeeba-Nyanama</vt:lpstr>
      <vt:lpstr>22.07 Nyanama-Ndeeba</vt:lpstr>
      <vt:lpstr>23.07 Ndeeba-Nyanama</vt:lpstr>
      <vt:lpstr>23.07 Nyanama-Ndeeba</vt:lpstr>
      <vt:lpstr>24.07 Ndeeba-Nyanama</vt:lpstr>
      <vt:lpstr>24.07 Nyanama-Ndeeba</vt:lpstr>
      <vt:lpstr>25.07 Ndeeba-Nyanama</vt:lpstr>
      <vt:lpstr>25.07 Nyanama-Ndeeba</vt:lpstr>
      <vt:lpstr>26.07 Ndeeba-Nyanama-24h</vt:lpstr>
      <vt:lpstr>26.07 Nyanama-Ndeeba-24h</vt:lpstr>
      <vt:lpstr>27.07 Ndeeba-Nyanama-24h</vt:lpstr>
      <vt:lpstr>27.07 Nyanama-Ndeeba-24h</vt:lpstr>
      <vt:lpstr>28.07 Ndeeba-Nyanama</vt:lpstr>
      <vt:lpstr>28.07 Nyanama-Ndeeba</vt:lpstr>
      <vt:lpstr>Avg Week Ndeeba-Nyanama</vt:lpstr>
      <vt:lpstr>Avg Week Nyanama-Ndeeba</vt:lpstr>
      <vt:lpstr>Avg Week Nyanama-Ndeeba-2Dir</vt:lpstr>
      <vt:lpstr>'22.07 Ndeeba-Nyanama'!Print_Area</vt:lpstr>
      <vt:lpstr>'22.07 Nyanama-Ndeeba'!Print_Area</vt:lpstr>
      <vt:lpstr>'23.07 Ndeeba-Nyanama'!Print_Area</vt:lpstr>
      <vt:lpstr>'23.07 Nyanama-Ndeeba'!Print_Area</vt:lpstr>
      <vt:lpstr>'24.07 Ndeeba-Nyanama'!Print_Area</vt:lpstr>
      <vt:lpstr>'24.07 Nyanama-Ndeeba'!Print_Area</vt:lpstr>
      <vt:lpstr>'25.07 Ndeeba-Nyanama'!Print_Area</vt:lpstr>
      <vt:lpstr>'25.07 Nyanama-Ndeeba'!Print_Area</vt:lpstr>
      <vt:lpstr>'26.07 Ndeeba-Nyanama-24h'!Print_Area</vt:lpstr>
      <vt:lpstr>'26.07 Nyanama-Ndeeba-24h'!Print_Area</vt:lpstr>
      <vt:lpstr>'27.07 Ndeeba-Nyanama-24h'!Print_Area</vt:lpstr>
      <vt:lpstr>'27.07 Nyanama-Ndeeba-24h'!Print_Area</vt:lpstr>
      <vt:lpstr>'28.07 Ndeeba-Nyanama'!Print_Area</vt:lpstr>
      <vt:lpstr>'28.07 Nyanama-Ndeeba'!Print_Area</vt:lpstr>
      <vt:lpstr>'Avg Week Ndeeba-Nyanama'!Print_Area</vt:lpstr>
      <vt:lpstr>'Avg Week Nyanama-Ndeeba'!Print_Area</vt:lpstr>
      <vt:lpstr>'Avg Week Nyanama-Ndeeba-2Dir'!Print_Area</vt:lpstr>
      <vt:lpstr>'22.07 Ndeeba-Nyanama'!Print_Titles</vt:lpstr>
      <vt:lpstr>'22.07 Nyanama-Ndeeba'!Print_Titles</vt:lpstr>
      <vt:lpstr>'23.07 Ndeeba-Nyanama'!Print_Titles</vt:lpstr>
      <vt:lpstr>'23.07 Nyanama-Ndeeba'!Print_Titles</vt:lpstr>
      <vt:lpstr>'24.07 Ndeeba-Nyanama'!Print_Titles</vt:lpstr>
      <vt:lpstr>'24.07 Nyanama-Ndeeba'!Print_Titles</vt:lpstr>
      <vt:lpstr>'25.07 Ndeeba-Nyanama'!Print_Titles</vt:lpstr>
      <vt:lpstr>'25.07 Nyanama-Ndeeba'!Print_Titles</vt:lpstr>
      <vt:lpstr>'26.07 Ndeeba-Nyanama-24h'!Print_Titles</vt:lpstr>
      <vt:lpstr>'26.07 Nyanama-Ndeeba-24h'!Print_Titles</vt:lpstr>
      <vt:lpstr>'27.07 Ndeeba-Nyanama-24h'!Print_Titles</vt:lpstr>
      <vt:lpstr>'27.07 Nyanama-Ndeeba-24h'!Print_Titles</vt:lpstr>
      <vt:lpstr>'28.07 Ndeeba-Nyanama'!Print_Titles</vt:lpstr>
      <vt:lpstr>'28.07 Nyanama-Ndeeba'!Print_Titles</vt:lpstr>
      <vt:lpstr>'Avg Week Ndeeba-Nyanama'!Print_Titles</vt:lpstr>
      <vt:lpstr>'Avg Week Nyanama-Ndeeba'!Print_Titles</vt:lpstr>
      <vt:lpstr>'Avg Week Nyanama-Ndeeba-2Dir'!Print_Titles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ALLAN</cp:lastModifiedBy>
  <cp:lastPrinted>2019-07-25T18:18:41Z</cp:lastPrinted>
  <dcterms:created xsi:type="dcterms:W3CDTF">2010-07-06T07:39:49Z</dcterms:created>
  <dcterms:modified xsi:type="dcterms:W3CDTF">2020-01-15T19:00:00Z</dcterms:modified>
</cp:coreProperties>
</file>