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40-BWEYOGERERE NAALYA\MCC DATA\"/>
    </mc:Choice>
  </mc:AlternateContent>
  <bookViews>
    <workbookView xWindow="-120" yWindow="-120" windowWidth="15600" windowHeight="11160" tabRatio="940" firstSheet="13" activeTab="16"/>
  </bookViews>
  <sheets>
    <sheet name="29.07 Nalya-Bweyogerere" sheetId="93" r:id="rId1"/>
    <sheet name="29.07 Bweyogerere-Nalya" sheetId="94" r:id="rId2"/>
    <sheet name="30.07 Nalya-Bweyogerere" sheetId="95" r:id="rId3"/>
    <sheet name="30.07 Bweyogerere-Nalya" sheetId="96" r:id="rId4"/>
    <sheet name="31.07 Nalya-Bweyogerere" sheetId="97" r:id="rId5"/>
    <sheet name="31.07 Bweyogerere-Nalya" sheetId="98" r:id="rId6"/>
    <sheet name="01.08 Nalya-Bweyogerere-24h" sheetId="101" r:id="rId7"/>
    <sheet name="01.08 Bweyogerere-Nalya-24h" sheetId="109" r:id="rId8"/>
    <sheet name="02.08 Nalya-Bweyogerere" sheetId="99" r:id="rId9"/>
    <sheet name="02.08 Bweyogerere-Nalya" sheetId="100" r:id="rId10"/>
    <sheet name="03.08 Nalya-Bweyogerere-24h" sheetId="105" r:id="rId11"/>
    <sheet name="03.08 Bweyogerere-Nalya-24h" sheetId="110" r:id="rId12"/>
    <sheet name="04.08 Nalya-Bweyogerere" sheetId="103" r:id="rId13"/>
    <sheet name="04.08 Bweyogerere-Nalya" sheetId="104" r:id="rId14"/>
    <sheet name="Avg Week Nalya-Bweyogerere" sheetId="107" r:id="rId15"/>
    <sheet name="Avg Week Bweyogerere-Naalya" sheetId="108" r:id="rId16"/>
    <sheet name="Avg Week Naalya-Bweyogerer-2Dir" sheetId="111" r:id="rId17"/>
  </sheets>
  <definedNames>
    <definedName name="_xlnm.Print_Area" localSheetId="7">'01.08 Bweyogerere-Nalya-24h'!$A$1:$AF$108</definedName>
    <definedName name="_xlnm.Print_Area" localSheetId="6">'01.08 Nalya-Bweyogerere-24h'!$A$1:$AF$108</definedName>
    <definedName name="_xlnm.Print_Area" localSheetId="9">'02.08 Bweyogerere-Nalya'!$A$1:$AF$60</definedName>
    <definedName name="_xlnm.Print_Area" localSheetId="8">'02.08 Nalya-Bweyogerere'!$A$1:$AF$60</definedName>
    <definedName name="_xlnm.Print_Area" localSheetId="11">'03.08 Bweyogerere-Nalya-24h'!$A$1:$AF$108</definedName>
    <definedName name="_xlnm.Print_Area" localSheetId="10">'03.08 Nalya-Bweyogerere-24h'!$A$1:$AF$108</definedName>
    <definedName name="_xlnm.Print_Area" localSheetId="13">'04.08 Bweyogerere-Nalya'!$A$1:$AF$60</definedName>
    <definedName name="_xlnm.Print_Area" localSheetId="12">'04.08 Nalya-Bweyogerere'!$A$1:$AF$60</definedName>
    <definedName name="_xlnm.Print_Area" localSheetId="1">'29.07 Bweyogerere-Nalya'!$A$1:$AF$60</definedName>
    <definedName name="_xlnm.Print_Area" localSheetId="0">'29.07 Nalya-Bweyogerere'!$A$1:$AF$60</definedName>
    <definedName name="_xlnm.Print_Area" localSheetId="3">'30.07 Bweyogerere-Nalya'!$A$1:$AF$60</definedName>
    <definedName name="_xlnm.Print_Area" localSheetId="2">'30.07 Nalya-Bweyogerere'!$A$1:$AF$60</definedName>
    <definedName name="_xlnm.Print_Area" localSheetId="5">'31.07 Bweyogerere-Nalya'!$A$1:$AF$60</definedName>
    <definedName name="_xlnm.Print_Area" localSheetId="4">'31.07 Nalya-Bweyogerere'!$A$1:$AF$60</definedName>
    <definedName name="_xlnm.Print_Area" localSheetId="15">'Avg Week Bweyogerere-Naalya'!$A$1:$AF$108</definedName>
    <definedName name="_xlnm.Print_Area" localSheetId="16">'Avg Week Naalya-Bweyogerer-2Dir'!$A$1:$AF$108</definedName>
    <definedName name="_xlnm.Print_Area" localSheetId="14">'Avg Week Nalya-Bweyogerere'!$A$1:$AF$108</definedName>
    <definedName name="_xlnm.Print_Titles" localSheetId="7">'01.08 Bweyogerere-Nalya-24h'!$1:$8</definedName>
    <definedName name="_xlnm.Print_Titles" localSheetId="6">'01.08 Nalya-Bweyogerere-24h'!$1:$8</definedName>
    <definedName name="_xlnm.Print_Titles" localSheetId="9">'02.08 Bweyogerere-Nalya'!$1:$8</definedName>
    <definedName name="_xlnm.Print_Titles" localSheetId="8">'02.08 Nalya-Bweyogerere'!$1:$8</definedName>
    <definedName name="_xlnm.Print_Titles" localSheetId="11">'03.08 Bweyogerere-Nalya-24h'!$1:$8</definedName>
    <definedName name="_xlnm.Print_Titles" localSheetId="10">'03.08 Nalya-Bweyogerere-24h'!$1:$8</definedName>
    <definedName name="_xlnm.Print_Titles" localSheetId="13">'04.08 Bweyogerere-Nalya'!$1:$8</definedName>
    <definedName name="_xlnm.Print_Titles" localSheetId="12">'04.08 Nalya-Bweyogerere'!$1:$8</definedName>
    <definedName name="_xlnm.Print_Titles" localSheetId="1">'29.07 Bweyogerere-Nalya'!$1:$8</definedName>
    <definedName name="_xlnm.Print_Titles" localSheetId="0">'29.07 Nalya-Bweyogerere'!$1:$8</definedName>
    <definedName name="_xlnm.Print_Titles" localSheetId="3">'30.07 Bweyogerere-Nalya'!$1:$8</definedName>
    <definedName name="_xlnm.Print_Titles" localSheetId="2">'30.07 Nalya-Bweyogerere'!$1:$8</definedName>
    <definedName name="_xlnm.Print_Titles" localSheetId="5">'31.07 Bweyogerere-Nalya'!$1:$8</definedName>
    <definedName name="_xlnm.Print_Titles" localSheetId="4">'31.07 Nalya-Bweyogerere'!$1:$8</definedName>
    <definedName name="_xlnm.Print_Titles" localSheetId="15">'Avg Week Bweyogerere-Naalya'!$1:$8</definedName>
    <definedName name="_xlnm.Print_Titles" localSheetId="16">'Avg Week Naalya-Bweyogerer-2Dir'!$1:$8</definedName>
    <definedName name="_xlnm.Print_Titles" localSheetId="14">'Avg Week Nalya-Bweyogerere'!$1:$8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4" i="111" l="1"/>
  <c r="H88" i="111"/>
  <c r="T24" i="108"/>
  <c r="Y26" i="108"/>
  <c r="Z26" i="108"/>
  <c r="X31" i="108"/>
  <c r="U33" i="108"/>
  <c r="S27" i="108"/>
  <c r="O60" i="108"/>
  <c r="O76" i="108"/>
  <c r="O88" i="108"/>
  <c r="O92" i="108"/>
  <c r="D58" i="108"/>
  <c r="E58" i="108"/>
  <c r="F58" i="108"/>
  <c r="V22" i="108" s="1"/>
  <c r="G58" i="108"/>
  <c r="H58" i="108"/>
  <c r="I58" i="108"/>
  <c r="J58" i="108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X23" i="108" s="1"/>
  <c r="I62" i="108"/>
  <c r="J62" i="108"/>
  <c r="Z23" i="108" s="1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O64" i="108" s="1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K66" i="108"/>
  <c r="L66" i="108"/>
  <c r="AB24" i="108" s="1"/>
  <c r="M66" i="108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U25" i="108" s="1"/>
  <c r="F70" i="108"/>
  <c r="V25" i="108" s="1"/>
  <c r="G70" i="108"/>
  <c r="H70" i="108"/>
  <c r="I70" i="108"/>
  <c r="J70" i="108"/>
  <c r="Z25" i="108" s="1"/>
  <c r="K70" i="108"/>
  <c r="L70" i="108"/>
  <c r="M70" i="108"/>
  <c r="AC25" i="108" s="1"/>
  <c r="N70" i="108"/>
  <c r="AD25" i="108" s="1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O72" i="108" s="1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H74" i="108"/>
  <c r="I74" i="108"/>
  <c r="J74" i="108"/>
  <c r="K74" i="108"/>
  <c r="L74" i="108"/>
  <c r="M74" i="108"/>
  <c r="N74" i="108"/>
  <c r="AD26" i="108" s="1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U27" i="108" s="1"/>
  <c r="F78" i="108"/>
  <c r="G78" i="108"/>
  <c r="H78" i="108"/>
  <c r="I78" i="108"/>
  <c r="J78" i="108"/>
  <c r="Z27" i="108" s="1"/>
  <c r="K78" i="108"/>
  <c r="L78" i="108"/>
  <c r="AB27" i="108" s="1"/>
  <c r="M78" i="108"/>
  <c r="AC27" i="108" s="1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O80" i="108" s="1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W28" i="108" s="1"/>
  <c r="H82" i="108"/>
  <c r="X28" i="108" s="1"/>
  <c r="I82" i="108"/>
  <c r="J82" i="108"/>
  <c r="K82" i="108"/>
  <c r="L82" i="108"/>
  <c r="M82" i="108"/>
  <c r="N82" i="108"/>
  <c r="AD28" i="108" s="1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Z29" i="108" s="1"/>
  <c r="K86" i="108"/>
  <c r="AA29" i="108" s="1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V30" i="108" s="1"/>
  <c r="G90" i="108"/>
  <c r="H90" i="108"/>
  <c r="I90" i="108"/>
  <c r="J90" i="108"/>
  <c r="K90" i="108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Z31" i="108" s="1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O96" i="108" s="1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V32" i="108" s="1"/>
  <c r="G98" i="108"/>
  <c r="H98" i="108"/>
  <c r="I98" i="108"/>
  <c r="J98" i="108"/>
  <c r="Z32" i="108" s="1"/>
  <c r="K98" i="108"/>
  <c r="L98" i="108"/>
  <c r="AB32" i="108" s="1"/>
  <c r="M98" i="108"/>
  <c r="N98" i="108"/>
  <c r="AD32" i="108" s="1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V33" i="108" s="1"/>
  <c r="G102" i="108"/>
  <c r="H102" i="108"/>
  <c r="I102" i="108"/>
  <c r="J102" i="108"/>
  <c r="Z33" i="108" s="1"/>
  <c r="K102" i="108"/>
  <c r="L102" i="108"/>
  <c r="M102" i="108"/>
  <c r="AC33" i="108" s="1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O104" i="108" s="1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O59" i="108" s="1"/>
  <c r="C60" i="108"/>
  <c r="P60" i="108" s="1"/>
  <c r="C61" i="108"/>
  <c r="C62" i="108"/>
  <c r="S23" i="108" s="1"/>
  <c r="C63" i="108"/>
  <c r="O63" i="108" s="1"/>
  <c r="C64" i="108"/>
  <c r="C65" i="108"/>
  <c r="C66" i="108"/>
  <c r="C67" i="108"/>
  <c r="O67" i="108" s="1"/>
  <c r="C68" i="108"/>
  <c r="C69" i="108"/>
  <c r="C70" i="108"/>
  <c r="S25" i="108" s="1"/>
  <c r="C71" i="108"/>
  <c r="O71" i="108" s="1"/>
  <c r="C72" i="108"/>
  <c r="C73" i="108"/>
  <c r="C74" i="108"/>
  <c r="C75" i="108"/>
  <c r="O75" i="108" s="1"/>
  <c r="C76" i="108"/>
  <c r="C77" i="108"/>
  <c r="C78" i="108"/>
  <c r="O78" i="108" s="1"/>
  <c r="C79" i="108"/>
  <c r="O79" i="108" s="1"/>
  <c r="C80" i="108"/>
  <c r="C81" i="108"/>
  <c r="C82" i="108"/>
  <c r="C83" i="108"/>
  <c r="O83" i="108" s="1"/>
  <c r="C84" i="108"/>
  <c r="O84" i="108" s="1"/>
  <c r="C85" i="108"/>
  <c r="C86" i="108"/>
  <c r="O86" i="108" s="1"/>
  <c r="C87" i="108"/>
  <c r="O87" i="108" s="1"/>
  <c r="C88" i="108"/>
  <c r="C89" i="108"/>
  <c r="C90" i="108"/>
  <c r="C91" i="108"/>
  <c r="O91" i="108" s="1"/>
  <c r="C92" i="108"/>
  <c r="C93" i="108"/>
  <c r="C94" i="108"/>
  <c r="O94" i="108" s="1"/>
  <c r="C95" i="108"/>
  <c r="O95" i="108" s="1"/>
  <c r="C96" i="108"/>
  <c r="C97" i="108"/>
  <c r="C98" i="108"/>
  <c r="C99" i="108"/>
  <c r="O99" i="108" s="1"/>
  <c r="C100" i="108"/>
  <c r="C101" i="108"/>
  <c r="C102" i="108"/>
  <c r="O102" i="108" s="1"/>
  <c r="C103" i="108"/>
  <c r="O103" i="108" s="1"/>
  <c r="C104" i="108"/>
  <c r="C105" i="108"/>
  <c r="C58" i="108"/>
  <c r="P58" i="108" s="1"/>
  <c r="V22" i="107"/>
  <c r="AD22" i="107"/>
  <c r="D58" i="107"/>
  <c r="D58" i="111" s="1"/>
  <c r="E58" i="107"/>
  <c r="E58" i="111" s="1"/>
  <c r="U22" i="111" s="1"/>
  <c r="F58" i="107"/>
  <c r="F58" i="111" s="1"/>
  <c r="V22" i="111" s="1"/>
  <c r="G58" i="107"/>
  <c r="G58" i="111" s="1"/>
  <c r="H58" i="107"/>
  <c r="H58" i="111" s="1"/>
  <c r="I58" i="107"/>
  <c r="I58" i="111" s="1"/>
  <c r="Y22" i="111" s="1"/>
  <c r="J58" i="107"/>
  <c r="J58" i="111" s="1"/>
  <c r="K58" i="107"/>
  <c r="L58" i="107"/>
  <c r="L58" i="111" s="1"/>
  <c r="M58" i="107"/>
  <c r="M58" i="111" s="1"/>
  <c r="AC22" i="111" s="1"/>
  <c r="N58" i="107"/>
  <c r="N58" i="111" s="1"/>
  <c r="AD22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D62" i="111" s="1"/>
  <c r="E62" i="107"/>
  <c r="E62" i="111" s="1"/>
  <c r="F62" i="107"/>
  <c r="F62" i="111" s="1"/>
  <c r="G62" i="107"/>
  <c r="H62" i="107"/>
  <c r="H62" i="111" s="1"/>
  <c r="I62" i="107"/>
  <c r="I62" i="111" s="1"/>
  <c r="Y23" i="111" s="1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D66" i="111" s="1"/>
  <c r="E66" i="107"/>
  <c r="F66" i="107"/>
  <c r="G66" i="107"/>
  <c r="H66" i="107"/>
  <c r="I66" i="107"/>
  <c r="J66" i="107"/>
  <c r="K66" i="107"/>
  <c r="K66" i="111" s="1"/>
  <c r="L66" i="107"/>
  <c r="L66" i="111" s="1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F70" i="111" s="1"/>
  <c r="G70" i="107"/>
  <c r="G70" i="111" s="1"/>
  <c r="H70" i="107"/>
  <c r="I70" i="107"/>
  <c r="J70" i="107"/>
  <c r="K70" i="107"/>
  <c r="L70" i="107"/>
  <c r="M70" i="107"/>
  <c r="N70" i="107"/>
  <c r="N70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I74" i="111" s="1"/>
  <c r="J74" i="107"/>
  <c r="J74" i="111" s="1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D78" i="111" s="1"/>
  <c r="E78" i="107"/>
  <c r="E78" i="111" s="1"/>
  <c r="F78" i="107"/>
  <c r="G78" i="107"/>
  <c r="H78" i="107"/>
  <c r="I78" i="107"/>
  <c r="J78" i="107"/>
  <c r="K78" i="107"/>
  <c r="L78" i="107"/>
  <c r="L78" i="111" s="1"/>
  <c r="M78" i="107"/>
  <c r="M78" i="111" s="1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G82" i="111" s="1"/>
  <c r="H82" i="107"/>
  <c r="H82" i="111" s="1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J86" i="111" s="1"/>
  <c r="K86" i="107"/>
  <c r="K86" i="111" s="1"/>
  <c r="L86" i="107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E90" i="111" s="1"/>
  <c r="U30" i="111" s="1"/>
  <c r="F90" i="107"/>
  <c r="F90" i="111" s="1"/>
  <c r="G90" i="107"/>
  <c r="H90" i="107"/>
  <c r="I90" i="107"/>
  <c r="J90" i="107"/>
  <c r="K90" i="107"/>
  <c r="L90" i="107"/>
  <c r="M90" i="107"/>
  <c r="M90" i="111" s="1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H94" i="111" s="1"/>
  <c r="I94" i="107"/>
  <c r="I94" i="111" s="1"/>
  <c r="Y31" i="111" s="1"/>
  <c r="J94" i="107"/>
  <c r="K94" i="107"/>
  <c r="L94" i="107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D98" i="111" s="1"/>
  <c r="E98" i="107"/>
  <c r="F98" i="107"/>
  <c r="G98" i="107"/>
  <c r="H98" i="107"/>
  <c r="I98" i="107"/>
  <c r="J98" i="107"/>
  <c r="K98" i="107"/>
  <c r="K98" i="111" s="1"/>
  <c r="L98" i="107"/>
  <c r="L98" i="111" s="1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F102" i="111" s="1"/>
  <c r="G102" i="107"/>
  <c r="G102" i="111" s="1"/>
  <c r="H102" i="107"/>
  <c r="I102" i="107"/>
  <c r="J102" i="107"/>
  <c r="K102" i="107"/>
  <c r="L102" i="107"/>
  <c r="M102" i="107"/>
  <c r="N102" i="107"/>
  <c r="N102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P59" i="107" s="1"/>
  <c r="C60" i="107"/>
  <c r="O60" i="107" s="1"/>
  <c r="C61" i="107"/>
  <c r="C62" i="107"/>
  <c r="C63" i="107"/>
  <c r="C64" i="107"/>
  <c r="C65" i="107"/>
  <c r="C66" i="107"/>
  <c r="C67" i="107"/>
  <c r="C68" i="107"/>
  <c r="C69" i="107"/>
  <c r="C70" i="107"/>
  <c r="C71" i="107"/>
  <c r="P71" i="107" s="1"/>
  <c r="C72" i="107"/>
  <c r="O72" i="107" s="1"/>
  <c r="C73" i="107"/>
  <c r="C74" i="107"/>
  <c r="C75" i="107"/>
  <c r="P75" i="107" s="1"/>
  <c r="C76" i="107"/>
  <c r="O76" i="107" s="1"/>
  <c r="C77" i="107"/>
  <c r="C78" i="107"/>
  <c r="S27" i="107" s="1"/>
  <c r="C79" i="107"/>
  <c r="C80" i="107"/>
  <c r="C81" i="107"/>
  <c r="C82" i="107"/>
  <c r="C83" i="107"/>
  <c r="C84" i="107"/>
  <c r="O84" i="107" s="1"/>
  <c r="C85" i="107"/>
  <c r="C86" i="107"/>
  <c r="C87" i="107"/>
  <c r="P87" i="107" s="1"/>
  <c r="C88" i="107"/>
  <c r="O88" i="107" s="1"/>
  <c r="C89" i="107"/>
  <c r="C90" i="107"/>
  <c r="C91" i="107"/>
  <c r="P91" i="107" s="1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P103" i="107" s="1"/>
  <c r="C104" i="107"/>
  <c r="O104" i="107" s="1"/>
  <c r="C105" i="107"/>
  <c r="C58" i="107"/>
  <c r="O58" i="107" s="1"/>
  <c r="C68" i="111" l="1"/>
  <c r="P68" i="107"/>
  <c r="AC30" i="111"/>
  <c r="E82" i="111"/>
  <c r="U28" i="111" s="1"/>
  <c r="U28" i="107"/>
  <c r="I70" i="111"/>
  <c r="Y25" i="111" s="1"/>
  <c r="Y25" i="107"/>
  <c r="E66" i="111"/>
  <c r="U24" i="111" s="1"/>
  <c r="U24" i="107"/>
  <c r="P79" i="107"/>
  <c r="C99" i="111"/>
  <c r="O99" i="107"/>
  <c r="X31" i="111"/>
  <c r="L90" i="111"/>
  <c r="AB30" i="111" s="1"/>
  <c r="AB30" i="107"/>
  <c r="L82" i="111"/>
  <c r="AB28" i="111" s="1"/>
  <c r="AB28" i="107"/>
  <c r="H78" i="111"/>
  <c r="X27" i="111" s="1"/>
  <c r="X27" i="107"/>
  <c r="T24" i="111"/>
  <c r="C90" i="111"/>
  <c r="O90" i="107"/>
  <c r="AE30" i="107" s="1"/>
  <c r="S30" i="107"/>
  <c r="P90" i="107"/>
  <c r="K82" i="111"/>
  <c r="AA28" i="111" s="1"/>
  <c r="AA28" i="107"/>
  <c r="G78" i="111"/>
  <c r="W27" i="111" s="1"/>
  <c r="W27" i="107"/>
  <c r="AA26" i="107"/>
  <c r="K74" i="111"/>
  <c r="AA26" i="111" s="1"/>
  <c r="W25" i="111"/>
  <c r="AA24" i="111"/>
  <c r="G62" i="111"/>
  <c r="W23" i="111" s="1"/>
  <c r="W23" i="107"/>
  <c r="K58" i="111"/>
  <c r="AA22" i="111" s="1"/>
  <c r="AA22" i="107"/>
  <c r="AA32" i="107"/>
  <c r="U30" i="107"/>
  <c r="AB27" i="107"/>
  <c r="V25" i="107"/>
  <c r="AC22" i="107"/>
  <c r="O101" i="108"/>
  <c r="P101" i="108"/>
  <c r="O93" i="108"/>
  <c r="P93" i="108"/>
  <c r="O85" i="108"/>
  <c r="P85" i="108"/>
  <c r="O77" i="108"/>
  <c r="P77" i="108"/>
  <c r="O69" i="108"/>
  <c r="P69" i="108"/>
  <c r="O61" i="108"/>
  <c r="P61" i="108"/>
  <c r="C92" i="111"/>
  <c r="P92" i="107"/>
  <c r="I102" i="111"/>
  <c r="Y33" i="111" s="1"/>
  <c r="Y33" i="107"/>
  <c r="E98" i="111"/>
  <c r="U32" i="111" s="1"/>
  <c r="U32" i="107"/>
  <c r="AB32" i="111"/>
  <c r="AB26" i="107"/>
  <c r="L74" i="111"/>
  <c r="AB26" i="111" s="1"/>
  <c r="O82" i="107"/>
  <c r="P82" i="107"/>
  <c r="C82" i="111"/>
  <c r="G94" i="111"/>
  <c r="W31" i="111" s="1"/>
  <c r="W31" i="107"/>
  <c r="K90" i="111"/>
  <c r="AA30" i="111" s="1"/>
  <c r="AA30" i="107"/>
  <c r="C105" i="111"/>
  <c r="O105" i="107"/>
  <c r="P105" i="107"/>
  <c r="C97" i="111"/>
  <c r="O97" i="107"/>
  <c r="P97" i="107"/>
  <c r="C89" i="111"/>
  <c r="O89" i="107"/>
  <c r="P89" i="107"/>
  <c r="C81" i="111"/>
  <c r="O81" i="107"/>
  <c r="P81" i="107"/>
  <c r="C73" i="111"/>
  <c r="O73" i="107"/>
  <c r="P73" i="107"/>
  <c r="C65" i="111"/>
  <c r="O65" i="107"/>
  <c r="P65" i="107"/>
  <c r="AD33" i="111"/>
  <c r="V33" i="111"/>
  <c r="J98" i="111"/>
  <c r="Z32" i="111" s="1"/>
  <c r="Z32" i="107"/>
  <c r="N94" i="111"/>
  <c r="AD31" i="111" s="1"/>
  <c r="AD31" i="107"/>
  <c r="F94" i="111"/>
  <c r="V31" i="111" s="1"/>
  <c r="V31" i="107"/>
  <c r="J90" i="111"/>
  <c r="Z30" i="111" s="1"/>
  <c r="Z30" i="107"/>
  <c r="N86" i="111"/>
  <c r="AD29" i="111" s="1"/>
  <c r="AD29" i="107"/>
  <c r="F86" i="111"/>
  <c r="V29" i="111" s="1"/>
  <c r="V29" i="107"/>
  <c r="Z28" i="107"/>
  <c r="J82" i="111"/>
  <c r="Z28" i="111" s="1"/>
  <c r="N78" i="111"/>
  <c r="AD27" i="111" s="1"/>
  <c r="AD27" i="107"/>
  <c r="F78" i="111"/>
  <c r="V27" i="111" s="1"/>
  <c r="V27" i="107"/>
  <c r="Z26" i="111"/>
  <c r="AD25" i="111"/>
  <c r="V25" i="111"/>
  <c r="J66" i="111"/>
  <c r="Z24" i="111" s="1"/>
  <c r="Z24" i="107"/>
  <c r="N62" i="111"/>
  <c r="AD23" i="111" s="1"/>
  <c r="AD23" i="107"/>
  <c r="V23" i="111"/>
  <c r="T32" i="107"/>
  <c r="AA29" i="107"/>
  <c r="U27" i="107"/>
  <c r="AB24" i="107"/>
  <c r="P100" i="108"/>
  <c r="P92" i="108"/>
  <c r="P84" i="108"/>
  <c r="P76" i="108"/>
  <c r="P68" i="108"/>
  <c r="Y31" i="108"/>
  <c r="AC30" i="108"/>
  <c r="U30" i="108"/>
  <c r="Y23" i="108"/>
  <c r="AC22" i="108"/>
  <c r="U22" i="108"/>
  <c r="I86" i="111"/>
  <c r="Y29" i="111" s="1"/>
  <c r="Y29" i="107"/>
  <c r="V33" i="107"/>
  <c r="AD25" i="107"/>
  <c r="C91" i="111"/>
  <c r="O91" i="107"/>
  <c r="D90" i="111"/>
  <c r="T30" i="111" s="1"/>
  <c r="T30" i="107"/>
  <c r="D82" i="111"/>
  <c r="T28" i="111" s="1"/>
  <c r="T28" i="107"/>
  <c r="AB24" i="111"/>
  <c r="X23" i="111"/>
  <c r="AB32" i="107"/>
  <c r="W25" i="107"/>
  <c r="S26" i="107"/>
  <c r="O74" i="107"/>
  <c r="C74" i="111"/>
  <c r="P74" i="107"/>
  <c r="W33" i="111"/>
  <c r="AA32" i="111"/>
  <c r="C88" i="111"/>
  <c r="P88" i="107"/>
  <c r="M102" i="111"/>
  <c r="AC33" i="111" s="1"/>
  <c r="AC33" i="107"/>
  <c r="I90" i="111"/>
  <c r="Y30" i="111" s="1"/>
  <c r="Y30" i="107"/>
  <c r="U27" i="111"/>
  <c r="M70" i="111"/>
  <c r="AC25" i="111" s="1"/>
  <c r="AC25" i="107"/>
  <c r="E70" i="111"/>
  <c r="U25" i="111" s="1"/>
  <c r="U25" i="107"/>
  <c r="I66" i="111"/>
  <c r="Y24" i="111" s="1"/>
  <c r="Y24" i="107"/>
  <c r="M62" i="111"/>
  <c r="AC23" i="111" s="1"/>
  <c r="AC23" i="107"/>
  <c r="U23" i="111"/>
  <c r="S28" i="107"/>
  <c r="Z29" i="107"/>
  <c r="T27" i="107"/>
  <c r="AA24" i="107"/>
  <c r="U22" i="107"/>
  <c r="C100" i="111"/>
  <c r="P100" i="107"/>
  <c r="C60" i="111"/>
  <c r="P60" i="107"/>
  <c r="I78" i="111"/>
  <c r="Y27" i="111" s="1"/>
  <c r="Y27" i="107"/>
  <c r="E74" i="111"/>
  <c r="U26" i="111" s="1"/>
  <c r="U26" i="107"/>
  <c r="M66" i="111"/>
  <c r="AC24" i="111" s="1"/>
  <c r="AC24" i="107"/>
  <c r="P95" i="107"/>
  <c r="W28" i="107"/>
  <c r="O83" i="107"/>
  <c r="C67" i="111"/>
  <c r="O67" i="107"/>
  <c r="O92" i="107"/>
  <c r="AC27" i="107"/>
  <c r="C98" i="111"/>
  <c r="S32" i="107"/>
  <c r="O98" i="107"/>
  <c r="P98" i="107"/>
  <c r="C66" i="111"/>
  <c r="S24" i="107"/>
  <c r="O66" i="107"/>
  <c r="P66" i="107"/>
  <c r="C104" i="111"/>
  <c r="P104" i="107"/>
  <c r="C72" i="111"/>
  <c r="P72" i="107"/>
  <c r="M94" i="111"/>
  <c r="AC31" i="111" s="1"/>
  <c r="AC31" i="107"/>
  <c r="M86" i="111"/>
  <c r="AC29" i="111" s="1"/>
  <c r="AC29" i="107"/>
  <c r="Y26" i="111"/>
  <c r="C103" i="111"/>
  <c r="O103" i="107"/>
  <c r="C95" i="111"/>
  <c r="O95" i="107"/>
  <c r="C87" i="111"/>
  <c r="O87" i="107"/>
  <c r="C79" i="111"/>
  <c r="O79" i="107"/>
  <c r="C71" i="111"/>
  <c r="O71" i="107"/>
  <c r="C63" i="111"/>
  <c r="O63" i="107"/>
  <c r="AB33" i="107"/>
  <c r="L102" i="111"/>
  <c r="AB33" i="111" s="1"/>
  <c r="D102" i="111"/>
  <c r="T33" i="111" s="1"/>
  <c r="T33" i="107"/>
  <c r="H98" i="111"/>
  <c r="X32" i="111" s="1"/>
  <c r="X32" i="107"/>
  <c r="AB31" i="107"/>
  <c r="T31" i="107"/>
  <c r="D94" i="111"/>
  <c r="T31" i="111" s="1"/>
  <c r="X30" i="107"/>
  <c r="H90" i="111"/>
  <c r="X30" i="111" s="1"/>
  <c r="L86" i="111"/>
  <c r="AB29" i="111" s="1"/>
  <c r="AB29" i="107"/>
  <c r="D86" i="111"/>
  <c r="T29" i="111" s="1"/>
  <c r="T29" i="107"/>
  <c r="X28" i="111"/>
  <c r="AB27" i="111"/>
  <c r="T27" i="111"/>
  <c r="H74" i="111"/>
  <c r="X26" i="111" s="1"/>
  <c r="X26" i="107"/>
  <c r="L70" i="111"/>
  <c r="AB25" i="111" s="1"/>
  <c r="AB25" i="107"/>
  <c r="D70" i="111"/>
  <c r="T25" i="111" s="1"/>
  <c r="T25" i="107"/>
  <c r="H66" i="111"/>
  <c r="X24" i="111" s="1"/>
  <c r="X24" i="107"/>
  <c r="L62" i="111"/>
  <c r="AB23" i="111" s="1"/>
  <c r="AB23" i="107"/>
  <c r="O100" i="107"/>
  <c r="O68" i="107"/>
  <c r="Y31" i="107"/>
  <c r="Z26" i="107"/>
  <c r="T24" i="107"/>
  <c r="O82" i="108"/>
  <c r="S26" i="108"/>
  <c r="S24" i="108"/>
  <c r="W33" i="108"/>
  <c r="AA32" i="108"/>
  <c r="W31" i="108"/>
  <c r="W25" i="108"/>
  <c r="AA24" i="108"/>
  <c r="C76" i="111"/>
  <c r="P76" i="107"/>
  <c r="M98" i="111"/>
  <c r="AC32" i="111" s="1"/>
  <c r="AC32" i="107"/>
  <c r="P63" i="107"/>
  <c r="X23" i="107"/>
  <c r="D74" i="111"/>
  <c r="T26" i="111" s="1"/>
  <c r="T26" i="107"/>
  <c r="H70" i="111"/>
  <c r="X25" i="111" s="1"/>
  <c r="X25" i="107"/>
  <c r="P58" i="107"/>
  <c r="C58" i="111"/>
  <c r="S22" i="107"/>
  <c r="G86" i="111"/>
  <c r="W29" i="111" s="1"/>
  <c r="W29" i="107"/>
  <c r="C80" i="111"/>
  <c r="P80" i="107"/>
  <c r="E102" i="111"/>
  <c r="U33" i="111" s="1"/>
  <c r="U33" i="107"/>
  <c r="E94" i="111"/>
  <c r="U31" i="111" s="1"/>
  <c r="U31" i="107"/>
  <c r="C94" i="111"/>
  <c r="S31" i="107"/>
  <c r="O94" i="107"/>
  <c r="P94" i="107"/>
  <c r="C78" i="111"/>
  <c r="O78" i="107"/>
  <c r="P78" i="107"/>
  <c r="C62" i="111"/>
  <c r="S23" i="107"/>
  <c r="O62" i="107"/>
  <c r="P62" i="107"/>
  <c r="AA33" i="107"/>
  <c r="K102" i="111"/>
  <c r="AA33" i="111" s="1"/>
  <c r="G98" i="111"/>
  <c r="W32" i="111" s="1"/>
  <c r="W32" i="107"/>
  <c r="AA31" i="107"/>
  <c r="K94" i="111"/>
  <c r="AA31" i="111" s="1"/>
  <c r="G90" i="111"/>
  <c r="W30" i="111" s="1"/>
  <c r="W30" i="107"/>
  <c r="AA29" i="111"/>
  <c r="W28" i="111"/>
  <c r="K78" i="111"/>
  <c r="AA27" i="111" s="1"/>
  <c r="AA27" i="107"/>
  <c r="G74" i="111"/>
  <c r="W26" i="111" s="1"/>
  <c r="W26" i="107"/>
  <c r="K70" i="111"/>
  <c r="AA25" i="111" s="1"/>
  <c r="AA25" i="107"/>
  <c r="G66" i="111"/>
  <c r="W24" i="111" s="1"/>
  <c r="W24" i="107"/>
  <c r="K62" i="111"/>
  <c r="AA23" i="111" s="1"/>
  <c r="AA23" i="107"/>
  <c r="P99" i="107"/>
  <c r="P83" i="107"/>
  <c r="P67" i="107"/>
  <c r="AD33" i="107"/>
  <c r="X31" i="107"/>
  <c r="Y26" i="107"/>
  <c r="O105" i="108"/>
  <c r="AE33" i="108" s="1"/>
  <c r="O97" i="108"/>
  <c r="AE31" i="108" s="1"/>
  <c r="O89" i="108"/>
  <c r="O81" i="108"/>
  <c r="AE27" i="108" s="1"/>
  <c r="O73" i="108"/>
  <c r="O65" i="108"/>
  <c r="AD33" i="108"/>
  <c r="O100" i="108"/>
  <c r="O68" i="108"/>
  <c r="L94" i="111"/>
  <c r="AB31" i="111" s="1"/>
  <c r="C84" i="111"/>
  <c r="P84" i="107"/>
  <c r="M82" i="111"/>
  <c r="AC28" i="111" s="1"/>
  <c r="AC28" i="107"/>
  <c r="M74" i="111"/>
  <c r="AC26" i="111" s="1"/>
  <c r="AC26" i="107"/>
  <c r="AC30" i="107"/>
  <c r="C75" i="111"/>
  <c r="O75" i="107"/>
  <c r="C59" i="111"/>
  <c r="O59" i="107"/>
  <c r="AE22" i="107" s="1"/>
  <c r="H102" i="111"/>
  <c r="X33" i="111" s="1"/>
  <c r="X33" i="107"/>
  <c r="T32" i="111"/>
  <c r="H86" i="111"/>
  <c r="X29" i="111" s="1"/>
  <c r="X29" i="107"/>
  <c r="V30" i="107"/>
  <c r="AE29" i="108"/>
  <c r="C83" i="111"/>
  <c r="C96" i="111"/>
  <c r="P96" i="107"/>
  <c r="C64" i="111"/>
  <c r="P64" i="107"/>
  <c r="I98" i="111"/>
  <c r="Y32" i="111" s="1"/>
  <c r="Y32" i="107"/>
  <c r="E86" i="111"/>
  <c r="U29" i="111" s="1"/>
  <c r="U29" i="107"/>
  <c r="Y28" i="107"/>
  <c r="I82" i="111"/>
  <c r="Y28" i="111" s="1"/>
  <c r="AC27" i="111"/>
  <c r="C102" i="111"/>
  <c r="S33" i="107"/>
  <c r="O102" i="107"/>
  <c r="AE33" i="107" s="1"/>
  <c r="P102" i="107"/>
  <c r="AF33" i="107" s="1"/>
  <c r="C86" i="111"/>
  <c r="O86" i="107"/>
  <c r="AE29" i="107" s="1"/>
  <c r="P86" i="107"/>
  <c r="AF29" i="107" s="1"/>
  <c r="S29" i="107"/>
  <c r="C70" i="111"/>
  <c r="S25" i="107"/>
  <c r="O70" i="107"/>
  <c r="AE25" i="107" s="1"/>
  <c r="P70" i="107"/>
  <c r="AF25" i="107" s="1"/>
  <c r="C101" i="111"/>
  <c r="O101" i="107"/>
  <c r="P101" i="107"/>
  <c r="C93" i="111"/>
  <c r="O93" i="107"/>
  <c r="P93" i="107"/>
  <c r="C85" i="111"/>
  <c r="O85" i="107"/>
  <c r="P85" i="107"/>
  <c r="C77" i="111"/>
  <c r="O77" i="107"/>
  <c r="P77" i="107"/>
  <c r="C69" i="111"/>
  <c r="O69" i="107"/>
  <c r="P69" i="107"/>
  <c r="C61" i="111"/>
  <c r="O61" i="107"/>
  <c r="P61" i="107"/>
  <c r="J102" i="111"/>
  <c r="Z33" i="111" s="1"/>
  <c r="Z33" i="107"/>
  <c r="N98" i="111"/>
  <c r="AD32" i="111" s="1"/>
  <c r="AD32" i="107"/>
  <c r="F98" i="111"/>
  <c r="V32" i="111" s="1"/>
  <c r="V32" i="107"/>
  <c r="J94" i="111"/>
  <c r="Z31" i="111" s="1"/>
  <c r="Z31" i="107"/>
  <c r="AD30" i="111"/>
  <c r="V30" i="111"/>
  <c r="Z29" i="111"/>
  <c r="N82" i="111"/>
  <c r="AD28" i="111" s="1"/>
  <c r="AD28" i="107"/>
  <c r="F82" i="111"/>
  <c r="V28" i="111" s="1"/>
  <c r="V28" i="107"/>
  <c r="J78" i="111"/>
  <c r="Z27" i="111" s="1"/>
  <c r="Z27" i="107"/>
  <c r="N74" i="111"/>
  <c r="AD26" i="111" s="1"/>
  <c r="AD26" i="107"/>
  <c r="F74" i="111"/>
  <c r="V26" i="111" s="1"/>
  <c r="V26" i="107"/>
  <c r="J70" i="111"/>
  <c r="Z25" i="111" s="1"/>
  <c r="Z25" i="107"/>
  <c r="N66" i="111"/>
  <c r="AD24" i="111" s="1"/>
  <c r="AD24" i="107"/>
  <c r="F66" i="111"/>
  <c r="V24" i="111" s="1"/>
  <c r="V24" i="107"/>
  <c r="J62" i="111"/>
  <c r="Z23" i="111" s="1"/>
  <c r="Z23" i="107"/>
  <c r="O96" i="107"/>
  <c r="O80" i="107"/>
  <c r="O64" i="107"/>
  <c r="W33" i="107"/>
  <c r="AD30" i="107"/>
  <c r="X28" i="107"/>
  <c r="Y23" i="107"/>
  <c r="P104" i="108"/>
  <c r="P96" i="108"/>
  <c r="P88" i="108"/>
  <c r="P80" i="108"/>
  <c r="P72" i="108"/>
  <c r="P64" i="108"/>
  <c r="Y33" i="108"/>
  <c r="AC32" i="108"/>
  <c r="U32" i="108"/>
  <c r="Y29" i="108"/>
  <c r="AC28" i="108"/>
  <c r="U28" i="108"/>
  <c r="Y27" i="108"/>
  <c r="AC26" i="108"/>
  <c r="U26" i="108"/>
  <c r="Y25" i="108"/>
  <c r="AC24" i="108"/>
  <c r="U24" i="108"/>
  <c r="P103" i="108"/>
  <c r="P99" i="108"/>
  <c r="P95" i="108"/>
  <c r="P91" i="108"/>
  <c r="P87" i="108"/>
  <c r="P83" i="108"/>
  <c r="P79" i="108"/>
  <c r="P75" i="108"/>
  <c r="P71" i="108"/>
  <c r="P67" i="108"/>
  <c r="P63" i="108"/>
  <c r="P59" i="108"/>
  <c r="AF22" i="108" s="1"/>
  <c r="S28" i="108"/>
  <c r="AB22" i="111"/>
  <c r="T22" i="111"/>
  <c r="AB22" i="107"/>
  <c r="T22" i="107"/>
  <c r="X33" i="108"/>
  <c r="AB30" i="108"/>
  <c r="T30" i="108"/>
  <c r="X29" i="108"/>
  <c r="AB28" i="108"/>
  <c r="T28" i="108"/>
  <c r="X27" i="108"/>
  <c r="AB26" i="108"/>
  <c r="T26" i="108"/>
  <c r="X25" i="108"/>
  <c r="AB22" i="108"/>
  <c r="T22" i="108"/>
  <c r="S29" i="108"/>
  <c r="V23" i="107"/>
  <c r="S32" i="108"/>
  <c r="S30" i="108"/>
  <c r="AA30" i="108"/>
  <c r="W29" i="108"/>
  <c r="AA28" i="108"/>
  <c r="W27" i="108"/>
  <c r="AA26" i="108"/>
  <c r="W23" i="108"/>
  <c r="AA22" i="108"/>
  <c r="O58" i="108"/>
  <c r="AE22" i="108" s="1"/>
  <c r="P102" i="108"/>
  <c r="P98" i="108"/>
  <c r="AF32" i="108" s="1"/>
  <c r="P94" i="108"/>
  <c r="P90" i="108"/>
  <c r="AF30" i="108" s="1"/>
  <c r="P86" i="108"/>
  <c r="P82" i="108"/>
  <c r="P78" i="108"/>
  <c r="P74" i="108"/>
  <c r="AF26" i="108" s="1"/>
  <c r="P70" i="108"/>
  <c r="P66" i="108"/>
  <c r="AF24" i="108" s="1"/>
  <c r="P62" i="108"/>
  <c r="S22" i="108"/>
  <c r="Z22" i="111"/>
  <c r="U23" i="107"/>
  <c r="Z22" i="107"/>
  <c r="AD31" i="108"/>
  <c r="V31" i="108"/>
  <c r="Z30" i="108"/>
  <c r="AD29" i="108"/>
  <c r="V29" i="108"/>
  <c r="Z28" i="108"/>
  <c r="AD27" i="108"/>
  <c r="V27" i="108"/>
  <c r="Z24" i="108"/>
  <c r="AD23" i="108"/>
  <c r="V23" i="108"/>
  <c r="Z22" i="108"/>
  <c r="O98" i="108"/>
  <c r="AE32" i="108" s="1"/>
  <c r="O90" i="108"/>
  <c r="AE30" i="108" s="1"/>
  <c r="O74" i="108"/>
  <c r="AE26" i="108" s="1"/>
  <c r="O70" i="108"/>
  <c r="AE25" i="108" s="1"/>
  <c r="O66" i="108"/>
  <c r="AE24" i="108" s="1"/>
  <c r="O62" i="108"/>
  <c r="AE23" i="108" s="1"/>
  <c r="T23" i="107"/>
  <c r="Y22" i="107"/>
  <c r="Y32" i="108"/>
  <c r="AC31" i="108"/>
  <c r="U31" i="108"/>
  <c r="Y30" i="108"/>
  <c r="AC29" i="108"/>
  <c r="U29" i="108"/>
  <c r="Y28" i="108"/>
  <c r="Y24" i="108"/>
  <c r="AC23" i="108"/>
  <c r="U23" i="108"/>
  <c r="Y22" i="108"/>
  <c r="P105" i="108"/>
  <c r="P97" i="108"/>
  <c r="P89" i="108"/>
  <c r="P81" i="108"/>
  <c r="P73" i="108"/>
  <c r="P65" i="108"/>
  <c r="T23" i="111"/>
  <c r="X22" i="111"/>
  <c r="X22" i="107"/>
  <c r="AB33" i="108"/>
  <c r="T33" i="108"/>
  <c r="X32" i="108"/>
  <c r="AB31" i="108"/>
  <c r="T31" i="108"/>
  <c r="X30" i="108"/>
  <c r="AB29" i="108"/>
  <c r="T29" i="108"/>
  <c r="X26" i="108"/>
  <c r="AB25" i="108"/>
  <c r="T25" i="108"/>
  <c r="X24" i="108"/>
  <c r="AB23" i="108"/>
  <c r="T23" i="108"/>
  <c r="X22" i="108"/>
  <c r="W22" i="111"/>
  <c r="W22" i="107"/>
  <c r="S33" i="108"/>
  <c r="S31" i="108"/>
  <c r="AA33" i="108"/>
  <c r="W32" i="108"/>
  <c r="AA31" i="108"/>
  <c r="W30" i="108"/>
  <c r="AA27" i="108"/>
  <c r="W26" i="108"/>
  <c r="AA25" i="108"/>
  <c r="W24" i="108"/>
  <c r="AA23" i="108"/>
  <c r="W22" i="108"/>
  <c r="P13" i="104"/>
  <c r="P14" i="104"/>
  <c r="O13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48" i="104"/>
  <c r="O49" i="104"/>
  <c r="O50" i="104"/>
  <c r="O51" i="104"/>
  <c r="O52" i="104"/>
  <c r="O53" i="104"/>
  <c r="O54" i="104"/>
  <c r="O55" i="104"/>
  <c r="O56" i="104"/>
  <c r="O57" i="104"/>
  <c r="O105" i="111" l="1"/>
  <c r="P105" i="111"/>
  <c r="AF25" i="108"/>
  <c r="AF33" i="108"/>
  <c r="O77" i="111"/>
  <c r="P77" i="111"/>
  <c r="O96" i="111"/>
  <c r="P96" i="111"/>
  <c r="AF23" i="107"/>
  <c r="AE31" i="107"/>
  <c r="O80" i="111"/>
  <c r="P80" i="111"/>
  <c r="O76" i="111"/>
  <c r="P76" i="111"/>
  <c r="AE28" i="108"/>
  <c r="O79" i="111"/>
  <c r="P79" i="111"/>
  <c r="AF24" i="107"/>
  <c r="O65" i="111"/>
  <c r="P65" i="111"/>
  <c r="O90" i="111"/>
  <c r="S30" i="111"/>
  <c r="P90" i="111"/>
  <c r="O92" i="111"/>
  <c r="P92" i="111"/>
  <c r="O101" i="111"/>
  <c r="P101" i="111"/>
  <c r="S29" i="111"/>
  <c r="O86" i="111"/>
  <c r="P86" i="111"/>
  <c r="O83" i="111"/>
  <c r="P83" i="111"/>
  <c r="AE23" i="107"/>
  <c r="AE24" i="107"/>
  <c r="O100" i="111"/>
  <c r="P100" i="111"/>
  <c r="AF26" i="107"/>
  <c r="O89" i="111"/>
  <c r="P89" i="111"/>
  <c r="O98" i="111"/>
  <c r="P98" i="111"/>
  <c r="S32" i="111"/>
  <c r="AF27" i="108"/>
  <c r="O61" i="111"/>
  <c r="P61" i="111"/>
  <c r="O59" i="111"/>
  <c r="P59" i="111"/>
  <c r="S31" i="111"/>
  <c r="O94" i="111"/>
  <c r="P94" i="111"/>
  <c r="O87" i="111"/>
  <c r="P87" i="111"/>
  <c r="S26" i="111"/>
  <c r="O74" i="111"/>
  <c r="AE26" i="111" s="1"/>
  <c r="P74" i="111"/>
  <c r="AF28" i="108"/>
  <c r="O85" i="111"/>
  <c r="P85" i="111"/>
  <c r="O84" i="111"/>
  <c r="P84" i="111"/>
  <c r="S23" i="111"/>
  <c r="O62" i="111"/>
  <c r="AE23" i="111" s="1"/>
  <c r="P62" i="111"/>
  <c r="O66" i="111"/>
  <c r="P66" i="111"/>
  <c r="S24" i="111"/>
  <c r="AE26" i="107"/>
  <c r="O73" i="111"/>
  <c r="P73" i="111"/>
  <c r="O99" i="111"/>
  <c r="P99" i="111"/>
  <c r="O104" i="111"/>
  <c r="P104" i="111"/>
  <c r="AF29" i="108"/>
  <c r="O75" i="111"/>
  <c r="P75" i="111"/>
  <c r="AF27" i="107"/>
  <c r="P58" i="111"/>
  <c r="O58" i="111"/>
  <c r="S22" i="111"/>
  <c r="O63" i="111"/>
  <c r="P63" i="111"/>
  <c r="O95" i="111"/>
  <c r="P95" i="111"/>
  <c r="AF32" i="107"/>
  <c r="O67" i="111"/>
  <c r="P67" i="111"/>
  <c r="O97" i="111"/>
  <c r="P97" i="111"/>
  <c r="S28" i="111"/>
  <c r="O82" i="111"/>
  <c r="AE28" i="111" s="1"/>
  <c r="P82" i="111"/>
  <c r="O60" i="111"/>
  <c r="P60" i="111"/>
  <c r="O69" i="111"/>
  <c r="P69" i="111"/>
  <c r="S25" i="111"/>
  <c r="O70" i="111"/>
  <c r="P70" i="111"/>
  <c r="S33" i="111"/>
  <c r="O102" i="111"/>
  <c r="P102" i="111"/>
  <c r="AF33" i="111" s="1"/>
  <c r="AE27" i="107"/>
  <c r="AF22" i="107"/>
  <c r="O72" i="111"/>
  <c r="P72" i="111"/>
  <c r="AE32" i="107"/>
  <c r="AF28" i="107"/>
  <c r="AF30" i="107"/>
  <c r="O68" i="111"/>
  <c r="P68" i="111"/>
  <c r="AF31" i="107"/>
  <c r="AF23" i="108"/>
  <c r="AF31" i="108"/>
  <c r="O93" i="111"/>
  <c r="P93" i="111"/>
  <c r="O64" i="111"/>
  <c r="P64" i="111"/>
  <c r="S27" i="111"/>
  <c r="O78" i="111"/>
  <c r="AE27" i="111" s="1"/>
  <c r="P78" i="111"/>
  <c r="O71" i="111"/>
  <c r="P71" i="111"/>
  <c r="O103" i="111"/>
  <c r="P103" i="111"/>
  <c r="O88" i="111"/>
  <c r="P88" i="111"/>
  <c r="O91" i="111"/>
  <c r="P91" i="111"/>
  <c r="O81" i="111"/>
  <c r="P81" i="111"/>
  <c r="AE28" i="107"/>
  <c r="D5" i="94"/>
  <c r="C3" i="94"/>
  <c r="AE24" i="111" l="1"/>
  <c r="AE32" i="111"/>
  <c r="AE22" i="111"/>
  <c r="AF23" i="111"/>
  <c r="AF26" i="111"/>
  <c r="AF30" i="111"/>
  <c r="AE33" i="111"/>
  <c r="AE29" i="111"/>
  <c r="AE30" i="111"/>
  <c r="AF29" i="111"/>
  <c r="AF28" i="111"/>
  <c r="AF22" i="111"/>
  <c r="AF25" i="111"/>
  <c r="AE25" i="111"/>
  <c r="AF31" i="111"/>
  <c r="AF27" i="111"/>
  <c r="AF24" i="111"/>
  <c r="AE31" i="111"/>
  <c r="AF32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K5" i="107" l="1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Y19" i="103"/>
  <c r="Y27" i="103" s="1"/>
  <c r="X19" i="103"/>
  <c r="W19" i="103"/>
  <c r="W27" i="103" s="1"/>
  <c r="V19" i="103"/>
  <c r="V27" i="103" s="1"/>
  <c r="U19" i="103"/>
  <c r="U24" i="103" s="1"/>
  <c r="T19" i="103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Z27" i="97" s="1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103" l="1"/>
  <c r="V39" i="105"/>
  <c r="T27" i="97"/>
  <c r="AB27" i="97"/>
  <c r="W27" i="99"/>
  <c r="W39" i="101"/>
  <c r="X27" i="103"/>
  <c r="AD38" i="101"/>
  <c r="X26" i="98"/>
  <c r="AA27" i="99"/>
  <c r="T27" i="103"/>
  <c r="S39" i="101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C106" i="108" s="1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P25" i="103"/>
  <c r="P26" i="103"/>
  <c r="P27" i="103"/>
  <c r="U27" i="103"/>
  <c r="P11" i="104"/>
  <c r="W10" i="104"/>
  <c r="S11" i="104"/>
  <c r="P12" i="104"/>
  <c r="S12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P32" i="104"/>
  <c r="P33" i="104"/>
  <c r="P36" i="104"/>
  <c r="P37" i="104"/>
  <c r="P40" i="104"/>
  <c r="P41" i="104"/>
  <c r="P44" i="104"/>
  <c r="P45" i="104"/>
  <c r="P48" i="104"/>
  <c r="P49" i="104"/>
  <c r="P52" i="104"/>
  <c r="P53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F106" i="107" s="1"/>
  <c r="G10" i="107"/>
  <c r="G106" i="107" s="1"/>
  <c r="H10" i="107"/>
  <c r="I10" i="107"/>
  <c r="I106" i="107" s="1"/>
  <c r="J10" i="107"/>
  <c r="J106" i="107" s="1"/>
  <c r="K10" i="107"/>
  <c r="L10" i="107"/>
  <c r="M10" i="107"/>
  <c r="N10" i="107"/>
  <c r="N106" i="107" s="1"/>
  <c r="C10" i="107"/>
  <c r="C106" i="107" s="1"/>
  <c r="M106" i="107" l="1"/>
  <c r="K106" i="107"/>
  <c r="X23" i="103"/>
  <c r="H106" i="108"/>
  <c r="I106" i="108"/>
  <c r="T26" i="103"/>
  <c r="L106" i="108"/>
  <c r="G106" i="108"/>
  <c r="E106" i="108"/>
  <c r="H106" i="107"/>
  <c r="AF32" i="101"/>
  <c r="U38" i="109"/>
  <c r="N106" i="108"/>
  <c r="J106" i="108"/>
  <c r="E106" i="107"/>
  <c r="F106" i="108"/>
  <c r="M106" i="108"/>
  <c r="L106" i="107"/>
  <c r="D106" i="107"/>
  <c r="P22" i="111"/>
  <c r="O22" i="111"/>
  <c r="AB26" i="103"/>
  <c r="AF33" i="101"/>
  <c r="Y38" i="105"/>
  <c r="D106" i="108"/>
  <c r="K106" i="108"/>
  <c r="O58" i="104"/>
  <c r="L60" i="104" s="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T13" i="111" s="1"/>
  <c r="H23" i="111"/>
  <c r="F23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Z41" i="108" s="1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D106" i="111" l="1"/>
  <c r="U41" i="108"/>
  <c r="T41" i="108"/>
  <c r="H106" i="111"/>
  <c r="E106" i="111"/>
  <c r="AE24" i="98"/>
  <c r="O106" i="107"/>
  <c r="U36" i="107"/>
  <c r="N106" i="111"/>
  <c r="I106" i="111"/>
  <c r="M106" i="111"/>
  <c r="P106" i="107"/>
  <c r="P106" i="108"/>
  <c r="O106" i="108"/>
  <c r="H108" i="108" s="1"/>
  <c r="X41" i="108"/>
  <c r="C106" i="111"/>
  <c r="J106" i="111"/>
  <c r="AC41" i="108"/>
  <c r="AD41" i="108"/>
  <c r="T12" i="111"/>
  <c r="V36" i="108"/>
  <c r="L106" i="111"/>
  <c r="S41" i="108"/>
  <c r="AA41" i="108"/>
  <c r="G106" i="111"/>
  <c r="W41" i="108"/>
  <c r="Y41" i="108"/>
  <c r="K106" i="111"/>
  <c r="V41" i="108"/>
  <c r="V42" i="108" s="1"/>
  <c r="AB41" i="108"/>
  <c r="F106" i="111"/>
  <c r="AD12" i="111"/>
  <c r="AF10" i="108"/>
  <c r="S42" i="110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S41" i="111" s="1"/>
  <c r="AB36" i="108"/>
  <c r="AD37" i="108"/>
  <c r="P10" i="111"/>
  <c r="X19" i="111"/>
  <c r="W10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Z42" i="108" s="1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B41" i="111" l="1"/>
  <c r="S42" i="108"/>
  <c r="AA41" i="111"/>
  <c r="AC41" i="111"/>
  <c r="T41" i="111"/>
  <c r="AB42" i="108"/>
  <c r="X42" i="108"/>
  <c r="U41" i="111"/>
  <c r="U42" i="111" s="1"/>
  <c r="V41" i="111"/>
  <c r="AE41" i="108"/>
  <c r="AD41" i="111"/>
  <c r="O106" i="111"/>
  <c r="Y42" i="108"/>
  <c r="W41" i="111"/>
  <c r="W42" i="111" s="1"/>
  <c r="W42" i="108"/>
  <c r="AD42" i="108"/>
  <c r="T42" i="108"/>
  <c r="Y41" i="111"/>
  <c r="AF41" i="108"/>
  <c r="AF42" i="108" s="1"/>
  <c r="AC42" i="108"/>
  <c r="U42" i="108"/>
  <c r="S42" i="111"/>
  <c r="P106" i="111"/>
  <c r="Z41" i="111"/>
  <c r="AA42" i="108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1" i="111" l="1"/>
  <c r="AF34" i="111"/>
  <c r="AF41" i="111"/>
  <c r="T42" i="111"/>
  <c r="AC42" i="111"/>
  <c r="Y42" i="111"/>
  <c r="AD42" i="111"/>
  <c r="AA42" i="111"/>
  <c r="AE42" i="108"/>
  <c r="Z42" i="111"/>
  <c r="V42" i="111"/>
  <c r="AB42" i="111"/>
  <c r="K108" i="111"/>
  <c r="N107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<sst xmlns="http://schemas.openxmlformats.org/spreadsheetml/2006/main" count="2322" uniqueCount="178">
  <si>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</si>
  <si>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</si>
  <si>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</si>
  <si>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</si>
  <si>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</si>
  <si>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</si>
  <si>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</si>
  <si>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</si>
  <si>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</si>
  <si>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</si>
  <si>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</si>
  <si>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</si>
  <si>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</si>
  <si>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</si>
  <si>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</si>
  <si>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</si>
  <si>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</si>
  <si>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</si>
  <si>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</si>
  <si>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</si>
  <si>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</si>
  <si>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</si>
  <si>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</si>
  <si>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</si>
  <si>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</si>
  <si>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</si>
  <si>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</si>
  <si>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</si>
  <si>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</si>
  <si>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</si>
  <si>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</si>
  <si>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</si>
  <si>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</si>
  <si>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</si>
  <si>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</si>
  <si>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</si>
  <si>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</si>
  <si>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</si>
  <si>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</si>
  <si>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</si>
  <si>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</si>
  <si>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</si>
  <si>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</si>
  <si>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</si>
  <si>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</si>
  <si>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</si>
  <si>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</si>
  <si>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</si>
  <si>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</si>
  <si>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</si>
  <si>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</si>
  <si>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</si>
  <si>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</si>
  <si>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</si>
  <si>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</si>
  <si>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</si>
  <si>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</si>
  <si>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</si>
  <si>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</si>
  <si>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</si>
  <si>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</si>
  <si>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</si>
  <si>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</si>
  <si>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</si>
  <si>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</si>
  <si>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</si>
  <si>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</si>
  <si>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</si>
  <si>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</si>
  <si>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</si>
  <si>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</si>
  <si>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</si>
  <si>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</si>
  <si>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</si>
  <si>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</si>
  <si>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</si>
  <si>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</si>
  <si>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</si>
  <si>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</si>
  <si>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</si>
  <si>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</si>
  <si>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</si>
  <si>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</si>
  <si>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</si>
  <si>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</si>
  <si>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</si>
  <si>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</si>
  <si>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</si>
  <si>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</si>
  <si>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</si>
  <si>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</si>
  <si>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</si>
  <si>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</si>
  <si>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</si>
  <si>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</si>
  <si>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</si>
  <si>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</si>
  <si>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</si>
  <si>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</si>
  <si>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</si>
  <si>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</si>
  <si>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</si>
  <si>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</si>
  <si>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</si>
  <si>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</si>
  <si>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</si>
  <si>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</si>
  <si>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</si>
  <si>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</si>
  <si>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</si>
  <si>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</si>
  <si>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</si>
  <si>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</si>
  <si>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</si>
  <si>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</si>
  <si>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</si>
  <si>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</si>
  <si>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</si>
  <si>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</si>
  <si>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</si>
  <si>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</si>
  <si>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</si>
  <si>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</si>
  <si>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</si>
  <si>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</si>
  <si>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</si>
  <si>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</si>
  <si>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</si>
  <si>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</si>
  <si>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</si>
  <si>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</si>
  <si>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</si>
  <si>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</si>
  <si>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</si>
  <si>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</si>
  <si>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</si>
  <si>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</si>
  <si>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</si>
  <si>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</si>
  <si>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</si>
  <si>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</si>
  <si>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</si>
  <si>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</si>
  <si>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</si>
  <si>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</si>
  <si>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</si>
  <si>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</si>
  <si>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</si>
  <si>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</si>
  <si>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</si>
  <si>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</si>
  <si>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</si>
  <si>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</si>
  <si>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</si>
  <si>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</si>
  <si>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</si>
  <si>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</si>
  <si>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</si>
  <si>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</si>
  <si>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</si>
  <si>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</si>
  <si>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</si>
  <si>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</si>
  <si>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29.07.19</t>
  </si>
  <si>
    <t>30.07.19</t>
  </si>
  <si>
    <t>31.07.19</t>
  </si>
  <si>
    <t>02.08.19</t>
  </si>
  <si>
    <t>01.08.19</t>
  </si>
  <si>
    <t>03.08.19</t>
  </si>
  <si>
    <t>04.08.19</t>
  </si>
  <si>
    <t>Naalya</t>
  </si>
  <si>
    <t>Bweyogerere</t>
  </si>
  <si>
    <t>Signs and Symbols</t>
  </si>
  <si>
    <t>Steven</t>
  </si>
  <si>
    <t>Nalya</t>
  </si>
  <si>
    <t>MCC - C1 - STN40 - NORTHERN BYPASS</t>
  </si>
  <si>
    <t>Acema Vicent/Aseru Sherry/Mejje Mathias Trevor/Martin Anthony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</si>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</sst>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Nalya-Bweyogerere'!$AE$10:$AE$21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141</c:v>
                </c:pt>
                <c:pt idx="3">
                  <c:v>296</c:v>
                </c:pt>
                <c:pt idx="4">
                  <c:v>272</c:v>
                </c:pt>
                <c:pt idx="5">
                  <c:v>260</c:v>
                </c:pt>
                <c:pt idx="6">
                  <c:v>215</c:v>
                </c:pt>
                <c:pt idx="7">
                  <c:v>190</c:v>
                </c:pt>
                <c:pt idx="8">
                  <c:v>310</c:v>
                </c:pt>
                <c:pt idx="9">
                  <c:v>316</c:v>
                </c:pt>
                <c:pt idx="10">
                  <c:v>399</c:v>
                </c:pt>
                <c:pt idx="11">
                  <c:v>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Nalya-Bweyogerere'!$AF$10:$AF$21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206</c:v>
                </c:pt>
                <c:pt idx="3">
                  <c:v>420</c:v>
                </c:pt>
                <c:pt idx="4">
                  <c:v>395</c:v>
                </c:pt>
                <c:pt idx="5">
                  <c:v>393</c:v>
                </c:pt>
                <c:pt idx="6">
                  <c:v>348</c:v>
                </c:pt>
                <c:pt idx="7">
                  <c:v>307</c:v>
                </c:pt>
                <c:pt idx="8">
                  <c:v>480</c:v>
                </c:pt>
                <c:pt idx="9">
                  <c:v>451</c:v>
                </c:pt>
                <c:pt idx="10">
                  <c:v>550</c:v>
                </c:pt>
                <c:pt idx="11">
                  <c:v>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21088"/>
        <c:axId val="76939264"/>
      </c:lineChart>
      <c:catAx>
        <c:axId val="7692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939264"/>
        <c:crosses val="autoZero"/>
        <c:auto val="1"/>
        <c:lblAlgn val="ctr"/>
        <c:lblOffset val="100"/>
        <c:noMultiLvlLbl val="0"/>
      </c:catAx>
      <c:valAx>
        <c:axId val="76939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92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Nalya-Bweyogerere'!$C$59:$N$59</c:f>
              <c:numCache>
                <c:formatCode>0.0%</c:formatCode>
                <c:ptCount val="12"/>
                <c:pt idx="0">
                  <c:v>0.20683020683020684</c:v>
                </c:pt>
                <c:pt idx="1">
                  <c:v>4.1606541606541605E-2</c:v>
                </c:pt>
                <c:pt idx="2">
                  <c:v>4.4011544011544008E-2</c:v>
                </c:pt>
                <c:pt idx="3">
                  <c:v>0.19480519480519481</c:v>
                </c:pt>
                <c:pt idx="4">
                  <c:v>2.4050024050024051E-3</c:v>
                </c:pt>
                <c:pt idx="5">
                  <c:v>1.9240019240019241E-3</c:v>
                </c:pt>
                <c:pt idx="6">
                  <c:v>5.7479557479557478E-2</c:v>
                </c:pt>
                <c:pt idx="7">
                  <c:v>3.5834535834535837E-2</c:v>
                </c:pt>
                <c:pt idx="8">
                  <c:v>4.4733044733044736E-2</c:v>
                </c:pt>
                <c:pt idx="9">
                  <c:v>5.3150553150553149E-2</c:v>
                </c:pt>
                <c:pt idx="10">
                  <c:v>0.31697931697931697</c:v>
                </c:pt>
                <c:pt idx="11">
                  <c:v>2.4050024050024051E-4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Nalya-Bweyogerere'!$C$60:$N$60</c:f>
              <c:numCache>
                <c:formatCode>0.00%</c:formatCode>
                <c:ptCount val="12"/>
                <c:pt idx="0">
                  <c:v>0.30281690140845069</c:v>
                </c:pt>
                <c:pt idx="1">
                  <c:v>6.0915492957746481E-2</c:v>
                </c:pt>
                <c:pt idx="2">
                  <c:v>6.4436619718309857E-2</c:v>
                </c:pt>
                <c:pt idx="3">
                  <c:v>0.28521126760563381</c:v>
                </c:pt>
                <c:pt idx="4">
                  <c:v>3.5211267605633804E-3</c:v>
                </c:pt>
                <c:pt idx="5">
                  <c:v>2.8169014084507044E-3</c:v>
                </c:pt>
                <c:pt idx="6">
                  <c:v>8.4154929577464788E-2</c:v>
                </c:pt>
                <c:pt idx="7">
                  <c:v>5.2464788732394366E-2</c:v>
                </c:pt>
                <c:pt idx="8">
                  <c:v>6.5492957746478869E-2</c:v>
                </c:pt>
                <c:pt idx="9">
                  <c:v>7.7816901408450698E-2</c:v>
                </c:pt>
                <c:pt idx="11">
                  <c:v>3.5211267605633805E-4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129</c:v>
                </c:pt>
                <c:pt idx="3">
                  <c:v>273</c:v>
                </c:pt>
                <c:pt idx="4">
                  <c:v>299</c:v>
                </c:pt>
                <c:pt idx="5">
                  <c:v>348</c:v>
                </c:pt>
                <c:pt idx="6">
                  <c:v>288</c:v>
                </c:pt>
                <c:pt idx="7">
                  <c:v>227</c:v>
                </c:pt>
                <c:pt idx="8">
                  <c:v>308</c:v>
                </c:pt>
                <c:pt idx="9">
                  <c:v>272</c:v>
                </c:pt>
                <c:pt idx="10">
                  <c:v>337</c:v>
                </c:pt>
                <c:pt idx="11">
                  <c:v>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187</c:v>
                </c:pt>
                <c:pt idx="3">
                  <c:v>395</c:v>
                </c:pt>
                <c:pt idx="4">
                  <c:v>424</c:v>
                </c:pt>
                <c:pt idx="5">
                  <c:v>483</c:v>
                </c:pt>
                <c:pt idx="6">
                  <c:v>411</c:v>
                </c:pt>
                <c:pt idx="7">
                  <c:v>354</c:v>
                </c:pt>
                <c:pt idx="8">
                  <c:v>472</c:v>
                </c:pt>
                <c:pt idx="9">
                  <c:v>417</c:v>
                </c:pt>
                <c:pt idx="10">
                  <c:v>540</c:v>
                </c:pt>
                <c:pt idx="11">
                  <c:v>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40160"/>
        <c:axId val="78141696"/>
      </c:lineChart>
      <c:catAx>
        <c:axId val="78140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141696"/>
        <c:crosses val="autoZero"/>
        <c:auto val="1"/>
        <c:lblAlgn val="ctr"/>
        <c:lblOffset val="100"/>
        <c:noMultiLvlLbl val="0"/>
      </c:catAx>
      <c:valAx>
        <c:axId val="78141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1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Bweyogerere-Nalya'!$C$59:$N$59</c:f>
              <c:numCache>
                <c:formatCode>0.0%</c:formatCode>
                <c:ptCount val="12"/>
                <c:pt idx="0">
                  <c:v>0.16694371883163145</c:v>
                </c:pt>
                <c:pt idx="1">
                  <c:v>9.1902161006886723E-2</c:v>
                </c:pt>
                <c:pt idx="2">
                  <c:v>3.3483733080028499E-2</c:v>
                </c:pt>
                <c:pt idx="3">
                  <c:v>0.18309190216100688</c:v>
                </c:pt>
                <c:pt idx="4">
                  <c:v>3.0871526953217764E-3</c:v>
                </c:pt>
                <c:pt idx="5">
                  <c:v>1.1873664212776064E-3</c:v>
                </c:pt>
                <c:pt idx="6">
                  <c:v>3.5146046069817145E-2</c:v>
                </c:pt>
                <c:pt idx="7">
                  <c:v>7.3616718119211583E-2</c:v>
                </c:pt>
                <c:pt idx="8">
                  <c:v>4.0370458323438614E-2</c:v>
                </c:pt>
                <c:pt idx="9">
                  <c:v>4.58323438613156E-2</c:v>
                </c:pt>
                <c:pt idx="10">
                  <c:v>0.3251009261458086</c:v>
                </c:pt>
                <c:pt idx="11">
                  <c:v>2.3747328425552126E-4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34</c:v>
                </c:pt>
                <c:pt idx="3">
                  <c:v>57</c:v>
                </c:pt>
                <c:pt idx="4">
                  <c:v>65</c:v>
                </c:pt>
                <c:pt idx="5">
                  <c:v>100</c:v>
                </c:pt>
                <c:pt idx="6">
                  <c:v>71</c:v>
                </c:pt>
                <c:pt idx="7">
                  <c:v>59</c:v>
                </c:pt>
                <c:pt idx="8">
                  <c:v>71</c:v>
                </c:pt>
                <c:pt idx="9">
                  <c:v>58</c:v>
                </c:pt>
                <c:pt idx="10">
                  <c:v>103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Bweyogerere-Nalya'!$T$10:$T$21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44</c:v>
                </c:pt>
                <c:pt idx="4">
                  <c:v>48</c:v>
                </c:pt>
                <c:pt idx="5">
                  <c:v>46</c:v>
                </c:pt>
                <c:pt idx="6">
                  <c:v>36</c:v>
                </c:pt>
                <c:pt idx="7">
                  <c:v>21</c:v>
                </c:pt>
                <c:pt idx="8">
                  <c:v>38</c:v>
                </c:pt>
                <c:pt idx="9">
                  <c:v>32</c:v>
                </c:pt>
                <c:pt idx="10">
                  <c:v>34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14</c:v>
                </c:pt>
                <c:pt idx="4">
                  <c:v>14</c:v>
                </c:pt>
                <c:pt idx="5">
                  <c:v>22</c:v>
                </c:pt>
                <c:pt idx="6">
                  <c:v>19</c:v>
                </c:pt>
                <c:pt idx="7">
                  <c:v>12</c:v>
                </c:pt>
                <c:pt idx="8">
                  <c:v>14</c:v>
                </c:pt>
                <c:pt idx="9">
                  <c:v>18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95</c:v>
                </c:pt>
                <c:pt idx="4">
                  <c:v>76</c:v>
                </c:pt>
                <c:pt idx="5">
                  <c:v>72</c:v>
                </c:pt>
                <c:pt idx="6">
                  <c:v>69</c:v>
                </c:pt>
                <c:pt idx="7">
                  <c:v>51</c:v>
                </c:pt>
                <c:pt idx="8">
                  <c:v>82</c:v>
                </c:pt>
                <c:pt idx="9">
                  <c:v>76</c:v>
                </c:pt>
                <c:pt idx="10">
                  <c:v>100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32</c:v>
                </c:pt>
                <c:pt idx="5">
                  <c:v>13</c:v>
                </c:pt>
                <c:pt idx="6">
                  <c:v>20</c:v>
                </c:pt>
                <c:pt idx="7">
                  <c:v>11</c:v>
                </c:pt>
                <c:pt idx="8">
                  <c:v>19</c:v>
                </c:pt>
                <c:pt idx="9">
                  <c:v>16</c:v>
                </c:pt>
                <c:pt idx="10">
                  <c:v>15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20</c:v>
                </c:pt>
                <c:pt idx="4">
                  <c:v>21</c:v>
                </c:pt>
                <c:pt idx="5">
                  <c:v>40</c:v>
                </c:pt>
                <c:pt idx="6">
                  <c:v>34</c:v>
                </c:pt>
                <c:pt idx="7">
                  <c:v>38</c:v>
                </c:pt>
                <c:pt idx="8">
                  <c:v>35</c:v>
                </c:pt>
                <c:pt idx="9">
                  <c:v>25</c:v>
                </c:pt>
                <c:pt idx="10">
                  <c:v>48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22</c:v>
                </c:pt>
                <c:pt idx="4">
                  <c:v>15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19</c:v>
                </c:pt>
                <c:pt idx="9">
                  <c:v>25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11</c:v>
                </c:pt>
                <c:pt idx="4">
                  <c:v>24</c:v>
                </c:pt>
                <c:pt idx="5">
                  <c:v>32</c:v>
                </c:pt>
                <c:pt idx="6">
                  <c:v>23</c:v>
                </c:pt>
                <c:pt idx="7">
                  <c:v>18</c:v>
                </c:pt>
                <c:pt idx="8">
                  <c:v>30</c:v>
                </c:pt>
                <c:pt idx="9">
                  <c:v>20</c:v>
                </c:pt>
                <c:pt idx="10">
                  <c:v>15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122</c:v>
                </c:pt>
                <c:pt idx="4">
                  <c:v>125</c:v>
                </c:pt>
                <c:pt idx="5">
                  <c:v>135</c:v>
                </c:pt>
                <c:pt idx="6">
                  <c:v>123</c:v>
                </c:pt>
                <c:pt idx="7">
                  <c:v>127</c:v>
                </c:pt>
                <c:pt idx="8">
                  <c:v>164</c:v>
                </c:pt>
                <c:pt idx="9">
                  <c:v>145</c:v>
                </c:pt>
                <c:pt idx="10">
                  <c:v>203</c:v>
                </c:pt>
                <c:pt idx="11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26048"/>
        <c:axId val="84701568"/>
      </c:lineChart>
      <c:catAx>
        <c:axId val="8462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701568"/>
        <c:crosses val="autoZero"/>
        <c:auto val="1"/>
        <c:lblAlgn val="ctr"/>
        <c:lblOffset val="100"/>
        <c:noMultiLvlLbl val="0"/>
      </c:catAx>
      <c:valAx>
        <c:axId val="847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6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Bweyogerere-Nalya'!$C$60:$N$60</c:f>
              <c:numCache>
                <c:formatCode>0.00%</c:formatCode>
                <c:ptCount val="12"/>
                <c:pt idx="0">
                  <c:v>0.24736101337086558</c:v>
                </c:pt>
                <c:pt idx="1">
                  <c:v>0.13617171006333567</c:v>
                </c:pt>
                <c:pt idx="2">
                  <c:v>4.9612948627726951E-2</c:v>
                </c:pt>
                <c:pt idx="3">
                  <c:v>0.27128782547501762</c:v>
                </c:pt>
                <c:pt idx="4">
                  <c:v>4.5742434904996482E-3</c:v>
                </c:pt>
                <c:pt idx="5">
                  <c:v>1.7593244194229415E-3</c:v>
                </c:pt>
                <c:pt idx="6">
                  <c:v>5.2076002814919073E-2</c:v>
                </c:pt>
                <c:pt idx="7">
                  <c:v>0.10907811400422238</c:v>
                </c:pt>
                <c:pt idx="8">
                  <c:v>5.9817030260380016E-2</c:v>
                </c:pt>
                <c:pt idx="9">
                  <c:v>6.7909922589725544E-2</c:v>
                </c:pt>
                <c:pt idx="11">
                  <c:v>3.5186488388458831E-4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Nalya-Bweyogerere'!$AE$10:$AE$21</c:f>
              <c:numCache>
                <c:formatCode>0</c:formatCode>
                <c:ptCount val="12"/>
                <c:pt idx="0">
                  <c:v>384</c:v>
                </c:pt>
                <c:pt idx="1">
                  <c:v>393</c:v>
                </c:pt>
                <c:pt idx="2">
                  <c:v>341</c:v>
                </c:pt>
                <c:pt idx="3">
                  <c:v>250</c:v>
                </c:pt>
                <c:pt idx="4">
                  <c:v>233</c:v>
                </c:pt>
                <c:pt idx="5">
                  <c:v>232</c:v>
                </c:pt>
                <c:pt idx="6">
                  <c:v>245</c:v>
                </c:pt>
                <c:pt idx="7">
                  <c:v>269</c:v>
                </c:pt>
                <c:pt idx="8">
                  <c:v>237</c:v>
                </c:pt>
                <c:pt idx="9">
                  <c:v>312</c:v>
                </c:pt>
                <c:pt idx="10">
                  <c:v>414</c:v>
                </c:pt>
                <c:pt idx="11">
                  <c:v>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Nalya-Bweyogerere'!$AF$10:$AF$21</c:f>
              <c:numCache>
                <c:formatCode>0</c:formatCode>
                <c:ptCount val="12"/>
                <c:pt idx="0">
                  <c:v>507</c:v>
                </c:pt>
                <c:pt idx="1">
                  <c:v>544</c:v>
                </c:pt>
                <c:pt idx="2">
                  <c:v>499</c:v>
                </c:pt>
                <c:pt idx="3">
                  <c:v>391</c:v>
                </c:pt>
                <c:pt idx="4">
                  <c:v>332</c:v>
                </c:pt>
                <c:pt idx="5">
                  <c:v>337</c:v>
                </c:pt>
                <c:pt idx="6">
                  <c:v>395</c:v>
                </c:pt>
                <c:pt idx="7">
                  <c:v>410</c:v>
                </c:pt>
                <c:pt idx="8">
                  <c:v>351</c:v>
                </c:pt>
                <c:pt idx="9">
                  <c:v>454</c:v>
                </c:pt>
                <c:pt idx="10">
                  <c:v>603</c:v>
                </c:pt>
                <c:pt idx="11">
                  <c:v>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41472"/>
        <c:axId val="85659648"/>
      </c:lineChart>
      <c:catAx>
        <c:axId val="85641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659648"/>
        <c:crosses val="autoZero"/>
        <c:auto val="1"/>
        <c:lblAlgn val="ctr"/>
        <c:lblOffset val="100"/>
        <c:noMultiLvlLbl val="0"/>
      </c:catAx>
      <c:valAx>
        <c:axId val="8565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6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Nalya-Bweyogerere'!$C$59:$N$59</c:f>
              <c:numCache>
                <c:formatCode>0.0%</c:formatCode>
                <c:ptCount val="12"/>
                <c:pt idx="0">
                  <c:v>0.18159115233678202</c:v>
                </c:pt>
                <c:pt idx="1">
                  <c:v>7.2779165180164113E-2</c:v>
                </c:pt>
                <c:pt idx="2">
                  <c:v>4.049232964680699E-2</c:v>
                </c:pt>
                <c:pt idx="3">
                  <c:v>0.2213699607563325</c:v>
                </c:pt>
                <c:pt idx="4">
                  <c:v>5.1730288976097041E-3</c:v>
                </c:pt>
                <c:pt idx="5">
                  <c:v>1.7838030681412772E-4</c:v>
                </c:pt>
                <c:pt idx="6">
                  <c:v>5.3870852657866571E-2</c:v>
                </c:pt>
                <c:pt idx="7">
                  <c:v>3.5140920442383164E-2</c:v>
                </c:pt>
                <c:pt idx="8">
                  <c:v>5.4941134498751334E-2</c:v>
                </c:pt>
                <c:pt idx="9">
                  <c:v>3.0859793078844094E-2</c:v>
                </c:pt>
                <c:pt idx="10">
                  <c:v>0.30360328219764537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Nalya-Bweyogerere'!$S$10:$S$21</c:f>
              <c:numCache>
                <c:formatCode>0</c:formatCode>
                <c:ptCount val="12"/>
                <c:pt idx="0">
                  <c:v>105</c:v>
                </c:pt>
                <c:pt idx="1">
                  <c:v>120</c:v>
                </c:pt>
                <c:pt idx="2">
                  <c:v>74</c:v>
                </c:pt>
                <c:pt idx="3">
                  <c:v>44</c:v>
                </c:pt>
                <c:pt idx="4">
                  <c:v>56</c:v>
                </c:pt>
                <c:pt idx="5">
                  <c:v>55</c:v>
                </c:pt>
                <c:pt idx="6">
                  <c:v>49</c:v>
                </c:pt>
                <c:pt idx="7">
                  <c:v>54</c:v>
                </c:pt>
                <c:pt idx="8">
                  <c:v>54</c:v>
                </c:pt>
                <c:pt idx="9">
                  <c:v>74</c:v>
                </c:pt>
                <c:pt idx="10">
                  <c:v>132</c:v>
                </c:pt>
                <c:pt idx="11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Nalya-Bweyogerere'!$T$10:$T$21</c:f>
              <c:numCache>
                <c:formatCode>0</c:formatCode>
                <c:ptCount val="12"/>
                <c:pt idx="0">
                  <c:v>35</c:v>
                </c:pt>
                <c:pt idx="1">
                  <c:v>36</c:v>
                </c:pt>
                <c:pt idx="2">
                  <c:v>39</c:v>
                </c:pt>
                <c:pt idx="3">
                  <c:v>19</c:v>
                </c:pt>
                <c:pt idx="4">
                  <c:v>21</c:v>
                </c:pt>
                <c:pt idx="5">
                  <c:v>20</c:v>
                </c:pt>
                <c:pt idx="6">
                  <c:v>14</c:v>
                </c:pt>
                <c:pt idx="7">
                  <c:v>23</c:v>
                </c:pt>
                <c:pt idx="8">
                  <c:v>22</c:v>
                </c:pt>
                <c:pt idx="9">
                  <c:v>17</c:v>
                </c:pt>
                <c:pt idx="10">
                  <c:v>56</c:v>
                </c:pt>
                <c:pt idx="11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Nalya-Bweyogerere'!$U$10:$U$21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16</c:v>
                </c:pt>
                <c:pt idx="3">
                  <c:v>11</c:v>
                </c:pt>
                <c:pt idx="4">
                  <c:v>10</c:v>
                </c:pt>
                <c:pt idx="5">
                  <c:v>15</c:v>
                </c:pt>
                <c:pt idx="6">
                  <c:v>8</c:v>
                </c:pt>
                <c:pt idx="7">
                  <c:v>11</c:v>
                </c:pt>
                <c:pt idx="8">
                  <c:v>17</c:v>
                </c:pt>
                <c:pt idx="9">
                  <c:v>19</c:v>
                </c:pt>
                <c:pt idx="10">
                  <c:v>23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Nalya-Bweyogerere'!$V$10:$V$21</c:f>
              <c:numCache>
                <c:formatCode>0</c:formatCode>
                <c:ptCount val="12"/>
                <c:pt idx="0">
                  <c:v>143</c:v>
                </c:pt>
                <c:pt idx="1">
                  <c:v>143</c:v>
                </c:pt>
                <c:pt idx="2">
                  <c:v>134</c:v>
                </c:pt>
                <c:pt idx="3">
                  <c:v>94</c:v>
                </c:pt>
                <c:pt idx="4">
                  <c:v>74</c:v>
                </c:pt>
                <c:pt idx="5">
                  <c:v>76</c:v>
                </c:pt>
                <c:pt idx="6">
                  <c:v>76</c:v>
                </c:pt>
                <c:pt idx="7">
                  <c:v>71</c:v>
                </c:pt>
                <c:pt idx="8">
                  <c:v>64</c:v>
                </c:pt>
                <c:pt idx="9">
                  <c:v>94</c:v>
                </c:pt>
                <c:pt idx="10">
                  <c:v>105</c:v>
                </c:pt>
                <c:pt idx="11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Nalya-Bweyogerere'!$W$10:$W$21</c:f>
              <c:numCache>
                <c:formatCode>0</c:formatCode>
                <c:ptCount val="12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Nalya-Bweyogerere'!$Y$10:$Y$21</c:f>
              <c:numCache>
                <c:formatCode>0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29</c:v>
                </c:pt>
                <c:pt idx="3">
                  <c:v>28</c:v>
                </c:pt>
                <c:pt idx="4">
                  <c:v>22</c:v>
                </c:pt>
                <c:pt idx="5">
                  <c:v>16</c:v>
                </c:pt>
                <c:pt idx="6">
                  <c:v>34</c:v>
                </c:pt>
                <c:pt idx="7">
                  <c:v>39</c:v>
                </c:pt>
                <c:pt idx="8">
                  <c:v>22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Nalya-Bweyogerere'!$Z$10:$Z$21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13</c:v>
                </c:pt>
                <c:pt idx="6">
                  <c:v>22</c:v>
                </c:pt>
                <c:pt idx="7">
                  <c:v>19</c:v>
                </c:pt>
                <c:pt idx="8">
                  <c:v>11</c:v>
                </c:pt>
                <c:pt idx="9">
                  <c:v>28</c:v>
                </c:pt>
                <c:pt idx="10">
                  <c:v>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Nalya-Bweyogerere'!$AA$10:$AA$21</c:f>
              <c:numCache>
                <c:formatCode>0</c:formatCode>
                <c:ptCount val="12"/>
                <c:pt idx="0">
                  <c:v>15</c:v>
                </c:pt>
                <c:pt idx="1">
                  <c:v>21</c:v>
                </c:pt>
                <c:pt idx="2">
                  <c:v>19</c:v>
                </c:pt>
                <c:pt idx="3">
                  <c:v>21</c:v>
                </c:pt>
                <c:pt idx="4">
                  <c:v>19</c:v>
                </c:pt>
                <c:pt idx="5">
                  <c:v>23</c:v>
                </c:pt>
                <c:pt idx="6">
                  <c:v>22</c:v>
                </c:pt>
                <c:pt idx="7">
                  <c:v>31</c:v>
                </c:pt>
                <c:pt idx="8">
                  <c:v>31</c:v>
                </c:pt>
                <c:pt idx="9">
                  <c:v>36</c:v>
                </c:pt>
                <c:pt idx="10">
                  <c:v>47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Nalya-Bweyogerere'!$AB$10:$AB$21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19</c:v>
                </c:pt>
                <c:pt idx="7">
                  <c:v>20</c:v>
                </c:pt>
                <c:pt idx="8">
                  <c:v>15</c:v>
                </c:pt>
                <c:pt idx="9">
                  <c:v>23</c:v>
                </c:pt>
                <c:pt idx="10">
                  <c:v>15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Nalya-Bweyogerere'!$AC$10:$AC$21</c:f>
              <c:numCache>
                <c:formatCode>0</c:formatCode>
                <c:ptCount val="12"/>
                <c:pt idx="0">
                  <c:v>123</c:v>
                </c:pt>
                <c:pt idx="1">
                  <c:v>151</c:v>
                </c:pt>
                <c:pt idx="2">
                  <c:v>158</c:v>
                </c:pt>
                <c:pt idx="3">
                  <c:v>141</c:v>
                </c:pt>
                <c:pt idx="4">
                  <c:v>99</c:v>
                </c:pt>
                <c:pt idx="5">
                  <c:v>105</c:v>
                </c:pt>
                <c:pt idx="6">
                  <c:v>150</c:v>
                </c:pt>
                <c:pt idx="7">
                  <c:v>141</c:v>
                </c:pt>
                <c:pt idx="8">
                  <c:v>114</c:v>
                </c:pt>
                <c:pt idx="9">
                  <c:v>142</c:v>
                </c:pt>
                <c:pt idx="10">
                  <c:v>189</c:v>
                </c:pt>
                <c:pt idx="11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97312"/>
        <c:axId val="86398848"/>
      </c:lineChart>
      <c:catAx>
        <c:axId val="8639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398848"/>
        <c:crosses val="autoZero"/>
        <c:auto val="1"/>
        <c:lblAlgn val="ctr"/>
        <c:lblOffset val="100"/>
        <c:noMultiLvlLbl val="0"/>
      </c:catAx>
      <c:valAx>
        <c:axId val="863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3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Nalya-Bweyogerere'!$C$60:$N$60</c:f>
              <c:numCache>
                <c:formatCode>0.00%</c:formatCode>
                <c:ptCount val="12"/>
                <c:pt idx="0">
                  <c:v>0.26075819672131145</c:v>
                </c:pt>
                <c:pt idx="1">
                  <c:v>0.10450819672131148</c:v>
                </c:pt>
                <c:pt idx="2">
                  <c:v>5.8145491803278687E-2</c:v>
                </c:pt>
                <c:pt idx="3">
                  <c:v>0.31787909836065575</c:v>
                </c:pt>
                <c:pt idx="4">
                  <c:v>7.4282786885245897E-3</c:v>
                </c:pt>
                <c:pt idx="5">
                  <c:v>2.5614754098360657E-4</c:v>
                </c:pt>
                <c:pt idx="6">
                  <c:v>7.7356557377049176E-2</c:v>
                </c:pt>
                <c:pt idx="7">
                  <c:v>5.0461065573770489E-2</c:v>
                </c:pt>
                <c:pt idx="8">
                  <c:v>7.8893442622950824E-2</c:v>
                </c:pt>
                <c:pt idx="9">
                  <c:v>4.4313524590163932E-2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Bweyogerere-Nalya'!$AE$10:$AE$21</c:f>
              <c:numCache>
                <c:formatCode>0</c:formatCode>
                <c:ptCount val="12"/>
                <c:pt idx="0">
                  <c:v>441</c:v>
                </c:pt>
                <c:pt idx="1">
                  <c:v>415</c:v>
                </c:pt>
                <c:pt idx="2">
                  <c:v>328</c:v>
                </c:pt>
                <c:pt idx="3">
                  <c:v>299</c:v>
                </c:pt>
                <c:pt idx="4">
                  <c:v>265</c:v>
                </c:pt>
                <c:pt idx="5">
                  <c:v>266</c:v>
                </c:pt>
                <c:pt idx="6">
                  <c:v>244</c:v>
                </c:pt>
                <c:pt idx="7">
                  <c:v>242</c:v>
                </c:pt>
                <c:pt idx="8">
                  <c:v>255</c:v>
                </c:pt>
                <c:pt idx="9">
                  <c:v>277</c:v>
                </c:pt>
                <c:pt idx="10">
                  <c:v>322</c:v>
                </c:pt>
                <c:pt idx="11">
                  <c:v>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Bweyogerere-Nalya'!$AF$10:$AF$21</c:f>
              <c:numCache>
                <c:formatCode>0</c:formatCode>
                <c:ptCount val="12"/>
                <c:pt idx="0">
                  <c:v>591</c:v>
                </c:pt>
                <c:pt idx="1">
                  <c:v>575</c:v>
                </c:pt>
                <c:pt idx="2">
                  <c:v>502</c:v>
                </c:pt>
                <c:pt idx="3">
                  <c:v>463</c:v>
                </c:pt>
                <c:pt idx="4">
                  <c:v>406</c:v>
                </c:pt>
                <c:pt idx="5">
                  <c:v>393</c:v>
                </c:pt>
                <c:pt idx="6">
                  <c:v>368</c:v>
                </c:pt>
                <c:pt idx="7">
                  <c:v>387</c:v>
                </c:pt>
                <c:pt idx="8">
                  <c:v>387</c:v>
                </c:pt>
                <c:pt idx="9">
                  <c:v>425</c:v>
                </c:pt>
                <c:pt idx="10">
                  <c:v>510</c:v>
                </c:pt>
                <c:pt idx="11">
                  <c:v>610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08640"/>
        <c:axId val="87410176"/>
      </c:lineChart>
      <c:catAx>
        <c:axId val="87408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410176"/>
        <c:crosses val="autoZero"/>
        <c:auto val="1"/>
        <c:lblAlgn val="ctr"/>
        <c:lblOffset val="100"/>
        <c:noMultiLvlLbl val="0"/>
      </c:catAx>
      <c:valAx>
        <c:axId val="87410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4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Bweyogerere-Nalya'!$C$59:$N$59</c:f>
              <c:numCache>
                <c:formatCode>0.0%</c:formatCode>
                <c:ptCount val="12"/>
                <c:pt idx="0">
                  <c:v>0.19886060174470357</c:v>
                </c:pt>
                <c:pt idx="1">
                  <c:v>6.4269182837813785E-2</c:v>
                </c:pt>
                <c:pt idx="2">
                  <c:v>3.6674381342353568E-2</c:v>
                </c:pt>
                <c:pt idx="3">
                  <c:v>0.18230372084742746</c:v>
                </c:pt>
                <c:pt idx="4">
                  <c:v>4.0947124799715151E-3</c:v>
                </c:pt>
                <c:pt idx="5">
                  <c:v>5.3409293217019759E-4</c:v>
                </c:pt>
                <c:pt idx="6">
                  <c:v>2.7416770518070146E-2</c:v>
                </c:pt>
                <c:pt idx="7">
                  <c:v>6.391312088303365E-2</c:v>
                </c:pt>
                <c:pt idx="8">
                  <c:v>3.9878938935374753E-2</c:v>
                </c:pt>
                <c:pt idx="9">
                  <c:v>4.1659248709275412E-2</c:v>
                </c:pt>
                <c:pt idx="10">
                  <c:v>0.34003916681502583</c:v>
                </c:pt>
                <c:pt idx="11">
                  <c:v>3.5606195478013177E-4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Bweyogerere-Nalya'!$S$10:$S$21</c:f>
              <c:numCache>
                <c:formatCode>0</c:formatCode>
                <c:ptCount val="12"/>
                <c:pt idx="0">
                  <c:v>157</c:v>
                </c:pt>
                <c:pt idx="1">
                  <c:v>142</c:v>
                </c:pt>
                <c:pt idx="2">
                  <c:v>102</c:v>
                </c:pt>
                <c:pt idx="3">
                  <c:v>80</c:v>
                </c:pt>
                <c:pt idx="4">
                  <c:v>78</c:v>
                </c:pt>
                <c:pt idx="5">
                  <c:v>69</c:v>
                </c:pt>
                <c:pt idx="6">
                  <c:v>72</c:v>
                </c:pt>
                <c:pt idx="7">
                  <c:v>52</c:v>
                </c:pt>
                <c:pt idx="8">
                  <c:v>66</c:v>
                </c:pt>
                <c:pt idx="9">
                  <c:v>78</c:v>
                </c:pt>
                <c:pt idx="10">
                  <c:v>97</c:v>
                </c:pt>
                <c:pt idx="11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Bweyogerere-Nalya'!$T$10:$T$21</c:f>
              <c:numCache>
                <c:formatCode>0</c:formatCode>
                <c:ptCount val="12"/>
                <c:pt idx="0">
                  <c:v>88</c:v>
                </c:pt>
                <c:pt idx="1">
                  <c:v>49</c:v>
                </c:pt>
                <c:pt idx="2">
                  <c:v>17</c:v>
                </c:pt>
                <c:pt idx="3">
                  <c:v>26</c:v>
                </c:pt>
                <c:pt idx="4">
                  <c:v>23</c:v>
                </c:pt>
                <c:pt idx="5">
                  <c:v>24</c:v>
                </c:pt>
                <c:pt idx="6">
                  <c:v>21</c:v>
                </c:pt>
                <c:pt idx="7">
                  <c:v>20</c:v>
                </c:pt>
                <c:pt idx="8">
                  <c:v>19</c:v>
                </c:pt>
                <c:pt idx="9">
                  <c:v>28</c:v>
                </c:pt>
                <c:pt idx="10">
                  <c:v>21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Bweyogerere-Nalya'!$U$10:$U$21</c:f>
              <c:numCache>
                <c:formatCode>0</c:formatCode>
                <c:ptCount val="12"/>
                <c:pt idx="0">
                  <c:v>32</c:v>
                </c:pt>
                <c:pt idx="1">
                  <c:v>31</c:v>
                </c:pt>
                <c:pt idx="2">
                  <c:v>15</c:v>
                </c:pt>
                <c:pt idx="3">
                  <c:v>21</c:v>
                </c:pt>
                <c:pt idx="4">
                  <c:v>9</c:v>
                </c:pt>
                <c:pt idx="5">
                  <c:v>20</c:v>
                </c:pt>
                <c:pt idx="6">
                  <c:v>21</c:v>
                </c:pt>
                <c:pt idx="7">
                  <c:v>17</c:v>
                </c:pt>
                <c:pt idx="8">
                  <c:v>6</c:v>
                </c:pt>
                <c:pt idx="9">
                  <c:v>14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Bweyogerere-Nalya'!$V$10:$V$21</c:f>
              <c:numCache>
                <c:formatCode>0</c:formatCode>
                <c:ptCount val="12"/>
                <c:pt idx="0">
                  <c:v>113</c:v>
                </c:pt>
                <c:pt idx="1">
                  <c:v>113</c:v>
                </c:pt>
                <c:pt idx="2">
                  <c:v>83</c:v>
                </c:pt>
                <c:pt idx="3">
                  <c:v>75</c:v>
                </c:pt>
                <c:pt idx="4">
                  <c:v>63</c:v>
                </c:pt>
                <c:pt idx="5">
                  <c:v>74</c:v>
                </c:pt>
                <c:pt idx="6">
                  <c:v>55</c:v>
                </c:pt>
                <c:pt idx="7">
                  <c:v>62</c:v>
                </c:pt>
                <c:pt idx="8">
                  <c:v>80</c:v>
                </c:pt>
                <c:pt idx="9">
                  <c:v>74</c:v>
                </c:pt>
                <c:pt idx="10">
                  <c:v>102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Bweyogerere-Nalya'!$Y$10:$Y$21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16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28</c:v>
                </c:pt>
                <c:pt idx="7">
                  <c:v>27</c:v>
                </c:pt>
                <c:pt idx="8">
                  <c:v>19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Bweyogerere-Nalya'!$Z$10:$Z$21</c:f>
              <c:numCache>
                <c:formatCode>0</c:formatCode>
                <c:ptCount val="12"/>
                <c:pt idx="0">
                  <c:v>21</c:v>
                </c:pt>
                <c:pt idx="1">
                  <c:v>35</c:v>
                </c:pt>
                <c:pt idx="2">
                  <c:v>37</c:v>
                </c:pt>
                <c:pt idx="3">
                  <c:v>35</c:v>
                </c:pt>
                <c:pt idx="4">
                  <c:v>35</c:v>
                </c:pt>
                <c:pt idx="5">
                  <c:v>41</c:v>
                </c:pt>
                <c:pt idx="6">
                  <c:v>12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48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Bweyogerere-Nalya'!$AA$10:$AA$21</c:f>
              <c:numCache>
                <c:formatCode>0</c:formatCode>
                <c:ptCount val="12"/>
                <c:pt idx="0">
                  <c:v>10</c:v>
                </c:pt>
                <c:pt idx="1">
                  <c:v>21</c:v>
                </c:pt>
                <c:pt idx="2">
                  <c:v>22</c:v>
                </c:pt>
                <c:pt idx="3">
                  <c:v>18</c:v>
                </c:pt>
                <c:pt idx="4">
                  <c:v>19</c:v>
                </c:pt>
                <c:pt idx="5">
                  <c:v>12</c:v>
                </c:pt>
                <c:pt idx="6">
                  <c:v>19</c:v>
                </c:pt>
                <c:pt idx="7">
                  <c:v>23</c:v>
                </c:pt>
                <c:pt idx="8">
                  <c:v>34</c:v>
                </c:pt>
                <c:pt idx="9">
                  <c:v>20</c:v>
                </c:pt>
                <c:pt idx="10">
                  <c:v>17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Bweyogerere-Nalya'!$AB$10:$AB$21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32</c:v>
                </c:pt>
                <c:pt idx="3">
                  <c:v>33</c:v>
                </c:pt>
                <c:pt idx="4">
                  <c:v>28</c:v>
                </c:pt>
                <c:pt idx="5">
                  <c:v>20</c:v>
                </c:pt>
                <c:pt idx="6">
                  <c:v>14</c:v>
                </c:pt>
                <c:pt idx="7">
                  <c:v>25</c:v>
                </c:pt>
                <c:pt idx="8">
                  <c:v>11</c:v>
                </c:pt>
                <c:pt idx="9">
                  <c:v>23</c:v>
                </c:pt>
                <c:pt idx="10">
                  <c:v>18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Bweyogerere-Nalya'!$AC$10:$AC$21</c:f>
              <c:numCache>
                <c:formatCode>0</c:formatCode>
                <c:ptCount val="12"/>
                <c:pt idx="0">
                  <c:v>150</c:v>
                </c:pt>
                <c:pt idx="1">
                  <c:v>160</c:v>
                </c:pt>
                <c:pt idx="2">
                  <c:v>174</c:v>
                </c:pt>
                <c:pt idx="3">
                  <c:v>164</c:v>
                </c:pt>
                <c:pt idx="4">
                  <c:v>141</c:v>
                </c:pt>
                <c:pt idx="5">
                  <c:v>127</c:v>
                </c:pt>
                <c:pt idx="6">
                  <c:v>124</c:v>
                </c:pt>
                <c:pt idx="7">
                  <c:v>145</c:v>
                </c:pt>
                <c:pt idx="8">
                  <c:v>132</c:v>
                </c:pt>
                <c:pt idx="9">
                  <c:v>148</c:v>
                </c:pt>
                <c:pt idx="10">
                  <c:v>188</c:v>
                </c:pt>
                <c:pt idx="11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Bweyogerere-Nalya'!$AD$10:$AD$21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5840"/>
        <c:axId val="87637376"/>
      </c:lineChart>
      <c:catAx>
        <c:axId val="8763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637376"/>
        <c:crosses val="autoZero"/>
        <c:auto val="1"/>
        <c:lblAlgn val="ctr"/>
        <c:lblOffset val="100"/>
        <c:noMultiLvlLbl val="0"/>
      </c:catAx>
      <c:valAx>
        <c:axId val="8763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6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Bweyogerere-Nalya'!$C$60:$N$60</c:f>
              <c:numCache>
                <c:formatCode>0.00%</c:formatCode>
                <c:ptCount val="12"/>
                <c:pt idx="0">
                  <c:v>0.30132182357701648</c:v>
                </c:pt>
                <c:pt idx="1">
                  <c:v>9.7383328837334776E-2</c:v>
                </c:pt>
                <c:pt idx="2">
                  <c:v>5.5570542217426487E-2</c:v>
                </c:pt>
                <c:pt idx="3">
                  <c:v>0.27623415160507148</c:v>
                </c:pt>
                <c:pt idx="4">
                  <c:v>6.2044780145670353E-3</c:v>
                </c:pt>
                <c:pt idx="5">
                  <c:v>8.0927974103048284E-4</c:v>
                </c:pt>
                <c:pt idx="6">
                  <c:v>4.1543026706231452E-2</c:v>
                </c:pt>
                <c:pt idx="7">
                  <c:v>9.6843809009981116E-2</c:v>
                </c:pt>
                <c:pt idx="8">
                  <c:v>6.0426220663609385E-2</c:v>
                </c:pt>
                <c:pt idx="9">
                  <c:v>6.3123819800377665E-2</c:v>
                </c:pt>
                <c:pt idx="11">
                  <c:v>5.3951982735365523E-4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Nalya-Bweyogerere'!$AE$10:$AE$21</c:f>
              <c:numCache>
                <c:formatCode>0</c:formatCode>
                <c:ptCount val="12"/>
                <c:pt idx="0">
                  <c:v>329</c:v>
                </c:pt>
                <c:pt idx="1">
                  <c:v>409</c:v>
                </c:pt>
                <c:pt idx="2">
                  <c:v>298</c:v>
                </c:pt>
                <c:pt idx="3">
                  <c:v>292</c:v>
                </c:pt>
                <c:pt idx="4">
                  <c:v>237</c:v>
                </c:pt>
                <c:pt idx="5">
                  <c:v>238</c:v>
                </c:pt>
                <c:pt idx="6">
                  <c:v>221</c:v>
                </c:pt>
                <c:pt idx="7">
                  <c:v>241</c:v>
                </c:pt>
                <c:pt idx="8">
                  <c:v>312</c:v>
                </c:pt>
                <c:pt idx="9">
                  <c:v>323</c:v>
                </c:pt>
                <c:pt idx="10">
                  <c:v>426</c:v>
                </c:pt>
                <c:pt idx="11">
                  <c:v>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Nalya-Bweyogerere'!$AF$10:$AF$21</c:f>
              <c:numCache>
                <c:formatCode>0</c:formatCode>
                <c:ptCount val="12"/>
                <c:pt idx="0">
                  <c:v>445</c:v>
                </c:pt>
                <c:pt idx="1">
                  <c:v>569</c:v>
                </c:pt>
                <c:pt idx="2">
                  <c:v>468</c:v>
                </c:pt>
                <c:pt idx="3">
                  <c:v>455</c:v>
                </c:pt>
                <c:pt idx="4">
                  <c:v>382</c:v>
                </c:pt>
                <c:pt idx="5">
                  <c:v>388</c:v>
                </c:pt>
                <c:pt idx="6">
                  <c:v>363</c:v>
                </c:pt>
                <c:pt idx="7">
                  <c:v>377</c:v>
                </c:pt>
                <c:pt idx="8">
                  <c:v>439</c:v>
                </c:pt>
                <c:pt idx="9">
                  <c:v>481</c:v>
                </c:pt>
                <c:pt idx="10">
                  <c:v>594</c:v>
                </c:pt>
                <c:pt idx="11">
                  <c:v>734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37984"/>
        <c:axId val="88939520"/>
      </c:lineChart>
      <c:catAx>
        <c:axId val="88937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39520"/>
        <c:crosses val="autoZero"/>
        <c:auto val="1"/>
        <c:lblAlgn val="ctr"/>
        <c:lblOffset val="100"/>
        <c:noMultiLvlLbl val="0"/>
      </c:catAx>
      <c:valAx>
        <c:axId val="88939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Nalya-Bweyogerere'!$C$59:$N$59</c:f>
              <c:numCache>
                <c:formatCode>0.0%</c:formatCode>
                <c:ptCount val="12"/>
                <c:pt idx="0">
                  <c:v>0.17471466198419666</c:v>
                </c:pt>
                <c:pt idx="1">
                  <c:v>8.8674275680421424E-2</c:v>
                </c:pt>
                <c:pt idx="2">
                  <c:v>4.2317822651448636E-2</c:v>
                </c:pt>
                <c:pt idx="3">
                  <c:v>0.20228270412642668</c:v>
                </c:pt>
                <c:pt idx="4">
                  <c:v>2.2827041264266903E-3</c:v>
                </c:pt>
                <c:pt idx="5">
                  <c:v>5.2677787532923615E-4</c:v>
                </c:pt>
                <c:pt idx="6">
                  <c:v>5.2502194907813875E-2</c:v>
                </c:pt>
                <c:pt idx="7">
                  <c:v>2.8446005267778754E-2</c:v>
                </c:pt>
                <c:pt idx="8">
                  <c:v>4.2844600526777875E-2</c:v>
                </c:pt>
                <c:pt idx="9">
                  <c:v>3.7752414398595259E-2</c:v>
                </c:pt>
                <c:pt idx="10">
                  <c:v>0.32765583845478491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Nalya-Bweyogerere'!$S$10:$S$21</c:f>
              <c:numCache>
                <c:formatCode>0</c:formatCode>
                <c:ptCount val="12"/>
                <c:pt idx="0">
                  <c:v>94</c:v>
                </c:pt>
                <c:pt idx="1">
                  <c:v>107</c:v>
                </c:pt>
                <c:pt idx="2">
                  <c:v>75</c:v>
                </c:pt>
                <c:pt idx="3">
                  <c:v>81</c:v>
                </c:pt>
                <c:pt idx="4">
                  <c:v>66</c:v>
                </c:pt>
                <c:pt idx="5">
                  <c:v>57</c:v>
                </c:pt>
                <c:pt idx="6">
                  <c:v>42</c:v>
                </c:pt>
                <c:pt idx="7">
                  <c:v>44</c:v>
                </c:pt>
                <c:pt idx="8">
                  <c:v>71</c:v>
                </c:pt>
                <c:pt idx="9">
                  <c:v>76</c:v>
                </c:pt>
                <c:pt idx="10">
                  <c:v>130</c:v>
                </c:pt>
                <c:pt idx="11">
                  <c:v>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Nalya-Bweyogerere'!$T$10:$T$21</c:f>
              <c:numCache>
                <c:formatCode>0</c:formatCode>
                <c:ptCount val="12"/>
                <c:pt idx="0">
                  <c:v>29</c:v>
                </c:pt>
                <c:pt idx="1">
                  <c:v>70</c:v>
                </c:pt>
                <c:pt idx="2">
                  <c:v>20</c:v>
                </c:pt>
                <c:pt idx="3">
                  <c:v>17</c:v>
                </c:pt>
                <c:pt idx="4">
                  <c:v>24</c:v>
                </c:pt>
                <c:pt idx="5">
                  <c:v>24</c:v>
                </c:pt>
                <c:pt idx="6">
                  <c:v>29</c:v>
                </c:pt>
                <c:pt idx="7">
                  <c:v>24</c:v>
                </c:pt>
                <c:pt idx="8">
                  <c:v>39</c:v>
                </c:pt>
                <c:pt idx="9">
                  <c:v>50</c:v>
                </c:pt>
                <c:pt idx="10">
                  <c:v>70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Nalya-Bweyogerere'!$U$10:$U$21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16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13</c:v>
                </c:pt>
                <c:pt idx="7">
                  <c:v>18</c:v>
                </c:pt>
                <c:pt idx="8">
                  <c:v>19</c:v>
                </c:pt>
                <c:pt idx="9">
                  <c:v>24</c:v>
                </c:pt>
                <c:pt idx="10">
                  <c:v>28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Nalya-Bweyogerere'!$V$10:$V$21</c:f>
              <c:numCache>
                <c:formatCode>0</c:formatCode>
                <c:ptCount val="12"/>
                <c:pt idx="0">
                  <c:v>122</c:v>
                </c:pt>
                <c:pt idx="1">
                  <c:v>153</c:v>
                </c:pt>
                <c:pt idx="2">
                  <c:v>121</c:v>
                </c:pt>
                <c:pt idx="3">
                  <c:v>91</c:v>
                </c:pt>
                <c:pt idx="4">
                  <c:v>65</c:v>
                </c:pt>
                <c:pt idx="5">
                  <c:v>77</c:v>
                </c:pt>
                <c:pt idx="6">
                  <c:v>55</c:v>
                </c:pt>
                <c:pt idx="7">
                  <c:v>74</c:v>
                </c:pt>
                <c:pt idx="8">
                  <c:v>89</c:v>
                </c:pt>
                <c:pt idx="9">
                  <c:v>65</c:v>
                </c:pt>
                <c:pt idx="10">
                  <c:v>109</c:v>
                </c:pt>
                <c:pt idx="11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Nalya-Bweyogerere'!$Y$10:$Y$21</c:f>
              <c:numCache>
                <c:formatCode>0</c:formatCode>
                <c:ptCount val="12"/>
                <c:pt idx="0">
                  <c:v>21</c:v>
                </c:pt>
                <c:pt idx="1">
                  <c:v>24</c:v>
                </c:pt>
                <c:pt idx="2">
                  <c:v>25</c:v>
                </c:pt>
                <c:pt idx="3">
                  <c:v>31</c:v>
                </c:pt>
                <c:pt idx="4">
                  <c:v>17</c:v>
                </c:pt>
                <c:pt idx="5">
                  <c:v>16</c:v>
                </c:pt>
                <c:pt idx="6">
                  <c:v>19</c:v>
                </c:pt>
                <c:pt idx="7">
                  <c:v>22</c:v>
                </c:pt>
                <c:pt idx="8">
                  <c:v>32</c:v>
                </c:pt>
                <c:pt idx="9">
                  <c:v>36</c:v>
                </c:pt>
                <c:pt idx="10">
                  <c:v>33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Nalya-Bweyogerere'!$Z$10:$Z$21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8</c:v>
                </c:pt>
                <c:pt idx="3">
                  <c:v>6</c:v>
                </c:pt>
                <c:pt idx="4">
                  <c:v>14</c:v>
                </c:pt>
                <c:pt idx="5">
                  <c:v>7</c:v>
                </c:pt>
                <c:pt idx="6">
                  <c:v>19</c:v>
                </c:pt>
                <c:pt idx="7">
                  <c:v>16</c:v>
                </c:pt>
                <c:pt idx="8">
                  <c:v>19</c:v>
                </c:pt>
                <c:pt idx="9">
                  <c:v>22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Nalya-Bweyogerere'!$AA$10:$AA$21</c:f>
              <c:numCache>
                <c:formatCode>0</c:formatCode>
                <c:ptCount val="12"/>
                <c:pt idx="0">
                  <c:v>18</c:v>
                </c:pt>
                <c:pt idx="1">
                  <c:v>19</c:v>
                </c:pt>
                <c:pt idx="2">
                  <c:v>28</c:v>
                </c:pt>
                <c:pt idx="3">
                  <c:v>40</c:v>
                </c:pt>
                <c:pt idx="4">
                  <c:v>19</c:v>
                </c:pt>
                <c:pt idx="5">
                  <c:v>19</c:v>
                </c:pt>
                <c:pt idx="6">
                  <c:v>16</c:v>
                </c:pt>
                <c:pt idx="7">
                  <c:v>14</c:v>
                </c:pt>
                <c:pt idx="8">
                  <c:v>22</c:v>
                </c:pt>
                <c:pt idx="9">
                  <c:v>17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Nalya-Bweyogerere'!$AB$10:$AB$21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20</c:v>
                </c:pt>
                <c:pt idx="6">
                  <c:v>28</c:v>
                </c:pt>
                <c:pt idx="7">
                  <c:v>29</c:v>
                </c:pt>
                <c:pt idx="8">
                  <c:v>20</c:v>
                </c:pt>
                <c:pt idx="9">
                  <c:v>33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Nalya-Bweyogerere'!$AC$10:$AC$21</c:f>
              <c:numCache>
                <c:formatCode>0</c:formatCode>
                <c:ptCount val="12"/>
                <c:pt idx="0">
                  <c:v>116</c:v>
                </c:pt>
                <c:pt idx="1">
                  <c:v>160</c:v>
                </c:pt>
                <c:pt idx="2">
                  <c:v>170</c:v>
                </c:pt>
                <c:pt idx="3">
                  <c:v>163</c:v>
                </c:pt>
                <c:pt idx="4">
                  <c:v>145</c:v>
                </c:pt>
                <c:pt idx="5">
                  <c:v>150</c:v>
                </c:pt>
                <c:pt idx="6">
                  <c:v>142</c:v>
                </c:pt>
                <c:pt idx="7">
                  <c:v>136</c:v>
                </c:pt>
                <c:pt idx="8">
                  <c:v>127</c:v>
                </c:pt>
                <c:pt idx="9">
                  <c:v>158</c:v>
                </c:pt>
                <c:pt idx="10">
                  <c:v>168</c:v>
                </c:pt>
                <c:pt idx="11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71680"/>
        <c:axId val="89293952"/>
      </c:lineChart>
      <c:catAx>
        <c:axId val="8927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3952"/>
        <c:crosses val="autoZero"/>
        <c:auto val="1"/>
        <c:lblAlgn val="ctr"/>
        <c:lblOffset val="100"/>
        <c:noMultiLvlLbl val="0"/>
      </c:catAx>
      <c:valAx>
        <c:axId val="892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Nalya-Bweyogerere'!$C$60:$N$60</c:f>
              <c:numCache>
                <c:formatCode>0.00%</c:formatCode>
                <c:ptCount val="12"/>
                <c:pt idx="0">
                  <c:v>0.25985897101070776</c:v>
                </c:pt>
                <c:pt idx="1">
                  <c:v>0.13188822146774615</c:v>
                </c:pt>
                <c:pt idx="2">
                  <c:v>6.2940715591538257E-2</c:v>
                </c:pt>
                <c:pt idx="3">
                  <c:v>0.3008618438234526</c:v>
                </c:pt>
                <c:pt idx="4">
                  <c:v>3.3951423348132673E-3</c:v>
                </c:pt>
                <c:pt idx="5">
                  <c:v>7.8349438495690785E-4</c:v>
                </c:pt>
                <c:pt idx="6">
                  <c:v>7.8088273700705146E-2</c:v>
                </c:pt>
                <c:pt idx="7">
                  <c:v>4.2308696787673024E-2</c:v>
                </c:pt>
                <c:pt idx="8">
                  <c:v>6.3724209976495166E-2</c:v>
                </c:pt>
                <c:pt idx="9">
                  <c:v>5.6150430921911729E-2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Bweyogerere-Nalya'!$AE$10:$AE$21</c:f>
              <c:numCache>
                <c:formatCode>0</c:formatCode>
                <c:ptCount val="12"/>
                <c:pt idx="0">
                  <c:v>470</c:v>
                </c:pt>
                <c:pt idx="1">
                  <c:v>377</c:v>
                </c:pt>
                <c:pt idx="2">
                  <c:v>281</c:v>
                </c:pt>
                <c:pt idx="3">
                  <c:v>263</c:v>
                </c:pt>
                <c:pt idx="4">
                  <c:v>244</c:v>
                </c:pt>
                <c:pt idx="5">
                  <c:v>302</c:v>
                </c:pt>
                <c:pt idx="6">
                  <c:v>283</c:v>
                </c:pt>
                <c:pt idx="7">
                  <c:v>250</c:v>
                </c:pt>
                <c:pt idx="8">
                  <c:v>282</c:v>
                </c:pt>
                <c:pt idx="9">
                  <c:v>303</c:v>
                </c:pt>
                <c:pt idx="10">
                  <c:v>368</c:v>
                </c:pt>
                <c:pt idx="11">
                  <c:v>402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Bweyogerere-Nalya'!$AF$10:$AF$21</c:f>
              <c:numCache>
                <c:formatCode>0</c:formatCode>
                <c:ptCount val="12"/>
                <c:pt idx="0">
                  <c:v>621</c:v>
                </c:pt>
                <c:pt idx="1">
                  <c:v>559</c:v>
                </c:pt>
                <c:pt idx="2">
                  <c:v>449</c:v>
                </c:pt>
                <c:pt idx="3">
                  <c:v>437</c:v>
                </c:pt>
                <c:pt idx="4">
                  <c:v>398</c:v>
                </c:pt>
                <c:pt idx="5">
                  <c:v>488</c:v>
                </c:pt>
                <c:pt idx="6">
                  <c:v>422</c:v>
                </c:pt>
                <c:pt idx="7">
                  <c:v>380</c:v>
                </c:pt>
                <c:pt idx="8">
                  <c:v>428</c:v>
                </c:pt>
                <c:pt idx="9">
                  <c:v>437</c:v>
                </c:pt>
                <c:pt idx="10">
                  <c:v>560</c:v>
                </c:pt>
                <c:pt idx="11">
                  <c:v>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92608"/>
        <c:axId val="90702592"/>
      </c:lineChart>
      <c:catAx>
        <c:axId val="90692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702592"/>
        <c:crosses val="autoZero"/>
        <c:auto val="1"/>
        <c:lblAlgn val="ctr"/>
        <c:lblOffset val="100"/>
        <c:noMultiLvlLbl val="0"/>
      </c:catAx>
      <c:valAx>
        <c:axId val="90702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Bweyogerere-Nalya'!$C$59:$N$59</c:f>
              <c:numCache>
                <c:formatCode>0.0%</c:formatCode>
                <c:ptCount val="12"/>
                <c:pt idx="0">
                  <c:v>0.2297437673130194</c:v>
                </c:pt>
                <c:pt idx="1">
                  <c:v>5.0554016620498618E-2</c:v>
                </c:pt>
                <c:pt idx="2">
                  <c:v>3.3240997229916899E-2</c:v>
                </c:pt>
                <c:pt idx="3">
                  <c:v>0.17780470914127425</c:v>
                </c:pt>
                <c:pt idx="4">
                  <c:v>3.8088642659279779E-3</c:v>
                </c:pt>
                <c:pt idx="5">
                  <c:v>6.925207756232687E-4</c:v>
                </c:pt>
                <c:pt idx="6">
                  <c:v>5.020775623268698E-2</c:v>
                </c:pt>
                <c:pt idx="7">
                  <c:v>4.5706371191135735E-2</c:v>
                </c:pt>
                <c:pt idx="8">
                  <c:v>2.7700831024930747E-2</c:v>
                </c:pt>
                <c:pt idx="9">
                  <c:v>4.2763157894736843E-2</c:v>
                </c:pt>
                <c:pt idx="10">
                  <c:v>0.33777700831024932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Bweyogerere-Nalya'!$C$60:$N$60</c:f>
              <c:numCache>
                <c:formatCode>0.00%</c:formatCode>
                <c:ptCount val="12"/>
                <c:pt idx="0">
                  <c:v>0.34692810457516338</c:v>
                </c:pt>
                <c:pt idx="1">
                  <c:v>7.6339869281045747E-2</c:v>
                </c:pt>
                <c:pt idx="2">
                  <c:v>5.0196078431372547E-2</c:v>
                </c:pt>
                <c:pt idx="3">
                  <c:v>0.26849673202614377</c:v>
                </c:pt>
                <c:pt idx="4">
                  <c:v>5.7516339869281043E-3</c:v>
                </c:pt>
                <c:pt idx="5">
                  <c:v>1.0457516339869282E-3</c:v>
                </c:pt>
                <c:pt idx="6">
                  <c:v>7.5816993464052282E-2</c:v>
                </c:pt>
                <c:pt idx="7">
                  <c:v>6.9019607843137251E-2</c:v>
                </c:pt>
                <c:pt idx="8">
                  <c:v>4.1830065359477121E-2</c:v>
                </c:pt>
                <c:pt idx="9">
                  <c:v>6.4575163398692806E-2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Nalya-Bweyogerere-24h'!$AE$9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Nalya-Bweyogerere-24h'!$AE$10:$AE$33</c:f>
              <c:numCache>
                <c:formatCode>0</c:formatCode>
                <c:ptCount val="24"/>
                <c:pt idx="0">
                  <c:v>379</c:v>
                </c:pt>
                <c:pt idx="1">
                  <c:v>386</c:v>
                </c:pt>
                <c:pt idx="2">
                  <c:v>312</c:v>
                </c:pt>
                <c:pt idx="3">
                  <c:v>255</c:v>
                </c:pt>
                <c:pt idx="4">
                  <c:v>241</c:v>
                </c:pt>
                <c:pt idx="5">
                  <c:v>249</c:v>
                </c:pt>
                <c:pt idx="6">
                  <c:v>249</c:v>
                </c:pt>
                <c:pt idx="7">
                  <c:v>284</c:v>
                </c:pt>
                <c:pt idx="8">
                  <c:v>219</c:v>
                </c:pt>
                <c:pt idx="9">
                  <c:v>331</c:v>
                </c:pt>
                <c:pt idx="10">
                  <c:v>419</c:v>
                </c:pt>
                <c:pt idx="11">
                  <c:v>487</c:v>
                </c:pt>
                <c:pt idx="12">
                  <c:v>582</c:v>
                </c:pt>
                <c:pt idx="13">
                  <c:v>404</c:v>
                </c:pt>
                <c:pt idx="14">
                  <c:v>324</c:v>
                </c:pt>
                <c:pt idx="15">
                  <c:v>153</c:v>
                </c:pt>
                <c:pt idx="16">
                  <c:v>119</c:v>
                </c:pt>
                <c:pt idx="17">
                  <c:v>86</c:v>
                </c:pt>
                <c:pt idx="18">
                  <c:v>43</c:v>
                </c:pt>
                <c:pt idx="19">
                  <c:v>29</c:v>
                </c:pt>
                <c:pt idx="20">
                  <c:v>42</c:v>
                </c:pt>
                <c:pt idx="21">
                  <c:v>41</c:v>
                </c:pt>
                <c:pt idx="22">
                  <c:v>79</c:v>
                </c:pt>
                <c:pt idx="23">
                  <c:v>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Nalya-Bweyogerere-24h'!$AF$9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Nalya-Bweyogerere-24h'!$AF$10:$AF$33</c:f>
              <c:numCache>
                <c:formatCode>0</c:formatCode>
                <c:ptCount val="24"/>
                <c:pt idx="0">
                  <c:v>513</c:v>
                </c:pt>
                <c:pt idx="1">
                  <c:v>531</c:v>
                </c:pt>
                <c:pt idx="2">
                  <c:v>473</c:v>
                </c:pt>
                <c:pt idx="3">
                  <c:v>421</c:v>
                </c:pt>
                <c:pt idx="4">
                  <c:v>383</c:v>
                </c:pt>
                <c:pt idx="5">
                  <c:v>415</c:v>
                </c:pt>
                <c:pt idx="6">
                  <c:v>396</c:v>
                </c:pt>
                <c:pt idx="7">
                  <c:v>409</c:v>
                </c:pt>
                <c:pt idx="8">
                  <c:v>337</c:v>
                </c:pt>
                <c:pt idx="9">
                  <c:v>471</c:v>
                </c:pt>
                <c:pt idx="10">
                  <c:v>599</c:v>
                </c:pt>
                <c:pt idx="11">
                  <c:v>710</c:v>
                </c:pt>
                <c:pt idx="12">
                  <c:v>736</c:v>
                </c:pt>
                <c:pt idx="13">
                  <c:v>540</c:v>
                </c:pt>
                <c:pt idx="14">
                  <c:v>406</c:v>
                </c:pt>
                <c:pt idx="15">
                  <c:v>207</c:v>
                </c:pt>
                <c:pt idx="16">
                  <c:v>155</c:v>
                </c:pt>
                <c:pt idx="17">
                  <c:v>97</c:v>
                </c:pt>
                <c:pt idx="18">
                  <c:v>53</c:v>
                </c:pt>
                <c:pt idx="19">
                  <c:v>32</c:v>
                </c:pt>
                <c:pt idx="20">
                  <c:v>45</c:v>
                </c:pt>
                <c:pt idx="21">
                  <c:v>43</c:v>
                </c:pt>
                <c:pt idx="22">
                  <c:v>89</c:v>
                </c:pt>
                <c:pt idx="23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93248"/>
        <c:axId val="91213824"/>
      </c:lineChart>
      <c:catAx>
        <c:axId val="91093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213824"/>
        <c:crosses val="autoZero"/>
        <c:auto val="1"/>
        <c:lblAlgn val="ctr"/>
        <c:lblOffset val="100"/>
        <c:noMultiLvlLbl val="0"/>
      </c:catAx>
      <c:valAx>
        <c:axId val="91213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Nalya-Bweyogerere-24h'!$C$107:$N$107</c:f>
              <c:numCache>
                <c:formatCode>0.0%</c:formatCode>
                <c:ptCount val="12"/>
                <c:pt idx="0">
                  <c:v>0.20830817534114238</c:v>
                </c:pt>
                <c:pt idx="1">
                  <c:v>9.8055790363482664E-2</c:v>
                </c:pt>
                <c:pt idx="2">
                  <c:v>4.3956043956043959E-2</c:v>
                </c:pt>
                <c:pt idx="3">
                  <c:v>0.19417944692669967</c:v>
                </c:pt>
                <c:pt idx="4">
                  <c:v>3.7435092380147324E-3</c:v>
                </c:pt>
                <c:pt idx="5">
                  <c:v>1.6906170752324597E-3</c:v>
                </c:pt>
                <c:pt idx="6">
                  <c:v>3.3329308054582778E-2</c:v>
                </c:pt>
                <c:pt idx="7">
                  <c:v>4.492211085617679E-2</c:v>
                </c:pt>
                <c:pt idx="8">
                  <c:v>3.127641589180051E-2</c:v>
                </c:pt>
                <c:pt idx="9">
                  <c:v>5.3495954594855691E-2</c:v>
                </c:pt>
                <c:pt idx="10">
                  <c:v>0.28692186933945174</c:v>
                </c:pt>
                <c:pt idx="11">
                  <c:v>1.2075836251660427E-4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Nalya-Bweyogerere-24h'!$C$108:$N$108</c:f>
              <c:numCache>
                <c:formatCode>0.00%</c:formatCode>
                <c:ptCount val="12"/>
                <c:pt idx="0">
                  <c:v>0.29212531752751902</c:v>
                </c:pt>
                <c:pt idx="1">
                  <c:v>0.13751058425063506</c:v>
                </c:pt>
                <c:pt idx="2">
                  <c:v>6.1642675698560544E-2</c:v>
                </c:pt>
                <c:pt idx="3">
                  <c:v>0.272311600338696</c:v>
                </c:pt>
                <c:pt idx="4">
                  <c:v>5.2497883149872993E-3</c:v>
                </c:pt>
                <c:pt idx="5">
                  <c:v>2.3708721422523284E-3</c:v>
                </c:pt>
                <c:pt idx="6">
                  <c:v>4.6740050804403049E-2</c:v>
                </c:pt>
                <c:pt idx="7">
                  <c:v>6.2997459779847581E-2</c:v>
                </c:pt>
                <c:pt idx="8">
                  <c:v>4.3861134631668075E-2</c:v>
                </c:pt>
                <c:pt idx="9">
                  <c:v>7.5021168501270108E-2</c:v>
                </c:pt>
                <c:pt idx="11">
                  <c:v>1.6934801016088062E-4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Bweyogerere-Nalya-24h'!$AE$9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Bweyogerere-Nalya-24h'!$AE$10:$AE$33</c:f>
              <c:numCache>
                <c:formatCode>0</c:formatCode>
                <c:ptCount val="24"/>
                <c:pt idx="0">
                  <c:v>508</c:v>
                </c:pt>
                <c:pt idx="1">
                  <c:v>450</c:v>
                </c:pt>
                <c:pt idx="2">
                  <c:v>333</c:v>
                </c:pt>
                <c:pt idx="3">
                  <c:v>268</c:v>
                </c:pt>
                <c:pt idx="4">
                  <c:v>233</c:v>
                </c:pt>
                <c:pt idx="5">
                  <c:v>279</c:v>
                </c:pt>
                <c:pt idx="6">
                  <c:v>198</c:v>
                </c:pt>
                <c:pt idx="7">
                  <c:v>229</c:v>
                </c:pt>
                <c:pt idx="8">
                  <c:v>217</c:v>
                </c:pt>
                <c:pt idx="9">
                  <c:v>255</c:v>
                </c:pt>
                <c:pt idx="10">
                  <c:v>400</c:v>
                </c:pt>
                <c:pt idx="11">
                  <c:v>328</c:v>
                </c:pt>
                <c:pt idx="12">
                  <c:v>261</c:v>
                </c:pt>
                <c:pt idx="13">
                  <c:v>304</c:v>
                </c:pt>
                <c:pt idx="14">
                  <c:v>245</c:v>
                </c:pt>
                <c:pt idx="15">
                  <c:v>165</c:v>
                </c:pt>
                <c:pt idx="16">
                  <c:v>80</c:v>
                </c:pt>
                <c:pt idx="17">
                  <c:v>63</c:v>
                </c:pt>
                <c:pt idx="18">
                  <c:v>33</c:v>
                </c:pt>
                <c:pt idx="19">
                  <c:v>29</c:v>
                </c:pt>
                <c:pt idx="20">
                  <c:v>31</c:v>
                </c:pt>
                <c:pt idx="21">
                  <c:v>35</c:v>
                </c:pt>
                <c:pt idx="22">
                  <c:v>67</c:v>
                </c:pt>
                <c:pt idx="23">
                  <c:v>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Bweyogerere-Nalya-24h'!$AF$9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Bweyogerere-Nalya-24h'!$AF$10:$AF$33</c:f>
              <c:numCache>
                <c:formatCode>0</c:formatCode>
                <c:ptCount val="24"/>
                <c:pt idx="0">
                  <c:v>639</c:v>
                </c:pt>
                <c:pt idx="1">
                  <c:v>648</c:v>
                </c:pt>
                <c:pt idx="2">
                  <c:v>489</c:v>
                </c:pt>
                <c:pt idx="3">
                  <c:v>432</c:v>
                </c:pt>
                <c:pt idx="4">
                  <c:v>391</c:v>
                </c:pt>
                <c:pt idx="5">
                  <c:v>435</c:v>
                </c:pt>
                <c:pt idx="6">
                  <c:v>310</c:v>
                </c:pt>
                <c:pt idx="7">
                  <c:v>358</c:v>
                </c:pt>
                <c:pt idx="8">
                  <c:v>357</c:v>
                </c:pt>
                <c:pt idx="9">
                  <c:v>377</c:v>
                </c:pt>
                <c:pt idx="10">
                  <c:v>617</c:v>
                </c:pt>
                <c:pt idx="11">
                  <c:v>486</c:v>
                </c:pt>
                <c:pt idx="12">
                  <c:v>423</c:v>
                </c:pt>
                <c:pt idx="13">
                  <c:v>451</c:v>
                </c:pt>
                <c:pt idx="14">
                  <c:v>378</c:v>
                </c:pt>
                <c:pt idx="15">
                  <c:v>229</c:v>
                </c:pt>
                <c:pt idx="16">
                  <c:v>108</c:v>
                </c:pt>
                <c:pt idx="17">
                  <c:v>75</c:v>
                </c:pt>
                <c:pt idx="18">
                  <c:v>38</c:v>
                </c:pt>
                <c:pt idx="19">
                  <c:v>30</c:v>
                </c:pt>
                <c:pt idx="20">
                  <c:v>31</c:v>
                </c:pt>
                <c:pt idx="21">
                  <c:v>42</c:v>
                </c:pt>
                <c:pt idx="22">
                  <c:v>75</c:v>
                </c:pt>
                <c:pt idx="23">
                  <c:v>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50880"/>
        <c:axId val="92252416"/>
      </c:lineChart>
      <c:catAx>
        <c:axId val="92250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252416"/>
        <c:crosses val="autoZero"/>
        <c:auto val="1"/>
        <c:lblAlgn val="ctr"/>
        <c:lblOffset val="100"/>
        <c:noMultiLvlLbl val="0"/>
      </c:catAx>
      <c:valAx>
        <c:axId val="92252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25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Bweyogerere-Nalya-24h'!$C$107:$N$107</c:f>
              <c:numCache>
                <c:formatCode>0.0%</c:formatCode>
                <c:ptCount val="12"/>
                <c:pt idx="0">
                  <c:v>0.23377125193199383</c:v>
                </c:pt>
                <c:pt idx="1">
                  <c:v>6.9036579082946928E-2</c:v>
                </c:pt>
                <c:pt idx="2">
                  <c:v>3.9026275115919627E-2</c:v>
                </c:pt>
                <c:pt idx="3">
                  <c:v>0.18109222050489437</c:v>
                </c:pt>
                <c:pt idx="4">
                  <c:v>5.9247810407006699E-3</c:v>
                </c:pt>
                <c:pt idx="5">
                  <c:v>1.4167954662545081E-3</c:v>
                </c:pt>
                <c:pt idx="6">
                  <c:v>3.6707882534775887E-2</c:v>
                </c:pt>
                <c:pt idx="7">
                  <c:v>4.0829469345698095E-2</c:v>
                </c:pt>
                <c:pt idx="8">
                  <c:v>2.9366306027820709E-2</c:v>
                </c:pt>
                <c:pt idx="9">
                  <c:v>4.7784647089129315E-2</c:v>
                </c:pt>
                <c:pt idx="10">
                  <c:v>0.31427099433281813</c:v>
                </c:pt>
                <c:pt idx="11">
                  <c:v>7.7279752704791343E-4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Bweyogerere-Nalya-24h'!$C$108:$N$108</c:f>
              <c:numCache>
                <c:formatCode>0.00%</c:formatCode>
                <c:ptCount val="12"/>
                <c:pt idx="0">
                  <c:v>0.34090909090909088</c:v>
                </c:pt>
                <c:pt idx="1">
                  <c:v>0.10067618332081142</c:v>
                </c:pt>
                <c:pt idx="2">
                  <c:v>5.6912096168294513E-2</c:v>
                </c:pt>
                <c:pt idx="3">
                  <c:v>0.26408715251690457</c:v>
                </c:pt>
                <c:pt idx="4">
                  <c:v>8.6401202103681442E-3</c:v>
                </c:pt>
                <c:pt idx="5">
                  <c:v>2.0661157024793389E-3</c:v>
                </c:pt>
                <c:pt idx="6">
                  <c:v>5.3531179564237419E-2</c:v>
                </c:pt>
                <c:pt idx="7">
                  <c:v>5.9541697971450036E-2</c:v>
                </c:pt>
                <c:pt idx="8">
                  <c:v>4.2824943651389932E-2</c:v>
                </c:pt>
                <c:pt idx="9">
                  <c:v>6.9684447783621331E-2</c:v>
                </c:pt>
                <c:pt idx="11">
                  <c:v>1.1269722013523666E-3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Nalya-Bweyogerere'!$AE$10:$AE$21</c:f>
              <c:numCache>
                <c:formatCode>0</c:formatCode>
                <c:ptCount val="12"/>
                <c:pt idx="0">
                  <c:v>310</c:v>
                </c:pt>
                <c:pt idx="1">
                  <c:v>391</c:v>
                </c:pt>
                <c:pt idx="2">
                  <c:v>300</c:v>
                </c:pt>
                <c:pt idx="3">
                  <c:v>254</c:v>
                </c:pt>
                <c:pt idx="4">
                  <c:v>255</c:v>
                </c:pt>
                <c:pt idx="5">
                  <c:v>231</c:v>
                </c:pt>
                <c:pt idx="6">
                  <c:v>271</c:v>
                </c:pt>
                <c:pt idx="7">
                  <c:v>197</c:v>
                </c:pt>
                <c:pt idx="8">
                  <c:v>298</c:v>
                </c:pt>
                <c:pt idx="9">
                  <c:v>329</c:v>
                </c:pt>
                <c:pt idx="10">
                  <c:v>377</c:v>
                </c:pt>
                <c:pt idx="11">
                  <c:v>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Nalya-Bweyogerere'!$AF$10:$AF$21</c:f>
              <c:numCache>
                <c:formatCode>0</c:formatCode>
                <c:ptCount val="12"/>
                <c:pt idx="0">
                  <c:v>421</c:v>
                </c:pt>
                <c:pt idx="1">
                  <c:v>540</c:v>
                </c:pt>
                <c:pt idx="2">
                  <c:v>490</c:v>
                </c:pt>
                <c:pt idx="3">
                  <c:v>366</c:v>
                </c:pt>
                <c:pt idx="4">
                  <c:v>414</c:v>
                </c:pt>
                <c:pt idx="5">
                  <c:v>400</c:v>
                </c:pt>
                <c:pt idx="6">
                  <c:v>384</c:v>
                </c:pt>
                <c:pt idx="7">
                  <c:v>309</c:v>
                </c:pt>
                <c:pt idx="8">
                  <c:v>421</c:v>
                </c:pt>
                <c:pt idx="9">
                  <c:v>434</c:v>
                </c:pt>
                <c:pt idx="10">
                  <c:v>536</c:v>
                </c:pt>
                <c:pt idx="11">
                  <c:v>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75712"/>
        <c:axId val="93081600"/>
      </c:lineChart>
      <c:catAx>
        <c:axId val="93075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81600"/>
        <c:crosses val="autoZero"/>
        <c:auto val="1"/>
        <c:lblAlgn val="ctr"/>
        <c:lblOffset val="100"/>
        <c:noMultiLvlLbl val="0"/>
      </c:catAx>
      <c:valAx>
        <c:axId val="9308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7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Nalya-Bweyogerere'!$C$59:$N$59</c:f>
              <c:numCache>
                <c:formatCode>0.0%</c:formatCode>
                <c:ptCount val="12"/>
                <c:pt idx="0">
                  <c:v>0.19326958440603162</c:v>
                </c:pt>
                <c:pt idx="1">
                  <c:v>8.2567120264803243E-2</c:v>
                </c:pt>
                <c:pt idx="2">
                  <c:v>4.027215888194189E-2</c:v>
                </c:pt>
                <c:pt idx="3">
                  <c:v>0.22195660169179846</c:v>
                </c:pt>
                <c:pt idx="4">
                  <c:v>5.7006252298639204E-3</c:v>
                </c:pt>
                <c:pt idx="5">
                  <c:v>9.1945568223611625E-4</c:v>
                </c:pt>
                <c:pt idx="6">
                  <c:v>4.321441706509746E-2</c:v>
                </c:pt>
                <c:pt idx="7">
                  <c:v>3.3284295696947408E-2</c:v>
                </c:pt>
                <c:pt idx="8">
                  <c:v>3.3100404560500181E-2</c:v>
                </c:pt>
                <c:pt idx="9">
                  <c:v>3.8433247517469661E-2</c:v>
                </c:pt>
                <c:pt idx="10">
                  <c:v>0.30709819786686282</c:v>
                </c:pt>
                <c:pt idx="11">
                  <c:v>1.8389113644722325E-4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Nalya-Bweyogerere'!$S$10:$S$21</c:f>
              <c:numCache>
                <c:formatCode>0</c:formatCode>
                <c:ptCount val="12"/>
                <c:pt idx="0">
                  <c:v>106</c:v>
                </c:pt>
                <c:pt idx="1">
                  <c:v>113</c:v>
                </c:pt>
                <c:pt idx="2">
                  <c:v>76</c:v>
                </c:pt>
                <c:pt idx="3">
                  <c:v>80</c:v>
                </c:pt>
                <c:pt idx="4">
                  <c:v>63</c:v>
                </c:pt>
                <c:pt idx="5">
                  <c:v>62</c:v>
                </c:pt>
                <c:pt idx="6">
                  <c:v>71</c:v>
                </c:pt>
                <c:pt idx="7">
                  <c:v>48</c:v>
                </c:pt>
                <c:pt idx="8">
                  <c:v>76</c:v>
                </c:pt>
                <c:pt idx="9">
                  <c:v>113</c:v>
                </c:pt>
                <c:pt idx="10">
                  <c:v>95</c:v>
                </c:pt>
                <c:pt idx="11">
                  <c:v>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Nalya-Bweyogerere'!$T$10:$T$21</c:f>
              <c:numCache>
                <c:formatCode>0</c:formatCode>
                <c:ptCount val="12"/>
                <c:pt idx="0">
                  <c:v>31</c:v>
                </c:pt>
                <c:pt idx="1">
                  <c:v>46</c:v>
                </c:pt>
                <c:pt idx="2">
                  <c:v>40</c:v>
                </c:pt>
                <c:pt idx="3">
                  <c:v>30</c:v>
                </c:pt>
                <c:pt idx="4">
                  <c:v>24</c:v>
                </c:pt>
                <c:pt idx="5">
                  <c:v>31</c:v>
                </c:pt>
                <c:pt idx="6">
                  <c:v>34</c:v>
                </c:pt>
                <c:pt idx="7">
                  <c:v>18</c:v>
                </c:pt>
                <c:pt idx="8">
                  <c:v>25</c:v>
                </c:pt>
                <c:pt idx="9">
                  <c:v>55</c:v>
                </c:pt>
                <c:pt idx="10">
                  <c:v>33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Nalya-Bweyogerere'!$U$10:$U$21</c:f>
              <c:numCache>
                <c:formatCode>0</c:formatCode>
                <c:ptCount val="12"/>
                <c:pt idx="0">
                  <c:v>19</c:v>
                </c:pt>
                <c:pt idx="1">
                  <c:v>16</c:v>
                </c:pt>
                <c:pt idx="2">
                  <c:v>19</c:v>
                </c:pt>
                <c:pt idx="3">
                  <c:v>17</c:v>
                </c:pt>
                <c:pt idx="4">
                  <c:v>8</c:v>
                </c:pt>
                <c:pt idx="5">
                  <c:v>7</c:v>
                </c:pt>
                <c:pt idx="6">
                  <c:v>15</c:v>
                </c:pt>
                <c:pt idx="7">
                  <c:v>8</c:v>
                </c:pt>
                <c:pt idx="8">
                  <c:v>12</c:v>
                </c:pt>
                <c:pt idx="9">
                  <c:v>25</c:v>
                </c:pt>
                <c:pt idx="10">
                  <c:v>30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Nalya-Bweyogerere'!$V$10:$V$21</c:f>
              <c:numCache>
                <c:formatCode>0</c:formatCode>
                <c:ptCount val="12"/>
                <c:pt idx="0">
                  <c:v>116</c:v>
                </c:pt>
                <c:pt idx="1">
                  <c:v>152</c:v>
                </c:pt>
                <c:pt idx="2">
                  <c:v>105</c:v>
                </c:pt>
                <c:pt idx="3">
                  <c:v>76</c:v>
                </c:pt>
                <c:pt idx="4">
                  <c:v>99</c:v>
                </c:pt>
                <c:pt idx="5">
                  <c:v>68</c:v>
                </c:pt>
                <c:pt idx="6">
                  <c:v>90</c:v>
                </c:pt>
                <c:pt idx="7">
                  <c:v>64</c:v>
                </c:pt>
                <c:pt idx="8">
                  <c:v>93</c:v>
                </c:pt>
                <c:pt idx="9">
                  <c:v>75</c:v>
                </c:pt>
                <c:pt idx="10">
                  <c:v>130</c:v>
                </c:pt>
                <c:pt idx="1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Nalya-Bweyogerere'!$W$10:$W$21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Nalya-Bweyogerere'!$Y$10:$Y$21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30</c:v>
                </c:pt>
                <c:pt idx="7">
                  <c:v>16</c:v>
                </c:pt>
                <c:pt idx="8">
                  <c:v>18</c:v>
                </c:pt>
                <c:pt idx="9">
                  <c:v>18</c:v>
                </c:pt>
                <c:pt idx="10">
                  <c:v>30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Nalya-Bweyogerere'!$Z$10:$Z$21</c:f>
              <c:numCache>
                <c:formatCode>0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7</c:v>
                </c:pt>
                <c:pt idx="7">
                  <c:v>10</c:v>
                </c:pt>
                <c:pt idx="8">
                  <c:v>22</c:v>
                </c:pt>
                <c:pt idx="9">
                  <c:v>16</c:v>
                </c:pt>
                <c:pt idx="10">
                  <c:v>17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Nalya-Bweyogerere'!$AA$10:$AA$21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15</c:v>
                </c:pt>
                <c:pt idx="3">
                  <c:v>13</c:v>
                </c:pt>
                <c:pt idx="4">
                  <c:v>18</c:v>
                </c:pt>
                <c:pt idx="5">
                  <c:v>18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13</c:v>
                </c:pt>
                <c:pt idx="10">
                  <c:v>20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Nalya-Bweyogerere'!$AB$10:$AB$21</c:f>
              <c:numCache>
                <c:formatCode>0</c:formatCode>
                <c:ptCount val="12"/>
                <c:pt idx="0">
                  <c:v>4</c:v>
                </c:pt>
                <c:pt idx="1">
                  <c:v>14</c:v>
                </c:pt>
                <c:pt idx="2">
                  <c:v>10</c:v>
                </c:pt>
                <c:pt idx="3">
                  <c:v>7</c:v>
                </c:pt>
                <c:pt idx="4">
                  <c:v>16</c:v>
                </c:pt>
                <c:pt idx="5">
                  <c:v>24</c:v>
                </c:pt>
                <c:pt idx="6">
                  <c:v>14</c:v>
                </c:pt>
                <c:pt idx="7">
                  <c:v>22</c:v>
                </c:pt>
                <c:pt idx="8">
                  <c:v>37</c:v>
                </c:pt>
                <c:pt idx="9">
                  <c:v>12</c:v>
                </c:pt>
                <c:pt idx="10">
                  <c:v>16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Nalya-Bweyogerere'!$AC$10:$AC$21</c:f>
              <c:numCache>
                <c:formatCode>0</c:formatCode>
                <c:ptCount val="12"/>
                <c:pt idx="0">
                  <c:v>111</c:v>
                </c:pt>
                <c:pt idx="1">
                  <c:v>149</c:v>
                </c:pt>
                <c:pt idx="2">
                  <c:v>190</c:v>
                </c:pt>
                <c:pt idx="3">
                  <c:v>112</c:v>
                </c:pt>
                <c:pt idx="4">
                  <c:v>159</c:v>
                </c:pt>
                <c:pt idx="5">
                  <c:v>169</c:v>
                </c:pt>
                <c:pt idx="6">
                  <c:v>113</c:v>
                </c:pt>
                <c:pt idx="7">
                  <c:v>112</c:v>
                </c:pt>
                <c:pt idx="8">
                  <c:v>123</c:v>
                </c:pt>
                <c:pt idx="9">
                  <c:v>105</c:v>
                </c:pt>
                <c:pt idx="10">
                  <c:v>159</c:v>
                </c:pt>
                <c:pt idx="11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42432"/>
        <c:axId val="93443968"/>
      </c:lineChart>
      <c:catAx>
        <c:axId val="9344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43968"/>
        <c:crosses val="autoZero"/>
        <c:auto val="1"/>
        <c:lblAlgn val="ctr"/>
        <c:lblOffset val="100"/>
        <c:noMultiLvlLbl val="0"/>
      </c:catAx>
      <c:valAx>
        <c:axId val="934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Nalya-Bweyogerere'!$C$60:$N$60</c:f>
              <c:numCache>
                <c:formatCode>0.00%</c:formatCode>
                <c:ptCount val="12"/>
                <c:pt idx="0">
                  <c:v>0.27892781316348197</c:v>
                </c:pt>
                <c:pt idx="1">
                  <c:v>0.11916135881104034</c:v>
                </c:pt>
                <c:pt idx="2">
                  <c:v>5.8121019108280256E-2</c:v>
                </c:pt>
                <c:pt idx="3">
                  <c:v>0.32032908704883228</c:v>
                </c:pt>
                <c:pt idx="4">
                  <c:v>8.227176220806794E-3</c:v>
                </c:pt>
                <c:pt idx="5">
                  <c:v>1.3269639065817409E-3</c:v>
                </c:pt>
                <c:pt idx="6">
                  <c:v>6.2367303609341826E-2</c:v>
                </c:pt>
                <c:pt idx="7">
                  <c:v>4.8036093418259027E-2</c:v>
                </c:pt>
                <c:pt idx="8">
                  <c:v>4.7770700636942678E-2</c:v>
                </c:pt>
                <c:pt idx="9">
                  <c:v>5.5467091295116774E-2</c:v>
                </c:pt>
                <c:pt idx="11">
                  <c:v>2.6539278131634819E-4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Bweyogerere-Nalya'!$AE$10:$AE$21</c:f>
              <c:numCache>
                <c:formatCode>0</c:formatCode>
                <c:ptCount val="12"/>
                <c:pt idx="0">
                  <c:v>475</c:v>
                </c:pt>
                <c:pt idx="1">
                  <c:v>370</c:v>
                </c:pt>
                <c:pt idx="2">
                  <c:v>351</c:v>
                </c:pt>
                <c:pt idx="3">
                  <c:v>315</c:v>
                </c:pt>
                <c:pt idx="4">
                  <c:v>310</c:v>
                </c:pt>
                <c:pt idx="5">
                  <c:v>270</c:v>
                </c:pt>
                <c:pt idx="6">
                  <c:v>242</c:v>
                </c:pt>
                <c:pt idx="7">
                  <c:v>209</c:v>
                </c:pt>
                <c:pt idx="8">
                  <c:v>245</c:v>
                </c:pt>
                <c:pt idx="9">
                  <c:v>281</c:v>
                </c:pt>
                <c:pt idx="10">
                  <c:v>335</c:v>
                </c:pt>
                <c:pt idx="11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Bweyogerere-Nalya'!$AF$10:$AF$21</c:f>
              <c:numCache>
                <c:formatCode>0</c:formatCode>
                <c:ptCount val="12"/>
                <c:pt idx="0">
                  <c:v>630</c:v>
                </c:pt>
                <c:pt idx="1">
                  <c:v>567</c:v>
                </c:pt>
                <c:pt idx="2">
                  <c:v>518</c:v>
                </c:pt>
                <c:pt idx="3">
                  <c:v>438</c:v>
                </c:pt>
                <c:pt idx="4">
                  <c:v>464</c:v>
                </c:pt>
                <c:pt idx="5">
                  <c:v>420</c:v>
                </c:pt>
                <c:pt idx="6">
                  <c:v>357</c:v>
                </c:pt>
                <c:pt idx="7">
                  <c:v>310</c:v>
                </c:pt>
                <c:pt idx="8">
                  <c:v>342</c:v>
                </c:pt>
                <c:pt idx="9">
                  <c:v>384</c:v>
                </c:pt>
                <c:pt idx="10">
                  <c:v>478</c:v>
                </c:pt>
                <c:pt idx="11">
                  <c:v>660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28768"/>
        <c:axId val="93730304"/>
      </c:lineChart>
      <c:catAx>
        <c:axId val="93728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0304"/>
        <c:crosses val="autoZero"/>
        <c:auto val="1"/>
        <c:lblAlgn val="ctr"/>
        <c:lblOffset val="100"/>
        <c:noMultiLvlLbl val="0"/>
      </c:catAx>
      <c:valAx>
        <c:axId val="93730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Bweyogerere-Nalya'!$C$59:$N$59</c:f>
              <c:numCache>
                <c:formatCode>0.0%</c:formatCode>
                <c:ptCount val="12"/>
                <c:pt idx="0">
                  <c:v>0.23311781609195403</c:v>
                </c:pt>
                <c:pt idx="1">
                  <c:v>7.5790229885057472E-2</c:v>
                </c:pt>
                <c:pt idx="2">
                  <c:v>4.4719827586206899E-2</c:v>
                </c:pt>
                <c:pt idx="3">
                  <c:v>0.19073275862068967</c:v>
                </c:pt>
                <c:pt idx="4">
                  <c:v>5.028735632183908E-3</c:v>
                </c:pt>
                <c:pt idx="5">
                  <c:v>7.1839080459770114E-4</c:v>
                </c:pt>
                <c:pt idx="6">
                  <c:v>3.8254310344827583E-2</c:v>
                </c:pt>
                <c:pt idx="7">
                  <c:v>3.6637931034482756E-2</c:v>
                </c:pt>
                <c:pt idx="8">
                  <c:v>2.9454022988505746E-2</c:v>
                </c:pt>
                <c:pt idx="9">
                  <c:v>4.0948275862068964E-2</c:v>
                </c:pt>
                <c:pt idx="10">
                  <c:v>0.30405890804597702</c:v>
                </c:pt>
                <c:pt idx="11">
                  <c:v>5.3879310344827585E-4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Bweyogerere-Nalya'!$S$10:$S$21</c:f>
              <c:numCache>
                <c:formatCode>0</c:formatCode>
                <c:ptCount val="12"/>
                <c:pt idx="0">
                  <c:v>228</c:v>
                </c:pt>
                <c:pt idx="1">
                  <c:v>130</c:v>
                </c:pt>
                <c:pt idx="2">
                  <c:v>102</c:v>
                </c:pt>
                <c:pt idx="3">
                  <c:v>106</c:v>
                </c:pt>
                <c:pt idx="4">
                  <c:v>111</c:v>
                </c:pt>
                <c:pt idx="5">
                  <c:v>71</c:v>
                </c:pt>
                <c:pt idx="6">
                  <c:v>62</c:v>
                </c:pt>
                <c:pt idx="7">
                  <c:v>59</c:v>
                </c:pt>
                <c:pt idx="8">
                  <c:v>65</c:v>
                </c:pt>
                <c:pt idx="9">
                  <c:v>80</c:v>
                </c:pt>
                <c:pt idx="10">
                  <c:v>130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Bweyogerere-Nalya'!$T$10:$T$21</c:f>
              <c:numCache>
                <c:formatCode>0</c:formatCode>
                <c:ptCount val="12"/>
                <c:pt idx="0">
                  <c:v>29</c:v>
                </c:pt>
                <c:pt idx="1">
                  <c:v>42</c:v>
                </c:pt>
                <c:pt idx="2">
                  <c:v>60</c:v>
                </c:pt>
                <c:pt idx="3">
                  <c:v>38</c:v>
                </c:pt>
                <c:pt idx="4">
                  <c:v>32</c:v>
                </c:pt>
                <c:pt idx="5">
                  <c:v>30</c:v>
                </c:pt>
                <c:pt idx="6">
                  <c:v>26</c:v>
                </c:pt>
                <c:pt idx="7">
                  <c:v>19</c:v>
                </c:pt>
                <c:pt idx="8">
                  <c:v>25</c:v>
                </c:pt>
                <c:pt idx="9">
                  <c:v>38</c:v>
                </c:pt>
                <c:pt idx="10">
                  <c:v>21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Bweyogerere-Nalya'!$U$10:$U$21</c:f>
              <c:numCache>
                <c:formatCode>0</c:formatCode>
                <c:ptCount val="12"/>
                <c:pt idx="0">
                  <c:v>34</c:v>
                </c:pt>
                <c:pt idx="1">
                  <c:v>29</c:v>
                </c:pt>
                <c:pt idx="2">
                  <c:v>27</c:v>
                </c:pt>
                <c:pt idx="3">
                  <c:v>17</c:v>
                </c:pt>
                <c:pt idx="4">
                  <c:v>19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26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Bweyogerere-Nalya'!$V$10:$V$21</c:f>
              <c:numCache>
                <c:formatCode>0</c:formatCode>
                <c:ptCount val="12"/>
                <c:pt idx="0">
                  <c:v>120</c:v>
                </c:pt>
                <c:pt idx="1">
                  <c:v>109</c:v>
                </c:pt>
                <c:pt idx="2">
                  <c:v>97</c:v>
                </c:pt>
                <c:pt idx="3">
                  <c:v>96</c:v>
                </c:pt>
                <c:pt idx="4">
                  <c:v>78</c:v>
                </c:pt>
                <c:pt idx="5">
                  <c:v>77</c:v>
                </c:pt>
                <c:pt idx="6">
                  <c:v>69</c:v>
                </c:pt>
                <c:pt idx="7">
                  <c:v>62</c:v>
                </c:pt>
                <c:pt idx="8">
                  <c:v>64</c:v>
                </c:pt>
                <c:pt idx="9">
                  <c:v>75</c:v>
                </c:pt>
                <c:pt idx="10">
                  <c:v>80</c:v>
                </c:pt>
                <c:pt idx="1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Bweyogerere-Nalya'!$Y$10:$Y$21</c:f>
              <c:numCache>
                <c:formatCode>0</c:formatCode>
                <c:ptCount val="12"/>
                <c:pt idx="0">
                  <c:v>14</c:v>
                </c:pt>
                <c:pt idx="1">
                  <c:v>19</c:v>
                </c:pt>
                <c:pt idx="2">
                  <c:v>10</c:v>
                </c:pt>
                <c:pt idx="3">
                  <c:v>16</c:v>
                </c:pt>
                <c:pt idx="4">
                  <c:v>30</c:v>
                </c:pt>
                <c:pt idx="5">
                  <c:v>19</c:v>
                </c:pt>
                <c:pt idx="6">
                  <c:v>21</c:v>
                </c:pt>
                <c:pt idx="7">
                  <c:v>16</c:v>
                </c:pt>
                <c:pt idx="8">
                  <c:v>20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Bweyogerere-Nalya'!$Z$10:$Z$21</c:f>
              <c:numCache>
                <c:formatCode>0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21</c:v>
                </c:pt>
                <c:pt idx="8">
                  <c:v>14</c:v>
                </c:pt>
                <c:pt idx="9">
                  <c:v>22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Bweyogerere-Nalya'!$AA$10:$AA$21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12</c:v>
                </c:pt>
                <c:pt idx="4">
                  <c:v>8</c:v>
                </c:pt>
                <c:pt idx="5">
                  <c:v>16</c:v>
                </c:pt>
                <c:pt idx="6">
                  <c:v>16</c:v>
                </c:pt>
                <c:pt idx="7">
                  <c:v>5</c:v>
                </c:pt>
                <c:pt idx="8">
                  <c:v>19</c:v>
                </c:pt>
                <c:pt idx="9">
                  <c:v>15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Bweyogerere-Nalya'!$AB$10:$AB$21</c:f>
              <c:numCache>
                <c:formatCode>0</c:formatCode>
                <c:ptCount val="12"/>
                <c:pt idx="0">
                  <c:v>18</c:v>
                </c:pt>
                <c:pt idx="1">
                  <c:v>15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22</c:v>
                </c:pt>
                <c:pt idx="6">
                  <c:v>20</c:v>
                </c:pt>
                <c:pt idx="7">
                  <c:v>15</c:v>
                </c:pt>
                <c:pt idx="8">
                  <c:v>22</c:v>
                </c:pt>
                <c:pt idx="9">
                  <c:v>21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Bweyogerere-Nalya'!$AC$10:$AC$21</c:f>
              <c:numCache>
                <c:formatCode>0</c:formatCode>
                <c:ptCount val="12"/>
                <c:pt idx="0">
                  <c:v>155</c:v>
                </c:pt>
                <c:pt idx="1">
                  <c:v>197</c:v>
                </c:pt>
                <c:pt idx="2">
                  <c:v>167</c:v>
                </c:pt>
                <c:pt idx="3">
                  <c:v>123</c:v>
                </c:pt>
                <c:pt idx="4">
                  <c:v>154</c:v>
                </c:pt>
                <c:pt idx="5">
                  <c:v>150</c:v>
                </c:pt>
                <c:pt idx="6">
                  <c:v>115</c:v>
                </c:pt>
                <c:pt idx="7">
                  <c:v>101</c:v>
                </c:pt>
                <c:pt idx="8">
                  <c:v>97</c:v>
                </c:pt>
                <c:pt idx="9">
                  <c:v>103</c:v>
                </c:pt>
                <c:pt idx="10">
                  <c:v>143</c:v>
                </c:pt>
                <c:pt idx="11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23904"/>
        <c:axId val="94125440"/>
      </c:lineChart>
      <c:catAx>
        <c:axId val="9412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125440"/>
        <c:crosses val="autoZero"/>
        <c:auto val="1"/>
        <c:lblAlgn val="ctr"/>
        <c:lblOffset val="100"/>
        <c:noMultiLvlLbl val="0"/>
      </c:catAx>
      <c:valAx>
        <c:axId val="941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1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Bweyogerere-Nalya'!$C$60:$N$60</c:f>
              <c:numCache>
                <c:formatCode>0.00%</c:formatCode>
                <c:ptCount val="12"/>
                <c:pt idx="0">
                  <c:v>0.3349677419354839</c:v>
                </c:pt>
                <c:pt idx="1">
                  <c:v>0.10890322580645161</c:v>
                </c:pt>
                <c:pt idx="2">
                  <c:v>6.4258064516129032E-2</c:v>
                </c:pt>
                <c:pt idx="3">
                  <c:v>0.27406451612903227</c:v>
                </c:pt>
                <c:pt idx="4">
                  <c:v>7.2258064516129029E-3</c:v>
                </c:pt>
                <c:pt idx="5">
                  <c:v>1.0322580645161291E-3</c:v>
                </c:pt>
                <c:pt idx="6">
                  <c:v>5.4967741935483871E-2</c:v>
                </c:pt>
                <c:pt idx="7">
                  <c:v>5.2645161290322581E-2</c:v>
                </c:pt>
                <c:pt idx="8">
                  <c:v>4.2322580645161291E-2</c:v>
                </c:pt>
                <c:pt idx="9">
                  <c:v>5.8838709677419353E-2</c:v>
                </c:pt>
                <c:pt idx="11">
                  <c:v>7.7419354838709675E-4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Nalya-Bweyogerere-24h'!$AE$9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Nalya-Bweyogerere-24h'!$AE$10:$AE$33</c:f>
              <c:numCache>
                <c:formatCode>0</c:formatCode>
                <c:ptCount val="24"/>
                <c:pt idx="0">
                  <c:v>278</c:v>
                </c:pt>
                <c:pt idx="1">
                  <c:v>322</c:v>
                </c:pt>
                <c:pt idx="2">
                  <c:v>317</c:v>
                </c:pt>
                <c:pt idx="3">
                  <c:v>309</c:v>
                </c:pt>
                <c:pt idx="4">
                  <c:v>411</c:v>
                </c:pt>
                <c:pt idx="5">
                  <c:v>321</c:v>
                </c:pt>
                <c:pt idx="6">
                  <c:v>419</c:v>
                </c:pt>
                <c:pt idx="7">
                  <c:v>344</c:v>
                </c:pt>
                <c:pt idx="8">
                  <c:v>339</c:v>
                </c:pt>
                <c:pt idx="9">
                  <c:v>333</c:v>
                </c:pt>
                <c:pt idx="10">
                  <c:v>413</c:v>
                </c:pt>
                <c:pt idx="11">
                  <c:v>500</c:v>
                </c:pt>
                <c:pt idx="12">
                  <c:v>297</c:v>
                </c:pt>
                <c:pt idx="13">
                  <c:v>325</c:v>
                </c:pt>
                <c:pt idx="14">
                  <c:v>376</c:v>
                </c:pt>
                <c:pt idx="15">
                  <c:v>305</c:v>
                </c:pt>
                <c:pt idx="16">
                  <c:v>202</c:v>
                </c:pt>
                <c:pt idx="17">
                  <c:v>118</c:v>
                </c:pt>
                <c:pt idx="18">
                  <c:v>68</c:v>
                </c:pt>
                <c:pt idx="19">
                  <c:v>30</c:v>
                </c:pt>
                <c:pt idx="20">
                  <c:v>38</c:v>
                </c:pt>
                <c:pt idx="21">
                  <c:v>53</c:v>
                </c:pt>
                <c:pt idx="22">
                  <c:v>73</c:v>
                </c:pt>
                <c:pt idx="23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Nalya-Bweyogerere-24h'!$AF$9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Nalya-Bweyogerere-24h'!$R$10:$R$33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Nalya-Bweyogerere-24h'!$AF$10:$AF$33</c:f>
              <c:numCache>
                <c:formatCode>0</c:formatCode>
                <c:ptCount val="24"/>
                <c:pt idx="0">
                  <c:v>379</c:v>
                </c:pt>
                <c:pt idx="1">
                  <c:v>461</c:v>
                </c:pt>
                <c:pt idx="2">
                  <c:v>474</c:v>
                </c:pt>
                <c:pt idx="3">
                  <c:v>450</c:v>
                </c:pt>
                <c:pt idx="4">
                  <c:v>597</c:v>
                </c:pt>
                <c:pt idx="5">
                  <c:v>467</c:v>
                </c:pt>
                <c:pt idx="6">
                  <c:v>583</c:v>
                </c:pt>
                <c:pt idx="7">
                  <c:v>519</c:v>
                </c:pt>
                <c:pt idx="8">
                  <c:v>484</c:v>
                </c:pt>
                <c:pt idx="9">
                  <c:v>487</c:v>
                </c:pt>
                <c:pt idx="10">
                  <c:v>550</c:v>
                </c:pt>
                <c:pt idx="11">
                  <c:v>642</c:v>
                </c:pt>
                <c:pt idx="12">
                  <c:v>444</c:v>
                </c:pt>
                <c:pt idx="13">
                  <c:v>490</c:v>
                </c:pt>
                <c:pt idx="14">
                  <c:v>471</c:v>
                </c:pt>
                <c:pt idx="15">
                  <c:v>368</c:v>
                </c:pt>
                <c:pt idx="16">
                  <c:v>237</c:v>
                </c:pt>
                <c:pt idx="17">
                  <c:v>141</c:v>
                </c:pt>
                <c:pt idx="18">
                  <c:v>82</c:v>
                </c:pt>
                <c:pt idx="19">
                  <c:v>31</c:v>
                </c:pt>
                <c:pt idx="20">
                  <c:v>43</c:v>
                </c:pt>
                <c:pt idx="21">
                  <c:v>62</c:v>
                </c:pt>
                <c:pt idx="22">
                  <c:v>82</c:v>
                </c:pt>
                <c:pt idx="23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30784"/>
        <c:axId val="94244864"/>
      </c:lineChart>
      <c:catAx>
        <c:axId val="94230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44864"/>
        <c:crosses val="autoZero"/>
        <c:auto val="1"/>
        <c:lblAlgn val="ctr"/>
        <c:lblOffset val="100"/>
        <c:noMultiLvlLbl val="0"/>
      </c:catAx>
      <c:valAx>
        <c:axId val="94244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Nalya-Bweyogerere-24h'!$C$107:$N$107</c:f>
              <c:numCache>
                <c:formatCode>0.0%</c:formatCode>
                <c:ptCount val="12"/>
                <c:pt idx="0">
                  <c:v>0.2361431870669746</c:v>
                </c:pt>
                <c:pt idx="1">
                  <c:v>8.9145496535796773E-2</c:v>
                </c:pt>
                <c:pt idx="2">
                  <c:v>4.214780600461894E-2</c:v>
                </c:pt>
                <c:pt idx="3">
                  <c:v>0.19688221709006928</c:v>
                </c:pt>
                <c:pt idx="4">
                  <c:v>3.9260969976905313E-3</c:v>
                </c:pt>
                <c:pt idx="5">
                  <c:v>6.928406466512702E-4</c:v>
                </c:pt>
                <c:pt idx="6">
                  <c:v>4.3648960739030025E-2</c:v>
                </c:pt>
                <c:pt idx="7">
                  <c:v>4.5958429561200921E-2</c:v>
                </c:pt>
                <c:pt idx="8">
                  <c:v>3.048498845265589E-2</c:v>
                </c:pt>
                <c:pt idx="9">
                  <c:v>3.6027713625866049E-2</c:v>
                </c:pt>
                <c:pt idx="10">
                  <c:v>0.27482678983833719</c:v>
                </c:pt>
                <c:pt idx="11">
                  <c:v>1.1547344110854503E-4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Nalya-Bweyogerere-24h'!$C$9:$N$9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Nalya-Bweyogerere-24h'!$C$108:$N$108</c:f>
              <c:numCache>
                <c:formatCode>0.00%</c:formatCode>
                <c:ptCount val="12"/>
                <c:pt idx="0">
                  <c:v>0.32563694267515925</c:v>
                </c:pt>
                <c:pt idx="1">
                  <c:v>0.12292993630573248</c:v>
                </c:pt>
                <c:pt idx="2">
                  <c:v>5.8121019108280256E-2</c:v>
                </c:pt>
                <c:pt idx="3">
                  <c:v>0.27149681528662423</c:v>
                </c:pt>
                <c:pt idx="4">
                  <c:v>5.4140127388535028E-3</c:v>
                </c:pt>
                <c:pt idx="5">
                  <c:v>9.5541401273885351E-4</c:v>
                </c:pt>
                <c:pt idx="6">
                  <c:v>6.0191082802547771E-2</c:v>
                </c:pt>
                <c:pt idx="7">
                  <c:v>6.3375796178343949E-2</c:v>
                </c:pt>
                <c:pt idx="8">
                  <c:v>4.2038216560509552E-2</c:v>
                </c:pt>
                <c:pt idx="9">
                  <c:v>4.9681528662420385E-2</c:v>
                </c:pt>
                <c:pt idx="11">
                  <c:v>1.5923566878980891E-4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Bweyogerere-Nalya-24h'!$AE$9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Bweyogerere-Nalya-24h'!$AE$10:$AE$33</c:f>
              <c:numCache>
                <c:formatCode>0</c:formatCode>
                <c:ptCount val="24"/>
                <c:pt idx="0">
                  <c:v>245</c:v>
                </c:pt>
                <c:pt idx="1">
                  <c:v>326</c:v>
                </c:pt>
                <c:pt idx="2">
                  <c:v>449</c:v>
                </c:pt>
                <c:pt idx="3">
                  <c:v>455</c:v>
                </c:pt>
                <c:pt idx="4">
                  <c:v>532</c:v>
                </c:pt>
                <c:pt idx="5">
                  <c:v>507</c:v>
                </c:pt>
                <c:pt idx="6">
                  <c:v>416</c:v>
                </c:pt>
                <c:pt idx="7">
                  <c:v>423</c:v>
                </c:pt>
                <c:pt idx="8">
                  <c:v>331</c:v>
                </c:pt>
                <c:pt idx="9">
                  <c:v>320</c:v>
                </c:pt>
                <c:pt idx="10">
                  <c:v>371</c:v>
                </c:pt>
                <c:pt idx="11">
                  <c:v>607</c:v>
                </c:pt>
                <c:pt idx="12">
                  <c:v>253</c:v>
                </c:pt>
                <c:pt idx="13">
                  <c:v>332</c:v>
                </c:pt>
                <c:pt idx="14">
                  <c:v>281</c:v>
                </c:pt>
                <c:pt idx="15">
                  <c:v>238</c:v>
                </c:pt>
                <c:pt idx="16">
                  <c:v>133</c:v>
                </c:pt>
                <c:pt idx="17">
                  <c:v>97</c:v>
                </c:pt>
                <c:pt idx="18">
                  <c:v>54</c:v>
                </c:pt>
                <c:pt idx="19">
                  <c:v>36</c:v>
                </c:pt>
                <c:pt idx="20">
                  <c:v>30</c:v>
                </c:pt>
                <c:pt idx="21">
                  <c:v>32</c:v>
                </c:pt>
                <c:pt idx="22">
                  <c:v>77</c:v>
                </c:pt>
                <c:pt idx="23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Bweyogerere-Nalya-24h'!$AF$9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Bweyogerere-Nalya-24h'!$R$10:$R$33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Bweyogerere-Nalya-24h'!$AF$10:$AF$33</c:f>
              <c:numCache>
                <c:formatCode>0</c:formatCode>
                <c:ptCount val="24"/>
                <c:pt idx="0">
                  <c:v>339</c:v>
                </c:pt>
                <c:pt idx="1">
                  <c:v>475</c:v>
                </c:pt>
                <c:pt idx="2">
                  <c:v>627</c:v>
                </c:pt>
                <c:pt idx="3">
                  <c:v>593</c:v>
                </c:pt>
                <c:pt idx="4">
                  <c:v>676</c:v>
                </c:pt>
                <c:pt idx="5">
                  <c:v>651</c:v>
                </c:pt>
                <c:pt idx="6">
                  <c:v>551</c:v>
                </c:pt>
                <c:pt idx="7">
                  <c:v>566</c:v>
                </c:pt>
                <c:pt idx="8">
                  <c:v>460</c:v>
                </c:pt>
                <c:pt idx="9">
                  <c:v>474</c:v>
                </c:pt>
                <c:pt idx="10">
                  <c:v>537</c:v>
                </c:pt>
                <c:pt idx="11">
                  <c:v>829</c:v>
                </c:pt>
                <c:pt idx="12">
                  <c:v>370</c:v>
                </c:pt>
                <c:pt idx="13">
                  <c:v>476</c:v>
                </c:pt>
                <c:pt idx="14">
                  <c:v>381</c:v>
                </c:pt>
                <c:pt idx="15">
                  <c:v>295</c:v>
                </c:pt>
                <c:pt idx="16">
                  <c:v>154</c:v>
                </c:pt>
                <c:pt idx="17">
                  <c:v>106</c:v>
                </c:pt>
                <c:pt idx="18">
                  <c:v>60</c:v>
                </c:pt>
                <c:pt idx="19">
                  <c:v>36</c:v>
                </c:pt>
                <c:pt idx="20">
                  <c:v>35</c:v>
                </c:pt>
                <c:pt idx="21">
                  <c:v>37</c:v>
                </c:pt>
                <c:pt idx="22">
                  <c:v>90</c:v>
                </c:pt>
                <c:pt idx="23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73696"/>
        <c:axId val="98175232"/>
      </c:lineChart>
      <c:catAx>
        <c:axId val="98173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75232"/>
        <c:crosses val="autoZero"/>
        <c:auto val="1"/>
        <c:lblAlgn val="ctr"/>
        <c:lblOffset val="100"/>
        <c:noMultiLvlLbl val="0"/>
      </c:catAx>
      <c:valAx>
        <c:axId val="9817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Bweyogerere-Nalya-24h'!$C$107:$N$107</c:f>
              <c:numCache>
                <c:formatCode>0.0%</c:formatCode>
                <c:ptCount val="12"/>
                <c:pt idx="0">
                  <c:v>0.26309909507317619</c:v>
                </c:pt>
                <c:pt idx="1">
                  <c:v>9.9653669981007706E-2</c:v>
                </c:pt>
                <c:pt idx="2">
                  <c:v>4.6140096078650432E-2</c:v>
                </c:pt>
                <c:pt idx="3">
                  <c:v>0.18355491006591443</c:v>
                </c:pt>
                <c:pt idx="4">
                  <c:v>6.0328454921237847E-3</c:v>
                </c:pt>
                <c:pt idx="5">
                  <c:v>2.2343872193051055E-4</c:v>
                </c:pt>
                <c:pt idx="6">
                  <c:v>3.6308792313707969E-2</c:v>
                </c:pt>
                <c:pt idx="7">
                  <c:v>4.0777566752318174E-2</c:v>
                </c:pt>
                <c:pt idx="8">
                  <c:v>2.8600156407105351E-2</c:v>
                </c:pt>
                <c:pt idx="9">
                  <c:v>3.7761144006256284E-2</c:v>
                </c:pt>
                <c:pt idx="10">
                  <c:v>0.25773656574684395</c:v>
                </c:pt>
                <c:pt idx="11">
                  <c:v>1.1171936096525528E-4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Bweyogerere-Nalya-24h'!$C$9:$N$9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Bweyogerere-Nalya-24h'!$C$108:$N$108</c:f>
              <c:numCache>
                <c:formatCode>0.00%</c:formatCode>
                <c:ptCount val="12"/>
                <c:pt idx="0">
                  <c:v>0.35445514750150514</c:v>
                </c:pt>
                <c:pt idx="1">
                  <c:v>0.13425647200481639</c:v>
                </c:pt>
                <c:pt idx="2">
                  <c:v>6.2161348585189645E-2</c:v>
                </c:pt>
                <c:pt idx="3">
                  <c:v>0.24729078868151716</c:v>
                </c:pt>
                <c:pt idx="4">
                  <c:v>8.1276339554485245E-3</c:v>
                </c:pt>
                <c:pt idx="5">
                  <c:v>3.0102347983142685E-4</c:v>
                </c:pt>
                <c:pt idx="6">
                  <c:v>4.8916315472606865E-2</c:v>
                </c:pt>
                <c:pt idx="7">
                  <c:v>5.4936785069235397E-2</c:v>
                </c:pt>
                <c:pt idx="8">
                  <c:v>3.8531005418422637E-2</c:v>
                </c:pt>
                <c:pt idx="9">
                  <c:v>5.0872968091511137E-2</c:v>
                </c:pt>
                <c:pt idx="11">
                  <c:v>1.5051173991571343E-4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Nalya-Bweyogerere'!$AE$10:$AE$21</c:f>
              <c:numCache>
                <c:formatCode>0</c:formatCode>
                <c:ptCount val="12"/>
                <c:pt idx="0">
                  <c:v>220</c:v>
                </c:pt>
                <c:pt idx="1">
                  <c:v>250</c:v>
                </c:pt>
                <c:pt idx="2">
                  <c:v>240</c:v>
                </c:pt>
                <c:pt idx="3">
                  <c:v>298</c:v>
                </c:pt>
                <c:pt idx="4">
                  <c:v>286</c:v>
                </c:pt>
                <c:pt idx="5">
                  <c:v>305</c:v>
                </c:pt>
                <c:pt idx="6">
                  <c:v>327</c:v>
                </c:pt>
                <c:pt idx="7">
                  <c:v>308</c:v>
                </c:pt>
                <c:pt idx="8">
                  <c:v>236</c:v>
                </c:pt>
                <c:pt idx="9">
                  <c:v>370</c:v>
                </c:pt>
                <c:pt idx="10">
                  <c:v>348</c:v>
                </c:pt>
                <c:pt idx="11">
                  <c:v>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Nalya-Bweyogerere'!$AF$10:$AF$21</c:f>
              <c:numCache>
                <c:formatCode>0</c:formatCode>
                <c:ptCount val="12"/>
                <c:pt idx="0">
                  <c:v>326</c:v>
                </c:pt>
                <c:pt idx="1">
                  <c:v>408</c:v>
                </c:pt>
                <c:pt idx="2">
                  <c:v>396</c:v>
                </c:pt>
                <c:pt idx="3">
                  <c:v>441</c:v>
                </c:pt>
                <c:pt idx="4">
                  <c:v>466</c:v>
                </c:pt>
                <c:pt idx="5">
                  <c:v>477</c:v>
                </c:pt>
                <c:pt idx="6">
                  <c:v>503</c:v>
                </c:pt>
                <c:pt idx="7">
                  <c:v>469</c:v>
                </c:pt>
                <c:pt idx="8">
                  <c:v>389</c:v>
                </c:pt>
                <c:pt idx="9">
                  <c:v>525</c:v>
                </c:pt>
                <c:pt idx="10">
                  <c:v>509</c:v>
                </c:pt>
                <c:pt idx="11">
                  <c:v>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34976"/>
        <c:axId val="98344960"/>
      </c:lineChart>
      <c:catAx>
        <c:axId val="98334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44960"/>
        <c:crosses val="autoZero"/>
        <c:auto val="1"/>
        <c:lblAlgn val="ctr"/>
        <c:lblOffset val="100"/>
        <c:noMultiLvlLbl val="0"/>
      </c:catAx>
      <c:valAx>
        <c:axId val="98344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3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Nalya-Bweyogerere'!$C$59:$N$59</c:f>
              <c:numCache>
                <c:formatCode>0.0%</c:formatCode>
                <c:ptCount val="12"/>
                <c:pt idx="0">
                  <c:v>0.19204937375204212</c:v>
                </c:pt>
                <c:pt idx="1">
                  <c:v>7.8780177890724265E-2</c:v>
                </c:pt>
                <c:pt idx="2">
                  <c:v>3.1040116173534218E-2</c:v>
                </c:pt>
                <c:pt idx="3">
                  <c:v>0.25412960609911056</c:v>
                </c:pt>
                <c:pt idx="4">
                  <c:v>1.4521691777092032E-3</c:v>
                </c:pt>
                <c:pt idx="5">
                  <c:v>1.8152114721365039E-4</c:v>
                </c:pt>
                <c:pt idx="6">
                  <c:v>2.9406425848611362E-2</c:v>
                </c:pt>
                <c:pt idx="7">
                  <c:v>2.0511889635142493E-2</c:v>
                </c:pt>
                <c:pt idx="8">
                  <c:v>1.3069522599382828E-2</c:v>
                </c:pt>
                <c:pt idx="9">
                  <c:v>3.3218369940098025E-2</c:v>
                </c:pt>
                <c:pt idx="10">
                  <c:v>0.34616082773643131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Nalya-Bweyogerere'!$S$9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Nalya-Bweyogerere'!$S$10:$S$21</c:f>
              <c:numCache>
                <c:formatCode>0</c:formatCode>
                <c:ptCount val="12"/>
                <c:pt idx="0">
                  <c:v>47</c:v>
                </c:pt>
                <c:pt idx="1">
                  <c:v>48</c:v>
                </c:pt>
                <c:pt idx="2">
                  <c:v>61</c:v>
                </c:pt>
                <c:pt idx="3">
                  <c:v>87</c:v>
                </c:pt>
                <c:pt idx="4">
                  <c:v>65</c:v>
                </c:pt>
                <c:pt idx="5">
                  <c:v>102</c:v>
                </c:pt>
                <c:pt idx="6">
                  <c:v>128</c:v>
                </c:pt>
                <c:pt idx="7">
                  <c:v>111</c:v>
                </c:pt>
                <c:pt idx="8">
                  <c:v>86</c:v>
                </c:pt>
                <c:pt idx="9">
                  <c:v>118</c:v>
                </c:pt>
                <c:pt idx="10">
                  <c:v>93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Nalya-Bweyogerere'!$T$9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Nalya-Bweyogerere'!$R$10:$R$21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Nalya-Bweyogerere'!$T$10:$T$21</c:f>
              <c:numCache>
                <c:formatCode>0</c:formatCode>
                <c:ptCount val="12"/>
                <c:pt idx="0">
                  <c:v>30</c:v>
                </c:pt>
                <c:pt idx="1">
                  <c:v>37</c:v>
                </c:pt>
                <c:pt idx="2">
                  <c:v>32</c:v>
                </c:pt>
                <c:pt idx="3">
                  <c:v>46</c:v>
                </c:pt>
                <c:pt idx="4">
                  <c:v>53</c:v>
                </c:pt>
                <c:pt idx="5">
                  <c:v>20</c:v>
                </c:pt>
                <c:pt idx="6">
                  <c:v>36</c:v>
                </c:pt>
                <c:pt idx="7">
                  <c:v>18</c:v>
                </c:pt>
                <c:pt idx="8">
                  <c:v>15</c:v>
                </c:pt>
                <c:pt idx="9">
                  <c:v>39</c:v>
                </c:pt>
                <c:pt idx="10">
                  <c:v>55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Nalya-Bweyogerere'!$U$9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Nalya-Bweyogerere'!$U$10:$U$21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13</c:v>
                </c:pt>
                <c:pt idx="3">
                  <c:v>28</c:v>
                </c:pt>
                <c:pt idx="4">
                  <c:v>12</c:v>
                </c:pt>
                <c:pt idx="5">
                  <c:v>16</c:v>
                </c:pt>
                <c:pt idx="6">
                  <c:v>13</c:v>
                </c:pt>
                <c:pt idx="7">
                  <c:v>18</c:v>
                </c:pt>
                <c:pt idx="8">
                  <c:v>9</c:v>
                </c:pt>
                <c:pt idx="9">
                  <c:v>17</c:v>
                </c:pt>
                <c:pt idx="10">
                  <c:v>12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Nalya-Bweyogerere'!$V$9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Nalya-Bweyogerere'!$V$10:$V$21</c:f>
              <c:numCache>
                <c:formatCode>0</c:formatCode>
                <c:ptCount val="12"/>
                <c:pt idx="0">
                  <c:v>88</c:v>
                </c:pt>
                <c:pt idx="1">
                  <c:v>117</c:v>
                </c:pt>
                <c:pt idx="2">
                  <c:v>110</c:v>
                </c:pt>
                <c:pt idx="3">
                  <c:v>109</c:v>
                </c:pt>
                <c:pt idx="4">
                  <c:v>112</c:v>
                </c:pt>
                <c:pt idx="5">
                  <c:v>123</c:v>
                </c:pt>
                <c:pt idx="6">
                  <c:v>109</c:v>
                </c:pt>
                <c:pt idx="7">
                  <c:v>113</c:v>
                </c:pt>
                <c:pt idx="8">
                  <c:v>78</c:v>
                </c:pt>
                <c:pt idx="9">
                  <c:v>149</c:v>
                </c:pt>
                <c:pt idx="10">
                  <c:v>135</c:v>
                </c:pt>
                <c:pt idx="11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Nalya-Bweyogerere'!$W$9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Nalya-Bweyogerere'!$X$9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Nalya-Bweyogerere'!$Y$9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Nalya-Bweyogerere'!$Y$10:$Y$21</c:f>
              <c:numCache>
                <c:formatCode>0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8</c:v>
                </c:pt>
                <c:pt idx="3">
                  <c:v>7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7</c:v>
                </c:pt>
                <c:pt idx="9">
                  <c:v>14</c:v>
                </c:pt>
                <c:pt idx="10">
                  <c:v>16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Nalya-Bweyogerere'!$Z$9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Nalya-Bweyogerere'!$Z$10:$Z$21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Nalya-Bweyogerere'!$AA$9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Nalya-Bweyogerere'!$AA$10:$AA$21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Nalya-Bweyogerere'!$AB$9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Nalya-Bweyogerere'!$AB$10:$AB$21</c:f>
              <c:numCache>
                <c:formatCode>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17</c:v>
                </c:pt>
                <c:pt idx="5">
                  <c:v>15</c:v>
                </c:pt>
                <c:pt idx="6">
                  <c:v>19</c:v>
                </c:pt>
                <c:pt idx="7">
                  <c:v>19</c:v>
                </c:pt>
                <c:pt idx="8">
                  <c:v>28</c:v>
                </c:pt>
                <c:pt idx="9">
                  <c:v>20</c:v>
                </c:pt>
                <c:pt idx="10">
                  <c:v>24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Nalya-Bweyogerere'!$AC$9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Nalya-Bweyogerere'!$AC$10:$AC$21</c:f>
              <c:numCache>
                <c:formatCode>0</c:formatCode>
                <c:ptCount val="12"/>
                <c:pt idx="0">
                  <c:v>106</c:v>
                </c:pt>
                <c:pt idx="1">
                  <c:v>158</c:v>
                </c:pt>
                <c:pt idx="2">
                  <c:v>156</c:v>
                </c:pt>
                <c:pt idx="3">
                  <c:v>143</c:v>
                </c:pt>
                <c:pt idx="4">
                  <c:v>180</c:v>
                </c:pt>
                <c:pt idx="5">
                  <c:v>172</c:v>
                </c:pt>
                <c:pt idx="6">
                  <c:v>176</c:v>
                </c:pt>
                <c:pt idx="7">
                  <c:v>161</c:v>
                </c:pt>
                <c:pt idx="8">
                  <c:v>153</c:v>
                </c:pt>
                <c:pt idx="9">
                  <c:v>155</c:v>
                </c:pt>
                <c:pt idx="10">
                  <c:v>161</c:v>
                </c:pt>
                <c:pt idx="11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Nalya-Bweyogerere'!$AD$9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Nalya-Bweyogerere'!$AD$10:$AD$21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65536"/>
        <c:axId val="98867072"/>
      </c:lineChart>
      <c:catAx>
        <c:axId val="9886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67072"/>
        <c:crosses val="autoZero"/>
        <c:auto val="1"/>
        <c:lblAlgn val="ctr"/>
        <c:lblOffset val="100"/>
        <c:noMultiLvlLbl val="0"/>
      </c:catAx>
      <c:valAx>
        <c:axId val="988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6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Nalya-Bweyogerere'!$C$60:$N$60</c:f>
              <c:numCache>
                <c:formatCode>0.00%</c:formatCode>
                <c:ptCount val="12"/>
                <c:pt idx="0">
                  <c:v>0.29372570794003333</c:v>
                </c:pt>
                <c:pt idx="1">
                  <c:v>0.12048861743475847</c:v>
                </c:pt>
                <c:pt idx="2">
                  <c:v>4.7473625763464741E-2</c:v>
                </c:pt>
                <c:pt idx="3">
                  <c:v>0.38867295946696279</c:v>
                </c:pt>
                <c:pt idx="4">
                  <c:v>2.2209883398112162E-3</c:v>
                </c:pt>
                <c:pt idx="5">
                  <c:v>2.7762354247640202E-4</c:v>
                </c:pt>
                <c:pt idx="6">
                  <c:v>4.4975013881177126E-2</c:v>
                </c:pt>
                <c:pt idx="7">
                  <c:v>3.1371460299833426E-2</c:v>
                </c:pt>
                <c:pt idx="8">
                  <c:v>1.9988895058300944E-2</c:v>
                </c:pt>
                <c:pt idx="9">
                  <c:v>5.0805108273181569E-2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Bweyogerere-Nalya'!$AE$9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Bweyogerere-Nalya'!$AE$10:$AE$21</c:f>
              <c:numCache>
                <c:formatCode>0</c:formatCode>
                <c:ptCount val="12"/>
                <c:pt idx="0">
                  <c:v>175</c:v>
                </c:pt>
                <c:pt idx="1">
                  <c:v>233</c:v>
                </c:pt>
                <c:pt idx="2">
                  <c:v>246</c:v>
                </c:pt>
                <c:pt idx="3">
                  <c:v>292</c:v>
                </c:pt>
                <c:pt idx="4">
                  <c:v>279</c:v>
                </c:pt>
                <c:pt idx="5">
                  <c:v>253</c:v>
                </c:pt>
                <c:pt idx="6">
                  <c:v>289</c:v>
                </c:pt>
                <c:pt idx="7">
                  <c:v>277</c:v>
                </c:pt>
                <c:pt idx="8">
                  <c:v>292</c:v>
                </c:pt>
                <c:pt idx="9">
                  <c:v>306</c:v>
                </c:pt>
                <c:pt idx="10">
                  <c:v>256</c:v>
                </c:pt>
                <c:pt idx="11">
                  <c:v>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Bweyogerere-Nalya'!$AF$9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Bweyogerere-Nalya'!$AF$10:$AF$21</c:f>
              <c:numCache>
                <c:formatCode>0</c:formatCode>
                <c:ptCount val="12"/>
                <c:pt idx="0">
                  <c:v>269</c:v>
                </c:pt>
                <c:pt idx="1">
                  <c:v>382</c:v>
                </c:pt>
                <c:pt idx="2">
                  <c:v>405</c:v>
                </c:pt>
                <c:pt idx="3">
                  <c:v>483</c:v>
                </c:pt>
                <c:pt idx="4">
                  <c:v>478</c:v>
                </c:pt>
                <c:pt idx="5">
                  <c:v>390</c:v>
                </c:pt>
                <c:pt idx="6">
                  <c:v>463</c:v>
                </c:pt>
                <c:pt idx="7">
                  <c:v>445</c:v>
                </c:pt>
                <c:pt idx="8">
                  <c:v>448</c:v>
                </c:pt>
                <c:pt idx="9">
                  <c:v>466</c:v>
                </c:pt>
                <c:pt idx="10">
                  <c:v>418</c:v>
                </c:pt>
                <c:pt idx="11">
                  <c:v>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6448"/>
        <c:axId val="99177984"/>
      </c:lineChart>
      <c:catAx>
        <c:axId val="99176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77984"/>
        <c:crosses val="autoZero"/>
        <c:auto val="1"/>
        <c:lblAlgn val="ctr"/>
        <c:lblOffset val="100"/>
        <c:noMultiLvlLbl val="0"/>
      </c:catAx>
      <c:valAx>
        <c:axId val="9917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Bweyogerere-Nalya'!$C$59:$N$59</c:f>
              <c:numCache>
                <c:formatCode>0.0%</c:formatCode>
                <c:ptCount val="12"/>
                <c:pt idx="0">
                  <c:v>0.20460210930009587</c:v>
                </c:pt>
                <c:pt idx="1">
                  <c:v>7.5934803451581975E-2</c:v>
                </c:pt>
                <c:pt idx="2">
                  <c:v>2.9530201342281879E-2</c:v>
                </c:pt>
                <c:pt idx="3">
                  <c:v>0.22627037392138064</c:v>
                </c:pt>
                <c:pt idx="4">
                  <c:v>1.9175455417066154E-3</c:v>
                </c:pt>
                <c:pt idx="5">
                  <c:v>0</c:v>
                </c:pt>
                <c:pt idx="6">
                  <c:v>2.3585810162991373E-2</c:v>
                </c:pt>
                <c:pt idx="7">
                  <c:v>1.8600191754554171E-2</c:v>
                </c:pt>
                <c:pt idx="8">
                  <c:v>8.6289549376797701E-3</c:v>
                </c:pt>
                <c:pt idx="9">
                  <c:v>3.5858101629913708E-2</c:v>
                </c:pt>
                <c:pt idx="10">
                  <c:v>0.37507190795781398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Bweyogerere-Nalya'!$S$9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Bweyogerere-Nalya'!$S$10:$S$21</c:f>
              <c:numCache>
                <c:formatCode>0</c:formatCode>
                <c:ptCount val="12"/>
                <c:pt idx="0">
                  <c:v>45</c:v>
                </c:pt>
                <c:pt idx="1">
                  <c:v>52</c:v>
                </c:pt>
                <c:pt idx="2">
                  <c:v>73</c:v>
                </c:pt>
                <c:pt idx="3">
                  <c:v>73</c:v>
                </c:pt>
                <c:pt idx="4">
                  <c:v>70</c:v>
                </c:pt>
                <c:pt idx="5">
                  <c:v>92</c:v>
                </c:pt>
                <c:pt idx="6">
                  <c:v>110</c:v>
                </c:pt>
                <c:pt idx="7">
                  <c:v>108</c:v>
                </c:pt>
                <c:pt idx="8">
                  <c:v>115</c:v>
                </c:pt>
                <c:pt idx="9">
                  <c:v>114</c:v>
                </c:pt>
                <c:pt idx="10">
                  <c:v>76</c:v>
                </c:pt>
                <c:pt idx="11">
                  <c:v>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Bweyogerere-Nalya'!$T$9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Bweyogerere-Nalya'!$R$10:$R$21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Bweyogerere-Nalya'!$T$10:$T$21</c:f>
              <c:numCache>
                <c:formatCode>0</c:formatCode>
                <c:ptCount val="12"/>
                <c:pt idx="0">
                  <c:v>16</c:v>
                </c:pt>
                <c:pt idx="1">
                  <c:v>34</c:v>
                </c:pt>
                <c:pt idx="2">
                  <c:v>34</c:v>
                </c:pt>
                <c:pt idx="3">
                  <c:v>52</c:v>
                </c:pt>
                <c:pt idx="4">
                  <c:v>57</c:v>
                </c:pt>
                <c:pt idx="5">
                  <c:v>32</c:v>
                </c:pt>
                <c:pt idx="6">
                  <c:v>29</c:v>
                </c:pt>
                <c:pt idx="7">
                  <c:v>34</c:v>
                </c:pt>
                <c:pt idx="8">
                  <c:v>32</c:v>
                </c:pt>
                <c:pt idx="9">
                  <c:v>30</c:v>
                </c:pt>
                <c:pt idx="10">
                  <c:v>20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Bweyogerere-Nalya'!$U$9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Bweyogerere-Nalya'!$U$10:$U$21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16</c:v>
                </c:pt>
                <c:pt idx="4">
                  <c:v>15</c:v>
                </c:pt>
                <c:pt idx="5">
                  <c:v>10</c:v>
                </c:pt>
                <c:pt idx="6">
                  <c:v>15</c:v>
                </c:pt>
                <c:pt idx="7">
                  <c:v>17</c:v>
                </c:pt>
                <c:pt idx="8">
                  <c:v>10</c:v>
                </c:pt>
                <c:pt idx="9">
                  <c:v>14</c:v>
                </c:pt>
                <c:pt idx="10">
                  <c:v>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Bweyogerere-Nalya'!$V$9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Bweyogerere-Nalya'!$V$10:$V$21</c:f>
              <c:numCache>
                <c:formatCode>0</c:formatCode>
                <c:ptCount val="12"/>
                <c:pt idx="0">
                  <c:v>72</c:v>
                </c:pt>
                <c:pt idx="1">
                  <c:v>97</c:v>
                </c:pt>
                <c:pt idx="2">
                  <c:v>88</c:v>
                </c:pt>
                <c:pt idx="3">
                  <c:v>101</c:v>
                </c:pt>
                <c:pt idx="4">
                  <c:v>103</c:v>
                </c:pt>
                <c:pt idx="5">
                  <c:v>83</c:v>
                </c:pt>
                <c:pt idx="6">
                  <c:v>86</c:v>
                </c:pt>
                <c:pt idx="7">
                  <c:v>86</c:v>
                </c:pt>
                <c:pt idx="8">
                  <c:v>99</c:v>
                </c:pt>
                <c:pt idx="9">
                  <c:v>108</c:v>
                </c:pt>
                <c:pt idx="10">
                  <c:v>110</c:v>
                </c:pt>
                <c:pt idx="1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Bweyogerere-Nalya'!$W$9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Bweyogerere-Nalya'!$X$9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Bweyogerere-Nalya'!$Y$9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Bweyogerere-Nalya'!$Y$10:$Y$21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15</c:v>
                </c:pt>
                <c:pt idx="6">
                  <c:v>13</c:v>
                </c:pt>
                <c:pt idx="7">
                  <c:v>7</c:v>
                </c:pt>
                <c:pt idx="8">
                  <c:v>12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Bweyogerere-Nalya'!$Z$9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Bweyogerere-Nalya'!$Z$10:$Z$21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Bweyogerere-Nalya'!$AA$9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Bweyogerere-Nalya'!$AB$9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Bweyogerere-Nalya'!$AB$10:$AB$21</c:f>
              <c:numCache>
                <c:formatCode>0</c:formatCode>
                <c:ptCount val="12"/>
                <c:pt idx="0">
                  <c:v>19</c:v>
                </c:pt>
                <c:pt idx="1">
                  <c:v>20</c:v>
                </c:pt>
                <c:pt idx="2">
                  <c:v>15</c:v>
                </c:pt>
                <c:pt idx="3">
                  <c:v>29</c:v>
                </c:pt>
                <c:pt idx="4">
                  <c:v>16</c:v>
                </c:pt>
                <c:pt idx="5">
                  <c:v>9</c:v>
                </c:pt>
                <c:pt idx="6">
                  <c:v>19</c:v>
                </c:pt>
                <c:pt idx="7">
                  <c:v>13</c:v>
                </c:pt>
                <c:pt idx="8">
                  <c:v>10</c:v>
                </c:pt>
                <c:pt idx="9">
                  <c:v>16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Bweyogerere-Nalya'!$AC$9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Bweyogerere-Nalya'!$AC$10:$AC$21</c:f>
              <c:numCache>
                <c:formatCode>0</c:formatCode>
                <c:ptCount val="12"/>
                <c:pt idx="0">
                  <c:v>94</c:v>
                </c:pt>
                <c:pt idx="1">
                  <c:v>149</c:v>
                </c:pt>
                <c:pt idx="2">
                  <c:v>159</c:v>
                </c:pt>
                <c:pt idx="3">
                  <c:v>191</c:v>
                </c:pt>
                <c:pt idx="4">
                  <c:v>199</c:v>
                </c:pt>
                <c:pt idx="5">
                  <c:v>137</c:v>
                </c:pt>
                <c:pt idx="6">
                  <c:v>174</c:v>
                </c:pt>
                <c:pt idx="7">
                  <c:v>168</c:v>
                </c:pt>
                <c:pt idx="8">
                  <c:v>156</c:v>
                </c:pt>
                <c:pt idx="9">
                  <c:v>160</c:v>
                </c:pt>
                <c:pt idx="10">
                  <c:v>162</c:v>
                </c:pt>
                <c:pt idx="1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Bweyogerere-Nalya'!$AD$9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Bweyogerere-Nalya'!$AD$10:$AD$21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21568"/>
        <c:axId val="101023104"/>
      </c:lineChart>
      <c:catAx>
        <c:axId val="101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23104"/>
        <c:crosses val="autoZero"/>
        <c:auto val="1"/>
        <c:lblAlgn val="ctr"/>
        <c:lblOffset val="100"/>
        <c:noMultiLvlLbl val="0"/>
      </c:catAx>
      <c:valAx>
        <c:axId val="1010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2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Bweyogerere-Nalya'!$C$9:$N$9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Bweyogerere-Nalya'!$C$60:$N$60</c:f>
              <c:numCache>
                <c:formatCode>0.00%</c:formatCode>
                <c:ptCount val="12"/>
                <c:pt idx="0">
                  <c:v>0.32740104326480518</c:v>
                </c:pt>
                <c:pt idx="1">
                  <c:v>0.12150966554157717</c:v>
                </c:pt>
                <c:pt idx="2">
                  <c:v>4.7253758821724452E-2</c:v>
                </c:pt>
                <c:pt idx="3">
                  <c:v>0.36207425590671988</c:v>
                </c:pt>
                <c:pt idx="4">
                  <c:v>3.0684258975145749E-3</c:v>
                </c:pt>
                <c:pt idx="5">
                  <c:v>0</c:v>
                </c:pt>
                <c:pt idx="6">
                  <c:v>3.7741638539429273E-2</c:v>
                </c:pt>
                <c:pt idx="7">
                  <c:v>2.9763731205891378E-2</c:v>
                </c:pt>
                <c:pt idx="8">
                  <c:v>1.3807916538815588E-2</c:v>
                </c:pt>
                <c:pt idx="9">
                  <c:v>5.7379564283522554E-2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Nalya-Bweyogerere'!$AE$9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Nalya-Bweyogerere'!$R$10:$R$33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Nalya-Bweyogerere'!$AE$10:$AE$33</c:f>
              <c:numCache>
                <c:formatCode>0</c:formatCode>
                <c:ptCount val="24"/>
                <c:pt idx="0">
                  <c:v>271.42857142857144</c:v>
                </c:pt>
                <c:pt idx="1">
                  <c:v>307.28571428571428</c:v>
                </c:pt>
                <c:pt idx="2">
                  <c:v>278.42857142857144</c:v>
                </c:pt>
                <c:pt idx="3">
                  <c:v>279.14285714285717</c:v>
                </c:pt>
                <c:pt idx="4">
                  <c:v>276.42857142857139</c:v>
                </c:pt>
                <c:pt idx="5">
                  <c:v>262.28571428571433</c:v>
                </c:pt>
                <c:pt idx="6">
                  <c:v>278.14285714285711</c:v>
                </c:pt>
                <c:pt idx="7">
                  <c:v>261.85714285714283</c:v>
                </c:pt>
                <c:pt idx="8">
                  <c:v>278.71428571428572</c:v>
                </c:pt>
                <c:pt idx="9">
                  <c:v>330.57142857142856</c:v>
                </c:pt>
                <c:pt idx="10">
                  <c:v>399.42857142857144</c:v>
                </c:pt>
                <c:pt idx="11">
                  <c:v>499.14285714285722</c:v>
                </c:pt>
                <c:pt idx="12">
                  <c:v>439.5</c:v>
                </c:pt>
                <c:pt idx="13">
                  <c:v>364.5</c:v>
                </c:pt>
                <c:pt idx="14">
                  <c:v>350</c:v>
                </c:pt>
                <c:pt idx="15">
                  <c:v>229</c:v>
                </c:pt>
                <c:pt idx="16">
                  <c:v>160.5</c:v>
                </c:pt>
                <c:pt idx="17">
                  <c:v>102</c:v>
                </c:pt>
                <c:pt idx="18">
                  <c:v>55.5</c:v>
                </c:pt>
                <c:pt idx="19">
                  <c:v>29.5</c:v>
                </c:pt>
                <c:pt idx="20">
                  <c:v>40</c:v>
                </c:pt>
                <c:pt idx="21">
                  <c:v>47</c:v>
                </c:pt>
                <c:pt idx="22">
                  <c:v>76</c:v>
                </c:pt>
                <c:pt idx="23">
                  <c:v>140.5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Nalya-Bweyogerere'!$AF$9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Nalya-Bweyogerere'!$R$10:$R$33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Nalya-Bweyogerere'!$AF$10:$AF$33</c:f>
              <c:numCache>
                <c:formatCode>0</c:formatCode>
                <c:ptCount val="24"/>
                <c:pt idx="0">
                  <c:v>370.14285714285717</c:v>
                </c:pt>
                <c:pt idx="1">
                  <c:v>436.14285714285711</c:v>
                </c:pt>
                <c:pt idx="2">
                  <c:v>429.42857142857144</c:v>
                </c:pt>
                <c:pt idx="3">
                  <c:v>420.57142857142856</c:v>
                </c:pt>
                <c:pt idx="4">
                  <c:v>424.14285714285711</c:v>
                </c:pt>
                <c:pt idx="5">
                  <c:v>411</c:v>
                </c:pt>
                <c:pt idx="6">
                  <c:v>424.57142857142856</c:v>
                </c:pt>
                <c:pt idx="7">
                  <c:v>400</c:v>
                </c:pt>
                <c:pt idx="8">
                  <c:v>414.42857142857144</c:v>
                </c:pt>
                <c:pt idx="9">
                  <c:v>471.85714285714289</c:v>
                </c:pt>
                <c:pt idx="10">
                  <c:v>563</c:v>
                </c:pt>
                <c:pt idx="11">
                  <c:v>685.71428571428578</c:v>
                </c:pt>
                <c:pt idx="12">
                  <c:v>590</c:v>
                </c:pt>
                <c:pt idx="13">
                  <c:v>515</c:v>
                </c:pt>
                <c:pt idx="14">
                  <c:v>438.5</c:v>
                </c:pt>
                <c:pt idx="15">
                  <c:v>287.5</c:v>
                </c:pt>
                <c:pt idx="16">
                  <c:v>196</c:v>
                </c:pt>
                <c:pt idx="17">
                  <c:v>119</c:v>
                </c:pt>
                <c:pt idx="18">
                  <c:v>67.5</c:v>
                </c:pt>
                <c:pt idx="19">
                  <c:v>31.5</c:v>
                </c:pt>
                <c:pt idx="20">
                  <c:v>44</c:v>
                </c:pt>
                <c:pt idx="21">
                  <c:v>52.5</c:v>
                </c:pt>
                <c:pt idx="22">
                  <c:v>85.5</c:v>
                </c:pt>
                <c:pt idx="23">
                  <c:v>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64384"/>
        <c:axId val="102865920"/>
      </c:lineChart>
      <c:catAx>
        <c:axId val="102864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65920"/>
        <c:crosses val="autoZero"/>
        <c:auto val="1"/>
        <c:lblAlgn val="ctr"/>
        <c:lblOffset val="100"/>
        <c:noMultiLvlLbl val="0"/>
      </c:catAx>
      <c:valAx>
        <c:axId val="102865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6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Nalya-Bweyogerere'!$C$107:$N$107</c:f>
              <c:numCache>
                <c:formatCode>0.0%</c:formatCode>
                <c:ptCount val="12"/>
                <c:pt idx="0">
                  <c:v>0.22255069067149597</c:v>
                </c:pt>
                <c:pt idx="1">
                  <c:v>8.2658641383473563E-2</c:v>
                </c:pt>
                <c:pt idx="2">
                  <c:v>4.2301409751074173E-2</c:v>
                </c:pt>
                <c:pt idx="3">
                  <c:v>0.2024164624835765</c:v>
                </c:pt>
                <c:pt idx="4">
                  <c:v>4.4121302510564241E-3</c:v>
                </c:pt>
                <c:pt idx="5">
                  <c:v>1.0297929761017004E-3</c:v>
                </c:pt>
                <c:pt idx="6">
                  <c:v>3.9833457618692496E-2</c:v>
                </c:pt>
                <c:pt idx="7">
                  <c:v>4.2070594084016887E-2</c:v>
                </c:pt>
                <c:pt idx="8">
                  <c:v>3.4631227584247706E-2</c:v>
                </c:pt>
                <c:pt idx="9">
                  <c:v>4.3473243137672646E-2</c:v>
                </c:pt>
                <c:pt idx="10">
                  <c:v>0.28450694222506295</c:v>
                </c:pt>
                <c:pt idx="11">
                  <c:v>1.1540783352863887E-4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Nalya-Bweyogerere'!$C$9:$N$9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Nalya-Bweyogerere'!$C$108:$N$108</c:f>
              <c:numCache>
                <c:formatCode>0.00%</c:formatCode>
                <c:ptCount val="12"/>
                <c:pt idx="0">
                  <c:v>0.3110452131619435</c:v>
                </c:pt>
                <c:pt idx="1">
                  <c:v>0.11552682515261302</c:v>
                </c:pt>
                <c:pt idx="2">
                  <c:v>5.9122040796069288E-2</c:v>
                </c:pt>
                <c:pt idx="3">
                  <c:v>0.28290485880192562</c:v>
                </c:pt>
                <c:pt idx="4">
                  <c:v>6.1665591344483598E-3</c:v>
                </c:pt>
                <c:pt idx="5">
                  <c:v>1.439277383492977E-3</c:v>
                </c:pt>
                <c:pt idx="6">
                  <c:v>5.5672738101146445E-2</c:v>
                </c:pt>
                <c:pt idx="7">
                  <c:v>5.8799444141148439E-2</c:v>
                </c:pt>
                <c:pt idx="8">
                  <c:v>4.8401905801776765E-2</c:v>
                </c:pt>
                <c:pt idx="9">
                  <c:v>6.075983919797507E-2</c:v>
                </c:pt>
                <c:pt idx="11">
                  <c:v>1.6129832746041988E-4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Bweyogerere-Naalya'!$AE$9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Bweyogerere-Naalya'!$R$10:$R$33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Bweyogerere-Naalya'!$AE$10:$AE$33</c:f>
              <c:numCache>
                <c:formatCode>0</c:formatCode>
                <c:ptCount val="24"/>
                <c:pt idx="0">
                  <c:v>330.57142857142856</c:v>
                </c:pt>
                <c:pt idx="1">
                  <c:v>310.14285714285711</c:v>
                </c:pt>
                <c:pt idx="2">
                  <c:v>302.42857142857144</c:v>
                </c:pt>
                <c:pt idx="3">
                  <c:v>309.28571428571433</c:v>
                </c:pt>
                <c:pt idx="4">
                  <c:v>308.85714285714283</c:v>
                </c:pt>
                <c:pt idx="5">
                  <c:v>317.85714285714283</c:v>
                </c:pt>
                <c:pt idx="6">
                  <c:v>280</c:v>
                </c:pt>
                <c:pt idx="7">
                  <c:v>265.28571428571428</c:v>
                </c:pt>
                <c:pt idx="8">
                  <c:v>275.71428571428572</c:v>
                </c:pt>
                <c:pt idx="9">
                  <c:v>287.71428571428572</c:v>
                </c:pt>
                <c:pt idx="10">
                  <c:v>341.28571428571422</c:v>
                </c:pt>
                <c:pt idx="11">
                  <c:v>411.99999999999994</c:v>
                </c:pt>
                <c:pt idx="12">
                  <c:v>257</c:v>
                </c:pt>
                <c:pt idx="13">
                  <c:v>318</c:v>
                </c:pt>
                <c:pt idx="14">
                  <c:v>263</c:v>
                </c:pt>
                <c:pt idx="15">
                  <c:v>201.5</c:v>
                </c:pt>
                <c:pt idx="16">
                  <c:v>106.5</c:v>
                </c:pt>
                <c:pt idx="17">
                  <c:v>80</c:v>
                </c:pt>
                <c:pt idx="18">
                  <c:v>43.5</c:v>
                </c:pt>
                <c:pt idx="19">
                  <c:v>32.5</c:v>
                </c:pt>
                <c:pt idx="20">
                  <c:v>30.5</c:v>
                </c:pt>
                <c:pt idx="21">
                  <c:v>33.5</c:v>
                </c:pt>
                <c:pt idx="22">
                  <c:v>72</c:v>
                </c:pt>
                <c:pt idx="23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Bweyogerere-Naalya'!$AF$9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Bweyogerere-Naalya'!$R$10:$R$33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Bweyogerere-Naalya'!$AF$10:$AF$33</c:f>
              <c:numCache>
                <c:formatCode>0</c:formatCode>
                <c:ptCount val="24"/>
                <c:pt idx="0">
                  <c:v>441.28571428571428</c:v>
                </c:pt>
                <c:pt idx="1">
                  <c:v>458</c:v>
                </c:pt>
                <c:pt idx="2">
                  <c:v>453.85714285714289</c:v>
                </c:pt>
                <c:pt idx="3">
                  <c:v>463</c:v>
                </c:pt>
                <c:pt idx="4">
                  <c:v>462.42857142857144</c:v>
                </c:pt>
                <c:pt idx="5">
                  <c:v>465.71428571428572</c:v>
                </c:pt>
                <c:pt idx="6">
                  <c:v>411.71428571428578</c:v>
                </c:pt>
                <c:pt idx="7">
                  <c:v>400</c:v>
                </c:pt>
                <c:pt idx="8">
                  <c:v>413.42857142857144</c:v>
                </c:pt>
                <c:pt idx="9">
                  <c:v>425.71428571428572</c:v>
                </c:pt>
                <c:pt idx="10">
                  <c:v>522.85714285714289</c:v>
                </c:pt>
                <c:pt idx="11">
                  <c:v>611.14285714285722</c:v>
                </c:pt>
                <c:pt idx="12">
                  <c:v>396.5</c:v>
                </c:pt>
                <c:pt idx="13">
                  <c:v>463.5</c:v>
                </c:pt>
                <c:pt idx="14">
                  <c:v>379.5</c:v>
                </c:pt>
                <c:pt idx="15">
                  <c:v>262</c:v>
                </c:pt>
                <c:pt idx="16">
                  <c:v>131</c:v>
                </c:pt>
                <c:pt idx="17">
                  <c:v>90.5</c:v>
                </c:pt>
                <c:pt idx="18">
                  <c:v>49</c:v>
                </c:pt>
                <c:pt idx="19">
                  <c:v>33</c:v>
                </c:pt>
                <c:pt idx="20">
                  <c:v>33</c:v>
                </c:pt>
                <c:pt idx="21">
                  <c:v>39.5</c:v>
                </c:pt>
                <c:pt idx="22">
                  <c:v>82.5</c:v>
                </c:pt>
                <c:pt idx="23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92608"/>
        <c:axId val="103514880"/>
      </c:lineChart>
      <c:catAx>
        <c:axId val="103492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14880"/>
        <c:crosses val="autoZero"/>
        <c:auto val="1"/>
        <c:lblAlgn val="ctr"/>
        <c:lblOffset val="100"/>
        <c:noMultiLvlLbl val="0"/>
      </c:catAx>
      <c:valAx>
        <c:axId val="103514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Bweyogerere-Naalya'!$C$9:$N$9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Bweyogerere-Naalya'!$C$107:$N$107</c:f>
              <c:numCache>
                <c:formatCode>0.0%</c:formatCode>
                <c:ptCount val="12"/>
                <c:pt idx="0">
                  <c:v>0.22158345194742771</c:v>
                </c:pt>
                <c:pt idx="1">
                  <c:v>8.3710741815627487E-2</c:v>
                </c:pt>
                <c:pt idx="2">
                  <c:v>3.8504907850712602E-2</c:v>
                </c:pt>
                <c:pt idx="3">
                  <c:v>0.18920642549494421</c:v>
                </c:pt>
                <c:pt idx="4">
                  <c:v>5.194373070595411E-3</c:v>
                </c:pt>
                <c:pt idx="5">
                  <c:v>8.1335379041351627E-4</c:v>
                </c:pt>
                <c:pt idx="6">
                  <c:v>3.4207072480913911E-2</c:v>
                </c:pt>
                <c:pt idx="7">
                  <c:v>4.6647688411557017E-2</c:v>
                </c:pt>
                <c:pt idx="8">
                  <c:v>3.2108989407915407E-2</c:v>
                </c:pt>
                <c:pt idx="9">
                  <c:v>4.4512634711721531E-2</c:v>
                </c:pt>
                <c:pt idx="10">
                  <c:v>0.30317762537663828</c:v>
                </c:pt>
                <c:pt idx="11">
                  <c:v>3.3273564153280211E-4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167661821728471E-2"/>
          <c:y val="0.24071367260739937"/>
          <c:w val="0.82182781835050078"/>
          <c:h val="0.758863473582753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Bweyogerere-Naalya'!$C$9:$N$9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Bweyogerere-Naalya'!$C$108:$N$108</c:f>
              <c:numCache>
                <c:formatCode>0.00%</c:formatCode>
                <c:ptCount val="12"/>
                <c:pt idx="0">
                  <c:v>0.31799129881154492</c:v>
                </c:pt>
                <c:pt idx="1">
                  <c:v>0.12013210950764008</c:v>
                </c:pt>
                <c:pt idx="2">
                  <c:v>5.5257852292020362E-2</c:v>
                </c:pt>
                <c:pt idx="3">
                  <c:v>0.27152748302207119</c:v>
                </c:pt>
                <c:pt idx="4">
                  <c:v>7.4543718166383685E-3</c:v>
                </c:pt>
                <c:pt idx="5">
                  <c:v>1.1672325976230897E-3</c:v>
                </c:pt>
                <c:pt idx="6">
                  <c:v>4.9090089134125624E-2</c:v>
                </c:pt>
                <c:pt idx="7">
                  <c:v>6.6943442275042439E-2</c:v>
                </c:pt>
                <c:pt idx="8">
                  <c:v>4.6079159592529707E-2</c:v>
                </c:pt>
                <c:pt idx="9">
                  <c:v>6.3879456706281826E-2</c:v>
                </c:pt>
                <c:pt idx="11">
                  <c:v>4.7750424448217307E-4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047546890980511"/>
          <c:y val="0.1356752978693197"/>
          <c:w val="0.82101228366016787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Naalya-Bweyogerer-2Dir'!$C$9:$N$9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Naalya-Bweyogerer-2Dir'!$C$107:$N$107</c:f>
              <c:numCache>
                <c:formatCode>0.0%</c:formatCode>
                <c:ptCount val="12"/>
                <c:pt idx="0">
                  <c:v>0.22207681648991567</c:v>
                </c:pt>
                <c:pt idx="1">
                  <c:v>8.3174091415426685E-2</c:v>
                </c:pt>
                <c:pt idx="2">
                  <c:v>4.0441409540024821E-2</c:v>
                </c:pt>
                <c:pt idx="3">
                  <c:v>0.19594453853050653</c:v>
                </c:pt>
                <c:pt idx="4">
                  <c:v>4.7953703619848026E-3</c:v>
                </c:pt>
                <c:pt idx="5">
                  <c:v>9.2375406406506114E-4</c:v>
                </c:pt>
                <c:pt idx="6">
                  <c:v>3.7076952336101573E-2</c:v>
                </c:pt>
                <c:pt idx="7">
                  <c:v>4.4313025837944553E-2</c:v>
                </c:pt>
                <c:pt idx="8">
                  <c:v>3.339552069843052E-2</c:v>
                </c:pt>
                <c:pt idx="9">
                  <c:v>4.3982466785607542E-2</c:v>
                </c:pt>
                <c:pt idx="10">
                  <c:v>0.29365417183636872</c:v>
                </c:pt>
                <c:pt idx="11">
                  <c:v>2.2188210362347055E-4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Naalya-Bweyogerer-2Dir'!$C$9:$N$9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Naalya-Bweyogerer-2Dir'!$C$108:$N$108</c:f>
              <c:numCache>
                <c:formatCode>0.00%</c:formatCode>
                <c:ptCount val="12"/>
                <c:pt idx="0">
                  <c:v>0.31440238992743036</c:v>
                </c:pt>
                <c:pt idx="1">
                  <c:v>0.11775264763956202</c:v>
                </c:pt>
                <c:pt idx="2">
                  <c:v>5.7254404184937317E-2</c:v>
                </c:pt>
                <c:pt idx="3">
                  <c:v>0.27740595430417725</c:v>
                </c:pt>
                <c:pt idx="4">
                  <c:v>6.788983767982152E-3</c:v>
                </c:pt>
                <c:pt idx="5">
                  <c:v>1.3077929071467036E-3</c:v>
                </c:pt>
                <c:pt idx="6">
                  <c:v>5.2491217273123579E-2</c:v>
                </c:pt>
                <c:pt idx="7">
                  <c:v>6.2735595045772752E-2</c:v>
                </c:pt>
                <c:pt idx="8">
                  <c:v>4.7279277893171261E-2</c:v>
                </c:pt>
                <c:pt idx="9">
                  <c:v>6.2267610328999662E-2</c:v>
                </c:pt>
                <c:pt idx="11">
                  <c:v>3.1412672769700229E-4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Naalya-Bweyogerer-2Dir'!$AE$9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Naalya-Bweyogerer-2Dir'!$AE$10:$AE$33</c:f>
              <c:numCache>
                <c:formatCode>0</c:formatCode>
                <c:ptCount val="24"/>
                <c:pt idx="0">
                  <c:v>602</c:v>
                </c:pt>
                <c:pt idx="1">
                  <c:v>617.42857142857133</c:v>
                </c:pt>
                <c:pt idx="2">
                  <c:v>580.85714285714289</c:v>
                </c:pt>
                <c:pt idx="3">
                  <c:v>588.42857142857144</c:v>
                </c:pt>
                <c:pt idx="4">
                  <c:v>585.28571428571433</c:v>
                </c:pt>
                <c:pt idx="5">
                  <c:v>580.14285714285722</c:v>
                </c:pt>
                <c:pt idx="6">
                  <c:v>558.14285714285711</c:v>
                </c:pt>
                <c:pt idx="7">
                  <c:v>527.14285714285711</c:v>
                </c:pt>
                <c:pt idx="8">
                  <c:v>554.42857142857144</c:v>
                </c:pt>
                <c:pt idx="9">
                  <c:v>618.28571428571433</c:v>
                </c:pt>
                <c:pt idx="10">
                  <c:v>740.71428571428567</c:v>
                </c:pt>
                <c:pt idx="11">
                  <c:v>911.14285714285711</c:v>
                </c:pt>
                <c:pt idx="12">
                  <c:v>696.5</c:v>
                </c:pt>
                <c:pt idx="13">
                  <c:v>682.5</c:v>
                </c:pt>
                <c:pt idx="14">
                  <c:v>613</c:v>
                </c:pt>
                <c:pt idx="15">
                  <c:v>430.5</c:v>
                </c:pt>
                <c:pt idx="16">
                  <c:v>267</c:v>
                </c:pt>
                <c:pt idx="17">
                  <c:v>182</c:v>
                </c:pt>
                <c:pt idx="18">
                  <c:v>99</c:v>
                </c:pt>
                <c:pt idx="19">
                  <c:v>62</c:v>
                </c:pt>
                <c:pt idx="20">
                  <c:v>70.5</c:v>
                </c:pt>
                <c:pt idx="21">
                  <c:v>80.5</c:v>
                </c:pt>
                <c:pt idx="22">
                  <c:v>148</c:v>
                </c:pt>
                <c:pt idx="23">
                  <c:v>346.5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Naalya-Bweyogerer-2Dir'!$AF$9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Naalya-Bweyogerer-2Dir'!$AF$10:$AF$33</c:f>
              <c:numCache>
                <c:formatCode>0</c:formatCode>
                <c:ptCount val="24"/>
                <c:pt idx="0">
                  <c:v>811.42857142857133</c:v>
                </c:pt>
                <c:pt idx="1">
                  <c:v>894.14285714285711</c:v>
                </c:pt>
                <c:pt idx="2">
                  <c:v>883.28571428571422</c:v>
                </c:pt>
                <c:pt idx="3">
                  <c:v>883.57142857142867</c:v>
                </c:pt>
                <c:pt idx="4">
                  <c:v>886.57142857142856</c:v>
                </c:pt>
                <c:pt idx="5">
                  <c:v>876.71428571428578</c:v>
                </c:pt>
                <c:pt idx="6">
                  <c:v>836.28571428571422</c:v>
                </c:pt>
                <c:pt idx="7">
                  <c:v>800</c:v>
                </c:pt>
                <c:pt idx="8">
                  <c:v>827.85714285714289</c:v>
                </c:pt>
                <c:pt idx="9">
                  <c:v>897.57142857142867</c:v>
                </c:pt>
                <c:pt idx="10">
                  <c:v>1085.8571428571429</c:v>
                </c:pt>
                <c:pt idx="11">
                  <c:v>1296.8571428571427</c:v>
                </c:pt>
                <c:pt idx="12">
                  <c:v>986.5</c:v>
                </c:pt>
                <c:pt idx="13">
                  <c:v>978.5</c:v>
                </c:pt>
                <c:pt idx="14">
                  <c:v>818</c:v>
                </c:pt>
                <c:pt idx="15">
                  <c:v>549.5</c:v>
                </c:pt>
                <c:pt idx="16">
                  <c:v>327</c:v>
                </c:pt>
                <c:pt idx="17">
                  <c:v>209.5</c:v>
                </c:pt>
                <c:pt idx="18">
                  <c:v>116.5</c:v>
                </c:pt>
                <c:pt idx="19">
                  <c:v>64.5</c:v>
                </c:pt>
                <c:pt idx="20">
                  <c:v>77</c:v>
                </c:pt>
                <c:pt idx="21">
                  <c:v>92</c:v>
                </c:pt>
                <c:pt idx="22">
                  <c:v>168</c:v>
                </c:pt>
                <c:pt idx="23">
                  <c:v>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Naalya-Bweyogerer-2Dir'!$AC$9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Naalya-Bweyogerer-2Dir'!$R$10:$R$33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Naalya-Bweyogerer-2Dir'!$AC$10:$AC$33</c:f>
              <c:numCache>
                <c:formatCode>0</c:formatCode>
                <c:ptCount val="24"/>
                <c:pt idx="0">
                  <c:v>209.42857142857144</c:v>
                </c:pt>
                <c:pt idx="1">
                  <c:v>276.71428571428572</c:v>
                </c:pt>
                <c:pt idx="2">
                  <c:v>302.42857142857144</c:v>
                </c:pt>
                <c:pt idx="3">
                  <c:v>295.14285714285717</c:v>
                </c:pt>
                <c:pt idx="4">
                  <c:v>301.28571428571433</c:v>
                </c:pt>
                <c:pt idx="5">
                  <c:v>296.57142857142856</c:v>
                </c:pt>
                <c:pt idx="6">
                  <c:v>278.14285714285711</c:v>
                </c:pt>
                <c:pt idx="7">
                  <c:v>272.85714285714289</c:v>
                </c:pt>
                <c:pt idx="8">
                  <c:v>273.42857142857144</c:v>
                </c:pt>
                <c:pt idx="9">
                  <c:v>279.28571428571428</c:v>
                </c:pt>
                <c:pt idx="10">
                  <c:v>345.14285714285717</c:v>
                </c:pt>
                <c:pt idx="11">
                  <c:v>385.71428571428567</c:v>
                </c:pt>
                <c:pt idx="12">
                  <c:v>290</c:v>
                </c:pt>
                <c:pt idx="13">
                  <c:v>296</c:v>
                </c:pt>
                <c:pt idx="14">
                  <c:v>205</c:v>
                </c:pt>
                <c:pt idx="15">
                  <c:v>119</c:v>
                </c:pt>
                <c:pt idx="16">
                  <c:v>60</c:v>
                </c:pt>
                <c:pt idx="17">
                  <c:v>27.5</c:v>
                </c:pt>
                <c:pt idx="18">
                  <c:v>17.5</c:v>
                </c:pt>
                <c:pt idx="19">
                  <c:v>2.5</c:v>
                </c:pt>
                <c:pt idx="20">
                  <c:v>6.5</c:v>
                </c:pt>
                <c:pt idx="21">
                  <c:v>11.5</c:v>
                </c:pt>
                <c:pt idx="22">
                  <c:v>20</c:v>
                </c:pt>
                <c:pt idx="23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8176"/>
        <c:axId val="104300928"/>
      </c:lineChart>
      <c:catAx>
        <c:axId val="104258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00928"/>
        <c:crosses val="autoZero"/>
        <c:auto val="1"/>
        <c:lblAlgn val="ctr"/>
        <c:lblOffset val="100"/>
        <c:noMultiLvlLbl val="0"/>
      </c:catAx>
      <c:valAx>
        <c:axId val="104300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25817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Naalya-Bweyogerer-2Dir'!$S$9:$AF$9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Naalya-Bweyogerer-2Dir'!$S$41:$AF$41</c:f>
              <c:numCache>
                <c:formatCode>_-* #,##0_-;\-* #,##0_-;_-* "-"_-;_-@_-</c:formatCode>
                <c:ptCount val="14"/>
                <c:pt idx="0">
                  <c:v>3503.0714285714284</c:v>
                </c:pt>
                <c:pt idx="1">
                  <c:v>1312</c:v>
                </c:pt>
                <c:pt idx="2">
                  <c:v>637.92857142857144</c:v>
                </c:pt>
                <c:pt idx="3">
                  <c:v>3090.8571428571427</c:v>
                </c:pt>
                <c:pt idx="4">
                  <c:v>75.642857142857139</c:v>
                </c:pt>
                <c:pt idx="5">
                  <c:v>14.571428571428569</c:v>
                </c:pt>
                <c:pt idx="6">
                  <c:v>584.85714285714289</c:v>
                </c:pt>
                <c:pt idx="7">
                  <c:v>698.99999999999989</c:v>
                </c:pt>
                <c:pt idx="8">
                  <c:v>526.78571428571433</c:v>
                </c:pt>
                <c:pt idx="9">
                  <c:v>693.78571428571422</c:v>
                </c:pt>
                <c:pt idx="10">
                  <c:v>4632.1428571428569</c:v>
                </c:pt>
                <c:pt idx="11">
                  <c:v>3.4999999999999996</c:v>
                </c:pt>
                <c:pt idx="12">
                  <c:v>11142</c:v>
                </c:pt>
                <c:pt idx="13">
                  <c:v>15774.142857142859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312192"/>
        <c:axId val="104313984"/>
      </c:barChart>
      <c:catAx>
        <c:axId val="1043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13984"/>
        <c:crosses val="autoZero"/>
        <c:auto val="1"/>
        <c:lblAlgn val="ctr"/>
        <c:lblOffset val="100"/>
        <c:noMultiLvlLbl val="0"/>
      </c:catAx>
      <c:valAx>
        <c:axId val="1043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Naalya-Bweyogerer-2Dir'!$S$9:$AF$9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Naalya-Bweyogerer-2Dir'!$S$42:$AF$42</c:f>
              <c:numCache>
                <c:formatCode>0.000</c:formatCode>
                <c:ptCount val="14"/>
                <c:pt idx="0">
                  <c:v>1.5326895430964436</c:v>
                </c:pt>
                <c:pt idx="1">
                  <c:v>1.5563463819691579</c:v>
                </c:pt>
                <c:pt idx="2">
                  <c:v>1.4820776634583472</c:v>
                </c:pt>
                <c:pt idx="3">
                  <c:v>1.3980356681313002</c:v>
                </c:pt>
                <c:pt idx="4">
                  <c:v>1.8843416370106758</c:v>
                </c:pt>
                <c:pt idx="5">
                  <c:v>1.9245283018867925</c:v>
                </c:pt>
                <c:pt idx="6">
                  <c:v>1.2943408156813154</c:v>
                </c:pt>
                <c:pt idx="7">
                  <c:v>1.6722488038277514</c:v>
                </c:pt>
                <c:pt idx="8">
                  <c:v>1.5435328589367936</c:v>
                </c:pt>
                <c:pt idx="9">
                  <c:v>1.601219914276294</c:v>
                </c:pt>
                <c:pt idx="10">
                  <c:v>1.3173932474708485</c:v>
                </c:pt>
                <c:pt idx="11">
                  <c:v>1.7500000000000002</c:v>
                </c:pt>
                <c:pt idx="12">
                  <c:v>1.492765273311897</c:v>
                </c:pt>
                <c:pt idx="13">
                  <c:v>1.436606341317443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342272"/>
        <c:axId val="104343808"/>
      </c:barChart>
      <c:catAx>
        <c:axId val="1043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43808"/>
        <c:crosses val="autoZero"/>
        <c:auto val="1"/>
        <c:lblAlgn val="ctr"/>
        <c:lblOffset val="100"/>
        <c:noMultiLvlLbl val="0"/>
      </c:catAx>
      <c:valAx>
        <c:axId val="1043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4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41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555625</xdr:colOff>
      <xdr:row>76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76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492125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74</xdr:row>
      <xdr:rowOff>279400</xdr:rowOff>
    </xdr:from>
    <xdr:to>
      <xdr:col>24</xdr:col>
      <xdr:colOff>698500</xdr:colOff>
      <xdr:row>91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149224</xdr:colOff>
      <xdr:row>59</xdr:row>
      <xdr:rowOff>1</xdr:rowOff>
    </xdr:from>
    <xdr:to>
      <xdr:col>25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43</xdr:row>
      <xdr:rowOff>0</xdr:rowOff>
    </xdr:from>
    <xdr:to>
      <xdr:col>28</xdr:col>
      <xdr:colOff>1</xdr:colOff>
      <xdr:row>58</xdr:row>
      <xdr:rowOff>285749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15875</xdr:rowOff>
    </xdr:from>
    <xdr:to>
      <xdr:col>31</xdr:col>
      <xdr:colOff>698500</xdr:colOff>
      <xdr:row>75</xdr:row>
      <xdr:rowOff>14288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698500</xdr:colOff>
      <xdr:row>91</xdr:row>
      <xdr:rowOff>14288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4" sqref="O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0" t="s">
        <v>175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5" t="s">
        <v>172</v>
      </c>
      <c r="H5" s="56"/>
      <c r="I5" s="14"/>
      <c r="J5" s="2" t="s">
        <v>5</v>
      </c>
      <c r="K5" s="55" t="s">
        <v>176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170</v>
      </c>
      <c r="E6" s="56"/>
      <c r="F6" s="2" t="s">
        <v>2</v>
      </c>
      <c r="G6" s="55" t="s">
        <v>171</v>
      </c>
      <c r="H6" s="56"/>
      <c r="J6" s="2" t="s">
        <v>21</v>
      </c>
      <c r="K6" s="55" t="s">
        <v>173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35</v>
      </c>
      <c r="T12" s="17">
        <f t="shared" si="4"/>
        <v>5</v>
      </c>
      <c r="U12" s="17">
        <f t="shared" si="4"/>
        <v>12</v>
      </c>
      <c r="V12" s="17">
        <f t="shared" si="4"/>
        <v>45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13</v>
      </c>
      <c r="AA12" s="17">
        <f t="shared" si="4"/>
        <v>16</v>
      </c>
      <c r="AB12" s="17">
        <f t="shared" si="4"/>
        <v>9</v>
      </c>
      <c r="AC12" s="17">
        <f t="shared" si="4"/>
        <v>65</v>
      </c>
      <c r="AD12" s="17">
        <f t="shared" si="4"/>
        <v>0</v>
      </c>
      <c r="AE12" s="31">
        <f t="shared" si="4"/>
        <v>141</v>
      </c>
      <c r="AF12" s="31">
        <f t="shared" si="4"/>
        <v>206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86</v>
      </c>
      <c r="T13" s="17">
        <f t="shared" si="5"/>
        <v>9</v>
      </c>
      <c r="U13" s="17">
        <f t="shared" si="5"/>
        <v>17</v>
      </c>
      <c r="V13" s="17">
        <f t="shared" si="5"/>
        <v>97</v>
      </c>
      <c r="W13" s="17">
        <f t="shared" si="5"/>
        <v>2</v>
      </c>
      <c r="X13" s="17">
        <f t="shared" si="5"/>
        <v>0</v>
      </c>
      <c r="Y13" s="17">
        <f t="shared" si="5"/>
        <v>30</v>
      </c>
      <c r="Z13" s="17">
        <f t="shared" si="5"/>
        <v>17</v>
      </c>
      <c r="AA13" s="17">
        <f t="shared" si="5"/>
        <v>20</v>
      </c>
      <c r="AB13" s="17">
        <f t="shared" si="5"/>
        <v>18</v>
      </c>
      <c r="AC13" s="17">
        <f t="shared" si="5"/>
        <v>124</v>
      </c>
      <c r="AD13" s="17">
        <f t="shared" si="5"/>
        <v>0</v>
      </c>
      <c r="AE13" s="31">
        <f t="shared" si="5"/>
        <v>296</v>
      </c>
      <c r="AF13" s="31">
        <f t="shared" si="5"/>
        <v>420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70</v>
      </c>
      <c r="T14" s="17">
        <f t="shared" si="6"/>
        <v>15</v>
      </c>
      <c r="U14" s="17">
        <f t="shared" si="6"/>
        <v>14</v>
      </c>
      <c r="V14" s="17">
        <f t="shared" si="6"/>
        <v>73</v>
      </c>
      <c r="W14" s="17">
        <f t="shared" si="6"/>
        <v>2</v>
      </c>
      <c r="X14" s="17">
        <f t="shared" si="6"/>
        <v>0</v>
      </c>
      <c r="Y14" s="17">
        <f t="shared" si="6"/>
        <v>36</v>
      </c>
      <c r="Z14" s="17">
        <f t="shared" si="6"/>
        <v>19</v>
      </c>
      <c r="AA14" s="17">
        <f t="shared" si="6"/>
        <v>24</v>
      </c>
      <c r="AB14" s="17">
        <f t="shared" si="6"/>
        <v>19</v>
      </c>
      <c r="AC14" s="17">
        <f t="shared" si="6"/>
        <v>123</v>
      </c>
      <c r="AD14" s="17">
        <f t="shared" si="6"/>
        <v>0</v>
      </c>
      <c r="AE14" s="31">
        <f t="shared" si="6"/>
        <v>272</v>
      </c>
      <c r="AF14" s="31">
        <f t="shared" si="6"/>
        <v>395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79</v>
      </c>
      <c r="T15" s="17">
        <f t="shared" si="7"/>
        <v>14</v>
      </c>
      <c r="U15" s="17">
        <f t="shared" si="7"/>
        <v>5</v>
      </c>
      <c r="V15" s="17">
        <f t="shared" si="7"/>
        <v>85</v>
      </c>
      <c r="W15" s="17">
        <f t="shared" si="7"/>
        <v>1</v>
      </c>
      <c r="X15" s="17">
        <f t="shared" si="7"/>
        <v>1</v>
      </c>
      <c r="Y15" s="17">
        <f t="shared" si="7"/>
        <v>24</v>
      </c>
      <c r="Z15" s="17">
        <f t="shared" si="7"/>
        <v>12</v>
      </c>
      <c r="AA15" s="17">
        <f t="shared" si="7"/>
        <v>11</v>
      </c>
      <c r="AB15" s="17">
        <f t="shared" si="7"/>
        <v>28</v>
      </c>
      <c r="AC15" s="17">
        <f t="shared" si="7"/>
        <v>133</v>
      </c>
      <c r="AD15" s="17">
        <f t="shared" si="7"/>
        <v>0</v>
      </c>
      <c r="AE15" s="31">
        <f t="shared" si="7"/>
        <v>260</v>
      </c>
      <c r="AF15" s="31">
        <f t="shared" si="7"/>
        <v>393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49</v>
      </c>
      <c r="T16" s="17">
        <f t="shared" si="8"/>
        <v>9</v>
      </c>
      <c r="U16" s="17">
        <f t="shared" si="8"/>
        <v>9</v>
      </c>
      <c r="V16" s="17">
        <f t="shared" si="8"/>
        <v>72</v>
      </c>
      <c r="W16" s="17">
        <f t="shared" si="8"/>
        <v>0</v>
      </c>
      <c r="X16" s="17">
        <f t="shared" si="8"/>
        <v>0</v>
      </c>
      <c r="Y16" s="17">
        <f t="shared" si="8"/>
        <v>28</v>
      </c>
      <c r="Z16" s="17">
        <f t="shared" si="8"/>
        <v>11</v>
      </c>
      <c r="AA16" s="17">
        <f t="shared" si="8"/>
        <v>15</v>
      </c>
      <c r="AB16" s="17">
        <f t="shared" si="8"/>
        <v>22</v>
      </c>
      <c r="AC16" s="17">
        <f t="shared" si="8"/>
        <v>133</v>
      </c>
      <c r="AD16" s="17">
        <f t="shared" si="8"/>
        <v>0</v>
      </c>
      <c r="AE16" s="31">
        <f t="shared" si="8"/>
        <v>215</v>
      </c>
      <c r="AF16" s="31">
        <f t="shared" si="8"/>
        <v>348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44</v>
      </c>
      <c r="T17" s="17">
        <f t="shared" si="9"/>
        <v>15</v>
      </c>
      <c r="U17" s="17">
        <f t="shared" si="9"/>
        <v>16</v>
      </c>
      <c r="V17" s="17">
        <f t="shared" si="9"/>
        <v>56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11</v>
      </c>
      <c r="AA17" s="17">
        <f t="shared" si="9"/>
        <v>16</v>
      </c>
      <c r="AB17" s="17">
        <f t="shared" si="9"/>
        <v>19</v>
      </c>
      <c r="AC17" s="17">
        <f t="shared" si="9"/>
        <v>117</v>
      </c>
      <c r="AD17" s="17">
        <f t="shared" si="9"/>
        <v>1</v>
      </c>
      <c r="AE17" s="31">
        <f t="shared" si="9"/>
        <v>190</v>
      </c>
      <c r="AF17" s="31">
        <f t="shared" si="9"/>
        <v>307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83</v>
      </c>
      <c r="T18" s="17">
        <f t="shared" si="10"/>
        <v>15</v>
      </c>
      <c r="U18" s="17">
        <f t="shared" si="10"/>
        <v>18</v>
      </c>
      <c r="V18" s="17">
        <f t="shared" si="10"/>
        <v>80</v>
      </c>
      <c r="W18" s="17">
        <f t="shared" si="10"/>
        <v>0</v>
      </c>
      <c r="X18" s="17">
        <f t="shared" si="10"/>
        <v>2</v>
      </c>
      <c r="Y18" s="17">
        <f t="shared" si="10"/>
        <v>25</v>
      </c>
      <c r="Z18" s="17">
        <f t="shared" si="10"/>
        <v>18</v>
      </c>
      <c r="AA18" s="17">
        <f t="shared" si="10"/>
        <v>30</v>
      </c>
      <c r="AB18" s="17">
        <f t="shared" si="10"/>
        <v>39</v>
      </c>
      <c r="AC18" s="17">
        <f t="shared" si="10"/>
        <v>170</v>
      </c>
      <c r="AD18" s="17">
        <f t="shared" si="10"/>
        <v>0</v>
      </c>
      <c r="AE18" s="31">
        <f t="shared" si="10"/>
        <v>310</v>
      </c>
      <c r="AF18" s="31">
        <f t="shared" si="10"/>
        <v>480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89</v>
      </c>
      <c r="T19" s="17">
        <f t="shared" si="11"/>
        <v>29</v>
      </c>
      <c r="U19" s="17">
        <f t="shared" si="11"/>
        <v>29</v>
      </c>
      <c r="V19" s="17">
        <f t="shared" si="11"/>
        <v>79</v>
      </c>
      <c r="W19" s="17">
        <f t="shared" si="11"/>
        <v>0</v>
      </c>
      <c r="X19" s="17">
        <f t="shared" si="11"/>
        <v>0</v>
      </c>
      <c r="Y19" s="17">
        <f t="shared" si="11"/>
        <v>27</v>
      </c>
      <c r="Z19" s="17">
        <f t="shared" si="11"/>
        <v>17</v>
      </c>
      <c r="AA19" s="17">
        <f t="shared" si="11"/>
        <v>21</v>
      </c>
      <c r="AB19" s="17">
        <f t="shared" si="11"/>
        <v>25</v>
      </c>
      <c r="AC19" s="17">
        <f t="shared" si="11"/>
        <v>135</v>
      </c>
      <c r="AD19" s="17">
        <f t="shared" si="11"/>
        <v>0</v>
      </c>
      <c r="AE19" s="31">
        <f t="shared" si="11"/>
        <v>316</v>
      </c>
      <c r="AF19" s="31">
        <f t="shared" si="11"/>
        <v>451</v>
      </c>
    </row>
    <row r="20" spans="2:32" ht="23.1" customHeight="1" x14ac:dyDescent="0.25">
      <c r="B20" s="23" t="s">
        <v>47</v>
      </c>
      <c r="C20" s="50">
        <v>10</v>
      </c>
      <c r="D20" s="50">
        <v>1</v>
      </c>
      <c r="E20" s="50">
        <v>6</v>
      </c>
      <c r="F20" s="50">
        <v>17</v>
      </c>
      <c r="G20" s="50">
        <v>0</v>
      </c>
      <c r="H20" s="50">
        <v>0</v>
      </c>
      <c r="I20" s="50">
        <v>4</v>
      </c>
      <c r="J20" s="50">
        <v>4</v>
      </c>
      <c r="K20" s="50">
        <v>11</v>
      </c>
      <c r="L20" s="50">
        <v>3</v>
      </c>
      <c r="M20" s="50">
        <v>28</v>
      </c>
      <c r="N20" s="50">
        <v>0</v>
      </c>
      <c r="O20" s="15">
        <f t="shared" si="0"/>
        <v>56</v>
      </c>
      <c r="P20" s="15">
        <f t="shared" si="1"/>
        <v>84</v>
      </c>
      <c r="R20" s="1" t="s">
        <v>16</v>
      </c>
      <c r="S20" s="17">
        <f t="shared" ref="S20:AF20" si="12">SUM(C50:C53)</f>
        <v>141</v>
      </c>
      <c r="T20" s="17">
        <f t="shared" si="12"/>
        <v>27</v>
      </c>
      <c r="U20" s="17">
        <f t="shared" si="12"/>
        <v>37</v>
      </c>
      <c r="V20" s="17">
        <f t="shared" si="12"/>
        <v>102</v>
      </c>
      <c r="W20" s="17">
        <f t="shared" si="12"/>
        <v>1</v>
      </c>
      <c r="X20" s="17">
        <f t="shared" si="12"/>
        <v>5</v>
      </c>
      <c r="Y20" s="17">
        <f t="shared" si="12"/>
        <v>26</v>
      </c>
      <c r="Z20" s="17">
        <f t="shared" si="12"/>
        <v>14</v>
      </c>
      <c r="AA20" s="17">
        <f t="shared" si="12"/>
        <v>18</v>
      </c>
      <c r="AB20" s="17">
        <f t="shared" si="12"/>
        <v>28</v>
      </c>
      <c r="AC20" s="17">
        <f t="shared" si="12"/>
        <v>151</v>
      </c>
      <c r="AD20" s="17">
        <f t="shared" si="12"/>
        <v>0</v>
      </c>
      <c r="AE20" s="31">
        <f t="shared" si="12"/>
        <v>399</v>
      </c>
      <c r="AF20" s="31">
        <f t="shared" si="12"/>
        <v>550</v>
      </c>
    </row>
    <row r="21" spans="2:32" ht="23.1" customHeight="1" x14ac:dyDescent="0.25">
      <c r="B21" s="23" t="s">
        <v>48</v>
      </c>
      <c r="C21" s="50">
        <v>25</v>
      </c>
      <c r="D21" s="50">
        <v>4</v>
      </c>
      <c r="E21" s="50">
        <v>6</v>
      </c>
      <c r="F21" s="50">
        <v>28</v>
      </c>
      <c r="G21" s="50">
        <v>0</v>
      </c>
      <c r="H21" s="50">
        <v>0</v>
      </c>
      <c r="I21" s="50">
        <v>2</v>
      </c>
      <c r="J21" s="50">
        <v>9</v>
      </c>
      <c r="K21" s="50">
        <v>5</v>
      </c>
      <c r="L21" s="50">
        <v>6</v>
      </c>
      <c r="M21" s="50">
        <v>37</v>
      </c>
      <c r="N21" s="50">
        <v>0</v>
      </c>
      <c r="O21" s="15">
        <f t="shared" si="0"/>
        <v>85</v>
      </c>
      <c r="P21" s="15">
        <f t="shared" si="1"/>
        <v>122</v>
      </c>
      <c r="R21" s="36" t="s">
        <v>20</v>
      </c>
      <c r="S21" s="34">
        <f t="shared" ref="S21:AF21" si="13">SUM(C54:C57)</f>
        <v>184</v>
      </c>
      <c r="T21" s="17">
        <f t="shared" si="13"/>
        <v>35</v>
      </c>
      <c r="U21" s="17">
        <f t="shared" si="13"/>
        <v>26</v>
      </c>
      <c r="V21" s="17">
        <f t="shared" si="13"/>
        <v>121</v>
      </c>
      <c r="W21" s="17">
        <f t="shared" si="13"/>
        <v>4</v>
      </c>
      <c r="X21" s="17">
        <f t="shared" si="13"/>
        <v>0</v>
      </c>
      <c r="Y21" s="17">
        <f t="shared" si="13"/>
        <v>25</v>
      </c>
      <c r="Z21" s="17">
        <f t="shared" si="13"/>
        <v>17</v>
      </c>
      <c r="AA21" s="17">
        <f t="shared" si="13"/>
        <v>15</v>
      </c>
      <c r="AB21" s="17">
        <f t="shared" si="13"/>
        <v>14</v>
      </c>
      <c r="AC21" s="17">
        <f t="shared" si="13"/>
        <v>167</v>
      </c>
      <c r="AD21" s="17">
        <f t="shared" si="13"/>
        <v>0</v>
      </c>
      <c r="AE21" s="31">
        <f t="shared" si="13"/>
        <v>441</v>
      </c>
      <c r="AF21" s="31">
        <f t="shared" si="13"/>
        <v>608</v>
      </c>
    </row>
    <row r="22" spans="2:32" ht="23.1" customHeight="1" x14ac:dyDescent="0.25">
      <c r="B22" s="23" t="s">
        <v>49</v>
      </c>
      <c r="C22" s="50">
        <v>27</v>
      </c>
      <c r="D22" s="50">
        <v>2</v>
      </c>
      <c r="E22" s="50">
        <v>4</v>
      </c>
      <c r="F22" s="50">
        <v>27</v>
      </c>
      <c r="G22" s="50">
        <v>0</v>
      </c>
      <c r="H22" s="50">
        <v>0</v>
      </c>
      <c r="I22" s="50">
        <v>11</v>
      </c>
      <c r="J22" s="50">
        <v>5</v>
      </c>
      <c r="K22" s="50">
        <v>6</v>
      </c>
      <c r="L22" s="50">
        <v>6</v>
      </c>
      <c r="M22" s="50">
        <v>29</v>
      </c>
      <c r="N22" s="50">
        <v>0</v>
      </c>
      <c r="O22" s="15">
        <f t="shared" si="0"/>
        <v>88</v>
      </c>
      <c r="P22" s="15">
        <f t="shared" si="1"/>
        <v>117</v>
      </c>
      <c r="R22" s="38" t="s">
        <v>90</v>
      </c>
      <c r="S22" s="39">
        <f>MAX(S10:S12)</f>
        <v>35</v>
      </c>
      <c r="T22" s="39">
        <f t="shared" ref="T22:AF22" si="14">MAX(T10:T12)</f>
        <v>5</v>
      </c>
      <c r="U22" s="39">
        <f t="shared" si="14"/>
        <v>12</v>
      </c>
      <c r="V22" s="39">
        <f t="shared" si="14"/>
        <v>45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13</v>
      </c>
      <c r="AA22" s="39">
        <f t="shared" si="14"/>
        <v>16</v>
      </c>
      <c r="AB22" s="39">
        <f t="shared" si="14"/>
        <v>9</v>
      </c>
      <c r="AC22" s="39">
        <f t="shared" si="14"/>
        <v>65</v>
      </c>
      <c r="AD22" s="39">
        <f t="shared" si="14"/>
        <v>0</v>
      </c>
      <c r="AE22" s="40">
        <f t="shared" si="14"/>
        <v>141</v>
      </c>
      <c r="AF22" s="40">
        <f t="shared" si="14"/>
        <v>206</v>
      </c>
    </row>
    <row r="23" spans="2:32" ht="23.1" customHeight="1" x14ac:dyDescent="0.25">
      <c r="B23" s="23" t="s">
        <v>50</v>
      </c>
      <c r="C23" s="50">
        <v>18</v>
      </c>
      <c r="D23" s="50">
        <v>3</v>
      </c>
      <c r="E23" s="50">
        <v>6</v>
      </c>
      <c r="F23" s="50">
        <v>29</v>
      </c>
      <c r="G23" s="50">
        <v>1</v>
      </c>
      <c r="H23" s="50">
        <v>0</v>
      </c>
      <c r="I23" s="50">
        <v>6</v>
      </c>
      <c r="J23" s="50">
        <v>2</v>
      </c>
      <c r="K23" s="50">
        <v>6</v>
      </c>
      <c r="L23" s="50">
        <v>1</v>
      </c>
      <c r="M23" s="50">
        <v>30</v>
      </c>
      <c r="N23" s="50">
        <v>0</v>
      </c>
      <c r="O23" s="15">
        <f t="shared" si="0"/>
        <v>72</v>
      </c>
      <c r="P23" s="15">
        <f t="shared" si="1"/>
        <v>102</v>
      </c>
      <c r="R23" s="38" t="s">
        <v>91</v>
      </c>
      <c r="S23" s="39">
        <f>MAX(S13:S18)</f>
        <v>86</v>
      </c>
      <c r="T23" s="39">
        <f t="shared" ref="T23:AF23" si="15">MAX(T13:T18)</f>
        <v>15</v>
      </c>
      <c r="U23" s="39">
        <f t="shared" si="15"/>
        <v>18</v>
      </c>
      <c r="V23" s="39">
        <f t="shared" si="15"/>
        <v>97</v>
      </c>
      <c r="W23" s="39">
        <f t="shared" si="15"/>
        <v>2</v>
      </c>
      <c r="X23" s="39">
        <f t="shared" si="15"/>
        <v>2</v>
      </c>
      <c r="Y23" s="39">
        <f t="shared" si="15"/>
        <v>36</v>
      </c>
      <c r="Z23" s="39">
        <f t="shared" si="15"/>
        <v>19</v>
      </c>
      <c r="AA23" s="39">
        <f t="shared" si="15"/>
        <v>30</v>
      </c>
      <c r="AB23" s="39">
        <f t="shared" si="15"/>
        <v>39</v>
      </c>
      <c r="AC23" s="39">
        <f t="shared" si="15"/>
        <v>170</v>
      </c>
      <c r="AD23" s="39">
        <f t="shared" si="15"/>
        <v>1</v>
      </c>
      <c r="AE23" s="40">
        <f t="shared" si="15"/>
        <v>310</v>
      </c>
      <c r="AF23" s="40">
        <f t="shared" si="15"/>
        <v>480</v>
      </c>
    </row>
    <row r="24" spans="2:32" ht="23.1" customHeight="1" x14ac:dyDescent="0.25">
      <c r="B24" s="23" t="s">
        <v>51</v>
      </c>
      <c r="C24" s="50">
        <v>19</v>
      </c>
      <c r="D24" s="50">
        <v>3</v>
      </c>
      <c r="E24" s="50">
        <v>4</v>
      </c>
      <c r="F24" s="50">
        <v>14</v>
      </c>
      <c r="G24" s="50">
        <v>1</v>
      </c>
      <c r="H24" s="50">
        <v>0</v>
      </c>
      <c r="I24" s="50">
        <v>7</v>
      </c>
      <c r="J24" s="50">
        <v>2</v>
      </c>
      <c r="K24" s="50">
        <v>2</v>
      </c>
      <c r="L24" s="50">
        <v>4</v>
      </c>
      <c r="M24" s="50">
        <v>21</v>
      </c>
      <c r="N24" s="50">
        <v>0</v>
      </c>
      <c r="O24" s="15">
        <f t="shared" si="0"/>
        <v>56</v>
      </c>
      <c r="P24" s="15">
        <f t="shared" si="1"/>
        <v>77</v>
      </c>
      <c r="R24" s="38" t="s">
        <v>92</v>
      </c>
      <c r="S24" s="39">
        <f>MAX(S19:S21)</f>
        <v>184</v>
      </c>
      <c r="T24" s="39">
        <f t="shared" ref="T24:AF24" si="16">MAX(T19:T21)</f>
        <v>35</v>
      </c>
      <c r="U24" s="39">
        <f t="shared" si="16"/>
        <v>37</v>
      </c>
      <c r="V24" s="39">
        <f t="shared" si="16"/>
        <v>121</v>
      </c>
      <c r="W24" s="39">
        <f t="shared" si="16"/>
        <v>4</v>
      </c>
      <c r="X24" s="39">
        <f t="shared" si="16"/>
        <v>5</v>
      </c>
      <c r="Y24" s="39">
        <f t="shared" si="16"/>
        <v>27</v>
      </c>
      <c r="Z24" s="39">
        <f t="shared" si="16"/>
        <v>17</v>
      </c>
      <c r="AA24" s="39">
        <f t="shared" si="16"/>
        <v>21</v>
      </c>
      <c r="AB24" s="39">
        <f t="shared" si="16"/>
        <v>28</v>
      </c>
      <c r="AC24" s="39">
        <f t="shared" si="16"/>
        <v>167</v>
      </c>
      <c r="AD24" s="39">
        <f t="shared" si="16"/>
        <v>0</v>
      </c>
      <c r="AE24" s="40">
        <f t="shared" si="16"/>
        <v>441</v>
      </c>
      <c r="AF24" s="40">
        <f t="shared" si="16"/>
        <v>608</v>
      </c>
    </row>
    <row r="25" spans="2:32" ht="23.1" customHeight="1" x14ac:dyDescent="0.25">
      <c r="B25" s="23" t="s">
        <v>52</v>
      </c>
      <c r="C25" s="50">
        <v>22</v>
      </c>
      <c r="D25" s="50">
        <v>1</v>
      </c>
      <c r="E25" s="50">
        <v>3</v>
      </c>
      <c r="F25" s="50">
        <v>27</v>
      </c>
      <c r="G25" s="50">
        <v>0</v>
      </c>
      <c r="H25" s="50">
        <v>0</v>
      </c>
      <c r="I25" s="50">
        <v>6</v>
      </c>
      <c r="J25" s="50">
        <v>8</v>
      </c>
      <c r="K25" s="50">
        <v>6</v>
      </c>
      <c r="L25" s="50">
        <v>7</v>
      </c>
      <c r="M25" s="50">
        <v>44</v>
      </c>
      <c r="N25" s="50">
        <v>0</v>
      </c>
      <c r="O25" s="15">
        <f t="shared" si="0"/>
        <v>80</v>
      </c>
      <c r="P25" s="15">
        <f t="shared" si="1"/>
        <v>124</v>
      </c>
      <c r="R25" s="37" t="s">
        <v>85</v>
      </c>
      <c r="S25" s="35">
        <f t="shared" ref="S25:AF25" si="17">SUM(S10:S12)</f>
        <v>35</v>
      </c>
      <c r="T25" s="16">
        <f t="shared" si="17"/>
        <v>5</v>
      </c>
      <c r="U25" s="16">
        <f t="shared" si="17"/>
        <v>12</v>
      </c>
      <c r="V25" s="16">
        <f t="shared" si="17"/>
        <v>45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13</v>
      </c>
      <c r="AA25" s="16">
        <f t="shared" si="17"/>
        <v>16</v>
      </c>
      <c r="AB25" s="16">
        <f t="shared" si="17"/>
        <v>9</v>
      </c>
      <c r="AC25" s="16">
        <f t="shared" si="17"/>
        <v>65</v>
      </c>
      <c r="AD25" s="16">
        <f t="shared" si="17"/>
        <v>0</v>
      </c>
      <c r="AE25" s="32">
        <f t="shared" si="17"/>
        <v>141</v>
      </c>
      <c r="AF25" s="32">
        <f t="shared" si="17"/>
        <v>206</v>
      </c>
    </row>
    <row r="26" spans="2:32" ht="23.1" customHeight="1" x14ac:dyDescent="0.25">
      <c r="B26" s="23" t="s">
        <v>53</v>
      </c>
      <c r="C26" s="50">
        <v>11</v>
      </c>
      <c r="D26" s="50">
        <v>1</v>
      </c>
      <c r="E26" s="50">
        <v>0</v>
      </c>
      <c r="F26" s="50">
        <v>20</v>
      </c>
      <c r="G26" s="50">
        <v>2</v>
      </c>
      <c r="H26" s="50">
        <v>0</v>
      </c>
      <c r="I26" s="50">
        <v>6</v>
      </c>
      <c r="J26" s="50">
        <v>4</v>
      </c>
      <c r="K26" s="50">
        <v>2</v>
      </c>
      <c r="L26" s="50">
        <v>2</v>
      </c>
      <c r="M26" s="50">
        <v>24</v>
      </c>
      <c r="N26" s="50">
        <v>0</v>
      </c>
      <c r="O26" s="15">
        <f t="shared" si="0"/>
        <v>48</v>
      </c>
      <c r="P26" s="15">
        <f t="shared" si="1"/>
        <v>72</v>
      </c>
      <c r="R26" s="28" t="s">
        <v>86</v>
      </c>
      <c r="S26" s="16">
        <f t="shared" ref="S26:AF26" si="18">SUM(S13:S18)</f>
        <v>411</v>
      </c>
      <c r="T26" s="16">
        <f t="shared" si="18"/>
        <v>77</v>
      </c>
      <c r="U26" s="16">
        <f t="shared" si="18"/>
        <v>79</v>
      </c>
      <c r="V26" s="16">
        <f t="shared" si="18"/>
        <v>463</v>
      </c>
      <c r="W26" s="16">
        <f t="shared" si="18"/>
        <v>5</v>
      </c>
      <c r="X26" s="16">
        <f t="shared" si="18"/>
        <v>3</v>
      </c>
      <c r="Y26" s="16">
        <f t="shared" si="18"/>
        <v>155</v>
      </c>
      <c r="Z26" s="16">
        <f t="shared" si="18"/>
        <v>88</v>
      </c>
      <c r="AA26" s="16">
        <f t="shared" si="18"/>
        <v>116</v>
      </c>
      <c r="AB26" s="16">
        <f t="shared" si="18"/>
        <v>145</v>
      </c>
      <c r="AC26" s="16">
        <f t="shared" si="18"/>
        <v>800</v>
      </c>
      <c r="AD26" s="16">
        <f t="shared" si="18"/>
        <v>1</v>
      </c>
      <c r="AE26" s="32">
        <f t="shared" si="18"/>
        <v>1543</v>
      </c>
      <c r="AF26" s="32">
        <f t="shared" si="18"/>
        <v>2343</v>
      </c>
    </row>
    <row r="27" spans="2:32" ht="23.1" customHeight="1" x14ac:dyDescent="0.25">
      <c r="B27" s="23" t="s">
        <v>54</v>
      </c>
      <c r="C27" s="50">
        <v>17</v>
      </c>
      <c r="D27" s="50">
        <v>5</v>
      </c>
      <c r="E27" s="50">
        <v>2</v>
      </c>
      <c r="F27" s="50">
        <v>13</v>
      </c>
      <c r="G27" s="50">
        <v>0</v>
      </c>
      <c r="H27" s="50">
        <v>0</v>
      </c>
      <c r="I27" s="50">
        <v>8</v>
      </c>
      <c r="J27" s="50">
        <v>8</v>
      </c>
      <c r="K27" s="50">
        <v>8</v>
      </c>
      <c r="L27" s="50">
        <v>5</v>
      </c>
      <c r="M27" s="50">
        <v>31</v>
      </c>
      <c r="N27" s="50">
        <v>0</v>
      </c>
      <c r="O27" s="15">
        <f t="shared" si="0"/>
        <v>66</v>
      </c>
      <c r="P27" s="15">
        <f t="shared" si="1"/>
        <v>97</v>
      </c>
      <c r="R27" s="29" t="s">
        <v>87</v>
      </c>
      <c r="S27" s="16">
        <f t="shared" ref="S27:AF27" si="19">SUM(S19:S21)</f>
        <v>414</v>
      </c>
      <c r="T27" s="16">
        <f t="shared" si="19"/>
        <v>91</v>
      </c>
      <c r="U27" s="16">
        <f t="shared" si="19"/>
        <v>92</v>
      </c>
      <c r="V27" s="16">
        <f t="shared" si="19"/>
        <v>302</v>
      </c>
      <c r="W27" s="16">
        <f t="shared" si="19"/>
        <v>5</v>
      </c>
      <c r="X27" s="16">
        <f t="shared" si="19"/>
        <v>5</v>
      </c>
      <c r="Y27" s="16">
        <f t="shared" si="19"/>
        <v>78</v>
      </c>
      <c r="Z27" s="16">
        <f t="shared" si="19"/>
        <v>48</v>
      </c>
      <c r="AA27" s="16">
        <f t="shared" si="19"/>
        <v>54</v>
      </c>
      <c r="AB27" s="16">
        <f t="shared" si="19"/>
        <v>67</v>
      </c>
      <c r="AC27" s="16">
        <f t="shared" si="19"/>
        <v>453</v>
      </c>
      <c r="AD27" s="16">
        <f t="shared" si="19"/>
        <v>0</v>
      </c>
      <c r="AE27" s="32">
        <f t="shared" si="19"/>
        <v>1156</v>
      </c>
      <c r="AF27" s="32">
        <f t="shared" si="19"/>
        <v>1609</v>
      </c>
    </row>
    <row r="28" spans="2:32" ht="23.1" customHeight="1" x14ac:dyDescent="0.25">
      <c r="B28" s="23" t="s">
        <v>55</v>
      </c>
      <c r="C28" s="50">
        <v>22</v>
      </c>
      <c r="D28" s="50">
        <v>6</v>
      </c>
      <c r="E28" s="50">
        <v>6</v>
      </c>
      <c r="F28" s="50">
        <v>24</v>
      </c>
      <c r="G28" s="50">
        <v>0</v>
      </c>
      <c r="H28" s="50">
        <v>0</v>
      </c>
      <c r="I28" s="50">
        <v>15</v>
      </c>
      <c r="J28" s="50">
        <v>6</v>
      </c>
      <c r="K28" s="50">
        <v>8</v>
      </c>
      <c r="L28" s="50">
        <v>6</v>
      </c>
      <c r="M28" s="50">
        <v>29</v>
      </c>
      <c r="N28" s="50">
        <v>0</v>
      </c>
      <c r="O28" s="15">
        <f t="shared" si="0"/>
        <v>93</v>
      </c>
      <c r="P28" s="15">
        <f t="shared" si="1"/>
        <v>122</v>
      </c>
      <c r="R28" s="5" t="s">
        <v>17</v>
      </c>
      <c r="S28" s="16">
        <f t="shared" ref="S28:AF28" si="20">SUM(S10:S21)</f>
        <v>860</v>
      </c>
      <c r="T28" s="16">
        <f t="shared" si="20"/>
        <v>173</v>
      </c>
      <c r="U28" s="16">
        <f t="shared" si="20"/>
        <v>183</v>
      </c>
      <c r="V28" s="16">
        <f t="shared" si="20"/>
        <v>810</v>
      </c>
      <c r="W28" s="16">
        <f t="shared" si="20"/>
        <v>10</v>
      </c>
      <c r="X28" s="16">
        <f t="shared" si="20"/>
        <v>8</v>
      </c>
      <c r="Y28" s="16">
        <f t="shared" si="20"/>
        <v>239</v>
      </c>
      <c r="Z28" s="16">
        <f t="shared" si="20"/>
        <v>149</v>
      </c>
      <c r="AA28" s="16">
        <f t="shared" si="20"/>
        <v>186</v>
      </c>
      <c r="AB28" s="16">
        <f t="shared" si="20"/>
        <v>221</v>
      </c>
      <c r="AC28" s="16">
        <f t="shared" si="20"/>
        <v>1318</v>
      </c>
      <c r="AD28" s="16">
        <f t="shared" si="20"/>
        <v>1</v>
      </c>
      <c r="AE28" s="32">
        <f t="shared" si="20"/>
        <v>2840</v>
      </c>
      <c r="AF28" s="32">
        <f t="shared" si="20"/>
        <v>4158</v>
      </c>
    </row>
    <row r="29" spans="2:32" ht="23.1" customHeight="1" x14ac:dyDescent="0.25">
      <c r="B29" s="23" t="s">
        <v>56</v>
      </c>
      <c r="C29" s="50">
        <v>20</v>
      </c>
      <c r="D29" s="50">
        <v>3</v>
      </c>
      <c r="E29" s="50">
        <v>6</v>
      </c>
      <c r="F29" s="50">
        <v>16</v>
      </c>
      <c r="G29" s="50">
        <v>0</v>
      </c>
      <c r="H29" s="50">
        <v>0</v>
      </c>
      <c r="I29" s="50">
        <v>7</v>
      </c>
      <c r="J29" s="50">
        <v>1</v>
      </c>
      <c r="K29" s="50">
        <v>6</v>
      </c>
      <c r="L29" s="50">
        <v>6</v>
      </c>
      <c r="M29" s="50">
        <v>39</v>
      </c>
      <c r="N29" s="50">
        <v>0</v>
      </c>
      <c r="O29" s="15">
        <f t="shared" si="0"/>
        <v>65</v>
      </c>
      <c r="P29" s="15">
        <f t="shared" si="1"/>
        <v>104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3</v>
      </c>
      <c r="E30" s="50">
        <v>2</v>
      </c>
      <c r="F30" s="50">
        <v>17</v>
      </c>
      <c r="G30" s="50">
        <v>0</v>
      </c>
      <c r="H30" s="50">
        <v>0</v>
      </c>
      <c r="I30" s="50">
        <v>6</v>
      </c>
      <c r="J30" s="50">
        <v>2</v>
      </c>
      <c r="K30" s="50">
        <v>1</v>
      </c>
      <c r="L30" s="50">
        <v>8</v>
      </c>
      <c r="M30" s="50">
        <v>35</v>
      </c>
      <c r="N30" s="50">
        <v>0</v>
      </c>
      <c r="O30" s="15">
        <f t="shared" si="0"/>
        <v>59</v>
      </c>
      <c r="P30" s="15">
        <f t="shared" si="1"/>
        <v>94</v>
      </c>
    </row>
    <row r="31" spans="2:32" ht="23.1" customHeight="1" x14ac:dyDescent="0.25">
      <c r="B31" s="24" t="s">
        <v>58</v>
      </c>
      <c r="C31" s="50">
        <v>19</v>
      </c>
      <c r="D31" s="50">
        <v>2</v>
      </c>
      <c r="E31" s="50">
        <v>0</v>
      </c>
      <c r="F31" s="50">
        <v>20</v>
      </c>
      <c r="G31" s="50">
        <v>0</v>
      </c>
      <c r="H31" s="50">
        <v>1</v>
      </c>
      <c r="I31" s="50">
        <v>2</v>
      </c>
      <c r="J31" s="50">
        <v>3</v>
      </c>
      <c r="K31" s="50">
        <v>3</v>
      </c>
      <c r="L31" s="50">
        <v>8</v>
      </c>
      <c r="M31" s="50">
        <v>28</v>
      </c>
      <c r="N31" s="50">
        <v>0</v>
      </c>
      <c r="O31" s="15">
        <f t="shared" si="0"/>
        <v>58</v>
      </c>
      <c r="P31" s="15">
        <f t="shared" si="1"/>
        <v>86</v>
      </c>
    </row>
    <row r="32" spans="2:32" ht="23.1" customHeight="1" x14ac:dyDescent="0.25">
      <c r="B32" s="24" t="s">
        <v>59</v>
      </c>
      <c r="C32" s="50">
        <v>17</v>
      </c>
      <c r="D32" s="50">
        <v>6</v>
      </c>
      <c r="E32" s="50">
        <v>0</v>
      </c>
      <c r="F32" s="50">
        <v>27</v>
      </c>
      <c r="G32" s="50">
        <v>1</v>
      </c>
      <c r="H32" s="50">
        <v>0</v>
      </c>
      <c r="I32" s="50">
        <v>6</v>
      </c>
      <c r="J32" s="50">
        <v>4</v>
      </c>
      <c r="K32" s="50">
        <v>2</v>
      </c>
      <c r="L32" s="50">
        <v>6</v>
      </c>
      <c r="M32" s="50">
        <v>36</v>
      </c>
      <c r="N32" s="50">
        <v>0</v>
      </c>
      <c r="O32" s="15">
        <f t="shared" si="0"/>
        <v>69</v>
      </c>
      <c r="P32" s="15">
        <f t="shared" si="1"/>
        <v>105</v>
      </c>
    </row>
    <row r="33" spans="2:20" ht="23.1" customHeight="1" x14ac:dyDescent="0.25">
      <c r="B33" s="23" t="s">
        <v>60</v>
      </c>
      <c r="C33" s="50">
        <v>23</v>
      </c>
      <c r="D33" s="50">
        <v>3</v>
      </c>
      <c r="E33" s="50">
        <v>3</v>
      </c>
      <c r="F33" s="50">
        <v>21</v>
      </c>
      <c r="G33" s="50">
        <v>0</v>
      </c>
      <c r="H33" s="50">
        <v>0</v>
      </c>
      <c r="I33" s="50">
        <v>10</v>
      </c>
      <c r="J33" s="50">
        <v>3</v>
      </c>
      <c r="K33" s="50">
        <v>5</v>
      </c>
      <c r="L33" s="50">
        <v>6</v>
      </c>
      <c r="M33" s="50">
        <v>34</v>
      </c>
      <c r="N33" s="50">
        <v>0</v>
      </c>
      <c r="O33" s="15">
        <f t="shared" si="0"/>
        <v>74</v>
      </c>
      <c r="P33" s="15">
        <f t="shared" si="1"/>
        <v>108</v>
      </c>
    </row>
    <row r="34" spans="2:20" ht="23.1" customHeight="1" x14ac:dyDescent="0.25">
      <c r="B34" s="24" t="s">
        <v>61</v>
      </c>
      <c r="C34" s="50">
        <v>14</v>
      </c>
      <c r="D34" s="50">
        <v>2</v>
      </c>
      <c r="E34" s="50">
        <v>1</v>
      </c>
      <c r="F34" s="50">
        <v>19</v>
      </c>
      <c r="G34" s="50">
        <v>0</v>
      </c>
      <c r="H34" s="50">
        <v>0</v>
      </c>
      <c r="I34" s="50">
        <v>4</v>
      </c>
      <c r="J34" s="50">
        <v>4</v>
      </c>
      <c r="K34" s="50">
        <v>1</v>
      </c>
      <c r="L34" s="50">
        <v>4</v>
      </c>
      <c r="M34" s="50">
        <v>43</v>
      </c>
      <c r="N34" s="50">
        <v>0</v>
      </c>
      <c r="O34" s="15">
        <f t="shared" si="0"/>
        <v>49</v>
      </c>
      <c r="P34" s="15">
        <f t="shared" si="1"/>
        <v>92</v>
      </c>
    </row>
    <row r="35" spans="2:20" ht="23.1" customHeight="1" x14ac:dyDescent="0.25">
      <c r="B35" s="24" t="s">
        <v>62</v>
      </c>
      <c r="C35" s="50">
        <v>13</v>
      </c>
      <c r="D35" s="50">
        <v>0</v>
      </c>
      <c r="E35" s="50">
        <v>1</v>
      </c>
      <c r="F35" s="50">
        <v>22</v>
      </c>
      <c r="G35" s="50">
        <v>0</v>
      </c>
      <c r="H35" s="50">
        <v>0</v>
      </c>
      <c r="I35" s="50">
        <v>8</v>
      </c>
      <c r="J35" s="50">
        <v>1</v>
      </c>
      <c r="K35" s="50">
        <v>4</v>
      </c>
      <c r="L35" s="50">
        <v>3</v>
      </c>
      <c r="M35" s="50">
        <v>39</v>
      </c>
      <c r="N35" s="50">
        <v>0</v>
      </c>
      <c r="O35" s="15">
        <f t="shared" si="0"/>
        <v>52</v>
      </c>
      <c r="P35" s="15">
        <f t="shared" si="1"/>
        <v>91</v>
      </c>
    </row>
    <row r="36" spans="2:20" ht="23.1" customHeight="1" x14ac:dyDescent="0.25">
      <c r="B36" s="24" t="s">
        <v>63</v>
      </c>
      <c r="C36" s="50">
        <v>9</v>
      </c>
      <c r="D36" s="50">
        <v>2</v>
      </c>
      <c r="E36" s="50">
        <v>2</v>
      </c>
      <c r="F36" s="50">
        <v>13</v>
      </c>
      <c r="G36" s="50">
        <v>0</v>
      </c>
      <c r="H36" s="50">
        <v>0</v>
      </c>
      <c r="I36" s="50">
        <v>8</v>
      </c>
      <c r="J36" s="50">
        <v>3</v>
      </c>
      <c r="K36" s="50">
        <v>5</v>
      </c>
      <c r="L36" s="50">
        <v>4</v>
      </c>
      <c r="M36" s="50">
        <v>28</v>
      </c>
      <c r="N36" s="50">
        <v>0</v>
      </c>
      <c r="O36" s="15">
        <f t="shared" si="0"/>
        <v>46</v>
      </c>
      <c r="P36" s="15">
        <f t="shared" si="1"/>
        <v>74</v>
      </c>
    </row>
    <row r="37" spans="2:20" ht="23.1" customHeight="1" x14ac:dyDescent="0.25">
      <c r="B37" s="23" t="s">
        <v>64</v>
      </c>
      <c r="C37" s="50">
        <v>13</v>
      </c>
      <c r="D37" s="50">
        <v>5</v>
      </c>
      <c r="E37" s="50">
        <v>5</v>
      </c>
      <c r="F37" s="50">
        <v>18</v>
      </c>
      <c r="G37" s="50">
        <v>0</v>
      </c>
      <c r="H37" s="50">
        <v>0</v>
      </c>
      <c r="I37" s="50">
        <v>8</v>
      </c>
      <c r="J37" s="50">
        <v>3</v>
      </c>
      <c r="K37" s="50">
        <v>5</v>
      </c>
      <c r="L37" s="50">
        <v>11</v>
      </c>
      <c r="M37" s="50">
        <v>23</v>
      </c>
      <c r="N37" s="50">
        <v>0</v>
      </c>
      <c r="O37" s="15">
        <f t="shared" si="0"/>
        <v>68</v>
      </c>
      <c r="P37" s="15">
        <f t="shared" si="1"/>
        <v>91</v>
      </c>
    </row>
    <row r="38" spans="2:20" ht="23.1" customHeight="1" x14ac:dyDescent="0.25">
      <c r="B38" s="24" t="s">
        <v>65</v>
      </c>
      <c r="C38" s="50">
        <v>20</v>
      </c>
      <c r="D38" s="50">
        <v>2</v>
      </c>
      <c r="E38" s="50">
        <v>8</v>
      </c>
      <c r="F38" s="50">
        <v>15</v>
      </c>
      <c r="G38" s="50">
        <v>0</v>
      </c>
      <c r="H38" s="50">
        <v>0</v>
      </c>
      <c r="I38" s="50">
        <v>4</v>
      </c>
      <c r="J38" s="50">
        <v>3</v>
      </c>
      <c r="K38" s="50">
        <v>6</v>
      </c>
      <c r="L38" s="50">
        <v>11</v>
      </c>
      <c r="M38" s="50">
        <v>34</v>
      </c>
      <c r="N38" s="50">
        <v>1</v>
      </c>
      <c r="O38" s="15">
        <f t="shared" si="0"/>
        <v>70</v>
      </c>
      <c r="P38" s="15">
        <f t="shared" si="1"/>
        <v>104</v>
      </c>
    </row>
    <row r="39" spans="2:20" ht="23.1" customHeight="1" x14ac:dyDescent="0.25">
      <c r="B39" s="24" t="s">
        <v>66</v>
      </c>
      <c r="C39" s="50">
        <v>8</v>
      </c>
      <c r="D39" s="50">
        <v>4</v>
      </c>
      <c r="E39" s="50">
        <v>5</v>
      </c>
      <c r="F39" s="50">
        <v>15</v>
      </c>
      <c r="G39" s="50">
        <v>0</v>
      </c>
      <c r="H39" s="50">
        <v>0</v>
      </c>
      <c r="I39" s="50">
        <v>2</v>
      </c>
      <c r="J39" s="50">
        <v>3</v>
      </c>
      <c r="K39" s="50">
        <v>1</v>
      </c>
      <c r="L39" s="50">
        <v>1</v>
      </c>
      <c r="M39" s="50">
        <v>32</v>
      </c>
      <c r="N39" s="50">
        <v>0</v>
      </c>
      <c r="O39" s="15">
        <f t="shared" si="0"/>
        <v>39</v>
      </c>
      <c r="P39" s="15">
        <f t="shared" si="1"/>
        <v>71</v>
      </c>
    </row>
    <row r="40" spans="2:20" ht="23.1" customHeight="1" x14ac:dyDescent="0.25">
      <c r="B40" s="24" t="s">
        <v>67</v>
      </c>
      <c r="C40" s="50">
        <v>5</v>
      </c>
      <c r="D40" s="50">
        <v>7</v>
      </c>
      <c r="E40" s="50">
        <v>2</v>
      </c>
      <c r="F40" s="50">
        <v>10</v>
      </c>
      <c r="G40" s="50">
        <v>0</v>
      </c>
      <c r="H40" s="50">
        <v>0</v>
      </c>
      <c r="I40" s="50">
        <v>2</v>
      </c>
      <c r="J40" s="50">
        <v>3</v>
      </c>
      <c r="K40" s="50">
        <v>7</v>
      </c>
      <c r="L40" s="50">
        <v>2</v>
      </c>
      <c r="M40" s="50">
        <v>25</v>
      </c>
      <c r="N40" s="50">
        <v>0</v>
      </c>
      <c r="O40" s="15">
        <f t="shared" si="0"/>
        <v>38</v>
      </c>
      <c r="P40" s="15">
        <f t="shared" si="1"/>
        <v>63</v>
      </c>
    </row>
    <row r="41" spans="2:20" ht="23.1" customHeight="1" x14ac:dyDescent="0.25">
      <c r="B41" s="23" t="s">
        <v>68</v>
      </c>
      <c r="C41" s="50">
        <v>11</v>
      </c>
      <c r="D41" s="50">
        <v>2</v>
      </c>
      <c r="E41" s="50">
        <v>1</v>
      </c>
      <c r="F41" s="50">
        <v>16</v>
      </c>
      <c r="G41" s="50">
        <v>0</v>
      </c>
      <c r="H41" s="50">
        <v>0</v>
      </c>
      <c r="I41" s="50">
        <v>4</v>
      </c>
      <c r="J41" s="50">
        <v>2</v>
      </c>
      <c r="K41" s="50">
        <v>2</v>
      </c>
      <c r="L41" s="50">
        <v>5</v>
      </c>
      <c r="M41" s="50">
        <v>26</v>
      </c>
      <c r="N41" s="50">
        <v>0</v>
      </c>
      <c r="O41" s="15">
        <f t="shared" si="0"/>
        <v>43</v>
      </c>
      <c r="P41" s="15">
        <f t="shared" si="1"/>
        <v>69</v>
      </c>
    </row>
    <row r="42" spans="2:20" ht="23.1" customHeight="1" x14ac:dyDescent="0.25">
      <c r="B42" s="24" t="s">
        <v>69</v>
      </c>
      <c r="C42" s="50">
        <v>31</v>
      </c>
      <c r="D42" s="50">
        <v>3</v>
      </c>
      <c r="E42" s="50">
        <v>4</v>
      </c>
      <c r="F42" s="50">
        <v>29</v>
      </c>
      <c r="G42" s="50">
        <v>0</v>
      </c>
      <c r="H42" s="50">
        <v>0</v>
      </c>
      <c r="I42" s="50">
        <v>9</v>
      </c>
      <c r="J42" s="50">
        <v>2</v>
      </c>
      <c r="K42" s="50">
        <v>14</v>
      </c>
      <c r="L42" s="50">
        <v>11</v>
      </c>
      <c r="M42" s="50">
        <v>56</v>
      </c>
      <c r="N42" s="50">
        <v>0</v>
      </c>
      <c r="O42" s="15">
        <f t="shared" si="0"/>
        <v>103</v>
      </c>
      <c r="P42" s="15">
        <f t="shared" si="1"/>
        <v>159</v>
      </c>
    </row>
    <row r="43" spans="2:20" ht="23.1" customHeight="1" x14ac:dyDescent="0.25">
      <c r="B43" s="23" t="s">
        <v>70</v>
      </c>
      <c r="C43" s="50">
        <v>15</v>
      </c>
      <c r="D43" s="50">
        <v>5</v>
      </c>
      <c r="E43" s="50">
        <v>5</v>
      </c>
      <c r="F43" s="50">
        <v>15</v>
      </c>
      <c r="G43" s="50">
        <v>0</v>
      </c>
      <c r="H43" s="50">
        <v>0</v>
      </c>
      <c r="I43" s="50">
        <v>3</v>
      </c>
      <c r="J43" s="50">
        <v>2</v>
      </c>
      <c r="K43" s="50">
        <v>2</v>
      </c>
      <c r="L43" s="50">
        <v>8</v>
      </c>
      <c r="M43" s="50">
        <v>46</v>
      </c>
      <c r="N43" s="50">
        <v>0</v>
      </c>
      <c r="O43" s="15">
        <f t="shared" si="0"/>
        <v>55</v>
      </c>
      <c r="P43" s="15">
        <f t="shared" si="1"/>
        <v>101</v>
      </c>
    </row>
    <row r="44" spans="2:20" ht="23.1" customHeight="1" x14ac:dyDescent="0.25">
      <c r="B44" s="25" t="s">
        <v>71</v>
      </c>
      <c r="C44" s="50">
        <v>17</v>
      </c>
      <c r="D44" s="50">
        <v>3</v>
      </c>
      <c r="E44" s="50">
        <v>3</v>
      </c>
      <c r="F44" s="50">
        <v>8</v>
      </c>
      <c r="G44" s="50">
        <v>0</v>
      </c>
      <c r="H44" s="50">
        <v>2</v>
      </c>
      <c r="I44" s="50">
        <v>3</v>
      </c>
      <c r="J44" s="50">
        <v>9</v>
      </c>
      <c r="K44" s="50">
        <v>6</v>
      </c>
      <c r="L44" s="50">
        <v>8</v>
      </c>
      <c r="M44" s="50">
        <v>41</v>
      </c>
      <c r="N44" s="50">
        <v>0</v>
      </c>
      <c r="O44" s="15">
        <f t="shared" si="0"/>
        <v>59</v>
      </c>
      <c r="P44" s="15">
        <f t="shared" si="1"/>
        <v>100</v>
      </c>
    </row>
    <row r="45" spans="2:20" ht="23.1" customHeight="1" x14ac:dyDescent="0.25">
      <c r="B45" s="23" t="s">
        <v>72</v>
      </c>
      <c r="C45" s="50">
        <v>20</v>
      </c>
      <c r="D45" s="50">
        <v>4</v>
      </c>
      <c r="E45" s="50">
        <v>6</v>
      </c>
      <c r="F45" s="50">
        <v>28</v>
      </c>
      <c r="G45" s="50">
        <v>0</v>
      </c>
      <c r="H45" s="50">
        <v>0</v>
      </c>
      <c r="I45" s="50">
        <v>10</v>
      </c>
      <c r="J45" s="50">
        <v>5</v>
      </c>
      <c r="K45" s="50">
        <v>8</v>
      </c>
      <c r="L45" s="50">
        <v>12</v>
      </c>
      <c r="M45" s="50">
        <v>27</v>
      </c>
      <c r="N45" s="50">
        <v>0</v>
      </c>
      <c r="O45" s="15">
        <f t="shared" si="0"/>
        <v>93</v>
      </c>
      <c r="P45" s="15">
        <f t="shared" si="1"/>
        <v>120</v>
      </c>
    </row>
    <row r="46" spans="2:20" ht="23.1" customHeight="1" x14ac:dyDescent="0.25">
      <c r="B46" s="24" t="s">
        <v>73</v>
      </c>
      <c r="C46" s="50">
        <v>17</v>
      </c>
      <c r="D46" s="50">
        <v>8</v>
      </c>
      <c r="E46" s="50">
        <v>3</v>
      </c>
      <c r="F46" s="50">
        <v>11</v>
      </c>
      <c r="G46" s="50">
        <v>0</v>
      </c>
      <c r="H46" s="50">
        <v>0</v>
      </c>
      <c r="I46" s="50">
        <v>2</v>
      </c>
      <c r="J46" s="50">
        <v>7</v>
      </c>
      <c r="K46" s="50">
        <v>8</v>
      </c>
      <c r="L46" s="50">
        <v>8</v>
      </c>
      <c r="M46" s="50">
        <v>21</v>
      </c>
      <c r="N46" s="50">
        <v>0</v>
      </c>
      <c r="O46" s="15">
        <f t="shared" si="0"/>
        <v>64</v>
      </c>
      <c r="P46" s="15">
        <f t="shared" si="1"/>
        <v>85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3</v>
      </c>
      <c r="E47" s="50">
        <v>7</v>
      </c>
      <c r="F47" s="50">
        <v>25</v>
      </c>
      <c r="G47" s="50">
        <v>0</v>
      </c>
      <c r="H47" s="50">
        <v>0</v>
      </c>
      <c r="I47" s="50">
        <v>5</v>
      </c>
      <c r="J47" s="50">
        <v>2</v>
      </c>
      <c r="K47" s="50">
        <v>3</v>
      </c>
      <c r="L47" s="50">
        <v>3</v>
      </c>
      <c r="M47" s="50">
        <v>39</v>
      </c>
      <c r="N47" s="50">
        <v>0</v>
      </c>
      <c r="O47" s="15">
        <f t="shared" si="0"/>
        <v>67</v>
      </c>
      <c r="P47" s="15">
        <f t="shared" si="1"/>
        <v>106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10</v>
      </c>
      <c r="E48" s="50">
        <v>9</v>
      </c>
      <c r="F48" s="50">
        <v>15</v>
      </c>
      <c r="G48" s="50">
        <v>0</v>
      </c>
      <c r="H48" s="50">
        <v>0</v>
      </c>
      <c r="I48" s="50">
        <v>11</v>
      </c>
      <c r="J48" s="50">
        <v>6</v>
      </c>
      <c r="K48" s="50">
        <v>4</v>
      </c>
      <c r="L48" s="50">
        <v>12</v>
      </c>
      <c r="M48" s="50">
        <v>31</v>
      </c>
      <c r="N48" s="50">
        <v>0</v>
      </c>
      <c r="O48" s="15">
        <f t="shared" si="0"/>
        <v>83</v>
      </c>
      <c r="P48" s="15">
        <f t="shared" si="1"/>
        <v>114</v>
      </c>
      <c r="R48" s="8"/>
      <c r="T48"/>
    </row>
    <row r="49" spans="2:20" ht="23.1" customHeight="1" x14ac:dyDescent="0.25">
      <c r="B49" s="23" t="s">
        <v>76</v>
      </c>
      <c r="C49" s="50">
        <v>37</v>
      </c>
      <c r="D49" s="50">
        <v>8</v>
      </c>
      <c r="E49" s="50">
        <v>10</v>
      </c>
      <c r="F49" s="50">
        <v>28</v>
      </c>
      <c r="G49" s="50">
        <v>0</v>
      </c>
      <c r="H49" s="50">
        <v>0</v>
      </c>
      <c r="I49" s="50">
        <v>9</v>
      </c>
      <c r="J49" s="50">
        <v>2</v>
      </c>
      <c r="K49" s="50">
        <v>6</v>
      </c>
      <c r="L49" s="50">
        <v>2</v>
      </c>
      <c r="M49" s="50">
        <v>44</v>
      </c>
      <c r="N49" s="50">
        <v>0</v>
      </c>
      <c r="O49" s="15">
        <f t="shared" si="0"/>
        <v>102</v>
      </c>
      <c r="P49" s="15">
        <f t="shared" si="1"/>
        <v>146</v>
      </c>
      <c r="R49" s="8"/>
      <c r="T49"/>
    </row>
    <row r="50" spans="2:20" ht="23.1" customHeight="1" x14ac:dyDescent="0.25">
      <c r="B50" s="24" t="s">
        <v>77</v>
      </c>
      <c r="C50" s="50">
        <v>33</v>
      </c>
      <c r="D50" s="50">
        <v>4</v>
      </c>
      <c r="E50" s="50">
        <v>11</v>
      </c>
      <c r="F50" s="50">
        <v>20</v>
      </c>
      <c r="G50" s="50">
        <v>0</v>
      </c>
      <c r="H50" s="50">
        <v>3</v>
      </c>
      <c r="I50" s="50">
        <v>5</v>
      </c>
      <c r="J50" s="50">
        <v>2</v>
      </c>
      <c r="K50" s="50">
        <v>3</v>
      </c>
      <c r="L50" s="50">
        <v>6</v>
      </c>
      <c r="M50" s="50">
        <v>34</v>
      </c>
      <c r="N50" s="50">
        <v>0</v>
      </c>
      <c r="O50" s="15">
        <f t="shared" si="0"/>
        <v>87</v>
      </c>
      <c r="P50" s="15">
        <f t="shared" si="1"/>
        <v>121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6</v>
      </c>
      <c r="E51" s="50">
        <v>13</v>
      </c>
      <c r="F51" s="50">
        <v>25</v>
      </c>
      <c r="G51" s="50">
        <v>0</v>
      </c>
      <c r="H51" s="50">
        <v>1</v>
      </c>
      <c r="I51" s="50">
        <v>14</v>
      </c>
      <c r="J51" s="50">
        <v>6</v>
      </c>
      <c r="K51" s="50">
        <v>6</v>
      </c>
      <c r="L51" s="50">
        <v>8</v>
      </c>
      <c r="M51" s="50">
        <v>32</v>
      </c>
      <c r="N51" s="50">
        <v>0</v>
      </c>
      <c r="O51" s="15">
        <f t="shared" si="0"/>
        <v>110</v>
      </c>
      <c r="P51" s="15">
        <f t="shared" si="1"/>
        <v>142</v>
      </c>
      <c r="R51" s="8"/>
      <c r="T51"/>
    </row>
    <row r="52" spans="2:20" ht="23.1" customHeight="1" x14ac:dyDescent="0.25">
      <c r="B52" s="24" t="s">
        <v>79</v>
      </c>
      <c r="C52" s="50">
        <v>26</v>
      </c>
      <c r="D52" s="50">
        <v>11</v>
      </c>
      <c r="E52" s="50">
        <v>8</v>
      </c>
      <c r="F52" s="50">
        <v>25</v>
      </c>
      <c r="G52" s="50">
        <v>1</v>
      </c>
      <c r="H52" s="50">
        <v>1</v>
      </c>
      <c r="I52" s="50">
        <v>2</v>
      </c>
      <c r="J52" s="50">
        <v>2</v>
      </c>
      <c r="K52" s="50">
        <v>7</v>
      </c>
      <c r="L52" s="50">
        <v>9</v>
      </c>
      <c r="M52" s="50">
        <v>49</v>
      </c>
      <c r="N52" s="50">
        <v>0</v>
      </c>
      <c r="O52" s="15">
        <f t="shared" si="0"/>
        <v>92</v>
      </c>
      <c r="P52" s="15">
        <f t="shared" si="1"/>
        <v>141</v>
      </c>
      <c r="R52" s="8"/>
      <c r="T52"/>
    </row>
    <row r="53" spans="2:20" ht="23.1" customHeight="1" x14ac:dyDescent="0.25">
      <c r="B53" s="23" t="s">
        <v>80</v>
      </c>
      <c r="C53" s="50">
        <v>51</v>
      </c>
      <c r="D53" s="50">
        <v>6</v>
      </c>
      <c r="E53" s="50">
        <v>5</v>
      </c>
      <c r="F53" s="50">
        <v>32</v>
      </c>
      <c r="G53" s="50">
        <v>0</v>
      </c>
      <c r="H53" s="50">
        <v>0</v>
      </c>
      <c r="I53" s="50">
        <v>5</v>
      </c>
      <c r="J53" s="50">
        <v>4</v>
      </c>
      <c r="K53" s="50">
        <v>2</v>
      </c>
      <c r="L53" s="50">
        <v>5</v>
      </c>
      <c r="M53" s="50">
        <v>36</v>
      </c>
      <c r="N53" s="50">
        <v>0</v>
      </c>
      <c r="O53" s="15">
        <f t="shared" si="0"/>
        <v>110</v>
      </c>
      <c r="P53" s="15">
        <f t="shared" si="1"/>
        <v>146</v>
      </c>
      <c r="R53" s="8"/>
      <c r="T53"/>
    </row>
    <row r="54" spans="2:20" ht="23.1" customHeight="1" x14ac:dyDescent="0.25">
      <c r="B54" s="23" t="s">
        <v>81</v>
      </c>
      <c r="C54" s="50">
        <v>64</v>
      </c>
      <c r="D54" s="50">
        <v>9</v>
      </c>
      <c r="E54" s="50">
        <v>6</v>
      </c>
      <c r="F54" s="50">
        <v>32</v>
      </c>
      <c r="G54" s="50">
        <v>1</v>
      </c>
      <c r="H54" s="50">
        <v>0</v>
      </c>
      <c r="I54" s="50">
        <v>8</v>
      </c>
      <c r="J54" s="50">
        <v>4</v>
      </c>
      <c r="K54" s="50">
        <v>8</v>
      </c>
      <c r="L54" s="50">
        <v>6</v>
      </c>
      <c r="M54" s="50">
        <v>48</v>
      </c>
      <c r="N54" s="50">
        <v>0</v>
      </c>
      <c r="O54" s="15">
        <f t="shared" si="0"/>
        <v>138</v>
      </c>
      <c r="P54" s="15">
        <f t="shared" si="1"/>
        <v>186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15</v>
      </c>
      <c r="E55" s="50">
        <v>7</v>
      </c>
      <c r="F55" s="50">
        <v>29</v>
      </c>
      <c r="G55" s="50">
        <v>2</v>
      </c>
      <c r="H55" s="50">
        <v>0</v>
      </c>
      <c r="I55" s="50">
        <v>12</v>
      </c>
      <c r="J55" s="50">
        <v>6</v>
      </c>
      <c r="K55" s="50">
        <v>5</v>
      </c>
      <c r="L55" s="50">
        <v>4</v>
      </c>
      <c r="M55" s="50">
        <v>40</v>
      </c>
      <c r="N55" s="50">
        <v>0</v>
      </c>
      <c r="O55" s="15">
        <f t="shared" si="0"/>
        <v>120</v>
      </c>
      <c r="P55" s="15">
        <f t="shared" si="1"/>
        <v>160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3</v>
      </c>
      <c r="E56" s="50">
        <v>4</v>
      </c>
      <c r="F56" s="50">
        <v>24</v>
      </c>
      <c r="G56" s="50">
        <v>1</v>
      </c>
      <c r="H56" s="50">
        <v>0</v>
      </c>
      <c r="I56" s="50">
        <v>3</v>
      </c>
      <c r="J56" s="50">
        <v>5</v>
      </c>
      <c r="K56" s="50">
        <v>0</v>
      </c>
      <c r="L56" s="50">
        <v>1</v>
      </c>
      <c r="M56" s="50">
        <v>31</v>
      </c>
      <c r="N56" s="50">
        <v>0</v>
      </c>
      <c r="O56" s="15">
        <f t="shared" si="0"/>
        <v>74</v>
      </c>
      <c r="P56" s="15">
        <f t="shared" si="1"/>
        <v>105</v>
      </c>
      <c r="R56" s="8"/>
      <c r="T56"/>
    </row>
    <row r="57" spans="2:20" ht="23.1" customHeight="1" x14ac:dyDescent="0.25">
      <c r="B57" s="23" t="s">
        <v>84</v>
      </c>
      <c r="C57" s="50">
        <v>47</v>
      </c>
      <c r="D57" s="50">
        <v>8</v>
      </c>
      <c r="E57" s="50">
        <v>9</v>
      </c>
      <c r="F57" s="50">
        <v>36</v>
      </c>
      <c r="G57" s="50">
        <v>0</v>
      </c>
      <c r="H57" s="50">
        <v>0</v>
      </c>
      <c r="I57" s="50">
        <v>2</v>
      </c>
      <c r="J57" s="50">
        <v>2</v>
      </c>
      <c r="K57" s="50">
        <v>2</v>
      </c>
      <c r="L57" s="50">
        <v>3</v>
      </c>
      <c r="M57" s="50">
        <v>48</v>
      </c>
      <c r="N57" s="50">
        <v>0</v>
      </c>
      <c r="O57" s="15">
        <f t="shared" si="0"/>
        <v>109</v>
      </c>
      <c r="P57" s="15">
        <f t="shared" si="1"/>
        <v>157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860</v>
      </c>
      <c r="D58" s="16">
        <f t="shared" si="21"/>
        <v>173</v>
      </c>
      <c r="E58" s="16">
        <f t="shared" si="21"/>
        <v>183</v>
      </c>
      <c r="F58" s="16">
        <f t="shared" si="21"/>
        <v>810</v>
      </c>
      <c r="G58" s="16">
        <f t="shared" si="21"/>
        <v>10</v>
      </c>
      <c r="H58" s="16">
        <f t="shared" si="21"/>
        <v>8</v>
      </c>
      <c r="I58" s="16">
        <f t="shared" si="21"/>
        <v>239</v>
      </c>
      <c r="J58" s="16">
        <f t="shared" si="21"/>
        <v>149</v>
      </c>
      <c r="K58" s="16">
        <f t="shared" si="21"/>
        <v>186</v>
      </c>
      <c r="L58" s="16">
        <f t="shared" si="21"/>
        <v>221</v>
      </c>
      <c r="M58" s="16">
        <f t="shared" si="21"/>
        <v>1318</v>
      </c>
      <c r="N58" s="16">
        <f t="shared" si="21"/>
        <v>1</v>
      </c>
      <c r="O58" s="16">
        <f t="shared" si="21"/>
        <v>2840</v>
      </c>
      <c r="P58" s="16">
        <f t="shared" si="21"/>
        <v>4158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0.20683020683020684</v>
      </c>
      <c r="D59" s="43">
        <f t="shared" si="22"/>
        <v>4.1606541606541605E-2</v>
      </c>
      <c r="E59" s="43">
        <f t="shared" si="22"/>
        <v>4.4011544011544008E-2</v>
      </c>
      <c r="F59" s="43">
        <f t="shared" si="22"/>
        <v>0.19480519480519481</v>
      </c>
      <c r="G59" s="43">
        <f t="shared" si="22"/>
        <v>2.4050024050024051E-3</v>
      </c>
      <c r="H59" s="43">
        <f t="shared" si="22"/>
        <v>1.9240019240019241E-3</v>
      </c>
      <c r="I59" s="43">
        <f t="shared" si="22"/>
        <v>5.7479557479557478E-2</v>
      </c>
      <c r="J59" s="43">
        <f t="shared" si="22"/>
        <v>3.5834535834535837E-2</v>
      </c>
      <c r="K59" s="43">
        <f t="shared" si="22"/>
        <v>4.4733044733044736E-2</v>
      </c>
      <c r="L59" s="43">
        <f t="shared" si="22"/>
        <v>5.3150553150553149E-2</v>
      </c>
      <c r="M59" s="43">
        <f t="shared" si="22"/>
        <v>0.31697931697931697</v>
      </c>
      <c r="N59" s="43">
        <f t="shared" si="22"/>
        <v>2.4050024050024051E-4</v>
      </c>
      <c r="R59" s="8"/>
      <c r="T59"/>
    </row>
    <row r="60" spans="2:20" ht="23.1" customHeight="1" x14ac:dyDescent="0.25">
      <c r="B60" s="42" t="s">
        <v>94</v>
      </c>
      <c r="C60" s="44">
        <f>C58/$O$58</f>
        <v>0.30281690140845069</v>
      </c>
      <c r="D60" s="44">
        <f t="shared" ref="D60:N60" si="23">D58/$O$58</f>
        <v>6.0915492957746481E-2</v>
      </c>
      <c r="E60" s="44">
        <f t="shared" si="23"/>
        <v>6.4436619718309857E-2</v>
      </c>
      <c r="F60" s="44">
        <f t="shared" si="23"/>
        <v>0.28521126760563381</v>
      </c>
      <c r="G60" s="44">
        <f t="shared" si="23"/>
        <v>3.5211267605633804E-3</v>
      </c>
      <c r="H60" s="44">
        <f t="shared" si="23"/>
        <v>2.8169014084507044E-3</v>
      </c>
      <c r="I60" s="44">
        <f t="shared" si="23"/>
        <v>8.4154929577464788E-2</v>
      </c>
      <c r="J60" s="44">
        <f t="shared" si="23"/>
        <v>5.2464788732394366E-2</v>
      </c>
      <c r="K60" s="44">
        <f t="shared" si="23"/>
        <v>6.5492957746478869E-2</v>
      </c>
      <c r="L60" s="44">
        <f t="shared" si="23"/>
        <v>7.7816901408450698E-2</v>
      </c>
      <c r="M60" s="44"/>
      <c r="N60" s="44">
        <f t="shared" si="23"/>
        <v>3.5211267605633805E-4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Nalya-Bweyogerere'!D5</f>
        <v>29.07.19</v>
      </c>
      <c r="E5" s="3"/>
      <c r="F5" s="41" t="s">
        <v>1</v>
      </c>
      <c r="G5" s="61" t="str">
        <f>'29.07 Nalya-Bweyogerere'!G5:H5</f>
        <v>Signs and Symbols</v>
      </c>
      <c r="H5" s="62"/>
      <c r="I5" s="14"/>
      <c r="J5" s="2" t="s">
        <v>5</v>
      </c>
      <c r="K5" s="61" t="str">
        <f>'29.07 Nalya-Bweyogerere'!K5:L5</f>
        <v>Acema Vicent/Aseru Sherry/Mejje Mathias Trevor/Martin Anthony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171</v>
      </c>
      <c r="E6" s="56"/>
      <c r="F6" s="2" t="s">
        <v>2</v>
      </c>
      <c r="G6" s="55" t="s">
        <v>174</v>
      </c>
      <c r="H6" s="56"/>
      <c r="J6" s="2" t="s">
        <v>21</v>
      </c>
      <c r="K6" s="61" t="str">
        <f>'29.07 Nalya-Bweyogerere'!K6:L6</f>
        <v>Steven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34</v>
      </c>
      <c r="T12" s="17">
        <f t="shared" si="4"/>
        <v>19</v>
      </c>
      <c r="U12" s="17">
        <f t="shared" si="4"/>
        <v>5</v>
      </c>
      <c r="V12" s="17">
        <f t="shared" si="4"/>
        <v>31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13</v>
      </c>
      <c r="AA12" s="17">
        <f t="shared" si="4"/>
        <v>9</v>
      </c>
      <c r="AB12" s="17">
        <f t="shared" si="4"/>
        <v>12</v>
      </c>
      <c r="AC12" s="17">
        <f t="shared" si="4"/>
        <v>58</v>
      </c>
      <c r="AD12" s="17">
        <f t="shared" si="4"/>
        <v>0</v>
      </c>
      <c r="AE12" s="31">
        <f t="shared" si="4"/>
        <v>129</v>
      </c>
      <c r="AF12" s="31">
        <f t="shared" si="4"/>
        <v>187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57</v>
      </c>
      <c r="T13" s="17">
        <f t="shared" si="5"/>
        <v>44</v>
      </c>
      <c r="U13" s="17">
        <f t="shared" si="5"/>
        <v>14</v>
      </c>
      <c r="V13" s="17">
        <f t="shared" si="5"/>
        <v>95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20</v>
      </c>
      <c r="AA13" s="17">
        <f t="shared" si="5"/>
        <v>22</v>
      </c>
      <c r="AB13" s="17">
        <f t="shared" si="5"/>
        <v>11</v>
      </c>
      <c r="AC13" s="17">
        <f t="shared" si="5"/>
        <v>122</v>
      </c>
      <c r="AD13" s="17">
        <f t="shared" si="5"/>
        <v>0</v>
      </c>
      <c r="AE13" s="31">
        <f t="shared" si="5"/>
        <v>273</v>
      </c>
      <c r="AF13" s="31">
        <f t="shared" si="5"/>
        <v>395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65</v>
      </c>
      <c r="T14" s="17">
        <f t="shared" si="6"/>
        <v>48</v>
      </c>
      <c r="U14" s="17">
        <f t="shared" si="6"/>
        <v>14</v>
      </c>
      <c r="V14" s="17">
        <f t="shared" si="6"/>
        <v>76</v>
      </c>
      <c r="W14" s="17">
        <f t="shared" si="6"/>
        <v>3</v>
      </c>
      <c r="X14" s="17">
        <f t="shared" si="6"/>
        <v>0</v>
      </c>
      <c r="Y14" s="17">
        <f t="shared" si="6"/>
        <v>32</v>
      </c>
      <c r="Z14" s="17">
        <f t="shared" si="6"/>
        <v>21</v>
      </c>
      <c r="AA14" s="17">
        <f t="shared" si="6"/>
        <v>15</v>
      </c>
      <c r="AB14" s="17">
        <f t="shared" si="6"/>
        <v>24</v>
      </c>
      <c r="AC14" s="17">
        <f t="shared" si="6"/>
        <v>125</v>
      </c>
      <c r="AD14" s="17">
        <f t="shared" si="6"/>
        <v>1</v>
      </c>
      <c r="AE14" s="31">
        <f t="shared" si="6"/>
        <v>299</v>
      </c>
      <c r="AF14" s="31">
        <f t="shared" si="6"/>
        <v>424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100</v>
      </c>
      <c r="T15" s="17">
        <f t="shared" si="7"/>
        <v>46</v>
      </c>
      <c r="U15" s="17">
        <f t="shared" si="7"/>
        <v>22</v>
      </c>
      <c r="V15" s="17">
        <f t="shared" si="7"/>
        <v>72</v>
      </c>
      <c r="W15" s="17">
        <f t="shared" si="7"/>
        <v>2</v>
      </c>
      <c r="X15" s="17">
        <f t="shared" si="7"/>
        <v>2</v>
      </c>
      <c r="Y15" s="17">
        <f t="shared" si="7"/>
        <v>13</v>
      </c>
      <c r="Z15" s="17">
        <f t="shared" si="7"/>
        <v>40</v>
      </c>
      <c r="AA15" s="17">
        <f t="shared" si="7"/>
        <v>19</v>
      </c>
      <c r="AB15" s="17">
        <f t="shared" si="7"/>
        <v>32</v>
      </c>
      <c r="AC15" s="17">
        <f t="shared" si="7"/>
        <v>135</v>
      </c>
      <c r="AD15" s="17">
        <f t="shared" si="7"/>
        <v>0</v>
      </c>
      <c r="AE15" s="31">
        <f t="shared" si="7"/>
        <v>348</v>
      </c>
      <c r="AF15" s="31">
        <f t="shared" si="7"/>
        <v>483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71</v>
      </c>
      <c r="T16" s="17">
        <f t="shared" si="8"/>
        <v>36</v>
      </c>
      <c r="U16" s="17">
        <f t="shared" si="8"/>
        <v>19</v>
      </c>
      <c r="V16" s="17">
        <f t="shared" si="8"/>
        <v>69</v>
      </c>
      <c r="W16" s="17">
        <f t="shared" si="8"/>
        <v>0</v>
      </c>
      <c r="X16" s="17">
        <f t="shared" si="8"/>
        <v>0</v>
      </c>
      <c r="Y16" s="17">
        <f t="shared" si="8"/>
        <v>20</v>
      </c>
      <c r="Z16" s="17">
        <f t="shared" si="8"/>
        <v>34</v>
      </c>
      <c r="AA16" s="17">
        <f t="shared" si="8"/>
        <v>16</v>
      </c>
      <c r="AB16" s="17">
        <f t="shared" si="8"/>
        <v>23</v>
      </c>
      <c r="AC16" s="17">
        <f t="shared" si="8"/>
        <v>123</v>
      </c>
      <c r="AD16" s="17">
        <f t="shared" si="8"/>
        <v>0</v>
      </c>
      <c r="AE16" s="31">
        <f t="shared" si="8"/>
        <v>288</v>
      </c>
      <c r="AF16" s="31">
        <f t="shared" si="8"/>
        <v>411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59</v>
      </c>
      <c r="T17" s="17">
        <f t="shared" si="9"/>
        <v>21</v>
      </c>
      <c r="U17" s="17">
        <f t="shared" si="9"/>
        <v>12</v>
      </c>
      <c r="V17" s="17">
        <f t="shared" si="9"/>
        <v>51</v>
      </c>
      <c r="W17" s="17">
        <f t="shared" si="9"/>
        <v>0</v>
      </c>
      <c r="X17" s="17">
        <f t="shared" si="9"/>
        <v>2</v>
      </c>
      <c r="Y17" s="17">
        <f t="shared" si="9"/>
        <v>11</v>
      </c>
      <c r="Z17" s="17">
        <f t="shared" si="9"/>
        <v>38</v>
      </c>
      <c r="AA17" s="17">
        <f t="shared" si="9"/>
        <v>15</v>
      </c>
      <c r="AB17" s="17">
        <f t="shared" si="9"/>
        <v>18</v>
      </c>
      <c r="AC17" s="17">
        <f t="shared" si="9"/>
        <v>127</v>
      </c>
      <c r="AD17" s="17">
        <f t="shared" si="9"/>
        <v>0</v>
      </c>
      <c r="AE17" s="31">
        <f t="shared" si="9"/>
        <v>227</v>
      </c>
      <c r="AF17" s="31">
        <f t="shared" si="9"/>
        <v>354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71</v>
      </c>
      <c r="T18" s="17">
        <f t="shared" si="10"/>
        <v>38</v>
      </c>
      <c r="U18" s="17">
        <f t="shared" si="10"/>
        <v>14</v>
      </c>
      <c r="V18" s="17">
        <f t="shared" si="10"/>
        <v>82</v>
      </c>
      <c r="W18" s="17">
        <f t="shared" si="10"/>
        <v>0</v>
      </c>
      <c r="X18" s="17">
        <f t="shared" si="10"/>
        <v>0</v>
      </c>
      <c r="Y18" s="17">
        <f t="shared" si="10"/>
        <v>19</v>
      </c>
      <c r="Z18" s="17">
        <f t="shared" si="10"/>
        <v>35</v>
      </c>
      <c r="AA18" s="17">
        <f t="shared" si="10"/>
        <v>19</v>
      </c>
      <c r="AB18" s="17">
        <f t="shared" si="10"/>
        <v>30</v>
      </c>
      <c r="AC18" s="17">
        <f t="shared" si="10"/>
        <v>164</v>
      </c>
      <c r="AD18" s="17">
        <f t="shared" si="10"/>
        <v>0</v>
      </c>
      <c r="AE18" s="31">
        <f t="shared" si="10"/>
        <v>308</v>
      </c>
      <c r="AF18" s="31">
        <f t="shared" si="10"/>
        <v>472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58</v>
      </c>
      <c r="T19" s="17">
        <f t="shared" si="11"/>
        <v>32</v>
      </c>
      <c r="U19" s="17">
        <f t="shared" si="11"/>
        <v>18</v>
      </c>
      <c r="V19" s="17">
        <f t="shared" si="11"/>
        <v>76</v>
      </c>
      <c r="W19" s="17">
        <f t="shared" si="11"/>
        <v>1</v>
      </c>
      <c r="X19" s="17">
        <f t="shared" si="11"/>
        <v>1</v>
      </c>
      <c r="Y19" s="17">
        <f t="shared" si="11"/>
        <v>16</v>
      </c>
      <c r="Z19" s="17">
        <f t="shared" si="11"/>
        <v>25</v>
      </c>
      <c r="AA19" s="17">
        <f t="shared" si="11"/>
        <v>25</v>
      </c>
      <c r="AB19" s="17">
        <f t="shared" si="11"/>
        <v>20</v>
      </c>
      <c r="AC19" s="17">
        <f t="shared" si="11"/>
        <v>145</v>
      </c>
      <c r="AD19" s="17">
        <f t="shared" si="11"/>
        <v>0</v>
      </c>
      <c r="AE19" s="31">
        <f t="shared" si="11"/>
        <v>272</v>
      </c>
      <c r="AF19" s="31">
        <f t="shared" si="11"/>
        <v>417</v>
      </c>
    </row>
    <row r="20" spans="2:32" ht="23.1" customHeight="1" x14ac:dyDescent="0.25">
      <c r="B20" s="23" t="s">
        <v>47</v>
      </c>
      <c r="C20" s="50">
        <v>15</v>
      </c>
      <c r="D20" s="50">
        <v>5</v>
      </c>
      <c r="E20" s="50">
        <v>1</v>
      </c>
      <c r="F20" s="50">
        <v>11</v>
      </c>
      <c r="G20" s="50">
        <v>0</v>
      </c>
      <c r="H20" s="50">
        <v>0</v>
      </c>
      <c r="I20" s="50">
        <v>0</v>
      </c>
      <c r="J20" s="50">
        <v>4</v>
      </c>
      <c r="K20" s="50">
        <v>2</v>
      </c>
      <c r="L20" s="50">
        <v>5</v>
      </c>
      <c r="M20" s="50">
        <v>23</v>
      </c>
      <c r="N20" s="50">
        <v>0</v>
      </c>
      <c r="O20" s="15">
        <f t="shared" si="0"/>
        <v>43</v>
      </c>
      <c r="P20" s="15">
        <f t="shared" si="1"/>
        <v>66</v>
      </c>
      <c r="R20" s="1" t="s">
        <v>16</v>
      </c>
      <c r="S20" s="17">
        <f t="shared" ref="S20:AF20" si="12">SUM(C50:C53)</f>
        <v>103</v>
      </c>
      <c r="T20" s="17">
        <f t="shared" si="12"/>
        <v>34</v>
      </c>
      <c r="U20" s="17">
        <f t="shared" si="12"/>
        <v>12</v>
      </c>
      <c r="V20" s="17">
        <f t="shared" si="12"/>
        <v>100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48</v>
      </c>
      <c r="AA20" s="17">
        <f t="shared" si="12"/>
        <v>10</v>
      </c>
      <c r="AB20" s="17">
        <f t="shared" si="12"/>
        <v>15</v>
      </c>
      <c r="AC20" s="17">
        <f t="shared" si="12"/>
        <v>203</v>
      </c>
      <c r="AD20" s="17">
        <f t="shared" si="12"/>
        <v>0</v>
      </c>
      <c r="AE20" s="31">
        <f t="shared" si="12"/>
        <v>337</v>
      </c>
      <c r="AF20" s="31">
        <f t="shared" si="12"/>
        <v>540</v>
      </c>
    </row>
    <row r="21" spans="2:32" ht="23.1" customHeight="1" x14ac:dyDescent="0.25">
      <c r="B21" s="23" t="s">
        <v>48</v>
      </c>
      <c r="C21" s="50">
        <v>19</v>
      </c>
      <c r="D21" s="50">
        <v>14</v>
      </c>
      <c r="E21" s="50">
        <v>4</v>
      </c>
      <c r="F21" s="50">
        <v>20</v>
      </c>
      <c r="G21" s="50">
        <v>1</v>
      </c>
      <c r="H21" s="50">
        <v>0</v>
      </c>
      <c r="I21" s="50">
        <v>5</v>
      </c>
      <c r="J21" s="50">
        <v>9</v>
      </c>
      <c r="K21" s="50">
        <v>7</v>
      </c>
      <c r="L21" s="50">
        <v>7</v>
      </c>
      <c r="M21" s="50">
        <v>35</v>
      </c>
      <c r="N21" s="50">
        <v>0</v>
      </c>
      <c r="O21" s="15">
        <f t="shared" si="0"/>
        <v>86</v>
      </c>
      <c r="P21" s="15">
        <f t="shared" si="1"/>
        <v>121</v>
      </c>
      <c r="R21" s="36" t="s">
        <v>20</v>
      </c>
      <c r="S21" s="34">
        <f t="shared" ref="S21:AF21" si="13">SUM(C54:C57)</f>
        <v>85</v>
      </c>
      <c r="T21" s="17">
        <f t="shared" si="13"/>
        <v>69</v>
      </c>
      <c r="U21" s="17">
        <f t="shared" si="13"/>
        <v>11</v>
      </c>
      <c r="V21" s="17">
        <f t="shared" si="13"/>
        <v>119</v>
      </c>
      <c r="W21" s="17">
        <f t="shared" si="13"/>
        <v>6</v>
      </c>
      <c r="X21" s="17">
        <f t="shared" si="13"/>
        <v>0</v>
      </c>
      <c r="Y21" s="17">
        <f t="shared" si="13"/>
        <v>7</v>
      </c>
      <c r="Z21" s="17">
        <f t="shared" si="13"/>
        <v>36</v>
      </c>
      <c r="AA21" s="17">
        <f t="shared" si="13"/>
        <v>20</v>
      </c>
      <c r="AB21" s="17">
        <f t="shared" si="13"/>
        <v>8</v>
      </c>
      <c r="AC21" s="17">
        <f t="shared" si="13"/>
        <v>167</v>
      </c>
      <c r="AD21" s="17">
        <f t="shared" si="13"/>
        <v>0</v>
      </c>
      <c r="AE21" s="31">
        <f t="shared" si="13"/>
        <v>361</v>
      </c>
      <c r="AF21" s="31">
        <f t="shared" si="13"/>
        <v>528</v>
      </c>
    </row>
    <row r="22" spans="2:32" ht="23.1" customHeight="1" x14ac:dyDescent="0.25">
      <c r="B22" s="23" t="s">
        <v>49</v>
      </c>
      <c r="C22" s="50">
        <v>12</v>
      </c>
      <c r="D22" s="50">
        <v>13</v>
      </c>
      <c r="E22" s="50">
        <v>7</v>
      </c>
      <c r="F22" s="50">
        <v>26</v>
      </c>
      <c r="G22" s="50">
        <v>0</v>
      </c>
      <c r="H22" s="50">
        <v>0</v>
      </c>
      <c r="I22" s="50">
        <v>2</v>
      </c>
      <c r="J22" s="50">
        <v>4</v>
      </c>
      <c r="K22" s="50">
        <v>2</v>
      </c>
      <c r="L22" s="50">
        <v>3</v>
      </c>
      <c r="M22" s="50">
        <v>39</v>
      </c>
      <c r="N22" s="50">
        <v>0</v>
      </c>
      <c r="O22" s="15">
        <f t="shared" si="0"/>
        <v>69</v>
      </c>
      <c r="P22" s="15">
        <f t="shared" si="1"/>
        <v>108</v>
      </c>
      <c r="R22" s="38" t="s">
        <v>90</v>
      </c>
      <c r="S22" s="39">
        <f>MAX(S10:S12)</f>
        <v>34</v>
      </c>
      <c r="T22" s="39">
        <f t="shared" ref="T22:AF22" si="14">MAX(T10:T12)</f>
        <v>19</v>
      </c>
      <c r="U22" s="39">
        <f t="shared" si="14"/>
        <v>5</v>
      </c>
      <c r="V22" s="39">
        <f t="shared" si="14"/>
        <v>31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13</v>
      </c>
      <c r="AA22" s="39">
        <f t="shared" si="14"/>
        <v>9</v>
      </c>
      <c r="AB22" s="39">
        <f t="shared" si="14"/>
        <v>12</v>
      </c>
      <c r="AC22" s="39">
        <f t="shared" si="14"/>
        <v>58</v>
      </c>
      <c r="AD22" s="39">
        <f t="shared" si="14"/>
        <v>0</v>
      </c>
      <c r="AE22" s="40">
        <f t="shared" si="14"/>
        <v>129</v>
      </c>
      <c r="AF22" s="40">
        <f t="shared" si="14"/>
        <v>187</v>
      </c>
    </row>
    <row r="23" spans="2:32" ht="23.1" customHeight="1" x14ac:dyDescent="0.25">
      <c r="B23" s="23" t="s">
        <v>50</v>
      </c>
      <c r="C23" s="50">
        <v>8</v>
      </c>
      <c r="D23" s="50">
        <v>12</v>
      </c>
      <c r="E23" s="50">
        <v>1</v>
      </c>
      <c r="F23" s="50">
        <v>17</v>
      </c>
      <c r="G23" s="50">
        <v>0</v>
      </c>
      <c r="H23" s="50">
        <v>0</v>
      </c>
      <c r="I23" s="50">
        <v>4</v>
      </c>
      <c r="J23" s="50">
        <v>5</v>
      </c>
      <c r="K23" s="50">
        <v>7</v>
      </c>
      <c r="L23" s="50">
        <v>3</v>
      </c>
      <c r="M23" s="50">
        <v>26</v>
      </c>
      <c r="N23" s="50">
        <v>0</v>
      </c>
      <c r="O23" s="15">
        <f t="shared" si="0"/>
        <v>57</v>
      </c>
      <c r="P23" s="15">
        <f t="shared" si="1"/>
        <v>83</v>
      </c>
      <c r="R23" s="38" t="s">
        <v>91</v>
      </c>
      <c r="S23" s="39">
        <f>MAX(S13:S18)</f>
        <v>100</v>
      </c>
      <c r="T23" s="39">
        <f t="shared" ref="T23:AF23" si="15">MAX(T13:T18)</f>
        <v>48</v>
      </c>
      <c r="U23" s="39">
        <f t="shared" si="15"/>
        <v>22</v>
      </c>
      <c r="V23" s="39">
        <f t="shared" si="15"/>
        <v>95</v>
      </c>
      <c r="W23" s="39">
        <f t="shared" si="15"/>
        <v>3</v>
      </c>
      <c r="X23" s="39">
        <f t="shared" si="15"/>
        <v>2</v>
      </c>
      <c r="Y23" s="39">
        <f t="shared" si="15"/>
        <v>32</v>
      </c>
      <c r="Z23" s="39">
        <f t="shared" si="15"/>
        <v>40</v>
      </c>
      <c r="AA23" s="39">
        <f t="shared" si="15"/>
        <v>22</v>
      </c>
      <c r="AB23" s="39">
        <f t="shared" si="15"/>
        <v>32</v>
      </c>
      <c r="AC23" s="39">
        <f t="shared" si="15"/>
        <v>164</v>
      </c>
      <c r="AD23" s="39">
        <f t="shared" si="15"/>
        <v>1</v>
      </c>
      <c r="AE23" s="40">
        <f t="shared" si="15"/>
        <v>348</v>
      </c>
      <c r="AF23" s="40">
        <f t="shared" si="15"/>
        <v>483</v>
      </c>
    </row>
    <row r="24" spans="2:32" ht="23.1" customHeight="1" x14ac:dyDescent="0.25">
      <c r="B24" s="23" t="s">
        <v>51</v>
      </c>
      <c r="C24" s="50">
        <v>16</v>
      </c>
      <c r="D24" s="50">
        <v>7</v>
      </c>
      <c r="E24" s="50">
        <v>1</v>
      </c>
      <c r="F24" s="50">
        <v>17</v>
      </c>
      <c r="G24" s="50">
        <v>0</v>
      </c>
      <c r="H24" s="50">
        <v>0</v>
      </c>
      <c r="I24" s="50">
        <v>3</v>
      </c>
      <c r="J24" s="50">
        <v>5</v>
      </c>
      <c r="K24" s="50">
        <v>3</v>
      </c>
      <c r="L24" s="50">
        <v>1</v>
      </c>
      <c r="M24" s="50">
        <v>21</v>
      </c>
      <c r="N24" s="50">
        <v>0</v>
      </c>
      <c r="O24" s="15">
        <f t="shared" si="0"/>
        <v>53</v>
      </c>
      <c r="P24" s="15">
        <f t="shared" si="1"/>
        <v>74</v>
      </c>
      <c r="R24" s="38" t="s">
        <v>92</v>
      </c>
      <c r="S24" s="39">
        <f>MAX(S19:S21)</f>
        <v>103</v>
      </c>
      <c r="T24" s="39">
        <f t="shared" ref="T24:AF24" si="16">MAX(T19:T21)</f>
        <v>69</v>
      </c>
      <c r="U24" s="39">
        <f t="shared" si="16"/>
        <v>18</v>
      </c>
      <c r="V24" s="39">
        <f t="shared" si="16"/>
        <v>119</v>
      </c>
      <c r="W24" s="39">
        <f t="shared" si="16"/>
        <v>6</v>
      </c>
      <c r="X24" s="39">
        <f t="shared" si="16"/>
        <v>1</v>
      </c>
      <c r="Y24" s="39">
        <f t="shared" si="16"/>
        <v>16</v>
      </c>
      <c r="Z24" s="39">
        <f t="shared" si="16"/>
        <v>48</v>
      </c>
      <c r="AA24" s="39">
        <f t="shared" si="16"/>
        <v>25</v>
      </c>
      <c r="AB24" s="39">
        <f t="shared" si="16"/>
        <v>20</v>
      </c>
      <c r="AC24" s="39">
        <f t="shared" si="16"/>
        <v>203</v>
      </c>
      <c r="AD24" s="39">
        <f t="shared" si="16"/>
        <v>0</v>
      </c>
      <c r="AE24" s="40">
        <f t="shared" si="16"/>
        <v>361</v>
      </c>
      <c r="AF24" s="40">
        <f t="shared" si="16"/>
        <v>540</v>
      </c>
    </row>
    <row r="25" spans="2:32" ht="23.1" customHeight="1" x14ac:dyDescent="0.25">
      <c r="B25" s="23" t="s">
        <v>52</v>
      </c>
      <c r="C25" s="50">
        <v>21</v>
      </c>
      <c r="D25" s="50">
        <v>12</v>
      </c>
      <c r="E25" s="50">
        <v>5</v>
      </c>
      <c r="F25" s="50">
        <v>35</v>
      </c>
      <c r="G25" s="50">
        <v>0</v>
      </c>
      <c r="H25" s="50">
        <v>0</v>
      </c>
      <c r="I25" s="50">
        <v>1</v>
      </c>
      <c r="J25" s="50">
        <v>6</v>
      </c>
      <c r="K25" s="50">
        <v>10</v>
      </c>
      <c r="L25" s="50">
        <v>4</v>
      </c>
      <c r="M25" s="50">
        <v>36</v>
      </c>
      <c r="N25" s="50">
        <v>0</v>
      </c>
      <c r="O25" s="15">
        <f t="shared" si="0"/>
        <v>94</v>
      </c>
      <c r="P25" s="15">
        <f t="shared" si="1"/>
        <v>130</v>
      </c>
      <c r="R25" s="37" t="s">
        <v>85</v>
      </c>
      <c r="S25" s="35">
        <f t="shared" ref="S25:AF25" si="17">SUM(S10:S12)</f>
        <v>34</v>
      </c>
      <c r="T25" s="16">
        <f t="shared" si="17"/>
        <v>19</v>
      </c>
      <c r="U25" s="16">
        <f t="shared" si="17"/>
        <v>5</v>
      </c>
      <c r="V25" s="16">
        <f t="shared" si="17"/>
        <v>31</v>
      </c>
      <c r="W25" s="16">
        <f t="shared" si="17"/>
        <v>1</v>
      </c>
      <c r="X25" s="16">
        <f t="shared" si="17"/>
        <v>0</v>
      </c>
      <c r="Y25" s="16">
        <f t="shared" si="17"/>
        <v>5</v>
      </c>
      <c r="Z25" s="16">
        <f t="shared" si="17"/>
        <v>13</v>
      </c>
      <c r="AA25" s="16">
        <f t="shared" si="17"/>
        <v>9</v>
      </c>
      <c r="AB25" s="16">
        <f t="shared" si="17"/>
        <v>12</v>
      </c>
      <c r="AC25" s="16">
        <f t="shared" si="17"/>
        <v>58</v>
      </c>
      <c r="AD25" s="16">
        <f t="shared" si="17"/>
        <v>0</v>
      </c>
      <c r="AE25" s="32">
        <f t="shared" si="17"/>
        <v>129</v>
      </c>
      <c r="AF25" s="32">
        <f t="shared" si="17"/>
        <v>187</v>
      </c>
    </row>
    <row r="26" spans="2:32" ht="23.1" customHeight="1" x14ac:dyDescent="0.25">
      <c r="B26" s="23" t="s">
        <v>53</v>
      </c>
      <c r="C26" s="50">
        <v>6</v>
      </c>
      <c r="D26" s="50">
        <v>11</v>
      </c>
      <c r="E26" s="50">
        <v>4</v>
      </c>
      <c r="F26" s="50">
        <v>18</v>
      </c>
      <c r="G26" s="50">
        <v>0</v>
      </c>
      <c r="H26" s="50">
        <v>0</v>
      </c>
      <c r="I26" s="50">
        <v>4</v>
      </c>
      <c r="J26" s="50">
        <v>5</v>
      </c>
      <c r="K26" s="50">
        <v>4</v>
      </c>
      <c r="L26" s="50">
        <v>4</v>
      </c>
      <c r="M26" s="50">
        <v>29</v>
      </c>
      <c r="N26" s="50">
        <v>0</v>
      </c>
      <c r="O26" s="15">
        <f t="shared" si="0"/>
        <v>56</v>
      </c>
      <c r="P26" s="15">
        <f t="shared" si="1"/>
        <v>85</v>
      </c>
      <c r="R26" s="28" t="s">
        <v>86</v>
      </c>
      <c r="S26" s="16">
        <f t="shared" ref="S26:AF26" si="18">SUM(S13:S18)</f>
        <v>423</v>
      </c>
      <c r="T26" s="16">
        <f t="shared" si="18"/>
        <v>233</v>
      </c>
      <c r="U26" s="16">
        <f t="shared" si="18"/>
        <v>95</v>
      </c>
      <c r="V26" s="16">
        <f t="shared" si="18"/>
        <v>445</v>
      </c>
      <c r="W26" s="16">
        <f t="shared" si="18"/>
        <v>5</v>
      </c>
      <c r="X26" s="16">
        <f t="shared" si="18"/>
        <v>4</v>
      </c>
      <c r="Y26" s="16">
        <f t="shared" si="18"/>
        <v>105</v>
      </c>
      <c r="Z26" s="16">
        <f t="shared" si="18"/>
        <v>188</v>
      </c>
      <c r="AA26" s="16">
        <f t="shared" si="18"/>
        <v>106</v>
      </c>
      <c r="AB26" s="16">
        <f t="shared" si="18"/>
        <v>138</v>
      </c>
      <c r="AC26" s="16">
        <f t="shared" si="18"/>
        <v>796</v>
      </c>
      <c r="AD26" s="16">
        <f t="shared" si="18"/>
        <v>1</v>
      </c>
      <c r="AE26" s="32">
        <f t="shared" si="18"/>
        <v>1743</v>
      </c>
      <c r="AF26" s="32">
        <f t="shared" si="18"/>
        <v>2539</v>
      </c>
    </row>
    <row r="27" spans="2:32" ht="23.1" customHeight="1" x14ac:dyDescent="0.25">
      <c r="B27" s="23" t="s">
        <v>54</v>
      </c>
      <c r="C27" s="50">
        <v>20</v>
      </c>
      <c r="D27" s="50">
        <v>12</v>
      </c>
      <c r="E27" s="50">
        <v>2</v>
      </c>
      <c r="F27" s="50">
        <v>19</v>
      </c>
      <c r="G27" s="50">
        <v>0</v>
      </c>
      <c r="H27" s="50">
        <v>0</v>
      </c>
      <c r="I27" s="50">
        <v>13</v>
      </c>
      <c r="J27" s="50">
        <v>3</v>
      </c>
      <c r="K27" s="50">
        <v>6</v>
      </c>
      <c r="L27" s="50">
        <v>2</v>
      </c>
      <c r="M27" s="50">
        <v>22</v>
      </c>
      <c r="N27" s="50">
        <v>1</v>
      </c>
      <c r="O27" s="15">
        <f t="shared" si="0"/>
        <v>78</v>
      </c>
      <c r="P27" s="15">
        <f t="shared" si="1"/>
        <v>100</v>
      </c>
      <c r="R27" s="29" t="s">
        <v>87</v>
      </c>
      <c r="S27" s="16">
        <f t="shared" ref="S27:AF27" si="19">SUM(S19:S21)</f>
        <v>246</v>
      </c>
      <c r="T27" s="16">
        <f t="shared" si="19"/>
        <v>135</v>
      </c>
      <c r="U27" s="16">
        <f t="shared" si="19"/>
        <v>41</v>
      </c>
      <c r="V27" s="16">
        <f t="shared" si="19"/>
        <v>295</v>
      </c>
      <c r="W27" s="16">
        <f t="shared" si="19"/>
        <v>7</v>
      </c>
      <c r="X27" s="16">
        <f t="shared" si="19"/>
        <v>1</v>
      </c>
      <c r="Y27" s="16">
        <f t="shared" si="19"/>
        <v>38</v>
      </c>
      <c r="Z27" s="16">
        <f t="shared" si="19"/>
        <v>109</v>
      </c>
      <c r="AA27" s="16">
        <f t="shared" si="19"/>
        <v>55</v>
      </c>
      <c r="AB27" s="16">
        <f t="shared" si="19"/>
        <v>43</v>
      </c>
      <c r="AC27" s="16">
        <f t="shared" si="19"/>
        <v>515</v>
      </c>
      <c r="AD27" s="16">
        <f t="shared" si="19"/>
        <v>0</v>
      </c>
      <c r="AE27" s="32">
        <f t="shared" si="19"/>
        <v>970</v>
      </c>
      <c r="AF27" s="32">
        <f t="shared" si="19"/>
        <v>1485</v>
      </c>
    </row>
    <row r="28" spans="2:32" ht="23.1" customHeight="1" x14ac:dyDescent="0.25">
      <c r="B28" s="23" t="s">
        <v>55</v>
      </c>
      <c r="C28" s="50">
        <v>21</v>
      </c>
      <c r="D28" s="50">
        <v>10</v>
      </c>
      <c r="E28" s="50">
        <v>6</v>
      </c>
      <c r="F28" s="50">
        <v>16</v>
      </c>
      <c r="G28" s="50">
        <v>1</v>
      </c>
      <c r="H28" s="50">
        <v>0</v>
      </c>
      <c r="I28" s="50">
        <v>11</v>
      </c>
      <c r="J28" s="50">
        <v>7</v>
      </c>
      <c r="K28" s="50">
        <v>3</v>
      </c>
      <c r="L28" s="50">
        <v>7</v>
      </c>
      <c r="M28" s="50">
        <v>32</v>
      </c>
      <c r="N28" s="50">
        <v>0</v>
      </c>
      <c r="O28" s="15">
        <f t="shared" si="0"/>
        <v>82</v>
      </c>
      <c r="P28" s="15">
        <f t="shared" si="1"/>
        <v>114</v>
      </c>
      <c r="R28" s="5" t="s">
        <v>17</v>
      </c>
      <c r="S28" s="16">
        <f t="shared" ref="S28:AF28" si="20">SUM(S10:S21)</f>
        <v>703</v>
      </c>
      <c r="T28" s="16">
        <f t="shared" si="20"/>
        <v>387</v>
      </c>
      <c r="U28" s="16">
        <f t="shared" si="20"/>
        <v>141</v>
      </c>
      <c r="V28" s="16">
        <f t="shared" si="20"/>
        <v>771</v>
      </c>
      <c r="W28" s="16">
        <f t="shared" si="20"/>
        <v>13</v>
      </c>
      <c r="X28" s="16">
        <f t="shared" si="20"/>
        <v>5</v>
      </c>
      <c r="Y28" s="16">
        <f t="shared" si="20"/>
        <v>148</v>
      </c>
      <c r="Z28" s="16">
        <f t="shared" si="20"/>
        <v>310</v>
      </c>
      <c r="AA28" s="16">
        <f t="shared" si="20"/>
        <v>170</v>
      </c>
      <c r="AB28" s="16">
        <f t="shared" si="20"/>
        <v>193</v>
      </c>
      <c r="AC28" s="16">
        <f t="shared" si="20"/>
        <v>1369</v>
      </c>
      <c r="AD28" s="16">
        <f t="shared" si="20"/>
        <v>1</v>
      </c>
      <c r="AE28" s="32">
        <f t="shared" si="20"/>
        <v>2842</v>
      </c>
      <c r="AF28" s="32">
        <f t="shared" si="20"/>
        <v>4211</v>
      </c>
    </row>
    <row r="29" spans="2:32" ht="23.1" customHeight="1" x14ac:dyDescent="0.25">
      <c r="B29" s="23" t="s">
        <v>56</v>
      </c>
      <c r="C29" s="50">
        <v>18</v>
      </c>
      <c r="D29" s="50">
        <v>15</v>
      </c>
      <c r="E29" s="50">
        <v>2</v>
      </c>
      <c r="F29" s="50">
        <v>23</v>
      </c>
      <c r="G29" s="50">
        <v>2</v>
      </c>
      <c r="H29" s="50">
        <v>0</v>
      </c>
      <c r="I29" s="50">
        <v>4</v>
      </c>
      <c r="J29" s="50">
        <v>6</v>
      </c>
      <c r="K29" s="50">
        <v>2</v>
      </c>
      <c r="L29" s="50">
        <v>11</v>
      </c>
      <c r="M29" s="50">
        <v>42</v>
      </c>
      <c r="N29" s="50">
        <v>0</v>
      </c>
      <c r="O29" s="15">
        <f t="shared" si="0"/>
        <v>83</v>
      </c>
      <c r="P29" s="15">
        <f t="shared" si="1"/>
        <v>125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16</v>
      </c>
      <c r="E30" s="50">
        <v>6</v>
      </c>
      <c r="F30" s="50">
        <v>18</v>
      </c>
      <c r="G30" s="50">
        <v>1</v>
      </c>
      <c r="H30" s="50">
        <v>1</v>
      </c>
      <c r="I30" s="50">
        <v>6</v>
      </c>
      <c r="J30" s="50">
        <v>11</v>
      </c>
      <c r="K30" s="50">
        <v>2</v>
      </c>
      <c r="L30" s="50">
        <v>6</v>
      </c>
      <c r="M30" s="50">
        <v>34</v>
      </c>
      <c r="N30" s="50">
        <v>0</v>
      </c>
      <c r="O30" s="15">
        <f t="shared" si="0"/>
        <v>93</v>
      </c>
      <c r="P30" s="15">
        <f t="shared" si="1"/>
        <v>127</v>
      </c>
    </row>
    <row r="31" spans="2:32" ht="23.1" customHeight="1" x14ac:dyDescent="0.25">
      <c r="B31" s="24" t="s">
        <v>58</v>
      </c>
      <c r="C31" s="50">
        <v>24</v>
      </c>
      <c r="D31" s="50">
        <v>8</v>
      </c>
      <c r="E31" s="50">
        <v>4</v>
      </c>
      <c r="F31" s="50">
        <v>16</v>
      </c>
      <c r="G31" s="50">
        <v>0</v>
      </c>
      <c r="H31" s="50">
        <v>0</v>
      </c>
      <c r="I31" s="50">
        <v>0</v>
      </c>
      <c r="J31" s="50">
        <v>11</v>
      </c>
      <c r="K31" s="50">
        <v>5</v>
      </c>
      <c r="L31" s="50">
        <v>7</v>
      </c>
      <c r="M31" s="50">
        <v>22</v>
      </c>
      <c r="N31" s="50">
        <v>0</v>
      </c>
      <c r="O31" s="15">
        <f t="shared" si="0"/>
        <v>75</v>
      </c>
      <c r="P31" s="15">
        <f t="shared" si="1"/>
        <v>97</v>
      </c>
    </row>
    <row r="32" spans="2:32" ht="23.1" customHeight="1" x14ac:dyDescent="0.25">
      <c r="B32" s="24" t="s">
        <v>59</v>
      </c>
      <c r="C32" s="50">
        <v>24</v>
      </c>
      <c r="D32" s="50">
        <v>6</v>
      </c>
      <c r="E32" s="50">
        <v>3</v>
      </c>
      <c r="F32" s="50">
        <v>22</v>
      </c>
      <c r="G32" s="50">
        <v>0</v>
      </c>
      <c r="H32" s="50">
        <v>1</v>
      </c>
      <c r="I32" s="50">
        <v>5</v>
      </c>
      <c r="J32" s="50">
        <v>7</v>
      </c>
      <c r="K32" s="50">
        <v>11</v>
      </c>
      <c r="L32" s="50">
        <v>12</v>
      </c>
      <c r="M32" s="50">
        <v>36</v>
      </c>
      <c r="N32" s="50">
        <v>0</v>
      </c>
      <c r="O32" s="15">
        <f t="shared" si="0"/>
        <v>91</v>
      </c>
      <c r="P32" s="15">
        <f t="shared" si="1"/>
        <v>127</v>
      </c>
    </row>
    <row r="33" spans="2:20" ht="23.1" customHeight="1" x14ac:dyDescent="0.25">
      <c r="B33" s="23" t="s">
        <v>60</v>
      </c>
      <c r="C33" s="50">
        <v>26</v>
      </c>
      <c r="D33" s="50">
        <v>16</v>
      </c>
      <c r="E33" s="50">
        <v>9</v>
      </c>
      <c r="F33" s="50">
        <v>16</v>
      </c>
      <c r="G33" s="50">
        <v>1</v>
      </c>
      <c r="H33" s="50">
        <v>0</v>
      </c>
      <c r="I33" s="50">
        <v>2</v>
      </c>
      <c r="J33" s="50">
        <v>11</v>
      </c>
      <c r="K33" s="50">
        <v>1</v>
      </c>
      <c r="L33" s="50">
        <v>7</v>
      </c>
      <c r="M33" s="50">
        <v>43</v>
      </c>
      <c r="N33" s="50">
        <v>0</v>
      </c>
      <c r="O33" s="15">
        <f t="shared" si="0"/>
        <v>89</v>
      </c>
      <c r="P33" s="15">
        <f t="shared" si="1"/>
        <v>132</v>
      </c>
    </row>
    <row r="34" spans="2:20" ht="23.1" customHeight="1" x14ac:dyDescent="0.25">
      <c r="B34" s="24" t="s">
        <v>61</v>
      </c>
      <c r="C34" s="50">
        <v>17</v>
      </c>
      <c r="D34" s="50">
        <v>12</v>
      </c>
      <c r="E34" s="50">
        <v>1</v>
      </c>
      <c r="F34" s="50">
        <v>18</v>
      </c>
      <c r="G34" s="50">
        <v>0</v>
      </c>
      <c r="H34" s="50">
        <v>0</v>
      </c>
      <c r="I34" s="50">
        <v>4</v>
      </c>
      <c r="J34" s="50">
        <v>7</v>
      </c>
      <c r="K34" s="50">
        <v>4</v>
      </c>
      <c r="L34" s="50">
        <v>3</v>
      </c>
      <c r="M34" s="50">
        <v>28</v>
      </c>
      <c r="N34" s="50">
        <v>0</v>
      </c>
      <c r="O34" s="15">
        <f t="shared" si="0"/>
        <v>66</v>
      </c>
      <c r="P34" s="15">
        <f t="shared" si="1"/>
        <v>94</v>
      </c>
    </row>
    <row r="35" spans="2:20" ht="23.1" customHeight="1" x14ac:dyDescent="0.25">
      <c r="B35" s="24" t="s">
        <v>62</v>
      </c>
      <c r="C35" s="50">
        <v>13</v>
      </c>
      <c r="D35" s="50">
        <v>11</v>
      </c>
      <c r="E35" s="50">
        <v>1</v>
      </c>
      <c r="F35" s="50">
        <v>19</v>
      </c>
      <c r="G35" s="50">
        <v>0</v>
      </c>
      <c r="H35" s="50">
        <v>0</v>
      </c>
      <c r="I35" s="50">
        <v>5</v>
      </c>
      <c r="J35" s="50">
        <v>10</v>
      </c>
      <c r="K35" s="50">
        <v>0</v>
      </c>
      <c r="L35" s="50">
        <v>5</v>
      </c>
      <c r="M35" s="50">
        <v>32</v>
      </c>
      <c r="N35" s="50">
        <v>0</v>
      </c>
      <c r="O35" s="15">
        <f t="shared" si="0"/>
        <v>64</v>
      </c>
      <c r="P35" s="15">
        <f t="shared" si="1"/>
        <v>96</v>
      </c>
    </row>
    <row r="36" spans="2:20" ht="23.1" customHeight="1" x14ac:dyDescent="0.25">
      <c r="B36" s="24" t="s">
        <v>63</v>
      </c>
      <c r="C36" s="50">
        <v>26</v>
      </c>
      <c r="D36" s="50">
        <v>4</v>
      </c>
      <c r="E36" s="50">
        <v>9</v>
      </c>
      <c r="F36" s="50">
        <v>17</v>
      </c>
      <c r="G36" s="50">
        <v>0</v>
      </c>
      <c r="H36" s="50">
        <v>0</v>
      </c>
      <c r="I36" s="50">
        <v>8</v>
      </c>
      <c r="J36" s="50">
        <v>9</v>
      </c>
      <c r="K36" s="50">
        <v>10</v>
      </c>
      <c r="L36" s="50">
        <v>10</v>
      </c>
      <c r="M36" s="50">
        <v>32</v>
      </c>
      <c r="N36" s="50">
        <v>0</v>
      </c>
      <c r="O36" s="15">
        <f t="shared" si="0"/>
        <v>93</v>
      </c>
      <c r="P36" s="15">
        <f t="shared" si="1"/>
        <v>125</v>
      </c>
    </row>
    <row r="37" spans="2:20" ht="23.1" customHeight="1" x14ac:dyDescent="0.25">
      <c r="B37" s="23" t="s">
        <v>64</v>
      </c>
      <c r="C37" s="50">
        <v>15</v>
      </c>
      <c r="D37" s="50">
        <v>9</v>
      </c>
      <c r="E37" s="50">
        <v>8</v>
      </c>
      <c r="F37" s="50">
        <v>15</v>
      </c>
      <c r="G37" s="50">
        <v>0</v>
      </c>
      <c r="H37" s="50">
        <v>0</v>
      </c>
      <c r="I37" s="50">
        <v>3</v>
      </c>
      <c r="J37" s="50">
        <v>8</v>
      </c>
      <c r="K37" s="50">
        <v>2</v>
      </c>
      <c r="L37" s="50">
        <v>5</v>
      </c>
      <c r="M37" s="50">
        <v>31</v>
      </c>
      <c r="N37" s="50">
        <v>0</v>
      </c>
      <c r="O37" s="15">
        <f t="shared" si="0"/>
        <v>65</v>
      </c>
      <c r="P37" s="15">
        <f t="shared" si="1"/>
        <v>96</v>
      </c>
    </row>
    <row r="38" spans="2:20" ht="23.1" customHeight="1" x14ac:dyDescent="0.25">
      <c r="B38" s="24" t="s">
        <v>65</v>
      </c>
      <c r="C38" s="50">
        <v>15</v>
      </c>
      <c r="D38" s="50">
        <v>10</v>
      </c>
      <c r="E38" s="50">
        <v>1</v>
      </c>
      <c r="F38" s="50">
        <v>14</v>
      </c>
      <c r="G38" s="50">
        <v>0</v>
      </c>
      <c r="H38" s="50">
        <v>1</v>
      </c>
      <c r="I38" s="50">
        <v>4</v>
      </c>
      <c r="J38" s="50">
        <v>8</v>
      </c>
      <c r="K38" s="50">
        <v>4</v>
      </c>
      <c r="L38" s="50">
        <v>3</v>
      </c>
      <c r="M38" s="50">
        <v>29</v>
      </c>
      <c r="N38" s="50">
        <v>0</v>
      </c>
      <c r="O38" s="15">
        <f t="shared" si="0"/>
        <v>60</v>
      </c>
      <c r="P38" s="15">
        <f t="shared" si="1"/>
        <v>89</v>
      </c>
    </row>
    <row r="39" spans="2:20" ht="23.1" customHeight="1" x14ac:dyDescent="0.25">
      <c r="B39" s="24" t="s">
        <v>66</v>
      </c>
      <c r="C39" s="50">
        <v>19</v>
      </c>
      <c r="D39" s="50">
        <v>6</v>
      </c>
      <c r="E39" s="50">
        <v>5</v>
      </c>
      <c r="F39" s="50">
        <v>18</v>
      </c>
      <c r="G39" s="50">
        <v>0</v>
      </c>
      <c r="H39" s="50">
        <v>0</v>
      </c>
      <c r="I39" s="50">
        <v>4</v>
      </c>
      <c r="J39" s="50">
        <v>11</v>
      </c>
      <c r="K39" s="50">
        <v>5</v>
      </c>
      <c r="L39" s="50">
        <v>5</v>
      </c>
      <c r="M39" s="50">
        <v>35</v>
      </c>
      <c r="N39" s="50">
        <v>0</v>
      </c>
      <c r="O39" s="15">
        <f t="shared" si="0"/>
        <v>73</v>
      </c>
      <c r="P39" s="15">
        <f t="shared" si="1"/>
        <v>108</v>
      </c>
    </row>
    <row r="40" spans="2:20" ht="23.1" customHeight="1" x14ac:dyDescent="0.25">
      <c r="B40" s="24" t="s">
        <v>67</v>
      </c>
      <c r="C40" s="50">
        <v>13</v>
      </c>
      <c r="D40" s="50">
        <v>0</v>
      </c>
      <c r="E40" s="50">
        <v>1</v>
      </c>
      <c r="F40" s="50">
        <v>8</v>
      </c>
      <c r="G40" s="50">
        <v>0</v>
      </c>
      <c r="H40" s="50">
        <v>1</v>
      </c>
      <c r="I40" s="50">
        <v>0</v>
      </c>
      <c r="J40" s="50">
        <v>7</v>
      </c>
      <c r="K40" s="50">
        <v>2</v>
      </c>
      <c r="L40" s="50">
        <v>6</v>
      </c>
      <c r="M40" s="50">
        <v>24</v>
      </c>
      <c r="N40" s="50">
        <v>0</v>
      </c>
      <c r="O40" s="15">
        <f t="shared" si="0"/>
        <v>38</v>
      </c>
      <c r="P40" s="15">
        <f t="shared" si="1"/>
        <v>62</v>
      </c>
    </row>
    <row r="41" spans="2:20" ht="23.1" customHeight="1" x14ac:dyDescent="0.25">
      <c r="B41" s="23" t="s">
        <v>68</v>
      </c>
      <c r="C41" s="50">
        <v>12</v>
      </c>
      <c r="D41" s="50">
        <v>5</v>
      </c>
      <c r="E41" s="50">
        <v>5</v>
      </c>
      <c r="F41" s="50">
        <v>11</v>
      </c>
      <c r="G41" s="50">
        <v>0</v>
      </c>
      <c r="H41" s="50">
        <v>0</v>
      </c>
      <c r="I41" s="50">
        <v>3</v>
      </c>
      <c r="J41" s="50">
        <v>12</v>
      </c>
      <c r="K41" s="50">
        <v>4</v>
      </c>
      <c r="L41" s="50">
        <v>4</v>
      </c>
      <c r="M41" s="50">
        <v>39</v>
      </c>
      <c r="N41" s="50">
        <v>0</v>
      </c>
      <c r="O41" s="15">
        <f t="shared" si="0"/>
        <v>56</v>
      </c>
      <c r="P41" s="15">
        <f t="shared" si="1"/>
        <v>95</v>
      </c>
    </row>
    <row r="42" spans="2:20" ht="23.1" customHeight="1" x14ac:dyDescent="0.25">
      <c r="B42" s="24" t="s">
        <v>69</v>
      </c>
      <c r="C42" s="50">
        <v>24</v>
      </c>
      <c r="D42" s="50">
        <v>11</v>
      </c>
      <c r="E42" s="50">
        <v>2</v>
      </c>
      <c r="F42" s="50">
        <v>23</v>
      </c>
      <c r="G42" s="50">
        <v>0</v>
      </c>
      <c r="H42" s="50">
        <v>0</v>
      </c>
      <c r="I42" s="50">
        <v>6</v>
      </c>
      <c r="J42" s="50">
        <v>15</v>
      </c>
      <c r="K42" s="50">
        <v>4</v>
      </c>
      <c r="L42" s="50">
        <v>9</v>
      </c>
      <c r="M42" s="50">
        <v>49</v>
      </c>
      <c r="N42" s="50">
        <v>0</v>
      </c>
      <c r="O42" s="15">
        <f t="shared" si="0"/>
        <v>94</v>
      </c>
      <c r="P42" s="15">
        <f t="shared" si="1"/>
        <v>143</v>
      </c>
    </row>
    <row r="43" spans="2:20" ht="23.1" customHeight="1" x14ac:dyDescent="0.25">
      <c r="B43" s="23" t="s">
        <v>70</v>
      </c>
      <c r="C43" s="50">
        <v>8</v>
      </c>
      <c r="D43" s="50">
        <v>4</v>
      </c>
      <c r="E43" s="50">
        <v>1</v>
      </c>
      <c r="F43" s="50">
        <v>24</v>
      </c>
      <c r="G43" s="50">
        <v>0</v>
      </c>
      <c r="H43" s="50">
        <v>0</v>
      </c>
      <c r="I43" s="50">
        <v>6</v>
      </c>
      <c r="J43" s="50">
        <v>6</v>
      </c>
      <c r="K43" s="50">
        <v>1</v>
      </c>
      <c r="L43" s="50">
        <v>12</v>
      </c>
      <c r="M43" s="50">
        <v>41</v>
      </c>
      <c r="N43" s="50">
        <v>0</v>
      </c>
      <c r="O43" s="15">
        <f t="shared" si="0"/>
        <v>62</v>
      </c>
      <c r="P43" s="15">
        <f t="shared" si="1"/>
        <v>103</v>
      </c>
    </row>
    <row r="44" spans="2:20" ht="23.1" customHeight="1" x14ac:dyDescent="0.25">
      <c r="B44" s="25" t="s">
        <v>71</v>
      </c>
      <c r="C44" s="50">
        <v>23</v>
      </c>
      <c r="D44" s="50">
        <v>10</v>
      </c>
      <c r="E44" s="50">
        <v>5</v>
      </c>
      <c r="F44" s="50">
        <v>17</v>
      </c>
      <c r="G44" s="50">
        <v>0</v>
      </c>
      <c r="H44" s="50">
        <v>0</v>
      </c>
      <c r="I44" s="50">
        <v>3</v>
      </c>
      <c r="J44" s="50">
        <v>7</v>
      </c>
      <c r="K44" s="50">
        <v>10</v>
      </c>
      <c r="L44" s="50">
        <v>4</v>
      </c>
      <c r="M44" s="50">
        <v>39</v>
      </c>
      <c r="N44" s="50">
        <v>0</v>
      </c>
      <c r="O44" s="15">
        <f t="shared" si="0"/>
        <v>79</v>
      </c>
      <c r="P44" s="15">
        <f t="shared" si="1"/>
        <v>118</v>
      </c>
    </row>
    <row r="45" spans="2:20" ht="23.1" customHeight="1" x14ac:dyDescent="0.25">
      <c r="B45" s="23" t="s">
        <v>72</v>
      </c>
      <c r="C45" s="50">
        <v>16</v>
      </c>
      <c r="D45" s="50">
        <v>13</v>
      </c>
      <c r="E45" s="50">
        <v>6</v>
      </c>
      <c r="F45" s="50">
        <v>18</v>
      </c>
      <c r="G45" s="50">
        <v>0</v>
      </c>
      <c r="H45" s="50">
        <v>0</v>
      </c>
      <c r="I45" s="50">
        <v>4</v>
      </c>
      <c r="J45" s="50">
        <v>7</v>
      </c>
      <c r="K45" s="50">
        <v>4</v>
      </c>
      <c r="L45" s="50">
        <v>5</v>
      </c>
      <c r="M45" s="50">
        <v>35</v>
      </c>
      <c r="N45" s="50">
        <v>0</v>
      </c>
      <c r="O45" s="15">
        <f t="shared" si="0"/>
        <v>73</v>
      </c>
      <c r="P45" s="15">
        <f t="shared" si="1"/>
        <v>108</v>
      </c>
    </row>
    <row r="46" spans="2:20" ht="23.1" customHeight="1" x14ac:dyDescent="0.25">
      <c r="B46" s="24" t="s">
        <v>73</v>
      </c>
      <c r="C46" s="50">
        <v>18</v>
      </c>
      <c r="D46" s="50">
        <v>7</v>
      </c>
      <c r="E46" s="50">
        <v>6</v>
      </c>
      <c r="F46" s="50">
        <v>14</v>
      </c>
      <c r="G46" s="50">
        <v>0</v>
      </c>
      <c r="H46" s="50">
        <v>0</v>
      </c>
      <c r="I46" s="50">
        <v>2</v>
      </c>
      <c r="J46" s="50">
        <v>6</v>
      </c>
      <c r="K46" s="50">
        <v>6</v>
      </c>
      <c r="L46" s="50">
        <v>2</v>
      </c>
      <c r="M46" s="50">
        <v>27</v>
      </c>
      <c r="N46" s="50">
        <v>0</v>
      </c>
      <c r="O46" s="15">
        <f t="shared" si="0"/>
        <v>61</v>
      </c>
      <c r="P46" s="15">
        <f t="shared" si="1"/>
        <v>88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3</v>
      </c>
      <c r="E47" s="50">
        <v>5</v>
      </c>
      <c r="F47" s="50">
        <v>23</v>
      </c>
      <c r="G47" s="50">
        <v>0</v>
      </c>
      <c r="H47" s="50">
        <v>1</v>
      </c>
      <c r="I47" s="50">
        <v>6</v>
      </c>
      <c r="J47" s="50">
        <v>3</v>
      </c>
      <c r="K47" s="50">
        <v>3</v>
      </c>
      <c r="L47" s="50">
        <v>5</v>
      </c>
      <c r="M47" s="50">
        <v>26</v>
      </c>
      <c r="N47" s="50">
        <v>0</v>
      </c>
      <c r="O47" s="15">
        <f t="shared" si="0"/>
        <v>61</v>
      </c>
      <c r="P47" s="15">
        <f t="shared" si="1"/>
        <v>87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16</v>
      </c>
      <c r="E48" s="50">
        <v>2</v>
      </c>
      <c r="F48" s="50">
        <v>15</v>
      </c>
      <c r="G48" s="50">
        <v>0</v>
      </c>
      <c r="H48" s="50">
        <v>0</v>
      </c>
      <c r="I48" s="50">
        <v>6</v>
      </c>
      <c r="J48" s="50">
        <v>9</v>
      </c>
      <c r="K48" s="50">
        <v>7</v>
      </c>
      <c r="L48" s="50">
        <v>9</v>
      </c>
      <c r="M48" s="50">
        <v>43</v>
      </c>
      <c r="N48" s="50">
        <v>0</v>
      </c>
      <c r="O48" s="15">
        <f t="shared" si="0"/>
        <v>73</v>
      </c>
      <c r="P48" s="15">
        <f t="shared" si="1"/>
        <v>116</v>
      </c>
      <c r="R48" s="8"/>
      <c r="T48"/>
    </row>
    <row r="49" spans="2:20" ht="23.1" customHeight="1" x14ac:dyDescent="0.25">
      <c r="B49" s="23" t="s">
        <v>76</v>
      </c>
      <c r="C49" s="50">
        <v>19</v>
      </c>
      <c r="D49" s="50">
        <v>6</v>
      </c>
      <c r="E49" s="50">
        <v>5</v>
      </c>
      <c r="F49" s="50">
        <v>24</v>
      </c>
      <c r="G49" s="50">
        <v>1</v>
      </c>
      <c r="H49" s="50">
        <v>0</v>
      </c>
      <c r="I49" s="50">
        <v>2</v>
      </c>
      <c r="J49" s="50">
        <v>7</v>
      </c>
      <c r="K49" s="50">
        <v>9</v>
      </c>
      <c r="L49" s="50">
        <v>4</v>
      </c>
      <c r="M49" s="50">
        <v>49</v>
      </c>
      <c r="N49" s="50">
        <v>0</v>
      </c>
      <c r="O49" s="15">
        <f t="shared" si="0"/>
        <v>77</v>
      </c>
      <c r="P49" s="15">
        <f t="shared" si="1"/>
        <v>126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9</v>
      </c>
      <c r="E50" s="50">
        <v>0</v>
      </c>
      <c r="F50" s="50">
        <v>26</v>
      </c>
      <c r="G50" s="50">
        <v>0</v>
      </c>
      <c r="H50" s="50">
        <v>0</v>
      </c>
      <c r="I50" s="50">
        <v>6</v>
      </c>
      <c r="J50" s="50">
        <v>13</v>
      </c>
      <c r="K50" s="50">
        <v>2</v>
      </c>
      <c r="L50" s="50">
        <v>2</v>
      </c>
      <c r="M50" s="50">
        <v>49</v>
      </c>
      <c r="N50" s="50">
        <v>0</v>
      </c>
      <c r="O50" s="15">
        <f t="shared" si="0"/>
        <v>84</v>
      </c>
      <c r="P50" s="15">
        <f t="shared" si="1"/>
        <v>133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11</v>
      </c>
      <c r="E51" s="50">
        <v>2</v>
      </c>
      <c r="F51" s="50">
        <v>22</v>
      </c>
      <c r="G51" s="50">
        <v>0</v>
      </c>
      <c r="H51" s="50">
        <v>0</v>
      </c>
      <c r="I51" s="50">
        <v>2</v>
      </c>
      <c r="J51" s="50">
        <v>16</v>
      </c>
      <c r="K51" s="50">
        <v>5</v>
      </c>
      <c r="L51" s="50">
        <v>2</v>
      </c>
      <c r="M51" s="50">
        <v>41</v>
      </c>
      <c r="N51" s="50">
        <v>0</v>
      </c>
      <c r="O51" s="15">
        <f t="shared" si="0"/>
        <v>85</v>
      </c>
      <c r="P51" s="15">
        <f t="shared" si="1"/>
        <v>126</v>
      </c>
      <c r="R51" s="8"/>
      <c r="T51"/>
    </row>
    <row r="52" spans="2:20" ht="23.1" customHeight="1" x14ac:dyDescent="0.25">
      <c r="B52" s="24" t="s">
        <v>79</v>
      </c>
      <c r="C52" s="50">
        <v>27</v>
      </c>
      <c r="D52" s="50">
        <v>6</v>
      </c>
      <c r="E52" s="50">
        <v>5</v>
      </c>
      <c r="F52" s="50">
        <v>29</v>
      </c>
      <c r="G52" s="50">
        <v>0</v>
      </c>
      <c r="H52" s="50">
        <v>0</v>
      </c>
      <c r="I52" s="50">
        <v>5</v>
      </c>
      <c r="J52" s="50">
        <v>6</v>
      </c>
      <c r="K52" s="50">
        <v>2</v>
      </c>
      <c r="L52" s="50">
        <v>10</v>
      </c>
      <c r="M52" s="50">
        <v>48</v>
      </c>
      <c r="N52" s="50">
        <v>0</v>
      </c>
      <c r="O52" s="15">
        <f t="shared" si="0"/>
        <v>90</v>
      </c>
      <c r="P52" s="15">
        <f t="shared" si="1"/>
        <v>138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8</v>
      </c>
      <c r="E53" s="50">
        <v>5</v>
      </c>
      <c r="F53" s="50">
        <v>23</v>
      </c>
      <c r="G53" s="50">
        <v>0</v>
      </c>
      <c r="H53" s="50">
        <v>0</v>
      </c>
      <c r="I53" s="50">
        <v>2</v>
      </c>
      <c r="J53" s="50">
        <v>13</v>
      </c>
      <c r="K53" s="50">
        <v>1</v>
      </c>
      <c r="L53" s="50">
        <v>1</v>
      </c>
      <c r="M53" s="50">
        <v>65</v>
      </c>
      <c r="N53" s="50">
        <v>0</v>
      </c>
      <c r="O53" s="15">
        <f t="shared" si="0"/>
        <v>78</v>
      </c>
      <c r="P53" s="15">
        <f t="shared" si="1"/>
        <v>143</v>
      </c>
      <c r="R53" s="8"/>
      <c r="T53"/>
    </row>
    <row r="54" spans="2:20" ht="23.1" customHeight="1" x14ac:dyDescent="0.25">
      <c r="B54" s="23" t="s">
        <v>81</v>
      </c>
      <c r="C54" s="50">
        <v>22</v>
      </c>
      <c r="D54" s="50">
        <v>17</v>
      </c>
      <c r="E54" s="50">
        <v>4</v>
      </c>
      <c r="F54" s="50">
        <v>36</v>
      </c>
      <c r="G54" s="50">
        <v>0</v>
      </c>
      <c r="H54" s="50">
        <v>0</v>
      </c>
      <c r="I54" s="50">
        <v>4</v>
      </c>
      <c r="J54" s="50">
        <v>9</v>
      </c>
      <c r="K54" s="50">
        <v>6</v>
      </c>
      <c r="L54" s="50">
        <v>1</v>
      </c>
      <c r="M54" s="50">
        <v>50</v>
      </c>
      <c r="N54" s="50">
        <v>0</v>
      </c>
      <c r="O54" s="15">
        <f t="shared" si="0"/>
        <v>99</v>
      </c>
      <c r="P54" s="15">
        <f t="shared" si="1"/>
        <v>149</v>
      </c>
      <c r="R54" s="8"/>
      <c r="T54"/>
    </row>
    <row r="55" spans="2:20" ht="23.1" customHeight="1" x14ac:dyDescent="0.25">
      <c r="B55" s="23" t="s">
        <v>82</v>
      </c>
      <c r="C55" s="50">
        <v>24</v>
      </c>
      <c r="D55" s="50">
        <v>16</v>
      </c>
      <c r="E55" s="50">
        <v>1</v>
      </c>
      <c r="F55" s="50">
        <v>30</v>
      </c>
      <c r="G55" s="50">
        <v>4</v>
      </c>
      <c r="H55" s="50">
        <v>0</v>
      </c>
      <c r="I55" s="50">
        <v>0</v>
      </c>
      <c r="J55" s="50">
        <v>11</v>
      </c>
      <c r="K55" s="50">
        <v>5</v>
      </c>
      <c r="L55" s="50">
        <v>4</v>
      </c>
      <c r="M55" s="50">
        <v>49</v>
      </c>
      <c r="N55" s="50">
        <v>0</v>
      </c>
      <c r="O55" s="15">
        <f t="shared" si="0"/>
        <v>95</v>
      </c>
      <c r="P55" s="15">
        <f t="shared" si="1"/>
        <v>144</v>
      </c>
      <c r="R55" s="8"/>
      <c r="T55"/>
    </row>
    <row r="56" spans="2:20" ht="23.1" customHeight="1" x14ac:dyDescent="0.25">
      <c r="B56" s="23" t="s">
        <v>83</v>
      </c>
      <c r="C56" s="50">
        <v>18</v>
      </c>
      <c r="D56" s="50">
        <v>17</v>
      </c>
      <c r="E56" s="50">
        <v>2</v>
      </c>
      <c r="F56" s="50">
        <v>34</v>
      </c>
      <c r="G56" s="50">
        <v>2</v>
      </c>
      <c r="H56" s="50">
        <v>0</v>
      </c>
      <c r="I56" s="50">
        <v>0</v>
      </c>
      <c r="J56" s="50">
        <v>5</v>
      </c>
      <c r="K56" s="50">
        <v>4</v>
      </c>
      <c r="L56" s="50">
        <v>1</v>
      </c>
      <c r="M56" s="50">
        <v>31</v>
      </c>
      <c r="N56" s="50">
        <v>0</v>
      </c>
      <c r="O56" s="15">
        <f t="shared" si="0"/>
        <v>83</v>
      </c>
      <c r="P56" s="15">
        <f t="shared" si="1"/>
        <v>114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19</v>
      </c>
      <c r="E57" s="50">
        <v>4</v>
      </c>
      <c r="F57" s="50">
        <v>19</v>
      </c>
      <c r="G57" s="50">
        <v>0</v>
      </c>
      <c r="H57" s="50">
        <v>0</v>
      </c>
      <c r="I57" s="50">
        <v>3</v>
      </c>
      <c r="J57" s="50">
        <v>11</v>
      </c>
      <c r="K57" s="50">
        <v>5</v>
      </c>
      <c r="L57" s="50">
        <v>2</v>
      </c>
      <c r="M57" s="50">
        <v>37</v>
      </c>
      <c r="N57" s="50">
        <v>0</v>
      </c>
      <c r="O57" s="15">
        <f t="shared" si="0"/>
        <v>84</v>
      </c>
      <c r="P57" s="15">
        <f t="shared" si="1"/>
        <v>121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703</v>
      </c>
      <c r="D58" s="16">
        <f t="shared" si="21"/>
        <v>387</v>
      </c>
      <c r="E58" s="16">
        <f t="shared" si="21"/>
        <v>141</v>
      </c>
      <c r="F58" s="16">
        <f t="shared" si="21"/>
        <v>771</v>
      </c>
      <c r="G58" s="16">
        <f t="shared" si="21"/>
        <v>13</v>
      </c>
      <c r="H58" s="16">
        <f t="shared" si="21"/>
        <v>5</v>
      </c>
      <c r="I58" s="16">
        <f t="shared" si="21"/>
        <v>148</v>
      </c>
      <c r="J58" s="16">
        <f t="shared" si="21"/>
        <v>310</v>
      </c>
      <c r="K58" s="16">
        <f t="shared" si="21"/>
        <v>170</v>
      </c>
      <c r="L58" s="16">
        <f t="shared" si="21"/>
        <v>193</v>
      </c>
      <c r="M58" s="16">
        <f t="shared" si="21"/>
        <v>1369</v>
      </c>
      <c r="N58" s="16">
        <f t="shared" si="21"/>
        <v>1</v>
      </c>
      <c r="O58" s="16">
        <f t="shared" si="21"/>
        <v>2842</v>
      </c>
      <c r="P58" s="16">
        <f t="shared" si="21"/>
        <v>4211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0.16694371883163145</v>
      </c>
      <c r="D59" s="43">
        <f t="shared" si="22"/>
        <v>9.1902161006886723E-2</v>
      </c>
      <c r="E59" s="43">
        <f t="shared" si="22"/>
        <v>3.3483733080028499E-2</v>
      </c>
      <c r="F59" s="43">
        <f t="shared" si="22"/>
        <v>0.18309190216100688</v>
      </c>
      <c r="G59" s="43">
        <f t="shared" si="22"/>
        <v>3.0871526953217764E-3</v>
      </c>
      <c r="H59" s="43">
        <f t="shared" si="22"/>
        <v>1.1873664212776064E-3</v>
      </c>
      <c r="I59" s="43">
        <f t="shared" si="22"/>
        <v>3.5146046069817145E-2</v>
      </c>
      <c r="J59" s="43">
        <f t="shared" si="22"/>
        <v>7.3616718119211583E-2</v>
      </c>
      <c r="K59" s="43">
        <f t="shared" si="22"/>
        <v>4.0370458323438614E-2</v>
      </c>
      <c r="L59" s="43">
        <f t="shared" si="22"/>
        <v>4.58323438613156E-2</v>
      </c>
      <c r="M59" s="43">
        <f t="shared" si="22"/>
        <v>0.3251009261458086</v>
      </c>
      <c r="N59" s="43">
        <f t="shared" si="22"/>
        <v>2.3747328425552126E-4</v>
      </c>
      <c r="R59" s="8"/>
      <c r="T59"/>
    </row>
    <row r="60" spans="2:20" ht="23.1" customHeight="1" x14ac:dyDescent="0.25">
      <c r="B60" s="42" t="s">
        <v>94</v>
      </c>
      <c r="C60" s="44">
        <f>C58/$O$58</f>
        <v>0.24736101337086558</v>
      </c>
      <c r="D60" s="44">
        <f t="shared" ref="D60:N60" si="23">D58/$O$58</f>
        <v>0.13617171006333567</v>
      </c>
      <c r="E60" s="44">
        <f t="shared" si="23"/>
        <v>4.9612948627726951E-2</v>
      </c>
      <c r="F60" s="44">
        <f t="shared" si="23"/>
        <v>0.27128782547501762</v>
      </c>
      <c r="G60" s="44">
        <f t="shared" si="23"/>
        <v>4.5742434904996482E-3</v>
      </c>
      <c r="H60" s="44">
        <f t="shared" si="23"/>
        <v>1.7593244194229415E-3</v>
      </c>
      <c r="I60" s="44">
        <f t="shared" si="23"/>
        <v>5.2076002814919073E-2</v>
      </c>
      <c r="J60" s="44">
        <f t="shared" si="23"/>
        <v>0.10907811400422238</v>
      </c>
      <c r="K60" s="44">
        <f t="shared" si="23"/>
        <v>5.9817030260380016E-2</v>
      </c>
      <c r="L60" s="44">
        <f t="shared" si="23"/>
        <v>6.7909922589725544E-2</v>
      </c>
      <c r="M60" s="44"/>
      <c r="N60" s="44">
        <f t="shared" si="23"/>
        <v>3.5186488388458831E-4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11</v>
      </c>
      <c r="E10" s="50">
        <v>7</v>
      </c>
      <c r="F10" s="50">
        <v>30</v>
      </c>
      <c r="G10" s="50">
        <v>2</v>
      </c>
      <c r="H10" s="50">
        <v>0</v>
      </c>
      <c r="I10" s="50">
        <v>5</v>
      </c>
      <c r="J10" s="50">
        <v>4</v>
      </c>
      <c r="K10" s="50">
        <v>3</v>
      </c>
      <c r="L10" s="50">
        <v>2</v>
      </c>
      <c r="M10" s="50">
        <v>16</v>
      </c>
      <c r="N10" s="50">
        <v>0</v>
      </c>
      <c r="O10" s="15">
        <f t="shared" ref="O10:O57" si="0">SUM(C10:L10,N10)</f>
        <v>86</v>
      </c>
      <c r="P10" s="15">
        <f t="shared" ref="P10:P57" si="1">SUM(C10:N10)</f>
        <v>102</v>
      </c>
      <c r="R10" s="1" t="s">
        <v>6</v>
      </c>
      <c r="S10" s="17">
        <f t="shared" ref="S10:AF10" si="2">SUM(C10:C13)</f>
        <v>105</v>
      </c>
      <c r="T10" s="17">
        <f t="shared" si="2"/>
        <v>35</v>
      </c>
      <c r="U10" s="17">
        <f t="shared" si="2"/>
        <v>25</v>
      </c>
      <c r="V10" s="17">
        <f t="shared" si="2"/>
        <v>143</v>
      </c>
      <c r="W10" s="17">
        <f t="shared" si="2"/>
        <v>10</v>
      </c>
      <c r="X10" s="17">
        <f t="shared" si="2"/>
        <v>0</v>
      </c>
      <c r="Y10" s="17">
        <f t="shared" si="2"/>
        <v>25</v>
      </c>
      <c r="Z10" s="17">
        <f t="shared" si="2"/>
        <v>17</v>
      </c>
      <c r="AA10" s="17">
        <f t="shared" si="2"/>
        <v>15</v>
      </c>
      <c r="AB10" s="17">
        <f t="shared" si="2"/>
        <v>9</v>
      </c>
      <c r="AC10" s="17">
        <f t="shared" si="2"/>
        <v>123</v>
      </c>
      <c r="AD10" s="17">
        <f t="shared" si="2"/>
        <v>0</v>
      </c>
      <c r="AE10" s="31">
        <f t="shared" si="2"/>
        <v>384</v>
      </c>
      <c r="AF10" s="31">
        <f t="shared" si="2"/>
        <v>507</v>
      </c>
    </row>
    <row r="11" spans="2:32" s="6" customFormat="1" ht="23.1" customHeight="1" x14ac:dyDescent="0.25">
      <c r="B11" s="23" t="s">
        <v>38</v>
      </c>
      <c r="C11" s="50">
        <v>18</v>
      </c>
      <c r="D11" s="50">
        <v>11</v>
      </c>
      <c r="E11" s="50">
        <v>6</v>
      </c>
      <c r="F11" s="50">
        <v>33</v>
      </c>
      <c r="G11" s="50">
        <v>5</v>
      </c>
      <c r="H11" s="50">
        <v>0</v>
      </c>
      <c r="I11" s="50">
        <v>3</v>
      </c>
      <c r="J11" s="50">
        <v>7</v>
      </c>
      <c r="K11" s="50">
        <v>3</v>
      </c>
      <c r="L11" s="50">
        <v>5</v>
      </c>
      <c r="M11" s="50">
        <v>33</v>
      </c>
      <c r="N11" s="50">
        <v>0</v>
      </c>
      <c r="O11" s="15">
        <f t="shared" si="0"/>
        <v>91</v>
      </c>
      <c r="P11" s="15">
        <f t="shared" si="1"/>
        <v>124</v>
      </c>
      <c r="R11" s="1" t="s">
        <v>7</v>
      </c>
      <c r="S11" s="17">
        <f t="shared" ref="S11:AF11" si="3">SUM(C14:C17)</f>
        <v>120</v>
      </c>
      <c r="T11" s="17">
        <f t="shared" si="3"/>
        <v>36</v>
      </c>
      <c r="U11" s="17">
        <f t="shared" si="3"/>
        <v>28</v>
      </c>
      <c r="V11" s="17">
        <f t="shared" si="3"/>
        <v>143</v>
      </c>
      <c r="W11" s="17">
        <f t="shared" si="3"/>
        <v>3</v>
      </c>
      <c r="X11" s="17">
        <f t="shared" si="3"/>
        <v>1</v>
      </c>
      <c r="Y11" s="17">
        <f t="shared" si="3"/>
        <v>18</v>
      </c>
      <c r="Z11" s="17">
        <f t="shared" si="3"/>
        <v>11</v>
      </c>
      <c r="AA11" s="17">
        <f t="shared" si="3"/>
        <v>21</v>
      </c>
      <c r="AB11" s="17">
        <f t="shared" si="3"/>
        <v>12</v>
      </c>
      <c r="AC11" s="17">
        <f t="shared" si="3"/>
        <v>151</v>
      </c>
      <c r="AD11" s="17">
        <f t="shared" si="3"/>
        <v>0</v>
      </c>
      <c r="AE11" s="31">
        <f t="shared" si="3"/>
        <v>393</v>
      </c>
      <c r="AF11" s="31">
        <f t="shared" si="3"/>
        <v>544</v>
      </c>
    </row>
    <row r="12" spans="2:32" ht="23.1" customHeight="1" x14ac:dyDescent="0.25">
      <c r="B12" s="23" t="s">
        <v>39</v>
      </c>
      <c r="C12" s="50">
        <v>34</v>
      </c>
      <c r="D12" s="50">
        <v>6</v>
      </c>
      <c r="E12" s="50">
        <v>8</v>
      </c>
      <c r="F12" s="50">
        <v>36</v>
      </c>
      <c r="G12" s="50">
        <v>1</v>
      </c>
      <c r="H12" s="50">
        <v>0</v>
      </c>
      <c r="I12" s="50">
        <v>8</v>
      </c>
      <c r="J12" s="50">
        <v>3</v>
      </c>
      <c r="K12" s="50">
        <v>3</v>
      </c>
      <c r="L12" s="50">
        <v>0</v>
      </c>
      <c r="M12" s="50">
        <v>33</v>
      </c>
      <c r="N12" s="50">
        <v>0</v>
      </c>
      <c r="O12" s="15">
        <f t="shared" si="0"/>
        <v>99</v>
      </c>
      <c r="P12" s="15">
        <f t="shared" si="1"/>
        <v>132</v>
      </c>
      <c r="R12" s="1" t="s">
        <v>8</v>
      </c>
      <c r="S12" s="17">
        <f t="shared" ref="S12:AF12" si="4">SUM(C18:C21)</f>
        <v>74</v>
      </c>
      <c r="T12" s="17">
        <f t="shared" si="4"/>
        <v>39</v>
      </c>
      <c r="U12" s="17">
        <f t="shared" si="4"/>
        <v>16</v>
      </c>
      <c r="V12" s="17">
        <f t="shared" si="4"/>
        <v>134</v>
      </c>
      <c r="W12" s="17">
        <f t="shared" si="4"/>
        <v>2</v>
      </c>
      <c r="X12" s="17">
        <f t="shared" si="4"/>
        <v>0</v>
      </c>
      <c r="Y12" s="17">
        <f t="shared" si="4"/>
        <v>29</v>
      </c>
      <c r="Z12" s="17">
        <f t="shared" si="4"/>
        <v>17</v>
      </c>
      <c r="AA12" s="17">
        <f t="shared" si="4"/>
        <v>19</v>
      </c>
      <c r="AB12" s="17">
        <f t="shared" si="4"/>
        <v>11</v>
      </c>
      <c r="AC12" s="17">
        <f t="shared" si="4"/>
        <v>158</v>
      </c>
      <c r="AD12" s="17">
        <f t="shared" si="4"/>
        <v>0</v>
      </c>
      <c r="AE12" s="31">
        <f t="shared" si="4"/>
        <v>341</v>
      </c>
      <c r="AF12" s="31">
        <f t="shared" si="4"/>
        <v>499</v>
      </c>
    </row>
    <row r="13" spans="2:32" ht="23.1" customHeight="1" x14ac:dyDescent="0.25">
      <c r="B13" s="23" t="s">
        <v>40</v>
      </c>
      <c r="C13" s="50">
        <v>31</v>
      </c>
      <c r="D13" s="50">
        <v>7</v>
      </c>
      <c r="E13" s="50">
        <v>4</v>
      </c>
      <c r="F13" s="50">
        <v>44</v>
      </c>
      <c r="G13" s="50">
        <v>2</v>
      </c>
      <c r="H13" s="50">
        <v>0</v>
      </c>
      <c r="I13" s="50">
        <v>9</v>
      </c>
      <c r="J13" s="50">
        <v>3</v>
      </c>
      <c r="K13" s="50">
        <v>6</v>
      </c>
      <c r="L13" s="50">
        <v>2</v>
      </c>
      <c r="M13" s="50">
        <v>41</v>
      </c>
      <c r="N13" s="50">
        <v>0</v>
      </c>
      <c r="O13" s="15">
        <f t="shared" si="0"/>
        <v>108</v>
      </c>
      <c r="P13" s="15">
        <f t="shared" si="1"/>
        <v>149</v>
      </c>
      <c r="R13" s="1" t="s">
        <v>9</v>
      </c>
      <c r="S13" s="17">
        <f t="shared" ref="S13:AF13" si="5">SUM(C22:C25)</f>
        <v>44</v>
      </c>
      <c r="T13" s="17">
        <f t="shared" si="5"/>
        <v>19</v>
      </c>
      <c r="U13" s="17">
        <f t="shared" si="5"/>
        <v>11</v>
      </c>
      <c r="V13" s="17">
        <f t="shared" si="5"/>
        <v>94</v>
      </c>
      <c r="W13" s="17">
        <f t="shared" si="5"/>
        <v>3</v>
      </c>
      <c r="X13" s="17">
        <f t="shared" si="5"/>
        <v>0</v>
      </c>
      <c r="Y13" s="17">
        <f t="shared" si="5"/>
        <v>28</v>
      </c>
      <c r="Z13" s="17">
        <f t="shared" si="5"/>
        <v>15</v>
      </c>
      <c r="AA13" s="17">
        <f t="shared" si="5"/>
        <v>21</v>
      </c>
      <c r="AB13" s="17">
        <f t="shared" si="5"/>
        <v>15</v>
      </c>
      <c r="AC13" s="17">
        <f t="shared" si="5"/>
        <v>141</v>
      </c>
      <c r="AD13" s="17">
        <f t="shared" si="5"/>
        <v>0</v>
      </c>
      <c r="AE13" s="31">
        <f t="shared" si="5"/>
        <v>250</v>
      </c>
      <c r="AF13" s="31">
        <f t="shared" si="5"/>
        <v>391</v>
      </c>
    </row>
    <row r="14" spans="2:32" ht="23.1" customHeight="1" x14ac:dyDescent="0.25">
      <c r="B14" s="23" t="s">
        <v>41</v>
      </c>
      <c r="C14" s="50">
        <v>32</v>
      </c>
      <c r="D14" s="50">
        <v>10</v>
      </c>
      <c r="E14" s="50">
        <v>5</v>
      </c>
      <c r="F14" s="50">
        <v>39</v>
      </c>
      <c r="G14" s="50">
        <v>0</v>
      </c>
      <c r="H14" s="50">
        <v>0</v>
      </c>
      <c r="I14" s="50">
        <v>2</v>
      </c>
      <c r="J14" s="50">
        <v>1</v>
      </c>
      <c r="K14" s="50">
        <v>10</v>
      </c>
      <c r="L14" s="50">
        <v>5</v>
      </c>
      <c r="M14" s="50">
        <v>44</v>
      </c>
      <c r="N14" s="50">
        <v>0</v>
      </c>
      <c r="O14" s="15">
        <f t="shared" si="0"/>
        <v>104</v>
      </c>
      <c r="P14" s="15">
        <f t="shared" si="1"/>
        <v>148</v>
      </c>
      <c r="R14" s="1" t="s">
        <v>10</v>
      </c>
      <c r="S14" s="17">
        <f t="shared" ref="S14:AF14" si="6">SUM(C26:C29)</f>
        <v>56</v>
      </c>
      <c r="T14" s="17">
        <f t="shared" si="6"/>
        <v>21</v>
      </c>
      <c r="U14" s="17">
        <f t="shared" si="6"/>
        <v>10</v>
      </c>
      <c r="V14" s="17">
        <f t="shared" si="6"/>
        <v>74</v>
      </c>
      <c r="W14" s="17">
        <f t="shared" si="6"/>
        <v>1</v>
      </c>
      <c r="X14" s="17">
        <f t="shared" si="6"/>
        <v>0</v>
      </c>
      <c r="Y14" s="17">
        <f t="shared" si="6"/>
        <v>22</v>
      </c>
      <c r="Z14" s="17">
        <f t="shared" si="6"/>
        <v>16</v>
      </c>
      <c r="AA14" s="17">
        <f t="shared" si="6"/>
        <v>19</v>
      </c>
      <c r="AB14" s="17">
        <f t="shared" si="6"/>
        <v>14</v>
      </c>
      <c r="AC14" s="17">
        <f t="shared" si="6"/>
        <v>99</v>
      </c>
      <c r="AD14" s="17">
        <f t="shared" si="6"/>
        <v>0</v>
      </c>
      <c r="AE14" s="31">
        <f t="shared" si="6"/>
        <v>233</v>
      </c>
      <c r="AF14" s="31">
        <f t="shared" si="6"/>
        <v>332</v>
      </c>
    </row>
    <row r="15" spans="2:32" ht="23.1" customHeight="1" x14ac:dyDescent="0.25">
      <c r="B15" s="23" t="s">
        <v>42</v>
      </c>
      <c r="C15" s="50">
        <v>39</v>
      </c>
      <c r="D15" s="50">
        <v>12</v>
      </c>
      <c r="E15" s="50">
        <v>14</v>
      </c>
      <c r="F15" s="50">
        <v>40</v>
      </c>
      <c r="G15" s="50">
        <v>2</v>
      </c>
      <c r="H15" s="50">
        <v>0</v>
      </c>
      <c r="I15" s="50">
        <v>6</v>
      </c>
      <c r="J15" s="50">
        <v>3</v>
      </c>
      <c r="K15" s="50">
        <v>3</v>
      </c>
      <c r="L15" s="50">
        <v>2</v>
      </c>
      <c r="M15" s="50">
        <v>35</v>
      </c>
      <c r="N15" s="50">
        <v>0</v>
      </c>
      <c r="O15" s="15">
        <f t="shared" si="0"/>
        <v>121</v>
      </c>
      <c r="P15" s="15">
        <f t="shared" si="1"/>
        <v>156</v>
      </c>
      <c r="R15" s="1" t="s">
        <v>11</v>
      </c>
      <c r="S15" s="17">
        <f t="shared" ref="S15:AF15" si="7">SUM(C30:C33)</f>
        <v>55</v>
      </c>
      <c r="T15" s="17">
        <f t="shared" si="7"/>
        <v>20</v>
      </c>
      <c r="U15" s="17">
        <f t="shared" si="7"/>
        <v>15</v>
      </c>
      <c r="V15" s="17">
        <f t="shared" si="7"/>
        <v>76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13</v>
      </c>
      <c r="AA15" s="17">
        <f t="shared" si="7"/>
        <v>23</v>
      </c>
      <c r="AB15" s="17">
        <f t="shared" si="7"/>
        <v>14</v>
      </c>
      <c r="AC15" s="17">
        <f t="shared" si="7"/>
        <v>105</v>
      </c>
      <c r="AD15" s="17">
        <f t="shared" si="7"/>
        <v>0</v>
      </c>
      <c r="AE15" s="31">
        <f t="shared" si="7"/>
        <v>232</v>
      </c>
      <c r="AF15" s="31">
        <f t="shared" si="7"/>
        <v>337</v>
      </c>
    </row>
    <row r="16" spans="2:32" ht="23.1" customHeight="1" x14ac:dyDescent="0.25">
      <c r="B16" s="23" t="s">
        <v>43</v>
      </c>
      <c r="C16" s="50">
        <v>23</v>
      </c>
      <c r="D16" s="50">
        <v>8</v>
      </c>
      <c r="E16" s="50">
        <v>2</v>
      </c>
      <c r="F16" s="50">
        <v>30</v>
      </c>
      <c r="G16" s="50">
        <v>1</v>
      </c>
      <c r="H16" s="50">
        <v>0</v>
      </c>
      <c r="I16" s="50">
        <v>3</v>
      </c>
      <c r="J16" s="50">
        <v>1</v>
      </c>
      <c r="K16" s="50">
        <v>2</v>
      </c>
      <c r="L16" s="50">
        <v>2</v>
      </c>
      <c r="M16" s="50">
        <v>42</v>
      </c>
      <c r="N16" s="50">
        <v>0</v>
      </c>
      <c r="O16" s="15">
        <f t="shared" si="0"/>
        <v>72</v>
      </c>
      <c r="P16" s="15">
        <f t="shared" si="1"/>
        <v>114</v>
      </c>
      <c r="R16" s="1" t="s">
        <v>12</v>
      </c>
      <c r="S16" s="17">
        <f t="shared" ref="S16:AF16" si="8">SUM(C34:C37)</f>
        <v>49</v>
      </c>
      <c r="T16" s="17">
        <f t="shared" si="8"/>
        <v>14</v>
      </c>
      <c r="U16" s="17">
        <f t="shared" si="8"/>
        <v>8</v>
      </c>
      <c r="V16" s="17">
        <f t="shared" si="8"/>
        <v>76</v>
      </c>
      <c r="W16" s="17">
        <f t="shared" si="8"/>
        <v>1</v>
      </c>
      <c r="X16" s="17">
        <f t="shared" si="8"/>
        <v>0</v>
      </c>
      <c r="Y16" s="17">
        <f t="shared" si="8"/>
        <v>34</v>
      </c>
      <c r="Z16" s="17">
        <f t="shared" si="8"/>
        <v>22</v>
      </c>
      <c r="AA16" s="17">
        <f t="shared" si="8"/>
        <v>22</v>
      </c>
      <c r="AB16" s="17">
        <f t="shared" si="8"/>
        <v>19</v>
      </c>
      <c r="AC16" s="17">
        <f t="shared" si="8"/>
        <v>150</v>
      </c>
      <c r="AD16" s="17">
        <f t="shared" si="8"/>
        <v>0</v>
      </c>
      <c r="AE16" s="31">
        <f t="shared" si="8"/>
        <v>245</v>
      </c>
      <c r="AF16" s="31">
        <f t="shared" si="8"/>
        <v>395</v>
      </c>
    </row>
    <row r="17" spans="2:32" ht="23.1" customHeight="1" x14ac:dyDescent="0.25">
      <c r="B17" s="23" t="s">
        <v>44</v>
      </c>
      <c r="C17" s="50">
        <v>26</v>
      </c>
      <c r="D17" s="50">
        <v>6</v>
      </c>
      <c r="E17" s="50">
        <v>7</v>
      </c>
      <c r="F17" s="50">
        <v>34</v>
      </c>
      <c r="G17" s="50">
        <v>0</v>
      </c>
      <c r="H17" s="50">
        <v>1</v>
      </c>
      <c r="I17" s="50">
        <v>7</v>
      </c>
      <c r="J17" s="50">
        <v>6</v>
      </c>
      <c r="K17" s="50">
        <v>6</v>
      </c>
      <c r="L17" s="50">
        <v>3</v>
      </c>
      <c r="M17" s="50">
        <v>30</v>
      </c>
      <c r="N17" s="50">
        <v>0</v>
      </c>
      <c r="O17" s="15">
        <f t="shared" si="0"/>
        <v>96</v>
      </c>
      <c r="P17" s="15">
        <f t="shared" si="1"/>
        <v>126</v>
      </c>
      <c r="R17" s="1" t="s">
        <v>13</v>
      </c>
      <c r="S17" s="17">
        <f t="shared" ref="S17:AF17" si="9">SUM(C38:C41)</f>
        <v>54</v>
      </c>
      <c r="T17" s="17">
        <f t="shared" si="9"/>
        <v>23</v>
      </c>
      <c r="U17" s="17">
        <f t="shared" si="9"/>
        <v>11</v>
      </c>
      <c r="V17" s="17">
        <f t="shared" si="9"/>
        <v>71</v>
      </c>
      <c r="W17" s="17">
        <f t="shared" si="9"/>
        <v>1</v>
      </c>
      <c r="X17" s="17">
        <f t="shared" si="9"/>
        <v>0</v>
      </c>
      <c r="Y17" s="17">
        <f t="shared" si="9"/>
        <v>39</v>
      </c>
      <c r="Z17" s="17">
        <f t="shared" si="9"/>
        <v>19</v>
      </c>
      <c r="AA17" s="17">
        <f t="shared" si="9"/>
        <v>31</v>
      </c>
      <c r="AB17" s="17">
        <f t="shared" si="9"/>
        <v>20</v>
      </c>
      <c r="AC17" s="17">
        <f t="shared" si="9"/>
        <v>141</v>
      </c>
      <c r="AD17" s="17">
        <f t="shared" si="9"/>
        <v>0</v>
      </c>
      <c r="AE17" s="31">
        <f t="shared" si="9"/>
        <v>269</v>
      </c>
      <c r="AF17" s="31">
        <f t="shared" si="9"/>
        <v>410</v>
      </c>
    </row>
    <row r="18" spans="2:32" ht="23.1" customHeight="1" x14ac:dyDescent="0.25">
      <c r="B18" s="23" t="s">
        <v>45</v>
      </c>
      <c r="C18" s="50">
        <v>17</v>
      </c>
      <c r="D18" s="50">
        <v>18</v>
      </c>
      <c r="E18" s="50">
        <v>2</v>
      </c>
      <c r="F18" s="50">
        <v>37</v>
      </c>
      <c r="G18" s="50">
        <v>0</v>
      </c>
      <c r="H18" s="50">
        <v>0</v>
      </c>
      <c r="I18" s="50">
        <v>8</v>
      </c>
      <c r="J18" s="50">
        <v>4</v>
      </c>
      <c r="K18" s="50">
        <v>7</v>
      </c>
      <c r="L18" s="50">
        <v>1</v>
      </c>
      <c r="M18" s="50">
        <v>33</v>
      </c>
      <c r="N18" s="50">
        <v>0</v>
      </c>
      <c r="O18" s="15">
        <f t="shared" si="0"/>
        <v>94</v>
      </c>
      <c r="P18" s="15">
        <f t="shared" si="1"/>
        <v>127</v>
      </c>
      <c r="R18" s="1" t="s">
        <v>14</v>
      </c>
      <c r="S18" s="17">
        <f t="shared" ref="S18:AF18" si="10">SUM(C42:C45)</f>
        <v>54</v>
      </c>
      <c r="T18" s="17">
        <f t="shared" si="10"/>
        <v>22</v>
      </c>
      <c r="U18" s="17">
        <f t="shared" si="10"/>
        <v>17</v>
      </c>
      <c r="V18" s="17">
        <f t="shared" si="10"/>
        <v>64</v>
      </c>
      <c r="W18" s="17">
        <f t="shared" si="10"/>
        <v>1</v>
      </c>
      <c r="X18" s="17">
        <f t="shared" si="10"/>
        <v>0</v>
      </c>
      <c r="Y18" s="17">
        <f t="shared" si="10"/>
        <v>22</v>
      </c>
      <c r="Z18" s="17">
        <f t="shared" si="10"/>
        <v>11</v>
      </c>
      <c r="AA18" s="17">
        <f t="shared" si="10"/>
        <v>31</v>
      </c>
      <c r="AB18" s="17">
        <f t="shared" si="10"/>
        <v>15</v>
      </c>
      <c r="AC18" s="17">
        <f t="shared" si="10"/>
        <v>114</v>
      </c>
      <c r="AD18" s="17">
        <f t="shared" si="10"/>
        <v>0</v>
      </c>
      <c r="AE18" s="31">
        <f t="shared" si="10"/>
        <v>237</v>
      </c>
      <c r="AF18" s="31">
        <f t="shared" si="10"/>
        <v>351</v>
      </c>
    </row>
    <row r="19" spans="2:32" ht="23.1" customHeight="1" x14ac:dyDescent="0.25">
      <c r="B19" s="23" t="s">
        <v>46</v>
      </c>
      <c r="C19" s="50">
        <v>15</v>
      </c>
      <c r="D19" s="50">
        <v>7</v>
      </c>
      <c r="E19" s="50">
        <v>5</v>
      </c>
      <c r="F19" s="50">
        <v>33</v>
      </c>
      <c r="G19" s="50">
        <v>0</v>
      </c>
      <c r="H19" s="50">
        <v>0</v>
      </c>
      <c r="I19" s="50">
        <v>9</v>
      </c>
      <c r="J19" s="50">
        <v>4</v>
      </c>
      <c r="K19" s="50">
        <v>5</v>
      </c>
      <c r="L19" s="50">
        <v>2</v>
      </c>
      <c r="M19" s="50">
        <v>48</v>
      </c>
      <c r="N19" s="50">
        <v>0</v>
      </c>
      <c r="O19" s="15">
        <f t="shared" si="0"/>
        <v>80</v>
      </c>
      <c r="P19" s="15">
        <f t="shared" si="1"/>
        <v>128</v>
      </c>
      <c r="R19" s="1" t="s">
        <v>15</v>
      </c>
      <c r="S19" s="17">
        <f t="shared" ref="S19:AF19" si="11">SUM(C46:C49)</f>
        <v>74</v>
      </c>
      <c r="T19" s="17">
        <f t="shared" si="11"/>
        <v>17</v>
      </c>
      <c r="U19" s="17">
        <f t="shared" si="11"/>
        <v>19</v>
      </c>
      <c r="V19" s="17">
        <f t="shared" si="11"/>
        <v>94</v>
      </c>
      <c r="W19" s="17">
        <f t="shared" si="11"/>
        <v>0</v>
      </c>
      <c r="X19" s="17">
        <f t="shared" si="11"/>
        <v>0</v>
      </c>
      <c r="Y19" s="17">
        <f t="shared" si="11"/>
        <v>21</v>
      </c>
      <c r="Z19" s="17">
        <f t="shared" si="11"/>
        <v>28</v>
      </c>
      <c r="AA19" s="17">
        <f t="shared" si="11"/>
        <v>36</v>
      </c>
      <c r="AB19" s="17">
        <f t="shared" si="11"/>
        <v>23</v>
      </c>
      <c r="AC19" s="17">
        <f t="shared" si="11"/>
        <v>142</v>
      </c>
      <c r="AD19" s="17">
        <f t="shared" si="11"/>
        <v>0</v>
      </c>
      <c r="AE19" s="31">
        <f t="shared" si="11"/>
        <v>312</v>
      </c>
      <c r="AF19" s="31">
        <f t="shared" si="11"/>
        <v>454</v>
      </c>
    </row>
    <row r="20" spans="2:32" ht="23.1" customHeight="1" x14ac:dyDescent="0.25">
      <c r="B20" s="23" t="s">
        <v>47</v>
      </c>
      <c r="C20" s="50">
        <v>18</v>
      </c>
      <c r="D20" s="50">
        <v>4</v>
      </c>
      <c r="E20" s="50">
        <v>6</v>
      </c>
      <c r="F20" s="50">
        <v>30</v>
      </c>
      <c r="G20" s="50">
        <v>2</v>
      </c>
      <c r="H20" s="50">
        <v>0</v>
      </c>
      <c r="I20" s="50">
        <v>8</v>
      </c>
      <c r="J20" s="50">
        <v>4</v>
      </c>
      <c r="K20" s="50">
        <v>3</v>
      </c>
      <c r="L20" s="50">
        <v>5</v>
      </c>
      <c r="M20" s="50">
        <v>34</v>
      </c>
      <c r="N20" s="50">
        <v>0</v>
      </c>
      <c r="O20" s="15">
        <f t="shared" si="0"/>
        <v>80</v>
      </c>
      <c r="P20" s="15">
        <f t="shared" si="1"/>
        <v>114</v>
      </c>
      <c r="R20" s="1" t="s">
        <v>16</v>
      </c>
      <c r="S20" s="17">
        <f t="shared" ref="S20:AF20" si="12">SUM(C50:C53)</f>
        <v>132</v>
      </c>
      <c r="T20" s="17">
        <f t="shared" si="12"/>
        <v>56</v>
      </c>
      <c r="U20" s="17">
        <f t="shared" si="12"/>
        <v>23</v>
      </c>
      <c r="V20" s="17">
        <f t="shared" si="12"/>
        <v>105</v>
      </c>
      <c r="W20" s="17">
        <f t="shared" si="12"/>
        <v>4</v>
      </c>
      <c r="X20" s="17">
        <f t="shared" si="12"/>
        <v>0</v>
      </c>
      <c r="Y20" s="17">
        <f t="shared" si="12"/>
        <v>23</v>
      </c>
      <c r="Z20" s="17">
        <f t="shared" si="12"/>
        <v>9</v>
      </c>
      <c r="AA20" s="17">
        <f t="shared" si="12"/>
        <v>47</v>
      </c>
      <c r="AB20" s="17">
        <f t="shared" si="12"/>
        <v>15</v>
      </c>
      <c r="AC20" s="17">
        <f t="shared" si="12"/>
        <v>189</v>
      </c>
      <c r="AD20" s="17">
        <f t="shared" si="12"/>
        <v>0</v>
      </c>
      <c r="AE20" s="31">
        <f t="shared" si="12"/>
        <v>414</v>
      </c>
      <c r="AF20" s="31">
        <f t="shared" si="12"/>
        <v>603</v>
      </c>
    </row>
    <row r="21" spans="2:32" ht="23.1" customHeight="1" x14ac:dyDescent="0.25">
      <c r="B21" s="23" t="s">
        <v>48</v>
      </c>
      <c r="C21" s="50">
        <v>24</v>
      </c>
      <c r="D21" s="50">
        <v>10</v>
      </c>
      <c r="E21" s="50">
        <v>3</v>
      </c>
      <c r="F21" s="50">
        <v>34</v>
      </c>
      <c r="G21" s="50">
        <v>0</v>
      </c>
      <c r="H21" s="50">
        <v>0</v>
      </c>
      <c r="I21" s="50">
        <v>4</v>
      </c>
      <c r="J21" s="50">
        <v>5</v>
      </c>
      <c r="K21" s="50">
        <v>4</v>
      </c>
      <c r="L21" s="50">
        <v>3</v>
      </c>
      <c r="M21" s="50">
        <v>43</v>
      </c>
      <c r="N21" s="50">
        <v>0</v>
      </c>
      <c r="O21" s="15">
        <f t="shared" si="0"/>
        <v>87</v>
      </c>
      <c r="P21" s="15">
        <f t="shared" si="1"/>
        <v>130</v>
      </c>
      <c r="R21" s="36" t="s">
        <v>20</v>
      </c>
      <c r="S21" s="34">
        <f t="shared" ref="S21:AF21" si="13">SUM(C54:C57)</f>
        <v>201</v>
      </c>
      <c r="T21" s="17">
        <f t="shared" si="13"/>
        <v>106</v>
      </c>
      <c r="U21" s="17">
        <f t="shared" si="13"/>
        <v>44</v>
      </c>
      <c r="V21" s="17">
        <f t="shared" si="13"/>
        <v>167</v>
      </c>
      <c r="W21" s="17">
        <f t="shared" si="13"/>
        <v>3</v>
      </c>
      <c r="X21" s="17">
        <f t="shared" si="13"/>
        <v>0</v>
      </c>
      <c r="Y21" s="17">
        <f t="shared" si="13"/>
        <v>25</v>
      </c>
      <c r="Z21" s="17">
        <f t="shared" si="13"/>
        <v>19</v>
      </c>
      <c r="AA21" s="17">
        <f t="shared" si="13"/>
        <v>23</v>
      </c>
      <c r="AB21" s="17">
        <f t="shared" si="13"/>
        <v>6</v>
      </c>
      <c r="AC21" s="17">
        <f t="shared" si="13"/>
        <v>189</v>
      </c>
      <c r="AD21" s="17">
        <f t="shared" si="13"/>
        <v>0</v>
      </c>
      <c r="AE21" s="31">
        <f t="shared" si="13"/>
        <v>594</v>
      </c>
      <c r="AF21" s="31">
        <f t="shared" si="13"/>
        <v>783</v>
      </c>
    </row>
    <row r="22" spans="2:32" ht="23.1" customHeight="1" x14ac:dyDescent="0.25">
      <c r="B22" s="23" t="s">
        <v>49</v>
      </c>
      <c r="C22" s="50">
        <v>9</v>
      </c>
      <c r="D22" s="50">
        <v>6</v>
      </c>
      <c r="E22" s="50">
        <v>4</v>
      </c>
      <c r="F22" s="50">
        <v>37</v>
      </c>
      <c r="G22" s="50">
        <v>0</v>
      </c>
      <c r="H22" s="50">
        <v>0</v>
      </c>
      <c r="I22" s="50">
        <v>7</v>
      </c>
      <c r="J22" s="50">
        <v>3</v>
      </c>
      <c r="K22" s="50">
        <v>5</v>
      </c>
      <c r="L22" s="50">
        <v>6</v>
      </c>
      <c r="M22" s="50">
        <v>29</v>
      </c>
      <c r="N22" s="50">
        <v>0</v>
      </c>
      <c r="O22" s="15">
        <f t="shared" si="0"/>
        <v>77</v>
      </c>
      <c r="P22" s="15">
        <f t="shared" si="1"/>
        <v>106</v>
      </c>
      <c r="R22" s="38" t="s">
        <v>90</v>
      </c>
      <c r="S22" s="39">
        <f>MAX(S10:S12)</f>
        <v>120</v>
      </c>
      <c r="T22" s="39">
        <f t="shared" ref="T22:AF22" si="14">MAX(T10:T12)</f>
        <v>39</v>
      </c>
      <c r="U22" s="39">
        <f t="shared" si="14"/>
        <v>28</v>
      </c>
      <c r="V22" s="39">
        <f t="shared" si="14"/>
        <v>143</v>
      </c>
      <c r="W22" s="39">
        <f t="shared" si="14"/>
        <v>10</v>
      </c>
      <c r="X22" s="39">
        <f t="shared" si="14"/>
        <v>1</v>
      </c>
      <c r="Y22" s="39">
        <f t="shared" si="14"/>
        <v>29</v>
      </c>
      <c r="Z22" s="39">
        <f t="shared" si="14"/>
        <v>17</v>
      </c>
      <c r="AA22" s="39">
        <f t="shared" si="14"/>
        <v>21</v>
      </c>
      <c r="AB22" s="39">
        <f t="shared" si="14"/>
        <v>12</v>
      </c>
      <c r="AC22" s="39">
        <f t="shared" si="14"/>
        <v>158</v>
      </c>
      <c r="AD22" s="39">
        <f t="shared" si="14"/>
        <v>0</v>
      </c>
      <c r="AE22" s="40">
        <f t="shared" si="14"/>
        <v>393</v>
      </c>
      <c r="AF22" s="40">
        <f t="shared" si="14"/>
        <v>544</v>
      </c>
    </row>
    <row r="23" spans="2:32" ht="23.1" customHeight="1" x14ac:dyDescent="0.25">
      <c r="B23" s="23" t="s">
        <v>50</v>
      </c>
      <c r="C23" s="50">
        <v>11</v>
      </c>
      <c r="D23" s="50">
        <v>1</v>
      </c>
      <c r="E23" s="50">
        <v>3</v>
      </c>
      <c r="F23" s="50">
        <v>16</v>
      </c>
      <c r="G23" s="50">
        <v>1</v>
      </c>
      <c r="H23" s="50">
        <v>0</v>
      </c>
      <c r="I23" s="50">
        <v>6</v>
      </c>
      <c r="J23" s="50">
        <v>1</v>
      </c>
      <c r="K23" s="50">
        <v>6</v>
      </c>
      <c r="L23" s="50">
        <v>5</v>
      </c>
      <c r="M23" s="50">
        <v>31</v>
      </c>
      <c r="N23" s="50">
        <v>0</v>
      </c>
      <c r="O23" s="15">
        <f t="shared" si="0"/>
        <v>50</v>
      </c>
      <c r="P23" s="15">
        <f t="shared" si="1"/>
        <v>81</v>
      </c>
      <c r="R23" s="38" t="s">
        <v>91</v>
      </c>
      <c r="S23" s="39">
        <f>MAX(S13:S18)</f>
        <v>56</v>
      </c>
      <c r="T23" s="39">
        <f t="shared" ref="T23:AF23" si="15">MAX(T13:T18)</f>
        <v>23</v>
      </c>
      <c r="U23" s="39">
        <f t="shared" si="15"/>
        <v>17</v>
      </c>
      <c r="V23" s="39">
        <f t="shared" si="15"/>
        <v>94</v>
      </c>
      <c r="W23" s="39">
        <f t="shared" si="15"/>
        <v>3</v>
      </c>
      <c r="X23" s="39">
        <f t="shared" si="15"/>
        <v>0</v>
      </c>
      <c r="Y23" s="39">
        <f t="shared" si="15"/>
        <v>39</v>
      </c>
      <c r="Z23" s="39">
        <f t="shared" si="15"/>
        <v>22</v>
      </c>
      <c r="AA23" s="39">
        <f t="shared" si="15"/>
        <v>31</v>
      </c>
      <c r="AB23" s="39">
        <f t="shared" si="15"/>
        <v>20</v>
      </c>
      <c r="AC23" s="39">
        <f t="shared" si="15"/>
        <v>150</v>
      </c>
      <c r="AD23" s="39">
        <f t="shared" si="15"/>
        <v>0</v>
      </c>
      <c r="AE23" s="40">
        <f t="shared" si="15"/>
        <v>269</v>
      </c>
      <c r="AF23" s="40">
        <f t="shared" si="15"/>
        <v>410</v>
      </c>
    </row>
    <row r="24" spans="2:32" ht="23.1" customHeight="1" x14ac:dyDescent="0.25">
      <c r="B24" s="23" t="s">
        <v>51</v>
      </c>
      <c r="C24" s="50">
        <v>14</v>
      </c>
      <c r="D24" s="50">
        <v>7</v>
      </c>
      <c r="E24" s="50">
        <v>3</v>
      </c>
      <c r="F24" s="50">
        <v>23</v>
      </c>
      <c r="G24" s="50">
        <v>0</v>
      </c>
      <c r="H24" s="50">
        <v>0</v>
      </c>
      <c r="I24" s="50">
        <v>12</v>
      </c>
      <c r="J24" s="50">
        <v>6</v>
      </c>
      <c r="K24" s="50">
        <v>3</v>
      </c>
      <c r="L24" s="50">
        <v>2</v>
      </c>
      <c r="M24" s="50">
        <v>43</v>
      </c>
      <c r="N24" s="50">
        <v>0</v>
      </c>
      <c r="O24" s="15">
        <f t="shared" si="0"/>
        <v>70</v>
      </c>
      <c r="P24" s="15">
        <f t="shared" si="1"/>
        <v>113</v>
      </c>
      <c r="R24" s="38" t="s">
        <v>92</v>
      </c>
      <c r="S24" s="39">
        <f>MAX(S19:S21)</f>
        <v>201</v>
      </c>
      <c r="T24" s="39">
        <f t="shared" ref="T24:AF24" si="16">MAX(T19:T21)</f>
        <v>106</v>
      </c>
      <c r="U24" s="39">
        <f t="shared" si="16"/>
        <v>44</v>
      </c>
      <c r="V24" s="39">
        <f t="shared" si="16"/>
        <v>167</v>
      </c>
      <c r="W24" s="39">
        <f t="shared" si="16"/>
        <v>4</v>
      </c>
      <c r="X24" s="39">
        <f t="shared" si="16"/>
        <v>0</v>
      </c>
      <c r="Y24" s="39">
        <f t="shared" si="16"/>
        <v>25</v>
      </c>
      <c r="Z24" s="39">
        <f t="shared" si="16"/>
        <v>28</v>
      </c>
      <c r="AA24" s="39">
        <f t="shared" si="16"/>
        <v>47</v>
      </c>
      <c r="AB24" s="39">
        <f t="shared" si="16"/>
        <v>23</v>
      </c>
      <c r="AC24" s="39">
        <f t="shared" si="16"/>
        <v>189</v>
      </c>
      <c r="AD24" s="39">
        <f t="shared" si="16"/>
        <v>0</v>
      </c>
      <c r="AE24" s="40">
        <f t="shared" si="16"/>
        <v>594</v>
      </c>
      <c r="AF24" s="40">
        <f t="shared" si="16"/>
        <v>783</v>
      </c>
    </row>
    <row r="25" spans="2:32" ht="23.1" customHeight="1" x14ac:dyDescent="0.25">
      <c r="B25" s="23" t="s">
        <v>52</v>
      </c>
      <c r="C25" s="50">
        <v>10</v>
      </c>
      <c r="D25" s="50">
        <v>5</v>
      </c>
      <c r="E25" s="50">
        <v>1</v>
      </c>
      <c r="F25" s="50">
        <v>18</v>
      </c>
      <c r="G25" s="50">
        <v>2</v>
      </c>
      <c r="H25" s="50">
        <v>0</v>
      </c>
      <c r="I25" s="50">
        <v>3</v>
      </c>
      <c r="J25" s="50">
        <v>5</v>
      </c>
      <c r="K25" s="50">
        <v>7</v>
      </c>
      <c r="L25" s="50">
        <v>2</v>
      </c>
      <c r="M25" s="50">
        <v>38</v>
      </c>
      <c r="N25" s="50">
        <v>0</v>
      </c>
      <c r="O25" s="15">
        <f t="shared" si="0"/>
        <v>53</v>
      </c>
      <c r="P25" s="15">
        <f t="shared" si="1"/>
        <v>91</v>
      </c>
      <c r="R25" s="37" t="s">
        <v>85</v>
      </c>
      <c r="S25" s="35">
        <f t="shared" ref="S25:AF25" si="17">SUM(S10:S12)</f>
        <v>299</v>
      </c>
      <c r="T25" s="16">
        <f t="shared" si="17"/>
        <v>110</v>
      </c>
      <c r="U25" s="16">
        <f t="shared" si="17"/>
        <v>69</v>
      </c>
      <c r="V25" s="16">
        <f t="shared" si="17"/>
        <v>420</v>
      </c>
      <c r="W25" s="16">
        <f t="shared" si="17"/>
        <v>15</v>
      </c>
      <c r="X25" s="16">
        <f t="shared" si="17"/>
        <v>1</v>
      </c>
      <c r="Y25" s="16">
        <f t="shared" si="17"/>
        <v>72</v>
      </c>
      <c r="Z25" s="16">
        <f t="shared" si="17"/>
        <v>45</v>
      </c>
      <c r="AA25" s="16">
        <f t="shared" si="17"/>
        <v>55</v>
      </c>
      <c r="AB25" s="16">
        <f t="shared" si="17"/>
        <v>32</v>
      </c>
      <c r="AC25" s="16">
        <f t="shared" si="17"/>
        <v>432</v>
      </c>
      <c r="AD25" s="16">
        <f t="shared" si="17"/>
        <v>0</v>
      </c>
      <c r="AE25" s="32">
        <f t="shared" si="17"/>
        <v>1118</v>
      </c>
      <c r="AF25" s="32">
        <f t="shared" si="17"/>
        <v>1550</v>
      </c>
    </row>
    <row r="26" spans="2:32" ht="23.1" customHeight="1" x14ac:dyDescent="0.25">
      <c r="B26" s="23" t="s">
        <v>53</v>
      </c>
      <c r="C26" s="50">
        <v>12</v>
      </c>
      <c r="D26" s="50">
        <v>7</v>
      </c>
      <c r="E26" s="50">
        <v>3</v>
      </c>
      <c r="F26" s="50">
        <v>17</v>
      </c>
      <c r="G26" s="50">
        <v>1</v>
      </c>
      <c r="H26" s="50">
        <v>0</v>
      </c>
      <c r="I26" s="50">
        <v>10</v>
      </c>
      <c r="J26" s="50">
        <v>5</v>
      </c>
      <c r="K26" s="50">
        <v>7</v>
      </c>
      <c r="L26" s="50">
        <v>4</v>
      </c>
      <c r="M26" s="50">
        <v>21</v>
      </c>
      <c r="N26" s="50">
        <v>0</v>
      </c>
      <c r="O26" s="15">
        <f t="shared" si="0"/>
        <v>66</v>
      </c>
      <c r="P26" s="15">
        <f t="shared" si="1"/>
        <v>87</v>
      </c>
      <c r="R26" s="28" t="s">
        <v>86</v>
      </c>
      <c r="S26" s="16">
        <f t="shared" ref="S26:AF26" si="18">SUM(S13:S18)</f>
        <v>312</v>
      </c>
      <c r="T26" s="16">
        <f t="shared" si="18"/>
        <v>119</v>
      </c>
      <c r="U26" s="16">
        <f t="shared" si="18"/>
        <v>72</v>
      </c>
      <c r="V26" s="16">
        <f t="shared" si="18"/>
        <v>455</v>
      </c>
      <c r="W26" s="16">
        <f t="shared" si="18"/>
        <v>7</v>
      </c>
      <c r="X26" s="16">
        <f t="shared" si="18"/>
        <v>0</v>
      </c>
      <c r="Y26" s="16">
        <f t="shared" si="18"/>
        <v>161</v>
      </c>
      <c r="Z26" s="16">
        <f t="shared" si="18"/>
        <v>96</v>
      </c>
      <c r="AA26" s="16">
        <f t="shared" si="18"/>
        <v>147</v>
      </c>
      <c r="AB26" s="16">
        <f t="shared" si="18"/>
        <v>97</v>
      </c>
      <c r="AC26" s="16">
        <f t="shared" si="18"/>
        <v>750</v>
      </c>
      <c r="AD26" s="16">
        <f t="shared" si="18"/>
        <v>0</v>
      </c>
      <c r="AE26" s="32">
        <f t="shared" si="18"/>
        <v>1466</v>
      </c>
      <c r="AF26" s="32">
        <f t="shared" si="18"/>
        <v>2216</v>
      </c>
    </row>
    <row r="27" spans="2:32" ht="23.1" customHeight="1" x14ac:dyDescent="0.25">
      <c r="B27" s="23" t="s">
        <v>54</v>
      </c>
      <c r="C27" s="50">
        <v>13</v>
      </c>
      <c r="D27" s="50">
        <v>3</v>
      </c>
      <c r="E27" s="50">
        <v>2</v>
      </c>
      <c r="F27" s="50">
        <v>22</v>
      </c>
      <c r="G27" s="50">
        <v>0</v>
      </c>
      <c r="H27" s="50">
        <v>0</v>
      </c>
      <c r="I27" s="50">
        <v>3</v>
      </c>
      <c r="J27" s="50">
        <v>4</v>
      </c>
      <c r="K27" s="50">
        <v>1</v>
      </c>
      <c r="L27" s="50">
        <v>2</v>
      </c>
      <c r="M27" s="50">
        <v>27</v>
      </c>
      <c r="N27" s="50">
        <v>0</v>
      </c>
      <c r="O27" s="15">
        <f t="shared" si="0"/>
        <v>50</v>
      </c>
      <c r="P27" s="15">
        <f t="shared" si="1"/>
        <v>77</v>
      </c>
      <c r="R27" s="29" t="s">
        <v>87</v>
      </c>
      <c r="S27" s="16">
        <f t="shared" ref="S27:AF27" si="19">SUM(S19:S21)</f>
        <v>407</v>
      </c>
      <c r="T27" s="16">
        <f t="shared" si="19"/>
        <v>179</v>
      </c>
      <c r="U27" s="16">
        <f t="shared" si="19"/>
        <v>86</v>
      </c>
      <c r="V27" s="16">
        <f t="shared" si="19"/>
        <v>366</v>
      </c>
      <c r="W27" s="16">
        <f t="shared" si="19"/>
        <v>7</v>
      </c>
      <c r="X27" s="16">
        <f t="shared" si="19"/>
        <v>0</v>
      </c>
      <c r="Y27" s="16">
        <f t="shared" si="19"/>
        <v>69</v>
      </c>
      <c r="Z27" s="16">
        <f t="shared" si="19"/>
        <v>56</v>
      </c>
      <c r="AA27" s="16">
        <f t="shared" si="19"/>
        <v>106</v>
      </c>
      <c r="AB27" s="16">
        <f t="shared" si="19"/>
        <v>44</v>
      </c>
      <c r="AC27" s="16">
        <f t="shared" si="19"/>
        <v>520</v>
      </c>
      <c r="AD27" s="16">
        <f t="shared" si="19"/>
        <v>0</v>
      </c>
      <c r="AE27" s="32">
        <f t="shared" si="19"/>
        <v>1320</v>
      </c>
      <c r="AF27" s="32">
        <f t="shared" si="19"/>
        <v>1840</v>
      </c>
    </row>
    <row r="28" spans="2:32" ht="23.1" customHeight="1" x14ac:dyDescent="0.25">
      <c r="B28" s="23" t="s">
        <v>55</v>
      </c>
      <c r="C28" s="50">
        <v>20</v>
      </c>
      <c r="D28" s="50">
        <v>6</v>
      </c>
      <c r="E28" s="50">
        <v>2</v>
      </c>
      <c r="F28" s="50">
        <v>13</v>
      </c>
      <c r="G28" s="50">
        <v>0</v>
      </c>
      <c r="H28" s="50">
        <v>0</v>
      </c>
      <c r="I28" s="50">
        <v>3</v>
      </c>
      <c r="J28" s="50">
        <v>4</v>
      </c>
      <c r="K28" s="50">
        <v>8</v>
      </c>
      <c r="L28" s="50">
        <v>3</v>
      </c>
      <c r="M28" s="50">
        <v>30</v>
      </c>
      <c r="N28" s="50">
        <v>0</v>
      </c>
      <c r="O28" s="15">
        <f t="shared" si="0"/>
        <v>59</v>
      </c>
      <c r="P28" s="15">
        <f t="shared" si="1"/>
        <v>89</v>
      </c>
      <c r="R28" s="5" t="s">
        <v>17</v>
      </c>
      <c r="S28" s="16">
        <f t="shared" ref="S28:AF28" si="20">SUM(S10:S21)</f>
        <v>1018</v>
      </c>
      <c r="T28" s="16">
        <f t="shared" si="20"/>
        <v>408</v>
      </c>
      <c r="U28" s="16">
        <f t="shared" si="20"/>
        <v>227</v>
      </c>
      <c r="V28" s="16">
        <f t="shared" si="20"/>
        <v>1241</v>
      </c>
      <c r="W28" s="16">
        <f t="shared" si="20"/>
        <v>29</v>
      </c>
      <c r="X28" s="16">
        <f t="shared" si="20"/>
        <v>1</v>
      </c>
      <c r="Y28" s="16">
        <f t="shared" si="20"/>
        <v>302</v>
      </c>
      <c r="Z28" s="16">
        <f t="shared" si="20"/>
        <v>197</v>
      </c>
      <c r="AA28" s="16">
        <f t="shared" si="20"/>
        <v>308</v>
      </c>
      <c r="AB28" s="16">
        <f t="shared" si="20"/>
        <v>173</v>
      </c>
      <c r="AC28" s="16">
        <f t="shared" si="20"/>
        <v>1702</v>
      </c>
      <c r="AD28" s="16">
        <f t="shared" si="20"/>
        <v>0</v>
      </c>
      <c r="AE28" s="32">
        <f t="shared" si="20"/>
        <v>3904</v>
      </c>
      <c r="AF28" s="32">
        <f t="shared" si="20"/>
        <v>5606</v>
      </c>
    </row>
    <row r="29" spans="2:32" ht="23.1" customHeight="1" x14ac:dyDescent="0.25">
      <c r="B29" s="23" t="s">
        <v>56</v>
      </c>
      <c r="C29" s="50">
        <v>11</v>
      </c>
      <c r="D29" s="50">
        <v>5</v>
      </c>
      <c r="E29" s="50">
        <v>3</v>
      </c>
      <c r="F29" s="50">
        <v>22</v>
      </c>
      <c r="G29" s="50">
        <v>0</v>
      </c>
      <c r="H29" s="50">
        <v>0</v>
      </c>
      <c r="I29" s="50">
        <v>6</v>
      </c>
      <c r="J29" s="50">
        <v>3</v>
      </c>
      <c r="K29" s="50">
        <v>3</v>
      </c>
      <c r="L29" s="50">
        <v>5</v>
      </c>
      <c r="M29" s="50">
        <v>21</v>
      </c>
      <c r="N29" s="50">
        <v>0</v>
      </c>
      <c r="O29" s="15">
        <f t="shared" si="0"/>
        <v>58</v>
      </c>
      <c r="P29" s="15">
        <f t="shared" si="1"/>
        <v>79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8</v>
      </c>
      <c r="E30" s="50">
        <v>5</v>
      </c>
      <c r="F30" s="50">
        <v>16</v>
      </c>
      <c r="G30" s="50">
        <v>0</v>
      </c>
      <c r="H30" s="50">
        <v>0</v>
      </c>
      <c r="I30" s="50">
        <v>4</v>
      </c>
      <c r="J30" s="50">
        <v>4</v>
      </c>
      <c r="K30" s="50">
        <v>7</v>
      </c>
      <c r="L30" s="50">
        <v>3</v>
      </c>
      <c r="M30" s="50">
        <v>27</v>
      </c>
      <c r="N30" s="50">
        <v>0</v>
      </c>
      <c r="O30" s="15">
        <f t="shared" si="0"/>
        <v>60</v>
      </c>
      <c r="P30" s="15">
        <f t="shared" si="1"/>
        <v>87</v>
      </c>
    </row>
    <row r="31" spans="2:32" ht="23.1" customHeight="1" x14ac:dyDescent="0.25">
      <c r="B31" s="24" t="s">
        <v>58</v>
      </c>
      <c r="C31" s="50">
        <v>17</v>
      </c>
      <c r="D31" s="50">
        <v>3</v>
      </c>
      <c r="E31" s="50">
        <v>6</v>
      </c>
      <c r="F31" s="50">
        <v>23</v>
      </c>
      <c r="G31" s="50">
        <v>0</v>
      </c>
      <c r="H31" s="50">
        <v>0</v>
      </c>
      <c r="I31" s="50">
        <v>7</v>
      </c>
      <c r="J31" s="50">
        <v>3</v>
      </c>
      <c r="K31" s="50">
        <v>8</v>
      </c>
      <c r="L31" s="50">
        <v>2</v>
      </c>
      <c r="M31" s="50">
        <v>30</v>
      </c>
      <c r="N31" s="50">
        <v>0</v>
      </c>
      <c r="O31" s="15">
        <f t="shared" si="0"/>
        <v>69</v>
      </c>
      <c r="P31" s="15">
        <f t="shared" si="1"/>
        <v>99</v>
      </c>
    </row>
    <row r="32" spans="2:32" ht="23.1" customHeight="1" x14ac:dyDescent="0.25">
      <c r="B32" s="24" t="s">
        <v>59</v>
      </c>
      <c r="C32" s="50">
        <v>12</v>
      </c>
      <c r="D32" s="50">
        <v>5</v>
      </c>
      <c r="E32" s="50">
        <v>1</v>
      </c>
      <c r="F32" s="50">
        <v>17</v>
      </c>
      <c r="G32" s="50">
        <v>0</v>
      </c>
      <c r="H32" s="50">
        <v>0</v>
      </c>
      <c r="I32" s="50">
        <v>4</v>
      </c>
      <c r="J32" s="50">
        <v>2</v>
      </c>
      <c r="K32" s="50">
        <v>4</v>
      </c>
      <c r="L32" s="50">
        <v>3</v>
      </c>
      <c r="M32" s="50">
        <v>13</v>
      </c>
      <c r="N32" s="50">
        <v>0</v>
      </c>
      <c r="O32" s="15">
        <f t="shared" si="0"/>
        <v>48</v>
      </c>
      <c r="P32" s="15">
        <f t="shared" si="1"/>
        <v>61</v>
      </c>
    </row>
    <row r="33" spans="2:20" ht="23.1" customHeight="1" x14ac:dyDescent="0.25">
      <c r="B33" s="23" t="s">
        <v>60</v>
      </c>
      <c r="C33" s="50">
        <v>13</v>
      </c>
      <c r="D33" s="50">
        <v>4</v>
      </c>
      <c r="E33" s="50">
        <v>3</v>
      </c>
      <c r="F33" s="50">
        <v>20</v>
      </c>
      <c r="G33" s="50">
        <v>0</v>
      </c>
      <c r="H33" s="50">
        <v>0</v>
      </c>
      <c r="I33" s="50">
        <v>1</v>
      </c>
      <c r="J33" s="50">
        <v>4</v>
      </c>
      <c r="K33" s="50">
        <v>4</v>
      </c>
      <c r="L33" s="50">
        <v>6</v>
      </c>
      <c r="M33" s="50">
        <v>35</v>
      </c>
      <c r="N33" s="50">
        <v>0</v>
      </c>
      <c r="O33" s="15">
        <f t="shared" si="0"/>
        <v>55</v>
      </c>
      <c r="P33" s="15">
        <f t="shared" si="1"/>
        <v>90</v>
      </c>
    </row>
    <row r="34" spans="2:20" ht="23.1" customHeight="1" x14ac:dyDescent="0.25">
      <c r="B34" s="24" t="s">
        <v>61</v>
      </c>
      <c r="C34" s="50">
        <v>11</v>
      </c>
      <c r="D34" s="50">
        <v>4</v>
      </c>
      <c r="E34" s="50">
        <v>1</v>
      </c>
      <c r="F34" s="50">
        <v>21</v>
      </c>
      <c r="G34" s="50">
        <v>0</v>
      </c>
      <c r="H34" s="50">
        <v>0</v>
      </c>
      <c r="I34" s="50">
        <v>9</v>
      </c>
      <c r="J34" s="50">
        <v>5</v>
      </c>
      <c r="K34" s="50">
        <v>2</v>
      </c>
      <c r="L34" s="50">
        <v>5</v>
      </c>
      <c r="M34" s="50">
        <v>33</v>
      </c>
      <c r="N34" s="50">
        <v>0</v>
      </c>
      <c r="O34" s="15">
        <f t="shared" si="0"/>
        <v>58</v>
      </c>
      <c r="P34" s="15">
        <f t="shared" si="1"/>
        <v>91</v>
      </c>
    </row>
    <row r="35" spans="2:20" ht="23.1" customHeight="1" x14ac:dyDescent="0.25">
      <c r="B35" s="24" t="s">
        <v>62</v>
      </c>
      <c r="C35" s="50">
        <v>15</v>
      </c>
      <c r="D35" s="50">
        <v>1</v>
      </c>
      <c r="E35" s="50">
        <v>2</v>
      </c>
      <c r="F35" s="50">
        <v>15</v>
      </c>
      <c r="G35" s="50">
        <v>0</v>
      </c>
      <c r="H35" s="50">
        <v>0</v>
      </c>
      <c r="I35" s="50">
        <v>4</v>
      </c>
      <c r="J35" s="50">
        <v>7</v>
      </c>
      <c r="K35" s="50">
        <v>4</v>
      </c>
      <c r="L35" s="50">
        <v>2</v>
      </c>
      <c r="M35" s="50">
        <v>41</v>
      </c>
      <c r="N35" s="50">
        <v>0</v>
      </c>
      <c r="O35" s="15">
        <f t="shared" si="0"/>
        <v>50</v>
      </c>
      <c r="P35" s="15">
        <f t="shared" si="1"/>
        <v>91</v>
      </c>
    </row>
    <row r="36" spans="2:20" ht="23.1" customHeight="1" x14ac:dyDescent="0.25">
      <c r="B36" s="24" t="s">
        <v>63</v>
      </c>
      <c r="C36" s="50">
        <v>12</v>
      </c>
      <c r="D36" s="50">
        <v>6</v>
      </c>
      <c r="E36" s="50">
        <v>2</v>
      </c>
      <c r="F36" s="50">
        <v>25</v>
      </c>
      <c r="G36" s="50">
        <v>0</v>
      </c>
      <c r="H36" s="50">
        <v>0</v>
      </c>
      <c r="I36" s="50">
        <v>11</v>
      </c>
      <c r="J36" s="50">
        <v>3</v>
      </c>
      <c r="K36" s="50">
        <v>11</v>
      </c>
      <c r="L36" s="50">
        <v>8</v>
      </c>
      <c r="M36" s="50">
        <v>38</v>
      </c>
      <c r="N36" s="50">
        <v>0</v>
      </c>
      <c r="O36" s="15">
        <f t="shared" si="0"/>
        <v>78</v>
      </c>
      <c r="P36" s="15">
        <f t="shared" si="1"/>
        <v>116</v>
      </c>
    </row>
    <row r="37" spans="2:20" ht="23.1" customHeight="1" x14ac:dyDescent="0.25">
      <c r="B37" s="23" t="s">
        <v>64</v>
      </c>
      <c r="C37" s="50">
        <v>11</v>
      </c>
      <c r="D37" s="50">
        <v>3</v>
      </c>
      <c r="E37" s="50">
        <v>3</v>
      </c>
      <c r="F37" s="50">
        <v>15</v>
      </c>
      <c r="G37" s="50">
        <v>1</v>
      </c>
      <c r="H37" s="50">
        <v>0</v>
      </c>
      <c r="I37" s="50">
        <v>10</v>
      </c>
      <c r="J37" s="50">
        <v>7</v>
      </c>
      <c r="K37" s="50">
        <v>5</v>
      </c>
      <c r="L37" s="50">
        <v>4</v>
      </c>
      <c r="M37" s="50">
        <v>38</v>
      </c>
      <c r="N37" s="50">
        <v>0</v>
      </c>
      <c r="O37" s="15">
        <f t="shared" si="0"/>
        <v>59</v>
      </c>
      <c r="P37" s="15">
        <f t="shared" si="1"/>
        <v>97</v>
      </c>
    </row>
    <row r="38" spans="2:20" ht="23.1" customHeight="1" x14ac:dyDescent="0.25">
      <c r="B38" s="24" t="s">
        <v>65</v>
      </c>
      <c r="C38" s="50">
        <v>17</v>
      </c>
      <c r="D38" s="50">
        <v>5</v>
      </c>
      <c r="E38" s="50">
        <v>3</v>
      </c>
      <c r="F38" s="50">
        <v>26</v>
      </c>
      <c r="G38" s="50">
        <v>0</v>
      </c>
      <c r="H38" s="50">
        <v>0</v>
      </c>
      <c r="I38" s="50">
        <v>11</v>
      </c>
      <c r="J38" s="50">
        <v>6</v>
      </c>
      <c r="K38" s="50">
        <v>13</v>
      </c>
      <c r="L38" s="50">
        <v>7</v>
      </c>
      <c r="M38" s="50">
        <v>31</v>
      </c>
      <c r="N38" s="50">
        <v>0</v>
      </c>
      <c r="O38" s="15">
        <f t="shared" si="0"/>
        <v>88</v>
      </c>
      <c r="P38" s="15">
        <f t="shared" si="1"/>
        <v>119</v>
      </c>
    </row>
    <row r="39" spans="2:20" ht="23.1" customHeight="1" x14ac:dyDescent="0.25">
      <c r="B39" s="24" t="s">
        <v>66</v>
      </c>
      <c r="C39" s="50">
        <v>12</v>
      </c>
      <c r="D39" s="50">
        <v>3</v>
      </c>
      <c r="E39" s="50">
        <v>1</v>
      </c>
      <c r="F39" s="50">
        <v>13</v>
      </c>
      <c r="G39" s="50">
        <v>1</v>
      </c>
      <c r="H39" s="50">
        <v>0</v>
      </c>
      <c r="I39" s="50">
        <v>8</v>
      </c>
      <c r="J39" s="50">
        <v>4</v>
      </c>
      <c r="K39" s="50">
        <v>7</v>
      </c>
      <c r="L39" s="50">
        <v>6</v>
      </c>
      <c r="M39" s="50">
        <v>46</v>
      </c>
      <c r="N39" s="50">
        <v>0</v>
      </c>
      <c r="O39" s="15">
        <f t="shared" si="0"/>
        <v>55</v>
      </c>
      <c r="P39" s="15">
        <f t="shared" si="1"/>
        <v>101</v>
      </c>
    </row>
    <row r="40" spans="2:20" ht="23.1" customHeight="1" x14ac:dyDescent="0.25">
      <c r="B40" s="24" t="s">
        <v>67</v>
      </c>
      <c r="C40" s="50">
        <v>15</v>
      </c>
      <c r="D40" s="50">
        <v>8</v>
      </c>
      <c r="E40" s="50">
        <v>6</v>
      </c>
      <c r="F40" s="50">
        <v>15</v>
      </c>
      <c r="G40" s="50">
        <v>0</v>
      </c>
      <c r="H40" s="50">
        <v>0</v>
      </c>
      <c r="I40" s="50">
        <v>8</v>
      </c>
      <c r="J40" s="50">
        <v>3</v>
      </c>
      <c r="K40" s="50">
        <v>5</v>
      </c>
      <c r="L40" s="50">
        <v>5</v>
      </c>
      <c r="M40" s="50">
        <v>35</v>
      </c>
      <c r="N40" s="50">
        <v>0</v>
      </c>
      <c r="O40" s="15">
        <f t="shared" si="0"/>
        <v>65</v>
      </c>
      <c r="P40" s="15">
        <f t="shared" si="1"/>
        <v>100</v>
      </c>
    </row>
    <row r="41" spans="2:20" ht="23.1" customHeight="1" x14ac:dyDescent="0.25">
      <c r="B41" s="23" t="s">
        <v>68</v>
      </c>
      <c r="C41" s="50">
        <v>10</v>
      </c>
      <c r="D41" s="50">
        <v>7</v>
      </c>
      <c r="E41" s="50">
        <v>1</v>
      </c>
      <c r="F41" s="50">
        <v>17</v>
      </c>
      <c r="G41" s="50">
        <v>0</v>
      </c>
      <c r="H41" s="50">
        <v>0</v>
      </c>
      <c r="I41" s="50">
        <v>12</v>
      </c>
      <c r="J41" s="50">
        <v>6</v>
      </c>
      <c r="K41" s="50">
        <v>6</v>
      </c>
      <c r="L41" s="50">
        <v>2</v>
      </c>
      <c r="M41" s="50">
        <v>29</v>
      </c>
      <c r="N41" s="50">
        <v>0</v>
      </c>
      <c r="O41" s="15">
        <f t="shared" si="0"/>
        <v>61</v>
      </c>
      <c r="P41" s="15">
        <f t="shared" si="1"/>
        <v>90</v>
      </c>
    </row>
    <row r="42" spans="2:20" ht="23.1" customHeight="1" x14ac:dyDescent="0.25">
      <c r="B42" s="24" t="s">
        <v>69</v>
      </c>
      <c r="C42" s="50">
        <v>14</v>
      </c>
      <c r="D42" s="50">
        <v>3</v>
      </c>
      <c r="E42" s="50">
        <v>5</v>
      </c>
      <c r="F42" s="50">
        <v>17</v>
      </c>
      <c r="G42" s="50">
        <v>0</v>
      </c>
      <c r="H42" s="50">
        <v>0</v>
      </c>
      <c r="I42" s="50">
        <v>5</v>
      </c>
      <c r="J42" s="50">
        <v>2</v>
      </c>
      <c r="K42" s="50">
        <v>4</v>
      </c>
      <c r="L42" s="50">
        <v>6</v>
      </c>
      <c r="M42" s="50">
        <v>30</v>
      </c>
      <c r="N42" s="50">
        <v>0</v>
      </c>
      <c r="O42" s="15">
        <f t="shared" si="0"/>
        <v>56</v>
      </c>
      <c r="P42" s="15">
        <f t="shared" si="1"/>
        <v>86</v>
      </c>
    </row>
    <row r="43" spans="2:20" ht="23.1" customHeight="1" x14ac:dyDescent="0.25">
      <c r="B43" s="23" t="s">
        <v>70</v>
      </c>
      <c r="C43" s="50">
        <v>11</v>
      </c>
      <c r="D43" s="50">
        <v>6</v>
      </c>
      <c r="E43" s="50">
        <v>5</v>
      </c>
      <c r="F43" s="50">
        <v>13</v>
      </c>
      <c r="G43" s="50">
        <v>0</v>
      </c>
      <c r="H43" s="50">
        <v>0</v>
      </c>
      <c r="I43" s="50">
        <v>8</v>
      </c>
      <c r="J43" s="50">
        <v>3</v>
      </c>
      <c r="K43" s="50">
        <v>10</v>
      </c>
      <c r="L43" s="50">
        <v>2</v>
      </c>
      <c r="M43" s="50">
        <v>32</v>
      </c>
      <c r="N43" s="50">
        <v>0</v>
      </c>
      <c r="O43" s="15">
        <f t="shared" si="0"/>
        <v>58</v>
      </c>
      <c r="P43" s="15">
        <f t="shared" si="1"/>
        <v>90</v>
      </c>
    </row>
    <row r="44" spans="2:20" ht="23.1" customHeight="1" x14ac:dyDescent="0.25">
      <c r="B44" s="25" t="s">
        <v>71</v>
      </c>
      <c r="C44" s="50">
        <v>21</v>
      </c>
      <c r="D44" s="50">
        <v>8</v>
      </c>
      <c r="E44" s="50">
        <v>5</v>
      </c>
      <c r="F44" s="50">
        <v>17</v>
      </c>
      <c r="G44" s="50">
        <v>1</v>
      </c>
      <c r="H44" s="50">
        <v>0</v>
      </c>
      <c r="I44" s="50">
        <v>4</v>
      </c>
      <c r="J44" s="50">
        <v>3</v>
      </c>
      <c r="K44" s="50">
        <v>10</v>
      </c>
      <c r="L44" s="50">
        <v>3</v>
      </c>
      <c r="M44" s="50">
        <v>23</v>
      </c>
      <c r="N44" s="50">
        <v>0</v>
      </c>
      <c r="O44" s="15">
        <f t="shared" si="0"/>
        <v>72</v>
      </c>
      <c r="P44" s="15">
        <f t="shared" si="1"/>
        <v>95</v>
      </c>
    </row>
    <row r="45" spans="2:20" ht="23.1" customHeight="1" x14ac:dyDescent="0.25">
      <c r="B45" s="23" t="s">
        <v>72</v>
      </c>
      <c r="C45" s="50">
        <v>8</v>
      </c>
      <c r="D45" s="50">
        <v>5</v>
      </c>
      <c r="E45" s="50">
        <v>2</v>
      </c>
      <c r="F45" s="50">
        <v>17</v>
      </c>
      <c r="G45" s="50">
        <v>0</v>
      </c>
      <c r="H45" s="50">
        <v>0</v>
      </c>
      <c r="I45" s="50">
        <v>5</v>
      </c>
      <c r="J45" s="50">
        <v>3</v>
      </c>
      <c r="K45" s="50">
        <v>7</v>
      </c>
      <c r="L45" s="50">
        <v>4</v>
      </c>
      <c r="M45" s="50">
        <v>29</v>
      </c>
      <c r="N45" s="50">
        <v>0</v>
      </c>
      <c r="O45" s="15">
        <f t="shared" si="0"/>
        <v>51</v>
      </c>
      <c r="P45" s="15">
        <f t="shared" si="1"/>
        <v>80</v>
      </c>
    </row>
    <row r="46" spans="2:20" ht="23.1" customHeight="1" x14ac:dyDescent="0.25">
      <c r="B46" s="24" t="s">
        <v>73</v>
      </c>
      <c r="C46" s="50">
        <v>24</v>
      </c>
      <c r="D46" s="50">
        <v>2</v>
      </c>
      <c r="E46" s="50">
        <v>6</v>
      </c>
      <c r="F46" s="50">
        <v>23</v>
      </c>
      <c r="G46" s="50">
        <v>0</v>
      </c>
      <c r="H46" s="50">
        <v>0</v>
      </c>
      <c r="I46" s="50">
        <v>3</v>
      </c>
      <c r="J46" s="50">
        <v>12</v>
      </c>
      <c r="K46" s="50">
        <v>5</v>
      </c>
      <c r="L46" s="50">
        <v>9</v>
      </c>
      <c r="M46" s="50">
        <v>32</v>
      </c>
      <c r="N46" s="50">
        <v>0</v>
      </c>
      <c r="O46" s="15">
        <f t="shared" si="0"/>
        <v>84</v>
      </c>
      <c r="P46" s="15">
        <f t="shared" si="1"/>
        <v>116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4</v>
      </c>
      <c r="E47" s="50">
        <v>4</v>
      </c>
      <c r="F47" s="50">
        <v>17</v>
      </c>
      <c r="G47" s="50">
        <v>0</v>
      </c>
      <c r="H47" s="50">
        <v>0</v>
      </c>
      <c r="I47" s="50">
        <v>1</v>
      </c>
      <c r="J47" s="50">
        <v>5</v>
      </c>
      <c r="K47" s="50">
        <v>7</v>
      </c>
      <c r="L47" s="50">
        <v>6</v>
      </c>
      <c r="M47" s="50">
        <v>20</v>
      </c>
      <c r="N47" s="50">
        <v>0</v>
      </c>
      <c r="O47" s="15">
        <f t="shared" si="0"/>
        <v>54</v>
      </c>
      <c r="P47" s="15">
        <f t="shared" si="1"/>
        <v>74</v>
      </c>
      <c r="R47" s="8"/>
      <c r="T47"/>
    </row>
    <row r="48" spans="2:20" ht="23.1" customHeight="1" x14ac:dyDescent="0.25">
      <c r="B48" s="24" t="s">
        <v>75</v>
      </c>
      <c r="C48" s="50">
        <v>17</v>
      </c>
      <c r="D48" s="50">
        <v>1</v>
      </c>
      <c r="E48" s="50">
        <v>6</v>
      </c>
      <c r="F48" s="50">
        <v>16</v>
      </c>
      <c r="G48" s="50">
        <v>0</v>
      </c>
      <c r="H48" s="50">
        <v>0</v>
      </c>
      <c r="I48" s="50">
        <v>7</v>
      </c>
      <c r="J48" s="50">
        <v>6</v>
      </c>
      <c r="K48" s="50">
        <v>11</v>
      </c>
      <c r="L48" s="50">
        <v>5</v>
      </c>
      <c r="M48" s="50">
        <v>34</v>
      </c>
      <c r="N48" s="50">
        <v>0</v>
      </c>
      <c r="O48" s="15">
        <f t="shared" si="0"/>
        <v>69</v>
      </c>
      <c r="P48" s="15">
        <f t="shared" si="1"/>
        <v>103</v>
      </c>
      <c r="R48" s="8"/>
      <c r="T48"/>
    </row>
    <row r="49" spans="2:20" ht="23.1" customHeight="1" x14ac:dyDescent="0.25">
      <c r="B49" s="23" t="s">
        <v>76</v>
      </c>
      <c r="C49" s="50">
        <v>23</v>
      </c>
      <c r="D49" s="50">
        <v>10</v>
      </c>
      <c r="E49" s="50">
        <v>3</v>
      </c>
      <c r="F49" s="50">
        <v>38</v>
      </c>
      <c r="G49" s="50">
        <v>0</v>
      </c>
      <c r="H49" s="50">
        <v>0</v>
      </c>
      <c r="I49" s="50">
        <v>10</v>
      </c>
      <c r="J49" s="50">
        <v>5</v>
      </c>
      <c r="K49" s="50">
        <v>13</v>
      </c>
      <c r="L49" s="50">
        <v>3</v>
      </c>
      <c r="M49" s="50">
        <v>56</v>
      </c>
      <c r="N49" s="50">
        <v>0</v>
      </c>
      <c r="O49" s="15">
        <f t="shared" si="0"/>
        <v>105</v>
      </c>
      <c r="P49" s="15">
        <f t="shared" si="1"/>
        <v>161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6</v>
      </c>
      <c r="E50" s="50">
        <v>5</v>
      </c>
      <c r="F50" s="50">
        <v>26</v>
      </c>
      <c r="G50" s="50">
        <v>1</v>
      </c>
      <c r="H50" s="50">
        <v>0</v>
      </c>
      <c r="I50" s="50">
        <v>6</v>
      </c>
      <c r="J50" s="50">
        <v>3</v>
      </c>
      <c r="K50" s="50">
        <v>7</v>
      </c>
      <c r="L50" s="50">
        <v>2</v>
      </c>
      <c r="M50" s="50">
        <v>36</v>
      </c>
      <c r="N50" s="50">
        <v>0</v>
      </c>
      <c r="O50" s="15">
        <f t="shared" si="0"/>
        <v>76</v>
      </c>
      <c r="P50" s="15">
        <f t="shared" si="1"/>
        <v>112</v>
      </c>
      <c r="R50" s="8"/>
      <c r="T50"/>
    </row>
    <row r="51" spans="2:20" ht="23.1" customHeight="1" x14ac:dyDescent="0.25">
      <c r="B51" s="24" t="s">
        <v>78</v>
      </c>
      <c r="C51" s="50">
        <v>43</v>
      </c>
      <c r="D51" s="50">
        <v>17</v>
      </c>
      <c r="E51" s="50">
        <v>4</v>
      </c>
      <c r="F51" s="50">
        <v>33</v>
      </c>
      <c r="G51" s="50">
        <v>1</v>
      </c>
      <c r="H51" s="50">
        <v>0</v>
      </c>
      <c r="I51" s="50">
        <v>6</v>
      </c>
      <c r="J51" s="50">
        <v>4</v>
      </c>
      <c r="K51" s="50">
        <v>8</v>
      </c>
      <c r="L51" s="50">
        <v>3</v>
      </c>
      <c r="M51" s="50">
        <v>56</v>
      </c>
      <c r="N51" s="50">
        <v>0</v>
      </c>
      <c r="O51" s="15">
        <f t="shared" si="0"/>
        <v>119</v>
      </c>
      <c r="P51" s="15">
        <f t="shared" si="1"/>
        <v>175</v>
      </c>
      <c r="R51" s="8"/>
      <c r="T51"/>
    </row>
    <row r="52" spans="2:20" ht="23.1" customHeight="1" x14ac:dyDescent="0.25">
      <c r="B52" s="24" t="s">
        <v>79</v>
      </c>
      <c r="C52" s="50">
        <v>36</v>
      </c>
      <c r="D52" s="50">
        <v>21</v>
      </c>
      <c r="E52" s="50">
        <v>5</v>
      </c>
      <c r="F52" s="50">
        <v>25</v>
      </c>
      <c r="G52" s="50">
        <v>1</v>
      </c>
      <c r="H52" s="50">
        <v>0</v>
      </c>
      <c r="I52" s="50">
        <v>6</v>
      </c>
      <c r="J52" s="50">
        <v>0</v>
      </c>
      <c r="K52" s="50">
        <v>20</v>
      </c>
      <c r="L52" s="50">
        <v>6</v>
      </c>
      <c r="M52" s="50">
        <v>55</v>
      </c>
      <c r="N52" s="50">
        <v>0</v>
      </c>
      <c r="O52" s="15">
        <f t="shared" si="0"/>
        <v>120</v>
      </c>
      <c r="P52" s="15">
        <f t="shared" si="1"/>
        <v>175</v>
      </c>
      <c r="R52" s="8"/>
      <c r="T52"/>
    </row>
    <row r="53" spans="2:20" ht="23.1" customHeight="1" x14ac:dyDescent="0.25">
      <c r="B53" s="23" t="s">
        <v>80</v>
      </c>
      <c r="C53" s="50">
        <v>33</v>
      </c>
      <c r="D53" s="50">
        <v>12</v>
      </c>
      <c r="E53" s="50">
        <v>9</v>
      </c>
      <c r="F53" s="50">
        <v>21</v>
      </c>
      <c r="G53" s="50">
        <v>1</v>
      </c>
      <c r="H53" s="50">
        <v>0</v>
      </c>
      <c r="I53" s="50">
        <v>5</v>
      </c>
      <c r="J53" s="50">
        <v>2</v>
      </c>
      <c r="K53" s="50">
        <v>12</v>
      </c>
      <c r="L53" s="50">
        <v>4</v>
      </c>
      <c r="M53" s="50">
        <v>42</v>
      </c>
      <c r="N53" s="50">
        <v>0</v>
      </c>
      <c r="O53" s="15">
        <f t="shared" si="0"/>
        <v>99</v>
      </c>
      <c r="P53" s="15">
        <f t="shared" si="1"/>
        <v>141</v>
      </c>
      <c r="R53" s="8"/>
      <c r="T53"/>
    </row>
    <row r="54" spans="2:20" ht="23.1" customHeight="1" x14ac:dyDescent="0.25">
      <c r="B54" s="23" t="s">
        <v>81</v>
      </c>
      <c r="C54" s="50">
        <v>52</v>
      </c>
      <c r="D54" s="50">
        <v>26</v>
      </c>
      <c r="E54" s="50">
        <v>15</v>
      </c>
      <c r="F54" s="50">
        <v>49</v>
      </c>
      <c r="G54" s="50">
        <v>0</v>
      </c>
      <c r="H54" s="50">
        <v>0</v>
      </c>
      <c r="I54" s="50">
        <v>10</v>
      </c>
      <c r="J54" s="50">
        <v>4</v>
      </c>
      <c r="K54" s="50">
        <v>6</v>
      </c>
      <c r="L54" s="50">
        <v>0</v>
      </c>
      <c r="M54" s="50">
        <v>59</v>
      </c>
      <c r="N54" s="50">
        <v>0</v>
      </c>
      <c r="O54" s="15">
        <f t="shared" si="0"/>
        <v>162</v>
      </c>
      <c r="P54" s="15">
        <f t="shared" si="1"/>
        <v>221</v>
      </c>
      <c r="R54" s="8"/>
      <c r="T54"/>
    </row>
    <row r="55" spans="2:20" ht="23.1" customHeight="1" x14ac:dyDescent="0.25">
      <c r="B55" s="23" t="s">
        <v>82</v>
      </c>
      <c r="C55" s="50">
        <v>39</v>
      </c>
      <c r="D55" s="50">
        <v>21</v>
      </c>
      <c r="E55" s="50">
        <v>7</v>
      </c>
      <c r="F55" s="50">
        <v>32</v>
      </c>
      <c r="G55" s="50">
        <v>1</v>
      </c>
      <c r="H55" s="50">
        <v>0</v>
      </c>
      <c r="I55" s="50">
        <v>9</v>
      </c>
      <c r="J55" s="50">
        <v>5</v>
      </c>
      <c r="K55" s="50">
        <v>9</v>
      </c>
      <c r="L55" s="50">
        <v>4</v>
      </c>
      <c r="M55" s="50">
        <v>39</v>
      </c>
      <c r="N55" s="50">
        <v>0</v>
      </c>
      <c r="O55" s="15">
        <f t="shared" si="0"/>
        <v>127</v>
      </c>
      <c r="P55" s="15">
        <f t="shared" si="1"/>
        <v>166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31</v>
      </c>
      <c r="E56" s="50">
        <v>13</v>
      </c>
      <c r="F56" s="50">
        <v>44</v>
      </c>
      <c r="G56" s="50">
        <v>2</v>
      </c>
      <c r="H56" s="50">
        <v>0</v>
      </c>
      <c r="I56" s="50">
        <v>5</v>
      </c>
      <c r="J56" s="50">
        <v>8</v>
      </c>
      <c r="K56" s="50">
        <v>7</v>
      </c>
      <c r="L56" s="50">
        <v>2</v>
      </c>
      <c r="M56" s="50">
        <v>44</v>
      </c>
      <c r="N56" s="50">
        <v>0</v>
      </c>
      <c r="O56" s="15">
        <f t="shared" si="0"/>
        <v>163</v>
      </c>
      <c r="P56" s="15">
        <f t="shared" si="1"/>
        <v>207</v>
      </c>
      <c r="R56" s="8"/>
      <c r="T56"/>
    </row>
    <row r="57" spans="2:20" ht="23.1" customHeight="1" x14ac:dyDescent="0.25">
      <c r="B57" s="23" t="s">
        <v>84</v>
      </c>
      <c r="C57" s="50">
        <v>59</v>
      </c>
      <c r="D57" s="50">
        <v>28</v>
      </c>
      <c r="E57" s="50">
        <v>9</v>
      </c>
      <c r="F57" s="50">
        <v>42</v>
      </c>
      <c r="G57" s="50">
        <v>0</v>
      </c>
      <c r="H57" s="50">
        <v>0</v>
      </c>
      <c r="I57" s="50">
        <v>1</v>
      </c>
      <c r="J57" s="50">
        <v>2</v>
      </c>
      <c r="K57" s="50">
        <v>1</v>
      </c>
      <c r="L57" s="50">
        <v>0</v>
      </c>
      <c r="M57" s="50">
        <v>47</v>
      </c>
      <c r="N57" s="50">
        <v>0</v>
      </c>
      <c r="O57" s="15">
        <f t="shared" si="0"/>
        <v>142</v>
      </c>
      <c r="P57" s="15">
        <f t="shared" si="1"/>
        <v>189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1018</v>
      </c>
      <c r="D58" s="16">
        <f t="shared" si="21"/>
        <v>408</v>
      </c>
      <c r="E58" s="16">
        <f t="shared" si="21"/>
        <v>227</v>
      </c>
      <c r="F58" s="16">
        <f t="shared" si="21"/>
        <v>1241</v>
      </c>
      <c r="G58" s="16">
        <f t="shared" si="21"/>
        <v>29</v>
      </c>
      <c r="H58" s="16">
        <f t="shared" si="21"/>
        <v>1</v>
      </c>
      <c r="I58" s="16">
        <f t="shared" si="21"/>
        <v>302</v>
      </c>
      <c r="J58" s="16">
        <f t="shared" si="21"/>
        <v>197</v>
      </c>
      <c r="K58" s="16">
        <f t="shared" si="21"/>
        <v>308</v>
      </c>
      <c r="L58" s="16">
        <f t="shared" si="21"/>
        <v>173</v>
      </c>
      <c r="M58" s="16">
        <f t="shared" si="21"/>
        <v>1702</v>
      </c>
      <c r="N58" s="16">
        <f t="shared" si="21"/>
        <v>0</v>
      </c>
      <c r="O58" s="16">
        <f t="shared" si="21"/>
        <v>3904</v>
      </c>
      <c r="P58" s="16">
        <f t="shared" si="21"/>
        <v>5606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0.18159115233678202</v>
      </c>
      <c r="D59" s="43">
        <f t="shared" si="22"/>
        <v>7.2779165180164113E-2</v>
      </c>
      <c r="E59" s="43">
        <f t="shared" si="22"/>
        <v>4.049232964680699E-2</v>
      </c>
      <c r="F59" s="43">
        <f t="shared" si="22"/>
        <v>0.2213699607563325</v>
      </c>
      <c r="G59" s="43">
        <f t="shared" si="22"/>
        <v>5.1730288976097041E-3</v>
      </c>
      <c r="H59" s="43">
        <f t="shared" si="22"/>
        <v>1.7838030681412772E-4</v>
      </c>
      <c r="I59" s="43">
        <f t="shared" si="22"/>
        <v>5.3870852657866571E-2</v>
      </c>
      <c r="J59" s="43">
        <f t="shared" si="22"/>
        <v>3.5140920442383164E-2</v>
      </c>
      <c r="K59" s="43">
        <f t="shared" si="22"/>
        <v>5.4941134498751334E-2</v>
      </c>
      <c r="L59" s="43">
        <f t="shared" si="22"/>
        <v>3.0859793078844094E-2</v>
      </c>
      <c r="M59" s="43">
        <f t="shared" si="22"/>
        <v>0.30360328219764537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0.26075819672131145</v>
      </c>
      <c r="D60" s="44">
        <f t="shared" ref="D60:N60" si="23">D58/$O$58</f>
        <v>0.10450819672131148</v>
      </c>
      <c r="E60" s="44">
        <f t="shared" si="23"/>
        <v>5.8145491803278687E-2</v>
      </c>
      <c r="F60" s="44">
        <f t="shared" si="23"/>
        <v>0.31787909836065575</v>
      </c>
      <c r="G60" s="44">
        <f t="shared" si="23"/>
        <v>7.4282786885245897E-3</v>
      </c>
      <c r="H60" s="44">
        <f t="shared" si="23"/>
        <v>2.5614754098360657E-4</v>
      </c>
      <c r="I60" s="44">
        <f t="shared" si="23"/>
        <v>7.7356557377049176E-2</v>
      </c>
      <c r="J60" s="44">
        <f t="shared" si="23"/>
        <v>5.0461065573770489E-2</v>
      </c>
      <c r="K60" s="44">
        <f t="shared" si="23"/>
        <v>7.8893442622950824E-2</v>
      </c>
      <c r="L60" s="44">
        <f t="shared" si="23"/>
        <v>4.4313524590163932E-2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Nalya-Bweyogerere'!D5</f>
        <v>30.07.19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24</v>
      </c>
      <c r="D10" s="50">
        <v>22</v>
      </c>
      <c r="E10" s="50">
        <v>8</v>
      </c>
      <c r="F10" s="50">
        <v>15</v>
      </c>
      <c r="G10" s="50">
        <v>1</v>
      </c>
      <c r="H10" s="50">
        <v>1</v>
      </c>
      <c r="I10" s="50">
        <v>2</v>
      </c>
      <c r="J10" s="50">
        <v>4</v>
      </c>
      <c r="K10" s="50">
        <v>2</v>
      </c>
      <c r="L10" s="50">
        <v>0</v>
      </c>
      <c r="M10" s="50">
        <v>20</v>
      </c>
      <c r="N10" s="50">
        <v>0</v>
      </c>
      <c r="O10" s="15">
        <f t="shared" ref="O10:O57" si="0">SUM(C10:L10,N10)</f>
        <v>79</v>
      </c>
      <c r="P10" s="15">
        <f t="shared" ref="P10:P57" si="1">SUM(C10:N10)</f>
        <v>99</v>
      </c>
      <c r="R10" s="1" t="s">
        <v>6</v>
      </c>
      <c r="S10" s="17">
        <f t="shared" ref="S10:AF10" si="2">SUM(C10:C13)</f>
        <v>157</v>
      </c>
      <c r="T10" s="17">
        <f t="shared" si="2"/>
        <v>88</v>
      </c>
      <c r="U10" s="17">
        <f t="shared" si="2"/>
        <v>32</v>
      </c>
      <c r="V10" s="17">
        <f t="shared" si="2"/>
        <v>113</v>
      </c>
      <c r="W10" s="17">
        <f t="shared" si="2"/>
        <v>2</v>
      </c>
      <c r="X10" s="17">
        <f t="shared" si="2"/>
        <v>2</v>
      </c>
      <c r="Y10" s="17">
        <f t="shared" si="2"/>
        <v>7</v>
      </c>
      <c r="Z10" s="17">
        <f t="shared" si="2"/>
        <v>21</v>
      </c>
      <c r="AA10" s="17">
        <f t="shared" si="2"/>
        <v>10</v>
      </c>
      <c r="AB10" s="17">
        <f t="shared" si="2"/>
        <v>8</v>
      </c>
      <c r="AC10" s="17">
        <f t="shared" si="2"/>
        <v>150</v>
      </c>
      <c r="AD10" s="17">
        <f t="shared" si="2"/>
        <v>1</v>
      </c>
      <c r="AE10" s="31">
        <f t="shared" si="2"/>
        <v>441</v>
      </c>
      <c r="AF10" s="31">
        <f t="shared" si="2"/>
        <v>591</v>
      </c>
    </row>
    <row r="11" spans="2:32" s="6" customFormat="1" ht="23.1" customHeight="1" x14ac:dyDescent="0.25">
      <c r="B11" s="23" t="s">
        <v>38</v>
      </c>
      <c r="C11" s="50">
        <v>49</v>
      </c>
      <c r="D11" s="50">
        <v>18</v>
      </c>
      <c r="E11" s="50">
        <v>9</v>
      </c>
      <c r="F11" s="50">
        <v>31</v>
      </c>
      <c r="G11" s="50">
        <v>1</v>
      </c>
      <c r="H11" s="50">
        <v>1</v>
      </c>
      <c r="I11" s="50">
        <v>3</v>
      </c>
      <c r="J11" s="50">
        <v>3</v>
      </c>
      <c r="K11" s="50">
        <v>1</v>
      </c>
      <c r="L11" s="50">
        <v>1</v>
      </c>
      <c r="M11" s="50">
        <v>34</v>
      </c>
      <c r="N11" s="50">
        <v>0</v>
      </c>
      <c r="O11" s="15">
        <f t="shared" si="0"/>
        <v>117</v>
      </c>
      <c r="P11" s="15">
        <f t="shared" si="1"/>
        <v>151</v>
      </c>
      <c r="R11" s="1" t="s">
        <v>7</v>
      </c>
      <c r="S11" s="17">
        <f t="shared" ref="S11:AF11" si="3">SUM(C14:C17)</f>
        <v>142</v>
      </c>
      <c r="T11" s="17">
        <f t="shared" si="3"/>
        <v>49</v>
      </c>
      <c r="U11" s="17">
        <f t="shared" si="3"/>
        <v>31</v>
      </c>
      <c r="V11" s="17">
        <f t="shared" si="3"/>
        <v>113</v>
      </c>
      <c r="W11" s="17">
        <f t="shared" si="3"/>
        <v>4</v>
      </c>
      <c r="X11" s="17">
        <f t="shared" si="3"/>
        <v>0</v>
      </c>
      <c r="Y11" s="17">
        <f t="shared" si="3"/>
        <v>10</v>
      </c>
      <c r="Z11" s="17">
        <f t="shared" si="3"/>
        <v>35</v>
      </c>
      <c r="AA11" s="17">
        <f t="shared" si="3"/>
        <v>21</v>
      </c>
      <c r="AB11" s="17">
        <f t="shared" si="3"/>
        <v>10</v>
      </c>
      <c r="AC11" s="17">
        <f t="shared" si="3"/>
        <v>160</v>
      </c>
      <c r="AD11" s="17">
        <f t="shared" si="3"/>
        <v>0</v>
      </c>
      <c r="AE11" s="31">
        <f t="shared" si="3"/>
        <v>415</v>
      </c>
      <c r="AF11" s="31">
        <f t="shared" si="3"/>
        <v>575</v>
      </c>
    </row>
    <row r="12" spans="2:32" ht="23.1" customHeight="1" x14ac:dyDescent="0.25">
      <c r="B12" s="23" t="s">
        <v>39</v>
      </c>
      <c r="C12" s="50">
        <v>44</v>
      </c>
      <c r="D12" s="50">
        <v>33</v>
      </c>
      <c r="E12" s="50">
        <v>11</v>
      </c>
      <c r="F12" s="50">
        <v>39</v>
      </c>
      <c r="G12" s="50">
        <v>0</v>
      </c>
      <c r="H12" s="50">
        <v>0</v>
      </c>
      <c r="I12" s="50">
        <v>0</v>
      </c>
      <c r="J12" s="50">
        <v>9</v>
      </c>
      <c r="K12" s="50">
        <v>5</v>
      </c>
      <c r="L12" s="50">
        <v>4</v>
      </c>
      <c r="M12" s="50">
        <v>52</v>
      </c>
      <c r="N12" s="50">
        <v>1</v>
      </c>
      <c r="O12" s="15">
        <f t="shared" si="0"/>
        <v>146</v>
      </c>
      <c r="P12" s="15">
        <f t="shared" si="1"/>
        <v>198</v>
      </c>
      <c r="R12" s="1" t="s">
        <v>8</v>
      </c>
      <c r="S12" s="17">
        <f t="shared" ref="S12:AF12" si="4">SUM(C18:C21)</f>
        <v>102</v>
      </c>
      <c r="T12" s="17">
        <f t="shared" si="4"/>
        <v>17</v>
      </c>
      <c r="U12" s="17">
        <f t="shared" si="4"/>
        <v>15</v>
      </c>
      <c r="V12" s="17">
        <f t="shared" si="4"/>
        <v>83</v>
      </c>
      <c r="W12" s="17">
        <f t="shared" si="4"/>
        <v>3</v>
      </c>
      <c r="X12" s="17">
        <f t="shared" si="4"/>
        <v>0</v>
      </c>
      <c r="Y12" s="17">
        <f t="shared" si="4"/>
        <v>16</v>
      </c>
      <c r="Z12" s="17">
        <f t="shared" si="4"/>
        <v>37</v>
      </c>
      <c r="AA12" s="17">
        <f t="shared" si="4"/>
        <v>22</v>
      </c>
      <c r="AB12" s="17">
        <f t="shared" si="4"/>
        <v>32</v>
      </c>
      <c r="AC12" s="17">
        <f t="shared" si="4"/>
        <v>174</v>
      </c>
      <c r="AD12" s="17">
        <f t="shared" si="4"/>
        <v>1</v>
      </c>
      <c r="AE12" s="31">
        <f t="shared" si="4"/>
        <v>328</v>
      </c>
      <c r="AF12" s="31">
        <f t="shared" si="4"/>
        <v>502</v>
      </c>
    </row>
    <row r="13" spans="2:32" ht="23.1" customHeight="1" x14ac:dyDescent="0.25">
      <c r="B13" s="23" t="s">
        <v>40</v>
      </c>
      <c r="C13" s="50">
        <v>40</v>
      </c>
      <c r="D13" s="50">
        <v>15</v>
      </c>
      <c r="E13" s="50">
        <v>4</v>
      </c>
      <c r="F13" s="50">
        <v>28</v>
      </c>
      <c r="G13" s="50">
        <v>0</v>
      </c>
      <c r="H13" s="50">
        <v>0</v>
      </c>
      <c r="I13" s="50">
        <v>2</v>
      </c>
      <c r="J13" s="50">
        <v>5</v>
      </c>
      <c r="K13" s="50">
        <v>2</v>
      </c>
      <c r="L13" s="50">
        <v>3</v>
      </c>
      <c r="M13" s="50">
        <v>44</v>
      </c>
      <c r="N13" s="50">
        <v>0</v>
      </c>
      <c r="O13" s="15">
        <f t="shared" si="0"/>
        <v>99</v>
      </c>
      <c r="P13" s="15">
        <f t="shared" si="1"/>
        <v>143</v>
      </c>
      <c r="R13" s="1" t="s">
        <v>9</v>
      </c>
      <c r="S13" s="17">
        <f t="shared" ref="S13:AF13" si="5">SUM(C22:C25)</f>
        <v>80</v>
      </c>
      <c r="T13" s="17">
        <f t="shared" si="5"/>
        <v>26</v>
      </c>
      <c r="U13" s="17">
        <f t="shared" si="5"/>
        <v>21</v>
      </c>
      <c r="V13" s="17">
        <f t="shared" si="5"/>
        <v>75</v>
      </c>
      <c r="W13" s="17">
        <f t="shared" si="5"/>
        <v>4</v>
      </c>
      <c r="X13" s="17">
        <f t="shared" si="5"/>
        <v>0</v>
      </c>
      <c r="Y13" s="17">
        <f t="shared" si="5"/>
        <v>7</v>
      </c>
      <c r="Z13" s="17">
        <f t="shared" si="5"/>
        <v>35</v>
      </c>
      <c r="AA13" s="17">
        <f t="shared" si="5"/>
        <v>18</v>
      </c>
      <c r="AB13" s="17">
        <f t="shared" si="5"/>
        <v>33</v>
      </c>
      <c r="AC13" s="17">
        <f t="shared" si="5"/>
        <v>164</v>
      </c>
      <c r="AD13" s="17">
        <f t="shared" si="5"/>
        <v>0</v>
      </c>
      <c r="AE13" s="31">
        <f t="shared" si="5"/>
        <v>299</v>
      </c>
      <c r="AF13" s="31">
        <f t="shared" si="5"/>
        <v>463</v>
      </c>
    </row>
    <row r="14" spans="2:32" ht="23.1" customHeight="1" x14ac:dyDescent="0.25">
      <c r="B14" s="23" t="s">
        <v>41</v>
      </c>
      <c r="C14" s="50">
        <v>24</v>
      </c>
      <c r="D14" s="50">
        <v>15</v>
      </c>
      <c r="E14" s="50">
        <v>4</v>
      </c>
      <c r="F14" s="50">
        <v>31</v>
      </c>
      <c r="G14" s="50">
        <v>1</v>
      </c>
      <c r="H14" s="50">
        <v>0</v>
      </c>
      <c r="I14" s="50">
        <v>1</v>
      </c>
      <c r="J14" s="50">
        <v>9</v>
      </c>
      <c r="K14" s="50">
        <v>5</v>
      </c>
      <c r="L14" s="50">
        <v>3</v>
      </c>
      <c r="M14" s="50">
        <v>42</v>
      </c>
      <c r="N14" s="50">
        <v>0</v>
      </c>
      <c r="O14" s="15">
        <f t="shared" si="0"/>
        <v>93</v>
      </c>
      <c r="P14" s="15">
        <f t="shared" si="1"/>
        <v>135</v>
      </c>
      <c r="R14" s="1" t="s">
        <v>10</v>
      </c>
      <c r="S14" s="17">
        <f t="shared" ref="S14:AF14" si="6">SUM(C26:C29)</f>
        <v>78</v>
      </c>
      <c r="T14" s="17">
        <f t="shared" si="6"/>
        <v>23</v>
      </c>
      <c r="U14" s="17">
        <f t="shared" si="6"/>
        <v>9</v>
      </c>
      <c r="V14" s="17">
        <f t="shared" si="6"/>
        <v>63</v>
      </c>
      <c r="W14" s="17">
        <f t="shared" si="6"/>
        <v>2</v>
      </c>
      <c r="X14" s="17">
        <f t="shared" si="6"/>
        <v>0</v>
      </c>
      <c r="Y14" s="17">
        <f t="shared" si="6"/>
        <v>8</v>
      </c>
      <c r="Z14" s="17">
        <f t="shared" si="6"/>
        <v>35</v>
      </c>
      <c r="AA14" s="17">
        <f t="shared" si="6"/>
        <v>19</v>
      </c>
      <c r="AB14" s="17">
        <f t="shared" si="6"/>
        <v>28</v>
      </c>
      <c r="AC14" s="17">
        <f t="shared" si="6"/>
        <v>141</v>
      </c>
      <c r="AD14" s="17">
        <f t="shared" si="6"/>
        <v>0</v>
      </c>
      <c r="AE14" s="31">
        <f t="shared" si="6"/>
        <v>265</v>
      </c>
      <c r="AF14" s="31">
        <f t="shared" si="6"/>
        <v>406</v>
      </c>
    </row>
    <row r="15" spans="2:32" ht="23.1" customHeight="1" x14ac:dyDescent="0.25">
      <c r="B15" s="23" t="s">
        <v>42</v>
      </c>
      <c r="C15" s="50">
        <v>53</v>
      </c>
      <c r="D15" s="50">
        <v>15</v>
      </c>
      <c r="E15" s="50">
        <v>12</v>
      </c>
      <c r="F15" s="50">
        <v>32</v>
      </c>
      <c r="G15" s="50">
        <v>0</v>
      </c>
      <c r="H15" s="50">
        <v>0</v>
      </c>
      <c r="I15" s="50">
        <v>5</v>
      </c>
      <c r="J15" s="50">
        <v>11</v>
      </c>
      <c r="K15" s="50">
        <v>3</v>
      </c>
      <c r="L15" s="50">
        <v>3</v>
      </c>
      <c r="M15" s="50">
        <v>33</v>
      </c>
      <c r="N15" s="50">
        <v>0</v>
      </c>
      <c r="O15" s="15">
        <f t="shared" si="0"/>
        <v>134</v>
      </c>
      <c r="P15" s="15">
        <f t="shared" si="1"/>
        <v>167</v>
      </c>
      <c r="R15" s="1" t="s">
        <v>11</v>
      </c>
      <c r="S15" s="17">
        <f t="shared" ref="S15:AF15" si="7">SUM(C30:C33)</f>
        <v>69</v>
      </c>
      <c r="T15" s="17">
        <f t="shared" si="7"/>
        <v>24</v>
      </c>
      <c r="U15" s="17">
        <f t="shared" si="7"/>
        <v>20</v>
      </c>
      <c r="V15" s="17">
        <f t="shared" si="7"/>
        <v>74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41</v>
      </c>
      <c r="AA15" s="17">
        <f t="shared" si="7"/>
        <v>12</v>
      </c>
      <c r="AB15" s="17">
        <f t="shared" si="7"/>
        <v>20</v>
      </c>
      <c r="AC15" s="17">
        <f t="shared" si="7"/>
        <v>127</v>
      </c>
      <c r="AD15" s="17">
        <f t="shared" si="7"/>
        <v>0</v>
      </c>
      <c r="AE15" s="31">
        <f t="shared" si="7"/>
        <v>266</v>
      </c>
      <c r="AF15" s="31">
        <f t="shared" si="7"/>
        <v>393</v>
      </c>
    </row>
    <row r="16" spans="2:32" ht="23.1" customHeight="1" x14ac:dyDescent="0.25">
      <c r="B16" s="23" t="s">
        <v>43</v>
      </c>
      <c r="C16" s="50">
        <v>33</v>
      </c>
      <c r="D16" s="50">
        <v>14</v>
      </c>
      <c r="E16" s="50">
        <v>6</v>
      </c>
      <c r="F16" s="50">
        <v>23</v>
      </c>
      <c r="G16" s="50">
        <v>1</v>
      </c>
      <c r="H16" s="50">
        <v>0</v>
      </c>
      <c r="I16" s="50">
        <v>2</v>
      </c>
      <c r="J16" s="50">
        <v>13</v>
      </c>
      <c r="K16" s="50">
        <v>9</v>
      </c>
      <c r="L16" s="50">
        <v>2</v>
      </c>
      <c r="M16" s="50">
        <v>36</v>
      </c>
      <c r="N16" s="50">
        <v>0</v>
      </c>
      <c r="O16" s="15">
        <f t="shared" si="0"/>
        <v>103</v>
      </c>
      <c r="P16" s="15">
        <f t="shared" si="1"/>
        <v>139</v>
      </c>
      <c r="R16" s="1" t="s">
        <v>12</v>
      </c>
      <c r="S16" s="17">
        <f t="shared" ref="S16:AF16" si="8">SUM(C34:C37)</f>
        <v>72</v>
      </c>
      <c r="T16" s="17">
        <f t="shared" si="8"/>
        <v>21</v>
      </c>
      <c r="U16" s="17">
        <f t="shared" si="8"/>
        <v>21</v>
      </c>
      <c r="V16" s="17">
        <f t="shared" si="8"/>
        <v>55</v>
      </c>
      <c r="W16" s="17">
        <f t="shared" si="8"/>
        <v>1</v>
      </c>
      <c r="X16" s="17">
        <f t="shared" si="8"/>
        <v>1</v>
      </c>
      <c r="Y16" s="17">
        <f t="shared" si="8"/>
        <v>28</v>
      </c>
      <c r="Z16" s="17">
        <f t="shared" si="8"/>
        <v>12</v>
      </c>
      <c r="AA16" s="17">
        <f t="shared" si="8"/>
        <v>19</v>
      </c>
      <c r="AB16" s="17">
        <f t="shared" si="8"/>
        <v>14</v>
      </c>
      <c r="AC16" s="17">
        <f t="shared" si="8"/>
        <v>124</v>
      </c>
      <c r="AD16" s="17">
        <f t="shared" si="8"/>
        <v>0</v>
      </c>
      <c r="AE16" s="31">
        <f t="shared" si="8"/>
        <v>244</v>
      </c>
      <c r="AF16" s="31">
        <f t="shared" si="8"/>
        <v>368</v>
      </c>
    </row>
    <row r="17" spans="2:32" ht="23.1" customHeight="1" x14ac:dyDescent="0.25">
      <c r="B17" s="23" t="s">
        <v>44</v>
      </c>
      <c r="C17" s="50">
        <v>32</v>
      </c>
      <c r="D17" s="50">
        <v>5</v>
      </c>
      <c r="E17" s="50">
        <v>9</v>
      </c>
      <c r="F17" s="50">
        <v>27</v>
      </c>
      <c r="G17" s="50">
        <v>2</v>
      </c>
      <c r="H17" s="50">
        <v>0</v>
      </c>
      <c r="I17" s="50">
        <v>2</v>
      </c>
      <c r="J17" s="50">
        <v>2</v>
      </c>
      <c r="K17" s="50">
        <v>4</v>
      </c>
      <c r="L17" s="50">
        <v>2</v>
      </c>
      <c r="M17" s="50">
        <v>49</v>
      </c>
      <c r="N17" s="50">
        <v>0</v>
      </c>
      <c r="O17" s="15">
        <f t="shared" si="0"/>
        <v>85</v>
      </c>
      <c r="P17" s="15">
        <f t="shared" si="1"/>
        <v>134</v>
      </c>
      <c r="R17" s="1" t="s">
        <v>13</v>
      </c>
      <c r="S17" s="17">
        <f t="shared" ref="S17:AF17" si="9">SUM(C38:C41)</f>
        <v>52</v>
      </c>
      <c r="T17" s="17">
        <f t="shared" si="9"/>
        <v>20</v>
      </c>
      <c r="U17" s="17">
        <f t="shared" si="9"/>
        <v>17</v>
      </c>
      <c r="V17" s="17">
        <f t="shared" si="9"/>
        <v>62</v>
      </c>
      <c r="W17" s="17">
        <f t="shared" si="9"/>
        <v>1</v>
      </c>
      <c r="X17" s="17">
        <f t="shared" si="9"/>
        <v>0</v>
      </c>
      <c r="Y17" s="17">
        <f t="shared" si="9"/>
        <v>27</v>
      </c>
      <c r="Z17" s="17">
        <f t="shared" si="9"/>
        <v>15</v>
      </c>
      <c r="AA17" s="17">
        <f t="shared" si="9"/>
        <v>23</v>
      </c>
      <c r="AB17" s="17">
        <f t="shared" si="9"/>
        <v>25</v>
      </c>
      <c r="AC17" s="17">
        <f t="shared" si="9"/>
        <v>145</v>
      </c>
      <c r="AD17" s="17">
        <f t="shared" si="9"/>
        <v>0</v>
      </c>
      <c r="AE17" s="31">
        <f t="shared" si="9"/>
        <v>242</v>
      </c>
      <c r="AF17" s="31">
        <f t="shared" si="9"/>
        <v>387</v>
      </c>
    </row>
    <row r="18" spans="2:32" ht="23.1" customHeight="1" x14ac:dyDescent="0.25">
      <c r="B18" s="23" t="s">
        <v>45</v>
      </c>
      <c r="C18" s="50">
        <v>27</v>
      </c>
      <c r="D18" s="50">
        <v>5</v>
      </c>
      <c r="E18" s="50">
        <v>3</v>
      </c>
      <c r="F18" s="50">
        <v>23</v>
      </c>
      <c r="G18" s="50">
        <v>0</v>
      </c>
      <c r="H18" s="50">
        <v>0</v>
      </c>
      <c r="I18" s="50">
        <v>5</v>
      </c>
      <c r="J18" s="50">
        <v>10</v>
      </c>
      <c r="K18" s="50">
        <v>7</v>
      </c>
      <c r="L18" s="50">
        <v>5</v>
      </c>
      <c r="M18" s="50">
        <v>55</v>
      </c>
      <c r="N18" s="50">
        <v>0</v>
      </c>
      <c r="O18" s="15">
        <f t="shared" si="0"/>
        <v>85</v>
      </c>
      <c r="P18" s="15">
        <f t="shared" si="1"/>
        <v>140</v>
      </c>
      <c r="R18" s="1" t="s">
        <v>14</v>
      </c>
      <c r="S18" s="17">
        <f t="shared" ref="S18:AF18" si="10">SUM(C42:C45)</f>
        <v>66</v>
      </c>
      <c r="T18" s="17">
        <f t="shared" si="10"/>
        <v>19</v>
      </c>
      <c r="U18" s="17">
        <f t="shared" si="10"/>
        <v>6</v>
      </c>
      <c r="V18" s="17">
        <f t="shared" si="10"/>
        <v>80</v>
      </c>
      <c r="W18" s="17">
        <f t="shared" si="10"/>
        <v>1</v>
      </c>
      <c r="X18" s="17">
        <f t="shared" si="10"/>
        <v>0</v>
      </c>
      <c r="Y18" s="17">
        <f t="shared" si="10"/>
        <v>19</v>
      </c>
      <c r="Z18" s="17">
        <f t="shared" si="10"/>
        <v>19</v>
      </c>
      <c r="AA18" s="17">
        <f t="shared" si="10"/>
        <v>34</v>
      </c>
      <c r="AB18" s="17">
        <f t="shared" si="10"/>
        <v>11</v>
      </c>
      <c r="AC18" s="17">
        <f t="shared" si="10"/>
        <v>132</v>
      </c>
      <c r="AD18" s="17">
        <f t="shared" si="10"/>
        <v>0</v>
      </c>
      <c r="AE18" s="31">
        <f t="shared" si="10"/>
        <v>255</v>
      </c>
      <c r="AF18" s="31">
        <f t="shared" si="10"/>
        <v>387</v>
      </c>
    </row>
    <row r="19" spans="2:32" ht="23.1" customHeight="1" x14ac:dyDescent="0.25">
      <c r="B19" s="23" t="s">
        <v>46</v>
      </c>
      <c r="C19" s="50">
        <v>23</v>
      </c>
      <c r="D19" s="50">
        <v>3</v>
      </c>
      <c r="E19" s="50">
        <v>4</v>
      </c>
      <c r="F19" s="50">
        <v>17</v>
      </c>
      <c r="G19" s="50">
        <v>1</v>
      </c>
      <c r="H19" s="50">
        <v>0</v>
      </c>
      <c r="I19" s="50">
        <v>2</v>
      </c>
      <c r="J19" s="50">
        <v>5</v>
      </c>
      <c r="K19" s="50">
        <v>3</v>
      </c>
      <c r="L19" s="50">
        <v>6</v>
      </c>
      <c r="M19" s="50">
        <v>33</v>
      </c>
      <c r="N19" s="50">
        <v>0</v>
      </c>
      <c r="O19" s="15">
        <f t="shared" si="0"/>
        <v>64</v>
      </c>
      <c r="P19" s="15">
        <f t="shared" si="1"/>
        <v>97</v>
      </c>
      <c r="R19" s="1" t="s">
        <v>15</v>
      </c>
      <c r="S19" s="17">
        <f t="shared" ref="S19:AF19" si="11">SUM(C46:C49)</f>
        <v>78</v>
      </c>
      <c r="T19" s="17">
        <f t="shared" si="11"/>
        <v>28</v>
      </c>
      <c r="U19" s="17">
        <f t="shared" si="11"/>
        <v>14</v>
      </c>
      <c r="V19" s="17">
        <f t="shared" si="11"/>
        <v>74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29</v>
      </c>
      <c r="AA19" s="17">
        <f t="shared" si="11"/>
        <v>20</v>
      </c>
      <c r="AB19" s="17">
        <f t="shared" si="11"/>
        <v>23</v>
      </c>
      <c r="AC19" s="17">
        <f t="shared" si="11"/>
        <v>148</v>
      </c>
      <c r="AD19" s="17">
        <f t="shared" si="11"/>
        <v>0</v>
      </c>
      <c r="AE19" s="31">
        <f t="shared" si="11"/>
        <v>277</v>
      </c>
      <c r="AF19" s="31">
        <f t="shared" si="11"/>
        <v>425</v>
      </c>
    </row>
    <row r="20" spans="2:32" ht="23.1" customHeight="1" x14ac:dyDescent="0.25">
      <c r="B20" s="23" t="s">
        <v>47</v>
      </c>
      <c r="C20" s="50">
        <v>33</v>
      </c>
      <c r="D20" s="50">
        <v>4</v>
      </c>
      <c r="E20" s="50">
        <v>5</v>
      </c>
      <c r="F20" s="50">
        <v>19</v>
      </c>
      <c r="G20" s="50">
        <v>2</v>
      </c>
      <c r="H20" s="50">
        <v>0</v>
      </c>
      <c r="I20" s="50">
        <v>5</v>
      </c>
      <c r="J20" s="50">
        <v>11</v>
      </c>
      <c r="K20" s="50">
        <v>10</v>
      </c>
      <c r="L20" s="50">
        <v>13</v>
      </c>
      <c r="M20" s="50">
        <v>43</v>
      </c>
      <c r="N20" s="50">
        <v>1</v>
      </c>
      <c r="O20" s="15">
        <f t="shared" si="0"/>
        <v>103</v>
      </c>
      <c r="P20" s="15">
        <f t="shared" si="1"/>
        <v>146</v>
      </c>
      <c r="R20" s="1" t="s">
        <v>16</v>
      </c>
      <c r="S20" s="17">
        <f t="shared" ref="S20:AF20" si="12">SUM(C50:C53)</f>
        <v>97</v>
      </c>
      <c r="T20" s="17">
        <f t="shared" si="12"/>
        <v>21</v>
      </c>
      <c r="U20" s="17">
        <f t="shared" si="12"/>
        <v>10</v>
      </c>
      <c r="V20" s="17">
        <f t="shared" si="12"/>
        <v>102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48</v>
      </c>
      <c r="AA20" s="17">
        <f t="shared" si="12"/>
        <v>17</v>
      </c>
      <c r="AB20" s="17">
        <f t="shared" si="12"/>
        <v>18</v>
      </c>
      <c r="AC20" s="17">
        <f t="shared" si="12"/>
        <v>188</v>
      </c>
      <c r="AD20" s="17">
        <f t="shared" si="12"/>
        <v>0</v>
      </c>
      <c r="AE20" s="31">
        <f t="shared" si="12"/>
        <v>322</v>
      </c>
      <c r="AF20" s="31">
        <f t="shared" si="12"/>
        <v>510</v>
      </c>
    </row>
    <row r="21" spans="2:32" ht="23.1" customHeight="1" x14ac:dyDescent="0.25">
      <c r="B21" s="23" t="s">
        <v>48</v>
      </c>
      <c r="C21" s="50">
        <v>19</v>
      </c>
      <c r="D21" s="50">
        <v>5</v>
      </c>
      <c r="E21" s="50">
        <v>3</v>
      </c>
      <c r="F21" s="50">
        <v>24</v>
      </c>
      <c r="G21" s="50">
        <v>0</v>
      </c>
      <c r="H21" s="50">
        <v>0</v>
      </c>
      <c r="I21" s="50">
        <v>4</v>
      </c>
      <c r="J21" s="50">
        <v>11</v>
      </c>
      <c r="K21" s="50">
        <v>2</v>
      </c>
      <c r="L21" s="50">
        <v>8</v>
      </c>
      <c r="M21" s="50">
        <v>43</v>
      </c>
      <c r="N21" s="50">
        <v>0</v>
      </c>
      <c r="O21" s="15">
        <f t="shared" si="0"/>
        <v>76</v>
      </c>
      <c r="P21" s="15">
        <f t="shared" si="1"/>
        <v>119</v>
      </c>
      <c r="R21" s="36" t="s">
        <v>20</v>
      </c>
      <c r="S21" s="34">
        <f t="shared" ref="S21:AF21" si="13">SUM(C54:C57)</f>
        <v>124</v>
      </c>
      <c r="T21" s="17">
        <f t="shared" si="13"/>
        <v>25</v>
      </c>
      <c r="U21" s="17">
        <f t="shared" si="13"/>
        <v>10</v>
      </c>
      <c r="V21" s="17">
        <f t="shared" si="13"/>
        <v>130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32</v>
      </c>
      <c r="AA21" s="17">
        <f t="shared" si="13"/>
        <v>9</v>
      </c>
      <c r="AB21" s="17">
        <f t="shared" si="13"/>
        <v>12</v>
      </c>
      <c r="AC21" s="17">
        <f t="shared" si="13"/>
        <v>257</v>
      </c>
      <c r="AD21" s="17">
        <f t="shared" si="13"/>
        <v>0</v>
      </c>
      <c r="AE21" s="31">
        <f t="shared" si="13"/>
        <v>353</v>
      </c>
      <c r="AF21" s="31">
        <f t="shared" si="13"/>
        <v>610</v>
      </c>
    </row>
    <row r="22" spans="2:32" ht="23.1" customHeight="1" x14ac:dyDescent="0.25">
      <c r="B22" s="23" t="s">
        <v>49</v>
      </c>
      <c r="C22" s="50">
        <v>23</v>
      </c>
      <c r="D22" s="50">
        <v>13</v>
      </c>
      <c r="E22" s="50">
        <v>7</v>
      </c>
      <c r="F22" s="50">
        <v>25</v>
      </c>
      <c r="G22" s="50">
        <v>1</v>
      </c>
      <c r="H22" s="50">
        <v>0</v>
      </c>
      <c r="I22" s="50">
        <v>2</v>
      </c>
      <c r="J22" s="50">
        <v>7</v>
      </c>
      <c r="K22" s="50">
        <v>2</v>
      </c>
      <c r="L22" s="50">
        <v>6</v>
      </c>
      <c r="M22" s="50">
        <v>47</v>
      </c>
      <c r="N22" s="50">
        <v>0</v>
      </c>
      <c r="O22" s="15">
        <f t="shared" si="0"/>
        <v>86</v>
      </c>
      <c r="P22" s="15">
        <f t="shared" si="1"/>
        <v>133</v>
      </c>
      <c r="R22" s="38" t="s">
        <v>90</v>
      </c>
      <c r="S22" s="39">
        <f>MAX(S10:S12)</f>
        <v>157</v>
      </c>
      <c r="T22" s="39">
        <f t="shared" ref="T22:AF22" si="14">MAX(T10:T12)</f>
        <v>88</v>
      </c>
      <c r="U22" s="39">
        <f t="shared" si="14"/>
        <v>32</v>
      </c>
      <c r="V22" s="39">
        <f t="shared" si="14"/>
        <v>113</v>
      </c>
      <c r="W22" s="39">
        <f t="shared" si="14"/>
        <v>4</v>
      </c>
      <c r="X22" s="39">
        <f t="shared" si="14"/>
        <v>2</v>
      </c>
      <c r="Y22" s="39">
        <f t="shared" si="14"/>
        <v>16</v>
      </c>
      <c r="Z22" s="39">
        <f t="shared" si="14"/>
        <v>37</v>
      </c>
      <c r="AA22" s="39">
        <f t="shared" si="14"/>
        <v>22</v>
      </c>
      <c r="AB22" s="39">
        <f t="shared" si="14"/>
        <v>32</v>
      </c>
      <c r="AC22" s="39">
        <f t="shared" si="14"/>
        <v>174</v>
      </c>
      <c r="AD22" s="39">
        <f t="shared" si="14"/>
        <v>1</v>
      </c>
      <c r="AE22" s="40">
        <f t="shared" si="14"/>
        <v>441</v>
      </c>
      <c r="AF22" s="40">
        <f t="shared" si="14"/>
        <v>591</v>
      </c>
    </row>
    <row r="23" spans="2:32" ht="23.1" customHeight="1" x14ac:dyDescent="0.25">
      <c r="B23" s="23" t="s">
        <v>50</v>
      </c>
      <c r="C23" s="50">
        <v>15</v>
      </c>
      <c r="D23" s="50">
        <v>4</v>
      </c>
      <c r="E23" s="50">
        <v>6</v>
      </c>
      <c r="F23" s="50">
        <v>12</v>
      </c>
      <c r="G23" s="50">
        <v>1</v>
      </c>
      <c r="H23" s="50">
        <v>0</v>
      </c>
      <c r="I23" s="50">
        <v>3</v>
      </c>
      <c r="J23" s="50">
        <v>8</v>
      </c>
      <c r="K23" s="50">
        <v>2</v>
      </c>
      <c r="L23" s="50">
        <v>15</v>
      </c>
      <c r="M23" s="50">
        <v>42</v>
      </c>
      <c r="N23" s="50">
        <v>0</v>
      </c>
      <c r="O23" s="15">
        <f t="shared" si="0"/>
        <v>66</v>
      </c>
      <c r="P23" s="15">
        <f t="shared" si="1"/>
        <v>108</v>
      </c>
      <c r="R23" s="38" t="s">
        <v>91</v>
      </c>
      <c r="S23" s="39">
        <f>MAX(S13:S18)</f>
        <v>80</v>
      </c>
      <c r="T23" s="39">
        <f t="shared" ref="T23:AF23" si="15">MAX(T13:T18)</f>
        <v>26</v>
      </c>
      <c r="U23" s="39">
        <f t="shared" si="15"/>
        <v>21</v>
      </c>
      <c r="V23" s="39">
        <f t="shared" si="15"/>
        <v>80</v>
      </c>
      <c r="W23" s="39">
        <f t="shared" si="15"/>
        <v>4</v>
      </c>
      <c r="X23" s="39">
        <f t="shared" si="15"/>
        <v>1</v>
      </c>
      <c r="Y23" s="39">
        <f t="shared" si="15"/>
        <v>28</v>
      </c>
      <c r="Z23" s="39">
        <f t="shared" si="15"/>
        <v>41</v>
      </c>
      <c r="AA23" s="39">
        <f t="shared" si="15"/>
        <v>34</v>
      </c>
      <c r="AB23" s="39">
        <f t="shared" si="15"/>
        <v>33</v>
      </c>
      <c r="AC23" s="39">
        <f t="shared" si="15"/>
        <v>164</v>
      </c>
      <c r="AD23" s="39">
        <f t="shared" si="15"/>
        <v>0</v>
      </c>
      <c r="AE23" s="40">
        <f t="shared" si="15"/>
        <v>299</v>
      </c>
      <c r="AF23" s="40">
        <f t="shared" si="15"/>
        <v>463</v>
      </c>
    </row>
    <row r="24" spans="2:32" ht="23.1" customHeight="1" x14ac:dyDescent="0.25">
      <c r="B24" s="23" t="s">
        <v>51</v>
      </c>
      <c r="C24" s="50">
        <v>16</v>
      </c>
      <c r="D24" s="50">
        <v>7</v>
      </c>
      <c r="E24" s="50">
        <v>3</v>
      </c>
      <c r="F24" s="50">
        <v>18</v>
      </c>
      <c r="G24" s="50">
        <v>0</v>
      </c>
      <c r="H24" s="50">
        <v>0</v>
      </c>
      <c r="I24" s="50">
        <v>1</v>
      </c>
      <c r="J24" s="50">
        <v>7</v>
      </c>
      <c r="K24" s="50">
        <v>8</v>
      </c>
      <c r="L24" s="50">
        <v>7</v>
      </c>
      <c r="M24" s="50">
        <v>41</v>
      </c>
      <c r="N24" s="50">
        <v>0</v>
      </c>
      <c r="O24" s="15">
        <f t="shared" si="0"/>
        <v>67</v>
      </c>
      <c r="P24" s="15">
        <f t="shared" si="1"/>
        <v>108</v>
      </c>
      <c r="R24" s="38" t="s">
        <v>92</v>
      </c>
      <c r="S24" s="39">
        <f>MAX(S19:S21)</f>
        <v>124</v>
      </c>
      <c r="T24" s="39">
        <f t="shared" ref="T24:AF24" si="16">MAX(T19:T21)</f>
        <v>28</v>
      </c>
      <c r="U24" s="39">
        <f t="shared" si="16"/>
        <v>14</v>
      </c>
      <c r="V24" s="39">
        <f t="shared" si="16"/>
        <v>130</v>
      </c>
      <c r="W24" s="39">
        <f t="shared" si="16"/>
        <v>3</v>
      </c>
      <c r="X24" s="39">
        <f t="shared" si="16"/>
        <v>0</v>
      </c>
      <c r="Y24" s="39">
        <f t="shared" si="16"/>
        <v>9</v>
      </c>
      <c r="Z24" s="39">
        <f t="shared" si="16"/>
        <v>48</v>
      </c>
      <c r="AA24" s="39">
        <f t="shared" si="16"/>
        <v>20</v>
      </c>
      <c r="AB24" s="39">
        <f t="shared" si="16"/>
        <v>23</v>
      </c>
      <c r="AC24" s="39">
        <f t="shared" si="16"/>
        <v>257</v>
      </c>
      <c r="AD24" s="39">
        <f t="shared" si="16"/>
        <v>0</v>
      </c>
      <c r="AE24" s="40">
        <f t="shared" si="16"/>
        <v>353</v>
      </c>
      <c r="AF24" s="40">
        <f t="shared" si="16"/>
        <v>610</v>
      </c>
    </row>
    <row r="25" spans="2:32" ht="23.1" customHeight="1" x14ac:dyDescent="0.25">
      <c r="B25" s="23" t="s">
        <v>52</v>
      </c>
      <c r="C25" s="50">
        <v>26</v>
      </c>
      <c r="D25" s="50">
        <v>2</v>
      </c>
      <c r="E25" s="50">
        <v>5</v>
      </c>
      <c r="F25" s="50">
        <v>20</v>
      </c>
      <c r="G25" s="50">
        <v>2</v>
      </c>
      <c r="H25" s="50">
        <v>0</v>
      </c>
      <c r="I25" s="50">
        <v>1</v>
      </c>
      <c r="J25" s="50">
        <v>13</v>
      </c>
      <c r="K25" s="50">
        <v>6</v>
      </c>
      <c r="L25" s="50">
        <v>5</v>
      </c>
      <c r="M25" s="50">
        <v>34</v>
      </c>
      <c r="N25" s="50">
        <v>0</v>
      </c>
      <c r="O25" s="15">
        <f t="shared" si="0"/>
        <v>80</v>
      </c>
      <c r="P25" s="15">
        <f t="shared" si="1"/>
        <v>114</v>
      </c>
      <c r="R25" s="37" t="s">
        <v>85</v>
      </c>
      <c r="S25" s="35">
        <f t="shared" ref="S25:AF25" si="17">SUM(S10:S12)</f>
        <v>401</v>
      </c>
      <c r="T25" s="16">
        <f t="shared" si="17"/>
        <v>154</v>
      </c>
      <c r="U25" s="16">
        <f t="shared" si="17"/>
        <v>78</v>
      </c>
      <c r="V25" s="16">
        <f t="shared" si="17"/>
        <v>309</v>
      </c>
      <c r="W25" s="16">
        <f t="shared" si="17"/>
        <v>9</v>
      </c>
      <c r="X25" s="16">
        <f t="shared" si="17"/>
        <v>2</v>
      </c>
      <c r="Y25" s="16">
        <f t="shared" si="17"/>
        <v>33</v>
      </c>
      <c r="Z25" s="16">
        <f t="shared" si="17"/>
        <v>93</v>
      </c>
      <c r="AA25" s="16">
        <f t="shared" si="17"/>
        <v>53</v>
      </c>
      <c r="AB25" s="16">
        <f t="shared" si="17"/>
        <v>50</v>
      </c>
      <c r="AC25" s="16">
        <f t="shared" si="17"/>
        <v>484</v>
      </c>
      <c r="AD25" s="16">
        <f t="shared" si="17"/>
        <v>2</v>
      </c>
      <c r="AE25" s="32">
        <f t="shared" si="17"/>
        <v>1184</v>
      </c>
      <c r="AF25" s="32">
        <f t="shared" si="17"/>
        <v>1668</v>
      </c>
    </row>
    <row r="26" spans="2:32" ht="23.1" customHeight="1" x14ac:dyDescent="0.25">
      <c r="B26" s="23" t="s">
        <v>53</v>
      </c>
      <c r="C26" s="50">
        <v>22</v>
      </c>
      <c r="D26" s="50">
        <v>5</v>
      </c>
      <c r="E26" s="50">
        <v>2</v>
      </c>
      <c r="F26" s="50">
        <v>21</v>
      </c>
      <c r="G26" s="50">
        <v>1</v>
      </c>
      <c r="H26" s="50">
        <v>0</v>
      </c>
      <c r="I26" s="50">
        <v>2</v>
      </c>
      <c r="J26" s="50">
        <v>13</v>
      </c>
      <c r="K26" s="50">
        <v>3</v>
      </c>
      <c r="L26" s="50">
        <v>10</v>
      </c>
      <c r="M26" s="50">
        <v>47</v>
      </c>
      <c r="N26" s="50">
        <v>0</v>
      </c>
      <c r="O26" s="15">
        <f t="shared" si="0"/>
        <v>79</v>
      </c>
      <c r="P26" s="15">
        <f t="shared" si="1"/>
        <v>126</v>
      </c>
      <c r="R26" s="28" t="s">
        <v>86</v>
      </c>
      <c r="S26" s="16">
        <f t="shared" ref="S26:AF26" si="18">SUM(S13:S18)</f>
        <v>417</v>
      </c>
      <c r="T26" s="16">
        <f t="shared" si="18"/>
        <v>133</v>
      </c>
      <c r="U26" s="16">
        <f t="shared" si="18"/>
        <v>94</v>
      </c>
      <c r="V26" s="16">
        <f t="shared" si="18"/>
        <v>409</v>
      </c>
      <c r="W26" s="16">
        <f t="shared" si="18"/>
        <v>9</v>
      </c>
      <c r="X26" s="16">
        <f t="shared" si="18"/>
        <v>1</v>
      </c>
      <c r="Y26" s="16">
        <f t="shared" si="18"/>
        <v>95</v>
      </c>
      <c r="Z26" s="16">
        <f t="shared" si="18"/>
        <v>157</v>
      </c>
      <c r="AA26" s="16">
        <f t="shared" si="18"/>
        <v>125</v>
      </c>
      <c r="AB26" s="16">
        <f t="shared" si="18"/>
        <v>131</v>
      </c>
      <c r="AC26" s="16">
        <f t="shared" si="18"/>
        <v>833</v>
      </c>
      <c r="AD26" s="16">
        <f t="shared" si="18"/>
        <v>0</v>
      </c>
      <c r="AE26" s="32">
        <f t="shared" si="18"/>
        <v>1571</v>
      </c>
      <c r="AF26" s="32">
        <f t="shared" si="18"/>
        <v>2404</v>
      </c>
    </row>
    <row r="27" spans="2:32" ht="23.1" customHeight="1" x14ac:dyDescent="0.25">
      <c r="B27" s="23" t="s">
        <v>54</v>
      </c>
      <c r="C27" s="50">
        <v>17</v>
      </c>
      <c r="D27" s="50">
        <v>7</v>
      </c>
      <c r="E27" s="50">
        <v>4</v>
      </c>
      <c r="F27" s="50">
        <v>13</v>
      </c>
      <c r="G27" s="50">
        <v>0</v>
      </c>
      <c r="H27" s="50">
        <v>0</v>
      </c>
      <c r="I27" s="50">
        <v>5</v>
      </c>
      <c r="J27" s="50">
        <v>7</v>
      </c>
      <c r="K27" s="50">
        <v>6</v>
      </c>
      <c r="L27" s="50">
        <v>6</v>
      </c>
      <c r="M27" s="50">
        <v>29</v>
      </c>
      <c r="N27" s="50">
        <v>0</v>
      </c>
      <c r="O27" s="15">
        <f t="shared" si="0"/>
        <v>65</v>
      </c>
      <c r="P27" s="15">
        <f t="shared" si="1"/>
        <v>94</v>
      </c>
      <c r="R27" s="29" t="s">
        <v>87</v>
      </c>
      <c r="S27" s="16">
        <f t="shared" ref="S27:AF27" si="19">SUM(S19:S21)</f>
        <v>299</v>
      </c>
      <c r="T27" s="16">
        <f t="shared" si="19"/>
        <v>74</v>
      </c>
      <c r="U27" s="16">
        <f t="shared" si="19"/>
        <v>34</v>
      </c>
      <c r="V27" s="16">
        <f t="shared" si="19"/>
        <v>306</v>
      </c>
      <c r="W27" s="16">
        <f t="shared" si="19"/>
        <v>5</v>
      </c>
      <c r="X27" s="16">
        <f t="shared" si="19"/>
        <v>0</v>
      </c>
      <c r="Y27" s="16">
        <f t="shared" si="19"/>
        <v>26</v>
      </c>
      <c r="Z27" s="16">
        <f t="shared" si="19"/>
        <v>109</v>
      </c>
      <c r="AA27" s="16">
        <f t="shared" si="19"/>
        <v>46</v>
      </c>
      <c r="AB27" s="16">
        <f t="shared" si="19"/>
        <v>53</v>
      </c>
      <c r="AC27" s="16">
        <f t="shared" si="19"/>
        <v>593</v>
      </c>
      <c r="AD27" s="16">
        <f t="shared" si="19"/>
        <v>0</v>
      </c>
      <c r="AE27" s="32">
        <f t="shared" si="19"/>
        <v>952</v>
      </c>
      <c r="AF27" s="32">
        <f t="shared" si="19"/>
        <v>1545</v>
      </c>
    </row>
    <row r="28" spans="2:32" ht="23.1" customHeight="1" x14ac:dyDescent="0.25">
      <c r="B28" s="23" t="s">
        <v>55</v>
      </c>
      <c r="C28" s="50">
        <v>18</v>
      </c>
      <c r="D28" s="50">
        <v>5</v>
      </c>
      <c r="E28" s="50">
        <v>1</v>
      </c>
      <c r="F28" s="50">
        <v>18</v>
      </c>
      <c r="G28" s="50">
        <v>0</v>
      </c>
      <c r="H28" s="50">
        <v>0</v>
      </c>
      <c r="I28" s="50">
        <v>1</v>
      </c>
      <c r="J28" s="50">
        <v>6</v>
      </c>
      <c r="K28" s="50">
        <v>6</v>
      </c>
      <c r="L28" s="50">
        <v>7</v>
      </c>
      <c r="M28" s="50">
        <v>41</v>
      </c>
      <c r="N28" s="50">
        <v>0</v>
      </c>
      <c r="O28" s="15">
        <f t="shared" si="0"/>
        <v>62</v>
      </c>
      <c r="P28" s="15">
        <f t="shared" si="1"/>
        <v>103</v>
      </c>
      <c r="R28" s="5" t="s">
        <v>17</v>
      </c>
      <c r="S28" s="16">
        <f t="shared" ref="S28:AF28" si="20">SUM(S10:S21)</f>
        <v>1117</v>
      </c>
      <c r="T28" s="16">
        <f t="shared" si="20"/>
        <v>361</v>
      </c>
      <c r="U28" s="16">
        <f t="shared" si="20"/>
        <v>206</v>
      </c>
      <c r="V28" s="16">
        <f t="shared" si="20"/>
        <v>1024</v>
      </c>
      <c r="W28" s="16">
        <f t="shared" si="20"/>
        <v>23</v>
      </c>
      <c r="X28" s="16">
        <f t="shared" si="20"/>
        <v>3</v>
      </c>
      <c r="Y28" s="16">
        <f t="shared" si="20"/>
        <v>154</v>
      </c>
      <c r="Z28" s="16">
        <f t="shared" si="20"/>
        <v>359</v>
      </c>
      <c r="AA28" s="16">
        <f t="shared" si="20"/>
        <v>224</v>
      </c>
      <c r="AB28" s="16">
        <f t="shared" si="20"/>
        <v>234</v>
      </c>
      <c r="AC28" s="16">
        <f t="shared" si="20"/>
        <v>1910</v>
      </c>
      <c r="AD28" s="16">
        <f t="shared" si="20"/>
        <v>2</v>
      </c>
      <c r="AE28" s="32">
        <f t="shared" si="20"/>
        <v>3707</v>
      </c>
      <c r="AF28" s="32">
        <f t="shared" si="20"/>
        <v>5617</v>
      </c>
    </row>
    <row r="29" spans="2:32" ht="23.1" customHeight="1" x14ac:dyDescent="0.25">
      <c r="B29" s="23" t="s">
        <v>56</v>
      </c>
      <c r="C29" s="50">
        <v>21</v>
      </c>
      <c r="D29" s="50">
        <v>6</v>
      </c>
      <c r="E29" s="50">
        <v>2</v>
      </c>
      <c r="F29" s="50">
        <v>11</v>
      </c>
      <c r="G29" s="50">
        <v>1</v>
      </c>
      <c r="H29" s="50">
        <v>0</v>
      </c>
      <c r="I29" s="50">
        <v>0</v>
      </c>
      <c r="J29" s="50">
        <v>9</v>
      </c>
      <c r="K29" s="50">
        <v>4</v>
      </c>
      <c r="L29" s="50">
        <v>5</v>
      </c>
      <c r="M29" s="50">
        <v>24</v>
      </c>
      <c r="N29" s="50">
        <v>0</v>
      </c>
      <c r="O29" s="15">
        <f t="shared" si="0"/>
        <v>59</v>
      </c>
      <c r="P29" s="15">
        <f t="shared" si="1"/>
        <v>83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6</v>
      </c>
      <c r="E30" s="50">
        <v>2</v>
      </c>
      <c r="F30" s="50">
        <v>21</v>
      </c>
      <c r="G30" s="50">
        <v>0</v>
      </c>
      <c r="H30" s="50">
        <v>0</v>
      </c>
      <c r="I30" s="50">
        <v>0</v>
      </c>
      <c r="J30" s="50">
        <v>9</v>
      </c>
      <c r="K30" s="50">
        <v>2</v>
      </c>
      <c r="L30" s="50">
        <v>2</v>
      </c>
      <c r="M30" s="50">
        <v>28</v>
      </c>
      <c r="N30" s="50">
        <v>0</v>
      </c>
      <c r="O30" s="15">
        <f t="shared" si="0"/>
        <v>65</v>
      </c>
      <c r="P30" s="15">
        <f t="shared" si="1"/>
        <v>93</v>
      </c>
    </row>
    <row r="31" spans="2:32" ht="23.1" customHeight="1" x14ac:dyDescent="0.25">
      <c r="B31" s="24" t="s">
        <v>58</v>
      </c>
      <c r="C31" s="50">
        <v>20</v>
      </c>
      <c r="D31" s="50">
        <v>11</v>
      </c>
      <c r="E31" s="50">
        <v>3</v>
      </c>
      <c r="F31" s="50">
        <v>16</v>
      </c>
      <c r="G31" s="50">
        <v>0</v>
      </c>
      <c r="H31" s="50">
        <v>0</v>
      </c>
      <c r="I31" s="50">
        <v>0</v>
      </c>
      <c r="J31" s="50">
        <v>10</v>
      </c>
      <c r="K31" s="50">
        <v>0</v>
      </c>
      <c r="L31" s="50">
        <v>11</v>
      </c>
      <c r="M31" s="50">
        <v>26</v>
      </c>
      <c r="N31" s="50">
        <v>0</v>
      </c>
      <c r="O31" s="15">
        <f t="shared" si="0"/>
        <v>71</v>
      </c>
      <c r="P31" s="15">
        <f t="shared" si="1"/>
        <v>97</v>
      </c>
    </row>
    <row r="32" spans="2:32" ht="23.1" customHeight="1" x14ac:dyDescent="0.25">
      <c r="B32" s="24" t="s">
        <v>59</v>
      </c>
      <c r="C32" s="50">
        <v>12</v>
      </c>
      <c r="D32" s="50">
        <v>5</v>
      </c>
      <c r="E32" s="50">
        <v>5</v>
      </c>
      <c r="F32" s="50">
        <v>21</v>
      </c>
      <c r="G32" s="50">
        <v>0</v>
      </c>
      <c r="H32" s="50">
        <v>0</v>
      </c>
      <c r="I32" s="50">
        <v>1</v>
      </c>
      <c r="J32" s="50">
        <v>16</v>
      </c>
      <c r="K32" s="50">
        <v>6</v>
      </c>
      <c r="L32" s="50">
        <v>6</v>
      </c>
      <c r="M32" s="50">
        <v>30</v>
      </c>
      <c r="N32" s="50">
        <v>0</v>
      </c>
      <c r="O32" s="15">
        <f t="shared" si="0"/>
        <v>72</v>
      </c>
      <c r="P32" s="15">
        <f t="shared" si="1"/>
        <v>102</v>
      </c>
    </row>
    <row r="33" spans="2:20" ht="23.1" customHeight="1" x14ac:dyDescent="0.25">
      <c r="B33" s="23" t="s">
        <v>60</v>
      </c>
      <c r="C33" s="50">
        <v>14</v>
      </c>
      <c r="D33" s="50">
        <v>2</v>
      </c>
      <c r="E33" s="50">
        <v>10</v>
      </c>
      <c r="F33" s="50">
        <v>16</v>
      </c>
      <c r="G33" s="50">
        <v>0</v>
      </c>
      <c r="H33" s="50">
        <v>0</v>
      </c>
      <c r="I33" s="50">
        <v>5</v>
      </c>
      <c r="J33" s="50">
        <v>6</v>
      </c>
      <c r="K33" s="50">
        <v>4</v>
      </c>
      <c r="L33" s="50">
        <v>1</v>
      </c>
      <c r="M33" s="50">
        <v>43</v>
      </c>
      <c r="N33" s="50">
        <v>0</v>
      </c>
      <c r="O33" s="15">
        <f t="shared" si="0"/>
        <v>58</v>
      </c>
      <c r="P33" s="15">
        <f t="shared" si="1"/>
        <v>101</v>
      </c>
    </row>
    <row r="34" spans="2:20" ht="23.1" customHeight="1" x14ac:dyDescent="0.25">
      <c r="B34" s="24" t="s">
        <v>61</v>
      </c>
      <c r="C34" s="50">
        <v>16</v>
      </c>
      <c r="D34" s="50">
        <v>5</v>
      </c>
      <c r="E34" s="50">
        <v>8</v>
      </c>
      <c r="F34" s="50">
        <v>12</v>
      </c>
      <c r="G34" s="50">
        <v>0</v>
      </c>
      <c r="H34" s="50">
        <v>0</v>
      </c>
      <c r="I34" s="50">
        <v>7</v>
      </c>
      <c r="J34" s="50">
        <v>3</v>
      </c>
      <c r="K34" s="50">
        <v>5</v>
      </c>
      <c r="L34" s="50">
        <v>1</v>
      </c>
      <c r="M34" s="50">
        <v>35</v>
      </c>
      <c r="N34" s="50">
        <v>0</v>
      </c>
      <c r="O34" s="15">
        <f t="shared" si="0"/>
        <v>57</v>
      </c>
      <c r="P34" s="15">
        <f t="shared" si="1"/>
        <v>92</v>
      </c>
    </row>
    <row r="35" spans="2:20" ht="23.1" customHeight="1" x14ac:dyDescent="0.25">
      <c r="B35" s="24" t="s">
        <v>62</v>
      </c>
      <c r="C35" s="50">
        <v>27</v>
      </c>
      <c r="D35" s="50">
        <v>4</v>
      </c>
      <c r="E35" s="50">
        <v>2</v>
      </c>
      <c r="F35" s="50">
        <v>17</v>
      </c>
      <c r="G35" s="50">
        <v>0</v>
      </c>
      <c r="H35" s="50">
        <v>0</v>
      </c>
      <c r="I35" s="50">
        <v>7</v>
      </c>
      <c r="J35" s="50">
        <v>0</v>
      </c>
      <c r="K35" s="50">
        <v>6</v>
      </c>
      <c r="L35" s="50">
        <v>4</v>
      </c>
      <c r="M35" s="50">
        <v>32</v>
      </c>
      <c r="N35" s="50">
        <v>0</v>
      </c>
      <c r="O35" s="15">
        <f t="shared" si="0"/>
        <v>67</v>
      </c>
      <c r="P35" s="15">
        <f t="shared" si="1"/>
        <v>99</v>
      </c>
    </row>
    <row r="36" spans="2:20" ht="23.1" customHeight="1" x14ac:dyDescent="0.25">
      <c r="B36" s="24" t="s">
        <v>63</v>
      </c>
      <c r="C36" s="50">
        <v>17</v>
      </c>
      <c r="D36" s="50">
        <v>9</v>
      </c>
      <c r="E36" s="50">
        <v>4</v>
      </c>
      <c r="F36" s="50">
        <v>11</v>
      </c>
      <c r="G36" s="50">
        <v>1</v>
      </c>
      <c r="H36" s="50">
        <v>0</v>
      </c>
      <c r="I36" s="50">
        <v>10</v>
      </c>
      <c r="J36" s="50">
        <v>4</v>
      </c>
      <c r="K36" s="50">
        <v>4</v>
      </c>
      <c r="L36" s="50">
        <v>1</v>
      </c>
      <c r="M36" s="50">
        <v>20</v>
      </c>
      <c r="N36" s="50">
        <v>0</v>
      </c>
      <c r="O36" s="15">
        <f t="shared" si="0"/>
        <v>61</v>
      </c>
      <c r="P36" s="15">
        <f t="shared" si="1"/>
        <v>81</v>
      </c>
    </row>
    <row r="37" spans="2:20" ht="23.1" customHeight="1" x14ac:dyDescent="0.25">
      <c r="B37" s="23" t="s">
        <v>64</v>
      </c>
      <c r="C37" s="50">
        <v>12</v>
      </c>
      <c r="D37" s="50">
        <v>3</v>
      </c>
      <c r="E37" s="50">
        <v>7</v>
      </c>
      <c r="F37" s="50">
        <v>15</v>
      </c>
      <c r="G37" s="50">
        <v>0</v>
      </c>
      <c r="H37" s="50">
        <v>1</v>
      </c>
      <c r="I37" s="50">
        <v>4</v>
      </c>
      <c r="J37" s="50">
        <v>5</v>
      </c>
      <c r="K37" s="50">
        <v>4</v>
      </c>
      <c r="L37" s="50">
        <v>8</v>
      </c>
      <c r="M37" s="50">
        <v>37</v>
      </c>
      <c r="N37" s="50">
        <v>0</v>
      </c>
      <c r="O37" s="15">
        <f t="shared" si="0"/>
        <v>59</v>
      </c>
      <c r="P37" s="15">
        <f t="shared" si="1"/>
        <v>96</v>
      </c>
    </row>
    <row r="38" spans="2:20" ht="23.1" customHeight="1" x14ac:dyDescent="0.25">
      <c r="B38" s="24" t="s">
        <v>65</v>
      </c>
      <c r="C38" s="50">
        <v>15</v>
      </c>
      <c r="D38" s="50">
        <v>7</v>
      </c>
      <c r="E38" s="50">
        <v>7</v>
      </c>
      <c r="F38" s="50">
        <v>18</v>
      </c>
      <c r="G38" s="50">
        <v>1</v>
      </c>
      <c r="H38" s="50">
        <v>0</v>
      </c>
      <c r="I38" s="50">
        <v>6</v>
      </c>
      <c r="J38" s="50">
        <v>3</v>
      </c>
      <c r="K38" s="50">
        <v>7</v>
      </c>
      <c r="L38" s="50">
        <v>7</v>
      </c>
      <c r="M38" s="50">
        <v>39</v>
      </c>
      <c r="N38" s="50">
        <v>0</v>
      </c>
      <c r="O38" s="15">
        <f t="shared" si="0"/>
        <v>71</v>
      </c>
      <c r="P38" s="15">
        <f t="shared" si="1"/>
        <v>110</v>
      </c>
    </row>
    <row r="39" spans="2:20" ht="23.1" customHeight="1" x14ac:dyDescent="0.25">
      <c r="B39" s="24" t="s">
        <v>66</v>
      </c>
      <c r="C39" s="50">
        <v>10</v>
      </c>
      <c r="D39" s="50">
        <v>7</v>
      </c>
      <c r="E39" s="50">
        <v>4</v>
      </c>
      <c r="F39" s="50">
        <v>13</v>
      </c>
      <c r="G39" s="50">
        <v>0</v>
      </c>
      <c r="H39" s="50">
        <v>0</v>
      </c>
      <c r="I39" s="50">
        <v>7</v>
      </c>
      <c r="J39" s="50">
        <v>4</v>
      </c>
      <c r="K39" s="50">
        <v>6</v>
      </c>
      <c r="L39" s="50">
        <v>8</v>
      </c>
      <c r="M39" s="50">
        <v>32</v>
      </c>
      <c r="N39" s="50">
        <v>0</v>
      </c>
      <c r="O39" s="15">
        <f t="shared" si="0"/>
        <v>59</v>
      </c>
      <c r="P39" s="15">
        <f t="shared" si="1"/>
        <v>91</v>
      </c>
    </row>
    <row r="40" spans="2:20" ht="23.1" customHeight="1" x14ac:dyDescent="0.25">
      <c r="B40" s="24" t="s">
        <v>67</v>
      </c>
      <c r="C40" s="50">
        <v>15</v>
      </c>
      <c r="D40" s="50">
        <v>4</v>
      </c>
      <c r="E40" s="50">
        <v>3</v>
      </c>
      <c r="F40" s="50">
        <v>15</v>
      </c>
      <c r="G40" s="50">
        <v>0</v>
      </c>
      <c r="H40" s="50">
        <v>0</v>
      </c>
      <c r="I40" s="50">
        <v>11</v>
      </c>
      <c r="J40" s="50">
        <v>6</v>
      </c>
      <c r="K40" s="50">
        <v>7</v>
      </c>
      <c r="L40" s="50">
        <v>5</v>
      </c>
      <c r="M40" s="50">
        <v>42</v>
      </c>
      <c r="N40" s="50">
        <v>0</v>
      </c>
      <c r="O40" s="15">
        <f t="shared" si="0"/>
        <v>66</v>
      </c>
      <c r="P40" s="15">
        <f t="shared" si="1"/>
        <v>108</v>
      </c>
    </row>
    <row r="41" spans="2:20" ht="23.1" customHeight="1" x14ac:dyDescent="0.25">
      <c r="B41" s="23" t="s">
        <v>68</v>
      </c>
      <c r="C41" s="50">
        <v>12</v>
      </c>
      <c r="D41" s="50">
        <v>2</v>
      </c>
      <c r="E41" s="50">
        <v>3</v>
      </c>
      <c r="F41" s="50">
        <v>16</v>
      </c>
      <c r="G41" s="50">
        <v>0</v>
      </c>
      <c r="H41" s="50">
        <v>0</v>
      </c>
      <c r="I41" s="50">
        <v>3</v>
      </c>
      <c r="J41" s="50">
        <v>2</v>
      </c>
      <c r="K41" s="50">
        <v>3</v>
      </c>
      <c r="L41" s="50">
        <v>5</v>
      </c>
      <c r="M41" s="50">
        <v>32</v>
      </c>
      <c r="N41" s="50">
        <v>0</v>
      </c>
      <c r="O41" s="15">
        <f t="shared" si="0"/>
        <v>46</v>
      </c>
      <c r="P41" s="15">
        <f t="shared" si="1"/>
        <v>78</v>
      </c>
    </row>
    <row r="42" spans="2:20" ht="23.1" customHeight="1" x14ac:dyDescent="0.25">
      <c r="B42" s="24" t="s">
        <v>69</v>
      </c>
      <c r="C42" s="50">
        <v>17</v>
      </c>
      <c r="D42" s="50">
        <v>5</v>
      </c>
      <c r="E42" s="50">
        <v>1</v>
      </c>
      <c r="F42" s="50">
        <v>18</v>
      </c>
      <c r="G42" s="50">
        <v>0</v>
      </c>
      <c r="H42" s="50">
        <v>0</v>
      </c>
      <c r="I42" s="50">
        <v>3</v>
      </c>
      <c r="J42" s="50">
        <v>6</v>
      </c>
      <c r="K42" s="50">
        <v>8</v>
      </c>
      <c r="L42" s="50">
        <v>2</v>
      </c>
      <c r="M42" s="50">
        <v>36</v>
      </c>
      <c r="N42" s="50">
        <v>0</v>
      </c>
      <c r="O42" s="15">
        <f t="shared" si="0"/>
        <v>60</v>
      </c>
      <c r="P42" s="15">
        <f t="shared" si="1"/>
        <v>96</v>
      </c>
    </row>
    <row r="43" spans="2:20" ht="23.1" customHeight="1" x14ac:dyDescent="0.25">
      <c r="B43" s="23" t="s">
        <v>70</v>
      </c>
      <c r="C43" s="50">
        <v>15</v>
      </c>
      <c r="D43" s="50">
        <v>4</v>
      </c>
      <c r="E43" s="50">
        <v>0</v>
      </c>
      <c r="F43" s="50">
        <v>24</v>
      </c>
      <c r="G43" s="50">
        <v>0</v>
      </c>
      <c r="H43" s="50">
        <v>0</v>
      </c>
      <c r="I43" s="50">
        <v>7</v>
      </c>
      <c r="J43" s="50">
        <v>8</v>
      </c>
      <c r="K43" s="50">
        <v>11</v>
      </c>
      <c r="L43" s="50">
        <v>7</v>
      </c>
      <c r="M43" s="50">
        <v>29</v>
      </c>
      <c r="N43" s="50">
        <v>0</v>
      </c>
      <c r="O43" s="15">
        <f t="shared" si="0"/>
        <v>76</v>
      </c>
      <c r="P43" s="15">
        <f t="shared" si="1"/>
        <v>105</v>
      </c>
    </row>
    <row r="44" spans="2:20" ht="23.1" customHeight="1" x14ac:dyDescent="0.25">
      <c r="B44" s="25" t="s">
        <v>71</v>
      </c>
      <c r="C44" s="50">
        <v>19</v>
      </c>
      <c r="D44" s="50">
        <v>6</v>
      </c>
      <c r="E44" s="50">
        <v>3</v>
      </c>
      <c r="F44" s="50">
        <v>22</v>
      </c>
      <c r="G44" s="50">
        <v>1</v>
      </c>
      <c r="H44" s="50">
        <v>0</v>
      </c>
      <c r="I44" s="50">
        <v>4</v>
      </c>
      <c r="J44" s="50">
        <v>0</v>
      </c>
      <c r="K44" s="50">
        <v>8</v>
      </c>
      <c r="L44" s="50">
        <v>1</v>
      </c>
      <c r="M44" s="50">
        <v>37</v>
      </c>
      <c r="N44" s="50">
        <v>0</v>
      </c>
      <c r="O44" s="15">
        <f t="shared" si="0"/>
        <v>64</v>
      </c>
      <c r="P44" s="15">
        <f t="shared" si="1"/>
        <v>101</v>
      </c>
    </row>
    <row r="45" spans="2:20" ht="23.1" customHeight="1" x14ac:dyDescent="0.25">
      <c r="B45" s="23" t="s">
        <v>72</v>
      </c>
      <c r="C45" s="50">
        <v>15</v>
      </c>
      <c r="D45" s="50">
        <v>4</v>
      </c>
      <c r="E45" s="50">
        <v>2</v>
      </c>
      <c r="F45" s="50">
        <v>16</v>
      </c>
      <c r="G45" s="50">
        <v>0</v>
      </c>
      <c r="H45" s="50">
        <v>0</v>
      </c>
      <c r="I45" s="50">
        <v>5</v>
      </c>
      <c r="J45" s="50">
        <v>5</v>
      </c>
      <c r="K45" s="50">
        <v>7</v>
      </c>
      <c r="L45" s="50">
        <v>1</v>
      </c>
      <c r="M45" s="50">
        <v>30</v>
      </c>
      <c r="N45" s="50">
        <v>0</v>
      </c>
      <c r="O45" s="15">
        <f t="shared" si="0"/>
        <v>55</v>
      </c>
      <c r="P45" s="15">
        <f t="shared" si="1"/>
        <v>85</v>
      </c>
    </row>
    <row r="46" spans="2:20" ht="23.1" customHeight="1" x14ac:dyDescent="0.25">
      <c r="B46" s="24" t="s">
        <v>73</v>
      </c>
      <c r="C46" s="50">
        <v>25</v>
      </c>
      <c r="D46" s="50">
        <v>7</v>
      </c>
      <c r="E46" s="50">
        <v>5</v>
      </c>
      <c r="F46" s="50">
        <v>24</v>
      </c>
      <c r="G46" s="50">
        <v>0</v>
      </c>
      <c r="H46" s="50">
        <v>0</v>
      </c>
      <c r="I46" s="50">
        <v>3</v>
      </c>
      <c r="J46" s="50">
        <v>8</v>
      </c>
      <c r="K46" s="50">
        <v>10</v>
      </c>
      <c r="L46" s="50">
        <v>6</v>
      </c>
      <c r="M46" s="50">
        <v>35</v>
      </c>
      <c r="N46" s="50">
        <v>0</v>
      </c>
      <c r="O46" s="15">
        <f t="shared" si="0"/>
        <v>88</v>
      </c>
      <c r="P46" s="15">
        <f t="shared" si="1"/>
        <v>123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9</v>
      </c>
      <c r="E47" s="50">
        <v>5</v>
      </c>
      <c r="F47" s="50">
        <v>15</v>
      </c>
      <c r="G47" s="50">
        <v>0</v>
      </c>
      <c r="H47" s="50">
        <v>0</v>
      </c>
      <c r="I47" s="50">
        <v>1</v>
      </c>
      <c r="J47" s="50">
        <v>11</v>
      </c>
      <c r="K47" s="50">
        <v>4</v>
      </c>
      <c r="L47" s="50">
        <v>5</v>
      </c>
      <c r="M47" s="50">
        <v>29</v>
      </c>
      <c r="N47" s="50">
        <v>0</v>
      </c>
      <c r="O47" s="15">
        <f t="shared" si="0"/>
        <v>67</v>
      </c>
      <c r="P47" s="15">
        <f t="shared" si="1"/>
        <v>96</v>
      </c>
      <c r="R47" s="8"/>
      <c r="T47"/>
    </row>
    <row r="48" spans="2:20" ht="23.1" customHeight="1" x14ac:dyDescent="0.25">
      <c r="B48" s="24" t="s">
        <v>75</v>
      </c>
      <c r="C48" s="50">
        <v>19</v>
      </c>
      <c r="D48" s="50">
        <v>6</v>
      </c>
      <c r="E48" s="50">
        <v>2</v>
      </c>
      <c r="F48" s="50">
        <v>20</v>
      </c>
      <c r="G48" s="50">
        <v>1</v>
      </c>
      <c r="H48" s="50">
        <v>0</v>
      </c>
      <c r="I48" s="50">
        <v>3</v>
      </c>
      <c r="J48" s="50">
        <v>0</v>
      </c>
      <c r="K48" s="50">
        <v>3</v>
      </c>
      <c r="L48" s="50">
        <v>7</v>
      </c>
      <c r="M48" s="50">
        <v>34</v>
      </c>
      <c r="N48" s="50">
        <v>0</v>
      </c>
      <c r="O48" s="15">
        <f t="shared" si="0"/>
        <v>61</v>
      </c>
      <c r="P48" s="15">
        <f t="shared" si="1"/>
        <v>95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6</v>
      </c>
      <c r="E49" s="50">
        <v>2</v>
      </c>
      <c r="F49" s="50">
        <v>15</v>
      </c>
      <c r="G49" s="50">
        <v>2</v>
      </c>
      <c r="H49" s="50">
        <v>0</v>
      </c>
      <c r="I49" s="50">
        <v>1</v>
      </c>
      <c r="J49" s="50">
        <v>10</v>
      </c>
      <c r="K49" s="50">
        <v>3</v>
      </c>
      <c r="L49" s="50">
        <v>5</v>
      </c>
      <c r="M49" s="50">
        <v>50</v>
      </c>
      <c r="N49" s="50">
        <v>0</v>
      </c>
      <c r="O49" s="15">
        <f t="shared" si="0"/>
        <v>61</v>
      </c>
      <c r="P49" s="15">
        <f t="shared" si="1"/>
        <v>111</v>
      </c>
      <c r="R49" s="8"/>
      <c r="T49"/>
    </row>
    <row r="50" spans="2:20" ht="23.1" customHeight="1" x14ac:dyDescent="0.25">
      <c r="B50" s="24" t="s">
        <v>77</v>
      </c>
      <c r="C50" s="50">
        <v>25</v>
      </c>
      <c r="D50" s="50">
        <v>5</v>
      </c>
      <c r="E50" s="50">
        <v>1</v>
      </c>
      <c r="F50" s="50">
        <v>26</v>
      </c>
      <c r="G50" s="50">
        <v>0</v>
      </c>
      <c r="H50" s="50">
        <v>0</v>
      </c>
      <c r="I50" s="50">
        <v>3</v>
      </c>
      <c r="J50" s="50">
        <v>7</v>
      </c>
      <c r="K50" s="50">
        <v>6</v>
      </c>
      <c r="L50" s="50">
        <v>7</v>
      </c>
      <c r="M50" s="50">
        <v>42</v>
      </c>
      <c r="N50" s="50">
        <v>0</v>
      </c>
      <c r="O50" s="15">
        <f t="shared" si="0"/>
        <v>80</v>
      </c>
      <c r="P50" s="15">
        <f t="shared" si="1"/>
        <v>122</v>
      </c>
      <c r="R50" s="8"/>
      <c r="T50"/>
    </row>
    <row r="51" spans="2:20" ht="23.1" customHeight="1" x14ac:dyDescent="0.25">
      <c r="B51" s="24" t="s">
        <v>78</v>
      </c>
      <c r="C51" s="50">
        <v>22</v>
      </c>
      <c r="D51" s="50">
        <v>6</v>
      </c>
      <c r="E51" s="50">
        <v>2</v>
      </c>
      <c r="F51" s="50">
        <v>26</v>
      </c>
      <c r="G51" s="50">
        <v>0</v>
      </c>
      <c r="H51" s="50">
        <v>0</v>
      </c>
      <c r="I51" s="50">
        <v>2</v>
      </c>
      <c r="J51" s="50">
        <v>11</v>
      </c>
      <c r="K51" s="50">
        <v>4</v>
      </c>
      <c r="L51" s="50">
        <v>4</v>
      </c>
      <c r="M51" s="50">
        <v>55</v>
      </c>
      <c r="N51" s="50">
        <v>0</v>
      </c>
      <c r="O51" s="15">
        <f t="shared" si="0"/>
        <v>77</v>
      </c>
      <c r="P51" s="15">
        <f t="shared" si="1"/>
        <v>132</v>
      </c>
      <c r="R51" s="8"/>
      <c r="T51"/>
    </row>
    <row r="52" spans="2:20" ht="23.1" customHeight="1" x14ac:dyDescent="0.25">
      <c r="B52" s="24" t="s">
        <v>79</v>
      </c>
      <c r="C52" s="50">
        <v>32</v>
      </c>
      <c r="D52" s="50">
        <v>4</v>
      </c>
      <c r="E52" s="50">
        <v>3</v>
      </c>
      <c r="F52" s="50">
        <v>21</v>
      </c>
      <c r="G52" s="50">
        <v>0</v>
      </c>
      <c r="H52" s="50">
        <v>0</v>
      </c>
      <c r="I52" s="50">
        <v>2</v>
      </c>
      <c r="J52" s="50">
        <v>11</v>
      </c>
      <c r="K52" s="50">
        <v>5</v>
      </c>
      <c r="L52" s="50">
        <v>6</v>
      </c>
      <c r="M52" s="50">
        <v>41</v>
      </c>
      <c r="N52" s="50">
        <v>0</v>
      </c>
      <c r="O52" s="15">
        <f t="shared" si="0"/>
        <v>84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6</v>
      </c>
      <c r="E53" s="50">
        <v>4</v>
      </c>
      <c r="F53" s="50">
        <v>29</v>
      </c>
      <c r="G53" s="50">
        <v>0</v>
      </c>
      <c r="H53" s="50">
        <v>0</v>
      </c>
      <c r="I53" s="50">
        <v>2</v>
      </c>
      <c r="J53" s="50">
        <v>19</v>
      </c>
      <c r="K53" s="50">
        <v>2</v>
      </c>
      <c r="L53" s="50">
        <v>1</v>
      </c>
      <c r="M53" s="50">
        <v>50</v>
      </c>
      <c r="N53" s="50">
        <v>0</v>
      </c>
      <c r="O53" s="15">
        <f t="shared" si="0"/>
        <v>81</v>
      </c>
      <c r="P53" s="15">
        <f t="shared" si="1"/>
        <v>131</v>
      </c>
      <c r="R53" s="8"/>
      <c r="T53"/>
    </row>
    <row r="54" spans="2:20" ht="23.1" customHeight="1" x14ac:dyDescent="0.25">
      <c r="B54" s="23" t="s">
        <v>81</v>
      </c>
      <c r="C54" s="50">
        <v>35</v>
      </c>
      <c r="D54" s="50">
        <v>6</v>
      </c>
      <c r="E54" s="50">
        <v>3</v>
      </c>
      <c r="F54" s="50">
        <v>35</v>
      </c>
      <c r="G54" s="50">
        <v>0</v>
      </c>
      <c r="H54" s="50">
        <v>0</v>
      </c>
      <c r="I54" s="50">
        <v>3</v>
      </c>
      <c r="J54" s="50">
        <v>9</v>
      </c>
      <c r="K54" s="50">
        <v>3</v>
      </c>
      <c r="L54" s="50">
        <v>4</v>
      </c>
      <c r="M54" s="50">
        <v>61</v>
      </c>
      <c r="N54" s="50">
        <v>0</v>
      </c>
      <c r="O54" s="15">
        <f t="shared" si="0"/>
        <v>98</v>
      </c>
      <c r="P54" s="15">
        <f t="shared" si="1"/>
        <v>159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5</v>
      </c>
      <c r="E55" s="50">
        <v>2</v>
      </c>
      <c r="F55" s="50">
        <v>34</v>
      </c>
      <c r="G55" s="50">
        <v>2</v>
      </c>
      <c r="H55" s="50">
        <v>0</v>
      </c>
      <c r="I55" s="50">
        <v>3</v>
      </c>
      <c r="J55" s="50">
        <v>6</v>
      </c>
      <c r="K55" s="50">
        <v>1</v>
      </c>
      <c r="L55" s="50">
        <v>0</v>
      </c>
      <c r="M55" s="50">
        <v>69</v>
      </c>
      <c r="N55" s="50">
        <v>0</v>
      </c>
      <c r="O55" s="15">
        <f t="shared" si="0"/>
        <v>94</v>
      </c>
      <c r="P55" s="15">
        <f t="shared" si="1"/>
        <v>163</v>
      </c>
      <c r="R55" s="8"/>
      <c r="T55"/>
    </row>
    <row r="56" spans="2:20" ht="23.1" customHeight="1" x14ac:dyDescent="0.25">
      <c r="B56" s="23" t="s">
        <v>83</v>
      </c>
      <c r="C56" s="50">
        <v>26</v>
      </c>
      <c r="D56" s="50">
        <v>6</v>
      </c>
      <c r="E56" s="50">
        <v>3</v>
      </c>
      <c r="F56" s="50">
        <v>31</v>
      </c>
      <c r="G56" s="50">
        <v>0</v>
      </c>
      <c r="H56" s="50">
        <v>0</v>
      </c>
      <c r="I56" s="50">
        <v>1</v>
      </c>
      <c r="J56" s="50">
        <v>9</v>
      </c>
      <c r="K56" s="50">
        <v>3</v>
      </c>
      <c r="L56" s="50">
        <v>7</v>
      </c>
      <c r="M56" s="50">
        <v>63</v>
      </c>
      <c r="N56" s="50">
        <v>0</v>
      </c>
      <c r="O56" s="15">
        <f t="shared" si="0"/>
        <v>86</v>
      </c>
      <c r="P56" s="15">
        <f t="shared" si="1"/>
        <v>149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8</v>
      </c>
      <c r="E57" s="50">
        <v>2</v>
      </c>
      <c r="F57" s="50">
        <v>30</v>
      </c>
      <c r="G57" s="50">
        <v>0</v>
      </c>
      <c r="H57" s="50">
        <v>0</v>
      </c>
      <c r="I57" s="50">
        <v>2</v>
      </c>
      <c r="J57" s="50">
        <v>8</v>
      </c>
      <c r="K57" s="50">
        <v>2</v>
      </c>
      <c r="L57" s="50">
        <v>1</v>
      </c>
      <c r="M57" s="50">
        <v>64</v>
      </c>
      <c r="N57" s="50">
        <v>0</v>
      </c>
      <c r="O57" s="15">
        <f t="shared" si="0"/>
        <v>75</v>
      </c>
      <c r="P57" s="15">
        <f t="shared" si="1"/>
        <v>139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1117</v>
      </c>
      <c r="D58" s="16">
        <f t="shared" si="21"/>
        <v>361</v>
      </c>
      <c r="E58" s="16">
        <f t="shared" si="21"/>
        <v>206</v>
      </c>
      <c r="F58" s="16">
        <f t="shared" si="21"/>
        <v>1024</v>
      </c>
      <c r="G58" s="16">
        <f t="shared" si="21"/>
        <v>23</v>
      </c>
      <c r="H58" s="16">
        <f t="shared" si="21"/>
        <v>3</v>
      </c>
      <c r="I58" s="16">
        <f t="shared" si="21"/>
        <v>154</v>
      </c>
      <c r="J58" s="16">
        <f t="shared" si="21"/>
        <v>359</v>
      </c>
      <c r="K58" s="16">
        <f t="shared" si="21"/>
        <v>224</v>
      </c>
      <c r="L58" s="16">
        <f t="shared" si="21"/>
        <v>234</v>
      </c>
      <c r="M58" s="16">
        <f t="shared" si="21"/>
        <v>1910</v>
      </c>
      <c r="N58" s="16">
        <f t="shared" si="21"/>
        <v>2</v>
      </c>
      <c r="O58" s="16">
        <f t="shared" si="21"/>
        <v>3707</v>
      </c>
      <c r="P58" s="16">
        <f t="shared" si="21"/>
        <v>5617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0.19886060174470357</v>
      </c>
      <c r="D59" s="43">
        <f t="shared" si="22"/>
        <v>6.4269182837813785E-2</v>
      </c>
      <c r="E59" s="43">
        <f t="shared" si="22"/>
        <v>3.6674381342353568E-2</v>
      </c>
      <c r="F59" s="43">
        <f t="shared" si="22"/>
        <v>0.18230372084742746</v>
      </c>
      <c r="G59" s="43">
        <f t="shared" si="22"/>
        <v>4.0947124799715151E-3</v>
      </c>
      <c r="H59" s="43">
        <f t="shared" si="22"/>
        <v>5.3409293217019759E-4</v>
      </c>
      <c r="I59" s="43">
        <f t="shared" si="22"/>
        <v>2.7416770518070146E-2</v>
      </c>
      <c r="J59" s="43">
        <f t="shared" si="22"/>
        <v>6.391312088303365E-2</v>
      </c>
      <c r="K59" s="43">
        <f t="shared" si="22"/>
        <v>3.9878938935374753E-2</v>
      </c>
      <c r="L59" s="43">
        <f t="shared" si="22"/>
        <v>4.1659248709275412E-2</v>
      </c>
      <c r="M59" s="43">
        <f t="shared" si="22"/>
        <v>0.34003916681502583</v>
      </c>
      <c r="N59" s="43">
        <f t="shared" si="22"/>
        <v>3.5606195478013177E-4</v>
      </c>
      <c r="R59" s="8"/>
      <c r="T59"/>
    </row>
    <row r="60" spans="2:20" ht="23.1" customHeight="1" x14ac:dyDescent="0.25">
      <c r="B60" s="42" t="s">
        <v>94</v>
      </c>
      <c r="C60" s="44">
        <f>C58/$O$58</f>
        <v>0.30132182357701648</v>
      </c>
      <c r="D60" s="44">
        <f t="shared" ref="D60:N60" si="23">D58/$O$58</f>
        <v>9.7383328837334776E-2</v>
      </c>
      <c r="E60" s="44">
        <f t="shared" si="23"/>
        <v>5.5570542217426487E-2</v>
      </c>
      <c r="F60" s="44">
        <f t="shared" si="23"/>
        <v>0.27623415160507148</v>
      </c>
      <c r="G60" s="44">
        <f t="shared" si="23"/>
        <v>6.2044780145670353E-3</v>
      </c>
      <c r="H60" s="44">
        <f t="shared" si="23"/>
        <v>8.0927974103048284E-4</v>
      </c>
      <c r="I60" s="44">
        <f t="shared" si="23"/>
        <v>4.1543026706231452E-2</v>
      </c>
      <c r="J60" s="44">
        <f t="shared" si="23"/>
        <v>9.6843809009981116E-2</v>
      </c>
      <c r="K60" s="44">
        <f t="shared" si="23"/>
        <v>6.0426220663609385E-2</v>
      </c>
      <c r="L60" s="44">
        <f t="shared" si="23"/>
        <v>6.3123819800377665E-2</v>
      </c>
      <c r="M60" s="44"/>
      <c r="N60" s="44">
        <f t="shared" si="23"/>
        <v>5.3951982735365523E-4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3</v>
      </c>
      <c r="E10" s="50">
        <v>4</v>
      </c>
      <c r="F10" s="50">
        <v>31</v>
      </c>
      <c r="G10" s="50">
        <v>1</v>
      </c>
      <c r="H10" s="50">
        <v>0</v>
      </c>
      <c r="I10" s="50">
        <v>4</v>
      </c>
      <c r="J10" s="50">
        <v>5</v>
      </c>
      <c r="K10" s="50">
        <v>4</v>
      </c>
      <c r="L10" s="50">
        <v>3</v>
      </c>
      <c r="M10" s="50">
        <v>26</v>
      </c>
      <c r="N10" s="50">
        <v>0</v>
      </c>
      <c r="O10" s="15">
        <f t="shared" ref="O10:O57" si="0">SUM(C10:L10,N10)</f>
        <v>78</v>
      </c>
      <c r="P10" s="15">
        <f t="shared" ref="P10:P57" si="1">SUM(C10:N10)</f>
        <v>104</v>
      </c>
      <c r="R10" s="1" t="s">
        <v>6</v>
      </c>
      <c r="S10" s="17">
        <f t="shared" ref="S10:AF10" si="2">SUM(C10:C13)</f>
        <v>94</v>
      </c>
      <c r="T10" s="17">
        <f t="shared" si="2"/>
        <v>29</v>
      </c>
      <c r="U10" s="17">
        <f t="shared" si="2"/>
        <v>23</v>
      </c>
      <c r="V10" s="17">
        <f t="shared" si="2"/>
        <v>122</v>
      </c>
      <c r="W10" s="17">
        <f t="shared" si="2"/>
        <v>4</v>
      </c>
      <c r="X10" s="17">
        <f t="shared" si="2"/>
        <v>1</v>
      </c>
      <c r="Y10" s="17">
        <f t="shared" si="2"/>
        <v>21</v>
      </c>
      <c r="Z10" s="17">
        <f t="shared" si="2"/>
        <v>10</v>
      </c>
      <c r="AA10" s="17">
        <f t="shared" si="2"/>
        <v>18</v>
      </c>
      <c r="AB10" s="17">
        <f t="shared" si="2"/>
        <v>7</v>
      </c>
      <c r="AC10" s="17">
        <f t="shared" si="2"/>
        <v>116</v>
      </c>
      <c r="AD10" s="17">
        <f t="shared" si="2"/>
        <v>0</v>
      </c>
      <c r="AE10" s="31">
        <f t="shared" si="2"/>
        <v>329</v>
      </c>
      <c r="AF10" s="31">
        <f t="shared" si="2"/>
        <v>445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8</v>
      </c>
      <c r="E11" s="50">
        <v>8</v>
      </c>
      <c r="F11" s="50">
        <v>33</v>
      </c>
      <c r="G11" s="50">
        <v>1</v>
      </c>
      <c r="H11" s="50">
        <v>0</v>
      </c>
      <c r="I11" s="50">
        <v>8</v>
      </c>
      <c r="J11" s="50">
        <v>1</v>
      </c>
      <c r="K11" s="50">
        <v>6</v>
      </c>
      <c r="L11" s="50">
        <v>2</v>
      </c>
      <c r="M11" s="50">
        <v>35</v>
      </c>
      <c r="N11" s="50">
        <v>0</v>
      </c>
      <c r="O11" s="15">
        <f t="shared" si="0"/>
        <v>88</v>
      </c>
      <c r="P11" s="15">
        <f t="shared" si="1"/>
        <v>123</v>
      </c>
      <c r="R11" s="1" t="s">
        <v>7</v>
      </c>
      <c r="S11" s="17">
        <f t="shared" ref="S11:AF11" si="3">SUM(C14:C17)</f>
        <v>107</v>
      </c>
      <c r="T11" s="17">
        <f t="shared" si="3"/>
        <v>70</v>
      </c>
      <c r="U11" s="17">
        <f t="shared" si="3"/>
        <v>17</v>
      </c>
      <c r="V11" s="17">
        <f t="shared" si="3"/>
        <v>153</v>
      </c>
      <c r="W11" s="17">
        <f t="shared" si="3"/>
        <v>1</v>
      </c>
      <c r="X11" s="17">
        <f t="shared" si="3"/>
        <v>0</v>
      </c>
      <c r="Y11" s="17">
        <f t="shared" si="3"/>
        <v>24</v>
      </c>
      <c r="Z11" s="17">
        <f t="shared" si="3"/>
        <v>16</v>
      </c>
      <c r="AA11" s="17">
        <f t="shared" si="3"/>
        <v>19</v>
      </c>
      <c r="AB11" s="17">
        <f t="shared" si="3"/>
        <v>2</v>
      </c>
      <c r="AC11" s="17">
        <f t="shared" si="3"/>
        <v>160</v>
      </c>
      <c r="AD11" s="17">
        <f t="shared" si="3"/>
        <v>0</v>
      </c>
      <c r="AE11" s="31">
        <f t="shared" si="3"/>
        <v>409</v>
      </c>
      <c r="AF11" s="31">
        <f t="shared" si="3"/>
        <v>569</v>
      </c>
    </row>
    <row r="12" spans="2:32" ht="23.1" customHeight="1" x14ac:dyDescent="0.25">
      <c r="B12" s="23" t="s">
        <v>39</v>
      </c>
      <c r="C12" s="50">
        <v>30</v>
      </c>
      <c r="D12" s="50">
        <v>9</v>
      </c>
      <c r="E12" s="50">
        <v>3</v>
      </c>
      <c r="F12" s="50">
        <v>31</v>
      </c>
      <c r="G12" s="50">
        <v>2</v>
      </c>
      <c r="H12" s="50">
        <v>1</v>
      </c>
      <c r="I12" s="50">
        <v>6</v>
      </c>
      <c r="J12" s="50">
        <v>1</v>
      </c>
      <c r="K12" s="50">
        <v>4</v>
      </c>
      <c r="L12" s="50">
        <v>1</v>
      </c>
      <c r="M12" s="50">
        <v>23</v>
      </c>
      <c r="N12" s="50">
        <v>0</v>
      </c>
      <c r="O12" s="15">
        <f t="shared" si="0"/>
        <v>88</v>
      </c>
      <c r="P12" s="15">
        <f t="shared" si="1"/>
        <v>111</v>
      </c>
      <c r="R12" s="1" t="s">
        <v>8</v>
      </c>
      <c r="S12" s="17">
        <f t="shared" ref="S12:AF12" si="4">SUM(C18:C21)</f>
        <v>75</v>
      </c>
      <c r="T12" s="17">
        <f t="shared" si="4"/>
        <v>20</v>
      </c>
      <c r="U12" s="17">
        <f t="shared" si="4"/>
        <v>16</v>
      </c>
      <c r="V12" s="17">
        <f t="shared" si="4"/>
        <v>121</v>
      </c>
      <c r="W12" s="17">
        <f t="shared" si="4"/>
        <v>0</v>
      </c>
      <c r="X12" s="17">
        <f t="shared" si="4"/>
        <v>0</v>
      </c>
      <c r="Y12" s="17">
        <f t="shared" si="4"/>
        <v>25</v>
      </c>
      <c r="Z12" s="17">
        <f t="shared" si="4"/>
        <v>8</v>
      </c>
      <c r="AA12" s="17">
        <f t="shared" si="4"/>
        <v>28</v>
      </c>
      <c r="AB12" s="17">
        <f t="shared" si="4"/>
        <v>5</v>
      </c>
      <c r="AC12" s="17">
        <f t="shared" si="4"/>
        <v>170</v>
      </c>
      <c r="AD12" s="17">
        <f t="shared" si="4"/>
        <v>0</v>
      </c>
      <c r="AE12" s="31">
        <f t="shared" si="4"/>
        <v>298</v>
      </c>
      <c r="AF12" s="31">
        <f t="shared" si="4"/>
        <v>468</v>
      </c>
    </row>
    <row r="13" spans="2:32" ht="23.1" customHeight="1" x14ac:dyDescent="0.25">
      <c r="B13" s="23" t="s">
        <v>40</v>
      </c>
      <c r="C13" s="50">
        <v>20</v>
      </c>
      <c r="D13" s="50">
        <v>9</v>
      </c>
      <c r="E13" s="50">
        <v>8</v>
      </c>
      <c r="F13" s="50">
        <v>27</v>
      </c>
      <c r="G13" s="50">
        <v>0</v>
      </c>
      <c r="H13" s="50">
        <v>0</v>
      </c>
      <c r="I13" s="50">
        <v>3</v>
      </c>
      <c r="J13" s="50">
        <v>3</v>
      </c>
      <c r="K13" s="50">
        <v>4</v>
      </c>
      <c r="L13" s="50">
        <v>1</v>
      </c>
      <c r="M13" s="50">
        <v>32</v>
      </c>
      <c r="N13" s="50">
        <v>0</v>
      </c>
      <c r="O13" s="15">
        <f t="shared" si="0"/>
        <v>75</v>
      </c>
      <c r="P13" s="15">
        <f t="shared" si="1"/>
        <v>107</v>
      </c>
      <c r="R13" s="1" t="s">
        <v>9</v>
      </c>
      <c r="S13" s="17">
        <f t="shared" ref="S13:AF13" si="5">SUM(C22:C25)</f>
        <v>81</v>
      </c>
      <c r="T13" s="17">
        <f t="shared" si="5"/>
        <v>17</v>
      </c>
      <c r="U13" s="17">
        <f t="shared" si="5"/>
        <v>11</v>
      </c>
      <c r="V13" s="17">
        <f t="shared" si="5"/>
        <v>91</v>
      </c>
      <c r="W13" s="17">
        <f t="shared" si="5"/>
        <v>1</v>
      </c>
      <c r="X13" s="17">
        <f t="shared" si="5"/>
        <v>1</v>
      </c>
      <c r="Y13" s="17">
        <f t="shared" si="5"/>
        <v>31</v>
      </c>
      <c r="Z13" s="17">
        <f t="shared" si="5"/>
        <v>6</v>
      </c>
      <c r="AA13" s="17">
        <f t="shared" si="5"/>
        <v>40</v>
      </c>
      <c r="AB13" s="17">
        <f t="shared" si="5"/>
        <v>13</v>
      </c>
      <c r="AC13" s="17">
        <f t="shared" si="5"/>
        <v>163</v>
      </c>
      <c r="AD13" s="17">
        <f t="shared" si="5"/>
        <v>0</v>
      </c>
      <c r="AE13" s="31">
        <f t="shared" si="5"/>
        <v>292</v>
      </c>
      <c r="AF13" s="31">
        <f t="shared" si="5"/>
        <v>455</v>
      </c>
    </row>
    <row r="14" spans="2:32" ht="23.1" customHeight="1" x14ac:dyDescent="0.25">
      <c r="B14" s="23" t="s">
        <v>41</v>
      </c>
      <c r="C14" s="50">
        <v>41</v>
      </c>
      <c r="D14" s="50">
        <v>23</v>
      </c>
      <c r="E14" s="50">
        <v>9</v>
      </c>
      <c r="F14" s="50">
        <v>45</v>
      </c>
      <c r="G14" s="50">
        <v>1</v>
      </c>
      <c r="H14" s="50">
        <v>0</v>
      </c>
      <c r="I14" s="50">
        <v>6</v>
      </c>
      <c r="J14" s="50">
        <v>7</v>
      </c>
      <c r="K14" s="50">
        <v>5</v>
      </c>
      <c r="L14" s="50">
        <v>0</v>
      </c>
      <c r="M14" s="50">
        <v>44</v>
      </c>
      <c r="N14" s="50">
        <v>0</v>
      </c>
      <c r="O14" s="15">
        <f t="shared" si="0"/>
        <v>137</v>
      </c>
      <c r="P14" s="15">
        <f t="shared" si="1"/>
        <v>181</v>
      </c>
      <c r="R14" s="1" t="s">
        <v>10</v>
      </c>
      <c r="S14" s="17">
        <f t="shared" ref="S14:AF14" si="6">SUM(C26:C29)</f>
        <v>66</v>
      </c>
      <c r="T14" s="17">
        <f t="shared" si="6"/>
        <v>24</v>
      </c>
      <c r="U14" s="17">
        <f t="shared" si="6"/>
        <v>11</v>
      </c>
      <c r="V14" s="17">
        <f t="shared" si="6"/>
        <v>65</v>
      </c>
      <c r="W14" s="17">
        <f t="shared" si="6"/>
        <v>1</v>
      </c>
      <c r="X14" s="17">
        <f t="shared" si="6"/>
        <v>0</v>
      </c>
      <c r="Y14" s="17">
        <f t="shared" si="6"/>
        <v>17</v>
      </c>
      <c r="Z14" s="17">
        <f t="shared" si="6"/>
        <v>14</v>
      </c>
      <c r="AA14" s="17">
        <f t="shared" si="6"/>
        <v>19</v>
      </c>
      <c r="AB14" s="17">
        <f t="shared" si="6"/>
        <v>20</v>
      </c>
      <c r="AC14" s="17">
        <f t="shared" si="6"/>
        <v>145</v>
      </c>
      <c r="AD14" s="17">
        <f t="shared" si="6"/>
        <v>0</v>
      </c>
      <c r="AE14" s="31">
        <f t="shared" si="6"/>
        <v>237</v>
      </c>
      <c r="AF14" s="31">
        <f t="shared" si="6"/>
        <v>382</v>
      </c>
    </row>
    <row r="15" spans="2:32" ht="23.1" customHeight="1" x14ac:dyDescent="0.25">
      <c r="B15" s="23" t="s">
        <v>42</v>
      </c>
      <c r="C15" s="50">
        <v>21</v>
      </c>
      <c r="D15" s="50">
        <v>13</v>
      </c>
      <c r="E15" s="50">
        <v>5</v>
      </c>
      <c r="F15" s="50">
        <v>31</v>
      </c>
      <c r="G15" s="50">
        <v>0</v>
      </c>
      <c r="H15" s="50">
        <v>0</v>
      </c>
      <c r="I15" s="50">
        <v>7</v>
      </c>
      <c r="J15" s="50">
        <v>2</v>
      </c>
      <c r="K15" s="50">
        <v>3</v>
      </c>
      <c r="L15" s="50">
        <v>1</v>
      </c>
      <c r="M15" s="50">
        <v>41</v>
      </c>
      <c r="N15" s="50">
        <v>0</v>
      </c>
      <c r="O15" s="15">
        <f t="shared" si="0"/>
        <v>83</v>
      </c>
      <c r="P15" s="15">
        <f t="shared" si="1"/>
        <v>124</v>
      </c>
      <c r="R15" s="1" t="s">
        <v>11</v>
      </c>
      <c r="S15" s="17">
        <f t="shared" ref="S15:AF15" si="7">SUM(C30:C33)</f>
        <v>57</v>
      </c>
      <c r="T15" s="17">
        <f t="shared" si="7"/>
        <v>24</v>
      </c>
      <c r="U15" s="17">
        <f t="shared" si="7"/>
        <v>18</v>
      </c>
      <c r="V15" s="17">
        <f t="shared" si="7"/>
        <v>77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7</v>
      </c>
      <c r="AA15" s="17">
        <f t="shared" si="7"/>
        <v>19</v>
      </c>
      <c r="AB15" s="17">
        <f t="shared" si="7"/>
        <v>20</v>
      </c>
      <c r="AC15" s="17">
        <f t="shared" si="7"/>
        <v>150</v>
      </c>
      <c r="AD15" s="17">
        <f t="shared" si="7"/>
        <v>0</v>
      </c>
      <c r="AE15" s="31">
        <f t="shared" si="7"/>
        <v>238</v>
      </c>
      <c r="AF15" s="31">
        <f t="shared" si="7"/>
        <v>388</v>
      </c>
    </row>
    <row r="16" spans="2:32" ht="23.1" customHeight="1" x14ac:dyDescent="0.25">
      <c r="B16" s="23" t="s">
        <v>43</v>
      </c>
      <c r="C16" s="50">
        <v>23</v>
      </c>
      <c r="D16" s="50">
        <v>25</v>
      </c>
      <c r="E16" s="50">
        <v>2</v>
      </c>
      <c r="F16" s="50">
        <v>36</v>
      </c>
      <c r="G16" s="50">
        <v>0</v>
      </c>
      <c r="H16" s="50">
        <v>0</v>
      </c>
      <c r="I16" s="50">
        <v>6</v>
      </c>
      <c r="J16" s="50">
        <v>5</v>
      </c>
      <c r="K16" s="50">
        <v>5</v>
      </c>
      <c r="L16" s="50">
        <v>0</v>
      </c>
      <c r="M16" s="50">
        <v>32</v>
      </c>
      <c r="N16" s="50">
        <v>0</v>
      </c>
      <c r="O16" s="15">
        <f t="shared" si="0"/>
        <v>102</v>
      </c>
      <c r="P16" s="15">
        <f t="shared" si="1"/>
        <v>134</v>
      </c>
      <c r="R16" s="1" t="s">
        <v>12</v>
      </c>
      <c r="S16" s="17">
        <f t="shared" ref="S16:AF16" si="8">SUM(C34:C37)</f>
        <v>42</v>
      </c>
      <c r="T16" s="17">
        <f t="shared" si="8"/>
        <v>29</v>
      </c>
      <c r="U16" s="17">
        <f t="shared" si="8"/>
        <v>13</v>
      </c>
      <c r="V16" s="17">
        <f t="shared" si="8"/>
        <v>55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19</v>
      </c>
      <c r="AA16" s="17">
        <f t="shared" si="8"/>
        <v>16</v>
      </c>
      <c r="AB16" s="17">
        <f t="shared" si="8"/>
        <v>28</v>
      </c>
      <c r="AC16" s="17">
        <f t="shared" si="8"/>
        <v>142</v>
      </c>
      <c r="AD16" s="17">
        <f t="shared" si="8"/>
        <v>0</v>
      </c>
      <c r="AE16" s="31">
        <f t="shared" si="8"/>
        <v>221</v>
      </c>
      <c r="AF16" s="31">
        <f t="shared" si="8"/>
        <v>363</v>
      </c>
    </row>
    <row r="17" spans="2:32" ht="23.1" customHeight="1" x14ac:dyDescent="0.25">
      <c r="B17" s="23" t="s">
        <v>44</v>
      </c>
      <c r="C17" s="50">
        <v>22</v>
      </c>
      <c r="D17" s="50">
        <v>9</v>
      </c>
      <c r="E17" s="50">
        <v>1</v>
      </c>
      <c r="F17" s="50">
        <v>41</v>
      </c>
      <c r="G17" s="50">
        <v>0</v>
      </c>
      <c r="H17" s="50">
        <v>0</v>
      </c>
      <c r="I17" s="50">
        <v>5</v>
      </c>
      <c r="J17" s="50">
        <v>2</v>
      </c>
      <c r="K17" s="50">
        <v>6</v>
      </c>
      <c r="L17" s="50">
        <v>1</v>
      </c>
      <c r="M17" s="50">
        <v>43</v>
      </c>
      <c r="N17" s="50">
        <v>0</v>
      </c>
      <c r="O17" s="15">
        <f t="shared" si="0"/>
        <v>87</v>
      </c>
      <c r="P17" s="15">
        <f t="shared" si="1"/>
        <v>130</v>
      </c>
      <c r="R17" s="1" t="s">
        <v>13</v>
      </c>
      <c r="S17" s="17">
        <f t="shared" ref="S17:AF17" si="9">SUM(C38:C41)</f>
        <v>44</v>
      </c>
      <c r="T17" s="17">
        <f t="shared" si="9"/>
        <v>24</v>
      </c>
      <c r="U17" s="17">
        <f t="shared" si="9"/>
        <v>18</v>
      </c>
      <c r="V17" s="17">
        <f t="shared" si="9"/>
        <v>74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16</v>
      </c>
      <c r="AA17" s="17">
        <f t="shared" si="9"/>
        <v>14</v>
      </c>
      <c r="AB17" s="17">
        <f t="shared" si="9"/>
        <v>29</v>
      </c>
      <c r="AC17" s="17">
        <f t="shared" si="9"/>
        <v>136</v>
      </c>
      <c r="AD17" s="17">
        <f t="shared" si="9"/>
        <v>0</v>
      </c>
      <c r="AE17" s="31">
        <f t="shared" si="9"/>
        <v>241</v>
      </c>
      <c r="AF17" s="31">
        <f t="shared" si="9"/>
        <v>377</v>
      </c>
    </row>
    <row r="18" spans="2:32" ht="23.1" customHeight="1" x14ac:dyDescent="0.25">
      <c r="B18" s="23" t="s">
        <v>45</v>
      </c>
      <c r="C18" s="50">
        <v>21</v>
      </c>
      <c r="D18" s="50">
        <v>4</v>
      </c>
      <c r="E18" s="50">
        <v>5</v>
      </c>
      <c r="F18" s="50">
        <v>34</v>
      </c>
      <c r="G18" s="50">
        <v>0</v>
      </c>
      <c r="H18" s="50">
        <v>0</v>
      </c>
      <c r="I18" s="50">
        <v>7</v>
      </c>
      <c r="J18" s="50">
        <v>2</v>
      </c>
      <c r="K18" s="50">
        <v>7</v>
      </c>
      <c r="L18" s="50">
        <v>1</v>
      </c>
      <c r="M18" s="50">
        <v>60</v>
      </c>
      <c r="N18" s="50">
        <v>0</v>
      </c>
      <c r="O18" s="15">
        <f t="shared" si="0"/>
        <v>81</v>
      </c>
      <c r="P18" s="15">
        <f t="shared" si="1"/>
        <v>141</v>
      </c>
      <c r="R18" s="1" t="s">
        <v>14</v>
      </c>
      <c r="S18" s="17">
        <f t="shared" ref="S18:AF18" si="10">SUM(C42:C45)</f>
        <v>71</v>
      </c>
      <c r="T18" s="17">
        <f t="shared" si="10"/>
        <v>39</v>
      </c>
      <c r="U18" s="17">
        <f t="shared" si="10"/>
        <v>19</v>
      </c>
      <c r="V18" s="17">
        <f t="shared" si="10"/>
        <v>89</v>
      </c>
      <c r="W18" s="17">
        <f t="shared" si="10"/>
        <v>1</v>
      </c>
      <c r="X18" s="17">
        <f t="shared" si="10"/>
        <v>0</v>
      </c>
      <c r="Y18" s="17">
        <f t="shared" si="10"/>
        <v>32</v>
      </c>
      <c r="Z18" s="17">
        <f t="shared" si="10"/>
        <v>19</v>
      </c>
      <c r="AA18" s="17">
        <f t="shared" si="10"/>
        <v>22</v>
      </c>
      <c r="AB18" s="17">
        <f t="shared" si="10"/>
        <v>20</v>
      </c>
      <c r="AC18" s="17">
        <f t="shared" si="10"/>
        <v>127</v>
      </c>
      <c r="AD18" s="17">
        <f t="shared" si="10"/>
        <v>0</v>
      </c>
      <c r="AE18" s="31">
        <f t="shared" si="10"/>
        <v>312</v>
      </c>
      <c r="AF18" s="31">
        <f t="shared" si="10"/>
        <v>439</v>
      </c>
    </row>
    <row r="19" spans="2:32" ht="23.1" customHeight="1" x14ac:dyDescent="0.25">
      <c r="B19" s="23" t="s">
        <v>46</v>
      </c>
      <c r="C19" s="50">
        <v>15</v>
      </c>
      <c r="D19" s="50">
        <v>6</v>
      </c>
      <c r="E19" s="50">
        <v>6</v>
      </c>
      <c r="F19" s="50">
        <v>36</v>
      </c>
      <c r="G19" s="50">
        <v>0</v>
      </c>
      <c r="H19" s="50">
        <v>0</v>
      </c>
      <c r="I19" s="50">
        <v>16</v>
      </c>
      <c r="J19" s="50">
        <v>3</v>
      </c>
      <c r="K19" s="50">
        <v>6</v>
      </c>
      <c r="L19" s="50">
        <v>2</v>
      </c>
      <c r="M19" s="50">
        <v>42</v>
      </c>
      <c r="N19" s="50">
        <v>0</v>
      </c>
      <c r="O19" s="15">
        <f t="shared" si="0"/>
        <v>90</v>
      </c>
      <c r="P19" s="15">
        <f t="shared" si="1"/>
        <v>132</v>
      </c>
      <c r="R19" s="1" t="s">
        <v>15</v>
      </c>
      <c r="S19" s="17">
        <f t="shared" ref="S19:AF19" si="11">SUM(C46:C49)</f>
        <v>76</v>
      </c>
      <c r="T19" s="17">
        <f t="shared" si="11"/>
        <v>50</v>
      </c>
      <c r="U19" s="17">
        <f t="shared" si="11"/>
        <v>24</v>
      </c>
      <c r="V19" s="17">
        <f t="shared" si="11"/>
        <v>65</v>
      </c>
      <c r="W19" s="17">
        <f t="shared" si="11"/>
        <v>0</v>
      </c>
      <c r="X19" s="17">
        <f t="shared" si="11"/>
        <v>0</v>
      </c>
      <c r="Y19" s="17">
        <f t="shared" si="11"/>
        <v>36</v>
      </c>
      <c r="Z19" s="17">
        <f t="shared" si="11"/>
        <v>22</v>
      </c>
      <c r="AA19" s="17">
        <f t="shared" si="11"/>
        <v>17</v>
      </c>
      <c r="AB19" s="17">
        <f t="shared" si="11"/>
        <v>33</v>
      </c>
      <c r="AC19" s="17">
        <f t="shared" si="11"/>
        <v>158</v>
      </c>
      <c r="AD19" s="17">
        <f t="shared" si="11"/>
        <v>0</v>
      </c>
      <c r="AE19" s="31">
        <f t="shared" si="11"/>
        <v>323</v>
      </c>
      <c r="AF19" s="31">
        <f t="shared" si="11"/>
        <v>481</v>
      </c>
    </row>
    <row r="20" spans="2:32" ht="23.1" customHeight="1" x14ac:dyDescent="0.25">
      <c r="B20" s="23" t="s">
        <v>47</v>
      </c>
      <c r="C20" s="50">
        <v>33</v>
      </c>
      <c r="D20" s="50">
        <v>6</v>
      </c>
      <c r="E20" s="50">
        <v>2</v>
      </c>
      <c r="F20" s="50">
        <v>23</v>
      </c>
      <c r="G20" s="50">
        <v>0</v>
      </c>
      <c r="H20" s="50">
        <v>0</v>
      </c>
      <c r="I20" s="50">
        <v>0</v>
      </c>
      <c r="J20" s="50">
        <v>1</v>
      </c>
      <c r="K20" s="50">
        <v>11</v>
      </c>
      <c r="L20" s="50">
        <v>1</v>
      </c>
      <c r="M20" s="50">
        <v>47</v>
      </c>
      <c r="N20" s="50">
        <v>0</v>
      </c>
      <c r="O20" s="15">
        <f t="shared" si="0"/>
        <v>77</v>
      </c>
      <c r="P20" s="15">
        <f t="shared" si="1"/>
        <v>124</v>
      </c>
      <c r="R20" s="1" t="s">
        <v>16</v>
      </c>
      <c r="S20" s="17">
        <f t="shared" ref="S20:AF20" si="12">SUM(C50:C53)</f>
        <v>130</v>
      </c>
      <c r="T20" s="17">
        <f t="shared" si="12"/>
        <v>70</v>
      </c>
      <c r="U20" s="17">
        <f t="shared" si="12"/>
        <v>28</v>
      </c>
      <c r="V20" s="17">
        <f t="shared" si="12"/>
        <v>109</v>
      </c>
      <c r="W20" s="17">
        <f t="shared" si="12"/>
        <v>4</v>
      </c>
      <c r="X20" s="17">
        <f t="shared" si="12"/>
        <v>1</v>
      </c>
      <c r="Y20" s="17">
        <f t="shared" si="12"/>
        <v>33</v>
      </c>
      <c r="Z20" s="17">
        <f t="shared" si="12"/>
        <v>15</v>
      </c>
      <c r="AA20" s="17">
        <f t="shared" si="12"/>
        <v>20</v>
      </c>
      <c r="AB20" s="17">
        <f t="shared" si="12"/>
        <v>16</v>
      </c>
      <c r="AC20" s="17">
        <f t="shared" si="12"/>
        <v>168</v>
      </c>
      <c r="AD20" s="17">
        <f t="shared" si="12"/>
        <v>0</v>
      </c>
      <c r="AE20" s="31">
        <f t="shared" si="12"/>
        <v>426</v>
      </c>
      <c r="AF20" s="31">
        <f t="shared" si="12"/>
        <v>594</v>
      </c>
    </row>
    <row r="21" spans="2:32" ht="23.1" customHeight="1" x14ac:dyDescent="0.25">
      <c r="B21" s="23" t="s">
        <v>48</v>
      </c>
      <c r="C21" s="50">
        <v>6</v>
      </c>
      <c r="D21" s="50">
        <v>4</v>
      </c>
      <c r="E21" s="50">
        <v>3</v>
      </c>
      <c r="F21" s="50">
        <v>28</v>
      </c>
      <c r="G21" s="50">
        <v>0</v>
      </c>
      <c r="H21" s="50">
        <v>0</v>
      </c>
      <c r="I21" s="50">
        <v>2</v>
      </c>
      <c r="J21" s="50">
        <v>2</v>
      </c>
      <c r="K21" s="50">
        <v>4</v>
      </c>
      <c r="L21" s="50">
        <v>1</v>
      </c>
      <c r="M21" s="50">
        <v>21</v>
      </c>
      <c r="N21" s="50">
        <v>0</v>
      </c>
      <c r="O21" s="15">
        <f t="shared" si="0"/>
        <v>50</v>
      </c>
      <c r="P21" s="15">
        <f t="shared" si="1"/>
        <v>71</v>
      </c>
      <c r="R21" s="36" t="s">
        <v>20</v>
      </c>
      <c r="S21" s="34">
        <f t="shared" ref="S21:AF21" si="13">SUM(C54:C57)</f>
        <v>152</v>
      </c>
      <c r="T21" s="17">
        <f t="shared" si="13"/>
        <v>109</v>
      </c>
      <c r="U21" s="17">
        <f t="shared" si="13"/>
        <v>43</v>
      </c>
      <c r="V21" s="17">
        <f t="shared" si="13"/>
        <v>131</v>
      </c>
      <c r="W21" s="17">
        <f t="shared" si="13"/>
        <v>1</v>
      </c>
      <c r="X21" s="17">
        <f t="shared" si="13"/>
        <v>0</v>
      </c>
      <c r="Y21" s="17">
        <f t="shared" si="13"/>
        <v>23</v>
      </c>
      <c r="Z21" s="17">
        <f t="shared" si="13"/>
        <v>10</v>
      </c>
      <c r="AA21" s="17">
        <f t="shared" si="13"/>
        <v>12</v>
      </c>
      <c r="AB21" s="17">
        <f t="shared" si="13"/>
        <v>22</v>
      </c>
      <c r="AC21" s="17">
        <f t="shared" si="13"/>
        <v>231</v>
      </c>
      <c r="AD21" s="17">
        <f t="shared" si="13"/>
        <v>0</v>
      </c>
      <c r="AE21" s="31">
        <f t="shared" si="13"/>
        <v>503</v>
      </c>
      <c r="AF21" s="31">
        <f t="shared" si="13"/>
        <v>734</v>
      </c>
    </row>
    <row r="22" spans="2:32" ht="23.1" customHeight="1" x14ac:dyDescent="0.25">
      <c r="B22" s="23" t="s">
        <v>49</v>
      </c>
      <c r="C22" s="50">
        <v>20</v>
      </c>
      <c r="D22" s="50">
        <v>6</v>
      </c>
      <c r="E22" s="50">
        <v>1</v>
      </c>
      <c r="F22" s="50">
        <v>25</v>
      </c>
      <c r="G22" s="50">
        <v>0</v>
      </c>
      <c r="H22" s="50">
        <v>1</v>
      </c>
      <c r="I22" s="50">
        <v>8</v>
      </c>
      <c r="J22" s="50">
        <v>2</v>
      </c>
      <c r="K22" s="50">
        <v>10</v>
      </c>
      <c r="L22" s="50">
        <v>4</v>
      </c>
      <c r="M22" s="50">
        <v>39</v>
      </c>
      <c r="N22" s="50">
        <v>0</v>
      </c>
      <c r="O22" s="15">
        <f t="shared" si="0"/>
        <v>77</v>
      </c>
      <c r="P22" s="15">
        <f t="shared" si="1"/>
        <v>116</v>
      </c>
      <c r="R22" s="38" t="s">
        <v>90</v>
      </c>
      <c r="S22" s="39">
        <f>MAX(S10:S12)</f>
        <v>107</v>
      </c>
      <c r="T22" s="39">
        <f t="shared" ref="T22:AF22" si="14">MAX(T10:T12)</f>
        <v>70</v>
      </c>
      <c r="U22" s="39">
        <f t="shared" si="14"/>
        <v>23</v>
      </c>
      <c r="V22" s="39">
        <f t="shared" si="14"/>
        <v>153</v>
      </c>
      <c r="W22" s="39">
        <f t="shared" si="14"/>
        <v>4</v>
      </c>
      <c r="X22" s="39">
        <f t="shared" si="14"/>
        <v>1</v>
      </c>
      <c r="Y22" s="39">
        <f t="shared" si="14"/>
        <v>25</v>
      </c>
      <c r="Z22" s="39">
        <f t="shared" si="14"/>
        <v>16</v>
      </c>
      <c r="AA22" s="39">
        <f t="shared" si="14"/>
        <v>28</v>
      </c>
      <c r="AB22" s="39">
        <f t="shared" si="14"/>
        <v>7</v>
      </c>
      <c r="AC22" s="39">
        <f t="shared" si="14"/>
        <v>170</v>
      </c>
      <c r="AD22" s="39">
        <f t="shared" si="14"/>
        <v>0</v>
      </c>
      <c r="AE22" s="40">
        <f t="shared" si="14"/>
        <v>409</v>
      </c>
      <c r="AF22" s="40">
        <f t="shared" si="14"/>
        <v>569</v>
      </c>
    </row>
    <row r="23" spans="2:32" ht="23.1" customHeight="1" x14ac:dyDescent="0.25">
      <c r="B23" s="23" t="s">
        <v>50</v>
      </c>
      <c r="C23" s="50">
        <v>23</v>
      </c>
      <c r="D23" s="50">
        <v>3</v>
      </c>
      <c r="E23" s="50">
        <v>5</v>
      </c>
      <c r="F23" s="50">
        <v>23</v>
      </c>
      <c r="G23" s="50">
        <v>1</v>
      </c>
      <c r="H23" s="50">
        <v>0</v>
      </c>
      <c r="I23" s="50">
        <v>7</v>
      </c>
      <c r="J23" s="50">
        <v>1</v>
      </c>
      <c r="K23" s="50">
        <v>15</v>
      </c>
      <c r="L23" s="50">
        <v>3</v>
      </c>
      <c r="M23" s="50">
        <v>37</v>
      </c>
      <c r="N23" s="50">
        <v>0</v>
      </c>
      <c r="O23" s="15">
        <f t="shared" si="0"/>
        <v>81</v>
      </c>
      <c r="P23" s="15">
        <f t="shared" si="1"/>
        <v>118</v>
      </c>
      <c r="R23" s="38" t="s">
        <v>91</v>
      </c>
      <c r="S23" s="39">
        <f>MAX(S13:S18)</f>
        <v>81</v>
      </c>
      <c r="T23" s="39">
        <f t="shared" ref="T23:AF23" si="15">MAX(T13:T18)</f>
        <v>39</v>
      </c>
      <c r="U23" s="39">
        <f t="shared" si="15"/>
        <v>19</v>
      </c>
      <c r="V23" s="39">
        <f t="shared" si="15"/>
        <v>91</v>
      </c>
      <c r="W23" s="39">
        <f t="shared" si="15"/>
        <v>1</v>
      </c>
      <c r="X23" s="39">
        <f t="shared" si="15"/>
        <v>1</v>
      </c>
      <c r="Y23" s="39">
        <f t="shared" si="15"/>
        <v>32</v>
      </c>
      <c r="Z23" s="39">
        <f t="shared" si="15"/>
        <v>19</v>
      </c>
      <c r="AA23" s="39">
        <f t="shared" si="15"/>
        <v>40</v>
      </c>
      <c r="AB23" s="39">
        <f t="shared" si="15"/>
        <v>29</v>
      </c>
      <c r="AC23" s="39">
        <f t="shared" si="15"/>
        <v>163</v>
      </c>
      <c r="AD23" s="39">
        <f t="shared" si="15"/>
        <v>0</v>
      </c>
      <c r="AE23" s="40">
        <f t="shared" si="15"/>
        <v>312</v>
      </c>
      <c r="AF23" s="40">
        <f t="shared" si="15"/>
        <v>455</v>
      </c>
    </row>
    <row r="24" spans="2:32" ht="23.1" customHeight="1" x14ac:dyDescent="0.25">
      <c r="B24" s="23" t="s">
        <v>51</v>
      </c>
      <c r="C24" s="50">
        <v>18</v>
      </c>
      <c r="D24" s="50">
        <v>5</v>
      </c>
      <c r="E24" s="50">
        <v>2</v>
      </c>
      <c r="F24" s="50">
        <v>21</v>
      </c>
      <c r="G24" s="50">
        <v>0</v>
      </c>
      <c r="H24" s="50">
        <v>0</v>
      </c>
      <c r="I24" s="50">
        <v>12</v>
      </c>
      <c r="J24" s="50">
        <v>2</v>
      </c>
      <c r="K24" s="50">
        <v>7</v>
      </c>
      <c r="L24" s="50">
        <v>5</v>
      </c>
      <c r="M24" s="50">
        <v>43</v>
      </c>
      <c r="N24" s="50">
        <v>0</v>
      </c>
      <c r="O24" s="15">
        <f t="shared" si="0"/>
        <v>72</v>
      </c>
      <c r="P24" s="15">
        <f t="shared" si="1"/>
        <v>115</v>
      </c>
      <c r="R24" s="38" t="s">
        <v>92</v>
      </c>
      <c r="S24" s="39">
        <f>MAX(S19:S21)</f>
        <v>152</v>
      </c>
      <c r="T24" s="39">
        <f t="shared" ref="T24:AF24" si="16">MAX(T19:T21)</f>
        <v>109</v>
      </c>
      <c r="U24" s="39">
        <f t="shared" si="16"/>
        <v>43</v>
      </c>
      <c r="V24" s="39">
        <f t="shared" si="16"/>
        <v>131</v>
      </c>
      <c r="W24" s="39">
        <f t="shared" si="16"/>
        <v>4</v>
      </c>
      <c r="X24" s="39">
        <f t="shared" si="16"/>
        <v>1</v>
      </c>
      <c r="Y24" s="39">
        <f t="shared" si="16"/>
        <v>36</v>
      </c>
      <c r="Z24" s="39">
        <f t="shared" si="16"/>
        <v>22</v>
      </c>
      <c r="AA24" s="39">
        <f t="shared" si="16"/>
        <v>20</v>
      </c>
      <c r="AB24" s="39">
        <f t="shared" si="16"/>
        <v>33</v>
      </c>
      <c r="AC24" s="39">
        <f t="shared" si="16"/>
        <v>231</v>
      </c>
      <c r="AD24" s="39">
        <f t="shared" si="16"/>
        <v>0</v>
      </c>
      <c r="AE24" s="40">
        <f t="shared" si="16"/>
        <v>503</v>
      </c>
      <c r="AF24" s="40">
        <f t="shared" si="16"/>
        <v>734</v>
      </c>
    </row>
    <row r="25" spans="2:32" ht="23.1" customHeight="1" x14ac:dyDescent="0.25">
      <c r="B25" s="23" t="s">
        <v>52</v>
      </c>
      <c r="C25" s="50">
        <v>20</v>
      </c>
      <c r="D25" s="50">
        <v>3</v>
      </c>
      <c r="E25" s="50">
        <v>3</v>
      </c>
      <c r="F25" s="50">
        <v>22</v>
      </c>
      <c r="G25" s="50">
        <v>0</v>
      </c>
      <c r="H25" s="50">
        <v>0</v>
      </c>
      <c r="I25" s="50">
        <v>4</v>
      </c>
      <c r="J25" s="50">
        <v>1</v>
      </c>
      <c r="K25" s="50">
        <v>8</v>
      </c>
      <c r="L25" s="50">
        <v>1</v>
      </c>
      <c r="M25" s="50">
        <v>44</v>
      </c>
      <c r="N25" s="50">
        <v>0</v>
      </c>
      <c r="O25" s="15">
        <f t="shared" si="0"/>
        <v>62</v>
      </c>
      <c r="P25" s="15">
        <f t="shared" si="1"/>
        <v>106</v>
      </c>
      <c r="R25" s="37" t="s">
        <v>85</v>
      </c>
      <c r="S25" s="35">
        <f t="shared" ref="S25:AF25" si="17">SUM(S10:S12)</f>
        <v>276</v>
      </c>
      <c r="T25" s="16">
        <f t="shared" si="17"/>
        <v>119</v>
      </c>
      <c r="U25" s="16">
        <f t="shared" si="17"/>
        <v>56</v>
      </c>
      <c r="V25" s="16">
        <f t="shared" si="17"/>
        <v>396</v>
      </c>
      <c r="W25" s="16">
        <f t="shared" si="17"/>
        <v>5</v>
      </c>
      <c r="X25" s="16">
        <f t="shared" si="17"/>
        <v>1</v>
      </c>
      <c r="Y25" s="16">
        <f t="shared" si="17"/>
        <v>70</v>
      </c>
      <c r="Z25" s="16">
        <f t="shared" si="17"/>
        <v>34</v>
      </c>
      <c r="AA25" s="16">
        <f t="shared" si="17"/>
        <v>65</v>
      </c>
      <c r="AB25" s="16">
        <f t="shared" si="17"/>
        <v>14</v>
      </c>
      <c r="AC25" s="16">
        <f t="shared" si="17"/>
        <v>446</v>
      </c>
      <c r="AD25" s="16">
        <f t="shared" si="17"/>
        <v>0</v>
      </c>
      <c r="AE25" s="32">
        <f t="shared" si="17"/>
        <v>1036</v>
      </c>
      <c r="AF25" s="32">
        <f t="shared" si="17"/>
        <v>1482</v>
      </c>
    </row>
    <row r="26" spans="2:32" ht="23.1" customHeight="1" x14ac:dyDescent="0.25">
      <c r="B26" s="23" t="s">
        <v>53</v>
      </c>
      <c r="C26" s="50">
        <v>18</v>
      </c>
      <c r="D26" s="50">
        <v>5</v>
      </c>
      <c r="E26" s="50">
        <v>3</v>
      </c>
      <c r="F26" s="50">
        <v>18</v>
      </c>
      <c r="G26" s="50">
        <v>0</v>
      </c>
      <c r="H26" s="50">
        <v>0</v>
      </c>
      <c r="I26" s="50">
        <v>3</v>
      </c>
      <c r="J26" s="50">
        <v>3</v>
      </c>
      <c r="K26" s="50">
        <v>7</v>
      </c>
      <c r="L26" s="50">
        <v>6</v>
      </c>
      <c r="M26" s="50">
        <v>34</v>
      </c>
      <c r="N26" s="50">
        <v>0</v>
      </c>
      <c r="O26" s="15">
        <f t="shared" si="0"/>
        <v>63</v>
      </c>
      <c r="P26" s="15">
        <f t="shared" si="1"/>
        <v>97</v>
      </c>
      <c r="R26" s="28" t="s">
        <v>86</v>
      </c>
      <c r="S26" s="16">
        <f t="shared" ref="S26:AF26" si="18">SUM(S13:S18)</f>
        <v>361</v>
      </c>
      <c r="T26" s="16">
        <f t="shared" si="18"/>
        <v>157</v>
      </c>
      <c r="U26" s="16">
        <f t="shared" si="18"/>
        <v>90</v>
      </c>
      <c r="V26" s="16">
        <f t="shared" si="18"/>
        <v>451</v>
      </c>
      <c r="W26" s="16">
        <f t="shared" si="18"/>
        <v>3</v>
      </c>
      <c r="X26" s="16">
        <f t="shared" si="18"/>
        <v>1</v>
      </c>
      <c r="Y26" s="16">
        <f t="shared" si="18"/>
        <v>137</v>
      </c>
      <c r="Z26" s="16">
        <f t="shared" si="18"/>
        <v>81</v>
      </c>
      <c r="AA26" s="16">
        <f t="shared" si="18"/>
        <v>130</v>
      </c>
      <c r="AB26" s="16">
        <f t="shared" si="18"/>
        <v>130</v>
      </c>
      <c r="AC26" s="16">
        <f t="shared" si="18"/>
        <v>863</v>
      </c>
      <c r="AD26" s="16">
        <f t="shared" si="18"/>
        <v>0</v>
      </c>
      <c r="AE26" s="32">
        <f t="shared" si="18"/>
        <v>1541</v>
      </c>
      <c r="AF26" s="32">
        <f t="shared" si="18"/>
        <v>2404</v>
      </c>
    </row>
    <row r="27" spans="2:32" ht="23.1" customHeight="1" x14ac:dyDescent="0.25">
      <c r="B27" s="23" t="s">
        <v>54</v>
      </c>
      <c r="C27" s="50">
        <v>23</v>
      </c>
      <c r="D27" s="50">
        <v>5</v>
      </c>
      <c r="E27" s="50">
        <v>3</v>
      </c>
      <c r="F27" s="50">
        <v>21</v>
      </c>
      <c r="G27" s="50">
        <v>1</v>
      </c>
      <c r="H27" s="50">
        <v>0</v>
      </c>
      <c r="I27" s="50">
        <v>9</v>
      </c>
      <c r="J27" s="50">
        <v>3</v>
      </c>
      <c r="K27" s="50">
        <v>4</v>
      </c>
      <c r="L27" s="50">
        <v>6</v>
      </c>
      <c r="M27" s="50">
        <v>30</v>
      </c>
      <c r="N27" s="50">
        <v>0</v>
      </c>
      <c r="O27" s="15">
        <f t="shared" si="0"/>
        <v>75</v>
      </c>
      <c r="P27" s="15">
        <f t="shared" si="1"/>
        <v>105</v>
      </c>
      <c r="R27" s="29" t="s">
        <v>87</v>
      </c>
      <c r="S27" s="16">
        <f t="shared" ref="S27:AF27" si="19">SUM(S19:S21)</f>
        <v>358</v>
      </c>
      <c r="T27" s="16">
        <f t="shared" si="19"/>
        <v>229</v>
      </c>
      <c r="U27" s="16">
        <f t="shared" si="19"/>
        <v>95</v>
      </c>
      <c r="V27" s="16">
        <f t="shared" si="19"/>
        <v>305</v>
      </c>
      <c r="W27" s="16">
        <f t="shared" si="19"/>
        <v>5</v>
      </c>
      <c r="X27" s="16">
        <f t="shared" si="19"/>
        <v>1</v>
      </c>
      <c r="Y27" s="16">
        <f t="shared" si="19"/>
        <v>92</v>
      </c>
      <c r="Z27" s="16">
        <f t="shared" si="19"/>
        <v>47</v>
      </c>
      <c r="AA27" s="16">
        <f t="shared" si="19"/>
        <v>49</v>
      </c>
      <c r="AB27" s="16">
        <f t="shared" si="19"/>
        <v>71</v>
      </c>
      <c r="AC27" s="16">
        <f t="shared" si="19"/>
        <v>557</v>
      </c>
      <c r="AD27" s="16">
        <f t="shared" si="19"/>
        <v>0</v>
      </c>
      <c r="AE27" s="32">
        <f t="shared" si="19"/>
        <v>1252</v>
      </c>
      <c r="AF27" s="32">
        <f t="shared" si="19"/>
        <v>1809</v>
      </c>
    </row>
    <row r="28" spans="2:32" ht="23.1" customHeight="1" x14ac:dyDescent="0.25">
      <c r="B28" s="23" t="s">
        <v>55</v>
      </c>
      <c r="C28" s="50">
        <v>14</v>
      </c>
      <c r="D28" s="50">
        <v>8</v>
      </c>
      <c r="E28" s="50">
        <v>1</v>
      </c>
      <c r="F28" s="50">
        <v>11</v>
      </c>
      <c r="G28" s="50">
        <v>0</v>
      </c>
      <c r="H28" s="50">
        <v>0</v>
      </c>
      <c r="I28" s="50">
        <v>1</v>
      </c>
      <c r="J28" s="50">
        <v>4</v>
      </c>
      <c r="K28" s="50">
        <v>3</v>
      </c>
      <c r="L28" s="50">
        <v>4</v>
      </c>
      <c r="M28" s="50">
        <v>35</v>
      </c>
      <c r="N28" s="50">
        <v>0</v>
      </c>
      <c r="O28" s="15">
        <f t="shared" si="0"/>
        <v>46</v>
      </c>
      <c r="P28" s="15">
        <f t="shared" si="1"/>
        <v>81</v>
      </c>
      <c r="R28" s="5" t="s">
        <v>17</v>
      </c>
      <c r="S28" s="16">
        <f t="shared" ref="S28:AF28" si="20">SUM(S10:S21)</f>
        <v>995</v>
      </c>
      <c r="T28" s="16">
        <f t="shared" si="20"/>
        <v>505</v>
      </c>
      <c r="U28" s="16">
        <f t="shared" si="20"/>
        <v>241</v>
      </c>
      <c r="V28" s="16">
        <f t="shared" si="20"/>
        <v>1152</v>
      </c>
      <c r="W28" s="16">
        <f t="shared" si="20"/>
        <v>13</v>
      </c>
      <c r="X28" s="16">
        <f t="shared" si="20"/>
        <v>3</v>
      </c>
      <c r="Y28" s="16">
        <f t="shared" si="20"/>
        <v>299</v>
      </c>
      <c r="Z28" s="16">
        <f t="shared" si="20"/>
        <v>162</v>
      </c>
      <c r="AA28" s="16">
        <f t="shared" si="20"/>
        <v>244</v>
      </c>
      <c r="AB28" s="16">
        <f t="shared" si="20"/>
        <v>215</v>
      </c>
      <c r="AC28" s="16">
        <f t="shared" si="20"/>
        <v>1866</v>
      </c>
      <c r="AD28" s="16">
        <f t="shared" si="20"/>
        <v>0</v>
      </c>
      <c r="AE28" s="32">
        <f t="shared" si="20"/>
        <v>3829</v>
      </c>
      <c r="AF28" s="32">
        <f t="shared" si="20"/>
        <v>5695</v>
      </c>
    </row>
    <row r="29" spans="2:32" ht="23.1" customHeight="1" x14ac:dyDescent="0.25">
      <c r="B29" s="23" t="s">
        <v>56</v>
      </c>
      <c r="C29" s="50">
        <v>11</v>
      </c>
      <c r="D29" s="50">
        <v>6</v>
      </c>
      <c r="E29" s="50">
        <v>4</v>
      </c>
      <c r="F29" s="50">
        <v>15</v>
      </c>
      <c r="G29" s="50">
        <v>0</v>
      </c>
      <c r="H29" s="50">
        <v>0</v>
      </c>
      <c r="I29" s="50">
        <v>4</v>
      </c>
      <c r="J29" s="50">
        <v>4</v>
      </c>
      <c r="K29" s="50">
        <v>5</v>
      </c>
      <c r="L29" s="50">
        <v>4</v>
      </c>
      <c r="M29" s="50">
        <v>46</v>
      </c>
      <c r="N29" s="50">
        <v>0</v>
      </c>
      <c r="O29" s="15">
        <f t="shared" si="0"/>
        <v>53</v>
      </c>
      <c r="P29" s="15">
        <f t="shared" si="1"/>
        <v>99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10</v>
      </c>
      <c r="E30" s="50">
        <v>6</v>
      </c>
      <c r="F30" s="50">
        <v>27</v>
      </c>
      <c r="G30" s="50">
        <v>0</v>
      </c>
      <c r="H30" s="50">
        <v>0</v>
      </c>
      <c r="I30" s="50">
        <v>7</v>
      </c>
      <c r="J30" s="50">
        <v>2</v>
      </c>
      <c r="K30" s="50">
        <v>11</v>
      </c>
      <c r="L30" s="50">
        <v>6</v>
      </c>
      <c r="M30" s="50">
        <v>63</v>
      </c>
      <c r="N30" s="50">
        <v>0</v>
      </c>
      <c r="O30" s="15">
        <f t="shared" si="0"/>
        <v>91</v>
      </c>
      <c r="P30" s="15">
        <f t="shared" si="1"/>
        <v>154</v>
      </c>
    </row>
    <row r="31" spans="2:32" ht="23.1" customHeight="1" x14ac:dyDescent="0.25">
      <c r="B31" s="24" t="s">
        <v>58</v>
      </c>
      <c r="C31" s="50">
        <v>12</v>
      </c>
      <c r="D31" s="50">
        <v>3</v>
      </c>
      <c r="E31" s="50">
        <v>0</v>
      </c>
      <c r="F31" s="50">
        <v>21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4</v>
      </c>
      <c r="M31" s="50">
        <v>23</v>
      </c>
      <c r="N31" s="50">
        <v>0</v>
      </c>
      <c r="O31" s="15">
        <f t="shared" si="0"/>
        <v>42</v>
      </c>
      <c r="P31" s="15">
        <f t="shared" si="1"/>
        <v>65</v>
      </c>
    </row>
    <row r="32" spans="2:32" ht="23.1" customHeight="1" x14ac:dyDescent="0.25">
      <c r="B32" s="24" t="s">
        <v>59</v>
      </c>
      <c r="C32" s="50">
        <v>11</v>
      </c>
      <c r="D32" s="50">
        <v>2</v>
      </c>
      <c r="E32" s="50">
        <v>6</v>
      </c>
      <c r="F32" s="50">
        <v>12</v>
      </c>
      <c r="G32" s="50">
        <v>0</v>
      </c>
      <c r="H32" s="50">
        <v>0</v>
      </c>
      <c r="I32" s="50">
        <v>3</v>
      </c>
      <c r="J32" s="50">
        <v>3</v>
      </c>
      <c r="K32" s="50">
        <v>3</v>
      </c>
      <c r="L32" s="50">
        <v>3</v>
      </c>
      <c r="M32" s="50">
        <v>25</v>
      </c>
      <c r="N32" s="50">
        <v>0</v>
      </c>
      <c r="O32" s="15">
        <f t="shared" si="0"/>
        <v>43</v>
      </c>
      <c r="P32" s="15">
        <f t="shared" si="1"/>
        <v>68</v>
      </c>
    </row>
    <row r="33" spans="2:20" ht="23.1" customHeight="1" x14ac:dyDescent="0.25">
      <c r="B33" s="23" t="s">
        <v>60</v>
      </c>
      <c r="C33" s="50">
        <v>12</v>
      </c>
      <c r="D33" s="50">
        <v>9</v>
      </c>
      <c r="E33" s="50">
        <v>6</v>
      </c>
      <c r="F33" s="50">
        <v>17</v>
      </c>
      <c r="G33" s="50">
        <v>0</v>
      </c>
      <c r="H33" s="50">
        <v>0</v>
      </c>
      <c r="I33" s="50">
        <v>4</v>
      </c>
      <c r="J33" s="50">
        <v>2</v>
      </c>
      <c r="K33" s="50">
        <v>5</v>
      </c>
      <c r="L33" s="50">
        <v>7</v>
      </c>
      <c r="M33" s="50">
        <v>39</v>
      </c>
      <c r="N33" s="50">
        <v>0</v>
      </c>
      <c r="O33" s="15">
        <f t="shared" si="0"/>
        <v>62</v>
      </c>
      <c r="P33" s="15">
        <f t="shared" si="1"/>
        <v>101</v>
      </c>
    </row>
    <row r="34" spans="2:20" ht="23.1" customHeight="1" x14ac:dyDescent="0.25">
      <c r="B34" s="24" t="s">
        <v>61</v>
      </c>
      <c r="C34" s="50">
        <v>8</v>
      </c>
      <c r="D34" s="50">
        <v>8</v>
      </c>
      <c r="E34" s="50">
        <v>6</v>
      </c>
      <c r="F34" s="50">
        <v>16</v>
      </c>
      <c r="G34" s="50">
        <v>0</v>
      </c>
      <c r="H34" s="50">
        <v>0</v>
      </c>
      <c r="I34" s="50">
        <v>6</v>
      </c>
      <c r="J34" s="50">
        <v>4</v>
      </c>
      <c r="K34" s="50">
        <v>5</v>
      </c>
      <c r="L34" s="50">
        <v>8</v>
      </c>
      <c r="M34" s="50">
        <v>36</v>
      </c>
      <c r="N34" s="50">
        <v>0</v>
      </c>
      <c r="O34" s="15">
        <f t="shared" si="0"/>
        <v>61</v>
      </c>
      <c r="P34" s="15">
        <f t="shared" si="1"/>
        <v>97</v>
      </c>
    </row>
    <row r="35" spans="2:20" ht="23.1" customHeight="1" x14ac:dyDescent="0.25">
      <c r="B35" s="24" t="s">
        <v>62</v>
      </c>
      <c r="C35" s="50">
        <v>5</v>
      </c>
      <c r="D35" s="50">
        <v>9</v>
      </c>
      <c r="E35" s="50">
        <v>5</v>
      </c>
      <c r="F35" s="50">
        <v>13</v>
      </c>
      <c r="G35" s="50">
        <v>0</v>
      </c>
      <c r="H35" s="50">
        <v>0</v>
      </c>
      <c r="I35" s="50">
        <v>1</v>
      </c>
      <c r="J35" s="50">
        <v>4</v>
      </c>
      <c r="K35" s="50">
        <v>3</v>
      </c>
      <c r="L35" s="50">
        <v>6</v>
      </c>
      <c r="M35" s="50">
        <v>33</v>
      </c>
      <c r="N35" s="50">
        <v>0</v>
      </c>
      <c r="O35" s="15">
        <f t="shared" si="0"/>
        <v>46</v>
      </c>
      <c r="P35" s="15">
        <f t="shared" si="1"/>
        <v>79</v>
      </c>
    </row>
    <row r="36" spans="2:20" ht="23.1" customHeight="1" x14ac:dyDescent="0.25">
      <c r="B36" s="24" t="s">
        <v>63</v>
      </c>
      <c r="C36" s="50">
        <v>15</v>
      </c>
      <c r="D36" s="50">
        <v>5</v>
      </c>
      <c r="E36" s="50">
        <v>1</v>
      </c>
      <c r="F36" s="50">
        <v>15</v>
      </c>
      <c r="G36" s="50">
        <v>0</v>
      </c>
      <c r="H36" s="50">
        <v>0</v>
      </c>
      <c r="I36" s="50">
        <v>6</v>
      </c>
      <c r="J36" s="50">
        <v>3</v>
      </c>
      <c r="K36" s="50">
        <v>2</v>
      </c>
      <c r="L36" s="50">
        <v>7</v>
      </c>
      <c r="M36" s="50">
        <v>39</v>
      </c>
      <c r="N36" s="50">
        <v>0</v>
      </c>
      <c r="O36" s="15">
        <f t="shared" si="0"/>
        <v>54</v>
      </c>
      <c r="P36" s="15">
        <f t="shared" si="1"/>
        <v>93</v>
      </c>
    </row>
    <row r="37" spans="2:20" ht="23.1" customHeight="1" x14ac:dyDescent="0.25">
      <c r="B37" s="23" t="s">
        <v>64</v>
      </c>
      <c r="C37" s="50">
        <v>14</v>
      </c>
      <c r="D37" s="50">
        <v>7</v>
      </c>
      <c r="E37" s="50">
        <v>1</v>
      </c>
      <c r="F37" s="50">
        <v>11</v>
      </c>
      <c r="G37" s="50">
        <v>0</v>
      </c>
      <c r="H37" s="50">
        <v>0</v>
      </c>
      <c r="I37" s="50">
        <v>6</v>
      </c>
      <c r="J37" s="50">
        <v>8</v>
      </c>
      <c r="K37" s="50">
        <v>6</v>
      </c>
      <c r="L37" s="50">
        <v>7</v>
      </c>
      <c r="M37" s="50">
        <v>34</v>
      </c>
      <c r="N37" s="50">
        <v>0</v>
      </c>
      <c r="O37" s="15">
        <f t="shared" si="0"/>
        <v>60</v>
      </c>
      <c r="P37" s="15">
        <f t="shared" si="1"/>
        <v>94</v>
      </c>
    </row>
    <row r="38" spans="2:20" ht="23.1" customHeight="1" x14ac:dyDescent="0.25">
      <c r="B38" s="24" t="s">
        <v>65</v>
      </c>
      <c r="C38" s="50">
        <v>9</v>
      </c>
      <c r="D38" s="50">
        <v>5</v>
      </c>
      <c r="E38" s="50">
        <v>5</v>
      </c>
      <c r="F38" s="50">
        <v>19</v>
      </c>
      <c r="G38" s="50">
        <v>0</v>
      </c>
      <c r="H38" s="50">
        <v>0</v>
      </c>
      <c r="I38" s="50">
        <v>6</v>
      </c>
      <c r="J38" s="50">
        <v>3</v>
      </c>
      <c r="K38" s="50">
        <v>5</v>
      </c>
      <c r="L38" s="50">
        <v>5</v>
      </c>
      <c r="M38" s="50">
        <v>34</v>
      </c>
      <c r="N38" s="50">
        <v>0</v>
      </c>
      <c r="O38" s="15">
        <f t="shared" si="0"/>
        <v>57</v>
      </c>
      <c r="P38" s="15">
        <f t="shared" si="1"/>
        <v>91</v>
      </c>
    </row>
    <row r="39" spans="2:20" ht="23.1" customHeight="1" x14ac:dyDescent="0.25">
      <c r="B39" s="24" t="s">
        <v>66</v>
      </c>
      <c r="C39" s="50">
        <v>10</v>
      </c>
      <c r="D39" s="50">
        <v>9</v>
      </c>
      <c r="E39" s="50">
        <v>8</v>
      </c>
      <c r="F39" s="50">
        <v>20</v>
      </c>
      <c r="G39" s="50">
        <v>0</v>
      </c>
      <c r="H39" s="50">
        <v>0</v>
      </c>
      <c r="I39" s="50">
        <v>8</v>
      </c>
      <c r="J39" s="50">
        <v>4</v>
      </c>
      <c r="K39" s="50">
        <v>4</v>
      </c>
      <c r="L39" s="50">
        <v>9</v>
      </c>
      <c r="M39" s="50">
        <v>46</v>
      </c>
      <c r="N39" s="50">
        <v>0</v>
      </c>
      <c r="O39" s="15">
        <f t="shared" si="0"/>
        <v>72</v>
      </c>
      <c r="P39" s="15">
        <f t="shared" si="1"/>
        <v>118</v>
      </c>
    </row>
    <row r="40" spans="2:20" ht="23.1" customHeight="1" x14ac:dyDescent="0.25">
      <c r="B40" s="24" t="s">
        <v>67</v>
      </c>
      <c r="C40" s="50">
        <v>16</v>
      </c>
      <c r="D40" s="50">
        <v>6</v>
      </c>
      <c r="E40" s="50">
        <v>1</v>
      </c>
      <c r="F40" s="50">
        <v>16</v>
      </c>
      <c r="G40" s="50">
        <v>0</v>
      </c>
      <c r="H40" s="50">
        <v>0</v>
      </c>
      <c r="I40" s="50">
        <v>4</v>
      </c>
      <c r="J40" s="50">
        <v>3</v>
      </c>
      <c r="K40" s="50">
        <v>3</v>
      </c>
      <c r="L40" s="50">
        <v>5</v>
      </c>
      <c r="M40" s="50">
        <v>30</v>
      </c>
      <c r="N40" s="50">
        <v>0</v>
      </c>
      <c r="O40" s="15">
        <f t="shared" si="0"/>
        <v>54</v>
      </c>
      <c r="P40" s="15">
        <f t="shared" si="1"/>
        <v>84</v>
      </c>
    </row>
    <row r="41" spans="2:20" ht="23.1" customHeight="1" x14ac:dyDescent="0.25">
      <c r="B41" s="23" t="s">
        <v>68</v>
      </c>
      <c r="C41" s="50">
        <v>9</v>
      </c>
      <c r="D41" s="50">
        <v>4</v>
      </c>
      <c r="E41" s="50">
        <v>4</v>
      </c>
      <c r="F41" s="50">
        <v>19</v>
      </c>
      <c r="G41" s="50">
        <v>0</v>
      </c>
      <c r="H41" s="50">
        <v>0</v>
      </c>
      <c r="I41" s="50">
        <v>4</v>
      </c>
      <c r="J41" s="50">
        <v>6</v>
      </c>
      <c r="K41" s="50">
        <v>2</v>
      </c>
      <c r="L41" s="50">
        <v>10</v>
      </c>
      <c r="M41" s="50">
        <v>26</v>
      </c>
      <c r="N41" s="50">
        <v>0</v>
      </c>
      <c r="O41" s="15">
        <f t="shared" si="0"/>
        <v>58</v>
      </c>
      <c r="P41" s="15">
        <f t="shared" si="1"/>
        <v>84</v>
      </c>
    </row>
    <row r="42" spans="2:20" ht="23.1" customHeight="1" x14ac:dyDescent="0.25">
      <c r="B42" s="24" t="s">
        <v>69</v>
      </c>
      <c r="C42" s="50">
        <v>18</v>
      </c>
      <c r="D42" s="50">
        <v>3</v>
      </c>
      <c r="E42" s="50">
        <v>3</v>
      </c>
      <c r="F42" s="50">
        <v>22</v>
      </c>
      <c r="G42" s="50">
        <v>0</v>
      </c>
      <c r="H42" s="50">
        <v>0</v>
      </c>
      <c r="I42" s="50">
        <v>6</v>
      </c>
      <c r="J42" s="50">
        <v>2</v>
      </c>
      <c r="K42" s="50">
        <v>1</v>
      </c>
      <c r="L42" s="50">
        <v>1</v>
      </c>
      <c r="M42" s="50">
        <v>28</v>
      </c>
      <c r="N42" s="50">
        <v>0</v>
      </c>
      <c r="O42" s="15">
        <f t="shared" si="0"/>
        <v>56</v>
      </c>
      <c r="P42" s="15">
        <f t="shared" si="1"/>
        <v>84</v>
      </c>
    </row>
    <row r="43" spans="2:20" ht="23.1" customHeight="1" x14ac:dyDescent="0.25">
      <c r="B43" s="23" t="s">
        <v>70</v>
      </c>
      <c r="C43" s="50">
        <v>15</v>
      </c>
      <c r="D43" s="50">
        <v>11</v>
      </c>
      <c r="E43" s="50">
        <v>1</v>
      </c>
      <c r="F43" s="50">
        <v>23</v>
      </c>
      <c r="G43" s="50">
        <v>0</v>
      </c>
      <c r="H43" s="50">
        <v>0</v>
      </c>
      <c r="I43" s="50">
        <v>8</v>
      </c>
      <c r="J43" s="50">
        <v>4</v>
      </c>
      <c r="K43" s="50">
        <v>8</v>
      </c>
      <c r="L43" s="50">
        <v>1</v>
      </c>
      <c r="M43" s="50">
        <v>29</v>
      </c>
      <c r="N43" s="50">
        <v>0</v>
      </c>
      <c r="O43" s="15">
        <f t="shared" si="0"/>
        <v>71</v>
      </c>
      <c r="P43" s="15">
        <f t="shared" si="1"/>
        <v>100</v>
      </c>
    </row>
    <row r="44" spans="2:20" ht="23.1" customHeight="1" x14ac:dyDescent="0.25">
      <c r="B44" s="25" t="s">
        <v>71</v>
      </c>
      <c r="C44" s="50">
        <v>11</v>
      </c>
      <c r="D44" s="50">
        <v>8</v>
      </c>
      <c r="E44" s="50">
        <v>6</v>
      </c>
      <c r="F44" s="50">
        <v>19</v>
      </c>
      <c r="G44" s="50">
        <v>1</v>
      </c>
      <c r="H44" s="50">
        <v>0</v>
      </c>
      <c r="I44" s="50">
        <v>11</v>
      </c>
      <c r="J44" s="50">
        <v>5</v>
      </c>
      <c r="K44" s="50">
        <v>6</v>
      </c>
      <c r="L44" s="50">
        <v>12</v>
      </c>
      <c r="M44" s="50">
        <v>32</v>
      </c>
      <c r="N44" s="50">
        <v>0</v>
      </c>
      <c r="O44" s="15">
        <f t="shared" si="0"/>
        <v>79</v>
      </c>
      <c r="P44" s="15">
        <f t="shared" si="1"/>
        <v>111</v>
      </c>
    </row>
    <row r="45" spans="2:20" ht="23.1" customHeight="1" x14ac:dyDescent="0.25">
      <c r="B45" s="23" t="s">
        <v>72</v>
      </c>
      <c r="C45" s="50">
        <v>27</v>
      </c>
      <c r="D45" s="50">
        <v>17</v>
      </c>
      <c r="E45" s="50">
        <v>9</v>
      </c>
      <c r="F45" s="50">
        <v>25</v>
      </c>
      <c r="G45" s="50">
        <v>0</v>
      </c>
      <c r="H45" s="50">
        <v>0</v>
      </c>
      <c r="I45" s="50">
        <v>7</v>
      </c>
      <c r="J45" s="50">
        <v>8</v>
      </c>
      <c r="K45" s="50">
        <v>7</v>
      </c>
      <c r="L45" s="50">
        <v>6</v>
      </c>
      <c r="M45" s="50">
        <v>38</v>
      </c>
      <c r="N45" s="50">
        <v>0</v>
      </c>
      <c r="O45" s="15">
        <f t="shared" si="0"/>
        <v>106</v>
      </c>
      <c r="P45" s="15">
        <f t="shared" si="1"/>
        <v>144</v>
      </c>
    </row>
    <row r="46" spans="2:20" ht="23.1" customHeight="1" x14ac:dyDescent="0.25">
      <c r="B46" s="24" t="s">
        <v>73</v>
      </c>
      <c r="C46" s="50">
        <v>6</v>
      </c>
      <c r="D46" s="50">
        <v>8</v>
      </c>
      <c r="E46" s="50">
        <v>5</v>
      </c>
      <c r="F46" s="50">
        <v>11</v>
      </c>
      <c r="G46" s="50">
        <v>0</v>
      </c>
      <c r="H46" s="50">
        <v>0</v>
      </c>
      <c r="I46" s="50">
        <v>8</v>
      </c>
      <c r="J46" s="50">
        <v>8</v>
      </c>
      <c r="K46" s="50">
        <v>3</v>
      </c>
      <c r="L46" s="50">
        <v>13</v>
      </c>
      <c r="M46" s="50">
        <v>41</v>
      </c>
      <c r="N46" s="50">
        <v>0</v>
      </c>
      <c r="O46" s="15">
        <f t="shared" si="0"/>
        <v>62</v>
      </c>
      <c r="P46" s="15">
        <f t="shared" si="1"/>
        <v>103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15</v>
      </c>
      <c r="E47" s="50">
        <v>4</v>
      </c>
      <c r="F47" s="50">
        <v>17</v>
      </c>
      <c r="G47" s="50">
        <v>0</v>
      </c>
      <c r="H47" s="50">
        <v>0</v>
      </c>
      <c r="I47" s="50">
        <v>8</v>
      </c>
      <c r="J47" s="50">
        <v>3</v>
      </c>
      <c r="K47" s="50">
        <v>4</v>
      </c>
      <c r="L47" s="50">
        <v>8</v>
      </c>
      <c r="M47" s="50">
        <v>42</v>
      </c>
      <c r="N47" s="50">
        <v>0</v>
      </c>
      <c r="O47" s="15">
        <f t="shared" si="0"/>
        <v>76</v>
      </c>
      <c r="P47" s="15">
        <f t="shared" si="1"/>
        <v>118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16</v>
      </c>
      <c r="E48" s="50">
        <v>7</v>
      </c>
      <c r="F48" s="50">
        <v>21</v>
      </c>
      <c r="G48" s="50">
        <v>0</v>
      </c>
      <c r="H48" s="50">
        <v>0</v>
      </c>
      <c r="I48" s="50">
        <v>5</v>
      </c>
      <c r="J48" s="50">
        <v>5</v>
      </c>
      <c r="K48" s="50">
        <v>4</v>
      </c>
      <c r="L48" s="50">
        <v>9</v>
      </c>
      <c r="M48" s="50">
        <v>41</v>
      </c>
      <c r="N48" s="50">
        <v>0</v>
      </c>
      <c r="O48" s="15">
        <f t="shared" si="0"/>
        <v>92</v>
      </c>
      <c r="P48" s="15">
        <f t="shared" si="1"/>
        <v>133</v>
      </c>
      <c r="R48" s="8"/>
      <c r="T48"/>
    </row>
    <row r="49" spans="2:20" ht="23.1" customHeight="1" x14ac:dyDescent="0.25">
      <c r="B49" s="23" t="s">
        <v>76</v>
      </c>
      <c r="C49" s="50">
        <v>28</v>
      </c>
      <c r="D49" s="50">
        <v>11</v>
      </c>
      <c r="E49" s="50">
        <v>8</v>
      </c>
      <c r="F49" s="50">
        <v>16</v>
      </c>
      <c r="G49" s="50">
        <v>0</v>
      </c>
      <c r="H49" s="50">
        <v>0</v>
      </c>
      <c r="I49" s="50">
        <v>15</v>
      </c>
      <c r="J49" s="50">
        <v>6</v>
      </c>
      <c r="K49" s="50">
        <v>6</v>
      </c>
      <c r="L49" s="50">
        <v>3</v>
      </c>
      <c r="M49" s="50">
        <v>34</v>
      </c>
      <c r="N49" s="50">
        <v>0</v>
      </c>
      <c r="O49" s="15">
        <f t="shared" si="0"/>
        <v>93</v>
      </c>
      <c r="P49" s="15">
        <f t="shared" si="1"/>
        <v>127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14</v>
      </c>
      <c r="E50" s="50">
        <v>5</v>
      </c>
      <c r="F50" s="50">
        <v>23</v>
      </c>
      <c r="G50" s="50">
        <v>0</v>
      </c>
      <c r="H50" s="50">
        <v>0</v>
      </c>
      <c r="I50" s="50">
        <v>5</v>
      </c>
      <c r="J50" s="50">
        <v>4</v>
      </c>
      <c r="K50" s="50">
        <v>6</v>
      </c>
      <c r="L50" s="50">
        <v>4</v>
      </c>
      <c r="M50" s="50">
        <v>43</v>
      </c>
      <c r="N50" s="50">
        <v>0</v>
      </c>
      <c r="O50" s="15">
        <f t="shared" si="0"/>
        <v>84</v>
      </c>
      <c r="P50" s="15">
        <f t="shared" si="1"/>
        <v>127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12</v>
      </c>
      <c r="E51" s="50">
        <v>7</v>
      </c>
      <c r="F51" s="50">
        <v>25</v>
      </c>
      <c r="G51" s="50">
        <v>1</v>
      </c>
      <c r="H51" s="50">
        <v>1</v>
      </c>
      <c r="I51" s="50">
        <v>13</v>
      </c>
      <c r="J51" s="50">
        <v>3</v>
      </c>
      <c r="K51" s="50">
        <v>6</v>
      </c>
      <c r="L51" s="50">
        <v>6</v>
      </c>
      <c r="M51" s="50">
        <v>40</v>
      </c>
      <c r="N51" s="50">
        <v>0</v>
      </c>
      <c r="O51" s="15">
        <f t="shared" si="0"/>
        <v>105</v>
      </c>
      <c r="P51" s="15">
        <f t="shared" si="1"/>
        <v>145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19</v>
      </c>
      <c r="E52" s="50">
        <v>6</v>
      </c>
      <c r="F52" s="50">
        <v>31</v>
      </c>
      <c r="G52" s="50">
        <v>1</v>
      </c>
      <c r="H52" s="50">
        <v>0</v>
      </c>
      <c r="I52" s="50">
        <v>7</v>
      </c>
      <c r="J52" s="50">
        <v>2</v>
      </c>
      <c r="K52" s="50">
        <v>3</v>
      </c>
      <c r="L52" s="50">
        <v>5</v>
      </c>
      <c r="M52" s="50">
        <v>47</v>
      </c>
      <c r="N52" s="50">
        <v>0</v>
      </c>
      <c r="O52" s="15">
        <f t="shared" si="0"/>
        <v>114</v>
      </c>
      <c r="P52" s="15">
        <f t="shared" si="1"/>
        <v>161</v>
      </c>
      <c r="R52" s="8"/>
      <c r="T52"/>
    </row>
    <row r="53" spans="2:20" ht="23.1" customHeight="1" x14ac:dyDescent="0.25">
      <c r="B53" s="23" t="s">
        <v>80</v>
      </c>
      <c r="C53" s="50">
        <v>36</v>
      </c>
      <c r="D53" s="50">
        <v>25</v>
      </c>
      <c r="E53" s="50">
        <v>10</v>
      </c>
      <c r="F53" s="50">
        <v>30</v>
      </c>
      <c r="G53" s="50">
        <v>2</v>
      </c>
      <c r="H53" s="50">
        <v>0</v>
      </c>
      <c r="I53" s="50">
        <v>8</v>
      </c>
      <c r="J53" s="50">
        <v>6</v>
      </c>
      <c r="K53" s="50">
        <v>5</v>
      </c>
      <c r="L53" s="50">
        <v>1</v>
      </c>
      <c r="M53" s="50">
        <v>38</v>
      </c>
      <c r="N53" s="50">
        <v>0</v>
      </c>
      <c r="O53" s="15">
        <f t="shared" si="0"/>
        <v>123</v>
      </c>
      <c r="P53" s="15">
        <f t="shared" si="1"/>
        <v>161</v>
      </c>
      <c r="R53" s="8"/>
      <c r="T53"/>
    </row>
    <row r="54" spans="2:20" ht="23.1" customHeight="1" x14ac:dyDescent="0.25">
      <c r="B54" s="23" t="s">
        <v>81</v>
      </c>
      <c r="C54" s="50">
        <v>55</v>
      </c>
      <c r="D54" s="50">
        <v>27</v>
      </c>
      <c r="E54" s="50">
        <v>11</v>
      </c>
      <c r="F54" s="50">
        <v>32</v>
      </c>
      <c r="G54" s="50">
        <v>1</v>
      </c>
      <c r="H54" s="50">
        <v>0</v>
      </c>
      <c r="I54" s="50">
        <v>6</v>
      </c>
      <c r="J54" s="50">
        <v>1</v>
      </c>
      <c r="K54" s="50">
        <v>3</v>
      </c>
      <c r="L54" s="50">
        <v>4</v>
      </c>
      <c r="M54" s="50">
        <v>48</v>
      </c>
      <c r="N54" s="50">
        <v>0</v>
      </c>
      <c r="O54" s="15">
        <f t="shared" si="0"/>
        <v>140</v>
      </c>
      <c r="P54" s="15">
        <f t="shared" si="1"/>
        <v>188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21</v>
      </c>
      <c r="E55" s="50">
        <v>10</v>
      </c>
      <c r="F55" s="50">
        <v>31</v>
      </c>
      <c r="G55" s="50">
        <v>0</v>
      </c>
      <c r="H55" s="50">
        <v>0</v>
      </c>
      <c r="I55" s="50">
        <v>7</v>
      </c>
      <c r="J55" s="50">
        <v>1</v>
      </c>
      <c r="K55" s="50">
        <v>5</v>
      </c>
      <c r="L55" s="50">
        <v>0</v>
      </c>
      <c r="M55" s="50">
        <v>63</v>
      </c>
      <c r="N55" s="50">
        <v>0</v>
      </c>
      <c r="O55" s="15">
        <f t="shared" si="0"/>
        <v>112</v>
      </c>
      <c r="P55" s="15">
        <f t="shared" si="1"/>
        <v>175</v>
      </c>
      <c r="R55" s="8"/>
      <c r="T55"/>
    </row>
    <row r="56" spans="2:20" ht="23.1" customHeight="1" x14ac:dyDescent="0.25">
      <c r="B56" s="23" t="s">
        <v>83</v>
      </c>
      <c r="C56" s="50">
        <v>29</v>
      </c>
      <c r="D56" s="50">
        <v>29</v>
      </c>
      <c r="E56" s="50">
        <v>8</v>
      </c>
      <c r="F56" s="50">
        <v>27</v>
      </c>
      <c r="G56" s="50">
        <v>0</v>
      </c>
      <c r="H56" s="50">
        <v>0</v>
      </c>
      <c r="I56" s="50">
        <v>6</v>
      </c>
      <c r="J56" s="50">
        <v>3</v>
      </c>
      <c r="K56" s="50">
        <v>3</v>
      </c>
      <c r="L56" s="50">
        <v>8</v>
      </c>
      <c r="M56" s="50">
        <v>61</v>
      </c>
      <c r="N56" s="50">
        <v>0</v>
      </c>
      <c r="O56" s="15">
        <f t="shared" si="0"/>
        <v>113</v>
      </c>
      <c r="P56" s="15">
        <f t="shared" si="1"/>
        <v>174</v>
      </c>
      <c r="R56" s="8"/>
      <c r="T56"/>
    </row>
    <row r="57" spans="2:20" ht="23.1" customHeight="1" x14ac:dyDescent="0.25">
      <c r="B57" s="23" t="s">
        <v>84</v>
      </c>
      <c r="C57" s="50">
        <v>31</v>
      </c>
      <c r="D57" s="50">
        <v>32</v>
      </c>
      <c r="E57" s="50">
        <v>14</v>
      </c>
      <c r="F57" s="50">
        <v>41</v>
      </c>
      <c r="G57" s="50">
        <v>0</v>
      </c>
      <c r="H57" s="50">
        <v>0</v>
      </c>
      <c r="I57" s="50">
        <v>4</v>
      </c>
      <c r="J57" s="50">
        <v>5</v>
      </c>
      <c r="K57" s="50">
        <v>1</v>
      </c>
      <c r="L57" s="50">
        <v>10</v>
      </c>
      <c r="M57" s="50">
        <v>59</v>
      </c>
      <c r="N57" s="50">
        <v>0</v>
      </c>
      <c r="O57" s="15">
        <f t="shared" si="0"/>
        <v>138</v>
      </c>
      <c r="P57" s="15">
        <f t="shared" si="1"/>
        <v>197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995</v>
      </c>
      <c r="D58" s="16">
        <f t="shared" si="21"/>
        <v>505</v>
      </c>
      <c r="E58" s="16">
        <f t="shared" si="21"/>
        <v>241</v>
      </c>
      <c r="F58" s="16">
        <f t="shared" si="21"/>
        <v>1152</v>
      </c>
      <c r="G58" s="16">
        <f t="shared" si="21"/>
        <v>13</v>
      </c>
      <c r="H58" s="16">
        <f t="shared" si="21"/>
        <v>3</v>
      </c>
      <c r="I58" s="16">
        <f t="shared" si="21"/>
        <v>299</v>
      </c>
      <c r="J58" s="16">
        <f t="shared" si="21"/>
        <v>162</v>
      </c>
      <c r="K58" s="16">
        <f t="shared" si="21"/>
        <v>244</v>
      </c>
      <c r="L58" s="16">
        <f t="shared" si="21"/>
        <v>215</v>
      </c>
      <c r="M58" s="16">
        <f t="shared" si="21"/>
        <v>1866</v>
      </c>
      <c r="N58" s="16">
        <f t="shared" si="21"/>
        <v>0</v>
      </c>
      <c r="O58" s="16">
        <f t="shared" si="21"/>
        <v>3829</v>
      </c>
      <c r="P58" s="16">
        <f t="shared" si="21"/>
        <v>5695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0.17471466198419666</v>
      </c>
      <c r="D59" s="43">
        <f t="shared" si="22"/>
        <v>8.8674275680421424E-2</v>
      </c>
      <c r="E59" s="43">
        <f t="shared" si="22"/>
        <v>4.2317822651448636E-2</v>
      </c>
      <c r="F59" s="43">
        <f t="shared" si="22"/>
        <v>0.20228270412642668</v>
      </c>
      <c r="G59" s="43">
        <f t="shared" si="22"/>
        <v>2.2827041264266903E-3</v>
      </c>
      <c r="H59" s="43">
        <f t="shared" si="22"/>
        <v>5.2677787532923615E-4</v>
      </c>
      <c r="I59" s="43">
        <f t="shared" si="22"/>
        <v>5.2502194907813875E-2</v>
      </c>
      <c r="J59" s="43">
        <f t="shared" si="22"/>
        <v>2.8446005267778754E-2</v>
      </c>
      <c r="K59" s="43">
        <f t="shared" si="22"/>
        <v>4.2844600526777875E-2</v>
      </c>
      <c r="L59" s="43">
        <f t="shared" si="22"/>
        <v>3.7752414398595259E-2</v>
      </c>
      <c r="M59" s="43">
        <f t="shared" si="22"/>
        <v>0.32765583845478491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0.25985897101070776</v>
      </c>
      <c r="D60" s="44">
        <f t="shared" ref="D60:N60" si="23">D58/$O$58</f>
        <v>0.13188822146774615</v>
      </c>
      <c r="E60" s="44">
        <f t="shared" si="23"/>
        <v>6.2940715591538257E-2</v>
      </c>
      <c r="F60" s="44">
        <f t="shared" si="23"/>
        <v>0.3008618438234526</v>
      </c>
      <c r="G60" s="44">
        <f t="shared" si="23"/>
        <v>3.3951423348132673E-3</v>
      </c>
      <c r="H60" s="44">
        <f t="shared" si="23"/>
        <v>7.8349438495690785E-4</v>
      </c>
      <c r="I60" s="44">
        <f t="shared" si="23"/>
        <v>7.8088273700705146E-2</v>
      </c>
      <c r="J60" s="44">
        <f t="shared" si="23"/>
        <v>4.2308696787673024E-2</v>
      </c>
      <c r="K60" s="44">
        <f t="shared" si="23"/>
        <v>6.3724209976495166E-2</v>
      </c>
      <c r="L60" s="44">
        <f t="shared" si="23"/>
        <v>5.6150430921911729E-2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Nalya-Bweyogerere'!D5</f>
        <v>31.07.19</v>
      </c>
      <c r="E5" s="3"/>
      <c r="F5" s="41" t="s">
        <v>1</v>
      </c>
      <c r="G5" s="64" t="str">
        <f>'29.07 Nalya-Bweyogerere'!G5:H5</f>
        <v>Signs and Symbols</v>
      </c>
      <c r="H5" s="65"/>
      <c r="I5" s="14"/>
      <c r="J5" s="2" t="s">
        <v>5</v>
      </c>
      <c r="K5" s="64" t="str">
        <f>'29.07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'29.07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63</v>
      </c>
      <c r="D10" s="50">
        <v>10</v>
      </c>
      <c r="E10" s="50">
        <v>6</v>
      </c>
      <c r="F10" s="50">
        <v>27</v>
      </c>
      <c r="G10" s="50">
        <v>3</v>
      </c>
      <c r="H10" s="50">
        <v>0</v>
      </c>
      <c r="I10" s="50">
        <v>5</v>
      </c>
      <c r="J10" s="50">
        <v>1</v>
      </c>
      <c r="K10" s="50">
        <v>4</v>
      </c>
      <c r="L10" s="50">
        <v>4</v>
      </c>
      <c r="M10" s="50">
        <v>30</v>
      </c>
      <c r="N10" s="50">
        <v>0</v>
      </c>
      <c r="O10" s="15">
        <f t="shared" ref="O10:O57" si="0">SUM(C10:L10,N10)</f>
        <v>123</v>
      </c>
      <c r="P10" s="15">
        <f t="shared" ref="P10:P57" si="1">SUM(C10:N10)</f>
        <v>153</v>
      </c>
      <c r="R10" s="1" t="s">
        <v>6</v>
      </c>
      <c r="S10" s="17">
        <f t="shared" ref="S10:AF10" si="2">SUM(C10:C13)</f>
        <v>218</v>
      </c>
      <c r="T10" s="17">
        <f t="shared" si="2"/>
        <v>36</v>
      </c>
      <c r="U10" s="17">
        <f t="shared" si="2"/>
        <v>32</v>
      </c>
      <c r="V10" s="17">
        <f t="shared" si="2"/>
        <v>117</v>
      </c>
      <c r="W10" s="17">
        <f t="shared" si="2"/>
        <v>4</v>
      </c>
      <c r="X10" s="17">
        <f t="shared" si="2"/>
        <v>0</v>
      </c>
      <c r="Y10" s="17">
        <f t="shared" si="2"/>
        <v>8</v>
      </c>
      <c r="Z10" s="17">
        <f t="shared" si="2"/>
        <v>24</v>
      </c>
      <c r="AA10" s="17">
        <f t="shared" si="2"/>
        <v>17</v>
      </c>
      <c r="AB10" s="17">
        <f t="shared" si="2"/>
        <v>14</v>
      </c>
      <c r="AC10" s="17">
        <f t="shared" si="2"/>
        <v>151</v>
      </c>
      <c r="AD10" s="17">
        <f t="shared" si="2"/>
        <v>0</v>
      </c>
      <c r="AE10" s="31">
        <f t="shared" si="2"/>
        <v>470</v>
      </c>
      <c r="AF10" s="31">
        <f t="shared" si="2"/>
        <v>621</v>
      </c>
    </row>
    <row r="11" spans="2:32" s="6" customFormat="1" ht="23.1" customHeight="1" x14ac:dyDescent="0.25">
      <c r="B11" s="23" t="s">
        <v>38</v>
      </c>
      <c r="C11" s="50">
        <v>55</v>
      </c>
      <c r="D11" s="50">
        <v>9</v>
      </c>
      <c r="E11" s="50">
        <v>11</v>
      </c>
      <c r="F11" s="50">
        <v>25</v>
      </c>
      <c r="G11" s="50">
        <v>0</v>
      </c>
      <c r="H11" s="50">
        <v>0</v>
      </c>
      <c r="I11" s="50">
        <v>0</v>
      </c>
      <c r="J11" s="50">
        <v>10</v>
      </c>
      <c r="K11" s="50">
        <v>3</v>
      </c>
      <c r="L11" s="50">
        <v>3</v>
      </c>
      <c r="M11" s="50">
        <v>34</v>
      </c>
      <c r="N11" s="50">
        <v>0</v>
      </c>
      <c r="O11" s="15">
        <f t="shared" si="0"/>
        <v>116</v>
      </c>
      <c r="P11" s="15">
        <f t="shared" si="1"/>
        <v>150</v>
      </c>
      <c r="R11" s="1" t="s">
        <v>7</v>
      </c>
      <c r="S11" s="17">
        <f t="shared" ref="S11:AF11" si="3">SUM(C14:C17)</f>
        <v>155</v>
      </c>
      <c r="T11" s="17">
        <f t="shared" si="3"/>
        <v>31</v>
      </c>
      <c r="U11" s="17">
        <f t="shared" si="3"/>
        <v>17</v>
      </c>
      <c r="V11" s="17">
        <f t="shared" si="3"/>
        <v>106</v>
      </c>
      <c r="W11" s="17">
        <f t="shared" si="3"/>
        <v>3</v>
      </c>
      <c r="X11" s="17">
        <f t="shared" si="3"/>
        <v>0</v>
      </c>
      <c r="Y11" s="17">
        <f t="shared" si="3"/>
        <v>8</v>
      </c>
      <c r="Z11" s="17">
        <f t="shared" si="3"/>
        <v>28</v>
      </c>
      <c r="AA11" s="17">
        <f t="shared" si="3"/>
        <v>11</v>
      </c>
      <c r="AB11" s="17">
        <f t="shared" si="3"/>
        <v>18</v>
      </c>
      <c r="AC11" s="17">
        <f t="shared" si="3"/>
        <v>182</v>
      </c>
      <c r="AD11" s="17">
        <f t="shared" si="3"/>
        <v>0</v>
      </c>
      <c r="AE11" s="31">
        <f t="shared" si="3"/>
        <v>377</v>
      </c>
      <c r="AF11" s="31">
        <f t="shared" si="3"/>
        <v>559</v>
      </c>
    </row>
    <row r="12" spans="2:32" ht="23.1" customHeight="1" x14ac:dyDescent="0.25">
      <c r="B12" s="23" t="s">
        <v>39</v>
      </c>
      <c r="C12" s="50">
        <v>52</v>
      </c>
      <c r="D12" s="50">
        <v>9</v>
      </c>
      <c r="E12" s="50">
        <v>12</v>
      </c>
      <c r="F12" s="50">
        <v>37</v>
      </c>
      <c r="G12" s="50">
        <v>1</v>
      </c>
      <c r="H12" s="50">
        <v>0</v>
      </c>
      <c r="I12" s="50">
        <v>2</v>
      </c>
      <c r="J12" s="50">
        <v>5</v>
      </c>
      <c r="K12" s="50">
        <v>5</v>
      </c>
      <c r="L12" s="50">
        <v>3</v>
      </c>
      <c r="M12" s="50">
        <v>48</v>
      </c>
      <c r="N12" s="50">
        <v>0</v>
      </c>
      <c r="O12" s="15">
        <f t="shared" si="0"/>
        <v>126</v>
      </c>
      <c r="P12" s="15">
        <f t="shared" si="1"/>
        <v>174</v>
      </c>
      <c r="R12" s="1" t="s">
        <v>8</v>
      </c>
      <c r="S12" s="17">
        <f t="shared" ref="S12:AF12" si="4">SUM(C18:C21)</f>
        <v>96</v>
      </c>
      <c r="T12" s="17">
        <f t="shared" si="4"/>
        <v>23</v>
      </c>
      <c r="U12" s="17">
        <f t="shared" si="4"/>
        <v>9</v>
      </c>
      <c r="V12" s="17">
        <f t="shared" si="4"/>
        <v>77</v>
      </c>
      <c r="W12" s="17">
        <f t="shared" si="4"/>
        <v>2</v>
      </c>
      <c r="X12" s="17">
        <f t="shared" si="4"/>
        <v>1</v>
      </c>
      <c r="Y12" s="17">
        <f t="shared" si="4"/>
        <v>18</v>
      </c>
      <c r="Z12" s="17">
        <f t="shared" si="4"/>
        <v>30</v>
      </c>
      <c r="AA12" s="17">
        <f t="shared" si="4"/>
        <v>16</v>
      </c>
      <c r="AB12" s="17">
        <f t="shared" si="4"/>
        <v>9</v>
      </c>
      <c r="AC12" s="17">
        <f t="shared" si="4"/>
        <v>168</v>
      </c>
      <c r="AD12" s="17">
        <f t="shared" si="4"/>
        <v>0</v>
      </c>
      <c r="AE12" s="31">
        <f t="shared" si="4"/>
        <v>281</v>
      </c>
      <c r="AF12" s="31">
        <f t="shared" si="4"/>
        <v>449</v>
      </c>
    </row>
    <row r="13" spans="2:32" ht="23.1" customHeight="1" x14ac:dyDescent="0.25">
      <c r="B13" s="23" t="s">
        <v>40</v>
      </c>
      <c r="C13" s="50">
        <v>48</v>
      </c>
      <c r="D13" s="50">
        <v>8</v>
      </c>
      <c r="E13" s="50">
        <v>3</v>
      </c>
      <c r="F13" s="50">
        <v>28</v>
      </c>
      <c r="G13" s="50">
        <v>0</v>
      </c>
      <c r="H13" s="50">
        <v>0</v>
      </c>
      <c r="I13" s="50">
        <v>1</v>
      </c>
      <c r="J13" s="50">
        <v>8</v>
      </c>
      <c r="K13" s="50">
        <v>5</v>
      </c>
      <c r="L13" s="50">
        <v>4</v>
      </c>
      <c r="M13" s="50">
        <v>39</v>
      </c>
      <c r="N13" s="50">
        <v>0</v>
      </c>
      <c r="O13" s="15">
        <f t="shared" si="0"/>
        <v>105</v>
      </c>
      <c r="P13" s="15">
        <f t="shared" si="1"/>
        <v>144</v>
      </c>
      <c r="R13" s="1" t="s">
        <v>9</v>
      </c>
      <c r="S13" s="17">
        <f t="shared" ref="S13:AF13" si="5">SUM(C22:C25)</f>
        <v>89</v>
      </c>
      <c r="T13" s="17">
        <f t="shared" si="5"/>
        <v>17</v>
      </c>
      <c r="U13" s="17">
        <f t="shared" si="5"/>
        <v>7</v>
      </c>
      <c r="V13" s="17">
        <f t="shared" si="5"/>
        <v>70</v>
      </c>
      <c r="W13" s="17">
        <f t="shared" si="5"/>
        <v>3</v>
      </c>
      <c r="X13" s="17">
        <f t="shared" si="5"/>
        <v>1</v>
      </c>
      <c r="Y13" s="17">
        <f t="shared" si="5"/>
        <v>13</v>
      </c>
      <c r="Z13" s="17">
        <f t="shared" si="5"/>
        <v>32</v>
      </c>
      <c r="AA13" s="17">
        <f t="shared" si="5"/>
        <v>11</v>
      </c>
      <c r="AB13" s="17">
        <f t="shared" si="5"/>
        <v>20</v>
      </c>
      <c r="AC13" s="17">
        <f t="shared" si="5"/>
        <v>174</v>
      </c>
      <c r="AD13" s="17">
        <f t="shared" si="5"/>
        <v>0</v>
      </c>
      <c r="AE13" s="31">
        <f t="shared" si="5"/>
        <v>263</v>
      </c>
      <c r="AF13" s="31">
        <f t="shared" si="5"/>
        <v>437</v>
      </c>
    </row>
    <row r="14" spans="2:32" ht="23.1" customHeight="1" x14ac:dyDescent="0.25">
      <c r="B14" s="23" t="s">
        <v>41</v>
      </c>
      <c r="C14" s="50">
        <v>48</v>
      </c>
      <c r="D14" s="50">
        <v>7</v>
      </c>
      <c r="E14" s="50">
        <v>6</v>
      </c>
      <c r="F14" s="50">
        <v>30</v>
      </c>
      <c r="G14" s="50">
        <v>2</v>
      </c>
      <c r="H14" s="50">
        <v>0</v>
      </c>
      <c r="I14" s="50">
        <v>1</v>
      </c>
      <c r="J14" s="50">
        <v>7</v>
      </c>
      <c r="K14" s="50">
        <v>2</v>
      </c>
      <c r="L14" s="50">
        <v>2</v>
      </c>
      <c r="M14" s="50">
        <v>47</v>
      </c>
      <c r="N14" s="50">
        <v>0</v>
      </c>
      <c r="O14" s="15">
        <f t="shared" si="0"/>
        <v>105</v>
      </c>
      <c r="P14" s="15">
        <f t="shared" si="1"/>
        <v>152</v>
      </c>
      <c r="R14" s="1" t="s">
        <v>10</v>
      </c>
      <c r="S14" s="17">
        <f t="shared" ref="S14:AF14" si="6">SUM(C26:C29)</f>
        <v>75</v>
      </c>
      <c r="T14" s="17">
        <f t="shared" si="6"/>
        <v>18</v>
      </c>
      <c r="U14" s="17">
        <f t="shared" si="6"/>
        <v>7</v>
      </c>
      <c r="V14" s="17">
        <f t="shared" si="6"/>
        <v>62</v>
      </c>
      <c r="W14" s="17">
        <f t="shared" si="6"/>
        <v>1</v>
      </c>
      <c r="X14" s="17">
        <f t="shared" si="6"/>
        <v>0</v>
      </c>
      <c r="Y14" s="17">
        <f t="shared" si="6"/>
        <v>24</v>
      </c>
      <c r="Z14" s="17">
        <f t="shared" si="6"/>
        <v>17</v>
      </c>
      <c r="AA14" s="17">
        <f t="shared" si="6"/>
        <v>14</v>
      </c>
      <c r="AB14" s="17">
        <f t="shared" si="6"/>
        <v>26</v>
      </c>
      <c r="AC14" s="17">
        <f t="shared" si="6"/>
        <v>154</v>
      </c>
      <c r="AD14" s="17">
        <f t="shared" si="6"/>
        <v>0</v>
      </c>
      <c r="AE14" s="31">
        <f t="shared" si="6"/>
        <v>244</v>
      </c>
      <c r="AF14" s="31">
        <f t="shared" si="6"/>
        <v>398</v>
      </c>
    </row>
    <row r="15" spans="2:32" ht="23.1" customHeight="1" x14ac:dyDescent="0.25">
      <c r="B15" s="23" t="s">
        <v>42</v>
      </c>
      <c r="C15" s="50">
        <v>43</v>
      </c>
      <c r="D15" s="50">
        <v>6</v>
      </c>
      <c r="E15" s="50">
        <v>6</v>
      </c>
      <c r="F15" s="50">
        <v>36</v>
      </c>
      <c r="G15" s="50">
        <v>0</v>
      </c>
      <c r="H15" s="50">
        <v>0</v>
      </c>
      <c r="I15" s="50">
        <v>2</v>
      </c>
      <c r="J15" s="50">
        <v>9</v>
      </c>
      <c r="K15" s="50">
        <v>0</v>
      </c>
      <c r="L15" s="50">
        <v>4</v>
      </c>
      <c r="M15" s="50">
        <v>48</v>
      </c>
      <c r="N15" s="50">
        <v>0</v>
      </c>
      <c r="O15" s="15">
        <f t="shared" si="0"/>
        <v>106</v>
      </c>
      <c r="P15" s="15">
        <f t="shared" si="1"/>
        <v>154</v>
      </c>
      <c r="R15" s="1" t="s">
        <v>11</v>
      </c>
      <c r="S15" s="17">
        <f t="shared" ref="S15:AF15" si="7">SUM(C30:C33)</f>
        <v>79</v>
      </c>
      <c r="T15" s="17">
        <f t="shared" si="7"/>
        <v>24</v>
      </c>
      <c r="U15" s="17">
        <f t="shared" si="7"/>
        <v>17</v>
      </c>
      <c r="V15" s="17">
        <f t="shared" si="7"/>
        <v>80</v>
      </c>
      <c r="W15" s="17">
        <f t="shared" si="7"/>
        <v>1</v>
      </c>
      <c r="X15" s="17">
        <f t="shared" si="7"/>
        <v>1</v>
      </c>
      <c r="Y15" s="17">
        <f t="shared" si="7"/>
        <v>32</v>
      </c>
      <c r="Z15" s="17">
        <f t="shared" si="7"/>
        <v>27</v>
      </c>
      <c r="AA15" s="17">
        <f t="shared" si="7"/>
        <v>12</v>
      </c>
      <c r="AB15" s="17">
        <f t="shared" si="7"/>
        <v>29</v>
      </c>
      <c r="AC15" s="17">
        <f t="shared" si="7"/>
        <v>186</v>
      </c>
      <c r="AD15" s="17">
        <f t="shared" si="7"/>
        <v>0</v>
      </c>
      <c r="AE15" s="31">
        <f t="shared" si="7"/>
        <v>302</v>
      </c>
      <c r="AF15" s="31">
        <f t="shared" si="7"/>
        <v>488</v>
      </c>
    </row>
    <row r="16" spans="2:32" ht="23.1" customHeight="1" x14ac:dyDescent="0.25">
      <c r="B16" s="23" t="s">
        <v>43</v>
      </c>
      <c r="C16" s="50">
        <v>30</v>
      </c>
      <c r="D16" s="50">
        <v>7</v>
      </c>
      <c r="E16" s="50">
        <v>3</v>
      </c>
      <c r="F16" s="50">
        <v>21</v>
      </c>
      <c r="G16" s="50">
        <v>1</v>
      </c>
      <c r="H16" s="50">
        <v>0</v>
      </c>
      <c r="I16" s="50">
        <v>4</v>
      </c>
      <c r="J16" s="50">
        <v>6</v>
      </c>
      <c r="K16" s="50">
        <v>3</v>
      </c>
      <c r="L16" s="50">
        <v>5</v>
      </c>
      <c r="M16" s="50">
        <v>40</v>
      </c>
      <c r="N16" s="50">
        <v>0</v>
      </c>
      <c r="O16" s="15">
        <f t="shared" si="0"/>
        <v>80</v>
      </c>
      <c r="P16" s="15">
        <f t="shared" si="1"/>
        <v>120</v>
      </c>
      <c r="R16" s="1" t="s">
        <v>12</v>
      </c>
      <c r="S16" s="17">
        <f t="shared" ref="S16:AF16" si="8">SUM(C34:C37)</f>
        <v>93</v>
      </c>
      <c r="T16" s="17">
        <f t="shared" si="8"/>
        <v>16</v>
      </c>
      <c r="U16" s="17">
        <f t="shared" si="8"/>
        <v>23</v>
      </c>
      <c r="V16" s="17">
        <f t="shared" si="8"/>
        <v>79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19</v>
      </c>
      <c r="AA16" s="17">
        <f t="shared" si="8"/>
        <v>15</v>
      </c>
      <c r="AB16" s="17">
        <f t="shared" si="8"/>
        <v>17</v>
      </c>
      <c r="AC16" s="17">
        <f t="shared" si="8"/>
        <v>139</v>
      </c>
      <c r="AD16" s="17">
        <f t="shared" si="8"/>
        <v>0</v>
      </c>
      <c r="AE16" s="31">
        <f t="shared" si="8"/>
        <v>283</v>
      </c>
      <c r="AF16" s="31">
        <f t="shared" si="8"/>
        <v>422</v>
      </c>
    </row>
    <row r="17" spans="2:32" ht="23.1" customHeight="1" x14ac:dyDescent="0.25">
      <c r="B17" s="23" t="s">
        <v>44</v>
      </c>
      <c r="C17" s="50">
        <v>34</v>
      </c>
      <c r="D17" s="50">
        <v>11</v>
      </c>
      <c r="E17" s="50">
        <v>2</v>
      </c>
      <c r="F17" s="50">
        <v>19</v>
      </c>
      <c r="G17" s="50">
        <v>0</v>
      </c>
      <c r="H17" s="50">
        <v>0</v>
      </c>
      <c r="I17" s="50">
        <v>1</v>
      </c>
      <c r="J17" s="50">
        <v>6</v>
      </c>
      <c r="K17" s="50">
        <v>6</v>
      </c>
      <c r="L17" s="50">
        <v>7</v>
      </c>
      <c r="M17" s="50">
        <v>47</v>
      </c>
      <c r="N17" s="50">
        <v>0</v>
      </c>
      <c r="O17" s="15">
        <f t="shared" si="0"/>
        <v>86</v>
      </c>
      <c r="P17" s="15">
        <f t="shared" si="1"/>
        <v>133</v>
      </c>
      <c r="R17" s="1" t="s">
        <v>13</v>
      </c>
      <c r="S17" s="17">
        <f t="shared" ref="S17:AF17" si="9">SUM(C38:C41)</f>
        <v>81</v>
      </c>
      <c r="T17" s="17">
        <f t="shared" si="9"/>
        <v>14</v>
      </c>
      <c r="U17" s="17">
        <f t="shared" si="9"/>
        <v>5</v>
      </c>
      <c r="V17" s="17">
        <f t="shared" si="9"/>
        <v>64</v>
      </c>
      <c r="W17" s="17">
        <f t="shared" si="9"/>
        <v>0</v>
      </c>
      <c r="X17" s="17">
        <f t="shared" si="9"/>
        <v>0</v>
      </c>
      <c r="Y17" s="17">
        <f t="shared" si="9"/>
        <v>30</v>
      </c>
      <c r="Z17" s="17">
        <f t="shared" si="9"/>
        <v>20</v>
      </c>
      <c r="AA17" s="17">
        <f t="shared" si="9"/>
        <v>14</v>
      </c>
      <c r="AB17" s="17">
        <f t="shared" si="9"/>
        <v>22</v>
      </c>
      <c r="AC17" s="17">
        <f t="shared" si="9"/>
        <v>130</v>
      </c>
      <c r="AD17" s="17">
        <f t="shared" si="9"/>
        <v>0</v>
      </c>
      <c r="AE17" s="31">
        <f t="shared" si="9"/>
        <v>250</v>
      </c>
      <c r="AF17" s="31">
        <f t="shared" si="9"/>
        <v>380</v>
      </c>
    </row>
    <row r="18" spans="2:32" ht="23.1" customHeight="1" x14ac:dyDescent="0.25">
      <c r="B18" s="23" t="s">
        <v>45</v>
      </c>
      <c r="C18" s="50">
        <v>19</v>
      </c>
      <c r="D18" s="50">
        <v>7</v>
      </c>
      <c r="E18" s="50">
        <v>4</v>
      </c>
      <c r="F18" s="50">
        <v>17</v>
      </c>
      <c r="G18" s="50">
        <v>0</v>
      </c>
      <c r="H18" s="50">
        <v>0</v>
      </c>
      <c r="I18" s="50">
        <v>8</v>
      </c>
      <c r="J18" s="50">
        <v>7</v>
      </c>
      <c r="K18" s="50">
        <v>9</v>
      </c>
      <c r="L18" s="50">
        <v>2</v>
      </c>
      <c r="M18" s="50">
        <v>47</v>
      </c>
      <c r="N18" s="50">
        <v>0</v>
      </c>
      <c r="O18" s="15">
        <f t="shared" si="0"/>
        <v>73</v>
      </c>
      <c r="P18" s="15">
        <f t="shared" si="1"/>
        <v>120</v>
      </c>
      <c r="R18" s="1" t="s">
        <v>14</v>
      </c>
      <c r="S18" s="17">
        <f t="shared" ref="S18:AF18" si="10">SUM(C42:C45)</f>
        <v>74</v>
      </c>
      <c r="T18" s="17">
        <f t="shared" si="10"/>
        <v>27</v>
      </c>
      <c r="U18" s="17">
        <f t="shared" si="10"/>
        <v>14</v>
      </c>
      <c r="V18" s="17">
        <f t="shared" si="10"/>
        <v>73</v>
      </c>
      <c r="W18" s="17">
        <f t="shared" si="10"/>
        <v>0</v>
      </c>
      <c r="X18" s="17">
        <f t="shared" si="10"/>
        <v>0</v>
      </c>
      <c r="Y18" s="17">
        <f t="shared" si="10"/>
        <v>33</v>
      </c>
      <c r="Z18" s="17">
        <f t="shared" si="10"/>
        <v>19</v>
      </c>
      <c r="AA18" s="17">
        <f t="shared" si="10"/>
        <v>18</v>
      </c>
      <c r="AB18" s="17">
        <f t="shared" si="10"/>
        <v>24</v>
      </c>
      <c r="AC18" s="17">
        <f t="shared" si="10"/>
        <v>146</v>
      </c>
      <c r="AD18" s="17">
        <f t="shared" si="10"/>
        <v>0</v>
      </c>
      <c r="AE18" s="31">
        <f t="shared" si="10"/>
        <v>282</v>
      </c>
      <c r="AF18" s="31">
        <f t="shared" si="10"/>
        <v>428</v>
      </c>
    </row>
    <row r="19" spans="2:32" ht="23.1" customHeight="1" x14ac:dyDescent="0.25">
      <c r="B19" s="23" t="s">
        <v>46</v>
      </c>
      <c r="C19" s="50">
        <v>31</v>
      </c>
      <c r="D19" s="50">
        <v>4</v>
      </c>
      <c r="E19" s="50">
        <v>2</v>
      </c>
      <c r="F19" s="50">
        <v>24</v>
      </c>
      <c r="G19" s="50">
        <v>2</v>
      </c>
      <c r="H19" s="50">
        <v>1</v>
      </c>
      <c r="I19" s="50">
        <v>4</v>
      </c>
      <c r="J19" s="50">
        <v>9</v>
      </c>
      <c r="K19" s="50">
        <v>1</v>
      </c>
      <c r="L19" s="50">
        <v>4</v>
      </c>
      <c r="M19" s="50">
        <v>49</v>
      </c>
      <c r="N19" s="50">
        <v>0</v>
      </c>
      <c r="O19" s="15">
        <f t="shared" si="0"/>
        <v>82</v>
      </c>
      <c r="P19" s="15">
        <f t="shared" si="1"/>
        <v>131</v>
      </c>
      <c r="R19" s="1" t="s">
        <v>15</v>
      </c>
      <c r="S19" s="17">
        <f t="shared" ref="S19:AF19" si="11">SUM(C46:C49)</f>
        <v>97</v>
      </c>
      <c r="T19" s="17">
        <f t="shared" si="11"/>
        <v>21</v>
      </c>
      <c r="U19" s="17">
        <f t="shared" si="11"/>
        <v>25</v>
      </c>
      <c r="V19" s="17">
        <f t="shared" si="11"/>
        <v>78</v>
      </c>
      <c r="W19" s="17">
        <f t="shared" si="11"/>
        <v>3</v>
      </c>
      <c r="X19" s="17">
        <f t="shared" si="11"/>
        <v>0</v>
      </c>
      <c r="Y19" s="17">
        <f t="shared" si="11"/>
        <v>34</v>
      </c>
      <c r="Z19" s="17">
        <f t="shared" si="11"/>
        <v>15</v>
      </c>
      <c r="AA19" s="17">
        <f t="shared" si="11"/>
        <v>8</v>
      </c>
      <c r="AB19" s="17">
        <f t="shared" si="11"/>
        <v>22</v>
      </c>
      <c r="AC19" s="17">
        <f t="shared" si="11"/>
        <v>134</v>
      </c>
      <c r="AD19" s="17">
        <f t="shared" si="11"/>
        <v>0</v>
      </c>
      <c r="AE19" s="31">
        <f t="shared" si="11"/>
        <v>303</v>
      </c>
      <c r="AF19" s="31">
        <f t="shared" si="11"/>
        <v>437</v>
      </c>
    </row>
    <row r="20" spans="2:32" ht="23.1" customHeight="1" x14ac:dyDescent="0.25">
      <c r="B20" s="23" t="s">
        <v>47</v>
      </c>
      <c r="C20" s="50">
        <v>36</v>
      </c>
      <c r="D20" s="50">
        <v>7</v>
      </c>
      <c r="E20" s="50">
        <v>1</v>
      </c>
      <c r="F20" s="50">
        <v>23</v>
      </c>
      <c r="G20" s="50">
        <v>0</v>
      </c>
      <c r="H20" s="50">
        <v>0</v>
      </c>
      <c r="I20" s="50">
        <v>3</v>
      </c>
      <c r="J20" s="50">
        <v>10</v>
      </c>
      <c r="K20" s="50">
        <v>3</v>
      </c>
      <c r="L20" s="50">
        <v>1</v>
      </c>
      <c r="M20" s="50">
        <v>39</v>
      </c>
      <c r="N20" s="50">
        <v>0</v>
      </c>
      <c r="O20" s="15">
        <f t="shared" si="0"/>
        <v>84</v>
      </c>
      <c r="P20" s="15">
        <f t="shared" si="1"/>
        <v>123</v>
      </c>
      <c r="R20" s="1" t="s">
        <v>16</v>
      </c>
      <c r="S20" s="17">
        <f t="shared" ref="S20:AF20" si="12">SUM(C50:C53)</f>
        <v>125</v>
      </c>
      <c r="T20" s="17">
        <f t="shared" si="12"/>
        <v>32</v>
      </c>
      <c r="U20" s="17">
        <f t="shared" si="12"/>
        <v>22</v>
      </c>
      <c r="V20" s="17">
        <f t="shared" si="12"/>
        <v>98</v>
      </c>
      <c r="W20" s="17">
        <f t="shared" si="12"/>
        <v>2</v>
      </c>
      <c r="X20" s="17">
        <f t="shared" si="12"/>
        <v>0</v>
      </c>
      <c r="Y20" s="17">
        <f t="shared" si="12"/>
        <v>38</v>
      </c>
      <c r="Z20" s="17">
        <f t="shared" si="12"/>
        <v>15</v>
      </c>
      <c r="AA20" s="17">
        <f t="shared" si="12"/>
        <v>12</v>
      </c>
      <c r="AB20" s="17">
        <f t="shared" si="12"/>
        <v>24</v>
      </c>
      <c r="AC20" s="17">
        <f t="shared" si="12"/>
        <v>192</v>
      </c>
      <c r="AD20" s="17">
        <f t="shared" si="12"/>
        <v>0</v>
      </c>
      <c r="AE20" s="31">
        <f t="shared" si="12"/>
        <v>368</v>
      </c>
      <c r="AF20" s="31">
        <f t="shared" si="12"/>
        <v>560</v>
      </c>
    </row>
    <row r="21" spans="2:32" ht="23.1" customHeight="1" x14ac:dyDescent="0.25">
      <c r="B21" s="23" t="s">
        <v>48</v>
      </c>
      <c r="C21" s="50">
        <v>10</v>
      </c>
      <c r="D21" s="50">
        <v>5</v>
      </c>
      <c r="E21" s="50">
        <v>2</v>
      </c>
      <c r="F21" s="50">
        <v>13</v>
      </c>
      <c r="G21" s="50">
        <v>0</v>
      </c>
      <c r="H21" s="50">
        <v>0</v>
      </c>
      <c r="I21" s="50">
        <v>3</v>
      </c>
      <c r="J21" s="50">
        <v>4</v>
      </c>
      <c r="K21" s="50">
        <v>3</v>
      </c>
      <c r="L21" s="50">
        <v>2</v>
      </c>
      <c r="M21" s="50">
        <v>33</v>
      </c>
      <c r="N21" s="50">
        <v>0</v>
      </c>
      <c r="O21" s="15">
        <f t="shared" si="0"/>
        <v>42</v>
      </c>
      <c r="P21" s="15">
        <f t="shared" si="1"/>
        <v>75</v>
      </c>
      <c r="R21" s="36" t="s">
        <v>20</v>
      </c>
      <c r="S21" s="34">
        <f t="shared" ref="S21:AF21" si="13">SUM(C54:C57)</f>
        <v>145</v>
      </c>
      <c r="T21" s="17">
        <f t="shared" si="13"/>
        <v>33</v>
      </c>
      <c r="U21" s="17">
        <f t="shared" si="13"/>
        <v>14</v>
      </c>
      <c r="V21" s="17">
        <f t="shared" si="13"/>
        <v>123</v>
      </c>
      <c r="W21" s="17">
        <f t="shared" si="13"/>
        <v>3</v>
      </c>
      <c r="X21" s="17">
        <f t="shared" si="13"/>
        <v>1</v>
      </c>
      <c r="Y21" s="17">
        <f t="shared" si="13"/>
        <v>31</v>
      </c>
      <c r="Z21" s="17">
        <f t="shared" si="13"/>
        <v>18</v>
      </c>
      <c r="AA21" s="17">
        <f t="shared" si="13"/>
        <v>12</v>
      </c>
      <c r="AB21" s="17">
        <f t="shared" si="13"/>
        <v>22</v>
      </c>
      <c r="AC21" s="17">
        <f t="shared" si="13"/>
        <v>195</v>
      </c>
      <c r="AD21" s="17">
        <f t="shared" si="13"/>
        <v>0</v>
      </c>
      <c r="AE21" s="31">
        <f t="shared" si="13"/>
        <v>402</v>
      </c>
      <c r="AF21" s="31">
        <f t="shared" si="13"/>
        <v>597</v>
      </c>
    </row>
    <row r="22" spans="2:32" ht="23.1" customHeight="1" x14ac:dyDescent="0.25">
      <c r="B22" s="23" t="s">
        <v>49</v>
      </c>
      <c r="C22" s="50">
        <v>29</v>
      </c>
      <c r="D22" s="50">
        <v>4</v>
      </c>
      <c r="E22" s="50">
        <v>4</v>
      </c>
      <c r="F22" s="50">
        <v>24</v>
      </c>
      <c r="G22" s="50">
        <v>1</v>
      </c>
      <c r="H22" s="50">
        <v>0</v>
      </c>
      <c r="I22" s="50">
        <v>4</v>
      </c>
      <c r="J22" s="50">
        <v>10</v>
      </c>
      <c r="K22" s="50">
        <v>3</v>
      </c>
      <c r="L22" s="50">
        <v>6</v>
      </c>
      <c r="M22" s="50">
        <v>57</v>
      </c>
      <c r="N22" s="50">
        <v>0</v>
      </c>
      <c r="O22" s="15">
        <f t="shared" si="0"/>
        <v>85</v>
      </c>
      <c r="P22" s="15">
        <f t="shared" si="1"/>
        <v>142</v>
      </c>
      <c r="R22" s="38" t="s">
        <v>90</v>
      </c>
      <c r="S22" s="39">
        <f>MAX(S10:S12)</f>
        <v>218</v>
      </c>
      <c r="T22" s="39">
        <f t="shared" ref="T22:AF22" si="14">MAX(T10:T12)</f>
        <v>36</v>
      </c>
      <c r="U22" s="39">
        <f t="shared" si="14"/>
        <v>32</v>
      </c>
      <c r="V22" s="39">
        <f t="shared" si="14"/>
        <v>117</v>
      </c>
      <c r="W22" s="39">
        <f t="shared" si="14"/>
        <v>4</v>
      </c>
      <c r="X22" s="39">
        <f t="shared" si="14"/>
        <v>1</v>
      </c>
      <c r="Y22" s="39">
        <f t="shared" si="14"/>
        <v>18</v>
      </c>
      <c r="Z22" s="39">
        <f t="shared" si="14"/>
        <v>30</v>
      </c>
      <c r="AA22" s="39">
        <f t="shared" si="14"/>
        <v>17</v>
      </c>
      <c r="AB22" s="39">
        <f t="shared" si="14"/>
        <v>18</v>
      </c>
      <c r="AC22" s="39">
        <f t="shared" si="14"/>
        <v>182</v>
      </c>
      <c r="AD22" s="39">
        <f t="shared" si="14"/>
        <v>0</v>
      </c>
      <c r="AE22" s="40">
        <f t="shared" si="14"/>
        <v>470</v>
      </c>
      <c r="AF22" s="40">
        <f t="shared" si="14"/>
        <v>621</v>
      </c>
    </row>
    <row r="23" spans="2:32" ht="23.1" customHeight="1" x14ac:dyDescent="0.25">
      <c r="B23" s="23" t="s">
        <v>50</v>
      </c>
      <c r="C23" s="50">
        <v>31</v>
      </c>
      <c r="D23" s="50">
        <v>7</v>
      </c>
      <c r="E23" s="50">
        <v>0</v>
      </c>
      <c r="F23" s="50">
        <v>19</v>
      </c>
      <c r="G23" s="50">
        <v>1</v>
      </c>
      <c r="H23" s="50">
        <v>1</v>
      </c>
      <c r="I23" s="50">
        <v>2</v>
      </c>
      <c r="J23" s="50">
        <v>11</v>
      </c>
      <c r="K23" s="50">
        <v>4</v>
      </c>
      <c r="L23" s="50">
        <v>5</v>
      </c>
      <c r="M23" s="50">
        <v>50</v>
      </c>
      <c r="N23" s="50">
        <v>0</v>
      </c>
      <c r="O23" s="15">
        <f t="shared" si="0"/>
        <v>81</v>
      </c>
      <c r="P23" s="15">
        <f t="shared" si="1"/>
        <v>131</v>
      </c>
      <c r="R23" s="38" t="s">
        <v>91</v>
      </c>
      <c r="S23" s="39">
        <f>MAX(S13:S18)</f>
        <v>93</v>
      </c>
      <c r="T23" s="39">
        <f t="shared" ref="T23:AF23" si="15">MAX(T13:T18)</f>
        <v>27</v>
      </c>
      <c r="U23" s="39">
        <f t="shared" si="15"/>
        <v>23</v>
      </c>
      <c r="V23" s="39">
        <f t="shared" si="15"/>
        <v>80</v>
      </c>
      <c r="W23" s="39">
        <f t="shared" si="15"/>
        <v>3</v>
      </c>
      <c r="X23" s="39">
        <f t="shared" si="15"/>
        <v>1</v>
      </c>
      <c r="Y23" s="39">
        <f t="shared" si="15"/>
        <v>33</v>
      </c>
      <c r="Z23" s="39">
        <f t="shared" si="15"/>
        <v>32</v>
      </c>
      <c r="AA23" s="39">
        <f t="shared" si="15"/>
        <v>18</v>
      </c>
      <c r="AB23" s="39">
        <f t="shared" si="15"/>
        <v>29</v>
      </c>
      <c r="AC23" s="39">
        <f t="shared" si="15"/>
        <v>186</v>
      </c>
      <c r="AD23" s="39">
        <f t="shared" si="15"/>
        <v>0</v>
      </c>
      <c r="AE23" s="40">
        <f t="shared" si="15"/>
        <v>302</v>
      </c>
      <c r="AF23" s="40">
        <f t="shared" si="15"/>
        <v>488</v>
      </c>
    </row>
    <row r="24" spans="2:32" ht="23.1" customHeight="1" x14ac:dyDescent="0.25">
      <c r="B24" s="23" t="s">
        <v>51</v>
      </c>
      <c r="C24" s="50">
        <v>17</v>
      </c>
      <c r="D24" s="50">
        <v>3</v>
      </c>
      <c r="E24" s="50">
        <v>2</v>
      </c>
      <c r="F24" s="50">
        <v>13</v>
      </c>
      <c r="G24" s="50">
        <v>0</v>
      </c>
      <c r="H24" s="50">
        <v>0</v>
      </c>
      <c r="I24" s="50">
        <v>2</v>
      </c>
      <c r="J24" s="50">
        <v>6</v>
      </c>
      <c r="K24" s="50">
        <v>0</v>
      </c>
      <c r="L24" s="50">
        <v>3</v>
      </c>
      <c r="M24" s="50">
        <v>37</v>
      </c>
      <c r="N24" s="50">
        <v>0</v>
      </c>
      <c r="O24" s="15">
        <f t="shared" si="0"/>
        <v>46</v>
      </c>
      <c r="P24" s="15">
        <f t="shared" si="1"/>
        <v>83</v>
      </c>
      <c r="R24" s="38" t="s">
        <v>92</v>
      </c>
      <c r="S24" s="39">
        <f>MAX(S19:S21)</f>
        <v>145</v>
      </c>
      <c r="T24" s="39">
        <f t="shared" ref="T24:AF24" si="16">MAX(T19:T21)</f>
        <v>33</v>
      </c>
      <c r="U24" s="39">
        <f t="shared" si="16"/>
        <v>25</v>
      </c>
      <c r="V24" s="39">
        <f t="shared" si="16"/>
        <v>123</v>
      </c>
      <c r="W24" s="39">
        <f t="shared" si="16"/>
        <v>3</v>
      </c>
      <c r="X24" s="39">
        <f t="shared" si="16"/>
        <v>1</v>
      </c>
      <c r="Y24" s="39">
        <f t="shared" si="16"/>
        <v>38</v>
      </c>
      <c r="Z24" s="39">
        <f t="shared" si="16"/>
        <v>18</v>
      </c>
      <c r="AA24" s="39">
        <f t="shared" si="16"/>
        <v>12</v>
      </c>
      <c r="AB24" s="39">
        <f t="shared" si="16"/>
        <v>24</v>
      </c>
      <c r="AC24" s="39">
        <f t="shared" si="16"/>
        <v>195</v>
      </c>
      <c r="AD24" s="39">
        <f t="shared" si="16"/>
        <v>0</v>
      </c>
      <c r="AE24" s="40">
        <f t="shared" si="16"/>
        <v>402</v>
      </c>
      <c r="AF24" s="40">
        <f t="shared" si="16"/>
        <v>597</v>
      </c>
    </row>
    <row r="25" spans="2:32" ht="23.1" customHeight="1" x14ac:dyDescent="0.25">
      <c r="B25" s="23" t="s">
        <v>52</v>
      </c>
      <c r="C25" s="50">
        <v>12</v>
      </c>
      <c r="D25" s="50">
        <v>3</v>
      </c>
      <c r="E25" s="50">
        <v>1</v>
      </c>
      <c r="F25" s="50">
        <v>14</v>
      </c>
      <c r="G25" s="50">
        <v>1</v>
      </c>
      <c r="H25" s="50">
        <v>0</v>
      </c>
      <c r="I25" s="50">
        <v>5</v>
      </c>
      <c r="J25" s="50">
        <v>5</v>
      </c>
      <c r="K25" s="50">
        <v>4</v>
      </c>
      <c r="L25" s="50">
        <v>6</v>
      </c>
      <c r="M25" s="50">
        <v>30</v>
      </c>
      <c r="N25" s="50">
        <v>0</v>
      </c>
      <c r="O25" s="15">
        <f t="shared" si="0"/>
        <v>51</v>
      </c>
      <c r="P25" s="15">
        <f t="shared" si="1"/>
        <v>81</v>
      </c>
      <c r="R25" s="37" t="s">
        <v>85</v>
      </c>
      <c r="S25" s="35">
        <f t="shared" ref="S25:AF25" si="17">SUM(S10:S12)</f>
        <v>469</v>
      </c>
      <c r="T25" s="16">
        <f t="shared" si="17"/>
        <v>90</v>
      </c>
      <c r="U25" s="16">
        <f t="shared" si="17"/>
        <v>58</v>
      </c>
      <c r="V25" s="16">
        <f t="shared" si="17"/>
        <v>300</v>
      </c>
      <c r="W25" s="16">
        <f t="shared" si="17"/>
        <v>9</v>
      </c>
      <c r="X25" s="16">
        <f t="shared" si="17"/>
        <v>1</v>
      </c>
      <c r="Y25" s="16">
        <f t="shared" si="17"/>
        <v>34</v>
      </c>
      <c r="Z25" s="16">
        <f t="shared" si="17"/>
        <v>82</v>
      </c>
      <c r="AA25" s="16">
        <f t="shared" si="17"/>
        <v>44</v>
      </c>
      <c r="AB25" s="16">
        <f t="shared" si="17"/>
        <v>41</v>
      </c>
      <c r="AC25" s="16">
        <f t="shared" si="17"/>
        <v>501</v>
      </c>
      <c r="AD25" s="16">
        <f t="shared" si="17"/>
        <v>0</v>
      </c>
      <c r="AE25" s="32">
        <f t="shared" si="17"/>
        <v>1128</v>
      </c>
      <c r="AF25" s="32">
        <f t="shared" si="17"/>
        <v>1629</v>
      </c>
    </row>
    <row r="26" spans="2:32" ht="23.1" customHeight="1" x14ac:dyDescent="0.25">
      <c r="B26" s="23" t="s">
        <v>53</v>
      </c>
      <c r="C26" s="50">
        <v>17</v>
      </c>
      <c r="D26" s="50">
        <v>3</v>
      </c>
      <c r="E26" s="50">
        <v>3</v>
      </c>
      <c r="F26" s="50">
        <v>18</v>
      </c>
      <c r="G26" s="50">
        <v>0</v>
      </c>
      <c r="H26" s="50">
        <v>0</v>
      </c>
      <c r="I26" s="50">
        <v>10</v>
      </c>
      <c r="J26" s="50">
        <v>6</v>
      </c>
      <c r="K26" s="50">
        <v>5</v>
      </c>
      <c r="L26" s="50">
        <v>6</v>
      </c>
      <c r="M26" s="50">
        <v>37</v>
      </c>
      <c r="N26" s="50">
        <v>0</v>
      </c>
      <c r="O26" s="15">
        <f t="shared" si="0"/>
        <v>68</v>
      </c>
      <c r="P26" s="15">
        <f t="shared" si="1"/>
        <v>105</v>
      </c>
      <c r="R26" s="28" t="s">
        <v>86</v>
      </c>
      <c r="S26" s="16">
        <f t="shared" ref="S26:AF26" si="18">SUM(S13:S18)</f>
        <v>491</v>
      </c>
      <c r="T26" s="16">
        <f t="shared" si="18"/>
        <v>116</v>
      </c>
      <c r="U26" s="16">
        <f t="shared" si="18"/>
        <v>73</v>
      </c>
      <c r="V26" s="16">
        <f t="shared" si="18"/>
        <v>428</v>
      </c>
      <c r="W26" s="16">
        <f t="shared" si="18"/>
        <v>5</v>
      </c>
      <c r="X26" s="16">
        <f t="shared" si="18"/>
        <v>2</v>
      </c>
      <c r="Y26" s="16">
        <f t="shared" si="18"/>
        <v>153</v>
      </c>
      <c r="Z26" s="16">
        <f t="shared" si="18"/>
        <v>134</v>
      </c>
      <c r="AA26" s="16">
        <f t="shared" si="18"/>
        <v>84</v>
      </c>
      <c r="AB26" s="16">
        <f t="shared" si="18"/>
        <v>138</v>
      </c>
      <c r="AC26" s="16">
        <f t="shared" si="18"/>
        <v>929</v>
      </c>
      <c r="AD26" s="16">
        <f t="shared" si="18"/>
        <v>0</v>
      </c>
      <c r="AE26" s="32">
        <f t="shared" si="18"/>
        <v>1624</v>
      </c>
      <c r="AF26" s="32">
        <f t="shared" si="18"/>
        <v>2553</v>
      </c>
    </row>
    <row r="27" spans="2:32" ht="23.1" customHeight="1" x14ac:dyDescent="0.25">
      <c r="B27" s="23" t="s">
        <v>54</v>
      </c>
      <c r="C27" s="50">
        <v>27</v>
      </c>
      <c r="D27" s="50">
        <v>3</v>
      </c>
      <c r="E27" s="50">
        <v>1</v>
      </c>
      <c r="F27" s="50">
        <v>16</v>
      </c>
      <c r="G27" s="50">
        <v>1</v>
      </c>
      <c r="H27" s="50">
        <v>0</v>
      </c>
      <c r="I27" s="50">
        <v>4</v>
      </c>
      <c r="J27" s="50">
        <v>4</v>
      </c>
      <c r="K27" s="50">
        <v>0</v>
      </c>
      <c r="L27" s="50">
        <v>9</v>
      </c>
      <c r="M27" s="50">
        <v>38</v>
      </c>
      <c r="N27" s="50">
        <v>0</v>
      </c>
      <c r="O27" s="15">
        <f t="shared" si="0"/>
        <v>65</v>
      </c>
      <c r="P27" s="15">
        <f t="shared" si="1"/>
        <v>103</v>
      </c>
      <c r="R27" s="29" t="s">
        <v>87</v>
      </c>
      <c r="S27" s="16">
        <f t="shared" ref="S27:AF27" si="19">SUM(S19:S21)</f>
        <v>367</v>
      </c>
      <c r="T27" s="16">
        <f t="shared" si="19"/>
        <v>86</v>
      </c>
      <c r="U27" s="16">
        <f t="shared" si="19"/>
        <v>61</v>
      </c>
      <c r="V27" s="16">
        <f t="shared" si="19"/>
        <v>299</v>
      </c>
      <c r="W27" s="16">
        <f t="shared" si="19"/>
        <v>8</v>
      </c>
      <c r="X27" s="16">
        <f t="shared" si="19"/>
        <v>1</v>
      </c>
      <c r="Y27" s="16">
        <f t="shared" si="19"/>
        <v>103</v>
      </c>
      <c r="Z27" s="16">
        <f t="shared" si="19"/>
        <v>48</v>
      </c>
      <c r="AA27" s="16">
        <f t="shared" si="19"/>
        <v>32</v>
      </c>
      <c r="AB27" s="16">
        <f t="shared" si="19"/>
        <v>68</v>
      </c>
      <c r="AC27" s="16">
        <f t="shared" si="19"/>
        <v>521</v>
      </c>
      <c r="AD27" s="16">
        <f t="shared" si="19"/>
        <v>0</v>
      </c>
      <c r="AE27" s="32">
        <f t="shared" si="19"/>
        <v>1073</v>
      </c>
      <c r="AF27" s="32">
        <f t="shared" si="19"/>
        <v>1594</v>
      </c>
    </row>
    <row r="28" spans="2:32" ht="23.1" customHeight="1" x14ac:dyDescent="0.25">
      <c r="B28" s="23" t="s">
        <v>55</v>
      </c>
      <c r="C28" s="50">
        <v>18</v>
      </c>
      <c r="D28" s="50">
        <v>4</v>
      </c>
      <c r="E28" s="50">
        <v>3</v>
      </c>
      <c r="F28" s="50">
        <v>13</v>
      </c>
      <c r="G28" s="50">
        <v>0</v>
      </c>
      <c r="H28" s="50">
        <v>0</v>
      </c>
      <c r="I28" s="50">
        <v>7</v>
      </c>
      <c r="J28" s="50">
        <v>4</v>
      </c>
      <c r="K28" s="50">
        <v>4</v>
      </c>
      <c r="L28" s="50">
        <v>4</v>
      </c>
      <c r="M28" s="50">
        <v>27</v>
      </c>
      <c r="N28" s="50">
        <v>0</v>
      </c>
      <c r="O28" s="15">
        <f t="shared" si="0"/>
        <v>57</v>
      </c>
      <c r="P28" s="15">
        <f t="shared" si="1"/>
        <v>84</v>
      </c>
      <c r="R28" s="5" t="s">
        <v>17</v>
      </c>
      <c r="S28" s="16">
        <f t="shared" ref="S28:AF28" si="20">SUM(S10:S21)</f>
        <v>1327</v>
      </c>
      <c r="T28" s="16">
        <f t="shared" si="20"/>
        <v>292</v>
      </c>
      <c r="U28" s="16">
        <f t="shared" si="20"/>
        <v>192</v>
      </c>
      <c r="V28" s="16">
        <f t="shared" si="20"/>
        <v>1027</v>
      </c>
      <c r="W28" s="16">
        <f t="shared" si="20"/>
        <v>22</v>
      </c>
      <c r="X28" s="16">
        <f t="shared" si="20"/>
        <v>4</v>
      </c>
      <c r="Y28" s="16">
        <f t="shared" si="20"/>
        <v>290</v>
      </c>
      <c r="Z28" s="16">
        <f t="shared" si="20"/>
        <v>264</v>
      </c>
      <c r="AA28" s="16">
        <f t="shared" si="20"/>
        <v>160</v>
      </c>
      <c r="AB28" s="16">
        <f t="shared" si="20"/>
        <v>247</v>
      </c>
      <c r="AC28" s="16">
        <f t="shared" si="20"/>
        <v>1951</v>
      </c>
      <c r="AD28" s="16">
        <f t="shared" si="20"/>
        <v>0</v>
      </c>
      <c r="AE28" s="32">
        <f t="shared" si="20"/>
        <v>3825</v>
      </c>
      <c r="AF28" s="32">
        <f t="shared" si="20"/>
        <v>5776</v>
      </c>
    </row>
    <row r="29" spans="2:32" ht="23.1" customHeight="1" x14ac:dyDescent="0.25">
      <c r="B29" s="23" t="s">
        <v>56</v>
      </c>
      <c r="C29" s="50">
        <v>13</v>
      </c>
      <c r="D29" s="50">
        <v>8</v>
      </c>
      <c r="E29" s="50">
        <v>0</v>
      </c>
      <c r="F29" s="50">
        <v>15</v>
      </c>
      <c r="G29" s="50">
        <v>0</v>
      </c>
      <c r="H29" s="50">
        <v>0</v>
      </c>
      <c r="I29" s="50">
        <v>3</v>
      </c>
      <c r="J29" s="50">
        <v>3</v>
      </c>
      <c r="K29" s="50">
        <v>5</v>
      </c>
      <c r="L29" s="50">
        <v>7</v>
      </c>
      <c r="M29" s="50">
        <v>52</v>
      </c>
      <c r="N29" s="50">
        <v>0</v>
      </c>
      <c r="O29" s="15">
        <f t="shared" si="0"/>
        <v>54</v>
      </c>
      <c r="P29" s="15">
        <f t="shared" si="1"/>
        <v>106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7</v>
      </c>
      <c r="E30" s="50">
        <v>6</v>
      </c>
      <c r="F30" s="50">
        <v>27</v>
      </c>
      <c r="G30" s="50">
        <v>0</v>
      </c>
      <c r="H30" s="50">
        <v>0</v>
      </c>
      <c r="I30" s="50">
        <v>8</v>
      </c>
      <c r="J30" s="50">
        <v>7</v>
      </c>
      <c r="K30" s="50">
        <v>3</v>
      </c>
      <c r="L30" s="50">
        <v>10</v>
      </c>
      <c r="M30" s="50">
        <v>56</v>
      </c>
      <c r="N30" s="50">
        <v>0</v>
      </c>
      <c r="O30" s="15">
        <f t="shared" si="0"/>
        <v>84</v>
      </c>
      <c r="P30" s="15">
        <f t="shared" si="1"/>
        <v>140</v>
      </c>
    </row>
    <row r="31" spans="2:32" ht="23.1" customHeight="1" x14ac:dyDescent="0.25">
      <c r="B31" s="24" t="s">
        <v>58</v>
      </c>
      <c r="C31" s="50">
        <v>18</v>
      </c>
      <c r="D31" s="50">
        <v>9</v>
      </c>
      <c r="E31" s="50">
        <v>3</v>
      </c>
      <c r="F31" s="50">
        <v>23</v>
      </c>
      <c r="G31" s="50">
        <v>0</v>
      </c>
      <c r="H31" s="50">
        <v>0</v>
      </c>
      <c r="I31" s="50">
        <v>11</v>
      </c>
      <c r="J31" s="50">
        <v>7</v>
      </c>
      <c r="K31" s="50">
        <v>2</v>
      </c>
      <c r="L31" s="50">
        <v>5</v>
      </c>
      <c r="M31" s="50">
        <v>42</v>
      </c>
      <c r="N31" s="50">
        <v>0</v>
      </c>
      <c r="O31" s="15">
        <f t="shared" si="0"/>
        <v>78</v>
      </c>
      <c r="P31" s="15">
        <f t="shared" si="1"/>
        <v>120</v>
      </c>
    </row>
    <row r="32" spans="2:32" ht="23.1" customHeight="1" x14ac:dyDescent="0.25">
      <c r="B32" s="24" t="s">
        <v>59</v>
      </c>
      <c r="C32" s="50">
        <v>22</v>
      </c>
      <c r="D32" s="50">
        <v>2</v>
      </c>
      <c r="E32" s="50">
        <v>5</v>
      </c>
      <c r="F32" s="50">
        <v>16</v>
      </c>
      <c r="G32" s="50">
        <v>1</v>
      </c>
      <c r="H32" s="50">
        <v>1</v>
      </c>
      <c r="I32" s="50">
        <v>4</v>
      </c>
      <c r="J32" s="50">
        <v>7</v>
      </c>
      <c r="K32" s="50">
        <v>2</v>
      </c>
      <c r="L32" s="50">
        <v>8</v>
      </c>
      <c r="M32" s="50">
        <v>41</v>
      </c>
      <c r="N32" s="50">
        <v>0</v>
      </c>
      <c r="O32" s="15">
        <f t="shared" si="0"/>
        <v>68</v>
      </c>
      <c r="P32" s="15">
        <f t="shared" si="1"/>
        <v>109</v>
      </c>
    </row>
    <row r="33" spans="2:20" ht="23.1" customHeight="1" x14ac:dyDescent="0.25">
      <c r="B33" s="23" t="s">
        <v>60</v>
      </c>
      <c r="C33" s="50">
        <v>23</v>
      </c>
      <c r="D33" s="50">
        <v>6</v>
      </c>
      <c r="E33" s="50">
        <v>3</v>
      </c>
      <c r="F33" s="50">
        <v>14</v>
      </c>
      <c r="G33" s="50">
        <v>0</v>
      </c>
      <c r="H33" s="50">
        <v>0</v>
      </c>
      <c r="I33" s="50">
        <v>9</v>
      </c>
      <c r="J33" s="50">
        <v>6</v>
      </c>
      <c r="K33" s="50">
        <v>5</v>
      </c>
      <c r="L33" s="50">
        <v>6</v>
      </c>
      <c r="M33" s="50">
        <v>47</v>
      </c>
      <c r="N33" s="50">
        <v>0</v>
      </c>
      <c r="O33" s="15">
        <f t="shared" si="0"/>
        <v>72</v>
      </c>
      <c r="P33" s="15">
        <f t="shared" si="1"/>
        <v>119</v>
      </c>
    </row>
    <row r="34" spans="2:20" ht="23.1" customHeight="1" x14ac:dyDescent="0.25">
      <c r="B34" s="24" t="s">
        <v>61</v>
      </c>
      <c r="C34" s="50">
        <v>19</v>
      </c>
      <c r="D34" s="50">
        <v>3</v>
      </c>
      <c r="E34" s="50">
        <v>5</v>
      </c>
      <c r="F34" s="50">
        <v>9</v>
      </c>
      <c r="G34" s="50">
        <v>0</v>
      </c>
      <c r="H34" s="50">
        <v>0</v>
      </c>
      <c r="I34" s="50">
        <v>2</v>
      </c>
      <c r="J34" s="50">
        <v>3</v>
      </c>
      <c r="K34" s="50">
        <v>3</v>
      </c>
      <c r="L34" s="50">
        <v>6</v>
      </c>
      <c r="M34" s="50">
        <v>33</v>
      </c>
      <c r="N34" s="50">
        <v>0</v>
      </c>
      <c r="O34" s="15">
        <f t="shared" si="0"/>
        <v>50</v>
      </c>
      <c r="P34" s="15">
        <f t="shared" si="1"/>
        <v>83</v>
      </c>
    </row>
    <row r="35" spans="2:20" ht="23.1" customHeight="1" x14ac:dyDescent="0.25">
      <c r="B35" s="24" t="s">
        <v>62</v>
      </c>
      <c r="C35" s="50">
        <v>19</v>
      </c>
      <c r="D35" s="50">
        <v>3</v>
      </c>
      <c r="E35" s="50">
        <v>6</v>
      </c>
      <c r="F35" s="50">
        <v>16</v>
      </c>
      <c r="G35" s="50">
        <v>0</v>
      </c>
      <c r="H35" s="50">
        <v>0</v>
      </c>
      <c r="I35" s="50">
        <v>6</v>
      </c>
      <c r="J35" s="50">
        <v>4</v>
      </c>
      <c r="K35" s="50">
        <v>3</v>
      </c>
      <c r="L35" s="50">
        <v>4</v>
      </c>
      <c r="M35" s="50">
        <v>29</v>
      </c>
      <c r="N35" s="50">
        <v>0</v>
      </c>
      <c r="O35" s="15">
        <f t="shared" si="0"/>
        <v>61</v>
      </c>
      <c r="P35" s="15">
        <f t="shared" si="1"/>
        <v>90</v>
      </c>
    </row>
    <row r="36" spans="2:20" ht="23.1" customHeight="1" x14ac:dyDescent="0.25">
      <c r="B36" s="24" t="s">
        <v>63</v>
      </c>
      <c r="C36" s="50">
        <v>25</v>
      </c>
      <c r="D36" s="50">
        <v>2</v>
      </c>
      <c r="E36" s="50">
        <v>6</v>
      </c>
      <c r="F36" s="50">
        <v>27</v>
      </c>
      <c r="G36" s="50">
        <v>0</v>
      </c>
      <c r="H36" s="50">
        <v>0</v>
      </c>
      <c r="I36" s="50">
        <v>7</v>
      </c>
      <c r="J36" s="50">
        <v>6</v>
      </c>
      <c r="K36" s="50">
        <v>5</v>
      </c>
      <c r="L36" s="50">
        <v>4</v>
      </c>
      <c r="M36" s="50">
        <v>35</v>
      </c>
      <c r="N36" s="50">
        <v>0</v>
      </c>
      <c r="O36" s="15">
        <f t="shared" si="0"/>
        <v>82</v>
      </c>
      <c r="P36" s="15">
        <f t="shared" si="1"/>
        <v>117</v>
      </c>
    </row>
    <row r="37" spans="2:20" ht="23.1" customHeight="1" x14ac:dyDescent="0.25">
      <c r="B37" s="23" t="s">
        <v>64</v>
      </c>
      <c r="C37" s="50">
        <v>30</v>
      </c>
      <c r="D37" s="50">
        <v>8</v>
      </c>
      <c r="E37" s="50">
        <v>6</v>
      </c>
      <c r="F37" s="50">
        <v>27</v>
      </c>
      <c r="G37" s="50">
        <v>0</v>
      </c>
      <c r="H37" s="50">
        <v>0</v>
      </c>
      <c r="I37" s="50">
        <v>6</v>
      </c>
      <c r="J37" s="50">
        <v>6</v>
      </c>
      <c r="K37" s="50">
        <v>4</v>
      </c>
      <c r="L37" s="50">
        <v>3</v>
      </c>
      <c r="M37" s="50">
        <v>42</v>
      </c>
      <c r="N37" s="50">
        <v>0</v>
      </c>
      <c r="O37" s="15">
        <f t="shared" si="0"/>
        <v>90</v>
      </c>
      <c r="P37" s="15">
        <f t="shared" si="1"/>
        <v>132</v>
      </c>
    </row>
    <row r="38" spans="2:20" ht="23.1" customHeight="1" x14ac:dyDescent="0.25">
      <c r="B38" s="24" t="s">
        <v>65</v>
      </c>
      <c r="C38" s="50">
        <v>21</v>
      </c>
      <c r="D38" s="50">
        <v>1</v>
      </c>
      <c r="E38" s="50">
        <v>1</v>
      </c>
      <c r="F38" s="50">
        <v>17</v>
      </c>
      <c r="G38" s="50">
        <v>0</v>
      </c>
      <c r="H38" s="50">
        <v>0</v>
      </c>
      <c r="I38" s="50">
        <v>5</v>
      </c>
      <c r="J38" s="50">
        <v>3</v>
      </c>
      <c r="K38" s="50">
        <v>2</v>
      </c>
      <c r="L38" s="50">
        <v>7</v>
      </c>
      <c r="M38" s="50">
        <v>29</v>
      </c>
      <c r="N38" s="50">
        <v>0</v>
      </c>
      <c r="O38" s="15">
        <f t="shared" si="0"/>
        <v>57</v>
      </c>
      <c r="P38" s="15">
        <f t="shared" si="1"/>
        <v>86</v>
      </c>
    </row>
    <row r="39" spans="2:20" ht="23.1" customHeight="1" x14ac:dyDescent="0.25">
      <c r="B39" s="24" t="s">
        <v>66</v>
      </c>
      <c r="C39" s="50">
        <v>15</v>
      </c>
      <c r="D39" s="50">
        <v>10</v>
      </c>
      <c r="E39" s="50">
        <v>0</v>
      </c>
      <c r="F39" s="50">
        <v>11</v>
      </c>
      <c r="G39" s="50">
        <v>0</v>
      </c>
      <c r="H39" s="50">
        <v>0</v>
      </c>
      <c r="I39" s="50">
        <v>9</v>
      </c>
      <c r="J39" s="50">
        <v>3</v>
      </c>
      <c r="K39" s="50">
        <v>4</v>
      </c>
      <c r="L39" s="50">
        <v>4</v>
      </c>
      <c r="M39" s="50">
        <v>39</v>
      </c>
      <c r="N39" s="50">
        <v>0</v>
      </c>
      <c r="O39" s="15">
        <f t="shared" si="0"/>
        <v>56</v>
      </c>
      <c r="P39" s="15">
        <f t="shared" si="1"/>
        <v>95</v>
      </c>
    </row>
    <row r="40" spans="2:20" ht="23.1" customHeight="1" x14ac:dyDescent="0.25">
      <c r="B40" s="24" t="s">
        <v>67</v>
      </c>
      <c r="C40" s="50">
        <v>26</v>
      </c>
      <c r="D40" s="50">
        <v>0</v>
      </c>
      <c r="E40" s="50">
        <v>3</v>
      </c>
      <c r="F40" s="50">
        <v>18</v>
      </c>
      <c r="G40" s="50">
        <v>0</v>
      </c>
      <c r="H40" s="50">
        <v>0</v>
      </c>
      <c r="I40" s="50">
        <v>11</v>
      </c>
      <c r="J40" s="50">
        <v>5</v>
      </c>
      <c r="K40" s="50">
        <v>7</v>
      </c>
      <c r="L40" s="50">
        <v>4</v>
      </c>
      <c r="M40" s="50">
        <v>32</v>
      </c>
      <c r="N40" s="50">
        <v>0</v>
      </c>
      <c r="O40" s="15">
        <f t="shared" si="0"/>
        <v>74</v>
      </c>
      <c r="P40" s="15">
        <f t="shared" si="1"/>
        <v>106</v>
      </c>
    </row>
    <row r="41" spans="2:20" ht="23.1" customHeight="1" x14ac:dyDescent="0.25">
      <c r="B41" s="23" t="s">
        <v>68</v>
      </c>
      <c r="C41" s="50">
        <v>19</v>
      </c>
      <c r="D41" s="50">
        <v>3</v>
      </c>
      <c r="E41" s="50">
        <v>1</v>
      </c>
      <c r="F41" s="50">
        <v>18</v>
      </c>
      <c r="G41" s="50">
        <v>0</v>
      </c>
      <c r="H41" s="50">
        <v>0</v>
      </c>
      <c r="I41" s="50">
        <v>5</v>
      </c>
      <c r="J41" s="50">
        <v>9</v>
      </c>
      <c r="K41" s="50">
        <v>1</v>
      </c>
      <c r="L41" s="50">
        <v>7</v>
      </c>
      <c r="M41" s="50">
        <v>30</v>
      </c>
      <c r="N41" s="50">
        <v>0</v>
      </c>
      <c r="O41" s="15">
        <f t="shared" si="0"/>
        <v>63</v>
      </c>
      <c r="P41" s="15">
        <f t="shared" si="1"/>
        <v>93</v>
      </c>
    </row>
    <row r="42" spans="2:20" ht="23.1" customHeight="1" x14ac:dyDescent="0.25">
      <c r="B42" s="24" t="s">
        <v>69</v>
      </c>
      <c r="C42" s="50">
        <v>22</v>
      </c>
      <c r="D42" s="50">
        <v>6</v>
      </c>
      <c r="E42" s="50">
        <v>1</v>
      </c>
      <c r="F42" s="50">
        <v>13</v>
      </c>
      <c r="G42" s="50">
        <v>0</v>
      </c>
      <c r="H42" s="50">
        <v>0</v>
      </c>
      <c r="I42" s="50">
        <v>6</v>
      </c>
      <c r="J42" s="50">
        <v>4</v>
      </c>
      <c r="K42" s="50">
        <v>6</v>
      </c>
      <c r="L42" s="50">
        <v>6</v>
      </c>
      <c r="M42" s="50">
        <v>35</v>
      </c>
      <c r="N42" s="50">
        <v>0</v>
      </c>
      <c r="O42" s="15">
        <f t="shared" si="0"/>
        <v>64</v>
      </c>
      <c r="P42" s="15">
        <f t="shared" si="1"/>
        <v>99</v>
      </c>
    </row>
    <row r="43" spans="2:20" ht="23.1" customHeight="1" x14ac:dyDescent="0.25">
      <c r="B43" s="23" t="s">
        <v>70</v>
      </c>
      <c r="C43" s="50">
        <v>16</v>
      </c>
      <c r="D43" s="50">
        <v>8</v>
      </c>
      <c r="E43" s="50">
        <v>5</v>
      </c>
      <c r="F43" s="50">
        <v>24</v>
      </c>
      <c r="G43" s="50">
        <v>0</v>
      </c>
      <c r="H43" s="50">
        <v>0</v>
      </c>
      <c r="I43" s="50">
        <v>4</v>
      </c>
      <c r="J43" s="50">
        <v>7</v>
      </c>
      <c r="K43" s="50">
        <v>4</v>
      </c>
      <c r="L43" s="50">
        <v>6</v>
      </c>
      <c r="M43" s="50">
        <v>27</v>
      </c>
      <c r="N43" s="50">
        <v>0</v>
      </c>
      <c r="O43" s="15">
        <f t="shared" si="0"/>
        <v>74</v>
      </c>
      <c r="P43" s="15">
        <f t="shared" si="1"/>
        <v>101</v>
      </c>
    </row>
    <row r="44" spans="2:20" ht="23.1" customHeight="1" x14ac:dyDescent="0.25">
      <c r="B44" s="25" t="s">
        <v>71</v>
      </c>
      <c r="C44" s="50">
        <v>20</v>
      </c>
      <c r="D44" s="50">
        <v>3</v>
      </c>
      <c r="E44" s="50">
        <v>6</v>
      </c>
      <c r="F44" s="50">
        <v>12</v>
      </c>
      <c r="G44" s="50">
        <v>0</v>
      </c>
      <c r="H44" s="50">
        <v>0</v>
      </c>
      <c r="I44" s="50">
        <v>8</v>
      </c>
      <c r="J44" s="50">
        <v>5</v>
      </c>
      <c r="K44" s="50">
        <v>5</v>
      </c>
      <c r="L44" s="50">
        <v>7</v>
      </c>
      <c r="M44" s="50">
        <v>42</v>
      </c>
      <c r="N44" s="50">
        <v>0</v>
      </c>
      <c r="O44" s="15">
        <f t="shared" si="0"/>
        <v>66</v>
      </c>
      <c r="P44" s="15">
        <f t="shared" si="1"/>
        <v>108</v>
      </c>
    </row>
    <row r="45" spans="2:20" ht="23.1" customHeight="1" x14ac:dyDescent="0.25">
      <c r="B45" s="23" t="s">
        <v>72</v>
      </c>
      <c r="C45" s="50">
        <v>16</v>
      </c>
      <c r="D45" s="50">
        <v>10</v>
      </c>
      <c r="E45" s="50">
        <v>2</v>
      </c>
      <c r="F45" s="50">
        <v>24</v>
      </c>
      <c r="G45" s="50">
        <v>0</v>
      </c>
      <c r="H45" s="50">
        <v>0</v>
      </c>
      <c r="I45" s="50">
        <v>15</v>
      </c>
      <c r="J45" s="50">
        <v>3</v>
      </c>
      <c r="K45" s="50">
        <v>3</v>
      </c>
      <c r="L45" s="50">
        <v>5</v>
      </c>
      <c r="M45" s="50">
        <v>42</v>
      </c>
      <c r="N45" s="50">
        <v>0</v>
      </c>
      <c r="O45" s="15">
        <f t="shared" si="0"/>
        <v>78</v>
      </c>
      <c r="P45" s="15">
        <f t="shared" si="1"/>
        <v>120</v>
      </c>
    </row>
    <row r="46" spans="2:20" ht="23.1" customHeight="1" x14ac:dyDescent="0.25">
      <c r="B46" s="24" t="s">
        <v>73</v>
      </c>
      <c r="C46" s="50">
        <v>17</v>
      </c>
      <c r="D46" s="50">
        <v>3</v>
      </c>
      <c r="E46" s="50">
        <v>7</v>
      </c>
      <c r="F46" s="50">
        <v>16</v>
      </c>
      <c r="G46" s="50">
        <v>1</v>
      </c>
      <c r="H46" s="50">
        <v>0</v>
      </c>
      <c r="I46" s="50">
        <v>7</v>
      </c>
      <c r="J46" s="50">
        <v>5</v>
      </c>
      <c r="K46" s="50">
        <v>4</v>
      </c>
      <c r="L46" s="50">
        <v>5</v>
      </c>
      <c r="M46" s="50">
        <v>39</v>
      </c>
      <c r="N46" s="50">
        <v>0</v>
      </c>
      <c r="O46" s="15">
        <f t="shared" si="0"/>
        <v>65</v>
      </c>
      <c r="P46" s="15">
        <f t="shared" si="1"/>
        <v>104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5</v>
      </c>
      <c r="E47" s="50">
        <v>6</v>
      </c>
      <c r="F47" s="50">
        <v>18</v>
      </c>
      <c r="G47" s="50">
        <v>0</v>
      </c>
      <c r="H47" s="50">
        <v>0</v>
      </c>
      <c r="I47" s="50">
        <v>9</v>
      </c>
      <c r="J47" s="50">
        <v>1</v>
      </c>
      <c r="K47" s="50">
        <v>1</v>
      </c>
      <c r="L47" s="50">
        <v>4</v>
      </c>
      <c r="M47" s="50">
        <v>29</v>
      </c>
      <c r="N47" s="50">
        <v>0</v>
      </c>
      <c r="O47" s="15">
        <f t="shared" si="0"/>
        <v>65</v>
      </c>
      <c r="P47" s="15">
        <f t="shared" si="1"/>
        <v>94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6</v>
      </c>
      <c r="E48" s="50">
        <v>4</v>
      </c>
      <c r="F48" s="50">
        <v>22</v>
      </c>
      <c r="G48" s="50">
        <v>1</v>
      </c>
      <c r="H48" s="50">
        <v>0</v>
      </c>
      <c r="I48" s="50">
        <v>8</v>
      </c>
      <c r="J48" s="50">
        <v>4</v>
      </c>
      <c r="K48" s="50">
        <v>3</v>
      </c>
      <c r="L48" s="50">
        <v>6</v>
      </c>
      <c r="M48" s="50">
        <v>35</v>
      </c>
      <c r="N48" s="50">
        <v>0</v>
      </c>
      <c r="O48" s="15">
        <f t="shared" si="0"/>
        <v>87</v>
      </c>
      <c r="P48" s="15">
        <f t="shared" si="1"/>
        <v>122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7</v>
      </c>
      <c r="E49" s="50">
        <v>8</v>
      </c>
      <c r="F49" s="50">
        <v>22</v>
      </c>
      <c r="G49" s="50">
        <v>1</v>
      </c>
      <c r="H49" s="50">
        <v>0</v>
      </c>
      <c r="I49" s="50">
        <v>10</v>
      </c>
      <c r="J49" s="50">
        <v>5</v>
      </c>
      <c r="K49" s="50">
        <v>0</v>
      </c>
      <c r="L49" s="50">
        <v>7</v>
      </c>
      <c r="M49" s="50">
        <v>31</v>
      </c>
      <c r="N49" s="50">
        <v>0</v>
      </c>
      <c r="O49" s="15">
        <f t="shared" si="0"/>
        <v>86</v>
      </c>
      <c r="P49" s="15">
        <f t="shared" si="1"/>
        <v>117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5</v>
      </c>
      <c r="E50" s="50">
        <v>6</v>
      </c>
      <c r="F50" s="50">
        <v>19</v>
      </c>
      <c r="G50" s="50">
        <v>1</v>
      </c>
      <c r="H50" s="50">
        <v>0</v>
      </c>
      <c r="I50" s="50">
        <v>9</v>
      </c>
      <c r="J50" s="50">
        <v>9</v>
      </c>
      <c r="K50" s="50">
        <v>5</v>
      </c>
      <c r="L50" s="50">
        <v>8</v>
      </c>
      <c r="M50" s="50">
        <v>59</v>
      </c>
      <c r="N50" s="50">
        <v>0</v>
      </c>
      <c r="O50" s="15">
        <f t="shared" si="0"/>
        <v>99</v>
      </c>
      <c r="P50" s="15">
        <f t="shared" si="1"/>
        <v>158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13</v>
      </c>
      <c r="E51" s="50">
        <v>5</v>
      </c>
      <c r="F51" s="50">
        <v>27</v>
      </c>
      <c r="G51" s="50">
        <v>0</v>
      </c>
      <c r="H51" s="50">
        <v>0</v>
      </c>
      <c r="I51" s="50">
        <v>14</v>
      </c>
      <c r="J51" s="50">
        <v>3</v>
      </c>
      <c r="K51" s="50">
        <v>2</v>
      </c>
      <c r="L51" s="50">
        <v>6</v>
      </c>
      <c r="M51" s="50">
        <v>52</v>
      </c>
      <c r="N51" s="50">
        <v>0</v>
      </c>
      <c r="O51" s="15">
        <f t="shared" si="0"/>
        <v>110</v>
      </c>
      <c r="P51" s="15">
        <f t="shared" si="1"/>
        <v>162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6</v>
      </c>
      <c r="E52" s="50">
        <v>7</v>
      </c>
      <c r="F52" s="50">
        <v>24</v>
      </c>
      <c r="G52" s="50">
        <v>1</v>
      </c>
      <c r="H52" s="50">
        <v>0</v>
      </c>
      <c r="I52" s="50">
        <v>8</v>
      </c>
      <c r="J52" s="50">
        <v>3</v>
      </c>
      <c r="K52" s="50">
        <v>3</v>
      </c>
      <c r="L52" s="50">
        <v>4</v>
      </c>
      <c r="M52" s="50">
        <v>37</v>
      </c>
      <c r="N52" s="50">
        <v>0</v>
      </c>
      <c r="O52" s="15">
        <f t="shared" si="0"/>
        <v>73</v>
      </c>
      <c r="P52" s="15">
        <f t="shared" si="1"/>
        <v>110</v>
      </c>
      <c r="R52" s="8"/>
      <c r="T52"/>
    </row>
    <row r="53" spans="2:20" ht="23.1" customHeight="1" x14ac:dyDescent="0.25">
      <c r="B53" s="23" t="s">
        <v>80</v>
      </c>
      <c r="C53" s="50">
        <v>31</v>
      </c>
      <c r="D53" s="50">
        <v>8</v>
      </c>
      <c r="E53" s="50">
        <v>4</v>
      </c>
      <c r="F53" s="50">
        <v>28</v>
      </c>
      <c r="G53" s="50">
        <v>0</v>
      </c>
      <c r="H53" s="50">
        <v>0</v>
      </c>
      <c r="I53" s="50">
        <v>7</v>
      </c>
      <c r="J53" s="50">
        <v>0</v>
      </c>
      <c r="K53" s="50">
        <v>2</v>
      </c>
      <c r="L53" s="50">
        <v>6</v>
      </c>
      <c r="M53" s="50">
        <v>44</v>
      </c>
      <c r="N53" s="50">
        <v>0</v>
      </c>
      <c r="O53" s="15">
        <f t="shared" si="0"/>
        <v>86</v>
      </c>
      <c r="P53" s="15">
        <f t="shared" si="1"/>
        <v>130</v>
      </c>
      <c r="R53" s="8"/>
      <c r="T53"/>
    </row>
    <row r="54" spans="2:20" ht="23.1" customHeight="1" x14ac:dyDescent="0.25">
      <c r="B54" s="23" t="s">
        <v>81</v>
      </c>
      <c r="C54" s="50">
        <v>39</v>
      </c>
      <c r="D54" s="50">
        <v>8</v>
      </c>
      <c r="E54" s="50">
        <v>7</v>
      </c>
      <c r="F54" s="50">
        <v>36</v>
      </c>
      <c r="G54" s="50">
        <v>0</v>
      </c>
      <c r="H54" s="50">
        <v>0</v>
      </c>
      <c r="I54" s="50">
        <v>10</v>
      </c>
      <c r="J54" s="50">
        <v>3</v>
      </c>
      <c r="K54" s="50">
        <v>1</v>
      </c>
      <c r="L54" s="50">
        <v>6</v>
      </c>
      <c r="M54" s="50">
        <v>49</v>
      </c>
      <c r="N54" s="50">
        <v>0</v>
      </c>
      <c r="O54" s="15">
        <f t="shared" si="0"/>
        <v>110</v>
      </c>
      <c r="P54" s="15">
        <f t="shared" si="1"/>
        <v>159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6</v>
      </c>
      <c r="E55" s="50">
        <v>2</v>
      </c>
      <c r="F55" s="50">
        <v>25</v>
      </c>
      <c r="G55" s="50">
        <v>2</v>
      </c>
      <c r="H55" s="50">
        <v>0</v>
      </c>
      <c r="I55" s="50">
        <v>6</v>
      </c>
      <c r="J55" s="50">
        <v>4</v>
      </c>
      <c r="K55" s="50">
        <v>3</v>
      </c>
      <c r="L55" s="50">
        <v>5</v>
      </c>
      <c r="M55" s="50">
        <v>49</v>
      </c>
      <c r="N55" s="50">
        <v>0</v>
      </c>
      <c r="O55" s="15">
        <f t="shared" si="0"/>
        <v>85</v>
      </c>
      <c r="P55" s="15">
        <f t="shared" si="1"/>
        <v>134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12</v>
      </c>
      <c r="E56" s="50">
        <v>3</v>
      </c>
      <c r="F56" s="50">
        <v>34</v>
      </c>
      <c r="G56" s="50">
        <v>1</v>
      </c>
      <c r="H56" s="50">
        <v>0</v>
      </c>
      <c r="I56" s="50">
        <v>8</v>
      </c>
      <c r="J56" s="50">
        <v>5</v>
      </c>
      <c r="K56" s="50">
        <v>7</v>
      </c>
      <c r="L56" s="50">
        <v>7</v>
      </c>
      <c r="M56" s="50">
        <v>54</v>
      </c>
      <c r="N56" s="50">
        <v>0</v>
      </c>
      <c r="O56" s="15">
        <f t="shared" si="0"/>
        <v>127</v>
      </c>
      <c r="P56" s="15">
        <f t="shared" si="1"/>
        <v>181</v>
      </c>
      <c r="R56" s="8"/>
      <c r="T56"/>
    </row>
    <row r="57" spans="2:20" ht="23.1" customHeight="1" x14ac:dyDescent="0.25">
      <c r="B57" s="23" t="s">
        <v>84</v>
      </c>
      <c r="C57" s="50">
        <v>24</v>
      </c>
      <c r="D57" s="50">
        <v>7</v>
      </c>
      <c r="E57" s="50">
        <v>2</v>
      </c>
      <c r="F57" s="50">
        <v>28</v>
      </c>
      <c r="G57" s="50">
        <v>0</v>
      </c>
      <c r="H57" s="50">
        <v>1</v>
      </c>
      <c r="I57" s="50">
        <v>7</v>
      </c>
      <c r="J57" s="50">
        <v>6</v>
      </c>
      <c r="K57" s="50">
        <v>1</v>
      </c>
      <c r="L57" s="50">
        <v>4</v>
      </c>
      <c r="M57" s="50">
        <v>43</v>
      </c>
      <c r="N57" s="50">
        <v>0</v>
      </c>
      <c r="O57" s="15">
        <f t="shared" si="0"/>
        <v>80</v>
      </c>
      <c r="P57" s="15">
        <f t="shared" si="1"/>
        <v>123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1327</v>
      </c>
      <c r="D58" s="16">
        <f t="shared" si="21"/>
        <v>292</v>
      </c>
      <c r="E58" s="16">
        <f t="shared" si="21"/>
        <v>192</v>
      </c>
      <c r="F58" s="16">
        <f t="shared" si="21"/>
        <v>1027</v>
      </c>
      <c r="G58" s="16">
        <f t="shared" si="21"/>
        <v>22</v>
      </c>
      <c r="H58" s="16">
        <f t="shared" si="21"/>
        <v>4</v>
      </c>
      <c r="I58" s="16">
        <f t="shared" si="21"/>
        <v>290</v>
      </c>
      <c r="J58" s="16">
        <f t="shared" si="21"/>
        <v>264</v>
      </c>
      <c r="K58" s="16">
        <f t="shared" si="21"/>
        <v>160</v>
      </c>
      <c r="L58" s="16">
        <f t="shared" si="21"/>
        <v>247</v>
      </c>
      <c r="M58" s="16">
        <f t="shared" si="21"/>
        <v>1951</v>
      </c>
      <c r="N58" s="16">
        <f t="shared" si="21"/>
        <v>0</v>
      </c>
      <c r="O58" s="16">
        <f t="shared" si="21"/>
        <v>3825</v>
      </c>
      <c r="P58" s="16">
        <f t="shared" si="21"/>
        <v>5776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0.2297437673130194</v>
      </c>
      <c r="D59" s="43">
        <f t="shared" si="22"/>
        <v>5.0554016620498618E-2</v>
      </c>
      <c r="E59" s="43">
        <f t="shared" si="22"/>
        <v>3.3240997229916899E-2</v>
      </c>
      <c r="F59" s="43">
        <f t="shared" si="22"/>
        <v>0.17780470914127425</v>
      </c>
      <c r="G59" s="43">
        <f t="shared" si="22"/>
        <v>3.8088642659279779E-3</v>
      </c>
      <c r="H59" s="43">
        <f t="shared" si="22"/>
        <v>6.925207756232687E-4</v>
      </c>
      <c r="I59" s="43">
        <f t="shared" si="22"/>
        <v>5.020775623268698E-2</v>
      </c>
      <c r="J59" s="43">
        <f t="shared" si="22"/>
        <v>4.5706371191135735E-2</v>
      </c>
      <c r="K59" s="43">
        <f t="shared" si="22"/>
        <v>2.7700831024930747E-2</v>
      </c>
      <c r="L59" s="43">
        <f t="shared" si="22"/>
        <v>4.2763157894736843E-2</v>
      </c>
      <c r="M59" s="43">
        <f t="shared" si="22"/>
        <v>0.33777700831024932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0.34692810457516338</v>
      </c>
      <c r="D60" s="44">
        <f t="shared" ref="D60:N60" si="23">D58/$O$58</f>
        <v>7.6339869281045747E-2</v>
      </c>
      <c r="E60" s="44">
        <f t="shared" si="23"/>
        <v>5.0196078431372547E-2</v>
      </c>
      <c r="F60" s="44">
        <f t="shared" si="23"/>
        <v>0.26849673202614377</v>
      </c>
      <c r="G60" s="44">
        <f t="shared" si="23"/>
        <v>5.7516339869281043E-3</v>
      </c>
      <c r="H60" s="44">
        <f t="shared" si="23"/>
        <v>1.0457516339869282E-3</v>
      </c>
      <c r="I60" s="44">
        <f t="shared" si="23"/>
        <v>7.5816993464052282E-2</v>
      </c>
      <c r="J60" s="44">
        <f t="shared" si="23"/>
        <v>6.9019607843137251E-2</v>
      </c>
      <c r="K60" s="44">
        <f t="shared" si="23"/>
        <v>4.1830065359477121E-2</v>
      </c>
      <c r="L60" s="44">
        <f t="shared" si="23"/>
        <v>6.4575163398692806E-2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4" t="str">
        <f>'02.08 Bweyogerere-Nalya'!G5:H5</f>
        <v>Signs and Symbols</v>
      </c>
      <c r="H5" s="65"/>
      <c r="I5" s="14"/>
      <c r="J5" s="2" t="s">
        <v>5</v>
      </c>
      <c r="K5" s="64" t="str">
        <f>'02.08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'02.08 Bweyogerere-Nalya'!K6:L6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21</v>
      </c>
      <c r="D10" s="50">
        <v>11</v>
      </c>
      <c r="E10" s="50">
        <v>5</v>
      </c>
      <c r="F10" s="50">
        <v>38</v>
      </c>
      <c r="G10" s="50">
        <v>0</v>
      </c>
      <c r="H10" s="50">
        <v>0</v>
      </c>
      <c r="I10" s="50">
        <v>6</v>
      </c>
      <c r="J10" s="50">
        <v>1</v>
      </c>
      <c r="K10" s="50">
        <v>1</v>
      </c>
      <c r="L10" s="50">
        <v>2</v>
      </c>
      <c r="M10" s="50">
        <v>24</v>
      </c>
      <c r="N10" s="50">
        <v>0</v>
      </c>
      <c r="O10" s="15">
        <f t="shared" ref="O10:O57" si="0">SUM(C10:L10,N10)</f>
        <v>85</v>
      </c>
      <c r="P10" s="15">
        <f t="shared" ref="P10:P57" si="1">SUM(C10:N10)</f>
        <v>109</v>
      </c>
      <c r="R10" s="1" t="s">
        <v>6</v>
      </c>
      <c r="S10" s="17">
        <f t="shared" ref="S10:AF10" si="2">SUM(C10:C13)</f>
        <v>103</v>
      </c>
      <c r="T10" s="17">
        <f t="shared" si="2"/>
        <v>43</v>
      </c>
      <c r="U10" s="17">
        <f t="shared" si="2"/>
        <v>29</v>
      </c>
      <c r="V10" s="17">
        <f t="shared" si="2"/>
        <v>153</v>
      </c>
      <c r="W10" s="17">
        <f t="shared" si="2"/>
        <v>1</v>
      </c>
      <c r="X10" s="17">
        <f t="shared" si="2"/>
        <v>0</v>
      </c>
      <c r="Y10" s="17">
        <f t="shared" si="2"/>
        <v>22</v>
      </c>
      <c r="Z10" s="17">
        <f t="shared" si="2"/>
        <v>9</v>
      </c>
      <c r="AA10" s="17">
        <f t="shared" si="2"/>
        <v>7</v>
      </c>
      <c r="AB10" s="17">
        <f t="shared" si="2"/>
        <v>12</v>
      </c>
      <c r="AC10" s="17">
        <f t="shared" si="2"/>
        <v>134</v>
      </c>
      <c r="AD10" s="17">
        <f t="shared" si="2"/>
        <v>0</v>
      </c>
      <c r="AE10" s="31">
        <f t="shared" si="2"/>
        <v>379</v>
      </c>
      <c r="AF10" s="31">
        <f t="shared" si="2"/>
        <v>513</v>
      </c>
    </row>
    <row r="11" spans="2:32" s="6" customFormat="1" ht="23.1" customHeight="1" x14ac:dyDescent="0.25">
      <c r="B11" s="45" t="s">
        <v>38</v>
      </c>
      <c r="C11" s="50">
        <v>19</v>
      </c>
      <c r="D11" s="50">
        <v>7</v>
      </c>
      <c r="E11" s="50">
        <v>9</v>
      </c>
      <c r="F11" s="50">
        <v>34</v>
      </c>
      <c r="G11" s="50">
        <v>1</v>
      </c>
      <c r="H11" s="50">
        <v>0</v>
      </c>
      <c r="I11" s="50">
        <v>9</v>
      </c>
      <c r="J11" s="50">
        <v>3</v>
      </c>
      <c r="K11" s="50">
        <v>1</v>
      </c>
      <c r="L11" s="50">
        <v>2</v>
      </c>
      <c r="M11" s="50">
        <v>28</v>
      </c>
      <c r="N11" s="50">
        <v>0</v>
      </c>
      <c r="O11" s="15">
        <f t="shared" si="0"/>
        <v>85</v>
      </c>
      <c r="P11" s="15">
        <f t="shared" si="1"/>
        <v>113</v>
      </c>
      <c r="R11" s="1" t="s">
        <v>7</v>
      </c>
      <c r="S11" s="17">
        <f t="shared" ref="S11:AF11" si="3">SUM(C14:C17)</f>
        <v>93</v>
      </c>
      <c r="T11" s="17">
        <f t="shared" si="3"/>
        <v>65</v>
      </c>
      <c r="U11" s="17">
        <f t="shared" si="3"/>
        <v>22</v>
      </c>
      <c r="V11" s="17">
        <f t="shared" si="3"/>
        <v>148</v>
      </c>
      <c r="W11" s="17">
        <f t="shared" si="3"/>
        <v>1</v>
      </c>
      <c r="X11" s="17">
        <f t="shared" si="3"/>
        <v>1</v>
      </c>
      <c r="Y11" s="17">
        <f t="shared" si="3"/>
        <v>20</v>
      </c>
      <c r="Z11" s="17">
        <f t="shared" si="3"/>
        <v>10</v>
      </c>
      <c r="AA11" s="17">
        <f t="shared" si="3"/>
        <v>12</v>
      </c>
      <c r="AB11" s="17">
        <f t="shared" si="3"/>
        <v>14</v>
      </c>
      <c r="AC11" s="17">
        <f t="shared" si="3"/>
        <v>145</v>
      </c>
      <c r="AD11" s="17">
        <f t="shared" si="3"/>
        <v>0</v>
      </c>
      <c r="AE11" s="31">
        <f t="shared" si="3"/>
        <v>386</v>
      </c>
      <c r="AF11" s="31">
        <f t="shared" si="3"/>
        <v>531</v>
      </c>
    </row>
    <row r="12" spans="2:32" ht="23.1" customHeight="1" x14ac:dyDescent="0.25">
      <c r="B12" s="45" t="s">
        <v>39</v>
      </c>
      <c r="C12" s="50">
        <v>39</v>
      </c>
      <c r="D12" s="50">
        <v>13</v>
      </c>
      <c r="E12" s="50">
        <v>12</v>
      </c>
      <c r="F12" s="50">
        <v>42</v>
      </c>
      <c r="G12" s="50">
        <v>0</v>
      </c>
      <c r="H12" s="50">
        <v>0</v>
      </c>
      <c r="I12" s="50">
        <v>5</v>
      </c>
      <c r="J12" s="50">
        <v>0</v>
      </c>
      <c r="K12" s="50">
        <v>4</v>
      </c>
      <c r="L12" s="50">
        <v>4</v>
      </c>
      <c r="M12" s="50">
        <v>45</v>
      </c>
      <c r="N12" s="50">
        <v>0</v>
      </c>
      <c r="O12" s="15">
        <f t="shared" si="0"/>
        <v>119</v>
      </c>
      <c r="P12" s="15">
        <f t="shared" si="1"/>
        <v>164</v>
      </c>
      <c r="R12" s="1" t="s">
        <v>8</v>
      </c>
      <c r="S12" s="17">
        <f t="shared" ref="S12:AF12" si="4">SUM(C18:C21)</f>
        <v>77</v>
      </c>
      <c r="T12" s="17">
        <f t="shared" si="4"/>
        <v>45</v>
      </c>
      <c r="U12" s="17">
        <f t="shared" si="4"/>
        <v>10</v>
      </c>
      <c r="V12" s="17">
        <f t="shared" si="4"/>
        <v>116</v>
      </c>
      <c r="W12" s="17">
        <f t="shared" si="4"/>
        <v>3</v>
      </c>
      <c r="X12" s="17">
        <f t="shared" si="4"/>
        <v>0</v>
      </c>
      <c r="Y12" s="17">
        <f t="shared" si="4"/>
        <v>20</v>
      </c>
      <c r="Z12" s="17">
        <f t="shared" si="4"/>
        <v>16</v>
      </c>
      <c r="AA12" s="17">
        <f t="shared" si="4"/>
        <v>8</v>
      </c>
      <c r="AB12" s="17">
        <f t="shared" si="4"/>
        <v>17</v>
      </c>
      <c r="AC12" s="17">
        <f t="shared" si="4"/>
        <v>161</v>
      </c>
      <c r="AD12" s="17">
        <f t="shared" si="4"/>
        <v>0</v>
      </c>
      <c r="AE12" s="31">
        <f t="shared" si="4"/>
        <v>312</v>
      </c>
      <c r="AF12" s="31">
        <f t="shared" si="4"/>
        <v>473</v>
      </c>
    </row>
    <row r="13" spans="2:32" ht="23.1" customHeight="1" x14ac:dyDescent="0.25">
      <c r="B13" s="45" t="s">
        <v>40</v>
      </c>
      <c r="C13" s="50">
        <v>24</v>
      </c>
      <c r="D13" s="50">
        <v>12</v>
      </c>
      <c r="E13" s="50">
        <v>3</v>
      </c>
      <c r="F13" s="50">
        <v>39</v>
      </c>
      <c r="G13" s="50">
        <v>0</v>
      </c>
      <c r="H13" s="50">
        <v>0</v>
      </c>
      <c r="I13" s="50">
        <v>2</v>
      </c>
      <c r="J13" s="50">
        <v>5</v>
      </c>
      <c r="K13" s="50">
        <v>1</v>
      </c>
      <c r="L13" s="50">
        <v>4</v>
      </c>
      <c r="M13" s="50">
        <v>37</v>
      </c>
      <c r="N13" s="50">
        <v>0</v>
      </c>
      <c r="O13" s="15">
        <f t="shared" si="0"/>
        <v>90</v>
      </c>
      <c r="P13" s="15">
        <f t="shared" si="1"/>
        <v>127</v>
      </c>
      <c r="R13" s="1" t="s">
        <v>9</v>
      </c>
      <c r="S13" s="17">
        <f t="shared" ref="S13:AF13" si="5">SUM(C22:C25)</f>
        <v>73</v>
      </c>
      <c r="T13" s="17">
        <f t="shared" si="5"/>
        <v>27</v>
      </c>
      <c r="U13" s="17">
        <f t="shared" si="5"/>
        <v>10</v>
      </c>
      <c r="V13" s="17">
        <f t="shared" si="5"/>
        <v>82</v>
      </c>
      <c r="W13" s="17">
        <f t="shared" si="5"/>
        <v>1</v>
      </c>
      <c r="X13" s="17">
        <f t="shared" si="5"/>
        <v>4</v>
      </c>
      <c r="Y13" s="17">
        <f t="shared" si="5"/>
        <v>24</v>
      </c>
      <c r="Z13" s="17">
        <f t="shared" si="5"/>
        <v>9</v>
      </c>
      <c r="AA13" s="17">
        <f t="shared" si="5"/>
        <v>10</v>
      </c>
      <c r="AB13" s="17">
        <f t="shared" si="5"/>
        <v>15</v>
      </c>
      <c r="AC13" s="17">
        <f t="shared" si="5"/>
        <v>166</v>
      </c>
      <c r="AD13" s="17">
        <f t="shared" si="5"/>
        <v>0</v>
      </c>
      <c r="AE13" s="31">
        <f t="shared" si="5"/>
        <v>255</v>
      </c>
      <c r="AF13" s="31">
        <f t="shared" si="5"/>
        <v>421</v>
      </c>
    </row>
    <row r="14" spans="2:32" ht="23.1" customHeight="1" x14ac:dyDescent="0.25">
      <c r="B14" s="45" t="s">
        <v>41</v>
      </c>
      <c r="C14" s="50">
        <v>24</v>
      </c>
      <c r="D14" s="50">
        <v>14</v>
      </c>
      <c r="E14" s="50">
        <v>3</v>
      </c>
      <c r="F14" s="50">
        <v>32</v>
      </c>
      <c r="G14" s="50">
        <v>1</v>
      </c>
      <c r="H14" s="50">
        <v>1</v>
      </c>
      <c r="I14" s="50">
        <v>1</v>
      </c>
      <c r="J14" s="50">
        <v>2</v>
      </c>
      <c r="K14" s="50">
        <v>2</v>
      </c>
      <c r="L14" s="50">
        <v>6</v>
      </c>
      <c r="M14" s="50">
        <v>41</v>
      </c>
      <c r="N14" s="50">
        <v>0</v>
      </c>
      <c r="O14" s="15">
        <f t="shared" si="0"/>
        <v>86</v>
      </c>
      <c r="P14" s="15">
        <f t="shared" si="1"/>
        <v>127</v>
      </c>
      <c r="R14" s="1" t="s">
        <v>10</v>
      </c>
      <c r="S14" s="17">
        <f t="shared" ref="S14:AF14" si="6">SUM(C26:C29)</f>
        <v>52</v>
      </c>
      <c r="T14" s="17">
        <f t="shared" si="6"/>
        <v>24</v>
      </c>
      <c r="U14" s="17">
        <f t="shared" si="6"/>
        <v>15</v>
      </c>
      <c r="V14" s="17">
        <f t="shared" si="6"/>
        <v>78</v>
      </c>
      <c r="W14" s="17">
        <f t="shared" si="6"/>
        <v>0</v>
      </c>
      <c r="X14" s="17">
        <f t="shared" si="6"/>
        <v>0</v>
      </c>
      <c r="Y14" s="17">
        <f t="shared" si="6"/>
        <v>21</v>
      </c>
      <c r="Z14" s="17">
        <f t="shared" si="6"/>
        <v>16</v>
      </c>
      <c r="AA14" s="17">
        <f t="shared" si="6"/>
        <v>13</v>
      </c>
      <c r="AB14" s="17">
        <f t="shared" si="6"/>
        <v>22</v>
      </c>
      <c r="AC14" s="17">
        <f t="shared" si="6"/>
        <v>142</v>
      </c>
      <c r="AD14" s="17">
        <f t="shared" si="6"/>
        <v>0</v>
      </c>
      <c r="AE14" s="31">
        <f t="shared" si="6"/>
        <v>241</v>
      </c>
      <c r="AF14" s="31">
        <f t="shared" si="6"/>
        <v>383</v>
      </c>
    </row>
    <row r="15" spans="2:32" ht="23.1" customHeight="1" x14ac:dyDescent="0.25">
      <c r="B15" s="45" t="s">
        <v>42</v>
      </c>
      <c r="C15" s="50">
        <v>27</v>
      </c>
      <c r="D15" s="50">
        <v>20</v>
      </c>
      <c r="E15" s="50">
        <v>9</v>
      </c>
      <c r="F15" s="50">
        <v>50</v>
      </c>
      <c r="G15" s="50">
        <v>0</v>
      </c>
      <c r="H15" s="50">
        <v>0</v>
      </c>
      <c r="I15" s="50">
        <v>6</v>
      </c>
      <c r="J15" s="50">
        <v>4</v>
      </c>
      <c r="K15" s="50">
        <v>2</v>
      </c>
      <c r="L15" s="50">
        <v>5</v>
      </c>
      <c r="M15" s="50">
        <v>46</v>
      </c>
      <c r="N15" s="50">
        <v>0</v>
      </c>
      <c r="O15" s="15">
        <f t="shared" si="0"/>
        <v>123</v>
      </c>
      <c r="P15" s="15">
        <f t="shared" si="1"/>
        <v>169</v>
      </c>
      <c r="R15" s="1" t="s">
        <v>11</v>
      </c>
      <c r="S15" s="17">
        <f t="shared" ref="S15:AF15" si="7">SUM(C30:C33)</f>
        <v>55</v>
      </c>
      <c r="T15" s="17">
        <f t="shared" si="7"/>
        <v>30</v>
      </c>
      <c r="U15" s="17">
        <f t="shared" si="7"/>
        <v>13</v>
      </c>
      <c r="V15" s="17">
        <f t="shared" si="7"/>
        <v>76</v>
      </c>
      <c r="W15" s="17">
        <f t="shared" si="7"/>
        <v>0</v>
      </c>
      <c r="X15" s="17">
        <f t="shared" si="7"/>
        <v>0</v>
      </c>
      <c r="Y15" s="17">
        <f t="shared" si="7"/>
        <v>21</v>
      </c>
      <c r="Z15" s="17">
        <f t="shared" si="7"/>
        <v>17</v>
      </c>
      <c r="AA15" s="17">
        <f t="shared" si="7"/>
        <v>7</v>
      </c>
      <c r="AB15" s="17">
        <f t="shared" si="7"/>
        <v>30</v>
      </c>
      <c r="AC15" s="17">
        <f t="shared" si="7"/>
        <v>166</v>
      </c>
      <c r="AD15" s="17">
        <f t="shared" si="7"/>
        <v>0</v>
      </c>
      <c r="AE15" s="31">
        <f t="shared" si="7"/>
        <v>249</v>
      </c>
      <c r="AF15" s="31">
        <f t="shared" si="7"/>
        <v>415</v>
      </c>
    </row>
    <row r="16" spans="2:32" ht="23.1" customHeight="1" x14ac:dyDescent="0.25">
      <c r="B16" s="45" t="s">
        <v>43</v>
      </c>
      <c r="C16" s="50">
        <v>23</v>
      </c>
      <c r="D16" s="50">
        <v>14</v>
      </c>
      <c r="E16" s="50">
        <v>5</v>
      </c>
      <c r="F16" s="50">
        <v>30</v>
      </c>
      <c r="G16" s="50">
        <v>0</v>
      </c>
      <c r="H16" s="50">
        <v>0</v>
      </c>
      <c r="I16" s="50">
        <v>9</v>
      </c>
      <c r="J16" s="50">
        <v>3</v>
      </c>
      <c r="K16" s="50">
        <v>4</v>
      </c>
      <c r="L16" s="50">
        <v>2</v>
      </c>
      <c r="M16" s="50">
        <v>27</v>
      </c>
      <c r="N16" s="50">
        <v>0</v>
      </c>
      <c r="O16" s="15">
        <f t="shared" si="0"/>
        <v>90</v>
      </c>
      <c r="P16" s="15">
        <f t="shared" si="1"/>
        <v>117</v>
      </c>
      <c r="R16" s="1" t="s">
        <v>12</v>
      </c>
      <c r="S16" s="17">
        <f t="shared" ref="S16:AF16" si="8">SUM(C34:C37)</f>
        <v>57</v>
      </c>
      <c r="T16" s="17">
        <f t="shared" si="8"/>
        <v>33</v>
      </c>
      <c r="U16" s="17">
        <f t="shared" si="8"/>
        <v>15</v>
      </c>
      <c r="V16" s="17">
        <f t="shared" si="8"/>
        <v>70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27</v>
      </c>
      <c r="AA16" s="17">
        <f t="shared" si="8"/>
        <v>9</v>
      </c>
      <c r="AB16" s="17">
        <f t="shared" si="8"/>
        <v>26</v>
      </c>
      <c r="AC16" s="17">
        <f t="shared" si="8"/>
        <v>147</v>
      </c>
      <c r="AD16" s="17">
        <f t="shared" si="8"/>
        <v>0</v>
      </c>
      <c r="AE16" s="31">
        <f t="shared" si="8"/>
        <v>249</v>
      </c>
      <c r="AF16" s="31">
        <f t="shared" si="8"/>
        <v>396</v>
      </c>
    </row>
    <row r="17" spans="2:32" ht="23.1" customHeight="1" x14ac:dyDescent="0.25">
      <c r="B17" s="45" t="s">
        <v>44</v>
      </c>
      <c r="C17" s="50">
        <v>19</v>
      </c>
      <c r="D17" s="50">
        <v>17</v>
      </c>
      <c r="E17" s="50">
        <v>5</v>
      </c>
      <c r="F17" s="50">
        <v>36</v>
      </c>
      <c r="G17" s="50">
        <v>0</v>
      </c>
      <c r="H17" s="50">
        <v>0</v>
      </c>
      <c r="I17" s="50">
        <v>4</v>
      </c>
      <c r="J17" s="50">
        <v>1</v>
      </c>
      <c r="K17" s="50">
        <v>4</v>
      </c>
      <c r="L17" s="50">
        <v>1</v>
      </c>
      <c r="M17" s="50">
        <v>31</v>
      </c>
      <c r="N17" s="50">
        <v>0</v>
      </c>
      <c r="O17" s="15">
        <f t="shared" si="0"/>
        <v>87</v>
      </c>
      <c r="P17" s="15">
        <f t="shared" si="1"/>
        <v>118</v>
      </c>
      <c r="R17" s="1" t="s">
        <v>13</v>
      </c>
      <c r="S17" s="17">
        <f t="shared" ref="S17:AF17" si="9">SUM(C38:C41)</f>
        <v>56</v>
      </c>
      <c r="T17" s="17">
        <f t="shared" si="9"/>
        <v>29</v>
      </c>
      <c r="U17" s="17">
        <f t="shared" si="9"/>
        <v>22</v>
      </c>
      <c r="V17" s="17">
        <f t="shared" si="9"/>
        <v>86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29</v>
      </c>
      <c r="AA17" s="17">
        <f t="shared" si="9"/>
        <v>14</v>
      </c>
      <c r="AB17" s="17">
        <f t="shared" si="9"/>
        <v>32</v>
      </c>
      <c r="AC17" s="17">
        <f t="shared" si="9"/>
        <v>125</v>
      </c>
      <c r="AD17" s="17">
        <f t="shared" si="9"/>
        <v>0</v>
      </c>
      <c r="AE17" s="31">
        <f t="shared" si="9"/>
        <v>284</v>
      </c>
      <c r="AF17" s="31">
        <f t="shared" si="9"/>
        <v>409</v>
      </c>
    </row>
    <row r="18" spans="2:32" ht="23.1" customHeight="1" x14ac:dyDescent="0.25">
      <c r="B18" s="45" t="s">
        <v>45</v>
      </c>
      <c r="C18" s="50">
        <v>17</v>
      </c>
      <c r="D18" s="50">
        <v>12</v>
      </c>
      <c r="E18" s="50">
        <v>2</v>
      </c>
      <c r="F18" s="50">
        <v>26</v>
      </c>
      <c r="G18" s="50">
        <v>0</v>
      </c>
      <c r="H18" s="50">
        <v>0</v>
      </c>
      <c r="I18" s="50">
        <v>5</v>
      </c>
      <c r="J18" s="50">
        <v>3</v>
      </c>
      <c r="K18" s="50">
        <v>0</v>
      </c>
      <c r="L18" s="50">
        <v>0</v>
      </c>
      <c r="M18" s="50">
        <v>45</v>
      </c>
      <c r="N18" s="50">
        <v>0</v>
      </c>
      <c r="O18" s="15">
        <f t="shared" si="0"/>
        <v>65</v>
      </c>
      <c r="P18" s="15">
        <f t="shared" si="1"/>
        <v>110</v>
      </c>
      <c r="R18" s="1" t="s">
        <v>14</v>
      </c>
      <c r="S18" s="17">
        <f t="shared" ref="S18:AF18" si="10">SUM(C42:C45)</f>
        <v>57</v>
      </c>
      <c r="T18" s="17">
        <f t="shared" si="10"/>
        <v>30</v>
      </c>
      <c r="U18" s="17">
        <f t="shared" si="10"/>
        <v>7</v>
      </c>
      <c r="V18" s="17">
        <f t="shared" si="10"/>
        <v>61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20</v>
      </c>
      <c r="AA18" s="17">
        <f t="shared" si="10"/>
        <v>11</v>
      </c>
      <c r="AB18" s="17">
        <f t="shared" si="10"/>
        <v>22</v>
      </c>
      <c r="AC18" s="17">
        <f t="shared" si="10"/>
        <v>118</v>
      </c>
      <c r="AD18" s="17">
        <f t="shared" si="10"/>
        <v>0</v>
      </c>
      <c r="AE18" s="31">
        <f t="shared" si="10"/>
        <v>219</v>
      </c>
      <c r="AF18" s="31">
        <f t="shared" si="10"/>
        <v>337</v>
      </c>
    </row>
    <row r="19" spans="2:32" ht="23.1" customHeight="1" x14ac:dyDescent="0.25">
      <c r="B19" s="45" t="s">
        <v>46</v>
      </c>
      <c r="C19" s="50">
        <v>22</v>
      </c>
      <c r="D19" s="50">
        <v>16</v>
      </c>
      <c r="E19" s="50">
        <v>2</v>
      </c>
      <c r="F19" s="50">
        <v>34</v>
      </c>
      <c r="G19" s="50">
        <v>0</v>
      </c>
      <c r="H19" s="50">
        <v>0</v>
      </c>
      <c r="I19" s="50">
        <v>5</v>
      </c>
      <c r="J19" s="50">
        <v>7</v>
      </c>
      <c r="K19" s="50">
        <v>2</v>
      </c>
      <c r="L19" s="50">
        <v>10</v>
      </c>
      <c r="M19" s="50">
        <v>39</v>
      </c>
      <c r="N19" s="50">
        <v>0</v>
      </c>
      <c r="O19" s="15">
        <f t="shared" si="0"/>
        <v>98</v>
      </c>
      <c r="P19" s="15">
        <f t="shared" si="1"/>
        <v>137</v>
      </c>
      <c r="R19" s="1" t="s">
        <v>15</v>
      </c>
      <c r="S19" s="17">
        <f t="shared" ref="S19:AF19" si="11">SUM(C46:C49)</f>
        <v>93</v>
      </c>
      <c r="T19" s="17">
        <f t="shared" si="11"/>
        <v>40</v>
      </c>
      <c r="U19" s="17">
        <f t="shared" si="11"/>
        <v>20</v>
      </c>
      <c r="V19" s="17">
        <f t="shared" si="11"/>
        <v>73</v>
      </c>
      <c r="W19" s="17">
        <f t="shared" si="11"/>
        <v>2</v>
      </c>
      <c r="X19" s="17">
        <f t="shared" si="11"/>
        <v>1</v>
      </c>
      <c r="Y19" s="17">
        <f t="shared" si="11"/>
        <v>17</v>
      </c>
      <c r="Z19" s="17">
        <f t="shared" si="11"/>
        <v>26</v>
      </c>
      <c r="AA19" s="17">
        <f t="shared" si="11"/>
        <v>26</v>
      </c>
      <c r="AB19" s="17">
        <f t="shared" si="11"/>
        <v>33</v>
      </c>
      <c r="AC19" s="17">
        <f t="shared" si="11"/>
        <v>140</v>
      </c>
      <c r="AD19" s="17">
        <f t="shared" si="11"/>
        <v>0</v>
      </c>
      <c r="AE19" s="31">
        <f t="shared" si="11"/>
        <v>331</v>
      </c>
      <c r="AF19" s="31">
        <f t="shared" si="11"/>
        <v>471</v>
      </c>
    </row>
    <row r="20" spans="2:32" ht="23.1" customHeight="1" x14ac:dyDescent="0.25">
      <c r="B20" s="45" t="s">
        <v>47</v>
      </c>
      <c r="C20" s="50">
        <v>16</v>
      </c>
      <c r="D20" s="50">
        <v>4</v>
      </c>
      <c r="E20" s="50">
        <v>0</v>
      </c>
      <c r="F20" s="50">
        <v>22</v>
      </c>
      <c r="G20" s="50">
        <v>1</v>
      </c>
      <c r="H20" s="50">
        <v>0</v>
      </c>
      <c r="I20" s="50">
        <v>3</v>
      </c>
      <c r="J20" s="50">
        <v>2</v>
      </c>
      <c r="K20" s="50">
        <v>2</v>
      </c>
      <c r="L20" s="50">
        <v>3</v>
      </c>
      <c r="M20" s="50">
        <v>38</v>
      </c>
      <c r="N20" s="50">
        <v>0</v>
      </c>
      <c r="O20" s="15">
        <f t="shared" si="0"/>
        <v>53</v>
      </c>
      <c r="P20" s="15">
        <f t="shared" si="1"/>
        <v>91</v>
      </c>
      <c r="R20" s="1" t="s">
        <v>16</v>
      </c>
      <c r="S20" s="17">
        <f t="shared" ref="S20:AF20" si="12">SUM(C50:C53)</f>
        <v>133</v>
      </c>
      <c r="T20" s="17">
        <f t="shared" si="12"/>
        <v>81</v>
      </c>
      <c r="U20" s="17">
        <f t="shared" si="12"/>
        <v>15</v>
      </c>
      <c r="V20" s="17">
        <f t="shared" si="12"/>
        <v>83</v>
      </c>
      <c r="W20" s="17">
        <f t="shared" si="12"/>
        <v>3</v>
      </c>
      <c r="X20" s="17">
        <f t="shared" si="12"/>
        <v>0</v>
      </c>
      <c r="Y20" s="17">
        <f t="shared" si="12"/>
        <v>15</v>
      </c>
      <c r="Z20" s="17">
        <f t="shared" si="12"/>
        <v>37</v>
      </c>
      <c r="AA20" s="17">
        <f t="shared" si="12"/>
        <v>25</v>
      </c>
      <c r="AB20" s="17">
        <f t="shared" si="12"/>
        <v>27</v>
      </c>
      <c r="AC20" s="17">
        <f t="shared" si="12"/>
        <v>180</v>
      </c>
      <c r="AD20" s="17">
        <f t="shared" si="12"/>
        <v>0</v>
      </c>
      <c r="AE20" s="31">
        <f t="shared" si="12"/>
        <v>419</v>
      </c>
      <c r="AF20" s="31">
        <f t="shared" si="12"/>
        <v>599</v>
      </c>
    </row>
    <row r="21" spans="2:32" ht="23.1" customHeight="1" x14ac:dyDescent="0.25">
      <c r="B21" s="45" t="s">
        <v>48</v>
      </c>
      <c r="C21" s="50">
        <v>22</v>
      </c>
      <c r="D21" s="50">
        <v>13</v>
      </c>
      <c r="E21" s="50">
        <v>6</v>
      </c>
      <c r="F21" s="50">
        <v>34</v>
      </c>
      <c r="G21" s="50">
        <v>2</v>
      </c>
      <c r="H21" s="50">
        <v>0</v>
      </c>
      <c r="I21" s="50">
        <v>7</v>
      </c>
      <c r="J21" s="50">
        <v>4</v>
      </c>
      <c r="K21" s="50">
        <v>4</v>
      </c>
      <c r="L21" s="50">
        <v>4</v>
      </c>
      <c r="M21" s="50">
        <v>39</v>
      </c>
      <c r="N21" s="50">
        <v>0</v>
      </c>
      <c r="O21" s="15">
        <f t="shared" si="0"/>
        <v>96</v>
      </c>
      <c r="P21" s="15">
        <f t="shared" si="1"/>
        <v>135</v>
      </c>
      <c r="R21" s="36" t="s">
        <v>20</v>
      </c>
      <c r="S21" s="34">
        <f t="shared" ref="S21:AF21" si="13">SUM(C54:C57)</f>
        <v>171</v>
      </c>
      <c r="T21" s="17">
        <f t="shared" si="13"/>
        <v>61</v>
      </c>
      <c r="U21" s="17">
        <f t="shared" si="13"/>
        <v>52</v>
      </c>
      <c r="V21" s="17">
        <f t="shared" si="13"/>
        <v>130</v>
      </c>
      <c r="W21" s="17">
        <f t="shared" si="13"/>
        <v>3</v>
      </c>
      <c r="X21" s="17">
        <f t="shared" si="13"/>
        <v>2</v>
      </c>
      <c r="Y21" s="17">
        <f t="shared" si="13"/>
        <v>17</v>
      </c>
      <c r="Z21" s="17">
        <f t="shared" si="13"/>
        <v>15</v>
      </c>
      <c r="AA21" s="17">
        <f t="shared" si="13"/>
        <v>14</v>
      </c>
      <c r="AB21" s="17">
        <f t="shared" si="13"/>
        <v>22</v>
      </c>
      <c r="AC21" s="17">
        <f t="shared" si="13"/>
        <v>223</v>
      </c>
      <c r="AD21" s="17">
        <f t="shared" si="13"/>
        <v>0</v>
      </c>
      <c r="AE21" s="31">
        <f t="shared" si="13"/>
        <v>487</v>
      </c>
      <c r="AF21" s="31">
        <f t="shared" si="13"/>
        <v>710</v>
      </c>
    </row>
    <row r="22" spans="2:32" ht="23.1" customHeight="1" x14ac:dyDescent="0.25">
      <c r="B22" s="45" t="s">
        <v>49</v>
      </c>
      <c r="C22" s="50">
        <v>17</v>
      </c>
      <c r="D22" s="50">
        <v>10</v>
      </c>
      <c r="E22" s="50">
        <v>2</v>
      </c>
      <c r="F22" s="50">
        <v>21</v>
      </c>
      <c r="G22" s="50">
        <v>0</v>
      </c>
      <c r="H22" s="50">
        <v>3</v>
      </c>
      <c r="I22" s="50">
        <v>8</v>
      </c>
      <c r="J22" s="50">
        <v>4</v>
      </c>
      <c r="K22" s="50">
        <v>3</v>
      </c>
      <c r="L22" s="50">
        <v>1</v>
      </c>
      <c r="M22" s="50">
        <v>47</v>
      </c>
      <c r="N22" s="50">
        <v>0</v>
      </c>
      <c r="O22" s="15">
        <f t="shared" si="0"/>
        <v>69</v>
      </c>
      <c r="P22" s="15">
        <f t="shared" si="1"/>
        <v>116</v>
      </c>
      <c r="R22" s="36" t="s">
        <v>146</v>
      </c>
      <c r="S22" s="34">
        <f>SUM(C58:C61)</f>
        <v>226</v>
      </c>
      <c r="T22" s="34">
        <f t="shared" ref="T22:AF22" si="14">SUM(D58:D61)</f>
        <v>123</v>
      </c>
      <c r="U22" s="34">
        <f t="shared" si="14"/>
        <v>40</v>
      </c>
      <c r="V22" s="34">
        <f t="shared" si="14"/>
        <v>121</v>
      </c>
      <c r="W22" s="34">
        <f t="shared" si="14"/>
        <v>3</v>
      </c>
      <c r="X22" s="34">
        <f t="shared" si="14"/>
        <v>1</v>
      </c>
      <c r="Y22" s="34">
        <f t="shared" si="14"/>
        <v>8</v>
      </c>
      <c r="Z22" s="34">
        <f t="shared" si="14"/>
        <v>14</v>
      </c>
      <c r="AA22" s="34">
        <f t="shared" si="14"/>
        <v>14</v>
      </c>
      <c r="AB22" s="34">
        <f t="shared" si="14"/>
        <v>32</v>
      </c>
      <c r="AC22" s="34">
        <f t="shared" si="14"/>
        <v>154</v>
      </c>
      <c r="AD22" s="34">
        <f t="shared" si="14"/>
        <v>0</v>
      </c>
      <c r="AE22" s="31">
        <f t="shared" si="14"/>
        <v>582</v>
      </c>
      <c r="AF22" s="31">
        <f t="shared" si="14"/>
        <v>736</v>
      </c>
    </row>
    <row r="23" spans="2:32" ht="23.1" customHeight="1" x14ac:dyDescent="0.25">
      <c r="B23" s="45" t="s">
        <v>50</v>
      </c>
      <c r="C23" s="50">
        <v>18</v>
      </c>
      <c r="D23" s="50">
        <v>6</v>
      </c>
      <c r="E23" s="50">
        <v>1</v>
      </c>
      <c r="F23" s="50">
        <v>21</v>
      </c>
      <c r="G23" s="50">
        <v>0</v>
      </c>
      <c r="H23" s="50">
        <v>0</v>
      </c>
      <c r="I23" s="50">
        <v>5</v>
      </c>
      <c r="J23" s="50">
        <v>2</v>
      </c>
      <c r="K23" s="50">
        <v>3</v>
      </c>
      <c r="L23" s="50">
        <v>1</v>
      </c>
      <c r="M23" s="50">
        <v>47</v>
      </c>
      <c r="N23" s="50">
        <v>0</v>
      </c>
      <c r="O23" s="15">
        <f t="shared" si="0"/>
        <v>57</v>
      </c>
      <c r="P23" s="15">
        <f t="shared" si="1"/>
        <v>104</v>
      </c>
      <c r="R23" s="36" t="s">
        <v>147</v>
      </c>
      <c r="S23" s="34">
        <f>SUM(C62:C65)</f>
        <v>154</v>
      </c>
      <c r="T23" s="34">
        <f t="shared" ref="T23:AF23" si="15">SUM(D62:D65)</f>
        <v>64</v>
      </c>
      <c r="U23" s="34">
        <f t="shared" si="15"/>
        <v>23</v>
      </c>
      <c r="V23" s="34">
        <f t="shared" si="15"/>
        <v>102</v>
      </c>
      <c r="W23" s="34">
        <f t="shared" si="15"/>
        <v>3</v>
      </c>
      <c r="X23" s="34">
        <f t="shared" si="15"/>
        <v>3</v>
      </c>
      <c r="Y23" s="34">
        <f t="shared" si="15"/>
        <v>6</v>
      </c>
      <c r="Z23" s="34">
        <f t="shared" si="15"/>
        <v>15</v>
      </c>
      <c r="AA23" s="34">
        <f t="shared" si="15"/>
        <v>12</v>
      </c>
      <c r="AB23" s="34">
        <f t="shared" si="15"/>
        <v>22</v>
      </c>
      <c r="AC23" s="34">
        <f t="shared" si="15"/>
        <v>136</v>
      </c>
      <c r="AD23" s="34">
        <f t="shared" si="15"/>
        <v>0</v>
      </c>
      <c r="AE23" s="31">
        <f t="shared" si="15"/>
        <v>404</v>
      </c>
      <c r="AF23" s="31">
        <f t="shared" si="15"/>
        <v>540</v>
      </c>
    </row>
    <row r="24" spans="2:32" ht="23.1" customHeight="1" x14ac:dyDescent="0.25">
      <c r="B24" s="45" t="s">
        <v>51</v>
      </c>
      <c r="C24" s="50">
        <v>23</v>
      </c>
      <c r="D24" s="50">
        <v>6</v>
      </c>
      <c r="E24" s="50">
        <v>2</v>
      </c>
      <c r="F24" s="50">
        <v>20</v>
      </c>
      <c r="G24" s="50">
        <v>0</v>
      </c>
      <c r="H24" s="50">
        <v>1</v>
      </c>
      <c r="I24" s="50">
        <v>3</v>
      </c>
      <c r="J24" s="50">
        <v>2</v>
      </c>
      <c r="K24" s="50">
        <v>3</v>
      </c>
      <c r="L24" s="50">
        <v>6</v>
      </c>
      <c r="M24" s="50">
        <v>36</v>
      </c>
      <c r="N24" s="50">
        <v>0</v>
      </c>
      <c r="O24" s="15">
        <f t="shared" si="0"/>
        <v>66</v>
      </c>
      <c r="P24" s="15">
        <f t="shared" si="1"/>
        <v>102</v>
      </c>
      <c r="R24" s="36" t="s">
        <v>148</v>
      </c>
      <c r="S24" s="34">
        <f>SUM(C66:C69)</f>
        <v>139</v>
      </c>
      <c r="T24" s="34">
        <f t="shared" ref="T24:AF24" si="16">SUM(D66:D69)</f>
        <v>31</v>
      </c>
      <c r="U24" s="34">
        <f t="shared" si="16"/>
        <v>27</v>
      </c>
      <c r="V24" s="34">
        <f t="shared" si="16"/>
        <v>75</v>
      </c>
      <c r="W24" s="34">
        <f t="shared" si="16"/>
        <v>2</v>
      </c>
      <c r="X24" s="34">
        <f t="shared" si="16"/>
        <v>2</v>
      </c>
      <c r="Y24" s="34">
        <f t="shared" si="16"/>
        <v>12</v>
      </c>
      <c r="Z24" s="34">
        <f t="shared" si="16"/>
        <v>10</v>
      </c>
      <c r="AA24" s="34">
        <f t="shared" si="16"/>
        <v>6</v>
      </c>
      <c r="AB24" s="34">
        <f t="shared" si="16"/>
        <v>20</v>
      </c>
      <c r="AC24" s="34">
        <f t="shared" si="16"/>
        <v>82</v>
      </c>
      <c r="AD24" s="34">
        <f t="shared" si="16"/>
        <v>0</v>
      </c>
      <c r="AE24" s="31">
        <f t="shared" si="16"/>
        <v>324</v>
      </c>
      <c r="AF24" s="31">
        <f t="shared" si="16"/>
        <v>406</v>
      </c>
    </row>
    <row r="25" spans="2:32" ht="23.1" customHeight="1" x14ac:dyDescent="0.25">
      <c r="B25" s="45" t="s">
        <v>52</v>
      </c>
      <c r="C25" s="50">
        <v>15</v>
      </c>
      <c r="D25" s="50">
        <v>5</v>
      </c>
      <c r="E25" s="50">
        <v>5</v>
      </c>
      <c r="F25" s="50">
        <v>20</v>
      </c>
      <c r="G25" s="50">
        <v>1</v>
      </c>
      <c r="H25" s="50">
        <v>0</v>
      </c>
      <c r="I25" s="50">
        <v>8</v>
      </c>
      <c r="J25" s="50">
        <v>1</v>
      </c>
      <c r="K25" s="50">
        <v>1</v>
      </c>
      <c r="L25" s="50">
        <v>7</v>
      </c>
      <c r="M25" s="50">
        <v>36</v>
      </c>
      <c r="N25" s="50">
        <v>0</v>
      </c>
      <c r="O25" s="15">
        <f t="shared" si="0"/>
        <v>63</v>
      </c>
      <c r="P25" s="15">
        <f t="shared" si="1"/>
        <v>99</v>
      </c>
      <c r="R25" s="36" t="s">
        <v>149</v>
      </c>
      <c r="S25" s="34">
        <f>SUM(C70:C73)</f>
        <v>60</v>
      </c>
      <c r="T25" s="34">
        <f t="shared" ref="T25:AF25" si="17">SUM(D70:D73)</f>
        <v>15</v>
      </c>
      <c r="U25" s="34">
        <f t="shared" si="17"/>
        <v>6</v>
      </c>
      <c r="V25" s="34">
        <f t="shared" si="17"/>
        <v>43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3</v>
      </c>
      <c r="AA25" s="34">
        <f t="shared" si="17"/>
        <v>3</v>
      </c>
      <c r="AB25" s="34">
        <f t="shared" si="17"/>
        <v>17</v>
      </c>
      <c r="AC25" s="34">
        <f t="shared" si="17"/>
        <v>54</v>
      </c>
      <c r="AD25" s="34">
        <f t="shared" si="17"/>
        <v>0</v>
      </c>
      <c r="AE25" s="31">
        <f t="shared" si="17"/>
        <v>153</v>
      </c>
      <c r="AF25" s="31">
        <f t="shared" si="17"/>
        <v>207</v>
      </c>
    </row>
    <row r="26" spans="2:32" ht="23.1" customHeight="1" x14ac:dyDescent="0.25">
      <c r="B26" s="45" t="s">
        <v>53</v>
      </c>
      <c r="C26" s="50">
        <v>9</v>
      </c>
      <c r="D26" s="50">
        <v>8</v>
      </c>
      <c r="E26" s="50">
        <v>2</v>
      </c>
      <c r="F26" s="50">
        <v>14</v>
      </c>
      <c r="G26" s="50">
        <v>0</v>
      </c>
      <c r="H26" s="50">
        <v>0</v>
      </c>
      <c r="I26" s="50">
        <v>5</v>
      </c>
      <c r="J26" s="50">
        <v>3</v>
      </c>
      <c r="K26" s="50">
        <v>4</v>
      </c>
      <c r="L26" s="50">
        <v>5</v>
      </c>
      <c r="M26" s="50">
        <v>34</v>
      </c>
      <c r="N26" s="50">
        <v>0</v>
      </c>
      <c r="O26" s="15">
        <f t="shared" si="0"/>
        <v>50</v>
      </c>
      <c r="P26" s="15">
        <f t="shared" si="1"/>
        <v>84</v>
      </c>
      <c r="R26" s="36" t="s">
        <v>150</v>
      </c>
      <c r="S26" s="34">
        <f>SUM(C74:C77)</f>
        <v>37</v>
      </c>
      <c r="T26" s="34">
        <f t="shared" ref="T26:AF26" si="18">SUM(D74:D77)</f>
        <v>13</v>
      </c>
      <c r="U26" s="34">
        <f t="shared" si="18"/>
        <v>6</v>
      </c>
      <c r="V26" s="34">
        <f t="shared" si="18"/>
        <v>21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11</v>
      </c>
      <c r="AA26" s="34">
        <f t="shared" si="18"/>
        <v>11</v>
      </c>
      <c r="AB26" s="34">
        <f t="shared" si="18"/>
        <v>13</v>
      </c>
      <c r="AC26" s="34">
        <f t="shared" si="18"/>
        <v>36</v>
      </c>
      <c r="AD26" s="34">
        <f t="shared" si="18"/>
        <v>1</v>
      </c>
      <c r="AE26" s="31">
        <f t="shared" si="18"/>
        <v>119</v>
      </c>
      <c r="AF26" s="31">
        <f t="shared" si="18"/>
        <v>155</v>
      </c>
    </row>
    <row r="27" spans="2:32" ht="23.1" customHeight="1" x14ac:dyDescent="0.25">
      <c r="B27" s="45" t="s">
        <v>54</v>
      </c>
      <c r="C27" s="50">
        <v>21</v>
      </c>
      <c r="D27" s="50">
        <v>7</v>
      </c>
      <c r="E27" s="50">
        <v>4</v>
      </c>
      <c r="F27" s="50">
        <v>21</v>
      </c>
      <c r="G27" s="50">
        <v>0</v>
      </c>
      <c r="H27" s="50">
        <v>0</v>
      </c>
      <c r="I27" s="50">
        <v>6</v>
      </c>
      <c r="J27" s="50">
        <v>6</v>
      </c>
      <c r="K27" s="50">
        <v>3</v>
      </c>
      <c r="L27" s="50">
        <v>6</v>
      </c>
      <c r="M27" s="50">
        <v>41</v>
      </c>
      <c r="N27" s="50">
        <v>0</v>
      </c>
      <c r="O27" s="15">
        <f t="shared" si="0"/>
        <v>74</v>
      </c>
      <c r="P27" s="15">
        <f t="shared" si="1"/>
        <v>115</v>
      </c>
      <c r="R27" s="36" t="s">
        <v>151</v>
      </c>
      <c r="S27" s="34">
        <f>SUM(C78:C81)</f>
        <v>22</v>
      </c>
      <c r="T27" s="34">
        <f t="shared" ref="T27:AF27" si="19">SUM(D78:D81)</f>
        <v>16</v>
      </c>
      <c r="U27" s="34">
        <f t="shared" si="19"/>
        <v>9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8</v>
      </c>
      <c r="AA27" s="34">
        <f t="shared" si="19"/>
        <v>7</v>
      </c>
      <c r="AB27" s="34">
        <f t="shared" si="19"/>
        <v>11</v>
      </c>
      <c r="AC27" s="34">
        <f t="shared" si="19"/>
        <v>11</v>
      </c>
      <c r="AD27" s="34">
        <f t="shared" si="19"/>
        <v>0</v>
      </c>
      <c r="AE27" s="31">
        <f t="shared" si="19"/>
        <v>86</v>
      </c>
      <c r="AF27" s="31">
        <f t="shared" si="19"/>
        <v>97</v>
      </c>
    </row>
    <row r="28" spans="2:32" ht="23.1" customHeight="1" x14ac:dyDescent="0.25">
      <c r="B28" s="45" t="s">
        <v>55</v>
      </c>
      <c r="C28" s="50">
        <v>9</v>
      </c>
      <c r="D28" s="50">
        <v>8</v>
      </c>
      <c r="E28" s="50">
        <v>6</v>
      </c>
      <c r="F28" s="50">
        <v>22</v>
      </c>
      <c r="G28" s="50">
        <v>0</v>
      </c>
      <c r="H28" s="50">
        <v>0</v>
      </c>
      <c r="I28" s="50">
        <v>5</v>
      </c>
      <c r="J28" s="50">
        <v>6</v>
      </c>
      <c r="K28" s="50">
        <v>1</v>
      </c>
      <c r="L28" s="50">
        <v>5</v>
      </c>
      <c r="M28" s="50">
        <v>31</v>
      </c>
      <c r="N28" s="50">
        <v>0</v>
      </c>
      <c r="O28" s="15">
        <f t="shared" si="0"/>
        <v>62</v>
      </c>
      <c r="P28" s="15">
        <f t="shared" si="1"/>
        <v>93</v>
      </c>
      <c r="R28" s="36" t="s">
        <v>152</v>
      </c>
      <c r="S28" s="34">
        <f>SUM(C82:C85)</f>
        <v>5</v>
      </c>
      <c r="T28" s="34">
        <f t="shared" ref="T28:AF28" si="20">SUM(D82:D85)</f>
        <v>6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5</v>
      </c>
      <c r="AA28" s="34">
        <f t="shared" si="20"/>
        <v>10</v>
      </c>
      <c r="AB28" s="34">
        <f t="shared" si="20"/>
        <v>10</v>
      </c>
      <c r="AC28" s="34">
        <f t="shared" si="20"/>
        <v>10</v>
      </c>
      <c r="AD28" s="34">
        <f t="shared" si="20"/>
        <v>0</v>
      </c>
      <c r="AE28" s="31">
        <f t="shared" si="20"/>
        <v>43</v>
      </c>
      <c r="AF28" s="31">
        <f t="shared" si="20"/>
        <v>53</v>
      </c>
    </row>
    <row r="29" spans="2:32" ht="23.1" customHeight="1" x14ac:dyDescent="0.25">
      <c r="B29" s="45" t="s">
        <v>56</v>
      </c>
      <c r="C29" s="50">
        <v>13</v>
      </c>
      <c r="D29" s="50">
        <v>1</v>
      </c>
      <c r="E29" s="50">
        <v>3</v>
      </c>
      <c r="F29" s="50">
        <v>21</v>
      </c>
      <c r="G29" s="50">
        <v>0</v>
      </c>
      <c r="H29" s="50">
        <v>0</v>
      </c>
      <c r="I29" s="50">
        <v>5</v>
      </c>
      <c r="J29" s="50">
        <v>1</v>
      </c>
      <c r="K29" s="50">
        <v>5</v>
      </c>
      <c r="L29" s="50">
        <v>6</v>
      </c>
      <c r="M29" s="50">
        <v>36</v>
      </c>
      <c r="N29" s="50">
        <v>0</v>
      </c>
      <c r="O29" s="15">
        <f t="shared" si="0"/>
        <v>55</v>
      </c>
      <c r="P29" s="15">
        <f t="shared" si="1"/>
        <v>91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7</v>
      </c>
      <c r="AA29" s="34">
        <f t="shared" si="21"/>
        <v>13</v>
      </c>
      <c r="AB29" s="34">
        <f t="shared" si="21"/>
        <v>5</v>
      </c>
      <c r="AC29" s="34">
        <f t="shared" si="21"/>
        <v>3</v>
      </c>
      <c r="AD29" s="34">
        <f t="shared" si="21"/>
        <v>0</v>
      </c>
      <c r="AE29" s="31">
        <f t="shared" si="21"/>
        <v>29</v>
      </c>
      <c r="AF29" s="31">
        <f t="shared" si="21"/>
        <v>32</v>
      </c>
    </row>
    <row r="30" spans="2:32" ht="23.1" customHeight="1" x14ac:dyDescent="0.25">
      <c r="B30" s="45" t="s">
        <v>57</v>
      </c>
      <c r="C30" s="50">
        <v>13</v>
      </c>
      <c r="D30" s="50">
        <v>7</v>
      </c>
      <c r="E30" s="50">
        <v>0</v>
      </c>
      <c r="F30" s="50">
        <v>17</v>
      </c>
      <c r="G30" s="50">
        <v>0</v>
      </c>
      <c r="H30" s="50">
        <v>0</v>
      </c>
      <c r="I30" s="50">
        <v>5</v>
      </c>
      <c r="J30" s="50">
        <v>7</v>
      </c>
      <c r="K30" s="50">
        <v>2</v>
      </c>
      <c r="L30" s="50">
        <v>8</v>
      </c>
      <c r="M30" s="50">
        <v>42</v>
      </c>
      <c r="N30" s="50">
        <v>0</v>
      </c>
      <c r="O30" s="15">
        <f t="shared" si="0"/>
        <v>59</v>
      </c>
      <c r="P30" s="15">
        <f t="shared" si="1"/>
        <v>101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23</v>
      </c>
      <c r="AA30" s="34">
        <f t="shared" si="22"/>
        <v>3</v>
      </c>
      <c r="AB30" s="34">
        <f t="shared" si="22"/>
        <v>7</v>
      </c>
      <c r="AC30" s="34">
        <f t="shared" si="22"/>
        <v>3</v>
      </c>
      <c r="AD30" s="34">
        <f t="shared" si="22"/>
        <v>0</v>
      </c>
      <c r="AE30" s="31">
        <f t="shared" si="22"/>
        <v>42</v>
      </c>
      <c r="AF30" s="31">
        <f t="shared" si="22"/>
        <v>45</v>
      </c>
    </row>
    <row r="31" spans="2:32" ht="23.1" customHeight="1" x14ac:dyDescent="0.25">
      <c r="B31" s="46" t="s">
        <v>58</v>
      </c>
      <c r="C31" s="50">
        <v>14</v>
      </c>
      <c r="D31" s="50">
        <v>6</v>
      </c>
      <c r="E31" s="50">
        <v>5</v>
      </c>
      <c r="F31" s="50">
        <v>18</v>
      </c>
      <c r="G31" s="50">
        <v>0</v>
      </c>
      <c r="H31" s="50">
        <v>0</v>
      </c>
      <c r="I31" s="50">
        <v>5</v>
      </c>
      <c r="J31" s="50">
        <v>2</v>
      </c>
      <c r="K31" s="50">
        <v>1</v>
      </c>
      <c r="L31" s="50">
        <v>6</v>
      </c>
      <c r="M31" s="50">
        <v>43</v>
      </c>
      <c r="N31" s="50">
        <v>0</v>
      </c>
      <c r="O31" s="15">
        <f t="shared" si="0"/>
        <v>57</v>
      </c>
      <c r="P31" s="15">
        <f t="shared" si="1"/>
        <v>100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12</v>
      </c>
      <c r="AA31" s="34">
        <f t="shared" si="23"/>
        <v>7</v>
      </c>
      <c r="AB31" s="34">
        <f t="shared" si="23"/>
        <v>10</v>
      </c>
      <c r="AC31" s="34">
        <f t="shared" si="23"/>
        <v>2</v>
      </c>
      <c r="AD31" s="34">
        <f t="shared" si="23"/>
        <v>0</v>
      </c>
      <c r="AE31" s="31">
        <f t="shared" si="23"/>
        <v>41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16</v>
      </c>
      <c r="D32" s="50">
        <v>13</v>
      </c>
      <c r="E32" s="50">
        <v>4</v>
      </c>
      <c r="F32" s="50">
        <v>19</v>
      </c>
      <c r="G32" s="50">
        <v>0</v>
      </c>
      <c r="H32" s="50">
        <v>0</v>
      </c>
      <c r="I32" s="50">
        <v>4</v>
      </c>
      <c r="J32" s="50">
        <v>2</v>
      </c>
      <c r="K32" s="50">
        <v>3</v>
      </c>
      <c r="L32" s="50">
        <v>10</v>
      </c>
      <c r="M32" s="50">
        <v>39</v>
      </c>
      <c r="N32" s="50">
        <v>0</v>
      </c>
      <c r="O32" s="15">
        <f t="shared" si="0"/>
        <v>71</v>
      </c>
      <c r="P32" s="15">
        <f t="shared" si="1"/>
        <v>110</v>
      </c>
      <c r="R32" s="33" t="s">
        <v>156</v>
      </c>
      <c r="S32" s="34">
        <f>SUM(C98:C101)</f>
        <v>15</v>
      </c>
      <c r="T32" s="34">
        <f t="shared" ref="T32:AF32" si="24">SUM(D98:D101)</f>
        <v>9</v>
      </c>
      <c r="U32" s="34">
        <f t="shared" si="24"/>
        <v>2</v>
      </c>
      <c r="V32" s="34">
        <f t="shared" si="24"/>
        <v>17</v>
      </c>
      <c r="W32" s="34">
        <f t="shared" si="24"/>
        <v>4</v>
      </c>
      <c r="X32" s="34">
        <f t="shared" si="24"/>
        <v>0</v>
      </c>
      <c r="Y32" s="34">
        <f t="shared" si="24"/>
        <v>1</v>
      </c>
      <c r="Z32" s="34">
        <f t="shared" si="24"/>
        <v>10</v>
      </c>
      <c r="AA32" s="34">
        <f t="shared" si="24"/>
        <v>7</v>
      </c>
      <c r="AB32" s="34">
        <f t="shared" si="24"/>
        <v>14</v>
      </c>
      <c r="AC32" s="34">
        <f t="shared" si="24"/>
        <v>10</v>
      </c>
      <c r="AD32" s="34">
        <f t="shared" si="24"/>
        <v>0</v>
      </c>
      <c r="AE32" s="31">
        <f t="shared" si="24"/>
        <v>79</v>
      </c>
      <c r="AF32" s="31">
        <f t="shared" si="24"/>
        <v>89</v>
      </c>
    </row>
    <row r="33" spans="2:32" ht="23.1" customHeight="1" x14ac:dyDescent="0.25">
      <c r="B33" s="45" t="s">
        <v>60</v>
      </c>
      <c r="C33" s="50">
        <v>12</v>
      </c>
      <c r="D33" s="50">
        <v>4</v>
      </c>
      <c r="E33" s="50">
        <v>4</v>
      </c>
      <c r="F33" s="50">
        <v>22</v>
      </c>
      <c r="G33" s="50">
        <v>0</v>
      </c>
      <c r="H33" s="50">
        <v>0</v>
      </c>
      <c r="I33" s="50">
        <v>7</v>
      </c>
      <c r="J33" s="50">
        <v>6</v>
      </c>
      <c r="K33" s="50">
        <v>1</v>
      </c>
      <c r="L33" s="50">
        <v>6</v>
      </c>
      <c r="M33" s="50">
        <v>42</v>
      </c>
      <c r="N33" s="50">
        <v>0</v>
      </c>
      <c r="O33" s="15">
        <f t="shared" si="0"/>
        <v>62</v>
      </c>
      <c r="P33" s="15">
        <f t="shared" si="1"/>
        <v>104</v>
      </c>
      <c r="R33" s="33" t="s">
        <v>157</v>
      </c>
      <c r="S33" s="34">
        <f>SUM(C102:C105)</f>
        <v>39</v>
      </c>
      <c r="T33" s="34">
        <f t="shared" ref="T33:AF33" si="25">SUM(D102:D105)</f>
        <v>25</v>
      </c>
      <c r="U33" s="34">
        <f t="shared" si="25"/>
        <v>15</v>
      </c>
      <c r="V33" s="34">
        <f t="shared" si="25"/>
        <v>58</v>
      </c>
      <c r="W33" s="34">
        <f t="shared" si="25"/>
        <v>5</v>
      </c>
      <c r="X33" s="34">
        <f t="shared" si="25"/>
        <v>0</v>
      </c>
      <c r="Y33" s="34">
        <f t="shared" si="25"/>
        <v>7</v>
      </c>
      <c r="Z33" s="34">
        <f t="shared" si="25"/>
        <v>23</v>
      </c>
      <c r="AA33" s="34">
        <f t="shared" si="25"/>
        <v>10</v>
      </c>
      <c r="AB33" s="34">
        <f t="shared" si="25"/>
        <v>10</v>
      </c>
      <c r="AC33" s="34">
        <f t="shared" si="25"/>
        <v>28</v>
      </c>
      <c r="AD33" s="34">
        <f t="shared" si="25"/>
        <v>0</v>
      </c>
      <c r="AE33" s="31">
        <f t="shared" si="25"/>
        <v>192</v>
      </c>
      <c r="AF33" s="31">
        <f t="shared" si="25"/>
        <v>220</v>
      </c>
    </row>
    <row r="34" spans="2:32" ht="23.1" customHeight="1" x14ac:dyDescent="0.25">
      <c r="B34" s="46" t="s">
        <v>61</v>
      </c>
      <c r="C34" s="50">
        <v>8</v>
      </c>
      <c r="D34" s="50">
        <v>11</v>
      </c>
      <c r="E34" s="50">
        <v>0</v>
      </c>
      <c r="F34" s="50">
        <v>13</v>
      </c>
      <c r="G34" s="50">
        <v>0</v>
      </c>
      <c r="H34" s="50">
        <v>0</v>
      </c>
      <c r="I34" s="50">
        <v>3</v>
      </c>
      <c r="J34" s="50">
        <v>6</v>
      </c>
      <c r="K34" s="50">
        <v>3</v>
      </c>
      <c r="L34" s="50">
        <v>6</v>
      </c>
      <c r="M34" s="50">
        <v>35</v>
      </c>
      <c r="N34" s="50">
        <v>0</v>
      </c>
      <c r="O34" s="15">
        <f t="shared" si="0"/>
        <v>50</v>
      </c>
      <c r="P34" s="15">
        <f t="shared" si="1"/>
        <v>85</v>
      </c>
      <c r="R34" s="38" t="s">
        <v>90</v>
      </c>
      <c r="S34" s="39">
        <f t="shared" ref="S34:AF34" si="26">MAX(S10:S12)</f>
        <v>103</v>
      </c>
      <c r="T34" s="39">
        <f t="shared" si="26"/>
        <v>65</v>
      </c>
      <c r="U34" s="39">
        <f t="shared" si="26"/>
        <v>29</v>
      </c>
      <c r="V34" s="39">
        <f t="shared" si="26"/>
        <v>153</v>
      </c>
      <c r="W34" s="39">
        <f t="shared" si="26"/>
        <v>3</v>
      </c>
      <c r="X34" s="39">
        <f t="shared" si="26"/>
        <v>1</v>
      </c>
      <c r="Y34" s="39">
        <f t="shared" si="26"/>
        <v>22</v>
      </c>
      <c r="Z34" s="39">
        <f t="shared" si="26"/>
        <v>16</v>
      </c>
      <c r="AA34" s="39">
        <f t="shared" si="26"/>
        <v>12</v>
      </c>
      <c r="AB34" s="39">
        <f t="shared" si="26"/>
        <v>17</v>
      </c>
      <c r="AC34" s="39">
        <f t="shared" si="26"/>
        <v>161</v>
      </c>
      <c r="AD34" s="39">
        <f t="shared" si="26"/>
        <v>0</v>
      </c>
      <c r="AE34" s="40">
        <f t="shared" si="26"/>
        <v>386</v>
      </c>
      <c r="AF34" s="40">
        <f t="shared" si="26"/>
        <v>531</v>
      </c>
    </row>
    <row r="35" spans="2:32" ht="23.1" customHeight="1" x14ac:dyDescent="0.25">
      <c r="B35" s="46" t="s">
        <v>62</v>
      </c>
      <c r="C35" s="50">
        <v>15</v>
      </c>
      <c r="D35" s="50">
        <v>7</v>
      </c>
      <c r="E35" s="50">
        <v>4</v>
      </c>
      <c r="F35" s="50">
        <v>22</v>
      </c>
      <c r="G35" s="50">
        <v>0</v>
      </c>
      <c r="H35" s="50">
        <v>0</v>
      </c>
      <c r="I35" s="50">
        <v>2</v>
      </c>
      <c r="J35" s="50">
        <v>5</v>
      </c>
      <c r="K35" s="50">
        <v>1</v>
      </c>
      <c r="L35" s="50">
        <v>7</v>
      </c>
      <c r="M35" s="50">
        <v>37</v>
      </c>
      <c r="N35" s="50">
        <v>0</v>
      </c>
      <c r="O35" s="15">
        <f t="shared" si="0"/>
        <v>63</v>
      </c>
      <c r="P35" s="15">
        <f t="shared" si="1"/>
        <v>100</v>
      </c>
      <c r="R35" s="38" t="s">
        <v>91</v>
      </c>
      <c r="S35" s="39">
        <f t="shared" ref="S35:AF35" si="27">MAX(S13:S18)</f>
        <v>73</v>
      </c>
      <c r="T35" s="39">
        <f t="shared" si="27"/>
        <v>33</v>
      </c>
      <c r="U35" s="39">
        <f t="shared" si="27"/>
        <v>22</v>
      </c>
      <c r="V35" s="39">
        <f t="shared" si="27"/>
        <v>86</v>
      </c>
      <c r="W35" s="39">
        <f t="shared" si="27"/>
        <v>1</v>
      </c>
      <c r="X35" s="39">
        <f t="shared" si="27"/>
        <v>4</v>
      </c>
      <c r="Y35" s="39">
        <f t="shared" si="27"/>
        <v>24</v>
      </c>
      <c r="Z35" s="39">
        <f t="shared" si="27"/>
        <v>29</v>
      </c>
      <c r="AA35" s="39">
        <f t="shared" si="27"/>
        <v>14</v>
      </c>
      <c r="AB35" s="39">
        <f t="shared" si="27"/>
        <v>32</v>
      </c>
      <c r="AC35" s="39">
        <f t="shared" si="27"/>
        <v>166</v>
      </c>
      <c r="AD35" s="39">
        <f t="shared" si="27"/>
        <v>0</v>
      </c>
      <c r="AE35" s="40">
        <f t="shared" si="27"/>
        <v>284</v>
      </c>
      <c r="AF35" s="40">
        <f t="shared" si="27"/>
        <v>421</v>
      </c>
    </row>
    <row r="36" spans="2:32" ht="23.1" customHeight="1" x14ac:dyDescent="0.25">
      <c r="B36" s="46" t="s">
        <v>63</v>
      </c>
      <c r="C36" s="50">
        <v>19</v>
      </c>
      <c r="D36" s="50">
        <v>9</v>
      </c>
      <c r="E36" s="50">
        <v>7</v>
      </c>
      <c r="F36" s="50">
        <v>19</v>
      </c>
      <c r="G36" s="50">
        <v>0</v>
      </c>
      <c r="H36" s="50">
        <v>0</v>
      </c>
      <c r="I36" s="50">
        <v>2</v>
      </c>
      <c r="J36" s="50">
        <v>6</v>
      </c>
      <c r="K36" s="50">
        <v>2</v>
      </c>
      <c r="L36" s="50">
        <v>6</v>
      </c>
      <c r="M36" s="50">
        <v>37</v>
      </c>
      <c r="N36" s="50">
        <v>0</v>
      </c>
      <c r="O36" s="15">
        <f t="shared" si="0"/>
        <v>70</v>
      </c>
      <c r="P36" s="15">
        <f t="shared" si="1"/>
        <v>107</v>
      </c>
      <c r="R36" s="38" t="s">
        <v>92</v>
      </c>
      <c r="S36" s="39">
        <f t="shared" ref="S36:AF36" si="28">MAX(S19:S21)</f>
        <v>171</v>
      </c>
      <c r="T36" s="39">
        <f t="shared" si="28"/>
        <v>81</v>
      </c>
      <c r="U36" s="39">
        <f t="shared" si="28"/>
        <v>52</v>
      </c>
      <c r="V36" s="39">
        <f t="shared" si="28"/>
        <v>130</v>
      </c>
      <c r="W36" s="39">
        <f t="shared" si="28"/>
        <v>3</v>
      </c>
      <c r="X36" s="39">
        <f t="shared" si="28"/>
        <v>2</v>
      </c>
      <c r="Y36" s="39">
        <f t="shared" si="28"/>
        <v>17</v>
      </c>
      <c r="Z36" s="39">
        <f t="shared" si="28"/>
        <v>37</v>
      </c>
      <c r="AA36" s="39">
        <f t="shared" si="28"/>
        <v>26</v>
      </c>
      <c r="AB36" s="39">
        <f t="shared" si="28"/>
        <v>33</v>
      </c>
      <c r="AC36" s="39">
        <f t="shared" si="28"/>
        <v>223</v>
      </c>
      <c r="AD36" s="39">
        <f t="shared" si="28"/>
        <v>0</v>
      </c>
      <c r="AE36" s="40">
        <f t="shared" si="28"/>
        <v>487</v>
      </c>
      <c r="AF36" s="40">
        <f t="shared" si="28"/>
        <v>710</v>
      </c>
    </row>
    <row r="37" spans="2:32" ht="23.1" customHeight="1" x14ac:dyDescent="0.25">
      <c r="B37" s="45" t="s">
        <v>64</v>
      </c>
      <c r="C37" s="50">
        <v>15</v>
      </c>
      <c r="D37" s="50">
        <v>6</v>
      </c>
      <c r="E37" s="50">
        <v>4</v>
      </c>
      <c r="F37" s="50">
        <v>16</v>
      </c>
      <c r="G37" s="50">
        <v>0</v>
      </c>
      <c r="H37" s="50">
        <v>0</v>
      </c>
      <c r="I37" s="50">
        <v>5</v>
      </c>
      <c r="J37" s="50">
        <v>10</v>
      </c>
      <c r="K37" s="50">
        <v>3</v>
      </c>
      <c r="L37" s="50">
        <v>7</v>
      </c>
      <c r="M37" s="50">
        <v>38</v>
      </c>
      <c r="N37" s="50">
        <v>0</v>
      </c>
      <c r="O37" s="15">
        <f t="shared" si="0"/>
        <v>66</v>
      </c>
      <c r="P37" s="15">
        <f t="shared" si="1"/>
        <v>104</v>
      </c>
      <c r="R37" s="37" t="s">
        <v>85</v>
      </c>
      <c r="S37" s="35">
        <f t="shared" ref="S37:AF37" si="29">SUM(S10:S12)</f>
        <v>273</v>
      </c>
      <c r="T37" s="16">
        <f t="shared" si="29"/>
        <v>153</v>
      </c>
      <c r="U37" s="16">
        <f t="shared" si="29"/>
        <v>61</v>
      </c>
      <c r="V37" s="16">
        <f t="shared" si="29"/>
        <v>417</v>
      </c>
      <c r="W37" s="16">
        <f t="shared" si="29"/>
        <v>5</v>
      </c>
      <c r="X37" s="16">
        <f t="shared" si="29"/>
        <v>1</v>
      </c>
      <c r="Y37" s="16">
        <f t="shared" si="29"/>
        <v>62</v>
      </c>
      <c r="Z37" s="16">
        <f t="shared" si="29"/>
        <v>35</v>
      </c>
      <c r="AA37" s="16">
        <f t="shared" si="29"/>
        <v>27</v>
      </c>
      <c r="AB37" s="16">
        <f t="shared" si="29"/>
        <v>43</v>
      </c>
      <c r="AC37" s="16">
        <f t="shared" si="29"/>
        <v>440</v>
      </c>
      <c r="AD37" s="16">
        <f t="shared" si="29"/>
        <v>0</v>
      </c>
      <c r="AE37" s="32">
        <f t="shared" si="29"/>
        <v>1077</v>
      </c>
      <c r="AF37" s="32">
        <f t="shared" si="29"/>
        <v>1517</v>
      </c>
    </row>
    <row r="38" spans="2:32" ht="23.1" customHeight="1" x14ac:dyDescent="0.25">
      <c r="B38" s="46" t="s">
        <v>65</v>
      </c>
      <c r="C38" s="50">
        <v>8</v>
      </c>
      <c r="D38" s="50">
        <v>12</v>
      </c>
      <c r="E38" s="50">
        <v>1</v>
      </c>
      <c r="F38" s="50">
        <v>16</v>
      </c>
      <c r="G38" s="50">
        <v>0</v>
      </c>
      <c r="H38" s="50">
        <v>0</v>
      </c>
      <c r="I38" s="50">
        <v>3</v>
      </c>
      <c r="J38" s="50">
        <v>5</v>
      </c>
      <c r="K38" s="50">
        <v>2</v>
      </c>
      <c r="L38" s="50">
        <v>6</v>
      </c>
      <c r="M38" s="50">
        <v>25</v>
      </c>
      <c r="N38" s="50">
        <v>0</v>
      </c>
      <c r="O38" s="15">
        <f t="shared" si="0"/>
        <v>53</v>
      </c>
      <c r="P38" s="15">
        <f t="shared" si="1"/>
        <v>78</v>
      </c>
      <c r="R38" s="28" t="s">
        <v>86</v>
      </c>
      <c r="S38" s="16">
        <f t="shared" ref="S38:AF38" si="30">SUM(S13:S18)</f>
        <v>350</v>
      </c>
      <c r="T38" s="16">
        <f t="shared" si="30"/>
        <v>173</v>
      </c>
      <c r="U38" s="16">
        <f t="shared" si="30"/>
        <v>82</v>
      </c>
      <c r="V38" s="16">
        <f t="shared" si="30"/>
        <v>453</v>
      </c>
      <c r="W38" s="16">
        <f t="shared" si="30"/>
        <v>1</v>
      </c>
      <c r="X38" s="16">
        <f t="shared" si="30"/>
        <v>4</v>
      </c>
      <c r="Y38" s="16">
        <f t="shared" si="30"/>
        <v>105</v>
      </c>
      <c r="Z38" s="16">
        <f t="shared" si="30"/>
        <v>118</v>
      </c>
      <c r="AA38" s="16">
        <f t="shared" si="30"/>
        <v>64</v>
      </c>
      <c r="AB38" s="16">
        <f t="shared" si="30"/>
        <v>147</v>
      </c>
      <c r="AC38" s="16">
        <f t="shared" si="30"/>
        <v>864</v>
      </c>
      <c r="AD38" s="16">
        <f t="shared" si="30"/>
        <v>0</v>
      </c>
      <c r="AE38" s="32">
        <f t="shared" si="30"/>
        <v>1497</v>
      </c>
      <c r="AF38" s="32">
        <f t="shared" si="30"/>
        <v>2361</v>
      </c>
    </row>
    <row r="39" spans="2:32" ht="23.1" customHeight="1" x14ac:dyDescent="0.25">
      <c r="B39" s="46" t="s">
        <v>66</v>
      </c>
      <c r="C39" s="50">
        <v>11</v>
      </c>
      <c r="D39" s="50">
        <v>7</v>
      </c>
      <c r="E39" s="50">
        <v>10</v>
      </c>
      <c r="F39" s="50">
        <v>22</v>
      </c>
      <c r="G39" s="50">
        <v>0</v>
      </c>
      <c r="H39" s="50">
        <v>0</v>
      </c>
      <c r="I39" s="50">
        <v>4</v>
      </c>
      <c r="J39" s="50">
        <v>7</v>
      </c>
      <c r="K39" s="50">
        <v>6</v>
      </c>
      <c r="L39" s="50">
        <v>6</v>
      </c>
      <c r="M39" s="50">
        <v>27</v>
      </c>
      <c r="N39" s="50">
        <v>0</v>
      </c>
      <c r="O39" s="15">
        <f t="shared" si="0"/>
        <v>73</v>
      </c>
      <c r="P39" s="15">
        <f t="shared" si="1"/>
        <v>100</v>
      </c>
      <c r="R39" s="29" t="s">
        <v>87</v>
      </c>
      <c r="S39" s="16">
        <f t="shared" ref="S39:AF39" si="31">SUM(S19:S21)</f>
        <v>397</v>
      </c>
      <c r="T39" s="16">
        <f t="shared" si="31"/>
        <v>182</v>
      </c>
      <c r="U39" s="16">
        <f t="shared" si="31"/>
        <v>87</v>
      </c>
      <c r="V39" s="16">
        <f t="shared" si="31"/>
        <v>286</v>
      </c>
      <c r="W39" s="16">
        <f t="shared" si="31"/>
        <v>8</v>
      </c>
      <c r="X39" s="16">
        <f t="shared" si="31"/>
        <v>3</v>
      </c>
      <c r="Y39" s="16">
        <f t="shared" si="31"/>
        <v>49</v>
      </c>
      <c r="Z39" s="16">
        <f t="shared" si="31"/>
        <v>78</v>
      </c>
      <c r="AA39" s="16">
        <f t="shared" si="31"/>
        <v>65</v>
      </c>
      <c r="AB39" s="16">
        <f t="shared" si="31"/>
        <v>82</v>
      </c>
      <c r="AC39" s="16">
        <f t="shared" si="31"/>
        <v>543</v>
      </c>
      <c r="AD39" s="16">
        <f t="shared" si="31"/>
        <v>0</v>
      </c>
      <c r="AE39" s="32">
        <f t="shared" si="31"/>
        <v>1237</v>
      </c>
      <c r="AF39" s="32">
        <f t="shared" si="31"/>
        <v>1780</v>
      </c>
    </row>
    <row r="40" spans="2:32" ht="23.1" customHeight="1" x14ac:dyDescent="0.25">
      <c r="B40" s="46" t="s">
        <v>67</v>
      </c>
      <c r="C40" s="50">
        <v>21</v>
      </c>
      <c r="D40" s="50">
        <v>6</v>
      </c>
      <c r="E40" s="50">
        <v>5</v>
      </c>
      <c r="F40" s="50">
        <v>23</v>
      </c>
      <c r="G40" s="50">
        <v>0</v>
      </c>
      <c r="H40" s="50">
        <v>0</v>
      </c>
      <c r="I40" s="50">
        <v>5</v>
      </c>
      <c r="J40" s="50">
        <v>11</v>
      </c>
      <c r="K40" s="50">
        <v>3</v>
      </c>
      <c r="L40" s="50">
        <v>13</v>
      </c>
      <c r="M40" s="50">
        <v>37</v>
      </c>
      <c r="N40" s="50">
        <v>0</v>
      </c>
      <c r="O40" s="15">
        <f t="shared" si="0"/>
        <v>87</v>
      </c>
      <c r="P40" s="15">
        <f t="shared" si="1"/>
        <v>124</v>
      </c>
      <c r="R40" s="5" t="s">
        <v>17</v>
      </c>
      <c r="S40" s="16">
        <f t="shared" ref="S40:AF40" si="32">SUM(S10:S21)</f>
        <v>1020</v>
      </c>
      <c r="T40" s="16">
        <f t="shared" si="32"/>
        <v>508</v>
      </c>
      <c r="U40" s="16">
        <f t="shared" si="32"/>
        <v>230</v>
      </c>
      <c r="V40" s="16">
        <f t="shared" si="32"/>
        <v>1156</v>
      </c>
      <c r="W40" s="16">
        <f t="shared" si="32"/>
        <v>14</v>
      </c>
      <c r="X40" s="16">
        <f t="shared" si="32"/>
        <v>8</v>
      </c>
      <c r="Y40" s="16">
        <f t="shared" si="32"/>
        <v>216</v>
      </c>
      <c r="Z40" s="16">
        <f t="shared" si="32"/>
        <v>231</v>
      </c>
      <c r="AA40" s="16">
        <f t="shared" si="32"/>
        <v>156</v>
      </c>
      <c r="AB40" s="16">
        <f t="shared" si="32"/>
        <v>272</v>
      </c>
      <c r="AC40" s="16">
        <f t="shared" si="32"/>
        <v>1847</v>
      </c>
      <c r="AD40" s="16">
        <f t="shared" si="32"/>
        <v>0</v>
      </c>
      <c r="AE40" s="32">
        <f t="shared" si="32"/>
        <v>3811</v>
      </c>
      <c r="AF40" s="32">
        <f t="shared" si="32"/>
        <v>5658</v>
      </c>
    </row>
    <row r="41" spans="2:32" ht="23.1" customHeight="1" x14ac:dyDescent="0.25">
      <c r="B41" s="45" t="s">
        <v>68</v>
      </c>
      <c r="C41" s="50">
        <v>16</v>
      </c>
      <c r="D41" s="50">
        <v>4</v>
      </c>
      <c r="E41" s="50">
        <v>6</v>
      </c>
      <c r="F41" s="50">
        <v>25</v>
      </c>
      <c r="G41" s="50">
        <v>0</v>
      </c>
      <c r="H41" s="50">
        <v>0</v>
      </c>
      <c r="I41" s="50">
        <v>4</v>
      </c>
      <c r="J41" s="50">
        <v>6</v>
      </c>
      <c r="K41" s="50">
        <v>3</v>
      </c>
      <c r="L41" s="50">
        <v>7</v>
      </c>
      <c r="M41" s="50">
        <v>36</v>
      </c>
      <c r="N41" s="50">
        <v>0</v>
      </c>
      <c r="O41" s="15">
        <f t="shared" si="0"/>
        <v>71</v>
      </c>
      <c r="P41" s="15">
        <f t="shared" si="1"/>
        <v>107</v>
      </c>
      <c r="R41" s="5" t="s">
        <v>159</v>
      </c>
      <c r="S41" s="16">
        <f>SUM(S10:S33)</f>
        <v>1725</v>
      </c>
      <c r="T41" s="16">
        <f t="shared" ref="T41:AF41" si="33">SUM(T10:T33)</f>
        <v>812</v>
      </c>
      <c r="U41" s="16">
        <f t="shared" si="33"/>
        <v>364</v>
      </c>
      <c r="V41" s="16">
        <f t="shared" si="33"/>
        <v>1608</v>
      </c>
      <c r="W41" s="16">
        <f t="shared" si="33"/>
        <v>31</v>
      </c>
      <c r="X41" s="16">
        <f t="shared" si="33"/>
        <v>14</v>
      </c>
      <c r="Y41" s="16">
        <f t="shared" si="33"/>
        <v>276</v>
      </c>
      <c r="Z41" s="16">
        <f t="shared" si="33"/>
        <v>372</v>
      </c>
      <c r="AA41" s="16">
        <f t="shared" si="33"/>
        <v>259</v>
      </c>
      <c r="AB41" s="16">
        <f t="shared" si="33"/>
        <v>443</v>
      </c>
      <c r="AC41" s="16">
        <f t="shared" si="33"/>
        <v>2376</v>
      </c>
      <c r="AD41" s="16">
        <f t="shared" si="33"/>
        <v>1</v>
      </c>
      <c r="AE41" s="32">
        <f t="shared" si="33"/>
        <v>5905</v>
      </c>
      <c r="AF41" s="32">
        <f t="shared" si="33"/>
        <v>8281</v>
      </c>
    </row>
    <row r="42" spans="2:32" ht="23.1" customHeight="1" x14ac:dyDescent="0.25">
      <c r="B42" s="46" t="s">
        <v>69</v>
      </c>
      <c r="C42" s="50">
        <v>10</v>
      </c>
      <c r="D42" s="50">
        <v>6</v>
      </c>
      <c r="E42" s="50">
        <v>0</v>
      </c>
      <c r="F42" s="50">
        <v>15</v>
      </c>
      <c r="G42" s="50">
        <v>0</v>
      </c>
      <c r="H42" s="50">
        <v>0</v>
      </c>
      <c r="I42" s="50">
        <v>3</v>
      </c>
      <c r="J42" s="50">
        <v>6</v>
      </c>
      <c r="K42" s="50">
        <v>2</v>
      </c>
      <c r="L42" s="50">
        <v>6</v>
      </c>
      <c r="M42" s="50">
        <v>23</v>
      </c>
      <c r="N42" s="50">
        <v>0</v>
      </c>
      <c r="O42" s="15">
        <f t="shared" si="0"/>
        <v>48</v>
      </c>
      <c r="P42" s="15">
        <f t="shared" si="1"/>
        <v>71</v>
      </c>
      <c r="R42" s="5" t="s">
        <v>160</v>
      </c>
      <c r="S42" s="48">
        <f>S41/S40</f>
        <v>1.6911764705882353</v>
      </c>
      <c r="T42" s="48">
        <f t="shared" ref="T42:AF42" si="34">T41/T40</f>
        <v>1.5984251968503937</v>
      </c>
      <c r="U42" s="48">
        <f t="shared" si="34"/>
        <v>1.5826086956521739</v>
      </c>
      <c r="V42" s="48">
        <f t="shared" si="34"/>
        <v>1.3910034602076125</v>
      </c>
      <c r="W42" s="48">
        <f t="shared" si="34"/>
        <v>2.2142857142857144</v>
      </c>
      <c r="X42" s="48">
        <f t="shared" si="34"/>
        <v>1.75</v>
      </c>
      <c r="Y42" s="48">
        <f t="shared" si="34"/>
        <v>1.2777777777777777</v>
      </c>
      <c r="Z42" s="48">
        <f t="shared" si="34"/>
        <v>1.6103896103896105</v>
      </c>
      <c r="AA42" s="48">
        <f t="shared" si="34"/>
        <v>1.6602564102564104</v>
      </c>
      <c r="AB42" s="48">
        <f t="shared" si="34"/>
        <v>1.6286764705882353</v>
      </c>
      <c r="AC42" s="48">
        <f t="shared" si="34"/>
        <v>1.286410395235517</v>
      </c>
      <c r="AD42" s="48" t="e">
        <f t="shared" si="34"/>
        <v>#DIV/0!</v>
      </c>
      <c r="AE42" s="48">
        <f t="shared" si="34"/>
        <v>1.549462083442666</v>
      </c>
      <c r="AF42" s="48">
        <f t="shared" si="34"/>
        <v>1.4635913750441851</v>
      </c>
    </row>
    <row r="43" spans="2:32" ht="23.1" customHeight="1" x14ac:dyDescent="0.25">
      <c r="B43" s="45" t="s">
        <v>70</v>
      </c>
      <c r="C43" s="50">
        <v>20</v>
      </c>
      <c r="D43" s="50">
        <v>8</v>
      </c>
      <c r="E43" s="50">
        <v>6</v>
      </c>
      <c r="F43" s="50">
        <v>20</v>
      </c>
      <c r="G43" s="50">
        <v>0</v>
      </c>
      <c r="H43" s="50">
        <v>0</v>
      </c>
      <c r="I43" s="50">
        <v>4</v>
      </c>
      <c r="J43" s="50">
        <v>4</v>
      </c>
      <c r="K43" s="50">
        <v>3</v>
      </c>
      <c r="L43" s="50">
        <v>8</v>
      </c>
      <c r="M43" s="50">
        <v>41</v>
      </c>
      <c r="N43" s="50">
        <v>0</v>
      </c>
      <c r="O43" s="15">
        <f t="shared" si="0"/>
        <v>73</v>
      </c>
      <c r="P43" s="15">
        <f t="shared" si="1"/>
        <v>114</v>
      </c>
    </row>
    <row r="44" spans="2:32" ht="23.1" customHeight="1" x14ac:dyDescent="0.25">
      <c r="B44" s="47" t="s">
        <v>71</v>
      </c>
      <c r="C44" s="50">
        <v>14</v>
      </c>
      <c r="D44" s="50">
        <v>7</v>
      </c>
      <c r="E44" s="50">
        <v>1</v>
      </c>
      <c r="F44" s="50">
        <v>13</v>
      </c>
      <c r="G44" s="50">
        <v>0</v>
      </c>
      <c r="H44" s="50">
        <v>0</v>
      </c>
      <c r="I44" s="50">
        <v>2</v>
      </c>
      <c r="J44" s="50">
        <v>4</v>
      </c>
      <c r="K44" s="50">
        <v>5</v>
      </c>
      <c r="L44" s="50">
        <v>4</v>
      </c>
      <c r="M44" s="50">
        <v>25</v>
      </c>
      <c r="N44" s="50">
        <v>0</v>
      </c>
      <c r="O44" s="15">
        <f t="shared" si="0"/>
        <v>50</v>
      </c>
      <c r="P44" s="15">
        <f t="shared" si="1"/>
        <v>75</v>
      </c>
    </row>
    <row r="45" spans="2:32" ht="23.1" customHeight="1" x14ac:dyDescent="0.25">
      <c r="B45" s="45" t="s">
        <v>72</v>
      </c>
      <c r="C45" s="50">
        <v>13</v>
      </c>
      <c r="D45" s="50">
        <v>9</v>
      </c>
      <c r="E45" s="50">
        <v>0</v>
      </c>
      <c r="F45" s="50">
        <v>13</v>
      </c>
      <c r="G45" s="50">
        <v>0</v>
      </c>
      <c r="H45" s="50">
        <v>0</v>
      </c>
      <c r="I45" s="50">
        <v>2</v>
      </c>
      <c r="J45" s="50">
        <v>6</v>
      </c>
      <c r="K45" s="50">
        <v>1</v>
      </c>
      <c r="L45" s="50">
        <v>4</v>
      </c>
      <c r="M45" s="50">
        <v>29</v>
      </c>
      <c r="N45" s="50">
        <v>0</v>
      </c>
      <c r="O45" s="15">
        <f t="shared" si="0"/>
        <v>48</v>
      </c>
      <c r="P45" s="15">
        <f t="shared" si="1"/>
        <v>77</v>
      </c>
    </row>
    <row r="46" spans="2:32" ht="23.1" customHeight="1" x14ac:dyDescent="0.25">
      <c r="B46" s="46" t="s">
        <v>73</v>
      </c>
      <c r="C46" s="50">
        <v>17</v>
      </c>
      <c r="D46" s="50">
        <v>7</v>
      </c>
      <c r="E46" s="50">
        <v>3</v>
      </c>
      <c r="F46" s="50">
        <v>16</v>
      </c>
      <c r="G46" s="50">
        <v>1</v>
      </c>
      <c r="H46" s="50">
        <v>1</v>
      </c>
      <c r="I46" s="50">
        <v>5</v>
      </c>
      <c r="J46" s="50">
        <v>3</v>
      </c>
      <c r="K46" s="50">
        <v>6</v>
      </c>
      <c r="L46" s="50">
        <v>8</v>
      </c>
      <c r="M46" s="50">
        <v>40</v>
      </c>
      <c r="N46" s="50">
        <v>0</v>
      </c>
      <c r="O46" s="15">
        <f t="shared" si="0"/>
        <v>67</v>
      </c>
      <c r="P46" s="15">
        <f t="shared" si="1"/>
        <v>107</v>
      </c>
      <c r="R46" s="8"/>
      <c r="T46"/>
    </row>
    <row r="47" spans="2:32" ht="23.1" customHeight="1" x14ac:dyDescent="0.25">
      <c r="B47" s="46" t="s">
        <v>74</v>
      </c>
      <c r="C47" s="50">
        <v>13</v>
      </c>
      <c r="D47" s="50">
        <v>6</v>
      </c>
      <c r="E47" s="50">
        <v>5</v>
      </c>
      <c r="F47" s="50">
        <v>17</v>
      </c>
      <c r="G47" s="50">
        <v>0</v>
      </c>
      <c r="H47" s="50">
        <v>0</v>
      </c>
      <c r="I47" s="50">
        <v>3</v>
      </c>
      <c r="J47" s="50">
        <v>5</v>
      </c>
      <c r="K47" s="50">
        <v>1</v>
      </c>
      <c r="L47" s="50">
        <v>8</v>
      </c>
      <c r="M47" s="50">
        <v>22</v>
      </c>
      <c r="N47" s="50">
        <v>0</v>
      </c>
      <c r="O47" s="15">
        <f t="shared" si="0"/>
        <v>58</v>
      </c>
      <c r="P47" s="15">
        <f t="shared" si="1"/>
        <v>80</v>
      </c>
      <c r="R47" s="8"/>
      <c r="T47"/>
    </row>
    <row r="48" spans="2:32" ht="23.1" customHeight="1" x14ac:dyDescent="0.25">
      <c r="B48" s="46" t="s">
        <v>75</v>
      </c>
      <c r="C48" s="50">
        <v>32</v>
      </c>
      <c r="D48" s="50">
        <v>9</v>
      </c>
      <c r="E48" s="50">
        <v>8</v>
      </c>
      <c r="F48" s="50">
        <v>23</v>
      </c>
      <c r="G48" s="50">
        <v>0</v>
      </c>
      <c r="H48" s="50">
        <v>0</v>
      </c>
      <c r="I48" s="50">
        <v>2</v>
      </c>
      <c r="J48" s="50">
        <v>8</v>
      </c>
      <c r="K48" s="50">
        <v>9</v>
      </c>
      <c r="L48" s="50">
        <v>9</v>
      </c>
      <c r="M48" s="50">
        <v>51</v>
      </c>
      <c r="N48" s="50">
        <v>0</v>
      </c>
      <c r="O48" s="15">
        <f t="shared" si="0"/>
        <v>100</v>
      </c>
      <c r="P48" s="15">
        <f t="shared" si="1"/>
        <v>151</v>
      </c>
      <c r="R48" s="8"/>
      <c r="T48"/>
    </row>
    <row r="49" spans="2:20" ht="23.1" customHeight="1" x14ac:dyDescent="0.25">
      <c r="B49" s="45" t="s">
        <v>76</v>
      </c>
      <c r="C49" s="50">
        <v>31</v>
      </c>
      <c r="D49" s="50">
        <v>18</v>
      </c>
      <c r="E49" s="50">
        <v>4</v>
      </c>
      <c r="F49" s="50">
        <v>17</v>
      </c>
      <c r="G49" s="50">
        <v>1</v>
      </c>
      <c r="H49" s="50">
        <v>0</v>
      </c>
      <c r="I49" s="50">
        <v>7</v>
      </c>
      <c r="J49" s="50">
        <v>10</v>
      </c>
      <c r="K49" s="50">
        <v>10</v>
      </c>
      <c r="L49" s="50">
        <v>8</v>
      </c>
      <c r="M49" s="50">
        <v>27</v>
      </c>
      <c r="N49" s="50">
        <v>0</v>
      </c>
      <c r="O49" s="15">
        <f t="shared" si="0"/>
        <v>106</v>
      </c>
      <c r="P49" s="15">
        <f t="shared" si="1"/>
        <v>133</v>
      </c>
      <c r="R49" s="8"/>
      <c r="T49"/>
    </row>
    <row r="50" spans="2:20" ht="23.1" customHeight="1" x14ac:dyDescent="0.25">
      <c r="B50" s="46" t="s">
        <v>77</v>
      </c>
      <c r="C50" s="50">
        <v>32</v>
      </c>
      <c r="D50" s="50">
        <v>26</v>
      </c>
      <c r="E50" s="50">
        <v>3</v>
      </c>
      <c r="F50" s="50">
        <v>22</v>
      </c>
      <c r="G50" s="50">
        <v>1</v>
      </c>
      <c r="H50" s="50">
        <v>0</v>
      </c>
      <c r="I50" s="50">
        <v>3</v>
      </c>
      <c r="J50" s="50">
        <v>4</v>
      </c>
      <c r="K50" s="50">
        <v>4</v>
      </c>
      <c r="L50" s="50">
        <v>2</v>
      </c>
      <c r="M50" s="50">
        <v>47</v>
      </c>
      <c r="N50" s="50">
        <v>0</v>
      </c>
      <c r="O50" s="15">
        <f t="shared" si="0"/>
        <v>97</v>
      </c>
      <c r="P50" s="15">
        <f t="shared" si="1"/>
        <v>144</v>
      </c>
      <c r="R50" s="8"/>
      <c r="T50"/>
    </row>
    <row r="51" spans="2:20" ht="23.1" customHeight="1" x14ac:dyDescent="0.25">
      <c r="B51" s="46" t="s">
        <v>78</v>
      </c>
      <c r="C51" s="50">
        <v>36</v>
      </c>
      <c r="D51" s="50">
        <v>23</v>
      </c>
      <c r="E51" s="50">
        <v>6</v>
      </c>
      <c r="F51" s="50">
        <v>26</v>
      </c>
      <c r="G51" s="50">
        <v>0</v>
      </c>
      <c r="H51" s="50">
        <v>0</v>
      </c>
      <c r="I51" s="50">
        <v>7</v>
      </c>
      <c r="J51" s="50">
        <v>8</v>
      </c>
      <c r="K51" s="50">
        <v>6</v>
      </c>
      <c r="L51" s="50">
        <v>11</v>
      </c>
      <c r="M51" s="50">
        <v>38</v>
      </c>
      <c r="N51" s="50">
        <v>0</v>
      </c>
      <c r="O51" s="15">
        <f t="shared" si="0"/>
        <v>123</v>
      </c>
      <c r="P51" s="15">
        <f t="shared" si="1"/>
        <v>161</v>
      </c>
      <c r="R51" s="8"/>
      <c r="T51"/>
    </row>
    <row r="52" spans="2:20" ht="23.1" customHeight="1" x14ac:dyDescent="0.25">
      <c r="B52" s="46" t="s">
        <v>79</v>
      </c>
      <c r="C52" s="50">
        <v>30</v>
      </c>
      <c r="D52" s="50">
        <v>10</v>
      </c>
      <c r="E52" s="50">
        <v>2</v>
      </c>
      <c r="F52" s="50">
        <v>13</v>
      </c>
      <c r="G52" s="50">
        <v>0</v>
      </c>
      <c r="H52" s="50">
        <v>0</v>
      </c>
      <c r="I52" s="50">
        <v>2</v>
      </c>
      <c r="J52" s="50">
        <v>6</v>
      </c>
      <c r="K52" s="50">
        <v>4</v>
      </c>
      <c r="L52" s="50">
        <v>5</v>
      </c>
      <c r="M52" s="50">
        <v>53</v>
      </c>
      <c r="N52" s="50">
        <v>0</v>
      </c>
      <c r="O52" s="15">
        <f t="shared" si="0"/>
        <v>72</v>
      </c>
      <c r="P52" s="15">
        <f t="shared" si="1"/>
        <v>125</v>
      </c>
      <c r="R52" s="8"/>
      <c r="T52"/>
    </row>
    <row r="53" spans="2:20" ht="23.1" customHeight="1" x14ac:dyDescent="0.25">
      <c r="B53" s="45" t="s">
        <v>80</v>
      </c>
      <c r="C53" s="50">
        <v>35</v>
      </c>
      <c r="D53" s="50">
        <v>22</v>
      </c>
      <c r="E53" s="50">
        <v>4</v>
      </c>
      <c r="F53" s="50">
        <v>22</v>
      </c>
      <c r="G53" s="50">
        <v>2</v>
      </c>
      <c r="H53" s="50">
        <v>0</v>
      </c>
      <c r="I53" s="50">
        <v>3</v>
      </c>
      <c r="J53" s="50">
        <v>19</v>
      </c>
      <c r="K53" s="50">
        <v>11</v>
      </c>
      <c r="L53" s="50">
        <v>9</v>
      </c>
      <c r="M53" s="50">
        <v>42</v>
      </c>
      <c r="N53" s="50">
        <v>0</v>
      </c>
      <c r="O53" s="15">
        <f t="shared" si="0"/>
        <v>127</v>
      </c>
      <c r="P53" s="15">
        <f t="shared" si="1"/>
        <v>169</v>
      </c>
      <c r="R53" s="8"/>
      <c r="T53"/>
    </row>
    <row r="54" spans="2:20" ht="23.1" customHeight="1" x14ac:dyDescent="0.25">
      <c r="B54" s="45" t="s">
        <v>81</v>
      </c>
      <c r="C54" s="50">
        <v>54</v>
      </c>
      <c r="D54" s="50">
        <v>13</v>
      </c>
      <c r="E54" s="50">
        <v>11</v>
      </c>
      <c r="F54" s="50">
        <v>32</v>
      </c>
      <c r="G54" s="50">
        <v>0</v>
      </c>
      <c r="H54" s="50">
        <v>2</v>
      </c>
      <c r="I54" s="50">
        <v>6</v>
      </c>
      <c r="J54" s="50">
        <v>1</v>
      </c>
      <c r="K54" s="50">
        <v>6</v>
      </c>
      <c r="L54" s="50">
        <v>6</v>
      </c>
      <c r="M54" s="50">
        <v>52</v>
      </c>
      <c r="N54" s="50">
        <v>0</v>
      </c>
      <c r="O54" s="15">
        <f t="shared" si="0"/>
        <v>131</v>
      </c>
      <c r="P54" s="15">
        <f t="shared" si="1"/>
        <v>183</v>
      </c>
      <c r="R54" s="8"/>
      <c r="T54"/>
    </row>
    <row r="55" spans="2:20" ht="23.1" customHeight="1" x14ac:dyDescent="0.25">
      <c r="B55" s="45" t="s">
        <v>82</v>
      </c>
      <c r="C55" s="50">
        <v>35</v>
      </c>
      <c r="D55" s="50">
        <v>9</v>
      </c>
      <c r="E55" s="50">
        <v>10</v>
      </c>
      <c r="F55" s="50">
        <v>23</v>
      </c>
      <c r="G55" s="50">
        <v>0</v>
      </c>
      <c r="H55" s="50">
        <v>0</v>
      </c>
      <c r="I55" s="50">
        <v>2</v>
      </c>
      <c r="J55" s="50">
        <v>4</v>
      </c>
      <c r="K55" s="50">
        <v>3</v>
      </c>
      <c r="L55" s="50">
        <v>5</v>
      </c>
      <c r="M55" s="50">
        <v>57</v>
      </c>
      <c r="N55" s="50">
        <v>0</v>
      </c>
      <c r="O55" s="15">
        <f t="shared" si="0"/>
        <v>91</v>
      </c>
      <c r="P55" s="15">
        <f t="shared" si="1"/>
        <v>148</v>
      </c>
      <c r="R55" s="8"/>
      <c r="T55"/>
    </row>
    <row r="56" spans="2:20" ht="23.1" customHeight="1" x14ac:dyDescent="0.25">
      <c r="B56" s="45" t="s">
        <v>83</v>
      </c>
      <c r="C56" s="50">
        <v>41</v>
      </c>
      <c r="D56" s="50">
        <v>21</v>
      </c>
      <c r="E56" s="50">
        <v>12</v>
      </c>
      <c r="F56" s="50">
        <v>38</v>
      </c>
      <c r="G56" s="50">
        <v>1</v>
      </c>
      <c r="H56" s="50">
        <v>0</v>
      </c>
      <c r="I56" s="50">
        <v>3</v>
      </c>
      <c r="J56" s="50">
        <v>3</v>
      </c>
      <c r="K56" s="50">
        <v>0</v>
      </c>
      <c r="L56" s="50">
        <v>4</v>
      </c>
      <c r="M56" s="50">
        <v>63</v>
      </c>
      <c r="N56" s="50">
        <v>0</v>
      </c>
      <c r="O56" s="15">
        <f t="shared" si="0"/>
        <v>123</v>
      </c>
      <c r="P56" s="15">
        <f t="shared" si="1"/>
        <v>186</v>
      </c>
      <c r="R56" s="8"/>
      <c r="T56"/>
    </row>
    <row r="57" spans="2:20" ht="23.1" customHeight="1" x14ac:dyDescent="0.25">
      <c r="B57" s="45" t="s">
        <v>84</v>
      </c>
      <c r="C57" s="50">
        <v>41</v>
      </c>
      <c r="D57" s="50">
        <v>18</v>
      </c>
      <c r="E57" s="50">
        <v>19</v>
      </c>
      <c r="F57" s="50">
        <v>37</v>
      </c>
      <c r="G57" s="50">
        <v>2</v>
      </c>
      <c r="H57" s="50">
        <v>0</v>
      </c>
      <c r="I57" s="50">
        <v>6</v>
      </c>
      <c r="J57" s="50">
        <v>7</v>
      </c>
      <c r="K57" s="50">
        <v>5</v>
      </c>
      <c r="L57" s="50">
        <v>7</v>
      </c>
      <c r="M57" s="50">
        <v>51</v>
      </c>
      <c r="N57" s="50">
        <v>0</v>
      </c>
      <c r="O57" s="15">
        <f t="shared" si="0"/>
        <v>142</v>
      </c>
      <c r="P57" s="15">
        <f t="shared" si="1"/>
        <v>193</v>
      </c>
      <c r="R57" s="8"/>
      <c r="T57"/>
    </row>
    <row r="58" spans="2:20" ht="23.1" customHeight="1" x14ac:dyDescent="0.25">
      <c r="B58" s="45" t="s">
        <v>99</v>
      </c>
      <c r="C58" s="50">
        <v>55</v>
      </c>
      <c r="D58" s="50">
        <v>19</v>
      </c>
      <c r="E58" s="50">
        <v>19</v>
      </c>
      <c r="F58" s="50">
        <v>28</v>
      </c>
      <c r="G58" s="50">
        <v>0</v>
      </c>
      <c r="H58" s="50">
        <v>0</v>
      </c>
      <c r="I58" s="50">
        <v>2</v>
      </c>
      <c r="J58" s="50">
        <v>5</v>
      </c>
      <c r="K58" s="50">
        <v>6</v>
      </c>
      <c r="L58" s="50">
        <v>12</v>
      </c>
      <c r="M58" s="50">
        <v>41</v>
      </c>
      <c r="N58" s="50">
        <v>0</v>
      </c>
      <c r="O58" s="15">
        <f t="shared" ref="O58:O105" si="35">SUM(C58:L58,N58)</f>
        <v>146</v>
      </c>
      <c r="P58" s="15">
        <f t="shared" ref="P58:P105" si="36">SUM(C58:N58)</f>
        <v>187</v>
      </c>
      <c r="R58" s="8"/>
      <c r="T58"/>
    </row>
    <row r="59" spans="2:20" ht="23.1" customHeight="1" x14ac:dyDescent="0.25">
      <c r="B59" s="45" t="s">
        <v>100</v>
      </c>
      <c r="C59" s="50">
        <v>65</v>
      </c>
      <c r="D59" s="50">
        <v>43</v>
      </c>
      <c r="E59" s="50">
        <v>7</v>
      </c>
      <c r="F59" s="50">
        <v>34</v>
      </c>
      <c r="G59" s="50">
        <v>0</v>
      </c>
      <c r="H59" s="50">
        <v>1</v>
      </c>
      <c r="I59" s="50">
        <v>3</v>
      </c>
      <c r="J59" s="50">
        <v>2</v>
      </c>
      <c r="K59" s="50">
        <v>3</v>
      </c>
      <c r="L59" s="50">
        <v>6</v>
      </c>
      <c r="M59" s="50">
        <v>32</v>
      </c>
      <c r="N59" s="50">
        <v>0</v>
      </c>
      <c r="O59" s="15">
        <f t="shared" si="35"/>
        <v>164</v>
      </c>
      <c r="P59" s="15">
        <f t="shared" si="36"/>
        <v>196</v>
      </c>
      <c r="R59" s="8"/>
      <c r="T59"/>
    </row>
    <row r="60" spans="2:20" ht="23.1" customHeight="1" x14ac:dyDescent="0.25">
      <c r="B60" s="45" t="s">
        <v>101</v>
      </c>
      <c r="C60" s="50">
        <v>60</v>
      </c>
      <c r="D60" s="50">
        <v>25</v>
      </c>
      <c r="E60" s="50">
        <v>7</v>
      </c>
      <c r="F60" s="50">
        <v>30</v>
      </c>
      <c r="G60" s="50">
        <v>3</v>
      </c>
      <c r="H60" s="50">
        <v>0</v>
      </c>
      <c r="I60" s="50">
        <v>1</v>
      </c>
      <c r="J60" s="50">
        <v>4</v>
      </c>
      <c r="K60" s="50">
        <v>3</v>
      </c>
      <c r="L60" s="50">
        <v>11</v>
      </c>
      <c r="M60" s="50">
        <v>40</v>
      </c>
      <c r="N60" s="50">
        <v>0</v>
      </c>
      <c r="O60" s="15">
        <f t="shared" si="35"/>
        <v>144</v>
      </c>
      <c r="P60" s="15">
        <f t="shared" si="36"/>
        <v>184</v>
      </c>
      <c r="R60" s="8"/>
      <c r="T60"/>
    </row>
    <row r="61" spans="2:20" ht="23.1" customHeight="1" x14ac:dyDescent="0.25">
      <c r="B61" s="45" t="s">
        <v>102</v>
      </c>
      <c r="C61" s="50">
        <v>46</v>
      </c>
      <c r="D61" s="50">
        <v>36</v>
      </c>
      <c r="E61" s="50">
        <v>7</v>
      </c>
      <c r="F61" s="50">
        <v>29</v>
      </c>
      <c r="G61" s="50">
        <v>0</v>
      </c>
      <c r="H61" s="50">
        <v>0</v>
      </c>
      <c r="I61" s="50">
        <v>2</v>
      </c>
      <c r="J61" s="50">
        <v>3</v>
      </c>
      <c r="K61" s="50">
        <v>2</v>
      </c>
      <c r="L61" s="50">
        <v>3</v>
      </c>
      <c r="M61" s="50">
        <v>41</v>
      </c>
      <c r="N61" s="50">
        <v>0</v>
      </c>
      <c r="O61" s="15">
        <f t="shared" si="35"/>
        <v>128</v>
      </c>
      <c r="P61" s="15">
        <f t="shared" si="36"/>
        <v>169</v>
      </c>
      <c r="R61" s="8"/>
      <c r="T61"/>
    </row>
    <row r="62" spans="2:20" ht="23.1" customHeight="1" x14ac:dyDescent="0.25">
      <c r="B62" s="45" t="s">
        <v>107</v>
      </c>
      <c r="C62" s="50">
        <v>42</v>
      </c>
      <c r="D62" s="50">
        <v>21</v>
      </c>
      <c r="E62" s="50">
        <v>12</v>
      </c>
      <c r="F62" s="50">
        <v>32</v>
      </c>
      <c r="G62" s="50">
        <v>0</v>
      </c>
      <c r="H62" s="50">
        <v>2</v>
      </c>
      <c r="I62" s="50">
        <v>1</v>
      </c>
      <c r="J62" s="50">
        <v>4</v>
      </c>
      <c r="K62" s="50">
        <v>2</v>
      </c>
      <c r="L62" s="50">
        <v>9</v>
      </c>
      <c r="M62" s="50">
        <v>46</v>
      </c>
      <c r="N62" s="50">
        <v>0</v>
      </c>
      <c r="O62" s="15">
        <f t="shared" si="35"/>
        <v>125</v>
      </c>
      <c r="P62" s="15">
        <f t="shared" si="36"/>
        <v>171</v>
      </c>
      <c r="R62" s="8"/>
      <c r="T62"/>
    </row>
    <row r="63" spans="2:20" ht="23.1" customHeight="1" x14ac:dyDescent="0.25">
      <c r="B63" s="45" t="s">
        <v>108</v>
      </c>
      <c r="C63" s="50">
        <v>36</v>
      </c>
      <c r="D63" s="50">
        <v>18</v>
      </c>
      <c r="E63" s="50">
        <v>8</v>
      </c>
      <c r="F63" s="50">
        <v>29</v>
      </c>
      <c r="G63" s="50">
        <v>1</v>
      </c>
      <c r="H63" s="50">
        <v>0</v>
      </c>
      <c r="I63" s="50">
        <v>2</v>
      </c>
      <c r="J63" s="50">
        <v>3</v>
      </c>
      <c r="K63" s="50">
        <v>4</v>
      </c>
      <c r="L63" s="50">
        <v>4</v>
      </c>
      <c r="M63" s="50">
        <v>47</v>
      </c>
      <c r="N63" s="50">
        <v>0</v>
      </c>
      <c r="O63" s="15">
        <f t="shared" si="35"/>
        <v>105</v>
      </c>
      <c r="P63" s="15">
        <f t="shared" si="36"/>
        <v>152</v>
      </c>
      <c r="R63" s="8"/>
      <c r="T63"/>
    </row>
    <row r="64" spans="2:20" ht="23.1" customHeight="1" x14ac:dyDescent="0.25">
      <c r="B64" s="45" t="s">
        <v>109</v>
      </c>
      <c r="C64" s="50">
        <v>35</v>
      </c>
      <c r="D64" s="50">
        <v>21</v>
      </c>
      <c r="E64" s="50">
        <v>3</v>
      </c>
      <c r="F64" s="50">
        <v>24</v>
      </c>
      <c r="G64" s="50">
        <v>2</v>
      </c>
      <c r="H64" s="50">
        <v>0</v>
      </c>
      <c r="I64" s="50">
        <v>3</v>
      </c>
      <c r="J64" s="50">
        <v>4</v>
      </c>
      <c r="K64" s="50">
        <v>5</v>
      </c>
      <c r="L64" s="50">
        <v>3</v>
      </c>
      <c r="M64" s="50">
        <v>32</v>
      </c>
      <c r="N64" s="50">
        <v>0</v>
      </c>
      <c r="O64" s="15">
        <f t="shared" si="35"/>
        <v>100</v>
      </c>
      <c r="P64" s="15">
        <f t="shared" si="36"/>
        <v>132</v>
      </c>
      <c r="R64" s="8"/>
      <c r="T64"/>
    </row>
    <row r="65" spans="2:20" ht="23.1" customHeight="1" x14ac:dyDescent="0.25">
      <c r="B65" s="45" t="s">
        <v>158</v>
      </c>
      <c r="C65" s="50">
        <v>41</v>
      </c>
      <c r="D65" s="50">
        <v>4</v>
      </c>
      <c r="E65" s="50">
        <v>0</v>
      </c>
      <c r="F65" s="50">
        <v>17</v>
      </c>
      <c r="G65" s="50">
        <v>0</v>
      </c>
      <c r="H65" s="50">
        <v>1</v>
      </c>
      <c r="I65" s="50">
        <v>0</v>
      </c>
      <c r="J65" s="50">
        <v>4</v>
      </c>
      <c r="K65" s="50">
        <v>1</v>
      </c>
      <c r="L65" s="50">
        <v>6</v>
      </c>
      <c r="M65" s="50">
        <v>11</v>
      </c>
      <c r="N65" s="50">
        <v>0</v>
      </c>
      <c r="O65" s="15">
        <f t="shared" si="35"/>
        <v>74</v>
      </c>
      <c r="P65" s="15">
        <f t="shared" si="36"/>
        <v>85</v>
      </c>
      <c r="R65" s="8"/>
      <c r="T65"/>
    </row>
    <row r="66" spans="2:20" ht="23.1" customHeight="1" x14ac:dyDescent="0.25">
      <c r="B66" s="45" t="s">
        <v>103</v>
      </c>
      <c r="C66" s="50">
        <v>44</v>
      </c>
      <c r="D66" s="50">
        <v>15</v>
      </c>
      <c r="E66" s="50">
        <v>8</v>
      </c>
      <c r="F66" s="50">
        <v>25</v>
      </c>
      <c r="G66" s="50">
        <v>1</v>
      </c>
      <c r="H66" s="50">
        <v>1</v>
      </c>
      <c r="I66" s="50">
        <v>2</v>
      </c>
      <c r="J66" s="50">
        <v>4</v>
      </c>
      <c r="K66" s="50">
        <v>2</v>
      </c>
      <c r="L66" s="50">
        <v>3</v>
      </c>
      <c r="M66" s="50">
        <v>15</v>
      </c>
      <c r="N66" s="50">
        <v>0</v>
      </c>
      <c r="O66" s="15">
        <f t="shared" si="35"/>
        <v>105</v>
      </c>
      <c r="P66" s="15">
        <f t="shared" si="36"/>
        <v>120</v>
      </c>
      <c r="R66" s="8"/>
      <c r="T66"/>
    </row>
    <row r="67" spans="2:20" ht="23.1" customHeight="1" x14ac:dyDescent="0.25">
      <c r="B67" s="45" t="s">
        <v>104</v>
      </c>
      <c r="C67" s="50">
        <v>49</v>
      </c>
      <c r="D67" s="50">
        <v>6</v>
      </c>
      <c r="E67" s="50">
        <v>5</v>
      </c>
      <c r="F67" s="50">
        <v>17</v>
      </c>
      <c r="G67" s="50">
        <v>0</v>
      </c>
      <c r="H67" s="50">
        <v>1</v>
      </c>
      <c r="I67" s="50">
        <v>1</v>
      </c>
      <c r="J67" s="50">
        <v>1</v>
      </c>
      <c r="K67" s="50">
        <v>0</v>
      </c>
      <c r="L67" s="50">
        <v>2</v>
      </c>
      <c r="M67" s="50">
        <v>22</v>
      </c>
      <c r="N67" s="50">
        <v>0</v>
      </c>
      <c r="O67" s="15">
        <f t="shared" si="35"/>
        <v>82</v>
      </c>
      <c r="P67" s="15">
        <f t="shared" si="36"/>
        <v>104</v>
      </c>
      <c r="R67" s="8"/>
      <c r="T67"/>
    </row>
    <row r="68" spans="2:20" ht="23.1" customHeight="1" x14ac:dyDescent="0.25">
      <c r="B68" s="45" t="s">
        <v>105</v>
      </c>
      <c r="C68" s="50">
        <v>29</v>
      </c>
      <c r="D68" s="50">
        <v>5</v>
      </c>
      <c r="E68" s="50">
        <v>7</v>
      </c>
      <c r="F68" s="50">
        <v>15</v>
      </c>
      <c r="G68" s="50">
        <v>0</v>
      </c>
      <c r="H68" s="50">
        <v>0</v>
      </c>
      <c r="I68" s="50">
        <v>3</v>
      </c>
      <c r="J68" s="50">
        <v>2</v>
      </c>
      <c r="K68" s="50">
        <v>2</v>
      </c>
      <c r="L68" s="50">
        <v>11</v>
      </c>
      <c r="M68" s="50">
        <v>28</v>
      </c>
      <c r="N68" s="50">
        <v>0</v>
      </c>
      <c r="O68" s="15">
        <f t="shared" si="35"/>
        <v>74</v>
      </c>
      <c r="P68" s="15">
        <f t="shared" si="36"/>
        <v>102</v>
      </c>
      <c r="R68" s="8"/>
      <c r="T68"/>
    </row>
    <row r="69" spans="2:20" ht="23.1" customHeight="1" x14ac:dyDescent="0.25">
      <c r="B69" s="45" t="s">
        <v>106</v>
      </c>
      <c r="C69" s="50">
        <v>17</v>
      </c>
      <c r="D69" s="50">
        <v>5</v>
      </c>
      <c r="E69" s="50">
        <v>7</v>
      </c>
      <c r="F69" s="50">
        <v>18</v>
      </c>
      <c r="G69" s="50">
        <v>1</v>
      </c>
      <c r="H69" s="50">
        <v>0</v>
      </c>
      <c r="I69" s="50">
        <v>6</v>
      </c>
      <c r="J69" s="50">
        <v>3</v>
      </c>
      <c r="K69" s="50">
        <v>2</v>
      </c>
      <c r="L69" s="50">
        <v>4</v>
      </c>
      <c r="M69" s="50">
        <v>17</v>
      </c>
      <c r="N69" s="50">
        <v>0</v>
      </c>
      <c r="O69" s="15">
        <f t="shared" si="35"/>
        <v>63</v>
      </c>
      <c r="P69" s="15">
        <f t="shared" si="36"/>
        <v>80</v>
      </c>
      <c r="R69" s="8"/>
      <c r="T69"/>
    </row>
    <row r="70" spans="2:20" ht="23.1" customHeight="1" x14ac:dyDescent="0.25">
      <c r="B70" s="45" t="s">
        <v>110</v>
      </c>
      <c r="C70" s="50">
        <v>16</v>
      </c>
      <c r="D70" s="50">
        <v>1</v>
      </c>
      <c r="E70" s="50">
        <v>0</v>
      </c>
      <c r="F70" s="50">
        <v>12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8</v>
      </c>
      <c r="M70" s="50">
        <v>18</v>
      </c>
      <c r="N70" s="50">
        <v>0</v>
      </c>
      <c r="O70" s="15">
        <f t="shared" si="35"/>
        <v>38</v>
      </c>
      <c r="P70" s="15">
        <f t="shared" si="36"/>
        <v>56</v>
      </c>
      <c r="R70" s="8"/>
      <c r="T70"/>
    </row>
    <row r="71" spans="2:20" ht="23.1" customHeight="1" x14ac:dyDescent="0.25">
      <c r="B71" s="45" t="s">
        <v>111</v>
      </c>
      <c r="C71" s="50">
        <v>11</v>
      </c>
      <c r="D71" s="50">
        <v>2</v>
      </c>
      <c r="E71" s="50">
        <v>3</v>
      </c>
      <c r="F71" s="50">
        <v>7</v>
      </c>
      <c r="G71" s="50">
        <v>0</v>
      </c>
      <c r="H71" s="50">
        <v>0</v>
      </c>
      <c r="I71" s="50">
        <v>2</v>
      </c>
      <c r="J71" s="50">
        <v>1</v>
      </c>
      <c r="K71" s="50">
        <v>1</v>
      </c>
      <c r="L71" s="50">
        <v>0</v>
      </c>
      <c r="M71" s="50">
        <v>11</v>
      </c>
      <c r="N71" s="50">
        <v>0</v>
      </c>
      <c r="O71" s="15">
        <f t="shared" si="35"/>
        <v>27</v>
      </c>
      <c r="P71" s="15">
        <f t="shared" si="36"/>
        <v>38</v>
      </c>
      <c r="R71" s="8"/>
      <c r="T71"/>
    </row>
    <row r="72" spans="2:20" ht="23.1" customHeight="1" x14ac:dyDescent="0.25">
      <c r="B72" s="45" t="s">
        <v>112</v>
      </c>
      <c r="C72" s="50">
        <v>19</v>
      </c>
      <c r="D72" s="50">
        <v>3</v>
      </c>
      <c r="E72" s="50">
        <v>2</v>
      </c>
      <c r="F72" s="50">
        <v>13</v>
      </c>
      <c r="G72" s="50">
        <v>0</v>
      </c>
      <c r="H72" s="50">
        <v>0</v>
      </c>
      <c r="I72" s="50">
        <v>2</v>
      </c>
      <c r="J72" s="50">
        <v>2</v>
      </c>
      <c r="K72" s="50">
        <v>0</v>
      </c>
      <c r="L72" s="50">
        <v>4</v>
      </c>
      <c r="M72" s="50">
        <v>10</v>
      </c>
      <c r="N72" s="50">
        <v>0</v>
      </c>
      <c r="O72" s="15">
        <f t="shared" si="35"/>
        <v>45</v>
      </c>
      <c r="P72" s="15">
        <f t="shared" si="36"/>
        <v>55</v>
      </c>
      <c r="R72" s="8"/>
      <c r="T72"/>
    </row>
    <row r="73" spans="2:20" ht="23.1" customHeight="1" x14ac:dyDescent="0.25">
      <c r="B73" s="45" t="s">
        <v>113</v>
      </c>
      <c r="C73" s="50">
        <v>14</v>
      </c>
      <c r="D73" s="50">
        <v>9</v>
      </c>
      <c r="E73" s="50">
        <v>1</v>
      </c>
      <c r="F73" s="50">
        <v>11</v>
      </c>
      <c r="G73" s="50">
        <v>0</v>
      </c>
      <c r="H73" s="50">
        <v>0</v>
      </c>
      <c r="I73" s="50">
        <v>2</v>
      </c>
      <c r="J73" s="50">
        <v>0</v>
      </c>
      <c r="K73" s="50">
        <v>1</v>
      </c>
      <c r="L73" s="50">
        <v>5</v>
      </c>
      <c r="M73" s="50">
        <v>15</v>
      </c>
      <c r="N73" s="50">
        <v>0</v>
      </c>
      <c r="O73" s="15">
        <f t="shared" si="35"/>
        <v>43</v>
      </c>
      <c r="P73" s="15">
        <f t="shared" si="36"/>
        <v>58</v>
      </c>
      <c r="R73" s="8"/>
      <c r="T73"/>
    </row>
    <row r="74" spans="2:20" ht="23.1" customHeight="1" x14ac:dyDescent="0.25">
      <c r="B74" s="45" t="s">
        <v>114</v>
      </c>
      <c r="C74" s="50">
        <v>7</v>
      </c>
      <c r="D74" s="50">
        <v>1</v>
      </c>
      <c r="E74" s="50">
        <v>0</v>
      </c>
      <c r="F74" s="50">
        <v>6</v>
      </c>
      <c r="G74" s="50">
        <v>0</v>
      </c>
      <c r="H74" s="50">
        <v>0</v>
      </c>
      <c r="I74" s="50">
        <v>1</v>
      </c>
      <c r="J74" s="50">
        <v>4</v>
      </c>
      <c r="K74" s="50">
        <v>1</v>
      </c>
      <c r="L74" s="50">
        <v>3</v>
      </c>
      <c r="M74" s="50">
        <v>8</v>
      </c>
      <c r="N74" s="50">
        <v>0</v>
      </c>
      <c r="O74" s="15">
        <f t="shared" si="35"/>
        <v>23</v>
      </c>
      <c r="P74" s="15">
        <f t="shared" si="36"/>
        <v>31</v>
      </c>
      <c r="R74" s="8"/>
      <c r="T74"/>
    </row>
    <row r="75" spans="2:20" ht="23.1" customHeight="1" x14ac:dyDescent="0.25">
      <c r="B75" s="45" t="s">
        <v>115</v>
      </c>
      <c r="C75" s="50">
        <v>13</v>
      </c>
      <c r="D75" s="50">
        <v>5</v>
      </c>
      <c r="E75" s="50">
        <v>3</v>
      </c>
      <c r="F75" s="50">
        <v>8</v>
      </c>
      <c r="G75" s="50">
        <v>0</v>
      </c>
      <c r="H75" s="50">
        <v>0</v>
      </c>
      <c r="I75" s="50">
        <v>1</v>
      </c>
      <c r="J75" s="50">
        <v>4</v>
      </c>
      <c r="K75" s="50">
        <v>5</v>
      </c>
      <c r="L75" s="50">
        <v>8</v>
      </c>
      <c r="M75" s="50">
        <v>13</v>
      </c>
      <c r="N75" s="50">
        <v>0</v>
      </c>
      <c r="O75" s="15">
        <f t="shared" si="35"/>
        <v>47</v>
      </c>
      <c r="P75" s="15">
        <f t="shared" si="36"/>
        <v>60</v>
      </c>
      <c r="R75" s="8"/>
      <c r="T75"/>
    </row>
    <row r="76" spans="2:20" ht="23.1" customHeight="1" x14ac:dyDescent="0.25">
      <c r="B76" s="45" t="s">
        <v>116</v>
      </c>
      <c r="C76" s="50">
        <v>7</v>
      </c>
      <c r="D76" s="50">
        <v>4</v>
      </c>
      <c r="E76" s="50">
        <v>2</v>
      </c>
      <c r="F76" s="50">
        <v>5</v>
      </c>
      <c r="G76" s="50">
        <v>0</v>
      </c>
      <c r="H76" s="50">
        <v>0</v>
      </c>
      <c r="I76" s="50">
        <v>3</v>
      </c>
      <c r="J76" s="50">
        <v>3</v>
      </c>
      <c r="K76" s="50">
        <v>3</v>
      </c>
      <c r="L76" s="50">
        <v>1</v>
      </c>
      <c r="M76" s="50">
        <v>9</v>
      </c>
      <c r="N76" s="50">
        <v>0</v>
      </c>
      <c r="O76" s="15">
        <f t="shared" si="35"/>
        <v>28</v>
      </c>
      <c r="P76" s="15">
        <f t="shared" si="36"/>
        <v>37</v>
      </c>
      <c r="R76" s="8"/>
      <c r="T76"/>
    </row>
    <row r="77" spans="2:20" ht="23.1" customHeight="1" x14ac:dyDescent="0.25">
      <c r="B77" s="45" t="s">
        <v>117</v>
      </c>
      <c r="C77" s="50">
        <v>10</v>
      </c>
      <c r="D77" s="50">
        <v>3</v>
      </c>
      <c r="E77" s="50">
        <v>1</v>
      </c>
      <c r="F77" s="50">
        <v>2</v>
      </c>
      <c r="G77" s="50">
        <v>0</v>
      </c>
      <c r="H77" s="50">
        <v>0</v>
      </c>
      <c r="I77" s="50">
        <v>1</v>
      </c>
      <c r="J77" s="50">
        <v>0</v>
      </c>
      <c r="K77" s="50">
        <v>2</v>
      </c>
      <c r="L77" s="50">
        <v>1</v>
      </c>
      <c r="M77" s="50">
        <v>6</v>
      </c>
      <c r="N77" s="50">
        <v>1</v>
      </c>
      <c r="O77" s="15">
        <f t="shared" si="35"/>
        <v>21</v>
      </c>
      <c r="P77" s="15">
        <f t="shared" si="36"/>
        <v>27</v>
      </c>
      <c r="R77" s="8"/>
      <c r="T77"/>
    </row>
    <row r="78" spans="2:20" ht="23.1" customHeight="1" x14ac:dyDescent="0.25">
      <c r="B78" s="46" t="s">
        <v>118</v>
      </c>
      <c r="C78" s="50">
        <v>7</v>
      </c>
      <c r="D78" s="50">
        <v>1</v>
      </c>
      <c r="E78" s="50">
        <v>2</v>
      </c>
      <c r="F78" s="50">
        <v>3</v>
      </c>
      <c r="G78" s="50">
        <v>0</v>
      </c>
      <c r="H78" s="50">
        <v>0</v>
      </c>
      <c r="I78" s="50">
        <v>2</v>
      </c>
      <c r="J78" s="50">
        <v>3</v>
      </c>
      <c r="K78" s="50">
        <v>1</v>
      </c>
      <c r="L78" s="50">
        <v>1</v>
      </c>
      <c r="M78" s="50">
        <v>3</v>
      </c>
      <c r="N78" s="50">
        <v>0</v>
      </c>
      <c r="O78" s="15">
        <f t="shared" si="35"/>
        <v>20</v>
      </c>
      <c r="P78" s="15">
        <f t="shared" si="36"/>
        <v>23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5</v>
      </c>
      <c r="E79" s="50">
        <v>2</v>
      </c>
      <c r="F79" s="50">
        <v>3</v>
      </c>
      <c r="G79" s="50">
        <v>0</v>
      </c>
      <c r="H79" s="50">
        <v>0</v>
      </c>
      <c r="I79" s="50">
        <v>2</v>
      </c>
      <c r="J79" s="50">
        <v>4</v>
      </c>
      <c r="K79" s="50">
        <v>3</v>
      </c>
      <c r="L79" s="50">
        <v>5</v>
      </c>
      <c r="M79" s="50">
        <v>5</v>
      </c>
      <c r="N79" s="50">
        <v>0</v>
      </c>
      <c r="O79" s="15">
        <f t="shared" si="35"/>
        <v>29</v>
      </c>
      <c r="P79" s="15">
        <f t="shared" si="36"/>
        <v>34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4</v>
      </c>
      <c r="E80" s="50">
        <v>3</v>
      </c>
      <c r="F80" s="50">
        <v>1</v>
      </c>
      <c r="G80" s="50">
        <v>0</v>
      </c>
      <c r="H80" s="50">
        <v>0</v>
      </c>
      <c r="I80" s="50">
        <v>1</v>
      </c>
      <c r="J80" s="50">
        <v>1</v>
      </c>
      <c r="K80" s="50">
        <v>3</v>
      </c>
      <c r="L80" s="50">
        <v>3</v>
      </c>
      <c r="M80" s="50">
        <v>3</v>
      </c>
      <c r="N80" s="50">
        <v>0</v>
      </c>
      <c r="O80" s="15">
        <f t="shared" si="35"/>
        <v>20</v>
      </c>
      <c r="P80" s="15">
        <f t="shared" si="36"/>
        <v>23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6</v>
      </c>
      <c r="E81" s="50">
        <v>2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2</v>
      </c>
      <c r="M81" s="50">
        <v>0</v>
      </c>
      <c r="N81" s="50">
        <v>0</v>
      </c>
      <c r="O81" s="15">
        <f t="shared" si="35"/>
        <v>17</v>
      </c>
      <c r="P81" s="15">
        <f t="shared" si="36"/>
        <v>17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2</v>
      </c>
      <c r="L82" s="50">
        <v>0</v>
      </c>
      <c r="M82" s="50">
        <v>2</v>
      </c>
      <c r="N82" s="50">
        <v>0</v>
      </c>
      <c r="O82" s="15">
        <f t="shared" si="35"/>
        <v>6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3</v>
      </c>
      <c r="E83" s="50">
        <v>1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4</v>
      </c>
      <c r="L83" s="50">
        <v>5</v>
      </c>
      <c r="M83" s="50">
        <v>3</v>
      </c>
      <c r="N83" s="50">
        <v>0</v>
      </c>
      <c r="O83" s="15">
        <f t="shared" si="35"/>
        <v>15</v>
      </c>
      <c r="P83" s="15">
        <f t="shared" si="36"/>
        <v>18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2</v>
      </c>
      <c r="E84" s="50">
        <v>1</v>
      </c>
      <c r="F84" s="50">
        <v>1</v>
      </c>
      <c r="G84" s="50">
        <v>0</v>
      </c>
      <c r="H84" s="50">
        <v>0</v>
      </c>
      <c r="I84" s="50">
        <v>2</v>
      </c>
      <c r="J84" s="50">
        <v>3</v>
      </c>
      <c r="K84" s="50">
        <v>3</v>
      </c>
      <c r="L84" s="50">
        <v>5</v>
      </c>
      <c r="M84" s="50">
        <v>4</v>
      </c>
      <c r="N84" s="50">
        <v>0</v>
      </c>
      <c r="O84" s="15">
        <f t="shared" si="35"/>
        <v>19</v>
      </c>
      <c r="P84" s="15">
        <f t="shared" si="36"/>
        <v>23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1</v>
      </c>
      <c r="N85" s="50">
        <v>0</v>
      </c>
      <c r="O85" s="15">
        <f t="shared" si="35"/>
        <v>3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3</v>
      </c>
      <c r="L87" s="50">
        <v>0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3</v>
      </c>
      <c r="K88" s="50">
        <v>6</v>
      </c>
      <c r="L88" s="50">
        <v>4</v>
      </c>
      <c r="M88" s="50">
        <v>3</v>
      </c>
      <c r="N88" s="50">
        <v>0</v>
      </c>
      <c r="O88" s="15">
        <f t="shared" si="35"/>
        <v>15</v>
      </c>
      <c r="P88" s="15">
        <f t="shared" si="36"/>
        <v>18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4</v>
      </c>
      <c r="K89" s="50">
        <v>3</v>
      </c>
      <c r="L89" s="50">
        <v>1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7</v>
      </c>
      <c r="K90" s="50">
        <v>0</v>
      </c>
      <c r="L90" s="50">
        <v>1</v>
      </c>
      <c r="M90" s="50">
        <v>0</v>
      </c>
      <c r="N90" s="50">
        <v>0</v>
      </c>
      <c r="O90" s="15">
        <f t="shared" si="35"/>
        <v>10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9</v>
      </c>
      <c r="K91" s="50">
        <v>1</v>
      </c>
      <c r="L91" s="50">
        <v>3</v>
      </c>
      <c r="M91" s="50">
        <v>1</v>
      </c>
      <c r="N91" s="50">
        <v>0</v>
      </c>
      <c r="O91" s="15">
        <f t="shared" si="35"/>
        <v>15</v>
      </c>
      <c r="P91" s="15">
        <f t="shared" si="36"/>
        <v>16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3</v>
      </c>
      <c r="K92" s="50">
        <v>1</v>
      </c>
      <c r="L92" s="50">
        <v>2</v>
      </c>
      <c r="M92" s="50">
        <v>1</v>
      </c>
      <c r="N92" s="50">
        <v>0</v>
      </c>
      <c r="O92" s="15">
        <f t="shared" si="35"/>
        <v>9</v>
      </c>
      <c r="P92" s="15">
        <f t="shared" si="36"/>
        <v>10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4</v>
      </c>
      <c r="K93" s="50">
        <v>1</v>
      </c>
      <c r="L93" s="50">
        <v>1</v>
      </c>
      <c r="M93" s="50">
        <v>1</v>
      </c>
      <c r="N93" s="50">
        <v>0</v>
      </c>
      <c r="O93" s="15">
        <f t="shared" si="35"/>
        <v>8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6</v>
      </c>
      <c r="K94" s="50">
        <v>3</v>
      </c>
      <c r="L94" s="50">
        <v>3</v>
      </c>
      <c r="M94" s="50">
        <v>0</v>
      </c>
      <c r="N94" s="50">
        <v>0</v>
      </c>
      <c r="O94" s="15">
        <f t="shared" si="35"/>
        <v>13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3</v>
      </c>
      <c r="L95" s="50">
        <v>3</v>
      </c>
      <c r="M95" s="50">
        <v>1</v>
      </c>
      <c r="N95" s="50">
        <v>0</v>
      </c>
      <c r="O95" s="15">
        <f t="shared" si="35"/>
        <v>10</v>
      </c>
      <c r="P95" s="15">
        <f t="shared" si="36"/>
        <v>11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3</v>
      </c>
      <c r="K96" s="50">
        <v>1</v>
      </c>
      <c r="L96" s="50">
        <v>2</v>
      </c>
      <c r="M96" s="50">
        <v>1</v>
      </c>
      <c r="N96" s="50">
        <v>0</v>
      </c>
      <c r="O96" s="15">
        <f t="shared" si="35"/>
        <v>7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2</v>
      </c>
      <c r="M97" s="50">
        <v>0</v>
      </c>
      <c r="N97" s="50">
        <v>0</v>
      </c>
      <c r="O97" s="15">
        <f t="shared" si="35"/>
        <v>11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1</v>
      </c>
      <c r="F98" s="50">
        <v>3</v>
      </c>
      <c r="G98" s="50">
        <v>0</v>
      </c>
      <c r="H98" s="50">
        <v>0</v>
      </c>
      <c r="I98" s="50">
        <v>1</v>
      </c>
      <c r="J98" s="50">
        <v>5</v>
      </c>
      <c r="K98" s="50">
        <v>1</v>
      </c>
      <c r="L98" s="50">
        <v>6</v>
      </c>
      <c r="M98" s="50">
        <v>1</v>
      </c>
      <c r="N98" s="50">
        <v>0</v>
      </c>
      <c r="O98" s="15">
        <f t="shared" si="35"/>
        <v>19</v>
      </c>
      <c r="P98" s="15">
        <f t="shared" si="36"/>
        <v>20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1</v>
      </c>
      <c r="E99" s="50">
        <v>0</v>
      </c>
      <c r="F99" s="50">
        <v>1</v>
      </c>
      <c r="G99" s="50">
        <v>2</v>
      </c>
      <c r="H99" s="50">
        <v>0</v>
      </c>
      <c r="I99" s="50">
        <v>0</v>
      </c>
      <c r="J99" s="50">
        <v>3</v>
      </c>
      <c r="K99" s="50">
        <v>0</v>
      </c>
      <c r="L99" s="50">
        <v>4</v>
      </c>
      <c r="M99" s="50">
        <v>2</v>
      </c>
      <c r="N99" s="50">
        <v>0</v>
      </c>
      <c r="O99" s="15">
        <f t="shared" si="35"/>
        <v>13</v>
      </c>
      <c r="P99" s="15">
        <f t="shared" si="36"/>
        <v>15</v>
      </c>
      <c r="R99" s="8"/>
      <c r="T99"/>
    </row>
    <row r="100" spans="2:20" ht="23.1" customHeight="1" x14ac:dyDescent="0.25">
      <c r="B100" s="47" t="s">
        <v>140</v>
      </c>
      <c r="C100" s="50">
        <v>7</v>
      </c>
      <c r="D100" s="50">
        <v>5</v>
      </c>
      <c r="E100" s="50">
        <v>1</v>
      </c>
      <c r="F100" s="50">
        <v>11</v>
      </c>
      <c r="G100" s="50">
        <v>0</v>
      </c>
      <c r="H100" s="50">
        <v>0</v>
      </c>
      <c r="I100" s="50">
        <v>0</v>
      </c>
      <c r="J100" s="50">
        <v>2</v>
      </c>
      <c r="K100" s="50">
        <v>2</v>
      </c>
      <c r="L100" s="50">
        <v>3</v>
      </c>
      <c r="M100" s="50">
        <v>5</v>
      </c>
      <c r="N100" s="50">
        <v>0</v>
      </c>
      <c r="O100" s="15">
        <f t="shared" si="35"/>
        <v>31</v>
      </c>
      <c r="P100" s="15">
        <f t="shared" si="36"/>
        <v>36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3</v>
      </c>
      <c r="E101" s="50">
        <v>0</v>
      </c>
      <c r="F101" s="50">
        <v>2</v>
      </c>
      <c r="G101" s="50">
        <v>2</v>
      </c>
      <c r="H101" s="50">
        <v>0</v>
      </c>
      <c r="I101" s="50">
        <v>0</v>
      </c>
      <c r="J101" s="50">
        <v>0</v>
      </c>
      <c r="K101" s="50">
        <v>4</v>
      </c>
      <c r="L101" s="50">
        <v>1</v>
      </c>
      <c r="M101" s="50">
        <v>2</v>
      </c>
      <c r="N101" s="50">
        <v>0</v>
      </c>
      <c r="O101" s="15">
        <f t="shared" si="35"/>
        <v>16</v>
      </c>
      <c r="P101" s="15">
        <f t="shared" si="36"/>
        <v>18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2</v>
      </c>
      <c r="E102" s="50">
        <v>1</v>
      </c>
      <c r="F102" s="50">
        <v>7</v>
      </c>
      <c r="G102" s="50">
        <v>0</v>
      </c>
      <c r="H102" s="50">
        <v>0</v>
      </c>
      <c r="I102" s="50">
        <v>2</v>
      </c>
      <c r="J102" s="50">
        <v>4</v>
      </c>
      <c r="K102" s="50">
        <v>3</v>
      </c>
      <c r="L102" s="50">
        <v>2</v>
      </c>
      <c r="M102" s="50">
        <v>4</v>
      </c>
      <c r="N102" s="50">
        <v>0</v>
      </c>
      <c r="O102" s="15">
        <f t="shared" si="35"/>
        <v>26</v>
      </c>
      <c r="P102" s="15">
        <f t="shared" si="36"/>
        <v>30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6</v>
      </c>
      <c r="E103" s="50">
        <v>3</v>
      </c>
      <c r="F103" s="50">
        <v>15</v>
      </c>
      <c r="G103" s="50">
        <v>2</v>
      </c>
      <c r="H103" s="50">
        <v>0</v>
      </c>
      <c r="I103" s="50">
        <v>2</v>
      </c>
      <c r="J103" s="50">
        <v>10</v>
      </c>
      <c r="K103" s="50">
        <v>1</v>
      </c>
      <c r="L103" s="50">
        <v>2</v>
      </c>
      <c r="M103" s="50">
        <v>5</v>
      </c>
      <c r="N103" s="50">
        <v>0</v>
      </c>
      <c r="O103" s="15">
        <f t="shared" si="35"/>
        <v>49</v>
      </c>
      <c r="P103" s="15">
        <f t="shared" si="36"/>
        <v>54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7</v>
      </c>
      <c r="E104" s="50">
        <v>5</v>
      </c>
      <c r="F104" s="50">
        <v>10</v>
      </c>
      <c r="G104" s="50">
        <v>2</v>
      </c>
      <c r="H104" s="50">
        <v>0</v>
      </c>
      <c r="I104" s="50">
        <v>2</v>
      </c>
      <c r="J104" s="50">
        <v>3</v>
      </c>
      <c r="K104" s="50">
        <v>3</v>
      </c>
      <c r="L104" s="50">
        <v>6</v>
      </c>
      <c r="M104" s="50">
        <v>9</v>
      </c>
      <c r="N104" s="50">
        <v>0</v>
      </c>
      <c r="O104" s="15">
        <f t="shared" si="35"/>
        <v>44</v>
      </c>
      <c r="P104" s="15">
        <f t="shared" si="36"/>
        <v>53</v>
      </c>
      <c r="R104" s="8"/>
      <c r="T104"/>
    </row>
    <row r="105" spans="2:20" ht="23.1" customHeight="1" x14ac:dyDescent="0.25">
      <c r="B105" s="45" t="s">
        <v>145</v>
      </c>
      <c r="C105" s="50">
        <v>20</v>
      </c>
      <c r="D105" s="50">
        <v>10</v>
      </c>
      <c r="E105" s="50">
        <v>6</v>
      </c>
      <c r="F105" s="50">
        <v>26</v>
      </c>
      <c r="G105" s="50">
        <v>1</v>
      </c>
      <c r="H105" s="50">
        <v>0</v>
      </c>
      <c r="I105" s="50">
        <v>1</v>
      </c>
      <c r="J105" s="50">
        <v>6</v>
      </c>
      <c r="K105" s="50">
        <v>3</v>
      </c>
      <c r="L105" s="50">
        <v>0</v>
      </c>
      <c r="M105" s="50">
        <v>10</v>
      </c>
      <c r="N105" s="50">
        <v>0</v>
      </c>
      <c r="O105" s="15">
        <f t="shared" si="35"/>
        <v>73</v>
      </c>
      <c r="P105" s="15">
        <f t="shared" si="36"/>
        <v>83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1725</v>
      </c>
      <c r="D106" s="16">
        <f t="shared" ref="D106:P106" si="37">SUM(D10:D105)</f>
        <v>812</v>
      </c>
      <c r="E106" s="16">
        <f t="shared" si="37"/>
        <v>364</v>
      </c>
      <c r="F106" s="16">
        <f t="shared" si="37"/>
        <v>1608</v>
      </c>
      <c r="G106" s="16">
        <f t="shared" si="37"/>
        <v>31</v>
      </c>
      <c r="H106" s="16">
        <f t="shared" si="37"/>
        <v>14</v>
      </c>
      <c r="I106" s="16">
        <f t="shared" si="37"/>
        <v>276</v>
      </c>
      <c r="J106" s="16">
        <f t="shared" si="37"/>
        <v>372</v>
      </c>
      <c r="K106" s="16">
        <f t="shared" si="37"/>
        <v>259</v>
      </c>
      <c r="L106" s="16">
        <f t="shared" si="37"/>
        <v>443</v>
      </c>
      <c r="M106" s="16">
        <f t="shared" si="37"/>
        <v>2376</v>
      </c>
      <c r="N106" s="16">
        <f t="shared" si="37"/>
        <v>1</v>
      </c>
      <c r="O106" s="16">
        <f t="shared" si="37"/>
        <v>5905</v>
      </c>
      <c r="P106" s="16">
        <f t="shared" si="37"/>
        <v>8281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0.20830817534114238</v>
      </c>
      <c r="D107" s="43">
        <f t="shared" si="38"/>
        <v>9.8055790363482664E-2</v>
      </c>
      <c r="E107" s="43">
        <f t="shared" si="38"/>
        <v>4.3956043956043959E-2</v>
      </c>
      <c r="F107" s="43">
        <f t="shared" si="38"/>
        <v>0.19417944692669967</v>
      </c>
      <c r="G107" s="43">
        <f t="shared" si="38"/>
        <v>3.7435092380147324E-3</v>
      </c>
      <c r="H107" s="43">
        <f t="shared" si="38"/>
        <v>1.6906170752324597E-3</v>
      </c>
      <c r="I107" s="43">
        <f t="shared" si="38"/>
        <v>3.3329308054582778E-2</v>
      </c>
      <c r="J107" s="43">
        <f t="shared" si="38"/>
        <v>4.492211085617679E-2</v>
      </c>
      <c r="K107" s="43">
        <f t="shared" si="38"/>
        <v>3.127641589180051E-2</v>
      </c>
      <c r="L107" s="43">
        <f t="shared" si="38"/>
        <v>5.3495954594855691E-2</v>
      </c>
      <c r="M107" s="43">
        <f t="shared" si="38"/>
        <v>0.28692186933945174</v>
      </c>
      <c r="N107" s="43">
        <f t="shared" si="38"/>
        <v>1.2075836251660427E-4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0.29212531752751902</v>
      </c>
      <c r="D108" s="44">
        <f t="shared" ref="D108:N108" si="39">D106/$O$106</f>
        <v>0.13751058425063506</v>
      </c>
      <c r="E108" s="44">
        <f t="shared" si="39"/>
        <v>6.1642675698560544E-2</v>
      </c>
      <c r="F108" s="44">
        <f t="shared" si="39"/>
        <v>0.272311600338696</v>
      </c>
      <c r="G108" s="44">
        <f t="shared" si="39"/>
        <v>5.2497883149872993E-3</v>
      </c>
      <c r="H108" s="44">
        <f t="shared" si="39"/>
        <v>2.3708721422523284E-3</v>
      </c>
      <c r="I108" s="44">
        <f t="shared" si="39"/>
        <v>4.6740050804403049E-2</v>
      </c>
      <c r="J108" s="44">
        <f t="shared" si="39"/>
        <v>6.2997459779847581E-2</v>
      </c>
      <c r="K108" s="44">
        <f t="shared" si="39"/>
        <v>4.3861134631668075E-2</v>
      </c>
      <c r="L108" s="44">
        <f t="shared" si="39"/>
        <v>7.5021168501270108E-2</v>
      </c>
      <c r="M108" s="44"/>
      <c r="N108" s="44">
        <f t="shared" si="39"/>
        <v>1.6934801016088062E-4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Nalya-Bweyogerere-24h'!D5</f>
        <v>01.08.19</v>
      </c>
      <c r="E5" s="3"/>
      <c r="F5" s="41" t="s">
        <v>1</v>
      </c>
      <c r="G5" s="64" t="str">
        <f>'01.08 Nalya-Bweyogerere-24h'!G5:H5</f>
        <v>Signs and Symbols</v>
      </c>
      <c r="H5" s="65"/>
      <c r="I5" s="14"/>
      <c r="J5" s="2" t="s">
        <v>5</v>
      </c>
      <c r="K5" s="64" t="str">
        <f>'01.08 Nalya-Bweyogerere-24h'!K5:L5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'30.07 Bweyogerere-Nalya'!G6:H6</f>
        <v>Nalya</v>
      </c>
      <c r="H6" s="65"/>
      <c r="J6" s="2" t="s">
        <v>21</v>
      </c>
      <c r="K6" s="64" t="str">
        <f>'01.08 Nalya-Bweyogerere-24h'!K6:L6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51</v>
      </c>
      <c r="D10" s="50">
        <v>17</v>
      </c>
      <c r="E10" s="50">
        <v>13</v>
      </c>
      <c r="F10" s="50">
        <v>28</v>
      </c>
      <c r="G10" s="50">
        <v>1</v>
      </c>
      <c r="H10" s="50">
        <v>0</v>
      </c>
      <c r="I10" s="50">
        <v>2</v>
      </c>
      <c r="J10" s="50">
        <v>3</v>
      </c>
      <c r="K10" s="50">
        <v>4</v>
      </c>
      <c r="L10" s="50">
        <v>2</v>
      </c>
      <c r="M10" s="50">
        <v>23</v>
      </c>
      <c r="N10" s="50">
        <v>0</v>
      </c>
      <c r="O10" s="15">
        <f t="shared" ref="O10:O73" si="0">SUM(C10:L10,N10)</f>
        <v>121</v>
      </c>
      <c r="P10" s="15">
        <f t="shared" ref="P10:P73" si="1">SUM(C10:N10)</f>
        <v>144</v>
      </c>
      <c r="R10" s="1" t="s">
        <v>6</v>
      </c>
      <c r="S10" s="17">
        <f t="shared" ref="S10:AF10" si="2">SUM(C10:C13)</f>
        <v>239</v>
      </c>
      <c r="T10" s="17">
        <f t="shared" si="2"/>
        <v>48</v>
      </c>
      <c r="U10" s="17">
        <f t="shared" si="2"/>
        <v>47</v>
      </c>
      <c r="V10" s="17">
        <f t="shared" si="2"/>
        <v>116</v>
      </c>
      <c r="W10" s="17">
        <f t="shared" si="2"/>
        <v>1</v>
      </c>
      <c r="X10" s="17">
        <f t="shared" si="2"/>
        <v>0</v>
      </c>
      <c r="Y10" s="17">
        <f t="shared" si="2"/>
        <v>17</v>
      </c>
      <c r="Z10" s="17">
        <f t="shared" si="2"/>
        <v>15</v>
      </c>
      <c r="AA10" s="17">
        <f t="shared" si="2"/>
        <v>10</v>
      </c>
      <c r="AB10" s="17">
        <f t="shared" si="2"/>
        <v>15</v>
      </c>
      <c r="AC10" s="17">
        <f t="shared" si="2"/>
        <v>131</v>
      </c>
      <c r="AD10" s="17">
        <f t="shared" si="2"/>
        <v>0</v>
      </c>
      <c r="AE10" s="31">
        <f t="shared" si="2"/>
        <v>508</v>
      </c>
      <c r="AF10" s="31">
        <f t="shared" si="2"/>
        <v>639</v>
      </c>
    </row>
    <row r="11" spans="2:32" s="6" customFormat="1" ht="23.1" customHeight="1" x14ac:dyDescent="0.25">
      <c r="B11" s="45" t="s">
        <v>38</v>
      </c>
      <c r="C11" s="50">
        <v>74</v>
      </c>
      <c r="D11" s="50">
        <v>10</v>
      </c>
      <c r="E11" s="50">
        <v>12</v>
      </c>
      <c r="F11" s="50">
        <v>28</v>
      </c>
      <c r="G11" s="50">
        <v>0</v>
      </c>
      <c r="H11" s="50">
        <v>0</v>
      </c>
      <c r="I11" s="50">
        <v>1</v>
      </c>
      <c r="J11" s="50">
        <v>3</v>
      </c>
      <c r="K11" s="50">
        <v>3</v>
      </c>
      <c r="L11" s="50">
        <v>2</v>
      </c>
      <c r="M11" s="50">
        <v>31</v>
      </c>
      <c r="N11" s="50">
        <v>0</v>
      </c>
      <c r="O11" s="15">
        <f t="shared" si="0"/>
        <v>133</v>
      </c>
      <c r="P11" s="15">
        <f t="shared" si="1"/>
        <v>164</v>
      </c>
      <c r="R11" s="1" t="s">
        <v>7</v>
      </c>
      <c r="S11" s="17">
        <f t="shared" ref="S11:AF11" si="3">SUM(C14:C17)</f>
        <v>199</v>
      </c>
      <c r="T11" s="17">
        <f t="shared" si="3"/>
        <v>31</v>
      </c>
      <c r="U11" s="17">
        <f t="shared" si="3"/>
        <v>33</v>
      </c>
      <c r="V11" s="17">
        <f t="shared" si="3"/>
        <v>113</v>
      </c>
      <c r="W11" s="17">
        <f t="shared" si="3"/>
        <v>7</v>
      </c>
      <c r="X11" s="17">
        <f t="shared" si="3"/>
        <v>0</v>
      </c>
      <c r="Y11" s="17">
        <f t="shared" si="3"/>
        <v>16</v>
      </c>
      <c r="Z11" s="17">
        <f t="shared" si="3"/>
        <v>10</v>
      </c>
      <c r="AA11" s="17">
        <f t="shared" si="3"/>
        <v>12</v>
      </c>
      <c r="AB11" s="17">
        <f t="shared" si="3"/>
        <v>28</v>
      </c>
      <c r="AC11" s="17">
        <f t="shared" si="3"/>
        <v>198</v>
      </c>
      <c r="AD11" s="17">
        <f t="shared" si="3"/>
        <v>1</v>
      </c>
      <c r="AE11" s="31">
        <f t="shared" si="3"/>
        <v>450</v>
      </c>
      <c r="AF11" s="31">
        <f t="shared" si="3"/>
        <v>648</v>
      </c>
    </row>
    <row r="12" spans="2:32" ht="23.1" customHeight="1" x14ac:dyDescent="0.25">
      <c r="B12" s="45" t="s">
        <v>39</v>
      </c>
      <c r="C12" s="50">
        <v>56</v>
      </c>
      <c r="D12" s="50">
        <v>14</v>
      </c>
      <c r="E12" s="50">
        <v>7</v>
      </c>
      <c r="F12" s="50">
        <v>32</v>
      </c>
      <c r="G12" s="50">
        <v>0</v>
      </c>
      <c r="H12" s="50">
        <v>0</v>
      </c>
      <c r="I12" s="50">
        <v>4</v>
      </c>
      <c r="J12" s="50">
        <v>5</v>
      </c>
      <c r="K12" s="50">
        <v>1</v>
      </c>
      <c r="L12" s="50">
        <v>7</v>
      </c>
      <c r="M12" s="50">
        <v>44</v>
      </c>
      <c r="N12" s="50">
        <v>0</v>
      </c>
      <c r="O12" s="15">
        <f t="shared" si="0"/>
        <v>126</v>
      </c>
      <c r="P12" s="15">
        <f t="shared" si="1"/>
        <v>170</v>
      </c>
      <c r="R12" s="1" t="s">
        <v>8</v>
      </c>
      <c r="S12" s="17">
        <f t="shared" ref="S12:AF12" si="4">SUM(C18:C21)</f>
        <v>118</v>
      </c>
      <c r="T12" s="17">
        <f t="shared" si="4"/>
        <v>28</v>
      </c>
      <c r="U12" s="17">
        <f t="shared" si="4"/>
        <v>21</v>
      </c>
      <c r="V12" s="17">
        <f t="shared" si="4"/>
        <v>84</v>
      </c>
      <c r="W12" s="17">
        <f t="shared" si="4"/>
        <v>3</v>
      </c>
      <c r="X12" s="17">
        <f t="shared" si="4"/>
        <v>0</v>
      </c>
      <c r="Y12" s="17">
        <f t="shared" si="4"/>
        <v>28</v>
      </c>
      <c r="Z12" s="17">
        <f t="shared" si="4"/>
        <v>17</v>
      </c>
      <c r="AA12" s="17">
        <f t="shared" si="4"/>
        <v>9</v>
      </c>
      <c r="AB12" s="17">
        <f t="shared" si="4"/>
        <v>25</v>
      </c>
      <c r="AC12" s="17">
        <f t="shared" si="4"/>
        <v>156</v>
      </c>
      <c r="AD12" s="17">
        <f t="shared" si="4"/>
        <v>0</v>
      </c>
      <c r="AE12" s="31">
        <f t="shared" si="4"/>
        <v>333</v>
      </c>
      <c r="AF12" s="31">
        <f t="shared" si="4"/>
        <v>489</v>
      </c>
    </row>
    <row r="13" spans="2:32" ht="23.1" customHeight="1" x14ac:dyDescent="0.25">
      <c r="B13" s="45" t="s">
        <v>40</v>
      </c>
      <c r="C13" s="50">
        <v>58</v>
      </c>
      <c r="D13" s="50">
        <v>7</v>
      </c>
      <c r="E13" s="50">
        <v>15</v>
      </c>
      <c r="F13" s="50">
        <v>28</v>
      </c>
      <c r="G13" s="50">
        <v>0</v>
      </c>
      <c r="H13" s="50">
        <v>0</v>
      </c>
      <c r="I13" s="50">
        <v>10</v>
      </c>
      <c r="J13" s="50">
        <v>4</v>
      </c>
      <c r="K13" s="50">
        <v>2</v>
      </c>
      <c r="L13" s="50">
        <v>4</v>
      </c>
      <c r="M13" s="50">
        <v>33</v>
      </c>
      <c r="N13" s="50">
        <v>0</v>
      </c>
      <c r="O13" s="15">
        <f t="shared" si="0"/>
        <v>128</v>
      </c>
      <c r="P13" s="15">
        <f t="shared" si="1"/>
        <v>161</v>
      </c>
      <c r="R13" s="1" t="s">
        <v>9</v>
      </c>
      <c r="S13" s="17">
        <f t="shared" ref="S13:AF13" si="5">SUM(C22:C25)</f>
        <v>87</v>
      </c>
      <c r="T13" s="17">
        <f t="shared" si="5"/>
        <v>25</v>
      </c>
      <c r="U13" s="17">
        <f t="shared" si="5"/>
        <v>14</v>
      </c>
      <c r="V13" s="17">
        <f t="shared" si="5"/>
        <v>70</v>
      </c>
      <c r="W13" s="17">
        <f t="shared" si="5"/>
        <v>7</v>
      </c>
      <c r="X13" s="17">
        <f t="shared" si="5"/>
        <v>0</v>
      </c>
      <c r="Y13" s="17">
        <f t="shared" si="5"/>
        <v>11</v>
      </c>
      <c r="Z13" s="17">
        <f t="shared" si="5"/>
        <v>16</v>
      </c>
      <c r="AA13" s="17">
        <f t="shared" si="5"/>
        <v>11</v>
      </c>
      <c r="AB13" s="17">
        <f t="shared" si="5"/>
        <v>26</v>
      </c>
      <c r="AC13" s="17">
        <f t="shared" si="5"/>
        <v>164</v>
      </c>
      <c r="AD13" s="17">
        <f t="shared" si="5"/>
        <v>1</v>
      </c>
      <c r="AE13" s="31">
        <f t="shared" si="5"/>
        <v>268</v>
      </c>
      <c r="AF13" s="31">
        <f t="shared" si="5"/>
        <v>432</v>
      </c>
    </row>
    <row r="14" spans="2:32" ht="23.1" customHeight="1" x14ac:dyDescent="0.25">
      <c r="B14" s="45" t="s">
        <v>41</v>
      </c>
      <c r="C14" s="50">
        <v>46</v>
      </c>
      <c r="D14" s="50">
        <v>3</v>
      </c>
      <c r="E14" s="50">
        <v>9</v>
      </c>
      <c r="F14" s="50">
        <v>23</v>
      </c>
      <c r="G14" s="50">
        <v>1</v>
      </c>
      <c r="H14" s="50">
        <v>0</v>
      </c>
      <c r="I14" s="50">
        <v>2</v>
      </c>
      <c r="J14" s="50">
        <v>2</v>
      </c>
      <c r="K14" s="50">
        <v>3</v>
      </c>
      <c r="L14" s="50">
        <v>14</v>
      </c>
      <c r="M14" s="50">
        <v>51</v>
      </c>
      <c r="N14" s="50">
        <v>0</v>
      </c>
      <c r="O14" s="15">
        <f t="shared" si="0"/>
        <v>103</v>
      </c>
      <c r="P14" s="15">
        <f t="shared" si="1"/>
        <v>154</v>
      </c>
      <c r="R14" s="1" t="s">
        <v>10</v>
      </c>
      <c r="S14" s="17">
        <f t="shared" ref="S14:AF14" si="6">SUM(C26:C29)</f>
        <v>73</v>
      </c>
      <c r="T14" s="17">
        <f t="shared" si="6"/>
        <v>24</v>
      </c>
      <c r="U14" s="17">
        <f t="shared" si="6"/>
        <v>11</v>
      </c>
      <c r="V14" s="17">
        <f t="shared" si="6"/>
        <v>67</v>
      </c>
      <c r="W14" s="17">
        <f t="shared" si="6"/>
        <v>2</v>
      </c>
      <c r="X14" s="17">
        <f t="shared" si="6"/>
        <v>0</v>
      </c>
      <c r="Y14" s="17">
        <f t="shared" si="6"/>
        <v>19</v>
      </c>
      <c r="Z14" s="17">
        <f t="shared" si="6"/>
        <v>17</v>
      </c>
      <c r="AA14" s="17">
        <f t="shared" si="6"/>
        <v>7</v>
      </c>
      <c r="AB14" s="17">
        <f t="shared" si="6"/>
        <v>13</v>
      </c>
      <c r="AC14" s="17">
        <f t="shared" si="6"/>
        <v>158</v>
      </c>
      <c r="AD14" s="17">
        <f t="shared" si="6"/>
        <v>0</v>
      </c>
      <c r="AE14" s="31">
        <f t="shared" si="6"/>
        <v>233</v>
      </c>
      <c r="AF14" s="31">
        <f t="shared" si="6"/>
        <v>391</v>
      </c>
    </row>
    <row r="15" spans="2:32" ht="23.1" customHeight="1" x14ac:dyDescent="0.25">
      <c r="B15" s="45" t="s">
        <v>42</v>
      </c>
      <c r="C15" s="50">
        <v>75</v>
      </c>
      <c r="D15" s="50">
        <v>12</v>
      </c>
      <c r="E15" s="50">
        <v>6</v>
      </c>
      <c r="F15" s="50">
        <v>37</v>
      </c>
      <c r="G15" s="50">
        <v>3</v>
      </c>
      <c r="H15" s="50">
        <v>0</v>
      </c>
      <c r="I15" s="50">
        <v>4</v>
      </c>
      <c r="J15" s="50">
        <v>2</v>
      </c>
      <c r="K15" s="50">
        <v>1</v>
      </c>
      <c r="L15" s="50">
        <v>4</v>
      </c>
      <c r="M15" s="50">
        <v>68</v>
      </c>
      <c r="N15" s="50">
        <v>1</v>
      </c>
      <c r="O15" s="15">
        <f t="shared" si="0"/>
        <v>145</v>
      </c>
      <c r="P15" s="15">
        <f t="shared" si="1"/>
        <v>213</v>
      </c>
      <c r="R15" s="1" t="s">
        <v>11</v>
      </c>
      <c r="S15" s="17">
        <f t="shared" ref="S15:AF15" si="7">SUM(C30:C33)</f>
        <v>81</v>
      </c>
      <c r="T15" s="17">
        <f t="shared" si="7"/>
        <v>35</v>
      </c>
      <c r="U15" s="17">
        <f t="shared" si="7"/>
        <v>13</v>
      </c>
      <c r="V15" s="17">
        <f t="shared" si="7"/>
        <v>72</v>
      </c>
      <c r="W15" s="17">
        <f t="shared" si="7"/>
        <v>0</v>
      </c>
      <c r="X15" s="17">
        <f t="shared" si="7"/>
        <v>0</v>
      </c>
      <c r="Y15" s="17">
        <f t="shared" si="7"/>
        <v>29</v>
      </c>
      <c r="Z15" s="17">
        <f t="shared" si="7"/>
        <v>18</v>
      </c>
      <c r="AA15" s="17">
        <f t="shared" si="7"/>
        <v>12</v>
      </c>
      <c r="AB15" s="17">
        <f t="shared" si="7"/>
        <v>18</v>
      </c>
      <c r="AC15" s="17">
        <f t="shared" si="7"/>
        <v>156</v>
      </c>
      <c r="AD15" s="17">
        <f t="shared" si="7"/>
        <v>1</v>
      </c>
      <c r="AE15" s="31">
        <f t="shared" si="7"/>
        <v>279</v>
      </c>
      <c r="AF15" s="31">
        <f t="shared" si="7"/>
        <v>435</v>
      </c>
    </row>
    <row r="16" spans="2:32" ht="23.1" customHeight="1" x14ac:dyDescent="0.25">
      <c r="B16" s="45" t="s">
        <v>43</v>
      </c>
      <c r="C16" s="50">
        <v>32</v>
      </c>
      <c r="D16" s="50">
        <v>11</v>
      </c>
      <c r="E16" s="50">
        <v>7</v>
      </c>
      <c r="F16" s="50">
        <v>26</v>
      </c>
      <c r="G16" s="50">
        <v>1</v>
      </c>
      <c r="H16" s="50">
        <v>0</v>
      </c>
      <c r="I16" s="50">
        <v>4</v>
      </c>
      <c r="J16" s="50">
        <v>5</v>
      </c>
      <c r="K16" s="50">
        <v>2</v>
      </c>
      <c r="L16" s="50">
        <v>4</v>
      </c>
      <c r="M16" s="50">
        <v>34</v>
      </c>
      <c r="N16" s="50">
        <v>0</v>
      </c>
      <c r="O16" s="15">
        <f t="shared" si="0"/>
        <v>92</v>
      </c>
      <c r="P16" s="15">
        <f t="shared" si="1"/>
        <v>126</v>
      </c>
      <c r="R16" s="1" t="s">
        <v>12</v>
      </c>
      <c r="S16" s="17">
        <f t="shared" ref="S16:AF16" si="8">SUM(C34:C37)</f>
        <v>61</v>
      </c>
      <c r="T16" s="17">
        <f t="shared" si="8"/>
        <v>9</v>
      </c>
      <c r="U16" s="17">
        <f t="shared" si="8"/>
        <v>10</v>
      </c>
      <c r="V16" s="17">
        <f t="shared" si="8"/>
        <v>48</v>
      </c>
      <c r="W16" s="17">
        <f t="shared" si="8"/>
        <v>0</v>
      </c>
      <c r="X16" s="17">
        <f t="shared" si="8"/>
        <v>2</v>
      </c>
      <c r="Y16" s="17">
        <f t="shared" si="8"/>
        <v>18</v>
      </c>
      <c r="Z16" s="17">
        <f t="shared" si="8"/>
        <v>27</v>
      </c>
      <c r="AA16" s="17">
        <f t="shared" si="8"/>
        <v>8</v>
      </c>
      <c r="AB16" s="17">
        <f t="shared" si="8"/>
        <v>15</v>
      </c>
      <c r="AC16" s="17">
        <f t="shared" si="8"/>
        <v>112</v>
      </c>
      <c r="AD16" s="17">
        <f t="shared" si="8"/>
        <v>0</v>
      </c>
      <c r="AE16" s="31">
        <f t="shared" si="8"/>
        <v>198</v>
      </c>
      <c r="AF16" s="31">
        <f t="shared" si="8"/>
        <v>310</v>
      </c>
    </row>
    <row r="17" spans="2:32" ht="23.1" customHeight="1" x14ac:dyDescent="0.25">
      <c r="B17" s="45" t="s">
        <v>44</v>
      </c>
      <c r="C17" s="50">
        <v>46</v>
      </c>
      <c r="D17" s="50">
        <v>5</v>
      </c>
      <c r="E17" s="50">
        <v>11</v>
      </c>
      <c r="F17" s="50">
        <v>27</v>
      </c>
      <c r="G17" s="50">
        <v>2</v>
      </c>
      <c r="H17" s="50">
        <v>0</v>
      </c>
      <c r="I17" s="50">
        <v>6</v>
      </c>
      <c r="J17" s="50">
        <v>1</v>
      </c>
      <c r="K17" s="50">
        <v>6</v>
      </c>
      <c r="L17" s="50">
        <v>6</v>
      </c>
      <c r="M17" s="50">
        <v>45</v>
      </c>
      <c r="N17" s="50">
        <v>0</v>
      </c>
      <c r="O17" s="15">
        <f t="shared" si="0"/>
        <v>110</v>
      </c>
      <c r="P17" s="15">
        <f t="shared" si="1"/>
        <v>155</v>
      </c>
      <c r="R17" s="1" t="s">
        <v>13</v>
      </c>
      <c r="S17" s="17">
        <f t="shared" ref="S17:AF17" si="9">SUM(C38:C41)</f>
        <v>78</v>
      </c>
      <c r="T17" s="17">
        <f t="shared" si="9"/>
        <v>19</v>
      </c>
      <c r="U17" s="17">
        <f t="shared" si="9"/>
        <v>12</v>
      </c>
      <c r="V17" s="17">
        <f t="shared" si="9"/>
        <v>62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15</v>
      </c>
      <c r="AA17" s="17">
        <f t="shared" si="9"/>
        <v>7</v>
      </c>
      <c r="AB17" s="17">
        <f t="shared" si="9"/>
        <v>14</v>
      </c>
      <c r="AC17" s="17">
        <f t="shared" si="9"/>
        <v>129</v>
      </c>
      <c r="AD17" s="17">
        <f t="shared" si="9"/>
        <v>2</v>
      </c>
      <c r="AE17" s="31">
        <f t="shared" si="9"/>
        <v>229</v>
      </c>
      <c r="AF17" s="31">
        <f t="shared" si="9"/>
        <v>358</v>
      </c>
    </row>
    <row r="18" spans="2:32" ht="23.1" customHeight="1" x14ac:dyDescent="0.25">
      <c r="B18" s="45" t="s">
        <v>45</v>
      </c>
      <c r="C18" s="50">
        <v>40</v>
      </c>
      <c r="D18" s="50">
        <v>11</v>
      </c>
      <c r="E18" s="50">
        <v>8</v>
      </c>
      <c r="F18" s="50">
        <v>24</v>
      </c>
      <c r="G18" s="50">
        <v>2</v>
      </c>
      <c r="H18" s="50">
        <v>0</v>
      </c>
      <c r="I18" s="50">
        <v>8</v>
      </c>
      <c r="J18" s="50">
        <v>1</v>
      </c>
      <c r="K18" s="50">
        <v>2</v>
      </c>
      <c r="L18" s="50">
        <v>11</v>
      </c>
      <c r="M18" s="50">
        <v>39</v>
      </c>
      <c r="N18" s="50">
        <v>0</v>
      </c>
      <c r="O18" s="15">
        <f t="shared" si="0"/>
        <v>107</v>
      </c>
      <c r="P18" s="15">
        <f t="shared" si="1"/>
        <v>146</v>
      </c>
      <c r="R18" s="1" t="s">
        <v>14</v>
      </c>
      <c r="S18" s="17">
        <f t="shared" ref="S18:AF18" si="10">SUM(C42:C45)</f>
        <v>47</v>
      </c>
      <c r="T18" s="17">
        <f t="shared" si="10"/>
        <v>23</v>
      </c>
      <c r="U18" s="17">
        <f t="shared" si="10"/>
        <v>11</v>
      </c>
      <c r="V18" s="17">
        <f t="shared" si="10"/>
        <v>67</v>
      </c>
      <c r="W18" s="17">
        <f t="shared" si="10"/>
        <v>2</v>
      </c>
      <c r="X18" s="17">
        <f t="shared" si="10"/>
        <v>1</v>
      </c>
      <c r="Y18" s="17">
        <f t="shared" si="10"/>
        <v>12</v>
      </c>
      <c r="Z18" s="17">
        <f t="shared" si="10"/>
        <v>18</v>
      </c>
      <c r="AA18" s="17">
        <f t="shared" si="10"/>
        <v>12</v>
      </c>
      <c r="AB18" s="17">
        <f t="shared" si="10"/>
        <v>24</v>
      </c>
      <c r="AC18" s="17">
        <f t="shared" si="10"/>
        <v>140</v>
      </c>
      <c r="AD18" s="17">
        <f t="shared" si="10"/>
        <v>0</v>
      </c>
      <c r="AE18" s="31">
        <f t="shared" si="10"/>
        <v>217</v>
      </c>
      <c r="AF18" s="31">
        <f t="shared" si="10"/>
        <v>357</v>
      </c>
    </row>
    <row r="19" spans="2:32" ht="23.1" customHeight="1" x14ac:dyDescent="0.25">
      <c r="B19" s="45" t="s">
        <v>46</v>
      </c>
      <c r="C19" s="50">
        <v>39</v>
      </c>
      <c r="D19" s="50">
        <v>8</v>
      </c>
      <c r="E19" s="50">
        <v>7</v>
      </c>
      <c r="F19" s="50">
        <v>20</v>
      </c>
      <c r="G19" s="50">
        <v>0</v>
      </c>
      <c r="H19" s="50">
        <v>0</v>
      </c>
      <c r="I19" s="50">
        <v>10</v>
      </c>
      <c r="J19" s="50">
        <v>4</v>
      </c>
      <c r="K19" s="50">
        <v>2</v>
      </c>
      <c r="L19" s="50">
        <v>10</v>
      </c>
      <c r="M19" s="50">
        <v>40</v>
      </c>
      <c r="N19" s="50">
        <v>0</v>
      </c>
      <c r="O19" s="15">
        <f t="shared" si="0"/>
        <v>100</v>
      </c>
      <c r="P19" s="15">
        <f t="shared" si="1"/>
        <v>140</v>
      </c>
      <c r="R19" s="1" t="s">
        <v>15</v>
      </c>
      <c r="S19" s="17">
        <f t="shared" ref="S19:AF19" si="11">SUM(C46:C49)</f>
        <v>78</v>
      </c>
      <c r="T19" s="17">
        <f t="shared" si="11"/>
        <v>37</v>
      </c>
      <c r="U19" s="17">
        <f t="shared" si="11"/>
        <v>19</v>
      </c>
      <c r="V19" s="17">
        <f t="shared" si="11"/>
        <v>67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11</v>
      </c>
      <c r="AA19" s="17">
        <f t="shared" si="11"/>
        <v>10</v>
      </c>
      <c r="AB19" s="17">
        <f t="shared" si="11"/>
        <v>19</v>
      </c>
      <c r="AC19" s="17">
        <f t="shared" si="11"/>
        <v>122</v>
      </c>
      <c r="AD19" s="17">
        <f t="shared" si="11"/>
        <v>0</v>
      </c>
      <c r="AE19" s="31">
        <f t="shared" si="11"/>
        <v>255</v>
      </c>
      <c r="AF19" s="31">
        <f t="shared" si="11"/>
        <v>377</v>
      </c>
    </row>
    <row r="20" spans="2:32" ht="23.1" customHeight="1" x14ac:dyDescent="0.25">
      <c r="B20" s="45" t="s">
        <v>47</v>
      </c>
      <c r="C20" s="50">
        <v>20</v>
      </c>
      <c r="D20" s="50">
        <v>7</v>
      </c>
      <c r="E20" s="50">
        <v>2</v>
      </c>
      <c r="F20" s="50">
        <v>22</v>
      </c>
      <c r="G20" s="50">
        <v>1</v>
      </c>
      <c r="H20" s="50">
        <v>0</v>
      </c>
      <c r="I20" s="50">
        <v>4</v>
      </c>
      <c r="J20" s="50">
        <v>7</v>
      </c>
      <c r="K20" s="50">
        <v>3</v>
      </c>
      <c r="L20" s="50">
        <v>2</v>
      </c>
      <c r="M20" s="50">
        <v>35</v>
      </c>
      <c r="N20" s="50">
        <v>0</v>
      </c>
      <c r="O20" s="15">
        <f t="shared" si="0"/>
        <v>68</v>
      </c>
      <c r="P20" s="15">
        <f t="shared" si="1"/>
        <v>103</v>
      </c>
      <c r="R20" s="1" t="s">
        <v>16</v>
      </c>
      <c r="S20" s="17">
        <f t="shared" ref="S20:AF20" si="12">SUM(C50:C53)</f>
        <v>142</v>
      </c>
      <c r="T20" s="17">
        <f t="shared" si="12"/>
        <v>47</v>
      </c>
      <c r="U20" s="17">
        <f t="shared" si="12"/>
        <v>21</v>
      </c>
      <c r="V20" s="17">
        <f t="shared" si="12"/>
        <v>116</v>
      </c>
      <c r="W20" s="17">
        <f t="shared" si="12"/>
        <v>1</v>
      </c>
      <c r="X20" s="17">
        <f t="shared" si="12"/>
        <v>0</v>
      </c>
      <c r="Y20" s="17">
        <f t="shared" si="12"/>
        <v>16</v>
      </c>
      <c r="Z20" s="17">
        <f t="shared" si="12"/>
        <v>21</v>
      </c>
      <c r="AA20" s="17">
        <f t="shared" si="12"/>
        <v>6</v>
      </c>
      <c r="AB20" s="17">
        <f t="shared" si="12"/>
        <v>30</v>
      </c>
      <c r="AC20" s="17">
        <f t="shared" si="12"/>
        <v>217</v>
      </c>
      <c r="AD20" s="17">
        <f t="shared" si="12"/>
        <v>0</v>
      </c>
      <c r="AE20" s="31">
        <f t="shared" si="12"/>
        <v>400</v>
      </c>
      <c r="AF20" s="31">
        <f t="shared" si="12"/>
        <v>617</v>
      </c>
    </row>
    <row r="21" spans="2:32" ht="23.1" customHeight="1" x14ac:dyDescent="0.25">
      <c r="B21" s="45" t="s">
        <v>48</v>
      </c>
      <c r="C21" s="50">
        <v>19</v>
      </c>
      <c r="D21" s="50">
        <v>2</v>
      </c>
      <c r="E21" s="50">
        <v>4</v>
      </c>
      <c r="F21" s="50">
        <v>18</v>
      </c>
      <c r="G21" s="50">
        <v>0</v>
      </c>
      <c r="H21" s="50">
        <v>0</v>
      </c>
      <c r="I21" s="50">
        <v>6</v>
      </c>
      <c r="J21" s="50">
        <v>5</v>
      </c>
      <c r="K21" s="50">
        <v>2</v>
      </c>
      <c r="L21" s="50">
        <v>2</v>
      </c>
      <c r="M21" s="50">
        <v>42</v>
      </c>
      <c r="N21" s="50">
        <v>0</v>
      </c>
      <c r="O21" s="15">
        <f t="shared" si="0"/>
        <v>58</v>
      </c>
      <c r="P21" s="15">
        <f t="shared" si="1"/>
        <v>100</v>
      </c>
      <c r="R21" s="36" t="s">
        <v>20</v>
      </c>
      <c r="S21" s="34">
        <f t="shared" ref="S21:AF21" si="13">SUM(C54:C57)</f>
        <v>116</v>
      </c>
      <c r="T21" s="17">
        <f t="shared" si="13"/>
        <v>16</v>
      </c>
      <c r="U21" s="17">
        <f t="shared" si="13"/>
        <v>11</v>
      </c>
      <c r="V21" s="17">
        <f t="shared" si="13"/>
        <v>104</v>
      </c>
      <c r="W21" s="17">
        <f t="shared" si="13"/>
        <v>3</v>
      </c>
      <c r="X21" s="17">
        <f t="shared" si="13"/>
        <v>3</v>
      </c>
      <c r="Y21" s="17">
        <f t="shared" si="13"/>
        <v>19</v>
      </c>
      <c r="Z21" s="17">
        <f t="shared" si="13"/>
        <v>18</v>
      </c>
      <c r="AA21" s="17">
        <f t="shared" si="13"/>
        <v>11</v>
      </c>
      <c r="AB21" s="17">
        <f t="shared" si="13"/>
        <v>27</v>
      </c>
      <c r="AC21" s="17">
        <f t="shared" si="13"/>
        <v>158</v>
      </c>
      <c r="AD21" s="17">
        <f t="shared" si="13"/>
        <v>0</v>
      </c>
      <c r="AE21" s="31">
        <f t="shared" si="13"/>
        <v>328</v>
      </c>
      <c r="AF21" s="31">
        <f t="shared" si="13"/>
        <v>486</v>
      </c>
    </row>
    <row r="22" spans="2:32" ht="23.1" customHeight="1" x14ac:dyDescent="0.25">
      <c r="B22" s="45" t="s">
        <v>49</v>
      </c>
      <c r="C22" s="50">
        <v>17</v>
      </c>
      <c r="D22" s="50">
        <v>8</v>
      </c>
      <c r="E22" s="50">
        <v>8</v>
      </c>
      <c r="F22" s="50">
        <v>16</v>
      </c>
      <c r="G22" s="50">
        <v>3</v>
      </c>
      <c r="H22" s="50">
        <v>0</v>
      </c>
      <c r="I22" s="50">
        <v>3</v>
      </c>
      <c r="J22" s="50">
        <v>3</v>
      </c>
      <c r="K22" s="50">
        <v>1</v>
      </c>
      <c r="L22" s="50">
        <v>6</v>
      </c>
      <c r="M22" s="50">
        <v>41</v>
      </c>
      <c r="N22" s="50">
        <v>1</v>
      </c>
      <c r="O22" s="15">
        <f t="shared" si="0"/>
        <v>66</v>
      </c>
      <c r="P22" s="15">
        <f t="shared" si="1"/>
        <v>107</v>
      </c>
      <c r="R22" s="36" t="s">
        <v>146</v>
      </c>
      <c r="S22" s="34">
        <f>SUM(C58:C61)</f>
        <v>73</v>
      </c>
      <c r="T22" s="34">
        <f t="shared" ref="T22:AF22" si="14">SUM(D58:D61)</f>
        <v>36</v>
      </c>
      <c r="U22" s="34">
        <f t="shared" si="14"/>
        <v>11</v>
      </c>
      <c r="V22" s="34">
        <f t="shared" si="14"/>
        <v>90</v>
      </c>
      <c r="W22" s="34">
        <f t="shared" si="14"/>
        <v>6</v>
      </c>
      <c r="X22" s="34">
        <f t="shared" si="14"/>
        <v>0</v>
      </c>
      <c r="Y22" s="34">
        <f t="shared" si="14"/>
        <v>11</v>
      </c>
      <c r="Z22" s="34">
        <f t="shared" si="14"/>
        <v>15</v>
      </c>
      <c r="AA22" s="34">
        <f t="shared" si="14"/>
        <v>6</v>
      </c>
      <c r="AB22" s="34">
        <f t="shared" si="14"/>
        <v>12</v>
      </c>
      <c r="AC22" s="34">
        <f t="shared" si="14"/>
        <v>162</v>
      </c>
      <c r="AD22" s="34">
        <f t="shared" si="14"/>
        <v>1</v>
      </c>
      <c r="AE22" s="31">
        <f t="shared" si="14"/>
        <v>261</v>
      </c>
      <c r="AF22" s="31">
        <f t="shared" si="14"/>
        <v>423</v>
      </c>
    </row>
    <row r="23" spans="2:32" ht="23.1" customHeight="1" x14ac:dyDescent="0.25">
      <c r="B23" s="45" t="s">
        <v>50</v>
      </c>
      <c r="C23" s="50">
        <v>23</v>
      </c>
      <c r="D23" s="50">
        <v>5</v>
      </c>
      <c r="E23" s="50">
        <v>1</v>
      </c>
      <c r="F23" s="50">
        <v>17</v>
      </c>
      <c r="G23" s="50">
        <v>1</v>
      </c>
      <c r="H23" s="50">
        <v>0</v>
      </c>
      <c r="I23" s="50">
        <v>4</v>
      </c>
      <c r="J23" s="50">
        <v>6</v>
      </c>
      <c r="K23" s="50">
        <v>2</v>
      </c>
      <c r="L23" s="50">
        <v>7</v>
      </c>
      <c r="M23" s="50">
        <v>36</v>
      </c>
      <c r="N23" s="50">
        <v>0</v>
      </c>
      <c r="O23" s="15">
        <f t="shared" si="0"/>
        <v>66</v>
      </c>
      <c r="P23" s="15">
        <f t="shared" si="1"/>
        <v>102</v>
      </c>
      <c r="R23" s="36" t="s">
        <v>147</v>
      </c>
      <c r="S23" s="34">
        <f>SUM(C62:C65)</f>
        <v>94</v>
      </c>
      <c r="T23" s="34">
        <f t="shared" ref="T23:AF23" si="15">SUM(D62:D65)</f>
        <v>53</v>
      </c>
      <c r="U23" s="34">
        <f t="shared" si="15"/>
        <v>13</v>
      </c>
      <c r="V23" s="34">
        <f t="shared" si="15"/>
        <v>81</v>
      </c>
      <c r="W23" s="34">
        <f t="shared" si="15"/>
        <v>2</v>
      </c>
      <c r="X23" s="34">
        <f t="shared" si="15"/>
        <v>1</v>
      </c>
      <c r="Y23" s="34">
        <f t="shared" si="15"/>
        <v>19</v>
      </c>
      <c r="Z23" s="34">
        <f t="shared" si="15"/>
        <v>22</v>
      </c>
      <c r="AA23" s="34">
        <f t="shared" si="15"/>
        <v>11</v>
      </c>
      <c r="AB23" s="34">
        <f t="shared" si="15"/>
        <v>8</v>
      </c>
      <c r="AC23" s="34">
        <f t="shared" si="15"/>
        <v>147</v>
      </c>
      <c r="AD23" s="34">
        <f t="shared" si="15"/>
        <v>0</v>
      </c>
      <c r="AE23" s="31">
        <f t="shared" si="15"/>
        <v>304</v>
      </c>
      <c r="AF23" s="31">
        <f t="shared" si="15"/>
        <v>451</v>
      </c>
    </row>
    <row r="24" spans="2:32" ht="23.1" customHeight="1" x14ac:dyDescent="0.25">
      <c r="B24" s="45" t="s">
        <v>51</v>
      </c>
      <c r="C24" s="50">
        <v>29</v>
      </c>
      <c r="D24" s="50">
        <v>6</v>
      </c>
      <c r="E24" s="50">
        <v>1</v>
      </c>
      <c r="F24" s="50">
        <v>17</v>
      </c>
      <c r="G24" s="50">
        <v>0</v>
      </c>
      <c r="H24" s="50">
        <v>0</v>
      </c>
      <c r="I24" s="50">
        <v>2</v>
      </c>
      <c r="J24" s="50">
        <v>3</v>
      </c>
      <c r="K24" s="50">
        <v>5</v>
      </c>
      <c r="L24" s="50">
        <v>7</v>
      </c>
      <c r="M24" s="50">
        <v>50</v>
      </c>
      <c r="N24" s="50">
        <v>0</v>
      </c>
      <c r="O24" s="15">
        <f t="shared" si="0"/>
        <v>70</v>
      </c>
      <c r="P24" s="15">
        <f t="shared" si="1"/>
        <v>120</v>
      </c>
      <c r="R24" s="36" t="s">
        <v>148</v>
      </c>
      <c r="S24" s="34">
        <f>SUM(C66:C69)</f>
        <v>106</v>
      </c>
      <c r="T24" s="34">
        <f t="shared" ref="T24:AF24" si="16">SUM(D66:D69)</f>
        <v>11</v>
      </c>
      <c r="U24" s="34">
        <f t="shared" si="16"/>
        <v>12</v>
      </c>
      <c r="V24" s="34">
        <f t="shared" si="16"/>
        <v>78</v>
      </c>
      <c r="W24" s="34">
        <f t="shared" si="16"/>
        <v>4</v>
      </c>
      <c r="X24" s="34">
        <f t="shared" si="16"/>
        <v>2</v>
      </c>
      <c r="Y24" s="34">
        <f t="shared" si="16"/>
        <v>8</v>
      </c>
      <c r="Z24" s="34">
        <f t="shared" si="16"/>
        <v>6</v>
      </c>
      <c r="AA24" s="34">
        <f t="shared" si="16"/>
        <v>8</v>
      </c>
      <c r="AB24" s="34">
        <f t="shared" si="16"/>
        <v>10</v>
      </c>
      <c r="AC24" s="34">
        <f t="shared" si="16"/>
        <v>133</v>
      </c>
      <c r="AD24" s="34">
        <f t="shared" si="16"/>
        <v>0</v>
      </c>
      <c r="AE24" s="31">
        <f t="shared" si="16"/>
        <v>245</v>
      </c>
      <c r="AF24" s="31">
        <f t="shared" si="16"/>
        <v>378</v>
      </c>
    </row>
    <row r="25" spans="2:32" ht="23.1" customHeight="1" x14ac:dyDescent="0.25">
      <c r="B25" s="45" t="s">
        <v>52</v>
      </c>
      <c r="C25" s="50">
        <v>18</v>
      </c>
      <c r="D25" s="50">
        <v>6</v>
      </c>
      <c r="E25" s="50">
        <v>4</v>
      </c>
      <c r="F25" s="50">
        <v>20</v>
      </c>
      <c r="G25" s="50">
        <v>3</v>
      </c>
      <c r="H25" s="50">
        <v>0</v>
      </c>
      <c r="I25" s="50">
        <v>2</v>
      </c>
      <c r="J25" s="50">
        <v>4</v>
      </c>
      <c r="K25" s="50">
        <v>3</v>
      </c>
      <c r="L25" s="50">
        <v>6</v>
      </c>
      <c r="M25" s="50">
        <v>37</v>
      </c>
      <c r="N25" s="50">
        <v>0</v>
      </c>
      <c r="O25" s="15">
        <f t="shared" si="0"/>
        <v>66</v>
      </c>
      <c r="P25" s="15">
        <f t="shared" si="1"/>
        <v>103</v>
      </c>
      <c r="R25" s="36" t="s">
        <v>149</v>
      </c>
      <c r="S25" s="34">
        <f>SUM(C70:C73)</f>
        <v>54</v>
      </c>
      <c r="T25" s="34">
        <f t="shared" ref="T25:AF25" si="17">SUM(D70:D73)</f>
        <v>12</v>
      </c>
      <c r="U25" s="34">
        <f t="shared" si="17"/>
        <v>6</v>
      </c>
      <c r="V25" s="34">
        <f t="shared" si="17"/>
        <v>46</v>
      </c>
      <c r="W25" s="34">
        <f t="shared" si="17"/>
        <v>1</v>
      </c>
      <c r="X25" s="34">
        <f t="shared" si="17"/>
        <v>1</v>
      </c>
      <c r="Y25" s="34">
        <f t="shared" si="17"/>
        <v>11</v>
      </c>
      <c r="Z25" s="34">
        <f t="shared" si="17"/>
        <v>8</v>
      </c>
      <c r="AA25" s="34">
        <f t="shared" si="17"/>
        <v>10</v>
      </c>
      <c r="AB25" s="34">
        <f t="shared" si="17"/>
        <v>16</v>
      </c>
      <c r="AC25" s="34">
        <f t="shared" si="17"/>
        <v>64</v>
      </c>
      <c r="AD25" s="34">
        <f t="shared" si="17"/>
        <v>0</v>
      </c>
      <c r="AE25" s="31">
        <f t="shared" si="17"/>
        <v>165</v>
      </c>
      <c r="AF25" s="31">
        <f t="shared" si="17"/>
        <v>229</v>
      </c>
    </row>
    <row r="26" spans="2:32" ht="23.1" customHeight="1" x14ac:dyDescent="0.25">
      <c r="B26" s="45" t="s">
        <v>53</v>
      </c>
      <c r="C26" s="50">
        <v>16</v>
      </c>
      <c r="D26" s="50">
        <v>6</v>
      </c>
      <c r="E26" s="50">
        <v>1</v>
      </c>
      <c r="F26" s="50">
        <v>18</v>
      </c>
      <c r="G26" s="50">
        <v>0</v>
      </c>
      <c r="H26" s="50">
        <v>0</v>
      </c>
      <c r="I26" s="50">
        <v>7</v>
      </c>
      <c r="J26" s="50">
        <v>5</v>
      </c>
      <c r="K26" s="50">
        <v>2</v>
      </c>
      <c r="L26" s="50">
        <v>2</v>
      </c>
      <c r="M26" s="50">
        <v>40</v>
      </c>
      <c r="N26" s="50">
        <v>0</v>
      </c>
      <c r="O26" s="15">
        <f t="shared" si="0"/>
        <v>57</v>
      </c>
      <c r="P26" s="15">
        <f t="shared" si="1"/>
        <v>97</v>
      </c>
      <c r="R26" s="36" t="s">
        <v>150</v>
      </c>
      <c r="S26" s="34">
        <f>SUM(C74:C77)</f>
        <v>31</v>
      </c>
      <c r="T26" s="34">
        <f t="shared" ref="T26:AF26" si="18">SUM(D74:D77)</f>
        <v>7</v>
      </c>
      <c r="U26" s="34">
        <f t="shared" si="18"/>
        <v>4</v>
      </c>
      <c r="V26" s="34">
        <f t="shared" si="18"/>
        <v>20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7</v>
      </c>
      <c r="AA26" s="34">
        <f t="shared" si="18"/>
        <v>4</v>
      </c>
      <c r="AB26" s="34">
        <f t="shared" si="18"/>
        <v>5</v>
      </c>
      <c r="AC26" s="34">
        <f t="shared" si="18"/>
        <v>28</v>
      </c>
      <c r="AD26" s="34">
        <f t="shared" si="18"/>
        <v>0</v>
      </c>
      <c r="AE26" s="31">
        <f t="shared" si="18"/>
        <v>80</v>
      </c>
      <c r="AF26" s="31">
        <f t="shared" si="18"/>
        <v>108</v>
      </c>
    </row>
    <row r="27" spans="2:32" ht="23.1" customHeight="1" x14ac:dyDescent="0.25">
      <c r="B27" s="45" t="s">
        <v>54</v>
      </c>
      <c r="C27" s="50">
        <v>17</v>
      </c>
      <c r="D27" s="50">
        <v>7</v>
      </c>
      <c r="E27" s="50">
        <v>4</v>
      </c>
      <c r="F27" s="50">
        <v>20</v>
      </c>
      <c r="G27" s="50">
        <v>2</v>
      </c>
      <c r="H27" s="50">
        <v>0</v>
      </c>
      <c r="I27" s="50">
        <v>1</v>
      </c>
      <c r="J27" s="50">
        <v>7</v>
      </c>
      <c r="K27" s="50">
        <v>0</v>
      </c>
      <c r="L27" s="50">
        <v>5</v>
      </c>
      <c r="M27" s="50">
        <v>43</v>
      </c>
      <c r="N27" s="50">
        <v>0</v>
      </c>
      <c r="O27" s="15">
        <f t="shared" si="0"/>
        <v>63</v>
      </c>
      <c r="P27" s="15">
        <f t="shared" si="1"/>
        <v>106</v>
      </c>
      <c r="R27" s="36" t="s">
        <v>151</v>
      </c>
      <c r="S27" s="34">
        <f>SUM(C78:C81)</f>
        <v>18</v>
      </c>
      <c r="T27" s="34">
        <f t="shared" ref="T27:AF27" si="19">SUM(D78:D81)</f>
        <v>11</v>
      </c>
      <c r="U27" s="34">
        <f t="shared" si="19"/>
        <v>0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8</v>
      </c>
      <c r="AA27" s="34">
        <f t="shared" si="19"/>
        <v>6</v>
      </c>
      <c r="AB27" s="34">
        <f t="shared" si="19"/>
        <v>12</v>
      </c>
      <c r="AC27" s="34">
        <f t="shared" si="19"/>
        <v>12</v>
      </c>
      <c r="AD27" s="34">
        <f t="shared" si="19"/>
        <v>0</v>
      </c>
      <c r="AE27" s="31">
        <f t="shared" si="19"/>
        <v>63</v>
      </c>
      <c r="AF27" s="31">
        <f t="shared" si="19"/>
        <v>75</v>
      </c>
    </row>
    <row r="28" spans="2:32" ht="23.1" customHeight="1" x14ac:dyDescent="0.25">
      <c r="B28" s="45" t="s">
        <v>55</v>
      </c>
      <c r="C28" s="50">
        <v>17</v>
      </c>
      <c r="D28" s="50">
        <v>5</v>
      </c>
      <c r="E28" s="50">
        <v>2</v>
      </c>
      <c r="F28" s="50">
        <v>17</v>
      </c>
      <c r="G28" s="50">
        <v>0</v>
      </c>
      <c r="H28" s="50">
        <v>0</v>
      </c>
      <c r="I28" s="50">
        <v>6</v>
      </c>
      <c r="J28" s="50">
        <v>3</v>
      </c>
      <c r="K28" s="50">
        <v>4</v>
      </c>
      <c r="L28" s="50">
        <v>2</v>
      </c>
      <c r="M28" s="50">
        <v>49</v>
      </c>
      <c r="N28" s="50">
        <v>0</v>
      </c>
      <c r="O28" s="15">
        <f t="shared" si="0"/>
        <v>56</v>
      </c>
      <c r="P28" s="15">
        <f t="shared" si="1"/>
        <v>105</v>
      </c>
      <c r="R28" s="36" t="s">
        <v>152</v>
      </c>
      <c r="S28" s="34">
        <f>SUM(C82:C85)</f>
        <v>4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5</v>
      </c>
      <c r="AA28" s="34">
        <f t="shared" si="20"/>
        <v>9</v>
      </c>
      <c r="AB28" s="34">
        <f t="shared" si="20"/>
        <v>7</v>
      </c>
      <c r="AC28" s="34">
        <f t="shared" si="20"/>
        <v>5</v>
      </c>
      <c r="AD28" s="34">
        <f t="shared" si="20"/>
        <v>0</v>
      </c>
      <c r="AE28" s="31">
        <f t="shared" si="20"/>
        <v>33</v>
      </c>
      <c r="AF28" s="31">
        <f t="shared" si="20"/>
        <v>38</v>
      </c>
    </row>
    <row r="29" spans="2:32" ht="23.1" customHeight="1" x14ac:dyDescent="0.25">
      <c r="B29" s="45" t="s">
        <v>56</v>
      </c>
      <c r="C29" s="50">
        <v>23</v>
      </c>
      <c r="D29" s="50">
        <v>6</v>
      </c>
      <c r="E29" s="50">
        <v>4</v>
      </c>
      <c r="F29" s="50">
        <v>12</v>
      </c>
      <c r="G29" s="50">
        <v>0</v>
      </c>
      <c r="H29" s="50">
        <v>0</v>
      </c>
      <c r="I29" s="50">
        <v>5</v>
      </c>
      <c r="J29" s="50">
        <v>2</v>
      </c>
      <c r="K29" s="50">
        <v>1</v>
      </c>
      <c r="L29" s="50">
        <v>4</v>
      </c>
      <c r="M29" s="50">
        <v>26</v>
      </c>
      <c r="N29" s="50">
        <v>0</v>
      </c>
      <c r="O29" s="15">
        <f t="shared" si="0"/>
        <v>57</v>
      </c>
      <c r="P29" s="15">
        <f t="shared" si="1"/>
        <v>83</v>
      </c>
      <c r="R29" s="36" t="s">
        <v>153</v>
      </c>
      <c r="S29" s="34">
        <f>SUM(C86:C89)</f>
        <v>8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4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3</v>
      </c>
      <c r="AA29" s="34">
        <f t="shared" si="21"/>
        <v>6</v>
      </c>
      <c r="AB29" s="34">
        <f t="shared" si="21"/>
        <v>6</v>
      </c>
      <c r="AC29" s="34">
        <f t="shared" si="21"/>
        <v>1</v>
      </c>
      <c r="AD29" s="34">
        <f t="shared" si="21"/>
        <v>0</v>
      </c>
      <c r="AE29" s="31">
        <f t="shared" si="21"/>
        <v>29</v>
      </c>
      <c r="AF29" s="31">
        <f t="shared" si="21"/>
        <v>30</v>
      </c>
    </row>
    <row r="30" spans="2:32" ht="23.1" customHeight="1" x14ac:dyDescent="0.25">
      <c r="B30" s="45" t="s">
        <v>57</v>
      </c>
      <c r="C30" s="50">
        <v>27</v>
      </c>
      <c r="D30" s="50">
        <v>10</v>
      </c>
      <c r="E30" s="50">
        <v>3</v>
      </c>
      <c r="F30" s="50">
        <v>18</v>
      </c>
      <c r="G30" s="50">
        <v>0</v>
      </c>
      <c r="H30" s="50">
        <v>0</v>
      </c>
      <c r="I30" s="50">
        <v>13</v>
      </c>
      <c r="J30" s="50">
        <v>4</v>
      </c>
      <c r="K30" s="50">
        <v>3</v>
      </c>
      <c r="L30" s="50">
        <v>2</v>
      </c>
      <c r="M30" s="50">
        <v>35</v>
      </c>
      <c r="N30" s="50">
        <v>0</v>
      </c>
      <c r="O30" s="15">
        <f t="shared" si="0"/>
        <v>80</v>
      </c>
      <c r="P30" s="15">
        <f t="shared" si="1"/>
        <v>115</v>
      </c>
      <c r="R30" s="36" t="s">
        <v>154</v>
      </c>
      <c r="S30" s="34">
        <f>SUM(C90:C93)</f>
        <v>7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8</v>
      </c>
      <c r="AA30" s="34">
        <f t="shared" si="22"/>
        <v>4</v>
      </c>
      <c r="AB30" s="34">
        <f t="shared" si="22"/>
        <v>5</v>
      </c>
      <c r="AC30" s="34">
        <f t="shared" si="22"/>
        <v>0</v>
      </c>
      <c r="AD30" s="34">
        <f t="shared" si="22"/>
        <v>0</v>
      </c>
      <c r="AE30" s="31">
        <f t="shared" si="22"/>
        <v>31</v>
      </c>
      <c r="AF30" s="31">
        <f t="shared" si="22"/>
        <v>31</v>
      </c>
    </row>
    <row r="31" spans="2:32" ht="23.1" customHeight="1" x14ac:dyDescent="0.25">
      <c r="B31" s="46" t="s">
        <v>58</v>
      </c>
      <c r="C31" s="50">
        <v>18</v>
      </c>
      <c r="D31" s="50">
        <v>7</v>
      </c>
      <c r="E31" s="50">
        <v>3</v>
      </c>
      <c r="F31" s="50">
        <v>15</v>
      </c>
      <c r="G31" s="50">
        <v>0</v>
      </c>
      <c r="H31" s="50">
        <v>0</v>
      </c>
      <c r="I31" s="50">
        <v>4</v>
      </c>
      <c r="J31" s="50">
        <v>4</v>
      </c>
      <c r="K31" s="50">
        <v>2</v>
      </c>
      <c r="L31" s="50">
        <v>7</v>
      </c>
      <c r="M31" s="50">
        <v>41</v>
      </c>
      <c r="N31" s="50">
        <v>1</v>
      </c>
      <c r="O31" s="15">
        <f t="shared" si="0"/>
        <v>61</v>
      </c>
      <c r="P31" s="15">
        <f t="shared" si="1"/>
        <v>102</v>
      </c>
      <c r="R31" s="36" t="s">
        <v>155</v>
      </c>
      <c r="S31" s="34">
        <f>SUM(C94:C97)</f>
        <v>5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6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8</v>
      </c>
      <c r="AA31" s="34">
        <f t="shared" si="23"/>
        <v>5</v>
      </c>
      <c r="AB31" s="34">
        <f t="shared" si="23"/>
        <v>9</v>
      </c>
      <c r="AC31" s="34">
        <f t="shared" si="23"/>
        <v>7</v>
      </c>
      <c r="AD31" s="34">
        <f t="shared" si="23"/>
        <v>0</v>
      </c>
      <c r="AE31" s="31">
        <f t="shared" si="23"/>
        <v>35</v>
      </c>
      <c r="AF31" s="31">
        <f t="shared" si="23"/>
        <v>42</v>
      </c>
    </row>
    <row r="32" spans="2:32" ht="23.1" customHeight="1" x14ac:dyDescent="0.25">
      <c r="B32" s="46" t="s">
        <v>59</v>
      </c>
      <c r="C32" s="50">
        <v>13</v>
      </c>
      <c r="D32" s="50">
        <v>7</v>
      </c>
      <c r="E32" s="50">
        <v>1</v>
      </c>
      <c r="F32" s="50">
        <v>17</v>
      </c>
      <c r="G32" s="50">
        <v>0</v>
      </c>
      <c r="H32" s="50">
        <v>0</v>
      </c>
      <c r="I32" s="50">
        <v>2</v>
      </c>
      <c r="J32" s="50">
        <v>4</v>
      </c>
      <c r="K32" s="50">
        <v>3</v>
      </c>
      <c r="L32" s="50">
        <v>4</v>
      </c>
      <c r="M32" s="50">
        <v>40</v>
      </c>
      <c r="N32" s="50">
        <v>0</v>
      </c>
      <c r="O32" s="15">
        <f t="shared" si="0"/>
        <v>51</v>
      </c>
      <c r="P32" s="15">
        <f t="shared" si="1"/>
        <v>91</v>
      </c>
      <c r="R32" s="33" t="s">
        <v>156</v>
      </c>
      <c r="S32" s="34">
        <f>SUM(C98:C101)</f>
        <v>15</v>
      </c>
      <c r="T32" s="34">
        <f t="shared" ref="T32:AF32" si="24">SUM(D98:D101)</f>
        <v>7</v>
      </c>
      <c r="U32" s="34">
        <f t="shared" si="24"/>
        <v>1</v>
      </c>
      <c r="V32" s="34">
        <f t="shared" si="24"/>
        <v>19</v>
      </c>
      <c r="W32" s="34">
        <f t="shared" si="24"/>
        <v>1</v>
      </c>
      <c r="X32" s="34">
        <f t="shared" si="24"/>
        <v>0</v>
      </c>
      <c r="Y32" s="34">
        <f t="shared" si="24"/>
        <v>0</v>
      </c>
      <c r="Z32" s="34">
        <f t="shared" si="24"/>
        <v>6</v>
      </c>
      <c r="AA32" s="34">
        <f t="shared" si="24"/>
        <v>8</v>
      </c>
      <c r="AB32" s="34">
        <f t="shared" si="24"/>
        <v>10</v>
      </c>
      <c r="AC32" s="34">
        <f t="shared" si="24"/>
        <v>8</v>
      </c>
      <c r="AD32" s="34">
        <f t="shared" si="24"/>
        <v>0</v>
      </c>
      <c r="AE32" s="31">
        <f t="shared" si="24"/>
        <v>67</v>
      </c>
      <c r="AF32" s="31">
        <f t="shared" si="24"/>
        <v>75</v>
      </c>
    </row>
    <row r="33" spans="2:32" ht="23.1" customHeight="1" x14ac:dyDescent="0.25">
      <c r="B33" s="45" t="s">
        <v>60</v>
      </c>
      <c r="C33" s="50">
        <v>23</v>
      </c>
      <c r="D33" s="50">
        <v>11</v>
      </c>
      <c r="E33" s="50">
        <v>6</v>
      </c>
      <c r="F33" s="50">
        <v>22</v>
      </c>
      <c r="G33" s="50">
        <v>0</v>
      </c>
      <c r="H33" s="50">
        <v>0</v>
      </c>
      <c r="I33" s="50">
        <v>10</v>
      </c>
      <c r="J33" s="50">
        <v>6</v>
      </c>
      <c r="K33" s="50">
        <v>4</v>
      </c>
      <c r="L33" s="50">
        <v>5</v>
      </c>
      <c r="M33" s="50">
        <v>40</v>
      </c>
      <c r="N33" s="50">
        <v>0</v>
      </c>
      <c r="O33" s="15">
        <f t="shared" si="0"/>
        <v>87</v>
      </c>
      <c r="P33" s="15">
        <f t="shared" si="1"/>
        <v>127</v>
      </c>
      <c r="R33" s="33" t="s">
        <v>157</v>
      </c>
      <c r="S33" s="34">
        <f>SUM(C102:C105)</f>
        <v>81</v>
      </c>
      <c r="T33" s="34">
        <f t="shared" ref="T33:AF33" si="25">SUM(D102:D105)</f>
        <v>51</v>
      </c>
      <c r="U33" s="34">
        <f t="shared" si="25"/>
        <v>30</v>
      </c>
      <c r="V33" s="34">
        <f t="shared" si="25"/>
        <v>68</v>
      </c>
      <c r="W33" s="34">
        <f t="shared" si="25"/>
        <v>5</v>
      </c>
      <c r="X33" s="34">
        <f t="shared" si="25"/>
        <v>0</v>
      </c>
      <c r="Y33" s="34">
        <f t="shared" si="25"/>
        <v>7</v>
      </c>
      <c r="Z33" s="34">
        <f t="shared" si="25"/>
        <v>18</v>
      </c>
      <c r="AA33" s="34">
        <f t="shared" si="25"/>
        <v>36</v>
      </c>
      <c r="AB33" s="34">
        <f t="shared" si="25"/>
        <v>17</v>
      </c>
      <c r="AC33" s="34">
        <f t="shared" si="25"/>
        <v>32</v>
      </c>
      <c r="AD33" s="34">
        <f t="shared" si="25"/>
        <v>0</v>
      </c>
      <c r="AE33" s="31">
        <f t="shared" si="25"/>
        <v>313</v>
      </c>
      <c r="AF33" s="31">
        <f t="shared" si="25"/>
        <v>345</v>
      </c>
    </row>
    <row r="34" spans="2:32" ht="23.1" customHeight="1" x14ac:dyDescent="0.25">
      <c r="B34" s="46" t="s">
        <v>61</v>
      </c>
      <c r="C34" s="50">
        <v>14</v>
      </c>
      <c r="D34" s="50">
        <v>3</v>
      </c>
      <c r="E34" s="50">
        <v>4</v>
      </c>
      <c r="F34" s="50">
        <v>8</v>
      </c>
      <c r="G34" s="50">
        <v>0</v>
      </c>
      <c r="H34" s="50">
        <v>2</v>
      </c>
      <c r="I34" s="50">
        <v>1</v>
      </c>
      <c r="J34" s="50">
        <v>5</v>
      </c>
      <c r="K34" s="50">
        <v>3</v>
      </c>
      <c r="L34" s="50">
        <v>6</v>
      </c>
      <c r="M34" s="50">
        <v>19</v>
      </c>
      <c r="N34" s="50">
        <v>0</v>
      </c>
      <c r="O34" s="15">
        <f t="shared" si="0"/>
        <v>46</v>
      </c>
      <c r="P34" s="15">
        <f t="shared" si="1"/>
        <v>65</v>
      </c>
      <c r="R34" s="38" t="s">
        <v>90</v>
      </c>
      <c r="S34" s="39">
        <f t="shared" ref="S34:AF34" si="26">MAX(S10:S12)</f>
        <v>239</v>
      </c>
      <c r="T34" s="39">
        <f t="shared" si="26"/>
        <v>48</v>
      </c>
      <c r="U34" s="39">
        <f t="shared" si="26"/>
        <v>47</v>
      </c>
      <c r="V34" s="39">
        <f t="shared" si="26"/>
        <v>116</v>
      </c>
      <c r="W34" s="39">
        <f t="shared" si="26"/>
        <v>7</v>
      </c>
      <c r="X34" s="39">
        <f t="shared" si="26"/>
        <v>0</v>
      </c>
      <c r="Y34" s="39">
        <f t="shared" si="26"/>
        <v>28</v>
      </c>
      <c r="Z34" s="39">
        <f t="shared" si="26"/>
        <v>17</v>
      </c>
      <c r="AA34" s="39">
        <f t="shared" si="26"/>
        <v>12</v>
      </c>
      <c r="AB34" s="39">
        <f t="shared" si="26"/>
        <v>28</v>
      </c>
      <c r="AC34" s="39">
        <f t="shared" si="26"/>
        <v>198</v>
      </c>
      <c r="AD34" s="39">
        <f t="shared" si="26"/>
        <v>1</v>
      </c>
      <c r="AE34" s="40">
        <f t="shared" si="26"/>
        <v>508</v>
      </c>
      <c r="AF34" s="40">
        <f t="shared" si="26"/>
        <v>648</v>
      </c>
    </row>
    <row r="35" spans="2:32" ht="23.1" customHeight="1" x14ac:dyDescent="0.25">
      <c r="B35" s="46" t="s">
        <v>62</v>
      </c>
      <c r="C35" s="50">
        <v>15</v>
      </c>
      <c r="D35" s="50">
        <v>1</v>
      </c>
      <c r="E35" s="50">
        <v>1</v>
      </c>
      <c r="F35" s="50">
        <v>13</v>
      </c>
      <c r="G35" s="50">
        <v>0</v>
      </c>
      <c r="H35" s="50">
        <v>0</v>
      </c>
      <c r="I35" s="50">
        <v>7</v>
      </c>
      <c r="J35" s="50">
        <v>4</v>
      </c>
      <c r="K35" s="50">
        <v>2</v>
      </c>
      <c r="L35" s="50">
        <v>3</v>
      </c>
      <c r="M35" s="50">
        <v>23</v>
      </c>
      <c r="N35" s="50">
        <v>0</v>
      </c>
      <c r="O35" s="15">
        <f t="shared" si="0"/>
        <v>46</v>
      </c>
      <c r="P35" s="15">
        <f t="shared" si="1"/>
        <v>69</v>
      </c>
      <c r="R35" s="38" t="s">
        <v>91</v>
      </c>
      <c r="S35" s="39">
        <f t="shared" ref="S35:AF35" si="27">MAX(S13:S18)</f>
        <v>87</v>
      </c>
      <c r="T35" s="39">
        <f t="shared" si="27"/>
        <v>35</v>
      </c>
      <c r="U35" s="39">
        <f t="shared" si="27"/>
        <v>14</v>
      </c>
      <c r="V35" s="39">
        <f t="shared" si="27"/>
        <v>72</v>
      </c>
      <c r="W35" s="39">
        <f t="shared" si="27"/>
        <v>7</v>
      </c>
      <c r="X35" s="39">
        <f t="shared" si="27"/>
        <v>2</v>
      </c>
      <c r="Y35" s="39">
        <f t="shared" si="27"/>
        <v>29</v>
      </c>
      <c r="Z35" s="39">
        <f t="shared" si="27"/>
        <v>27</v>
      </c>
      <c r="AA35" s="39">
        <f t="shared" si="27"/>
        <v>12</v>
      </c>
      <c r="AB35" s="39">
        <f t="shared" si="27"/>
        <v>26</v>
      </c>
      <c r="AC35" s="39">
        <f t="shared" si="27"/>
        <v>164</v>
      </c>
      <c r="AD35" s="39">
        <f t="shared" si="27"/>
        <v>2</v>
      </c>
      <c r="AE35" s="40">
        <f t="shared" si="27"/>
        <v>279</v>
      </c>
      <c r="AF35" s="40">
        <f t="shared" si="27"/>
        <v>435</v>
      </c>
    </row>
    <row r="36" spans="2:32" ht="23.1" customHeight="1" x14ac:dyDescent="0.25">
      <c r="B36" s="46" t="s">
        <v>63</v>
      </c>
      <c r="C36" s="50">
        <v>15</v>
      </c>
      <c r="D36" s="50">
        <v>2</v>
      </c>
      <c r="E36" s="50">
        <v>1</v>
      </c>
      <c r="F36" s="50">
        <v>15</v>
      </c>
      <c r="G36" s="50">
        <v>0</v>
      </c>
      <c r="H36" s="50">
        <v>0</v>
      </c>
      <c r="I36" s="50">
        <v>8</v>
      </c>
      <c r="J36" s="50">
        <v>8</v>
      </c>
      <c r="K36" s="50">
        <v>1</v>
      </c>
      <c r="L36" s="50">
        <v>3</v>
      </c>
      <c r="M36" s="50">
        <v>32</v>
      </c>
      <c r="N36" s="50">
        <v>0</v>
      </c>
      <c r="O36" s="15">
        <f t="shared" si="0"/>
        <v>53</v>
      </c>
      <c r="P36" s="15">
        <f t="shared" si="1"/>
        <v>85</v>
      </c>
      <c r="R36" s="38" t="s">
        <v>92</v>
      </c>
      <c r="S36" s="39">
        <f t="shared" ref="S36:AF36" si="28">MAX(S19:S21)</f>
        <v>142</v>
      </c>
      <c r="T36" s="39">
        <f t="shared" si="28"/>
        <v>47</v>
      </c>
      <c r="U36" s="39">
        <f t="shared" si="28"/>
        <v>21</v>
      </c>
      <c r="V36" s="39">
        <f t="shared" si="28"/>
        <v>116</v>
      </c>
      <c r="W36" s="39">
        <f t="shared" si="28"/>
        <v>3</v>
      </c>
      <c r="X36" s="39">
        <f t="shared" si="28"/>
        <v>3</v>
      </c>
      <c r="Y36" s="39">
        <f t="shared" si="28"/>
        <v>19</v>
      </c>
      <c r="Z36" s="39">
        <f t="shared" si="28"/>
        <v>21</v>
      </c>
      <c r="AA36" s="39">
        <f t="shared" si="28"/>
        <v>11</v>
      </c>
      <c r="AB36" s="39">
        <f t="shared" si="28"/>
        <v>30</v>
      </c>
      <c r="AC36" s="39">
        <f t="shared" si="28"/>
        <v>217</v>
      </c>
      <c r="AD36" s="39">
        <f t="shared" si="28"/>
        <v>0</v>
      </c>
      <c r="AE36" s="40">
        <f t="shared" si="28"/>
        <v>400</v>
      </c>
      <c r="AF36" s="40">
        <f t="shared" si="28"/>
        <v>617</v>
      </c>
    </row>
    <row r="37" spans="2:32" ht="23.1" customHeight="1" x14ac:dyDescent="0.25">
      <c r="B37" s="45" t="s">
        <v>64</v>
      </c>
      <c r="C37" s="50">
        <v>17</v>
      </c>
      <c r="D37" s="50">
        <v>3</v>
      </c>
      <c r="E37" s="50">
        <v>4</v>
      </c>
      <c r="F37" s="50">
        <v>12</v>
      </c>
      <c r="G37" s="50">
        <v>0</v>
      </c>
      <c r="H37" s="50">
        <v>0</v>
      </c>
      <c r="I37" s="50">
        <v>2</v>
      </c>
      <c r="J37" s="50">
        <v>10</v>
      </c>
      <c r="K37" s="50">
        <v>2</v>
      </c>
      <c r="L37" s="50">
        <v>3</v>
      </c>
      <c r="M37" s="50">
        <v>38</v>
      </c>
      <c r="N37" s="50">
        <v>0</v>
      </c>
      <c r="O37" s="15">
        <f t="shared" si="0"/>
        <v>53</v>
      </c>
      <c r="P37" s="15">
        <f t="shared" si="1"/>
        <v>91</v>
      </c>
      <c r="R37" s="37" t="s">
        <v>85</v>
      </c>
      <c r="S37" s="35">
        <f t="shared" ref="S37:AF37" si="29">SUM(S10:S12)</f>
        <v>556</v>
      </c>
      <c r="T37" s="16">
        <f t="shared" si="29"/>
        <v>107</v>
      </c>
      <c r="U37" s="16">
        <f t="shared" si="29"/>
        <v>101</v>
      </c>
      <c r="V37" s="16">
        <f t="shared" si="29"/>
        <v>313</v>
      </c>
      <c r="W37" s="16">
        <f t="shared" si="29"/>
        <v>11</v>
      </c>
      <c r="X37" s="16">
        <f t="shared" si="29"/>
        <v>0</v>
      </c>
      <c r="Y37" s="16">
        <f t="shared" si="29"/>
        <v>61</v>
      </c>
      <c r="Z37" s="16">
        <f t="shared" si="29"/>
        <v>42</v>
      </c>
      <c r="AA37" s="16">
        <f t="shared" si="29"/>
        <v>31</v>
      </c>
      <c r="AB37" s="16">
        <f t="shared" si="29"/>
        <v>68</v>
      </c>
      <c r="AC37" s="16">
        <f t="shared" si="29"/>
        <v>485</v>
      </c>
      <c r="AD37" s="16">
        <f t="shared" si="29"/>
        <v>1</v>
      </c>
      <c r="AE37" s="32">
        <f t="shared" si="29"/>
        <v>1291</v>
      </c>
      <c r="AF37" s="32">
        <f t="shared" si="29"/>
        <v>1776</v>
      </c>
    </row>
    <row r="38" spans="2:32" ht="23.1" customHeight="1" x14ac:dyDescent="0.25">
      <c r="B38" s="46" t="s">
        <v>65</v>
      </c>
      <c r="C38" s="50">
        <v>17</v>
      </c>
      <c r="D38" s="50">
        <v>2</v>
      </c>
      <c r="E38" s="50">
        <v>3</v>
      </c>
      <c r="F38" s="50">
        <v>12</v>
      </c>
      <c r="G38" s="50">
        <v>0</v>
      </c>
      <c r="H38" s="50">
        <v>0</v>
      </c>
      <c r="I38" s="50">
        <v>4</v>
      </c>
      <c r="J38" s="50">
        <v>3</v>
      </c>
      <c r="K38" s="50">
        <v>0</v>
      </c>
      <c r="L38" s="50">
        <v>4</v>
      </c>
      <c r="M38" s="50">
        <v>37</v>
      </c>
      <c r="N38" s="50">
        <v>1</v>
      </c>
      <c r="O38" s="15">
        <f t="shared" si="0"/>
        <v>46</v>
      </c>
      <c r="P38" s="15">
        <f t="shared" si="1"/>
        <v>83</v>
      </c>
      <c r="R38" s="28" t="s">
        <v>86</v>
      </c>
      <c r="S38" s="16">
        <f t="shared" ref="S38:AF38" si="30">SUM(S13:S18)</f>
        <v>427</v>
      </c>
      <c r="T38" s="16">
        <f t="shared" si="30"/>
        <v>135</v>
      </c>
      <c r="U38" s="16">
        <f t="shared" si="30"/>
        <v>71</v>
      </c>
      <c r="V38" s="16">
        <f t="shared" si="30"/>
        <v>386</v>
      </c>
      <c r="W38" s="16">
        <f t="shared" si="30"/>
        <v>11</v>
      </c>
      <c r="X38" s="16">
        <f t="shared" si="30"/>
        <v>3</v>
      </c>
      <c r="Y38" s="16">
        <f t="shared" si="30"/>
        <v>109</v>
      </c>
      <c r="Z38" s="16">
        <f t="shared" si="30"/>
        <v>111</v>
      </c>
      <c r="AA38" s="16">
        <f t="shared" si="30"/>
        <v>57</v>
      </c>
      <c r="AB38" s="16">
        <f t="shared" si="30"/>
        <v>110</v>
      </c>
      <c r="AC38" s="16">
        <f t="shared" si="30"/>
        <v>859</v>
      </c>
      <c r="AD38" s="16">
        <f t="shared" si="30"/>
        <v>4</v>
      </c>
      <c r="AE38" s="32">
        <f t="shared" si="30"/>
        <v>1424</v>
      </c>
      <c r="AF38" s="32">
        <f t="shared" si="30"/>
        <v>2283</v>
      </c>
    </row>
    <row r="39" spans="2:32" ht="23.1" customHeight="1" x14ac:dyDescent="0.25">
      <c r="B39" s="46" t="s">
        <v>66</v>
      </c>
      <c r="C39" s="50">
        <v>19</v>
      </c>
      <c r="D39" s="50">
        <v>5</v>
      </c>
      <c r="E39" s="50">
        <v>5</v>
      </c>
      <c r="F39" s="50">
        <v>14</v>
      </c>
      <c r="G39" s="50">
        <v>0</v>
      </c>
      <c r="H39" s="50">
        <v>0</v>
      </c>
      <c r="I39" s="50">
        <v>10</v>
      </c>
      <c r="J39" s="50">
        <v>3</v>
      </c>
      <c r="K39" s="50">
        <v>2</v>
      </c>
      <c r="L39" s="50">
        <v>5</v>
      </c>
      <c r="M39" s="50">
        <v>30</v>
      </c>
      <c r="N39" s="50">
        <v>0</v>
      </c>
      <c r="O39" s="15">
        <f t="shared" si="0"/>
        <v>63</v>
      </c>
      <c r="P39" s="15">
        <f t="shared" si="1"/>
        <v>93</v>
      </c>
      <c r="R39" s="29" t="s">
        <v>87</v>
      </c>
      <c r="S39" s="16">
        <f t="shared" ref="S39:AF39" si="31">SUM(S19:S21)</f>
        <v>336</v>
      </c>
      <c r="T39" s="16">
        <f t="shared" si="31"/>
        <v>100</v>
      </c>
      <c r="U39" s="16">
        <f t="shared" si="31"/>
        <v>51</v>
      </c>
      <c r="V39" s="16">
        <f t="shared" si="31"/>
        <v>287</v>
      </c>
      <c r="W39" s="16">
        <f t="shared" si="31"/>
        <v>5</v>
      </c>
      <c r="X39" s="16">
        <f t="shared" si="31"/>
        <v>3</v>
      </c>
      <c r="Y39" s="16">
        <f t="shared" si="31"/>
        <v>48</v>
      </c>
      <c r="Z39" s="16">
        <f t="shared" si="31"/>
        <v>50</v>
      </c>
      <c r="AA39" s="16">
        <f t="shared" si="31"/>
        <v>27</v>
      </c>
      <c r="AB39" s="16">
        <f t="shared" si="31"/>
        <v>76</v>
      </c>
      <c r="AC39" s="16">
        <f t="shared" si="31"/>
        <v>497</v>
      </c>
      <c r="AD39" s="16">
        <f t="shared" si="31"/>
        <v>0</v>
      </c>
      <c r="AE39" s="32">
        <f t="shared" si="31"/>
        <v>983</v>
      </c>
      <c r="AF39" s="32">
        <f t="shared" si="31"/>
        <v>1480</v>
      </c>
    </row>
    <row r="40" spans="2:32" ht="23.1" customHeight="1" x14ac:dyDescent="0.25">
      <c r="B40" s="46" t="s">
        <v>67</v>
      </c>
      <c r="C40" s="50">
        <v>25</v>
      </c>
      <c r="D40" s="50">
        <v>4</v>
      </c>
      <c r="E40" s="50">
        <v>2</v>
      </c>
      <c r="F40" s="50">
        <v>22</v>
      </c>
      <c r="G40" s="50">
        <v>0</v>
      </c>
      <c r="H40" s="50">
        <v>0</v>
      </c>
      <c r="I40" s="50">
        <v>4</v>
      </c>
      <c r="J40" s="50">
        <v>4</v>
      </c>
      <c r="K40" s="50">
        <v>3</v>
      </c>
      <c r="L40" s="50">
        <v>3</v>
      </c>
      <c r="M40" s="50">
        <v>31</v>
      </c>
      <c r="N40" s="50">
        <v>0</v>
      </c>
      <c r="O40" s="15">
        <f t="shared" si="0"/>
        <v>67</v>
      </c>
      <c r="P40" s="15">
        <f t="shared" si="1"/>
        <v>98</v>
      </c>
      <c r="R40" s="5" t="s">
        <v>17</v>
      </c>
      <c r="S40" s="16">
        <f t="shared" ref="S40:AF40" si="32">SUM(S10:S21)</f>
        <v>1319</v>
      </c>
      <c r="T40" s="16">
        <f t="shared" si="32"/>
        <v>342</v>
      </c>
      <c r="U40" s="16">
        <f t="shared" si="32"/>
        <v>223</v>
      </c>
      <c r="V40" s="16">
        <f t="shared" si="32"/>
        <v>986</v>
      </c>
      <c r="W40" s="16">
        <f t="shared" si="32"/>
        <v>27</v>
      </c>
      <c r="X40" s="16">
        <f t="shared" si="32"/>
        <v>6</v>
      </c>
      <c r="Y40" s="16">
        <f t="shared" si="32"/>
        <v>218</v>
      </c>
      <c r="Z40" s="16">
        <f t="shared" si="32"/>
        <v>203</v>
      </c>
      <c r="AA40" s="16">
        <f t="shared" si="32"/>
        <v>115</v>
      </c>
      <c r="AB40" s="16">
        <f t="shared" si="32"/>
        <v>254</v>
      </c>
      <c r="AC40" s="16">
        <f t="shared" si="32"/>
        <v>1841</v>
      </c>
      <c r="AD40" s="16">
        <f t="shared" si="32"/>
        <v>5</v>
      </c>
      <c r="AE40" s="32">
        <f t="shared" si="32"/>
        <v>3698</v>
      </c>
      <c r="AF40" s="32">
        <f t="shared" si="32"/>
        <v>5539</v>
      </c>
    </row>
    <row r="41" spans="2:32" ht="23.1" customHeight="1" x14ac:dyDescent="0.25">
      <c r="B41" s="45" t="s">
        <v>68</v>
      </c>
      <c r="C41" s="50">
        <v>17</v>
      </c>
      <c r="D41" s="50">
        <v>8</v>
      </c>
      <c r="E41" s="50">
        <v>2</v>
      </c>
      <c r="F41" s="50">
        <v>14</v>
      </c>
      <c r="G41" s="50">
        <v>0</v>
      </c>
      <c r="H41" s="50">
        <v>0</v>
      </c>
      <c r="I41" s="50">
        <v>2</v>
      </c>
      <c r="J41" s="50">
        <v>5</v>
      </c>
      <c r="K41" s="50">
        <v>2</v>
      </c>
      <c r="L41" s="50">
        <v>2</v>
      </c>
      <c r="M41" s="50">
        <v>31</v>
      </c>
      <c r="N41" s="50">
        <v>1</v>
      </c>
      <c r="O41" s="15">
        <f t="shared" si="0"/>
        <v>53</v>
      </c>
      <c r="P41" s="15">
        <f t="shared" si="1"/>
        <v>84</v>
      </c>
      <c r="R41" s="5" t="s">
        <v>159</v>
      </c>
      <c r="S41" s="16">
        <f>SUM(S10:S33)</f>
        <v>1815</v>
      </c>
      <c r="T41" s="16">
        <f t="shared" ref="T41:AF41" si="33">SUM(T10:T33)</f>
        <v>536</v>
      </c>
      <c r="U41" s="16">
        <f t="shared" si="33"/>
        <v>303</v>
      </c>
      <c r="V41" s="16">
        <f t="shared" si="33"/>
        <v>1406</v>
      </c>
      <c r="W41" s="16">
        <f t="shared" si="33"/>
        <v>46</v>
      </c>
      <c r="X41" s="16">
        <f t="shared" si="33"/>
        <v>11</v>
      </c>
      <c r="Y41" s="16">
        <f t="shared" si="33"/>
        <v>285</v>
      </c>
      <c r="Z41" s="16">
        <f t="shared" si="33"/>
        <v>317</v>
      </c>
      <c r="AA41" s="16">
        <f t="shared" si="33"/>
        <v>228</v>
      </c>
      <c r="AB41" s="16">
        <f t="shared" si="33"/>
        <v>371</v>
      </c>
      <c r="AC41" s="16">
        <f t="shared" si="33"/>
        <v>2440</v>
      </c>
      <c r="AD41" s="16">
        <f t="shared" si="33"/>
        <v>6</v>
      </c>
      <c r="AE41" s="32">
        <f t="shared" si="33"/>
        <v>5324</v>
      </c>
      <c r="AF41" s="32">
        <f t="shared" si="33"/>
        <v>7764</v>
      </c>
    </row>
    <row r="42" spans="2:32" ht="23.1" customHeight="1" x14ac:dyDescent="0.25">
      <c r="B42" s="46" t="s">
        <v>69</v>
      </c>
      <c r="C42" s="50">
        <v>12</v>
      </c>
      <c r="D42" s="50">
        <v>7</v>
      </c>
      <c r="E42" s="50">
        <v>6</v>
      </c>
      <c r="F42" s="50">
        <v>15</v>
      </c>
      <c r="G42" s="50">
        <v>0</v>
      </c>
      <c r="H42" s="50">
        <v>0</v>
      </c>
      <c r="I42" s="50">
        <v>2</v>
      </c>
      <c r="J42" s="50">
        <v>1</v>
      </c>
      <c r="K42" s="50">
        <v>2</v>
      </c>
      <c r="L42" s="50">
        <v>5</v>
      </c>
      <c r="M42" s="50">
        <v>21</v>
      </c>
      <c r="N42" s="50">
        <v>0</v>
      </c>
      <c r="O42" s="15">
        <f t="shared" si="0"/>
        <v>50</v>
      </c>
      <c r="P42" s="15">
        <f t="shared" si="1"/>
        <v>71</v>
      </c>
      <c r="R42" s="5" t="s">
        <v>160</v>
      </c>
      <c r="S42" s="48">
        <f>S41/S40</f>
        <v>1.3760424564063685</v>
      </c>
      <c r="T42" s="48">
        <f t="shared" ref="T42:AF42" si="34">T41/T40</f>
        <v>1.567251461988304</v>
      </c>
      <c r="U42" s="48">
        <f t="shared" si="34"/>
        <v>1.358744394618834</v>
      </c>
      <c r="V42" s="48">
        <f t="shared" si="34"/>
        <v>1.4259634888438133</v>
      </c>
      <c r="W42" s="48">
        <f t="shared" si="34"/>
        <v>1.7037037037037037</v>
      </c>
      <c r="X42" s="48">
        <f t="shared" si="34"/>
        <v>1.8333333333333333</v>
      </c>
      <c r="Y42" s="48">
        <f t="shared" si="34"/>
        <v>1.3073394495412844</v>
      </c>
      <c r="Z42" s="48">
        <f t="shared" si="34"/>
        <v>1.5615763546798029</v>
      </c>
      <c r="AA42" s="48">
        <f t="shared" si="34"/>
        <v>1.982608695652174</v>
      </c>
      <c r="AB42" s="48">
        <f t="shared" si="34"/>
        <v>1.4606299212598426</v>
      </c>
      <c r="AC42" s="48">
        <f t="shared" si="34"/>
        <v>1.3253666485605649</v>
      </c>
      <c r="AD42" s="48">
        <f t="shared" si="34"/>
        <v>1.2</v>
      </c>
      <c r="AE42" s="48">
        <f t="shared" si="34"/>
        <v>1.439697133585722</v>
      </c>
      <c r="AF42" s="48">
        <f t="shared" si="34"/>
        <v>1.4016970572305469</v>
      </c>
    </row>
    <row r="43" spans="2:32" ht="23.1" customHeight="1" x14ac:dyDescent="0.25">
      <c r="B43" s="45" t="s">
        <v>70</v>
      </c>
      <c r="C43" s="50">
        <v>12</v>
      </c>
      <c r="D43" s="50">
        <v>3</v>
      </c>
      <c r="E43" s="50">
        <v>1</v>
      </c>
      <c r="F43" s="50">
        <v>21</v>
      </c>
      <c r="G43" s="50">
        <v>1</v>
      </c>
      <c r="H43" s="50">
        <v>1</v>
      </c>
      <c r="I43" s="50">
        <v>4</v>
      </c>
      <c r="J43" s="50">
        <v>4</v>
      </c>
      <c r="K43" s="50">
        <v>4</v>
      </c>
      <c r="L43" s="50">
        <v>9</v>
      </c>
      <c r="M43" s="50">
        <v>43</v>
      </c>
      <c r="N43" s="50">
        <v>0</v>
      </c>
      <c r="O43" s="15">
        <f t="shared" si="0"/>
        <v>60</v>
      </c>
      <c r="P43" s="15">
        <f t="shared" si="1"/>
        <v>103</v>
      </c>
    </row>
    <row r="44" spans="2:32" ht="23.1" customHeight="1" x14ac:dyDescent="0.25">
      <c r="B44" s="47" t="s">
        <v>71</v>
      </c>
      <c r="C44" s="50">
        <v>14</v>
      </c>
      <c r="D44" s="50">
        <v>9</v>
      </c>
      <c r="E44" s="50">
        <v>2</v>
      </c>
      <c r="F44" s="50">
        <v>20</v>
      </c>
      <c r="G44" s="50">
        <v>0</v>
      </c>
      <c r="H44" s="50">
        <v>0</v>
      </c>
      <c r="I44" s="50">
        <v>4</v>
      </c>
      <c r="J44" s="50">
        <v>7</v>
      </c>
      <c r="K44" s="50">
        <v>2</v>
      </c>
      <c r="L44" s="50">
        <v>4</v>
      </c>
      <c r="M44" s="50">
        <v>45</v>
      </c>
      <c r="N44" s="50">
        <v>0</v>
      </c>
      <c r="O44" s="15">
        <f t="shared" si="0"/>
        <v>62</v>
      </c>
      <c r="P44" s="15">
        <f t="shared" si="1"/>
        <v>107</v>
      </c>
    </row>
    <row r="45" spans="2:32" ht="23.1" customHeight="1" x14ac:dyDescent="0.25">
      <c r="B45" s="45" t="s">
        <v>72</v>
      </c>
      <c r="C45" s="50">
        <v>9</v>
      </c>
      <c r="D45" s="50">
        <v>4</v>
      </c>
      <c r="E45" s="50">
        <v>2</v>
      </c>
      <c r="F45" s="50">
        <v>11</v>
      </c>
      <c r="G45" s="50">
        <v>1</v>
      </c>
      <c r="H45" s="50">
        <v>0</v>
      </c>
      <c r="I45" s="50">
        <v>2</v>
      </c>
      <c r="J45" s="50">
        <v>6</v>
      </c>
      <c r="K45" s="50">
        <v>4</v>
      </c>
      <c r="L45" s="50">
        <v>6</v>
      </c>
      <c r="M45" s="50">
        <v>31</v>
      </c>
      <c r="N45" s="50">
        <v>0</v>
      </c>
      <c r="O45" s="15">
        <f t="shared" si="0"/>
        <v>45</v>
      </c>
      <c r="P45" s="15">
        <f t="shared" si="1"/>
        <v>76</v>
      </c>
    </row>
    <row r="46" spans="2:32" ht="23.1" customHeight="1" x14ac:dyDescent="0.25">
      <c r="B46" s="46" t="s">
        <v>73</v>
      </c>
      <c r="C46" s="50">
        <v>19</v>
      </c>
      <c r="D46" s="50">
        <v>13</v>
      </c>
      <c r="E46" s="50">
        <v>3</v>
      </c>
      <c r="F46" s="50">
        <v>25</v>
      </c>
      <c r="G46" s="50">
        <v>0</v>
      </c>
      <c r="H46" s="50">
        <v>0</v>
      </c>
      <c r="I46" s="50">
        <v>0</v>
      </c>
      <c r="J46" s="50">
        <v>4</v>
      </c>
      <c r="K46" s="50">
        <v>3</v>
      </c>
      <c r="L46" s="50">
        <v>5</v>
      </c>
      <c r="M46" s="50">
        <v>42</v>
      </c>
      <c r="N46" s="50">
        <v>0</v>
      </c>
      <c r="O46" s="15">
        <f t="shared" si="0"/>
        <v>72</v>
      </c>
      <c r="P46" s="15">
        <f t="shared" si="1"/>
        <v>114</v>
      </c>
      <c r="R46" s="8"/>
      <c r="T46"/>
    </row>
    <row r="47" spans="2:32" ht="23.1" customHeight="1" x14ac:dyDescent="0.25">
      <c r="B47" s="46" t="s">
        <v>74</v>
      </c>
      <c r="C47" s="50">
        <v>22</v>
      </c>
      <c r="D47" s="50">
        <v>8</v>
      </c>
      <c r="E47" s="50">
        <v>6</v>
      </c>
      <c r="F47" s="50">
        <v>9</v>
      </c>
      <c r="G47" s="50">
        <v>0</v>
      </c>
      <c r="H47" s="50">
        <v>0</v>
      </c>
      <c r="I47" s="50">
        <v>2</v>
      </c>
      <c r="J47" s="50">
        <v>2</v>
      </c>
      <c r="K47" s="50">
        <v>3</v>
      </c>
      <c r="L47" s="50">
        <v>5</v>
      </c>
      <c r="M47" s="50">
        <v>16</v>
      </c>
      <c r="N47" s="50">
        <v>0</v>
      </c>
      <c r="O47" s="15">
        <f t="shared" si="0"/>
        <v>57</v>
      </c>
      <c r="P47" s="15">
        <f t="shared" si="1"/>
        <v>73</v>
      </c>
      <c r="R47" s="8"/>
      <c r="T47"/>
    </row>
    <row r="48" spans="2:32" ht="23.1" customHeight="1" x14ac:dyDescent="0.25">
      <c r="B48" s="46" t="s">
        <v>75</v>
      </c>
      <c r="C48" s="50">
        <v>22</v>
      </c>
      <c r="D48" s="50">
        <v>8</v>
      </c>
      <c r="E48" s="50">
        <v>6</v>
      </c>
      <c r="F48" s="50">
        <v>21</v>
      </c>
      <c r="G48" s="50">
        <v>0</v>
      </c>
      <c r="H48" s="50">
        <v>0</v>
      </c>
      <c r="I48" s="50">
        <v>4</v>
      </c>
      <c r="J48" s="50">
        <v>2</v>
      </c>
      <c r="K48" s="50">
        <v>2</v>
      </c>
      <c r="L48" s="50">
        <v>5</v>
      </c>
      <c r="M48" s="50">
        <v>32</v>
      </c>
      <c r="N48" s="50">
        <v>0</v>
      </c>
      <c r="O48" s="15">
        <f t="shared" si="0"/>
        <v>70</v>
      </c>
      <c r="P48" s="15">
        <f t="shared" si="1"/>
        <v>102</v>
      </c>
      <c r="R48" s="8"/>
      <c r="T48"/>
    </row>
    <row r="49" spans="2:20" ht="23.1" customHeight="1" x14ac:dyDescent="0.25">
      <c r="B49" s="45" t="s">
        <v>76</v>
      </c>
      <c r="C49" s="50">
        <v>15</v>
      </c>
      <c r="D49" s="50">
        <v>8</v>
      </c>
      <c r="E49" s="50">
        <v>4</v>
      </c>
      <c r="F49" s="50">
        <v>12</v>
      </c>
      <c r="G49" s="50">
        <v>1</v>
      </c>
      <c r="H49" s="50">
        <v>0</v>
      </c>
      <c r="I49" s="50">
        <v>7</v>
      </c>
      <c r="J49" s="50">
        <v>3</v>
      </c>
      <c r="K49" s="50">
        <v>2</v>
      </c>
      <c r="L49" s="50">
        <v>4</v>
      </c>
      <c r="M49" s="50">
        <v>32</v>
      </c>
      <c r="N49" s="50">
        <v>0</v>
      </c>
      <c r="O49" s="15">
        <f t="shared" si="0"/>
        <v>56</v>
      </c>
      <c r="P49" s="15">
        <f t="shared" si="1"/>
        <v>88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11</v>
      </c>
      <c r="E50" s="50">
        <v>6</v>
      </c>
      <c r="F50" s="50">
        <v>32</v>
      </c>
      <c r="G50" s="50">
        <v>0</v>
      </c>
      <c r="H50" s="50">
        <v>0</v>
      </c>
      <c r="I50" s="50">
        <v>8</v>
      </c>
      <c r="J50" s="50">
        <v>9</v>
      </c>
      <c r="K50" s="50">
        <v>3</v>
      </c>
      <c r="L50" s="50">
        <v>7</v>
      </c>
      <c r="M50" s="50">
        <v>51</v>
      </c>
      <c r="N50" s="50">
        <v>0</v>
      </c>
      <c r="O50" s="15">
        <f t="shared" si="0"/>
        <v>121</v>
      </c>
      <c r="P50" s="15">
        <f t="shared" si="1"/>
        <v>172</v>
      </c>
      <c r="R50" s="8"/>
      <c r="T50"/>
    </row>
    <row r="51" spans="2:20" ht="23.1" customHeight="1" x14ac:dyDescent="0.25">
      <c r="B51" s="46" t="s">
        <v>78</v>
      </c>
      <c r="C51" s="50">
        <v>28</v>
      </c>
      <c r="D51" s="50">
        <v>14</v>
      </c>
      <c r="E51" s="50">
        <v>5</v>
      </c>
      <c r="F51" s="50">
        <v>24</v>
      </c>
      <c r="G51" s="50">
        <v>1</v>
      </c>
      <c r="H51" s="50">
        <v>0</v>
      </c>
      <c r="I51" s="50">
        <v>4</v>
      </c>
      <c r="J51" s="50">
        <v>6</v>
      </c>
      <c r="K51" s="50">
        <v>2</v>
      </c>
      <c r="L51" s="50">
        <v>10</v>
      </c>
      <c r="M51" s="50">
        <v>58</v>
      </c>
      <c r="N51" s="50">
        <v>0</v>
      </c>
      <c r="O51" s="15">
        <f t="shared" si="0"/>
        <v>94</v>
      </c>
      <c r="P51" s="15">
        <f t="shared" si="1"/>
        <v>152</v>
      </c>
      <c r="R51" s="8"/>
      <c r="T51"/>
    </row>
    <row r="52" spans="2:20" ht="23.1" customHeight="1" x14ac:dyDescent="0.25">
      <c r="B52" s="46" t="s">
        <v>79</v>
      </c>
      <c r="C52" s="50">
        <v>35</v>
      </c>
      <c r="D52" s="50">
        <v>12</v>
      </c>
      <c r="E52" s="50">
        <v>4</v>
      </c>
      <c r="F52" s="50">
        <v>28</v>
      </c>
      <c r="G52" s="50">
        <v>0</v>
      </c>
      <c r="H52" s="50">
        <v>0</v>
      </c>
      <c r="I52" s="50">
        <v>2</v>
      </c>
      <c r="J52" s="50">
        <v>6</v>
      </c>
      <c r="K52" s="50">
        <v>1</v>
      </c>
      <c r="L52" s="50">
        <v>6</v>
      </c>
      <c r="M52" s="50">
        <v>56</v>
      </c>
      <c r="N52" s="50">
        <v>0</v>
      </c>
      <c r="O52" s="15">
        <f t="shared" si="0"/>
        <v>94</v>
      </c>
      <c r="P52" s="15">
        <f t="shared" si="1"/>
        <v>150</v>
      </c>
      <c r="R52" s="8"/>
      <c r="T52"/>
    </row>
    <row r="53" spans="2:20" ht="23.1" customHeight="1" x14ac:dyDescent="0.25">
      <c r="B53" s="45" t="s">
        <v>80</v>
      </c>
      <c r="C53" s="50">
        <v>34</v>
      </c>
      <c r="D53" s="50">
        <v>10</v>
      </c>
      <c r="E53" s="50">
        <v>6</v>
      </c>
      <c r="F53" s="50">
        <v>32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7</v>
      </c>
      <c r="M53" s="50">
        <v>52</v>
      </c>
      <c r="N53" s="50">
        <v>0</v>
      </c>
      <c r="O53" s="15">
        <f t="shared" si="0"/>
        <v>91</v>
      </c>
      <c r="P53" s="15">
        <f t="shared" si="1"/>
        <v>143</v>
      </c>
      <c r="R53" s="8"/>
      <c r="T53"/>
    </row>
    <row r="54" spans="2:20" ht="23.1" customHeight="1" x14ac:dyDescent="0.25">
      <c r="B54" s="45" t="s">
        <v>81</v>
      </c>
      <c r="C54" s="50">
        <v>31</v>
      </c>
      <c r="D54" s="50">
        <v>3</v>
      </c>
      <c r="E54" s="50">
        <v>2</v>
      </c>
      <c r="F54" s="50">
        <v>23</v>
      </c>
      <c r="G54" s="50">
        <v>0</v>
      </c>
      <c r="H54" s="50">
        <v>0</v>
      </c>
      <c r="I54" s="50">
        <v>6</v>
      </c>
      <c r="J54" s="50">
        <v>5</v>
      </c>
      <c r="K54" s="50">
        <v>4</v>
      </c>
      <c r="L54" s="50">
        <v>1</v>
      </c>
      <c r="M54" s="50">
        <v>32</v>
      </c>
      <c r="N54" s="50">
        <v>0</v>
      </c>
      <c r="O54" s="15">
        <f t="shared" si="0"/>
        <v>75</v>
      </c>
      <c r="P54" s="15">
        <f t="shared" si="1"/>
        <v>107</v>
      </c>
      <c r="R54" s="8"/>
      <c r="T54"/>
    </row>
    <row r="55" spans="2:20" ht="23.1" customHeight="1" x14ac:dyDescent="0.25">
      <c r="B55" s="45" t="s">
        <v>82</v>
      </c>
      <c r="C55" s="50">
        <v>31</v>
      </c>
      <c r="D55" s="50">
        <v>8</v>
      </c>
      <c r="E55" s="50">
        <v>3</v>
      </c>
      <c r="F55" s="50">
        <v>27</v>
      </c>
      <c r="G55" s="50">
        <v>2</v>
      </c>
      <c r="H55" s="50">
        <v>0</v>
      </c>
      <c r="I55" s="50">
        <v>8</v>
      </c>
      <c r="J55" s="50">
        <v>5</v>
      </c>
      <c r="K55" s="50">
        <v>2</v>
      </c>
      <c r="L55" s="50">
        <v>7</v>
      </c>
      <c r="M55" s="50">
        <v>44</v>
      </c>
      <c r="N55" s="50">
        <v>0</v>
      </c>
      <c r="O55" s="15">
        <f t="shared" si="0"/>
        <v>93</v>
      </c>
      <c r="P55" s="15">
        <f t="shared" si="1"/>
        <v>137</v>
      </c>
      <c r="R55" s="8"/>
      <c r="T55"/>
    </row>
    <row r="56" spans="2:20" ht="23.1" customHeight="1" x14ac:dyDescent="0.25">
      <c r="B56" s="45" t="s">
        <v>83</v>
      </c>
      <c r="C56" s="50">
        <v>23</v>
      </c>
      <c r="D56" s="50">
        <v>2</v>
      </c>
      <c r="E56" s="50">
        <v>3</v>
      </c>
      <c r="F56" s="50">
        <v>20</v>
      </c>
      <c r="G56" s="50">
        <v>1</v>
      </c>
      <c r="H56" s="50">
        <v>1</v>
      </c>
      <c r="I56" s="50">
        <v>2</v>
      </c>
      <c r="J56" s="50">
        <v>5</v>
      </c>
      <c r="K56" s="50">
        <v>3</v>
      </c>
      <c r="L56" s="50">
        <v>11</v>
      </c>
      <c r="M56" s="50">
        <v>35</v>
      </c>
      <c r="N56" s="50">
        <v>0</v>
      </c>
      <c r="O56" s="15">
        <f t="shared" si="0"/>
        <v>71</v>
      </c>
      <c r="P56" s="15">
        <f t="shared" si="1"/>
        <v>106</v>
      </c>
      <c r="R56" s="8"/>
      <c r="T56"/>
    </row>
    <row r="57" spans="2:20" ht="23.1" customHeight="1" x14ac:dyDescent="0.25">
      <c r="B57" s="45" t="s">
        <v>84</v>
      </c>
      <c r="C57" s="50">
        <v>31</v>
      </c>
      <c r="D57" s="50">
        <v>3</v>
      </c>
      <c r="E57" s="50">
        <v>3</v>
      </c>
      <c r="F57" s="50">
        <v>34</v>
      </c>
      <c r="G57" s="50">
        <v>0</v>
      </c>
      <c r="H57" s="50">
        <v>2</v>
      </c>
      <c r="I57" s="50">
        <v>3</v>
      </c>
      <c r="J57" s="50">
        <v>3</v>
      </c>
      <c r="K57" s="50">
        <v>2</v>
      </c>
      <c r="L57" s="50">
        <v>8</v>
      </c>
      <c r="M57" s="50">
        <v>47</v>
      </c>
      <c r="N57" s="50">
        <v>0</v>
      </c>
      <c r="O57" s="15">
        <f t="shared" si="0"/>
        <v>89</v>
      </c>
      <c r="P57" s="15">
        <f t="shared" si="1"/>
        <v>136</v>
      </c>
      <c r="R57" s="8"/>
      <c r="T57"/>
    </row>
    <row r="58" spans="2:20" ht="23.1" customHeight="1" x14ac:dyDescent="0.25">
      <c r="B58" s="45" t="s">
        <v>99</v>
      </c>
      <c r="C58" s="50">
        <v>30</v>
      </c>
      <c r="D58" s="50">
        <v>7</v>
      </c>
      <c r="E58" s="50">
        <v>2</v>
      </c>
      <c r="F58" s="50">
        <v>30</v>
      </c>
      <c r="G58" s="50">
        <v>0</v>
      </c>
      <c r="H58" s="50">
        <v>0</v>
      </c>
      <c r="I58" s="50">
        <v>4</v>
      </c>
      <c r="J58" s="50">
        <v>2</v>
      </c>
      <c r="K58" s="50">
        <v>0</v>
      </c>
      <c r="L58" s="50">
        <v>1</v>
      </c>
      <c r="M58" s="50">
        <v>54</v>
      </c>
      <c r="N58" s="50">
        <v>1</v>
      </c>
      <c r="O58" s="15">
        <f t="shared" si="0"/>
        <v>77</v>
      </c>
      <c r="P58" s="15">
        <f t="shared" si="1"/>
        <v>131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10</v>
      </c>
      <c r="E59" s="50">
        <v>1</v>
      </c>
      <c r="F59" s="50">
        <v>25</v>
      </c>
      <c r="G59" s="50">
        <v>2</v>
      </c>
      <c r="H59" s="50">
        <v>0</v>
      </c>
      <c r="I59" s="50">
        <v>2</v>
      </c>
      <c r="J59" s="50">
        <v>4</v>
      </c>
      <c r="K59" s="50">
        <v>0</v>
      </c>
      <c r="L59" s="50">
        <v>3</v>
      </c>
      <c r="M59" s="50">
        <v>33</v>
      </c>
      <c r="N59" s="50">
        <v>0</v>
      </c>
      <c r="O59" s="15">
        <f t="shared" si="0"/>
        <v>60</v>
      </c>
      <c r="P59" s="15">
        <f t="shared" si="1"/>
        <v>93</v>
      </c>
      <c r="R59" s="8"/>
      <c r="T59"/>
    </row>
    <row r="60" spans="2:20" ht="23.1" customHeight="1" x14ac:dyDescent="0.25">
      <c r="B60" s="45" t="s">
        <v>101</v>
      </c>
      <c r="C60" s="50">
        <v>12</v>
      </c>
      <c r="D60" s="50">
        <v>9</v>
      </c>
      <c r="E60" s="50">
        <v>2</v>
      </c>
      <c r="F60" s="50">
        <v>18</v>
      </c>
      <c r="G60" s="50">
        <v>0</v>
      </c>
      <c r="H60" s="50">
        <v>0</v>
      </c>
      <c r="I60" s="50">
        <v>3</v>
      </c>
      <c r="J60" s="50">
        <v>3</v>
      </c>
      <c r="K60" s="50">
        <v>4</v>
      </c>
      <c r="L60" s="50">
        <v>7</v>
      </c>
      <c r="M60" s="50">
        <v>39</v>
      </c>
      <c r="N60" s="50">
        <v>0</v>
      </c>
      <c r="O60" s="15">
        <f t="shared" si="0"/>
        <v>58</v>
      </c>
      <c r="P60" s="15">
        <f t="shared" si="1"/>
        <v>97</v>
      </c>
      <c r="R60" s="8"/>
      <c r="T60"/>
    </row>
    <row r="61" spans="2:20" ht="23.1" customHeight="1" x14ac:dyDescent="0.25">
      <c r="B61" s="45" t="s">
        <v>102</v>
      </c>
      <c r="C61" s="50">
        <v>18</v>
      </c>
      <c r="D61" s="50">
        <v>10</v>
      </c>
      <c r="E61" s="50">
        <v>6</v>
      </c>
      <c r="F61" s="50">
        <v>17</v>
      </c>
      <c r="G61" s="50">
        <v>4</v>
      </c>
      <c r="H61" s="50">
        <v>0</v>
      </c>
      <c r="I61" s="50">
        <v>2</v>
      </c>
      <c r="J61" s="50">
        <v>6</v>
      </c>
      <c r="K61" s="50">
        <v>2</v>
      </c>
      <c r="L61" s="50">
        <v>1</v>
      </c>
      <c r="M61" s="50">
        <v>36</v>
      </c>
      <c r="N61" s="50">
        <v>0</v>
      </c>
      <c r="O61" s="15">
        <f t="shared" si="0"/>
        <v>66</v>
      </c>
      <c r="P61" s="15">
        <f t="shared" si="1"/>
        <v>102</v>
      </c>
      <c r="R61" s="8"/>
      <c r="T61"/>
    </row>
    <row r="62" spans="2:20" ht="23.1" customHeight="1" x14ac:dyDescent="0.25">
      <c r="B62" s="45" t="s">
        <v>107</v>
      </c>
      <c r="C62" s="50">
        <v>40</v>
      </c>
      <c r="D62" s="50">
        <v>25</v>
      </c>
      <c r="E62" s="50">
        <v>7</v>
      </c>
      <c r="F62" s="50">
        <v>26</v>
      </c>
      <c r="G62" s="50">
        <v>0</v>
      </c>
      <c r="H62" s="50">
        <v>1</v>
      </c>
      <c r="I62" s="50">
        <v>5</v>
      </c>
      <c r="J62" s="50">
        <v>7</v>
      </c>
      <c r="K62" s="50">
        <v>2</v>
      </c>
      <c r="L62" s="50">
        <v>3</v>
      </c>
      <c r="M62" s="50">
        <v>43</v>
      </c>
      <c r="N62" s="50">
        <v>0</v>
      </c>
      <c r="O62" s="15">
        <f t="shared" si="0"/>
        <v>116</v>
      </c>
      <c r="P62" s="15">
        <f t="shared" si="1"/>
        <v>159</v>
      </c>
      <c r="R62" s="8"/>
      <c r="T62"/>
    </row>
    <row r="63" spans="2:20" ht="23.1" customHeight="1" x14ac:dyDescent="0.25">
      <c r="B63" s="45" t="s">
        <v>108</v>
      </c>
      <c r="C63" s="50">
        <v>22</v>
      </c>
      <c r="D63" s="50">
        <v>18</v>
      </c>
      <c r="E63" s="50">
        <v>2</v>
      </c>
      <c r="F63" s="50">
        <v>22</v>
      </c>
      <c r="G63" s="50">
        <v>0</v>
      </c>
      <c r="H63" s="50">
        <v>0</v>
      </c>
      <c r="I63" s="50">
        <v>3</v>
      </c>
      <c r="J63" s="50">
        <v>4</v>
      </c>
      <c r="K63" s="50">
        <v>7</v>
      </c>
      <c r="L63" s="50">
        <v>3</v>
      </c>
      <c r="M63" s="50">
        <v>47</v>
      </c>
      <c r="N63" s="50">
        <v>0</v>
      </c>
      <c r="O63" s="15">
        <f t="shared" si="0"/>
        <v>81</v>
      </c>
      <c r="P63" s="15">
        <f t="shared" si="1"/>
        <v>128</v>
      </c>
      <c r="R63" s="8"/>
      <c r="T63"/>
    </row>
    <row r="64" spans="2:20" ht="23.1" customHeight="1" x14ac:dyDescent="0.25">
      <c r="B64" s="45" t="s">
        <v>109</v>
      </c>
      <c r="C64" s="50">
        <v>15</v>
      </c>
      <c r="D64" s="50">
        <v>10</v>
      </c>
      <c r="E64" s="50">
        <v>2</v>
      </c>
      <c r="F64" s="50">
        <v>19</v>
      </c>
      <c r="G64" s="50">
        <v>2</v>
      </c>
      <c r="H64" s="50">
        <v>0</v>
      </c>
      <c r="I64" s="50">
        <v>5</v>
      </c>
      <c r="J64" s="50">
        <v>8</v>
      </c>
      <c r="K64" s="50">
        <v>2</v>
      </c>
      <c r="L64" s="50">
        <v>0</v>
      </c>
      <c r="M64" s="50">
        <v>35</v>
      </c>
      <c r="N64" s="50">
        <v>0</v>
      </c>
      <c r="O64" s="15">
        <f t="shared" si="0"/>
        <v>63</v>
      </c>
      <c r="P64" s="15">
        <f t="shared" si="1"/>
        <v>98</v>
      </c>
      <c r="R64" s="8"/>
      <c r="T64"/>
    </row>
    <row r="65" spans="2:20" ht="23.1" customHeight="1" x14ac:dyDescent="0.25">
      <c r="B65" s="45" t="s">
        <v>158</v>
      </c>
      <c r="C65" s="50">
        <v>17</v>
      </c>
      <c r="D65" s="50">
        <v>0</v>
      </c>
      <c r="E65" s="50">
        <v>2</v>
      </c>
      <c r="F65" s="50">
        <v>14</v>
      </c>
      <c r="G65" s="50">
        <v>0</v>
      </c>
      <c r="H65" s="50">
        <v>0</v>
      </c>
      <c r="I65" s="50">
        <v>6</v>
      </c>
      <c r="J65" s="50">
        <v>3</v>
      </c>
      <c r="K65" s="50">
        <v>0</v>
      </c>
      <c r="L65" s="50">
        <v>2</v>
      </c>
      <c r="M65" s="50">
        <v>22</v>
      </c>
      <c r="N65" s="50">
        <v>0</v>
      </c>
      <c r="O65" s="15">
        <f t="shared" si="0"/>
        <v>44</v>
      </c>
      <c r="P65" s="15">
        <f t="shared" si="1"/>
        <v>66</v>
      </c>
      <c r="R65" s="8"/>
      <c r="T65"/>
    </row>
    <row r="66" spans="2:20" ht="23.1" customHeight="1" x14ac:dyDescent="0.25">
      <c r="B66" s="45" t="s">
        <v>103</v>
      </c>
      <c r="C66" s="50">
        <v>45</v>
      </c>
      <c r="D66" s="50">
        <v>1</v>
      </c>
      <c r="E66" s="50">
        <v>3</v>
      </c>
      <c r="F66" s="50">
        <v>30</v>
      </c>
      <c r="G66" s="50">
        <v>1</v>
      </c>
      <c r="H66" s="50">
        <v>1</v>
      </c>
      <c r="I66" s="50">
        <v>3</v>
      </c>
      <c r="J66" s="50">
        <v>1</v>
      </c>
      <c r="K66" s="50">
        <v>5</v>
      </c>
      <c r="L66" s="50">
        <v>1</v>
      </c>
      <c r="M66" s="50">
        <v>65</v>
      </c>
      <c r="N66" s="50">
        <v>0</v>
      </c>
      <c r="O66" s="15">
        <f t="shared" si="0"/>
        <v>91</v>
      </c>
      <c r="P66" s="15">
        <f t="shared" si="1"/>
        <v>156</v>
      </c>
      <c r="R66" s="8"/>
      <c r="T66"/>
    </row>
    <row r="67" spans="2:20" ht="23.1" customHeight="1" x14ac:dyDescent="0.25">
      <c r="B67" s="45" t="s">
        <v>104</v>
      </c>
      <c r="C67" s="50">
        <v>26</v>
      </c>
      <c r="D67" s="50">
        <v>3</v>
      </c>
      <c r="E67" s="50">
        <v>4</v>
      </c>
      <c r="F67" s="50">
        <v>16</v>
      </c>
      <c r="G67" s="50">
        <v>3</v>
      </c>
      <c r="H67" s="50">
        <v>0</v>
      </c>
      <c r="I67" s="50">
        <v>0</v>
      </c>
      <c r="J67" s="50">
        <v>0</v>
      </c>
      <c r="K67" s="50">
        <v>0</v>
      </c>
      <c r="L67" s="50">
        <v>3</v>
      </c>
      <c r="M67" s="50">
        <v>28</v>
      </c>
      <c r="N67" s="50">
        <v>0</v>
      </c>
      <c r="O67" s="15">
        <f t="shared" si="0"/>
        <v>55</v>
      </c>
      <c r="P67" s="15">
        <f t="shared" si="1"/>
        <v>83</v>
      </c>
      <c r="R67" s="8"/>
      <c r="T67"/>
    </row>
    <row r="68" spans="2:20" ht="23.1" customHeight="1" x14ac:dyDescent="0.25">
      <c r="B68" s="45" t="s">
        <v>105</v>
      </c>
      <c r="C68" s="50">
        <v>17</v>
      </c>
      <c r="D68" s="50">
        <v>3</v>
      </c>
      <c r="E68" s="50">
        <v>4</v>
      </c>
      <c r="F68" s="50">
        <v>16</v>
      </c>
      <c r="G68" s="50">
        <v>0</v>
      </c>
      <c r="H68" s="50">
        <v>1</v>
      </c>
      <c r="I68" s="50">
        <v>4</v>
      </c>
      <c r="J68" s="50">
        <v>3</v>
      </c>
      <c r="K68" s="50">
        <v>2</v>
      </c>
      <c r="L68" s="50">
        <v>3</v>
      </c>
      <c r="M68" s="50">
        <v>19</v>
      </c>
      <c r="N68" s="50">
        <v>0</v>
      </c>
      <c r="O68" s="15">
        <f t="shared" si="0"/>
        <v>53</v>
      </c>
      <c r="P68" s="15">
        <f t="shared" si="1"/>
        <v>72</v>
      </c>
      <c r="R68" s="8"/>
      <c r="T68"/>
    </row>
    <row r="69" spans="2:20" ht="23.1" customHeight="1" x14ac:dyDescent="0.25">
      <c r="B69" s="45" t="s">
        <v>106</v>
      </c>
      <c r="C69" s="50">
        <v>18</v>
      </c>
      <c r="D69" s="50">
        <v>4</v>
      </c>
      <c r="E69" s="50">
        <v>1</v>
      </c>
      <c r="F69" s="50">
        <v>16</v>
      </c>
      <c r="G69" s="50">
        <v>0</v>
      </c>
      <c r="H69" s="50">
        <v>0</v>
      </c>
      <c r="I69" s="50">
        <v>1</v>
      </c>
      <c r="J69" s="50">
        <v>2</v>
      </c>
      <c r="K69" s="50">
        <v>1</v>
      </c>
      <c r="L69" s="50">
        <v>3</v>
      </c>
      <c r="M69" s="50">
        <v>21</v>
      </c>
      <c r="N69" s="50">
        <v>0</v>
      </c>
      <c r="O69" s="15">
        <f t="shared" si="0"/>
        <v>46</v>
      </c>
      <c r="P69" s="15">
        <f t="shared" si="1"/>
        <v>67</v>
      </c>
      <c r="R69" s="8"/>
      <c r="T69"/>
    </row>
    <row r="70" spans="2:20" ht="23.1" customHeight="1" x14ac:dyDescent="0.25">
      <c r="B70" s="45" t="s">
        <v>110</v>
      </c>
      <c r="C70" s="50">
        <v>16</v>
      </c>
      <c r="D70" s="50">
        <v>5</v>
      </c>
      <c r="E70" s="50">
        <v>0</v>
      </c>
      <c r="F70" s="50">
        <v>17</v>
      </c>
      <c r="G70" s="50">
        <v>0</v>
      </c>
      <c r="H70" s="50">
        <v>0</v>
      </c>
      <c r="I70" s="50">
        <v>2</v>
      </c>
      <c r="J70" s="50">
        <v>1</v>
      </c>
      <c r="K70" s="50">
        <v>3</v>
      </c>
      <c r="L70" s="50">
        <v>6</v>
      </c>
      <c r="M70" s="50">
        <v>34</v>
      </c>
      <c r="N70" s="50">
        <v>0</v>
      </c>
      <c r="O70" s="15">
        <f t="shared" si="0"/>
        <v>50</v>
      </c>
      <c r="P70" s="15">
        <f t="shared" si="1"/>
        <v>84</v>
      </c>
      <c r="R70" s="8"/>
      <c r="T70"/>
    </row>
    <row r="71" spans="2:20" ht="23.1" customHeight="1" x14ac:dyDescent="0.25">
      <c r="B71" s="45" t="s">
        <v>111</v>
      </c>
      <c r="C71" s="50">
        <v>7</v>
      </c>
      <c r="D71" s="50">
        <v>1</v>
      </c>
      <c r="E71" s="50">
        <v>1</v>
      </c>
      <c r="F71" s="50">
        <v>5</v>
      </c>
      <c r="G71" s="50">
        <v>0</v>
      </c>
      <c r="H71" s="50">
        <v>0</v>
      </c>
      <c r="I71" s="50">
        <v>3</v>
      </c>
      <c r="J71" s="50">
        <v>1</v>
      </c>
      <c r="K71" s="50">
        <v>0</v>
      </c>
      <c r="L71" s="50">
        <v>0</v>
      </c>
      <c r="M71" s="50">
        <v>13</v>
      </c>
      <c r="N71" s="50">
        <v>0</v>
      </c>
      <c r="O71" s="15">
        <f t="shared" si="0"/>
        <v>18</v>
      </c>
      <c r="P71" s="15">
        <f t="shared" si="1"/>
        <v>31</v>
      </c>
      <c r="R71" s="8"/>
      <c r="T71"/>
    </row>
    <row r="72" spans="2:20" ht="23.1" customHeight="1" x14ac:dyDescent="0.25">
      <c r="B72" s="45" t="s">
        <v>112</v>
      </c>
      <c r="C72" s="50">
        <v>17</v>
      </c>
      <c r="D72" s="50">
        <v>0</v>
      </c>
      <c r="E72" s="50">
        <v>2</v>
      </c>
      <c r="F72" s="50">
        <v>17</v>
      </c>
      <c r="G72" s="50">
        <v>1</v>
      </c>
      <c r="H72" s="50">
        <v>1</v>
      </c>
      <c r="I72" s="50">
        <v>5</v>
      </c>
      <c r="J72" s="50">
        <v>4</v>
      </c>
      <c r="K72" s="50">
        <v>7</v>
      </c>
      <c r="L72" s="50">
        <v>10</v>
      </c>
      <c r="M72" s="50">
        <v>10</v>
      </c>
      <c r="N72" s="50">
        <v>0</v>
      </c>
      <c r="O72" s="15">
        <f t="shared" si="0"/>
        <v>64</v>
      </c>
      <c r="P72" s="15">
        <f t="shared" si="1"/>
        <v>74</v>
      </c>
      <c r="R72" s="8"/>
      <c r="T72"/>
    </row>
    <row r="73" spans="2:20" ht="23.1" customHeight="1" x14ac:dyDescent="0.25">
      <c r="B73" s="45" t="s">
        <v>113</v>
      </c>
      <c r="C73" s="50">
        <v>14</v>
      </c>
      <c r="D73" s="50">
        <v>6</v>
      </c>
      <c r="E73" s="50">
        <v>3</v>
      </c>
      <c r="F73" s="50">
        <v>7</v>
      </c>
      <c r="G73" s="50">
        <v>0</v>
      </c>
      <c r="H73" s="50">
        <v>0</v>
      </c>
      <c r="I73" s="50">
        <v>1</v>
      </c>
      <c r="J73" s="50">
        <v>2</v>
      </c>
      <c r="K73" s="50">
        <v>0</v>
      </c>
      <c r="L73" s="50">
        <v>0</v>
      </c>
      <c r="M73" s="50">
        <v>7</v>
      </c>
      <c r="N73" s="50">
        <v>0</v>
      </c>
      <c r="O73" s="15">
        <f t="shared" si="0"/>
        <v>33</v>
      </c>
      <c r="P73" s="15">
        <f t="shared" si="1"/>
        <v>40</v>
      </c>
      <c r="R73" s="8"/>
      <c r="T73"/>
    </row>
    <row r="74" spans="2:20" ht="23.1" customHeight="1" x14ac:dyDescent="0.25">
      <c r="B74" s="45" t="s">
        <v>114</v>
      </c>
      <c r="C74" s="50">
        <v>11</v>
      </c>
      <c r="D74" s="50">
        <v>0</v>
      </c>
      <c r="E74" s="50">
        <v>2</v>
      </c>
      <c r="F74" s="50">
        <v>4</v>
      </c>
      <c r="G74" s="50">
        <v>0</v>
      </c>
      <c r="H74" s="50">
        <v>0</v>
      </c>
      <c r="I74" s="50">
        <v>1</v>
      </c>
      <c r="J74" s="50">
        <v>3</v>
      </c>
      <c r="K74" s="50">
        <v>1</v>
      </c>
      <c r="L74" s="50">
        <v>4</v>
      </c>
      <c r="M74" s="50">
        <v>5</v>
      </c>
      <c r="N74" s="50">
        <v>0</v>
      </c>
      <c r="O74" s="15">
        <f t="shared" ref="O74:O105" si="35">SUM(C74:L74,N74)</f>
        <v>26</v>
      </c>
      <c r="P74" s="15">
        <f t="shared" ref="P74:P105" si="36">SUM(C74:N74)</f>
        <v>31</v>
      </c>
      <c r="R74" s="8"/>
      <c r="T74"/>
    </row>
    <row r="75" spans="2:20" ht="23.1" customHeight="1" x14ac:dyDescent="0.25">
      <c r="B75" s="45" t="s">
        <v>115</v>
      </c>
      <c r="C75" s="50">
        <v>8</v>
      </c>
      <c r="D75" s="50">
        <v>2</v>
      </c>
      <c r="E75" s="50">
        <v>1</v>
      </c>
      <c r="F75" s="50">
        <v>7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13</v>
      </c>
      <c r="N75" s="50">
        <v>0</v>
      </c>
      <c r="O75" s="15">
        <f t="shared" si="35"/>
        <v>18</v>
      </c>
      <c r="P75" s="15">
        <f t="shared" si="36"/>
        <v>31</v>
      </c>
      <c r="R75" s="8"/>
      <c r="T75"/>
    </row>
    <row r="76" spans="2:20" ht="23.1" customHeight="1" x14ac:dyDescent="0.25">
      <c r="B76" s="45" t="s">
        <v>116</v>
      </c>
      <c r="C76" s="50">
        <v>8</v>
      </c>
      <c r="D76" s="50">
        <v>3</v>
      </c>
      <c r="E76" s="50">
        <v>1</v>
      </c>
      <c r="F76" s="50">
        <v>4</v>
      </c>
      <c r="G76" s="50">
        <v>0</v>
      </c>
      <c r="H76" s="50">
        <v>0</v>
      </c>
      <c r="I76" s="50">
        <v>0</v>
      </c>
      <c r="J76" s="50">
        <v>3</v>
      </c>
      <c r="K76" s="50">
        <v>2</v>
      </c>
      <c r="L76" s="50">
        <v>1</v>
      </c>
      <c r="M76" s="50">
        <v>6</v>
      </c>
      <c r="N76" s="50">
        <v>0</v>
      </c>
      <c r="O76" s="15">
        <f t="shared" si="35"/>
        <v>22</v>
      </c>
      <c r="P76" s="15">
        <f t="shared" si="36"/>
        <v>28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2</v>
      </c>
      <c r="E77" s="50">
        <v>0</v>
      </c>
      <c r="F77" s="50">
        <v>5</v>
      </c>
      <c r="G77" s="50">
        <v>0</v>
      </c>
      <c r="H77" s="50">
        <v>0</v>
      </c>
      <c r="I77" s="50">
        <v>1</v>
      </c>
      <c r="J77" s="50">
        <v>1</v>
      </c>
      <c r="K77" s="50">
        <v>1</v>
      </c>
      <c r="L77" s="50">
        <v>0</v>
      </c>
      <c r="M77" s="50">
        <v>4</v>
      </c>
      <c r="N77" s="50">
        <v>0</v>
      </c>
      <c r="O77" s="15">
        <f t="shared" si="35"/>
        <v>14</v>
      </c>
      <c r="P77" s="15">
        <f t="shared" si="36"/>
        <v>18</v>
      </c>
      <c r="R77" s="8"/>
      <c r="T77"/>
    </row>
    <row r="78" spans="2:20" ht="23.1" customHeight="1" x14ac:dyDescent="0.25">
      <c r="B78" s="46" t="s">
        <v>118</v>
      </c>
      <c r="C78" s="50">
        <v>9</v>
      </c>
      <c r="D78" s="50">
        <v>2</v>
      </c>
      <c r="E78" s="50">
        <v>0</v>
      </c>
      <c r="F78" s="50">
        <v>4</v>
      </c>
      <c r="G78" s="50">
        <v>0</v>
      </c>
      <c r="H78" s="50">
        <v>0</v>
      </c>
      <c r="I78" s="50">
        <v>0</v>
      </c>
      <c r="J78" s="50">
        <v>2</v>
      </c>
      <c r="K78" s="50">
        <v>1</v>
      </c>
      <c r="L78" s="50">
        <v>2</v>
      </c>
      <c r="M78" s="50">
        <v>4</v>
      </c>
      <c r="N78" s="50">
        <v>0</v>
      </c>
      <c r="O78" s="15">
        <f t="shared" si="35"/>
        <v>20</v>
      </c>
      <c r="P78" s="15">
        <f t="shared" si="36"/>
        <v>24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3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3</v>
      </c>
      <c r="K79" s="50">
        <v>1</v>
      </c>
      <c r="L79" s="50">
        <v>4</v>
      </c>
      <c r="M79" s="50">
        <v>4</v>
      </c>
      <c r="N79" s="50">
        <v>0</v>
      </c>
      <c r="O79" s="15">
        <f t="shared" si="35"/>
        <v>16</v>
      </c>
      <c r="P79" s="15">
        <f t="shared" si="36"/>
        <v>20</v>
      </c>
      <c r="R79" s="8"/>
      <c r="T79"/>
    </row>
    <row r="80" spans="2:20" ht="23.1" customHeight="1" x14ac:dyDescent="0.25">
      <c r="B80" s="47" t="s">
        <v>120</v>
      </c>
      <c r="C80" s="50">
        <v>5</v>
      </c>
      <c r="D80" s="50">
        <v>4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2</v>
      </c>
      <c r="K80" s="50">
        <v>2</v>
      </c>
      <c r="L80" s="50">
        <v>2</v>
      </c>
      <c r="M80" s="50">
        <v>3</v>
      </c>
      <c r="N80" s="50">
        <v>0</v>
      </c>
      <c r="O80" s="15">
        <f t="shared" si="35"/>
        <v>17</v>
      </c>
      <c r="P80" s="15">
        <f t="shared" si="36"/>
        <v>20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2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2</v>
      </c>
      <c r="L81" s="50">
        <v>4</v>
      </c>
      <c r="M81" s="50">
        <v>1</v>
      </c>
      <c r="N81" s="50">
        <v>0</v>
      </c>
      <c r="O81" s="15">
        <f t="shared" si="35"/>
        <v>10</v>
      </c>
      <c r="P81" s="15">
        <f t="shared" si="36"/>
        <v>11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2</v>
      </c>
      <c r="K82" s="50">
        <v>2</v>
      </c>
      <c r="L82" s="50">
        <v>2</v>
      </c>
      <c r="M82" s="50">
        <v>0</v>
      </c>
      <c r="N82" s="50">
        <v>0</v>
      </c>
      <c r="O82" s="15">
        <f t="shared" si="35"/>
        <v>8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1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3</v>
      </c>
      <c r="L83" s="50">
        <v>1</v>
      </c>
      <c r="M83" s="50">
        <v>3</v>
      </c>
      <c r="N83" s="50">
        <v>0</v>
      </c>
      <c r="O83" s="15">
        <f t="shared" si="35"/>
        <v>10</v>
      </c>
      <c r="P83" s="15">
        <f t="shared" si="36"/>
        <v>13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1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3</v>
      </c>
      <c r="K84" s="50">
        <v>2</v>
      </c>
      <c r="L84" s="50">
        <v>2</v>
      </c>
      <c r="M84" s="50">
        <v>1</v>
      </c>
      <c r="N84" s="50">
        <v>0</v>
      </c>
      <c r="O84" s="15">
        <f t="shared" si="35"/>
        <v>10</v>
      </c>
      <c r="P84" s="15">
        <f t="shared" si="36"/>
        <v>11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2</v>
      </c>
      <c r="L85" s="50">
        <v>2</v>
      </c>
      <c r="M85" s="50">
        <v>1</v>
      </c>
      <c r="N85" s="50">
        <v>0</v>
      </c>
      <c r="O85" s="15">
        <f t="shared" si="35"/>
        <v>5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3</v>
      </c>
      <c r="L87" s="50">
        <v>1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1</v>
      </c>
      <c r="G88" s="50">
        <v>0</v>
      </c>
      <c r="H88" s="50">
        <v>1</v>
      </c>
      <c r="I88" s="50">
        <v>0</v>
      </c>
      <c r="J88" s="50">
        <v>1</v>
      </c>
      <c r="K88" s="50">
        <v>2</v>
      </c>
      <c r="L88" s="50">
        <v>1</v>
      </c>
      <c r="M88" s="50">
        <v>0</v>
      </c>
      <c r="N88" s="50"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0</v>
      </c>
      <c r="E89" s="50">
        <v>0</v>
      </c>
      <c r="F89" s="50">
        <v>3</v>
      </c>
      <c r="G89" s="50">
        <v>0</v>
      </c>
      <c r="H89" s="50">
        <v>0</v>
      </c>
      <c r="I89" s="50">
        <v>1</v>
      </c>
      <c r="J89" s="50">
        <v>2</v>
      </c>
      <c r="K89" s="50">
        <v>1</v>
      </c>
      <c r="L89" s="50">
        <v>4</v>
      </c>
      <c r="M89" s="50">
        <v>1</v>
      </c>
      <c r="N89" s="50">
        <v>0</v>
      </c>
      <c r="O89" s="15">
        <f t="shared" si="35"/>
        <v>17</v>
      </c>
      <c r="P89" s="15">
        <f t="shared" si="36"/>
        <v>18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1</v>
      </c>
      <c r="F90" s="50">
        <v>1</v>
      </c>
      <c r="G90" s="50">
        <v>0</v>
      </c>
      <c r="H90" s="50">
        <v>0</v>
      </c>
      <c r="I90" s="50">
        <v>1</v>
      </c>
      <c r="J90" s="50">
        <v>1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6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3</v>
      </c>
      <c r="K91" s="50">
        <v>0</v>
      </c>
      <c r="L91" s="50">
        <v>1</v>
      </c>
      <c r="M91" s="50">
        <v>0</v>
      </c>
      <c r="N91" s="50">
        <v>0</v>
      </c>
      <c r="O91" s="15">
        <f t="shared" si="35"/>
        <v>5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3</v>
      </c>
      <c r="K92" s="50">
        <v>2</v>
      </c>
      <c r="L92" s="50">
        <v>2</v>
      </c>
      <c r="M92" s="50">
        <v>0</v>
      </c>
      <c r="N92" s="50">
        <v>0</v>
      </c>
      <c r="O92" s="15">
        <f t="shared" si="35"/>
        <v>12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1</v>
      </c>
      <c r="K93" s="50">
        <v>1</v>
      </c>
      <c r="L93" s="50">
        <v>2</v>
      </c>
      <c r="M93" s="50">
        <v>0</v>
      </c>
      <c r="N93" s="50">
        <v>0</v>
      </c>
      <c r="O93" s="15">
        <f t="shared" si="35"/>
        <v>8</v>
      </c>
      <c r="P93" s="15">
        <f t="shared" si="36"/>
        <v>8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4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2</v>
      </c>
      <c r="M95" s="50">
        <v>3</v>
      </c>
      <c r="N95" s="50">
        <v>0</v>
      </c>
      <c r="O95" s="15">
        <f t="shared" si="35"/>
        <v>6</v>
      </c>
      <c r="P95" s="15">
        <f t="shared" si="36"/>
        <v>9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3</v>
      </c>
      <c r="K96" s="50">
        <v>1</v>
      </c>
      <c r="L96" s="50">
        <v>3</v>
      </c>
      <c r="M96" s="50">
        <v>0</v>
      </c>
      <c r="N96" s="50">
        <v>0</v>
      </c>
      <c r="O96" s="15">
        <f t="shared" si="35"/>
        <v>7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0</v>
      </c>
      <c r="J97" s="50">
        <v>2</v>
      </c>
      <c r="K97" s="50">
        <v>4</v>
      </c>
      <c r="L97" s="50">
        <v>4</v>
      </c>
      <c r="M97" s="50">
        <v>1</v>
      </c>
      <c r="N97" s="50">
        <v>0</v>
      </c>
      <c r="O97" s="15">
        <f t="shared" si="35"/>
        <v>18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0</v>
      </c>
      <c r="F98" s="50">
        <v>3</v>
      </c>
      <c r="G98" s="50">
        <v>0</v>
      </c>
      <c r="H98" s="50">
        <v>0</v>
      </c>
      <c r="I98" s="50">
        <v>0</v>
      </c>
      <c r="J98" s="50">
        <v>0</v>
      </c>
      <c r="K98" s="50">
        <v>2</v>
      </c>
      <c r="L98" s="50">
        <v>0</v>
      </c>
      <c r="M98" s="50">
        <v>0</v>
      </c>
      <c r="N98" s="50">
        <v>0</v>
      </c>
      <c r="O98" s="15">
        <f t="shared" si="35"/>
        <v>7</v>
      </c>
      <c r="P98" s="15">
        <f t="shared" si="36"/>
        <v>7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3</v>
      </c>
      <c r="E99" s="50">
        <v>0</v>
      </c>
      <c r="F99" s="50">
        <v>5</v>
      </c>
      <c r="G99" s="50">
        <v>1</v>
      </c>
      <c r="H99" s="50">
        <v>0</v>
      </c>
      <c r="I99" s="50">
        <v>0</v>
      </c>
      <c r="J99" s="50">
        <v>2</v>
      </c>
      <c r="K99" s="50">
        <v>0</v>
      </c>
      <c r="L99" s="50">
        <v>4</v>
      </c>
      <c r="M99" s="50">
        <v>6</v>
      </c>
      <c r="N99" s="50">
        <v>0</v>
      </c>
      <c r="O99" s="15">
        <f t="shared" si="35"/>
        <v>19</v>
      </c>
      <c r="P99" s="15">
        <f t="shared" si="36"/>
        <v>25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3</v>
      </c>
      <c r="E100" s="50">
        <v>1</v>
      </c>
      <c r="F100" s="50">
        <v>8</v>
      </c>
      <c r="G100" s="50">
        <v>0</v>
      </c>
      <c r="H100" s="50">
        <v>0</v>
      </c>
      <c r="I100" s="50">
        <v>0</v>
      </c>
      <c r="J100" s="50">
        <v>1</v>
      </c>
      <c r="K100" s="50">
        <v>1</v>
      </c>
      <c r="L100" s="50">
        <v>2</v>
      </c>
      <c r="M100" s="50">
        <v>2</v>
      </c>
      <c r="N100" s="50">
        <v>0</v>
      </c>
      <c r="O100" s="15">
        <f t="shared" si="35"/>
        <v>20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0</v>
      </c>
      <c r="J101" s="50">
        <v>3</v>
      </c>
      <c r="K101" s="50">
        <v>5</v>
      </c>
      <c r="L101" s="50">
        <v>4</v>
      </c>
      <c r="M101" s="50">
        <v>0</v>
      </c>
      <c r="N101" s="50">
        <v>0</v>
      </c>
      <c r="O101" s="15">
        <f t="shared" si="35"/>
        <v>21</v>
      </c>
      <c r="P101" s="15">
        <f t="shared" si="36"/>
        <v>21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4</v>
      </c>
      <c r="E102" s="50">
        <v>2</v>
      </c>
      <c r="F102" s="50">
        <v>10</v>
      </c>
      <c r="G102" s="50">
        <v>0</v>
      </c>
      <c r="H102" s="50">
        <v>0</v>
      </c>
      <c r="I102" s="50">
        <v>2</v>
      </c>
      <c r="J102" s="50">
        <v>1</v>
      </c>
      <c r="K102" s="50">
        <v>9</v>
      </c>
      <c r="L102" s="50">
        <v>7</v>
      </c>
      <c r="M102" s="50">
        <v>4</v>
      </c>
      <c r="N102" s="50">
        <v>0</v>
      </c>
      <c r="O102" s="15">
        <f t="shared" si="35"/>
        <v>40</v>
      </c>
      <c r="P102" s="15">
        <f t="shared" si="36"/>
        <v>44</v>
      </c>
      <c r="R102" s="8"/>
      <c r="T102"/>
    </row>
    <row r="103" spans="2:20" ht="23.1" customHeight="1" x14ac:dyDescent="0.25">
      <c r="B103" s="45" t="s">
        <v>143</v>
      </c>
      <c r="C103" s="50">
        <v>20</v>
      </c>
      <c r="D103" s="50">
        <v>12</v>
      </c>
      <c r="E103" s="50">
        <v>8</v>
      </c>
      <c r="F103" s="50">
        <v>14</v>
      </c>
      <c r="G103" s="50">
        <v>3</v>
      </c>
      <c r="H103" s="50">
        <v>0</v>
      </c>
      <c r="I103" s="50">
        <v>2</v>
      </c>
      <c r="J103" s="50">
        <v>6</v>
      </c>
      <c r="K103" s="50">
        <v>9</v>
      </c>
      <c r="L103" s="50">
        <v>1</v>
      </c>
      <c r="M103" s="50">
        <v>2</v>
      </c>
      <c r="N103" s="50">
        <v>0</v>
      </c>
      <c r="O103" s="15">
        <f t="shared" si="35"/>
        <v>75</v>
      </c>
      <c r="P103" s="15">
        <f t="shared" si="36"/>
        <v>77</v>
      </c>
      <c r="R103" s="8"/>
      <c r="T103"/>
    </row>
    <row r="104" spans="2:20" ht="23.1" customHeight="1" x14ac:dyDescent="0.25">
      <c r="B104" s="47" t="s">
        <v>144</v>
      </c>
      <c r="C104" s="50">
        <v>24</v>
      </c>
      <c r="D104" s="50">
        <v>12</v>
      </c>
      <c r="E104" s="50">
        <v>10</v>
      </c>
      <c r="F104" s="50">
        <v>19</v>
      </c>
      <c r="G104" s="50">
        <v>1</v>
      </c>
      <c r="H104" s="50">
        <v>0</v>
      </c>
      <c r="I104" s="50">
        <v>1</v>
      </c>
      <c r="J104" s="50">
        <v>8</v>
      </c>
      <c r="K104" s="50">
        <v>7</v>
      </c>
      <c r="L104" s="50">
        <v>5</v>
      </c>
      <c r="M104" s="50">
        <v>10</v>
      </c>
      <c r="N104" s="50">
        <v>0</v>
      </c>
      <c r="O104" s="15">
        <f t="shared" si="35"/>
        <v>87</v>
      </c>
      <c r="P104" s="15">
        <f t="shared" si="36"/>
        <v>97</v>
      </c>
      <c r="R104" s="8"/>
      <c r="T104"/>
    </row>
    <row r="105" spans="2:20" ht="23.1" customHeight="1" x14ac:dyDescent="0.25">
      <c r="B105" s="45" t="s">
        <v>145</v>
      </c>
      <c r="C105" s="50">
        <v>32</v>
      </c>
      <c r="D105" s="50">
        <v>23</v>
      </c>
      <c r="E105" s="50">
        <v>10</v>
      </c>
      <c r="F105" s="50">
        <v>25</v>
      </c>
      <c r="G105" s="50">
        <v>1</v>
      </c>
      <c r="H105" s="50">
        <v>0</v>
      </c>
      <c r="I105" s="50">
        <v>2</v>
      </c>
      <c r="J105" s="50">
        <v>3</v>
      </c>
      <c r="K105" s="50">
        <v>11</v>
      </c>
      <c r="L105" s="50">
        <v>4</v>
      </c>
      <c r="M105" s="50">
        <v>16</v>
      </c>
      <c r="N105" s="50">
        <v>0</v>
      </c>
      <c r="O105" s="15">
        <f t="shared" si="35"/>
        <v>111</v>
      </c>
      <c r="P105" s="15">
        <f t="shared" si="36"/>
        <v>127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1815</v>
      </c>
      <c r="D106" s="16">
        <f t="shared" ref="D106:P106" si="37">SUM(D10:D105)</f>
        <v>536</v>
      </c>
      <c r="E106" s="16">
        <f t="shared" si="37"/>
        <v>303</v>
      </c>
      <c r="F106" s="16">
        <f t="shared" si="37"/>
        <v>1406</v>
      </c>
      <c r="G106" s="16">
        <f t="shared" si="37"/>
        <v>46</v>
      </c>
      <c r="H106" s="16">
        <f t="shared" si="37"/>
        <v>11</v>
      </c>
      <c r="I106" s="16">
        <f t="shared" si="37"/>
        <v>285</v>
      </c>
      <c r="J106" s="16">
        <f t="shared" si="37"/>
        <v>317</v>
      </c>
      <c r="K106" s="16">
        <f t="shared" si="37"/>
        <v>228</v>
      </c>
      <c r="L106" s="16">
        <f t="shared" si="37"/>
        <v>371</v>
      </c>
      <c r="M106" s="16">
        <f t="shared" si="37"/>
        <v>2440</v>
      </c>
      <c r="N106" s="16">
        <f t="shared" si="37"/>
        <v>6</v>
      </c>
      <c r="O106" s="16">
        <f t="shared" si="37"/>
        <v>5324</v>
      </c>
      <c r="P106" s="16">
        <f t="shared" si="37"/>
        <v>7764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0.23377125193199383</v>
      </c>
      <c r="D107" s="43">
        <f t="shared" si="38"/>
        <v>6.9036579082946928E-2</v>
      </c>
      <c r="E107" s="43">
        <f t="shared" si="38"/>
        <v>3.9026275115919627E-2</v>
      </c>
      <c r="F107" s="43">
        <f t="shared" si="38"/>
        <v>0.18109222050489437</v>
      </c>
      <c r="G107" s="43">
        <f t="shared" si="38"/>
        <v>5.9247810407006699E-3</v>
      </c>
      <c r="H107" s="43">
        <f t="shared" si="38"/>
        <v>1.4167954662545081E-3</v>
      </c>
      <c r="I107" s="43">
        <f t="shared" si="38"/>
        <v>3.6707882534775887E-2</v>
      </c>
      <c r="J107" s="43">
        <f t="shared" si="38"/>
        <v>4.0829469345698095E-2</v>
      </c>
      <c r="K107" s="43">
        <f t="shared" si="38"/>
        <v>2.9366306027820709E-2</v>
      </c>
      <c r="L107" s="43">
        <f t="shared" si="38"/>
        <v>4.7784647089129315E-2</v>
      </c>
      <c r="M107" s="43">
        <f t="shared" si="38"/>
        <v>0.31427099433281813</v>
      </c>
      <c r="N107" s="43">
        <f t="shared" si="38"/>
        <v>7.7279752704791343E-4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0.34090909090909088</v>
      </c>
      <c r="D108" s="44">
        <f t="shared" ref="D108:N108" si="39">D106/$O$106</f>
        <v>0.10067618332081142</v>
      </c>
      <c r="E108" s="44">
        <f t="shared" si="39"/>
        <v>5.6912096168294513E-2</v>
      </c>
      <c r="F108" s="44">
        <f t="shared" si="39"/>
        <v>0.26408715251690457</v>
      </c>
      <c r="G108" s="44">
        <f t="shared" si="39"/>
        <v>8.6401202103681442E-3</v>
      </c>
      <c r="H108" s="44">
        <f t="shared" si="39"/>
        <v>2.0661157024793389E-3</v>
      </c>
      <c r="I108" s="44">
        <f t="shared" si="39"/>
        <v>5.3531179564237419E-2</v>
      </c>
      <c r="J108" s="44">
        <f t="shared" si="39"/>
        <v>5.9541697971450036E-2</v>
      </c>
      <c r="K108" s="44">
        <f t="shared" si="39"/>
        <v>4.2824943651389932E-2</v>
      </c>
      <c r="L108" s="44">
        <f t="shared" si="39"/>
        <v>6.9684447783621331E-2</v>
      </c>
      <c r="M108" s="44"/>
      <c r="N108" s="44">
        <f t="shared" si="39"/>
        <v>1.1269722013523666E-3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4" t="str">
        <f>'31.07 Bweyogerere-Nalya'!G5:H5</f>
        <v>Signs and Symbols</v>
      </c>
      <c r="H5" s="65"/>
      <c r="I5" s="14"/>
      <c r="J5" s="2" t="s">
        <v>5</v>
      </c>
      <c r="K5" s="64" t="str">
        <f>'31.07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'31.07 Bweyogerere-Nalya'!K6:L6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18</v>
      </c>
      <c r="D10" s="50">
        <v>6</v>
      </c>
      <c r="E10" s="50">
        <v>2</v>
      </c>
      <c r="F10" s="50">
        <v>23</v>
      </c>
      <c r="G10" s="50">
        <v>0</v>
      </c>
      <c r="H10" s="50">
        <v>0</v>
      </c>
      <c r="I10" s="50">
        <v>2</v>
      </c>
      <c r="J10" s="50">
        <v>3</v>
      </c>
      <c r="K10" s="50">
        <v>1</v>
      </c>
      <c r="L10" s="50">
        <v>0</v>
      </c>
      <c r="M10" s="50">
        <v>11</v>
      </c>
      <c r="N10" s="50">
        <v>0</v>
      </c>
      <c r="O10" s="15">
        <f t="shared" ref="O10:O57" si="0">SUM(C10:L10,N10)</f>
        <v>55</v>
      </c>
      <c r="P10" s="15">
        <f t="shared" ref="P10:P57" si="1">SUM(C10:N10)</f>
        <v>66</v>
      </c>
      <c r="R10" s="1" t="s">
        <v>6</v>
      </c>
      <c r="S10" s="17">
        <f t="shared" ref="S10:AF10" si="2">SUM(C10:C13)</f>
        <v>106</v>
      </c>
      <c r="T10" s="17">
        <f t="shared" si="2"/>
        <v>31</v>
      </c>
      <c r="U10" s="17">
        <f t="shared" si="2"/>
        <v>19</v>
      </c>
      <c r="V10" s="17">
        <f t="shared" si="2"/>
        <v>116</v>
      </c>
      <c r="W10" s="17">
        <f t="shared" si="2"/>
        <v>3</v>
      </c>
      <c r="X10" s="17">
        <f t="shared" si="2"/>
        <v>0</v>
      </c>
      <c r="Y10" s="17">
        <f t="shared" si="2"/>
        <v>8</v>
      </c>
      <c r="Z10" s="17">
        <f t="shared" si="2"/>
        <v>13</v>
      </c>
      <c r="AA10" s="17">
        <f t="shared" si="2"/>
        <v>10</v>
      </c>
      <c r="AB10" s="17">
        <f t="shared" si="2"/>
        <v>4</v>
      </c>
      <c r="AC10" s="17">
        <f t="shared" si="2"/>
        <v>111</v>
      </c>
      <c r="AD10" s="17">
        <f t="shared" si="2"/>
        <v>0</v>
      </c>
      <c r="AE10" s="31">
        <f t="shared" si="2"/>
        <v>310</v>
      </c>
      <c r="AF10" s="31">
        <f t="shared" si="2"/>
        <v>421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5</v>
      </c>
      <c r="E11" s="50">
        <v>7</v>
      </c>
      <c r="F11" s="50">
        <v>29</v>
      </c>
      <c r="G11" s="50">
        <v>1</v>
      </c>
      <c r="H11" s="50">
        <v>0</v>
      </c>
      <c r="I11" s="50">
        <v>0</v>
      </c>
      <c r="J11" s="50">
        <v>3</v>
      </c>
      <c r="K11" s="50">
        <v>2</v>
      </c>
      <c r="L11" s="50">
        <v>0</v>
      </c>
      <c r="M11" s="50">
        <v>26</v>
      </c>
      <c r="N11" s="50">
        <v>0</v>
      </c>
      <c r="O11" s="15">
        <f t="shared" si="0"/>
        <v>68</v>
      </c>
      <c r="P11" s="15">
        <f t="shared" si="1"/>
        <v>94</v>
      </c>
      <c r="R11" s="1" t="s">
        <v>7</v>
      </c>
      <c r="S11" s="17">
        <f t="shared" ref="S11:AF11" si="3">SUM(C14:C17)</f>
        <v>113</v>
      </c>
      <c r="T11" s="17">
        <f t="shared" si="3"/>
        <v>46</v>
      </c>
      <c r="U11" s="17">
        <f t="shared" si="3"/>
        <v>16</v>
      </c>
      <c r="V11" s="17">
        <f t="shared" si="3"/>
        <v>152</v>
      </c>
      <c r="W11" s="17">
        <f t="shared" si="3"/>
        <v>3</v>
      </c>
      <c r="X11" s="17">
        <f t="shared" si="3"/>
        <v>0</v>
      </c>
      <c r="Y11" s="17">
        <f t="shared" si="3"/>
        <v>17</v>
      </c>
      <c r="Z11" s="17">
        <f t="shared" si="3"/>
        <v>14</v>
      </c>
      <c r="AA11" s="17">
        <f t="shared" si="3"/>
        <v>16</v>
      </c>
      <c r="AB11" s="17">
        <f t="shared" si="3"/>
        <v>14</v>
      </c>
      <c r="AC11" s="17">
        <f t="shared" si="3"/>
        <v>149</v>
      </c>
      <c r="AD11" s="17">
        <f t="shared" si="3"/>
        <v>0</v>
      </c>
      <c r="AE11" s="31">
        <f t="shared" si="3"/>
        <v>391</v>
      </c>
      <c r="AF11" s="31">
        <f t="shared" si="3"/>
        <v>540</v>
      </c>
    </row>
    <row r="12" spans="2:32" ht="23.1" customHeight="1" x14ac:dyDescent="0.25">
      <c r="B12" s="23" t="s">
        <v>39</v>
      </c>
      <c r="C12" s="50">
        <v>27</v>
      </c>
      <c r="D12" s="50">
        <v>12</v>
      </c>
      <c r="E12" s="50">
        <v>7</v>
      </c>
      <c r="F12" s="50">
        <v>20</v>
      </c>
      <c r="G12" s="50">
        <v>1</v>
      </c>
      <c r="H12" s="50">
        <v>0</v>
      </c>
      <c r="I12" s="50">
        <v>2</v>
      </c>
      <c r="J12" s="50">
        <v>2</v>
      </c>
      <c r="K12" s="50">
        <v>2</v>
      </c>
      <c r="L12" s="50">
        <v>2</v>
      </c>
      <c r="M12" s="50">
        <v>42</v>
      </c>
      <c r="N12" s="50">
        <v>0</v>
      </c>
      <c r="O12" s="15">
        <f t="shared" si="0"/>
        <v>75</v>
      </c>
      <c r="P12" s="15">
        <f t="shared" si="1"/>
        <v>117</v>
      </c>
      <c r="R12" s="1" t="s">
        <v>8</v>
      </c>
      <c r="S12" s="17">
        <f t="shared" ref="S12:AF12" si="4">SUM(C18:C21)</f>
        <v>76</v>
      </c>
      <c r="T12" s="17">
        <f t="shared" si="4"/>
        <v>40</v>
      </c>
      <c r="U12" s="17">
        <f t="shared" si="4"/>
        <v>19</v>
      </c>
      <c r="V12" s="17">
        <f t="shared" si="4"/>
        <v>105</v>
      </c>
      <c r="W12" s="17">
        <f t="shared" si="4"/>
        <v>4</v>
      </c>
      <c r="X12" s="17">
        <f t="shared" si="4"/>
        <v>0</v>
      </c>
      <c r="Y12" s="17">
        <f t="shared" si="4"/>
        <v>18</v>
      </c>
      <c r="Z12" s="17">
        <f t="shared" si="4"/>
        <v>13</v>
      </c>
      <c r="AA12" s="17">
        <f t="shared" si="4"/>
        <v>15</v>
      </c>
      <c r="AB12" s="17">
        <f t="shared" si="4"/>
        <v>10</v>
      </c>
      <c r="AC12" s="17">
        <f t="shared" si="4"/>
        <v>190</v>
      </c>
      <c r="AD12" s="17">
        <f t="shared" si="4"/>
        <v>0</v>
      </c>
      <c r="AE12" s="31">
        <f t="shared" si="4"/>
        <v>300</v>
      </c>
      <c r="AF12" s="31">
        <f t="shared" si="4"/>
        <v>490</v>
      </c>
    </row>
    <row r="13" spans="2:32" ht="23.1" customHeight="1" x14ac:dyDescent="0.25">
      <c r="B13" s="23" t="s">
        <v>40</v>
      </c>
      <c r="C13" s="50">
        <v>40</v>
      </c>
      <c r="D13" s="50">
        <v>8</v>
      </c>
      <c r="E13" s="50">
        <v>3</v>
      </c>
      <c r="F13" s="50">
        <v>44</v>
      </c>
      <c r="G13" s="50">
        <v>1</v>
      </c>
      <c r="H13" s="50">
        <v>0</v>
      </c>
      <c r="I13" s="50">
        <v>4</v>
      </c>
      <c r="J13" s="50">
        <v>5</v>
      </c>
      <c r="K13" s="50">
        <v>5</v>
      </c>
      <c r="L13" s="50">
        <v>2</v>
      </c>
      <c r="M13" s="50">
        <v>32</v>
      </c>
      <c r="N13" s="50">
        <v>0</v>
      </c>
      <c r="O13" s="15">
        <f t="shared" si="0"/>
        <v>112</v>
      </c>
      <c r="P13" s="15">
        <f t="shared" si="1"/>
        <v>144</v>
      </c>
      <c r="R13" s="1" t="s">
        <v>9</v>
      </c>
      <c r="S13" s="17">
        <f t="shared" ref="S13:AF13" si="5">SUM(C22:C25)</f>
        <v>80</v>
      </c>
      <c r="T13" s="17">
        <f t="shared" si="5"/>
        <v>30</v>
      </c>
      <c r="U13" s="17">
        <f t="shared" si="5"/>
        <v>17</v>
      </c>
      <c r="V13" s="17">
        <f t="shared" si="5"/>
        <v>76</v>
      </c>
      <c r="W13" s="17">
        <f t="shared" si="5"/>
        <v>6</v>
      </c>
      <c r="X13" s="17">
        <f t="shared" si="5"/>
        <v>0</v>
      </c>
      <c r="Y13" s="17">
        <f t="shared" si="5"/>
        <v>11</v>
      </c>
      <c r="Z13" s="17">
        <f t="shared" si="5"/>
        <v>14</v>
      </c>
      <c r="AA13" s="17">
        <f t="shared" si="5"/>
        <v>13</v>
      </c>
      <c r="AB13" s="17">
        <f t="shared" si="5"/>
        <v>7</v>
      </c>
      <c r="AC13" s="17">
        <f t="shared" si="5"/>
        <v>112</v>
      </c>
      <c r="AD13" s="17">
        <f t="shared" si="5"/>
        <v>0</v>
      </c>
      <c r="AE13" s="31">
        <f t="shared" si="5"/>
        <v>254</v>
      </c>
      <c r="AF13" s="31">
        <f t="shared" si="5"/>
        <v>366</v>
      </c>
    </row>
    <row r="14" spans="2:32" ht="23.1" customHeight="1" x14ac:dyDescent="0.25">
      <c r="B14" s="23" t="s">
        <v>41</v>
      </c>
      <c r="C14" s="50">
        <v>25</v>
      </c>
      <c r="D14" s="50">
        <v>11</v>
      </c>
      <c r="E14" s="50">
        <v>3</v>
      </c>
      <c r="F14" s="50">
        <v>34</v>
      </c>
      <c r="G14" s="50">
        <v>2</v>
      </c>
      <c r="H14" s="50">
        <v>0</v>
      </c>
      <c r="I14" s="50">
        <v>3</v>
      </c>
      <c r="J14" s="50">
        <v>1</v>
      </c>
      <c r="K14" s="50">
        <v>1</v>
      </c>
      <c r="L14" s="50">
        <v>3</v>
      </c>
      <c r="M14" s="50">
        <v>30</v>
      </c>
      <c r="N14" s="50">
        <v>0</v>
      </c>
      <c r="O14" s="15">
        <f t="shared" si="0"/>
        <v>83</v>
      </c>
      <c r="P14" s="15">
        <f t="shared" si="1"/>
        <v>113</v>
      </c>
      <c r="R14" s="1" t="s">
        <v>10</v>
      </c>
      <c r="S14" s="17">
        <f t="shared" ref="S14:AF14" si="6">SUM(C26:C29)</f>
        <v>63</v>
      </c>
      <c r="T14" s="17">
        <f t="shared" si="6"/>
        <v>24</v>
      </c>
      <c r="U14" s="17">
        <f t="shared" si="6"/>
        <v>8</v>
      </c>
      <c r="V14" s="17">
        <f t="shared" si="6"/>
        <v>99</v>
      </c>
      <c r="W14" s="17">
        <f t="shared" si="6"/>
        <v>1</v>
      </c>
      <c r="X14" s="17">
        <f t="shared" si="6"/>
        <v>1</v>
      </c>
      <c r="Y14" s="17">
        <f t="shared" si="6"/>
        <v>11</v>
      </c>
      <c r="Z14" s="17">
        <f t="shared" si="6"/>
        <v>14</v>
      </c>
      <c r="AA14" s="17">
        <f t="shared" si="6"/>
        <v>18</v>
      </c>
      <c r="AB14" s="17">
        <f t="shared" si="6"/>
        <v>16</v>
      </c>
      <c r="AC14" s="17">
        <f t="shared" si="6"/>
        <v>159</v>
      </c>
      <c r="AD14" s="17">
        <f t="shared" si="6"/>
        <v>0</v>
      </c>
      <c r="AE14" s="31">
        <f t="shared" si="6"/>
        <v>255</v>
      </c>
      <c r="AF14" s="31">
        <f t="shared" si="6"/>
        <v>414</v>
      </c>
    </row>
    <row r="15" spans="2:32" ht="23.1" customHeight="1" x14ac:dyDescent="0.25">
      <c r="B15" s="23" t="s">
        <v>42</v>
      </c>
      <c r="C15" s="50">
        <v>32</v>
      </c>
      <c r="D15" s="50">
        <v>14</v>
      </c>
      <c r="E15" s="50">
        <v>3</v>
      </c>
      <c r="F15" s="50">
        <v>49</v>
      </c>
      <c r="G15" s="50">
        <v>1</v>
      </c>
      <c r="H15" s="50">
        <v>0</v>
      </c>
      <c r="I15" s="50">
        <v>7</v>
      </c>
      <c r="J15" s="50">
        <v>6</v>
      </c>
      <c r="K15" s="50">
        <v>6</v>
      </c>
      <c r="L15" s="50">
        <v>5</v>
      </c>
      <c r="M15" s="50">
        <v>34</v>
      </c>
      <c r="N15" s="50">
        <v>0</v>
      </c>
      <c r="O15" s="15">
        <f t="shared" si="0"/>
        <v>123</v>
      </c>
      <c r="P15" s="15">
        <f t="shared" si="1"/>
        <v>157</v>
      </c>
      <c r="R15" s="1" t="s">
        <v>11</v>
      </c>
      <c r="S15" s="17">
        <f t="shared" ref="S15:AF15" si="7">SUM(C30:C33)</f>
        <v>62</v>
      </c>
      <c r="T15" s="17">
        <f t="shared" si="7"/>
        <v>31</v>
      </c>
      <c r="U15" s="17">
        <f t="shared" si="7"/>
        <v>7</v>
      </c>
      <c r="V15" s="17">
        <f t="shared" si="7"/>
        <v>68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10</v>
      </c>
      <c r="AA15" s="17">
        <f t="shared" si="7"/>
        <v>18</v>
      </c>
      <c r="AB15" s="17">
        <f t="shared" si="7"/>
        <v>24</v>
      </c>
      <c r="AC15" s="17">
        <f t="shared" si="7"/>
        <v>169</v>
      </c>
      <c r="AD15" s="17">
        <f t="shared" si="7"/>
        <v>0</v>
      </c>
      <c r="AE15" s="31">
        <f t="shared" si="7"/>
        <v>231</v>
      </c>
      <c r="AF15" s="31">
        <f t="shared" si="7"/>
        <v>400</v>
      </c>
    </row>
    <row r="16" spans="2:32" ht="23.1" customHeight="1" x14ac:dyDescent="0.25">
      <c r="B16" s="23" t="s">
        <v>43</v>
      </c>
      <c r="C16" s="50">
        <v>30</v>
      </c>
      <c r="D16" s="50">
        <v>14</v>
      </c>
      <c r="E16" s="50">
        <v>6</v>
      </c>
      <c r="F16" s="50">
        <v>38</v>
      </c>
      <c r="G16" s="50">
        <v>0</v>
      </c>
      <c r="H16" s="50">
        <v>0</v>
      </c>
      <c r="I16" s="50">
        <v>4</v>
      </c>
      <c r="J16" s="50">
        <v>3</v>
      </c>
      <c r="K16" s="50">
        <v>4</v>
      </c>
      <c r="L16" s="50">
        <v>3</v>
      </c>
      <c r="M16" s="50">
        <v>46</v>
      </c>
      <c r="N16" s="50">
        <v>0</v>
      </c>
      <c r="O16" s="15">
        <f t="shared" si="0"/>
        <v>102</v>
      </c>
      <c r="P16" s="15">
        <f t="shared" si="1"/>
        <v>148</v>
      </c>
      <c r="R16" s="1" t="s">
        <v>12</v>
      </c>
      <c r="S16" s="17">
        <f t="shared" ref="S16:AF16" si="8">SUM(C34:C37)</f>
        <v>71</v>
      </c>
      <c r="T16" s="17">
        <f t="shared" si="8"/>
        <v>34</v>
      </c>
      <c r="U16" s="17">
        <f t="shared" si="8"/>
        <v>15</v>
      </c>
      <c r="V16" s="17">
        <f t="shared" si="8"/>
        <v>90</v>
      </c>
      <c r="W16" s="17">
        <f t="shared" si="8"/>
        <v>2</v>
      </c>
      <c r="X16" s="17">
        <f t="shared" si="8"/>
        <v>0</v>
      </c>
      <c r="Y16" s="17">
        <f t="shared" si="8"/>
        <v>30</v>
      </c>
      <c r="Z16" s="17">
        <f t="shared" si="8"/>
        <v>7</v>
      </c>
      <c r="AA16" s="17">
        <f t="shared" si="8"/>
        <v>8</v>
      </c>
      <c r="AB16" s="17">
        <f t="shared" si="8"/>
        <v>14</v>
      </c>
      <c r="AC16" s="17">
        <f t="shared" si="8"/>
        <v>113</v>
      </c>
      <c r="AD16" s="17">
        <f t="shared" si="8"/>
        <v>0</v>
      </c>
      <c r="AE16" s="31">
        <f t="shared" si="8"/>
        <v>271</v>
      </c>
      <c r="AF16" s="31">
        <f t="shared" si="8"/>
        <v>384</v>
      </c>
    </row>
    <row r="17" spans="2:32" ht="23.1" customHeight="1" x14ac:dyDescent="0.25">
      <c r="B17" s="23" t="s">
        <v>44</v>
      </c>
      <c r="C17" s="50">
        <v>26</v>
      </c>
      <c r="D17" s="50">
        <v>7</v>
      </c>
      <c r="E17" s="50">
        <v>4</v>
      </c>
      <c r="F17" s="50">
        <v>31</v>
      </c>
      <c r="G17" s="50">
        <v>0</v>
      </c>
      <c r="H17" s="50">
        <v>0</v>
      </c>
      <c r="I17" s="50">
        <v>3</v>
      </c>
      <c r="J17" s="50">
        <v>4</v>
      </c>
      <c r="K17" s="50">
        <v>5</v>
      </c>
      <c r="L17" s="50">
        <v>3</v>
      </c>
      <c r="M17" s="50">
        <v>39</v>
      </c>
      <c r="N17" s="50">
        <v>0</v>
      </c>
      <c r="O17" s="15">
        <f t="shared" si="0"/>
        <v>83</v>
      </c>
      <c r="P17" s="15">
        <f t="shared" si="1"/>
        <v>122</v>
      </c>
      <c r="R17" s="1" t="s">
        <v>13</v>
      </c>
      <c r="S17" s="17">
        <f t="shared" ref="S17:AF17" si="9">SUM(C38:C41)</f>
        <v>48</v>
      </c>
      <c r="T17" s="17">
        <f t="shared" si="9"/>
        <v>18</v>
      </c>
      <c r="U17" s="17">
        <f t="shared" si="9"/>
        <v>8</v>
      </c>
      <c r="V17" s="17">
        <f t="shared" si="9"/>
        <v>64</v>
      </c>
      <c r="W17" s="17">
        <f t="shared" si="9"/>
        <v>1</v>
      </c>
      <c r="X17" s="17">
        <f t="shared" si="9"/>
        <v>2</v>
      </c>
      <c r="Y17" s="17">
        <f t="shared" si="9"/>
        <v>16</v>
      </c>
      <c r="Z17" s="17">
        <f t="shared" si="9"/>
        <v>10</v>
      </c>
      <c r="AA17" s="17">
        <f t="shared" si="9"/>
        <v>8</v>
      </c>
      <c r="AB17" s="17">
        <f t="shared" si="9"/>
        <v>22</v>
      </c>
      <c r="AC17" s="17">
        <f t="shared" si="9"/>
        <v>112</v>
      </c>
      <c r="AD17" s="17">
        <f t="shared" si="9"/>
        <v>0</v>
      </c>
      <c r="AE17" s="31">
        <f t="shared" si="9"/>
        <v>197</v>
      </c>
      <c r="AF17" s="31">
        <f t="shared" si="9"/>
        <v>309</v>
      </c>
    </row>
    <row r="18" spans="2:32" ht="23.1" customHeight="1" x14ac:dyDescent="0.25">
      <c r="B18" s="23" t="s">
        <v>45</v>
      </c>
      <c r="C18" s="50">
        <v>17</v>
      </c>
      <c r="D18" s="50">
        <v>4</v>
      </c>
      <c r="E18" s="50">
        <v>4</v>
      </c>
      <c r="F18" s="50">
        <v>33</v>
      </c>
      <c r="G18" s="50">
        <v>0</v>
      </c>
      <c r="H18" s="50">
        <v>0</v>
      </c>
      <c r="I18" s="50">
        <v>6</v>
      </c>
      <c r="J18" s="50">
        <v>2</v>
      </c>
      <c r="K18" s="50">
        <v>2</v>
      </c>
      <c r="L18" s="50">
        <v>1</v>
      </c>
      <c r="M18" s="50">
        <v>48</v>
      </c>
      <c r="N18" s="50">
        <v>0</v>
      </c>
      <c r="O18" s="15">
        <f t="shared" si="0"/>
        <v>69</v>
      </c>
      <c r="P18" s="15">
        <f t="shared" si="1"/>
        <v>117</v>
      </c>
      <c r="R18" s="1" t="s">
        <v>14</v>
      </c>
      <c r="S18" s="17">
        <f t="shared" ref="S18:AF18" si="10">SUM(C42:C45)</f>
        <v>76</v>
      </c>
      <c r="T18" s="17">
        <f t="shared" si="10"/>
        <v>25</v>
      </c>
      <c r="U18" s="17">
        <f t="shared" si="10"/>
        <v>12</v>
      </c>
      <c r="V18" s="17">
        <f t="shared" si="10"/>
        <v>93</v>
      </c>
      <c r="W18" s="17">
        <f t="shared" si="10"/>
        <v>2</v>
      </c>
      <c r="X18" s="17">
        <f t="shared" si="10"/>
        <v>1</v>
      </c>
      <c r="Y18" s="17">
        <f t="shared" si="10"/>
        <v>18</v>
      </c>
      <c r="Z18" s="17">
        <f t="shared" si="10"/>
        <v>22</v>
      </c>
      <c r="AA18" s="17">
        <f t="shared" si="10"/>
        <v>12</v>
      </c>
      <c r="AB18" s="17">
        <f t="shared" si="10"/>
        <v>37</v>
      </c>
      <c r="AC18" s="17">
        <f t="shared" si="10"/>
        <v>123</v>
      </c>
      <c r="AD18" s="17">
        <f t="shared" si="10"/>
        <v>0</v>
      </c>
      <c r="AE18" s="31">
        <f t="shared" si="10"/>
        <v>298</v>
      </c>
      <c r="AF18" s="31">
        <f t="shared" si="10"/>
        <v>421</v>
      </c>
    </row>
    <row r="19" spans="2:32" ht="23.1" customHeight="1" x14ac:dyDescent="0.25">
      <c r="B19" s="23" t="s">
        <v>46</v>
      </c>
      <c r="C19" s="50">
        <v>19</v>
      </c>
      <c r="D19" s="50">
        <v>7</v>
      </c>
      <c r="E19" s="50">
        <v>6</v>
      </c>
      <c r="F19" s="50">
        <v>31</v>
      </c>
      <c r="G19" s="50">
        <v>0</v>
      </c>
      <c r="H19" s="50">
        <v>0</v>
      </c>
      <c r="I19" s="50">
        <v>6</v>
      </c>
      <c r="J19" s="50">
        <v>7</v>
      </c>
      <c r="K19" s="50">
        <v>5</v>
      </c>
      <c r="L19" s="50">
        <v>2</v>
      </c>
      <c r="M19" s="50">
        <v>51</v>
      </c>
      <c r="N19" s="50">
        <v>0</v>
      </c>
      <c r="O19" s="15">
        <f t="shared" si="0"/>
        <v>83</v>
      </c>
      <c r="P19" s="15">
        <f t="shared" si="1"/>
        <v>134</v>
      </c>
      <c r="R19" s="1" t="s">
        <v>15</v>
      </c>
      <c r="S19" s="17">
        <f t="shared" ref="S19:AF19" si="11">SUM(C46:C49)</f>
        <v>113</v>
      </c>
      <c r="T19" s="17">
        <f t="shared" si="11"/>
        <v>55</v>
      </c>
      <c r="U19" s="17">
        <f t="shared" si="11"/>
        <v>25</v>
      </c>
      <c r="V19" s="17">
        <f t="shared" si="11"/>
        <v>75</v>
      </c>
      <c r="W19" s="17">
        <f t="shared" si="11"/>
        <v>2</v>
      </c>
      <c r="X19" s="17">
        <f t="shared" si="11"/>
        <v>0</v>
      </c>
      <c r="Y19" s="17">
        <f t="shared" si="11"/>
        <v>18</v>
      </c>
      <c r="Z19" s="17">
        <f t="shared" si="11"/>
        <v>16</v>
      </c>
      <c r="AA19" s="17">
        <f t="shared" si="11"/>
        <v>13</v>
      </c>
      <c r="AB19" s="17">
        <f t="shared" si="11"/>
        <v>12</v>
      </c>
      <c r="AC19" s="17">
        <f t="shared" si="11"/>
        <v>105</v>
      </c>
      <c r="AD19" s="17">
        <f t="shared" si="11"/>
        <v>0</v>
      </c>
      <c r="AE19" s="31">
        <f t="shared" si="11"/>
        <v>329</v>
      </c>
      <c r="AF19" s="31">
        <f t="shared" si="11"/>
        <v>434</v>
      </c>
    </row>
    <row r="20" spans="2:32" ht="23.1" customHeight="1" x14ac:dyDescent="0.25">
      <c r="B20" s="23" t="s">
        <v>47</v>
      </c>
      <c r="C20" s="50">
        <v>22</v>
      </c>
      <c r="D20" s="50">
        <v>14</v>
      </c>
      <c r="E20" s="50">
        <v>3</v>
      </c>
      <c r="F20" s="50">
        <v>22</v>
      </c>
      <c r="G20" s="50">
        <v>1</v>
      </c>
      <c r="H20" s="50">
        <v>0</v>
      </c>
      <c r="I20" s="50">
        <v>5</v>
      </c>
      <c r="J20" s="50">
        <v>2</v>
      </c>
      <c r="K20" s="50">
        <v>5</v>
      </c>
      <c r="L20" s="50">
        <v>3</v>
      </c>
      <c r="M20" s="50">
        <v>46</v>
      </c>
      <c r="N20" s="50">
        <v>0</v>
      </c>
      <c r="O20" s="15">
        <f t="shared" si="0"/>
        <v>77</v>
      </c>
      <c r="P20" s="15">
        <f t="shared" si="1"/>
        <v>123</v>
      </c>
      <c r="R20" s="1" t="s">
        <v>16</v>
      </c>
      <c r="S20" s="17">
        <f t="shared" ref="S20:AF20" si="12">SUM(C50:C53)</f>
        <v>95</v>
      </c>
      <c r="T20" s="17">
        <f t="shared" si="12"/>
        <v>33</v>
      </c>
      <c r="U20" s="17">
        <f t="shared" si="12"/>
        <v>30</v>
      </c>
      <c r="V20" s="17">
        <f t="shared" si="12"/>
        <v>130</v>
      </c>
      <c r="W20" s="17">
        <f t="shared" si="12"/>
        <v>4</v>
      </c>
      <c r="X20" s="17">
        <f t="shared" si="12"/>
        <v>1</v>
      </c>
      <c r="Y20" s="17">
        <f t="shared" si="12"/>
        <v>30</v>
      </c>
      <c r="Z20" s="17">
        <f t="shared" si="12"/>
        <v>17</v>
      </c>
      <c r="AA20" s="17">
        <f t="shared" si="12"/>
        <v>20</v>
      </c>
      <c r="AB20" s="17">
        <f t="shared" si="12"/>
        <v>16</v>
      </c>
      <c r="AC20" s="17">
        <f t="shared" si="12"/>
        <v>159</v>
      </c>
      <c r="AD20" s="17">
        <f t="shared" si="12"/>
        <v>1</v>
      </c>
      <c r="AE20" s="31">
        <f t="shared" si="12"/>
        <v>377</v>
      </c>
      <c r="AF20" s="31">
        <f t="shared" si="12"/>
        <v>536</v>
      </c>
    </row>
    <row r="21" spans="2:32" ht="23.1" customHeight="1" x14ac:dyDescent="0.25">
      <c r="B21" s="23" t="s">
        <v>48</v>
      </c>
      <c r="C21" s="50">
        <v>18</v>
      </c>
      <c r="D21" s="50">
        <v>15</v>
      </c>
      <c r="E21" s="50">
        <v>6</v>
      </c>
      <c r="F21" s="50">
        <v>19</v>
      </c>
      <c r="G21" s="50">
        <v>3</v>
      </c>
      <c r="H21" s="50">
        <v>0</v>
      </c>
      <c r="I21" s="50">
        <v>1</v>
      </c>
      <c r="J21" s="50">
        <v>2</v>
      </c>
      <c r="K21" s="50">
        <v>3</v>
      </c>
      <c r="L21" s="50">
        <v>4</v>
      </c>
      <c r="M21" s="50">
        <v>45</v>
      </c>
      <c r="N21" s="50">
        <v>0</v>
      </c>
      <c r="O21" s="15">
        <f t="shared" si="0"/>
        <v>71</v>
      </c>
      <c r="P21" s="15">
        <f t="shared" si="1"/>
        <v>116</v>
      </c>
      <c r="R21" s="36" t="s">
        <v>20</v>
      </c>
      <c r="S21" s="34">
        <f t="shared" ref="S21:AF21" si="13">SUM(C54:C57)</f>
        <v>148</v>
      </c>
      <c r="T21" s="17">
        <f t="shared" si="13"/>
        <v>82</v>
      </c>
      <c r="U21" s="17">
        <f t="shared" si="13"/>
        <v>43</v>
      </c>
      <c r="V21" s="17">
        <f t="shared" si="13"/>
        <v>139</v>
      </c>
      <c r="W21" s="17">
        <f t="shared" si="13"/>
        <v>3</v>
      </c>
      <c r="X21" s="17">
        <f t="shared" si="13"/>
        <v>0</v>
      </c>
      <c r="Y21" s="17">
        <f t="shared" si="13"/>
        <v>47</v>
      </c>
      <c r="Z21" s="17">
        <f t="shared" si="13"/>
        <v>31</v>
      </c>
      <c r="AA21" s="17">
        <f t="shared" si="13"/>
        <v>29</v>
      </c>
      <c r="AB21" s="17">
        <f t="shared" si="13"/>
        <v>33</v>
      </c>
      <c r="AC21" s="17">
        <f t="shared" si="13"/>
        <v>168</v>
      </c>
      <c r="AD21" s="17">
        <f t="shared" si="13"/>
        <v>0</v>
      </c>
      <c r="AE21" s="31">
        <f t="shared" si="13"/>
        <v>555</v>
      </c>
      <c r="AF21" s="31">
        <f t="shared" si="13"/>
        <v>723</v>
      </c>
    </row>
    <row r="22" spans="2:32" ht="23.1" customHeight="1" x14ac:dyDescent="0.25">
      <c r="B22" s="23" t="s">
        <v>49</v>
      </c>
      <c r="C22" s="50">
        <v>24</v>
      </c>
      <c r="D22" s="50">
        <v>12</v>
      </c>
      <c r="E22" s="50">
        <v>6</v>
      </c>
      <c r="F22" s="50">
        <v>17</v>
      </c>
      <c r="G22" s="50">
        <v>1</v>
      </c>
      <c r="H22" s="50">
        <v>0</v>
      </c>
      <c r="I22" s="50">
        <v>3</v>
      </c>
      <c r="J22" s="50">
        <v>5</v>
      </c>
      <c r="K22" s="50">
        <v>3</v>
      </c>
      <c r="L22" s="50">
        <v>2</v>
      </c>
      <c r="M22" s="50">
        <v>34</v>
      </c>
      <c r="N22" s="50">
        <v>0</v>
      </c>
      <c r="O22" s="15">
        <f t="shared" si="0"/>
        <v>73</v>
      </c>
      <c r="P22" s="15">
        <f t="shared" si="1"/>
        <v>107</v>
      </c>
      <c r="R22" s="38" t="s">
        <v>90</v>
      </c>
      <c r="S22" s="39">
        <f>MAX(S10:S12)</f>
        <v>113</v>
      </c>
      <c r="T22" s="39">
        <f t="shared" ref="T22:AF22" si="14">MAX(T10:T12)</f>
        <v>46</v>
      </c>
      <c r="U22" s="39">
        <f t="shared" si="14"/>
        <v>19</v>
      </c>
      <c r="V22" s="39">
        <f t="shared" si="14"/>
        <v>152</v>
      </c>
      <c r="W22" s="39">
        <f t="shared" si="14"/>
        <v>4</v>
      </c>
      <c r="X22" s="39">
        <f t="shared" si="14"/>
        <v>0</v>
      </c>
      <c r="Y22" s="39">
        <f t="shared" si="14"/>
        <v>18</v>
      </c>
      <c r="Z22" s="39">
        <f t="shared" si="14"/>
        <v>14</v>
      </c>
      <c r="AA22" s="39">
        <f t="shared" si="14"/>
        <v>16</v>
      </c>
      <c r="AB22" s="39">
        <f t="shared" si="14"/>
        <v>14</v>
      </c>
      <c r="AC22" s="39">
        <f t="shared" si="14"/>
        <v>190</v>
      </c>
      <c r="AD22" s="39">
        <f t="shared" si="14"/>
        <v>0</v>
      </c>
      <c r="AE22" s="40">
        <f t="shared" si="14"/>
        <v>391</v>
      </c>
      <c r="AF22" s="40">
        <f t="shared" si="14"/>
        <v>540</v>
      </c>
    </row>
    <row r="23" spans="2:32" ht="23.1" customHeight="1" x14ac:dyDescent="0.25">
      <c r="B23" s="23" t="s">
        <v>50</v>
      </c>
      <c r="C23" s="50">
        <v>17</v>
      </c>
      <c r="D23" s="50">
        <v>9</v>
      </c>
      <c r="E23" s="50">
        <v>4</v>
      </c>
      <c r="F23" s="50">
        <v>24</v>
      </c>
      <c r="G23" s="50">
        <v>3</v>
      </c>
      <c r="H23" s="50">
        <v>0</v>
      </c>
      <c r="I23" s="50">
        <v>5</v>
      </c>
      <c r="J23" s="50">
        <v>3</v>
      </c>
      <c r="K23" s="50">
        <v>3</v>
      </c>
      <c r="L23" s="50">
        <v>1</v>
      </c>
      <c r="M23" s="50">
        <v>29</v>
      </c>
      <c r="N23" s="50">
        <v>0</v>
      </c>
      <c r="O23" s="15">
        <f t="shared" si="0"/>
        <v>69</v>
      </c>
      <c r="P23" s="15">
        <f t="shared" si="1"/>
        <v>98</v>
      </c>
      <c r="R23" s="38" t="s">
        <v>91</v>
      </c>
      <c r="S23" s="39">
        <f>MAX(S13:S18)</f>
        <v>80</v>
      </c>
      <c r="T23" s="39">
        <f t="shared" ref="T23:AF23" si="15">MAX(T13:T18)</f>
        <v>34</v>
      </c>
      <c r="U23" s="39">
        <f t="shared" si="15"/>
        <v>17</v>
      </c>
      <c r="V23" s="39">
        <f t="shared" si="15"/>
        <v>99</v>
      </c>
      <c r="W23" s="39">
        <f t="shared" si="15"/>
        <v>6</v>
      </c>
      <c r="X23" s="39">
        <f t="shared" si="15"/>
        <v>2</v>
      </c>
      <c r="Y23" s="39">
        <f t="shared" si="15"/>
        <v>30</v>
      </c>
      <c r="Z23" s="39">
        <f t="shared" si="15"/>
        <v>22</v>
      </c>
      <c r="AA23" s="39">
        <f t="shared" si="15"/>
        <v>18</v>
      </c>
      <c r="AB23" s="39">
        <f t="shared" si="15"/>
        <v>37</v>
      </c>
      <c r="AC23" s="39">
        <f t="shared" si="15"/>
        <v>169</v>
      </c>
      <c r="AD23" s="39">
        <f t="shared" si="15"/>
        <v>0</v>
      </c>
      <c r="AE23" s="40">
        <f t="shared" si="15"/>
        <v>298</v>
      </c>
      <c r="AF23" s="40">
        <f t="shared" si="15"/>
        <v>421</v>
      </c>
    </row>
    <row r="24" spans="2:32" ht="23.1" customHeight="1" x14ac:dyDescent="0.25">
      <c r="B24" s="23" t="s">
        <v>51</v>
      </c>
      <c r="C24" s="50">
        <v>14</v>
      </c>
      <c r="D24" s="50">
        <v>2</v>
      </c>
      <c r="E24" s="50">
        <v>2</v>
      </c>
      <c r="F24" s="50">
        <v>15</v>
      </c>
      <c r="G24" s="50">
        <v>2</v>
      </c>
      <c r="H24" s="50">
        <v>0</v>
      </c>
      <c r="I24" s="50">
        <v>3</v>
      </c>
      <c r="J24" s="50">
        <v>4</v>
      </c>
      <c r="K24" s="50">
        <v>5</v>
      </c>
      <c r="L24" s="50">
        <v>2</v>
      </c>
      <c r="M24" s="50">
        <v>16</v>
      </c>
      <c r="N24" s="50">
        <v>0</v>
      </c>
      <c r="O24" s="15">
        <f t="shared" si="0"/>
        <v>49</v>
      </c>
      <c r="P24" s="15">
        <f t="shared" si="1"/>
        <v>65</v>
      </c>
      <c r="R24" s="38" t="s">
        <v>92</v>
      </c>
      <c r="S24" s="39">
        <f>MAX(S19:S21)</f>
        <v>148</v>
      </c>
      <c r="T24" s="39">
        <f t="shared" ref="T24:AF24" si="16">MAX(T19:T21)</f>
        <v>82</v>
      </c>
      <c r="U24" s="39">
        <f t="shared" si="16"/>
        <v>43</v>
      </c>
      <c r="V24" s="39">
        <f t="shared" si="16"/>
        <v>139</v>
      </c>
      <c r="W24" s="39">
        <f t="shared" si="16"/>
        <v>4</v>
      </c>
      <c r="X24" s="39">
        <f t="shared" si="16"/>
        <v>1</v>
      </c>
      <c r="Y24" s="39">
        <f t="shared" si="16"/>
        <v>47</v>
      </c>
      <c r="Z24" s="39">
        <f t="shared" si="16"/>
        <v>31</v>
      </c>
      <c r="AA24" s="39">
        <f t="shared" si="16"/>
        <v>29</v>
      </c>
      <c r="AB24" s="39">
        <f t="shared" si="16"/>
        <v>33</v>
      </c>
      <c r="AC24" s="39">
        <f t="shared" si="16"/>
        <v>168</v>
      </c>
      <c r="AD24" s="39">
        <f t="shared" si="16"/>
        <v>1</v>
      </c>
      <c r="AE24" s="40">
        <f t="shared" si="16"/>
        <v>555</v>
      </c>
      <c r="AF24" s="40">
        <f t="shared" si="16"/>
        <v>723</v>
      </c>
    </row>
    <row r="25" spans="2:32" ht="23.1" customHeight="1" x14ac:dyDescent="0.25">
      <c r="B25" s="23" t="s">
        <v>52</v>
      </c>
      <c r="C25" s="50">
        <v>25</v>
      </c>
      <c r="D25" s="50">
        <v>7</v>
      </c>
      <c r="E25" s="50">
        <v>5</v>
      </c>
      <c r="F25" s="50">
        <v>20</v>
      </c>
      <c r="G25" s="50">
        <v>0</v>
      </c>
      <c r="H25" s="50">
        <v>0</v>
      </c>
      <c r="I25" s="50">
        <v>0</v>
      </c>
      <c r="J25" s="50">
        <v>2</v>
      </c>
      <c r="K25" s="50">
        <v>2</v>
      </c>
      <c r="L25" s="50">
        <v>2</v>
      </c>
      <c r="M25" s="50">
        <v>33</v>
      </c>
      <c r="N25" s="50">
        <v>0</v>
      </c>
      <c r="O25" s="15">
        <f t="shared" si="0"/>
        <v>63</v>
      </c>
      <c r="P25" s="15">
        <f t="shared" si="1"/>
        <v>96</v>
      </c>
      <c r="R25" s="37" t="s">
        <v>85</v>
      </c>
      <c r="S25" s="35">
        <f t="shared" ref="S25:AF25" si="17">SUM(S10:S12)</f>
        <v>295</v>
      </c>
      <c r="T25" s="16">
        <f t="shared" si="17"/>
        <v>117</v>
      </c>
      <c r="U25" s="16">
        <f t="shared" si="17"/>
        <v>54</v>
      </c>
      <c r="V25" s="16">
        <f t="shared" si="17"/>
        <v>373</v>
      </c>
      <c r="W25" s="16">
        <f t="shared" si="17"/>
        <v>10</v>
      </c>
      <c r="X25" s="16">
        <f t="shared" si="17"/>
        <v>0</v>
      </c>
      <c r="Y25" s="16">
        <f t="shared" si="17"/>
        <v>43</v>
      </c>
      <c r="Z25" s="16">
        <f t="shared" si="17"/>
        <v>40</v>
      </c>
      <c r="AA25" s="16">
        <f t="shared" si="17"/>
        <v>41</v>
      </c>
      <c r="AB25" s="16">
        <f t="shared" si="17"/>
        <v>28</v>
      </c>
      <c r="AC25" s="16">
        <f t="shared" si="17"/>
        <v>450</v>
      </c>
      <c r="AD25" s="16">
        <f t="shared" si="17"/>
        <v>0</v>
      </c>
      <c r="AE25" s="32">
        <f t="shared" si="17"/>
        <v>1001</v>
      </c>
      <c r="AF25" s="32">
        <f t="shared" si="17"/>
        <v>1451</v>
      </c>
    </row>
    <row r="26" spans="2:32" ht="23.1" customHeight="1" x14ac:dyDescent="0.25">
      <c r="B26" s="23" t="s">
        <v>53</v>
      </c>
      <c r="C26" s="50">
        <v>21</v>
      </c>
      <c r="D26" s="50">
        <v>4</v>
      </c>
      <c r="E26" s="50">
        <v>1</v>
      </c>
      <c r="F26" s="50">
        <v>27</v>
      </c>
      <c r="G26" s="50">
        <v>0</v>
      </c>
      <c r="H26" s="50">
        <v>0</v>
      </c>
      <c r="I26" s="50">
        <v>4</v>
      </c>
      <c r="J26" s="50">
        <v>3</v>
      </c>
      <c r="K26" s="50">
        <v>5</v>
      </c>
      <c r="L26" s="50">
        <v>2</v>
      </c>
      <c r="M26" s="50">
        <v>47</v>
      </c>
      <c r="N26" s="50">
        <v>0</v>
      </c>
      <c r="O26" s="15">
        <f t="shared" si="0"/>
        <v>67</v>
      </c>
      <c r="P26" s="15">
        <f t="shared" si="1"/>
        <v>114</v>
      </c>
      <c r="R26" s="28" t="s">
        <v>86</v>
      </c>
      <c r="S26" s="16">
        <f t="shared" ref="S26:AF26" si="18">SUM(S13:S18)</f>
        <v>400</v>
      </c>
      <c r="T26" s="16">
        <f t="shared" si="18"/>
        <v>162</v>
      </c>
      <c r="U26" s="16">
        <f t="shared" si="18"/>
        <v>67</v>
      </c>
      <c r="V26" s="16">
        <f t="shared" si="18"/>
        <v>490</v>
      </c>
      <c r="W26" s="16">
        <f t="shared" si="18"/>
        <v>12</v>
      </c>
      <c r="X26" s="16">
        <f t="shared" si="18"/>
        <v>4</v>
      </c>
      <c r="Y26" s="16">
        <f t="shared" si="18"/>
        <v>97</v>
      </c>
      <c r="Z26" s="16">
        <f t="shared" si="18"/>
        <v>77</v>
      </c>
      <c r="AA26" s="16">
        <f t="shared" si="18"/>
        <v>77</v>
      </c>
      <c r="AB26" s="16">
        <f t="shared" si="18"/>
        <v>120</v>
      </c>
      <c r="AC26" s="16">
        <f t="shared" si="18"/>
        <v>788</v>
      </c>
      <c r="AD26" s="16">
        <f t="shared" si="18"/>
        <v>0</v>
      </c>
      <c r="AE26" s="32">
        <f t="shared" si="18"/>
        <v>1506</v>
      </c>
      <c r="AF26" s="32">
        <f t="shared" si="18"/>
        <v>2294</v>
      </c>
    </row>
    <row r="27" spans="2:32" ht="23.1" customHeight="1" x14ac:dyDescent="0.25">
      <c r="B27" s="23" t="s">
        <v>54</v>
      </c>
      <c r="C27" s="50">
        <v>12</v>
      </c>
      <c r="D27" s="50">
        <v>9</v>
      </c>
      <c r="E27" s="50">
        <v>3</v>
      </c>
      <c r="F27" s="50">
        <v>29</v>
      </c>
      <c r="G27" s="50">
        <v>0</v>
      </c>
      <c r="H27" s="50">
        <v>0</v>
      </c>
      <c r="I27" s="50">
        <v>4</v>
      </c>
      <c r="J27" s="50">
        <v>5</v>
      </c>
      <c r="K27" s="50">
        <v>4</v>
      </c>
      <c r="L27" s="50">
        <v>2</v>
      </c>
      <c r="M27" s="50">
        <v>38</v>
      </c>
      <c r="N27" s="50">
        <v>0</v>
      </c>
      <c r="O27" s="15">
        <f t="shared" si="0"/>
        <v>68</v>
      </c>
      <c r="P27" s="15">
        <f t="shared" si="1"/>
        <v>106</v>
      </c>
      <c r="R27" s="29" t="s">
        <v>87</v>
      </c>
      <c r="S27" s="16">
        <f t="shared" ref="S27:AF27" si="19">SUM(S19:S21)</f>
        <v>356</v>
      </c>
      <c r="T27" s="16">
        <f t="shared" si="19"/>
        <v>170</v>
      </c>
      <c r="U27" s="16">
        <f t="shared" si="19"/>
        <v>98</v>
      </c>
      <c r="V27" s="16">
        <f t="shared" si="19"/>
        <v>344</v>
      </c>
      <c r="W27" s="16">
        <f t="shared" si="19"/>
        <v>9</v>
      </c>
      <c r="X27" s="16">
        <f t="shared" si="19"/>
        <v>1</v>
      </c>
      <c r="Y27" s="16">
        <f t="shared" si="19"/>
        <v>95</v>
      </c>
      <c r="Z27" s="16">
        <f t="shared" si="19"/>
        <v>64</v>
      </c>
      <c r="AA27" s="16">
        <f t="shared" si="19"/>
        <v>62</v>
      </c>
      <c r="AB27" s="16">
        <f t="shared" si="19"/>
        <v>61</v>
      </c>
      <c r="AC27" s="16">
        <f t="shared" si="19"/>
        <v>432</v>
      </c>
      <c r="AD27" s="16">
        <f t="shared" si="19"/>
        <v>1</v>
      </c>
      <c r="AE27" s="32">
        <f t="shared" si="19"/>
        <v>1261</v>
      </c>
      <c r="AF27" s="32">
        <f t="shared" si="19"/>
        <v>1693</v>
      </c>
    </row>
    <row r="28" spans="2:32" ht="23.1" customHeight="1" x14ac:dyDescent="0.25">
      <c r="B28" s="23" t="s">
        <v>55</v>
      </c>
      <c r="C28" s="50">
        <v>19</v>
      </c>
      <c r="D28" s="50">
        <v>6</v>
      </c>
      <c r="E28" s="50">
        <v>2</v>
      </c>
      <c r="F28" s="50">
        <v>27</v>
      </c>
      <c r="G28" s="50">
        <v>1</v>
      </c>
      <c r="H28" s="50">
        <v>1</v>
      </c>
      <c r="I28" s="50">
        <v>2</v>
      </c>
      <c r="J28" s="50">
        <v>3</v>
      </c>
      <c r="K28" s="50">
        <v>5</v>
      </c>
      <c r="L28" s="50">
        <v>9</v>
      </c>
      <c r="M28" s="50">
        <v>40</v>
      </c>
      <c r="N28" s="50">
        <v>0</v>
      </c>
      <c r="O28" s="15">
        <f t="shared" si="0"/>
        <v>75</v>
      </c>
      <c r="P28" s="15">
        <f t="shared" si="1"/>
        <v>115</v>
      </c>
      <c r="R28" s="5" t="s">
        <v>17</v>
      </c>
      <c r="S28" s="16">
        <f t="shared" ref="S28:AF28" si="20">SUM(S10:S21)</f>
        <v>1051</v>
      </c>
      <c r="T28" s="16">
        <f t="shared" si="20"/>
        <v>449</v>
      </c>
      <c r="U28" s="16">
        <f t="shared" si="20"/>
        <v>219</v>
      </c>
      <c r="V28" s="16">
        <f t="shared" si="20"/>
        <v>1207</v>
      </c>
      <c r="W28" s="16">
        <f t="shared" si="20"/>
        <v>31</v>
      </c>
      <c r="X28" s="16">
        <f t="shared" si="20"/>
        <v>5</v>
      </c>
      <c r="Y28" s="16">
        <f t="shared" si="20"/>
        <v>235</v>
      </c>
      <c r="Z28" s="16">
        <f t="shared" si="20"/>
        <v>181</v>
      </c>
      <c r="AA28" s="16">
        <f t="shared" si="20"/>
        <v>180</v>
      </c>
      <c r="AB28" s="16">
        <f t="shared" si="20"/>
        <v>209</v>
      </c>
      <c r="AC28" s="16">
        <f t="shared" si="20"/>
        <v>1670</v>
      </c>
      <c r="AD28" s="16">
        <f t="shared" si="20"/>
        <v>1</v>
      </c>
      <c r="AE28" s="32">
        <f t="shared" si="20"/>
        <v>3768</v>
      </c>
      <c r="AF28" s="32">
        <f t="shared" si="20"/>
        <v>5438</v>
      </c>
    </row>
    <row r="29" spans="2:32" ht="23.1" customHeight="1" x14ac:dyDescent="0.25">
      <c r="B29" s="23" t="s">
        <v>56</v>
      </c>
      <c r="C29" s="50">
        <v>11</v>
      </c>
      <c r="D29" s="50">
        <v>5</v>
      </c>
      <c r="E29" s="50">
        <v>2</v>
      </c>
      <c r="F29" s="50">
        <v>16</v>
      </c>
      <c r="G29" s="50">
        <v>0</v>
      </c>
      <c r="H29" s="50">
        <v>0</v>
      </c>
      <c r="I29" s="50">
        <v>1</v>
      </c>
      <c r="J29" s="50">
        <v>3</v>
      </c>
      <c r="K29" s="50">
        <v>4</v>
      </c>
      <c r="L29" s="50">
        <v>3</v>
      </c>
      <c r="M29" s="50">
        <v>34</v>
      </c>
      <c r="N29" s="50">
        <v>0</v>
      </c>
      <c r="O29" s="15">
        <f t="shared" si="0"/>
        <v>45</v>
      </c>
      <c r="P29" s="15">
        <f t="shared" si="1"/>
        <v>79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19</v>
      </c>
      <c r="E30" s="50">
        <v>0</v>
      </c>
      <c r="F30" s="50">
        <v>20</v>
      </c>
      <c r="G30" s="50">
        <v>0</v>
      </c>
      <c r="H30" s="50">
        <v>0</v>
      </c>
      <c r="I30" s="50">
        <v>3</v>
      </c>
      <c r="J30" s="50">
        <v>3</v>
      </c>
      <c r="K30" s="50">
        <v>8</v>
      </c>
      <c r="L30" s="50">
        <v>3</v>
      </c>
      <c r="M30" s="50">
        <v>58</v>
      </c>
      <c r="N30" s="50">
        <v>0</v>
      </c>
      <c r="O30" s="15">
        <f t="shared" si="0"/>
        <v>73</v>
      </c>
      <c r="P30" s="15">
        <f t="shared" si="1"/>
        <v>131</v>
      </c>
    </row>
    <row r="31" spans="2:32" ht="23.1" customHeight="1" x14ac:dyDescent="0.25">
      <c r="B31" s="24" t="s">
        <v>58</v>
      </c>
      <c r="C31" s="50">
        <v>19</v>
      </c>
      <c r="D31" s="50">
        <v>2</v>
      </c>
      <c r="E31" s="50">
        <v>1</v>
      </c>
      <c r="F31" s="50">
        <v>13</v>
      </c>
      <c r="G31" s="50">
        <v>0</v>
      </c>
      <c r="H31" s="50">
        <v>0</v>
      </c>
      <c r="I31" s="50">
        <v>2</v>
      </c>
      <c r="J31" s="50">
        <v>2</v>
      </c>
      <c r="K31" s="50">
        <v>2</v>
      </c>
      <c r="L31" s="50">
        <v>3</v>
      </c>
      <c r="M31" s="50">
        <v>40</v>
      </c>
      <c r="N31" s="50">
        <v>0</v>
      </c>
      <c r="O31" s="15">
        <f t="shared" si="0"/>
        <v>44</v>
      </c>
      <c r="P31" s="15">
        <f t="shared" si="1"/>
        <v>84</v>
      </c>
    </row>
    <row r="32" spans="2:32" ht="23.1" customHeight="1" x14ac:dyDescent="0.25">
      <c r="B32" s="24" t="s">
        <v>59</v>
      </c>
      <c r="C32" s="50">
        <v>11</v>
      </c>
      <c r="D32" s="50">
        <v>6</v>
      </c>
      <c r="E32" s="50">
        <v>1</v>
      </c>
      <c r="F32" s="50">
        <v>16</v>
      </c>
      <c r="G32" s="50">
        <v>0</v>
      </c>
      <c r="H32" s="50">
        <v>0</v>
      </c>
      <c r="I32" s="50">
        <v>1</v>
      </c>
      <c r="J32" s="50">
        <v>3</v>
      </c>
      <c r="K32" s="50">
        <v>3</v>
      </c>
      <c r="L32" s="50">
        <v>10</v>
      </c>
      <c r="M32" s="50">
        <v>43</v>
      </c>
      <c r="N32" s="50">
        <v>0</v>
      </c>
      <c r="O32" s="15">
        <f t="shared" si="0"/>
        <v>51</v>
      </c>
      <c r="P32" s="15">
        <f t="shared" si="1"/>
        <v>94</v>
      </c>
    </row>
    <row r="33" spans="2:20" ht="23.1" customHeight="1" x14ac:dyDescent="0.25">
      <c r="B33" s="23" t="s">
        <v>60</v>
      </c>
      <c r="C33" s="50">
        <v>15</v>
      </c>
      <c r="D33" s="50">
        <v>4</v>
      </c>
      <c r="E33" s="50">
        <v>5</v>
      </c>
      <c r="F33" s="50">
        <v>19</v>
      </c>
      <c r="G33" s="50">
        <v>0</v>
      </c>
      <c r="H33" s="50">
        <v>0</v>
      </c>
      <c r="I33" s="50">
        <v>5</v>
      </c>
      <c r="J33" s="50">
        <v>2</v>
      </c>
      <c r="K33" s="50">
        <v>5</v>
      </c>
      <c r="L33" s="50">
        <v>8</v>
      </c>
      <c r="M33" s="50">
        <v>28</v>
      </c>
      <c r="N33" s="50">
        <v>0</v>
      </c>
      <c r="O33" s="15">
        <f t="shared" si="0"/>
        <v>63</v>
      </c>
      <c r="P33" s="15">
        <f t="shared" si="1"/>
        <v>91</v>
      </c>
    </row>
    <row r="34" spans="2:20" ht="23.1" customHeight="1" x14ac:dyDescent="0.25">
      <c r="B34" s="24" t="s">
        <v>61</v>
      </c>
      <c r="C34" s="50">
        <v>15</v>
      </c>
      <c r="D34" s="50">
        <v>9</v>
      </c>
      <c r="E34" s="50">
        <v>3</v>
      </c>
      <c r="F34" s="50">
        <v>19</v>
      </c>
      <c r="G34" s="50">
        <v>0</v>
      </c>
      <c r="H34" s="50">
        <v>0</v>
      </c>
      <c r="I34" s="50">
        <v>10</v>
      </c>
      <c r="J34" s="50">
        <v>1</v>
      </c>
      <c r="K34" s="50">
        <v>4</v>
      </c>
      <c r="L34" s="50">
        <v>5</v>
      </c>
      <c r="M34" s="50">
        <v>35</v>
      </c>
      <c r="N34" s="50">
        <v>0</v>
      </c>
      <c r="O34" s="15">
        <f t="shared" si="0"/>
        <v>66</v>
      </c>
      <c r="P34" s="15">
        <f t="shared" si="1"/>
        <v>101</v>
      </c>
    </row>
    <row r="35" spans="2:20" ht="23.1" customHeight="1" x14ac:dyDescent="0.25">
      <c r="B35" s="24" t="s">
        <v>62</v>
      </c>
      <c r="C35" s="50">
        <v>21</v>
      </c>
      <c r="D35" s="50">
        <v>6</v>
      </c>
      <c r="E35" s="50">
        <v>2</v>
      </c>
      <c r="F35" s="50">
        <v>24</v>
      </c>
      <c r="G35" s="50">
        <v>0</v>
      </c>
      <c r="H35" s="50">
        <v>0</v>
      </c>
      <c r="I35" s="50">
        <v>8</v>
      </c>
      <c r="J35" s="50">
        <v>3</v>
      </c>
      <c r="K35" s="50">
        <v>2</v>
      </c>
      <c r="L35" s="50">
        <v>3</v>
      </c>
      <c r="M35" s="50">
        <v>28</v>
      </c>
      <c r="N35" s="50">
        <v>0</v>
      </c>
      <c r="O35" s="15">
        <f t="shared" si="0"/>
        <v>69</v>
      </c>
      <c r="P35" s="15">
        <f t="shared" si="1"/>
        <v>97</v>
      </c>
    </row>
    <row r="36" spans="2:20" ht="23.1" customHeight="1" x14ac:dyDescent="0.25">
      <c r="B36" s="24" t="s">
        <v>63</v>
      </c>
      <c r="C36" s="50">
        <v>19</v>
      </c>
      <c r="D36" s="50">
        <v>8</v>
      </c>
      <c r="E36" s="50">
        <v>3</v>
      </c>
      <c r="F36" s="50">
        <v>26</v>
      </c>
      <c r="G36" s="50">
        <v>1</v>
      </c>
      <c r="H36" s="50">
        <v>0</v>
      </c>
      <c r="I36" s="50">
        <v>7</v>
      </c>
      <c r="J36" s="50">
        <v>1</v>
      </c>
      <c r="K36" s="50">
        <v>1</v>
      </c>
      <c r="L36" s="50">
        <v>3</v>
      </c>
      <c r="M36" s="50">
        <v>28</v>
      </c>
      <c r="N36" s="50">
        <v>0</v>
      </c>
      <c r="O36" s="15">
        <f t="shared" si="0"/>
        <v>69</v>
      </c>
      <c r="P36" s="15">
        <f t="shared" si="1"/>
        <v>97</v>
      </c>
    </row>
    <row r="37" spans="2:20" ht="23.1" customHeight="1" x14ac:dyDescent="0.25">
      <c r="B37" s="23" t="s">
        <v>64</v>
      </c>
      <c r="C37" s="50">
        <v>16</v>
      </c>
      <c r="D37" s="50">
        <v>11</v>
      </c>
      <c r="E37" s="50">
        <v>7</v>
      </c>
      <c r="F37" s="50">
        <v>21</v>
      </c>
      <c r="G37" s="50">
        <v>1</v>
      </c>
      <c r="H37" s="50">
        <v>0</v>
      </c>
      <c r="I37" s="50">
        <v>5</v>
      </c>
      <c r="J37" s="50">
        <v>2</v>
      </c>
      <c r="K37" s="50">
        <v>1</v>
      </c>
      <c r="L37" s="50">
        <v>3</v>
      </c>
      <c r="M37" s="50">
        <v>22</v>
      </c>
      <c r="N37" s="50">
        <v>0</v>
      </c>
      <c r="O37" s="15">
        <f t="shared" si="0"/>
        <v>67</v>
      </c>
      <c r="P37" s="15">
        <f t="shared" si="1"/>
        <v>89</v>
      </c>
    </row>
    <row r="38" spans="2:20" ht="23.1" customHeight="1" x14ac:dyDescent="0.25">
      <c r="B38" s="24" t="s">
        <v>65</v>
      </c>
      <c r="C38" s="50">
        <v>17</v>
      </c>
      <c r="D38" s="50">
        <v>7</v>
      </c>
      <c r="E38" s="50">
        <v>3</v>
      </c>
      <c r="F38" s="50">
        <v>13</v>
      </c>
      <c r="G38" s="50">
        <v>1</v>
      </c>
      <c r="H38" s="50">
        <v>1</v>
      </c>
      <c r="I38" s="50">
        <v>6</v>
      </c>
      <c r="J38" s="50">
        <v>1</v>
      </c>
      <c r="K38" s="50">
        <v>1</v>
      </c>
      <c r="L38" s="50">
        <v>11</v>
      </c>
      <c r="M38" s="50">
        <v>32</v>
      </c>
      <c r="N38" s="50">
        <v>0</v>
      </c>
      <c r="O38" s="15">
        <f t="shared" si="0"/>
        <v>61</v>
      </c>
      <c r="P38" s="15">
        <f t="shared" si="1"/>
        <v>93</v>
      </c>
    </row>
    <row r="39" spans="2:20" ht="23.1" customHeight="1" x14ac:dyDescent="0.25">
      <c r="B39" s="24" t="s">
        <v>66</v>
      </c>
      <c r="C39" s="50">
        <v>10</v>
      </c>
      <c r="D39" s="50">
        <v>6</v>
      </c>
      <c r="E39" s="50">
        <v>1</v>
      </c>
      <c r="F39" s="50">
        <v>25</v>
      </c>
      <c r="G39" s="50">
        <v>0</v>
      </c>
      <c r="H39" s="50">
        <v>1</v>
      </c>
      <c r="I39" s="50">
        <v>5</v>
      </c>
      <c r="J39" s="50">
        <v>3</v>
      </c>
      <c r="K39" s="50">
        <v>3</v>
      </c>
      <c r="L39" s="50">
        <v>3</v>
      </c>
      <c r="M39" s="50">
        <v>34</v>
      </c>
      <c r="N39" s="50">
        <v>0</v>
      </c>
      <c r="O39" s="15">
        <f t="shared" si="0"/>
        <v>57</v>
      </c>
      <c r="P39" s="15">
        <f t="shared" si="1"/>
        <v>91</v>
      </c>
    </row>
    <row r="40" spans="2:20" ht="23.1" customHeight="1" x14ac:dyDescent="0.25">
      <c r="B40" s="24" t="s">
        <v>67</v>
      </c>
      <c r="C40" s="50">
        <v>12</v>
      </c>
      <c r="D40" s="50">
        <v>3</v>
      </c>
      <c r="E40" s="50">
        <v>3</v>
      </c>
      <c r="F40" s="50">
        <v>18</v>
      </c>
      <c r="G40" s="50">
        <v>0</v>
      </c>
      <c r="H40" s="50">
        <v>0</v>
      </c>
      <c r="I40" s="50">
        <v>3</v>
      </c>
      <c r="J40" s="50">
        <v>4</v>
      </c>
      <c r="K40" s="50">
        <v>1</v>
      </c>
      <c r="L40" s="50">
        <v>7</v>
      </c>
      <c r="M40" s="50">
        <v>24</v>
      </c>
      <c r="N40" s="50">
        <v>0</v>
      </c>
      <c r="O40" s="15">
        <f t="shared" si="0"/>
        <v>51</v>
      </c>
      <c r="P40" s="15">
        <f t="shared" si="1"/>
        <v>75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1</v>
      </c>
      <c r="F41" s="50">
        <v>8</v>
      </c>
      <c r="G41" s="50">
        <v>0</v>
      </c>
      <c r="H41" s="50">
        <v>0</v>
      </c>
      <c r="I41" s="50">
        <v>2</v>
      </c>
      <c r="J41" s="50">
        <v>2</v>
      </c>
      <c r="K41" s="50">
        <v>3</v>
      </c>
      <c r="L41" s="50">
        <v>1</v>
      </c>
      <c r="M41" s="50">
        <v>22</v>
      </c>
      <c r="N41" s="50">
        <v>0</v>
      </c>
      <c r="O41" s="15">
        <f t="shared" si="0"/>
        <v>28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23</v>
      </c>
      <c r="D42" s="50">
        <v>8</v>
      </c>
      <c r="E42" s="50">
        <v>6</v>
      </c>
      <c r="F42" s="50">
        <v>27</v>
      </c>
      <c r="G42" s="50">
        <v>0</v>
      </c>
      <c r="H42" s="50">
        <v>0</v>
      </c>
      <c r="I42" s="50">
        <v>3</v>
      </c>
      <c r="J42" s="50">
        <v>12</v>
      </c>
      <c r="K42" s="50">
        <v>5</v>
      </c>
      <c r="L42" s="50">
        <v>17</v>
      </c>
      <c r="M42" s="50">
        <v>28</v>
      </c>
      <c r="N42" s="50">
        <v>0</v>
      </c>
      <c r="O42" s="15">
        <f t="shared" si="0"/>
        <v>101</v>
      </c>
      <c r="P42" s="15">
        <f t="shared" si="1"/>
        <v>129</v>
      </c>
    </row>
    <row r="43" spans="2:20" ht="23.1" customHeight="1" x14ac:dyDescent="0.25">
      <c r="B43" s="23" t="s">
        <v>70</v>
      </c>
      <c r="C43" s="50">
        <v>23</v>
      </c>
      <c r="D43" s="50">
        <v>7</v>
      </c>
      <c r="E43" s="50">
        <v>3</v>
      </c>
      <c r="F43" s="50">
        <v>19</v>
      </c>
      <c r="G43" s="50">
        <v>1</v>
      </c>
      <c r="H43" s="50">
        <v>0</v>
      </c>
      <c r="I43" s="50">
        <v>8</v>
      </c>
      <c r="J43" s="50">
        <v>3</v>
      </c>
      <c r="K43" s="50">
        <v>2</v>
      </c>
      <c r="L43" s="50">
        <v>10</v>
      </c>
      <c r="M43" s="50">
        <v>29</v>
      </c>
      <c r="N43" s="50">
        <v>0</v>
      </c>
      <c r="O43" s="15">
        <f t="shared" si="0"/>
        <v>76</v>
      </c>
      <c r="P43" s="15">
        <f t="shared" si="1"/>
        <v>105</v>
      </c>
    </row>
    <row r="44" spans="2:20" ht="23.1" customHeight="1" x14ac:dyDescent="0.25">
      <c r="B44" s="25" t="s">
        <v>71</v>
      </c>
      <c r="C44" s="50">
        <v>13</v>
      </c>
      <c r="D44" s="50">
        <v>3</v>
      </c>
      <c r="E44" s="50">
        <v>1</v>
      </c>
      <c r="F44" s="50">
        <v>22</v>
      </c>
      <c r="G44" s="50">
        <v>0</v>
      </c>
      <c r="H44" s="50">
        <v>1</v>
      </c>
      <c r="I44" s="50">
        <v>2</v>
      </c>
      <c r="J44" s="50">
        <v>6</v>
      </c>
      <c r="K44" s="50">
        <v>5</v>
      </c>
      <c r="L44" s="50">
        <v>5</v>
      </c>
      <c r="M44" s="50">
        <v>34</v>
      </c>
      <c r="N44" s="50">
        <v>0</v>
      </c>
      <c r="O44" s="15">
        <f t="shared" si="0"/>
        <v>58</v>
      </c>
      <c r="P44" s="15">
        <f t="shared" si="1"/>
        <v>92</v>
      </c>
    </row>
    <row r="45" spans="2:20" ht="23.1" customHeight="1" x14ac:dyDescent="0.25">
      <c r="B45" s="23" t="s">
        <v>72</v>
      </c>
      <c r="C45" s="50">
        <v>17</v>
      </c>
      <c r="D45" s="50">
        <v>7</v>
      </c>
      <c r="E45" s="50">
        <v>2</v>
      </c>
      <c r="F45" s="50">
        <v>25</v>
      </c>
      <c r="G45" s="50">
        <v>1</v>
      </c>
      <c r="H45" s="50">
        <v>0</v>
      </c>
      <c r="I45" s="50">
        <v>5</v>
      </c>
      <c r="J45" s="50">
        <v>1</v>
      </c>
      <c r="K45" s="50">
        <v>0</v>
      </c>
      <c r="L45" s="50">
        <v>5</v>
      </c>
      <c r="M45" s="50">
        <v>32</v>
      </c>
      <c r="N45" s="50">
        <v>0</v>
      </c>
      <c r="O45" s="15">
        <f t="shared" si="0"/>
        <v>63</v>
      </c>
      <c r="P45" s="15">
        <f t="shared" si="1"/>
        <v>95</v>
      </c>
    </row>
    <row r="46" spans="2:20" ht="23.1" customHeight="1" x14ac:dyDescent="0.25">
      <c r="B46" s="24" t="s">
        <v>73</v>
      </c>
      <c r="C46" s="50">
        <v>15</v>
      </c>
      <c r="D46" s="50">
        <v>13</v>
      </c>
      <c r="E46" s="50">
        <v>6</v>
      </c>
      <c r="F46" s="50">
        <v>18</v>
      </c>
      <c r="G46" s="50">
        <v>1</v>
      </c>
      <c r="H46" s="50">
        <v>0</v>
      </c>
      <c r="I46" s="50">
        <v>7</v>
      </c>
      <c r="J46" s="50">
        <v>6</v>
      </c>
      <c r="K46" s="50">
        <v>3</v>
      </c>
      <c r="L46" s="50">
        <v>4</v>
      </c>
      <c r="M46" s="50">
        <v>22</v>
      </c>
      <c r="N46" s="50">
        <v>0</v>
      </c>
      <c r="O46" s="15">
        <f t="shared" si="0"/>
        <v>73</v>
      </c>
      <c r="P46" s="15">
        <f t="shared" si="1"/>
        <v>95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15</v>
      </c>
      <c r="E47" s="50">
        <v>6</v>
      </c>
      <c r="F47" s="50">
        <v>22</v>
      </c>
      <c r="G47" s="50">
        <v>0</v>
      </c>
      <c r="H47" s="50">
        <v>0</v>
      </c>
      <c r="I47" s="50">
        <v>7</v>
      </c>
      <c r="J47" s="50">
        <v>6</v>
      </c>
      <c r="K47" s="50">
        <v>2</v>
      </c>
      <c r="L47" s="50">
        <v>3</v>
      </c>
      <c r="M47" s="50">
        <v>34</v>
      </c>
      <c r="N47" s="50">
        <v>0</v>
      </c>
      <c r="O47" s="15">
        <f t="shared" si="0"/>
        <v>86</v>
      </c>
      <c r="P47" s="15">
        <f t="shared" si="1"/>
        <v>120</v>
      </c>
      <c r="R47" s="8"/>
      <c r="T47"/>
    </row>
    <row r="48" spans="2:20" ht="23.1" customHeight="1" x14ac:dyDescent="0.25">
      <c r="B48" s="24" t="s">
        <v>75</v>
      </c>
      <c r="C48" s="50">
        <v>43</v>
      </c>
      <c r="D48" s="50">
        <v>16</v>
      </c>
      <c r="E48" s="50">
        <v>7</v>
      </c>
      <c r="F48" s="50">
        <v>17</v>
      </c>
      <c r="G48" s="50">
        <v>1</v>
      </c>
      <c r="H48" s="50">
        <v>0</v>
      </c>
      <c r="I48" s="50">
        <v>2</v>
      </c>
      <c r="J48" s="50">
        <v>2</v>
      </c>
      <c r="K48" s="50">
        <v>4</v>
      </c>
      <c r="L48" s="50">
        <v>3</v>
      </c>
      <c r="M48" s="50">
        <v>22</v>
      </c>
      <c r="N48" s="50">
        <v>0</v>
      </c>
      <c r="O48" s="15">
        <f t="shared" si="0"/>
        <v>95</v>
      </c>
      <c r="P48" s="15">
        <f t="shared" si="1"/>
        <v>117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11</v>
      </c>
      <c r="E49" s="50">
        <v>6</v>
      </c>
      <c r="F49" s="50">
        <v>18</v>
      </c>
      <c r="G49" s="50">
        <v>0</v>
      </c>
      <c r="H49" s="50">
        <v>0</v>
      </c>
      <c r="I49" s="50">
        <v>2</v>
      </c>
      <c r="J49" s="50">
        <v>2</v>
      </c>
      <c r="K49" s="50">
        <v>4</v>
      </c>
      <c r="L49" s="50">
        <v>2</v>
      </c>
      <c r="M49" s="50">
        <v>27</v>
      </c>
      <c r="N49" s="50">
        <v>0</v>
      </c>
      <c r="O49" s="15">
        <f t="shared" si="0"/>
        <v>75</v>
      </c>
      <c r="P49" s="15">
        <f t="shared" si="1"/>
        <v>102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12</v>
      </c>
      <c r="E50" s="50">
        <v>6</v>
      </c>
      <c r="F50" s="50">
        <v>34</v>
      </c>
      <c r="G50" s="50">
        <v>0</v>
      </c>
      <c r="H50" s="50">
        <v>0</v>
      </c>
      <c r="I50" s="50">
        <v>2</v>
      </c>
      <c r="J50" s="50">
        <v>4</v>
      </c>
      <c r="K50" s="50">
        <v>8</v>
      </c>
      <c r="L50" s="50">
        <v>4</v>
      </c>
      <c r="M50" s="50">
        <v>40</v>
      </c>
      <c r="N50" s="50">
        <v>0</v>
      </c>
      <c r="O50" s="15">
        <f t="shared" si="0"/>
        <v>90</v>
      </c>
      <c r="P50" s="15">
        <f t="shared" si="1"/>
        <v>130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11</v>
      </c>
      <c r="E51" s="50">
        <v>4</v>
      </c>
      <c r="F51" s="50">
        <v>22</v>
      </c>
      <c r="G51" s="50">
        <v>2</v>
      </c>
      <c r="H51" s="50">
        <v>0</v>
      </c>
      <c r="I51" s="50">
        <v>6</v>
      </c>
      <c r="J51" s="50">
        <v>5</v>
      </c>
      <c r="K51" s="50">
        <v>4</v>
      </c>
      <c r="L51" s="50">
        <v>5</v>
      </c>
      <c r="M51" s="50">
        <v>43</v>
      </c>
      <c r="N51" s="50">
        <v>1</v>
      </c>
      <c r="O51" s="15">
        <f t="shared" si="0"/>
        <v>88</v>
      </c>
      <c r="P51" s="15">
        <f t="shared" si="1"/>
        <v>131</v>
      </c>
      <c r="R51" s="8"/>
      <c r="T51"/>
    </row>
    <row r="52" spans="2:20" ht="23.1" customHeight="1" x14ac:dyDescent="0.25">
      <c r="B52" s="24" t="s">
        <v>79</v>
      </c>
      <c r="C52" s="50">
        <v>29</v>
      </c>
      <c r="D52" s="50">
        <v>6</v>
      </c>
      <c r="E52" s="50">
        <v>9</v>
      </c>
      <c r="F52" s="50">
        <v>36</v>
      </c>
      <c r="G52" s="50">
        <v>2</v>
      </c>
      <c r="H52" s="50">
        <v>1</v>
      </c>
      <c r="I52" s="50">
        <v>13</v>
      </c>
      <c r="J52" s="50">
        <v>1</v>
      </c>
      <c r="K52" s="50">
        <v>4</v>
      </c>
      <c r="L52" s="50">
        <v>4</v>
      </c>
      <c r="M52" s="50">
        <v>39</v>
      </c>
      <c r="N52" s="50">
        <v>0</v>
      </c>
      <c r="O52" s="15">
        <f t="shared" si="0"/>
        <v>105</v>
      </c>
      <c r="P52" s="15">
        <f t="shared" si="1"/>
        <v>144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4</v>
      </c>
      <c r="E53" s="50">
        <v>11</v>
      </c>
      <c r="F53" s="50">
        <v>38</v>
      </c>
      <c r="G53" s="50">
        <v>0</v>
      </c>
      <c r="H53" s="50">
        <v>0</v>
      </c>
      <c r="I53" s="50">
        <v>9</v>
      </c>
      <c r="J53" s="50">
        <v>7</v>
      </c>
      <c r="K53" s="50">
        <v>4</v>
      </c>
      <c r="L53" s="50">
        <v>3</v>
      </c>
      <c r="M53" s="50">
        <v>37</v>
      </c>
      <c r="N53" s="50">
        <v>0</v>
      </c>
      <c r="O53" s="15">
        <f t="shared" si="0"/>
        <v>94</v>
      </c>
      <c r="P53" s="15">
        <f t="shared" si="1"/>
        <v>131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13</v>
      </c>
      <c r="E54" s="50">
        <v>16</v>
      </c>
      <c r="F54" s="50">
        <v>37</v>
      </c>
      <c r="G54" s="50">
        <v>0</v>
      </c>
      <c r="H54" s="50">
        <v>0</v>
      </c>
      <c r="I54" s="50">
        <v>7</v>
      </c>
      <c r="J54" s="50">
        <v>5</v>
      </c>
      <c r="K54" s="50">
        <v>8</v>
      </c>
      <c r="L54" s="50">
        <v>8</v>
      </c>
      <c r="M54" s="50">
        <v>35</v>
      </c>
      <c r="N54" s="50">
        <v>0</v>
      </c>
      <c r="O54" s="15">
        <f t="shared" si="0"/>
        <v>132</v>
      </c>
      <c r="P54" s="15">
        <f t="shared" si="1"/>
        <v>167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25</v>
      </c>
      <c r="E55" s="50">
        <v>8</v>
      </c>
      <c r="F55" s="50">
        <v>28</v>
      </c>
      <c r="G55" s="50">
        <v>0</v>
      </c>
      <c r="H55" s="50">
        <v>0</v>
      </c>
      <c r="I55" s="50">
        <v>14</v>
      </c>
      <c r="J55" s="50">
        <v>4</v>
      </c>
      <c r="K55" s="50">
        <v>6</v>
      </c>
      <c r="L55" s="50">
        <v>5</v>
      </c>
      <c r="M55" s="50">
        <v>52</v>
      </c>
      <c r="N55" s="50">
        <v>0</v>
      </c>
      <c r="O55" s="15">
        <f t="shared" si="0"/>
        <v>122</v>
      </c>
      <c r="P55" s="15">
        <f t="shared" si="1"/>
        <v>174</v>
      </c>
      <c r="R55" s="8"/>
      <c r="T55"/>
    </row>
    <row r="56" spans="2:20" ht="23.1" customHeight="1" x14ac:dyDescent="0.25">
      <c r="B56" s="23" t="s">
        <v>83</v>
      </c>
      <c r="C56" s="50">
        <v>43</v>
      </c>
      <c r="D56" s="50">
        <v>20</v>
      </c>
      <c r="E56" s="50">
        <v>11</v>
      </c>
      <c r="F56" s="50">
        <v>34</v>
      </c>
      <c r="G56" s="50">
        <v>3</v>
      </c>
      <c r="H56" s="50">
        <v>0</v>
      </c>
      <c r="I56" s="50">
        <v>8</v>
      </c>
      <c r="J56" s="50">
        <v>9</v>
      </c>
      <c r="K56" s="50">
        <v>7</v>
      </c>
      <c r="L56" s="50">
        <v>7</v>
      </c>
      <c r="M56" s="50">
        <v>44</v>
      </c>
      <c r="N56" s="50">
        <v>0</v>
      </c>
      <c r="O56" s="15">
        <f t="shared" si="0"/>
        <v>142</v>
      </c>
      <c r="P56" s="15">
        <f t="shared" si="1"/>
        <v>186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24</v>
      </c>
      <c r="E57" s="50">
        <v>8</v>
      </c>
      <c r="F57" s="50">
        <v>40</v>
      </c>
      <c r="G57" s="50">
        <v>0</v>
      </c>
      <c r="H57" s="50">
        <v>0</v>
      </c>
      <c r="I57" s="50">
        <v>18</v>
      </c>
      <c r="J57" s="50">
        <v>13</v>
      </c>
      <c r="K57" s="50">
        <v>8</v>
      </c>
      <c r="L57" s="50">
        <v>13</v>
      </c>
      <c r="M57" s="50">
        <v>37</v>
      </c>
      <c r="N57" s="50">
        <v>0</v>
      </c>
      <c r="O57" s="15">
        <f t="shared" si="0"/>
        <v>159</v>
      </c>
      <c r="P57" s="15">
        <f t="shared" si="1"/>
        <v>196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1051</v>
      </c>
      <c r="D58" s="16">
        <f t="shared" si="21"/>
        <v>449</v>
      </c>
      <c r="E58" s="16">
        <f t="shared" si="21"/>
        <v>219</v>
      </c>
      <c r="F58" s="16">
        <f t="shared" si="21"/>
        <v>1207</v>
      </c>
      <c r="G58" s="16">
        <f t="shared" si="21"/>
        <v>31</v>
      </c>
      <c r="H58" s="16">
        <f t="shared" si="21"/>
        <v>5</v>
      </c>
      <c r="I58" s="16">
        <f t="shared" si="21"/>
        <v>235</v>
      </c>
      <c r="J58" s="16">
        <f t="shared" si="21"/>
        <v>181</v>
      </c>
      <c r="K58" s="16">
        <f t="shared" si="21"/>
        <v>180</v>
      </c>
      <c r="L58" s="16">
        <f t="shared" si="21"/>
        <v>209</v>
      </c>
      <c r="M58" s="16">
        <f t="shared" si="21"/>
        <v>1670</v>
      </c>
      <c r="N58" s="16">
        <f t="shared" si="21"/>
        <v>1</v>
      </c>
      <c r="O58" s="16">
        <f t="shared" si="21"/>
        <v>3768</v>
      </c>
      <c r="P58" s="16">
        <f t="shared" si="21"/>
        <v>5438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0.19326958440603162</v>
      </c>
      <c r="D59" s="43">
        <f t="shared" si="22"/>
        <v>8.2567120264803243E-2</v>
      </c>
      <c r="E59" s="43">
        <f t="shared" si="22"/>
        <v>4.027215888194189E-2</v>
      </c>
      <c r="F59" s="43">
        <f t="shared" si="22"/>
        <v>0.22195660169179846</v>
      </c>
      <c r="G59" s="43">
        <f t="shared" si="22"/>
        <v>5.7006252298639204E-3</v>
      </c>
      <c r="H59" s="43">
        <f t="shared" si="22"/>
        <v>9.1945568223611625E-4</v>
      </c>
      <c r="I59" s="43">
        <f t="shared" si="22"/>
        <v>4.321441706509746E-2</v>
      </c>
      <c r="J59" s="43">
        <f t="shared" si="22"/>
        <v>3.3284295696947408E-2</v>
      </c>
      <c r="K59" s="43">
        <f t="shared" si="22"/>
        <v>3.3100404560500181E-2</v>
      </c>
      <c r="L59" s="43">
        <f t="shared" si="22"/>
        <v>3.8433247517469661E-2</v>
      </c>
      <c r="M59" s="43">
        <f t="shared" si="22"/>
        <v>0.30709819786686282</v>
      </c>
      <c r="N59" s="43">
        <f t="shared" si="22"/>
        <v>1.8389113644722325E-4</v>
      </c>
      <c r="R59" s="8"/>
      <c r="T59"/>
    </row>
    <row r="60" spans="2:20" ht="23.1" customHeight="1" x14ac:dyDescent="0.25">
      <c r="B60" s="42" t="s">
        <v>94</v>
      </c>
      <c r="C60" s="44">
        <f>C58/$O$58</f>
        <v>0.27892781316348197</v>
      </c>
      <c r="D60" s="44">
        <f t="shared" ref="D60:N60" si="23">D58/$O$58</f>
        <v>0.11916135881104034</v>
      </c>
      <c r="E60" s="44">
        <f t="shared" si="23"/>
        <v>5.8121019108280256E-2</v>
      </c>
      <c r="F60" s="44">
        <f t="shared" si="23"/>
        <v>0.32032908704883228</v>
      </c>
      <c r="G60" s="44">
        <f t="shared" si="23"/>
        <v>8.227176220806794E-3</v>
      </c>
      <c r="H60" s="44">
        <f t="shared" si="23"/>
        <v>1.3269639065817409E-3</v>
      </c>
      <c r="I60" s="44">
        <f t="shared" si="23"/>
        <v>6.2367303609341826E-2</v>
      </c>
      <c r="J60" s="44">
        <f t="shared" si="23"/>
        <v>4.8036093418259027E-2</v>
      </c>
      <c r="K60" s="44">
        <f t="shared" si="23"/>
        <v>4.7770700636942678E-2</v>
      </c>
      <c r="L60" s="44">
        <f t="shared" si="23"/>
        <v>5.5467091295116774E-2</v>
      </c>
      <c r="M60" s="44"/>
      <c r="N60" s="44">
        <f t="shared" si="23"/>
        <v>2.6539278131634819E-4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N43" sqref="N4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Nalya-Bweyogerere'!D5</f>
        <v>02.08.19</v>
      </c>
      <c r="E5" s="3"/>
      <c r="F5" s="41" t="s">
        <v>1</v>
      </c>
      <c r="G5" s="64" t="str">
        <f>'02.08 Nalya-Bweyogerere'!G5:H5</f>
        <v>Signs and Symbols</v>
      </c>
      <c r="H5" s="65"/>
      <c r="I5" s="14"/>
      <c r="J5" s="2" t="s">
        <v>5</v>
      </c>
      <c r="K5" s="64" t="str">
        <f>'02.08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'02.08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50</v>
      </c>
      <c r="D10" s="50">
        <v>8</v>
      </c>
      <c r="E10" s="50">
        <v>9</v>
      </c>
      <c r="F10" s="50">
        <v>35</v>
      </c>
      <c r="G10" s="50">
        <v>0</v>
      </c>
      <c r="H10" s="50">
        <v>0</v>
      </c>
      <c r="I10" s="50">
        <v>6</v>
      </c>
      <c r="J10" s="50">
        <v>4</v>
      </c>
      <c r="K10" s="50">
        <v>2</v>
      </c>
      <c r="L10" s="50">
        <v>1</v>
      </c>
      <c r="M10" s="50">
        <v>37</v>
      </c>
      <c r="N10" s="50">
        <v>0</v>
      </c>
      <c r="O10" s="15">
        <f t="shared" ref="O10:O42" si="0">SUM(C10:L10,N10)</f>
        <v>115</v>
      </c>
      <c r="P10" s="15">
        <f t="shared" ref="P10:P42" si="1">SUM(C10:N10)</f>
        <v>152</v>
      </c>
      <c r="R10" s="1" t="s">
        <v>6</v>
      </c>
      <c r="S10" s="17">
        <f t="shared" ref="S10:AF10" si="2">SUM(C10:C13)</f>
        <v>228</v>
      </c>
      <c r="T10" s="17">
        <f t="shared" si="2"/>
        <v>29</v>
      </c>
      <c r="U10" s="17">
        <f t="shared" si="2"/>
        <v>34</v>
      </c>
      <c r="V10" s="17">
        <f t="shared" si="2"/>
        <v>120</v>
      </c>
      <c r="W10" s="17">
        <f t="shared" si="2"/>
        <v>2</v>
      </c>
      <c r="X10" s="17">
        <f t="shared" si="2"/>
        <v>0</v>
      </c>
      <c r="Y10" s="17">
        <f t="shared" si="2"/>
        <v>14</v>
      </c>
      <c r="Z10" s="17">
        <f t="shared" si="2"/>
        <v>17</v>
      </c>
      <c r="AA10" s="17">
        <f t="shared" si="2"/>
        <v>13</v>
      </c>
      <c r="AB10" s="17">
        <f t="shared" si="2"/>
        <v>18</v>
      </c>
      <c r="AC10" s="17">
        <f t="shared" si="2"/>
        <v>155</v>
      </c>
      <c r="AD10" s="17">
        <f t="shared" si="2"/>
        <v>0</v>
      </c>
      <c r="AE10" s="31">
        <f t="shared" si="2"/>
        <v>475</v>
      </c>
      <c r="AF10" s="31">
        <f t="shared" si="2"/>
        <v>630</v>
      </c>
    </row>
    <row r="11" spans="2:32" s="6" customFormat="1" ht="23.1" customHeight="1" x14ac:dyDescent="0.25">
      <c r="B11" s="23" t="s">
        <v>38</v>
      </c>
      <c r="C11" s="50">
        <v>55</v>
      </c>
      <c r="D11" s="50">
        <v>10</v>
      </c>
      <c r="E11" s="50">
        <v>11</v>
      </c>
      <c r="F11" s="50">
        <v>24</v>
      </c>
      <c r="G11" s="50">
        <v>1</v>
      </c>
      <c r="H11" s="50">
        <v>0</v>
      </c>
      <c r="I11" s="50">
        <v>1</v>
      </c>
      <c r="J11" s="50">
        <v>6</v>
      </c>
      <c r="K11" s="50">
        <v>1</v>
      </c>
      <c r="L11" s="50">
        <v>3</v>
      </c>
      <c r="M11" s="50">
        <v>31</v>
      </c>
      <c r="N11" s="50">
        <v>0</v>
      </c>
      <c r="O11" s="15">
        <f t="shared" si="0"/>
        <v>112</v>
      </c>
      <c r="P11" s="15">
        <f t="shared" si="1"/>
        <v>143</v>
      </c>
      <c r="R11" s="1" t="s">
        <v>7</v>
      </c>
      <c r="S11" s="17">
        <f t="shared" ref="S11:AF11" si="3">SUM(C14:C17)</f>
        <v>130</v>
      </c>
      <c r="T11" s="17">
        <f t="shared" si="3"/>
        <v>42</v>
      </c>
      <c r="U11" s="17">
        <f t="shared" si="3"/>
        <v>29</v>
      </c>
      <c r="V11" s="17">
        <f t="shared" si="3"/>
        <v>109</v>
      </c>
      <c r="W11" s="17">
        <f t="shared" si="3"/>
        <v>1</v>
      </c>
      <c r="X11" s="17">
        <f t="shared" si="3"/>
        <v>1</v>
      </c>
      <c r="Y11" s="17">
        <f t="shared" si="3"/>
        <v>19</v>
      </c>
      <c r="Z11" s="17">
        <f t="shared" si="3"/>
        <v>13</v>
      </c>
      <c r="AA11" s="17">
        <f t="shared" si="3"/>
        <v>11</v>
      </c>
      <c r="AB11" s="17">
        <f t="shared" si="3"/>
        <v>15</v>
      </c>
      <c r="AC11" s="17">
        <f t="shared" si="3"/>
        <v>197</v>
      </c>
      <c r="AD11" s="17">
        <f t="shared" si="3"/>
        <v>0</v>
      </c>
      <c r="AE11" s="31">
        <f t="shared" si="3"/>
        <v>370</v>
      </c>
      <c r="AF11" s="31">
        <f t="shared" si="3"/>
        <v>567</v>
      </c>
    </row>
    <row r="12" spans="2:32" ht="23.1" customHeight="1" x14ac:dyDescent="0.25">
      <c r="B12" s="23" t="s">
        <v>39</v>
      </c>
      <c r="C12" s="50">
        <v>61</v>
      </c>
      <c r="D12" s="50">
        <v>7</v>
      </c>
      <c r="E12" s="50">
        <v>8</v>
      </c>
      <c r="F12" s="50">
        <v>28</v>
      </c>
      <c r="G12" s="50">
        <v>0</v>
      </c>
      <c r="H12" s="50">
        <v>0</v>
      </c>
      <c r="I12" s="50">
        <v>6</v>
      </c>
      <c r="J12" s="50">
        <v>1</v>
      </c>
      <c r="K12" s="50">
        <v>7</v>
      </c>
      <c r="L12" s="50">
        <v>6</v>
      </c>
      <c r="M12" s="50">
        <v>43</v>
      </c>
      <c r="N12" s="50">
        <v>0</v>
      </c>
      <c r="O12" s="15">
        <f t="shared" si="0"/>
        <v>124</v>
      </c>
      <c r="P12" s="15">
        <f t="shared" si="1"/>
        <v>167</v>
      </c>
      <c r="R12" s="1" t="s">
        <v>8</v>
      </c>
      <c r="S12" s="17">
        <f t="shared" ref="S12:AF12" si="4">SUM(C18:C21)</f>
        <v>102</v>
      </c>
      <c r="T12" s="17">
        <f t="shared" si="4"/>
        <v>60</v>
      </c>
      <c r="U12" s="17">
        <f t="shared" si="4"/>
        <v>27</v>
      </c>
      <c r="V12" s="17">
        <f t="shared" si="4"/>
        <v>97</v>
      </c>
      <c r="W12" s="17">
        <f t="shared" si="4"/>
        <v>3</v>
      </c>
      <c r="X12" s="17">
        <f t="shared" si="4"/>
        <v>0</v>
      </c>
      <c r="Y12" s="17">
        <f t="shared" si="4"/>
        <v>10</v>
      </c>
      <c r="Z12" s="17">
        <f t="shared" si="4"/>
        <v>13</v>
      </c>
      <c r="AA12" s="17">
        <f t="shared" si="4"/>
        <v>18</v>
      </c>
      <c r="AB12" s="17">
        <f t="shared" si="4"/>
        <v>20</v>
      </c>
      <c r="AC12" s="17">
        <f t="shared" si="4"/>
        <v>167</v>
      </c>
      <c r="AD12" s="17">
        <f t="shared" si="4"/>
        <v>1</v>
      </c>
      <c r="AE12" s="31">
        <f t="shared" si="4"/>
        <v>351</v>
      </c>
      <c r="AF12" s="31">
        <f t="shared" si="4"/>
        <v>518</v>
      </c>
    </row>
    <row r="13" spans="2:32" ht="23.1" customHeight="1" x14ac:dyDescent="0.25">
      <c r="B13" s="23" t="s">
        <v>40</v>
      </c>
      <c r="C13" s="50">
        <v>62</v>
      </c>
      <c r="D13" s="50">
        <v>4</v>
      </c>
      <c r="E13" s="50">
        <v>6</v>
      </c>
      <c r="F13" s="50">
        <v>33</v>
      </c>
      <c r="G13" s="50">
        <v>1</v>
      </c>
      <c r="H13" s="50">
        <v>0</v>
      </c>
      <c r="I13" s="50">
        <v>1</v>
      </c>
      <c r="J13" s="50">
        <v>6</v>
      </c>
      <c r="K13" s="50">
        <v>3</v>
      </c>
      <c r="L13" s="50">
        <v>8</v>
      </c>
      <c r="M13" s="50">
        <v>44</v>
      </c>
      <c r="N13" s="50">
        <v>0</v>
      </c>
      <c r="O13" s="15">
        <f t="shared" si="0"/>
        <v>124</v>
      </c>
      <c r="P13" s="15">
        <f t="shared" si="1"/>
        <v>168</v>
      </c>
      <c r="R13" s="1" t="s">
        <v>9</v>
      </c>
      <c r="S13" s="17">
        <f t="shared" ref="S13:AF13" si="5">SUM(C22:C25)</f>
        <v>106</v>
      </c>
      <c r="T13" s="17">
        <f t="shared" si="5"/>
        <v>38</v>
      </c>
      <c r="U13" s="17">
        <f t="shared" si="5"/>
        <v>17</v>
      </c>
      <c r="V13" s="17">
        <f t="shared" si="5"/>
        <v>96</v>
      </c>
      <c r="W13" s="17">
        <f t="shared" si="5"/>
        <v>5</v>
      </c>
      <c r="X13" s="17">
        <f t="shared" si="5"/>
        <v>1</v>
      </c>
      <c r="Y13" s="17">
        <f t="shared" si="5"/>
        <v>16</v>
      </c>
      <c r="Z13" s="17">
        <f t="shared" si="5"/>
        <v>14</v>
      </c>
      <c r="AA13" s="17">
        <f t="shared" si="5"/>
        <v>12</v>
      </c>
      <c r="AB13" s="17">
        <f t="shared" si="5"/>
        <v>10</v>
      </c>
      <c r="AC13" s="17">
        <f t="shared" si="5"/>
        <v>123</v>
      </c>
      <c r="AD13" s="17">
        <f t="shared" si="5"/>
        <v>0</v>
      </c>
      <c r="AE13" s="31">
        <f t="shared" si="5"/>
        <v>315</v>
      </c>
      <c r="AF13" s="31">
        <f t="shared" si="5"/>
        <v>438</v>
      </c>
    </row>
    <row r="14" spans="2:32" ht="23.1" customHeight="1" x14ac:dyDescent="0.25">
      <c r="B14" s="23" t="s">
        <v>41</v>
      </c>
      <c r="C14" s="50">
        <v>36</v>
      </c>
      <c r="D14" s="50">
        <v>13</v>
      </c>
      <c r="E14" s="50">
        <v>5</v>
      </c>
      <c r="F14" s="50">
        <v>28</v>
      </c>
      <c r="G14" s="50">
        <v>0</v>
      </c>
      <c r="H14" s="50">
        <v>1</v>
      </c>
      <c r="I14" s="50">
        <v>6</v>
      </c>
      <c r="J14" s="50">
        <v>2</v>
      </c>
      <c r="K14" s="50">
        <v>6</v>
      </c>
      <c r="L14" s="50">
        <v>6</v>
      </c>
      <c r="M14" s="50">
        <v>47</v>
      </c>
      <c r="N14" s="50">
        <v>0</v>
      </c>
      <c r="O14" s="15">
        <f t="shared" si="0"/>
        <v>103</v>
      </c>
      <c r="P14" s="15">
        <f t="shared" si="1"/>
        <v>150</v>
      </c>
      <c r="R14" s="1" t="s">
        <v>10</v>
      </c>
      <c r="S14" s="17">
        <f t="shared" ref="S14:AF14" si="6">SUM(C26:C29)</f>
        <v>111</v>
      </c>
      <c r="T14" s="17">
        <f t="shared" si="6"/>
        <v>32</v>
      </c>
      <c r="U14" s="17">
        <f t="shared" si="6"/>
        <v>19</v>
      </c>
      <c r="V14" s="17">
        <f t="shared" si="6"/>
        <v>78</v>
      </c>
      <c r="W14" s="17">
        <f t="shared" si="6"/>
        <v>1</v>
      </c>
      <c r="X14" s="17">
        <f t="shared" si="6"/>
        <v>1</v>
      </c>
      <c r="Y14" s="17">
        <f t="shared" si="6"/>
        <v>30</v>
      </c>
      <c r="Z14" s="17">
        <f t="shared" si="6"/>
        <v>20</v>
      </c>
      <c r="AA14" s="17">
        <f t="shared" si="6"/>
        <v>8</v>
      </c>
      <c r="AB14" s="17">
        <f t="shared" si="6"/>
        <v>10</v>
      </c>
      <c r="AC14" s="17">
        <f t="shared" si="6"/>
        <v>154</v>
      </c>
      <c r="AD14" s="17">
        <f t="shared" si="6"/>
        <v>0</v>
      </c>
      <c r="AE14" s="31">
        <f t="shared" si="6"/>
        <v>310</v>
      </c>
      <c r="AF14" s="31">
        <f t="shared" si="6"/>
        <v>464</v>
      </c>
    </row>
    <row r="15" spans="2:32" ht="23.1" customHeight="1" x14ac:dyDescent="0.25">
      <c r="B15" s="23" t="s">
        <v>42</v>
      </c>
      <c r="C15" s="50">
        <v>35</v>
      </c>
      <c r="D15" s="50">
        <v>10</v>
      </c>
      <c r="E15" s="50">
        <v>8</v>
      </c>
      <c r="F15" s="50">
        <v>24</v>
      </c>
      <c r="G15" s="50">
        <v>0</v>
      </c>
      <c r="H15" s="50">
        <v>0</v>
      </c>
      <c r="I15" s="50">
        <v>5</v>
      </c>
      <c r="J15" s="50">
        <v>5</v>
      </c>
      <c r="K15" s="50">
        <v>1</v>
      </c>
      <c r="L15" s="50">
        <v>2</v>
      </c>
      <c r="M15" s="50">
        <v>50</v>
      </c>
      <c r="N15" s="50">
        <v>0</v>
      </c>
      <c r="O15" s="15">
        <f t="shared" si="0"/>
        <v>90</v>
      </c>
      <c r="P15" s="15">
        <f t="shared" si="1"/>
        <v>140</v>
      </c>
      <c r="R15" s="1" t="s">
        <v>11</v>
      </c>
      <c r="S15" s="17">
        <f t="shared" ref="S15:AF15" si="7">SUM(C30:C33)</f>
        <v>71</v>
      </c>
      <c r="T15" s="17">
        <f t="shared" si="7"/>
        <v>30</v>
      </c>
      <c r="U15" s="17">
        <f t="shared" si="7"/>
        <v>14</v>
      </c>
      <c r="V15" s="17">
        <f t="shared" si="7"/>
        <v>77</v>
      </c>
      <c r="W15" s="17">
        <f t="shared" si="7"/>
        <v>4</v>
      </c>
      <c r="X15" s="17">
        <f t="shared" si="7"/>
        <v>0</v>
      </c>
      <c r="Y15" s="17">
        <f t="shared" si="7"/>
        <v>19</v>
      </c>
      <c r="Z15" s="17">
        <f t="shared" si="7"/>
        <v>17</v>
      </c>
      <c r="AA15" s="17">
        <f t="shared" si="7"/>
        <v>16</v>
      </c>
      <c r="AB15" s="17">
        <f t="shared" si="7"/>
        <v>22</v>
      </c>
      <c r="AC15" s="17">
        <f t="shared" si="7"/>
        <v>150</v>
      </c>
      <c r="AD15" s="17">
        <f t="shared" si="7"/>
        <v>0</v>
      </c>
      <c r="AE15" s="31">
        <f t="shared" si="7"/>
        <v>270</v>
      </c>
      <c r="AF15" s="31">
        <f t="shared" si="7"/>
        <v>420</v>
      </c>
    </row>
    <row r="16" spans="2:32" ht="23.1" customHeight="1" x14ac:dyDescent="0.25">
      <c r="B16" s="23" t="s">
        <v>43</v>
      </c>
      <c r="C16" s="50">
        <v>36</v>
      </c>
      <c r="D16" s="50">
        <v>10</v>
      </c>
      <c r="E16" s="50">
        <v>12</v>
      </c>
      <c r="F16" s="50">
        <v>31</v>
      </c>
      <c r="G16" s="50">
        <v>0</v>
      </c>
      <c r="H16" s="50">
        <v>0</v>
      </c>
      <c r="I16" s="50">
        <v>5</v>
      </c>
      <c r="J16" s="50">
        <v>3</v>
      </c>
      <c r="K16" s="50">
        <v>4</v>
      </c>
      <c r="L16" s="50">
        <v>3</v>
      </c>
      <c r="M16" s="50">
        <v>46</v>
      </c>
      <c r="N16" s="50">
        <v>0</v>
      </c>
      <c r="O16" s="15">
        <f t="shared" si="0"/>
        <v>104</v>
      </c>
      <c r="P16" s="15">
        <f t="shared" si="1"/>
        <v>150</v>
      </c>
      <c r="R16" s="1" t="s">
        <v>12</v>
      </c>
      <c r="S16" s="17">
        <f t="shared" ref="S16:AF16" si="8">SUM(C34:C37)</f>
        <v>62</v>
      </c>
      <c r="T16" s="17">
        <f t="shared" si="8"/>
        <v>26</v>
      </c>
      <c r="U16" s="17">
        <f t="shared" si="8"/>
        <v>12</v>
      </c>
      <c r="V16" s="17">
        <f t="shared" si="8"/>
        <v>69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16</v>
      </c>
      <c r="AA16" s="17">
        <f t="shared" si="8"/>
        <v>16</v>
      </c>
      <c r="AB16" s="17">
        <f t="shared" si="8"/>
        <v>20</v>
      </c>
      <c r="AC16" s="17">
        <f t="shared" si="8"/>
        <v>115</v>
      </c>
      <c r="AD16" s="17">
        <f t="shared" si="8"/>
        <v>0</v>
      </c>
      <c r="AE16" s="31">
        <f t="shared" si="8"/>
        <v>242</v>
      </c>
      <c r="AF16" s="31">
        <f t="shared" si="8"/>
        <v>357</v>
      </c>
    </row>
    <row r="17" spans="2:32" ht="23.1" customHeight="1" x14ac:dyDescent="0.25">
      <c r="B17" s="23" t="s">
        <v>44</v>
      </c>
      <c r="C17" s="50">
        <v>23</v>
      </c>
      <c r="D17" s="50">
        <v>9</v>
      </c>
      <c r="E17" s="50">
        <v>4</v>
      </c>
      <c r="F17" s="50">
        <v>26</v>
      </c>
      <c r="G17" s="50">
        <v>1</v>
      </c>
      <c r="H17" s="50">
        <v>0</v>
      </c>
      <c r="I17" s="50">
        <v>3</v>
      </c>
      <c r="J17" s="50">
        <v>3</v>
      </c>
      <c r="K17" s="50">
        <v>0</v>
      </c>
      <c r="L17" s="50">
        <v>4</v>
      </c>
      <c r="M17" s="50">
        <v>54</v>
      </c>
      <c r="N17" s="50">
        <v>0</v>
      </c>
      <c r="O17" s="15">
        <f t="shared" si="0"/>
        <v>73</v>
      </c>
      <c r="P17" s="15">
        <f t="shared" si="1"/>
        <v>127</v>
      </c>
      <c r="R17" s="1" t="s">
        <v>13</v>
      </c>
      <c r="S17" s="17">
        <f t="shared" ref="S17:AF17" si="9">SUM(C38:C41)</f>
        <v>59</v>
      </c>
      <c r="T17" s="17">
        <f t="shared" si="9"/>
        <v>19</v>
      </c>
      <c r="U17" s="17">
        <f t="shared" si="9"/>
        <v>12</v>
      </c>
      <c r="V17" s="17">
        <f t="shared" si="9"/>
        <v>62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21</v>
      </c>
      <c r="AA17" s="17">
        <f t="shared" si="9"/>
        <v>5</v>
      </c>
      <c r="AB17" s="17">
        <f t="shared" si="9"/>
        <v>15</v>
      </c>
      <c r="AC17" s="17">
        <f t="shared" si="9"/>
        <v>101</v>
      </c>
      <c r="AD17" s="17">
        <f t="shared" si="9"/>
        <v>0</v>
      </c>
      <c r="AE17" s="31">
        <f t="shared" si="9"/>
        <v>209</v>
      </c>
      <c r="AF17" s="31">
        <f t="shared" si="9"/>
        <v>310</v>
      </c>
    </row>
    <row r="18" spans="2:32" ht="23.1" customHeight="1" x14ac:dyDescent="0.25">
      <c r="B18" s="23" t="s">
        <v>45</v>
      </c>
      <c r="C18" s="50">
        <v>36</v>
      </c>
      <c r="D18" s="50">
        <v>15</v>
      </c>
      <c r="E18" s="50">
        <v>6</v>
      </c>
      <c r="F18" s="50">
        <v>34</v>
      </c>
      <c r="G18" s="50">
        <v>0</v>
      </c>
      <c r="H18" s="50">
        <v>0</v>
      </c>
      <c r="I18" s="50">
        <v>2</v>
      </c>
      <c r="J18" s="50">
        <v>1</v>
      </c>
      <c r="K18" s="50">
        <v>4</v>
      </c>
      <c r="L18" s="50">
        <v>5</v>
      </c>
      <c r="M18" s="50">
        <v>33</v>
      </c>
      <c r="N18" s="50">
        <v>0</v>
      </c>
      <c r="O18" s="15">
        <f t="shared" si="0"/>
        <v>103</v>
      </c>
      <c r="P18" s="15">
        <f t="shared" si="1"/>
        <v>136</v>
      </c>
      <c r="R18" s="1" t="s">
        <v>14</v>
      </c>
      <c r="S18" s="17">
        <f t="shared" ref="S18:AD18" si="10">SUM(C42:C45)</f>
        <v>65</v>
      </c>
      <c r="T18" s="17">
        <f t="shared" si="10"/>
        <v>25</v>
      </c>
      <c r="U18" s="17">
        <f t="shared" si="10"/>
        <v>15</v>
      </c>
      <c r="V18" s="17">
        <f t="shared" si="10"/>
        <v>64</v>
      </c>
      <c r="W18" s="17">
        <f t="shared" si="10"/>
        <v>1</v>
      </c>
      <c r="X18" s="17">
        <f t="shared" si="10"/>
        <v>0</v>
      </c>
      <c r="Y18" s="17">
        <f t="shared" si="10"/>
        <v>20</v>
      </c>
      <c r="Z18" s="17">
        <f t="shared" si="10"/>
        <v>14</v>
      </c>
      <c r="AA18" s="17">
        <f t="shared" si="10"/>
        <v>19</v>
      </c>
      <c r="AB18" s="17">
        <f t="shared" si="10"/>
        <v>22</v>
      </c>
      <c r="AC18" s="17">
        <f t="shared" si="10"/>
        <v>97</v>
      </c>
      <c r="AD18" s="17">
        <f t="shared" si="10"/>
        <v>0</v>
      </c>
      <c r="AE18" s="31">
        <f t="shared" ref="AE18:AF18" si="11">SUM(O42:O45)</f>
        <v>245</v>
      </c>
      <c r="AF18" s="31">
        <f t="shared" si="11"/>
        <v>342</v>
      </c>
    </row>
    <row r="19" spans="2:32" ht="23.1" customHeight="1" x14ac:dyDescent="0.25">
      <c r="B19" s="23" t="s">
        <v>46</v>
      </c>
      <c r="C19" s="50">
        <v>19</v>
      </c>
      <c r="D19" s="50">
        <v>20</v>
      </c>
      <c r="E19" s="50">
        <v>7</v>
      </c>
      <c r="F19" s="50">
        <v>24</v>
      </c>
      <c r="G19" s="50">
        <v>2</v>
      </c>
      <c r="H19" s="50">
        <v>0</v>
      </c>
      <c r="I19" s="50">
        <v>4</v>
      </c>
      <c r="J19" s="50">
        <v>4</v>
      </c>
      <c r="K19" s="50">
        <v>5</v>
      </c>
      <c r="L19" s="50">
        <v>9</v>
      </c>
      <c r="M19" s="50">
        <v>27</v>
      </c>
      <c r="N19" s="50">
        <v>0</v>
      </c>
      <c r="O19" s="15">
        <f t="shared" si="0"/>
        <v>94</v>
      </c>
      <c r="P19" s="15">
        <f t="shared" si="1"/>
        <v>121</v>
      </c>
      <c r="R19" s="1" t="s">
        <v>15</v>
      </c>
      <c r="S19" s="17">
        <f t="shared" ref="S19:AD19" si="12">SUM(C46:C49)</f>
        <v>80</v>
      </c>
      <c r="T19" s="17">
        <f t="shared" si="12"/>
        <v>38</v>
      </c>
      <c r="U19" s="17">
        <f t="shared" si="12"/>
        <v>13</v>
      </c>
      <c r="V19" s="17">
        <f t="shared" si="12"/>
        <v>75</v>
      </c>
      <c r="W19" s="17">
        <f t="shared" si="12"/>
        <v>2</v>
      </c>
      <c r="X19" s="17">
        <f t="shared" si="12"/>
        <v>0</v>
      </c>
      <c r="Y19" s="17">
        <f t="shared" si="12"/>
        <v>14</v>
      </c>
      <c r="Z19" s="17">
        <f t="shared" si="12"/>
        <v>22</v>
      </c>
      <c r="AA19" s="17">
        <f t="shared" si="12"/>
        <v>15</v>
      </c>
      <c r="AB19" s="17">
        <f t="shared" si="12"/>
        <v>21</v>
      </c>
      <c r="AC19" s="17">
        <f t="shared" si="12"/>
        <v>103</v>
      </c>
      <c r="AD19" s="17">
        <f t="shared" si="12"/>
        <v>1</v>
      </c>
      <c r="AE19" s="31">
        <f t="shared" ref="AE19:AF19" si="13">SUM(O46:O49)</f>
        <v>281</v>
      </c>
      <c r="AF19" s="31">
        <f t="shared" si="13"/>
        <v>384</v>
      </c>
    </row>
    <row r="20" spans="2:32" ht="23.1" customHeight="1" x14ac:dyDescent="0.25">
      <c r="B20" s="23" t="s">
        <v>47</v>
      </c>
      <c r="C20" s="50">
        <v>32</v>
      </c>
      <c r="D20" s="50">
        <v>14</v>
      </c>
      <c r="E20" s="50">
        <v>10</v>
      </c>
      <c r="F20" s="50">
        <v>29</v>
      </c>
      <c r="G20" s="50">
        <v>1</v>
      </c>
      <c r="H20" s="50">
        <v>0</v>
      </c>
      <c r="I20" s="50">
        <v>2</v>
      </c>
      <c r="J20" s="50">
        <v>7</v>
      </c>
      <c r="K20" s="50">
        <v>5</v>
      </c>
      <c r="L20" s="50">
        <v>6</v>
      </c>
      <c r="M20" s="50">
        <v>61</v>
      </c>
      <c r="N20" s="50">
        <v>1</v>
      </c>
      <c r="O20" s="15">
        <f t="shared" si="0"/>
        <v>107</v>
      </c>
      <c r="P20" s="15">
        <f t="shared" si="1"/>
        <v>168</v>
      </c>
      <c r="R20" s="1" t="s">
        <v>16</v>
      </c>
      <c r="S20" s="17">
        <f t="shared" ref="S20:AD20" si="14">SUM(C50:C53)</f>
        <v>130</v>
      </c>
      <c r="T20" s="17">
        <f t="shared" si="14"/>
        <v>21</v>
      </c>
      <c r="U20" s="17">
        <f t="shared" si="14"/>
        <v>26</v>
      </c>
      <c r="V20" s="17">
        <f t="shared" si="14"/>
        <v>80</v>
      </c>
      <c r="W20" s="17">
        <f t="shared" si="14"/>
        <v>1</v>
      </c>
      <c r="X20" s="17">
        <f t="shared" si="14"/>
        <v>0</v>
      </c>
      <c r="Y20" s="17">
        <f t="shared" si="14"/>
        <v>15</v>
      </c>
      <c r="Z20" s="17">
        <f t="shared" si="14"/>
        <v>18</v>
      </c>
      <c r="AA20" s="17">
        <f t="shared" si="14"/>
        <v>12</v>
      </c>
      <c r="AB20" s="17">
        <f t="shared" si="14"/>
        <v>32</v>
      </c>
      <c r="AC20" s="17">
        <f t="shared" si="14"/>
        <v>143</v>
      </c>
      <c r="AD20" s="17">
        <f t="shared" si="14"/>
        <v>0</v>
      </c>
      <c r="AE20" s="31">
        <f t="shared" ref="AE20:AF20" si="15">SUM(O50:O53)</f>
        <v>335</v>
      </c>
      <c r="AF20" s="31">
        <f t="shared" si="15"/>
        <v>478</v>
      </c>
    </row>
    <row r="21" spans="2:32" ht="23.1" customHeight="1" x14ac:dyDescent="0.25">
      <c r="B21" s="23" t="s">
        <v>48</v>
      </c>
      <c r="C21" s="50">
        <v>15</v>
      </c>
      <c r="D21" s="50">
        <v>11</v>
      </c>
      <c r="E21" s="50">
        <v>4</v>
      </c>
      <c r="F21" s="50">
        <v>10</v>
      </c>
      <c r="G21" s="50">
        <v>0</v>
      </c>
      <c r="H21" s="50">
        <v>0</v>
      </c>
      <c r="I21" s="50">
        <v>2</v>
      </c>
      <c r="J21" s="50">
        <v>1</v>
      </c>
      <c r="K21" s="50">
        <v>4</v>
      </c>
      <c r="L21" s="50">
        <v>0</v>
      </c>
      <c r="M21" s="50">
        <v>46</v>
      </c>
      <c r="N21" s="50">
        <v>0</v>
      </c>
      <c r="O21" s="15">
        <f t="shared" si="0"/>
        <v>47</v>
      </c>
      <c r="P21" s="15">
        <f t="shared" si="1"/>
        <v>93</v>
      </c>
      <c r="R21" s="36" t="s">
        <v>20</v>
      </c>
      <c r="S21" s="34">
        <f t="shared" ref="S21:AD21" si="16">SUM(C54:C57)</f>
        <v>154</v>
      </c>
      <c r="T21" s="17">
        <f t="shared" si="16"/>
        <v>62</v>
      </c>
      <c r="U21" s="17">
        <f t="shared" si="16"/>
        <v>31</v>
      </c>
      <c r="V21" s="17">
        <f t="shared" si="16"/>
        <v>135</v>
      </c>
      <c r="W21" s="17">
        <f t="shared" si="16"/>
        <v>8</v>
      </c>
      <c r="X21" s="17">
        <f t="shared" si="16"/>
        <v>1</v>
      </c>
      <c r="Y21" s="17">
        <f t="shared" si="16"/>
        <v>19</v>
      </c>
      <c r="Z21" s="17">
        <f t="shared" si="16"/>
        <v>19</v>
      </c>
      <c r="AA21" s="17">
        <f t="shared" si="16"/>
        <v>19</v>
      </c>
      <c r="AB21" s="17">
        <f t="shared" si="16"/>
        <v>23</v>
      </c>
      <c r="AC21" s="17">
        <f t="shared" si="16"/>
        <v>188</v>
      </c>
      <c r="AD21" s="17">
        <f t="shared" si="16"/>
        <v>1</v>
      </c>
      <c r="AE21" s="31">
        <f t="shared" ref="AE21:AF21" si="17">SUM(O54:O57)</f>
        <v>472</v>
      </c>
      <c r="AF21" s="31">
        <f t="shared" si="17"/>
        <v>660</v>
      </c>
    </row>
    <row r="22" spans="2:32" ht="23.1" customHeight="1" x14ac:dyDescent="0.25">
      <c r="B22" s="23" t="s">
        <v>49</v>
      </c>
      <c r="C22" s="50">
        <v>23</v>
      </c>
      <c r="D22" s="50">
        <v>7</v>
      </c>
      <c r="E22" s="50">
        <v>5</v>
      </c>
      <c r="F22" s="50">
        <v>30</v>
      </c>
      <c r="G22" s="50">
        <v>2</v>
      </c>
      <c r="H22" s="50">
        <v>0</v>
      </c>
      <c r="I22" s="50">
        <v>6</v>
      </c>
      <c r="J22" s="50">
        <v>4</v>
      </c>
      <c r="K22" s="50">
        <v>2</v>
      </c>
      <c r="L22" s="50">
        <v>2</v>
      </c>
      <c r="M22" s="50">
        <v>34</v>
      </c>
      <c r="N22" s="50">
        <v>0</v>
      </c>
      <c r="O22" s="15">
        <f t="shared" si="0"/>
        <v>81</v>
      </c>
      <c r="P22" s="15">
        <f t="shared" si="1"/>
        <v>115</v>
      </c>
      <c r="R22" s="38" t="s">
        <v>90</v>
      </c>
      <c r="S22" s="39">
        <f>MAX(S10:S12)</f>
        <v>228</v>
      </c>
      <c r="T22" s="39">
        <f t="shared" ref="T22:AF22" si="18">MAX(T10:T12)</f>
        <v>60</v>
      </c>
      <c r="U22" s="39">
        <f t="shared" si="18"/>
        <v>34</v>
      </c>
      <c r="V22" s="39">
        <f t="shared" si="18"/>
        <v>120</v>
      </c>
      <c r="W22" s="39">
        <f t="shared" si="18"/>
        <v>3</v>
      </c>
      <c r="X22" s="39">
        <f t="shared" si="18"/>
        <v>1</v>
      </c>
      <c r="Y22" s="39">
        <f t="shared" si="18"/>
        <v>19</v>
      </c>
      <c r="Z22" s="39">
        <f t="shared" si="18"/>
        <v>17</v>
      </c>
      <c r="AA22" s="39">
        <f t="shared" si="18"/>
        <v>18</v>
      </c>
      <c r="AB22" s="39">
        <f t="shared" si="18"/>
        <v>20</v>
      </c>
      <c r="AC22" s="39">
        <f t="shared" si="18"/>
        <v>197</v>
      </c>
      <c r="AD22" s="39">
        <f t="shared" si="18"/>
        <v>1</v>
      </c>
      <c r="AE22" s="40">
        <f t="shared" si="18"/>
        <v>475</v>
      </c>
      <c r="AF22" s="40">
        <f t="shared" si="18"/>
        <v>630</v>
      </c>
    </row>
    <row r="23" spans="2:32" ht="23.1" customHeight="1" x14ac:dyDescent="0.25">
      <c r="B23" s="23" t="s">
        <v>50</v>
      </c>
      <c r="C23" s="50">
        <v>31</v>
      </c>
      <c r="D23" s="50">
        <v>13</v>
      </c>
      <c r="E23" s="50">
        <v>4</v>
      </c>
      <c r="F23" s="50">
        <v>33</v>
      </c>
      <c r="G23" s="50">
        <v>0</v>
      </c>
      <c r="H23" s="50">
        <v>0</v>
      </c>
      <c r="I23" s="50">
        <v>6</v>
      </c>
      <c r="J23" s="50">
        <v>7</v>
      </c>
      <c r="K23" s="50">
        <v>3</v>
      </c>
      <c r="L23" s="50">
        <v>2</v>
      </c>
      <c r="M23" s="50">
        <v>38</v>
      </c>
      <c r="N23" s="50">
        <v>0</v>
      </c>
      <c r="O23" s="15">
        <f t="shared" si="0"/>
        <v>99</v>
      </c>
      <c r="P23" s="15">
        <f t="shared" si="1"/>
        <v>137</v>
      </c>
      <c r="R23" s="38" t="s">
        <v>91</v>
      </c>
      <c r="S23" s="39">
        <f>MAX(S13:S18)</f>
        <v>111</v>
      </c>
      <c r="T23" s="39">
        <f t="shared" ref="T23:AF23" si="19">MAX(T13:T18)</f>
        <v>38</v>
      </c>
      <c r="U23" s="39">
        <f t="shared" si="19"/>
        <v>19</v>
      </c>
      <c r="V23" s="39">
        <f t="shared" si="19"/>
        <v>96</v>
      </c>
      <c r="W23" s="39">
        <f t="shared" si="19"/>
        <v>5</v>
      </c>
      <c r="X23" s="39">
        <f t="shared" si="19"/>
        <v>1</v>
      </c>
      <c r="Y23" s="39">
        <f t="shared" si="19"/>
        <v>30</v>
      </c>
      <c r="Z23" s="39">
        <f t="shared" si="19"/>
        <v>21</v>
      </c>
      <c r="AA23" s="39">
        <f t="shared" si="19"/>
        <v>19</v>
      </c>
      <c r="AB23" s="39">
        <f t="shared" si="19"/>
        <v>22</v>
      </c>
      <c r="AC23" s="39">
        <f t="shared" si="19"/>
        <v>154</v>
      </c>
      <c r="AD23" s="39">
        <f t="shared" si="19"/>
        <v>0</v>
      </c>
      <c r="AE23" s="40">
        <f t="shared" si="19"/>
        <v>315</v>
      </c>
      <c r="AF23" s="40">
        <f t="shared" si="19"/>
        <v>464</v>
      </c>
    </row>
    <row r="24" spans="2:32" ht="23.1" customHeight="1" x14ac:dyDescent="0.25">
      <c r="B24" s="23" t="s">
        <v>51</v>
      </c>
      <c r="C24" s="50">
        <v>27</v>
      </c>
      <c r="D24" s="50">
        <v>7</v>
      </c>
      <c r="E24" s="50">
        <v>6</v>
      </c>
      <c r="F24" s="50">
        <v>22</v>
      </c>
      <c r="G24" s="50">
        <v>2</v>
      </c>
      <c r="H24" s="50">
        <v>0</v>
      </c>
      <c r="I24" s="50">
        <v>3</v>
      </c>
      <c r="J24" s="50">
        <v>2</v>
      </c>
      <c r="K24" s="50">
        <v>5</v>
      </c>
      <c r="L24" s="50">
        <v>2</v>
      </c>
      <c r="M24" s="50">
        <v>23</v>
      </c>
      <c r="N24" s="50">
        <v>0</v>
      </c>
      <c r="O24" s="15">
        <f t="shared" si="0"/>
        <v>76</v>
      </c>
      <c r="P24" s="15">
        <f t="shared" si="1"/>
        <v>99</v>
      </c>
      <c r="R24" s="38" t="s">
        <v>92</v>
      </c>
      <c r="S24" s="39">
        <f>MAX(S19:S21)</f>
        <v>154</v>
      </c>
      <c r="T24" s="39">
        <f t="shared" ref="T24:AF24" si="20">MAX(T19:T21)</f>
        <v>62</v>
      </c>
      <c r="U24" s="39">
        <f t="shared" si="20"/>
        <v>31</v>
      </c>
      <c r="V24" s="39">
        <f t="shared" si="20"/>
        <v>135</v>
      </c>
      <c r="W24" s="39">
        <f t="shared" si="20"/>
        <v>8</v>
      </c>
      <c r="X24" s="39">
        <f t="shared" si="20"/>
        <v>1</v>
      </c>
      <c r="Y24" s="39">
        <f t="shared" si="20"/>
        <v>19</v>
      </c>
      <c r="Z24" s="39">
        <f t="shared" si="20"/>
        <v>22</v>
      </c>
      <c r="AA24" s="39">
        <f t="shared" si="20"/>
        <v>19</v>
      </c>
      <c r="AB24" s="39">
        <f t="shared" si="20"/>
        <v>32</v>
      </c>
      <c r="AC24" s="39">
        <f t="shared" si="20"/>
        <v>188</v>
      </c>
      <c r="AD24" s="39">
        <f t="shared" si="20"/>
        <v>1</v>
      </c>
      <c r="AE24" s="40">
        <f t="shared" si="20"/>
        <v>472</v>
      </c>
      <c r="AF24" s="40">
        <f t="shared" si="20"/>
        <v>660</v>
      </c>
    </row>
    <row r="25" spans="2:32" ht="23.1" customHeight="1" x14ac:dyDescent="0.25">
      <c r="B25" s="23" t="s">
        <v>52</v>
      </c>
      <c r="C25" s="50">
        <v>25</v>
      </c>
      <c r="D25" s="50">
        <v>11</v>
      </c>
      <c r="E25" s="50">
        <v>2</v>
      </c>
      <c r="F25" s="50">
        <v>11</v>
      </c>
      <c r="G25" s="50">
        <v>1</v>
      </c>
      <c r="H25" s="50">
        <v>1</v>
      </c>
      <c r="I25" s="50">
        <v>1</v>
      </c>
      <c r="J25" s="50">
        <v>1</v>
      </c>
      <c r="K25" s="50">
        <v>2</v>
      </c>
      <c r="L25" s="50">
        <v>4</v>
      </c>
      <c r="M25" s="50">
        <v>28</v>
      </c>
      <c r="N25" s="50">
        <v>0</v>
      </c>
      <c r="O25" s="15">
        <f t="shared" si="0"/>
        <v>59</v>
      </c>
      <c r="P25" s="15">
        <f t="shared" si="1"/>
        <v>87</v>
      </c>
      <c r="R25" s="37" t="s">
        <v>85</v>
      </c>
      <c r="S25" s="35">
        <f t="shared" ref="S25:AF25" si="21">SUM(S10:S12)</f>
        <v>460</v>
      </c>
      <c r="T25" s="16">
        <f t="shared" si="21"/>
        <v>131</v>
      </c>
      <c r="U25" s="16">
        <f t="shared" si="21"/>
        <v>90</v>
      </c>
      <c r="V25" s="16">
        <f t="shared" si="21"/>
        <v>326</v>
      </c>
      <c r="W25" s="16">
        <f t="shared" si="21"/>
        <v>6</v>
      </c>
      <c r="X25" s="16">
        <f t="shared" si="21"/>
        <v>1</v>
      </c>
      <c r="Y25" s="16">
        <f t="shared" si="21"/>
        <v>43</v>
      </c>
      <c r="Z25" s="16">
        <f t="shared" si="21"/>
        <v>43</v>
      </c>
      <c r="AA25" s="16">
        <f t="shared" si="21"/>
        <v>42</v>
      </c>
      <c r="AB25" s="16">
        <f t="shared" si="21"/>
        <v>53</v>
      </c>
      <c r="AC25" s="16">
        <f t="shared" si="21"/>
        <v>519</v>
      </c>
      <c r="AD25" s="16">
        <f t="shared" si="21"/>
        <v>1</v>
      </c>
      <c r="AE25" s="32">
        <f t="shared" si="21"/>
        <v>1196</v>
      </c>
      <c r="AF25" s="32">
        <f t="shared" si="21"/>
        <v>1715</v>
      </c>
    </row>
    <row r="26" spans="2:32" ht="23.1" customHeight="1" x14ac:dyDescent="0.25">
      <c r="B26" s="23" t="s">
        <v>53</v>
      </c>
      <c r="C26" s="50">
        <v>36</v>
      </c>
      <c r="D26" s="50">
        <v>15</v>
      </c>
      <c r="E26" s="50">
        <v>5</v>
      </c>
      <c r="F26" s="50">
        <v>25</v>
      </c>
      <c r="G26" s="50">
        <v>0</v>
      </c>
      <c r="H26" s="50">
        <v>1</v>
      </c>
      <c r="I26" s="50">
        <v>6</v>
      </c>
      <c r="J26" s="50">
        <v>9</v>
      </c>
      <c r="K26" s="50">
        <v>4</v>
      </c>
      <c r="L26" s="50">
        <v>1</v>
      </c>
      <c r="M26" s="50">
        <v>48</v>
      </c>
      <c r="N26" s="50">
        <v>0</v>
      </c>
      <c r="O26" s="15">
        <f t="shared" si="0"/>
        <v>102</v>
      </c>
      <c r="P26" s="15">
        <f t="shared" si="1"/>
        <v>150</v>
      </c>
      <c r="R26" s="28" t="s">
        <v>86</v>
      </c>
      <c r="S26" s="16">
        <f t="shared" ref="S26:AF26" si="22">SUM(S13:S18)</f>
        <v>474</v>
      </c>
      <c r="T26" s="16">
        <f t="shared" si="22"/>
        <v>170</v>
      </c>
      <c r="U26" s="16">
        <f t="shared" si="22"/>
        <v>89</v>
      </c>
      <c r="V26" s="16">
        <f t="shared" si="22"/>
        <v>446</v>
      </c>
      <c r="W26" s="16">
        <f t="shared" si="22"/>
        <v>11</v>
      </c>
      <c r="X26" s="16">
        <f t="shared" si="22"/>
        <v>2</v>
      </c>
      <c r="Y26" s="16">
        <f t="shared" si="22"/>
        <v>122</v>
      </c>
      <c r="Z26" s="16">
        <f t="shared" si="22"/>
        <v>102</v>
      </c>
      <c r="AA26" s="16">
        <f t="shared" si="22"/>
        <v>76</v>
      </c>
      <c r="AB26" s="16">
        <f t="shared" si="22"/>
        <v>99</v>
      </c>
      <c r="AC26" s="16">
        <f t="shared" si="22"/>
        <v>740</v>
      </c>
      <c r="AD26" s="16">
        <f t="shared" si="22"/>
        <v>0</v>
      </c>
      <c r="AE26" s="32">
        <f t="shared" si="22"/>
        <v>1591</v>
      </c>
      <c r="AF26" s="32">
        <f t="shared" si="22"/>
        <v>2331</v>
      </c>
    </row>
    <row r="27" spans="2:32" ht="23.1" customHeight="1" x14ac:dyDescent="0.25">
      <c r="B27" s="23" t="s">
        <v>54</v>
      </c>
      <c r="C27" s="50">
        <v>45</v>
      </c>
      <c r="D27" s="50">
        <v>8</v>
      </c>
      <c r="E27" s="50">
        <v>5</v>
      </c>
      <c r="F27" s="50">
        <v>22</v>
      </c>
      <c r="G27" s="50">
        <v>0</v>
      </c>
      <c r="H27" s="50">
        <v>0</v>
      </c>
      <c r="I27" s="50">
        <v>11</v>
      </c>
      <c r="J27" s="50">
        <v>7</v>
      </c>
      <c r="K27" s="50">
        <v>1</v>
      </c>
      <c r="L27" s="50">
        <v>7</v>
      </c>
      <c r="M27" s="50">
        <v>33</v>
      </c>
      <c r="N27" s="50">
        <v>0</v>
      </c>
      <c r="O27" s="15">
        <f t="shared" si="0"/>
        <v>106</v>
      </c>
      <c r="P27" s="15">
        <f t="shared" si="1"/>
        <v>139</v>
      </c>
      <c r="R27" s="29" t="s">
        <v>87</v>
      </c>
      <c r="S27" s="16">
        <f t="shared" ref="S27:AF27" si="23">SUM(S19:S21)</f>
        <v>364</v>
      </c>
      <c r="T27" s="16">
        <f t="shared" si="23"/>
        <v>121</v>
      </c>
      <c r="U27" s="16">
        <f t="shared" si="23"/>
        <v>70</v>
      </c>
      <c r="V27" s="16">
        <f t="shared" si="23"/>
        <v>290</v>
      </c>
      <c r="W27" s="16">
        <f t="shared" si="23"/>
        <v>11</v>
      </c>
      <c r="X27" s="16">
        <f t="shared" si="23"/>
        <v>1</v>
      </c>
      <c r="Y27" s="16">
        <f t="shared" si="23"/>
        <v>48</v>
      </c>
      <c r="Z27" s="16">
        <f t="shared" si="23"/>
        <v>59</v>
      </c>
      <c r="AA27" s="16">
        <f t="shared" si="23"/>
        <v>46</v>
      </c>
      <c r="AB27" s="16">
        <f t="shared" si="23"/>
        <v>76</v>
      </c>
      <c r="AC27" s="16">
        <f t="shared" si="23"/>
        <v>434</v>
      </c>
      <c r="AD27" s="16">
        <f t="shared" si="23"/>
        <v>2</v>
      </c>
      <c r="AE27" s="32">
        <f t="shared" si="23"/>
        <v>1088</v>
      </c>
      <c r="AF27" s="32">
        <f t="shared" si="23"/>
        <v>1522</v>
      </c>
    </row>
    <row r="28" spans="2:32" ht="23.1" customHeight="1" x14ac:dyDescent="0.25">
      <c r="B28" s="23" t="s">
        <v>55</v>
      </c>
      <c r="C28" s="50">
        <v>18</v>
      </c>
      <c r="D28" s="50">
        <v>5</v>
      </c>
      <c r="E28" s="50">
        <v>5</v>
      </c>
      <c r="F28" s="50">
        <v>21</v>
      </c>
      <c r="G28" s="50">
        <v>0</v>
      </c>
      <c r="H28" s="50">
        <v>0</v>
      </c>
      <c r="I28" s="50">
        <v>8</v>
      </c>
      <c r="J28" s="50">
        <v>1</v>
      </c>
      <c r="K28" s="50">
        <v>3</v>
      </c>
      <c r="L28" s="50">
        <v>2</v>
      </c>
      <c r="M28" s="50">
        <v>42</v>
      </c>
      <c r="N28" s="50">
        <v>0</v>
      </c>
      <c r="O28" s="15">
        <f t="shared" si="0"/>
        <v>63</v>
      </c>
      <c r="P28" s="15">
        <f t="shared" si="1"/>
        <v>105</v>
      </c>
      <c r="R28" s="5" t="s">
        <v>17</v>
      </c>
      <c r="S28" s="16">
        <f t="shared" ref="S28:AF28" si="24">SUM(S10:S21)</f>
        <v>1298</v>
      </c>
      <c r="T28" s="16">
        <f t="shared" si="24"/>
        <v>422</v>
      </c>
      <c r="U28" s="16">
        <f t="shared" si="24"/>
        <v>249</v>
      </c>
      <c r="V28" s="16">
        <f t="shared" si="24"/>
        <v>1062</v>
      </c>
      <c r="W28" s="16">
        <f t="shared" si="24"/>
        <v>28</v>
      </c>
      <c r="X28" s="16">
        <f t="shared" si="24"/>
        <v>4</v>
      </c>
      <c r="Y28" s="16">
        <f t="shared" si="24"/>
        <v>213</v>
      </c>
      <c r="Z28" s="16">
        <f t="shared" si="24"/>
        <v>204</v>
      </c>
      <c r="AA28" s="16">
        <f t="shared" si="24"/>
        <v>164</v>
      </c>
      <c r="AB28" s="16">
        <f t="shared" si="24"/>
        <v>228</v>
      </c>
      <c r="AC28" s="16">
        <f t="shared" si="24"/>
        <v>1693</v>
      </c>
      <c r="AD28" s="16">
        <f t="shared" si="24"/>
        <v>3</v>
      </c>
      <c r="AE28" s="32">
        <f t="shared" si="24"/>
        <v>3875</v>
      </c>
      <c r="AF28" s="32">
        <f t="shared" si="24"/>
        <v>5568</v>
      </c>
    </row>
    <row r="29" spans="2:32" ht="23.1" customHeight="1" x14ac:dyDescent="0.25">
      <c r="B29" s="23" t="s">
        <v>56</v>
      </c>
      <c r="C29" s="50">
        <v>12</v>
      </c>
      <c r="D29" s="50">
        <v>4</v>
      </c>
      <c r="E29" s="50">
        <v>4</v>
      </c>
      <c r="F29" s="50">
        <v>10</v>
      </c>
      <c r="G29" s="50">
        <v>1</v>
      </c>
      <c r="H29" s="50">
        <v>0</v>
      </c>
      <c r="I29" s="50">
        <v>5</v>
      </c>
      <c r="J29" s="50">
        <v>3</v>
      </c>
      <c r="K29" s="50">
        <v>0</v>
      </c>
      <c r="L29" s="50">
        <v>0</v>
      </c>
      <c r="M29" s="50">
        <v>31</v>
      </c>
      <c r="N29" s="50">
        <v>0</v>
      </c>
      <c r="O29" s="15">
        <f t="shared" si="0"/>
        <v>39</v>
      </c>
      <c r="P29" s="15">
        <f t="shared" si="1"/>
        <v>70</v>
      </c>
      <c r="R29"/>
      <c r="S29" s="20"/>
      <c r="T29" s="19"/>
    </row>
    <row r="30" spans="2:32" ht="23.1" customHeight="1" x14ac:dyDescent="0.25">
      <c r="B30" s="23" t="s">
        <v>57</v>
      </c>
      <c r="C30" s="50">
        <v>19</v>
      </c>
      <c r="D30" s="50">
        <v>11</v>
      </c>
      <c r="E30" s="50">
        <v>2</v>
      </c>
      <c r="F30" s="50">
        <v>22</v>
      </c>
      <c r="G30" s="50">
        <v>3</v>
      </c>
      <c r="H30" s="50">
        <v>0</v>
      </c>
      <c r="I30" s="50">
        <v>7</v>
      </c>
      <c r="J30" s="50">
        <v>6</v>
      </c>
      <c r="K30" s="50">
        <v>4</v>
      </c>
      <c r="L30" s="50">
        <v>5</v>
      </c>
      <c r="M30" s="50">
        <v>36</v>
      </c>
      <c r="N30" s="50">
        <v>0</v>
      </c>
      <c r="O30" s="15">
        <f t="shared" si="0"/>
        <v>79</v>
      </c>
      <c r="P30" s="15">
        <f t="shared" si="1"/>
        <v>115</v>
      </c>
    </row>
    <row r="31" spans="2:32" ht="23.1" customHeight="1" x14ac:dyDescent="0.25">
      <c r="B31" s="24" t="s">
        <v>58</v>
      </c>
      <c r="C31" s="50">
        <v>20</v>
      </c>
      <c r="D31" s="50">
        <v>6</v>
      </c>
      <c r="E31" s="50">
        <v>5</v>
      </c>
      <c r="F31" s="50">
        <v>25</v>
      </c>
      <c r="G31" s="50">
        <v>1</v>
      </c>
      <c r="H31" s="50">
        <v>0</v>
      </c>
      <c r="I31" s="50">
        <v>4</v>
      </c>
      <c r="J31" s="50">
        <v>2</v>
      </c>
      <c r="K31" s="50">
        <v>9</v>
      </c>
      <c r="L31" s="50">
        <v>4</v>
      </c>
      <c r="M31" s="50">
        <v>36</v>
      </c>
      <c r="N31" s="50">
        <v>0</v>
      </c>
      <c r="O31" s="15">
        <f t="shared" si="0"/>
        <v>76</v>
      </c>
      <c r="P31" s="15">
        <f t="shared" si="1"/>
        <v>112</v>
      </c>
    </row>
    <row r="32" spans="2:32" ht="23.1" customHeight="1" x14ac:dyDescent="0.25">
      <c r="B32" s="24" t="s">
        <v>59</v>
      </c>
      <c r="C32" s="50">
        <v>20</v>
      </c>
      <c r="D32" s="50">
        <v>4</v>
      </c>
      <c r="E32" s="50">
        <v>4</v>
      </c>
      <c r="F32" s="50">
        <v>13</v>
      </c>
      <c r="G32" s="50">
        <v>0</v>
      </c>
      <c r="H32" s="50">
        <v>0</v>
      </c>
      <c r="I32" s="50">
        <v>3</v>
      </c>
      <c r="J32" s="50">
        <v>5</v>
      </c>
      <c r="K32" s="50">
        <v>1</v>
      </c>
      <c r="L32" s="50">
        <v>5</v>
      </c>
      <c r="M32" s="50">
        <v>50</v>
      </c>
      <c r="N32" s="50">
        <v>0</v>
      </c>
      <c r="O32" s="15">
        <f t="shared" si="0"/>
        <v>55</v>
      </c>
      <c r="P32" s="15">
        <f t="shared" si="1"/>
        <v>105</v>
      </c>
    </row>
    <row r="33" spans="2:20" ht="23.1" customHeight="1" x14ac:dyDescent="0.25">
      <c r="B33" s="23" t="s">
        <v>60</v>
      </c>
      <c r="C33" s="50">
        <v>12</v>
      </c>
      <c r="D33" s="50">
        <v>9</v>
      </c>
      <c r="E33" s="50">
        <v>3</v>
      </c>
      <c r="F33" s="50">
        <v>17</v>
      </c>
      <c r="G33" s="50">
        <v>0</v>
      </c>
      <c r="H33" s="50">
        <v>0</v>
      </c>
      <c r="I33" s="50">
        <v>5</v>
      </c>
      <c r="J33" s="50">
        <v>4</v>
      </c>
      <c r="K33" s="50">
        <v>2</v>
      </c>
      <c r="L33" s="50">
        <v>8</v>
      </c>
      <c r="M33" s="50">
        <v>28</v>
      </c>
      <c r="N33" s="50">
        <v>0</v>
      </c>
      <c r="O33" s="15">
        <f t="shared" si="0"/>
        <v>60</v>
      </c>
      <c r="P33" s="15">
        <f t="shared" si="1"/>
        <v>88</v>
      </c>
    </row>
    <row r="34" spans="2:20" ht="23.1" customHeight="1" x14ac:dyDescent="0.25">
      <c r="B34" s="24" t="s">
        <v>61</v>
      </c>
      <c r="C34" s="50">
        <v>13</v>
      </c>
      <c r="D34" s="50">
        <v>8</v>
      </c>
      <c r="E34" s="50">
        <v>1</v>
      </c>
      <c r="F34" s="50">
        <v>20</v>
      </c>
      <c r="G34" s="50">
        <v>0</v>
      </c>
      <c r="H34" s="50">
        <v>0</v>
      </c>
      <c r="I34" s="50">
        <v>4</v>
      </c>
      <c r="J34" s="50">
        <v>1</v>
      </c>
      <c r="K34" s="50">
        <v>4</v>
      </c>
      <c r="L34" s="50">
        <v>6</v>
      </c>
      <c r="M34" s="50">
        <v>29</v>
      </c>
      <c r="N34" s="50">
        <v>0</v>
      </c>
      <c r="O34" s="15">
        <f t="shared" si="0"/>
        <v>57</v>
      </c>
      <c r="P34" s="15">
        <f t="shared" si="1"/>
        <v>86</v>
      </c>
    </row>
    <row r="35" spans="2:20" ht="23.1" customHeight="1" x14ac:dyDescent="0.25">
      <c r="B35" s="24" t="s">
        <v>62</v>
      </c>
      <c r="C35" s="50">
        <v>11</v>
      </c>
      <c r="D35" s="50">
        <v>7</v>
      </c>
      <c r="E35" s="50">
        <v>3</v>
      </c>
      <c r="F35" s="50">
        <v>18</v>
      </c>
      <c r="G35" s="50">
        <v>0</v>
      </c>
      <c r="H35" s="50">
        <v>0</v>
      </c>
      <c r="I35" s="50">
        <v>9</v>
      </c>
      <c r="J35" s="50">
        <v>3</v>
      </c>
      <c r="K35" s="50">
        <v>5</v>
      </c>
      <c r="L35" s="50">
        <v>8</v>
      </c>
      <c r="M35" s="50">
        <v>34</v>
      </c>
      <c r="N35" s="50">
        <v>0</v>
      </c>
      <c r="O35" s="15">
        <f t="shared" si="0"/>
        <v>64</v>
      </c>
      <c r="P35" s="15">
        <f t="shared" si="1"/>
        <v>98</v>
      </c>
    </row>
    <row r="36" spans="2:20" ht="23.1" customHeight="1" x14ac:dyDescent="0.25">
      <c r="B36" s="24" t="s">
        <v>63</v>
      </c>
      <c r="C36" s="50">
        <v>24</v>
      </c>
      <c r="D36" s="50">
        <v>9</v>
      </c>
      <c r="E36" s="50">
        <v>6</v>
      </c>
      <c r="F36" s="50">
        <v>19</v>
      </c>
      <c r="G36" s="50">
        <v>0</v>
      </c>
      <c r="H36" s="50">
        <v>0</v>
      </c>
      <c r="I36" s="50">
        <v>2</v>
      </c>
      <c r="J36" s="50">
        <v>11</v>
      </c>
      <c r="K36" s="50">
        <v>5</v>
      </c>
      <c r="L36" s="50">
        <v>5</v>
      </c>
      <c r="M36" s="50">
        <v>26</v>
      </c>
      <c r="N36" s="50">
        <v>0</v>
      </c>
      <c r="O36" s="15">
        <f t="shared" si="0"/>
        <v>81</v>
      </c>
      <c r="P36" s="15">
        <f t="shared" si="1"/>
        <v>107</v>
      </c>
    </row>
    <row r="37" spans="2:20" ht="23.1" customHeight="1" x14ac:dyDescent="0.25">
      <c r="B37" s="23" t="s">
        <v>64</v>
      </c>
      <c r="C37" s="50">
        <v>14</v>
      </c>
      <c r="D37" s="50">
        <v>2</v>
      </c>
      <c r="E37" s="50">
        <v>2</v>
      </c>
      <c r="F37" s="50">
        <v>12</v>
      </c>
      <c r="G37" s="50">
        <v>0</v>
      </c>
      <c r="H37" s="50">
        <v>0</v>
      </c>
      <c r="I37" s="50">
        <v>6</v>
      </c>
      <c r="J37" s="50">
        <v>1</v>
      </c>
      <c r="K37" s="50">
        <v>2</v>
      </c>
      <c r="L37" s="50">
        <v>1</v>
      </c>
      <c r="M37" s="50">
        <v>26</v>
      </c>
      <c r="N37" s="50">
        <v>0</v>
      </c>
      <c r="O37" s="15">
        <f t="shared" si="0"/>
        <v>40</v>
      </c>
      <c r="P37" s="15">
        <f t="shared" si="1"/>
        <v>66</v>
      </c>
    </row>
    <row r="38" spans="2:20" ht="23.1" customHeight="1" x14ac:dyDescent="0.25">
      <c r="B38" s="24" t="s">
        <v>65</v>
      </c>
      <c r="C38" s="50">
        <v>18</v>
      </c>
      <c r="D38" s="50">
        <v>7</v>
      </c>
      <c r="E38" s="50">
        <v>5</v>
      </c>
      <c r="F38" s="50">
        <v>18</v>
      </c>
      <c r="G38" s="50">
        <v>0</v>
      </c>
      <c r="H38" s="50">
        <v>0</v>
      </c>
      <c r="I38" s="50">
        <v>8</v>
      </c>
      <c r="J38" s="50">
        <v>7</v>
      </c>
      <c r="K38" s="50">
        <v>2</v>
      </c>
      <c r="L38" s="50">
        <v>3</v>
      </c>
      <c r="M38" s="50">
        <v>31</v>
      </c>
      <c r="N38" s="50">
        <v>0</v>
      </c>
      <c r="O38" s="15">
        <f t="shared" si="0"/>
        <v>68</v>
      </c>
      <c r="P38" s="15">
        <f t="shared" si="1"/>
        <v>99</v>
      </c>
    </row>
    <row r="39" spans="2:20" ht="23.1" customHeight="1" x14ac:dyDescent="0.25">
      <c r="B39" s="24" t="s">
        <v>66</v>
      </c>
      <c r="C39" s="50">
        <v>11</v>
      </c>
      <c r="D39" s="50">
        <v>4</v>
      </c>
      <c r="E39" s="50">
        <v>4</v>
      </c>
      <c r="F39" s="50">
        <v>13</v>
      </c>
      <c r="G39" s="50">
        <v>0</v>
      </c>
      <c r="H39" s="50">
        <v>0</v>
      </c>
      <c r="I39" s="50">
        <v>1</v>
      </c>
      <c r="J39" s="50">
        <v>5</v>
      </c>
      <c r="K39" s="50">
        <v>2</v>
      </c>
      <c r="L39" s="50">
        <v>5</v>
      </c>
      <c r="M39" s="50">
        <v>25</v>
      </c>
      <c r="N39" s="50">
        <v>0</v>
      </c>
      <c r="O39" s="15">
        <f t="shared" si="0"/>
        <v>45</v>
      </c>
      <c r="P39" s="15">
        <f t="shared" si="1"/>
        <v>70</v>
      </c>
    </row>
    <row r="40" spans="2:20" ht="23.1" customHeight="1" x14ac:dyDescent="0.25">
      <c r="B40" s="24" t="s">
        <v>67</v>
      </c>
      <c r="C40" s="50">
        <v>18</v>
      </c>
      <c r="D40" s="50">
        <v>6</v>
      </c>
      <c r="E40" s="50">
        <v>2</v>
      </c>
      <c r="F40" s="50">
        <v>19</v>
      </c>
      <c r="G40" s="50">
        <v>0</v>
      </c>
      <c r="H40" s="50">
        <v>0</v>
      </c>
      <c r="I40" s="50">
        <v>4</v>
      </c>
      <c r="J40" s="50">
        <v>5</v>
      </c>
      <c r="K40" s="50">
        <v>1</v>
      </c>
      <c r="L40" s="50">
        <v>5</v>
      </c>
      <c r="M40" s="50">
        <v>29</v>
      </c>
      <c r="N40" s="50">
        <v>0</v>
      </c>
      <c r="O40" s="15">
        <f t="shared" si="0"/>
        <v>60</v>
      </c>
      <c r="P40" s="15">
        <f t="shared" si="1"/>
        <v>89</v>
      </c>
    </row>
    <row r="41" spans="2:20" ht="23.1" customHeight="1" x14ac:dyDescent="0.25">
      <c r="B41" s="23" t="s">
        <v>68</v>
      </c>
      <c r="C41" s="50">
        <v>12</v>
      </c>
      <c r="D41" s="50">
        <v>2</v>
      </c>
      <c r="E41" s="50">
        <v>1</v>
      </c>
      <c r="F41" s="50">
        <v>12</v>
      </c>
      <c r="G41" s="50">
        <v>0</v>
      </c>
      <c r="H41" s="50">
        <v>0</v>
      </c>
      <c r="I41" s="50">
        <v>3</v>
      </c>
      <c r="J41" s="50">
        <v>4</v>
      </c>
      <c r="K41" s="50">
        <v>0</v>
      </c>
      <c r="L41" s="50">
        <v>2</v>
      </c>
      <c r="M41" s="50">
        <v>16</v>
      </c>
      <c r="N41" s="50">
        <v>0</v>
      </c>
      <c r="O41" s="15">
        <f t="shared" si="0"/>
        <v>36</v>
      </c>
      <c r="P41" s="15">
        <f t="shared" si="1"/>
        <v>52</v>
      </c>
    </row>
    <row r="42" spans="2:20" ht="23.1" customHeight="1" x14ac:dyDescent="0.25">
      <c r="B42" s="24" t="s">
        <v>69</v>
      </c>
      <c r="C42" s="50">
        <v>17</v>
      </c>
      <c r="D42" s="50">
        <v>11</v>
      </c>
      <c r="E42" s="50">
        <v>6</v>
      </c>
      <c r="F42" s="50">
        <v>17</v>
      </c>
      <c r="G42" s="50">
        <v>1</v>
      </c>
      <c r="H42" s="50">
        <v>0</v>
      </c>
      <c r="I42" s="50">
        <v>4</v>
      </c>
      <c r="J42" s="50">
        <v>2</v>
      </c>
      <c r="K42" s="50">
        <v>9</v>
      </c>
      <c r="L42" s="50">
        <v>4</v>
      </c>
      <c r="M42" s="50">
        <v>21</v>
      </c>
      <c r="N42" s="50">
        <v>0</v>
      </c>
      <c r="O42" s="15">
        <f t="shared" si="0"/>
        <v>71</v>
      </c>
      <c r="P42" s="15">
        <f t="shared" si="1"/>
        <v>92</v>
      </c>
    </row>
    <row r="43" spans="2:20" ht="23.1" customHeight="1" x14ac:dyDescent="0.25">
      <c r="B43" s="23" t="s">
        <v>70</v>
      </c>
      <c r="C43" s="50">
        <v>17</v>
      </c>
      <c r="D43" s="50">
        <v>8</v>
      </c>
      <c r="E43" s="50">
        <v>4</v>
      </c>
      <c r="F43" s="50">
        <v>14</v>
      </c>
      <c r="G43" s="50">
        <v>0</v>
      </c>
      <c r="H43" s="50">
        <v>0</v>
      </c>
      <c r="I43" s="50">
        <v>8</v>
      </c>
      <c r="J43" s="50">
        <v>4</v>
      </c>
      <c r="K43" s="50">
        <v>2</v>
      </c>
      <c r="L43" s="50">
        <v>6</v>
      </c>
      <c r="M43" s="50">
        <v>23</v>
      </c>
      <c r="N43" s="50">
        <v>0</v>
      </c>
      <c r="O43" s="15">
        <f t="shared" ref="O43:O57" si="25">SUM(C43:L43,N43)</f>
        <v>63</v>
      </c>
      <c r="P43" s="15">
        <f t="shared" ref="P43:P57" si="26">SUM(C43:N43)</f>
        <v>86</v>
      </c>
    </row>
    <row r="44" spans="2:20" ht="23.1" customHeight="1" x14ac:dyDescent="0.25">
      <c r="B44" s="25" t="s">
        <v>71</v>
      </c>
      <c r="C44" s="50">
        <v>15</v>
      </c>
      <c r="D44" s="50">
        <v>2</v>
      </c>
      <c r="E44" s="50">
        <v>3</v>
      </c>
      <c r="F44" s="50">
        <v>17</v>
      </c>
      <c r="G44" s="50">
        <v>0</v>
      </c>
      <c r="H44" s="50">
        <v>0</v>
      </c>
      <c r="I44" s="50">
        <v>5</v>
      </c>
      <c r="J44" s="50">
        <v>4</v>
      </c>
      <c r="K44" s="50">
        <v>5</v>
      </c>
      <c r="L44" s="50">
        <v>3</v>
      </c>
      <c r="M44" s="50">
        <v>27</v>
      </c>
      <c r="N44" s="50">
        <v>0</v>
      </c>
      <c r="O44" s="15">
        <f t="shared" si="25"/>
        <v>54</v>
      </c>
      <c r="P44" s="15">
        <f t="shared" si="26"/>
        <v>81</v>
      </c>
    </row>
    <row r="45" spans="2:20" ht="23.1" customHeight="1" x14ac:dyDescent="0.25">
      <c r="B45" s="23" t="s">
        <v>72</v>
      </c>
      <c r="C45" s="50">
        <v>16</v>
      </c>
      <c r="D45" s="50">
        <v>4</v>
      </c>
      <c r="E45" s="50">
        <v>2</v>
      </c>
      <c r="F45" s="50">
        <v>16</v>
      </c>
      <c r="G45" s="50">
        <v>0</v>
      </c>
      <c r="H45" s="50">
        <v>0</v>
      </c>
      <c r="I45" s="50">
        <v>3</v>
      </c>
      <c r="J45" s="50">
        <v>4</v>
      </c>
      <c r="K45" s="50">
        <v>3</v>
      </c>
      <c r="L45" s="50">
        <v>9</v>
      </c>
      <c r="M45" s="50">
        <v>26</v>
      </c>
      <c r="N45" s="50">
        <v>0</v>
      </c>
      <c r="O45" s="15">
        <f t="shared" si="25"/>
        <v>57</v>
      </c>
      <c r="P45" s="15">
        <f t="shared" si="26"/>
        <v>83</v>
      </c>
    </row>
    <row r="46" spans="2:20" ht="23.1" customHeight="1" x14ac:dyDescent="0.25">
      <c r="B46" s="24" t="s">
        <v>73</v>
      </c>
      <c r="C46" s="50">
        <v>23</v>
      </c>
      <c r="D46" s="50">
        <v>7</v>
      </c>
      <c r="E46" s="50">
        <v>4</v>
      </c>
      <c r="F46" s="50">
        <v>16</v>
      </c>
      <c r="G46" s="50">
        <v>0</v>
      </c>
      <c r="H46" s="50">
        <v>0</v>
      </c>
      <c r="I46" s="50">
        <v>5</v>
      </c>
      <c r="J46" s="50">
        <v>7</v>
      </c>
      <c r="K46" s="50">
        <v>4</v>
      </c>
      <c r="L46" s="50">
        <v>4</v>
      </c>
      <c r="M46" s="50">
        <v>39</v>
      </c>
      <c r="N46" s="50">
        <v>0</v>
      </c>
      <c r="O46" s="15">
        <f t="shared" si="25"/>
        <v>70</v>
      </c>
      <c r="P46" s="15">
        <f t="shared" si="26"/>
        <v>109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9</v>
      </c>
      <c r="E47" s="50">
        <v>5</v>
      </c>
      <c r="F47" s="50">
        <v>19</v>
      </c>
      <c r="G47" s="50">
        <v>1</v>
      </c>
      <c r="H47" s="50">
        <v>0</v>
      </c>
      <c r="I47" s="50">
        <v>3</v>
      </c>
      <c r="J47" s="50">
        <v>1</v>
      </c>
      <c r="K47" s="50">
        <v>3</v>
      </c>
      <c r="L47" s="50">
        <v>3</v>
      </c>
      <c r="M47" s="50">
        <v>30</v>
      </c>
      <c r="N47" s="50">
        <v>1</v>
      </c>
      <c r="O47" s="15">
        <f t="shared" si="25"/>
        <v>60</v>
      </c>
      <c r="P47" s="15">
        <f t="shared" si="26"/>
        <v>90</v>
      </c>
      <c r="R47" s="8"/>
      <c r="T47"/>
    </row>
    <row r="48" spans="2:20" ht="23.1" customHeight="1" x14ac:dyDescent="0.25">
      <c r="B48" s="24" t="s">
        <v>75</v>
      </c>
      <c r="C48" s="50">
        <v>18</v>
      </c>
      <c r="D48" s="50">
        <v>16</v>
      </c>
      <c r="E48" s="50">
        <v>1</v>
      </c>
      <c r="F48" s="50">
        <v>21</v>
      </c>
      <c r="G48" s="50">
        <v>0</v>
      </c>
      <c r="H48" s="50">
        <v>0</v>
      </c>
      <c r="I48" s="50">
        <v>3</v>
      </c>
      <c r="J48" s="50">
        <v>9</v>
      </c>
      <c r="K48" s="50">
        <v>6</v>
      </c>
      <c r="L48" s="50">
        <v>11</v>
      </c>
      <c r="M48" s="50">
        <v>21</v>
      </c>
      <c r="N48" s="50">
        <v>0</v>
      </c>
      <c r="O48" s="15">
        <f t="shared" si="25"/>
        <v>85</v>
      </c>
      <c r="P48" s="15">
        <f t="shared" si="26"/>
        <v>106</v>
      </c>
      <c r="R48" s="8"/>
      <c r="T48"/>
    </row>
    <row r="49" spans="2:20" ht="23.1" customHeight="1" x14ac:dyDescent="0.25">
      <c r="B49" s="23" t="s">
        <v>76</v>
      </c>
      <c r="C49" s="50">
        <v>24</v>
      </c>
      <c r="D49" s="50">
        <v>6</v>
      </c>
      <c r="E49" s="50">
        <v>3</v>
      </c>
      <c r="F49" s="50">
        <v>19</v>
      </c>
      <c r="G49" s="50">
        <v>1</v>
      </c>
      <c r="H49" s="50">
        <v>0</v>
      </c>
      <c r="I49" s="50">
        <v>3</v>
      </c>
      <c r="J49" s="50">
        <v>5</v>
      </c>
      <c r="K49" s="50">
        <v>2</v>
      </c>
      <c r="L49" s="50">
        <v>3</v>
      </c>
      <c r="M49" s="50">
        <v>13</v>
      </c>
      <c r="N49" s="50">
        <v>0</v>
      </c>
      <c r="O49" s="15">
        <f t="shared" si="25"/>
        <v>66</v>
      </c>
      <c r="P49" s="15">
        <f t="shared" si="26"/>
        <v>79</v>
      </c>
      <c r="R49" s="8"/>
      <c r="T49"/>
    </row>
    <row r="50" spans="2:20" ht="23.1" customHeight="1" x14ac:dyDescent="0.25">
      <c r="B50" s="24" t="s">
        <v>77</v>
      </c>
      <c r="C50" s="50">
        <v>22</v>
      </c>
      <c r="D50" s="50">
        <v>2</v>
      </c>
      <c r="E50" s="50">
        <v>6</v>
      </c>
      <c r="F50" s="50">
        <v>19</v>
      </c>
      <c r="G50" s="50">
        <v>1</v>
      </c>
      <c r="H50" s="50">
        <v>0</v>
      </c>
      <c r="I50" s="50">
        <v>2</v>
      </c>
      <c r="J50" s="50">
        <v>8</v>
      </c>
      <c r="K50" s="50">
        <v>4</v>
      </c>
      <c r="L50" s="50">
        <v>8</v>
      </c>
      <c r="M50" s="50">
        <v>40</v>
      </c>
      <c r="N50" s="50">
        <v>0</v>
      </c>
      <c r="O50" s="15">
        <f t="shared" si="25"/>
        <v>72</v>
      </c>
      <c r="P50" s="15">
        <f t="shared" si="26"/>
        <v>112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5</v>
      </c>
      <c r="E51" s="50">
        <v>7</v>
      </c>
      <c r="F51" s="50">
        <v>24</v>
      </c>
      <c r="G51" s="50">
        <v>0</v>
      </c>
      <c r="H51" s="50">
        <v>0</v>
      </c>
      <c r="I51" s="50">
        <v>2</v>
      </c>
      <c r="J51" s="50">
        <v>5</v>
      </c>
      <c r="K51" s="50">
        <v>1</v>
      </c>
      <c r="L51" s="50">
        <v>4</v>
      </c>
      <c r="M51" s="50">
        <v>36</v>
      </c>
      <c r="N51" s="50">
        <v>0</v>
      </c>
      <c r="O51" s="15">
        <f t="shared" si="25"/>
        <v>76</v>
      </c>
      <c r="P51" s="15">
        <f t="shared" si="26"/>
        <v>112</v>
      </c>
      <c r="R51" s="8"/>
      <c r="T51"/>
    </row>
    <row r="52" spans="2:20" ht="23.1" customHeight="1" x14ac:dyDescent="0.25">
      <c r="B52" s="24" t="s">
        <v>79</v>
      </c>
      <c r="C52" s="50">
        <v>37</v>
      </c>
      <c r="D52" s="50">
        <v>3</v>
      </c>
      <c r="E52" s="50">
        <v>3</v>
      </c>
      <c r="F52" s="50">
        <v>20</v>
      </c>
      <c r="G52" s="50">
        <v>0</v>
      </c>
      <c r="H52" s="50">
        <v>0</v>
      </c>
      <c r="I52" s="50">
        <v>4</v>
      </c>
      <c r="J52" s="50">
        <v>4</v>
      </c>
      <c r="K52" s="50">
        <v>2</v>
      </c>
      <c r="L52" s="50">
        <v>11</v>
      </c>
      <c r="M52" s="50">
        <v>30</v>
      </c>
      <c r="N52" s="50">
        <v>0</v>
      </c>
      <c r="O52" s="15">
        <f t="shared" si="25"/>
        <v>84</v>
      </c>
      <c r="P52" s="15">
        <f t="shared" si="26"/>
        <v>114</v>
      </c>
      <c r="R52" s="8"/>
      <c r="T52"/>
    </row>
    <row r="53" spans="2:20" ht="23.1" customHeight="1" x14ac:dyDescent="0.25">
      <c r="B53" s="23" t="s">
        <v>80</v>
      </c>
      <c r="C53" s="50">
        <v>43</v>
      </c>
      <c r="D53" s="50">
        <v>11</v>
      </c>
      <c r="E53" s="50">
        <v>10</v>
      </c>
      <c r="F53" s="50">
        <v>17</v>
      </c>
      <c r="G53" s="50">
        <v>0</v>
      </c>
      <c r="H53" s="50">
        <v>0</v>
      </c>
      <c r="I53" s="50">
        <v>7</v>
      </c>
      <c r="J53" s="50">
        <v>1</v>
      </c>
      <c r="K53" s="50">
        <v>5</v>
      </c>
      <c r="L53" s="50">
        <v>9</v>
      </c>
      <c r="M53" s="50">
        <v>37</v>
      </c>
      <c r="N53" s="50">
        <v>0</v>
      </c>
      <c r="O53" s="15">
        <f t="shared" si="25"/>
        <v>103</v>
      </c>
      <c r="P53" s="15">
        <f t="shared" si="26"/>
        <v>140</v>
      </c>
      <c r="R53" s="8"/>
      <c r="T53"/>
    </row>
    <row r="54" spans="2:20" ht="23.1" customHeight="1" x14ac:dyDescent="0.25">
      <c r="B54" s="23" t="s">
        <v>81</v>
      </c>
      <c r="C54" s="50">
        <v>32</v>
      </c>
      <c r="D54" s="50">
        <v>23</v>
      </c>
      <c r="E54" s="50">
        <v>8</v>
      </c>
      <c r="F54" s="50">
        <v>35</v>
      </c>
      <c r="G54" s="50">
        <v>2</v>
      </c>
      <c r="H54" s="50">
        <v>0</v>
      </c>
      <c r="I54" s="50">
        <v>4</v>
      </c>
      <c r="J54" s="50">
        <v>8</v>
      </c>
      <c r="K54" s="50">
        <v>4</v>
      </c>
      <c r="L54" s="50">
        <v>12</v>
      </c>
      <c r="M54" s="50">
        <v>20</v>
      </c>
      <c r="N54" s="50">
        <v>0</v>
      </c>
      <c r="O54" s="15">
        <f t="shared" si="25"/>
        <v>128</v>
      </c>
      <c r="P54" s="15">
        <f t="shared" si="26"/>
        <v>148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17</v>
      </c>
      <c r="E55" s="50">
        <v>13</v>
      </c>
      <c r="F55" s="50">
        <v>39</v>
      </c>
      <c r="G55" s="50">
        <v>2</v>
      </c>
      <c r="H55" s="50">
        <v>0</v>
      </c>
      <c r="I55" s="50">
        <v>7</v>
      </c>
      <c r="J55" s="50">
        <v>4</v>
      </c>
      <c r="K55" s="50">
        <v>5</v>
      </c>
      <c r="L55" s="50">
        <v>3</v>
      </c>
      <c r="M55" s="50">
        <v>64</v>
      </c>
      <c r="N55" s="50">
        <v>0</v>
      </c>
      <c r="O55" s="15">
        <f t="shared" si="25"/>
        <v>137</v>
      </c>
      <c r="P55" s="15">
        <f t="shared" si="26"/>
        <v>201</v>
      </c>
      <c r="R55" s="8"/>
      <c r="T55"/>
    </row>
    <row r="56" spans="2:20" ht="23.1" customHeight="1" x14ac:dyDescent="0.25">
      <c r="B56" s="23" t="s">
        <v>83</v>
      </c>
      <c r="C56" s="50">
        <v>41</v>
      </c>
      <c r="D56" s="50">
        <v>13</v>
      </c>
      <c r="E56" s="50">
        <v>4</v>
      </c>
      <c r="F56" s="50">
        <v>33</v>
      </c>
      <c r="G56" s="50">
        <v>3</v>
      </c>
      <c r="H56" s="50">
        <v>1</v>
      </c>
      <c r="I56" s="50">
        <v>4</v>
      </c>
      <c r="J56" s="50">
        <v>6</v>
      </c>
      <c r="K56" s="50">
        <v>4</v>
      </c>
      <c r="L56" s="50">
        <v>4</v>
      </c>
      <c r="M56" s="50">
        <v>62</v>
      </c>
      <c r="N56" s="50">
        <v>0</v>
      </c>
      <c r="O56" s="15">
        <f t="shared" si="25"/>
        <v>113</v>
      </c>
      <c r="P56" s="15">
        <f t="shared" si="26"/>
        <v>175</v>
      </c>
      <c r="R56" s="8"/>
      <c r="T56"/>
    </row>
    <row r="57" spans="2:20" ht="23.1" customHeight="1" x14ac:dyDescent="0.25">
      <c r="B57" s="23" t="s">
        <v>84</v>
      </c>
      <c r="C57" s="50">
        <v>34</v>
      </c>
      <c r="D57" s="50">
        <v>9</v>
      </c>
      <c r="E57" s="50">
        <v>6</v>
      </c>
      <c r="F57" s="50">
        <v>28</v>
      </c>
      <c r="G57" s="50">
        <v>1</v>
      </c>
      <c r="H57" s="50">
        <v>0</v>
      </c>
      <c r="I57" s="50">
        <v>4</v>
      </c>
      <c r="J57" s="50">
        <v>1</v>
      </c>
      <c r="K57" s="50">
        <v>6</v>
      </c>
      <c r="L57" s="50">
        <v>4</v>
      </c>
      <c r="M57" s="50">
        <v>42</v>
      </c>
      <c r="N57" s="50">
        <v>1</v>
      </c>
      <c r="O57" s="15">
        <f t="shared" si="25"/>
        <v>94</v>
      </c>
      <c r="P57" s="15">
        <f t="shared" si="26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N58" si="27">SUM(C10:C57)</f>
        <v>1298</v>
      </c>
      <c r="D58" s="16">
        <f t="shared" si="27"/>
        <v>422</v>
      </c>
      <c r="E58" s="16">
        <f t="shared" si="27"/>
        <v>249</v>
      </c>
      <c r="F58" s="16">
        <f t="shared" si="27"/>
        <v>1062</v>
      </c>
      <c r="G58" s="16">
        <f t="shared" si="27"/>
        <v>28</v>
      </c>
      <c r="H58" s="16">
        <f t="shared" si="27"/>
        <v>4</v>
      </c>
      <c r="I58" s="16">
        <f t="shared" si="27"/>
        <v>213</v>
      </c>
      <c r="J58" s="16">
        <f t="shared" si="27"/>
        <v>204</v>
      </c>
      <c r="K58" s="16">
        <f t="shared" si="27"/>
        <v>164</v>
      </c>
      <c r="L58" s="16">
        <f t="shared" si="27"/>
        <v>228</v>
      </c>
      <c r="M58" s="16">
        <f t="shared" si="27"/>
        <v>1693</v>
      </c>
      <c r="N58" s="16">
        <f t="shared" si="27"/>
        <v>3</v>
      </c>
      <c r="O58" s="16">
        <f t="shared" ref="O58:P58" si="28">SUM(O10:O57)</f>
        <v>3875</v>
      </c>
      <c r="P58" s="16">
        <f t="shared" si="28"/>
        <v>5568</v>
      </c>
      <c r="R58" s="8"/>
      <c r="T58"/>
    </row>
    <row r="59" spans="2:20" ht="23.1" customHeight="1" x14ac:dyDescent="0.25">
      <c r="B59" s="26" t="s">
        <v>93</v>
      </c>
      <c r="C59" s="43">
        <f t="shared" ref="C59:N59" si="29">C58/$P$58</f>
        <v>0.23311781609195403</v>
      </c>
      <c r="D59" s="43">
        <f t="shared" si="29"/>
        <v>7.5790229885057472E-2</v>
      </c>
      <c r="E59" s="43">
        <f t="shared" si="29"/>
        <v>4.4719827586206899E-2</v>
      </c>
      <c r="F59" s="43">
        <f t="shared" si="29"/>
        <v>0.19073275862068967</v>
      </c>
      <c r="G59" s="43">
        <f t="shared" si="29"/>
        <v>5.028735632183908E-3</v>
      </c>
      <c r="H59" s="43">
        <f t="shared" si="29"/>
        <v>7.1839080459770114E-4</v>
      </c>
      <c r="I59" s="43">
        <f t="shared" si="29"/>
        <v>3.8254310344827583E-2</v>
      </c>
      <c r="J59" s="43">
        <f t="shared" si="29"/>
        <v>3.6637931034482756E-2</v>
      </c>
      <c r="K59" s="43">
        <f t="shared" si="29"/>
        <v>2.9454022988505746E-2</v>
      </c>
      <c r="L59" s="43">
        <f t="shared" si="29"/>
        <v>4.0948275862068964E-2</v>
      </c>
      <c r="M59" s="43">
        <f t="shared" si="29"/>
        <v>0.30405890804597702</v>
      </c>
      <c r="N59" s="43">
        <f t="shared" si="29"/>
        <v>5.3879310344827585E-4</v>
      </c>
      <c r="R59" s="8"/>
      <c r="T59"/>
    </row>
    <row r="60" spans="2:20" ht="23.1" customHeight="1" x14ac:dyDescent="0.25">
      <c r="B60" s="42" t="s">
        <v>94</v>
      </c>
      <c r="C60" s="44">
        <f>C58/$O$58</f>
        <v>0.3349677419354839</v>
      </c>
      <c r="D60" s="44">
        <f t="shared" ref="D60:N60" si="30">D58/$O$58</f>
        <v>0.10890322580645161</v>
      </c>
      <c r="E60" s="44">
        <f t="shared" si="30"/>
        <v>6.4258064516129032E-2</v>
      </c>
      <c r="F60" s="44">
        <f t="shared" si="30"/>
        <v>0.27406451612903227</v>
      </c>
      <c r="G60" s="44">
        <f t="shared" si="30"/>
        <v>7.2258064516129029E-3</v>
      </c>
      <c r="H60" s="44">
        <f t="shared" si="30"/>
        <v>1.0322580645161291E-3</v>
      </c>
      <c r="I60" s="44">
        <f t="shared" si="30"/>
        <v>5.4967741935483871E-2</v>
      </c>
      <c r="J60" s="44">
        <f t="shared" si="30"/>
        <v>5.2645161290322581E-2</v>
      </c>
      <c r="K60" s="44">
        <f t="shared" si="30"/>
        <v>4.2322580645161291E-2</v>
      </c>
      <c r="L60" s="44">
        <f t="shared" si="30"/>
        <v>5.8838709677419353E-2</v>
      </c>
      <c r="M60" s="44"/>
      <c r="N60" s="44">
        <f t="shared" si="30"/>
        <v>7.7419354838709675E-4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4" t="str">
        <f>'01.08 Bweyogerere-Nalya-24h'!G5:H5</f>
        <v>Signs and Symbols</v>
      </c>
      <c r="H5" s="65"/>
      <c r="I5" s="14"/>
      <c r="J5" s="2" t="s">
        <v>5</v>
      </c>
      <c r="K5" s="64" t="str">
        <f>'01.08 Bweyogerere-Nalya-24h'!K5:L5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'01.08 Bweyogerere-Nalya-24h'!K6:L6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20</v>
      </c>
      <c r="D10" s="50">
        <v>5</v>
      </c>
      <c r="E10" s="50">
        <v>2</v>
      </c>
      <c r="F10" s="50">
        <v>21</v>
      </c>
      <c r="G10" s="50">
        <v>0</v>
      </c>
      <c r="H10" s="50">
        <v>0</v>
      </c>
      <c r="I10" s="50">
        <v>6</v>
      </c>
      <c r="J10" s="50">
        <v>4</v>
      </c>
      <c r="K10" s="50">
        <v>4</v>
      </c>
      <c r="L10" s="50">
        <v>1</v>
      </c>
      <c r="M10" s="50">
        <v>15</v>
      </c>
      <c r="N10" s="50">
        <v>0</v>
      </c>
      <c r="O10" s="15">
        <f t="shared" ref="O10:O73" si="0">SUM(C10:L10,N10)</f>
        <v>63</v>
      </c>
      <c r="P10" s="15">
        <f t="shared" ref="P10:P73" si="1">SUM(C10:N10)</f>
        <v>78</v>
      </c>
      <c r="R10" s="1" t="s">
        <v>6</v>
      </c>
      <c r="S10" s="17">
        <f t="shared" ref="S10:AF10" si="2">SUM(C10:C13)</f>
        <v>64</v>
      </c>
      <c r="T10" s="17">
        <f t="shared" si="2"/>
        <v>25</v>
      </c>
      <c r="U10" s="17">
        <f t="shared" si="2"/>
        <v>24</v>
      </c>
      <c r="V10" s="17">
        <f t="shared" si="2"/>
        <v>104</v>
      </c>
      <c r="W10" s="17">
        <f t="shared" si="2"/>
        <v>2</v>
      </c>
      <c r="X10" s="17">
        <f t="shared" si="2"/>
        <v>1</v>
      </c>
      <c r="Y10" s="17">
        <f t="shared" si="2"/>
        <v>21</v>
      </c>
      <c r="Z10" s="17">
        <f t="shared" si="2"/>
        <v>14</v>
      </c>
      <c r="AA10" s="17">
        <f t="shared" si="2"/>
        <v>14</v>
      </c>
      <c r="AB10" s="17">
        <f t="shared" si="2"/>
        <v>9</v>
      </c>
      <c r="AC10" s="17">
        <f t="shared" si="2"/>
        <v>101</v>
      </c>
      <c r="AD10" s="17">
        <f t="shared" si="2"/>
        <v>0</v>
      </c>
      <c r="AE10" s="31">
        <f t="shared" si="2"/>
        <v>278</v>
      </c>
      <c r="AF10" s="31">
        <f t="shared" si="2"/>
        <v>379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6</v>
      </c>
      <c r="E11" s="50">
        <v>6</v>
      </c>
      <c r="F11" s="50">
        <v>21</v>
      </c>
      <c r="G11" s="50">
        <v>0</v>
      </c>
      <c r="H11" s="50">
        <v>0</v>
      </c>
      <c r="I11" s="50">
        <v>5</v>
      </c>
      <c r="J11" s="50">
        <v>4</v>
      </c>
      <c r="K11" s="50">
        <v>1</v>
      </c>
      <c r="L11" s="50">
        <v>4</v>
      </c>
      <c r="M11" s="50">
        <v>31</v>
      </c>
      <c r="N11" s="50">
        <v>0</v>
      </c>
      <c r="O11" s="15">
        <f t="shared" si="0"/>
        <v>60</v>
      </c>
      <c r="P11" s="15">
        <f t="shared" si="1"/>
        <v>91</v>
      </c>
      <c r="R11" s="1" t="s">
        <v>7</v>
      </c>
      <c r="S11" s="17">
        <f t="shared" ref="S11:AF11" si="3">SUM(C14:C17)</f>
        <v>87</v>
      </c>
      <c r="T11" s="17">
        <f t="shared" si="3"/>
        <v>53</v>
      </c>
      <c r="U11" s="17">
        <f t="shared" si="3"/>
        <v>22</v>
      </c>
      <c r="V11" s="17">
        <f t="shared" si="3"/>
        <v>125</v>
      </c>
      <c r="W11" s="17">
        <f t="shared" si="3"/>
        <v>1</v>
      </c>
      <c r="X11" s="17">
        <f t="shared" si="3"/>
        <v>0</v>
      </c>
      <c r="Y11" s="17">
        <f t="shared" si="3"/>
        <v>19</v>
      </c>
      <c r="Z11" s="17">
        <f t="shared" si="3"/>
        <v>9</v>
      </c>
      <c r="AA11" s="17">
        <f t="shared" si="3"/>
        <v>4</v>
      </c>
      <c r="AB11" s="17">
        <f t="shared" si="3"/>
        <v>2</v>
      </c>
      <c r="AC11" s="17">
        <f t="shared" si="3"/>
        <v>139</v>
      </c>
      <c r="AD11" s="17">
        <f t="shared" si="3"/>
        <v>0</v>
      </c>
      <c r="AE11" s="31">
        <f t="shared" si="3"/>
        <v>322</v>
      </c>
      <c r="AF11" s="31">
        <f t="shared" si="3"/>
        <v>461</v>
      </c>
    </row>
    <row r="12" spans="2:32" ht="23.1" customHeight="1" x14ac:dyDescent="0.25">
      <c r="B12" s="45" t="s">
        <v>39</v>
      </c>
      <c r="C12" s="50">
        <v>15</v>
      </c>
      <c r="D12" s="50">
        <v>7</v>
      </c>
      <c r="E12" s="50">
        <v>12</v>
      </c>
      <c r="F12" s="50">
        <v>27</v>
      </c>
      <c r="G12" s="50">
        <v>2</v>
      </c>
      <c r="H12" s="50">
        <v>0</v>
      </c>
      <c r="I12" s="50">
        <v>7</v>
      </c>
      <c r="J12" s="50">
        <v>3</v>
      </c>
      <c r="K12" s="50">
        <v>4</v>
      </c>
      <c r="L12" s="50">
        <v>2</v>
      </c>
      <c r="M12" s="50">
        <v>26</v>
      </c>
      <c r="N12" s="50">
        <v>0</v>
      </c>
      <c r="O12" s="15">
        <f t="shared" si="0"/>
        <v>79</v>
      </c>
      <c r="P12" s="15">
        <f t="shared" si="1"/>
        <v>105</v>
      </c>
      <c r="R12" s="1" t="s">
        <v>8</v>
      </c>
      <c r="S12" s="17">
        <f t="shared" ref="S12:AF12" si="4">SUM(C18:C21)</f>
        <v>86</v>
      </c>
      <c r="T12" s="17">
        <f t="shared" si="4"/>
        <v>53</v>
      </c>
      <c r="U12" s="17">
        <f t="shared" si="4"/>
        <v>16</v>
      </c>
      <c r="V12" s="17">
        <f t="shared" si="4"/>
        <v>107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12</v>
      </c>
      <c r="AA12" s="17">
        <f t="shared" si="4"/>
        <v>15</v>
      </c>
      <c r="AB12" s="17">
        <f t="shared" si="4"/>
        <v>6</v>
      </c>
      <c r="AC12" s="17">
        <f t="shared" si="4"/>
        <v>157</v>
      </c>
      <c r="AD12" s="17">
        <f t="shared" si="4"/>
        <v>1</v>
      </c>
      <c r="AE12" s="31">
        <f t="shared" si="4"/>
        <v>317</v>
      </c>
      <c r="AF12" s="31">
        <f t="shared" si="4"/>
        <v>474</v>
      </c>
    </row>
    <row r="13" spans="2:32" ht="23.1" customHeight="1" x14ac:dyDescent="0.25">
      <c r="B13" s="45" t="s">
        <v>40</v>
      </c>
      <c r="C13" s="50">
        <v>16</v>
      </c>
      <c r="D13" s="50">
        <v>7</v>
      </c>
      <c r="E13" s="50">
        <v>4</v>
      </c>
      <c r="F13" s="50">
        <v>35</v>
      </c>
      <c r="G13" s="50">
        <v>0</v>
      </c>
      <c r="H13" s="50">
        <v>1</v>
      </c>
      <c r="I13" s="50">
        <v>3</v>
      </c>
      <c r="J13" s="50">
        <v>3</v>
      </c>
      <c r="K13" s="50">
        <v>5</v>
      </c>
      <c r="L13" s="50">
        <v>2</v>
      </c>
      <c r="M13" s="50">
        <v>29</v>
      </c>
      <c r="N13" s="50">
        <v>0</v>
      </c>
      <c r="O13" s="15">
        <f t="shared" si="0"/>
        <v>76</v>
      </c>
      <c r="P13" s="15">
        <f t="shared" si="1"/>
        <v>105</v>
      </c>
      <c r="R13" s="1" t="s">
        <v>9</v>
      </c>
      <c r="S13" s="17">
        <f t="shared" ref="S13:AF13" si="5">SUM(C22:C25)</f>
        <v>99</v>
      </c>
      <c r="T13" s="17">
        <f t="shared" si="5"/>
        <v>58</v>
      </c>
      <c r="U13" s="17">
        <f t="shared" si="5"/>
        <v>16</v>
      </c>
      <c r="V13" s="17">
        <f t="shared" si="5"/>
        <v>79</v>
      </c>
      <c r="W13" s="17">
        <f t="shared" si="5"/>
        <v>0</v>
      </c>
      <c r="X13" s="17">
        <f t="shared" si="5"/>
        <v>0</v>
      </c>
      <c r="Y13" s="17">
        <f t="shared" si="5"/>
        <v>23</v>
      </c>
      <c r="Z13" s="17">
        <f t="shared" si="5"/>
        <v>19</v>
      </c>
      <c r="AA13" s="17">
        <f t="shared" si="5"/>
        <v>9</v>
      </c>
      <c r="AB13" s="17">
        <f t="shared" si="5"/>
        <v>6</v>
      </c>
      <c r="AC13" s="17">
        <f t="shared" si="5"/>
        <v>141</v>
      </c>
      <c r="AD13" s="17">
        <f t="shared" si="5"/>
        <v>0</v>
      </c>
      <c r="AE13" s="31">
        <f t="shared" si="5"/>
        <v>309</v>
      </c>
      <c r="AF13" s="31">
        <f t="shared" si="5"/>
        <v>450</v>
      </c>
    </row>
    <row r="14" spans="2:32" ht="23.1" customHeight="1" x14ac:dyDescent="0.25">
      <c r="B14" s="45" t="s">
        <v>41</v>
      </c>
      <c r="C14" s="50">
        <v>20</v>
      </c>
      <c r="D14" s="50">
        <v>14</v>
      </c>
      <c r="E14" s="50">
        <v>10</v>
      </c>
      <c r="F14" s="50">
        <v>36</v>
      </c>
      <c r="G14" s="50">
        <v>0</v>
      </c>
      <c r="H14" s="50">
        <v>0</v>
      </c>
      <c r="I14" s="50">
        <v>7</v>
      </c>
      <c r="J14" s="50">
        <v>2</v>
      </c>
      <c r="K14" s="50">
        <v>3</v>
      </c>
      <c r="L14" s="50">
        <v>0</v>
      </c>
      <c r="M14" s="50">
        <v>41</v>
      </c>
      <c r="N14" s="50">
        <v>0</v>
      </c>
      <c r="O14" s="15">
        <f t="shared" si="0"/>
        <v>92</v>
      </c>
      <c r="P14" s="15">
        <f t="shared" si="1"/>
        <v>133</v>
      </c>
      <c r="R14" s="1" t="s">
        <v>10</v>
      </c>
      <c r="S14" s="17">
        <f t="shared" ref="S14:AF14" si="6">SUM(C26:C29)</f>
        <v>123</v>
      </c>
      <c r="T14" s="17">
        <f t="shared" si="6"/>
        <v>50</v>
      </c>
      <c r="U14" s="17">
        <f t="shared" si="6"/>
        <v>33</v>
      </c>
      <c r="V14" s="17">
        <f t="shared" si="6"/>
        <v>130</v>
      </c>
      <c r="W14" s="17">
        <f t="shared" si="6"/>
        <v>2</v>
      </c>
      <c r="X14" s="17">
        <f t="shared" si="6"/>
        <v>0</v>
      </c>
      <c r="Y14" s="17">
        <f t="shared" si="6"/>
        <v>24</v>
      </c>
      <c r="Z14" s="17">
        <f t="shared" si="6"/>
        <v>20</v>
      </c>
      <c r="AA14" s="17">
        <f t="shared" si="6"/>
        <v>14</v>
      </c>
      <c r="AB14" s="17">
        <f t="shared" si="6"/>
        <v>15</v>
      </c>
      <c r="AC14" s="17">
        <f t="shared" si="6"/>
        <v>186</v>
      </c>
      <c r="AD14" s="17">
        <f t="shared" si="6"/>
        <v>0</v>
      </c>
      <c r="AE14" s="31">
        <f t="shared" si="6"/>
        <v>411</v>
      </c>
      <c r="AF14" s="31">
        <f t="shared" si="6"/>
        <v>597</v>
      </c>
    </row>
    <row r="15" spans="2:32" ht="23.1" customHeight="1" x14ac:dyDescent="0.25">
      <c r="B15" s="45" t="s">
        <v>42</v>
      </c>
      <c r="C15" s="50">
        <v>26</v>
      </c>
      <c r="D15" s="50">
        <v>23</v>
      </c>
      <c r="E15" s="50">
        <v>2</v>
      </c>
      <c r="F15" s="50">
        <v>35</v>
      </c>
      <c r="G15" s="50">
        <v>1</v>
      </c>
      <c r="H15" s="50">
        <v>0</v>
      </c>
      <c r="I15" s="50">
        <v>4</v>
      </c>
      <c r="J15" s="50">
        <v>3</v>
      </c>
      <c r="K15" s="50">
        <v>0</v>
      </c>
      <c r="L15" s="50">
        <v>1</v>
      </c>
      <c r="M15" s="50">
        <v>35</v>
      </c>
      <c r="N15" s="50">
        <v>0</v>
      </c>
      <c r="O15" s="15">
        <f t="shared" si="0"/>
        <v>95</v>
      </c>
      <c r="P15" s="15">
        <f t="shared" si="1"/>
        <v>130</v>
      </c>
      <c r="R15" s="1" t="s">
        <v>11</v>
      </c>
      <c r="S15" s="17">
        <f t="shared" ref="S15:AF15" si="7">SUM(C30:C33)</f>
        <v>94</v>
      </c>
      <c r="T15" s="17">
        <f t="shared" si="7"/>
        <v>48</v>
      </c>
      <c r="U15" s="17">
        <f t="shared" si="7"/>
        <v>18</v>
      </c>
      <c r="V15" s="17">
        <f t="shared" si="7"/>
        <v>65</v>
      </c>
      <c r="W15" s="17">
        <f t="shared" si="7"/>
        <v>1</v>
      </c>
      <c r="X15" s="17">
        <f t="shared" si="7"/>
        <v>0</v>
      </c>
      <c r="Y15" s="17">
        <f t="shared" si="7"/>
        <v>28</v>
      </c>
      <c r="Z15" s="17">
        <f t="shared" si="7"/>
        <v>14</v>
      </c>
      <c r="AA15" s="17">
        <f t="shared" si="7"/>
        <v>21</v>
      </c>
      <c r="AB15" s="17">
        <f t="shared" si="7"/>
        <v>32</v>
      </c>
      <c r="AC15" s="17">
        <f t="shared" si="7"/>
        <v>146</v>
      </c>
      <c r="AD15" s="17">
        <f t="shared" si="7"/>
        <v>0</v>
      </c>
      <c r="AE15" s="31">
        <f t="shared" si="7"/>
        <v>321</v>
      </c>
      <c r="AF15" s="31">
        <f t="shared" si="7"/>
        <v>467</v>
      </c>
    </row>
    <row r="16" spans="2:32" ht="23.1" customHeight="1" x14ac:dyDescent="0.25">
      <c r="B16" s="45" t="s">
        <v>43</v>
      </c>
      <c r="C16" s="50">
        <v>17</v>
      </c>
      <c r="D16" s="50">
        <v>8</v>
      </c>
      <c r="E16" s="50">
        <v>7</v>
      </c>
      <c r="F16" s="50">
        <v>23</v>
      </c>
      <c r="G16" s="50">
        <v>0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29</v>
      </c>
      <c r="N16" s="50">
        <v>0</v>
      </c>
      <c r="O16" s="15">
        <f t="shared" si="0"/>
        <v>62</v>
      </c>
      <c r="P16" s="15">
        <f t="shared" si="1"/>
        <v>91</v>
      </c>
      <c r="R16" s="1" t="s">
        <v>12</v>
      </c>
      <c r="S16" s="17">
        <f t="shared" ref="S16:AF16" si="8">SUM(C34:C37)</f>
        <v>123</v>
      </c>
      <c r="T16" s="17">
        <f t="shared" si="8"/>
        <v>73</v>
      </c>
      <c r="U16" s="17">
        <f t="shared" si="8"/>
        <v>21</v>
      </c>
      <c r="V16" s="17">
        <f t="shared" si="8"/>
        <v>112</v>
      </c>
      <c r="W16" s="17">
        <f t="shared" si="8"/>
        <v>3</v>
      </c>
      <c r="X16" s="17">
        <f t="shared" si="8"/>
        <v>1</v>
      </c>
      <c r="Y16" s="17">
        <f t="shared" si="8"/>
        <v>25</v>
      </c>
      <c r="Z16" s="17">
        <f t="shared" si="8"/>
        <v>21</v>
      </c>
      <c r="AA16" s="17">
        <f t="shared" si="8"/>
        <v>15</v>
      </c>
      <c r="AB16" s="17">
        <f t="shared" si="8"/>
        <v>25</v>
      </c>
      <c r="AC16" s="17">
        <f t="shared" si="8"/>
        <v>164</v>
      </c>
      <c r="AD16" s="17">
        <f t="shared" si="8"/>
        <v>0</v>
      </c>
      <c r="AE16" s="31">
        <f t="shared" si="8"/>
        <v>419</v>
      </c>
      <c r="AF16" s="31">
        <f t="shared" si="8"/>
        <v>583</v>
      </c>
    </row>
    <row r="17" spans="2:32" ht="23.1" customHeight="1" x14ac:dyDescent="0.25">
      <c r="B17" s="45" t="s">
        <v>44</v>
      </c>
      <c r="C17" s="50">
        <v>24</v>
      </c>
      <c r="D17" s="50">
        <v>8</v>
      </c>
      <c r="E17" s="50">
        <v>3</v>
      </c>
      <c r="F17" s="50">
        <v>31</v>
      </c>
      <c r="G17" s="50">
        <v>0</v>
      </c>
      <c r="H17" s="50">
        <v>0</v>
      </c>
      <c r="I17" s="50">
        <v>2</v>
      </c>
      <c r="J17" s="50">
        <v>3</v>
      </c>
      <c r="K17" s="50">
        <v>1</v>
      </c>
      <c r="L17" s="50">
        <v>1</v>
      </c>
      <c r="M17" s="50">
        <v>34</v>
      </c>
      <c r="N17" s="50">
        <v>0</v>
      </c>
      <c r="O17" s="15">
        <f t="shared" si="0"/>
        <v>73</v>
      </c>
      <c r="P17" s="15">
        <f t="shared" si="1"/>
        <v>107</v>
      </c>
      <c r="R17" s="1" t="s">
        <v>13</v>
      </c>
      <c r="S17" s="17">
        <f t="shared" ref="S17:AF17" si="9">SUM(C38:C41)</f>
        <v>82</v>
      </c>
      <c r="T17" s="17">
        <f t="shared" si="9"/>
        <v>67</v>
      </c>
      <c r="U17" s="17">
        <f t="shared" si="9"/>
        <v>26</v>
      </c>
      <c r="V17" s="17">
        <f t="shared" si="9"/>
        <v>85</v>
      </c>
      <c r="W17" s="17">
        <f t="shared" si="9"/>
        <v>1</v>
      </c>
      <c r="X17" s="17">
        <f t="shared" si="9"/>
        <v>0</v>
      </c>
      <c r="Y17" s="17">
        <f t="shared" si="9"/>
        <v>17</v>
      </c>
      <c r="Z17" s="17">
        <f t="shared" si="9"/>
        <v>18</v>
      </c>
      <c r="AA17" s="17">
        <f t="shared" si="9"/>
        <v>22</v>
      </c>
      <c r="AB17" s="17">
        <f t="shared" si="9"/>
        <v>26</v>
      </c>
      <c r="AC17" s="17">
        <f t="shared" si="9"/>
        <v>175</v>
      </c>
      <c r="AD17" s="17">
        <f t="shared" si="9"/>
        <v>0</v>
      </c>
      <c r="AE17" s="31">
        <f t="shared" si="9"/>
        <v>344</v>
      </c>
      <c r="AF17" s="31">
        <f t="shared" si="9"/>
        <v>519</v>
      </c>
    </row>
    <row r="18" spans="2:32" ht="23.1" customHeight="1" x14ac:dyDescent="0.25">
      <c r="B18" s="45" t="s">
        <v>45</v>
      </c>
      <c r="C18" s="50">
        <v>27</v>
      </c>
      <c r="D18" s="50">
        <v>13</v>
      </c>
      <c r="E18" s="50">
        <v>5</v>
      </c>
      <c r="F18" s="50">
        <v>35</v>
      </c>
      <c r="G18" s="50">
        <v>0</v>
      </c>
      <c r="H18" s="50">
        <v>0</v>
      </c>
      <c r="I18" s="50">
        <v>5</v>
      </c>
      <c r="J18" s="50">
        <v>5</v>
      </c>
      <c r="K18" s="50">
        <v>4</v>
      </c>
      <c r="L18" s="50">
        <v>1</v>
      </c>
      <c r="M18" s="50">
        <v>38</v>
      </c>
      <c r="N18" s="50">
        <v>1</v>
      </c>
      <c r="O18" s="15">
        <f t="shared" si="0"/>
        <v>96</v>
      </c>
      <c r="P18" s="15">
        <f t="shared" si="1"/>
        <v>134</v>
      </c>
      <c r="R18" s="1" t="s">
        <v>14</v>
      </c>
      <c r="S18" s="17">
        <f t="shared" ref="S18:AF18" si="10">SUM(C42:C45)</f>
        <v>97</v>
      </c>
      <c r="T18" s="17">
        <f t="shared" si="10"/>
        <v>56</v>
      </c>
      <c r="U18" s="17">
        <f t="shared" si="10"/>
        <v>26</v>
      </c>
      <c r="V18" s="17">
        <f t="shared" si="10"/>
        <v>87</v>
      </c>
      <c r="W18" s="17">
        <f t="shared" si="10"/>
        <v>1</v>
      </c>
      <c r="X18" s="17">
        <f t="shared" si="10"/>
        <v>1</v>
      </c>
      <c r="Y18" s="17">
        <f t="shared" si="10"/>
        <v>20</v>
      </c>
      <c r="Z18" s="17">
        <f t="shared" si="10"/>
        <v>13</v>
      </c>
      <c r="AA18" s="17">
        <f t="shared" si="10"/>
        <v>15</v>
      </c>
      <c r="AB18" s="17">
        <f t="shared" si="10"/>
        <v>23</v>
      </c>
      <c r="AC18" s="17">
        <f t="shared" si="10"/>
        <v>145</v>
      </c>
      <c r="AD18" s="17">
        <f t="shared" si="10"/>
        <v>0</v>
      </c>
      <c r="AE18" s="31">
        <f t="shared" si="10"/>
        <v>339</v>
      </c>
      <c r="AF18" s="31">
        <f t="shared" si="10"/>
        <v>484</v>
      </c>
    </row>
    <row r="19" spans="2:32" ht="23.1" customHeight="1" x14ac:dyDescent="0.25">
      <c r="B19" s="45" t="s">
        <v>46</v>
      </c>
      <c r="C19" s="50">
        <v>21</v>
      </c>
      <c r="D19" s="50">
        <v>13</v>
      </c>
      <c r="E19" s="50">
        <v>3</v>
      </c>
      <c r="F19" s="50">
        <v>14</v>
      </c>
      <c r="G19" s="50">
        <v>0</v>
      </c>
      <c r="H19" s="50">
        <v>0</v>
      </c>
      <c r="I19" s="50">
        <v>6</v>
      </c>
      <c r="J19" s="50">
        <v>2</v>
      </c>
      <c r="K19" s="50">
        <v>5</v>
      </c>
      <c r="L19" s="50">
        <v>1</v>
      </c>
      <c r="M19" s="50">
        <v>40</v>
      </c>
      <c r="N19" s="50">
        <v>0</v>
      </c>
      <c r="O19" s="15">
        <f t="shared" si="0"/>
        <v>65</v>
      </c>
      <c r="P19" s="15">
        <f t="shared" si="1"/>
        <v>105</v>
      </c>
      <c r="R19" s="1" t="s">
        <v>15</v>
      </c>
      <c r="S19" s="17">
        <f t="shared" ref="S19:AF19" si="11">SUM(C46:C49)</f>
        <v>122</v>
      </c>
      <c r="T19" s="17">
        <f t="shared" si="11"/>
        <v>23</v>
      </c>
      <c r="U19" s="17">
        <f t="shared" si="11"/>
        <v>16</v>
      </c>
      <c r="V19" s="17">
        <f t="shared" si="11"/>
        <v>93</v>
      </c>
      <c r="W19" s="17">
        <f t="shared" si="11"/>
        <v>0</v>
      </c>
      <c r="X19" s="17">
        <f t="shared" si="11"/>
        <v>1</v>
      </c>
      <c r="Y19" s="17">
        <f t="shared" si="11"/>
        <v>19</v>
      </c>
      <c r="Z19" s="17">
        <f t="shared" si="11"/>
        <v>19</v>
      </c>
      <c r="AA19" s="17">
        <f t="shared" si="11"/>
        <v>20</v>
      </c>
      <c r="AB19" s="17">
        <f t="shared" si="11"/>
        <v>20</v>
      </c>
      <c r="AC19" s="17">
        <f t="shared" si="11"/>
        <v>154</v>
      </c>
      <c r="AD19" s="17">
        <f t="shared" si="11"/>
        <v>0</v>
      </c>
      <c r="AE19" s="31">
        <f t="shared" si="11"/>
        <v>333</v>
      </c>
      <c r="AF19" s="31">
        <f t="shared" si="11"/>
        <v>487</v>
      </c>
    </row>
    <row r="20" spans="2:32" ht="23.1" customHeight="1" x14ac:dyDescent="0.25">
      <c r="B20" s="45" t="s">
        <v>47</v>
      </c>
      <c r="C20" s="50">
        <v>27</v>
      </c>
      <c r="D20" s="50">
        <v>15</v>
      </c>
      <c r="E20" s="50">
        <v>3</v>
      </c>
      <c r="F20" s="50">
        <v>30</v>
      </c>
      <c r="G20" s="50">
        <v>0</v>
      </c>
      <c r="H20" s="50">
        <v>0</v>
      </c>
      <c r="I20" s="50">
        <v>6</v>
      </c>
      <c r="J20" s="50">
        <v>3</v>
      </c>
      <c r="K20" s="50">
        <v>3</v>
      </c>
      <c r="L20" s="50">
        <v>2</v>
      </c>
      <c r="M20" s="50">
        <v>34</v>
      </c>
      <c r="N20" s="50">
        <v>0</v>
      </c>
      <c r="O20" s="15">
        <f t="shared" si="0"/>
        <v>89</v>
      </c>
      <c r="P20" s="15">
        <f t="shared" si="1"/>
        <v>123</v>
      </c>
      <c r="R20" s="1" t="s">
        <v>16</v>
      </c>
      <c r="S20" s="17">
        <f t="shared" ref="S20:AF20" si="12">SUM(C50:C53)</f>
        <v>117</v>
      </c>
      <c r="T20" s="17">
        <f t="shared" si="12"/>
        <v>65</v>
      </c>
      <c r="U20" s="17">
        <f t="shared" si="12"/>
        <v>16</v>
      </c>
      <c r="V20" s="17">
        <f t="shared" si="12"/>
        <v>133</v>
      </c>
      <c r="W20" s="17">
        <f t="shared" si="12"/>
        <v>1</v>
      </c>
      <c r="X20" s="17">
        <f t="shared" si="12"/>
        <v>0</v>
      </c>
      <c r="Y20" s="17">
        <f t="shared" si="12"/>
        <v>21</v>
      </c>
      <c r="Z20" s="17">
        <f t="shared" si="12"/>
        <v>27</v>
      </c>
      <c r="AA20" s="17">
        <f t="shared" si="12"/>
        <v>17</v>
      </c>
      <c r="AB20" s="17">
        <f t="shared" si="12"/>
        <v>16</v>
      </c>
      <c r="AC20" s="17">
        <f t="shared" si="12"/>
        <v>137</v>
      </c>
      <c r="AD20" s="17">
        <f t="shared" si="12"/>
        <v>0</v>
      </c>
      <c r="AE20" s="31">
        <f t="shared" si="12"/>
        <v>413</v>
      </c>
      <c r="AF20" s="31">
        <f t="shared" si="12"/>
        <v>550</v>
      </c>
    </row>
    <row r="21" spans="2:32" ht="23.1" customHeight="1" x14ac:dyDescent="0.25">
      <c r="B21" s="45" t="s">
        <v>48</v>
      </c>
      <c r="C21" s="50">
        <v>11</v>
      </c>
      <c r="D21" s="50">
        <v>12</v>
      </c>
      <c r="E21" s="50">
        <v>5</v>
      </c>
      <c r="F21" s="50">
        <v>28</v>
      </c>
      <c r="G21" s="50">
        <v>0</v>
      </c>
      <c r="H21" s="50">
        <v>0</v>
      </c>
      <c r="I21" s="50">
        <v>4</v>
      </c>
      <c r="J21" s="50">
        <v>2</v>
      </c>
      <c r="K21" s="50">
        <v>3</v>
      </c>
      <c r="L21" s="50">
        <v>2</v>
      </c>
      <c r="M21" s="50">
        <v>45</v>
      </c>
      <c r="N21" s="50">
        <v>0</v>
      </c>
      <c r="O21" s="15">
        <f t="shared" si="0"/>
        <v>67</v>
      </c>
      <c r="P21" s="15">
        <f t="shared" si="1"/>
        <v>112</v>
      </c>
      <c r="R21" s="36" t="s">
        <v>20</v>
      </c>
      <c r="S21" s="34">
        <f t="shared" ref="S21:AF21" si="13">SUM(C54:C57)</f>
        <v>143</v>
      </c>
      <c r="T21" s="17">
        <f t="shared" si="13"/>
        <v>64</v>
      </c>
      <c r="U21" s="17">
        <f t="shared" si="13"/>
        <v>20</v>
      </c>
      <c r="V21" s="17">
        <f t="shared" si="13"/>
        <v>126</v>
      </c>
      <c r="W21" s="17">
        <f t="shared" si="13"/>
        <v>2</v>
      </c>
      <c r="X21" s="17">
        <f t="shared" si="13"/>
        <v>0</v>
      </c>
      <c r="Y21" s="17">
        <f t="shared" si="13"/>
        <v>59</v>
      </c>
      <c r="Z21" s="17">
        <f t="shared" si="13"/>
        <v>34</v>
      </c>
      <c r="AA21" s="17">
        <f t="shared" si="13"/>
        <v>26</v>
      </c>
      <c r="AB21" s="17">
        <f t="shared" si="13"/>
        <v>26</v>
      </c>
      <c r="AC21" s="17">
        <f t="shared" si="13"/>
        <v>142</v>
      </c>
      <c r="AD21" s="17">
        <f t="shared" si="13"/>
        <v>0</v>
      </c>
      <c r="AE21" s="31">
        <f t="shared" si="13"/>
        <v>500</v>
      </c>
      <c r="AF21" s="31">
        <f t="shared" si="13"/>
        <v>642</v>
      </c>
    </row>
    <row r="22" spans="2:32" ht="23.1" customHeight="1" x14ac:dyDescent="0.25">
      <c r="B22" s="45" t="s">
        <v>49</v>
      </c>
      <c r="C22" s="50">
        <v>32</v>
      </c>
      <c r="D22" s="50">
        <v>16</v>
      </c>
      <c r="E22" s="50">
        <v>3</v>
      </c>
      <c r="F22" s="50">
        <v>2</v>
      </c>
      <c r="G22" s="50">
        <v>0</v>
      </c>
      <c r="H22" s="50">
        <v>0</v>
      </c>
      <c r="I22" s="50">
        <v>7</v>
      </c>
      <c r="J22" s="50">
        <v>5</v>
      </c>
      <c r="K22" s="50">
        <v>1</v>
      </c>
      <c r="L22" s="50">
        <v>1</v>
      </c>
      <c r="M22" s="50">
        <v>33</v>
      </c>
      <c r="N22" s="50">
        <v>0</v>
      </c>
      <c r="O22" s="15">
        <f t="shared" si="0"/>
        <v>67</v>
      </c>
      <c r="P22" s="15">
        <f t="shared" si="1"/>
        <v>100</v>
      </c>
      <c r="R22" s="36" t="s">
        <v>146</v>
      </c>
      <c r="S22" s="34">
        <f>SUM(C58:C61)</f>
        <v>112</v>
      </c>
      <c r="T22" s="34">
        <f t="shared" ref="T22:AF22" si="14">SUM(D58:D61)</f>
        <v>31</v>
      </c>
      <c r="U22" s="34">
        <f t="shared" si="14"/>
        <v>14</v>
      </c>
      <c r="V22" s="34">
        <f t="shared" si="14"/>
        <v>81</v>
      </c>
      <c r="W22" s="34">
        <f t="shared" si="14"/>
        <v>2</v>
      </c>
      <c r="X22" s="34">
        <f t="shared" si="14"/>
        <v>0</v>
      </c>
      <c r="Y22" s="34">
        <f t="shared" si="14"/>
        <v>7</v>
      </c>
      <c r="Z22" s="34">
        <f t="shared" si="14"/>
        <v>27</v>
      </c>
      <c r="AA22" s="34">
        <f t="shared" si="14"/>
        <v>11</v>
      </c>
      <c r="AB22" s="34">
        <f t="shared" si="14"/>
        <v>12</v>
      </c>
      <c r="AC22" s="34">
        <f t="shared" si="14"/>
        <v>147</v>
      </c>
      <c r="AD22" s="34">
        <f t="shared" si="14"/>
        <v>0</v>
      </c>
      <c r="AE22" s="31">
        <f t="shared" si="14"/>
        <v>297</v>
      </c>
      <c r="AF22" s="31">
        <f t="shared" si="14"/>
        <v>444</v>
      </c>
    </row>
    <row r="23" spans="2:32" ht="23.1" customHeight="1" x14ac:dyDescent="0.25">
      <c r="B23" s="45" t="s">
        <v>50</v>
      </c>
      <c r="C23" s="50">
        <v>17</v>
      </c>
      <c r="D23" s="50">
        <v>16</v>
      </c>
      <c r="E23" s="50">
        <v>5</v>
      </c>
      <c r="F23" s="50">
        <v>20</v>
      </c>
      <c r="G23" s="50">
        <v>0</v>
      </c>
      <c r="H23" s="50">
        <v>0</v>
      </c>
      <c r="I23" s="50">
        <v>5</v>
      </c>
      <c r="J23" s="50">
        <v>5</v>
      </c>
      <c r="K23" s="50">
        <v>3</v>
      </c>
      <c r="L23" s="50">
        <v>1</v>
      </c>
      <c r="M23" s="50">
        <v>41</v>
      </c>
      <c r="N23" s="50">
        <v>0</v>
      </c>
      <c r="O23" s="15">
        <f t="shared" si="0"/>
        <v>72</v>
      </c>
      <c r="P23" s="15">
        <f t="shared" si="1"/>
        <v>113</v>
      </c>
      <c r="R23" s="36" t="s">
        <v>147</v>
      </c>
      <c r="S23" s="34">
        <f>SUM(C62:C65)</f>
        <v>160</v>
      </c>
      <c r="T23" s="34">
        <f t="shared" ref="T23:AF23" si="15">SUM(D62:D65)</f>
        <v>25</v>
      </c>
      <c r="U23" s="34">
        <f t="shared" si="15"/>
        <v>21</v>
      </c>
      <c r="V23" s="34">
        <f t="shared" si="15"/>
        <v>83</v>
      </c>
      <c r="W23" s="34">
        <f t="shared" si="15"/>
        <v>2</v>
      </c>
      <c r="X23" s="34">
        <f t="shared" si="15"/>
        <v>0</v>
      </c>
      <c r="Y23" s="34">
        <f t="shared" si="15"/>
        <v>11</v>
      </c>
      <c r="Z23" s="34">
        <f t="shared" si="15"/>
        <v>9</v>
      </c>
      <c r="AA23" s="34">
        <f t="shared" si="15"/>
        <v>1</v>
      </c>
      <c r="AB23" s="34">
        <f t="shared" si="15"/>
        <v>13</v>
      </c>
      <c r="AC23" s="34">
        <f t="shared" si="15"/>
        <v>165</v>
      </c>
      <c r="AD23" s="34">
        <f t="shared" si="15"/>
        <v>0</v>
      </c>
      <c r="AE23" s="31">
        <f t="shared" si="15"/>
        <v>325</v>
      </c>
      <c r="AF23" s="31">
        <f t="shared" si="15"/>
        <v>490</v>
      </c>
    </row>
    <row r="24" spans="2:32" ht="23.1" customHeight="1" x14ac:dyDescent="0.25">
      <c r="B24" s="45" t="s">
        <v>51</v>
      </c>
      <c r="C24" s="50">
        <v>32</v>
      </c>
      <c r="D24" s="50">
        <v>11</v>
      </c>
      <c r="E24" s="50">
        <v>4</v>
      </c>
      <c r="F24" s="50">
        <v>26</v>
      </c>
      <c r="G24" s="50">
        <v>0</v>
      </c>
      <c r="H24" s="50">
        <v>0</v>
      </c>
      <c r="I24" s="50">
        <v>5</v>
      </c>
      <c r="J24" s="50">
        <v>8</v>
      </c>
      <c r="K24" s="50">
        <v>2</v>
      </c>
      <c r="L24" s="50">
        <v>2</v>
      </c>
      <c r="M24" s="50">
        <v>39</v>
      </c>
      <c r="N24" s="50">
        <v>0</v>
      </c>
      <c r="O24" s="15">
        <f t="shared" si="0"/>
        <v>90</v>
      </c>
      <c r="P24" s="15">
        <f t="shared" si="1"/>
        <v>129</v>
      </c>
      <c r="R24" s="36" t="s">
        <v>148</v>
      </c>
      <c r="S24" s="34">
        <f>SUM(C66:C69)</f>
        <v>167</v>
      </c>
      <c r="T24" s="34">
        <f t="shared" ref="T24:AF24" si="16">SUM(D66:D69)</f>
        <v>20</v>
      </c>
      <c r="U24" s="34">
        <f t="shared" si="16"/>
        <v>25</v>
      </c>
      <c r="V24" s="34">
        <f t="shared" si="16"/>
        <v>101</v>
      </c>
      <c r="W24" s="34">
        <f t="shared" si="16"/>
        <v>3</v>
      </c>
      <c r="X24" s="34">
        <f t="shared" si="16"/>
        <v>0</v>
      </c>
      <c r="Y24" s="34">
        <f t="shared" si="16"/>
        <v>13</v>
      </c>
      <c r="Z24" s="34">
        <f t="shared" si="16"/>
        <v>16</v>
      </c>
      <c r="AA24" s="34">
        <f t="shared" si="16"/>
        <v>18</v>
      </c>
      <c r="AB24" s="34">
        <f t="shared" si="16"/>
        <v>13</v>
      </c>
      <c r="AC24" s="34">
        <f t="shared" si="16"/>
        <v>95</v>
      </c>
      <c r="AD24" s="34">
        <f t="shared" si="16"/>
        <v>0</v>
      </c>
      <c r="AE24" s="31">
        <f t="shared" si="16"/>
        <v>376</v>
      </c>
      <c r="AF24" s="31">
        <f t="shared" si="16"/>
        <v>471</v>
      </c>
    </row>
    <row r="25" spans="2:32" ht="23.1" customHeight="1" x14ac:dyDescent="0.25">
      <c r="B25" s="45" t="s">
        <v>52</v>
      </c>
      <c r="C25" s="50">
        <v>18</v>
      </c>
      <c r="D25" s="50">
        <v>15</v>
      </c>
      <c r="E25" s="50">
        <v>4</v>
      </c>
      <c r="F25" s="50">
        <v>31</v>
      </c>
      <c r="G25" s="50">
        <v>0</v>
      </c>
      <c r="H25" s="50">
        <v>0</v>
      </c>
      <c r="I25" s="50">
        <v>6</v>
      </c>
      <c r="J25" s="50">
        <v>1</v>
      </c>
      <c r="K25" s="50">
        <v>3</v>
      </c>
      <c r="L25" s="50">
        <v>2</v>
      </c>
      <c r="M25" s="50">
        <v>28</v>
      </c>
      <c r="N25" s="50">
        <v>0</v>
      </c>
      <c r="O25" s="15">
        <f t="shared" si="0"/>
        <v>80</v>
      </c>
      <c r="P25" s="15">
        <f t="shared" si="1"/>
        <v>108</v>
      </c>
      <c r="R25" s="36" t="s">
        <v>149</v>
      </c>
      <c r="S25" s="34">
        <f>SUM(C70:C73)</f>
        <v>131</v>
      </c>
      <c r="T25" s="34">
        <f t="shared" ref="T25:AF25" si="17">SUM(D70:D73)</f>
        <v>23</v>
      </c>
      <c r="U25" s="34">
        <f t="shared" si="17"/>
        <v>16</v>
      </c>
      <c r="V25" s="34">
        <f t="shared" si="17"/>
        <v>75</v>
      </c>
      <c r="W25" s="34">
        <f t="shared" si="17"/>
        <v>7</v>
      </c>
      <c r="X25" s="34">
        <f t="shared" si="17"/>
        <v>0</v>
      </c>
      <c r="Y25" s="34">
        <f t="shared" si="17"/>
        <v>6</v>
      </c>
      <c r="Z25" s="34">
        <f t="shared" si="17"/>
        <v>19</v>
      </c>
      <c r="AA25" s="34">
        <f t="shared" si="17"/>
        <v>7</v>
      </c>
      <c r="AB25" s="34">
        <f t="shared" si="17"/>
        <v>21</v>
      </c>
      <c r="AC25" s="34">
        <f t="shared" si="17"/>
        <v>63</v>
      </c>
      <c r="AD25" s="34">
        <f t="shared" si="17"/>
        <v>0</v>
      </c>
      <c r="AE25" s="31">
        <f t="shared" si="17"/>
        <v>305</v>
      </c>
      <c r="AF25" s="31">
        <f t="shared" si="17"/>
        <v>368</v>
      </c>
    </row>
    <row r="26" spans="2:32" ht="23.1" customHeight="1" x14ac:dyDescent="0.25">
      <c r="B26" s="45" t="s">
        <v>53</v>
      </c>
      <c r="C26" s="50">
        <v>58</v>
      </c>
      <c r="D26" s="50">
        <v>17</v>
      </c>
      <c r="E26" s="50">
        <v>13</v>
      </c>
      <c r="F26" s="50">
        <v>43</v>
      </c>
      <c r="G26" s="50">
        <v>1</v>
      </c>
      <c r="H26" s="50">
        <v>0</v>
      </c>
      <c r="I26" s="50">
        <v>8</v>
      </c>
      <c r="J26" s="50">
        <v>7</v>
      </c>
      <c r="K26" s="50">
        <v>6</v>
      </c>
      <c r="L26" s="50">
        <v>6</v>
      </c>
      <c r="M26" s="50">
        <v>52</v>
      </c>
      <c r="N26" s="50">
        <v>0</v>
      </c>
      <c r="O26" s="15">
        <f t="shared" si="0"/>
        <v>159</v>
      </c>
      <c r="P26" s="15">
        <f t="shared" si="1"/>
        <v>211</v>
      </c>
      <c r="R26" s="36" t="s">
        <v>150</v>
      </c>
      <c r="S26" s="34">
        <f>SUM(C74:C77)</f>
        <v>91</v>
      </c>
      <c r="T26" s="34">
        <f t="shared" ref="T26:AF26" si="18">SUM(D74:D77)</f>
        <v>15</v>
      </c>
      <c r="U26" s="34">
        <f t="shared" si="18"/>
        <v>12</v>
      </c>
      <c r="V26" s="34">
        <f t="shared" si="18"/>
        <v>53</v>
      </c>
      <c r="W26" s="34">
        <f t="shared" si="18"/>
        <v>2</v>
      </c>
      <c r="X26" s="34">
        <f t="shared" si="18"/>
        <v>0</v>
      </c>
      <c r="Y26" s="34">
        <f t="shared" si="18"/>
        <v>6</v>
      </c>
      <c r="Z26" s="34">
        <f t="shared" si="18"/>
        <v>16</v>
      </c>
      <c r="AA26" s="34">
        <f t="shared" si="18"/>
        <v>1</v>
      </c>
      <c r="AB26" s="34">
        <f t="shared" si="18"/>
        <v>6</v>
      </c>
      <c r="AC26" s="34">
        <f t="shared" si="18"/>
        <v>35</v>
      </c>
      <c r="AD26" s="34">
        <f t="shared" si="18"/>
        <v>0</v>
      </c>
      <c r="AE26" s="31">
        <f t="shared" si="18"/>
        <v>202</v>
      </c>
      <c r="AF26" s="31">
        <f t="shared" si="18"/>
        <v>237</v>
      </c>
    </row>
    <row r="27" spans="2:32" ht="23.1" customHeight="1" x14ac:dyDescent="0.25">
      <c r="B27" s="45" t="s">
        <v>54</v>
      </c>
      <c r="C27" s="50">
        <v>25</v>
      </c>
      <c r="D27" s="50">
        <v>14</v>
      </c>
      <c r="E27" s="50">
        <v>8</v>
      </c>
      <c r="F27" s="50">
        <v>28</v>
      </c>
      <c r="G27" s="50">
        <v>0</v>
      </c>
      <c r="H27" s="50">
        <v>0</v>
      </c>
      <c r="I27" s="50">
        <v>4</v>
      </c>
      <c r="J27" s="50">
        <v>5</v>
      </c>
      <c r="K27" s="50">
        <v>4</v>
      </c>
      <c r="L27" s="50">
        <v>2</v>
      </c>
      <c r="M27" s="50">
        <v>32</v>
      </c>
      <c r="N27" s="50">
        <v>0</v>
      </c>
      <c r="O27" s="15">
        <f t="shared" si="0"/>
        <v>90</v>
      </c>
      <c r="P27" s="15">
        <f t="shared" si="1"/>
        <v>122</v>
      </c>
      <c r="R27" s="36" t="s">
        <v>151</v>
      </c>
      <c r="S27" s="34">
        <f>SUM(C78:C81)</f>
        <v>50</v>
      </c>
      <c r="T27" s="34">
        <f t="shared" ref="T27:AF27" si="19">SUM(D78:D81)</f>
        <v>7</v>
      </c>
      <c r="U27" s="34">
        <f t="shared" si="19"/>
        <v>6</v>
      </c>
      <c r="V27" s="34">
        <f t="shared" si="19"/>
        <v>21</v>
      </c>
      <c r="W27" s="34">
        <f t="shared" si="19"/>
        <v>0</v>
      </c>
      <c r="X27" s="34">
        <f t="shared" si="19"/>
        <v>0</v>
      </c>
      <c r="Y27" s="34">
        <f t="shared" si="19"/>
        <v>8</v>
      </c>
      <c r="Z27" s="34">
        <f t="shared" si="19"/>
        <v>13</v>
      </c>
      <c r="AA27" s="34">
        <f t="shared" si="19"/>
        <v>2</v>
      </c>
      <c r="AB27" s="34">
        <f t="shared" si="19"/>
        <v>11</v>
      </c>
      <c r="AC27" s="34">
        <f t="shared" si="19"/>
        <v>23</v>
      </c>
      <c r="AD27" s="34">
        <f t="shared" si="19"/>
        <v>0</v>
      </c>
      <c r="AE27" s="31">
        <f t="shared" si="19"/>
        <v>118</v>
      </c>
      <c r="AF27" s="31">
        <f t="shared" si="19"/>
        <v>141</v>
      </c>
    </row>
    <row r="28" spans="2:32" ht="23.1" customHeight="1" x14ac:dyDescent="0.25">
      <c r="B28" s="45" t="s">
        <v>55</v>
      </c>
      <c r="C28" s="50">
        <v>23</v>
      </c>
      <c r="D28" s="50">
        <v>13</v>
      </c>
      <c r="E28" s="50">
        <v>5</v>
      </c>
      <c r="F28" s="50">
        <v>26</v>
      </c>
      <c r="G28" s="50">
        <v>1</v>
      </c>
      <c r="H28" s="50">
        <v>0</v>
      </c>
      <c r="I28" s="50">
        <v>7</v>
      </c>
      <c r="J28" s="50">
        <v>3</v>
      </c>
      <c r="K28" s="50">
        <v>1</v>
      </c>
      <c r="L28" s="50">
        <v>3</v>
      </c>
      <c r="M28" s="50">
        <v>47</v>
      </c>
      <c r="N28" s="50">
        <v>0</v>
      </c>
      <c r="O28" s="15">
        <f t="shared" si="0"/>
        <v>82</v>
      </c>
      <c r="P28" s="15">
        <f t="shared" si="1"/>
        <v>129</v>
      </c>
      <c r="R28" s="36" t="s">
        <v>152</v>
      </c>
      <c r="S28" s="34">
        <f>SUM(C82:C85)</f>
        <v>34</v>
      </c>
      <c r="T28" s="34">
        <f t="shared" ref="T28:AF28" si="20">SUM(D82:D85)</f>
        <v>3</v>
      </c>
      <c r="U28" s="34">
        <f t="shared" si="20"/>
        <v>3</v>
      </c>
      <c r="V28" s="34">
        <f t="shared" si="20"/>
        <v>2</v>
      </c>
      <c r="W28" s="34">
        <f t="shared" si="20"/>
        <v>1</v>
      </c>
      <c r="X28" s="34">
        <f t="shared" si="20"/>
        <v>0</v>
      </c>
      <c r="Y28" s="34">
        <f t="shared" si="20"/>
        <v>5</v>
      </c>
      <c r="Z28" s="34">
        <f t="shared" si="20"/>
        <v>11</v>
      </c>
      <c r="AA28" s="34">
        <f t="shared" si="20"/>
        <v>5</v>
      </c>
      <c r="AB28" s="34">
        <f t="shared" si="20"/>
        <v>4</v>
      </c>
      <c r="AC28" s="34">
        <f t="shared" si="20"/>
        <v>14</v>
      </c>
      <c r="AD28" s="34">
        <f t="shared" si="20"/>
        <v>0</v>
      </c>
      <c r="AE28" s="31">
        <f t="shared" si="20"/>
        <v>68</v>
      </c>
      <c r="AF28" s="31">
        <f t="shared" si="20"/>
        <v>82</v>
      </c>
    </row>
    <row r="29" spans="2:32" ht="23.1" customHeight="1" x14ac:dyDescent="0.25">
      <c r="B29" s="45" t="s">
        <v>56</v>
      </c>
      <c r="C29" s="50">
        <v>17</v>
      </c>
      <c r="D29" s="50">
        <v>6</v>
      </c>
      <c r="E29" s="50">
        <v>7</v>
      </c>
      <c r="F29" s="50">
        <v>33</v>
      </c>
      <c r="G29" s="50">
        <v>0</v>
      </c>
      <c r="H29" s="50">
        <v>0</v>
      </c>
      <c r="I29" s="50">
        <v>5</v>
      </c>
      <c r="J29" s="50">
        <v>5</v>
      </c>
      <c r="K29" s="50">
        <v>3</v>
      </c>
      <c r="L29" s="50">
        <v>4</v>
      </c>
      <c r="M29" s="50">
        <v>55</v>
      </c>
      <c r="N29" s="50">
        <v>0</v>
      </c>
      <c r="O29" s="15">
        <f t="shared" si="0"/>
        <v>80</v>
      </c>
      <c r="P29" s="15">
        <f t="shared" si="1"/>
        <v>135</v>
      </c>
      <c r="R29" s="36" t="s">
        <v>153</v>
      </c>
      <c r="S29" s="34">
        <f>SUM(C86:C89)</f>
        <v>9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0</v>
      </c>
      <c r="W29" s="34">
        <f t="shared" si="21"/>
        <v>3</v>
      </c>
      <c r="X29" s="34">
        <f t="shared" si="21"/>
        <v>1</v>
      </c>
      <c r="Y29" s="34">
        <f t="shared" si="21"/>
        <v>0</v>
      </c>
      <c r="Z29" s="34">
        <f t="shared" si="21"/>
        <v>6</v>
      </c>
      <c r="AA29" s="34">
        <f t="shared" si="21"/>
        <v>6</v>
      </c>
      <c r="AB29" s="34">
        <f t="shared" si="21"/>
        <v>2</v>
      </c>
      <c r="AC29" s="34">
        <f t="shared" si="21"/>
        <v>1</v>
      </c>
      <c r="AD29" s="34">
        <f t="shared" si="21"/>
        <v>0</v>
      </c>
      <c r="AE29" s="31">
        <f t="shared" si="21"/>
        <v>30</v>
      </c>
      <c r="AF29" s="31">
        <f t="shared" si="21"/>
        <v>31</v>
      </c>
    </row>
    <row r="30" spans="2:32" ht="23.1" customHeight="1" x14ac:dyDescent="0.25">
      <c r="B30" s="45" t="s">
        <v>57</v>
      </c>
      <c r="C30" s="50">
        <v>25</v>
      </c>
      <c r="D30" s="50">
        <v>8</v>
      </c>
      <c r="E30" s="50">
        <v>6</v>
      </c>
      <c r="F30" s="50">
        <v>19</v>
      </c>
      <c r="G30" s="50">
        <v>0</v>
      </c>
      <c r="H30" s="50">
        <v>0</v>
      </c>
      <c r="I30" s="50">
        <v>9</v>
      </c>
      <c r="J30" s="50">
        <v>5</v>
      </c>
      <c r="K30" s="50">
        <v>6</v>
      </c>
      <c r="L30" s="50">
        <v>9</v>
      </c>
      <c r="M30" s="50">
        <v>41</v>
      </c>
      <c r="N30" s="50">
        <v>0</v>
      </c>
      <c r="O30" s="15">
        <f t="shared" si="0"/>
        <v>87</v>
      </c>
      <c r="P30" s="15">
        <f t="shared" si="1"/>
        <v>128</v>
      </c>
      <c r="R30" s="36" t="s">
        <v>154</v>
      </c>
      <c r="S30" s="34">
        <f>SUM(C90:C93)</f>
        <v>6</v>
      </c>
      <c r="T30" s="34">
        <f t="shared" ref="T30:AF30" si="22">SUM(D90:D93)</f>
        <v>6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7</v>
      </c>
      <c r="Z30" s="34">
        <f t="shared" si="22"/>
        <v>10</v>
      </c>
      <c r="AA30" s="34">
        <f t="shared" si="22"/>
        <v>5</v>
      </c>
      <c r="AB30" s="34">
        <f t="shared" si="22"/>
        <v>2</v>
      </c>
      <c r="AC30" s="34">
        <f t="shared" si="22"/>
        <v>5</v>
      </c>
      <c r="AD30" s="34">
        <f t="shared" si="22"/>
        <v>0</v>
      </c>
      <c r="AE30" s="31">
        <f t="shared" si="22"/>
        <v>38</v>
      </c>
      <c r="AF30" s="31">
        <f t="shared" si="22"/>
        <v>43</v>
      </c>
    </row>
    <row r="31" spans="2:32" ht="23.1" customHeight="1" x14ac:dyDescent="0.25">
      <c r="B31" s="46" t="s">
        <v>58</v>
      </c>
      <c r="C31" s="50">
        <v>14</v>
      </c>
      <c r="D31" s="50">
        <v>12</v>
      </c>
      <c r="E31" s="50">
        <v>2</v>
      </c>
      <c r="F31" s="50">
        <v>12</v>
      </c>
      <c r="G31" s="50">
        <v>0</v>
      </c>
      <c r="H31" s="50">
        <v>0</v>
      </c>
      <c r="I31" s="50">
        <v>5</v>
      </c>
      <c r="J31" s="50">
        <v>0</v>
      </c>
      <c r="K31" s="50">
        <v>3</v>
      </c>
      <c r="L31" s="50">
        <v>2</v>
      </c>
      <c r="M31" s="50">
        <v>23</v>
      </c>
      <c r="N31" s="50">
        <v>0</v>
      </c>
      <c r="O31" s="15">
        <f t="shared" si="0"/>
        <v>50</v>
      </c>
      <c r="P31" s="15">
        <f t="shared" si="1"/>
        <v>73</v>
      </c>
      <c r="R31" s="36" t="s">
        <v>155</v>
      </c>
      <c r="S31" s="34">
        <f>SUM(C94:C97)</f>
        <v>12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15</v>
      </c>
      <c r="AA31" s="34">
        <f t="shared" si="23"/>
        <v>11</v>
      </c>
      <c r="AB31" s="34">
        <f t="shared" si="23"/>
        <v>6</v>
      </c>
      <c r="AC31" s="34">
        <f t="shared" si="23"/>
        <v>9</v>
      </c>
      <c r="AD31" s="34">
        <f t="shared" si="23"/>
        <v>0</v>
      </c>
      <c r="AE31" s="31">
        <f t="shared" si="23"/>
        <v>53</v>
      </c>
      <c r="AF31" s="31">
        <f t="shared" si="23"/>
        <v>62</v>
      </c>
    </row>
    <row r="32" spans="2:32" ht="23.1" customHeight="1" x14ac:dyDescent="0.25">
      <c r="B32" s="46" t="s">
        <v>59</v>
      </c>
      <c r="C32" s="50">
        <v>26</v>
      </c>
      <c r="D32" s="50">
        <v>14</v>
      </c>
      <c r="E32" s="50">
        <v>5</v>
      </c>
      <c r="F32" s="50">
        <v>20</v>
      </c>
      <c r="G32" s="50">
        <v>0</v>
      </c>
      <c r="H32" s="50">
        <v>0</v>
      </c>
      <c r="I32" s="50">
        <v>6</v>
      </c>
      <c r="J32" s="50">
        <v>2</v>
      </c>
      <c r="K32" s="50">
        <v>6</v>
      </c>
      <c r="L32" s="50">
        <v>7</v>
      </c>
      <c r="M32" s="50">
        <v>45</v>
      </c>
      <c r="N32" s="50">
        <v>0</v>
      </c>
      <c r="O32" s="15">
        <f t="shared" si="0"/>
        <v>86</v>
      </c>
      <c r="P32" s="15">
        <f t="shared" si="1"/>
        <v>131</v>
      </c>
      <c r="R32" s="33" t="s">
        <v>156</v>
      </c>
      <c r="S32" s="34">
        <f>SUM(C98:C101)</f>
        <v>19</v>
      </c>
      <c r="T32" s="34">
        <f t="shared" ref="T32:AF32" si="24">SUM(D98:D101)</f>
        <v>1</v>
      </c>
      <c r="U32" s="34">
        <f t="shared" si="24"/>
        <v>5</v>
      </c>
      <c r="V32" s="34">
        <f t="shared" si="24"/>
        <v>11</v>
      </c>
      <c r="W32" s="34">
        <f t="shared" si="24"/>
        <v>0</v>
      </c>
      <c r="X32" s="34">
        <f t="shared" si="24"/>
        <v>0</v>
      </c>
      <c r="Y32" s="34">
        <f t="shared" si="24"/>
        <v>8</v>
      </c>
      <c r="Z32" s="34">
        <f t="shared" si="24"/>
        <v>22</v>
      </c>
      <c r="AA32" s="34">
        <f t="shared" si="24"/>
        <v>2</v>
      </c>
      <c r="AB32" s="34">
        <f t="shared" si="24"/>
        <v>5</v>
      </c>
      <c r="AC32" s="34">
        <f t="shared" si="24"/>
        <v>9</v>
      </c>
      <c r="AD32" s="34">
        <f t="shared" si="24"/>
        <v>0</v>
      </c>
      <c r="AE32" s="31">
        <f t="shared" si="24"/>
        <v>73</v>
      </c>
      <c r="AF32" s="31">
        <f t="shared" si="24"/>
        <v>82</v>
      </c>
    </row>
    <row r="33" spans="2:32" ht="23.1" customHeight="1" x14ac:dyDescent="0.25">
      <c r="B33" s="45" t="s">
        <v>60</v>
      </c>
      <c r="C33" s="50">
        <v>29</v>
      </c>
      <c r="D33" s="50">
        <v>14</v>
      </c>
      <c r="E33" s="50">
        <v>5</v>
      </c>
      <c r="F33" s="50">
        <v>14</v>
      </c>
      <c r="G33" s="50">
        <v>1</v>
      </c>
      <c r="H33" s="50">
        <v>0</v>
      </c>
      <c r="I33" s="50">
        <v>8</v>
      </c>
      <c r="J33" s="50">
        <v>7</v>
      </c>
      <c r="K33" s="50">
        <v>6</v>
      </c>
      <c r="L33" s="50">
        <v>14</v>
      </c>
      <c r="M33" s="50">
        <v>37</v>
      </c>
      <c r="N33" s="50">
        <v>0</v>
      </c>
      <c r="O33" s="15">
        <f t="shared" si="0"/>
        <v>98</v>
      </c>
      <c r="P33" s="15">
        <f t="shared" si="1"/>
        <v>135</v>
      </c>
      <c r="R33" s="33" t="s">
        <v>157</v>
      </c>
      <c r="S33" s="34">
        <f>SUM(C102:C105)</f>
        <v>17</v>
      </c>
      <c r="T33" s="34">
        <f t="shared" ref="T33:AF33" si="25">SUM(D102:D105)</f>
        <v>4</v>
      </c>
      <c r="U33" s="34">
        <f t="shared" si="25"/>
        <v>4</v>
      </c>
      <c r="V33" s="34">
        <f t="shared" si="25"/>
        <v>27</v>
      </c>
      <c r="W33" s="34">
        <f t="shared" si="25"/>
        <v>0</v>
      </c>
      <c r="X33" s="34">
        <f t="shared" si="25"/>
        <v>1</v>
      </c>
      <c r="Y33" s="34">
        <f t="shared" si="25"/>
        <v>8</v>
      </c>
      <c r="Z33" s="34">
        <f t="shared" si="25"/>
        <v>14</v>
      </c>
      <c r="AA33" s="34">
        <f t="shared" si="25"/>
        <v>3</v>
      </c>
      <c r="AB33" s="34">
        <f t="shared" si="25"/>
        <v>11</v>
      </c>
      <c r="AC33" s="34">
        <f t="shared" si="25"/>
        <v>27</v>
      </c>
      <c r="AD33" s="34">
        <f t="shared" si="25"/>
        <v>0</v>
      </c>
      <c r="AE33" s="31">
        <f t="shared" si="25"/>
        <v>89</v>
      </c>
      <c r="AF33" s="31">
        <f t="shared" si="25"/>
        <v>116</v>
      </c>
    </row>
    <row r="34" spans="2:32" ht="23.1" customHeight="1" x14ac:dyDescent="0.25">
      <c r="B34" s="46" t="s">
        <v>61</v>
      </c>
      <c r="C34" s="50">
        <v>32</v>
      </c>
      <c r="D34" s="50">
        <v>11</v>
      </c>
      <c r="E34" s="50">
        <v>1</v>
      </c>
      <c r="F34" s="50">
        <v>24</v>
      </c>
      <c r="G34" s="50">
        <v>0</v>
      </c>
      <c r="H34" s="50">
        <v>1</v>
      </c>
      <c r="I34" s="50">
        <v>6</v>
      </c>
      <c r="J34" s="50">
        <v>3</v>
      </c>
      <c r="K34" s="50">
        <v>2</v>
      </c>
      <c r="L34" s="50">
        <v>2</v>
      </c>
      <c r="M34" s="50">
        <v>44</v>
      </c>
      <c r="N34" s="50">
        <v>0</v>
      </c>
      <c r="O34" s="15">
        <f t="shared" si="0"/>
        <v>82</v>
      </c>
      <c r="P34" s="15">
        <f t="shared" si="1"/>
        <v>126</v>
      </c>
      <c r="R34" s="38" t="s">
        <v>90</v>
      </c>
      <c r="S34" s="39">
        <f t="shared" ref="S34:AF34" si="26">MAX(S10:S12)</f>
        <v>87</v>
      </c>
      <c r="T34" s="39">
        <f t="shared" si="26"/>
        <v>53</v>
      </c>
      <c r="U34" s="39">
        <f t="shared" si="26"/>
        <v>24</v>
      </c>
      <c r="V34" s="39">
        <f t="shared" si="26"/>
        <v>125</v>
      </c>
      <c r="W34" s="39">
        <f t="shared" si="26"/>
        <v>2</v>
      </c>
      <c r="X34" s="39">
        <f t="shared" si="26"/>
        <v>1</v>
      </c>
      <c r="Y34" s="39">
        <f t="shared" si="26"/>
        <v>21</v>
      </c>
      <c r="Z34" s="39">
        <f t="shared" si="26"/>
        <v>14</v>
      </c>
      <c r="AA34" s="39">
        <f t="shared" si="26"/>
        <v>15</v>
      </c>
      <c r="AB34" s="39">
        <f t="shared" si="26"/>
        <v>9</v>
      </c>
      <c r="AC34" s="39">
        <f t="shared" si="26"/>
        <v>157</v>
      </c>
      <c r="AD34" s="39">
        <f t="shared" si="26"/>
        <v>1</v>
      </c>
      <c r="AE34" s="40">
        <f t="shared" si="26"/>
        <v>322</v>
      </c>
      <c r="AF34" s="40">
        <f t="shared" si="26"/>
        <v>474</v>
      </c>
    </row>
    <row r="35" spans="2:32" ht="23.1" customHeight="1" x14ac:dyDescent="0.25">
      <c r="B35" s="46" t="s">
        <v>62</v>
      </c>
      <c r="C35" s="50">
        <v>27</v>
      </c>
      <c r="D35" s="50">
        <v>16</v>
      </c>
      <c r="E35" s="50">
        <v>5</v>
      </c>
      <c r="F35" s="50">
        <v>21</v>
      </c>
      <c r="G35" s="50">
        <v>0</v>
      </c>
      <c r="H35" s="50">
        <v>0</v>
      </c>
      <c r="I35" s="50">
        <v>6</v>
      </c>
      <c r="J35" s="50">
        <v>5</v>
      </c>
      <c r="K35" s="50">
        <v>6</v>
      </c>
      <c r="L35" s="50">
        <v>7</v>
      </c>
      <c r="M35" s="50">
        <v>38</v>
      </c>
      <c r="N35" s="50">
        <v>0</v>
      </c>
      <c r="O35" s="15">
        <f t="shared" si="0"/>
        <v>93</v>
      </c>
      <c r="P35" s="15">
        <f t="shared" si="1"/>
        <v>131</v>
      </c>
      <c r="R35" s="38" t="s">
        <v>91</v>
      </c>
      <c r="S35" s="39">
        <f t="shared" ref="S35:AF35" si="27">MAX(S13:S18)</f>
        <v>123</v>
      </c>
      <c r="T35" s="39">
        <f t="shared" si="27"/>
        <v>73</v>
      </c>
      <c r="U35" s="39">
        <f t="shared" si="27"/>
        <v>33</v>
      </c>
      <c r="V35" s="39">
        <f t="shared" si="27"/>
        <v>130</v>
      </c>
      <c r="W35" s="39">
        <f t="shared" si="27"/>
        <v>3</v>
      </c>
      <c r="X35" s="39">
        <f t="shared" si="27"/>
        <v>1</v>
      </c>
      <c r="Y35" s="39">
        <f t="shared" si="27"/>
        <v>28</v>
      </c>
      <c r="Z35" s="39">
        <f t="shared" si="27"/>
        <v>21</v>
      </c>
      <c r="AA35" s="39">
        <f t="shared" si="27"/>
        <v>22</v>
      </c>
      <c r="AB35" s="39">
        <f t="shared" si="27"/>
        <v>32</v>
      </c>
      <c r="AC35" s="39">
        <f t="shared" si="27"/>
        <v>186</v>
      </c>
      <c r="AD35" s="39">
        <f t="shared" si="27"/>
        <v>0</v>
      </c>
      <c r="AE35" s="40">
        <f t="shared" si="27"/>
        <v>419</v>
      </c>
      <c r="AF35" s="40">
        <f t="shared" si="27"/>
        <v>597</v>
      </c>
    </row>
    <row r="36" spans="2:32" ht="23.1" customHeight="1" x14ac:dyDescent="0.25">
      <c r="B36" s="46" t="s">
        <v>63</v>
      </c>
      <c r="C36" s="50">
        <v>36</v>
      </c>
      <c r="D36" s="50">
        <v>28</v>
      </c>
      <c r="E36" s="50">
        <v>7</v>
      </c>
      <c r="F36" s="50">
        <v>32</v>
      </c>
      <c r="G36" s="50">
        <v>3</v>
      </c>
      <c r="H36" s="50">
        <v>0</v>
      </c>
      <c r="I36" s="50">
        <v>9</v>
      </c>
      <c r="J36" s="50">
        <v>9</v>
      </c>
      <c r="K36" s="50">
        <v>3</v>
      </c>
      <c r="L36" s="50">
        <v>6</v>
      </c>
      <c r="M36" s="50">
        <v>48</v>
      </c>
      <c r="N36" s="50">
        <v>0</v>
      </c>
      <c r="O36" s="15">
        <f t="shared" si="0"/>
        <v>133</v>
      </c>
      <c r="P36" s="15">
        <f t="shared" si="1"/>
        <v>181</v>
      </c>
      <c r="R36" s="38" t="s">
        <v>92</v>
      </c>
      <c r="S36" s="39">
        <f t="shared" ref="S36:AF36" si="28">MAX(S19:S21)</f>
        <v>143</v>
      </c>
      <c r="T36" s="39">
        <f t="shared" si="28"/>
        <v>65</v>
      </c>
      <c r="U36" s="39">
        <f t="shared" si="28"/>
        <v>20</v>
      </c>
      <c r="V36" s="39">
        <f t="shared" si="28"/>
        <v>133</v>
      </c>
      <c r="W36" s="39">
        <f t="shared" si="28"/>
        <v>2</v>
      </c>
      <c r="X36" s="39">
        <f t="shared" si="28"/>
        <v>1</v>
      </c>
      <c r="Y36" s="39">
        <f t="shared" si="28"/>
        <v>59</v>
      </c>
      <c r="Z36" s="39">
        <f t="shared" si="28"/>
        <v>34</v>
      </c>
      <c r="AA36" s="39">
        <f t="shared" si="28"/>
        <v>26</v>
      </c>
      <c r="AB36" s="39">
        <f t="shared" si="28"/>
        <v>26</v>
      </c>
      <c r="AC36" s="39">
        <f t="shared" si="28"/>
        <v>154</v>
      </c>
      <c r="AD36" s="39">
        <f t="shared" si="28"/>
        <v>0</v>
      </c>
      <c r="AE36" s="40">
        <f t="shared" si="28"/>
        <v>500</v>
      </c>
      <c r="AF36" s="40">
        <f t="shared" si="28"/>
        <v>642</v>
      </c>
    </row>
    <row r="37" spans="2:32" ht="23.1" customHeight="1" x14ac:dyDescent="0.25">
      <c r="B37" s="45" t="s">
        <v>64</v>
      </c>
      <c r="C37" s="50">
        <v>28</v>
      </c>
      <c r="D37" s="50">
        <v>18</v>
      </c>
      <c r="E37" s="50">
        <v>8</v>
      </c>
      <c r="F37" s="50">
        <v>35</v>
      </c>
      <c r="G37" s="50">
        <v>0</v>
      </c>
      <c r="H37" s="50">
        <v>0</v>
      </c>
      <c r="I37" s="50">
        <v>4</v>
      </c>
      <c r="J37" s="50">
        <v>4</v>
      </c>
      <c r="K37" s="50">
        <v>4</v>
      </c>
      <c r="L37" s="50">
        <v>10</v>
      </c>
      <c r="M37" s="50">
        <v>34</v>
      </c>
      <c r="N37" s="50">
        <v>0</v>
      </c>
      <c r="O37" s="15">
        <f t="shared" si="0"/>
        <v>111</v>
      </c>
      <c r="P37" s="15">
        <f t="shared" si="1"/>
        <v>145</v>
      </c>
      <c r="R37" s="37" t="s">
        <v>85</v>
      </c>
      <c r="S37" s="35">
        <f t="shared" ref="S37:AF37" si="29">SUM(S10:S12)</f>
        <v>237</v>
      </c>
      <c r="T37" s="16">
        <f t="shared" si="29"/>
        <v>131</v>
      </c>
      <c r="U37" s="16">
        <f t="shared" si="29"/>
        <v>62</v>
      </c>
      <c r="V37" s="16">
        <f t="shared" si="29"/>
        <v>336</v>
      </c>
      <c r="W37" s="16">
        <f t="shared" si="29"/>
        <v>3</v>
      </c>
      <c r="X37" s="16">
        <f t="shared" si="29"/>
        <v>1</v>
      </c>
      <c r="Y37" s="16">
        <f t="shared" si="29"/>
        <v>61</v>
      </c>
      <c r="Z37" s="16">
        <f t="shared" si="29"/>
        <v>35</v>
      </c>
      <c r="AA37" s="16">
        <f t="shared" si="29"/>
        <v>33</v>
      </c>
      <c r="AB37" s="16">
        <f t="shared" si="29"/>
        <v>17</v>
      </c>
      <c r="AC37" s="16">
        <f t="shared" si="29"/>
        <v>397</v>
      </c>
      <c r="AD37" s="16">
        <f t="shared" si="29"/>
        <v>1</v>
      </c>
      <c r="AE37" s="32">
        <f t="shared" si="29"/>
        <v>917</v>
      </c>
      <c r="AF37" s="32">
        <f t="shared" si="29"/>
        <v>1314</v>
      </c>
    </row>
    <row r="38" spans="2:32" ht="23.1" customHeight="1" x14ac:dyDescent="0.25">
      <c r="B38" s="46" t="s">
        <v>65</v>
      </c>
      <c r="C38" s="50">
        <v>23</v>
      </c>
      <c r="D38" s="50">
        <v>19</v>
      </c>
      <c r="E38" s="50">
        <v>5</v>
      </c>
      <c r="F38" s="50">
        <v>21</v>
      </c>
      <c r="G38" s="50">
        <v>0</v>
      </c>
      <c r="H38" s="50">
        <v>0</v>
      </c>
      <c r="I38" s="50">
        <v>3</v>
      </c>
      <c r="J38" s="50">
        <v>3</v>
      </c>
      <c r="K38" s="50">
        <v>3</v>
      </c>
      <c r="L38" s="50">
        <v>7</v>
      </c>
      <c r="M38" s="50">
        <v>47</v>
      </c>
      <c r="N38" s="50">
        <v>0</v>
      </c>
      <c r="O38" s="15">
        <f t="shared" si="0"/>
        <v>84</v>
      </c>
      <c r="P38" s="15">
        <f t="shared" si="1"/>
        <v>131</v>
      </c>
      <c r="R38" s="28" t="s">
        <v>86</v>
      </c>
      <c r="S38" s="16">
        <f t="shared" ref="S38:AF38" si="30">SUM(S13:S18)</f>
        <v>618</v>
      </c>
      <c r="T38" s="16">
        <f t="shared" si="30"/>
        <v>352</v>
      </c>
      <c r="U38" s="16">
        <f t="shared" si="30"/>
        <v>140</v>
      </c>
      <c r="V38" s="16">
        <f t="shared" si="30"/>
        <v>558</v>
      </c>
      <c r="W38" s="16">
        <f t="shared" si="30"/>
        <v>8</v>
      </c>
      <c r="X38" s="16">
        <f t="shared" si="30"/>
        <v>2</v>
      </c>
      <c r="Y38" s="16">
        <f t="shared" si="30"/>
        <v>137</v>
      </c>
      <c r="Z38" s="16">
        <f t="shared" si="30"/>
        <v>105</v>
      </c>
      <c r="AA38" s="16">
        <f t="shared" si="30"/>
        <v>96</v>
      </c>
      <c r="AB38" s="16">
        <f t="shared" si="30"/>
        <v>127</v>
      </c>
      <c r="AC38" s="16">
        <f t="shared" si="30"/>
        <v>957</v>
      </c>
      <c r="AD38" s="16">
        <f t="shared" si="30"/>
        <v>0</v>
      </c>
      <c r="AE38" s="32">
        <f t="shared" si="30"/>
        <v>2143</v>
      </c>
      <c r="AF38" s="32">
        <f t="shared" si="30"/>
        <v>3100</v>
      </c>
    </row>
    <row r="39" spans="2:32" ht="23.1" customHeight="1" x14ac:dyDescent="0.25">
      <c r="B39" s="46" t="s">
        <v>66</v>
      </c>
      <c r="C39" s="50">
        <v>21</v>
      </c>
      <c r="D39" s="50">
        <v>17</v>
      </c>
      <c r="E39" s="50">
        <v>6</v>
      </c>
      <c r="F39" s="50">
        <v>18</v>
      </c>
      <c r="G39" s="50">
        <v>1</v>
      </c>
      <c r="H39" s="50">
        <v>0</v>
      </c>
      <c r="I39" s="50">
        <v>4</v>
      </c>
      <c r="J39" s="50">
        <v>3</v>
      </c>
      <c r="K39" s="50">
        <v>3</v>
      </c>
      <c r="L39" s="50">
        <v>3</v>
      </c>
      <c r="M39" s="50">
        <v>34</v>
      </c>
      <c r="N39" s="50">
        <v>0</v>
      </c>
      <c r="O39" s="15">
        <f t="shared" si="0"/>
        <v>76</v>
      </c>
      <c r="P39" s="15">
        <f t="shared" si="1"/>
        <v>110</v>
      </c>
      <c r="R39" s="29" t="s">
        <v>87</v>
      </c>
      <c r="S39" s="16">
        <f t="shared" ref="S39:AF39" si="31">SUM(S19:S21)</f>
        <v>382</v>
      </c>
      <c r="T39" s="16">
        <f t="shared" si="31"/>
        <v>152</v>
      </c>
      <c r="U39" s="16">
        <f t="shared" si="31"/>
        <v>52</v>
      </c>
      <c r="V39" s="16">
        <f t="shared" si="31"/>
        <v>352</v>
      </c>
      <c r="W39" s="16">
        <f t="shared" si="31"/>
        <v>3</v>
      </c>
      <c r="X39" s="16">
        <f t="shared" si="31"/>
        <v>1</v>
      </c>
      <c r="Y39" s="16">
        <f t="shared" si="31"/>
        <v>99</v>
      </c>
      <c r="Z39" s="16">
        <f t="shared" si="31"/>
        <v>80</v>
      </c>
      <c r="AA39" s="16">
        <f t="shared" si="31"/>
        <v>63</v>
      </c>
      <c r="AB39" s="16">
        <f t="shared" si="31"/>
        <v>62</v>
      </c>
      <c r="AC39" s="16">
        <f t="shared" si="31"/>
        <v>433</v>
      </c>
      <c r="AD39" s="16">
        <f t="shared" si="31"/>
        <v>0</v>
      </c>
      <c r="AE39" s="32">
        <f t="shared" si="31"/>
        <v>1246</v>
      </c>
      <c r="AF39" s="32">
        <f t="shared" si="31"/>
        <v>1679</v>
      </c>
    </row>
    <row r="40" spans="2:32" ht="23.1" customHeight="1" x14ac:dyDescent="0.25">
      <c r="B40" s="46" t="s">
        <v>67</v>
      </c>
      <c r="C40" s="50">
        <v>23</v>
      </c>
      <c r="D40" s="50">
        <v>15</v>
      </c>
      <c r="E40" s="50">
        <v>8</v>
      </c>
      <c r="F40" s="50">
        <v>15</v>
      </c>
      <c r="G40" s="50">
        <v>0</v>
      </c>
      <c r="H40" s="50">
        <v>0</v>
      </c>
      <c r="I40" s="50">
        <v>4</v>
      </c>
      <c r="J40" s="50">
        <v>6</v>
      </c>
      <c r="K40" s="50">
        <v>10</v>
      </c>
      <c r="L40" s="50">
        <v>7</v>
      </c>
      <c r="M40" s="50">
        <v>47</v>
      </c>
      <c r="N40" s="50">
        <v>0</v>
      </c>
      <c r="O40" s="15">
        <f t="shared" si="0"/>
        <v>88</v>
      </c>
      <c r="P40" s="15">
        <f t="shared" si="1"/>
        <v>135</v>
      </c>
      <c r="R40" s="5" t="s">
        <v>17</v>
      </c>
      <c r="S40" s="16">
        <f t="shared" ref="S40:AF40" si="32">SUM(S10:S21)</f>
        <v>1237</v>
      </c>
      <c r="T40" s="16">
        <f t="shared" si="32"/>
        <v>635</v>
      </c>
      <c r="U40" s="16">
        <f t="shared" si="32"/>
        <v>254</v>
      </c>
      <c r="V40" s="16">
        <f t="shared" si="32"/>
        <v>1246</v>
      </c>
      <c r="W40" s="16">
        <f t="shared" si="32"/>
        <v>14</v>
      </c>
      <c r="X40" s="16">
        <f t="shared" si="32"/>
        <v>4</v>
      </c>
      <c r="Y40" s="16">
        <f t="shared" si="32"/>
        <v>297</v>
      </c>
      <c r="Z40" s="16">
        <f t="shared" si="32"/>
        <v>220</v>
      </c>
      <c r="AA40" s="16">
        <f t="shared" si="32"/>
        <v>192</v>
      </c>
      <c r="AB40" s="16">
        <f t="shared" si="32"/>
        <v>206</v>
      </c>
      <c r="AC40" s="16">
        <f t="shared" si="32"/>
        <v>1787</v>
      </c>
      <c r="AD40" s="16">
        <f t="shared" si="32"/>
        <v>1</v>
      </c>
      <c r="AE40" s="32">
        <f t="shared" si="32"/>
        <v>4306</v>
      </c>
      <c r="AF40" s="32">
        <f t="shared" si="32"/>
        <v>6093</v>
      </c>
    </row>
    <row r="41" spans="2:32" ht="23.1" customHeight="1" x14ac:dyDescent="0.25">
      <c r="B41" s="45" t="s">
        <v>68</v>
      </c>
      <c r="C41" s="50">
        <v>15</v>
      </c>
      <c r="D41" s="50">
        <v>16</v>
      </c>
      <c r="E41" s="50">
        <v>7</v>
      </c>
      <c r="F41" s="50">
        <v>31</v>
      </c>
      <c r="G41" s="50">
        <v>0</v>
      </c>
      <c r="H41" s="50">
        <v>0</v>
      </c>
      <c r="I41" s="50">
        <v>6</v>
      </c>
      <c r="J41" s="50">
        <v>6</v>
      </c>
      <c r="K41" s="50">
        <v>6</v>
      </c>
      <c r="L41" s="50">
        <v>9</v>
      </c>
      <c r="M41" s="50">
        <v>47</v>
      </c>
      <c r="N41" s="50">
        <v>0</v>
      </c>
      <c r="O41" s="15">
        <f t="shared" si="0"/>
        <v>96</v>
      </c>
      <c r="P41" s="15">
        <f t="shared" si="1"/>
        <v>143</v>
      </c>
      <c r="R41" s="5" t="s">
        <v>159</v>
      </c>
      <c r="S41" s="16">
        <f>SUM(S10:S33)</f>
        <v>2045</v>
      </c>
      <c r="T41" s="16">
        <f t="shared" ref="T41:AF41" si="33">SUM(T10:T33)</f>
        <v>772</v>
      </c>
      <c r="U41" s="16">
        <f t="shared" si="33"/>
        <v>365</v>
      </c>
      <c r="V41" s="16">
        <f t="shared" si="33"/>
        <v>1705</v>
      </c>
      <c r="W41" s="16">
        <f t="shared" si="33"/>
        <v>34</v>
      </c>
      <c r="X41" s="16">
        <f t="shared" si="33"/>
        <v>6</v>
      </c>
      <c r="Y41" s="16">
        <f t="shared" si="33"/>
        <v>378</v>
      </c>
      <c r="Z41" s="16">
        <f t="shared" si="33"/>
        <v>398</v>
      </c>
      <c r="AA41" s="16">
        <f t="shared" si="33"/>
        <v>264</v>
      </c>
      <c r="AB41" s="16">
        <f t="shared" si="33"/>
        <v>312</v>
      </c>
      <c r="AC41" s="16">
        <f t="shared" si="33"/>
        <v>2380</v>
      </c>
      <c r="AD41" s="16">
        <f t="shared" si="33"/>
        <v>1</v>
      </c>
      <c r="AE41" s="32">
        <f t="shared" si="33"/>
        <v>6280</v>
      </c>
      <c r="AF41" s="32">
        <f t="shared" si="33"/>
        <v>8660</v>
      </c>
    </row>
    <row r="42" spans="2:32" ht="23.1" customHeight="1" x14ac:dyDescent="0.25">
      <c r="B42" s="46" t="s">
        <v>69</v>
      </c>
      <c r="C42" s="50">
        <v>33</v>
      </c>
      <c r="D42" s="50">
        <v>16</v>
      </c>
      <c r="E42" s="50">
        <v>1</v>
      </c>
      <c r="F42" s="50">
        <v>17</v>
      </c>
      <c r="G42" s="50">
        <v>0</v>
      </c>
      <c r="H42" s="50">
        <v>0</v>
      </c>
      <c r="I42" s="50">
        <v>0</v>
      </c>
      <c r="J42" s="50">
        <v>1</v>
      </c>
      <c r="K42" s="50">
        <v>7</v>
      </c>
      <c r="L42" s="50">
        <v>4</v>
      </c>
      <c r="M42" s="50">
        <v>42</v>
      </c>
      <c r="N42" s="50">
        <v>0</v>
      </c>
      <c r="O42" s="15">
        <f t="shared" si="0"/>
        <v>79</v>
      </c>
      <c r="P42" s="15">
        <f t="shared" si="1"/>
        <v>121</v>
      </c>
      <c r="R42" s="5" t="s">
        <v>160</v>
      </c>
      <c r="S42" s="48">
        <f>S41/S40</f>
        <v>1.6531932093775263</v>
      </c>
      <c r="T42" s="48">
        <f t="shared" ref="T42:AF42" si="34">T41/T40</f>
        <v>1.2157480314960629</v>
      </c>
      <c r="U42" s="48">
        <f t="shared" si="34"/>
        <v>1.4370078740157479</v>
      </c>
      <c r="V42" s="48">
        <f t="shared" si="34"/>
        <v>1.368378812199037</v>
      </c>
      <c r="W42" s="48">
        <f t="shared" si="34"/>
        <v>2.4285714285714284</v>
      </c>
      <c r="X42" s="48">
        <f t="shared" si="34"/>
        <v>1.5</v>
      </c>
      <c r="Y42" s="48">
        <f t="shared" si="34"/>
        <v>1.2727272727272727</v>
      </c>
      <c r="Z42" s="48">
        <f t="shared" si="34"/>
        <v>1.8090909090909091</v>
      </c>
      <c r="AA42" s="48">
        <f t="shared" si="34"/>
        <v>1.375</v>
      </c>
      <c r="AB42" s="48">
        <f t="shared" si="34"/>
        <v>1.5145631067961165</v>
      </c>
      <c r="AC42" s="48">
        <f t="shared" si="34"/>
        <v>1.3318410744264131</v>
      </c>
      <c r="AD42" s="48">
        <f t="shared" si="34"/>
        <v>1</v>
      </c>
      <c r="AE42" s="48">
        <f t="shared" si="34"/>
        <v>1.4584300975383186</v>
      </c>
      <c r="AF42" s="48">
        <f t="shared" si="34"/>
        <v>1.4213031347447891</v>
      </c>
    </row>
    <row r="43" spans="2:32" ht="23.1" customHeight="1" x14ac:dyDescent="0.25">
      <c r="B43" s="45" t="s">
        <v>70</v>
      </c>
      <c r="C43" s="50">
        <v>21</v>
      </c>
      <c r="D43" s="50">
        <v>13</v>
      </c>
      <c r="E43" s="50">
        <v>14</v>
      </c>
      <c r="F43" s="50">
        <v>26</v>
      </c>
      <c r="G43" s="50">
        <v>1</v>
      </c>
      <c r="H43" s="50">
        <v>0</v>
      </c>
      <c r="I43" s="50">
        <v>9</v>
      </c>
      <c r="J43" s="50">
        <v>2</v>
      </c>
      <c r="K43" s="50">
        <v>4</v>
      </c>
      <c r="L43" s="50">
        <v>6</v>
      </c>
      <c r="M43" s="50">
        <v>44</v>
      </c>
      <c r="N43" s="50">
        <v>0</v>
      </c>
      <c r="O43" s="15">
        <f t="shared" si="0"/>
        <v>96</v>
      </c>
      <c r="P43" s="15">
        <f t="shared" si="1"/>
        <v>140</v>
      </c>
    </row>
    <row r="44" spans="2:32" ht="23.1" customHeight="1" x14ac:dyDescent="0.25">
      <c r="B44" s="47" t="s">
        <v>71</v>
      </c>
      <c r="C44" s="50">
        <v>22</v>
      </c>
      <c r="D44" s="50">
        <v>12</v>
      </c>
      <c r="E44" s="50">
        <v>6</v>
      </c>
      <c r="F44" s="50">
        <v>27</v>
      </c>
      <c r="G44" s="50">
        <v>0</v>
      </c>
      <c r="H44" s="50">
        <v>1</v>
      </c>
      <c r="I44" s="50">
        <v>6</v>
      </c>
      <c r="J44" s="50">
        <v>8</v>
      </c>
      <c r="K44" s="50">
        <v>4</v>
      </c>
      <c r="L44" s="50">
        <v>4</v>
      </c>
      <c r="M44" s="50">
        <v>31</v>
      </c>
      <c r="N44" s="50">
        <v>0</v>
      </c>
      <c r="O44" s="15">
        <f t="shared" si="0"/>
        <v>90</v>
      </c>
      <c r="P44" s="15">
        <f t="shared" si="1"/>
        <v>121</v>
      </c>
    </row>
    <row r="45" spans="2:32" ht="23.1" customHeight="1" x14ac:dyDescent="0.25">
      <c r="B45" s="45" t="s">
        <v>72</v>
      </c>
      <c r="C45" s="50">
        <v>21</v>
      </c>
      <c r="D45" s="50">
        <v>15</v>
      </c>
      <c r="E45" s="50">
        <v>5</v>
      </c>
      <c r="F45" s="50">
        <v>17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9</v>
      </c>
      <c r="M45" s="50">
        <v>28</v>
      </c>
      <c r="N45" s="50">
        <v>0</v>
      </c>
      <c r="O45" s="15">
        <f t="shared" si="0"/>
        <v>74</v>
      </c>
      <c r="P45" s="15">
        <f t="shared" si="1"/>
        <v>102</v>
      </c>
    </row>
    <row r="46" spans="2:32" ht="23.1" customHeight="1" x14ac:dyDescent="0.25">
      <c r="B46" s="46" t="s">
        <v>73</v>
      </c>
      <c r="C46" s="50">
        <v>22</v>
      </c>
      <c r="D46" s="50">
        <v>14</v>
      </c>
      <c r="E46" s="50">
        <v>3</v>
      </c>
      <c r="F46" s="50">
        <v>28</v>
      </c>
      <c r="G46" s="50">
        <v>0</v>
      </c>
      <c r="H46" s="50">
        <v>0</v>
      </c>
      <c r="I46" s="50">
        <v>3</v>
      </c>
      <c r="J46" s="50">
        <v>5</v>
      </c>
      <c r="K46" s="50">
        <v>8</v>
      </c>
      <c r="L46" s="50">
        <v>3</v>
      </c>
      <c r="M46" s="50">
        <v>40</v>
      </c>
      <c r="N46" s="50">
        <v>0</v>
      </c>
      <c r="O46" s="15">
        <f t="shared" si="0"/>
        <v>86</v>
      </c>
      <c r="P46" s="15">
        <f t="shared" si="1"/>
        <v>126</v>
      </c>
      <c r="R46" s="8"/>
      <c r="T46"/>
    </row>
    <row r="47" spans="2:32" ht="23.1" customHeight="1" x14ac:dyDescent="0.25">
      <c r="B47" s="46" t="s">
        <v>74</v>
      </c>
      <c r="C47" s="50">
        <v>20</v>
      </c>
      <c r="D47" s="50">
        <v>2</v>
      </c>
      <c r="E47" s="50">
        <v>4</v>
      </c>
      <c r="F47" s="50">
        <v>13</v>
      </c>
      <c r="G47" s="50">
        <v>0</v>
      </c>
      <c r="H47" s="50">
        <v>1</v>
      </c>
      <c r="I47" s="50">
        <v>4</v>
      </c>
      <c r="J47" s="50">
        <v>2</v>
      </c>
      <c r="K47" s="50">
        <v>5</v>
      </c>
      <c r="L47" s="50">
        <v>6</v>
      </c>
      <c r="M47" s="50">
        <v>26</v>
      </c>
      <c r="N47" s="50">
        <v>0</v>
      </c>
      <c r="O47" s="15">
        <f t="shared" si="0"/>
        <v>57</v>
      </c>
      <c r="P47" s="15">
        <f t="shared" si="1"/>
        <v>83</v>
      </c>
      <c r="R47" s="8"/>
      <c r="T47"/>
    </row>
    <row r="48" spans="2:32" ht="23.1" customHeight="1" x14ac:dyDescent="0.25">
      <c r="B48" s="46" t="s">
        <v>75</v>
      </c>
      <c r="C48" s="50">
        <v>33</v>
      </c>
      <c r="D48" s="50">
        <v>6</v>
      </c>
      <c r="E48" s="50">
        <v>6</v>
      </c>
      <c r="F48" s="50">
        <v>31</v>
      </c>
      <c r="G48" s="50">
        <v>0</v>
      </c>
      <c r="H48" s="50">
        <v>0</v>
      </c>
      <c r="I48" s="50">
        <v>5</v>
      </c>
      <c r="J48" s="50">
        <v>4</v>
      </c>
      <c r="K48" s="50">
        <v>3</v>
      </c>
      <c r="L48" s="50">
        <v>5</v>
      </c>
      <c r="M48" s="50">
        <v>39</v>
      </c>
      <c r="N48" s="50">
        <v>0</v>
      </c>
      <c r="O48" s="15">
        <f t="shared" si="0"/>
        <v>93</v>
      </c>
      <c r="P48" s="15">
        <f t="shared" si="1"/>
        <v>132</v>
      </c>
      <c r="R48" s="8"/>
      <c r="T48"/>
    </row>
    <row r="49" spans="2:20" ht="23.1" customHeight="1" x14ac:dyDescent="0.25">
      <c r="B49" s="45" t="s">
        <v>76</v>
      </c>
      <c r="C49" s="50">
        <v>47</v>
      </c>
      <c r="D49" s="50">
        <v>1</v>
      </c>
      <c r="E49" s="50">
        <v>3</v>
      </c>
      <c r="F49" s="50">
        <v>21</v>
      </c>
      <c r="G49" s="50">
        <v>0</v>
      </c>
      <c r="H49" s="50">
        <v>0</v>
      </c>
      <c r="I49" s="50">
        <v>7</v>
      </c>
      <c r="J49" s="50">
        <v>8</v>
      </c>
      <c r="K49" s="50">
        <v>4</v>
      </c>
      <c r="L49" s="50">
        <v>6</v>
      </c>
      <c r="M49" s="50">
        <v>49</v>
      </c>
      <c r="N49" s="50">
        <v>0</v>
      </c>
      <c r="O49" s="15">
        <f t="shared" si="0"/>
        <v>97</v>
      </c>
      <c r="P49" s="15">
        <f t="shared" si="1"/>
        <v>146</v>
      </c>
      <c r="R49" s="8"/>
      <c r="T49"/>
    </row>
    <row r="50" spans="2:20" ht="23.1" customHeight="1" x14ac:dyDescent="0.25">
      <c r="B50" s="46" t="s">
        <v>77</v>
      </c>
      <c r="C50" s="50">
        <v>14</v>
      </c>
      <c r="D50" s="50">
        <v>3</v>
      </c>
      <c r="E50" s="50">
        <v>2</v>
      </c>
      <c r="F50" s="50">
        <v>29</v>
      </c>
      <c r="G50" s="50">
        <v>0</v>
      </c>
      <c r="H50" s="50">
        <v>0</v>
      </c>
      <c r="I50" s="50">
        <v>1</v>
      </c>
      <c r="J50" s="50">
        <v>5</v>
      </c>
      <c r="K50" s="50">
        <v>4</v>
      </c>
      <c r="L50" s="50">
        <v>2</v>
      </c>
      <c r="M50" s="50">
        <v>23</v>
      </c>
      <c r="N50" s="50">
        <v>0</v>
      </c>
      <c r="O50" s="15">
        <f t="shared" si="0"/>
        <v>60</v>
      </c>
      <c r="P50" s="15">
        <f t="shared" si="1"/>
        <v>83</v>
      </c>
      <c r="R50" s="8"/>
      <c r="T50"/>
    </row>
    <row r="51" spans="2:20" ht="23.1" customHeight="1" x14ac:dyDescent="0.25">
      <c r="B51" s="46" t="s">
        <v>78</v>
      </c>
      <c r="C51" s="50">
        <v>35</v>
      </c>
      <c r="D51" s="50">
        <v>12</v>
      </c>
      <c r="E51" s="50">
        <v>5</v>
      </c>
      <c r="F51" s="50">
        <v>32</v>
      </c>
      <c r="G51" s="50">
        <v>0</v>
      </c>
      <c r="H51" s="50">
        <v>0</v>
      </c>
      <c r="I51" s="50">
        <v>7</v>
      </c>
      <c r="J51" s="50">
        <v>5</v>
      </c>
      <c r="K51" s="50">
        <v>5</v>
      </c>
      <c r="L51" s="50">
        <v>3</v>
      </c>
      <c r="M51" s="50">
        <v>34</v>
      </c>
      <c r="N51" s="50">
        <v>0</v>
      </c>
      <c r="O51" s="15">
        <f t="shared" si="0"/>
        <v>104</v>
      </c>
      <c r="P51" s="15">
        <f t="shared" si="1"/>
        <v>138</v>
      </c>
      <c r="R51" s="8"/>
      <c r="T51"/>
    </row>
    <row r="52" spans="2:20" ht="23.1" customHeight="1" x14ac:dyDescent="0.25">
      <c r="B52" s="46" t="s">
        <v>79</v>
      </c>
      <c r="C52" s="50">
        <v>33</v>
      </c>
      <c r="D52" s="50">
        <v>23</v>
      </c>
      <c r="E52" s="50">
        <v>3</v>
      </c>
      <c r="F52" s="50">
        <v>38</v>
      </c>
      <c r="G52" s="50">
        <v>1</v>
      </c>
      <c r="H52" s="50">
        <v>0</v>
      </c>
      <c r="I52" s="50">
        <v>4</v>
      </c>
      <c r="J52" s="50">
        <v>13</v>
      </c>
      <c r="K52" s="50">
        <v>2</v>
      </c>
      <c r="L52" s="50">
        <v>6</v>
      </c>
      <c r="M52" s="50">
        <v>37</v>
      </c>
      <c r="N52" s="50">
        <v>0</v>
      </c>
      <c r="O52" s="15">
        <f t="shared" si="0"/>
        <v>123</v>
      </c>
      <c r="P52" s="15">
        <f t="shared" si="1"/>
        <v>160</v>
      </c>
      <c r="R52" s="8"/>
      <c r="T52"/>
    </row>
    <row r="53" spans="2:20" ht="23.1" customHeight="1" x14ac:dyDescent="0.25">
      <c r="B53" s="45" t="s">
        <v>80</v>
      </c>
      <c r="C53" s="50">
        <v>35</v>
      </c>
      <c r="D53" s="50">
        <v>27</v>
      </c>
      <c r="E53" s="50">
        <v>6</v>
      </c>
      <c r="F53" s="50">
        <v>34</v>
      </c>
      <c r="G53" s="50">
        <v>0</v>
      </c>
      <c r="H53" s="50">
        <v>0</v>
      </c>
      <c r="I53" s="50">
        <v>9</v>
      </c>
      <c r="J53" s="50">
        <v>4</v>
      </c>
      <c r="K53" s="50">
        <v>6</v>
      </c>
      <c r="L53" s="50">
        <v>5</v>
      </c>
      <c r="M53" s="50">
        <v>43</v>
      </c>
      <c r="N53" s="50">
        <v>0</v>
      </c>
      <c r="O53" s="15">
        <f t="shared" si="0"/>
        <v>126</v>
      </c>
      <c r="P53" s="15">
        <f t="shared" si="1"/>
        <v>169</v>
      </c>
      <c r="R53" s="8"/>
      <c r="T53"/>
    </row>
    <row r="54" spans="2:20" ht="23.1" customHeight="1" x14ac:dyDescent="0.25">
      <c r="B54" s="45" t="s">
        <v>81</v>
      </c>
      <c r="C54" s="50">
        <v>56</v>
      </c>
      <c r="D54" s="50">
        <v>27</v>
      </c>
      <c r="E54" s="50">
        <v>7</v>
      </c>
      <c r="F54" s="50">
        <v>39</v>
      </c>
      <c r="G54" s="50">
        <v>0</v>
      </c>
      <c r="H54" s="50">
        <v>0</v>
      </c>
      <c r="I54" s="50">
        <v>8</v>
      </c>
      <c r="J54" s="50">
        <v>13</v>
      </c>
      <c r="K54" s="50">
        <v>12</v>
      </c>
      <c r="L54" s="50">
        <v>4</v>
      </c>
      <c r="M54" s="50">
        <v>37</v>
      </c>
      <c r="N54" s="50">
        <v>0</v>
      </c>
      <c r="O54" s="15">
        <f t="shared" si="0"/>
        <v>166</v>
      </c>
      <c r="P54" s="15">
        <f t="shared" si="1"/>
        <v>203</v>
      </c>
      <c r="R54" s="8"/>
      <c r="T54"/>
    </row>
    <row r="55" spans="2:20" ht="23.1" customHeight="1" x14ac:dyDescent="0.25">
      <c r="B55" s="45" t="s">
        <v>82</v>
      </c>
      <c r="C55" s="50">
        <v>34</v>
      </c>
      <c r="D55" s="50">
        <v>18</v>
      </c>
      <c r="E55" s="50">
        <v>3</v>
      </c>
      <c r="F55" s="50">
        <v>35</v>
      </c>
      <c r="G55" s="50">
        <v>0</v>
      </c>
      <c r="H55" s="50">
        <v>0</v>
      </c>
      <c r="I55" s="50">
        <v>25</v>
      </c>
      <c r="J55" s="50">
        <v>6</v>
      </c>
      <c r="K55" s="50">
        <v>7</v>
      </c>
      <c r="L55" s="50">
        <v>2</v>
      </c>
      <c r="M55" s="50">
        <v>30</v>
      </c>
      <c r="N55" s="50">
        <v>0</v>
      </c>
      <c r="O55" s="15">
        <f t="shared" si="0"/>
        <v>130</v>
      </c>
      <c r="P55" s="15">
        <f t="shared" si="1"/>
        <v>160</v>
      </c>
      <c r="R55" s="8"/>
      <c r="T55"/>
    </row>
    <row r="56" spans="2:20" ht="23.1" customHeight="1" x14ac:dyDescent="0.25">
      <c r="B56" s="45" t="s">
        <v>83</v>
      </c>
      <c r="C56" s="50">
        <v>31</v>
      </c>
      <c r="D56" s="50">
        <v>14</v>
      </c>
      <c r="E56" s="50">
        <v>8</v>
      </c>
      <c r="F56" s="50">
        <v>26</v>
      </c>
      <c r="G56" s="50">
        <v>0</v>
      </c>
      <c r="H56" s="50">
        <v>0</v>
      </c>
      <c r="I56" s="50">
        <v>22</v>
      </c>
      <c r="J56" s="50">
        <v>8</v>
      </c>
      <c r="K56" s="50">
        <v>4</v>
      </c>
      <c r="L56" s="50">
        <v>12</v>
      </c>
      <c r="M56" s="50">
        <v>41</v>
      </c>
      <c r="N56" s="50">
        <v>0</v>
      </c>
      <c r="O56" s="15">
        <f t="shared" si="0"/>
        <v>125</v>
      </c>
      <c r="P56" s="15">
        <f t="shared" si="1"/>
        <v>166</v>
      </c>
      <c r="R56" s="8"/>
      <c r="T56"/>
    </row>
    <row r="57" spans="2:20" ht="23.1" customHeight="1" x14ac:dyDescent="0.25">
      <c r="B57" s="45" t="s">
        <v>84</v>
      </c>
      <c r="C57" s="50">
        <v>22</v>
      </c>
      <c r="D57" s="50">
        <v>5</v>
      </c>
      <c r="E57" s="50">
        <v>2</v>
      </c>
      <c r="F57" s="50">
        <v>26</v>
      </c>
      <c r="G57" s="50">
        <v>2</v>
      </c>
      <c r="H57" s="50">
        <v>0</v>
      </c>
      <c r="I57" s="50">
        <v>4</v>
      </c>
      <c r="J57" s="50">
        <v>7</v>
      </c>
      <c r="K57" s="50">
        <v>3</v>
      </c>
      <c r="L57" s="50">
        <v>8</v>
      </c>
      <c r="M57" s="50">
        <v>34</v>
      </c>
      <c r="N57" s="50">
        <v>0</v>
      </c>
      <c r="O57" s="15">
        <f t="shared" si="0"/>
        <v>79</v>
      </c>
      <c r="P57" s="15">
        <f t="shared" si="1"/>
        <v>113</v>
      </c>
      <c r="R57" s="8"/>
      <c r="T57"/>
    </row>
    <row r="58" spans="2:20" ht="23.1" customHeight="1" x14ac:dyDescent="0.25">
      <c r="B58" s="45" t="s">
        <v>99</v>
      </c>
      <c r="C58" s="50">
        <v>40</v>
      </c>
      <c r="D58" s="50">
        <v>10</v>
      </c>
      <c r="E58" s="50">
        <v>3</v>
      </c>
      <c r="F58" s="50">
        <v>24</v>
      </c>
      <c r="G58" s="50">
        <v>2</v>
      </c>
      <c r="H58" s="50">
        <v>0</v>
      </c>
      <c r="I58" s="50">
        <v>1</v>
      </c>
      <c r="J58" s="50">
        <v>6</v>
      </c>
      <c r="K58" s="50">
        <v>4</v>
      </c>
      <c r="L58" s="50">
        <v>4</v>
      </c>
      <c r="M58" s="50">
        <v>43</v>
      </c>
      <c r="N58" s="50">
        <v>0</v>
      </c>
      <c r="O58" s="15">
        <f t="shared" si="0"/>
        <v>94</v>
      </c>
      <c r="P58" s="15">
        <f t="shared" si="1"/>
        <v>137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0</v>
      </c>
      <c r="E59" s="50">
        <v>2</v>
      </c>
      <c r="F59" s="50">
        <v>5</v>
      </c>
      <c r="G59" s="50">
        <v>0</v>
      </c>
      <c r="H59" s="50">
        <v>0</v>
      </c>
      <c r="I59" s="50">
        <v>3</v>
      </c>
      <c r="J59" s="50">
        <v>12</v>
      </c>
      <c r="K59" s="50">
        <v>3</v>
      </c>
      <c r="L59" s="50">
        <v>5</v>
      </c>
      <c r="M59" s="50">
        <v>6</v>
      </c>
      <c r="N59" s="50">
        <v>0</v>
      </c>
      <c r="O59" s="15">
        <f t="shared" si="0"/>
        <v>34</v>
      </c>
      <c r="P59" s="15">
        <f t="shared" si="1"/>
        <v>40</v>
      </c>
      <c r="R59" s="8"/>
      <c r="T59"/>
    </row>
    <row r="60" spans="2:20" ht="23.1" customHeight="1" x14ac:dyDescent="0.25">
      <c r="B60" s="45" t="s">
        <v>101</v>
      </c>
      <c r="C60" s="50">
        <v>39</v>
      </c>
      <c r="D60" s="50">
        <v>13</v>
      </c>
      <c r="E60" s="50">
        <v>5</v>
      </c>
      <c r="F60" s="50">
        <v>22</v>
      </c>
      <c r="G60" s="50">
        <v>0</v>
      </c>
      <c r="H60" s="50">
        <v>0</v>
      </c>
      <c r="I60" s="50">
        <v>2</v>
      </c>
      <c r="J60" s="50">
        <v>6</v>
      </c>
      <c r="K60" s="50">
        <v>0</v>
      </c>
      <c r="L60" s="50">
        <v>3</v>
      </c>
      <c r="M60" s="50">
        <v>51</v>
      </c>
      <c r="N60" s="50">
        <v>0</v>
      </c>
      <c r="O60" s="15">
        <f t="shared" si="0"/>
        <v>90</v>
      </c>
      <c r="P60" s="15">
        <f t="shared" si="1"/>
        <v>141</v>
      </c>
      <c r="R60" s="8"/>
      <c r="T60"/>
    </row>
    <row r="61" spans="2:20" ht="23.1" customHeight="1" x14ac:dyDescent="0.25">
      <c r="B61" s="45" t="s">
        <v>102</v>
      </c>
      <c r="C61" s="50">
        <v>29</v>
      </c>
      <c r="D61" s="50">
        <v>8</v>
      </c>
      <c r="E61" s="50">
        <v>4</v>
      </c>
      <c r="F61" s="50">
        <v>30</v>
      </c>
      <c r="G61" s="50">
        <v>0</v>
      </c>
      <c r="H61" s="50">
        <v>0</v>
      </c>
      <c r="I61" s="50">
        <v>1</v>
      </c>
      <c r="J61" s="50">
        <v>3</v>
      </c>
      <c r="K61" s="50">
        <v>4</v>
      </c>
      <c r="L61" s="50">
        <v>0</v>
      </c>
      <c r="M61" s="50">
        <v>47</v>
      </c>
      <c r="N61" s="50">
        <v>0</v>
      </c>
      <c r="O61" s="15">
        <f t="shared" si="0"/>
        <v>79</v>
      </c>
      <c r="P61" s="15">
        <f t="shared" si="1"/>
        <v>126</v>
      </c>
      <c r="R61" s="8"/>
      <c r="T61"/>
    </row>
    <row r="62" spans="2:20" ht="23.1" customHeight="1" x14ac:dyDescent="0.25">
      <c r="B62" s="45" t="s">
        <v>107</v>
      </c>
      <c r="C62" s="50">
        <v>45</v>
      </c>
      <c r="D62" s="50">
        <v>9</v>
      </c>
      <c r="E62" s="50">
        <v>6</v>
      </c>
      <c r="F62" s="50">
        <v>32</v>
      </c>
      <c r="G62" s="50">
        <v>0</v>
      </c>
      <c r="H62" s="50">
        <v>0</v>
      </c>
      <c r="I62" s="50">
        <v>4</v>
      </c>
      <c r="J62" s="50">
        <v>4</v>
      </c>
      <c r="K62" s="50">
        <v>0</v>
      </c>
      <c r="L62" s="50">
        <v>2</v>
      </c>
      <c r="M62" s="50">
        <v>41</v>
      </c>
      <c r="N62" s="50">
        <v>0</v>
      </c>
      <c r="O62" s="15">
        <f t="shared" si="0"/>
        <v>102</v>
      </c>
      <c r="P62" s="15">
        <f t="shared" si="1"/>
        <v>143</v>
      </c>
      <c r="R62" s="8"/>
      <c r="T62"/>
    </row>
    <row r="63" spans="2:20" ht="23.1" customHeight="1" x14ac:dyDescent="0.25">
      <c r="B63" s="45" t="s">
        <v>108</v>
      </c>
      <c r="C63" s="50">
        <v>34</v>
      </c>
      <c r="D63" s="50">
        <v>5</v>
      </c>
      <c r="E63" s="50">
        <v>6</v>
      </c>
      <c r="F63" s="50">
        <v>17</v>
      </c>
      <c r="G63" s="50">
        <v>0</v>
      </c>
      <c r="H63" s="50">
        <v>0</v>
      </c>
      <c r="I63" s="50">
        <v>3</v>
      </c>
      <c r="J63" s="50">
        <v>2</v>
      </c>
      <c r="K63" s="50">
        <v>1</v>
      </c>
      <c r="L63" s="50">
        <v>3</v>
      </c>
      <c r="M63" s="50">
        <v>38</v>
      </c>
      <c r="N63" s="50">
        <v>0</v>
      </c>
      <c r="O63" s="15">
        <f t="shared" si="0"/>
        <v>71</v>
      </c>
      <c r="P63" s="15">
        <f t="shared" si="1"/>
        <v>109</v>
      </c>
      <c r="R63" s="8"/>
      <c r="T63"/>
    </row>
    <row r="64" spans="2:20" ht="23.1" customHeight="1" x14ac:dyDescent="0.25">
      <c r="B64" s="45" t="s">
        <v>109</v>
      </c>
      <c r="C64" s="50">
        <v>34</v>
      </c>
      <c r="D64" s="50">
        <v>6</v>
      </c>
      <c r="E64" s="50">
        <v>3</v>
      </c>
      <c r="F64" s="50">
        <v>20</v>
      </c>
      <c r="G64" s="50">
        <v>1</v>
      </c>
      <c r="H64" s="50">
        <v>0</v>
      </c>
      <c r="I64" s="50">
        <v>4</v>
      </c>
      <c r="J64" s="50">
        <v>1</v>
      </c>
      <c r="K64" s="50">
        <v>0</v>
      </c>
      <c r="L64" s="50">
        <v>3</v>
      </c>
      <c r="M64" s="50">
        <v>37</v>
      </c>
      <c r="N64" s="50">
        <v>0</v>
      </c>
      <c r="O64" s="15">
        <f t="shared" si="0"/>
        <v>72</v>
      </c>
      <c r="P64" s="15">
        <f t="shared" si="1"/>
        <v>109</v>
      </c>
      <c r="R64" s="8"/>
      <c r="T64"/>
    </row>
    <row r="65" spans="2:20" ht="23.1" customHeight="1" x14ac:dyDescent="0.25">
      <c r="B65" s="45" t="s">
        <v>158</v>
      </c>
      <c r="C65" s="50">
        <v>47</v>
      </c>
      <c r="D65" s="50">
        <v>5</v>
      </c>
      <c r="E65" s="50">
        <v>6</v>
      </c>
      <c r="F65" s="50">
        <v>14</v>
      </c>
      <c r="G65" s="50">
        <v>1</v>
      </c>
      <c r="H65" s="50">
        <v>0</v>
      </c>
      <c r="I65" s="50">
        <v>0</v>
      </c>
      <c r="J65" s="50">
        <v>2</v>
      </c>
      <c r="K65" s="50">
        <v>0</v>
      </c>
      <c r="L65" s="50">
        <v>5</v>
      </c>
      <c r="M65" s="50">
        <v>49</v>
      </c>
      <c r="N65" s="50">
        <v>0</v>
      </c>
      <c r="O65" s="15">
        <f t="shared" si="0"/>
        <v>80</v>
      </c>
      <c r="P65" s="15">
        <f t="shared" si="1"/>
        <v>129</v>
      </c>
      <c r="R65" s="8"/>
      <c r="T65"/>
    </row>
    <row r="66" spans="2:20" ht="23.1" customHeight="1" x14ac:dyDescent="0.25">
      <c r="B66" s="45" t="s">
        <v>103</v>
      </c>
      <c r="C66" s="50">
        <v>41</v>
      </c>
      <c r="D66" s="50">
        <v>6</v>
      </c>
      <c r="E66" s="50">
        <v>10</v>
      </c>
      <c r="F66" s="50">
        <v>30</v>
      </c>
      <c r="G66" s="50">
        <v>1</v>
      </c>
      <c r="H66" s="50">
        <v>0</v>
      </c>
      <c r="I66" s="50">
        <v>7</v>
      </c>
      <c r="J66" s="50">
        <v>3</v>
      </c>
      <c r="K66" s="50">
        <v>3</v>
      </c>
      <c r="L66" s="50">
        <v>5</v>
      </c>
      <c r="M66" s="50">
        <v>31</v>
      </c>
      <c r="N66" s="50">
        <v>0</v>
      </c>
      <c r="O66" s="15">
        <f t="shared" si="0"/>
        <v>106</v>
      </c>
      <c r="P66" s="15">
        <f t="shared" si="1"/>
        <v>137</v>
      </c>
      <c r="R66" s="8"/>
      <c r="T66"/>
    </row>
    <row r="67" spans="2:20" ht="23.1" customHeight="1" x14ac:dyDescent="0.25">
      <c r="B67" s="45" t="s">
        <v>104</v>
      </c>
      <c r="C67" s="50">
        <v>37</v>
      </c>
      <c r="D67" s="50">
        <v>3</v>
      </c>
      <c r="E67" s="50">
        <v>5</v>
      </c>
      <c r="F67" s="50">
        <v>14</v>
      </c>
      <c r="G67" s="50">
        <v>0</v>
      </c>
      <c r="H67" s="50">
        <v>0</v>
      </c>
      <c r="I67" s="50">
        <v>1</v>
      </c>
      <c r="J67" s="50">
        <v>1</v>
      </c>
      <c r="K67" s="50">
        <v>6</v>
      </c>
      <c r="L67" s="50">
        <v>4</v>
      </c>
      <c r="M67" s="50">
        <v>12</v>
      </c>
      <c r="N67" s="50">
        <v>0</v>
      </c>
      <c r="O67" s="15">
        <f t="shared" si="0"/>
        <v>71</v>
      </c>
      <c r="P67" s="15">
        <f t="shared" si="1"/>
        <v>83</v>
      </c>
      <c r="R67" s="8"/>
      <c r="T67"/>
    </row>
    <row r="68" spans="2:20" ht="23.1" customHeight="1" x14ac:dyDescent="0.25">
      <c r="B68" s="45" t="s">
        <v>105</v>
      </c>
      <c r="C68" s="50">
        <v>39</v>
      </c>
      <c r="D68" s="50">
        <v>3</v>
      </c>
      <c r="E68" s="50">
        <v>5</v>
      </c>
      <c r="F68" s="50">
        <v>28</v>
      </c>
      <c r="G68" s="50">
        <v>1</v>
      </c>
      <c r="H68" s="50">
        <v>0</v>
      </c>
      <c r="I68" s="50">
        <v>1</v>
      </c>
      <c r="J68" s="50">
        <v>7</v>
      </c>
      <c r="K68" s="50">
        <v>6</v>
      </c>
      <c r="L68" s="50">
        <v>2</v>
      </c>
      <c r="M68" s="50">
        <v>21</v>
      </c>
      <c r="N68" s="50">
        <v>0</v>
      </c>
      <c r="O68" s="15">
        <f t="shared" si="0"/>
        <v>92</v>
      </c>
      <c r="P68" s="15">
        <f t="shared" si="1"/>
        <v>113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8</v>
      </c>
      <c r="E69" s="50">
        <v>5</v>
      </c>
      <c r="F69" s="50">
        <v>29</v>
      </c>
      <c r="G69" s="50">
        <v>1</v>
      </c>
      <c r="H69" s="50">
        <v>0</v>
      </c>
      <c r="I69" s="50">
        <v>4</v>
      </c>
      <c r="J69" s="50">
        <v>5</v>
      </c>
      <c r="K69" s="50">
        <v>3</v>
      </c>
      <c r="L69" s="50">
        <v>2</v>
      </c>
      <c r="M69" s="50">
        <v>31</v>
      </c>
      <c r="N69" s="50">
        <v>0</v>
      </c>
      <c r="O69" s="15">
        <f t="shared" si="0"/>
        <v>107</v>
      </c>
      <c r="P69" s="15">
        <f t="shared" si="1"/>
        <v>138</v>
      </c>
      <c r="R69" s="8"/>
      <c r="T69"/>
    </row>
    <row r="70" spans="2:20" ht="23.1" customHeight="1" x14ac:dyDescent="0.25">
      <c r="B70" s="45" t="s">
        <v>110</v>
      </c>
      <c r="C70" s="50">
        <v>50</v>
      </c>
      <c r="D70" s="50">
        <v>5</v>
      </c>
      <c r="E70" s="50">
        <v>6</v>
      </c>
      <c r="F70" s="50">
        <v>23</v>
      </c>
      <c r="G70" s="50">
        <v>0</v>
      </c>
      <c r="H70" s="50">
        <v>0</v>
      </c>
      <c r="I70" s="50">
        <v>3</v>
      </c>
      <c r="J70" s="50">
        <v>1</v>
      </c>
      <c r="K70" s="50">
        <v>3</v>
      </c>
      <c r="L70" s="50">
        <v>7</v>
      </c>
      <c r="M70" s="50">
        <v>21</v>
      </c>
      <c r="N70" s="50">
        <v>0</v>
      </c>
      <c r="O70" s="15">
        <f t="shared" si="0"/>
        <v>98</v>
      </c>
      <c r="P70" s="15">
        <f t="shared" si="1"/>
        <v>119</v>
      </c>
      <c r="R70" s="8"/>
      <c r="T70"/>
    </row>
    <row r="71" spans="2:20" ht="23.1" customHeight="1" x14ac:dyDescent="0.25">
      <c r="B71" s="45" t="s">
        <v>111</v>
      </c>
      <c r="C71" s="50">
        <v>16</v>
      </c>
      <c r="D71" s="50">
        <v>10</v>
      </c>
      <c r="E71" s="50">
        <v>2</v>
      </c>
      <c r="F71" s="50">
        <v>19</v>
      </c>
      <c r="G71" s="50">
        <v>5</v>
      </c>
      <c r="H71" s="50">
        <v>0</v>
      </c>
      <c r="I71" s="50">
        <v>1</v>
      </c>
      <c r="J71" s="50">
        <v>3</v>
      </c>
      <c r="K71" s="50">
        <v>1</v>
      </c>
      <c r="L71" s="50">
        <v>5</v>
      </c>
      <c r="M71" s="50">
        <v>14</v>
      </c>
      <c r="N71" s="50">
        <v>0</v>
      </c>
      <c r="O71" s="15">
        <f t="shared" si="0"/>
        <v>62</v>
      </c>
      <c r="P71" s="15">
        <f t="shared" si="1"/>
        <v>76</v>
      </c>
      <c r="R71" s="8"/>
      <c r="T71"/>
    </row>
    <row r="72" spans="2:20" ht="23.1" customHeight="1" x14ac:dyDescent="0.25">
      <c r="B72" s="45" t="s">
        <v>112</v>
      </c>
      <c r="C72" s="50">
        <v>38</v>
      </c>
      <c r="D72" s="50">
        <v>5</v>
      </c>
      <c r="E72" s="50">
        <v>2</v>
      </c>
      <c r="F72" s="50">
        <v>16</v>
      </c>
      <c r="G72" s="50">
        <v>1</v>
      </c>
      <c r="H72" s="50">
        <v>0</v>
      </c>
      <c r="I72" s="50">
        <v>2</v>
      </c>
      <c r="J72" s="50">
        <v>4</v>
      </c>
      <c r="K72" s="50">
        <v>1</v>
      </c>
      <c r="L72" s="50">
        <v>1</v>
      </c>
      <c r="M72" s="50">
        <v>15</v>
      </c>
      <c r="N72" s="50">
        <v>0</v>
      </c>
      <c r="O72" s="15">
        <f t="shared" si="0"/>
        <v>70</v>
      </c>
      <c r="P72" s="15">
        <f t="shared" si="1"/>
        <v>85</v>
      </c>
      <c r="R72" s="8"/>
      <c r="T72"/>
    </row>
    <row r="73" spans="2:20" ht="23.1" customHeight="1" x14ac:dyDescent="0.25">
      <c r="B73" s="45" t="s">
        <v>113</v>
      </c>
      <c r="C73" s="50">
        <v>27</v>
      </c>
      <c r="D73" s="50">
        <v>3</v>
      </c>
      <c r="E73" s="50">
        <v>6</v>
      </c>
      <c r="F73" s="50">
        <v>17</v>
      </c>
      <c r="G73" s="50">
        <v>1</v>
      </c>
      <c r="H73" s="50">
        <v>0</v>
      </c>
      <c r="I73" s="50">
        <v>0</v>
      </c>
      <c r="J73" s="50">
        <v>11</v>
      </c>
      <c r="K73" s="50">
        <v>2</v>
      </c>
      <c r="L73" s="50">
        <v>8</v>
      </c>
      <c r="M73" s="50">
        <v>13</v>
      </c>
      <c r="N73" s="50">
        <v>0</v>
      </c>
      <c r="O73" s="15">
        <f t="shared" si="0"/>
        <v>75</v>
      </c>
      <c r="P73" s="15">
        <f t="shared" si="1"/>
        <v>88</v>
      </c>
      <c r="R73" s="8"/>
      <c r="T73"/>
    </row>
    <row r="74" spans="2:20" ht="23.1" customHeight="1" x14ac:dyDescent="0.25">
      <c r="B74" s="45" t="s">
        <v>114</v>
      </c>
      <c r="C74" s="50">
        <v>46</v>
      </c>
      <c r="D74" s="50">
        <v>6</v>
      </c>
      <c r="E74" s="50">
        <v>7</v>
      </c>
      <c r="F74" s="50">
        <v>21</v>
      </c>
      <c r="G74" s="50">
        <v>1</v>
      </c>
      <c r="H74" s="50">
        <v>0</v>
      </c>
      <c r="I74" s="50">
        <v>2</v>
      </c>
      <c r="J74" s="50">
        <v>8</v>
      </c>
      <c r="K74" s="50">
        <v>1</v>
      </c>
      <c r="L74" s="50">
        <v>2</v>
      </c>
      <c r="M74" s="50">
        <v>12</v>
      </c>
      <c r="N74" s="50">
        <v>0</v>
      </c>
      <c r="O74" s="15">
        <f t="shared" ref="O74:O105" si="35">SUM(C74:L74,N74)</f>
        <v>94</v>
      </c>
      <c r="P74" s="15">
        <f t="shared" ref="P74:P105" si="36">SUM(C74:N74)</f>
        <v>106</v>
      </c>
      <c r="R74" s="8"/>
      <c r="T74"/>
    </row>
    <row r="75" spans="2:20" ht="23.1" customHeight="1" x14ac:dyDescent="0.25">
      <c r="B75" s="45" t="s">
        <v>115</v>
      </c>
      <c r="C75" s="50">
        <v>13</v>
      </c>
      <c r="D75" s="50">
        <v>0</v>
      </c>
      <c r="E75" s="50">
        <v>1</v>
      </c>
      <c r="F75" s="50">
        <v>10</v>
      </c>
      <c r="G75" s="50">
        <v>1</v>
      </c>
      <c r="H75" s="50">
        <v>0</v>
      </c>
      <c r="I75" s="50">
        <v>1</v>
      </c>
      <c r="J75" s="50">
        <v>3</v>
      </c>
      <c r="K75" s="50">
        <v>0</v>
      </c>
      <c r="L75" s="50">
        <v>1</v>
      </c>
      <c r="M75" s="50">
        <v>10</v>
      </c>
      <c r="N75" s="50">
        <v>0</v>
      </c>
      <c r="O75" s="15">
        <f t="shared" si="35"/>
        <v>30</v>
      </c>
      <c r="P75" s="15">
        <f t="shared" si="36"/>
        <v>40</v>
      </c>
      <c r="R75" s="8"/>
      <c r="T75"/>
    </row>
    <row r="76" spans="2:20" ht="23.1" customHeight="1" x14ac:dyDescent="0.25">
      <c r="B76" s="45" t="s">
        <v>116</v>
      </c>
      <c r="C76" s="50">
        <v>17</v>
      </c>
      <c r="D76" s="50">
        <v>4</v>
      </c>
      <c r="E76" s="50">
        <v>2</v>
      </c>
      <c r="F76" s="50">
        <v>14</v>
      </c>
      <c r="G76" s="50">
        <v>0</v>
      </c>
      <c r="H76" s="50">
        <v>0</v>
      </c>
      <c r="I76" s="50">
        <v>2</v>
      </c>
      <c r="J76" s="50">
        <v>3</v>
      </c>
      <c r="K76" s="50">
        <v>0</v>
      </c>
      <c r="L76" s="50">
        <v>2</v>
      </c>
      <c r="M76" s="50">
        <v>11</v>
      </c>
      <c r="N76" s="50">
        <v>0</v>
      </c>
      <c r="O76" s="15">
        <f t="shared" si="35"/>
        <v>44</v>
      </c>
      <c r="P76" s="15">
        <f t="shared" si="36"/>
        <v>55</v>
      </c>
      <c r="R76" s="8"/>
      <c r="T76"/>
    </row>
    <row r="77" spans="2:20" ht="23.1" customHeight="1" x14ac:dyDescent="0.25">
      <c r="B77" s="45" t="s">
        <v>117</v>
      </c>
      <c r="C77" s="50">
        <v>15</v>
      </c>
      <c r="D77" s="50">
        <v>5</v>
      </c>
      <c r="E77" s="50">
        <v>2</v>
      </c>
      <c r="F77" s="50">
        <v>8</v>
      </c>
      <c r="G77" s="50">
        <v>0</v>
      </c>
      <c r="H77" s="50">
        <v>0</v>
      </c>
      <c r="I77" s="50">
        <v>1</v>
      </c>
      <c r="J77" s="50">
        <v>2</v>
      </c>
      <c r="K77" s="50">
        <v>0</v>
      </c>
      <c r="L77" s="50">
        <v>1</v>
      </c>
      <c r="M77" s="50">
        <v>2</v>
      </c>
      <c r="N77" s="50">
        <v>0</v>
      </c>
      <c r="O77" s="15">
        <f t="shared" si="35"/>
        <v>34</v>
      </c>
      <c r="P77" s="15">
        <f t="shared" si="36"/>
        <v>36</v>
      </c>
      <c r="R77" s="8"/>
      <c r="T77"/>
    </row>
    <row r="78" spans="2:20" ht="23.1" customHeight="1" x14ac:dyDescent="0.25">
      <c r="B78" s="46" t="s">
        <v>118</v>
      </c>
      <c r="C78" s="50">
        <v>22</v>
      </c>
      <c r="D78" s="50">
        <v>2</v>
      </c>
      <c r="E78" s="50">
        <v>3</v>
      </c>
      <c r="F78" s="50">
        <v>11</v>
      </c>
      <c r="G78" s="50">
        <v>0</v>
      </c>
      <c r="H78" s="50">
        <v>0</v>
      </c>
      <c r="I78" s="50">
        <v>3</v>
      </c>
      <c r="J78" s="50">
        <v>7</v>
      </c>
      <c r="K78" s="50">
        <v>0</v>
      </c>
      <c r="L78" s="50">
        <v>2</v>
      </c>
      <c r="M78" s="50">
        <v>9</v>
      </c>
      <c r="N78" s="50">
        <v>0</v>
      </c>
      <c r="O78" s="15">
        <f t="shared" si="35"/>
        <v>50</v>
      </c>
      <c r="P78" s="15">
        <f t="shared" si="36"/>
        <v>59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1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2</v>
      </c>
      <c r="K79" s="50">
        <v>0</v>
      </c>
      <c r="L79" s="50">
        <v>5</v>
      </c>
      <c r="M79" s="50">
        <v>3</v>
      </c>
      <c r="N79" s="50">
        <v>0</v>
      </c>
      <c r="O79" s="15">
        <f t="shared" si="35"/>
        <v>17</v>
      </c>
      <c r="P79" s="15">
        <f t="shared" si="36"/>
        <v>20</v>
      </c>
      <c r="R79" s="8"/>
      <c r="T79"/>
    </row>
    <row r="80" spans="2:20" ht="23.1" customHeight="1" x14ac:dyDescent="0.25">
      <c r="B80" s="47" t="s">
        <v>120</v>
      </c>
      <c r="C80" s="50">
        <v>13</v>
      </c>
      <c r="D80" s="50">
        <v>2</v>
      </c>
      <c r="E80" s="50">
        <v>2</v>
      </c>
      <c r="F80" s="50">
        <v>3</v>
      </c>
      <c r="G80" s="50">
        <v>0</v>
      </c>
      <c r="H80" s="50">
        <v>0</v>
      </c>
      <c r="I80" s="50">
        <v>4</v>
      </c>
      <c r="J80" s="50">
        <v>3</v>
      </c>
      <c r="K80" s="50">
        <v>0</v>
      </c>
      <c r="L80" s="50">
        <v>4</v>
      </c>
      <c r="M80" s="50">
        <v>7</v>
      </c>
      <c r="N80" s="50">
        <v>0</v>
      </c>
      <c r="O80" s="15">
        <f t="shared" si="35"/>
        <v>31</v>
      </c>
      <c r="P80" s="15">
        <f t="shared" si="36"/>
        <v>38</v>
      </c>
      <c r="R80" s="8"/>
      <c r="T80"/>
    </row>
    <row r="81" spans="2:20" ht="23.1" customHeight="1" x14ac:dyDescent="0.25">
      <c r="B81" s="45" t="s">
        <v>121</v>
      </c>
      <c r="C81" s="50">
        <v>8</v>
      </c>
      <c r="D81" s="50">
        <v>2</v>
      </c>
      <c r="E81" s="50">
        <v>1</v>
      </c>
      <c r="F81" s="50">
        <v>5</v>
      </c>
      <c r="G81" s="50">
        <v>0</v>
      </c>
      <c r="H81" s="50">
        <v>0</v>
      </c>
      <c r="I81" s="50">
        <v>1</v>
      </c>
      <c r="J81" s="50">
        <v>1</v>
      </c>
      <c r="K81" s="50">
        <v>2</v>
      </c>
      <c r="L81" s="50">
        <v>0</v>
      </c>
      <c r="M81" s="50">
        <v>4</v>
      </c>
      <c r="N81" s="50">
        <v>0</v>
      </c>
      <c r="O81" s="15">
        <f t="shared" si="35"/>
        <v>20</v>
      </c>
      <c r="P81" s="15">
        <f t="shared" si="36"/>
        <v>24</v>
      </c>
      <c r="R81" s="8"/>
      <c r="T81"/>
    </row>
    <row r="82" spans="2:20" ht="23.1" customHeight="1" x14ac:dyDescent="0.25">
      <c r="B82" s="46" t="s">
        <v>122</v>
      </c>
      <c r="C82" s="50">
        <v>14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2</v>
      </c>
      <c r="J82" s="50">
        <v>3</v>
      </c>
      <c r="K82" s="50">
        <v>1</v>
      </c>
      <c r="L82" s="50">
        <v>1</v>
      </c>
      <c r="M82" s="50">
        <v>6</v>
      </c>
      <c r="N82" s="50">
        <v>0</v>
      </c>
      <c r="O82" s="15">
        <f t="shared" si="35"/>
        <v>23</v>
      </c>
      <c r="P82" s="15">
        <f t="shared" si="36"/>
        <v>29</v>
      </c>
      <c r="R82" s="8"/>
      <c r="T82"/>
    </row>
    <row r="83" spans="2:20" ht="23.1" customHeight="1" x14ac:dyDescent="0.25">
      <c r="B83" s="45" t="s">
        <v>123</v>
      </c>
      <c r="C83" s="50">
        <v>12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3</v>
      </c>
      <c r="K83" s="50">
        <v>2</v>
      </c>
      <c r="L83" s="50">
        <v>1</v>
      </c>
      <c r="M83" s="50">
        <v>5</v>
      </c>
      <c r="N83" s="50">
        <v>0</v>
      </c>
      <c r="O83" s="15">
        <f t="shared" si="35"/>
        <v>20</v>
      </c>
      <c r="P83" s="15">
        <f t="shared" si="36"/>
        <v>25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2</v>
      </c>
      <c r="E84" s="50">
        <v>1</v>
      </c>
      <c r="F84" s="50">
        <v>0</v>
      </c>
      <c r="G84" s="50">
        <v>1</v>
      </c>
      <c r="H84" s="50">
        <v>0</v>
      </c>
      <c r="I84" s="50">
        <v>2</v>
      </c>
      <c r="J84" s="50">
        <v>2</v>
      </c>
      <c r="K84" s="50">
        <v>2</v>
      </c>
      <c r="L84" s="50">
        <v>0</v>
      </c>
      <c r="M84" s="50">
        <v>3</v>
      </c>
      <c r="N84" s="50">
        <v>0</v>
      </c>
      <c r="O84" s="15">
        <f t="shared" si="35"/>
        <v>17</v>
      </c>
      <c r="P84" s="15">
        <f t="shared" si="36"/>
        <v>20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1</v>
      </c>
      <c r="J85" s="50">
        <v>3</v>
      </c>
      <c r="K85" s="50">
        <v>0</v>
      </c>
      <c r="L85" s="50">
        <v>2</v>
      </c>
      <c r="M85" s="50">
        <v>0</v>
      </c>
      <c r="N85" s="50">
        <v>0</v>
      </c>
      <c r="O85" s="15">
        <f t="shared" si="35"/>
        <v>8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1</v>
      </c>
      <c r="E86" s="50">
        <v>0</v>
      </c>
      <c r="F86" s="50">
        <v>0</v>
      </c>
      <c r="G86" s="50">
        <v>2</v>
      </c>
      <c r="H86" s="50">
        <v>1</v>
      </c>
      <c r="I86" s="50">
        <v>0</v>
      </c>
      <c r="J86" s="50">
        <v>0</v>
      </c>
      <c r="K86" s="50">
        <v>1</v>
      </c>
      <c r="L86" s="50">
        <v>2</v>
      </c>
      <c r="M86" s="50">
        <v>0</v>
      </c>
      <c r="N86" s="50">
        <v>0</v>
      </c>
      <c r="O86" s="15">
        <f t="shared" si="35"/>
        <v>8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5"/>
        <v>7</v>
      </c>
      <c r="P87" s="15">
        <f t="shared" si="36"/>
        <v>7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1</v>
      </c>
      <c r="H88" s="50">
        <v>0</v>
      </c>
      <c r="I88" s="50">
        <v>0</v>
      </c>
      <c r="J88" s="50">
        <v>1</v>
      </c>
      <c r="K88" s="50">
        <v>3</v>
      </c>
      <c r="L88" s="50">
        <v>0</v>
      </c>
      <c r="M88" s="50">
        <v>0</v>
      </c>
      <c r="N88" s="50">
        <v>0</v>
      </c>
      <c r="O88" s="15">
        <f t="shared" si="35"/>
        <v>7</v>
      </c>
      <c r="P88" s="15">
        <f t="shared" si="36"/>
        <v>7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4</v>
      </c>
      <c r="K89" s="50">
        <v>1</v>
      </c>
      <c r="L89" s="50">
        <v>0</v>
      </c>
      <c r="M89" s="50">
        <v>1</v>
      </c>
      <c r="N89" s="50">
        <v>0</v>
      </c>
      <c r="O89" s="15">
        <f t="shared" si="35"/>
        <v>8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2</v>
      </c>
      <c r="J90" s="50">
        <v>2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8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0</v>
      </c>
      <c r="F91" s="50">
        <v>1</v>
      </c>
      <c r="G91" s="50">
        <v>0</v>
      </c>
      <c r="H91" s="50">
        <v>0</v>
      </c>
      <c r="I91" s="50">
        <v>2</v>
      </c>
      <c r="J91" s="50">
        <v>3</v>
      </c>
      <c r="K91" s="50">
        <v>1</v>
      </c>
      <c r="L91" s="50">
        <v>2</v>
      </c>
      <c r="M91" s="50">
        <v>1</v>
      </c>
      <c r="N91" s="50">
        <v>0</v>
      </c>
      <c r="O91" s="15">
        <f t="shared" si="35"/>
        <v>11</v>
      </c>
      <c r="P91" s="15">
        <f t="shared" si="36"/>
        <v>12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3</v>
      </c>
      <c r="K92" s="50">
        <v>3</v>
      </c>
      <c r="L92" s="50">
        <v>0</v>
      </c>
      <c r="M92" s="50">
        <v>1</v>
      </c>
      <c r="N92" s="50">
        <v>0</v>
      </c>
      <c r="O92" s="15">
        <f t="shared" si="35"/>
        <v>10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3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2</v>
      </c>
      <c r="K93" s="50">
        <v>1</v>
      </c>
      <c r="L93" s="50">
        <v>0</v>
      </c>
      <c r="M93" s="50">
        <v>1</v>
      </c>
      <c r="N93" s="50">
        <v>0</v>
      </c>
      <c r="O93" s="15">
        <f t="shared" si="35"/>
        <v>9</v>
      </c>
      <c r="P93" s="15">
        <f t="shared" si="36"/>
        <v>10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1</v>
      </c>
      <c r="E94" s="50">
        <v>1</v>
      </c>
      <c r="F94" s="50">
        <v>1</v>
      </c>
      <c r="G94" s="50">
        <v>0</v>
      </c>
      <c r="H94" s="50">
        <v>0</v>
      </c>
      <c r="I94" s="50">
        <v>0</v>
      </c>
      <c r="J94" s="50">
        <v>4</v>
      </c>
      <c r="K94" s="50">
        <v>7</v>
      </c>
      <c r="L94" s="50">
        <v>0</v>
      </c>
      <c r="M94" s="50">
        <v>4</v>
      </c>
      <c r="N94" s="50">
        <v>0</v>
      </c>
      <c r="O94" s="15">
        <f t="shared" si="35"/>
        <v>17</v>
      </c>
      <c r="P94" s="15">
        <f t="shared" si="36"/>
        <v>21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1</v>
      </c>
      <c r="F95" s="50">
        <v>1</v>
      </c>
      <c r="G95" s="50">
        <v>0</v>
      </c>
      <c r="H95" s="50">
        <v>0</v>
      </c>
      <c r="I95" s="50">
        <v>1</v>
      </c>
      <c r="J95" s="50">
        <v>2</v>
      </c>
      <c r="K95" s="50">
        <v>3</v>
      </c>
      <c r="L95" s="50">
        <v>2</v>
      </c>
      <c r="M95" s="50">
        <v>0</v>
      </c>
      <c r="N95" s="50">
        <v>0</v>
      </c>
      <c r="O95" s="15">
        <f t="shared" si="35"/>
        <v>13</v>
      </c>
      <c r="P95" s="15">
        <f t="shared" si="36"/>
        <v>13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1</v>
      </c>
      <c r="L96" s="50">
        <v>1</v>
      </c>
      <c r="M96" s="50">
        <v>2</v>
      </c>
      <c r="N96" s="50">
        <v>0</v>
      </c>
      <c r="O96" s="15">
        <f t="shared" si="35"/>
        <v>6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1</v>
      </c>
      <c r="J97" s="50">
        <v>7</v>
      </c>
      <c r="K97" s="50">
        <v>0</v>
      </c>
      <c r="L97" s="50">
        <v>3</v>
      </c>
      <c r="M97" s="50">
        <v>3</v>
      </c>
      <c r="N97" s="50">
        <v>0</v>
      </c>
      <c r="O97" s="15">
        <f t="shared" si="35"/>
        <v>17</v>
      </c>
      <c r="P97" s="15">
        <f t="shared" si="36"/>
        <v>20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1</v>
      </c>
      <c r="J98" s="50">
        <v>5</v>
      </c>
      <c r="K98" s="50">
        <v>1</v>
      </c>
      <c r="L98" s="50">
        <v>2</v>
      </c>
      <c r="M98" s="50">
        <v>1</v>
      </c>
      <c r="N98" s="50">
        <v>0</v>
      </c>
      <c r="O98" s="15">
        <f t="shared" si="35"/>
        <v>15</v>
      </c>
      <c r="P98" s="15">
        <f t="shared" si="36"/>
        <v>16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2</v>
      </c>
      <c r="J99" s="50">
        <v>2</v>
      </c>
      <c r="K99" s="50">
        <v>1</v>
      </c>
      <c r="L99" s="50">
        <v>1</v>
      </c>
      <c r="M99" s="50">
        <v>0</v>
      </c>
      <c r="N99" s="50">
        <v>0</v>
      </c>
      <c r="O99" s="15">
        <f t="shared" si="35"/>
        <v>9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2</v>
      </c>
      <c r="F100" s="50">
        <v>3</v>
      </c>
      <c r="G100" s="50">
        <v>0</v>
      </c>
      <c r="H100" s="50">
        <v>0</v>
      </c>
      <c r="I100" s="50">
        <v>2</v>
      </c>
      <c r="J100" s="50">
        <v>7</v>
      </c>
      <c r="K100" s="50">
        <v>0</v>
      </c>
      <c r="L100" s="50">
        <v>1</v>
      </c>
      <c r="M100" s="50">
        <v>5</v>
      </c>
      <c r="N100" s="50">
        <v>0</v>
      </c>
      <c r="O100" s="15">
        <f t="shared" si="35"/>
        <v>18</v>
      </c>
      <c r="P100" s="15">
        <f t="shared" si="36"/>
        <v>23</v>
      </c>
      <c r="R100" s="8"/>
      <c r="T100"/>
    </row>
    <row r="101" spans="2:20" ht="23.1" customHeight="1" x14ac:dyDescent="0.25">
      <c r="B101" s="45" t="s">
        <v>141</v>
      </c>
      <c r="C101" s="50">
        <v>12</v>
      </c>
      <c r="D101" s="50">
        <v>0</v>
      </c>
      <c r="E101" s="50">
        <v>2</v>
      </c>
      <c r="F101" s="50">
        <v>5</v>
      </c>
      <c r="G101" s="50">
        <v>0</v>
      </c>
      <c r="H101" s="50">
        <v>0</v>
      </c>
      <c r="I101" s="50">
        <v>3</v>
      </c>
      <c r="J101" s="50">
        <v>8</v>
      </c>
      <c r="K101" s="50">
        <v>0</v>
      </c>
      <c r="L101" s="50">
        <v>1</v>
      </c>
      <c r="M101" s="50">
        <v>3</v>
      </c>
      <c r="N101" s="50">
        <v>0</v>
      </c>
      <c r="O101" s="15">
        <f t="shared" si="35"/>
        <v>31</v>
      </c>
      <c r="P101" s="15">
        <f t="shared" si="36"/>
        <v>34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2</v>
      </c>
      <c r="E102" s="50">
        <v>1</v>
      </c>
      <c r="F102" s="50">
        <v>3</v>
      </c>
      <c r="G102" s="50">
        <v>0</v>
      </c>
      <c r="H102" s="50">
        <v>0</v>
      </c>
      <c r="I102" s="50">
        <v>2</v>
      </c>
      <c r="J102" s="50">
        <v>8</v>
      </c>
      <c r="K102" s="50">
        <v>0</v>
      </c>
      <c r="L102" s="50">
        <v>2</v>
      </c>
      <c r="M102" s="50">
        <v>0</v>
      </c>
      <c r="N102" s="50">
        <v>0</v>
      </c>
      <c r="O102" s="15">
        <f t="shared" si="35"/>
        <v>21</v>
      </c>
      <c r="P102" s="15">
        <f t="shared" si="36"/>
        <v>21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2</v>
      </c>
      <c r="E103" s="50">
        <v>0</v>
      </c>
      <c r="F103" s="50">
        <v>10</v>
      </c>
      <c r="G103" s="50">
        <v>0</v>
      </c>
      <c r="H103" s="50">
        <v>0</v>
      </c>
      <c r="I103" s="50">
        <v>4</v>
      </c>
      <c r="J103" s="50">
        <v>2</v>
      </c>
      <c r="K103" s="50">
        <v>3</v>
      </c>
      <c r="L103" s="50">
        <v>4</v>
      </c>
      <c r="M103" s="50">
        <v>1</v>
      </c>
      <c r="N103" s="50">
        <v>0</v>
      </c>
      <c r="O103" s="15">
        <f t="shared" si="35"/>
        <v>28</v>
      </c>
      <c r="P103" s="15">
        <f t="shared" si="36"/>
        <v>29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0</v>
      </c>
      <c r="E104" s="50">
        <v>3</v>
      </c>
      <c r="F104" s="50">
        <v>7</v>
      </c>
      <c r="G104" s="50">
        <v>0</v>
      </c>
      <c r="H104" s="50">
        <v>1</v>
      </c>
      <c r="I104" s="50">
        <v>2</v>
      </c>
      <c r="J104" s="50">
        <v>4</v>
      </c>
      <c r="K104" s="50">
        <v>0</v>
      </c>
      <c r="L104" s="50">
        <v>3</v>
      </c>
      <c r="M104" s="50">
        <v>14</v>
      </c>
      <c r="N104" s="50">
        <v>0</v>
      </c>
      <c r="O104" s="15">
        <f t="shared" si="35"/>
        <v>30</v>
      </c>
      <c r="P104" s="15">
        <f t="shared" si="36"/>
        <v>44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7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2</v>
      </c>
      <c r="M105" s="50">
        <v>12</v>
      </c>
      <c r="N105" s="50">
        <v>0</v>
      </c>
      <c r="O105" s="15">
        <f t="shared" si="35"/>
        <v>10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2045</v>
      </c>
      <c r="D106" s="16">
        <f t="shared" ref="D106:P106" si="37">SUM(D10:D105)</f>
        <v>772</v>
      </c>
      <c r="E106" s="16">
        <f t="shared" si="37"/>
        <v>365</v>
      </c>
      <c r="F106" s="16">
        <f t="shared" si="37"/>
        <v>1705</v>
      </c>
      <c r="G106" s="16">
        <f t="shared" si="37"/>
        <v>34</v>
      </c>
      <c r="H106" s="16">
        <f t="shared" si="37"/>
        <v>6</v>
      </c>
      <c r="I106" s="16">
        <f t="shared" si="37"/>
        <v>378</v>
      </c>
      <c r="J106" s="16">
        <f t="shared" si="37"/>
        <v>398</v>
      </c>
      <c r="K106" s="16">
        <f t="shared" si="37"/>
        <v>264</v>
      </c>
      <c r="L106" s="16">
        <f t="shared" si="37"/>
        <v>312</v>
      </c>
      <c r="M106" s="16">
        <f t="shared" si="37"/>
        <v>2380</v>
      </c>
      <c r="N106" s="16">
        <f t="shared" si="37"/>
        <v>1</v>
      </c>
      <c r="O106" s="16">
        <f t="shared" si="37"/>
        <v>6280</v>
      </c>
      <c r="P106" s="16">
        <f t="shared" si="37"/>
        <v>8660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0.2361431870669746</v>
      </c>
      <c r="D107" s="43">
        <f t="shared" si="38"/>
        <v>8.9145496535796773E-2</v>
      </c>
      <c r="E107" s="43">
        <f t="shared" si="38"/>
        <v>4.214780600461894E-2</v>
      </c>
      <c r="F107" s="43">
        <f t="shared" si="38"/>
        <v>0.19688221709006928</v>
      </c>
      <c r="G107" s="43">
        <f t="shared" si="38"/>
        <v>3.9260969976905313E-3</v>
      </c>
      <c r="H107" s="43">
        <f t="shared" si="38"/>
        <v>6.928406466512702E-4</v>
      </c>
      <c r="I107" s="43">
        <f t="shared" si="38"/>
        <v>4.3648960739030025E-2</v>
      </c>
      <c r="J107" s="43">
        <f t="shared" si="38"/>
        <v>4.5958429561200921E-2</v>
      </c>
      <c r="K107" s="43">
        <f t="shared" si="38"/>
        <v>3.048498845265589E-2</v>
      </c>
      <c r="L107" s="43">
        <f t="shared" si="38"/>
        <v>3.6027713625866049E-2</v>
      </c>
      <c r="M107" s="43">
        <f t="shared" si="38"/>
        <v>0.27482678983833719</v>
      </c>
      <c r="N107" s="43">
        <f t="shared" si="38"/>
        <v>1.1547344110854503E-4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0.32563694267515925</v>
      </c>
      <c r="D108" s="44">
        <f t="shared" ref="D108:N108" si="39">D106/$O$106</f>
        <v>0.12292993630573248</v>
      </c>
      <c r="E108" s="44">
        <f t="shared" si="39"/>
        <v>5.8121019108280256E-2</v>
      </c>
      <c r="F108" s="44">
        <f t="shared" si="39"/>
        <v>0.27149681528662423</v>
      </c>
      <c r="G108" s="44">
        <f t="shared" si="39"/>
        <v>5.4140127388535028E-3</v>
      </c>
      <c r="H108" s="44">
        <f t="shared" si="39"/>
        <v>9.5541401273885351E-4</v>
      </c>
      <c r="I108" s="44">
        <f t="shared" si="39"/>
        <v>6.0191082802547771E-2</v>
      </c>
      <c r="J108" s="44">
        <f t="shared" si="39"/>
        <v>6.3375796178343949E-2</v>
      </c>
      <c r="K108" s="44">
        <f t="shared" si="39"/>
        <v>4.2038216560509552E-2</v>
      </c>
      <c r="L108" s="44">
        <f t="shared" si="39"/>
        <v>4.9681528662420385E-2</v>
      </c>
      <c r="M108" s="44"/>
      <c r="N108" s="44">
        <f t="shared" si="39"/>
        <v>1.5923566878980891E-4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Nalya-Bweyogerere-24h'!D5</f>
        <v>03.08.19</v>
      </c>
      <c r="E5" s="3"/>
      <c r="F5" s="41" t="s">
        <v>1</v>
      </c>
      <c r="G5" s="64" t="str">
        <f>'03.08 Nalya-Bweyogerere-24h'!G5:H5</f>
        <v>Signs and Symbols</v>
      </c>
      <c r="H5" s="65"/>
      <c r="I5" s="14"/>
      <c r="J5" s="2" t="s">
        <v>5</v>
      </c>
      <c r="K5" s="64" t="str">
        <f>'03.08 Nalya-Bweyogerere-24h'!K5:L5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'03.08 Nalya-Bweyogerere-24h'!K6:L6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</v>
      </c>
      <c r="D10" s="50">
        <v>16</v>
      </c>
      <c r="E10" s="50">
        <v>5</v>
      </c>
      <c r="F10" s="50">
        <v>15</v>
      </c>
      <c r="G10" s="50">
        <v>0</v>
      </c>
      <c r="H10" s="50">
        <v>0</v>
      </c>
      <c r="I10" s="50">
        <v>1</v>
      </c>
      <c r="J10" s="50">
        <v>1</v>
      </c>
      <c r="K10" s="50">
        <v>5</v>
      </c>
      <c r="L10" s="50">
        <v>4</v>
      </c>
      <c r="M10" s="50">
        <v>13</v>
      </c>
      <c r="N10" s="50">
        <v>0</v>
      </c>
      <c r="O10" s="15">
        <f t="shared" ref="O10:O73" si="0">SUM(C10:L10,N10)</f>
        <v>58</v>
      </c>
      <c r="P10" s="15">
        <f t="shared" ref="P10:P73" si="1">SUM(C10:N10)</f>
        <v>71</v>
      </c>
      <c r="R10" s="1" t="s">
        <v>6</v>
      </c>
      <c r="S10" s="17">
        <f t="shared" ref="S10:AF10" si="2">SUM(C10:C13)</f>
        <v>68</v>
      </c>
      <c r="T10" s="17">
        <f t="shared" si="2"/>
        <v>24</v>
      </c>
      <c r="U10" s="17">
        <f t="shared" si="2"/>
        <v>19</v>
      </c>
      <c r="V10" s="17">
        <f t="shared" si="2"/>
        <v>84</v>
      </c>
      <c r="W10" s="17">
        <f t="shared" si="2"/>
        <v>0</v>
      </c>
      <c r="X10" s="17">
        <f t="shared" si="2"/>
        <v>1</v>
      </c>
      <c r="Y10" s="17">
        <f t="shared" si="2"/>
        <v>10</v>
      </c>
      <c r="Z10" s="17">
        <f t="shared" si="2"/>
        <v>10</v>
      </c>
      <c r="AA10" s="17">
        <f t="shared" si="2"/>
        <v>13</v>
      </c>
      <c r="AB10" s="17">
        <f t="shared" si="2"/>
        <v>16</v>
      </c>
      <c r="AC10" s="17">
        <f t="shared" si="2"/>
        <v>94</v>
      </c>
      <c r="AD10" s="17">
        <f t="shared" si="2"/>
        <v>0</v>
      </c>
      <c r="AE10" s="31">
        <f t="shared" si="2"/>
        <v>245</v>
      </c>
      <c r="AF10" s="31">
        <f t="shared" si="2"/>
        <v>339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0</v>
      </c>
      <c r="E11" s="50">
        <v>5</v>
      </c>
      <c r="F11" s="50">
        <v>20</v>
      </c>
      <c r="G11" s="50">
        <v>0</v>
      </c>
      <c r="H11" s="50">
        <v>0</v>
      </c>
      <c r="I11" s="50">
        <v>1</v>
      </c>
      <c r="J11" s="50">
        <v>1</v>
      </c>
      <c r="K11" s="50">
        <v>5</v>
      </c>
      <c r="L11" s="50">
        <v>1</v>
      </c>
      <c r="M11" s="50">
        <v>20</v>
      </c>
      <c r="N11" s="50">
        <v>0</v>
      </c>
      <c r="O11" s="15">
        <f t="shared" si="0"/>
        <v>46</v>
      </c>
      <c r="P11" s="15">
        <f t="shared" si="1"/>
        <v>66</v>
      </c>
      <c r="R11" s="1" t="s">
        <v>7</v>
      </c>
      <c r="S11" s="17">
        <f t="shared" ref="S11:AF11" si="3">SUM(C14:C17)</f>
        <v>114</v>
      </c>
      <c r="T11" s="17">
        <f t="shared" si="3"/>
        <v>28</v>
      </c>
      <c r="U11" s="17">
        <f t="shared" si="3"/>
        <v>22</v>
      </c>
      <c r="V11" s="17">
        <f t="shared" si="3"/>
        <v>103</v>
      </c>
      <c r="W11" s="17">
        <f t="shared" si="3"/>
        <v>2</v>
      </c>
      <c r="X11" s="17">
        <f t="shared" si="3"/>
        <v>0</v>
      </c>
      <c r="Y11" s="17">
        <f t="shared" si="3"/>
        <v>19</v>
      </c>
      <c r="Z11" s="17">
        <f t="shared" si="3"/>
        <v>18</v>
      </c>
      <c r="AA11" s="17">
        <f t="shared" si="3"/>
        <v>6</v>
      </c>
      <c r="AB11" s="17">
        <f t="shared" si="3"/>
        <v>14</v>
      </c>
      <c r="AC11" s="17">
        <f t="shared" si="3"/>
        <v>149</v>
      </c>
      <c r="AD11" s="17">
        <f t="shared" si="3"/>
        <v>0</v>
      </c>
      <c r="AE11" s="31">
        <f t="shared" si="3"/>
        <v>326</v>
      </c>
      <c r="AF11" s="31">
        <f t="shared" si="3"/>
        <v>475</v>
      </c>
    </row>
    <row r="12" spans="2:32" ht="23.1" customHeight="1" x14ac:dyDescent="0.25">
      <c r="B12" s="45" t="s">
        <v>39</v>
      </c>
      <c r="C12" s="50">
        <v>20</v>
      </c>
      <c r="D12" s="50">
        <v>2</v>
      </c>
      <c r="E12" s="50">
        <v>2</v>
      </c>
      <c r="F12" s="50">
        <v>27</v>
      </c>
      <c r="G12" s="50">
        <v>0</v>
      </c>
      <c r="H12" s="50">
        <v>0</v>
      </c>
      <c r="I12" s="50">
        <v>4</v>
      </c>
      <c r="J12" s="50">
        <v>1</v>
      </c>
      <c r="K12" s="50">
        <v>2</v>
      </c>
      <c r="L12" s="50">
        <v>7</v>
      </c>
      <c r="M12" s="50">
        <v>27</v>
      </c>
      <c r="N12" s="50">
        <v>0</v>
      </c>
      <c r="O12" s="15">
        <f t="shared" si="0"/>
        <v>65</v>
      </c>
      <c r="P12" s="15">
        <f t="shared" si="1"/>
        <v>92</v>
      </c>
      <c r="R12" s="1" t="s">
        <v>8</v>
      </c>
      <c r="S12" s="17">
        <f t="shared" ref="S12:AF12" si="4">SUM(C18:C21)</f>
        <v>214</v>
      </c>
      <c r="T12" s="17">
        <f t="shared" si="4"/>
        <v>34</v>
      </c>
      <c r="U12" s="17">
        <f t="shared" si="4"/>
        <v>20</v>
      </c>
      <c r="V12" s="17">
        <f t="shared" si="4"/>
        <v>105</v>
      </c>
      <c r="W12" s="17">
        <f t="shared" si="4"/>
        <v>9</v>
      </c>
      <c r="X12" s="17">
        <f t="shared" si="4"/>
        <v>0</v>
      </c>
      <c r="Y12" s="17">
        <f t="shared" si="4"/>
        <v>27</v>
      </c>
      <c r="Z12" s="17">
        <f t="shared" si="4"/>
        <v>15</v>
      </c>
      <c r="AA12" s="17">
        <f t="shared" si="4"/>
        <v>7</v>
      </c>
      <c r="AB12" s="17">
        <f t="shared" si="4"/>
        <v>18</v>
      </c>
      <c r="AC12" s="17">
        <f t="shared" si="4"/>
        <v>178</v>
      </c>
      <c r="AD12" s="17">
        <f t="shared" si="4"/>
        <v>0</v>
      </c>
      <c r="AE12" s="31">
        <f t="shared" si="4"/>
        <v>449</v>
      </c>
      <c r="AF12" s="31">
        <f t="shared" si="4"/>
        <v>627</v>
      </c>
    </row>
    <row r="13" spans="2:32" ht="23.1" customHeight="1" x14ac:dyDescent="0.25">
      <c r="B13" s="45" t="s">
        <v>40</v>
      </c>
      <c r="C13" s="50">
        <v>24</v>
      </c>
      <c r="D13" s="50">
        <v>6</v>
      </c>
      <c r="E13" s="50">
        <v>7</v>
      </c>
      <c r="F13" s="50">
        <v>22</v>
      </c>
      <c r="G13" s="50">
        <v>0</v>
      </c>
      <c r="H13" s="50">
        <v>1</v>
      </c>
      <c r="I13" s="50">
        <v>4</v>
      </c>
      <c r="J13" s="50">
        <v>7</v>
      </c>
      <c r="K13" s="50">
        <v>1</v>
      </c>
      <c r="L13" s="50">
        <v>4</v>
      </c>
      <c r="M13" s="50">
        <v>34</v>
      </c>
      <c r="N13" s="50">
        <v>0</v>
      </c>
      <c r="O13" s="15">
        <f t="shared" si="0"/>
        <v>76</v>
      </c>
      <c r="P13" s="15">
        <f t="shared" si="1"/>
        <v>110</v>
      </c>
      <c r="R13" s="1" t="s">
        <v>9</v>
      </c>
      <c r="S13" s="17">
        <f t="shared" ref="S13:AF13" si="5">SUM(C22:C25)</f>
        <v>191</v>
      </c>
      <c r="T13" s="17">
        <f t="shared" si="5"/>
        <v>46</v>
      </c>
      <c r="U13" s="17">
        <f t="shared" si="5"/>
        <v>40</v>
      </c>
      <c r="V13" s="17">
        <f t="shared" si="5"/>
        <v>103</v>
      </c>
      <c r="W13" s="17">
        <f t="shared" si="5"/>
        <v>10</v>
      </c>
      <c r="X13" s="17">
        <f t="shared" si="5"/>
        <v>0</v>
      </c>
      <c r="Y13" s="17">
        <f t="shared" si="5"/>
        <v>17</v>
      </c>
      <c r="Z13" s="17">
        <f t="shared" si="5"/>
        <v>15</v>
      </c>
      <c r="AA13" s="17">
        <f t="shared" si="5"/>
        <v>13</v>
      </c>
      <c r="AB13" s="17">
        <f t="shared" si="5"/>
        <v>20</v>
      </c>
      <c r="AC13" s="17">
        <f t="shared" si="5"/>
        <v>138</v>
      </c>
      <c r="AD13" s="17">
        <f t="shared" si="5"/>
        <v>0</v>
      </c>
      <c r="AE13" s="31">
        <f t="shared" si="5"/>
        <v>455</v>
      </c>
      <c r="AF13" s="31">
        <f t="shared" si="5"/>
        <v>593</v>
      </c>
    </row>
    <row r="14" spans="2:32" ht="23.1" customHeight="1" x14ac:dyDescent="0.25">
      <c r="B14" s="45" t="s">
        <v>41</v>
      </c>
      <c r="C14" s="50">
        <v>22</v>
      </c>
      <c r="D14" s="50">
        <v>8</v>
      </c>
      <c r="E14" s="50">
        <v>8</v>
      </c>
      <c r="F14" s="50">
        <v>23</v>
      </c>
      <c r="G14" s="50">
        <v>1</v>
      </c>
      <c r="H14" s="50">
        <v>0</v>
      </c>
      <c r="I14" s="50">
        <v>2</v>
      </c>
      <c r="J14" s="50">
        <v>8</v>
      </c>
      <c r="K14" s="50">
        <v>1</v>
      </c>
      <c r="L14" s="50">
        <v>7</v>
      </c>
      <c r="M14" s="50">
        <v>39</v>
      </c>
      <c r="N14" s="50">
        <v>0</v>
      </c>
      <c r="O14" s="15">
        <f t="shared" si="0"/>
        <v>80</v>
      </c>
      <c r="P14" s="15">
        <f t="shared" si="1"/>
        <v>119</v>
      </c>
      <c r="R14" s="1" t="s">
        <v>10</v>
      </c>
      <c r="S14" s="17">
        <f t="shared" ref="S14:AF14" si="6">SUM(C26:C29)</f>
        <v>251</v>
      </c>
      <c r="T14" s="17">
        <f t="shared" si="6"/>
        <v>58</v>
      </c>
      <c r="U14" s="17">
        <f t="shared" si="6"/>
        <v>40</v>
      </c>
      <c r="V14" s="17">
        <f t="shared" si="6"/>
        <v>97</v>
      </c>
      <c r="W14" s="17">
        <f t="shared" si="6"/>
        <v>9</v>
      </c>
      <c r="X14" s="17">
        <f t="shared" si="6"/>
        <v>0</v>
      </c>
      <c r="Y14" s="17">
        <f t="shared" si="6"/>
        <v>17</v>
      </c>
      <c r="Z14" s="17">
        <f t="shared" si="6"/>
        <v>18</v>
      </c>
      <c r="AA14" s="17">
        <f t="shared" si="6"/>
        <v>17</v>
      </c>
      <c r="AB14" s="17">
        <f t="shared" si="6"/>
        <v>25</v>
      </c>
      <c r="AC14" s="17">
        <f t="shared" si="6"/>
        <v>144</v>
      </c>
      <c r="AD14" s="17">
        <f t="shared" si="6"/>
        <v>0</v>
      </c>
      <c r="AE14" s="31">
        <f t="shared" si="6"/>
        <v>532</v>
      </c>
      <c r="AF14" s="31">
        <f t="shared" si="6"/>
        <v>676</v>
      </c>
    </row>
    <row r="15" spans="2:32" ht="23.1" customHeight="1" x14ac:dyDescent="0.25">
      <c r="B15" s="45" t="s">
        <v>42</v>
      </c>
      <c r="C15" s="50">
        <v>19</v>
      </c>
      <c r="D15" s="50">
        <v>4</v>
      </c>
      <c r="E15" s="50">
        <v>4</v>
      </c>
      <c r="F15" s="50">
        <v>25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2</v>
      </c>
      <c r="M15" s="50">
        <v>38</v>
      </c>
      <c r="N15" s="50">
        <v>0</v>
      </c>
      <c r="O15" s="15">
        <f t="shared" si="0"/>
        <v>57</v>
      </c>
      <c r="P15" s="15">
        <f t="shared" si="1"/>
        <v>95</v>
      </c>
      <c r="R15" s="1" t="s">
        <v>11</v>
      </c>
      <c r="S15" s="17">
        <f t="shared" ref="S15:AF15" si="7">SUM(C30:C33)</f>
        <v>243</v>
      </c>
      <c r="T15" s="17">
        <f t="shared" si="7"/>
        <v>43</v>
      </c>
      <c r="U15" s="17">
        <f t="shared" si="7"/>
        <v>30</v>
      </c>
      <c r="V15" s="17">
        <f t="shared" si="7"/>
        <v>110</v>
      </c>
      <c r="W15" s="17">
        <f t="shared" si="7"/>
        <v>1</v>
      </c>
      <c r="X15" s="17">
        <f t="shared" si="7"/>
        <v>0</v>
      </c>
      <c r="Y15" s="17">
        <f t="shared" si="7"/>
        <v>29</v>
      </c>
      <c r="Z15" s="17">
        <f t="shared" si="7"/>
        <v>31</v>
      </c>
      <c r="AA15" s="17">
        <f t="shared" si="7"/>
        <v>10</v>
      </c>
      <c r="AB15" s="17">
        <f t="shared" si="7"/>
        <v>10</v>
      </c>
      <c r="AC15" s="17">
        <f t="shared" si="7"/>
        <v>144</v>
      </c>
      <c r="AD15" s="17">
        <f t="shared" si="7"/>
        <v>0</v>
      </c>
      <c r="AE15" s="31">
        <f t="shared" si="7"/>
        <v>507</v>
      </c>
      <c r="AF15" s="31">
        <f t="shared" si="7"/>
        <v>651</v>
      </c>
    </row>
    <row r="16" spans="2:32" ht="23.1" customHeight="1" x14ac:dyDescent="0.25">
      <c r="B16" s="45" t="s">
        <v>43</v>
      </c>
      <c r="C16" s="50">
        <v>29</v>
      </c>
      <c r="D16" s="50">
        <v>4</v>
      </c>
      <c r="E16" s="50">
        <v>6</v>
      </c>
      <c r="F16" s="50">
        <v>26</v>
      </c>
      <c r="G16" s="50">
        <v>0</v>
      </c>
      <c r="H16" s="50">
        <v>0</v>
      </c>
      <c r="I16" s="50">
        <v>3</v>
      </c>
      <c r="J16" s="50">
        <v>3</v>
      </c>
      <c r="K16" s="50">
        <v>2</v>
      </c>
      <c r="L16" s="50">
        <v>2</v>
      </c>
      <c r="M16" s="50">
        <v>30</v>
      </c>
      <c r="N16" s="50">
        <v>0</v>
      </c>
      <c r="O16" s="15">
        <f t="shared" si="0"/>
        <v>75</v>
      </c>
      <c r="P16" s="15">
        <f t="shared" si="1"/>
        <v>105</v>
      </c>
      <c r="R16" s="1" t="s">
        <v>12</v>
      </c>
      <c r="S16" s="17">
        <f t="shared" ref="S16:AF16" si="8">SUM(C34:C37)</f>
        <v>178</v>
      </c>
      <c r="T16" s="17">
        <f t="shared" si="8"/>
        <v>53</v>
      </c>
      <c r="U16" s="17">
        <f t="shared" si="8"/>
        <v>25</v>
      </c>
      <c r="V16" s="17">
        <f t="shared" si="8"/>
        <v>83</v>
      </c>
      <c r="W16" s="17">
        <f t="shared" si="8"/>
        <v>1</v>
      </c>
      <c r="X16" s="17">
        <f t="shared" si="8"/>
        <v>0</v>
      </c>
      <c r="Y16" s="17">
        <f t="shared" si="8"/>
        <v>24</v>
      </c>
      <c r="Z16" s="17">
        <f t="shared" si="8"/>
        <v>21</v>
      </c>
      <c r="AA16" s="17">
        <f t="shared" si="8"/>
        <v>10</v>
      </c>
      <c r="AB16" s="17">
        <f t="shared" si="8"/>
        <v>21</v>
      </c>
      <c r="AC16" s="17">
        <f t="shared" si="8"/>
        <v>135</v>
      </c>
      <c r="AD16" s="17">
        <f t="shared" si="8"/>
        <v>0</v>
      </c>
      <c r="AE16" s="31">
        <f t="shared" si="8"/>
        <v>416</v>
      </c>
      <c r="AF16" s="31">
        <f t="shared" si="8"/>
        <v>551</v>
      </c>
    </row>
    <row r="17" spans="2:32" ht="23.1" customHeight="1" x14ac:dyDescent="0.25">
      <c r="B17" s="45" t="s">
        <v>44</v>
      </c>
      <c r="C17" s="50">
        <v>44</v>
      </c>
      <c r="D17" s="50">
        <v>12</v>
      </c>
      <c r="E17" s="50">
        <v>4</v>
      </c>
      <c r="F17" s="50">
        <v>29</v>
      </c>
      <c r="G17" s="50">
        <v>1</v>
      </c>
      <c r="H17" s="50">
        <v>0</v>
      </c>
      <c r="I17" s="50">
        <v>13</v>
      </c>
      <c r="J17" s="50">
        <v>6</v>
      </c>
      <c r="K17" s="50">
        <v>2</v>
      </c>
      <c r="L17" s="50">
        <v>3</v>
      </c>
      <c r="M17" s="50">
        <v>42</v>
      </c>
      <c r="N17" s="50">
        <v>0</v>
      </c>
      <c r="O17" s="15">
        <f t="shared" si="0"/>
        <v>114</v>
      </c>
      <c r="P17" s="15">
        <f t="shared" si="1"/>
        <v>156</v>
      </c>
      <c r="R17" s="1" t="s">
        <v>13</v>
      </c>
      <c r="S17" s="17">
        <f t="shared" ref="S17:AF17" si="9">SUM(C38:C41)</f>
        <v>149</v>
      </c>
      <c r="T17" s="17">
        <f t="shared" si="9"/>
        <v>88</v>
      </c>
      <c r="U17" s="17">
        <f t="shared" si="9"/>
        <v>24</v>
      </c>
      <c r="V17" s="17">
        <f t="shared" si="9"/>
        <v>74</v>
      </c>
      <c r="W17" s="17">
        <f t="shared" si="9"/>
        <v>2</v>
      </c>
      <c r="X17" s="17">
        <f t="shared" si="9"/>
        <v>0</v>
      </c>
      <c r="Y17" s="17">
        <f t="shared" si="9"/>
        <v>23</v>
      </c>
      <c r="Z17" s="17">
        <f t="shared" si="9"/>
        <v>16</v>
      </c>
      <c r="AA17" s="17">
        <f t="shared" si="9"/>
        <v>26</v>
      </c>
      <c r="AB17" s="17">
        <f t="shared" si="9"/>
        <v>21</v>
      </c>
      <c r="AC17" s="17">
        <f t="shared" si="9"/>
        <v>143</v>
      </c>
      <c r="AD17" s="17">
        <f t="shared" si="9"/>
        <v>0</v>
      </c>
      <c r="AE17" s="31">
        <f t="shared" si="9"/>
        <v>423</v>
      </c>
      <c r="AF17" s="31">
        <f t="shared" si="9"/>
        <v>566</v>
      </c>
    </row>
    <row r="18" spans="2:32" ht="23.1" customHeight="1" x14ac:dyDescent="0.25">
      <c r="B18" s="45" t="s">
        <v>45</v>
      </c>
      <c r="C18" s="50">
        <v>54</v>
      </c>
      <c r="D18" s="50">
        <v>6</v>
      </c>
      <c r="E18" s="50">
        <v>4</v>
      </c>
      <c r="F18" s="50">
        <v>29</v>
      </c>
      <c r="G18" s="50">
        <v>2</v>
      </c>
      <c r="H18" s="50">
        <v>0</v>
      </c>
      <c r="I18" s="50">
        <v>6</v>
      </c>
      <c r="J18" s="50">
        <v>2</v>
      </c>
      <c r="K18" s="50">
        <v>2</v>
      </c>
      <c r="L18" s="50">
        <v>5</v>
      </c>
      <c r="M18" s="50">
        <v>35</v>
      </c>
      <c r="N18" s="50">
        <v>0</v>
      </c>
      <c r="O18" s="15">
        <f t="shared" si="0"/>
        <v>110</v>
      </c>
      <c r="P18" s="15">
        <f t="shared" si="1"/>
        <v>145</v>
      </c>
      <c r="R18" s="1" t="s">
        <v>14</v>
      </c>
      <c r="S18" s="17">
        <f t="shared" ref="S18:AF18" si="10">SUM(C42:C45)</f>
        <v>92</v>
      </c>
      <c r="T18" s="17">
        <f t="shared" si="10"/>
        <v>66</v>
      </c>
      <c r="U18" s="17">
        <f t="shared" si="10"/>
        <v>24</v>
      </c>
      <c r="V18" s="17">
        <f t="shared" si="10"/>
        <v>69</v>
      </c>
      <c r="W18" s="17">
        <f t="shared" si="10"/>
        <v>2</v>
      </c>
      <c r="X18" s="17">
        <f t="shared" si="10"/>
        <v>0</v>
      </c>
      <c r="Y18" s="17">
        <f t="shared" si="10"/>
        <v>34</v>
      </c>
      <c r="Z18" s="17">
        <f t="shared" si="10"/>
        <v>16</v>
      </c>
      <c r="AA18" s="17">
        <f t="shared" si="10"/>
        <v>11</v>
      </c>
      <c r="AB18" s="17">
        <f t="shared" si="10"/>
        <v>17</v>
      </c>
      <c r="AC18" s="17">
        <f t="shared" si="10"/>
        <v>129</v>
      </c>
      <c r="AD18" s="17">
        <f t="shared" si="10"/>
        <v>0</v>
      </c>
      <c r="AE18" s="31">
        <f t="shared" si="10"/>
        <v>331</v>
      </c>
      <c r="AF18" s="31">
        <f t="shared" si="10"/>
        <v>460</v>
      </c>
    </row>
    <row r="19" spans="2:32" ht="23.1" customHeight="1" x14ac:dyDescent="0.25">
      <c r="B19" s="45" t="s">
        <v>46</v>
      </c>
      <c r="C19" s="50">
        <v>41</v>
      </c>
      <c r="D19" s="50">
        <v>12</v>
      </c>
      <c r="E19" s="50">
        <v>4</v>
      </c>
      <c r="F19" s="50">
        <v>27</v>
      </c>
      <c r="G19" s="50">
        <v>3</v>
      </c>
      <c r="H19" s="50">
        <v>0</v>
      </c>
      <c r="I19" s="50">
        <v>8</v>
      </c>
      <c r="J19" s="50">
        <v>6</v>
      </c>
      <c r="K19" s="50">
        <v>2</v>
      </c>
      <c r="L19" s="50">
        <v>2</v>
      </c>
      <c r="M19" s="50">
        <v>56</v>
      </c>
      <c r="N19" s="50">
        <v>0</v>
      </c>
      <c r="O19" s="15">
        <f t="shared" si="0"/>
        <v>105</v>
      </c>
      <c r="P19" s="15">
        <f t="shared" si="1"/>
        <v>161</v>
      </c>
      <c r="R19" s="1" t="s">
        <v>15</v>
      </c>
      <c r="S19" s="17">
        <f t="shared" ref="S19:AF19" si="11">SUM(C46:C49)</f>
        <v>108</v>
      </c>
      <c r="T19" s="17">
        <f t="shared" si="11"/>
        <v>34</v>
      </c>
      <c r="U19" s="17">
        <f t="shared" si="11"/>
        <v>19</v>
      </c>
      <c r="V19" s="17">
        <f t="shared" si="11"/>
        <v>91</v>
      </c>
      <c r="W19" s="17">
        <f t="shared" si="11"/>
        <v>0</v>
      </c>
      <c r="X19" s="17">
        <f t="shared" si="11"/>
        <v>0</v>
      </c>
      <c r="Y19" s="17">
        <f t="shared" si="11"/>
        <v>20</v>
      </c>
      <c r="Z19" s="17">
        <f t="shared" si="11"/>
        <v>12</v>
      </c>
      <c r="AA19" s="17">
        <f t="shared" si="11"/>
        <v>20</v>
      </c>
      <c r="AB19" s="17">
        <f t="shared" si="11"/>
        <v>16</v>
      </c>
      <c r="AC19" s="17">
        <f t="shared" si="11"/>
        <v>154</v>
      </c>
      <c r="AD19" s="17">
        <f t="shared" si="11"/>
        <v>0</v>
      </c>
      <c r="AE19" s="31">
        <f t="shared" si="11"/>
        <v>320</v>
      </c>
      <c r="AF19" s="31">
        <f t="shared" si="11"/>
        <v>474</v>
      </c>
    </row>
    <row r="20" spans="2:32" ht="23.1" customHeight="1" x14ac:dyDescent="0.25">
      <c r="B20" s="45" t="s">
        <v>47</v>
      </c>
      <c r="C20" s="50">
        <v>71</v>
      </c>
      <c r="D20" s="50">
        <v>12</v>
      </c>
      <c r="E20" s="50">
        <v>10</v>
      </c>
      <c r="F20" s="50">
        <v>16</v>
      </c>
      <c r="G20" s="50">
        <v>2</v>
      </c>
      <c r="H20" s="50">
        <v>0</v>
      </c>
      <c r="I20" s="50">
        <v>7</v>
      </c>
      <c r="J20" s="50">
        <v>5</v>
      </c>
      <c r="K20" s="50">
        <v>0</v>
      </c>
      <c r="L20" s="50">
        <v>1</v>
      </c>
      <c r="M20" s="50">
        <v>45</v>
      </c>
      <c r="N20" s="50">
        <v>0</v>
      </c>
      <c r="O20" s="15">
        <f t="shared" si="0"/>
        <v>124</v>
      </c>
      <c r="P20" s="15">
        <f t="shared" si="1"/>
        <v>169</v>
      </c>
      <c r="R20" s="1" t="s">
        <v>16</v>
      </c>
      <c r="S20" s="17">
        <f t="shared" ref="S20:AF20" si="12">SUM(C50:C53)</f>
        <v>108</v>
      </c>
      <c r="T20" s="17">
        <f t="shared" si="12"/>
        <v>43</v>
      </c>
      <c r="U20" s="17">
        <f t="shared" si="12"/>
        <v>33</v>
      </c>
      <c r="V20" s="17">
        <f t="shared" si="12"/>
        <v>116</v>
      </c>
      <c r="W20" s="17">
        <f t="shared" si="12"/>
        <v>2</v>
      </c>
      <c r="X20" s="17">
        <f t="shared" si="12"/>
        <v>0</v>
      </c>
      <c r="Y20" s="17">
        <f t="shared" si="12"/>
        <v>17</v>
      </c>
      <c r="Z20" s="17">
        <f t="shared" si="12"/>
        <v>26</v>
      </c>
      <c r="AA20" s="17">
        <f t="shared" si="12"/>
        <v>8</v>
      </c>
      <c r="AB20" s="17">
        <f t="shared" si="12"/>
        <v>18</v>
      </c>
      <c r="AC20" s="17">
        <f t="shared" si="12"/>
        <v>166</v>
      </c>
      <c r="AD20" s="17">
        <f t="shared" si="12"/>
        <v>0</v>
      </c>
      <c r="AE20" s="31">
        <f t="shared" si="12"/>
        <v>371</v>
      </c>
      <c r="AF20" s="31">
        <f t="shared" si="12"/>
        <v>537</v>
      </c>
    </row>
    <row r="21" spans="2:32" ht="23.1" customHeight="1" x14ac:dyDescent="0.25">
      <c r="B21" s="45" t="s">
        <v>48</v>
      </c>
      <c r="C21" s="50">
        <v>48</v>
      </c>
      <c r="D21" s="50">
        <v>4</v>
      </c>
      <c r="E21" s="50">
        <v>2</v>
      </c>
      <c r="F21" s="50">
        <v>33</v>
      </c>
      <c r="G21" s="50">
        <v>2</v>
      </c>
      <c r="H21" s="50">
        <v>0</v>
      </c>
      <c r="I21" s="50">
        <v>6</v>
      </c>
      <c r="J21" s="50">
        <v>2</v>
      </c>
      <c r="K21" s="50">
        <v>3</v>
      </c>
      <c r="L21" s="50">
        <v>10</v>
      </c>
      <c r="M21" s="50">
        <v>42</v>
      </c>
      <c r="N21" s="50">
        <v>0</v>
      </c>
      <c r="O21" s="15">
        <f t="shared" si="0"/>
        <v>110</v>
      </c>
      <c r="P21" s="15">
        <f t="shared" si="1"/>
        <v>152</v>
      </c>
      <c r="R21" s="36" t="s">
        <v>20</v>
      </c>
      <c r="S21" s="34">
        <f t="shared" ref="S21:AF21" si="13">SUM(C54:C57)</f>
        <v>213</v>
      </c>
      <c r="T21" s="17">
        <f t="shared" si="13"/>
        <v>72</v>
      </c>
      <c r="U21" s="17">
        <f t="shared" si="13"/>
        <v>27</v>
      </c>
      <c r="V21" s="17">
        <f t="shared" si="13"/>
        <v>179</v>
      </c>
      <c r="W21" s="17">
        <f t="shared" si="13"/>
        <v>1</v>
      </c>
      <c r="X21" s="17">
        <f t="shared" si="13"/>
        <v>0</v>
      </c>
      <c r="Y21" s="17">
        <f t="shared" si="13"/>
        <v>30</v>
      </c>
      <c r="Z21" s="17">
        <f t="shared" si="13"/>
        <v>38</v>
      </c>
      <c r="AA21" s="17">
        <f t="shared" si="13"/>
        <v>32</v>
      </c>
      <c r="AB21" s="17">
        <f t="shared" si="13"/>
        <v>15</v>
      </c>
      <c r="AC21" s="17">
        <f t="shared" si="13"/>
        <v>222</v>
      </c>
      <c r="AD21" s="17">
        <f t="shared" si="13"/>
        <v>0</v>
      </c>
      <c r="AE21" s="31">
        <f t="shared" si="13"/>
        <v>607</v>
      </c>
      <c r="AF21" s="31">
        <f t="shared" si="13"/>
        <v>829</v>
      </c>
    </row>
    <row r="22" spans="2:32" ht="23.1" customHeight="1" x14ac:dyDescent="0.25">
      <c r="B22" s="45" t="s">
        <v>49</v>
      </c>
      <c r="C22" s="50">
        <v>47</v>
      </c>
      <c r="D22" s="50">
        <v>11</v>
      </c>
      <c r="E22" s="50">
        <v>9</v>
      </c>
      <c r="F22" s="50">
        <v>20</v>
      </c>
      <c r="G22" s="50">
        <v>2</v>
      </c>
      <c r="H22" s="50">
        <v>0</v>
      </c>
      <c r="I22" s="50">
        <v>3</v>
      </c>
      <c r="J22" s="50">
        <v>4</v>
      </c>
      <c r="K22" s="50">
        <v>3</v>
      </c>
      <c r="L22" s="50">
        <v>7</v>
      </c>
      <c r="M22" s="50">
        <v>30</v>
      </c>
      <c r="N22" s="50">
        <v>0</v>
      </c>
      <c r="O22" s="15">
        <f t="shared" si="0"/>
        <v>106</v>
      </c>
      <c r="P22" s="15">
        <f t="shared" si="1"/>
        <v>136</v>
      </c>
      <c r="R22" s="36" t="s">
        <v>146</v>
      </c>
      <c r="S22" s="34">
        <f>SUM(C58:C61)</f>
        <v>73</v>
      </c>
      <c r="T22" s="34">
        <f t="shared" ref="T22:AF22" si="14">SUM(D58:D61)</f>
        <v>42</v>
      </c>
      <c r="U22" s="34">
        <f t="shared" si="14"/>
        <v>15</v>
      </c>
      <c r="V22" s="34">
        <f t="shared" si="14"/>
        <v>75</v>
      </c>
      <c r="W22" s="34">
        <f t="shared" si="14"/>
        <v>2</v>
      </c>
      <c r="X22" s="34">
        <f t="shared" si="14"/>
        <v>0</v>
      </c>
      <c r="Y22" s="34">
        <f t="shared" si="14"/>
        <v>6</v>
      </c>
      <c r="Z22" s="34">
        <f t="shared" si="14"/>
        <v>17</v>
      </c>
      <c r="AA22" s="34">
        <f t="shared" si="14"/>
        <v>11</v>
      </c>
      <c r="AB22" s="34">
        <f t="shared" si="14"/>
        <v>12</v>
      </c>
      <c r="AC22" s="34">
        <f t="shared" si="14"/>
        <v>117</v>
      </c>
      <c r="AD22" s="34">
        <f t="shared" si="14"/>
        <v>0</v>
      </c>
      <c r="AE22" s="31">
        <f t="shared" si="14"/>
        <v>253</v>
      </c>
      <c r="AF22" s="31">
        <f t="shared" si="14"/>
        <v>370</v>
      </c>
    </row>
    <row r="23" spans="2:32" ht="23.1" customHeight="1" x14ac:dyDescent="0.25">
      <c r="B23" s="45" t="s">
        <v>50</v>
      </c>
      <c r="C23" s="50">
        <v>48</v>
      </c>
      <c r="D23" s="50">
        <v>6</v>
      </c>
      <c r="E23" s="50">
        <v>7</v>
      </c>
      <c r="F23" s="50">
        <v>22</v>
      </c>
      <c r="G23" s="50">
        <v>0</v>
      </c>
      <c r="H23" s="50">
        <v>0</v>
      </c>
      <c r="I23" s="50">
        <v>8</v>
      </c>
      <c r="J23" s="50">
        <v>1</v>
      </c>
      <c r="K23" s="50">
        <v>2</v>
      </c>
      <c r="L23" s="50">
        <v>5</v>
      </c>
      <c r="M23" s="50">
        <v>46</v>
      </c>
      <c r="N23" s="50">
        <v>0</v>
      </c>
      <c r="O23" s="15">
        <f t="shared" si="0"/>
        <v>99</v>
      </c>
      <c r="P23" s="15">
        <f t="shared" si="1"/>
        <v>145</v>
      </c>
      <c r="R23" s="36" t="s">
        <v>147</v>
      </c>
      <c r="S23" s="34">
        <f>SUM(C62:C65)</f>
        <v>88</v>
      </c>
      <c r="T23" s="34">
        <f t="shared" ref="T23:AF23" si="15">SUM(D62:D65)</f>
        <v>76</v>
      </c>
      <c r="U23" s="34">
        <f t="shared" si="15"/>
        <v>23</v>
      </c>
      <c r="V23" s="34">
        <f t="shared" si="15"/>
        <v>96</v>
      </c>
      <c r="W23" s="34">
        <f t="shared" si="15"/>
        <v>5</v>
      </c>
      <c r="X23" s="34">
        <f t="shared" si="15"/>
        <v>0</v>
      </c>
      <c r="Y23" s="34">
        <f t="shared" si="15"/>
        <v>8</v>
      </c>
      <c r="Z23" s="34">
        <f t="shared" si="15"/>
        <v>26</v>
      </c>
      <c r="AA23" s="34">
        <f t="shared" si="15"/>
        <v>3</v>
      </c>
      <c r="AB23" s="34">
        <f t="shared" si="15"/>
        <v>7</v>
      </c>
      <c r="AC23" s="34">
        <f t="shared" si="15"/>
        <v>144</v>
      </c>
      <c r="AD23" s="34">
        <f t="shared" si="15"/>
        <v>0</v>
      </c>
      <c r="AE23" s="31">
        <f t="shared" si="15"/>
        <v>332</v>
      </c>
      <c r="AF23" s="31">
        <f t="shared" si="15"/>
        <v>476</v>
      </c>
    </row>
    <row r="24" spans="2:32" ht="23.1" customHeight="1" x14ac:dyDescent="0.25">
      <c r="B24" s="45" t="s">
        <v>51</v>
      </c>
      <c r="C24" s="50">
        <v>66</v>
      </c>
      <c r="D24" s="50">
        <v>9</v>
      </c>
      <c r="E24" s="50">
        <v>15</v>
      </c>
      <c r="F24" s="50">
        <v>21</v>
      </c>
      <c r="G24" s="50">
        <v>6</v>
      </c>
      <c r="H24" s="50">
        <v>0</v>
      </c>
      <c r="I24" s="50">
        <v>3</v>
      </c>
      <c r="J24" s="50">
        <v>6</v>
      </c>
      <c r="K24" s="50">
        <v>2</v>
      </c>
      <c r="L24" s="50">
        <v>1</v>
      </c>
      <c r="M24" s="50">
        <v>38</v>
      </c>
      <c r="N24" s="50">
        <v>0</v>
      </c>
      <c r="O24" s="15">
        <f t="shared" si="0"/>
        <v>129</v>
      </c>
      <c r="P24" s="15">
        <f t="shared" si="1"/>
        <v>167</v>
      </c>
      <c r="R24" s="36" t="s">
        <v>148</v>
      </c>
      <c r="S24" s="34">
        <f>SUM(C66:C69)</f>
        <v>86</v>
      </c>
      <c r="T24" s="34">
        <f t="shared" ref="T24:AF24" si="16">SUM(D66:D69)</f>
        <v>50</v>
      </c>
      <c r="U24" s="34">
        <f t="shared" si="16"/>
        <v>18</v>
      </c>
      <c r="V24" s="34">
        <f t="shared" si="16"/>
        <v>82</v>
      </c>
      <c r="W24" s="34">
        <f t="shared" si="16"/>
        <v>1</v>
      </c>
      <c r="X24" s="34">
        <f t="shared" si="16"/>
        <v>0</v>
      </c>
      <c r="Y24" s="34">
        <f t="shared" si="16"/>
        <v>10</v>
      </c>
      <c r="Z24" s="34">
        <f t="shared" si="16"/>
        <v>19</v>
      </c>
      <c r="AA24" s="34">
        <f t="shared" si="16"/>
        <v>10</v>
      </c>
      <c r="AB24" s="34">
        <f t="shared" si="16"/>
        <v>5</v>
      </c>
      <c r="AC24" s="34">
        <f t="shared" si="16"/>
        <v>100</v>
      </c>
      <c r="AD24" s="34">
        <f t="shared" si="16"/>
        <v>0</v>
      </c>
      <c r="AE24" s="31">
        <f t="shared" si="16"/>
        <v>281</v>
      </c>
      <c r="AF24" s="31">
        <f t="shared" si="16"/>
        <v>381</v>
      </c>
    </row>
    <row r="25" spans="2:32" ht="23.1" customHeight="1" x14ac:dyDescent="0.25">
      <c r="B25" s="45" t="s">
        <v>52</v>
      </c>
      <c r="C25" s="50">
        <v>30</v>
      </c>
      <c r="D25" s="50">
        <v>20</v>
      </c>
      <c r="E25" s="50">
        <v>9</v>
      </c>
      <c r="F25" s="50">
        <v>40</v>
      </c>
      <c r="G25" s="50">
        <v>2</v>
      </c>
      <c r="H25" s="50">
        <v>0</v>
      </c>
      <c r="I25" s="50">
        <v>3</v>
      </c>
      <c r="J25" s="50">
        <v>4</v>
      </c>
      <c r="K25" s="50">
        <v>6</v>
      </c>
      <c r="L25" s="50">
        <v>7</v>
      </c>
      <c r="M25" s="50">
        <v>24</v>
      </c>
      <c r="N25" s="50">
        <v>0</v>
      </c>
      <c r="O25" s="15">
        <f t="shared" si="0"/>
        <v>121</v>
      </c>
      <c r="P25" s="15">
        <f t="shared" si="1"/>
        <v>145</v>
      </c>
      <c r="R25" s="36" t="s">
        <v>149</v>
      </c>
      <c r="S25" s="34">
        <f>SUM(C70:C73)</f>
        <v>55</v>
      </c>
      <c r="T25" s="34">
        <f t="shared" ref="T25:AF25" si="17">SUM(D70:D73)</f>
        <v>48</v>
      </c>
      <c r="U25" s="34">
        <f t="shared" si="17"/>
        <v>13</v>
      </c>
      <c r="V25" s="34">
        <f t="shared" si="17"/>
        <v>70</v>
      </c>
      <c r="W25" s="34">
        <f t="shared" si="17"/>
        <v>4</v>
      </c>
      <c r="X25" s="34">
        <f t="shared" si="17"/>
        <v>0</v>
      </c>
      <c r="Y25" s="34">
        <f t="shared" si="17"/>
        <v>8</v>
      </c>
      <c r="Z25" s="34">
        <f t="shared" si="17"/>
        <v>12</v>
      </c>
      <c r="AA25" s="34">
        <f t="shared" si="17"/>
        <v>9</v>
      </c>
      <c r="AB25" s="34">
        <f t="shared" si="17"/>
        <v>19</v>
      </c>
      <c r="AC25" s="34">
        <f t="shared" si="17"/>
        <v>57</v>
      </c>
      <c r="AD25" s="34">
        <f t="shared" si="17"/>
        <v>0</v>
      </c>
      <c r="AE25" s="31">
        <f t="shared" si="17"/>
        <v>238</v>
      </c>
      <c r="AF25" s="31">
        <f t="shared" si="17"/>
        <v>295</v>
      </c>
    </row>
    <row r="26" spans="2:32" ht="23.1" customHeight="1" x14ac:dyDescent="0.25">
      <c r="B26" s="45" t="s">
        <v>53</v>
      </c>
      <c r="C26" s="50">
        <v>47</v>
      </c>
      <c r="D26" s="50">
        <v>10</v>
      </c>
      <c r="E26" s="50">
        <v>5</v>
      </c>
      <c r="F26" s="50">
        <v>18</v>
      </c>
      <c r="G26" s="50">
        <v>4</v>
      </c>
      <c r="H26" s="50">
        <v>0</v>
      </c>
      <c r="I26" s="50">
        <v>0</v>
      </c>
      <c r="J26" s="50">
        <v>3</v>
      </c>
      <c r="K26" s="50">
        <v>3</v>
      </c>
      <c r="L26" s="50">
        <v>8</v>
      </c>
      <c r="M26" s="50">
        <v>35</v>
      </c>
      <c r="N26" s="50">
        <v>0</v>
      </c>
      <c r="O26" s="15">
        <f t="shared" si="0"/>
        <v>98</v>
      </c>
      <c r="P26" s="15">
        <f t="shared" si="1"/>
        <v>133</v>
      </c>
      <c r="R26" s="36" t="s">
        <v>150</v>
      </c>
      <c r="S26" s="34">
        <f>SUM(C74:C77)</f>
        <v>41</v>
      </c>
      <c r="T26" s="34">
        <f t="shared" ref="T26:AF26" si="18">SUM(D74:D77)</f>
        <v>31</v>
      </c>
      <c r="U26" s="34">
        <f t="shared" si="18"/>
        <v>6</v>
      </c>
      <c r="V26" s="34">
        <f t="shared" si="18"/>
        <v>30</v>
      </c>
      <c r="W26" s="34">
        <f t="shared" si="18"/>
        <v>0</v>
      </c>
      <c r="X26" s="34">
        <f t="shared" si="18"/>
        <v>1</v>
      </c>
      <c r="Y26" s="34">
        <f t="shared" si="18"/>
        <v>2</v>
      </c>
      <c r="Z26" s="34">
        <f t="shared" si="18"/>
        <v>5</v>
      </c>
      <c r="AA26" s="34">
        <f t="shared" si="18"/>
        <v>0</v>
      </c>
      <c r="AB26" s="34">
        <f t="shared" si="18"/>
        <v>17</v>
      </c>
      <c r="AC26" s="34">
        <f t="shared" si="18"/>
        <v>21</v>
      </c>
      <c r="AD26" s="34">
        <f t="shared" si="18"/>
        <v>0</v>
      </c>
      <c r="AE26" s="31">
        <f t="shared" si="18"/>
        <v>133</v>
      </c>
      <c r="AF26" s="31">
        <f t="shared" si="18"/>
        <v>154</v>
      </c>
    </row>
    <row r="27" spans="2:32" ht="23.1" customHeight="1" x14ac:dyDescent="0.25">
      <c r="B27" s="45" t="s">
        <v>54</v>
      </c>
      <c r="C27" s="50">
        <v>61</v>
      </c>
      <c r="D27" s="50">
        <v>12</v>
      </c>
      <c r="E27" s="50">
        <v>11</v>
      </c>
      <c r="F27" s="50">
        <v>26</v>
      </c>
      <c r="G27" s="50">
        <v>3</v>
      </c>
      <c r="H27" s="50">
        <v>0</v>
      </c>
      <c r="I27" s="50">
        <v>8</v>
      </c>
      <c r="J27" s="50">
        <v>6</v>
      </c>
      <c r="K27" s="50">
        <v>4</v>
      </c>
      <c r="L27" s="50">
        <v>5</v>
      </c>
      <c r="M27" s="50">
        <v>21</v>
      </c>
      <c r="N27" s="50">
        <v>0</v>
      </c>
      <c r="O27" s="15">
        <f t="shared" si="0"/>
        <v>136</v>
      </c>
      <c r="P27" s="15">
        <f t="shared" si="1"/>
        <v>157</v>
      </c>
      <c r="R27" s="36" t="s">
        <v>151</v>
      </c>
      <c r="S27" s="34">
        <f>SUM(C78:C81)</f>
        <v>23</v>
      </c>
      <c r="T27" s="34">
        <f t="shared" ref="T27:AF27" si="19">SUM(D78:D81)</f>
        <v>25</v>
      </c>
      <c r="U27" s="34">
        <f t="shared" si="19"/>
        <v>3</v>
      </c>
      <c r="V27" s="34">
        <f t="shared" si="19"/>
        <v>8</v>
      </c>
      <c r="W27" s="34">
        <f t="shared" si="19"/>
        <v>1</v>
      </c>
      <c r="X27" s="34">
        <f t="shared" si="19"/>
        <v>0</v>
      </c>
      <c r="Y27" s="34">
        <f t="shared" si="19"/>
        <v>4</v>
      </c>
      <c r="Z27" s="34">
        <f t="shared" si="19"/>
        <v>10</v>
      </c>
      <c r="AA27" s="34">
        <f t="shared" si="19"/>
        <v>20</v>
      </c>
      <c r="AB27" s="34">
        <f t="shared" si="19"/>
        <v>3</v>
      </c>
      <c r="AC27" s="34">
        <f t="shared" si="19"/>
        <v>9</v>
      </c>
      <c r="AD27" s="34">
        <f t="shared" si="19"/>
        <v>0</v>
      </c>
      <c r="AE27" s="31">
        <f t="shared" si="19"/>
        <v>97</v>
      </c>
      <c r="AF27" s="31">
        <f t="shared" si="19"/>
        <v>106</v>
      </c>
    </row>
    <row r="28" spans="2:32" ht="23.1" customHeight="1" x14ac:dyDescent="0.25">
      <c r="B28" s="45" t="s">
        <v>55</v>
      </c>
      <c r="C28" s="50">
        <v>65</v>
      </c>
      <c r="D28" s="50">
        <v>17</v>
      </c>
      <c r="E28" s="50">
        <v>15</v>
      </c>
      <c r="F28" s="50">
        <v>26</v>
      </c>
      <c r="G28" s="50">
        <v>1</v>
      </c>
      <c r="H28" s="50">
        <v>0</v>
      </c>
      <c r="I28" s="50">
        <v>4</v>
      </c>
      <c r="J28" s="50">
        <v>2</v>
      </c>
      <c r="K28" s="50">
        <v>7</v>
      </c>
      <c r="L28" s="50">
        <v>9</v>
      </c>
      <c r="M28" s="50">
        <v>49</v>
      </c>
      <c r="N28" s="50">
        <v>0</v>
      </c>
      <c r="O28" s="15">
        <f t="shared" si="0"/>
        <v>146</v>
      </c>
      <c r="P28" s="15">
        <f t="shared" si="1"/>
        <v>195</v>
      </c>
      <c r="R28" s="36" t="s">
        <v>152</v>
      </c>
      <c r="S28" s="34">
        <f>SUM(C82:C85)</f>
        <v>11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5</v>
      </c>
      <c r="W28" s="34">
        <f t="shared" si="20"/>
        <v>2</v>
      </c>
      <c r="X28" s="34">
        <f t="shared" si="20"/>
        <v>0</v>
      </c>
      <c r="Y28" s="34">
        <f t="shared" si="20"/>
        <v>4</v>
      </c>
      <c r="Z28" s="34">
        <f t="shared" si="20"/>
        <v>9</v>
      </c>
      <c r="AA28" s="34">
        <f t="shared" si="20"/>
        <v>5</v>
      </c>
      <c r="AB28" s="34">
        <f t="shared" si="20"/>
        <v>12</v>
      </c>
      <c r="AC28" s="34">
        <f t="shared" si="20"/>
        <v>6</v>
      </c>
      <c r="AD28" s="34">
        <f t="shared" si="20"/>
        <v>0</v>
      </c>
      <c r="AE28" s="31">
        <f t="shared" si="20"/>
        <v>54</v>
      </c>
      <c r="AF28" s="31">
        <f t="shared" si="20"/>
        <v>60</v>
      </c>
    </row>
    <row r="29" spans="2:32" ht="23.1" customHeight="1" x14ac:dyDescent="0.25">
      <c r="B29" s="45" t="s">
        <v>56</v>
      </c>
      <c r="C29" s="50">
        <v>78</v>
      </c>
      <c r="D29" s="50">
        <v>19</v>
      </c>
      <c r="E29" s="50">
        <v>9</v>
      </c>
      <c r="F29" s="50">
        <v>27</v>
      </c>
      <c r="G29" s="50">
        <v>1</v>
      </c>
      <c r="H29" s="50">
        <v>0</v>
      </c>
      <c r="I29" s="50">
        <v>5</v>
      </c>
      <c r="J29" s="50">
        <v>7</v>
      </c>
      <c r="K29" s="50">
        <v>3</v>
      </c>
      <c r="L29" s="50">
        <v>3</v>
      </c>
      <c r="M29" s="50">
        <v>39</v>
      </c>
      <c r="N29" s="50">
        <v>0</v>
      </c>
      <c r="O29" s="15">
        <f t="shared" si="0"/>
        <v>152</v>
      </c>
      <c r="P29" s="15">
        <f t="shared" si="1"/>
        <v>191</v>
      </c>
      <c r="R29" s="36" t="s">
        <v>153</v>
      </c>
      <c r="S29" s="34">
        <f>SUM(C86:C89)</f>
        <v>5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3</v>
      </c>
      <c r="AA29" s="34">
        <f t="shared" si="21"/>
        <v>9</v>
      </c>
      <c r="AB29" s="34">
        <f t="shared" si="21"/>
        <v>11</v>
      </c>
      <c r="AC29" s="34">
        <f t="shared" si="21"/>
        <v>0</v>
      </c>
      <c r="AD29" s="34">
        <f t="shared" si="21"/>
        <v>0</v>
      </c>
      <c r="AE29" s="31">
        <f t="shared" si="21"/>
        <v>36</v>
      </c>
      <c r="AF29" s="31">
        <f t="shared" si="21"/>
        <v>36</v>
      </c>
    </row>
    <row r="30" spans="2:32" ht="23.1" customHeight="1" x14ac:dyDescent="0.25">
      <c r="B30" s="45" t="s">
        <v>57</v>
      </c>
      <c r="C30" s="50">
        <v>79</v>
      </c>
      <c r="D30" s="50">
        <v>9</v>
      </c>
      <c r="E30" s="50">
        <v>11</v>
      </c>
      <c r="F30" s="50">
        <v>26</v>
      </c>
      <c r="G30" s="50">
        <v>1</v>
      </c>
      <c r="H30" s="50">
        <v>0</v>
      </c>
      <c r="I30" s="50">
        <v>5</v>
      </c>
      <c r="J30" s="50">
        <v>12</v>
      </c>
      <c r="K30" s="50">
        <v>1</v>
      </c>
      <c r="L30" s="50">
        <v>4</v>
      </c>
      <c r="M30" s="50">
        <v>31</v>
      </c>
      <c r="N30" s="50">
        <v>0</v>
      </c>
      <c r="O30" s="15">
        <f t="shared" si="0"/>
        <v>148</v>
      </c>
      <c r="P30" s="15">
        <f t="shared" si="1"/>
        <v>179</v>
      </c>
      <c r="R30" s="36" t="s">
        <v>154</v>
      </c>
      <c r="S30" s="34">
        <f>SUM(C90:C93)</f>
        <v>8</v>
      </c>
      <c r="T30" s="34">
        <f t="shared" ref="T30:AF30" si="22">SUM(D90:D93)</f>
        <v>7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6</v>
      </c>
      <c r="AA30" s="34">
        <f t="shared" si="22"/>
        <v>3</v>
      </c>
      <c r="AB30" s="34">
        <f t="shared" si="22"/>
        <v>2</v>
      </c>
      <c r="AC30" s="34">
        <f t="shared" si="22"/>
        <v>5</v>
      </c>
      <c r="AD30" s="34">
        <f t="shared" si="22"/>
        <v>0</v>
      </c>
      <c r="AE30" s="31">
        <f t="shared" si="22"/>
        <v>30</v>
      </c>
      <c r="AF30" s="31">
        <f t="shared" si="22"/>
        <v>35</v>
      </c>
    </row>
    <row r="31" spans="2:32" ht="23.1" customHeight="1" x14ac:dyDescent="0.25">
      <c r="B31" s="46" t="s">
        <v>58</v>
      </c>
      <c r="C31" s="50">
        <v>69</v>
      </c>
      <c r="D31" s="50">
        <v>13</v>
      </c>
      <c r="E31" s="50">
        <v>11</v>
      </c>
      <c r="F31" s="50">
        <v>46</v>
      </c>
      <c r="G31" s="50">
        <v>0</v>
      </c>
      <c r="H31" s="50">
        <v>0</v>
      </c>
      <c r="I31" s="50">
        <v>8</v>
      </c>
      <c r="J31" s="50">
        <v>9</v>
      </c>
      <c r="K31" s="50">
        <v>2</v>
      </c>
      <c r="L31" s="50">
        <v>3</v>
      </c>
      <c r="M31" s="50">
        <v>40</v>
      </c>
      <c r="N31" s="50">
        <v>0</v>
      </c>
      <c r="O31" s="15">
        <f t="shared" si="0"/>
        <v>161</v>
      </c>
      <c r="P31" s="15">
        <f t="shared" si="1"/>
        <v>201</v>
      </c>
      <c r="R31" s="36" t="s">
        <v>155</v>
      </c>
      <c r="S31" s="34">
        <f>SUM(C94:C97)</f>
        <v>7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8</v>
      </c>
      <c r="AA31" s="34">
        <f t="shared" si="23"/>
        <v>8</v>
      </c>
      <c r="AB31" s="34">
        <f t="shared" si="23"/>
        <v>4</v>
      </c>
      <c r="AC31" s="34">
        <f t="shared" si="23"/>
        <v>5</v>
      </c>
      <c r="AD31" s="34">
        <f t="shared" si="23"/>
        <v>0</v>
      </c>
      <c r="AE31" s="31">
        <f t="shared" si="23"/>
        <v>32</v>
      </c>
      <c r="AF31" s="31">
        <f t="shared" si="23"/>
        <v>37</v>
      </c>
    </row>
    <row r="32" spans="2:32" ht="23.1" customHeight="1" x14ac:dyDescent="0.25">
      <c r="B32" s="46" t="s">
        <v>59</v>
      </c>
      <c r="C32" s="50">
        <v>54</v>
      </c>
      <c r="D32" s="50">
        <v>12</v>
      </c>
      <c r="E32" s="50">
        <v>5</v>
      </c>
      <c r="F32" s="50">
        <v>20</v>
      </c>
      <c r="G32" s="50">
        <v>0</v>
      </c>
      <c r="H32" s="50">
        <v>0</v>
      </c>
      <c r="I32" s="50">
        <v>8</v>
      </c>
      <c r="J32" s="50">
        <v>6</v>
      </c>
      <c r="K32" s="50">
        <v>6</v>
      </c>
      <c r="L32" s="50">
        <v>1</v>
      </c>
      <c r="M32" s="50">
        <v>44</v>
      </c>
      <c r="N32" s="50">
        <v>0</v>
      </c>
      <c r="O32" s="15">
        <f t="shared" si="0"/>
        <v>112</v>
      </c>
      <c r="P32" s="15">
        <f t="shared" si="1"/>
        <v>156</v>
      </c>
      <c r="R32" s="33" t="s">
        <v>156</v>
      </c>
      <c r="S32" s="34">
        <f>SUM(C98:C101)</f>
        <v>17</v>
      </c>
      <c r="T32" s="34">
        <f t="shared" ref="T32:AF32" si="24">SUM(D98:D101)</f>
        <v>4</v>
      </c>
      <c r="U32" s="34">
        <f t="shared" si="24"/>
        <v>5</v>
      </c>
      <c r="V32" s="34">
        <f t="shared" si="24"/>
        <v>19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11</v>
      </c>
      <c r="AA32" s="34">
        <f t="shared" si="24"/>
        <v>3</v>
      </c>
      <c r="AB32" s="34">
        <f t="shared" si="24"/>
        <v>12</v>
      </c>
      <c r="AC32" s="34">
        <f t="shared" si="24"/>
        <v>13</v>
      </c>
      <c r="AD32" s="34">
        <f t="shared" si="24"/>
        <v>0</v>
      </c>
      <c r="AE32" s="31">
        <f t="shared" si="24"/>
        <v>77</v>
      </c>
      <c r="AF32" s="31">
        <f t="shared" si="24"/>
        <v>90</v>
      </c>
    </row>
    <row r="33" spans="2:32" ht="23.1" customHeight="1" x14ac:dyDescent="0.25">
      <c r="B33" s="45" t="s">
        <v>60</v>
      </c>
      <c r="C33" s="50">
        <v>41</v>
      </c>
      <c r="D33" s="50">
        <v>9</v>
      </c>
      <c r="E33" s="50">
        <v>3</v>
      </c>
      <c r="F33" s="50">
        <v>18</v>
      </c>
      <c r="G33" s="50">
        <v>0</v>
      </c>
      <c r="H33" s="50">
        <v>0</v>
      </c>
      <c r="I33" s="50">
        <v>8</v>
      </c>
      <c r="J33" s="50">
        <v>4</v>
      </c>
      <c r="K33" s="50">
        <v>1</v>
      </c>
      <c r="L33" s="50">
        <v>2</v>
      </c>
      <c r="M33" s="50">
        <v>29</v>
      </c>
      <c r="N33" s="50">
        <v>0</v>
      </c>
      <c r="O33" s="15">
        <f t="shared" si="0"/>
        <v>86</v>
      </c>
      <c r="P33" s="15">
        <f t="shared" si="1"/>
        <v>115</v>
      </c>
      <c r="R33" s="33" t="s">
        <v>157</v>
      </c>
      <c r="S33" s="34">
        <f>SUM(C102:C105)</f>
        <v>12</v>
      </c>
      <c r="T33" s="34">
        <f t="shared" ref="T33:AF33" si="25">SUM(D102:D105)</f>
        <v>14</v>
      </c>
      <c r="U33" s="34">
        <f t="shared" si="25"/>
        <v>1</v>
      </c>
      <c r="V33" s="34">
        <f t="shared" si="25"/>
        <v>40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3</v>
      </c>
      <c r="AA33" s="34">
        <f t="shared" si="25"/>
        <v>2</v>
      </c>
      <c r="AB33" s="34">
        <f t="shared" si="25"/>
        <v>23</v>
      </c>
      <c r="AC33" s="34">
        <f t="shared" si="25"/>
        <v>34</v>
      </c>
      <c r="AD33" s="34">
        <f t="shared" si="25"/>
        <v>1</v>
      </c>
      <c r="AE33" s="31">
        <f t="shared" si="25"/>
        <v>99</v>
      </c>
      <c r="AF33" s="31">
        <f t="shared" si="25"/>
        <v>133</v>
      </c>
    </row>
    <row r="34" spans="2:32" ht="23.1" customHeight="1" x14ac:dyDescent="0.25">
      <c r="B34" s="46" t="s">
        <v>61</v>
      </c>
      <c r="C34" s="50">
        <v>28</v>
      </c>
      <c r="D34" s="50">
        <v>10</v>
      </c>
      <c r="E34" s="50">
        <v>5</v>
      </c>
      <c r="F34" s="50">
        <v>15</v>
      </c>
      <c r="G34" s="50">
        <v>0</v>
      </c>
      <c r="H34" s="50">
        <v>0</v>
      </c>
      <c r="I34" s="50">
        <v>5</v>
      </c>
      <c r="J34" s="50">
        <v>1</v>
      </c>
      <c r="K34" s="50">
        <v>1</v>
      </c>
      <c r="L34" s="50">
        <v>4</v>
      </c>
      <c r="M34" s="50">
        <v>24</v>
      </c>
      <c r="N34" s="50">
        <v>0</v>
      </c>
      <c r="O34" s="15">
        <f t="shared" si="0"/>
        <v>69</v>
      </c>
      <c r="P34" s="15">
        <f t="shared" si="1"/>
        <v>93</v>
      </c>
      <c r="R34" s="38" t="s">
        <v>90</v>
      </c>
      <c r="S34" s="39">
        <f t="shared" ref="S34:AF34" si="26">MAX(S10:S12)</f>
        <v>214</v>
      </c>
      <c r="T34" s="39">
        <f t="shared" si="26"/>
        <v>34</v>
      </c>
      <c r="U34" s="39">
        <f t="shared" si="26"/>
        <v>22</v>
      </c>
      <c r="V34" s="39">
        <f t="shared" si="26"/>
        <v>105</v>
      </c>
      <c r="W34" s="39">
        <f t="shared" si="26"/>
        <v>9</v>
      </c>
      <c r="X34" s="39">
        <f t="shared" si="26"/>
        <v>1</v>
      </c>
      <c r="Y34" s="39">
        <f t="shared" si="26"/>
        <v>27</v>
      </c>
      <c r="Z34" s="39">
        <f t="shared" si="26"/>
        <v>18</v>
      </c>
      <c r="AA34" s="39">
        <f t="shared" si="26"/>
        <v>13</v>
      </c>
      <c r="AB34" s="39">
        <f t="shared" si="26"/>
        <v>18</v>
      </c>
      <c r="AC34" s="39">
        <f t="shared" si="26"/>
        <v>178</v>
      </c>
      <c r="AD34" s="39">
        <f t="shared" si="26"/>
        <v>0</v>
      </c>
      <c r="AE34" s="40">
        <f t="shared" si="26"/>
        <v>449</v>
      </c>
      <c r="AF34" s="40">
        <f t="shared" si="26"/>
        <v>627</v>
      </c>
    </row>
    <row r="35" spans="2:32" ht="23.1" customHeight="1" x14ac:dyDescent="0.25">
      <c r="B35" s="46" t="s">
        <v>62</v>
      </c>
      <c r="C35" s="50">
        <v>63</v>
      </c>
      <c r="D35" s="50">
        <v>8</v>
      </c>
      <c r="E35" s="50">
        <v>2</v>
      </c>
      <c r="F35" s="50">
        <v>20</v>
      </c>
      <c r="G35" s="50">
        <v>0</v>
      </c>
      <c r="H35" s="50">
        <v>0</v>
      </c>
      <c r="I35" s="50">
        <v>8</v>
      </c>
      <c r="J35" s="50">
        <v>10</v>
      </c>
      <c r="K35" s="50">
        <v>3</v>
      </c>
      <c r="L35" s="50">
        <v>6</v>
      </c>
      <c r="M35" s="50">
        <v>44</v>
      </c>
      <c r="N35" s="50">
        <v>0</v>
      </c>
      <c r="O35" s="15">
        <f t="shared" si="0"/>
        <v>120</v>
      </c>
      <c r="P35" s="15">
        <f t="shared" si="1"/>
        <v>164</v>
      </c>
      <c r="R35" s="38" t="s">
        <v>91</v>
      </c>
      <c r="S35" s="39">
        <f t="shared" ref="S35:AF35" si="27">MAX(S13:S18)</f>
        <v>251</v>
      </c>
      <c r="T35" s="39">
        <f t="shared" si="27"/>
        <v>88</v>
      </c>
      <c r="U35" s="39">
        <f t="shared" si="27"/>
        <v>40</v>
      </c>
      <c r="V35" s="39">
        <f t="shared" si="27"/>
        <v>110</v>
      </c>
      <c r="W35" s="39">
        <f t="shared" si="27"/>
        <v>10</v>
      </c>
      <c r="X35" s="39">
        <f t="shared" si="27"/>
        <v>0</v>
      </c>
      <c r="Y35" s="39">
        <f t="shared" si="27"/>
        <v>34</v>
      </c>
      <c r="Z35" s="39">
        <f t="shared" si="27"/>
        <v>31</v>
      </c>
      <c r="AA35" s="39">
        <f t="shared" si="27"/>
        <v>26</v>
      </c>
      <c r="AB35" s="39">
        <f t="shared" si="27"/>
        <v>25</v>
      </c>
      <c r="AC35" s="39">
        <f t="shared" si="27"/>
        <v>144</v>
      </c>
      <c r="AD35" s="39">
        <f t="shared" si="27"/>
        <v>0</v>
      </c>
      <c r="AE35" s="40">
        <f t="shared" si="27"/>
        <v>532</v>
      </c>
      <c r="AF35" s="40">
        <f t="shared" si="27"/>
        <v>676</v>
      </c>
    </row>
    <row r="36" spans="2:32" ht="23.1" customHeight="1" x14ac:dyDescent="0.25">
      <c r="B36" s="46" t="s">
        <v>63</v>
      </c>
      <c r="C36" s="50">
        <v>47</v>
      </c>
      <c r="D36" s="50">
        <v>13</v>
      </c>
      <c r="E36" s="50">
        <v>9</v>
      </c>
      <c r="F36" s="50">
        <v>29</v>
      </c>
      <c r="G36" s="50">
        <v>1</v>
      </c>
      <c r="H36" s="50">
        <v>0</v>
      </c>
      <c r="I36" s="50">
        <v>6</v>
      </c>
      <c r="J36" s="50">
        <v>5</v>
      </c>
      <c r="K36" s="50">
        <v>3</v>
      </c>
      <c r="L36" s="50">
        <v>3</v>
      </c>
      <c r="M36" s="50">
        <v>36</v>
      </c>
      <c r="N36" s="50">
        <v>0</v>
      </c>
      <c r="O36" s="15">
        <f t="shared" si="0"/>
        <v>116</v>
      </c>
      <c r="P36" s="15">
        <f t="shared" si="1"/>
        <v>152</v>
      </c>
      <c r="R36" s="38" t="s">
        <v>92</v>
      </c>
      <c r="S36" s="39">
        <f t="shared" ref="S36:AF36" si="28">MAX(S19:S21)</f>
        <v>213</v>
      </c>
      <c r="T36" s="39">
        <f t="shared" si="28"/>
        <v>72</v>
      </c>
      <c r="U36" s="39">
        <f t="shared" si="28"/>
        <v>33</v>
      </c>
      <c r="V36" s="39">
        <f t="shared" si="28"/>
        <v>179</v>
      </c>
      <c r="W36" s="39">
        <f t="shared" si="28"/>
        <v>2</v>
      </c>
      <c r="X36" s="39">
        <f t="shared" si="28"/>
        <v>0</v>
      </c>
      <c r="Y36" s="39">
        <f t="shared" si="28"/>
        <v>30</v>
      </c>
      <c r="Z36" s="39">
        <f t="shared" si="28"/>
        <v>38</v>
      </c>
      <c r="AA36" s="39">
        <f t="shared" si="28"/>
        <v>32</v>
      </c>
      <c r="AB36" s="39">
        <f t="shared" si="28"/>
        <v>18</v>
      </c>
      <c r="AC36" s="39">
        <f t="shared" si="28"/>
        <v>222</v>
      </c>
      <c r="AD36" s="39">
        <f t="shared" si="28"/>
        <v>0</v>
      </c>
      <c r="AE36" s="40">
        <f t="shared" si="28"/>
        <v>607</v>
      </c>
      <c r="AF36" s="40">
        <f t="shared" si="28"/>
        <v>829</v>
      </c>
    </row>
    <row r="37" spans="2:32" ht="23.1" customHeight="1" x14ac:dyDescent="0.25">
      <c r="B37" s="45" t="s">
        <v>64</v>
      </c>
      <c r="C37" s="50">
        <v>40</v>
      </c>
      <c r="D37" s="50">
        <v>22</v>
      </c>
      <c r="E37" s="50">
        <v>9</v>
      </c>
      <c r="F37" s="50">
        <v>19</v>
      </c>
      <c r="G37" s="50">
        <v>0</v>
      </c>
      <c r="H37" s="50">
        <v>0</v>
      </c>
      <c r="I37" s="50">
        <v>5</v>
      </c>
      <c r="J37" s="50">
        <v>5</v>
      </c>
      <c r="K37" s="50">
        <v>3</v>
      </c>
      <c r="L37" s="50">
        <v>8</v>
      </c>
      <c r="M37" s="50">
        <v>31</v>
      </c>
      <c r="N37" s="50">
        <v>0</v>
      </c>
      <c r="O37" s="15">
        <f t="shared" si="0"/>
        <v>111</v>
      </c>
      <c r="P37" s="15">
        <f t="shared" si="1"/>
        <v>142</v>
      </c>
      <c r="R37" s="37" t="s">
        <v>85</v>
      </c>
      <c r="S37" s="35">
        <f t="shared" ref="S37:AF37" si="29">SUM(S10:S12)</f>
        <v>396</v>
      </c>
      <c r="T37" s="16">
        <f t="shared" si="29"/>
        <v>86</v>
      </c>
      <c r="U37" s="16">
        <f t="shared" si="29"/>
        <v>61</v>
      </c>
      <c r="V37" s="16">
        <f t="shared" si="29"/>
        <v>292</v>
      </c>
      <c r="W37" s="16">
        <f t="shared" si="29"/>
        <v>11</v>
      </c>
      <c r="X37" s="16">
        <f t="shared" si="29"/>
        <v>1</v>
      </c>
      <c r="Y37" s="16">
        <f t="shared" si="29"/>
        <v>56</v>
      </c>
      <c r="Z37" s="16">
        <f t="shared" si="29"/>
        <v>43</v>
      </c>
      <c r="AA37" s="16">
        <f t="shared" si="29"/>
        <v>26</v>
      </c>
      <c r="AB37" s="16">
        <f t="shared" si="29"/>
        <v>48</v>
      </c>
      <c r="AC37" s="16">
        <f t="shared" si="29"/>
        <v>421</v>
      </c>
      <c r="AD37" s="16">
        <f t="shared" si="29"/>
        <v>0</v>
      </c>
      <c r="AE37" s="32">
        <f t="shared" si="29"/>
        <v>1020</v>
      </c>
      <c r="AF37" s="32">
        <f t="shared" si="29"/>
        <v>1441</v>
      </c>
    </row>
    <row r="38" spans="2:32" ht="23.1" customHeight="1" x14ac:dyDescent="0.25">
      <c r="B38" s="46" t="s">
        <v>65</v>
      </c>
      <c r="C38" s="50">
        <v>48</v>
      </c>
      <c r="D38" s="50">
        <v>19</v>
      </c>
      <c r="E38" s="50">
        <v>9</v>
      </c>
      <c r="F38" s="50">
        <v>21</v>
      </c>
      <c r="G38" s="50">
        <v>0</v>
      </c>
      <c r="H38" s="50">
        <v>0</v>
      </c>
      <c r="I38" s="50">
        <v>4</v>
      </c>
      <c r="J38" s="50">
        <v>7</v>
      </c>
      <c r="K38" s="50">
        <v>4</v>
      </c>
      <c r="L38" s="50">
        <v>5</v>
      </c>
      <c r="M38" s="50">
        <v>34</v>
      </c>
      <c r="N38" s="50">
        <v>0</v>
      </c>
      <c r="O38" s="15">
        <f t="shared" si="0"/>
        <v>117</v>
      </c>
      <c r="P38" s="15">
        <f t="shared" si="1"/>
        <v>151</v>
      </c>
      <c r="R38" s="28" t="s">
        <v>86</v>
      </c>
      <c r="S38" s="16">
        <f t="shared" ref="S38:AF38" si="30">SUM(S13:S18)</f>
        <v>1104</v>
      </c>
      <c r="T38" s="16">
        <f t="shared" si="30"/>
        <v>354</v>
      </c>
      <c r="U38" s="16">
        <f t="shared" si="30"/>
        <v>183</v>
      </c>
      <c r="V38" s="16">
        <f t="shared" si="30"/>
        <v>536</v>
      </c>
      <c r="W38" s="16">
        <f t="shared" si="30"/>
        <v>25</v>
      </c>
      <c r="X38" s="16">
        <f t="shared" si="30"/>
        <v>0</v>
      </c>
      <c r="Y38" s="16">
        <f t="shared" si="30"/>
        <v>144</v>
      </c>
      <c r="Z38" s="16">
        <f t="shared" si="30"/>
        <v>117</v>
      </c>
      <c r="AA38" s="16">
        <f t="shared" si="30"/>
        <v>87</v>
      </c>
      <c r="AB38" s="16">
        <f t="shared" si="30"/>
        <v>114</v>
      </c>
      <c r="AC38" s="16">
        <f t="shared" si="30"/>
        <v>833</v>
      </c>
      <c r="AD38" s="16">
        <f t="shared" si="30"/>
        <v>0</v>
      </c>
      <c r="AE38" s="32">
        <f t="shared" si="30"/>
        <v>2664</v>
      </c>
      <c r="AF38" s="32">
        <f t="shared" si="30"/>
        <v>3497</v>
      </c>
    </row>
    <row r="39" spans="2:32" ht="23.1" customHeight="1" x14ac:dyDescent="0.25">
      <c r="B39" s="46" t="s">
        <v>66</v>
      </c>
      <c r="C39" s="50">
        <v>31</v>
      </c>
      <c r="D39" s="50">
        <v>22</v>
      </c>
      <c r="E39" s="50">
        <v>3</v>
      </c>
      <c r="F39" s="50">
        <v>17</v>
      </c>
      <c r="G39" s="50">
        <v>1</v>
      </c>
      <c r="H39" s="50">
        <v>0</v>
      </c>
      <c r="I39" s="50">
        <v>8</v>
      </c>
      <c r="J39" s="50">
        <v>2</v>
      </c>
      <c r="K39" s="50">
        <v>6</v>
      </c>
      <c r="L39" s="50">
        <v>4</v>
      </c>
      <c r="M39" s="50">
        <v>26</v>
      </c>
      <c r="N39" s="50">
        <v>0</v>
      </c>
      <c r="O39" s="15">
        <f t="shared" si="0"/>
        <v>94</v>
      </c>
      <c r="P39" s="15">
        <f t="shared" si="1"/>
        <v>120</v>
      </c>
      <c r="R39" s="29" t="s">
        <v>87</v>
      </c>
      <c r="S39" s="16">
        <f t="shared" ref="S39:AF39" si="31">SUM(S19:S21)</f>
        <v>429</v>
      </c>
      <c r="T39" s="16">
        <f t="shared" si="31"/>
        <v>149</v>
      </c>
      <c r="U39" s="16">
        <f t="shared" si="31"/>
        <v>79</v>
      </c>
      <c r="V39" s="16">
        <f t="shared" si="31"/>
        <v>386</v>
      </c>
      <c r="W39" s="16">
        <f t="shared" si="31"/>
        <v>3</v>
      </c>
      <c r="X39" s="16">
        <f t="shared" si="31"/>
        <v>0</v>
      </c>
      <c r="Y39" s="16">
        <f t="shared" si="31"/>
        <v>67</v>
      </c>
      <c r="Z39" s="16">
        <f t="shared" si="31"/>
        <v>76</v>
      </c>
      <c r="AA39" s="16">
        <f t="shared" si="31"/>
        <v>60</v>
      </c>
      <c r="AB39" s="16">
        <f t="shared" si="31"/>
        <v>49</v>
      </c>
      <c r="AC39" s="16">
        <f t="shared" si="31"/>
        <v>542</v>
      </c>
      <c r="AD39" s="16">
        <f t="shared" si="31"/>
        <v>0</v>
      </c>
      <c r="AE39" s="32">
        <f t="shared" si="31"/>
        <v>1298</v>
      </c>
      <c r="AF39" s="32">
        <f t="shared" si="31"/>
        <v>1840</v>
      </c>
    </row>
    <row r="40" spans="2:32" ht="23.1" customHeight="1" x14ac:dyDescent="0.25">
      <c r="B40" s="46" t="s">
        <v>67</v>
      </c>
      <c r="C40" s="50">
        <v>35</v>
      </c>
      <c r="D40" s="50">
        <v>26</v>
      </c>
      <c r="E40" s="50">
        <v>7</v>
      </c>
      <c r="F40" s="50">
        <v>15</v>
      </c>
      <c r="G40" s="50">
        <v>0</v>
      </c>
      <c r="H40" s="50">
        <v>0</v>
      </c>
      <c r="I40" s="50">
        <v>4</v>
      </c>
      <c r="J40" s="50">
        <v>3</v>
      </c>
      <c r="K40" s="50">
        <v>10</v>
      </c>
      <c r="L40" s="50">
        <v>8</v>
      </c>
      <c r="M40" s="50">
        <v>31</v>
      </c>
      <c r="N40" s="50">
        <v>0</v>
      </c>
      <c r="O40" s="15">
        <f t="shared" si="0"/>
        <v>108</v>
      </c>
      <c r="P40" s="15">
        <f t="shared" si="1"/>
        <v>139</v>
      </c>
      <c r="R40" s="5" t="s">
        <v>17</v>
      </c>
      <c r="S40" s="16">
        <f t="shared" ref="S40:AF40" si="32">SUM(S10:S21)</f>
        <v>1929</v>
      </c>
      <c r="T40" s="16">
        <f t="shared" si="32"/>
        <v>589</v>
      </c>
      <c r="U40" s="16">
        <f t="shared" si="32"/>
        <v>323</v>
      </c>
      <c r="V40" s="16">
        <f t="shared" si="32"/>
        <v>1214</v>
      </c>
      <c r="W40" s="16">
        <f t="shared" si="32"/>
        <v>39</v>
      </c>
      <c r="X40" s="16">
        <f t="shared" si="32"/>
        <v>1</v>
      </c>
      <c r="Y40" s="16">
        <f t="shared" si="32"/>
        <v>267</v>
      </c>
      <c r="Z40" s="16">
        <f t="shared" si="32"/>
        <v>236</v>
      </c>
      <c r="AA40" s="16">
        <f t="shared" si="32"/>
        <v>173</v>
      </c>
      <c r="AB40" s="16">
        <f t="shared" si="32"/>
        <v>211</v>
      </c>
      <c r="AC40" s="16">
        <f t="shared" si="32"/>
        <v>1796</v>
      </c>
      <c r="AD40" s="16">
        <f t="shared" si="32"/>
        <v>0</v>
      </c>
      <c r="AE40" s="32">
        <f t="shared" si="32"/>
        <v>4982</v>
      </c>
      <c r="AF40" s="32">
        <f t="shared" si="32"/>
        <v>6778</v>
      </c>
    </row>
    <row r="41" spans="2:32" ht="23.1" customHeight="1" x14ac:dyDescent="0.25">
      <c r="B41" s="45" t="s">
        <v>68</v>
      </c>
      <c r="C41" s="50">
        <v>35</v>
      </c>
      <c r="D41" s="50">
        <v>21</v>
      </c>
      <c r="E41" s="50">
        <v>5</v>
      </c>
      <c r="F41" s="50">
        <v>21</v>
      </c>
      <c r="G41" s="50">
        <v>1</v>
      </c>
      <c r="H41" s="50">
        <v>0</v>
      </c>
      <c r="I41" s="50">
        <v>7</v>
      </c>
      <c r="J41" s="50">
        <v>4</v>
      </c>
      <c r="K41" s="50">
        <v>6</v>
      </c>
      <c r="L41" s="50">
        <v>4</v>
      </c>
      <c r="M41" s="50">
        <v>52</v>
      </c>
      <c r="N41" s="50">
        <v>0</v>
      </c>
      <c r="O41" s="15">
        <f t="shared" si="0"/>
        <v>104</v>
      </c>
      <c r="P41" s="15">
        <f t="shared" si="1"/>
        <v>156</v>
      </c>
      <c r="R41" s="5" t="s">
        <v>159</v>
      </c>
      <c r="S41" s="16">
        <f>SUM(S10:S33)</f>
        <v>2355</v>
      </c>
      <c r="T41" s="16">
        <f t="shared" ref="T41:AF41" si="33">SUM(T10:T33)</f>
        <v>892</v>
      </c>
      <c r="U41" s="16">
        <f t="shared" si="33"/>
        <v>413</v>
      </c>
      <c r="V41" s="16">
        <f t="shared" si="33"/>
        <v>1643</v>
      </c>
      <c r="W41" s="16">
        <f t="shared" si="33"/>
        <v>54</v>
      </c>
      <c r="X41" s="16">
        <f t="shared" si="33"/>
        <v>2</v>
      </c>
      <c r="Y41" s="16">
        <f t="shared" si="33"/>
        <v>325</v>
      </c>
      <c r="Z41" s="16">
        <f t="shared" si="33"/>
        <v>365</v>
      </c>
      <c r="AA41" s="16">
        <f t="shared" si="33"/>
        <v>256</v>
      </c>
      <c r="AB41" s="16">
        <f t="shared" si="33"/>
        <v>338</v>
      </c>
      <c r="AC41" s="16">
        <f t="shared" si="33"/>
        <v>2307</v>
      </c>
      <c r="AD41" s="16">
        <f t="shared" si="33"/>
        <v>1</v>
      </c>
      <c r="AE41" s="32">
        <f t="shared" si="33"/>
        <v>6644</v>
      </c>
      <c r="AF41" s="32">
        <f t="shared" si="33"/>
        <v>8951</v>
      </c>
    </row>
    <row r="42" spans="2:32" ht="23.1" customHeight="1" x14ac:dyDescent="0.25">
      <c r="B42" s="46" t="s">
        <v>69</v>
      </c>
      <c r="C42" s="50">
        <v>29</v>
      </c>
      <c r="D42" s="50">
        <v>20</v>
      </c>
      <c r="E42" s="50">
        <v>10</v>
      </c>
      <c r="F42" s="50">
        <v>15</v>
      </c>
      <c r="G42" s="50">
        <v>1</v>
      </c>
      <c r="H42" s="50">
        <v>0</v>
      </c>
      <c r="I42" s="50">
        <v>8</v>
      </c>
      <c r="J42" s="50">
        <v>6</v>
      </c>
      <c r="K42" s="50">
        <v>3</v>
      </c>
      <c r="L42" s="50">
        <v>8</v>
      </c>
      <c r="M42" s="50">
        <v>30</v>
      </c>
      <c r="N42" s="50">
        <v>0</v>
      </c>
      <c r="O42" s="15">
        <f t="shared" si="0"/>
        <v>100</v>
      </c>
      <c r="P42" s="15">
        <f t="shared" si="1"/>
        <v>130</v>
      </c>
      <c r="R42" s="5" t="s">
        <v>160</v>
      </c>
      <c r="S42" s="48">
        <f>S41/S40</f>
        <v>1.2208398133748055</v>
      </c>
      <c r="T42" s="48">
        <f t="shared" ref="T42:AF42" si="34">T41/T40</f>
        <v>1.5144312393887946</v>
      </c>
      <c r="U42" s="48">
        <f t="shared" si="34"/>
        <v>1.2786377708978329</v>
      </c>
      <c r="V42" s="48">
        <f t="shared" si="34"/>
        <v>1.3533772652388798</v>
      </c>
      <c r="W42" s="48">
        <f t="shared" si="34"/>
        <v>1.3846153846153846</v>
      </c>
      <c r="X42" s="48">
        <f t="shared" si="34"/>
        <v>2</v>
      </c>
      <c r="Y42" s="48">
        <f t="shared" si="34"/>
        <v>1.2172284644194757</v>
      </c>
      <c r="Z42" s="48">
        <f t="shared" si="34"/>
        <v>1.5466101694915255</v>
      </c>
      <c r="AA42" s="48">
        <f t="shared" si="34"/>
        <v>1.4797687861271676</v>
      </c>
      <c r="AB42" s="48">
        <f t="shared" si="34"/>
        <v>1.6018957345971565</v>
      </c>
      <c r="AC42" s="48">
        <f t="shared" si="34"/>
        <v>1.284521158129176</v>
      </c>
      <c r="AD42" s="48" t="e">
        <f t="shared" si="34"/>
        <v>#DIV/0!</v>
      </c>
      <c r="AE42" s="48">
        <f t="shared" si="34"/>
        <v>1.3336009634684864</v>
      </c>
      <c r="AF42" s="48">
        <f t="shared" si="34"/>
        <v>1.3205960460312776</v>
      </c>
    </row>
    <row r="43" spans="2:32" ht="23.1" customHeight="1" x14ac:dyDescent="0.25">
      <c r="B43" s="45" t="s">
        <v>70</v>
      </c>
      <c r="C43" s="50">
        <v>30</v>
      </c>
      <c r="D43" s="50">
        <v>20</v>
      </c>
      <c r="E43" s="50">
        <v>4</v>
      </c>
      <c r="F43" s="50">
        <v>22</v>
      </c>
      <c r="G43" s="50">
        <v>1</v>
      </c>
      <c r="H43" s="50">
        <v>0</v>
      </c>
      <c r="I43" s="50">
        <v>14</v>
      </c>
      <c r="J43" s="50">
        <v>3</v>
      </c>
      <c r="K43" s="50">
        <v>6</v>
      </c>
      <c r="L43" s="50">
        <v>3</v>
      </c>
      <c r="M43" s="50">
        <v>36</v>
      </c>
      <c r="N43" s="50">
        <v>0</v>
      </c>
      <c r="O43" s="15">
        <f t="shared" si="0"/>
        <v>103</v>
      </c>
      <c r="P43" s="15">
        <f t="shared" si="1"/>
        <v>139</v>
      </c>
    </row>
    <row r="44" spans="2:32" ht="23.1" customHeight="1" x14ac:dyDescent="0.25">
      <c r="B44" s="47" t="s">
        <v>71</v>
      </c>
      <c r="C44" s="50">
        <v>18</v>
      </c>
      <c r="D44" s="50">
        <v>14</v>
      </c>
      <c r="E44" s="50">
        <v>10</v>
      </c>
      <c r="F44" s="50">
        <v>20</v>
      </c>
      <c r="G44" s="50">
        <v>0</v>
      </c>
      <c r="H44" s="50">
        <v>0</v>
      </c>
      <c r="I44" s="50">
        <v>8</v>
      </c>
      <c r="J44" s="50">
        <v>3</v>
      </c>
      <c r="K44" s="50">
        <v>1</v>
      </c>
      <c r="L44" s="50">
        <v>4</v>
      </c>
      <c r="M44" s="50">
        <v>36</v>
      </c>
      <c r="N44" s="50">
        <v>0</v>
      </c>
      <c r="O44" s="15">
        <f t="shared" si="0"/>
        <v>78</v>
      </c>
      <c r="P44" s="15">
        <f t="shared" si="1"/>
        <v>114</v>
      </c>
    </row>
    <row r="45" spans="2:32" ht="23.1" customHeight="1" x14ac:dyDescent="0.25">
      <c r="B45" s="45" t="s">
        <v>72</v>
      </c>
      <c r="C45" s="50">
        <v>15</v>
      </c>
      <c r="D45" s="50">
        <v>12</v>
      </c>
      <c r="E45" s="50">
        <v>0</v>
      </c>
      <c r="F45" s="50">
        <v>12</v>
      </c>
      <c r="G45" s="50">
        <v>0</v>
      </c>
      <c r="H45" s="50">
        <v>0</v>
      </c>
      <c r="I45" s="50">
        <v>4</v>
      </c>
      <c r="J45" s="50">
        <v>4</v>
      </c>
      <c r="K45" s="50">
        <v>1</v>
      </c>
      <c r="L45" s="50">
        <v>2</v>
      </c>
      <c r="M45" s="50">
        <v>27</v>
      </c>
      <c r="N45" s="50">
        <v>0</v>
      </c>
      <c r="O45" s="15">
        <f t="shared" si="0"/>
        <v>50</v>
      </c>
      <c r="P45" s="15">
        <f t="shared" si="1"/>
        <v>77</v>
      </c>
    </row>
    <row r="46" spans="2:32" ht="23.1" customHeight="1" x14ac:dyDescent="0.25">
      <c r="B46" s="46" t="s">
        <v>73</v>
      </c>
      <c r="C46" s="50">
        <v>26</v>
      </c>
      <c r="D46" s="50">
        <v>14</v>
      </c>
      <c r="E46" s="50">
        <v>6</v>
      </c>
      <c r="F46" s="50">
        <v>29</v>
      </c>
      <c r="G46" s="50">
        <v>0</v>
      </c>
      <c r="H46" s="50">
        <v>0</v>
      </c>
      <c r="I46" s="50">
        <v>6</v>
      </c>
      <c r="J46" s="50">
        <v>2</v>
      </c>
      <c r="K46" s="50">
        <v>3</v>
      </c>
      <c r="L46" s="50">
        <v>3</v>
      </c>
      <c r="M46" s="50">
        <v>35</v>
      </c>
      <c r="N46" s="50">
        <v>0</v>
      </c>
      <c r="O46" s="15">
        <f t="shared" si="0"/>
        <v>89</v>
      </c>
      <c r="P46" s="15">
        <f t="shared" si="1"/>
        <v>124</v>
      </c>
      <c r="R46" s="8"/>
      <c r="T46"/>
    </row>
    <row r="47" spans="2:32" ht="23.1" customHeight="1" x14ac:dyDescent="0.25">
      <c r="B47" s="46" t="s">
        <v>74</v>
      </c>
      <c r="C47" s="50">
        <v>28</v>
      </c>
      <c r="D47" s="50">
        <v>3</v>
      </c>
      <c r="E47" s="50">
        <v>4</v>
      </c>
      <c r="F47" s="50">
        <v>17</v>
      </c>
      <c r="G47" s="50">
        <v>0</v>
      </c>
      <c r="H47" s="50">
        <v>0</v>
      </c>
      <c r="I47" s="50">
        <v>5</v>
      </c>
      <c r="J47" s="50">
        <v>1</v>
      </c>
      <c r="K47" s="50">
        <v>5</v>
      </c>
      <c r="L47" s="50">
        <v>2</v>
      </c>
      <c r="M47" s="50">
        <v>29</v>
      </c>
      <c r="N47" s="50">
        <v>0</v>
      </c>
      <c r="O47" s="15">
        <f t="shared" si="0"/>
        <v>65</v>
      </c>
      <c r="P47" s="15">
        <f t="shared" si="1"/>
        <v>94</v>
      </c>
      <c r="R47" s="8"/>
      <c r="T47"/>
    </row>
    <row r="48" spans="2:32" ht="23.1" customHeight="1" x14ac:dyDescent="0.25">
      <c r="B48" s="46" t="s">
        <v>75</v>
      </c>
      <c r="C48" s="50">
        <v>23</v>
      </c>
      <c r="D48" s="50">
        <v>7</v>
      </c>
      <c r="E48" s="50">
        <v>5</v>
      </c>
      <c r="F48" s="50">
        <v>22</v>
      </c>
      <c r="G48" s="50">
        <v>0</v>
      </c>
      <c r="H48" s="50">
        <v>0</v>
      </c>
      <c r="I48" s="50">
        <v>6</v>
      </c>
      <c r="J48" s="50">
        <v>3</v>
      </c>
      <c r="K48" s="50">
        <v>7</v>
      </c>
      <c r="L48" s="50">
        <v>4</v>
      </c>
      <c r="M48" s="50">
        <v>47</v>
      </c>
      <c r="N48" s="50">
        <v>0</v>
      </c>
      <c r="O48" s="15">
        <f t="shared" si="0"/>
        <v>77</v>
      </c>
      <c r="P48" s="15">
        <f t="shared" si="1"/>
        <v>124</v>
      </c>
      <c r="R48" s="8"/>
      <c r="T48"/>
    </row>
    <row r="49" spans="2:20" ht="23.1" customHeight="1" x14ac:dyDescent="0.25">
      <c r="B49" s="45" t="s">
        <v>76</v>
      </c>
      <c r="C49" s="50">
        <v>31</v>
      </c>
      <c r="D49" s="50">
        <v>10</v>
      </c>
      <c r="E49" s="50">
        <v>4</v>
      </c>
      <c r="F49" s="50">
        <v>23</v>
      </c>
      <c r="G49" s="50">
        <v>0</v>
      </c>
      <c r="H49" s="50">
        <v>0</v>
      </c>
      <c r="I49" s="50">
        <v>3</v>
      </c>
      <c r="J49" s="50">
        <v>6</v>
      </c>
      <c r="K49" s="50">
        <v>5</v>
      </c>
      <c r="L49" s="50">
        <v>7</v>
      </c>
      <c r="M49" s="50">
        <v>43</v>
      </c>
      <c r="N49" s="50">
        <v>0</v>
      </c>
      <c r="O49" s="15">
        <f t="shared" si="0"/>
        <v>89</v>
      </c>
      <c r="P49" s="15">
        <f t="shared" si="1"/>
        <v>132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1</v>
      </c>
      <c r="E50" s="50">
        <v>12</v>
      </c>
      <c r="F50" s="50">
        <v>25</v>
      </c>
      <c r="G50" s="50">
        <v>1</v>
      </c>
      <c r="H50" s="50">
        <v>0</v>
      </c>
      <c r="I50" s="50">
        <v>5</v>
      </c>
      <c r="J50" s="50">
        <v>5</v>
      </c>
      <c r="K50" s="50">
        <v>1</v>
      </c>
      <c r="L50" s="50">
        <v>5</v>
      </c>
      <c r="M50" s="50">
        <v>40</v>
      </c>
      <c r="N50" s="50">
        <v>0</v>
      </c>
      <c r="O50" s="15">
        <f t="shared" si="0"/>
        <v>78</v>
      </c>
      <c r="P50" s="15">
        <f t="shared" si="1"/>
        <v>118</v>
      </c>
      <c r="R50" s="8"/>
      <c r="T50"/>
    </row>
    <row r="51" spans="2:20" ht="23.1" customHeight="1" x14ac:dyDescent="0.25">
      <c r="B51" s="46" t="s">
        <v>78</v>
      </c>
      <c r="C51" s="50">
        <v>23</v>
      </c>
      <c r="D51" s="50">
        <v>2</v>
      </c>
      <c r="E51" s="50">
        <v>2</v>
      </c>
      <c r="F51" s="50">
        <v>28</v>
      </c>
      <c r="G51" s="50">
        <v>1</v>
      </c>
      <c r="H51" s="50">
        <v>0</v>
      </c>
      <c r="I51" s="50">
        <v>5</v>
      </c>
      <c r="J51" s="50">
        <v>6</v>
      </c>
      <c r="K51" s="50">
        <v>2</v>
      </c>
      <c r="L51" s="50">
        <v>2</v>
      </c>
      <c r="M51" s="50">
        <v>38</v>
      </c>
      <c r="N51" s="50">
        <v>0</v>
      </c>
      <c r="O51" s="15">
        <f t="shared" si="0"/>
        <v>71</v>
      </c>
      <c r="P51" s="15">
        <f t="shared" si="1"/>
        <v>109</v>
      </c>
      <c r="R51" s="8"/>
      <c r="T51"/>
    </row>
    <row r="52" spans="2:20" ht="23.1" customHeight="1" x14ac:dyDescent="0.25">
      <c r="B52" s="46" t="s">
        <v>79</v>
      </c>
      <c r="C52" s="50">
        <v>29</v>
      </c>
      <c r="D52" s="50">
        <v>16</v>
      </c>
      <c r="E52" s="50">
        <v>7</v>
      </c>
      <c r="F52" s="50">
        <v>33</v>
      </c>
      <c r="G52" s="50">
        <v>0</v>
      </c>
      <c r="H52" s="50">
        <v>0</v>
      </c>
      <c r="I52" s="50">
        <v>4</v>
      </c>
      <c r="J52" s="50">
        <v>3</v>
      </c>
      <c r="K52" s="50">
        <v>2</v>
      </c>
      <c r="L52" s="50">
        <v>3</v>
      </c>
      <c r="M52" s="50">
        <v>41</v>
      </c>
      <c r="N52" s="50">
        <v>0</v>
      </c>
      <c r="O52" s="15">
        <f t="shared" si="0"/>
        <v>97</v>
      </c>
      <c r="P52" s="15">
        <f t="shared" si="1"/>
        <v>138</v>
      </c>
      <c r="R52" s="8"/>
      <c r="T52"/>
    </row>
    <row r="53" spans="2:20" ht="23.1" customHeight="1" x14ac:dyDescent="0.25">
      <c r="B53" s="45" t="s">
        <v>80</v>
      </c>
      <c r="C53" s="50">
        <v>33</v>
      </c>
      <c r="D53" s="50">
        <v>24</v>
      </c>
      <c r="E53" s="50">
        <v>12</v>
      </c>
      <c r="F53" s="50">
        <v>30</v>
      </c>
      <c r="G53" s="50">
        <v>0</v>
      </c>
      <c r="H53" s="50">
        <v>0</v>
      </c>
      <c r="I53" s="50">
        <v>3</v>
      </c>
      <c r="J53" s="50">
        <v>12</v>
      </c>
      <c r="K53" s="50">
        <v>3</v>
      </c>
      <c r="L53" s="50">
        <v>8</v>
      </c>
      <c r="M53" s="50">
        <v>47</v>
      </c>
      <c r="N53" s="50">
        <v>0</v>
      </c>
      <c r="O53" s="15">
        <f t="shared" si="0"/>
        <v>125</v>
      </c>
      <c r="P53" s="15">
        <f t="shared" si="1"/>
        <v>172</v>
      </c>
      <c r="R53" s="8"/>
      <c r="T53"/>
    </row>
    <row r="54" spans="2:20" ht="23.1" customHeight="1" x14ac:dyDescent="0.25">
      <c r="B54" s="45" t="s">
        <v>81</v>
      </c>
      <c r="C54" s="50">
        <v>73</v>
      </c>
      <c r="D54" s="50">
        <v>13</v>
      </c>
      <c r="E54" s="50">
        <v>5</v>
      </c>
      <c r="F54" s="50">
        <v>47</v>
      </c>
      <c r="G54" s="50">
        <v>1</v>
      </c>
      <c r="H54" s="50">
        <v>0</v>
      </c>
      <c r="I54" s="50">
        <v>7</v>
      </c>
      <c r="J54" s="50">
        <v>12</v>
      </c>
      <c r="K54" s="50">
        <v>9</v>
      </c>
      <c r="L54" s="50">
        <v>3</v>
      </c>
      <c r="M54" s="50">
        <v>42</v>
      </c>
      <c r="N54" s="50">
        <v>0</v>
      </c>
      <c r="O54" s="15">
        <f t="shared" si="0"/>
        <v>170</v>
      </c>
      <c r="P54" s="15">
        <f t="shared" si="1"/>
        <v>212</v>
      </c>
      <c r="R54" s="8"/>
      <c r="T54"/>
    </row>
    <row r="55" spans="2:20" ht="23.1" customHeight="1" x14ac:dyDescent="0.25">
      <c r="B55" s="45" t="s">
        <v>82</v>
      </c>
      <c r="C55" s="50">
        <v>50</v>
      </c>
      <c r="D55" s="50">
        <v>18</v>
      </c>
      <c r="E55" s="50">
        <v>7</v>
      </c>
      <c r="F55" s="50">
        <v>50</v>
      </c>
      <c r="G55" s="50">
        <v>0</v>
      </c>
      <c r="H55" s="50">
        <v>0</v>
      </c>
      <c r="I55" s="50">
        <v>13</v>
      </c>
      <c r="J55" s="50">
        <v>13</v>
      </c>
      <c r="K55" s="50">
        <v>12</v>
      </c>
      <c r="L55" s="50">
        <v>2</v>
      </c>
      <c r="M55" s="50">
        <v>63</v>
      </c>
      <c r="N55" s="50">
        <v>0</v>
      </c>
      <c r="O55" s="15">
        <f t="shared" si="0"/>
        <v>165</v>
      </c>
      <c r="P55" s="15">
        <f t="shared" si="1"/>
        <v>228</v>
      </c>
      <c r="R55" s="8"/>
      <c r="T55"/>
    </row>
    <row r="56" spans="2:20" ht="23.1" customHeight="1" x14ac:dyDescent="0.25">
      <c r="B56" s="45" t="s">
        <v>83</v>
      </c>
      <c r="C56" s="50">
        <v>48</v>
      </c>
      <c r="D56" s="50">
        <v>22</v>
      </c>
      <c r="E56" s="50">
        <v>8</v>
      </c>
      <c r="F56" s="50">
        <v>42</v>
      </c>
      <c r="G56" s="50">
        <v>0</v>
      </c>
      <c r="H56" s="50">
        <v>0</v>
      </c>
      <c r="I56" s="50">
        <v>4</v>
      </c>
      <c r="J56" s="50">
        <v>7</v>
      </c>
      <c r="K56" s="50">
        <v>8</v>
      </c>
      <c r="L56" s="50">
        <v>4</v>
      </c>
      <c r="M56" s="50">
        <v>60</v>
      </c>
      <c r="N56" s="50">
        <v>0</v>
      </c>
      <c r="O56" s="15">
        <f t="shared" si="0"/>
        <v>143</v>
      </c>
      <c r="P56" s="15">
        <f t="shared" si="1"/>
        <v>203</v>
      </c>
      <c r="R56" s="8"/>
      <c r="T56"/>
    </row>
    <row r="57" spans="2:20" ht="23.1" customHeight="1" x14ac:dyDescent="0.25">
      <c r="B57" s="45" t="s">
        <v>84</v>
      </c>
      <c r="C57" s="50">
        <v>42</v>
      </c>
      <c r="D57" s="50">
        <v>19</v>
      </c>
      <c r="E57" s="50">
        <v>7</v>
      </c>
      <c r="F57" s="50">
        <v>40</v>
      </c>
      <c r="G57" s="50">
        <v>0</v>
      </c>
      <c r="H57" s="50">
        <v>0</v>
      </c>
      <c r="I57" s="50">
        <v>6</v>
      </c>
      <c r="J57" s="50">
        <v>6</v>
      </c>
      <c r="K57" s="50">
        <v>3</v>
      </c>
      <c r="L57" s="50">
        <v>6</v>
      </c>
      <c r="M57" s="50">
        <v>57</v>
      </c>
      <c r="N57" s="50">
        <v>0</v>
      </c>
      <c r="O57" s="15">
        <f t="shared" si="0"/>
        <v>129</v>
      </c>
      <c r="P57" s="15">
        <f t="shared" si="1"/>
        <v>186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4</v>
      </c>
      <c r="E58" s="50">
        <v>1</v>
      </c>
      <c r="F58" s="50">
        <v>13</v>
      </c>
      <c r="G58" s="50">
        <v>0</v>
      </c>
      <c r="H58" s="50">
        <v>0</v>
      </c>
      <c r="I58" s="50">
        <v>0</v>
      </c>
      <c r="J58" s="50">
        <v>6</v>
      </c>
      <c r="K58" s="50">
        <v>4</v>
      </c>
      <c r="L58" s="50">
        <v>3</v>
      </c>
      <c r="M58" s="50">
        <v>16</v>
      </c>
      <c r="N58" s="50">
        <v>0</v>
      </c>
      <c r="O58" s="15">
        <f t="shared" si="0"/>
        <v>42</v>
      </c>
      <c r="P58" s="15">
        <f t="shared" si="1"/>
        <v>58</v>
      </c>
      <c r="R58" s="8"/>
      <c r="T58"/>
    </row>
    <row r="59" spans="2:20" ht="23.1" customHeight="1" x14ac:dyDescent="0.25">
      <c r="B59" s="45" t="s">
        <v>100</v>
      </c>
      <c r="C59" s="50">
        <v>19</v>
      </c>
      <c r="D59" s="50">
        <v>12</v>
      </c>
      <c r="E59" s="50">
        <v>5</v>
      </c>
      <c r="F59" s="50">
        <v>21</v>
      </c>
      <c r="G59" s="50">
        <v>0</v>
      </c>
      <c r="H59" s="50">
        <v>0</v>
      </c>
      <c r="I59" s="50">
        <v>3</v>
      </c>
      <c r="J59" s="50">
        <v>5</v>
      </c>
      <c r="K59" s="50">
        <v>5</v>
      </c>
      <c r="L59" s="50">
        <v>2</v>
      </c>
      <c r="M59" s="50">
        <v>27</v>
      </c>
      <c r="N59" s="50">
        <v>0</v>
      </c>
      <c r="O59" s="15">
        <f t="shared" si="0"/>
        <v>72</v>
      </c>
      <c r="P59" s="15">
        <f t="shared" si="1"/>
        <v>99</v>
      </c>
      <c r="R59" s="8"/>
      <c r="T59"/>
    </row>
    <row r="60" spans="2:20" ht="23.1" customHeight="1" x14ac:dyDescent="0.25">
      <c r="B60" s="45" t="s">
        <v>101</v>
      </c>
      <c r="C60" s="50">
        <v>26</v>
      </c>
      <c r="D60" s="50">
        <v>13</v>
      </c>
      <c r="E60" s="50">
        <v>5</v>
      </c>
      <c r="F60" s="50">
        <v>20</v>
      </c>
      <c r="G60" s="50">
        <v>1</v>
      </c>
      <c r="H60" s="50">
        <v>0</v>
      </c>
      <c r="I60" s="50">
        <v>1</v>
      </c>
      <c r="J60" s="50">
        <v>2</v>
      </c>
      <c r="K60" s="50">
        <v>1</v>
      </c>
      <c r="L60" s="50">
        <v>3</v>
      </c>
      <c r="M60" s="50">
        <v>29</v>
      </c>
      <c r="N60" s="50">
        <v>0</v>
      </c>
      <c r="O60" s="15">
        <f t="shared" si="0"/>
        <v>72</v>
      </c>
      <c r="P60" s="15">
        <f t="shared" si="1"/>
        <v>101</v>
      </c>
      <c r="R60" s="8"/>
      <c r="T60"/>
    </row>
    <row r="61" spans="2:20" ht="23.1" customHeight="1" x14ac:dyDescent="0.25">
      <c r="B61" s="45" t="s">
        <v>102</v>
      </c>
      <c r="C61" s="50">
        <v>17</v>
      </c>
      <c r="D61" s="50">
        <v>13</v>
      </c>
      <c r="E61" s="50">
        <v>4</v>
      </c>
      <c r="F61" s="50">
        <v>21</v>
      </c>
      <c r="G61" s="50">
        <v>1</v>
      </c>
      <c r="H61" s="50">
        <v>0</v>
      </c>
      <c r="I61" s="50">
        <v>2</v>
      </c>
      <c r="J61" s="50">
        <v>4</v>
      </c>
      <c r="K61" s="50">
        <v>1</v>
      </c>
      <c r="L61" s="50">
        <v>4</v>
      </c>
      <c r="M61" s="50">
        <v>45</v>
      </c>
      <c r="N61" s="50">
        <v>0</v>
      </c>
      <c r="O61" s="15">
        <f t="shared" si="0"/>
        <v>67</v>
      </c>
      <c r="P61" s="15">
        <f t="shared" si="1"/>
        <v>112</v>
      </c>
      <c r="R61" s="8"/>
      <c r="T61"/>
    </row>
    <row r="62" spans="2:20" ht="23.1" customHeight="1" x14ac:dyDescent="0.25">
      <c r="B62" s="45" t="s">
        <v>107</v>
      </c>
      <c r="C62" s="50">
        <v>23</v>
      </c>
      <c r="D62" s="50">
        <v>19</v>
      </c>
      <c r="E62" s="50">
        <v>5</v>
      </c>
      <c r="F62" s="50">
        <v>22</v>
      </c>
      <c r="G62" s="50">
        <v>5</v>
      </c>
      <c r="H62" s="50">
        <v>0</v>
      </c>
      <c r="I62" s="50">
        <v>1</v>
      </c>
      <c r="J62" s="50">
        <v>2</v>
      </c>
      <c r="K62" s="50">
        <v>2</v>
      </c>
      <c r="L62" s="50">
        <v>2</v>
      </c>
      <c r="M62" s="50">
        <v>58</v>
      </c>
      <c r="N62" s="50">
        <v>0</v>
      </c>
      <c r="O62" s="15">
        <f t="shared" si="0"/>
        <v>81</v>
      </c>
      <c r="P62" s="15">
        <f t="shared" si="1"/>
        <v>139</v>
      </c>
      <c r="R62" s="8"/>
      <c r="T62"/>
    </row>
    <row r="63" spans="2:20" ht="23.1" customHeight="1" x14ac:dyDescent="0.25">
      <c r="B63" s="45" t="s">
        <v>108</v>
      </c>
      <c r="C63" s="50">
        <v>20</v>
      </c>
      <c r="D63" s="50">
        <v>22</v>
      </c>
      <c r="E63" s="50">
        <v>4</v>
      </c>
      <c r="F63" s="50">
        <v>31</v>
      </c>
      <c r="G63" s="50">
        <v>0</v>
      </c>
      <c r="H63" s="50">
        <v>0</v>
      </c>
      <c r="I63" s="50">
        <v>4</v>
      </c>
      <c r="J63" s="50">
        <v>8</v>
      </c>
      <c r="K63" s="50">
        <v>0</v>
      </c>
      <c r="L63" s="50">
        <v>1</v>
      </c>
      <c r="M63" s="50">
        <v>32</v>
      </c>
      <c r="N63" s="50">
        <v>0</v>
      </c>
      <c r="O63" s="15">
        <f t="shared" si="0"/>
        <v>90</v>
      </c>
      <c r="P63" s="15">
        <f t="shared" si="1"/>
        <v>122</v>
      </c>
      <c r="R63" s="8"/>
      <c r="T63"/>
    </row>
    <row r="64" spans="2:20" ht="23.1" customHeight="1" x14ac:dyDescent="0.25">
      <c r="B64" s="45" t="s">
        <v>109</v>
      </c>
      <c r="C64" s="50">
        <v>21</v>
      </c>
      <c r="D64" s="50">
        <v>21</v>
      </c>
      <c r="E64" s="50">
        <v>7</v>
      </c>
      <c r="F64" s="50">
        <v>24</v>
      </c>
      <c r="G64" s="50">
        <v>0</v>
      </c>
      <c r="H64" s="50">
        <v>0</v>
      </c>
      <c r="I64" s="50">
        <v>1</v>
      </c>
      <c r="J64" s="50">
        <v>10</v>
      </c>
      <c r="K64" s="50">
        <v>0</v>
      </c>
      <c r="L64" s="50">
        <v>2</v>
      </c>
      <c r="M64" s="50">
        <v>32</v>
      </c>
      <c r="N64" s="50">
        <v>0</v>
      </c>
      <c r="O64" s="15">
        <f t="shared" si="0"/>
        <v>86</v>
      </c>
      <c r="P64" s="15">
        <f t="shared" si="1"/>
        <v>118</v>
      </c>
      <c r="R64" s="8"/>
      <c r="T64"/>
    </row>
    <row r="65" spans="2:20" ht="23.1" customHeight="1" x14ac:dyDescent="0.25">
      <c r="B65" s="45" t="s">
        <v>158</v>
      </c>
      <c r="C65" s="50">
        <v>24</v>
      </c>
      <c r="D65" s="50">
        <v>14</v>
      </c>
      <c r="E65" s="50">
        <v>7</v>
      </c>
      <c r="F65" s="50">
        <v>19</v>
      </c>
      <c r="G65" s="50">
        <v>0</v>
      </c>
      <c r="H65" s="50">
        <v>0</v>
      </c>
      <c r="I65" s="50">
        <v>2</v>
      </c>
      <c r="J65" s="50">
        <v>6</v>
      </c>
      <c r="K65" s="50">
        <v>1</v>
      </c>
      <c r="L65" s="50">
        <v>2</v>
      </c>
      <c r="M65" s="50">
        <v>22</v>
      </c>
      <c r="N65" s="50">
        <v>0</v>
      </c>
      <c r="O65" s="15">
        <f t="shared" si="0"/>
        <v>75</v>
      </c>
      <c r="P65" s="15">
        <f t="shared" si="1"/>
        <v>97</v>
      </c>
      <c r="R65" s="8"/>
      <c r="T65"/>
    </row>
    <row r="66" spans="2:20" ht="23.1" customHeight="1" x14ac:dyDescent="0.25">
      <c r="B66" s="45" t="s">
        <v>103</v>
      </c>
      <c r="C66" s="50">
        <v>20</v>
      </c>
      <c r="D66" s="50">
        <v>13</v>
      </c>
      <c r="E66" s="50">
        <v>5</v>
      </c>
      <c r="F66" s="50">
        <v>18</v>
      </c>
      <c r="G66" s="50">
        <v>0</v>
      </c>
      <c r="H66" s="50">
        <v>0</v>
      </c>
      <c r="I66" s="50">
        <v>2</v>
      </c>
      <c r="J66" s="50">
        <v>5</v>
      </c>
      <c r="K66" s="50">
        <v>5</v>
      </c>
      <c r="L66" s="50">
        <v>0</v>
      </c>
      <c r="M66" s="50">
        <v>29</v>
      </c>
      <c r="N66" s="50">
        <v>0</v>
      </c>
      <c r="O66" s="15">
        <f t="shared" si="0"/>
        <v>68</v>
      </c>
      <c r="P66" s="15">
        <f t="shared" si="1"/>
        <v>97</v>
      </c>
      <c r="R66" s="8"/>
      <c r="T66"/>
    </row>
    <row r="67" spans="2:20" ht="23.1" customHeight="1" x14ac:dyDescent="0.25">
      <c r="B67" s="45" t="s">
        <v>104</v>
      </c>
      <c r="C67" s="50">
        <v>26</v>
      </c>
      <c r="D67" s="50">
        <v>15</v>
      </c>
      <c r="E67" s="50">
        <v>3</v>
      </c>
      <c r="F67" s="50">
        <v>18</v>
      </c>
      <c r="G67" s="50">
        <v>0</v>
      </c>
      <c r="H67" s="50">
        <v>0</v>
      </c>
      <c r="I67" s="50">
        <v>3</v>
      </c>
      <c r="J67" s="50">
        <v>5</v>
      </c>
      <c r="K67" s="50">
        <v>1</v>
      </c>
      <c r="L67" s="50">
        <v>1</v>
      </c>
      <c r="M67" s="50">
        <v>28</v>
      </c>
      <c r="N67" s="50">
        <v>0</v>
      </c>
      <c r="O67" s="15">
        <f t="shared" si="0"/>
        <v>72</v>
      </c>
      <c r="P67" s="15">
        <f t="shared" si="1"/>
        <v>100</v>
      </c>
      <c r="R67" s="8"/>
      <c r="T67"/>
    </row>
    <row r="68" spans="2:20" ht="23.1" customHeight="1" x14ac:dyDescent="0.25">
      <c r="B68" s="45" t="s">
        <v>105</v>
      </c>
      <c r="C68" s="50">
        <v>25</v>
      </c>
      <c r="D68" s="50">
        <v>14</v>
      </c>
      <c r="E68" s="50">
        <v>6</v>
      </c>
      <c r="F68" s="50">
        <v>27</v>
      </c>
      <c r="G68" s="50">
        <v>0</v>
      </c>
      <c r="H68" s="50">
        <v>0</v>
      </c>
      <c r="I68" s="50">
        <v>2</v>
      </c>
      <c r="J68" s="50">
        <v>6</v>
      </c>
      <c r="K68" s="50">
        <v>4</v>
      </c>
      <c r="L68" s="50">
        <v>4</v>
      </c>
      <c r="M68" s="50">
        <v>24</v>
      </c>
      <c r="N68" s="50">
        <v>0</v>
      </c>
      <c r="O68" s="15">
        <f t="shared" si="0"/>
        <v>88</v>
      </c>
      <c r="P68" s="15">
        <f t="shared" si="1"/>
        <v>112</v>
      </c>
      <c r="R68" s="8"/>
      <c r="T68"/>
    </row>
    <row r="69" spans="2:20" ht="23.1" customHeight="1" x14ac:dyDescent="0.25">
      <c r="B69" s="45" t="s">
        <v>106</v>
      </c>
      <c r="C69" s="50">
        <v>15</v>
      </c>
      <c r="D69" s="50">
        <v>8</v>
      </c>
      <c r="E69" s="50">
        <v>4</v>
      </c>
      <c r="F69" s="50">
        <v>19</v>
      </c>
      <c r="G69" s="50">
        <v>1</v>
      </c>
      <c r="H69" s="50">
        <v>0</v>
      </c>
      <c r="I69" s="50">
        <v>3</v>
      </c>
      <c r="J69" s="50">
        <v>3</v>
      </c>
      <c r="K69" s="50">
        <v>0</v>
      </c>
      <c r="L69" s="50">
        <v>0</v>
      </c>
      <c r="M69" s="50">
        <v>19</v>
      </c>
      <c r="N69" s="50">
        <v>0</v>
      </c>
      <c r="O69" s="15">
        <f t="shared" si="0"/>
        <v>53</v>
      </c>
      <c r="P69" s="15">
        <f t="shared" si="1"/>
        <v>72</v>
      </c>
      <c r="R69" s="8"/>
      <c r="T69"/>
    </row>
    <row r="70" spans="2:20" ht="23.1" customHeight="1" x14ac:dyDescent="0.25">
      <c r="B70" s="45" t="s">
        <v>110</v>
      </c>
      <c r="C70" s="50">
        <v>19</v>
      </c>
      <c r="D70" s="50">
        <v>14</v>
      </c>
      <c r="E70" s="50">
        <v>2</v>
      </c>
      <c r="F70" s="50">
        <v>19</v>
      </c>
      <c r="G70" s="50">
        <v>1</v>
      </c>
      <c r="H70" s="50">
        <v>0</v>
      </c>
      <c r="I70" s="50">
        <v>1</v>
      </c>
      <c r="J70" s="50">
        <v>3</v>
      </c>
      <c r="K70" s="50">
        <v>2</v>
      </c>
      <c r="L70" s="50">
        <v>9</v>
      </c>
      <c r="M70" s="50">
        <v>16</v>
      </c>
      <c r="N70" s="50">
        <v>0</v>
      </c>
      <c r="O70" s="15">
        <f t="shared" si="0"/>
        <v>70</v>
      </c>
      <c r="P70" s="15">
        <f t="shared" si="1"/>
        <v>86</v>
      </c>
      <c r="R70" s="8"/>
      <c r="T70"/>
    </row>
    <row r="71" spans="2:20" ht="23.1" customHeight="1" x14ac:dyDescent="0.25">
      <c r="B71" s="45" t="s">
        <v>111</v>
      </c>
      <c r="C71" s="50">
        <v>8</v>
      </c>
      <c r="D71" s="50">
        <v>4</v>
      </c>
      <c r="E71" s="50">
        <v>2</v>
      </c>
      <c r="F71" s="50">
        <v>11</v>
      </c>
      <c r="G71" s="50">
        <v>2</v>
      </c>
      <c r="H71" s="50">
        <v>0</v>
      </c>
      <c r="I71" s="50">
        <v>2</v>
      </c>
      <c r="J71" s="50">
        <v>1</v>
      </c>
      <c r="K71" s="50">
        <v>2</v>
      </c>
      <c r="L71" s="50">
        <v>4</v>
      </c>
      <c r="M71" s="50">
        <v>15</v>
      </c>
      <c r="N71" s="50">
        <v>0</v>
      </c>
      <c r="O71" s="15">
        <f t="shared" si="0"/>
        <v>36</v>
      </c>
      <c r="P71" s="15">
        <f t="shared" si="1"/>
        <v>51</v>
      </c>
      <c r="R71" s="8"/>
      <c r="T71"/>
    </row>
    <row r="72" spans="2:20" ht="23.1" customHeight="1" x14ac:dyDescent="0.25">
      <c r="B72" s="45" t="s">
        <v>112</v>
      </c>
      <c r="C72" s="50">
        <v>15</v>
      </c>
      <c r="D72" s="50">
        <v>16</v>
      </c>
      <c r="E72" s="50">
        <v>6</v>
      </c>
      <c r="F72" s="50">
        <v>22</v>
      </c>
      <c r="G72" s="50">
        <v>0</v>
      </c>
      <c r="H72" s="50">
        <v>0</v>
      </c>
      <c r="I72" s="50">
        <v>5</v>
      </c>
      <c r="J72" s="50">
        <v>5</v>
      </c>
      <c r="K72" s="50">
        <v>4</v>
      </c>
      <c r="L72" s="50">
        <v>4</v>
      </c>
      <c r="M72" s="50">
        <v>14</v>
      </c>
      <c r="N72" s="50">
        <v>0</v>
      </c>
      <c r="O72" s="15">
        <f t="shared" si="0"/>
        <v>77</v>
      </c>
      <c r="P72" s="15">
        <f t="shared" si="1"/>
        <v>91</v>
      </c>
      <c r="R72" s="8"/>
      <c r="T72"/>
    </row>
    <row r="73" spans="2:20" ht="23.1" customHeight="1" x14ac:dyDescent="0.25">
      <c r="B73" s="45" t="s">
        <v>113</v>
      </c>
      <c r="C73" s="50">
        <v>13</v>
      </c>
      <c r="D73" s="50">
        <v>14</v>
      </c>
      <c r="E73" s="50">
        <v>3</v>
      </c>
      <c r="F73" s="50">
        <v>18</v>
      </c>
      <c r="G73" s="50">
        <v>1</v>
      </c>
      <c r="H73" s="50">
        <v>0</v>
      </c>
      <c r="I73" s="50">
        <v>0</v>
      </c>
      <c r="J73" s="50">
        <v>3</v>
      </c>
      <c r="K73" s="50">
        <v>1</v>
      </c>
      <c r="L73" s="50">
        <v>2</v>
      </c>
      <c r="M73" s="50">
        <v>12</v>
      </c>
      <c r="N73" s="50">
        <v>0</v>
      </c>
      <c r="O73" s="15">
        <f t="shared" si="0"/>
        <v>55</v>
      </c>
      <c r="P73" s="15">
        <f t="shared" si="1"/>
        <v>67</v>
      </c>
      <c r="R73" s="8"/>
      <c r="T73"/>
    </row>
    <row r="74" spans="2:20" ht="23.1" customHeight="1" x14ac:dyDescent="0.25">
      <c r="B74" s="45" t="s">
        <v>114</v>
      </c>
      <c r="C74" s="50">
        <v>24</v>
      </c>
      <c r="D74" s="50">
        <v>13</v>
      </c>
      <c r="E74" s="50">
        <v>3</v>
      </c>
      <c r="F74" s="50">
        <v>16</v>
      </c>
      <c r="G74" s="50">
        <v>0</v>
      </c>
      <c r="H74" s="50">
        <v>1</v>
      </c>
      <c r="I74" s="50">
        <v>0</v>
      </c>
      <c r="J74" s="50">
        <v>3</v>
      </c>
      <c r="K74" s="50">
        <v>0</v>
      </c>
      <c r="L74" s="50">
        <v>1</v>
      </c>
      <c r="M74" s="50">
        <v>8</v>
      </c>
      <c r="N74" s="50">
        <v>0</v>
      </c>
      <c r="O74" s="15">
        <f t="shared" ref="O74:O105" si="35">SUM(C74:L74,N74)</f>
        <v>61</v>
      </c>
      <c r="P74" s="15">
        <f t="shared" ref="P74:P105" si="36">SUM(C74:N74)</f>
        <v>69</v>
      </c>
      <c r="R74" s="8"/>
      <c r="T74"/>
    </row>
    <row r="75" spans="2:20" ht="23.1" customHeight="1" x14ac:dyDescent="0.25">
      <c r="B75" s="45" t="s">
        <v>115</v>
      </c>
      <c r="C75" s="50">
        <v>11</v>
      </c>
      <c r="D75" s="50">
        <v>5</v>
      </c>
      <c r="E75" s="50">
        <v>1</v>
      </c>
      <c r="F75" s="50">
        <v>6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24</v>
      </c>
      <c r="P75" s="15">
        <f t="shared" si="36"/>
        <v>28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7</v>
      </c>
      <c r="E76" s="50">
        <v>2</v>
      </c>
      <c r="F76" s="50">
        <v>2</v>
      </c>
      <c r="G76" s="50">
        <v>0</v>
      </c>
      <c r="H76" s="50">
        <v>0</v>
      </c>
      <c r="I76" s="50">
        <v>2</v>
      </c>
      <c r="J76" s="50">
        <v>1</v>
      </c>
      <c r="K76" s="50">
        <v>0</v>
      </c>
      <c r="L76" s="50">
        <v>8</v>
      </c>
      <c r="M76" s="50">
        <v>8</v>
      </c>
      <c r="N76" s="50">
        <v>0</v>
      </c>
      <c r="O76" s="15">
        <f t="shared" si="35"/>
        <v>26</v>
      </c>
      <c r="P76" s="15">
        <f t="shared" si="36"/>
        <v>34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6</v>
      </c>
      <c r="E77" s="50">
        <v>0</v>
      </c>
      <c r="F77" s="50">
        <v>6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8</v>
      </c>
      <c r="M77" s="50">
        <v>1</v>
      </c>
      <c r="N77" s="50">
        <v>0</v>
      </c>
      <c r="O77" s="15">
        <f t="shared" si="35"/>
        <v>22</v>
      </c>
      <c r="P77" s="15">
        <f t="shared" si="36"/>
        <v>23</v>
      </c>
      <c r="R77" s="8"/>
      <c r="T77"/>
    </row>
    <row r="78" spans="2:20" ht="23.1" customHeight="1" x14ac:dyDescent="0.25">
      <c r="B78" s="46" t="s">
        <v>118</v>
      </c>
      <c r="C78" s="50">
        <v>7</v>
      </c>
      <c r="D78" s="50">
        <v>9</v>
      </c>
      <c r="E78" s="50">
        <v>2</v>
      </c>
      <c r="F78" s="50">
        <v>4</v>
      </c>
      <c r="G78" s="50">
        <v>0</v>
      </c>
      <c r="H78" s="50">
        <v>0</v>
      </c>
      <c r="I78" s="50">
        <v>2</v>
      </c>
      <c r="J78" s="50">
        <v>2</v>
      </c>
      <c r="K78" s="50">
        <v>6</v>
      </c>
      <c r="L78" s="50">
        <v>0</v>
      </c>
      <c r="M78" s="50">
        <v>2</v>
      </c>
      <c r="N78" s="50">
        <v>0</v>
      </c>
      <c r="O78" s="15">
        <f t="shared" si="35"/>
        <v>32</v>
      </c>
      <c r="P78" s="15">
        <f t="shared" si="36"/>
        <v>34</v>
      </c>
      <c r="R78" s="8"/>
      <c r="T78"/>
    </row>
    <row r="79" spans="2:20" ht="23.1" customHeight="1" x14ac:dyDescent="0.25">
      <c r="B79" s="45" t="s">
        <v>119</v>
      </c>
      <c r="C79" s="50">
        <v>8</v>
      </c>
      <c r="D79" s="50">
        <v>5</v>
      </c>
      <c r="E79" s="50">
        <v>0</v>
      </c>
      <c r="F79" s="50">
        <v>3</v>
      </c>
      <c r="G79" s="50">
        <v>0</v>
      </c>
      <c r="H79" s="50">
        <v>0</v>
      </c>
      <c r="I79" s="50">
        <v>0</v>
      </c>
      <c r="J79" s="50">
        <v>2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18</v>
      </c>
      <c r="P79" s="15">
        <f t="shared" si="36"/>
        <v>18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3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4</v>
      </c>
      <c r="K80" s="50">
        <v>7</v>
      </c>
      <c r="L80" s="50">
        <v>2</v>
      </c>
      <c r="M80" s="50">
        <v>3</v>
      </c>
      <c r="N80" s="50">
        <v>0</v>
      </c>
      <c r="O80" s="15">
        <f t="shared" si="35"/>
        <v>22</v>
      </c>
      <c r="P80" s="15">
        <f t="shared" si="36"/>
        <v>25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8</v>
      </c>
      <c r="E81" s="50">
        <v>1</v>
      </c>
      <c r="F81" s="50">
        <v>1</v>
      </c>
      <c r="G81" s="50">
        <v>1</v>
      </c>
      <c r="H81" s="50">
        <v>0</v>
      </c>
      <c r="I81" s="50">
        <v>0</v>
      </c>
      <c r="J81" s="50">
        <v>2</v>
      </c>
      <c r="K81" s="50">
        <v>7</v>
      </c>
      <c r="L81" s="50">
        <v>1</v>
      </c>
      <c r="M81" s="50">
        <v>4</v>
      </c>
      <c r="N81" s="50">
        <v>0</v>
      </c>
      <c r="O81" s="15">
        <f t="shared" si="35"/>
        <v>25</v>
      </c>
      <c r="P81" s="15">
        <f t="shared" si="36"/>
        <v>29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1</v>
      </c>
      <c r="E82" s="50">
        <v>1</v>
      </c>
      <c r="F82" s="50">
        <v>2</v>
      </c>
      <c r="G82" s="50">
        <v>0</v>
      </c>
      <c r="H82" s="50">
        <v>0</v>
      </c>
      <c r="I82" s="50">
        <v>3</v>
      </c>
      <c r="J82" s="50">
        <v>3</v>
      </c>
      <c r="K82" s="50">
        <v>1</v>
      </c>
      <c r="L82" s="50">
        <v>3</v>
      </c>
      <c r="M82" s="50">
        <v>1</v>
      </c>
      <c r="N82" s="50">
        <v>0</v>
      </c>
      <c r="O82" s="15">
        <f t="shared" si="35"/>
        <v>19</v>
      </c>
      <c r="P82" s="15">
        <f t="shared" si="36"/>
        <v>20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2</v>
      </c>
      <c r="E83" s="50">
        <v>0</v>
      </c>
      <c r="F83" s="50">
        <v>3</v>
      </c>
      <c r="G83" s="50">
        <v>2</v>
      </c>
      <c r="H83" s="50">
        <v>0</v>
      </c>
      <c r="I83" s="50">
        <v>0</v>
      </c>
      <c r="J83" s="50">
        <v>0</v>
      </c>
      <c r="K83" s="50">
        <v>0</v>
      </c>
      <c r="L83" s="50">
        <v>3</v>
      </c>
      <c r="M83" s="50">
        <v>2</v>
      </c>
      <c r="N83" s="50">
        <v>0</v>
      </c>
      <c r="O83" s="15">
        <f t="shared" si="35"/>
        <v>14</v>
      </c>
      <c r="P83" s="15">
        <f t="shared" si="36"/>
        <v>16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2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1</v>
      </c>
      <c r="L84" s="50">
        <v>4</v>
      </c>
      <c r="M84" s="50">
        <v>3</v>
      </c>
      <c r="N84" s="50">
        <v>0</v>
      </c>
      <c r="O84" s="15">
        <f t="shared" si="35"/>
        <v>9</v>
      </c>
      <c r="P84" s="15">
        <f t="shared" si="36"/>
        <v>12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5</v>
      </c>
      <c r="K85" s="50">
        <v>3</v>
      </c>
      <c r="L85" s="50">
        <v>2</v>
      </c>
      <c r="M85" s="50">
        <v>0</v>
      </c>
      <c r="N85" s="50">
        <v>0</v>
      </c>
      <c r="O85" s="15">
        <f t="shared" si="35"/>
        <v>12</v>
      </c>
      <c r="P85" s="15">
        <f t="shared" si="36"/>
        <v>12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8</v>
      </c>
      <c r="M86" s="50">
        <v>0</v>
      </c>
      <c r="N86" s="50">
        <v>0</v>
      </c>
      <c r="O86" s="15">
        <f t="shared" si="35"/>
        <v>13</v>
      </c>
      <c r="P86" s="15">
        <f t="shared" si="36"/>
        <v>13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2</v>
      </c>
      <c r="L87" s="50">
        <v>1</v>
      </c>
      <c r="M87" s="50">
        <v>0</v>
      </c>
      <c r="N87" s="50"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2</v>
      </c>
      <c r="G88" s="50">
        <v>0</v>
      </c>
      <c r="H88" s="50">
        <v>0</v>
      </c>
      <c r="I88" s="50">
        <v>1</v>
      </c>
      <c r="J88" s="50">
        <v>0</v>
      </c>
      <c r="K88" s="50">
        <v>3</v>
      </c>
      <c r="L88" s="50">
        <v>1</v>
      </c>
      <c r="M88" s="50">
        <v>0</v>
      </c>
      <c r="N88" s="50"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3</v>
      </c>
      <c r="K89" s="50">
        <v>4</v>
      </c>
      <c r="L89" s="50">
        <v>1</v>
      </c>
      <c r="M89" s="50">
        <v>0</v>
      </c>
      <c r="N89" s="50">
        <v>0</v>
      </c>
      <c r="O89" s="15">
        <f t="shared" si="35"/>
        <v>11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2</v>
      </c>
      <c r="M90" s="50">
        <v>1</v>
      </c>
      <c r="N90" s="50">
        <v>0</v>
      </c>
      <c r="O90" s="15">
        <f t="shared" si="35"/>
        <v>7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4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9</v>
      </c>
      <c r="P91" s="15">
        <f t="shared" si="36"/>
        <v>9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1</v>
      </c>
      <c r="E92" s="50">
        <v>1</v>
      </c>
      <c r="F92" s="50">
        <v>0</v>
      </c>
      <c r="G92" s="50">
        <v>0</v>
      </c>
      <c r="H92" s="50">
        <v>0</v>
      </c>
      <c r="I92" s="50">
        <v>1</v>
      </c>
      <c r="J92" s="50">
        <v>1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5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2</v>
      </c>
      <c r="K93" s="50">
        <v>2</v>
      </c>
      <c r="L93" s="50">
        <v>0</v>
      </c>
      <c r="M93" s="50">
        <v>2</v>
      </c>
      <c r="N93" s="50">
        <v>0</v>
      </c>
      <c r="O93" s="15">
        <f t="shared" si="35"/>
        <v>9</v>
      </c>
      <c r="P93" s="15">
        <f t="shared" si="36"/>
        <v>11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4</v>
      </c>
      <c r="K94" s="50">
        <v>2</v>
      </c>
      <c r="L94" s="50">
        <v>2</v>
      </c>
      <c r="M94" s="50">
        <v>0</v>
      </c>
      <c r="N94" s="50">
        <v>0</v>
      </c>
      <c r="O94" s="15">
        <f t="shared" si="35"/>
        <v>10</v>
      </c>
      <c r="P94" s="15">
        <f t="shared" si="36"/>
        <v>10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1</v>
      </c>
      <c r="K95" s="50">
        <v>1</v>
      </c>
      <c r="L95" s="50">
        <v>0</v>
      </c>
      <c r="M95" s="50">
        <v>2</v>
      </c>
      <c r="N95" s="50">
        <v>0</v>
      </c>
      <c r="O95" s="15">
        <f t="shared" si="35"/>
        <v>6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2</v>
      </c>
      <c r="L96" s="50">
        <v>2</v>
      </c>
      <c r="M96" s="50">
        <v>1</v>
      </c>
      <c r="N96" s="50">
        <v>0</v>
      </c>
      <c r="O96" s="15">
        <f t="shared" si="35"/>
        <v>7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1</v>
      </c>
      <c r="J97" s="50">
        <v>1</v>
      </c>
      <c r="K97" s="50">
        <v>3</v>
      </c>
      <c r="L97" s="50">
        <v>0</v>
      </c>
      <c r="M97" s="50">
        <v>2</v>
      </c>
      <c r="N97" s="50">
        <v>0</v>
      </c>
      <c r="O97" s="15">
        <f t="shared" si="35"/>
        <v>9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3</v>
      </c>
      <c r="J98" s="50">
        <v>1</v>
      </c>
      <c r="K98" s="50">
        <v>1</v>
      </c>
      <c r="L98" s="50">
        <v>3</v>
      </c>
      <c r="M98" s="50">
        <v>1</v>
      </c>
      <c r="N98" s="50">
        <v>0</v>
      </c>
      <c r="O98" s="15">
        <f t="shared" si="35"/>
        <v>13</v>
      </c>
      <c r="P98" s="15">
        <f t="shared" si="36"/>
        <v>14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0</v>
      </c>
      <c r="E99" s="50">
        <v>2</v>
      </c>
      <c r="F99" s="50">
        <v>3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4</v>
      </c>
      <c r="M99" s="50">
        <v>2</v>
      </c>
      <c r="N99" s="50">
        <v>0</v>
      </c>
      <c r="O99" s="15">
        <f t="shared" si="35"/>
        <v>18</v>
      </c>
      <c r="P99" s="15">
        <f t="shared" si="36"/>
        <v>20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1</v>
      </c>
      <c r="E100" s="50">
        <v>1</v>
      </c>
      <c r="F100" s="50">
        <v>7</v>
      </c>
      <c r="G100" s="50">
        <v>0</v>
      </c>
      <c r="H100" s="50">
        <v>0</v>
      </c>
      <c r="I100" s="50">
        <v>1</v>
      </c>
      <c r="J100" s="50">
        <v>4</v>
      </c>
      <c r="K100" s="50">
        <v>2</v>
      </c>
      <c r="L100" s="50">
        <v>4</v>
      </c>
      <c r="M100" s="50">
        <v>6</v>
      </c>
      <c r="N100" s="50">
        <v>0</v>
      </c>
      <c r="O100" s="15">
        <f t="shared" si="35"/>
        <v>24</v>
      </c>
      <c r="P100" s="15">
        <f t="shared" si="36"/>
        <v>30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3</v>
      </c>
      <c r="E101" s="50">
        <v>2</v>
      </c>
      <c r="F101" s="50">
        <v>6</v>
      </c>
      <c r="G101" s="50">
        <v>0</v>
      </c>
      <c r="H101" s="50">
        <v>0</v>
      </c>
      <c r="I101" s="50">
        <v>2</v>
      </c>
      <c r="J101" s="50">
        <v>4</v>
      </c>
      <c r="K101" s="50">
        <v>0</v>
      </c>
      <c r="L101" s="50">
        <v>1</v>
      </c>
      <c r="M101" s="50">
        <v>4</v>
      </c>
      <c r="N101" s="50">
        <v>0</v>
      </c>
      <c r="O101" s="15">
        <f t="shared" si="35"/>
        <v>22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3</v>
      </c>
      <c r="E102" s="50">
        <v>0</v>
      </c>
      <c r="F102" s="50">
        <v>4</v>
      </c>
      <c r="G102" s="50">
        <v>0</v>
      </c>
      <c r="H102" s="50">
        <v>0</v>
      </c>
      <c r="I102" s="50">
        <v>0</v>
      </c>
      <c r="J102" s="50">
        <v>1</v>
      </c>
      <c r="K102" s="50">
        <v>1</v>
      </c>
      <c r="L102" s="50">
        <v>5</v>
      </c>
      <c r="M102" s="50">
        <v>7</v>
      </c>
      <c r="N102" s="50">
        <v>0</v>
      </c>
      <c r="O102" s="15">
        <f t="shared" si="35"/>
        <v>15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3</v>
      </c>
      <c r="E103" s="50">
        <v>0</v>
      </c>
      <c r="F103" s="50">
        <v>10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4</v>
      </c>
      <c r="M103" s="50">
        <v>4</v>
      </c>
      <c r="N103" s="50">
        <v>0</v>
      </c>
      <c r="O103" s="15">
        <f t="shared" si="35"/>
        <v>22</v>
      </c>
      <c r="P103" s="15">
        <f t="shared" si="36"/>
        <v>26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4</v>
      </c>
      <c r="E104" s="50">
        <v>0</v>
      </c>
      <c r="F104" s="50">
        <v>13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10</v>
      </c>
      <c r="M104" s="50">
        <v>8</v>
      </c>
      <c r="N104" s="50">
        <v>0</v>
      </c>
      <c r="O104" s="15">
        <f t="shared" si="35"/>
        <v>33</v>
      </c>
      <c r="P104" s="15">
        <f t="shared" si="36"/>
        <v>41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4</v>
      </c>
      <c r="E105" s="50">
        <v>1</v>
      </c>
      <c r="F105" s="50">
        <v>13</v>
      </c>
      <c r="G105" s="50">
        <v>0</v>
      </c>
      <c r="H105" s="50">
        <v>0</v>
      </c>
      <c r="I105" s="50">
        <v>0</v>
      </c>
      <c r="J105" s="50">
        <v>1</v>
      </c>
      <c r="K105" s="50">
        <v>1</v>
      </c>
      <c r="L105" s="50">
        <v>4</v>
      </c>
      <c r="M105" s="50">
        <v>15</v>
      </c>
      <c r="N105" s="50">
        <v>1</v>
      </c>
      <c r="O105" s="15">
        <f t="shared" si="35"/>
        <v>29</v>
      </c>
      <c r="P105" s="15">
        <f t="shared" si="36"/>
        <v>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2355</v>
      </c>
      <c r="D106" s="16">
        <f t="shared" ref="D106:P106" si="37">SUM(D10:D105)</f>
        <v>892</v>
      </c>
      <c r="E106" s="16">
        <f t="shared" si="37"/>
        <v>413</v>
      </c>
      <c r="F106" s="16">
        <f t="shared" si="37"/>
        <v>1643</v>
      </c>
      <c r="G106" s="16">
        <f t="shared" si="37"/>
        <v>54</v>
      </c>
      <c r="H106" s="16">
        <f t="shared" si="37"/>
        <v>2</v>
      </c>
      <c r="I106" s="16">
        <f t="shared" si="37"/>
        <v>325</v>
      </c>
      <c r="J106" s="16">
        <f t="shared" si="37"/>
        <v>365</v>
      </c>
      <c r="K106" s="16">
        <f t="shared" si="37"/>
        <v>256</v>
      </c>
      <c r="L106" s="16">
        <f t="shared" si="37"/>
        <v>338</v>
      </c>
      <c r="M106" s="16">
        <f t="shared" si="37"/>
        <v>2307</v>
      </c>
      <c r="N106" s="16">
        <f t="shared" si="37"/>
        <v>1</v>
      </c>
      <c r="O106" s="16">
        <f t="shared" si="37"/>
        <v>6644</v>
      </c>
      <c r="P106" s="16">
        <f t="shared" si="37"/>
        <v>8951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0.26309909507317619</v>
      </c>
      <c r="D107" s="43">
        <f t="shared" si="38"/>
        <v>9.9653669981007706E-2</v>
      </c>
      <c r="E107" s="43">
        <f t="shared" si="38"/>
        <v>4.6140096078650432E-2</v>
      </c>
      <c r="F107" s="43">
        <f t="shared" si="38"/>
        <v>0.18355491006591443</v>
      </c>
      <c r="G107" s="43">
        <f t="shared" si="38"/>
        <v>6.0328454921237847E-3</v>
      </c>
      <c r="H107" s="43">
        <f t="shared" si="38"/>
        <v>2.2343872193051055E-4</v>
      </c>
      <c r="I107" s="43">
        <f t="shared" si="38"/>
        <v>3.6308792313707969E-2</v>
      </c>
      <c r="J107" s="43">
        <f t="shared" si="38"/>
        <v>4.0777566752318174E-2</v>
      </c>
      <c r="K107" s="43">
        <f t="shared" si="38"/>
        <v>2.8600156407105351E-2</v>
      </c>
      <c r="L107" s="43">
        <f t="shared" si="38"/>
        <v>3.7761144006256284E-2</v>
      </c>
      <c r="M107" s="43">
        <f t="shared" si="38"/>
        <v>0.25773656574684395</v>
      </c>
      <c r="N107" s="43">
        <f t="shared" si="38"/>
        <v>1.1171936096525528E-4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0.35445514750150514</v>
      </c>
      <c r="D108" s="44">
        <f t="shared" ref="D108:N108" si="39">D106/$O$106</f>
        <v>0.13425647200481639</v>
      </c>
      <c r="E108" s="44">
        <f t="shared" si="39"/>
        <v>6.2161348585189645E-2</v>
      </c>
      <c r="F108" s="44">
        <f t="shared" si="39"/>
        <v>0.24729078868151716</v>
      </c>
      <c r="G108" s="44">
        <f t="shared" si="39"/>
        <v>8.1276339554485245E-3</v>
      </c>
      <c r="H108" s="44">
        <f t="shared" si="39"/>
        <v>3.0102347983142685E-4</v>
      </c>
      <c r="I108" s="44">
        <f t="shared" si="39"/>
        <v>4.8916315472606865E-2</v>
      </c>
      <c r="J108" s="44">
        <f t="shared" si="39"/>
        <v>5.4936785069235397E-2</v>
      </c>
      <c r="K108" s="44">
        <f t="shared" si="39"/>
        <v>3.8531005418422637E-2</v>
      </c>
      <c r="L108" s="44">
        <f t="shared" si="39"/>
        <v>5.0872968091511137E-2</v>
      </c>
      <c r="M108" s="44"/>
      <c r="N108" s="44">
        <f t="shared" si="39"/>
        <v>1.5051173991571343E-4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Nalya-Bweyogerere'!C3:G3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4" t="str">
        <f>'03.08 Bweyogerere-Nalya-24h'!G5:H5</f>
        <v>Signs and Symbols</v>
      </c>
      <c r="H5" s="65"/>
      <c r="I5" s="14"/>
      <c r="J5" s="2" t="s">
        <v>5</v>
      </c>
      <c r="K5" s="64" t="str">
        <f>'03.08 Bweyogerere-Nalya-24h'!K5:L5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Nalya-Bweyogerere'!D6:E6</f>
        <v>Naalya</v>
      </c>
      <c r="E6" s="65"/>
      <c r="F6" s="2" t="s">
        <v>2</v>
      </c>
      <c r="G6" s="64" t="str">
        <f>'29.07 Nalya-Bweyogerere'!G6:H6</f>
        <v>Bweyogerere</v>
      </c>
      <c r="H6" s="65"/>
      <c r="J6" s="2" t="s">
        <v>21</v>
      </c>
      <c r="K6" s="64" t="str">
        <f>'03.08 Bweyogerere-Nalya-24h'!K6:L6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5</v>
      </c>
      <c r="E10" s="50">
        <v>2</v>
      </c>
      <c r="F10" s="50">
        <v>17</v>
      </c>
      <c r="G10" s="50">
        <v>1</v>
      </c>
      <c r="H10" s="50">
        <v>0</v>
      </c>
      <c r="I10" s="50">
        <v>5</v>
      </c>
      <c r="J10" s="50">
        <v>3</v>
      </c>
      <c r="K10" s="50">
        <v>2</v>
      </c>
      <c r="L10" s="50">
        <v>0</v>
      </c>
      <c r="M10" s="50">
        <v>17</v>
      </c>
      <c r="N10" s="50">
        <v>0</v>
      </c>
      <c r="O10" s="15">
        <f t="shared" ref="O10:O57" si="0">SUM(C10:L10,N10)</f>
        <v>46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47</v>
      </c>
      <c r="T10" s="17">
        <f t="shared" si="2"/>
        <v>30</v>
      </c>
      <c r="U10" s="17">
        <f t="shared" si="2"/>
        <v>8</v>
      </c>
      <c r="V10" s="17">
        <f t="shared" si="2"/>
        <v>88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13</v>
      </c>
      <c r="AA10" s="17">
        <f t="shared" si="2"/>
        <v>9</v>
      </c>
      <c r="AB10" s="17">
        <f t="shared" si="2"/>
        <v>9</v>
      </c>
      <c r="AC10" s="17">
        <f t="shared" si="2"/>
        <v>106</v>
      </c>
      <c r="AD10" s="17">
        <f t="shared" si="2"/>
        <v>0</v>
      </c>
      <c r="AE10" s="31">
        <f t="shared" si="2"/>
        <v>220</v>
      </c>
      <c r="AF10" s="31">
        <f t="shared" si="2"/>
        <v>326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6</v>
      </c>
      <c r="E11" s="50">
        <v>0</v>
      </c>
      <c r="F11" s="50">
        <v>19</v>
      </c>
      <c r="G11" s="50">
        <v>0</v>
      </c>
      <c r="H11" s="50">
        <v>0</v>
      </c>
      <c r="I11" s="50">
        <v>2</v>
      </c>
      <c r="J11" s="50">
        <v>5</v>
      </c>
      <c r="K11" s="50">
        <v>0</v>
      </c>
      <c r="L11" s="50">
        <v>0</v>
      </c>
      <c r="M11" s="50">
        <v>26</v>
      </c>
      <c r="N11" s="50">
        <v>0</v>
      </c>
      <c r="O11" s="15">
        <f t="shared" si="0"/>
        <v>42</v>
      </c>
      <c r="P11" s="15">
        <f t="shared" si="1"/>
        <v>68</v>
      </c>
      <c r="R11" s="1" t="s">
        <v>7</v>
      </c>
      <c r="S11" s="17">
        <f t="shared" ref="S11:AF11" si="3">SUM(C14:C17)</f>
        <v>48</v>
      </c>
      <c r="T11" s="17">
        <f t="shared" si="3"/>
        <v>37</v>
      </c>
      <c r="U11" s="17">
        <f t="shared" si="3"/>
        <v>8</v>
      </c>
      <c r="V11" s="17">
        <f t="shared" si="3"/>
        <v>117</v>
      </c>
      <c r="W11" s="17">
        <f t="shared" si="3"/>
        <v>0</v>
      </c>
      <c r="X11" s="17">
        <f t="shared" si="3"/>
        <v>0</v>
      </c>
      <c r="Y11" s="17">
        <f t="shared" si="3"/>
        <v>18</v>
      </c>
      <c r="Z11" s="17">
        <f t="shared" si="3"/>
        <v>11</v>
      </c>
      <c r="AA11" s="17">
        <f t="shared" si="3"/>
        <v>5</v>
      </c>
      <c r="AB11" s="17">
        <f t="shared" si="3"/>
        <v>6</v>
      </c>
      <c r="AC11" s="17">
        <f t="shared" si="3"/>
        <v>158</v>
      </c>
      <c r="AD11" s="17">
        <f t="shared" si="3"/>
        <v>0</v>
      </c>
      <c r="AE11" s="31">
        <f t="shared" si="3"/>
        <v>250</v>
      </c>
      <c r="AF11" s="31">
        <f t="shared" si="3"/>
        <v>408</v>
      </c>
    </row>
    <row r="12" spans="2:32" ht="23.1" customHeight="1" x14ac:dyDescent="0.25">
      <c r="B12" s="23" t="s">
        <v>39</v>
      </c>
      <c r="C12" s="50">
        <v>8</v>
      </c>
      <c r="D12" s="50">
        <v>11</v>
      </c>
      <c r="E12" s="50">
        <v>4</v>
      </c>
      <c r="F12" s="50">
        <v>23</v>
      </c>
      <c r="G12" s="50">
        <v>0</v>
      </c>
      <c r="H12" s="50">
        <v>0</v>
      </c>
      <c r="I12" s="50">
        <v>3</v>
      </c>
      <c r="J12" s="50">
        <v>2</v>
      </c>
      <c r="K12" s="50">
        <v>4</v>
      </c>
      <c r="L12" s="50">
        <v>4</v>
      </c>
      <c r="M12" s="50">
        <v>26</v>
      </c>
      <c r="N12" s="50">
        <v>0</v>
      </c>
      <c r="O12" s="15">
        <f t="shared" si="0"/>
        <v>59</v>
      </c>
      <c r="P12" s="15">
        <f t="shared" si="1"/>
        <v>85</v>
      </c>
      <c r="R12" s="1" t="s">
        <v>8</v>
      </c>
      <c r="S12" s="17">
        <f t="shared" ref="S12:AF12" si="4">SUM(C18:C21)</f>
        <v>61</v>
      </c>
      <c r="T12" s="17">
        <f t="shared" si="4"/>
        <v>32</v>
      </c>
      <c r="U12" s="17">
        <f t="shared" si="4"/>
        <v>13</v>
      </c>
      <c r="V12" s="17">
        <f t="shared" si="4"/>
        <v>110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6</v>
      </c>
      <c r="AA12" s="17">
        <f t="shared" si="4"/>
        <v>5</v>
      </c>
      <c r="AB12" s="17">
        <f t="shared" si="4"/>
        <v>4</v>
      </c>
      <c r="AC12" s="17">
        <f t="shared" si="4"/>
        <v>156</v>
      </c>
      <c r="AD12" s="17">
        <f t="shared" si="4"/>
        <v>0</v>
      </c>
      <c r="AE12" s="31">
        <f t="shared" si="4"/>
        <v>240</v>
      </c>
      <c r="AF12" s="31">
        <f t="shared" si="4"/>
        <v>396</v>
      </c>
    </row>
    <row r="13" spans="2:32" ht="23.1" customHeight="1" x14ac:dyDescent="0.25">
      <c r="B13" s="23" t="s">
        <v>40</v>
      </c>
      <c r="C13" s="50">
        <v>18</v>
      </c>
      <c r="D13" s="50">
        <v>8</v>
      </c>
      <c r="E13" s="50">
        <v>2</v>
      </c>
      <c r="F13" s="50">
        <v>29</v>
      </c>
      <c r="G13" s="50">
        <v>0</v>
      </c>
      <c r="H13" s="50">
        <v>0</v>
      </c>
      <c r="I13" s="50">
        <v>5</v>
      </c>
      <c r="J13" s="50">
        <v>3</v>
      </c>
      <c r="K13" s="50">
        <v>3</v>
      </c>
      <c r="L13" s="50">
        <v>5</v>
      </c>
      <c r="M13" s="50">
        <v>37</v>
      </c>
      <c r="N13" s="50">
        <v>0</v>
      </c>
      <c r="O13" s="15">
        <f t="shared" si="0"/>
        <v>73</v>
      </c>
      <c r="P13" s="15">
        <f t="shared" si="1"/>
        <v>110</v>
      </c>
      <c r="R13" s="1" t="s">
        <v>9</v>
      </c>
      <c r="S13" s="17">
        <f t="shared" ref="S13:AF13" si="5">SUM(C22:C25)</f>
        <v>87</v>
      </c>
      <c r="T13" s="17">
        <f t="shared" si="5"/>
        <v>46</v>
      </c>
      <c r="U13" s="17">
        <f t="shared" si="5"/>
        <v>28</v>
      </c>
      <c r="V13" s="17">
        <f t="shared" si="5"/>
        <v>109</v>
      </c>
      <c r="W13" s="17">
        <f t="shared" si="5"/>
        <v>1</v>
      </c>
      <c r="X13" s="17">
        <f t="shared" si="5"/>
        <v>0</v>
      </c>
      <c r="Y13" s="17">
        <f t="shared" si="5"/>
        <v>7</v>
      </c>
      <c r="Z13" s="17">
        <f t="shared" si="5"/>
        <v>6</v>
      </c>
      <c r="AA13" s="17">
        <f t="shared" si="5"/>
        <v>4</v>
      </c>
      <c r="AB13" s="17">
        <f t="shared" si="5"/>
        <v>10</v>
      </c>
      <c r="AC13" s="17">
        <f t="shared" si="5"/>
        <v>143</v>
      </c>
      <c r="AD13" s="17">
        <f t="shared" si="5"/>
        <v>0</v>
      </c>
      <c r="AE13" s="31">
        <f t="shared" si="5"/>
        <v>298</v>
      </c>
      <c r="AF13" s="31">
        <f t="shared" si="5"/>
        <v>441</v>
      </c>
    </row>
    <row r="14" spans="2:32" ht="23.1" customHeight="1" x14ac:dyDescent="0.25">
      <c r="B14" s="23" t="s">
        <v>41</v>
      </c>
      <c r="C14" s="50">
        <v>14</v>
      </c>
      <c r="D14" s="50">
        <v>5</v>
      </c>
      <c r="E14" s="50">
        <v>1</v>
      </c>
      <c r="F14" s="50">
        <v>29</v>
      </c>
      <c r="G14" s="50">
        <v>0</v>
      </c>
      <c r="H14" s="50">
        <v>0</v>
      </c>
      <c r="I14" s="50">
        <v>6</v>
      </c>
      <c r="J14" s="50">
        <v>2</v>
      </c>
      <c r="K14" s="50">
        <v>1</v>
      </c>
      <c r="L14" s="50">
        <v>1</v>
      </c>
      <c r="M14" s="50">
        <v>34</v>
      </c>
      <c r="N14" s="50">
        <v>0</v>
      </c>
      <c r="O14" s="15">
        <f t="shared" si="0"/>
        <v>59</v>
      </c>
      <c r="P14" s="15">
        <f t="shared" si="1"/>
        <v>93</v>
      </c>
      <c r="R14" s="1" t="s">
        <v>10</v>
      </c>
      <c r="S14" s="17">
        <f t="shared" ref="S14:AF14" si="6">SUM(C26:C29)</f>
        <v>65</v>
      </c>
      <c r="T14" s="17">
        <f t="shared" si="6"/>
        <v>53</v>
      </c>
      <c r="U14" s="17">
        <f t="shared" si="6"/>
        <v>12</v>
      </c>
      <c r="V14" s="17">
        <f t="shared" si="6"/>
        <v>112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7</v>
      </c>
      <c r="AA14" s="17">
        <f t="shared" si="6"/>
        <v>3</v>
      </c>
      <c r="AB14" s="17">
        <f t="shared" si="6"/>
        <v>17</v>
      </c>
      <c r="AC14" s="17">
        <f t="shared" si="6"/>
        <v>180</v>
      </c>
      <c r="AD14" s="17">
        <f t="shared" si="6"/>
        <v>0</v>
      </c>
      <c r="AE14" s="31">
        <f t="shared" si="6"/>
        <v>286</v>
      </c>
      <c r="AF14" s="31">
        <f t="shared" si="6"/>
        <v>466</v>
      </c>
    </row>
    <row r="15" spans="2:32" ht="23.1" customHeight="1" x14ac:dyDescent="0.25">
      <c r="B15" s="23" t="s">
        <v>42</v>
      </c>
      <c r="C15" s="50">
        <v>9</v>
      </c>
      <c r="D15" s="50">
        <v>8</v>
      </c>
      <c r="E15" s="50">
        <v>2</v>
      </c>
      <c r="F15" s="50">
        <v>26</v>
      </c>
      <c r="G15" s="50">
        <v>0</v>
      </c>
      <c r="H15" s="50">
        <v>0</v>
      </c>
      <c r="I15" s="50">
        <v>5</v>
      </c>
      <c r="J15" s="50">
        <v>2</v>
      </c>
      <c r="K15" s="50">
        <v>0</v>
      </c>
      <c r="L15" s="50">
        <v>2</v>
      </c>
      <c r="M15" s="50">
        <v>34</v>
      </c>
      <c r="N15" s="50">
        <v>0</v>
      </c>
      <c r="O15" s="15">
        <f t="shared" si="0"/>
        <v>54</v>
      </c>
      <c r="P15" s="15">
        <f t="shared" si="1"/>
        <v>88</v>
      </c>
      <c r="R15" s="1" t="s">
        <v>11</v>
      </c>
      <c r="S15" s="17">
        <f t="shared" ref="S15:AF15" si="7">SUM(C30:C33)</f>
        <v>102</v>
      </c>
      <c r="T15" s="17">
        <f t="shared" si="7"/>
        <v>20</v>
      </c>
      <c r="U15" s="17">
        <f t="shared" si="7"/>
        <v>16</v>
      </c>
      <c r="V15" s="17">
        <f t="shared" si="7"/>
        <v>123</v>
      </c>
      <c r="W15" s="17">
        <f t="shared" si="7"/>
        <v>3</v>
      </c>
      <c r="X15" s="17">
        <f t="shared" si="7"/>
        <v>0</v>
      </c>
      <c r="Y15" s="17">
        <f t="shared" si="7"/>
        <v>13</v>
      </c>
      <c r="Z15" s="17">
        <f t="shared" si="7"/>
        <v>10</v>
      </c>
      <c r="AA15" s="17">
        <f t="shared" si="7"/>
        <v>3</v>
      </c>
      <c r="AB15" s="17">
        <f t="shared" si="7"/>
        <v>15</v>
      </c>
      <c r="AC15" s="17">
        <f t="shared" si="7"/>
        <v>172</v>
      </c>
      <c r="AD15" s="17">
        <f t="shared" si="7"/>
        <v>0</v>
      </c>
      <c r="AE15" s="31">
        <f t="shared" si="7"/>
        <v>305</v>
      </c>
      <c r="AF15" s="31">
        <f t="shared" si="7"/>
        <v>477</v>
      </c>
    </row>
    <row r="16" spans="2:32" ht="23.1" customHeight="1" x14ac:dyDescent="0.25">
      <c r="B16" s="23" t="s">
        <v>43</v>
      </c>
      <c r="C16" s="50">
        <v>13</v>
      </c>
      <c r="D16" s="50">
        <v>13</v>
      </c>
      <c r="E16" s="50">
        <v>3</v>
      </c>
      <c r="F16" s="50">
        <v>31</v>
      </c>
      <c r="G16" s="50">
        <v>0</v>
      </c>
      <c r="H16" s="50">
        <v>0</v>
      </c>
      <c r="I16" s="50">
        <v>3</v>
      </c>
      <c r="J16" s="50">
        <v>4</v>
      </c>
      <c r="K16" s="50">
        <v>0</v>
      </c>
      <c r="L16" s="50">
        <v>0</v>
      </c>
      <c r="M16" s="50">
        <v>40</v>
      </c>
      <c r="N16" s="50">
        <v>0</v>
      </c>
      <c r="O16" s="15">
        <f t="shared" si="0"/>
        <v>67</v>
      </c>
      <c r="P16" s="15">
        <f t="shared" si="1"/>
        <v>107</v>
      </c>
      <c r="R16" s="1" t="s">
        <v>12</v>
      </c>
      <c r="S16" s="17">
        <f t="shared" ref="S16:AF16" si="8">SUM(C34:C37)</f>
        <v>128</v>
      </c>
      <c r="T16" s="17">
        <f t="shared" si="8"/>
        <v>36</v>
      </c>
      <c r="U16" s="17">
        <f t="shared" si="8"/>
        <v>13</v>
      </c>
      <c r="V16" s="17">
        <f t="shared" si="8"/>
        <v>109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8</v>
      </c>
      <c r="AA16" s="17">
        <f t="shared" si="8"/>
        <v>1</v>
      </c>
      <c r="AB16" s="17">
        <f t="shared" si="8"/>
        <v>19</v>
      </c>
      <c r="AC16" s="17">
        <f t="shared" si="8"/>
        <v>176</v>
      </c>
      <c r="AD16" s="17">
        <f t="shared" si="8"/>
        <v>0</v>
      </c>
      <c r="AE16" s="31">
        <f t="shared" si="8"/>
        <v>327</v>
      </c>
      <c r="AF16" s="31">
        <f t="shared" si="8"/>
        <v>503</v>
      </c>
    </row>
    <row r="17" spans="2:32" ht="23.1" customHeight="1" x14ac:dyDescent="0.25">
      <c r="B17" s="23" t="s">
        <v>44</v>
      </c>
      <c r="C17" s="50">
        <v>12</v>
      </c>
      <c r="D17" s="50">
        <v>11</v>
      </c>
      <c r="E17" s="50">
        <v>2</v>
      </c>
      <c r="F17" s="50">
        <v>31</v>
      </c>
      <c r="G17" s="50">
        <v>0</v>
      </c>
      <c r="H17" s="50">
        <v>0</v>
      </c>
      <c r="I17" s="50">
        <v>4</v>
      </c>
      <c r="J17" s="50">
        <v>3</v>
      </c>
      <c r="K17" s="50">
        <v>4</v>
      </c>
      <c r="L17" s="50">
        <v>3</v>
      </c>
      <c r="M17" s="50">
        <v>50</v>
      </c>
      <c r="N17" s="50">
        <v>0</v>
      </c>
      <c r="O17" s="15">
        <f t="shared" si="0"/>
        <v>70</v>
      </c>
      <c r="P17" s="15">
        <f t="shared" si="1"/>
        <v>120</v>
      </c>
      <c r="R17" s="1" t="s">
        <v>13</v>
      </c>
      <c r="S17" s="17">
        <f t="shared" ref="S17:AF17" si="9">SUM(C38:C41)</f>
        <v>111</v>
      </c>
      <c r="T17" s="17">
        <f t="shared" si="9"/>
        <v>18</v>
      </c>
      <c r="U17" s="17">
        <f t="shared" si="9"/>
        <v>18</v>
      </c>
      <c r="V17" s="17">
        <f t="shared" si="9"/>
        <v>113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12</v>
      </c>
      <c r="AA17" s="17">
        <f t="shared" si="9"/>
        <v>7</v>
      </c>
      <c r="AB17" s="17">
        <f t="shared" si="9"/>
        <v>19</v>
      </c>
      <c r="AC17" s="17">
        <f t="shared" si="9"/>
        <v>161</v>
      </c>
      <c r="AD17" s="17">
        <f t="shared" si="9"/>
        <v>0</v>
      </c>
      <c r="AE17" s="31">
        <f t="shared" si="9"/>
        <v>308</v>
      </c>
      <c r="AF17" s="31">
        <f t="shared" si="9"/>
        <v>469</v>
      </c>
    </row>
    <row r="18" spans="2:32" ht="23.1" customHeight="1" x14ac:dyDescent="0.25">
      <c r="B18" s="23" t="s">
        <v>45</v>
      </c>
      <c r="C18" s="50">
        <v>17</v>
      </c>
      <c r="D18" s="50">
        <v>6</v>
      </c>
      <c r="E18" s="50">
        <v>1</v>
      </c>
      <c r="F18" s="50">
        <v>19</v>
      </c>
      <c r="G18" s="50">
        <v>1</v>
      </c>
      <c r="H18" s="50">
        <v>0</v>
      </c>
      <c r="I18" s="50">
        <v>1</v>
      </c>
      <c r="J18" s="50">
        <v>1</v>
      </c>
      <c r="K18" s="50">
        <v>2</v>
      </c>
      <c r="L18" s="50">
        <v>0</v>
      </c>
      <c r="M18" s="50">
        <v>39</v>
      </c>
      <c r="N18" s="50">
        <v>0</v>
      </c>
      <c r="O18" s="15">
        <f t="shared" si="0"/>
        <v>48</v>
      </c>
      <c r="P18" s="15">
        <f t="shared" si="1"/>
        <v>87</v>
      </c>
      <c r="R18" s="1" t="s">
        <v>14</v>
      </c>
      <c r="S18" s="17">
        <f t="shared" ref="S18:AF18" si="10">SUM(C42:C45)</f>
        <v>86</v>
      </c>
      <c r="T18" s="17">
        <f t="shared" si="10"/>
        <v>15</v>
      </c>
      <c r="U18" s="17">
        <f t="shared" si="10"/>
        <v>9</v>
      </c>
      <c r="V18" s="17">
        <f t="shared" si="10"/>
        <v>78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8</v>
      </c>
      <c r="AA18" s="17">
        <f t="shared" si="10"/>
        <v>5</v>
      </c>
      <c r="AB18" s="17">
        <f t="shared" si="10"/>
        <v>28</v>
      </c>
      <c r="AC18" s="17">
        <f t="shared" si="10"/>
        <v>153</v>
      </c>
      <c r="AD18" s="17">
        <f t="shared" si="10"/>
        <v>0</v>
      </c>
      <c r="AE18" s="31">
        <f t="shared" si="10"/>
        <v>236</v>
      </c>
      <c r="AF18" s="31">
        <f t="shared" si="10"/>
        <v>389</v>
      </c>
    </row>
    <row r="19" spans="2:32" ht="23.1" customHeight="1" x14ac:dyDescent="0.25">
      <c r="B19" s="23" t="s">
        <v>46</v>
      </c>
      <c r="C19" s="50">
        <v>14</v>
      </c>
      <c r="D19" s="50">
        <v>11</v>
      </c>
      <c r="E19" s="50">
        <v>0</v>
      </c>
      <c r="F19" s="50">
        <v>30</v>
      </c>
      <c r="G19" s="50">
        <v>0</v>
      </c>
      <c r="H19" s="50">
        <v>0</v>
      </c>
      <c r="I19" s="50">
        <v>1</v>
      </c>
      <c r="J19" s="50">
        <v>3</v>
      </c>
      <c r="K19" s="50">
        <v>1</v>
      </c>
      <c r="L19" s="50">
        <v>0</v>
      </c>
      <c r="M19" s="50">
        <v>42</v>
      </c>
      <c r="N19" s="50">
        <v>0</v>
      </c>
      <c r="O19" s="15">
        <f t="shared" si="0"/>
        <v>60</v>
      </c>
      <c r="P19" s="15">
        <f t="shared" si="1"/>
        <v>102</v>
      </c>
      <c r="R19" s="1" t="s">
        <v>15</v>
      </c>
      <c r="S19" s="17">
        <f t="shared" ref="S19:AF19" si="11">SUM(C46:C49)</f>
        <v>118</v>
      </c>
      <c r="T19" s="17">
        <f t="shared" si="11"/>
        <v>39</v>
      </c>
      <c r="U19" s="17">
        <f t="shared" si="11"/>
        <v>17</v>
      </c>
      <c r="V19" s="17">
        <f t="shared" si="11"/>
        <v>149</v>
      </c>
      <c r="W19" s="17">
        <f t="shared" si="11"/>
        <v>0</v>
      </c>
      <c r="X19" s="17">
        <f t="shared" si="11"/>
        <v>1</v>
      </c>
      <c r="Y19" s="17">
        <f t="shared" si="11"/>
        <v>14</v>
      </c>
      <c r="Z19" s="17">
        <f t="shared" si="11"/>
        <v>9</v>
      </c>
      <c r="AA19" s="17">
        <f t="shared" si="11"/>
        <v>3</v>
      </c>
      <c r="AB19" s="17">
        <f t="shared" si="11"/>
        <v>20</v>
      </c>
      <c r="AC19" s="17">
        <f t="shared" si="11"/>
        <v>155</v>
      </c>
      <c r="AD19" s="17">
        <f t="shared" si="11"/>
        <v>0</v>
      </c>
      <c r="AE19" s="31">
        <f t="shared" si="11"/>
        <v>370</v>
      </c>
      <c r="AF19" s="31">
        <f t="shared" si="11"/>
        <v>525</v>
      </c>
    </row>
    <row r="20" spans="2:32" ht="23.1" customHeight="1" x14ac:dyDescent="0.25">
      <c r="B20" s="23" t="s">
        <v>47</v>
      </c>
      <c r="C20" s="50">
        <v>17</v>
      </c>
      <c r="D20" s="50">
        <v>10</v>
      </c>
      <c r="E20" s="50">
        <v>5</v>
      </c>
      <c r="F20" s="50">
        <v>32</v>
      </c>
      <c r="G20" s="50">
        <v>0</v>
      </c>
      <c r="H20" s="50">
        <v>0</v>
      </c>
      <c r="I20" s="50">
        <v>4</v>
      </c>
      <c r="J20" s="50">
        <v>2</v>
      </c>
      <c r="K20" s="50">
        <v>2</v>
      </c>
      <c r="L20" s="50">
        <v>2</v>
      </c>
      <c r="M20" s="50">
        <v>37</v>
      </c>
      <c r="N20" s="50">
        <v>0</v>
      </c>
      <c r="O20" s="15">
        <f t="shared" si="0"/>
        <v>74</v>
      </c>
      <c r="P20" s="15">
        <f t="shared" si="1"/>
        <v>111</v>
      </c>
      <c r="R20" s="1" t="s">
        <v>16</v>
      </c>
      <c r="S20" s="17">
        <f t="shared" ref="S20:AF20" si="12">SUM(C50:C53)</f>
        <v>93</v>
      </c>
      <c r="T20" s="17">
        <f t="shared" si="12"/>
        <v>55</v>
      </c>
      <c r="U20" s="17">
        <f t="shared" si="12"/>
        <v>12</v>
      </c>
      <c r="V20" s="17">
        <f t="shared" si="12"/>
        <v>135</v>
      </c>
      <c r="W20" s="17">
        <f t="shared" si="12"/>
        <v>0</v>
      </c>
      <c r="X20" s="17">
        <f t="shared" si="12"/>
        <v>0</v>
      </c>
      <c r="Y20" s="17">
        <f t="shared" si="12"/>
        <v>16</v>
      </c>
      <c r="Z20" s="17">
        <f t="shared" si="12"/>
        <v>9</v>
      </c>
      <c r="AA20" s="17">
        <f t="shared" si="12"/>
        <v>4</v>
      </c>
      <c r="AB20" s="17">
        <f t="shared" si="12"/>
        <v>24</v>
      </c>
      <c r="AC20" s="17">
        <f t="shared" si="12"/>
        <v>161</v>
      </c>
      <c r="AD20" s="17">
        <f t="shared" si="12"/>
        <v>0</v>
      </c>
      <c r="AE20" s="31">
        <f t="shared" si="12"/>
        <v>348</v>
      </c>
      <c r="AF20" s="31">
        <f t="shared" si="12"/>
        <v>509</v>
      </c>
    </row>
    <row r="21" spans="2:32" ht="23.1" customHeight="1" x14ac:dyDescent="0.25">
      <c r="B21" s="23" t="s">
        <v>48</v>
      </c>
      <c r="C21" s="50">
        <v>13</v>
      </c>
      <c r="D21" s="50">
        <v>5</v>
      </c>
      <c r="E21" s="50">
        <v>7</v>
      </c>
      <c r="F21" s="50">
        <v>29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2</v>
      </c>
      <c r="M21" s="50">
        <v>38</v>
      </c>
      <c r="N21" s="50">
        <v>0</v>
      </c>
      <c r="O21" s="15">
        <f t="shared" si="0"/>
        <v>58</v>
      </c>
      <c r="P21" s="15">
        <f t="shared" si="1"/>
        <v>96</v>
      </c>
      <c r="R21" s="36" t="s">
        <v>20</v>
      </c>
      <c r="S21" s="34">
        <f t="shared" ref="S21:AF21" si="13">SUM(C54:C57)</f>
        <v>112</v>
      </c>
      <c r="T21" s="17">
        <f t="shared" si="13"/>
        <v>53</v>
      </c>
      <c r="U21" s="17">
        <f t="shared" si="13"/>
        <v>17</v>
      </c>
      <c r="V21" s="17">
        <f t="shared" si="13"/>
        <v>157</v>
      </c>
      <c r="W21" s="17">
        <f t="shared" si="13"/>
        <v>1</v>
      </c>
      <c r="X21" s="17">
        <f t="shared" si="13"/>
        <v>0</v>
      </c>
      <c r="Y21" s="17">
        <f t="shared" si="13"/>
        <v>25</v>
      </c>
      <c r="Z21" s="17">
        <f t="shared" si="13"/>
        <v>14</v>
      </c>
      <c r="AA21" s="17">
        <f t="shared" si="13"/>
        <v>23</v>
      </c>
      <c r="AB21" s="17">
        <f t="shared" si="13"/>
        <v>12</v>
      </c>
      <c r="AC21" s="17">
        <f t="shared" si="13"/>
        <v>186</v>
      </c>
      <c r="AD21" s="17">
        <f t="shared" si="13"/>
        <v>0</v>
      </c>
      <c r="AE21" s="31">
        <f t="shared" si="13"/>
        <v>414</v>
      </c>
      <c r="AF21" s="31">
        <f t="shared" si="13"/>
        <v>600</v>
      </c>
    </row>
    <row r="22" spans="2:32" ht="23.1" customHeight="1" x14ac:dyDescent="0.25">
      <c r="B22" s="23" t="s">
        <v>49</v>
      </c>
      <c r="C22" s="50">
        <v>19</v>
      </c>
      <c r="D22" s="50">
        <v>9</v>
      </c>
      <c r="E22" s="50">
        <v>10</v>
      </c>
      <c r="F22" s="50">
        <v>28</v>
      </c>
      <c r="G22" s="50">
        <v>0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70</v>
      </c>
      <c r="P22" s="15">
        <f t="shared" si="1"/>
        <v>106</v>
      </c>
      <c r="R22" s="38" t="s">
        <v>90</v>
      </c>
      <c r="S22" s="39">
        <f>MAX(S10:S12)</f>
        <v>61</v>
      </c>
      <c r="T22" s="39">
        <f t="shared" ref="T22:AF22" si="14">MAX(T10:T12)</f>
        <v>37</v>
      </c>
      <c r="U22" s="39">
        <f t="shared" si="14"/>
        <v>13</v>
      </c>
      <c r="V22" s="39">
        <f t="shared" si="14"/>
        <v>117</v>
      </c>
      <c r="W22" s="39">
        <f t="shared" si="14"/>
        <v>1</v>
      </c>
      <c r="X22" s="39">
        <f t="shared" si="14"/>
        <v>0</v>
      </c>
      <c r="Y22" s="39">
        <f t="shared" si="14"/>
        <v>18</v>
      </c>
      <c r="Z22" s="39">
        <f t="shared" si="14"/>
        <v>13</v>
      </c>
      <c r="AA22" s="39">
        <f t="shared" si="14"/>
        <v>9</v>
      </c>
      <c r="AB22" s="39">
        <f t="shared" si="14"/>
        <v>9</v>
      </c>
      <c r="AC22" s="39">
        <f t="shared" si="14"/>
        <v>158</v>
      </c>
      <c r="AD22" s="39">
        <f t="shared" si="14"/>
        <v>0</v>
      </c>
      <c r="AE22" s="40">
        <f t="shared" si="14"/>
        <v>250</v>
      </c>
      <c r="AF22" s="40">
        <f t="shared" si="14"/>
        <v>408</v>
      </c>
    </row>
    <row r="23" spans="2:32" ht="23.1" customHeight="1" x14ac:dyDescent="0.25">
      <c r="B23" s="23" t="s">
        <v>50</v>
      </c>
      <c r="C23" s="50">
        <v>29</v>
      </c>
      <c r="D23" s="50">
        <v>8</v>
      </c>
      <c r="E23" s="50">
        <v>7</v>
      </c>
      <c r="F23" s="50">
        <v>30</v>
      </c>
      <c r="G23" s="50">
        <v>0</v>
      </c>
      <c r="H23" s="50">
        <v>0</v>
      </c>
      <c r="I23" s="50">
        <v>1</v>
      </c>
      <c r="J23" s="50">
        <v>0</v>
      </c>
      <c r="K23" s="50">
        <v>3</v>
      </c>
      <c r="L23" s="50">
        <v>3</v>
      </c>
      <c r="M23" s="50">
        <v>33</v>
      </c>
      <c r="N23" s="50">
        <v>0</v>
      </c>
      <c r="O23" s="15">
        <f t="shared" si="0"/>
        <v>81</v>
      </c>
      <c r="P23" s="15">
        <f t="shared" si="1"/>
        <v>114</v>
      </c>
      <c r="R23" s="38" t="s">
        <v>91</v>
      </c>
      <c r="S23" s="39">
        <f>MAX(S13:S18)</f>
        <v>128</v>
      </c>
      <c r="T23" s="39">
        <f t="shared" ref="T23:AF23" si="15">MAX(T13:T18)</f>
        <v>53</v>
      </c>
      <c r="U23" s="39">
        <f t="shared" si="15"/>
        <v>28</v>
      </c>
      <c r="V23" s="39">
        <f t="shared" si="15"/>
        <v>123</v>
      </c>
      <c r="W23" s="39">
        <f t="shared" si="15"/>
        <v>3</v>
      </c>
      <c r="X23" s="39">
        <f t="shared" si="15"/>
        <v>0</v>
      </c>
      <c r="Y23" s="39">
        <f t="shared" si="15"/>
        <v>17</v>
      </c>
      <c r="Z23" s="39">
        <f t="shared" si="15"/>
        <v>12</v>
      </c>
      <c r="AA23" s="39">
        <f t="shared" si="15"/>
        <v>7</v>
      </c>
      <c r="AB23" s="39">
        <f t="shared" si="15"/>
        <v>28</v>
      </c>
      <c r="AC23" s="39">
        <f t="shared" si="15"/>
        <v>180</v>
      </c>
      <c r="AD23" s="39">
        <f t="shared" si="15"/>
        <v>0</v>
      </c>
      <c r="AE23" s="40">
        <f t="shared" si="15"/>
        <v>327</v>
      </c>
      <c r="AF23" s="40">
        <f t="shared" si="15"/>
        <v>503</v>
      </c>
    </row>
    <row r="24" spans="2:32" ht="23.1" customHeight="1" x14ac:dyDescent="0.25">
      <c r="B24" s="23" t="s">
        <v>51</v>
      </c>
      <c r="C24" s="50">
        <v>25</v>
      </c>
      <c r="D24" s="50">
        <v>11</v>
      </c>
      <c r="E24" s="50">
        <v>1</v>
      </c>
      <c r="F24" s="50">
        <v>24</v>
      </c>
      <c r="G24" s="50">
        <v>0</v>
      </c>
      <c r="H24" s="50">
        <v>0</v>
      </c>
      <c r="I24" s="50">
        <v>2</v>
      </c>
      <c r="J24" s="50">
        <v>1</v>
      </c>
      <c r="K24" s="50">
        <v>1</v>
      </c>
      <c r="L24" s="50">
        <v>4</v>
      </c>
      <c r="M24" s="50">
        <v>37</v>
      </c>
      <c r="N24" s="50">
        <v>0</v>
      </c>
      <c r="O24" s="15">
        <f t="shared" si="0"/>
        <v>69</v>
      </c>
      <c r="P24" s="15">
        <f t="shared" si="1"/>
        <v>106</v>
      </c>
      <c r="R24" s="38" t="s">
        <v>92</v>
      </c>
      <c r="S24" s="39">
        <f>MAX(S19:S21)</f>
        <v>118</v>
      </c>
      <c r="T24" s="39">
        <f t="shared" ref="T24:AF24" si="16">MAX(T19:T21)</f>
        <v>55</v>
      </c>
      <c r="U24" s="39">
        <f t="shared" si="16"/>
        <v>17</v>
      </c>
      <c r="V24" s="39">
        <f t="shared" si="16"/>
        <v>157</v>
      </c>
      <c r="W24" s="39">
        <f t="shared" si="16"/>
        <v>1</v>
      </c>
      <c r="X24" s="39">
        <f t="shared" si="16"/>
        <v>1</v>
      </c>
      <c r="Y24" s="39">
        <f t="shared" si="16"/>
        <v>25</v>
      </c>
      <c r="Z24" s="39">
        <f t="shared" si="16"/>
        <v>14</v>
      </c>
      <c r="AA24" s="39">
        <f t="shared" si="16"/>
        <v>23</v>
      </c>
      <c r="AB24" s="39">
        <f t="shared" si="16"/>
        <v>24</v>
      </c>
      <c r="AC24" s="39">
        <f t="shared" si="16"/>
        <v>186</v>
      </c>
      <c r="AD24" s="39">
        <f t="shared" si="16"/>
        <v>0</v>
      </c>
      <c r="AE24" s="40">
        <f t="shared" si="16"/>
        <v>414</v>
      </c>
      <c r="AF24" s="40">
        <f t="shared" si="16"/>
        <v>600</v>
      </c>
    </row>
    <row r="25" spans="2:32" ht="23.1" customHeight="1" x14ac:dyDescent="0.25">
      <c r="B25" s="23" t="s">
        <v>52</v>
      </c>
      <c r="C25" s="50">
        <v>14</v>
      </c>
      <c r="D25" s="50">
        <v>18</v>
      </c>
      <c r="E25" s="50">
        <v>10</v>
      </c>
      <c r="F25" s="50">
        <v>27</v>
      </c>
      <c r="G25" s="50">
        <v>1</v>
      </c>
      <c r="H25" s="50">
        <v>0</v>
      </c>
      <c r="I25" s="50">
        <v>2</v>
      </c>
      <c r="J25" s="50">
        <v>3</v>
      </c>
      <c r="K25" s="50">
        <v>0</v>
      </c>
      <c r="L25" s="50">
        <v>3</v>
      </c>
      <c r="M25" s="50">
        <v>37</v>
      </c>
      <c r="N25" s="50">
        <v>0</v>
      </c>
      <c r="O25" s="15">
        <f t="shared" si="0"/>
        <v>78</v>
      </c>
      <c r="P25" s="15">
        <f t="shared" si="1"/>
        <v>115</v>
      </c>
      <c r="R25" s="37" t="s">
        <v>85</v>
      </c>
      <c r="S25" s="35">
        <f t="shared" ref="S25:AF25" si="17">SUM(S10:S12)</f>
        <v>156</v>
      </c>
      <c r="T25" s="16">
        <f t="shared" si="17"/>
        <v>99</v>
      </c>
      <c r="U25" s="16">
        <f t="shared" si="17"/>
        <v>29</v>
      </c>
      <c r="V25" s="16">
        <f t="shared" si="17"/>
        <v>315</v>
      </c>
      <c r="W25" s="16">
        <f t="shared" si="17"/>
        <v>2</v>
      </c>
      <c r="X25" s="16">
        <f t="shared" si="17"/>
        <v>0</v>
      </c>
      <c r="Y25" s="16">
        <f t="shared" si="17"/>
        <v>41</v>
      </c>
      <c r="Z25" s="16">
        <f t="shared" si="17"/>
        <v>30</v>
      </c>
      <c r="AA25" s="16">
        <f t="shared" si="17"/>
        <v>19</v>
      </c>
      <c r="AB25" s="16">
        <f t="shared" si="17"/>
        <v>19</v>
      </c>
      <c r="AC25" s="16">
        <f t="shared" si="17"/>
        <v>420</v>
      </c>
      <c r="AD25" s="16">
        <f t="shared" si="17"/>
        <v>0</v>
      </c>
      <c r="AE25" s="32">
        <f t="shared" si="17"/>
        <v>710</v>
      </c>
      <c r="AF25" s="32">
        <f t="shared" si="17"/>
        <v>1130</v>
      </c>
    </row>
    <row r="26" spans="2:32" ht="23.1" customHeight="1" x14ac:dyDescent="0.25">
      <c r="B26" s="23" t="s">
        <v>53</v>
      </c>
      <c r="C26" s="50">
        <v>15</v>
      </c>
      <c r="D26" s="50">
        <v>6</v>
      </c>
      <c r="E26" s="50">
        <v>1</v>
      </c>
      <c r="F26" s="50">
        <v>29</v>
      </c>
      <c r="G26" s="50">
        <v>0</v>
      </c>
      <c r="H26" s="50">
        <v>0</v>
      </c>
      <c r="I26" s="50">
        <v>5</v>
      </c>
      <c r="J26" s="50">
        <v>2</v>
      </c>
      <c r="K26" s="50">
        <v>2</v>
      </c>
      <c r="L26" s="50">
        <v>1</v>
      </c>
      <c r="M26" s="50">
        <v>44</v>
      </c>
      <c r="N26" s="50">
        <v>0</v>
      </c>
      <c r="O26" s="15">
        <f t="shared" si="0"/>
        <v>61</v>
      </c>
      <c r="P26" s="15">
        <f t="shared" si="1"/>
        <v>105</v>
      </c>
      <c r="R26" s="28" t="s">
        <v>86</v>
      </c>
      <c r="S26" s="16">
        <f t="shared" ref="S26:AF26" si="18">SUM(S13:S18)</f>
        <v>579</v>
      </c>
      <c r="T26" s="16">
        <f t="shared" si="18"/>
        <v>188</v>
      </c>
      <c r="U26" s="16">
        <f t="shared" si="18"/>
        <v>96</v>
      </c>
      <c r="V26" s="16">
        <f t="shared" si="18"/>
        <v>644</v>
      </c>
      <c r="W26" s="16">
        <f t="shared" si="18"/>
        <v>5</v>
      </c>
      <c r="X26" s="16">
        <f t="shared" si="18"/>
        <v>0</v>
      </c>
      <c r="Y26" s="16">
        <f t="shared" si="18"/>
        <v>66</v>
      </c>
      <c r="Z26" s="16">
        <f t="shared" si="18"/>
        <v>51</v>
      </c>
      <c r="AA26" s="16">
        <f t="shared" si="18"/>
        <v>23</v>
      </c>
      <c r="AB26" s="16">
        <f t="shared" si="18"/>
        <v>108</v>
      </c>
      <c r="AC26" s="16">
        <f t="shared" si="18"/>
        <v>985</v>
      </c>
      <c r="AD26" s="16">
        <f t="shared" si="18"/>
        <v>0</v>
      </c>
      <c r="AE26" s="32">
        <f t="shared" si="18"/>
        <v>1760</v>
      </c>
      <c r="AF26" s="32">
        <f t="shared" si="18"/>
        <v>2745</v>
      </c>
    </row>
    <row r="27" spans="2:32" ht="23.1" customHeight="1" x14ac:dyDescent="0.25">
      <c r="B27" s="23" t="s">
        <v>54</v>
      </c>
      <c r="C27" s="50">
        <v>11</v>
      </c>
      <c r="D27" s="50">
        <v>18</v>
      </c>
      <c r="E27" s="50">
        <v>1</v>
      </c>
      <c r="F27" s="50">
        <v>31</v>
      </c>
      <c r="G27" s="50">
        <v>0</v>
      </c>
      <c r="H27" s="50">
        <v>0</v>
      </c>
      <c r="I27" s="50">
        <v>7</v>
      </c>
      <c r="J27" s="50">
        <v>2</v>
      </c>
      <c r="K27" s="50">
        <v>1</v>
      </c>
      <c r="L27" s="50">
        <v>6</v>
      </c>
      <c r="M27" s="50">
        <v>49</v>
      </c>
      <c r="N27" s="50">
        <v>0</v>
      </c>
      <c r="O27" s="15">
        <f t="shared" si="0"/>
        <v>77</v>
      </c>
      <c r="P27" s="15">
        <f t="shared" si="1"/>
        <v>126</v>
      </c>
      <c r="R27" s="29" t="s">
        <v>87</v>
      </c>
      <c r="S27" s="16">
        <f t="shared" ref="S27:AF27" si="19">SUM(S19:S21)</f>
        <v>323</v>
      </c>
      <c r="T27" s="16">
        <f t="shared" si="19"/>
        <v>147</v>
      </c>
      <c r="U27" s="16">
        <f t="shared" si="19"/>
        <v>46</v>
      </c>
      <c r="V27" s="16">
        <f t="shared" si="19"/>
        <v>441</v>
      </c>
      <c r="W27" s="16">
        <f t="shared" si="19"/>
        <v>1</v>
      </c>
      <c r="X27" s="16">
        <f t="shared" si="19"/>
        <v>1</v>
      </c>
      <c r="Y27" s="16">
        <f t="shared" si="19"/>
        <v>55</v>
      </c>
      <c r="Z27" s="16">
        <f t="shared" si="19"/>
        <v>32</v>
      </c>
      <c r="AA27" s="16">
        <f t="shared" si="19"/>
        <v>30</v>
      </c>
      <c r="AB27" s="16">
        <f t="shared" si="19"/>
        <v>56</v>
      </c>
      <c r="AC27" s="16">
        <f t="shared" si="19"/>
        <v>502</v>
      </c>
      <c r="AD27" s="16">
        <f t="shared" si="19"/>
        <v>0</v>
      </c>
      <c r="AE27" s="32">
        <f t="shared" si="19"/>
        <v>1132</v>
      </c>
      <c r="AF27" s="32">
        <f t="shared" si="19"/>
        <v>1634</v>
      </c>
    </row>
    <row r="28" spans="2:32" ht="23.1" customHeight="1" x14ac:dyDescent="0.25">
      <c r="B28" s="23" t="s">
        <v>55</v>
      </c>
      <c r="C28" s="50">
        <v>18</v>
      </c>
      <c r="D28" s="50">
        <v>14</v>
      </c>
      <c r="E28" s="50">
        <v>3</v>
      </c>
      <c r="F28" s="50">
        <v>24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9</v>
      </c>
      <c r="M28" s="50">
        <v>38</v>
      </c>
      <c r="N28" s="50">
        <v>0</v>
      </c>
      <c r="O28" s="15">
        <f t="shared" si="0"/>
        <v>73</v>
      </c>
      <c r="P28" s="15">
        <f t="shared" si="1"/>
        <v>111</v>
      </c>
      <c r="R28" s="5" t="s">
        <v>17</v>
      </c>
      <c r="S28" s="16">
        <f t="shared" ref="S28:AF28" si="20">SUM(S10:S21)</f>
        <v>1058</v>
      </c>
      <c r="T28" s="16">
        <f t="shared" si="20"/>
        <v>434</v>
      </c>
      <c r="U28" s="16">
        <f t="shared" si="20"/>
        <v>171</v>
      </c>
      <c r="V28" s="16">
        <f t="shared" si="20"/>
        <v>1400</v>
      </c>
      <c r="W28" s="16">
        <f t="shared" si="20"/>
        <v>8</v>
      </c>
      <c r="X28" s="16">
        <f t="shared" si="20"/>
        <v>1</v>
      </c>
      <c r="Y28" s="16">
        <f t="shared" si="20"/>
        <v>162</v>
      </c>
      <c r="Z28" s="16">
        <f t="shared" si="20"/>
        <v>113</v>
      </c>
      <c r="AA28" s="16">
        <f t="shared" si="20"/>
        <v>72</v>
      </c>
      <c r="AB28" s="16">
        <f t="shared" si="20"/>
        <v>183</v>
      </c>
      <c r="AC28" s="16">
        <f t="shared" si="20"/>
        <v>1907</v>
      </c>
      <c r="AD28" s="16">
        <f t="shared" si="20"/>
        <v>0</v>
      </c>
      <c r="AE28" s="32">
        <f t="shared" si="20"/>
        <v>3602</v>
      </c>
      <c r="AF28" s="32">
        <f t="shared" si="20"/>
        <v>5509</v>
      </c>
    </row>
    <row r="29" spans="2:32" ht="23.1" customHeight="1" x14ac:dyDescent="0.25">
      <c r="B29" s="23" t="s">
        <v>56</v>
      </c>
      <c r="C29" s="50">
        <v>21</v>
      </c>
      <c r="D29" s="50">
        <v>15</v>
      </c>
      <c r="E29" s="50">
        <v>7</v>
      </c>
      <c r="F29" s="50">
        <v>28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1</v>
      </c>
      <c r="M29" s="50">
        <v>49</v>
      </c>
      <c r="N29" s="50">
        <v>0</v>
      </c>
      <c r="O29" s="15">
        <f t="shared" si="0"/>
        <v>75</v>
      </c>
      <c r="P29" s="15">
        <f t="shared" si="1"/>
        <v>124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11</v>
      </c>
      <c r="E30" s="50">
        <v>1</v>
      </c>
      <c r="F30" s="50">
        <v>26</v>
      </c>
      <c r="G30" s="50">
        <v>1</v>
      </c>
      <c r="H30" s="50">
        <v>0</v>
      </c>
      <c r="I30" s="50">
        <v>5</v>
      </c>
      <c r="J30" s="50">
        <v>1</v>
      </c>
      <c r="K30" s="50">
        <v>1</v>
      </c>
      <c r="L30" s="50">
        <v>3</v>
      </c>
      <c r="M30" s="50">
        <v>46</v>
      </c>
      <c r="N30" s="50">
        <v>0</v>
      </c>
      <c r="O30" s="15">
        <f t="shared" si="0"/>
        <v>74</v>
      </c>
      <c r="P30" s="15">
        <f t="shared" si="1"/>
        <v>120</v>
      </c>
    </row>
    <row r="31" spans="2:32" ht="23.1" customHeight="1" x14ac:dyDescent="0.25">
      <c r="B31" s="24" t="s">
        <v>58</v>
      </c>
      <c r="C31" s="50">
        <v>25</v>
      </c>
      <c r="D31" s="50">
        <v>1</v>
      </c>
      <c r="E31" s="50">
        <v>4</v>
      </c>
      <c r="F31" s="50">
        <v>36</v>
      </c>
      <c r="G31" s="50">
        <v>2</v>
      </c>
      <c r="H31" s="50">
        <v>0</v>
      </c>
      <c r="I31" s="50">
        <v>2</v>
      </c>
      <c r="J31" s="50">
        <v>3</v>
      </c>
      <c r="K31" s="50">
        <v>0</v>
      </c>
      <c r="L31" s="50">
        <v>4</v>
      </c>
      <c r="M31" s="50">
        <v>45</v>
      </c>
      <c r="N31" s="50">
        <v>0</v>
      </c>
      <c r="O31" s="15">
        <f t="shared" si="0"/>
        <v>77</v>
      </c>
      <c r="P31" s="15">
        <f t="shared" si="1"/>
        <v>122</v>
      </c>
    </row>
    <row r="32" spans="2:32" ht="23.1" customHeight="1" x14ac:dyDescent="0.25">
      <c r="B32" s="24" t="s">
        <v>59</v>
      </c>
      <c r="C32" s="50">
        <v>28</v>
      </c>
      <c r="D32" s="50">
        <v>6</v>
      </c>
      <c r="E32" s="50">
        <v>7</v>
      </c>
      <c r="F32" s="50">
        <v>30</v>
      </c>
      <c r="G32" s="50">
        <v>0</v>
      </c>
      <c r="H32" s="50">
        <v>0</v>
      </c>
      <c r="I32" s="50">
        <v>6</v>
      </c>
      <c r="J32" s="50">
        <v>2</v>
      </c>
      <c r="K32" s="50">
        <v>1</v>
      </c>
      <c r="L32" s="50">
        <v>7</v>
      </c>
      <c r="M32" s="50">
        <v>45</v>
      </c>
      <c r="N32" s="50">
        <v>0</v>
      </c>
      <c r="O32" s="15">
        <f t="shared" si="0"/>
        <v>87</v>
      </c>
      <c r="P32" s="15">
        <f t="shared" si="1"/>
        <v>132</v>
      </c>
    </row>
    <row r="33" spans="2:20" ht="23.1" customHeight="1" x14ac:dyDescent="0.25">
      <c r="B33" s="23" t="s">
        <v>60</v>
      </c>
      <c r="C33" s="50">
        <v>24</v>
      </c>
      <c r="D33" s="50">
        <v>2</v>
      </c>
      <c r="E33" s="50">
        <v>4</v>
      </c>
      <c r="F33" s="50">
        <v>31</v>
      </c>
      <c r="G33" s="50">
        <v>0</v>
      </c>
      <c r="H33" s="50">
        <v>0</v>
      </c>
      <c r="I33" s="50">
        <v>0</v>
      </c>
      <c r="J33" s="50">
        <v>4</v>
      </c>
      <c r="K33" s="50">
        <v>1</v>
      </c>
      <c r="L33" s="50">
        <v>1</v>
      </c>
      <c r="M33" s="50">
        <v>36</v>
      </c>
      <c r="N33" s="50">
        <v>0</v>
      </c>
      <c r="O33" s="15">
        <f t="shared" si="0"/>
        <v>67</v>
      </c>
      <c r="P33" s="15">
        <f t="shared" si="1"/>
        <v>103</v>
      </c>
    </row>
    <row r="34" spans="2:20" ht="23.1" customHeight="1" x14ac:dyDescent="0.25">
      <c r="B34" s="24" t="s">
        <v>61</v>
      </c>
      <c r="C34" s="50">
        <v>32</v>
      </c>
      <c r="D34" s="50">
        <v>9</v>
      </c>
      <c r="E34" s="50">
        <v>9</v>
      </c>
      <c r="F34" s="50">
        <v>22</v>
      </c>
      <c r="G34" s="50">
        <v>0</v>
      </c>
      <c r="H34" s="50">
        <v>0</v>
      </c>
      <c r="I34" s="50">
        <v>4</v>
      </c>
      <c r="J34" s="50">
        <v>2</v>
      </c>
      <c r="K34" s="50">
        <v>1</v>
      </c>
      <c r="L34" s="50">
        <v>4</v>
      </c>
      <c r="M34" s="50">
        <v>49</v>
      </c>
      <c r="N34" s="50">
        <v>0</v>
      </c>
      <c r="O34" s="15">
        <f t="shared" si="0"/>
        <v>83</v>
      </c>
      <c r="P34" s="15">
        <f t="shared" si="1"/>
        <v>132</v>
      </c>
    </row>
    <row r="35" spans="2:20" ht="23.1" customHeight="1" x14ac:dyDescent="0.25">
      <c r="B35" s="24" t="s">
        <v>62</v>
      </c>
      <c r="C35" s="50">
        <v>25</v>
      </c>
      <c r="D35" s="50">
        <v>7</v>
      </c>
      <c r="E35" s="50">
        <v>1</v>
      </c>
      <c r="F35" s="50">
        <v>28</v>
      </c>
      <c r="G35" s="50">
        <v>0</v>
      </c>
      <c r="H35" s="50">
        <v>0</v>
      </c>
      <c r="I35" s="50">
        <v>3</v>
      </c>
      <c r="J35" s="50">
        <v>3</v>
      </c>
      <c r="K35" s="50">
        <v>0</v>
      </c>
      <c r="L35" s="50">
        <v>3</v>
      </c>
      <c r="M35" s="50">
        <v>49</v>
      </c>
      <c r="N35" s="50">
        <v>0</v>
      </c>
      <c r="O35" s="15">
        <f t="shared" si="0"/>
        <v>70</v>
      </c>
      <c r="P35" s="15">
        <f t="shared" si="1"/>
        <v>119</v>
      </c>
    </row>
    <row r="36" spans="2:20" ht="23.1" customHeight="1" x14ac:dyDescent="0.25">
      <c r="B36" s="24" t="s">
        <v>63</v>
      </c>
      <c r="C36" s="50">
        <v>37</v>
      </c>
      <c r="D36" s="50">
        <v>11</v>
      </c>
      <c r="E36" s="50">
        <v>3</v>
      </c>
      <c r="F36" s="50">
        <v>32</v>
      </c>
      <c r="G36" s="50">
        <v>1</v>
      </c>
      <c r="H36" s="50">
        <v>0</v>
      </c>
      <c r="I36" s="50">
        <v>2</v>
      </c>
      <c r="J36" s="50">
        <v>1</v>
      </c>
      <c r="K36" s="50">
        <v>0</v>
      </c>
      <c r="L36" s="50">
        <v>7</v>
      </c>
      <c r="M36" s="50">
        <v>33</v>
      </c>
      <c r="N36" s="50">
        <v>0</v>
      </c>
      <c r="O36" s="15">
        <f t="shared" si="0"/>
        <v>94</v>
      </c>
      <c r="P36" s="15">
        <f t="shared" si="1"/>
        <v>127</v>
      </c>
    </row>
    <row r="37" spans="2:20" ht="23.1" customHeight="1" x14ac:dyDescent="0.25">
      <c r="B37" s="23" t="s">
        <v>64</v>
      </c>
      <c r="C37" s="50">
        <v>34</v>
      </c>
      <c r="D37" s="50">
        <v>9</v>
      </c>
      <c r="E37" s="50">
        <v>0</v>
      </c>
      <c r="F37" s="50">
        <v>27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5</v>
      </c>
      <c r="M37" s="50">
        <v>45</v>
      </c>
      <c r="N37" s="50">
        <v>0</v>
      </c>
      <c r="O37" s="15">
        <f t="shared" si="0"/>
        <v>80</v>
      </c>
      <c r="P37" s="15">
        <f t="shared" si="1"/>
        <v>125</v>
      </c>
    </row>
    <row r="38" spans="2:20" ht="23.1" customHeight="1" x14ac:dyDescent="0.25">
      <c r="B38" s="24" t="s">
        <v>65</v>
      </c>
      <c r="C38" s="50">
        <v>23</v>
      </c>
      <c r="D38" s="50">
        <v>5</v>
      </c>
      <c r="E38" s="50">
        <v>3</v>
      </c>
      <c r="F38" s="50">
        <v>24</v>
      </c>
      <c r="G38" s="50">
        <v>0</v>
      </c>
      <c r="H38" s="50">
        <v>0</v>
      </c>
      <c r="I38" s="50">
        <v>2</v>
      </c>
      <c r="J38" s="50">
        <v>4</v>
      </c>
      <c r="K38" s="50">
        <v>0</v>
      </c>
      <c r="L38" s="50">
        <v>1</v>
      </c>
      <c r="M38" s="50">
        <v>29</v>
      </c>
      <c r="N38" s="50">
        <v>0</v>
      </c>
      <c r="O38" s="15">
        <f t="shared" si="0"/>
        <v>62</v>
      </c>
      <c r="P38" s="15">
        <f t="shared" si="1"/>
        <v>91</v>
      </c>
    </row>
    <row r="39" spans="2:20" ht="23.1" customHeight="1" x14ac:dyDescent="0.25">
      <c r="B39" s="24" t="s">
        <v>66</v>
      </c>
      <c r="C39" s="50">
        <v>33</v>
      </c>
      <c r="D39" s="50">
        <v>4</v>
      </c>
      <c r="E39" s="50">
        <v>5</v>
      </c>
      <c r="F39" s="50">
        <v>31</v>
      </c>
      <c r="G39" s="50">
        <v>0</v>
      </c>
      <c r="H39" s="50">
        <v>0</v>
      </c>
      <c r="I39" s="50">
        <v>4</v>
      </c>
      <c r="J39" s="50">
        <v>3</v>
      </c>
      <c r="K39" s="50">
        <v>3</v>
      </c>
      <c r="L39" s="50">
        <v>4</v>
      </c>
      <c r="M39" s="50">
        <v>41</v>
      </c>
      <c r="N39" s="50">
        <v>0</v>
      </c>
      <c r="O39" s="15">
        <f t="shared" si="0"/>
        <v>87</v>
      </c>
      <c r="P39" s="15">
        <f t="shared" si="1"/>
        <v>128</v>
      </c>
    </row>
    <row r="40" spans="2:20" ht="23.1" customHeight="1" x14ac:dyDescent="0.25">
      <c r="B40" s="24" t="s">
        <v>67</v>
      </c>
      <c r="C40" s="50">
        <v>23</v>
      </c>
      <c r="D40" s="50">
        <v>3</v>
      </c>
      <c r="E40" s="50">
        <v>3</v>
      </c>
      <c r="F40" s="50">
        <v>24</v>
      </c>
      <c r="G40" s="50">
        <v>0</v>
      </c>
      <c r="H40" s="50">
        <v>0</v>
      </c>
      <c r="I40" s="50">
        <v>2</v>
      </c>
      <c r="J40" s="50">
        <v>1</v>
      </c>
      <c r="K40" s="50">
        <v>1</v>
      </c>
      <c r="L40" s="50">
        <v>5</v>
      </c>
      <c r="M40" s="50">
        <v>51</v>
      </c>
      <c r="N40" s="50">
        <v>0</v>
      </c>
      <c r="O40" s="15">
        <f t="shared" si="0"/>
        <v>62</v>
      </c>
      <c r="P40" s="15">
        <f t="shared" si="1"/>
        <v>113</v>
      </c>
    </row>
    <row r="41" spans="2:20" ht="23.1" customHeight="1" x14ac:dyDescent="0.25">
      <c r="B41" s="23" t="s">
        <v>68</v>
      </c>
      <c r="C41" s="50">
        <v>32</v>
      </c>
      <c r="D41" s="50">
        <v>6</v>
      </c>
      <c r="E41" s="50">
        <v>7</v>
      </c>
      <c r="F41" s="50">
        <v>34</v>
      </c>
      <c r="G41" s="50">
        <v>0</v>
      </c>
      <c r="H41" s="50">
        <v>0</v>
      </c>
      <c r="I41" s="50">
        <v>2</v>
      </c>
      <c r="J41" s="50">
        <v>4</v>
      </c>
      <c r="K41" s="50">
        <v>3</v>
      </c>
      <c r="L41" s="50">
        <v>9</v>
      </c>
      <c r="M41" s="50">
        <v>40</v>
      </c>
      <c r="N41" s="50">
        <v>0</v>
      </c>
      <c r="O41" s="15">
        <f t="shared" si="0"/>
        <v>97</v>
      </c>
      <c r="P41" s="15">
        <f t="shared" si="1"/>
        <v>137</v>
      </c>
    </row>
    <row r="42" spans="2:20" ht="23.1" customHeight="1" x14ac:dyDescent="0.25">
      <c r="B42" s="24" t="s">
        <v>69</v>
      </c>
      <c r="C42" s="50">
        <v>37</v>
      </c>
      <c r="D42" s="50">
        <v>6</v>
      </c>
      <c r="E42" s="50">
        <v>3</v>
      </c>
      <c r="F42" s="50">
        <v>27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7</v>
      </c>
      <c r="M42" s="50">
        <v>39</v>
      </c>
      <c r="N42" s="50">
        <v>0</v>
      </c>
      <c r="O42" s="15">
        <f t="shared" si="0"/>
        <v>84</v>
      </c>
      <c r="P42" s="15">
        <f t="shared" si="1"/>
        <v>123</v>
      </c>
    </row>
    <row r="43" spans="2:20" ht="23.1" customHeight="1" x14ac:dyDescent="0.25">
      <c r="B43" s="23" t="s">
        <v>70</v>
      </c>
      <c r="C43" s="50">
        <v>16</v>
      </c>
      <c r="D43" s="50">
        <v>5</v>
      </c>
      <c r="E43" s="50">
        <v>5</v>
      </c>
      <c r="F43" s="50">
        <v>25</v>
      </c>
      <c r="G43" s="50">
        <v>0</v>
      </c>
      <c r="H43" s="50">
        <v>0</v>
      </c>
      <c r="I43" s="50">
        <v>2</v>
      </c>
      <c r="J43" s="50">
        <v>3</v>
      </c>
      <c r="K43" s="50">
        <v>1</v>
      </c>
      <c r="L43" s="50">
        <v>5</v>
      </c>
      <c r="M43" s="50">
        <v>33</v>
      </c>
      <c r="N43" s="50">
        <v>0</v>
      </c>
      <c r="O43" s="15">
        <f t="shared" si="0"/>
        <v>62</v>
      </c>
      <c r="P43" s="15">
        <f t="shared" si="1"/>
        <v>95</v>
      </c>
    </row>
    <row r="44" spans="2:20" ht="23.1" customHeight="1" x14ac:dyDescent="0.25">
      <c r="B44" s="25" t="s">
        <v>71</v>
      </c>
      <c r="C44" s="50">
        <v>29</v>
      </c>
      <c r="D44" s="50">
        <v>3</v>
      </c>
      <c r="E44" s="50">
        <v>1</v>
      </c>
      <c r="F44" s="50">
        <v>24</v>
      </c>
      <c r="G44" s="50">
        <v>0</v>
      </c>
      <c r="H44" s="50">
        <v>0</v>
      </c>
      <c r="I44" s="50">
        <v>2</v>
      </c>
      <c r="J44" s="50">
        <v>3</v>
      </c>
      <c r="K44" s="50">
        <v>0</v>
      </c>
      <c r="L44" s="50">
        <v>11</v>
      </c>
      <c r="M44" s="50">
        <v>54</v>
      </c>
      <c r="N44" s="50">
        <v>0</v>
      </c>
      <c r="O44" s="15">
        <f t="shared" si="0"/>
        <v>73</v>
      </c>
      <c r="P44" s="15">
        <f t="shared" si="1"/>
        <v>127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1</v>
      </c>
      <c r="K45" s="50">
        <v>3</v>
      </c>
      <c r="L45" s="50">
        <v>5</v>
      </c>
      <c r="M45" s="50">
        <v>27</v>
      </c>
      <c r="N45" s="50">
        <v>0</v>
      </c>
      <c r="O45" s="15">
        <f t="shared" si="0"/>
        <v>17</v>
      </c>
      <c r="P45" s="15">
        <f t="shared" si="1"/>
        <v>44</v>
      </c>
    </row>
    <row r="46" spans="2:20" ht="23.1" customHeight="1" x14ac:dyDescent="0.25">
      <c r="B46" s="24" t="s">
        <v>73</v>
      </c>
      <c r="C46" s="50">
        <v>30</v>
      </c>
      <c r="D46" s="50">
        <v>6</v>
      </c>
      <c r="E46" s="50">
        <v>6</v>
      </c>
      <c r="F46" s="50">
        <v>31</v>
      </c>
      <c r="G46" s="50">
        <v>0</v>
      </c>
      <c r="H46" s="50">
        <v>1</v>
      </c>
      <c r="I46" s="50">
        <v>1</v>
      </c>
      <c r="J46" s="50">
        <v>4</v>
      </c>
      <c r="K46" s="50">
        <v>1</v>
      </c>
      <c r="L46" s="50">
        <v>6</v>
      </c>
      <c r="M46" s="50">
        <v>42</v>
      </c>
      <c r="N46" s="50">
        <v>0</v>
      </c>
      <c r="O46" s="15">
        <f t="shared" si="0"/>
        <v>86</v>
      </c>
      <c r="P46" s="15">
        <f t="shared" si="1"/>
        <v>128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7</v>
      </c>
      <c r="E47" s="50">
        <v>2</v>
      </c>
      <c r="F47" s="50">
        <v>19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3</v>
      </c>
      <c r="M47" s="50">
        <v>39</v>
      </c>
      <c r="N47" s="50">
        <v>0</v>
      </c>
      <c r="O47" s="15">
        <f t="shared" si="0"/>
        <v>65</v>
      </c>
      <c r="P47" s="15">
        <f t="shared" si="1"/>
        <v>104</v>
      </c>
      <c r="R47" s="8"/>
      <c r="T47"/>
    </row>
    <row r="48" spans="2:20" ht="23.1" customHeight="1" x14ac:dyDescent="0.25">
      <c r="B48" s="24" t="s">
        <v>75</v>
      </c>
      <c r="C48" s="50">
        <v>36</v>
      </c>
      <c r="D48" s="50">
        <v>15</v>
      </c>
      <c r="E48" s="50">
        <v>6</v>
      </c>
      <c r="F48" s="50">
        <v>53</v>
      </c>
      <c r="G48" s="50">
        <v>0</v>
      </c>
      <c r="H48" s="50">
        <v>0</v>
      </c>
      <c r="I48" s="50">
        <v>6</v>
      </c>
      <c r="J48" s="50">
        <v>1</v>
      </c>
      <c r="K48" s="50">
        <v>1</v>
      </c>
      <c r="L48" s="50">
        <v>7</v>
      </c>
      <c r="M48" s="50">
        <v>45</v>
      </c>
      <c r="N48" s="50">
        <v>0</v>
      </c>
      <c r="O48" s="15">
        <f t="shared" si="0"/>
        <v>125</v>
      </c>
      <c r="P48" s="15">
        <f t="shared" si="1"/>
        <v>170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11</v>
      </c>
      <c r="E49" s="50">
        <v>3</v>
      </c>
      <c r="F49" s="50">
        <v>46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4</v>
      </c>
      <c r="M49" s="50">
        <v>29</v>
      </c>
      <c r="N49" s="50">
        <v>0</v>
      </c>
      <c r="O49" s="15">
        <f t="shared" si="0"/>
        <v>94</v>
      </c>
      <c r="P49" s="15">
        <f t="shared" si="1"/>
        <v>123</v>
      </c>
      <c r="R49" s="8"/>
      <c r="T49"/>
    </row>
    <row r="50" spans="2:20" ht="23.1" customHeight="1" x14ac:dyDescent="0.25">
      <c r="B50" s="24" t="s">
        <v>77</v>
      </c>
      <c r="C50" s="50">
        <v>22</v>
      </c>
      <c r="D50" s="50">
        <v>12</v>
      </c>
      <c r="E50" s="50">
        <v>4</v>
      </c>
      <c r="F50" s="50">
        <v>34</v>
      </c>
      <c r="G50" s="50">
        <v>0</v>
      </c>
      <c r="H50" s="50">
        <v>0</v>
      </c>
      <c r="I50" s="50">
        <v>5</v>
      </c>
      <c r="J50" s="50">
        <v>2</v>
      </c>
      <c r="K50" s="50">
        <v>2</v>
      </c>
      <c r="L50" s="50">
        <v>7</v>
      </c>
      <c r="M50" s="50">
        <v>44</v>
      </c>
      <c r="N50" s="50">
        <v>0</v>
      </c>
      <c r="O50" s="15">
        <f t="shared" si="0"/>
        <v>88</v>
      </c>
      <c r="P50" s="15">
        <f t="shared" si="1"/>
        <v>132</v>
      </c>
      <c r="R50" s="8"/>
      <c r="T50"/>
    </row>
    <row r="51" spans="2:20" ht="23.1" customHeight="1" x14ac:dyDescent="0.25">
      <c r="B51" s="24" t="s">
        <v>78</v>
      </c>
      <c r="C51" s="50">
        <v>27</v>
      </c>
      <c r="D51" s="50">
        <v>15</v>
      </c>
      <c r="E51" s="50">
        <v>3</v>
      </c>
      <c r="F51" s="50">
        <v>36</v>
      </c>
      <c r="G51" s="50">
        <v>0</v>
      </c>
      <c r="H51" s="50">
        <v>0</v>
      </c>
      <c r="I51" s="50">
        <v>5</v>
      </c>
      <c r="J51" s="50">
        <v>3</v>
      </c>
      <c r="K51" s="50">
        <v>1</v>
      </c>
      <c r="L51" s="50">
        <v>6</v>
      </c>
      <c r="M51" s="50">
        <v>41</v>
      </c>
      <c r="N51" s="50">
        <v>0</v>
      </c>
      <c r="O51" s="15">
        <f t="shared" si="0"/>
        <v>96</v>
      </c>
      <c r="P51" s="15">
        <f t="shared" si="1"/>
        <v>137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20</v>
      </c>
      <c r="E52" s="50">
        <v>1</v>
      </c>
      <c r="F52" s="50">
        <v>30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7</v>
      </c>
      <c r="M52" s="50">
        <v>42</v>
      </c>
      <c r="N52" s="50">
        <v>0</v>
      </c>
      <c r="O52" s="15">
        <f t="shared" si="0"/>
        <v>83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8</v>
      </c>
      <c r="E53" s="50">
        <v>4</v>
      </c>
      <c r="F53" s="50">
        <v>35</v>
      </c>
      <c r="G53" s="50">
        <v>0</v>
      </c>
      <c r="H53" s="50">
        <v>0</v>
      </c>
      <c r="I53" s="50">
        <v>2</v>
      </c>
      <c r="J53" s="50">
        <v>2</v>
      </c>
      <c r="K53" s="50">
        <v>1</v>
      </c>
      <c r="L53" s="50">
        <v>4</v>
      </c>
      <c r="M53" s="50">
        <v>34</v>
      </c>
      <c r="N53" s="50">
        <v>0</v>
      </c>
      <c r="O53" s="15">
        <f t="shared" si="0"/>
        <v>81</v>
      </c>
      <c r="P53" s="15">
        <f t="shared" si="1"/>
        <v>115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10</v>
      </c>
      <c r="E54" s="50">
        <v>4</v>
      </c>
      <c r="F54" s="50">
        <v>39</v>
      </c>
      <c r="G54" s="50">
        <v>0</v>
      </c>
      <c r="H54" s="50">
        <v>0</v>
      </c>
      <c r="I54" s="50">
        <v>6</v>
      </c>
      <c r="J54" s="50">
        <v>3</v>
      </c>
      <c r="K54" s="50">
        <v>8</v>
      </c>
      <c r="L54" s="50">
        <v>2</v>
      </c>
      <c r="M54" s="50">
        <v>43</v>
      </c>
      <c r="N54" s="50">
        <v>0</v>
      </c>
      <c r="O54" s="15">
        <f t="shared" si="0"/>
        <v>99</v>
      </c>
      <c r="P54" s="15">
        <f t="shared" si="1"/>
        <v>142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14</v>
      </c>
      <c r="E55" s="50">
        <v>2</v>
      </c>
      <c r="F55" s="50">
        <v>40</v>
      </c>
      <c r="G55" s="50">
        <v>0</v>
      </c>
      <c r="H55" s="50">
        <v>0</v>
      </c>
      <c r="I55" s="50">
        <v>3</v>
      </c>
      <c r="J55" s="50">
        <v>1</v>
      </c>
      <c r="K55" s="50">
        <v>4</v>
      </c>
      <c r="L55" s="50">
        <v>3</v>
      </c>
      <c r="M55" s="50">
        <v>59</v>
      </c>
      <c r="N55" s="50">
        <v>0</v>
      </c>
      <c r="O55" s="15">
        <f t="shared" si="0"/>
        <v>98</v>
      </c>
      <c r="P55" s="15">
        <f t="shared" si="1"/>
        <v>157</v>
      </c>
      <c r="R55" s="8"/>
      <c r="T55"/>
    </row>
    <row r="56" spans="2:20" ht="23.1" customHeight="1" x14ac:dyDescent="0.25">
      <c r="B56" s="23" t="s">
        <v>83</v>
      </c>
      <c r="C56" s="50">
        <v>26</v>
      </c>
      <c r="D56" s="50">
        <v>17</v>
      </c>
      <c r="E56" s="50">
        <v>6</v>
      </c>
      <c r="F56" s="50">
        <v>36</v>
      </c>
      <c r="G56" s="50">
        <v>1</v>
      </c>
      <c r="H56" s="50">
        <v>0</v>
      </c>
      <c r="I56" s="50">
        <v>9</v>
      </c>
      <c r="J56" s="50">
        <v>4</v>
      </c>
      <c r="K56" s="50">
        <v>6</v>
      </c>
      <c r="L56" s="50">
        <v>3</v>
      </c>
      <c r="M56" s="50">
        <v>48</v>
      </c>
      <c r="N56" s="50">
        <v>0</v>
      </c>
      <c r="O56" s="15">
        <f t="shared" si="0"/>
        <v>108</v>
      </c>
      <c r="P56" s="15">
        <f t="shared" si="1"/>
        <v>156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12</v>
      </c>
      <c r="E57" s="50">
        <v>5</v>
      </c>
      <c r="F57" s="50">
        <v>42</v>
      </c>
      <c r="G57" s="50">
        <v>0</v>
      </c>
      <c r="H57" s="50">
        <v>0</v>
      </c>
      <c r="I57" s="50">
        <v>7</v>
      </c>
      <c r="J57" s="50">
        <v>6</v>
      </c>
      <c r="K57" s="50">
        <v>5</v>
      </c>
      <c r="L57" s="50">
        <v>4</v>
      </c>
      <c r="M57" s="50">
        <v>36</v>
      </c>
      <c r="N57" s="50">
        <v>0</v>
      </c>
      <c r="O57" s="15">
        <f t="shared" si="0"/>
        <v>109</v>
      </c>
      <c r="P57" s="15">
        <f t="shared" si="1"/>
        <v>145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1058</v>
      </c>
      <c r="D58" s="16">
        <f t="shared" si="21"/>
        <v>434</v>
      </c>
      <c r="E58" s="16">
        <f t="shared" si="21"/>
        <v>171</v>
      </c>
      <c r="F58" s="16">
        <f t="shared" si="21"/>
        <v>1400</v>
      </c>
      <c r="G58" s="16">
        <f t="shared" si="21"/>
        <v>8</v>
      </c>
      <c r="H58" s="16">
        <f t="shared" si="21"/>
        <v>1</v>
      </c>
      <c r="I58" s="16">
        <f t="shared" si="21"/>
        <v>162</v>
      </c>
      <c r="J58" s="16">
        <f t="shared" si="21"/>
        <v>113</v>
      </c>
      <c r="K58" s="16">
        <f t="shared" si="21"/>
        <v>72</v>
      </c>
      <c r="L58" s="16">
        <f t="shared" si="21"/>
        <v>183</v>
      </c>
      <c r="M58" s="16">
        <f t="shared" si="21"/>
        <v>1907</v>
      </c>
      <c r="N58" s="16">
        <f t="shared" si="21"/>
        <v>0</v>
      </c>
      <c r="O58" s="16">
        <f t="shared" si="21"/>
        <v>3602</v>
      </c>
      <c r="P58" s="16">
        <f t="shared" si="21"/>
        <v>5509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0.19204937375204212</v>
      </c>
      <c r="D59" s="43">
        <f t="shared" si="22"/>
        <v>7.8780177890724265E-2</v>
      </c>
      <c r="E59" s="43">
        <f t="shared" si="22"/>
        <v>3.1040116173534218E-2</v>
      </c>
      <c r="F59" s="43">
        <f t="shared" si="22"/>
        <v>0.25412960609911056</v>
      </c>
      <c r="G59" s="43">
        <f t="shared" si="22"/>
        <v>1.4521691777092032E-3</v>
      </c>
      <c r="H59" s="43">
        <f t="shared" si="22"/>
        <v>1.8152114721365039E-4</v>
      </c>
      <c r="I59" s="43">
        <f t="shared" si="22"/>
        <v>2.9406425848611362E-2</v>
      </c>
      <c r="J59" s="43">
        <f t="shared" si="22"/>
        <v>2.0511889635142493E-2</v>
      </c>
      <c r="K59" s="43">
        <f t="shared" si="22"/>
        <v>1.3069522599382828E-2</v>
      </c>
      <c r="L59" s="43">
        <f t="shared" si="22"/>
        <v>3.3218369940098025E-2</v>
      </c>
      <c r="M59" s="43">
        <f t="shared" si="22"/>
        <v>0.34616082773643131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0.29372570794003333</v>
      </c>
      <c r="D60" s="44">
        <f t="shared" ref="D60:N60" si="23">D58/$O$58</f>
        <v>0.12048861743475847</v>
      </c>
      <c r="E60" s="44">
        <f t="shared" si="23"/>
        <v>4.7473625763464741E-2</v>
      </c>
      <c r="F60" s="44">
        <f t="shared" si="23"/>
        <v>0.38867295946696279</v>
      </c>
      <c r="G60" s="44">
        <f t="shared" si="23"/>
        <v>2.2209883398112162E-3</v>
      </c>
      <c r="H60" s="44">
        <f t="shared" si="23"/>
        <v>2.7762354247640202E-4</v>
      </c>
      <c r="I60" s="44">
        <f t="shared" si="23"/>
        <v>4.4975013881177126E-2</v>
      </c>
      <c r="J60" s="44">
        <f t="shared" si="23"/>
        <v>3.1371460299833426E-2</v>
      </c>
      <c r="K60" s="44">
        <f t="shared" si="23"/>
        <v>1.9988895058300944E-2</v>
      </c>
      <c r="L60" s="44">
        <f t="shared" si="23"/>
        <v>5.0805108273181569E-2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Nalya-Bweyogerere'!D5</f>
        <v>04.08.19</v>
      </c>
      <c r="E5" s="3"/>
      <c r="F5" s="41" t="s">
        <v>1</v>
      </c>
      <c r="G5" s="64" t="str">
        <f>'04.08 Nalya-Bweyogerere'!G5:H5</f>
        <v>Signs and Symbols</v>
      </c>
      <c r="H5" s="65"/>
      <c r="I5" s="14"/>
      <c r="J5" s="2" t="s">
        <v>5</v>
      </c>
      <c r="K5" s="64" t="str">
        <f>'04.08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Bweyogerere-Nalya'!D6:E6</f>
        <v>Bweyogerere</v>
      </c>
      <c r="E6" s="65"/>
      <c r="F6" s="2" t="s">
        <v>2</v>
      </c>
      <c r="G6" s="64" t="str">
        <f>'29.07 Bweyogerere-Nalya'!G6:H6</f>
        <v>Nalya</v>
      </c>
      <c r="H6" s="65"/>
      <c r="J6" s="2" t="s">
        <v>21</v>
      </c>
      <c r="K6" s="64" t="str">
        <f>'04.08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3</v>
      </c>
      <c r="E10" s="50">
        <v>2</v>
      </c>
      <c r="F10" s="50">
        <v>8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7</v>
      </c>
      <c r="M10" s="50">
        <v>13</v>
      </c>
      <c r="N10" s="50">
        <v>0</v>
      </c>
      <c r="O10" s="15">
        <f t="shared" ref="O10:O58" si="0">SUM(C10:L10,N10)</f>
        <v>32</v>
      </c>
      <c r="P10" s="15">
        <f t="shared" ref="P10:P57" si="1">SUM(C10:N10)</f>
        <v>45</v>
      </c>
      <c r="R10" s="1" t="s">
        <v>6</v>
      </c>
      <c r="S10" s="17">
        <f t="shared" ref="S10:AF10" si="2">SUM(C10:C13)</f>
        <v>45</v>
      </c>
      <c r="T10" s="17">
        <f t="shared" si="2"/>
        <v>16</v>
      </c>
      <c r="U10" s="17">
        <f t="shared" si="2"/>
        <v>10</v>
      </c>
      <c r="V10" s="17">
        <f t="shared" si="2"/>
        <v>72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4</v>
      </c>
      <c r="AA10" s="17">
        <f t="shared" si="2"/>
        <v>4</v>
      </c>
      <c r="AB10" s="17">
        <f t="shared" si="2"/>
        <v>19</v>
      </c>
      <c r="AC10" s="17">
        <f t="shared" si="2"/>
        <v>94</v>
      </c>
      <c r="AD10" s="17">
        <f t="shared" si="2"/>
        <v>0</v>
      </c>
      <c r="AE10" s="31">
        <f t="shared" si="2"/>
        <v>175</v>
      </c>
      <c r="AF10" s="31">
        <f t="shared" si="2"/>
        <v>269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1</v>
      </c>
      <c r="E11" s="50">
        <v>4</v>
      </c>
      <c r="F11" s="50">
        <v>19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7</v>
      </c>
      <c r="M11" s="50">
        <v>20</v>
      </c>
      <c r="N11" s="50">
        <v>0</v>
      </c>
      <c r="O11" s="15">
        <f t="shared" si="0"/>
        <v>45</v>
      </c>
      <c r="P11" s="15">
        <f t="shared" si="1"/>
        <v>65</v>
      </c>
      <c r="R11" s="1" t="s">
        <v>7</v>
      </c>
      <c r="S11" s="17">
        <f t="shared" ref="S11:AF11" si="3">SUM(C14:C17)</f>
        <v>52</v>
      </c>
      <c r="T11" s="17">
        <f t="shared" si="3"/>
        <v>34</v>
      </c>
      <c r="U11" s="17">
        <f t="shared" si="3"/>
        <v>10</v>
      </c>
      <c r="V11" s="17">
        <f t="shared" si="3"/>
        <v>97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9</v>
      </c>
      <c r="AA11" s="17">
        <f t="shared" si="3"/>
        <v>4</v>
      </c>
      <c r="AB11" s="17">
        <f t="shared" si="3"/>
        <v>20</v>
      </c>
      <c r="AC11" s="17">
        <f t="shared" si="3"/>
        <v>149</v>
      </c>
      <c r="AD11" s="17">
        <f t="shared" si="3"/>
        <v>0</v>
      </c>
      <c r="AE11" s="31">
        <f t="shared" si="3"/>
        <v>233</v>
      </c>
      <c r="AF11" s="31">
        <f t="shared" si="3"/>
        <v>382</v>
      </c>
    </row>
    <row r="12" spans="2:32" ht="23.1" customHeight="1" x14ac:dyDescent="0.25">
      <c r="B12" s="23" t="s">
        <v>39</v>
      </c>
      <c r="C12" s="50">
        <v>9</v>
      </c>
      <c r="D12" s="50">
        <v>4</v>
      </c>
      <c r="E12" s="50">
        <v>3</v>
      </c>
      <c r="F12" s="50">
        <v>21</v>
      </c>
      <c r="G12" s="50">
        <v>1</v>
      </c>
      <c r="H12" s="50">
        <v>0</v>
      </c>
      <c r="I12" s="50">
        <v>1</v>
      </c>
      <c r="J12" s="50">
        <v>0</v>
      </c>
      <c r="K12" s="50">
        <v>2</v>
      </c>
      <c r="L12" s="50">
        <v>3</v>
      </c>
      <c r="M12" s="50">
        <v>27</v>
      </c>
      <c r="N12" s="50">
        <v>0</v>
      </c>
      <c r="O12" s="15">
        <f t="shared" si="0"/>
        <v>44</v>
      </c>
      <c r="P12" s="15">
        <f t="shared" si="1"/>
        <v>71</v>
      </c>
      <c r="R12" s="1" t="s">
        <v>8</v>
      </c>
      <c r="S12" s="17">
        <f t="shared" ref="S12:AF12" si="4">SUM(C18:C21)</f>
        <v>73</v>
      </c>
      <c r="T12" s="17">
        <f t="shared" si="4"/>
        <v>34</v>
      </c>
      <c r="U12" s="17">
        <f t="shared" si="4"/>
        <v>10</v>
      </c>
      <c r="V12" s="17">
        <f t="shared" si="4"/>
        <v>88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8</v>
      </c>
      <c r="AA12" s="17">
        <f t="shared" si="4"/>
        <v>5</v>
      </c>
      <c r="AB12" s="17">
        <f t="shared" si="4"/>
        <v>15</v>
      </c>
      <c r="AC12" s="17">
        <f t="shared" si="4"/>
        <v>159</v>
      </c>
      <c r="AD12" s="17">
        <f t="shared" si="4"/>
        <v>0</v>
      </c>
      <c r="AE12" s="31">
        <f t="shared" si="4"/>
        <v>246</v>
      </c>
      <c r="AF12" s="31">
        <f t="shared" si="4"/>
        <v>405</v>
      </c>
    </row>
    <row r="13" spans="2:32" ht="23.1" customHeight="1" x14ac:dyDescent="0.25">
      <c r="B13" s="23" t="s">
        <v>40</v>
      </c>
      <c r="C13" s="50">
        <v>14</v>
      </c>
      <c r="D13" s="50">
        <v>8</v>
      </c>
      <c r="E13" s="50">
        <v>1</v>
      </c>
      <c r="F13" s="50">
        <v>24</v>
      </c>
      <c r="G13" s="50">
        <v>0</v>
      </c>
      <c r="H13" s="50">
        <v>0</v>
      </c>
      <c r="I13" s="50">
        <v>1</v>
      </c>
      <c r="J13" s="50">
        <v>2</v>
      </c>
      <c r="K13" s="50">
        <v>2</v>
      </c>
      <c r="L13" s="50">
        <v>2</v>
      </c>
      <c r="M13" s="50">
        <v>34</v>
      </c>
      <c r="N13" s="50">
        <v>0</v>
      </c>
      <c r="O13" s="15">
        <f t="shared" si="0"/>
        <v>54</v>
      </c>
      <c r="P13" s="15">
        <f t="shared" si="1"/>
        <v>88</v>
      </c>
      <c r="R13" s="1" t="s">
        <v>9</v>
      </c>
      <c r="S13" s="17">
        <f t="shared" ref="S13:AF13" si="5">SUM(C22:C25)</f>
        <v>73</v>
      </c>
      <c r="T13" s="17">
        <f t="shared" si="5"/>
        <v>52</v>
      </c>
      <c r="U13" s="17">
        <f t="shared" si="5"/>
        <v>16</v>
      </c>
      <c r="V13" s="17">
        <f t="shared" si="5"/>
        <v>101</v>
      </c>
      <c r="W13" s="17">
        <f t="shared" si="5"/>
        <v>1</v>
      </c>
      <c r="X13" s="17">
        <f t="shared" si="5"/>
        <v>0</v>
      </c>
      <c r="Y13" s="17">
        <f t="shared" si="5"/>
        <v>8</v>
      </c>
      <c r="Z13" s="17">
        <f t="shared" si="5"/>
        <v>8</v>
      </c>
      <c r="AA13" s="17">
        <f t="shared" si="5"/>
        <v>4</v>
      </c>
      <c r="AB13" s="17">
        <f t="shared" si="5"/>
        <v>29</v>
      </c>
      <c r="AC13" s="17">
        <f t="shared" si="5"/>
        <v>191</v>
      </c>
      <c r="AD13" s="17">
        <f t="shared" si="5"/>
        <v>0</v>
      </c>
      <c r="AE13" s="31">
        <f t="shared" si="5"/>
        <v>292</v>
      </c>
      <c r="AF13" s="31">
        <f t="shared" si="5"/>
        <v>483</v>
      </c>
    </row>
    <row r="14" spans="2:32" ht="23.1" customHeight="1" x14ac:dyDescent="0.25">
      <c r="B14" s="23" t="s">
        <v>41</v>
      </c>
      <c r="C14" s="50">
        <v>13</v>
      </c>
      <c r="D14" s="50">
        <v>8</v>
      </c>
      <c r="E14" s="50">
        <v>2</v>
      </c>
      <c r="F14" s="50">
        <v>19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3</v>
      </c>
      <c r="M14" s="50">
        <v>28</v>
      </c>
      <c r="N14" s="50">
        <v>0</v>
      </c>
      <c r="O14" s="15">
        <f t="shared" si="0"/>
        <v>48</v>
      </c>
      <c r="P14" s="15">
        <f t="shared" si="1"/>
        <v>76</v>
      </c>
      <c r="R14" s="1" t="s">
        <v>10</v>
      </c>
      <c r="S14" s="17">
        <f t="shared" ref="S14:AF14" si="6">SUM(C26:C29)</f>
        <v>70</v>
      </c>
      <c r="T14" s="17">
        <f t="shared" si="6"/>
        <v>57</v>
      </c>
      <c r="U14" s="17">
        <f t="shared" si="6"/>
        <v>15</v>
      </c>
      <c r="V14" s="17">
        <f t="shared" si="6"/>
        <v>103</v>
      </c>
      <c r="W14" s="17">
        <f t="shared" si="6"/>
        <v>1</v>
      </c>
      <c r="X14" s="17">
        <f t="shared" si="6"/>
        <v>0</v>
      </c>
      <c r="Y14" s="17">
        <f t="shared" si="6"/>
        <v>7</v>
      </c>
      <c r="Z14" s="17">
        <f t="shared" si="6"/>
        <v>8</v>
      </c>
      <c r="AA14" s="17">
        <f t="shared" si="6"/>
        <v>2</v>
      </c>
      <c r="AB14" s="17">
        <f t="shared" si="6"/>
        <v>16</v>
      </c>
      <c r="AC14" s="17">
        <f t="shared" si="6"/>
        <v>199</v>
      </c>
      <c r="AD14" s="17">
        <f t="shared" si="6"/>
        <v>0</v>
      </c>
      <c r="AE14" s="31">
        <f t="shared" si="6"/>
        <v>279</v>
      </c>
      <c r="AF14" s="31">
        <f t="shared" si="6"/>
        <v>478</v>
      </c>
    </row>
    <row r="15" spans="2:32" ht="23.1" customHeight="1" x14ac:dyDescent="0.25">
      <c r="B15" s="23" t="s">
        <v>42</v>
      </c>
      <c r="C15" s="50">
        <v>14</v>
      </c>
      <c r="D15" s="50">
        <v>7</v>
      </c>
      <c r="E15" s="50">
        <v>1</v>
      </c>
      <c r="F15" s="50">
        <v>22</v>
      </c>
      <c r="G15" s="50">
        <v>0</v>
      </c>
      <c r="H15" s="50">
        <v>0</v>
      </c>
      <c r="I15" s="50">
        <v>3</v>
      </c>
      <c r="J15" s="50">
        <v>2</v>
      </c>
      <c r="K15" s="50">
        <v>2</v>
      </c>
      <c r="L15" s="50">
        <v>5</v>
      </c>
      <c r="M15" s="50">
        <v>43</v>
      </c>
      <c r="N15" s="50">
        <v>0</v>
      </c>
      <c r="O15" s="15">
        <f t="shared" si="0"/>
        <v>56</v>
      </c>
      <c r="P15" s="15">
        <f t="shared" si="1"/>
        <v>99</v>
      </c>
      <c r="R15" s="1" t="s">
        <v>11</v>
      </c>
      <c r="S15" s="17">
        <f t="shared" ref="S15:AF15" si="7">SUM(C30:C33)</f>
        <v>92</v>
      </c>
      <c r="T15" s="17">
        <f t="shared" si="7"/>
        <v>32</v>
      </c>
      <c r="U15" s="17">
        <f t="shared" si="7"/>
        <v>10</v>
      </c>
      <c r="V15" s="17">
        <f t="shared" si="7"/>
        <v>83</v>
      </c>
      <c r="W15" s="17">
        <f t="shared" si="7"/>
        <v>2</v>
      </c>
      <c r="X15" s="17">
        <f t="shared" si="7"/>
        <v>0</v>
      </c>
      <c r="Y15" s="17">
        <f t="shared" si="7"/>
        <v>15</v>
      </c>
      <c r="Z15" s="17">
        <f t="shared" si="7"/>
        <v>7</v>
      </c>
      <c r="AA15" s="17">
        <f t="shared" si="7"/>
        <v>3</v>
      </c>
      <c r="AB15" s="17">
        <f t="shared" si="7"/>
        <v>9</v>
      </c>
      <c r="AC15" s="17">
        <f t="shared" si="7"/>
        <v>137</v>
      </c>
      <c r="AD15" s="17">
        <f t="shared" si="7"/>
        <v>0</v>
      </c>
      <c r="AE15" s="31">
        <f t="shared" si="7"/>
        <v>253</v>
      </c>
      <c r="AF15" s="31">
        <f t="shared" si="7"/>
        <v>390</v>
      </c>
    </row>
    <row r="16" spans="2:32" ht="23.1" customHeight="1" x14ac:dyDescent="0.25">
      <c r="B16" s="23" t="s">
        <v>43</v>
      </c>
      <c r="C16" s="50">
        <v>15</v>
      </c>
      <c r="D16" s="50">
        <v>13</v>
      </c>
      <c r="E16" s="50">
        <v>2</v>
      </c>
      <c r="F16" s="50">
        <v>27</v>
      </c>
      <c r="G16" s="50">
        <v>0</v>
      </c>
      <c r="H16" s="50">
        <v>0</v>
      </c>
      <c r="I16" s="50">
        <v>2</v>
      </c>
      <c r="J16" s="50">
        <v>3</v>
      </c>
      <c r="K16" s="50">
        <v>0</v>
      </c>
      <c r="L16" s="50">
        <v>10</v>
      </c>
      <c r="M16" s="50">
        <v>34</v>
      </c>
      <c r="N16" s="50">
        <v>0</v>
      </c>
      <c r="O16" s="15">
        <f t="shared" si="0"/>
        <v>72</v>
      </c>
      <c r="P16" s="15">
        <f t="shared" si="1"/>
        <v>106</v>
      </c>
      <c r="R16" s="1" t="s">
        <v>12</v>
      </c>
      <c r="S16" s="17">
        <f t="shared" ref="S16:AF16" si="8">SUM(C34:C37)</f>
        <v>110</v>
      </c>
      <c r="T16" s="17">
        <f t="shared" si="8"/>
        <v>29</v>
      </c>
      <c r="U16" s="17">
        <f t="shared" si="8"/>
        <v>15</v>
      </c>
      <c r="V16" s="17">
        <f t="shared" si="8"/>
        <v>86</v>
      </c>
      <c r="W16" s="17">
        <f t="shared" si="8"/>
        <v>2</v>
      </c>
      <c r="X16" s="17">
        <f t="shared" si="8"/>
        <v>0</v>
      </c>
      <c r="Y16" s="17">
        <f t="shared" si="8"/>
        <v>13</v>
      </c>
      <c r="Z16" s="17">
        <f t="shared" si="8"/>
        <v>8</v>
      </c>
      <c r="AA16" s="17">
        <f t="shared" si="8"/>
        <v>7</v>
      </c>
      <c r="AB16" s="17">
        <f t="shared" si="8"/>
        <v>19</v>
      </c>
      <c r="AC16" s="17">
        <f t="shared" si="8"/>
        <v>174</v>
      </c>
      <c r="AD16" s="17">
        <f t="shared" si="8"/>
        <v>0</v>
      </c>
      <c r="AE16" s="31">
        <f t="shared" si="8"/>
        <v>289</v>
      </c>
      <c r="AF16" s="31">
        <f t="shared" si="8"/>
        <v>463</v>
      </c>
    </row>
    <row r="17" spans="2:32" ht="23.1" customHeight="1" x14ac:dyDescent="0.25">
      <c r="B17" s="23" t="s">
        <v>44</v>
      </c>
      <c r="C17" s="50">
        <v>10</v>
      </c>
      <c r="D17" s="50">
        <v>6</v>
      </c>
      <c r="E17" s="50">
        <v>5</v>
      </c>
      <c r="F17" s="50">
        <v>29</v>
      </c>
      <c r="G17" s="50">
        <v>0</v>
      </c>
      <c r="H17" s="50">
        <v>0</v>
      </c>
      <c r="I17" s="50">
        <v>1</v>
      </c>
      <c r="J17" s="50">
        <v>3</v>
      </c>
      <c r="K17" s="50">
        <v>1</v>
      </c>
      <c r="L17" s="50">
        <v>2</v>
      </c>
      <c r="M17" s="50">
        <v>44</v>
      </c>
      <c r="N17" s="50">
        <v>0</v>
      </c>
      <c r="O17" s="15">
        <f t="shared" si="0"/>
        <v>57</v>
      </c>
      <c r="P17" s="15">
        <f t="shared" si="1"/>
        <v>101</v>
      </c>
      <c r="R17" s="1" t="s">
        <v>13</v>
      </c>
      <c r="S17" s="17">
        <f t="shared" ref="S17:AF17" si="9">SUM(C38:C41)</f>
        <v>108</v>
      </c>
      <c r="T17" s="17">
        <f t="shared" si="9"/>
        <v>34</v>
      </c>
      <c r="U17" s="17">
        <f t="shared" si="9"/>
        <v>17</v>
      </c>
      <c r="V17" s="17">
        <f t="shared" si="9"/>
        <v>86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7</v>
      </c>
      <c r="AA17" s="17">
        <f t="shared" si="9"/>
        <v>5</v>
      </c>
      <c r="AB17" s="17">
        <f t="shared" si="9"/>
        <v>13</v>
      </c>
      <c r="AC17" s="17">
        <f t="shared" si="9"/>
        <v>168</v>
      </c>
      <c r="AD17" s="17">
        <f t="shared" si="9"/>
        <v>0</v>
      </c>
      <c r="AE17" s="31">
        <f t="shared" si="9"/>
        <v>277</v>
      </c>
      <c r="AF17" s="31">
        <f t="shared" si="9"/>
        <v>445</v>
      </c>
    </row>
    <row r="18" spans="2:32" ht="23.1" customHeight="1" x14ac:dyDescent="0.25">
      <c r="B18" s="23" t="s">
        <v>45</v>
      </c>
      <c r="C18" s="50">
        <v>21</v>
      </c>
      <c r="D18" s="50">
        <v>9</v>
      </c>
      <c r="E18" s="50">
        <v>4</v>
      </c>
      <c r="F18" s="50">
        <v>21</v>
      </c>
      <c r="G18" s="50">
        <v>0</v>
      </c>
      <c r="H18" s="50">
        <v>0</v>
      </c>
      <c r="I18" s="50">
        <v>2</v>
      </c>
      <c r="J18" s="50">
        <v>0</v>
      </c>
      <c r="K18" s="50">
        <v>2</v>
      </c>
      <c r="L18" s="50">
        <v>2</v>
      </c>
      <c r="M18" s="50">
        <v>44</v>
      </c>
      <c r="N18" s="50">
        <v>0</v>
      </c>
      <c r="O18" s="15">
        <f t="shared" si="0"/>
        <v>61</v>
      </c>
      <c r="P18" s="15">
        <f t="shared" si="1"/>
        <v>105</v>
      </c>
      <c r="R18" s="1" t="s">
        <v>14</v>
      </c>
      <c r="S18" s="17">
        <f t="shared" ref="S18:AF18" si="10">SUM(C42:C45)</f>
        <v>115</v>
      </c>
      <c r="T18" s="17">
        <f t="shared" si="10"/>
        <v>32</v>
      </c>
      <c r="U18" s="17">
        <f t="shared" si="10"/>
        <v>10</v>
      </c>
      <c r="V18" s="17">
        <f t="shared" si="10"/>
        <v>99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10</v>
      </c>
      <c r="AA18" s="17">
        <f t="shared" si="10"/>
        <v>3</v>
      </c>
      <c r="AB18" s="17">
        <f t="shared" si="10"/>
        <v>10</v>
      </c>
      <c r="AC18" s="17">
        <f t="shared" si="10"/>
        <v>156</v>
      </c>
      <c r="AD18" s="17">
        <f t="shared" si="10"/>
        <v>0</v>
      </c>
      <c r="AE18" s="31">
        <f t="shared" si="10"/>
        <v>292</v>
      </c>
      <c r="AF18" s="31">
        <f t="shared" si="10"/>
        <v>448</v>
      </c>
    </row>
    <row r="19" spans="2:32" ht="23.1" customHeight="1" x14ac:dyDescent="0.25">
      <c r="B19" s="23" t="s">
        <v>46</v>
      </c>
      <c r="C19" s="50">
        <v>19</v>
      </c>
      <c r="D19" s="50">
        <v>8</v>
      </c>
      <c r="E19" s="50">
        <v>1</v>
      </c>
      <c r="F19" s="50">
        <v>20</v>
      </c>
      <c r="G19" s="50">
        <v>0</v>
      </c>
      <c r="H19" s="50">
        <v>0</v>
      </c>
      <c r="I19" s="50">
        <v>3</v>
      </c>
      <c r="J19" s="50">
        <v>2</v>
      </c>
      <c r="K19" s="50">
        <v>1</v>
      </c>
      <c r="L19" s="50">
        <v>8</v>
      </c>
      <c r="M19" s="50">
        <v>43</v>
      </c>
      <c r="N19" s="50">
        <v>0</v>
      </c>
      <c r="O19" s="15">
        <f t="shared" si="0"/>
        <v>62</v>
      </c>
      <c r="P19" s="15">
        <f t="shared" si="1"/>
        <v>105</v>
      </c>
      <c r="R19" s="1" t="s">
        <v>15</v>
      </c>
      <c r="S19" s="17">
        <f t="shared" ref="S19:AF19" si="11">SUM(C46:C49)</f>
        <v>114</v>
      </c>
      <c r="T19" s="17">
        <f t="shared" si="11"/>
        <v>30</v>
      </c>
      <c r="U19" s="17">
        <f t="shared" si="11"/>
        <v>14</v>
      </c>
      <c r="V19" s="17">
        <f t="shared" si="11"/>
        <v>108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9</v>
      </c>
      <c r="AA19" s="17">
        <f t="shared" si="11"/>
        <v>0</v>
      </c>
      <c r="AB19" s="17">
        <f t="shared" si="11"/>
        <v>16</v>
      </c>
      <c r="AC19" s="17">
        <f t="shared" si="11"/>
        <v>160</v>
      </c>
      <c r="AD19" s="17">
        <f t="shared" si="11"/>
        <v>0</v>
      </c>
      <c r="AE19" s="31">
        <f t="shared" si="11"/>
        <v>306</v>
      </c>
      <c r="AF19" s="31">
        <f t="shared" si="11"/>
        <v>466</v>
      </c>
    </row>
    <row r="20" spans="2:32" ht="23.1" customHeight="1" x14ac:dyDescent="0.25">
      <c r="B20" s="23" t="s">
        <v>47</v>
      </c>
      <c r="C20" s="50">
        <v>11</v>
      </c>
      <c r="D20" s="50">
        <v>10</v>
      </c>
      <c r="E20" s="50">
        <v>1</v>
      </c>
      <c r="F20" s="50">
        <v>27</v>
      </c>
      <c r="G20" s="50">
        <v>1</v>
      </c>
      <c r="H20" s="50">
        <v>0</v>
      </c>
      <c r="I20" s="50">
        <v>2</v>
      </c>
      <c r="J20" s="50">
        <v>3</v>
      </c>
      <c r="K20" s="50">
        <v>1</v>
      </c>
      <c r="L20" s="50">
        <v>0</v>
      </c>
      <c r="M20" s="50">
        <v>32</v>
      </c>
      <c r="N20" s="50">
        <v>0</v>
      </c>
      <c r="O20" s="15">
        <f t="shared" si="0"/>
        <v>56</v>
      </c>
      <c r="P20" s="15">
        <f t="shared" si="1"/>
        <v>88</v>
      </c>
      <c r="R20" s="1" t="s">
        <v>16</v>
      </c>
      <c r="S20" s="17">
        <f t="shared" ref="S20:AF20" si="12">SUM(C50:C53)</f>
        <v>76</v>
      </c>
      <c r="T20" s="17">
        <f t="shared" si="12"/>
        <v>20</v>
      </c>
      <c r="U20" s="17">
        <f t="shared" si="12"/>
        <v>9</v>
      </c>
      <c r="V20" s="17">
        <f t="shared" si="12"/>
        <v>110</v>
      </c>
      <c r="W20" s="17">
        <f t="shared" si="12"/>
        <v>1</v>
      </c>
      <c r="X20" s="17">
        <f t="shared" si="12"/>
        <v>0</v>
      </c>
      <c r="Y20" s="17">
        <f t="shared" si="12"/>
        <v>14</v>
      </c>
      <c r="Z20" s="17">
        <f t="shared" si="12"/>
        <v>12</v>
      </c>
      <c r="AA20" s="17">
        <f t="shared" si="12"/>
        <v>3</v>
      </c>
      <c r="AB20" s="17">
        <f t="shared" si="12"/>
        <v>11</v>
      </c>
      <c r="AC20" s="17">
        <f t="shared" si="12"/>
        <v>162</v>
      </c>
      <c r="AD20" s="17">
        <f t="shared" si="12"/>
        <v>0</v>
      </c>
      <c r="AE20" s="31">
        <f t="shared" si="12"/>
        <v>256</v>
      </c>
      <c r="AF20" s="31">
        <f t="shared" si="12"/>
        <v>418</v>
      </c>
    </row>
    <row r="21" spans="2:32" ht="23.1" customHeight="1" x14ac:dyDescent="0.25">
      <c r="B21" s="23" t="s">
        <v>48</v>
      </c>
      <c r="C21" s="50">
        <v>22</v>
      </c>
      <c r="D21" s="50">
        <v>7</v>
      </c>
      <c r="E21" s="50">
        <v>4</v>
      </c>
      <c r="F21" s="50">
        <v>20</v>
      </c>
      <c r="G21" s="50">
        <v>0</v>
      </c>
      <c r="H21" s="50">
        <v>0</v>
      </c>
      <c r="I21" s="50">
        <v>5</v>
      </c>
      <c r="J21" s="50">
        <v>3</v>
      </c>
      <c r="K21" s="50">
        <v>1</v>
      </c>
      <c r="L21" s="50">
        <v>5</v>
      </c>
      <c r="M21" s="50">
        <v>40</v>
      </c>
      <c r="N21" s="50">
        <v>0</v>
      </c>
      <c r="O21" s="15">
        <f t="shared" si="0"/>
        <v>67</v>
      </c>
      <c r="P21" s="15">
        <f t="shared" si="1"/>
        <v>107</v>
      </c>
      <c r="R21" s="36" t="s">
        <v>20</v>
      </c>
      <c r="S21" s="34">
        <f t="shared" ref="S21:AF21" si="13">SUM(C54:C57)</f>
        <v>139</v>
      </c>
      <c r="T21" s="17">
        <f t="shared" si="13"/>
        <v>26</v>
      </c>
      <c r="U21" s="17">
        <f t="shared" si="13"/>
        <v>18</v>
      </c>
      <c r="V21" s="17">
        <f t="shared" si="13"/>
        <v>147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7</v>
      </c>
      <c r="AA21" s="17">
        <f t="shared" si="13"/>
        <v>5</v>
      </c>
      <c r="AB21" s="17">
        <f t="shared" si="13"/>
        <v>10</v>
      </c>
      <c r="AC21" s="17">
        <f t="shared" si="13"/>
        <v>207</v>
      </c>
      <c r="AD21" s="17">
        <f t="shared" si="13"/>
        <v>0</v>
      </c>
      <c r="AE21" s="31">
        <f t="shared" si="13"/>
        <v>361</v>
      </c>
      <c r="AF21" s="31">
        <f t="shared" si="13"/>
        <v>568</v>
      </c>
    </row>
    <row r="22" spans="2:32" ht="23.1" customHeight="1" x14ac:dyDescent="0.25">
      <c r="B22" s="23" t="s">
        <v>49</v>
      </c>
      <c r="C22" s="50">
        <v>22</v>
      </c>
      <c r="D22" s="50">
        <v>8</v>
      </c>
      <c r="E22" s="50">
        <v>4</v>
      </c>
      <c r="F22" s="50">
        <v>31</v>
      </c>
      <c r="G22" s="50">
        <v>0</v>
      </c>
      <c r="H22" s="50">
        <v>0</v>
      </c>
      <c r="I22" s="50">
        <v>2</v>
      </c>
      <c r="J22" s="50">
        <v>3</v>
      </c>
      <c r="K22" s="50">
        <v>1</v>
      </c>
      <c r="L22" s="50">
        <v>3</v>
      </c>
      <c r="M22" s="50">
        <v>46</v>
      </c>
      <c r="N22" s="50">
        <v>0</v>
      </c>
      <c r="O22" s="15">
        <f t="shared" si="0"/>
        <v>74</v>
      </c>
      <c r="P22" s="15">
        <f t="shared" si="1"/>
        <v>120</v>
      </c>
      <c r="R22" s="38" t="s">
        <v>90</v>
      </c>
      <c r="S22" s="39">
        <f>MAX(S10:S12)</f>
        <v>73</v>
      </c>
      <c r="T22" s="39">
        <f t="shared" ref="T22:AF22" si="14">MAX(T10:T12)</f>
        <v>34</v>
      </c>
      <c r="U22" s="39">
        <f t="shared" si="14"/>
        <v>10</v>
      </c>
      <c r="V22" s="39">
        <f t="shared" si="14"/>
        <v>97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9</v>
      </c>
      <c r="AA22" s="39">
        <f t="shared" si="14"/>
        <v>5</v>
      </c>
      <c r="AB22" s="39">
        <f t="shared" si="14"/>
        <v>20</v>
      </c>
      <c r="AC22" s="39">
        <f t="shared" si="14"/>
        <v>159</v>
      </c>
      <c r="AD22" s="39">
        <f t="shared" si="14"/>
        <v>0</v>
      </c>
      <c r="AE22" s="40">
        <f t="shared" si="14"/>
        <v>246</v>
      </c>
      <c r="AF22" s="40">
        <f t="shared" si="14"/>
        <v>405</v>
      </c>
    </row>
    <row r="23" spans="2:32" ht="23.1" customHeight="1" x14ac:dyDescent="0.25">
      <c r="B23" s="23" t="s">
        <v>50</v>
      </c>
      <c r="C23" s="50">
        <v>23</v>
      </c>
      <c r="D23" s="50">
        <v>19</v>
      </c>
      <c r="E23" s="50">
        <v>3</v>
      </c>
      <c r="F23" s="50">
        <v>23</v>
      </c>
      <c r="G23" s="50">
        <v>0</v>
      </c>
      <c r="H23" s="50">
        <v>0</v>
      </c>
      <c r="I23" s="50">
        <v>1</v>
      </c>
      <c r="J23" s="50">
        <v>2</v>
      </c>
      <c r="K23" s="50">
        <v>1</v>
      </c>
      <c r="L23" s="50">
        <v>2</v>
      </c>
      <c r="M23" s="50">
        <v>52</v>
      </c>
      <c r="N23" s="50">
        <v>0</v>
      </c>
      <c r="O23" s="15">
        <f t="shared" si="0"/>
        <v>74</v>
      </c>
      <c r="P23" s="15">
        <f t="shared" si="1"/>
        <v>126</v>
      </c>
      <c r="R23" s="38" t="s">
        <v>91</v>
      </c>
      <c r="S23" s="39">
        <f>MAX(S13:S18)</f>
        <v>115</v>
      </c>
      <c r="T23" s="39">
        <f t="shared" ref="T23:AF23" si="15">MAX(T13:T18)</f>
        <v>57</v>
      </c>
      <c r="U23" s="39">
        <f t="shared" si="15"/>
        <v>17</v>
      </c>
      <c r="V23" s="39">
        <f t="shared" si="15"/>
        <v>103</v>
      </c>
      <c r="W23" s="39">
        <f t="shared" si="15"/>
        <v>2</v>
      </c>
      <c r="X23" s="39">
        <f t="shared" si="15"/>
        <v>0</v>
      </c>
      <c r="Y23" s="39">
        <f t="shared" si="15"/>
        <v>15</v>
      </c>
      <c r="Z23" s="39">
        <f t="shared" si="15"/>
        <v>10</v>
      </c>
      <c r="AA23" s="39">
        <f t="shared" si="15"/>
        <v>7</v>
      </c>
      <c r="AB23" s="39">
        <f t="shared" si="15"/>
        <v>29</v>
      </c>
      <c r="AC23" s="39">
        <f t="shared" si="15"/>
        <v>199</v>
      </c>
      <c r="AD23" s="39">
        <f t="shared" si="15"/>
        <v>0</v>
      </c>
      <c r="AE23" s="40">
        <f t="shared" si="15"/>
        <v>292</v>
      </c>
      <c r="AF23" s="40">
        <f t="shared" si="15"/>
        <v>483</v>
      </c>
    </row>
    <row r="24" spans="2:32" ht="23.1" customHeight="1" x14ac:dyDescent="0.25">
      <c r="B24" s="23" t="s">
        <v>51</v>
      </c>
      <c r="C24" s="50">
        <v>17</v>
      </c>
      <c r="D24" s="50">
        <v>13</v>
      </c>
      <c r="E24" s="50">
        <v>3</v>
      </c>
      <c r="F24" s="50">
        <v>23</v>
      </c>
      <c r="G24" s="50">
        <v>1</v>
      </c>
      <c r="H24" s="50">
        <v>0</v>
      </c>
      <c r="I24" s="50">
        <v>2</v>
      </c>
      <c r="J24" s="50">
        <v>2</v>
      </c>
      <c r="K24" s="50">
        <v>0</v>
      </c>
      <c r="L24" s="50">
        <v>5</v>
      </c>
      <c r="M24" s="50">
        <v>50</v>
      </c>
      <c r="N24" s="50">
        <v>0</v>
      </c>
      <c r="O24" s="15">
        <f t="shared" si="0"/>
        <v>66</v>
      </c>
      <c r="P24" s="15">
        <f t="shared" si="1"/>
        <v>116</v>
      </c>
      <c r="R24" s="38" t="s">
        <v>92</v>
      </c>
      <c r="S24" s="39">
        <f>MAX(S19:S21)</f>
        <v>139</v>
      </c>
      <c r="T24" s="39">
        <f t="shared" ref="T24:AF24" si="16">MAX(T19:T21)</f>
        <v>30</v>
      </c>
      <c r="U24" s="39">
        <f t="shared" si="16"/>
        <v>18</v>
      </c>
      <c r="V24" s="39">
        <f t="shared" si="16"/>
        <v>147</v>
      </c>
      <c r="W24" s="39">
        <f t="shared" si="16"/>
        <v>1</v>
      </c>
      <c r="X24" s="39">
        <f t="shared" si="16"/>
        <v>0</v>
      </c>
      <c r="Y24" s="39">
        <f t="shared" si="16"/>
        <v>15</v>
      </c>
      <c r="Z24" s="39">
        <f t="shared" si="16"/>
        <v>12</v>
      </c>
      <c r="AA24" s="39">
        <f t="shared" si="16"/>
        <v>5</v>
      </c>
      <c r="AB24" s="39">
        <f t="shared" si="16"/>
        <v>16</v>
      </c>
      <c r="AC24" s="39">
        <f t="shared" si="16"/>
        <v>207</v>
      </c>
      <c r="AD24" s="39">
        <f t="shared" si="16"/>
        <v>0</v>
      </c>
      <c r="AE24" s="40">
        <f t="shared" si="16"/>
        <v>361</v>
      </c>
      <c r="AF24" s="40">
        <f t="shared" si="16"/>
        <v>568</v>
      </c>
    </row>
    <row r="25" spans="2:32" ht="23.1" customHeight="1" x14ac:dyDescent="0.25">
      <c r="B25" s="23" t="s">
        <v>52</v>
      </c>
      <c r="C25" s="50">
        <v>11</v>
      </c>
      <c r="D25" s="50">
        <v>12</v>
      </c>
      <c r="E25" s="50">
        <v>6</v>
      </c>
      <c r="F25" s="50">
        <v>24</v>
      </c>
      <c r="G25" s="50">
        <v>0</v>
      </c>
      <c r="H25" s="50">
        <v>0</v>
      </c>
      <c r="I25" s="50">
        <v>3</v>
      </c>
      <c r="J25" s="50">
        <v>1</v>
      </c>
      <c r="K25" s="50">
        <v>2</v>
      </c>
      <c r="L25" s="50">
        <v>19</v>
      </c>
      <c r="M25" s="50">
        <v>43</v>
      </c>
      <c r="N25" s="50">
        <v>0</v>
      </c>
      <c r="O25" s="15">
        <f t="shared" si="0"/>
        <v>78</v>
      </c>
      <c r="P25" s="15">
        <f t="shared" si="1"/>
        <v>121</v>
      </c>
      <c r="R25" s="37" t="s">
        <v>85</v>
      </c>
      <c r="S25" s="35">
        <f t="shared" ref="S25:AF25" si="17">SUM(S10:S12)</f>
        <v>170</v>
      </c>
      <c r="T25" s="16">
        <f t="shared" si="17"/>
        <v>84</v>
      </c>
      <c r="U25" s="16">
        <f t="shared" si="17"/>
        <v>30</v>
      </c>
      <c r="V25" s="16">
        <f t="shared" si="17"/>
        <v>257</v>
      </c>
      <c r="W25" s="16">
        <f t="shared" si="17"/>
        <v>2</v>
      </c>
      <c r="X25" s="16">
        <f t="shared" si="17"/>
        <v>0</v>
      </c>
      <c r="Y25" s="16">
        <f t="shared" si="17"/>
        <v>23</v>
      </c>
      <c r="Z25" s="16">
        <f t="shared" si="17"/>
        <v>21</v>
      </c>
      <c r="AA25" s="16">
        <f t="shared" si="17"/>
        <v>13</v>
      </c>
      <c r="AB25" s="16">
        <f t="shared" si="17"/>
        <v>54</v>
      </c>
      <c r="AC25" s="16">
        <f t="shared" si="17"/>
        <v>402</v>
      </c>
      <c r="AD25" s="16">
        <f t="shared" si="17"/>
        <v>0</v>
      </c>
      <c r="AE25" s="32">
        <f t="shared" si="17"/>
        <v>654</v>
      </c>
      <c r="AF25" s="32">
        <f t="shared" si="17"/>
        <v>1056</v>
      </c>
    </row>
    <row r="26" spans="2:32" ht="23.1" customHeight="1" x14ac:dyDescent="0.25">
      <c r="B26" s="23" t="s">
        <v>53</v>
      </c>
      <c r="C26" s="50">
        <v>17</v>
      </c>
      <c r="D26" s="50">
        <v>15</v>
      </c>
      <c r="E26" s="50">
        <v>1</v>
      </c>
      <c r="F26" s="50">
        <v>28</v>
      </c>
      <c r="G26" s="50">
        <v>0</v>
      </c>
      <c r="H26" s="50">
        <v>0</v>
      </c>
      <c r="I26" s="50">
        <v>2</v>
      </c>
      <c r="J26" s="50">
        <v>2</v>
      </c>
      <c r="K26" s="50">
        <v>1</v>
      </c>
      <c r="L26" s="50">
        <v>6</v>
      </c>
      <c r="M26" s="50">
        <v>51</v>
      </c>
      <c r="N26" s="50">
        <v>0</v>
      </c>
      <c r="O26" s="15">
        <f t="shared" si="0"/>
        <v>72</v>
      </c>
      <c r="P26" s="15">
        <f t="shared" si="1"/>
        <v>123</v>
      </c>
      <c r="R26" s="28" t="s">
        <v>86</v>
      </c>
      <c r="S26" s="16">
        <f t="shared" ref="S26:AF26" si="18">SUM(S13:S18)</f>
        <v>568</v>
      </c>
      <c r="T26" s="16">
        <f t="shared" si="18"/>
        <v>236</v>
      </c>
      <c r="U26" s="16">
        <f t="shared" si="18"/>
        <v>83</v>
      </c>
      <c r="V26" s="16">
        <f t="shared" si="18"/>
        <v>558</v>
      </c>
      <c r="W26" s="16">
        <f t="shared" si="18"/>
        <v>7</v>
      </c>
      <c r="X26" s="16">
        <f t="shared" si="18"/>
        <v>0</v>
      </c>
      <c r="Y26" s="16">
        <f t="shared" si="18"/>
        <v>62</v>
      </c>
      <c r="Z26" s="16">
        <f t="shared" si="18"/>
        <v>48</v>
      </c>
      <c r="AA26" s="16">
        <f t="shared" si="18"/>
        <v>24</v>
      </c>
      <c r="AB26" s="16">
        <f t="shared" si="18"/>
        <v>96</v>
      </c>
      <c r="AC26" s="16">
        <f t="shared" si="18"/>
        <v>1025</v>
      </c>
      <c r="AD26" s="16">
        <f t="shared" si="18"/>
        <v>0</v>
      </c>
      <c r="AE26" s="32">
        <f t="shared" si="18"/>
        <v>1682</v>
      </c>
      <c r="AF26" s="32">
        <f t="shared" si="18"/>
        <v>2707</v>
      </c>
    </row>
    <row r="27" spans="2:32" ht="23.1" customHeight="1" x14ac:dyDescent="0.25">
      <c r="B27" s="23" t="s">
        <v>54</v>
      </c>
      <c r="C27" s="50">
        <v>20</v>
      </c>
      <c r="D27" s="50">
        <v>11</v>
      </c>
      <c r="E27" s="50">
        <v>6</v>
      </c>
      <c r="F27" s="50">
        <v>25</v>
      </c>
      <c r="G27" s="50">
        <v>1</v>
      </c>
      <c r="H27" s="50">
        <v>0</v>
      </c>
      <c r="I27" s="50">
        <v>3</v>
      </c>
      <c r="J27" s="50">
        <v>3</v>
      </c>
      <c r="K27" s="50">
        <v>0</v>
      </c>
      <c r="L27" s="50">
        <v>5</v>
      </c>
      <c r="M27" s="50">
        <v>55</v>
      </c>
      <c r="N27" s="50">
        <v>0</v>
      </c>
      <c r="O27" s="15">
        <f t="shared" si="0"/>
        <v>74</v>
      </c>
      <c r="P27" s="15">
        <f t="shared" si="1"/>
        <v>129</v>
      </c>
      <c r="R27" s="29" t="s">
        <v>87</v>
      </c>
      <c r="S27" s="16">
        <f t="shared" ref="S27:AF27" si="19">SUM(S19:S21)</f>
        <v>329</v>
      </c>
      <c r="T27" s="16">
        <f t="shared" si="19"/>
        <v>76</v>
      </c>
      <c r="U27" s="16">
        <f t="shared" si="19"/>
        <v>41</v>
      </c>
      <c r="V27" s="16">
        <f t="shared" si="19"/>
        <v>365</v>
      </c>
      <c r="W27" s="16">
        <f t="shared" si="19"/>
        <v>1</v>
      </c>
      <c r="X27" s="16">
        <f t="shared" si="19"/>
        <v>0</v>
      </c>
      <c r="Y27" s="16">
        <f t="shared" si="19"/>
        <v>38</v>
      </c>
      <c r="Z27" s="16">
        <f t="shared" si="19"/>
        <v>28</v>
      </c>
      <c r="AA27" s="16">
        <f t="shared" si="19"/>
        <v>8</v>
      </c>
      <c r="AB27" s="16">
        <f t="shared" si="19"/>
        <v>37</v>
      </c>
      <c r="AC27" s="16">
        <f t="shared" si="19"/>
        <v>529</v>
      </c>
      <c r="AD27" s="16">
        <f t="shared" si="19"/>
        <v>0</v>
      </c>
      <c r="AE27" s="32">
        <f t="shared" si="19"/>
        <v>923</v>
      </c>
      <c r="AF27" s="32">
        <f t="shared" si="19"/>
        <v>1452</v>
      </c>
    </row>
    <row r="28" spans="2:32" ht="23.1" customHeight="1" x14ac:dyDescent="0.25">
      <c r="B28" s="23" t="s">
        <v>55</v>
      </c>
      <c r="C28" s="50">
        <v>15</v>
      </c>
      <c r="D28" s="50">
        <v>15</v>
      </c>
      <c r="E28" s="50">
        <v>5</v>
      </c>
      <c r="F28" s="50">
        <v>30</v>
      </c>
      <c r="G28" s="50">
        <v>0</v>
      </c>
      <c r="H28" s="50">
        <v>0</v>
      </c>
      <c r="I28" s="50">
        <v>1</v>
      </c>
      <c r="J28" s="50">
        <v>2</v>
      </c>
      <c r="K28" s="50">
        <v>1</v>
      </c>
      <c r="L28" s="50">
        <v>4</v>
      </c>
      <c r="M28" s="50">
        <v>41</v>
      </c>
      <c r="N28" s="50">
        <v>0</v>
      </c>
      <c r="O28" s="15">
        <f t="shared" si="0"/>
        <v>73</v>
      </c>
      <c r="P28" s="15">
        <f t="shared" si="1"/>
        <v>114</v>
      </c>
      <c r="R28" s="5" t="s">
        <v>17</v>
      </c>
      <c r="S28" s="16">
        <f t="shared" ref="S28:AF28" si="20">SUM(S10:S21)</f>
        <v>1067</v>
      </c>
      <c r="T28" s="16">
        <f t="shared" si="20"/>
        <v>396</v>
      </c>
      <c r="U28" s="16">
        <f t="shared" si="20"/>
        <v>154</v>
      </c>
      <c r="V28" s="16">
        <f t="shared" si="20"/>
        <v>1180</v>
      </c>
      <c r="W28" s="16">
        <f t="shared" si="20"/>
        <v>10</v>
      </c>
      <c r="X28" s="16">
        <f t="shared" si="20"/>
        <v>0</v>
      </c>
      <c r="Y28" s="16">
        <f t="shared" si="20"/>
        <v>123</v>
      </c>
      <c r="Z28" s="16">
        <f t="shared" si="20"/>
        <v>97</v>
      </c>
      <c r="AA28" s="16">
        <f t="shared" si="20"/>
        <v>45</v>
      </c>
      <c r="AB28" s="16">
        <f t="shared" si="20"/>
        <v>187</v>
      </c>
      <c r="AC28" s="16">
        <f t="shared" si="20"/>
        <v>1956</v>
      </c>
      <c r="AD28" s="16">
        <f t="shared" si="20"/>
        <v>0</v>
      </c>
      <c r="AE28" s="32">
        <f t="shared" si="20"/>
        <v>3259</v>
      </c>
      <c r="AF28" s="32">
        <f t="shared" si="20"/>
        <v>5215</v>
      </c>
    </row>
    <row r="29" spans="2:32" ht="23.1" customHeight="1" x14ac:dyDescent="0.25">
      <c r="B29" s="23" t="s">
        <v>56</v>
      </c>
      <c r="C29" s="50">
        <v>18</v>
      </c>
      <c r="D29" s="50">
        <v>16</v>
      </c>
      <c r="E29" s="50">
        <v>3</v>
      </c>
      <c r="F29" s="50">
        <v>20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</v>
      </c>
      <c r="M29" s="50">
        <v>52</v>
      </c>
      <c r="N29" s="50">
        <v>0</v>
      </c>
      <c r="O29" s="15">
        <f t="shared" si="0"/>
        <v>60</v>
      </c>
      <c r="P29" s="15">
        <f t="shared" si="1"/>
        <v>112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18</v>
      </c>
      <c r="E30" s="50">
        <v>1</v>
      </c>
      <c r="F30" s="50">
        <v>22</v>
      </c>
      <c r="G30" s="50">
        <v>1</v>
      </c>
      <c r="H30" s="50">
        <v>0</v>
      </c>
      <c r="I30" s="50">
        <v>3</v>
      </c>
      <c r="J30" s="50">
        <v>1</v>
      </c>
      <c r="K30" s="50">
        <v>1</v>
      </c>
      <c r="L30" s="50">
        <v>2</v>
      </c>
      <c r="M30" s="50">
        <v>34</v>
      </c>
      <c r="N30" s="50">
        <v>0</v>
      </c>
      <c r="O30" s="15">
        <f t="shared" si="0"/>
        <v>72</v>
      </c>
      <c r="P30" s="15">
        <f t="shared" si="1"/>
        <v>106</v>
      </c>
    </row>
    <row r="31" spans="2:32" ht="23.1" customHeight="1" x14ac:dyDescent="0.25">
      <c r="B31" s="24" t="s">
        <v>58</v>
      </c>
      <c r="C31" s="50">
        <v>20</v>
      </c>
      <c r="D31" s="50">
        <v>3</v>
      </c>
      <c r="E31" s="50">
        <v>5</v>
      </c>
      <c r="F31" s="50">
        <v>16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1</v>
      </c>
      <c r="M31" s="50">
        <v>33</v>
      </c>
      <c r="N31" s="50">
        <v>0</v>
      </c>
      <c r="O31" s="15">
        <f t="shared" si="0"/>
        <v>49</v>
      </c>
      <c r="P31" s="15">
        <f t="shared" si="1"/>
        <v>82</v>
      </c>
    </row>
    <row r="32" spans="2:32" ht="23.1" customHeight="1" x14ac:dyDescent="0.25">
      <c r="B32" s="24" t="s">
        <v>59</v>
      </c>
      <c r="C32" s="50">
        <v>20</v>
      </c>
      <c r="D32" s="50">
        <v>8</v>
      </c>
      <c r="E32" s="50">
        <v>2</v>
      </c>
      <c r="F32" s="50">
        <v>25</v>
      </c>
      <c r="G32" s="50">
        <v>1</v>
      </c>
      <c r="H32" s="50">
        <v>0</v>
      </c>
      <c r="I32" s="50">
        <v>6</v>
      </c>
      <c r="J32" s="50">
        <v>3</v>
      </c>
      <c r="K32" s="50">
        <v>0</v>
      </c>
      <c r="L32" s="50">
        <v>3</v>
      </c>
      <c r="M32" s="50">
        <v>37</v>
      </c>
      <c r="N32" s="50">
        <v>0</v>
      </c>
      <c r="O32" s="15">
        <f t="shared" si="0"/>
        <v>68</v>
      </c>
      <c r="P32" s="15">
        <f t="shared" si="1"/>
        <v>105</v>
      </c>
    </row>
    <row r="33" spans="2:20" ht="23.1" customHeight="1" x14ac:dyDescent="0.25">
      <c r="B33" s="23" t="s">
        <v>60</v>
      </c>
      <c r="C33" s="50">
        <v>29</v>
      </c>
      <c r="D33" s="50">
        <v>3</v>
      </c>
      <c r="E33" s="50">
        <v>2</v>
      </c>
      <c r="F33" s="50">
        <v>20</v>
      </c>
      <c r="G33" s="50">
        <v>0</v>
      </c>
      <c r="H33" s="50">
        <v>0</v>
      </c>
      <c r="I33" s="50">
        <v>4</v>
      </c>
      <c r="J33" s="50">
        <v>2</v>
      </c>
      <c r="K33" s="50">
        <v>1</v>
      </c>
      <c r="L33" s="50">
        <v>3</v>
      </c>
      <c r="M33" s="50">
        <v>33</v>
      </c>
      <c r="N33" s="50">
        <v>0</v>
      </c>
      <c r="O33" s="15">
        <f t="shared" si="0"/>
        <v>64</v>
      </c>
      <c r="P33" s="15">
        <f t="shared" si="1"/>
        <v>97</v>
      </c>
    </row>
    <row r="34" spans="2:20" ht="23.1" customHeight="1" x14ac:dyDescent="0.25">
      <c r="B34" s="24" t="s">
        <v>61</v>
      </c>
      <c r="C34" s="50">
        <v>31</v>
      </c>
      <c r="D34" s="50">
        <v>7</v>
      </c>
      <c r="E34" s="50">
        <v>4</v>
      </c>
      <c r="F34" s="50">
        <v>24</v>
      </c>
      <c r="G34" s="50">
        <v>0</v>
      </c>
      <c r="H34" s="50">
        <v>0</v>
      </c>
      <c r="I34" s="50">
        <v>1</v>
      </c>
      <c r="J34" s="50">
        <v>3</v>
      </c>
      <c r="K34" s="50">
        <v>1</v>
      </c>
      <c r="L34" s="50">
        <v>6</v>
      </c>
      <c r="M34" s="50">
        <v>53</v>
      </c>
      <c r="N34" s="50">
        <v>0</v>
      </c>
      <c r="O34" s="15">
        <f t="shared" si="0"/>
        <v>77</v>
      </c>
      <c r="P34" s="15">
        <f t="shared" si="1"/>
        <v>130</v>
      </c>
    </row>
    <row r="35" spans="2:20" ht="23.1" customHeight="1" x14ac:dyDescent="0.25">
      <c r="B35" s="24" t="s">
        <v>62</v>
      </c>
      <c r="C35" s="50">
        <v>23</v>
      </c>
      <c r="D35" s="50">
        <v>7</v>
      </c>
      <c r="E35" s="50">
        <v>4</v>
      </c>
      <c r="F35" s="50">
        <v>20</v>
      </c>
      <c r="G35" s="50">
        <v>1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30</v>
      </c>
      <c r="N35" s="50">
        <v>0</v>
      </c>
      <c r="O35" s="15">
        <f t="shared" si="0"/>
        <v>58</v>
      </c>
      <c r="P35" s="15">
        <f t="shared" si="1"/>
        <v>88</v>
      </c>
    </row>
    <row r="36" spans="2:20" ht="23.1" customHeight="1" x14ac:dyDescent="0.25">
      <c r="B36" s="24" t="s">
        <v>63</v>
      </c>
      <c r="C36" s="50">
        <v>31</v>
      </c>
      <c r="D36" s="50">
        <v>5</v>
      </c>
      <c r="E36" s="50">
        <v>4</v>
      </c>
      <c r="F36" s="50">
        <v>20</v>
      </c>
      <c r="G36" s="50">
        <v>0</v>
      </c>
      <c r="H36" s="50">
        <v>0</v>
      </c>
      <c r="I36" s="50">
        <v>5</v>
      </c>
      <c r="J36" s="50">
        <v>2</v>
      </c>
      <c r="K36" s="50">
        <v>3</v>
      </c>
      <c r="L36" s="50">
        <v>8</v>
      </c>
      <c r="M36" s="50">
        <v>45</v>
      </c>
      <c r="N36" s="50">
        <v>0</v>
      </c>
      <c r="O36" s="15">
        <f t="shared" si="0"/>
        <v>78</v>
      </c>
      <c r="P36" s="15">
        <f t="shared" si="1"/>
        <v>123</v>
      </c>
    </row>
    <row r="37" spans="2:20" ht="23.1" customHeight="1" x14ac:dyDescent="0.25">
      <c r="B37" s="23" t="s">
        <v>64</v>
      </c>
      <c r="C37" s="50">
        <v>25</v>
      </c>
      <c r="D37" s="50">
        <v>10</v>
      </c>
      <c r="E37" s="50">
        <v>3</v>
      </c>
      <c r="F37" s="50">
        <v>22</v>
      </c>
      <c r="G37" s="50">
        <v>1</v>
      </c>
      <c r="H37" s="50">
        <v>0</v>
      </c>
      <c r="I37" s="50">
        <v>5</v>
      </c>
      <c r="J37" s="50">
        <v>3</v>
      </c>
      <c r="K37" s="50">
        <v>2</v>
      </c>
      <c r="L37" s="50">
        <v>5</v>
      </c>
      <c r="M37" s="50">
        <v>46</v>
      </c>
      <c r="N37" s="50">
        <v>0</v>
      </c>
      <c r="O37" s="15">
        <f t="shared" si="0"/>
        <v>76</v>
      </c>
      <c r="P37" s="15">
        <f t="shared" si="1"/>
        <v>122</v>
      </c>
    </row>
    <row r="38" spans="2:20" ht="23.1" customHeight="1" x14ac:dyDescent="0.25">
      <c r="B38" s="24" t="s">
        <v>65</v>
      </c>
      <c r="C38" s="50">
        <v>20</v>
      </c>
      <c r="D38" s="50">
        <v>10</v>
      </c>
      <c r="E38" s="50">
        <v>2</v>
      </c>
      <c r="F38" s="50">
        <v>22</v>
      </c>
      <c r="G38" s="50">
        <v>0</v>
      </c>
      <c r="H38" s="50">
        <v>0</v>
      </c>
      <c r="I38" s="50">
        <v>0</v>
      </c>
      <c r="J38" s="50">
        <v>1</v>
      </c>
      <c r="K38" s="50">
        <v>2</v>
      </c>
      <c r="L38" s="50">
        <v>2</v>
      </c>
      <c r="M38" s="50">
        <v>47</v>
      </c>
      <c r="N38" s="50">
        <v>0</v>
      </c>
      <c r="O38" s="15">
        <f t="shared" si="0"/>
        <v>59</v>
      </c>
      <c r="P38" s="15">
        <f t="shared" si="1"/>
        <v>106</v>
      </c>
    </row>
    <row r="39" spans="2:20" ht="23.1" customHeight="1" x14ac:dyDescent="0.25">
      <c r="B39" s="24" t="s">
        <v>66</v>
      </c>
      <c r="C39" s="50">
        <v>25</v>
      </c>
      <c r="D39" s="50">
        <v>12</v>
      </c>
      <c r="E39" s="50">
        <v>5</v>
      </c>
      <c r="F39" s="50">
        <v>20</v>
      </c>
      <c r="G39" s="50">
        <v>0</v>
      </c>
      <c r="H39" s="50">
        <v>0</v>
      </c>
      <c r="I39" s="50">
        <v>6</v>
      </c>
      <c r="J39" s="50">
        <v>3</v>
      </c>
      <c r="K39" s="50">
        <v>0</v>
      </c>
      <c r="L39" s="50">
        <v>4</v>
      </c>
      <c r="M39" s="50">
        <v>35</v>
      </c>
      <c r="N39" s="50">
        <v>0</v>
      </c>
      <c r="O39" s="15">
        <f t="shared" si="0"/>
        <v>75</v>
      </c>
      <c r="P39" s="15">
        <f t="shared" si="1"/>
        <v>110</v>
      </c>
    </row>
    <row r="40" spans="2:20" ht="23.1" customHeight="1" x14ac:dyDescent="0.25">
      <c r="B40" s="24" t="s">
        <v>67</v>
      </c>
      <c r="C40" s="50">
        <v>30</v>
      </c>
      <c r="D40" s="50">
        <v>6</v>
      </c>
      <c r="E40" s="50">
        <v>2</v>
      </c>
      <c r="F40" s="50">
        <v>19</v>
      </c>
      <c r="G40" s="50">
        <v>0</v>
      </c>
      <c r="H40" s="50">
        <v>0</v>
      </c>
      <c r="I40" s="50">
        <v>0</v>
      </c>
      <c r="J40" s="50">
        <v>2</v>
      </c>
      <c r="K40" s="50">
        <v>3</v>
      </c>
      <c r="L40" s="50">
        <v>4</v>
      </c>
      <c r="M40" s="50">
        <v>56</v>
      </c>
      <c r="N40" s="50">
        <v>0</v>
      </c>
      <c r="O40" s="15">
        <f t="shared" si="0"/>
        <v>66</v>
      </c>
      <c r="P40" s="15">
        <f t="shared" si="1"/>
        <v>122</v>
      </c>
    </row>
    <row r="41" spans="2:20" ht="23.1" customHeight="1" x14ac:dyDescent="0.25">
      <c r="B41" s="23" t="s">
        <v>68</v>
      </c>
      <c r="C41" s="50">
        <v>33</v>
      </c>
      <c r="D41" s="50">
        <v>6</v>
      </c>
      <c r="E41" s="50">
        <v>8</v>
      </c>
      <c r="F41" s="50">
        <v>25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3</v>
      </c>
      <c r="M41" s="50">
        <v>30</v>
      </c>
      <c r="N41" s="50">
        <v>0</v>
      </c>
      <c r="O41" s="15">
        <f t="shared" si="0"/>
        <v>77</v>
      </c>
      <c r="P41" s="15">
        <f t="shared" si="1"/>
        <v>107</v>
      </c>
    </row>
    <row r="42" spans="2:20" ht="23.1" customHeight="1" x14ac:dyDescent="0.25">
      <c r="B42" s="24" t="s">
        <v>69</v>
      </c>
      <c r="C42" s="50">
        <v>27</v>
      </c>
      <c r="D42" s="50">
        <v>4</v>
      </c>
      <c r="E42" s="50">
        <v>2</v>
      </c>
      <c r="F42" s="50">
        <v>32</v>
      </c>
      <c r="G42" s="50">
        <v>1</v>
      </c>
      <c r="H42" s="50">
        <v>0</v>
      </c>
      <c r="I42" s="50">
        <v>1</v>
      </c>
      <c r="J42" s="50">
        <v>2</v>
      </c>
      <c r="K42" s="50">
        <v>2</v>
      </c>
      <c r="L42" s="50">
        <v>4</v>
      </c>
      <c r="M42" s="50">
        <v>30</v>
      </c>
      <c r="N42" s="50">
        <v>0</v>
      </c>
      <c r="O42" s="15">
        <f t="shared" si="0"/>
        <v>75</v>
      </c>
      <c r="P42" s="15">
        <f t="shared" si="1"/>
        <v>105</v>
      </c>
    </row>
    <row r="43" spans="2:20" ht="23.1" customHeight="1" x14ac:dyDescent="0.25">
      <c r="B43" s="23" t="s">
        <v>70</v>
      </c>
      <c r="C43" s="50">
        <v>21</v>
      </c>
      <c r="D43" s="50">
        <v>11</v>
      </c>
      <c r="E43" s="50">
        <v>2</v>
      </c>
      <c r="F43" s="50">
        <v>23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1</v>
      </c>
      <c r="M43" s="50">
        <v>42</v>
      </c>
      <c r="N43" s="50">
        <v>0</v>
      </c>
      <c r="O43" s="15">
        <f t="shared" si="0"/>
        <v>63</v>
      </c>
      <c r="P43" s="15">
        <f t="shared" si="1"/>
        <v>105</v>
      </c>
    </row>
    <row r="44" spans="2:20" ht="23.1" customHeight="1" x14ac:dyDescent="0.25">
      <c r="B44" s="25" t="s">
        <v>71</v>
      </c>
      <c r="C44" s="50">
        <v>35</v>
      </c>
      <c r="D44" s="50">
        <v>6</v>
      </c>
      <c r="E44" s="50">
        <v>4</v>
      </c>
      <c r="F44" s="50">
        <v>23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4</v>
      </c>
      <c r="M44" s="50">
        <v>46</v>
      </c>
      <c r="N44" s="50">
        <v>0</v>
      </c>
      <c r="O44" s="15">
        <f t="shared" si="0"/>
        <v>77</v>
      </c>
      <c r="P44" s="15">
        <f t="shared" si="1"/>
        <v>123</v>
      </c>
    </row>
    <row r="45" spans="2:20" ht="23.1" customHeight="1" x14ac:dyDescent="0.25">
      <c r="B45" s="23" t="s">
        <v>72</v>
      </c>
      <c r="C45" s="50">
        <v>32</v>
      </c>
      <c r="D45" s="50">
        <v>11</v>
      </c>
      <c r="E45" s="50">
        <v>2</v>
      </c>
      <c r="F45" s="50">
        <v>21</v>
      </c>
      <c r="G45" s="50">
        <v>0</v>
      </c>
      <c r="H45" s="50">
        <v>0</v>
      </c>
      <c r="I45" s="50">
        <v>3</v>
      </c>
      <c r="J45" s="50">
        <v>6</v>
      </c>
      <c r="K45" s="50">
        <v>1</v>
      </c>
      <c r="L45" s="50">
        <v>1</v>
      </c>
      <c r="M45" s="50">
        <v>38</v>
      </c>
      <c r="N45" s="50">
        <v>0</v>
      </c>
      <c r="O45" s="15">
        <f t="shared" si="0"/>
        <v>77</v>
      </c>
      <c r="P45" s="15">
        <f t="shared" si="1"/>
        <v>115</v>
      </c>
    </row>
    <row r="46" spans="2:20" ht="23.1" customHeight="1" x14ac:dyDescent="0.25">
      <c r="B46" s="24" t="s">
        <v>73</v>
      </c>
      <c r="C46" s="50">
        <v>34</v>
      </c>
      <c r="D46" s="50">
        <v>9</v>
      </c>
      <c r="E46" s="50">
        <v>4</v>
      </c>
      <c r="F46" s="50">
        <v>24</v>
      </c>
      <c r="G46" s="50">
        <v>0</v>
      </c>
      <c r="H46" s="50">
        <v>0</v>
      </c>
      <c r="I46" s="50">
        <v>5</v>
      </c>
      <c r="J46" s="50">
        <v>3</v>
      </c>
      <c r="K46" s="50">
        <v>0</v>
      </c>
      <c r="L46" s="50">
        <v>3</v>
      </c>
      <c r="M46" s="50">
        <v>42</v>
      </c>
      <c r="N46" s="50">
        <v>0</v>
      </c>
      <c r="O46" s="15">
        <f t="shared" si="0"/>
        <v>82</v>
      </c>
      <c r="P46" s="15">
        <f t="shared" si="1"/>
        <v>124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6</v>
      </c>
      <c r="E47" s="50">
        <v>3</v>
      </c>
      <c r="F47" s="50">
        <v>23</v>
      </c>
      <c r="G47" s="50">
        <v>0</v>
      </c>
      <c r="H47" s="50">
        <v>0</v>
      </c>
      <c r="I47" s="50">
        <v>5</v>
      </c>
      <c r="J47" s="50">
        <v>4</v>
      </c>
      <c r="K47" s="50">
        <v>0</v>
      </c>
      <c r="L47" s="50">
        <v>4</v>
      </c>
      <c r="M47" s="50">
        <v>48</v>
      </c>
      <c r="N47" s="50">
        <v>0</v>
      </c>
      <c r="O47" s="15">
        <f t="shared" si="0"/>
        <v>75</v>
      </c>
      <c r="P47" s="15">
        <f t="shared" si="1"/>
        <v>123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9</v>
      </c>
      <c r="E48" s="50">
        <v>2</v>
      </c>
      <c r="F48" s="50">
        <v>31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6</v>
      </c>
      <c r="M48" s="50">
        <v>38</v>
      </c>
      <c r="N48" s="50">
        <v>0</v>
      </c>
      <c r="O48" s="15">
        <f t="shared" si="0"/>
        <v>86</v>
      </c>
      <c r="P48" s="15">
        <f t="shared" si="1"/>
        <v>124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6</v>
      </c>
      <c r="E49" s="50">
        <v>5</v>
      </c>
      <c r="F49" s="50">
        <v>30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3</v>
      </c>
      <c r="M49" s="50">
        <v>32</v>
      </c>
      <c r="N49" s="50">
        <v>0</v>
      </c>
      <c r="O49" s="15">
        <f t="shared" si="0"/>
        <v>63</v>
      </c>
      <c r="P49" s="15">
        <f t="shared" si="1"/>
        <v>95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4</v>
      </c>
      <c r="E50" s="50">
        <v>1</v>
      </c>
      <c r="F50" s="50">
        <v>28</v>
      </c>
      <c r="G50" s="50">
        <v>1</v>
      </c>
      <c r="H50" s="50">
        <v>0</v>
      </c>
      <c r="I50" s="50">
        <v>5</v>
      </c>
      <c r="J50" s="50">
        <v>5</v>
      </c>
      <c r="K50" s="50">
        <v>1</v>
      </c>
      <c r="L50" s="50">
        <v>3</v>
      </c>
      <c r="M50" s="50">
        <v>37</v>
      </c>
      <c r="N50" s="50">
        <v>0</v>
      </c>
      <c r="O50" s="15">
        <f t="shared" si="0"/>
        <v>71</v>
      </c>
      <c r="P50" s="15">
        <f t="shared" si="1"/>
        <v>108</v>
      </c>
      <c r="R50" s="8"/>
      <c r="T50"/>
    </row>
    <row r="51" spans="2:20" ht="23.1" customHeight="1" x14ac:dyDescent="0.25">
      <c r="B51" s="24" t="s">
        <v>78</v>
      </c>
      <c r="C51" s="50">
        <v>18</v>
      </c>
      <c r="D51" s="50">
        <v>7</v>
      </c>
      <c r="E51" s="50">
        <v>4</v>
      </c>
      <c r="F51" s="50">
        <v>29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2</v>
      </c>
      <c r="M51" s="50">
        <v>42</v>
      </c>
      <c r="N51" s="50">
        <v>0</v>
      </c>
      <c r="O51" s="15">
        <f t="shared" si="0"/>
        <v>64</v>
      </c>
      <c r="P51" s="15">
        <f t="shared" si="1"/>
        <v>106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2</v>
      </c>
      <c r="E52" s="50">
        <v>2</v>
      </c>
      <c r="F52" s="50">
        <v>27</v>
      </c>
      <c r="G52" s="50">
        <v>0</v>
      </c>
      <c r="H52" s="50">
        <v>0</v>
      </c>
      <c r="I52" s="50">
        <v>2</v>
      </c>
      <c r="J52" s="50">
        <v>3</v>
      </c>
      <c r="K52" s="50">
        <v>0</v>
      </c>
      <c r="L52" s="50">
        <v>3</v>
      </c>
      <c r="M52" s="50">
        <v>43</v>
      </c>
      <c r="N52" s="50">
        <v>0</v>
      </c>
      <c r="O52" s="15">
        <f t="shared" si="0"/>
        <v>52</v>
      </c>
      <c r="P52" s="15">
        <f t="shared" si="1"/>
        <v>95</v>
      </c>
      <c r="R52" s="8"/>
      <c r="T52"/>
    </row>
    <row r="53" spans="2:20" ht="23.1" customHeight="1" x14ac:dyDescent="0.25">
      <c r="B53" s="23" t="s">
        <v>80</v>
      </c>
      <c r="C53" s="50">
        <v>22</v>
      </c>
      <c r="D53" s="50">
        <v>7</v>
      </c>
      <c r="E53" s="50">
        <v>2</v>
      </c>
      <c r="F53" s="50">
        <v>26</v>
      </c>
      <c r="G53" s="50">
        <v>0</v>
      </c>
      <c r="H53" s="50">
        <v>0</v>
      </c>
      <c r="I53" s="50">
        <v>5</v>
      </c>
      <c r="J53" s="50">
        <v>2</v>
      </c>
      <c r="K53" s="50">
        <v>2</v>
      </c>
      <c r="L53" s="50">
        <v>3</v>
      </c>
      <c r="M53" s="50">
        <v>40</v>
      </c>
      <c r="N53" s="50">
        <v>0</v>
      </c>
      <c r="O53" s="15">
        <f t="shared" si="0"/>
        <v>69</v>
      </c>
      <c r="P53" s="15">
        <f t="shared" si="1"/>
        <v>109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3</v>
      </c>
      <c r="E54" s="50">
        <v>1</v>
      </c>
      <c r="F54" s="50">
        <v>32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1</v>
      </c>
      <c r="M54" s="50">
        <v>44</v>
      </c>
      <c r="N54" s="50">
        <v>0</v>
      </c>
      <c r="O54" s="15">
        <f t="shared" si="0"/>
        <v>70</v>
      </c>
      <c r="P54" s="15">
        <f t="shared" si="1"/>
        <v>114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8</v>
      </c>
      <c r="E55" s="50">
        <v>4</v>
      </c>
      <c r="F55" s="50">
        <v>31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2</v>
      </c>
      <c r="M55" s="50">
        <v>48</v>
      </c>
      <c r="N55" s="50">
        <v>0</v>
      </c>
      <c r="O55" s="15">
        <f t="shared" si="0"/>
        <v>83</v>
      </c>
      <c r="P55" s="15">
        <f t="shared" si="1"/>
        <v>131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7</v>
      </c>
      <c r="E56" s="50">
        <v>7</v>
      </c>
      <c r="F56" s="50">
        <v>44</v>
      </c>
      <c r="G56" s="50">
        <v>0</v>
      </c>
      <c r="H56" s="50">
        <v>0</v>
      </c>
      <c r="I56" s="50">
        <v>2</v>
      </c>
      <c r="J56" s="50">
        <v>3</v>
      </c>
      <c r="K56" s="50">
        <v>2</v>
      </c>
      <c r="L56" s="50">
        <v>4</v>
      </c>
      <c r="M56" s="50">
        <v>55</v>
      </c>
      <c r="N56" s="50">
        <v>0</v>
      </c>
      <c r="O56" s="15">
        <f t="shared" si="0"/>
        <v>102</v>
      </c>
      <c r="P56" s="15">
        <f t="shared" si="1"/>
        <v>157</v>
      </c>
      <c r="R56" s="8"/>
      <c r="T56"/>
    </row>
    <row r="57" spans="2:20" ht="23.1" customHeight="1" x14ac:dyDescent="0.25">
      <c r="B57" s="23" t="s">
        <v>84</v>
      </c>
      <c r="C57" s="50">
        <v>43</v>
      </c>
      <c r="D57" s="50">
        <v>8</v>
      </c>
      <c r="E57" s="50">
        <v>6</v>
      </c>
      <c r="F57" s="50">
        <v>40</v>
      </c>
      <c r="G57" s="50">
        <v>0</v>
      </c>
      <c r="H57" s="50">
        <v>0</v>
      </c>
      <c r="I57" s="50">
        <v>1</v>
      </c>
      <c r="J57" s="50">
        <v>2</v>
      </c>
      <c r="K57" s="50">
        <v>3</v>
      </c>
      <c r="L57" s="50">
        <v>3</v>
      </c>
      <c r="M57" s="50">
        <v>60</v>
      </c>
      <c r="N57" s="50">
        <v>0</v>
      </c>
      <c r="O57" s="15">
        <f t="shared" si="0"/>
        <v>106</v>
      </c>
      <c r="P57" s="15">
        <f t="shared" si="1"/>
        <v>166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1067</v>
      </c>
      <c r="D58" s="16">
        <f t="shared" si="21"/>
        <v>396</v>
      </c>
      <c r="E58" s="16">
        <f t="shared" si="21"/>
        <v>154</v>
      </c>
      <c r="F58" s="16">
        <f t="shared" si="21"/>
        <v>1180</v>
      </c>
      <c r="G58" s="16">
        <f t="shared" si="21"/>
        <v>10</v>
      </c>
      <c r="H58" s="16">
        <f t="shared" si="21"/>
        <v>0</v>
      </c>
      <c r="I58" s="16">
        <f t="shared" si="21"/>
        <v>123</v>
      </c>
      <c r="J58" s="16">
        <f t="shared" si="21"/>
        <v>97</v>
      </c>
      <c r="K58" s="16">
        <f t="shared" si="21"/>
        <v>45</v>
      </c>
      <c r="L58" s="16">
        <f t="shared" si="21"/>
        <v>187</v>
      </c>
      <c r="M58" s="16">
        <f t="shared" si="21"/>
        <v>1956</v>
      </c>
      <c r="N58" s="16">
        <f t="shared" si="21"/>
        <v>0</v>
      </c>
      <c r="O58" s="15">
        <f t="shared" si="0"/>
        <v>3259</v>
      </c>
      <c r="P58" s="16">
        <f t="shared" si="21"/>
        <v>5215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0.20460210930009587</v>
      </c>
      <c r="D59" s="43">
        <f t="shared" si="22"/>
        <v>7.5934803451581975E-2</v>
      </c>
      <c r="E59" s="43">
        <f t="shared" si="22"/>
        <v>2.9530201342281879E-2</v>
      </c>
      <c r="F59" s="43">
        <f t="shared" si="22"/>
        <v>0.22627037392138064</v>
      </c>
      <c r="G59" s="43">
        <f t="shared" si="22"/>
        <v>1.9175455417066154E-3</v>
      </c>
      <c r="H59" s="43">
        <f t="shared" si="22"/>
        <v>0</v>
      </c>
      <c r="I59" s="43">
        <f t="shared" si="22"/>
        <v>2.3585810162991373E-2</v>
      </c>
      <c r="J59" s="43">
        <f t="shared" si="22"/>
        <v>1.8600191754554171E-2</v>
      </c>
      <c r="K59" s="43">
        <f t="shared" si="22"/>
        <v>8.6289549376797701E-3</v>
      </c>
      <c r="L59" s="43">
        <f t="shared" si="22"/>
        <v>3.5858101629913708E-2</v>
      </c>
      <c r="M59" s="43">
        <f t="shared" si="22"/>
        <v>0.37507190795781398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0.32740104326480518</v>
      </c>
      <c r="D60" s="44">
        <f t="shared" ref="D60:N60" si="23">D58/$O$58</f>
        <v>0.12150966554157717</v>
      </c>
      <c r="E60" s="44">
        <f t="shared" si="23"/>
        <v>4.7253758821724452E-2</v>
      </c>
      <c r="F60" s="44">
        <f t="shared" si="23"/>
        <v>0.36207425590671988</v>
      </c>
      <c r="G60" s="44">
        <f t="shared" si="23"/>
        <v>3.0684258975145749E-3</v>
      </c>
      <c r="H60" s="44">
        <f t="shared" si="23"/>
        <v>0</v>
      </c>
      <c r="I60" s="44">
        <f t="shared" si="23"/>
        <v>3.7741638539429273E-2</v>
      </c>
      <c r="J60" s="44">
        <f t="shared" si="23"/>
        <v>2.9763731205891378E-2</v>
      </c>
      <c r="K60" s="44">
        <f t="shared" si="23"/>
        <v>1.3807916538815588E-2</v>
      </c>
      <c r="L60" s="44">
        <f t="shared" si="23"/>
        <v>5.7379564283522554E-2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85" zoomScale="60" workbookViewId="0">
      <selection activeCell="AD58" sqref="AD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'04.08 Nalya-Bweyogerere'!G5:H5</f>
        <v>Signs and Symbols</v>
      </c>
      <c r="H5" s="65"/>
      <c r="I5" s="14"/>
      <c r="J5" s="2" t="s">
        <v>5</v>
      </c>
      <c r="K5" s="64" t="str">
        <f>'04.08 Nalya-Bweyogerere'!K5:L5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'04.08 Nalya-Bweyogerere'!D6:E6</f>
        <v>Naalya</v>
      </c>
      <c r="E6" s="65"/>
      <c r="F6" s="2" t="s">
        <v>2</v>
      </c>
      <c r="G6" s="64" t="str">
        <f>'04.08 Nalya-Bweyogerere'!G6:H6</f>
        <v>Bweyogerere</v>
      </c>
      <c r="H6" s="65"/>
      <c r="J6" s="2" t="s">
        <v>21</v>
      </c>
      <c r="K6" s="64" t="str">
        <f>'04.08 Nalya-Bweyogerere'!K6:L6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Nalya-Bweyogerere'!C10,'30.07 Nalya-Bweyogerere'!C10,'31.07 Nalya-Bweyogerere'!C10,'02.08 Nalya-Bweyogerere'!C10,'01.08 Nalya-Bweyogerere-24h'!C10,'03.08 Nalya-Bweyogerere-24h'!C10,'04.08 Nalya-Bweyogerere'!C10)</f>
        <v>16.428571428571427</v>
      </c>
      <c r="D10" s="49">
        <f>AVERAGE('29.07 Nalya-Bweyogerere'!D10,'30.07 Nalya-Bweyogerere'!D10,'31.07 Nalya-Bweyogerere'!D10,'02.08 Nalya-Bweyogerere'!D10,'01.08 Nalya-Bweyogerere-24h'!D10,'03.08 Nalya-Bweyogerere-24h'!D10,'04.08 Nalya-Bweyogerere'!D10)</f>
        <v>5.8571428571428568</v>
      </c>
      <c r="E10" s="49">
        <f>AVERAGE('29.07 Nalya-Bweyogerere'!E10,'30.07 Nalya-Bweyogerere'!E10,'31.07 Nalya-Bweyogerere'!E10,'02.08 Nalya-Bweyogerere'!E10,'01.08 Nalya-Bweyogerere-24h'!E10,'03.08 Nalya-Bweyogerere-24h'!E10,'04.08 Nalya-Bweyogerere'!E10)</f>
        <v>3.1428571428571428</v>
      </c>
      <c r="F10" s="49">
        <f>AVERAGE('29.07 Nalya-Bweyogerere'!F10,'30.07 Nalya-Bweyogerere'!F10,'31.07 Nalya-Bweyogerere'!F10,'02.08 Nalya-Bweyogerere'!F10,'01.08 Nalya-Bweyogerere-24h'!F10,'03.08 Nalya-Bweyogerere-24h'!F10,'04.08 Nalya-Bweyogerere'!F10)</f>
        <v>22.857142857142858</v>
      </c>
      <c r="G10" s="49">
        <f>AVERAGE('29.07 Nalya-Bweyogerere'!G10,'30.07 Nalya-Bweyogerere'!G10,'31.07 Nalya-Bweyogerere'!G10,'02.08 Nalya-Bweyogerere'!G10,'01.08 Nalya-Bweyogerere-24h'!G10,'03.08 Nalya-Bweyogerere-24h'!G10,'04.08 Nalya-Bweyogerere'!G10)</f>
        <v>0.5714285714285714</v>
      </c>
      <c r="H10" s="49">
        <f>AVERAGE('29.07 Nalya-Bweyogerere'!H10,'30.07 Nalya-Bweyogerere'!H10,'31.07 Nalya-Bweyogerere'!H10,'02.08 Nalya-Bweyogerere'!H10,'01.08 Nalya-Bweyogerere-24h'!H10,'03.08 Nalya-Bweyogerere-24h'!H10,'04.08 Nalya-Bweyogerere'!H10)</f>
        <v>0</v>
      </c>
      <c r="I10" s="49">
        <f>AVERAGE('29.07 Nalya-Bweyogerere'!I10,'30.07 Nalya-Bweyogerere'!I10,'31.07 Nalya-Bweyogerere'!I10,'02.08 Nalya-Bweyogerere'!I10,'01.08 Nalya-Bweyogerere-24h'!I10,'03.08 Nalya-Bweyogerere-24h'!I10,'04.08 Nalya-Bweyogerere'!I10)</f>
        <v>4</v>
      </c>
      <c r="J10" s="49">
        <f>AVERAGE('29.07 Nalya-Bweyogerere'!J10,'30.07 Nalya-Bweyogerere'!J10,'31.07 Nalya-Bweyogerere'!J10,'02.08 Nalya-Bweyogerere'!J10,'01.08 Nalya-Bweyogerere-24h'!J10,'03.08 Nalya-Bweyogerere-24h'!J10,'04.08 Nalya-Bweyogerere'!J10)</f>
        <v>2.8571428571428572</v>
      </c>
      <c r="K10" s="49">
        <f>AVERAGE('29.07 Nalya-Bweyogerere'!K10,'30.07 Nalya-Bweyogerere'!K10,'31.07 Nalya-Bweyogerere'!K10,'02.08 Nalya-Bweyogerere'!K10,'01.08 Nalya-Bweyogerere-24h'!K10,'03.08 Nalya-Bweyogerere-24h'!K10,'04.08 Nalya-Bweyogerere'!K10)</f>
        <v>2.1428571428571428</v>
      </c>
      <c r="L10" s="49">
        <f>AVERAGE('29.07 Nalya-Bweyogerere'!L10,'30.07 Nalya-Bweyogerere'!L10,'31.07 Nalya-Bweyogerere'!L10,'02.08 Nalya-Bweyogerere'!L10,'01.08 Nalya-Bweyogerere-24h'!L10,'03.08 Nalya-Bweyogerere-24h'!L10,'04.08 Nalya-Bweyogerere'!L10)</f>
        <v>1.1428571428571428</v>
      </c>
      <c r="M10" s="49">
        <f>AVERAGE('29.07 Nalya-Bweyogerere'!M10,'30.07 Nalya-Bweyogerere'!M10,'31.07 Nalya-Bweyogerere'!M10,'02.08 Nalya-Bweyogerere'!M10,'01.08 Nalya-Bweyogerere-24h'!M10,'03.08 Nalya-Bweyogerere-24h'!M10,'04.08 Nalya-Bweyogerere'!M10)</f>
        <v>15.571428571428571</v>
      </c>
      <c r="N10" s="49">
        <f>AVERAGE('29.07 Nalya-Bweyogerere'!N10,'30.07 Nalya-Bweyogerere'!N10,'31.07 Nalya-Bweyogerere'!N10,'02.08 Nalya-Bweyogerere'!N10,'01.08 Nalya-Bweyogerere-24h'!N10,'03.08 Nalya-Bweyogerere-24h'!N10,'04.08 Nalya-Bweyogerere'!N10)</f>
        <v>0</v>
      </c>
      <c r="O10" s="15">
        <f t="shared" ref="O10:O58" si="0">SUM(C10:L10,N10)</f>
        <v>59</v>
      </c>
      <c r="P10" s="15">
        <f t="shared" ref="P10:P58" si="1">SUM(C10:N10)</f>
        <v>74.571428571428569</v>
      </c>
      <c r="R10" s="1" t="s">
        <v>6</v>
      </c>
      <c r="S10" s="17">
        <f t="shared" ref="S10:AF10" si="2">SUM(C10:C13)</f>
        <v>74.142857142857139</v>
      </c>
      <c r="T10" s="17">
        <f t="shared" si="2"/>
        <v>27.571428571428569</v>
      </c>
      <c r="U10" s="17">
        <f t="shared" si="2"/>
        <v>18.285714285714285</v>
      </c>
      <c r="V10" s="17">
        <f t="shared" si="2"/>
        <v>103.71428571428571</v>
      </c>
      <c r="W10" s="17">
        <f t="shared" si="2"/>
        <v>2.9999999999999996</v>
      </c>
      <c r="X10" s="17">
        <f t="shared" si="2"/>
        <v>0.2857142857142857</v>
      </c>
      <c r="Y10" s="17">
        <f t="shared" si="2"/>
        <v>16</v>
      </c>
      <c r="Z10" s="17">
        <f t="shared" si="2"/>
        <v>10.857142857142856</v>
      </c>
      <c r="AA10" s="17">
        <f t="shared" si="2"/>
        <v>10.428571428571429</v>
      </c>
      <c r="AB10" s="17">
        <f t="shared" si="2"/>
        <v>7.1428571428571432</v>
      </c>
      <c r="AC10" s="17">
        <f t="shared" si="2"/>
        <v>98.714285714285722</v>
      </c>
      <c r="AD10" s="17">
        <f t="shared" si="2"/>
        <v>0</v>
      </c>
      <c r="AE10" s="31">
        <f t="shared" si="2"/>
        <v>271.42857142857144</v>
      </c>
      <c r="AF10" s="31">
        <f t="shared" si="2"/>
        <v>370.14285714285717</v>
      </c>
    </row>
    <row r="11" spans="2:32" s="6" customFormat="1" ht="23.1" customHeight="1" x14ac:dyDescent="0.25">
      <c r="B11" s="23" t="s">
        <v>38</v>
      </c>
      <c r="C11" s="49">
        <f>AVERAGE('29.07 Nalya-Bweyogerere'!C11,'30.07 Nalya-Bweyogerere'!C11,'31.07 Nalya-Bweyogerere'!C11,'02.08 Nalya-Bweyogerere'!C11,'01.08 Nalya-Bweyogerere-24h'!C11,'03.08 Nalya-Bweyogerere-24h'!C11,'04.08 Nalya-Bweyogerere'!C11)</f>
        <v>14.571428571428571</v>
      </c>
      <c r="D11" s="49">
        <f>AVERAGE('29.07 Nalya-Bweyogerere'!D11,'30.07 Nalya-Bweyogerere'!D11,'31.07 Nalya-Bweyogerere'!D11,'02.08 Nalya-Bweyogerere'!D11,'01.08 Nalya-Bweyogerere-24h'!D11,'03.08 Nalya-Bweyogerere-24h'!D11,'04.08 Nalya-Bweyogerere'!D11)</f>
        <v>6.1428571428571432</v>
      </c>
      <c r="E11" s="49">
        <f>AVERAGE('29.07 Nalya-Bweyogerere'!E11,'30.07 Nalya-Bweyogerere'!E11,'31.07 Nalya-Bweyogerere'!E11,'02.08 Nalya-Bweyogerere'!E11,'01.08 Nalya-Bweyogerere-24h'!E11,'03.08 Nalya-Bweyogerere-24h'!E11,'04.08 Nalya-Bweyogerere'!E11)</f>
        <v>5.1428571428571432</v>
      </c>
      <c r="F11" s="49">
        <f>AVERAGE('29.07 Nalya-Bweyogerere'!F11,'30.07 Nalya-Bweyogerere'!F11,'31.07 Nalya-Bweyogerere'!F11,'02.08 Nalya-Bweyogerere'!F11,'01.08 Nalya-Bweyogerere-24h'!F11,'03.08 Nalya-Bweyogerere-24h'!F11,'04.08 Nalya-Bweyogerere'!F11)</f>
        <v>24.142857142857142</v>
      </c>
      <c r="G11" s="49">
        <f>AVERAGE('29.07 Nalya-Bweyogerere'!G11,'30.07 Nalya-Bweyogerere'!G11,'31.07 Nalya-Bweyogerere'!G11,'02.08 Nalya-Bweyogerere'!G11,'01.08 Nalya-Bweyogerere-24h'!G11,'03.08 Nalya-Bweyogerere-24h'!G11,'04.08 Nalya-Bweyogerere'!G11)</f>
        <v>1.1428571428571428</v>
      </c>
      <c r="H11" s="49">
        <f>AVERAGE('29.07 Nalya-Bweyogerere'!H11,'30.07 Nalya-Bweyogerere'!H11,'31.07 Nalya-Bweyogerere'!H11,'02.08 Nalya-Bweyogerere'!H11,'01.08 Nalya-Bweyogerere-24h'!H11,'03.08 Nalya-Bweyogerere-24h'!H11,'04.08 Nalya-Bweyogerere'!H11)</f>
        <v>0</v>
      </c>
      <c r="I11" s="49">
        <f>AVERAGE('29.07 Nalya-Bweyogerere'!I11,'30.07 Nalya-Bweyogerere'!I11,'31.07 Nalya-Bweyogerere'!I11,'02.08 Nalya-Bweyogerere'!I11,'01.08 Nalya-Bweyogerere-24h'!I11,'03.08 Nalya-Bweyogerere-24h'!I11,'04.08 Nalya-Bweyogerere'!I11)</f>
        <v>3.8571428571428572</v>
      </c>
      <c r="J11" s="49">
        <f>AVERAGE('29.07 Nalya-Bweyogerere'!J11,'30.07 Nalya-Bweyogerere'!J11,'31.07 Nalya-Bweyogerere'!J11,'02.08 Nalya-Bweyogerere'!J11,'01.08 Nalya-Bweyogerere-24h'!J11,'03.08 Nalya-Bweyogerere-24h'!J11,'04.08 Nalya-Bweyogerere'!J11)</f>
        <v>3.2857142857142856</v>
      </c>
      <c r="K11" s="49">
        <f>AVERAGE('29.07 Nalya-Bweyogerere'!K11,'30.07 Nalya-Bweyogerere'!K11,'31.07 Nalya-Bweyogerere'!K11,'02.08 Nalya-Bweyogerere'!K11,'01.08 Nalya-Bweyogerere-24h'!K11,'03.08 Nalya-Bweyogerere-24h'!K11,'04.08 Nalya-Bweyogerere'!K11)</f>
        <v>1.8571428571428572</v>
      </c>
      <c r="L11" s="49">
        <f>AVERAGE('29.07 Nalya-Bweyogerere'!L11,'30.07 Nalya-Bweyogerere'!L11,'31.07 Nalya-Bweyogerere'!L11,'02.08 Nalya-Bweyogerere'!L11,'01.08 Nalya-Bweyogerere-24h'!L11,'03.08 Nalya-Bweyogerere-24h'!L11,'04.08 Nalya-Bweyogerere'!L11)</f>
        <v>1.8571428571428572</v>
      </c>
      <c r="M11" s="49">
        <f>AVERAGE('29.07 Nalya-Bweyogerere'!M11,'30.07 Nalya-Bweyogerere'!M11,'31.07 Nalya-Bweyogerere'!M11,'02.08 Nalya-Bweyogerere'!M11,'01.08 Nalya-Bweyogerere-24h'!M11,'03.08 Nalya-Bweyogerere-24h'!M11,'04.08 Nalya-Bweyogerere'!M11)</f>
        <v>25.571428571428573</v>
      </c>
      <c r="N11" s="49">
        <f>AVERAGE('29.07 Nalya-Bweyogerere'!N11,'30.07 Nalya-Bweyogerere'!N11,'31.07 Nalya-Bweyogerere'!N11,'02.08 Nalya-Bweyogerere'!N11,'01.08 Nalya-Bweyogerere-24h'!N11,'03.08 Nalya-Bweyogerere-24h'!N11,'04.08 Nalya-Bweyogerere'!N11)</f>
        <v>0</v>
      </c>
      <c r="O11" s="15">
        <f t="shared" si="0"/>
        <v>61.999999999999993</v>
      </c>
      <c r="P11" s="15">
        <f t="shared" si="1"/>
        <v>87.571428571428569</v>
      </c>
      <c r="R11" s="1" t="s">
        <v>7</v>
      </c>
      <c r="S11" s="17">
        <f t="shared" ref="S11:AF11" si="3">SUM(C14:C17)</f>
        <v>81.142857142857139</v>
      </c>
      <c r="T11" s="17">
        <f t="shared" si="3"/>
        <v>43.857142857142854</v>
      </c>
      <c r="U11" s="17">
        <f t="shared" si="3"/>
        <v>16.142857142857142</v>
      </c>
      <c r="V11" s="17">
        <f t="shared" si="3"/>
        <v>119.71428571428571</v>
      </c>
      <c r="W11" s="17">
        <f t="shared" si="3"/>
        <v>1.2857142857142856</v>
      </c>
      <c r="X11" s="17">
        <f t="shared" si="3"/>
        <v>0.2857142857142857</v>
      </c>
      <c r="Y11" s="17">
        <f t="shared" si="3"/>
        <v>16.571428571428573</v>
      </c>
      <c r="Z11" s="17">
        <f t="shared" si="3"/>
        <v>10.142857142857142</v>
      </c>
      <c r="AA11" s="17">
        <f t="shared" si="3"/>
        <v>11</v>
      </c>
      <c r="AB11" s="17">
        <f t="shared" si="3"/>
        <v>7.1428571428571432</v>
      </c>
      <c r="AC11" s="17">
        <f t="shared" si="3"/>
        <v>128.85714285714289</v>
      </c>
      <c r="AD11" s="17">
        <f t="shared" si="3"/>
        <v>0</v>
      </c>
      <c r="AE11" s="31">
        <f t="shared" si="3"/>
        <v>307.28571428571428</v>
      </c>
      <c r="AF11" s="31">
        <f t="shared" si="3"/>
        <v>436.14285714285711</v>
      </c>
    </row>
    <row r="12" spans="2:32" ht="23.1" customHeight="1" x14ac:dyDescent="0.25">
      <c r="B12" s="23" t="s">
        <v>39</v>
      </c>
      <c r="C12" s="49">
        <f>AVERAGE('29.07 Nalya-Bweyogerere'!C12,'30.07 Nalya-Bweyogerere'!C12,'31.07 Nalya-Bweyogerere'!C12,'02.08 Nalya-Bweyogerere'!C12,'01.08 Nalya-Bweyogerere-24h'!C12,'03.08 Nalya-Bweyogerere-24h'!C12,'04.08 Nalya-Bweyogerere'!C12)</f>
        <v>21.857142857142858</v>
      </c>
      <c r="D12" s="49">
        <f>AVERAGE('29.07 Nalya-Bweyogerere'!D12,'30.07 Nalya-Bweyogerere'!D12,'31.07 Nalya-Bweyogerere'!D12,'02.08 Nalya-Bweyogerere'!D12,'01.08 Nalya-Bweyogerere-24h'!D12,'03.08 Nalya-Bweyogerere-24h'!D12,'04.08 Nalya-Bweyogerere'!D12)</f>
        <v>8.2857142857142865</v>
      </c>
      <c r="E12" s="49">
        <f>AVERAGE('29.07 Nalya-Bweyogerere'!E12,'30.07 Nalya-Bweyogerere'!E12,'31.07 Nalya-Bweyogerere'!E12,'02.08 Nalya-Bweyogerere'!E12,'01.08 Nalya-Bweyogerere-24h'!E12,'03.08 Nalya-Bweyogerere-24h'!E12,'04.08 Nalya-Bweyogerere'!E12)</f>
        <v>6.5714285714285712</v>
      </c>
      <c r="F12" s="49">
        <f>AVERAGE('29.07 Nalya-Bweyogerere'!F12,'30.07 Nalya-Bweyogerere'!F12,'31.07 Nalya-Bweyogerere'!F12,'02.08 Nalya-Bweyogerere'!F12,'01.08 Nalya-Bweyogerere-24h'!F12,'03.08 Nalya-Bweyogerere-24h'!F12,'04.08 Nalya-Bweyogerere'!F12)</f>
        <v>25.571428571428573</v>
      </c>
      <c r="G12" s="49">
        <f>AVERAGE('29.07 Nalya-Bweyogerere'!G12,'30.07 Nalya-Bweyogerere'!G12,'31.07 Nalya-Bweyogerere'!G12,'02.08 Nalya-Bweyogerere'!G12,'01.08 Nalya-Bweyogerere-24h'!G12,'03.08 Nalya-Bweyogerere-24h'!G12,'04.08 Nalya-Bweyogerere'!G12)</f>
        <v>0.8571428571428571</v>
      </c>
      <c r="H12" s="49">
        <f>AVERAGE('29.07 Nalya-Bweyogerere'!H12,'30.07 Nalya-Bweyogerere'!H12,'31.07 Nalya-Bweyogerere'!H12,'02.08 Nalya-Bweyogerere'!H12,'01.08 Nalya-Bweyogerere-24h'!H12,'03.08 Nalya-Bweyogerere-24h'!H12,'04.08 Nalya-Bweyogerere'!H12)</f>
        <v>0.14285714285714285</v>
      </c>
      <c r="I12" s="49">
        <f>AVERAGE('29.07 Nalya-Bweyogerere'!I12,'30.07 Nalya-Bweyogerere'!I12,'31.07 Nalya-Bweyogerere'!I12,'02.08 Nalya-Bweyogerere'!I12,'01.08 Nalya-Bweyogerere-24h'!I12,'03.08 Nalya-Bweyogerere-24h'!I12,'04.08 Nalya-Bweyogerere'!I12)</f>
        <v>4.4285714285714288</v>
      </c>
      <c r="J12" s="49">
        <f>AVERAGE('29.07 Nalya-Bweyogerere'!J12,'30.07 Nalya-Bweyogerere'!J12,'31.07 Nalya-Bweyogerere'!J12,'02.08 Nalya-Bweyogerere'!J12,'01.08 Nalya-Bweyogerere-24h'!J12,'03.08 Nalya-Bweyogerere-24h'!J12,'04.08 Nalya-Bweyogerere'!J12)</f>
        <v>1.5714285714285714</v>
      </c>
      <c r="K12" s="49">
        <f>AVERAGE('29.07 Nalya-Bweyogerere'!K12,'30.07 Nalya-Bweyogerere'!K12,'31.07 Nalya-Bweyogerere'!K12,'02.08 Nalya-Bweyogerere'!K12,'01.08 Nalya-Bweyogerere-24h'!K12,'03.08 Nalya-Bweyogerere-24h'!K12,'04.08 Nalya-Bweyogerere'!K12)</f>
        <v>3</v>
      </c>
      <c r="L12" s="49">
        <f>AVERAGE('29.07 Nalya-Bweyogerere'!L12,'30.07 Nalya-Bweyogerere'!L12,'31.07 Nalya-Bweyogerere'!L12,'02.08 Nalya-Bweyogerere'!L12,'01.08 Nalya-Bweyogerere-24h'!L12,'03.08 Nalya-Bweyogerere-24h'!L12,'04.08 Nalya-Bweyogerere'!L12)</f>
        <v>1.8571428571428572</v>
      </c>
      <c r="M12" s="49">
        <f>AVERAGE('29.07 Nalya-Bweyogerere'!M12,'30.07 Nalya-Bweyogerere'!M12,'31.07 Nalya-Bweyogerere'!M12,'02.08 Nalya-Bweyogerere'!M12,'01.08 Nalya-Bweyogerere-24h'!M12,'03.08 Nalya-Bweyogerere-24h'!M12,'04.08 Nalya-Bweyogerere'!M12)</f>
        <v>27.857142857142858</v>
      </c>
      <c r="N12" s="49">
        <f>AVERAGE('29.07 Nalya-Bweyogerere'!N12,'30.07 Nalya-Bweyogerere'!N12,'31.07 Nalya-Bweyogerere'!N12,'02.08 Nalya-Bweyogerere'!N12,'01.08 Nalya-Bweyogerere-24h'!N12,'03.08 Nalya-Bweyogerere-24h'!N12,'04.08 Nalya-Bweyogerere'!N12)</f>
        <v>0</v>
      </c>
      <c r="O12" s="15">
        <f t="shared" si="0"/>
        <v>74.142857142857153</v>
      </c>
      <c r="P12" s="15">
        <f t="shared" si="1"/>
        <v>102.00000000000001</v>
      </c>
      <c r="R12" s="1" t="s">
        <v>8</v>
      </c>
      <c r="S12" s="17">
        <f t="shared" ref="S12:AF12" si="4">SUM(C18:C21)</f>
        <v>69.142857142857139</v>
      </c>
      <c r="T12" s="17">
        <f t="shared" si="4"/>
        <v>33.428571428571431</v>
      </c>
      <c r="U12" s="17">
        <f t="shared" si="4"/>
        <v>14.571428571428573</v>
      </c>
      <c r="V12" s="17">
        <f t="shared" si="4"/>
        <v>105.42857142857142</v>
      </c>
      <c r="W12" s="17">
        <f t="shared" si="4"/>
        <v>1.4285714285714284</v>
      </c>
      <c r="X12" s="17">
        <f t="shared" si="4"/>
        <v>0</v>
      </c>
      <c r="Y12" s="17">
        <f t="shared" si="4"/>
        <v>18.142857142857142</v>
      </c>
      <c r="Z12" s="17">
        <f t="shared" si="4"/>
        <v>12.142857142857142</v>
      </c>
      <c r="AA12" s="17">
        <f t="shared" si="4"/>
        <v>15.142857142857142</v>
      </c>
      <c r="AB12" s="17">
        <f t="shared" si="4"/>
        <v>8.8571428571428577</v>
      </c>
      <c r="AC12" s="17">
        <f t="shared" si="4"/>
        <v>151</v>
      </c>
      <c r="AD12" s="17">
        <f t="shared" si="4"/>
        <v>0.14285714285714285</v>
      </c>
      <c r="AE12" s="31">
        <f t="shared" si="4"/>
        <v>278.42857142857144</v>
      </c>
      <c r="AF12" s="31">
        <f t="shared" si="4"/>
        <v>429.42857142857144</v>
      </c>
    </row>
    <row r="13" spans="2:32" ht="23.1" customHeight="1" x14ac:dyDescent="0.25">
      <c r="B13" s="23" t="s">
        <v>40</v>
      </c>
      <c r="C13" s="49">
        <f>AVERAGE('29.07 Nalya-Bweyogerere'!C13,'30.07 Nalya-Bweyogerere'!C13,'31.07 Nalya-Bweyogerere'!C13,'02.08 Nalya-Bweyogerere'!C13,'01.08 Nalya-Bweyogerere-24h'!C13,'03.08 Nalya-Bweyogerere-24h'!C13,'04.08 Nalya-Bweyogerere'!C13)</f>
        <v>21.285714285714285</v>
      </c>
      <c r="D13" s="49">
        <f>AVERAGE('29.07 Nalya-Bweyogerere'!D13,'30.07 Nalya-Bweyogerere'!D13,'31.07 Nalya-Bweyogerere'!D13,'02.08 Nalya-Bweyogerere'!D13,'01.08 Nalya-Bweyogerere-24h'!D13,'03.08 Nalya-Bweyogerere-24h'!D13,'04.08 Nalya-Bweyogerere'!D13)</f>
        <v>7.2857142857142856</v>
      </c>
      <c r="E13" s="49">
        <f>AVERAGE('29.07 Nalya-Bweyogerere'!E13,'30.07 Nalya-Bweyogerere'!E13,'31.07 Nalya-Bweyogerere'!E13,'02.08 Nalya-Bweyogerere'!E13,'01.08 Nalya-Bweyogerere-24h'!E13,'03.08 Nalya-Bweyogerere-24h'!E13,'04.08 Nalya-Bweyogerere'!E13)</f>
        <v>3.4285714285714284</v>
      </c>
      <c r="F13" s="49">
        <f>AVERAGE('29.07 Nalya-Bweyogerere'!F13,'30.07 Nalya-Bweyogerere'!F13,'31.07 Nalya-Bweyogerere'!F13,'02.08 Nalya-Bweyogerere'!F13,'01.08 Nalya-Bweyogerere-24h'!F13,'03.08 Nalya-Bweyogerere-24h'!F13,'04.08 Nalya-Bweyogerere'!F13)</f>
        <v>31.142857142857142</v>
      </c>
      <c r="G13" s="49">
        <f>AVERAGE('29.07 Nalya-Bweyogerere'!G13,'30.07 Nalya-Bweyogerere'!G13,'31.07 Nalya-Bweyogerere'!G13,'02.08 Nalya-Bweyogerere'!G13,'01.08 Nalya-Bweyogerere-24h'!G13,'03.08 Nalya-Bweyogerere-24h'!G13,'04.08 Nalya-Bweyogerere'!G13)</f>
        <v>0.42857142857142855</v>
      </c>
      <c r="H13" s="49">
        <f>AVERAGE('29.07 Nalya-Bweyogerere'!H13,'30.07 Nalya-Bweyogerere'!H13,'31.07 Nalya-Bweyogerere'!H13,'02.08 Nalya-Bweyogerere'!H13,'01.08 Nalya-Bweyogerere-24h'!H13,'03.08 Nalya-Bweyogerere-24h'!H13,'04.08 Nalya-Bweyogerere'!H13)</f>
        <v>0.14285714285714285</v>
      </c>
      <c r="I13" s="49">
        <f>AVERAGE('29.07 Nalya-Bweyogerere'!I13,'30.07 Nalya-Bweyogerere'!I13,'31.07 Nalya-Bweyogerere'!I13,'02.08 Nalya-Bweyogerere'!I13,'01.08 Nalya-Bweyogerere-24h'!I13,'03.08 Nalya-Bweyogerere-24h'!I13,'04.08 Nalya-Bweyogerere'!I13)</f>
        <v>3.7142857142857144</v>
      </c>
      <c r="J13" s="49">
        <f>AVERAGE('29.07 Nalya-Bweyogerere'!J13,'30.07 Nalya-Bweyogerere'!J13,'31.07 Nalya-Bweyogerere'!J13,'02.08 Nalya-Bweyogerere'!J13,'01.08 Nalya-Bweyogerere-24h'!J13,'03.08 Nalya-Bweyogerere-24h'!J13,'04.08 Nalya-Bweyogerere'!J13)</f>
        <v>3.1428571428571428</v>
      </c>
      <c r="K13" s="49">
        <f>AVERAGE('29.07 Nalya-Bweyogerere'!K13,'30.07 Nalya-Bweyogerere'!K13,'31.07 Nalya-Bweyogerere'!K13,'02.08 Nalya-Bweyogerere'!K13,'01.08 Nalya-Bweyogerere-24h'!K13,'03.08 Nalya-Bweyogerere-24h'!K13,'04.08 Nalya-Bweyogerere'!K13)</f>
        <v>3.4285714285714284</v>
      </c>
      <c r="L13" s="49">
        <f>AVERAGE('29.07 Nalya-Bweyogerere'!L13,'30.07 Nalya-Bweyogerere'!L13,'31.07 Nalya-Bweyogerere'!L13,'02.08 Nalya-Bweyogerere'!L13,'01.08 Nalya-Bweyogerere-24h'!L13,'03.08 Nalya-Bweyogerere-24h'!L13,'04.08 Nalya-Bweyogerere'!L13)</f>
        <v>2.2857142857142856</v>
      </c>
      <c r="M13" s="49">
        <f>AVERAGE('29.07 Nalya-Bweyogerere'!M13,'30.07 Nalya-Bweyogerere'!M13,'31.07 Nalya-Bweyogerere'!M13,'02.08 Nalya-Bweyogerere'!M13,'01.08 Nalya-Bweyogerere-24h'!M13,'03.08 Nalya-Bweyogerere-24h'!M13,'04.08 Nalya-Bweyogerere'!M13)</f>
        <v>29.714285714285715</v>
      </c>
      <c r="N13" s="49">
        <f>AVERAGE('29.07 Nalya-Bweyogerere'!N13,'30.07 Nalya-Bweyogerere'!N13,'31.07 Nalya-Bweyogerere'!N13,'02.08 Nalya-Bweyogerere'!N13,'01.08 Nalya-Bweyogerere-24h'!N13,'03.08 Nalya-Bweyogerere-24h'!N13,'04.08 Nalya-Bweyogerere'!N13)</f>
        <v>0</v>
      </c>
      <c r="O13" s="15">
        <f t="shared" si="0"/>
        <v>76.285714285714292</v>
      </c>
      <c r="P13" s="15">
        <f t="shared" si="1"/>
        <v>106</v>
      </c>
      <c r="R13" s="1" t="s">
        <v>9</v>
      </c>
      <c r="S13" s="17">
        <f t="shared" ref="S13:AF13" si="5">SUM(C22:C25)</f>
        <v>78.571428571428569</v>
      </c>
      <c r="T13" s="17">
        <f t="shared" si="5"/>
        <v>29.428571428571431</v>
      </c>
      <c r="U13" s="17">
        <f t="shared" si="5"/>
        <v>15.714285714285715</v>
      </c>
      <c r="V13" s="17">
        <f t="shared" si="5"/>
        <v>89.714285714285708</v>
      </c>
      <c r="W13" s="17">
        <f t="shared" si="5"/>
        <v>2</v>
      </c>
      <c r="X13" s="17">
        <f t="shared" si="5"/>
        <v>0.71428571428571419</v>
      </c>
      <c r="Y13" s="17">
        <f t="shared" si="5"/>
        <v>22</v>
      </c>
      <c r="Z13" s="17">
        <f t="shared" si="5"/>
        <v>12.285714285714286</v>
      </c>
      <c r="AA13" s="17">
        <f t="shared" si="5"/>
        <v>16.714285714285715</v>
      </c>
      <c r="AB13" s="17">
        <f t="shared" si="5"/>
        <v>12</v>
      </c>
      <c r="AC13" s="17">
        <f t="shared" si="5"/>
        <v>141.42857142857144</v>
      </c>
      <c r="AD13" s="17">
        <f t="shared" si="5"/>
        <v>0</v>
      </c>
      <c r="AE13" s="31">
        <f t="shared" si="5"/>
        <v>279.14285714285717</v>
      </c>
      <c r="AF13" s="31">
        <f t="shared" si="5"/>
        <v>420.57142857142856</v>
      </c>
    </row>
    <row r="14" spans="2:32" ht="23.1" customHeight="1" x14ac:dyDescent="0.25">
      <c r="B14" s="23" t="s">
        <v>41</v>
      </c>
      <c r="C14" s="49">
        <f>AVERAGE('29.07 Nalya-Bweyogerere'!C14,'30.07 Nalya-Bweyogerere'!C14,'31.07 Nalya-Bweyogerere'!C14,'02.08 Nalya-Bweyogerere'!C14,'01.08 Nalya-Bweyogerere-24h'!C14,'03.08 Nalya-Bweyogerere-24h'!C14,'04.08 Nalya-Bweyogerere'!C14)</f>
        <v>22.285714285714285</v>
      </c>
      <c r="D14" s="49">
        <f>AVERAGE('29.07 Nalya-Bweyogerere'!D14,'30.07 Nalya-Bweyogerere'!D14,'31.07 Nalya-Bweyogerere'!D14,'02.08 Nalya-Bweyogerere'!D14,'01.08 Nalya-Bweyogerere-24h'!D14,'03.08 Nalya-Bweyogerere-24h'!D14,'04.08 Nalya-Bweyogerere'!D14)</f>
        <v>11</v>
      </c>
      <c r="E14" s="49">
        <f>AVERAGE('29.07 Nalya-Bweyogerere'!E14,'30.07 Nalya-Bweyogerere'!E14,'31.07 Nalya-Bweyogerere'!E14,'02.08 Nalya-Bweyogerere'!E14,'01.08 Nalya-Bweyogerere-24h'!E14,'03.08 Nalya-Bweyogerere-24h'!E14,'04.08 Nalya-Bweyogerere'!E14)</f>
        <v>4.4285714285714288</v>
      </c>
      <c r="F14" s="49">
        <f>AVERAGE('29.07 Nalya-Bweyogerere'!F14,'30.07 Nalya-Bweyogerere'!F14,'31.07 Nalya-Bweyogerere'!F14,'02.08 Nalya-Bweyogerere'!F14,'01.08 Nalya-Bweyogerere-24h'!F14,'03.08 Nalya-Bweyogerere-24h'!F14,'04.08 Nalya-Bweyogerere'!F14)</f>
        <v>30.714285714285715</v>
      </c>
      <c r="G14" s="49">
        <f>AVERAGE('29.07 Nalya-Bweyogerere'!G14,'30.07 Nalya-Bweyogerere'!G14,'31.07 Nalya-Bweyogerere'!G14,'02.08 Nalya-Bweyogerere'!G14,'01.08 Nalya-Bweyogerere-24h'!G14,'03.08 Nalya-Bweyogerere-24h'!G14,'04.08 Nalya-Bweyogerere'!G14)</f>
        <v>0.5714285714285714</v>
      </c>
      <c r="H14" s="49">
        <f>AVERAGE('29.07 Nalya-Bweyogerere'!H14,'30.07 Nalya-Bweyogerere'!H14,'31.07 Nalya-Bweyogerere'!H14,'02.08 Nalya-Bweyogerere'!H14,'01.08 Nalya-Bweyogerere-24h'!H14,'03.08 Nalya-Bweyogerere-24h'!H14,'04.08 Nalya-Bweyogerere'!H14)</f>
        <v>0.14285714285714285</v>
      </c>
      <c r="I14" s="49">
        <f>AVERAGE('29.07 Nalya-Bweyogerere'!I14,'30.07 Nalya-Bweyogerere'!I14,'31.07 Nalya-Bweyogerere'!I14,'02.08 Nalya-Bweyogerere'!I14,'01.08 Nalya-Bweyogerere-24h'!I14,'03.08 Nalya-Bweyogerere-24h'!I14,'04.08 Nalya-Bweyogerere'!I14)</f>
        <v>3.5714285714285716</v>
      </c>
      <c r="J14" s="49">
        <f>AVERAGE('29.07 Nalya-Bweyogerere'!J14,'30.07 Nalya-Bweyogerere'!J14,'31.07 Nalya-Bweyogerere'!J14,'02.08 Nalya-Bweyogerere'!J14,'01.08 Nalya-Bweyogerere-24h'!J14,'03.08 Nalya-Bweyogerere-24h'!J14,'04.08 Nalya-Bweyogerere'!J14)</f>
        <v>2.1428571428571428</v>
      </c>
      <c r="K14" s="49">
        <f>AVERAGE('29.07 Nalya-Bweyogerere'!K14,'30.07 Nalya-Bweyogerere'!K14,'31.07 Nalya-Bweyogerere'!K14,'02.08 Nalya-Bweyogerere'!K14,'01.08 Nalya-Bweyogerere-24h'!K14,'03.08 Nalya-Bweyogerere-24h'!K14,'04.08 Nalya-Bweyogerere'!K14)</f>
        <v>3.1428571428571428</v>
      </c>
      <c r="L14" s="49">
        <f>AVERAGE('29.07 Nalya-Bweyogerere'!L14,'30.07 Nalya-Bweyogerere'!L14,'31.07 Nalya-Bweyogerere'!L14,'02.08 Nalya-Bweyogerere'!L14,'01.08 Nalya-Bweyogerere-24h'!L14,'03.08 Nalya-Bweyogerere-24h'!L14,'04.08 Nalya-Bweyogerere'!L14)</f>
        <v>2.1428571428571428</v>
      </c>
      <c r="M14" s="49">
        <f>AVERAGE('29.07 Nalya-Bweyogerere'!M14,'30.07 Nalya-Bweyogerere'!M14,'31.07 Nalya-Bweyogerere'!M14,'02.08 Nalya-Bweyogerere'!M14,'01.08 Nalya-Bweyogerere-24h'!M14,'03.08 Nalya-Bweyogerere-24h'!M14,'04.08 Nalya-Bweyogerere'!M14)</f>
        <v>33.428571428571431</v>
      </c>
      <c r="N14" s="49">
        <f>AVERAGE('29.07 Nalya-Bweyogerere'!N14,'30.07 Nalya-Bweyogerere'!N14,'31.07 Nalya-Bweyogerere'!N14,'02.08 Nalya-Bweyogerere'!N14,'01.08 Nalya-Bweyogerere-24h'!N14,'03.08 Nalya-Bweyogerere-24h'!N14,'04.08 Nalya-Bweyogerere'!N14)</f>
        <v>0</v>
      </c>
      <c r="O14" s="15">
        <f t="shared" si="0"/>
        <v>80.142857142857125</v>
      </c>
      <c r="P14" s="15">
        <f t="shared" si="1"/>
        <v>113.57142857142856</v>
      </c>
      <c r="R14" s="1" t="s">
        <v>10</v>
      </c>
      <c r="S14" s="17">
        <f t="shared" ref="S14:AF14" si="6">SUM(C26:C29)</f>
        <v>70.714285714285722</v>
      </c>
      <c r="T14" s="17">
        <f t="shared" si="6"/>
        <v>30.142857142857142</v>
      </c>
      <c r="U14" s="17">
        <f t="shared" si="6"/>
        <v>14.714285714285714</v>
      </c>
      <c r="V14" s="17">
        <f t="shared" si="6"/>
        <v>90.142857142857139</v>
      </c>
      <c r="W14" s="17">
        <f t="shared" si="6"/>
        <v>0.99999999999999989</v>
      </c>
      <c r="X14" s="17">
        <f t="shared" si="6"/>
        <v>0.14285714285714285</v>
      </c>
      <c r="Y14" s="17">
        <f t="shared" si="6"/>
        <v>21.142857142857142</v>
      </c>
      <c r="Z14" s="17">
        <f t="shared" si="6"/>
        <v>15.142857142857142</v>
      </c>
      <c r="AA14" s="17">
        <f t="shared" si="6"/>
        <v>15.714285714285715</v>
      </c>
      <c r="AB14" s="17">
        <f t="shared" si="6"/>
        <v>17.571428571428573</v>
      </c>
      <c r="AC14" s="17">
        <f t="shared" si="6"/>
        <v>147.71428571428572</v>
      </c>
      <c r="AD14" s="17">
        <f t="shared" si="6"/>
        <v>0</v>
      </c>
      <c r="AE14" s="31">
        <f t="shared" si="6"/>
        <v>276.42857142857139</v>
      </c>
      <c r="AF14" s="31">
        <f t="shared" si="6"/>
        <v>424.14285714285711</v>
      </c>
    </row>
    <row r="15" spans="2:32" ht="23.1" customHeight="1" x14ac:dyDescent="0.25">
      <c r="B15" s="23" t="s">
        <v>42</v>
      </c>
      <c r="C15" s="49">
        <f>AVERAGE('29.07 Nalya-Bweyogerere'!C15,'30.07 Nalya-Bweyogerere'!C15,'31.07 Nalya-Bweyogerere'!C15,'02.08 Nalya-Bweyogerere'!C15,'01.08 Nalya-Bweyogerere-24h'!C15,'03.08 Nalya-Bweyogerere-24h'!C15,'04.08 Nalya-Bweyogerere'!C15)</f>
        <v>22</v>
      </c>
      <c r="D15" s="49">
        <f>AVERAGE('29.07 Nalya-Bweyogerere'!D15,'30.07 Nalya-Bweyogerere'!D15,'31.07 Nalya-Bweyogerere'!D15,'02.08 Nalya-Bweyogerere'!D15,'01.08 Nalya-Bweyogerere-24h'!D15,'03.08 Nalya-Bweyogerere-24h'!D15,'04.08 Nalya-Bweyogerere'!D15)</f>
        <v>12.857142857142858</v>
      </c>
      <c r="E15" s="49">
        <f>AVERAGE('29.07 Nalya-Bweyogerere'!E15,'30.07 Nalya-Bweyogerere'!E15,'31.07 Nalya-Bweyogerere'!E15,'02.08 Nalya-Bweyogerere'!E15,'01.08 Nalya-Bweyogerere-24h'!E15,'03.08 Nalya-Bweyogerere-24h'!E15,'04.08 Nalya-Bweyogerere'!E15)</f>
        <v>5</v>
      </c>
      <c r="F15" s="49">
        <f>AVERAGE('29.07 Nalya-Bweyogerere'!F15,'30.07 Nalya-Bweyogerere'!F15,'31.07 Nalya-Bweyogerere'!F15,'02.08 Nalya-Bweyogerere'!F15,'01.08 Nalya-Bweyogerere-24h'!F15,'03.08 Nalya-Bweyogerere-24h'!F15,'04.08 Nalya-Bweyogerere'!F15)</f>
        <v>33</v>
      </c>
      <c r="G15" s="49">
        <f>AVERAGE('29.07 Nalya-Bweyogerere'!G15,'30.07 Nalya-Bweyogerere'!G15,'31.07 Nalya-Bweyogerere'!G15,'02.08 Nalya-Bweyogerere'!G15,'01.08 Nalya-Bweyogerere-24h'!G15,'03.08 Nalya-Bweyogerere-24h'!G15,'04.08 Nalya-Bweyogerere'!G15)</f>
        <v>0.5714285714285714</v>
      </c>
      <c r="H15" s="49">
        <f>AVERAGE('29.07 Nalya-Bweyogerere'!H15,'30.07 Nalya-Bweyogerere'!H15,'31.07 Nalya-Bweyogerere'!H15,'02.08 Nalya-Bweyogerere'!H15,'01.08 Nalya-Bweyogerere-24h'!H15,'03.08 Nalya-Bweyogerere-24h'!H15,'04.08 Nalya-Bweyogerere'!H15)</f>
        <v>0</v>
      </c>
      <c r="I15" s="49">
        <f>AVERAGE('29.07 Nalya-Bweyogerere'!I15,'30.07 Nalya-Bweyogerere'!I15,'31.07 Nalya-Bweyogerere'!I15,'02.08 Nalya-Bweyogerere'!I15,'01.08 Nalya-Bweyogerere-24h'!I15,'03.08 Nalya-Bweyogerere-24h'!I15,'04.08 Nalya-Bweyogerere'!I15)</f>
        <v>5</v>
      </c>
      <c r="J15" s="49">
        <f>AVERAGE('29.07 Nalya-Bweyogerere'!J15,'30.07 Nalya-Bweyogerere'!J15,'31.07 Nalya-Bweyogerere'!J15,'02.08 Nalya-Bweyogerere'!J15,'01.08 Nalya-Bweyogerere-24h'!J15,'03.08 Nalya-Bweyogerere-24h'!J15,'04.08 Nalya-Bweyogerere'!J15)</f>
        <v>2.8571428571428572</v>
      </c>
      <c r="K15" s="49">
        <f>AVERAGE('29.07 Nalya-Bweyogerere'!K15,'30.07 Nalya-Bweyogerere'!K15,'31.07 Nalya-Bweyogerere'!K15,'02.08 Nalya-Bweyogerere'!K15,'01.08 Nalya-Bweyogerere-24h'!K15,'03.08 Nalya-Bweyogerere-24h'!K15,'04.08 Nalya-Bweyogerere'!K15)</f>
        <v>2</v>
      </c>
      <c r="L15" s="49">
        <f>AVERAGE('29.07 Nalya-Bweyogerere'!L15,'30.07 Nalya-Bweyogerere'!L15,'31.07 Nalya-Bweyogerere'!L15,'02.08 Nalya-Bweyogerere'!L15,'01.08 Nalya-Bweyogerere-24h'!L15,'03.08 Nalya-Bweyogerere-24h'!L15,'04.08 Nalya-Bweyogerere'!L15)</f>
        <v>2.2857142857142856</v>
      </c>
      <c r="M15" s="49">
        <f>AVERAGE('29.07 Nalya-Bweyogerere'!M15,'30.07 Nalya-Bweyogerere'!M15,'31.07 Nalya-Bweyogerere'!M15,'02.08 Nalya-Bweyogerere'!M15,'01.08 Nalya-Bweyogerere-24h'!M15,'03.08 Nalya-Bweyogerere-24h'!M15,'04.08 Nalya-Bweyogerere'!M15)</f>
        <v>32.142857142857146</v>
      </c>
      <c r="N15" s="49">
        <f>AVERAGE('29.07 Nalya-Bweyogerere'!N15,'30.07 Nalya-Bweyogerere'!N15,'31.07 Nalya-Bweyogerere'!N15,'02.08 Nalya-Bweyogerere'!N15,'01.08 Nalya-Bweyogerere-24h'!N15,'03.08 Nalya-Bweyogerere-24h'!N15,'04.08 Nalya-Bweyogerere'!N15)</f>
        <v>0</v>
      </c>
      <c r="O15" s="15">
        <f t="shared" si="0"/>
        <v>85.571428571428584</v>
      </c>
      <c r="P15" s="15">
        <f t="shared" si="1"/>
        <v>117.71428571428572</v>
      </c>
      <c r="R15" s="1" t="s">
        <v>11</v>
      </c>
      <c r="S15" s="17">
        <f t="shared" ref="S15:AF15" si="7">SUM(C30:C33)</f>
        <v>72</v>
      </c>
      <c r="T15" s="17">
        <f t="shared" si="7"/>
        <v>26.714285714285715</v>
      </c>
      <c r="U15" s="17">
        <f t="shared" si="7"/>
        <v>13.142857142857142</v>
      </c>
      <c r="V15" s="17">
        <f t="shared" si="7"/>
        <v>81.428571428571416</v>
      </c>
      <c r="W15" s="17">
        <f t="shared" si="7"/>
        <v>0.71428571428571419</v>
      </c>
      <c r="X15" s="17">
        <f t="shared" si="7"/>
        <v>0.14285714285714285</v>
      </c>
      <c r="Y15" s="17">
        <f t="shared" si="7"/>
        <v>18.428571428571427</v>
      </c>
      <c r="Z15" s="17">
        <f t="shared" si="7"/>
        <v>11.857142857142858</v>
      </c>
      <c r="AA15" s="17">
        <f t="shared" si="7"/>
        <v>14.571428571428571</v>
      </c>
      <c r="AB15" s="17">
        <f t="shared" si="7"/>
        <v>23.285714285714288</v>
      </c>
      <c r="AC15" s="17">
        <f t="shared" si="7"/>
        <v>148.71428571428572</v>
      </c>
      <c r="AD15" s="17">
        <f t="shared" si="7"/>
        <v>0</v>
      </c>
      <c r="AE15" s="31">
        <f t="shared" si="7"/>
        <v>262.28571428571433</v>
      </c>
      <c r="AF15" s="31">
        <f t="shared" si="7"/>
        <v>411</v>
      </c>
    </row>
    <row r="16" spans="2:32" ht="23.1" customHeight="1" x14ac:dyDescent="0.25">
      <c r="B16" s="23" t="s">
        <v>43</v>
      </c>
      <c r="C16" s="49">
        <f>AVERAGE('29.07 Nalya-Bweyogerere'!C16,'30.07 Nalya-Bweyogerere'!C16,'31.07 Nalya-Bweyogerere'!C16,'02.08 Nalya-Bweyogerere'!C16,'01.08 Nalya-Bweyogerere-24h'!C16,'03.08 Nalya-Bweyogerere-24h'!C16,'04.08 Nalya-Bweyogerere'!C16)</f>
        <v>18.428571428571427</v>
      </c>
      <c r="D16" s="49">
        <f>AVERAGE('29.07 Nalya-Bweyogerere'!D16,'30.07 Nalya-Bweyogerere'!D16,'31.07 Nalya-Bweyogerere'!D16,'02.08 Nalya-Bweyogerere'!D16,'01.08 Nalya-Bweyogerere-24h'!D16,'03.08 Nalya-Bweyogerere-24h'!D16,'04.08 Nalya-Bweyogerere'!D16)</f>
        <v>11.714285714285714</v>
      </c>
      <c r="E16" s="49">
        <f>AVERAGE('29.07 Nalya-Bweyogerere'!E16,'30.07 Nalya-Bweyogerere'!E16,'31.07 Nalya-Bweyogerere'!E16,'02.08 Nalya-Bweyogerere'!E16,'01.08 Nalya-Bweyogerere-24h'!E16,'03.08 Nalya-Bweyogerere-24h'!E16,'04.08 Nalya-Bweyogerere'!E16)</f>
        <v>3.5714285714285716</v>
      </c>
      <c r="F16" s="49">
        <f>AVERAGE('29.07 Nalya-Bweyogerere'!F16,'30.07 Nalya-Bweyogerere'!F16,'31.07 Nalya-Bweyogerere'!F16,'02.08 Nalya-Bweyogerere'!F16,'01.08 Nalya-Bweyogerere-24h'!F16,'03.08 Nalya-Bweyogerere-24h'!F16,'04.08 Nalya-Bweyogerere'!F16)</f>
        <v>26.857142857142858</v>
      </c>
      <c r="G16" s="49">
        <f>AVERAGE('29.07 Nalya-Bweyogerere'!G16,'30.07 Nalya-Bweyogerere'!G16,'31.07 Nalya-Bweyogerere'!G16,'02.08 Nalya-Bweyogerere'!G16,'01.08 Nalya-Bweyogerere-24h'!G16,'03.08 Nalya-Bweyogerere-24h'!G16,'04.08 Nalya-Bweyogerere'!G16)</f>
        <v>0.14285714285714285</v>
      </c>
      <c r="H16" s="49">
        <f>AVERAGE('29.07 Nalya-Bweyogerere'!H16,'30.07 Nalya-Bweyogerere'!H16,'31.07 Nalya-Bweyogerere'!H16,'02.08 Nalya-Bweyogerere'!H16,'01.08 Nalya-Bweyogerere-24h'!H16,'03.08 Nalya-Bweyogerere-24h'!H16,'04.08 Nalya-Bweyogerere'!H16)</f>
        <v>0</v>
      </c>
      <c r="I16" s="49">
        <f>AVERAGE('29.07 Nalya-Bweyogerere'!I16,'30.07 Nalya-Bweyogerere'!I16,'31.07 Nalya-Bweyogerere'!I16,'02.08 Nalya-Bweyogerere'!I16,'01.08 Nalya-Bweyogerere-24h'!I16,'03.08 Nalya-Bweyogerere-24h'!I16,'04.08 Nalya-Bweyogerere'!I16)</f>
        <v>4.4285714285714288</v>
      </c>
      <c r="J16" s="49">
        <f>AVERAGE('29.07 Nalya-Bweyogerere'!J16,'30.07 Nalya-Bweyogerere'!J16,'31.07 Nalya-Bweyogerere'!J16,'02.08 Nalya-Bweyogerere'!J16,'01.08 Nalya-Bweyogerere-24h'!J16,'03.08 Nalya-Bweyogerere-24h'!J16,'04.08 Nalya-Bweyogerere'!J16)</f>
        <v>2.4285714285714284</v>
      </c>
      <c r="K16" s="49">
        <f>AVERAGE('29.07 Nalya-Bweyogerere'!K16,'30.07 Nalya-Bweyogerere'!K16,'31.07 Nalya-Bweyogerere'!K16,'02.08 Nalya-Bweyogerere'!K16,'01.08 Nalya-Bweyogerere-24h'!K16,'03.08 Nalya-Bweyogerere-24h'!K16,'04.08 Nalya-Bweyogerere'!K16)</f>
        <v>2.1428571428571428</v>
      </c>
      <c r="L16" s="49">
        <f>AVERAGE('29.07 Nalya-Bweyogerere'!L16,'30.07 Nalya-Bweyogerere'!L16,'31.07 Nalya-Bweyogerere'!L16,'02.08 Nalya-Bweyogerere'!L16,'01.08 Nalya-Bweyogerere-24h'!L16,'03.08 Nalya-Bweyogerere-24h'!L16,'04.08 Nalya-Bweyogerere'!L16)</f>
        <v>1</v>
      </c>
      <c r="M16" s="49">
        <f>AVERAGE('29.07 Nalya-Bweyogerere'!M16,'30.07 Nalya-Bweyogerere'!M16,'31.07 Nalya-Bweyogerere'!M16,'02.08 Nalya-Bweyogerere'!M16,'01.08 Nalya-Bweyogerere-24h'!M16,'03.08 Nalya-Bweyogerere-24h'!M16,'04.08 Nalya-Bweyogerere'!M16)</f>
        <v>30.857142857142858</v>
      </c>
      <c r="N16" s="49">
        <f>AVERAGE('29.07 Nalya-Bweyogerere'!N16,'30.07 Nalya-Bweyogerere'!N16,'31.07 Nalya-Bweyogerere'!N16,'02.08 Nalya-Bweyogerere'!N16,'01.08 Nalya-Bweyogerere-24h'!N16,'03.08 Nalya-Bweyogerere-24h'!N16,'04.08 Nalya-Bweyogerere'!N16)</f>
        <v>0</v>
      </c>
      <c r="O16" s="15">
        <f t="shared" si="0"/>
        <v>70.714285714285708</v>
      </c>
      <c r="P16" s="15">
        <f t="shared" si="1"/>
        <v>101.57142857142857</v>
      </c>
      <c r="R16" s="1" t="s">
        <v>12</v>
      </c>
      <c r="S16" s="17">
        <f t="shared" ref="S16:AF16" si="8">SUM(C34:C37)</f>
        <v>74.142857142857139</v>
      </c>
      <c r="T16" s="17">
        <f t="shared" si="8"/>
        <v>32.571428571428569</v>
      </c>
      <c r="U16" s="17">
        <f t="shared" si="8"/>
        <v>13.428571428571429</v>
      </c>
      <c r="V16" s="17">
        <f t="shared" si="8"/>
        <v>83.428571428571431</v>
      </c>
      <c r="W16" s="17">
        <f t="shared" si="8"/>
        <v>1</v>
      </c>
      <c r="X16" s="17">
        <f t="shared" si="8"/>
        <v>0.14285714285714285</v>
      </c>
      <c r="Y16" s="17">
        <f t="shared" si="8"/>
        <v>22.857142857142858</v>
      </c>
      <c r="Z16" s="17">
        <f t="shared" si="8"/>
        <v>16.428571428571427</v>
      </c>
      <c r="AA16" s="17">
        <f t="shared" si="8"/>
        <v>12.285714285714286</v>
      </c>
      <c r="AB16" s="17">
        <f t="shared" si="8"/>
        <v>21.857142857142858</v>
      </c>
      <c r="AC16" s="17">
        <f t="shared" si="8"/>
        <v>146.42857142857144</v>
      </c>
      <c r="AD16" s="17">
        <f t="shared" si="8"/>
        <v>0</v>
      </c>
      <c r="AE16" s="31">
        <f t="shared" si="8"/>
        <v>278.14285714285711</v>
      </c>
      <c r="AF16" s="31">
        <f t="shared" si="8"/>
        <v>424.57142857142856</v>
      </c>
    </row>
    <row r="17" spans="2:32" ht="23.1" customHeight="1" x14ac:dyDescent="0.25">
      <c r="B17" s="23" t="s">
        <v>44</v>
      </c>
      <c r="C17" s="49">
        <f>AVERAGE('29.07 Nalya-Bweyogerere'!C17,'30.07 Nalya-Bweyogerere'!C17,'31.07 Nalya-Bweyogerere'!C17,'02.08 Nalya-Bweyogerere'!C17,'01.08 Nalya-Bweyogerere-24h'!C17,'03.08 Nalya-Bweyogerere-24h'!C17,'04.08 Nalya-Bweyogerere'!C17)</f>
        <v>18.428571428571427</v>
      </c>
      <c r="D17" s="49">
        <f>AVERAGE('29.07 Nalya-Bweyogerere'!D17,'30.07 Nalya-Bweyogerere'!D17,'31.07 Nalya-Bweyogerere'!D17,'02.08 Nalya-Bweyogerere'!D17,'01.08 Nalya-Bweyogerere-24h'!D17,'03.08 Nalya-Bweyogerere-24h'!D17,'04.08 Nalya-Bweyogerere'!D17)</f>
        <v>8.2857142857142865</v>
      </c>
      <c r="E17" s="49">
        <f>AVERAGE('29.07 Nalya-Bweyogerere'!E17,'30.07 Nalya-Bweyogerere'!E17,'31.07 Nalya-Bweyogerere'!E17,'02.08 Nalya-Bweyogerere'!E17,'01.08 Nalya-Bweyogerere-24h'!E17,'03.08 Nalya-Bweyogerere-24h'!E17,'04.08 Nalya-Bweyogerere'!E17)</f>
        <v>3.1428571428571428</v>
      </c>
      <c r="F17" s="49">
        <f>AVERAGE('29.07 Nalya-Bweyogerere'!F17,'30.07 Nalya-Bweyogerere'!F17,'31.07 Nalya-Bweyogerere'!F17,'02.08 Nalya-Bweyogerere'!F17,'01.08 Nalya-Bweyogerere-24h'!F17,'03.08 Nalya-Bweyogerere-24h'!F17,'04.08 Nalya-Bweyogerere'!F17)</f>
        <v>29.142857142857142</v>
      </c>
      <c r="G17" s="49">
        <f>AVERAGE('29.07 Nalya-Bweyogerere'!G17,'30.07 Nalya-Bweyogerere'!G17,'31.07 Nalya-Bweyogerere'!G17,'02.08 Nalya-Bweyogerere'!G17,'01.08 Nalya-Bweyogerere-24h'!G17,'03.08 Nalya-Bweyogerere-24h'!G17,'04.08 Nalya-Bweyogerere'!G17)</f>
        <v>0</v>
      </c>
      <c r="H17" s="49">
        <f>AVERAGE('29.07 Nalya-Bweyogerere'!H17,'30.07 Nalya-Bweyogerere'!H17,'31.07 Nalya-Bweyogerere'!H17,'02.08 Nalya-Bweyogerere'!H17,'01.08 Nalya-Bweyogerere-24h'!H17,'03.08 Nalya-Bweyogerere-24h'!H17,'04.08 Nalya-Bweyogerere'!H17)</f>
        <v>0.14285714285714285</v>
      </c>
      <c r="I17" s="49">
        <f>AVERAGE('29.07 Nalya-Bweyogerere'!I17,'30.07 Nalya-Bweyogerere'!I17,'31.07 Nalya-Bweyogerere'!I17,'02.08 Nalya-Bweyogerere'!I17,'01.08 Nalya-Bweyogerere-24h'!I17,'03.08 Nalya-Bweyogerere-24h'!I17,'04.08 Nalya-Bweyogerere'!I17)</f>
        <v>3.5714285714285716</v>
      </c>
      <c r="J17" s="49">
        <f>AVERAGE('29.07 Nalya-Bweyogerere'!J17,'30.07 Nalya-Bweyogerere'!J17,'31.07 Nalya-Bweyogerere'!J17,'02.08 Nalya-Bweyogerere'!J17,'01.08 Nalya-Bweyogerere-24h'!J17,'03.08 Nalya-Bweyogerere-24h'!J17,'04.08 Nalya-Bweyogerere'!J17)</f>
        <v>2.7142857142857144</v>
      </c>
      <c r="K17" s="49">
        <f>AVERAGE('29.07 Nalya-Bweyogerere'!K17,'30.07 Nalya-Bweyogerere'!K17,'31.07 Nalya-Bweyogerere'!K17,'02.08 Nalya-Bweyogerere'!K17,'01.08 Nalya-Bweyogerere-24h'!K17,'03.08 Nalya-Bweyogerere-24h'!K17,'04.08 Nalya-Bweyogerere'!K17)</f>
        <v>3.7142857142857144</v>
      </c>
      <c r="L17" s="49">
        <f>AVERAGE('29.07 Nalya-Bweyogerere'!L17,'30.07 Nalya-Bweyogerere'!L17,'31.07 Nalya-Bweyogerere'!L17,'02.08 Nalya-Bweyogerere'!L17,'01.08 Nalya-Bweyogerere-24h'!L17,'03.08 Nalya-Bweyogerere-24h'!L17,'04.08 Nalya-Bweyogerere'!L17)</f>
        <v>1.7142857142857142</v>
      </c>
      <c r="M17" s="49">
        <f>AVERAGE('29.07 Nalya-Bweyogerere'!M17,'30.07 Nalya-Bweyogerere'!M17,'31.07 Nalya-Bweyogerere'!M17,'02.08 Nalya-Bweyogerere'!M17,'01.08 Nalya-Bweyogerere-24h'!M17,'03.08 Nalya-Bweyogerere-24h'!M17,'04.08 Nalya-Bweyogerere'!M17)</f>
        <v>32.428571428571431</v>
      </c>
      <c r="N17" s="49">
        <f>AVERAGE('29.07 Nalya-Bweyogerere'!N17,'30.07 Nalya-Bweyogerere'!N17,'31.07 Nalya-Bweyogerere'!N17,'02.08 Nalya-Bweyogerere'!N17,'01.08 Nalya-Bweyogerere-24h'!N17,'03.08 Nalya-Bweyogerere-24h'!N17,'04.08 Nalya-Bweyogerere'!N17)</f>
        <v>0</v>
      </c>
      <c r="O17" s="15">
        <f t="shared" si="0"/>
        <v>70.857142857142847</v>
      </c>
      <c r="P17" s="15">
        <f t="shared" si="1"/>
        <v>103.28571428571428</v>
      </c>
      <c r="R17" s="1" t="s">
        <v>13</v>
      </c>
      <c r="S17" s="17">
        <f t="shared" ref="S17:AF17" si="9">SUM(C38:C41)</f>
        <v>62.714285714285708</v>
      </c>
      <c r="T17" s="17">
        <f t="shared" si="9"/>
        <v>27.714285714285715</v>
      </c>
      <c r="U17" s="17">
        <f t="shared" si="9"/>
        <v>17</v>
      </c>
      <c r="V17" s="17">
        <f t="shared" si="9"/>
        <v>78.428571428571431</v>
      </c>
      <c r="W17" s="17">
        <f t="shared" si="9"/>
        <v>0.42857142857142855</v>
      </c>
      <c r="X17" s="17">
        <f t="shared" si="9"/>
        <v>0.2857142857142857</v>
      </c>
      <c r="Y17" s="17">
        <f t="shared" si="9"/>
        <v>18.857142857142858</v>
      </c>
      <c r="Z17" s="17">
        <f t="shared" si="9"/>
        <v>16.428571428571431</v>
      </c>
      <c r="AA17" s="17">
        <f t="shared" si="9"/>
        <v>15.999999999999998</v>
      </c>
      <c r="AB17" s="17">
        <f t="shared" si="9"/>
        <v>23.857142857142854</v>
      </c>
      <c r="AC17" s="17">
        <f t="shared" si="9"/>
        <v>138.14285714285714</v>
      </c>
      <c r="AD17" s="17">
        <f t="shared" si="9"/>
        <v>0.14285714285714285</v>
      </c>
      <c r="AE17" s="31">
        <f t="shared" si="9"/>
        <v>261.85714285714283</v>
      </c>
      <c r="AF17" s="31">
        <f t="shared" si="9"/>
        <v>400</v>
      </c>
    </row>
    <row r="18" spans="2:32" ht="23.1" customHeight="1" x14ac:dyDescent="0.25">
      <c r="B18" s="23" t="s">
        <v>45</v>
      </c>
      <c r="C18" s="49">
        <f>AVERAGE('29.07 Nalya-Bweyogerere'!C18,'30.07 Nalya-Bweyogerere'!C18,'31.07 Nalya-Bweyogerere'!C18,'02.08 Nalya-Bweyogerere'!C18,'01.08 Nalya-Bweyogerere-24h'!C18,'03.08 Nalya-Bweyogerere-24h'!C18,'04.08 Nalya-Bweyogerere'!C18)</f>
        <v>16.571428571428573</v>
      </c>
      <c r="D18" s="49">
        <f>AVERAGE('29.07 Nalya-Bweyogerere'!D18,'30.07 Nalya-Bweyogerere'!D18,'31.07 Nalya-Bweyogerere'!D18,'02.08 Nalya-Bweyogerere'!D18,'01.08 Nalya-Bweyogerere-24h'!D18,'03.08 Nalya-Bweyogerere-24h'!D18,'04.08 Nalya-Bweyogerere'!D18)</f>
        <v>8.1428571428571423</v>
      </c>
      <c r="E18" s="49">
        <f>AVERAGE('29.07 Nalya-Bweyogerere'!E18,'30.07 Nalya-Bweyogerere'!E18,'31.07 Nalya-Bweyogerere'!E18,'02.08 Nalya-Bweyogerere'!E18,'01.08 Nalya-Bweyogerere-24h'!E18,'03.08 Nalya-Bweyogerere-24h'!E18,'04.08 Nalya-Bweyogerere'!E18)</f>
        <v>2.7142857142857144</v>
      </c>
      <c r="F18" s="49">
        <f>AVERAGE('29.07 Nalya-Bweyogerere'!F18,'30.07 Nalya-Bweyogerere'!F18,'31.07 Nalya-Bweyogerere'!F18,'02.08 Nalya-Bweyogerere'!F18,'01.08 Nalya-Bweyogerere-24h'!F18,'03.08 Nalya-Bweyogerere-24h'!F18,'04.08 Nalya-Bweyogerere'!F18)</f>
        <v>26.285714285714285</v>
      </c>
      <c r="G18" s="49">
        <f>AVERAGE('29.07 Nalya-Bweyogerere'!G18,'30.07 Nalya-Bweyogerere'!G18,'31.07 Nalya-Bweyogerere'!G18,'02.08 Nalya-Bweyogerere'!G18,'01.08 Nalya-Bweyogerere-24h'!G18,'03.08 Nalya-Bweyogerere-24h'!G18,'04.08 Nalya-Bweyogerere'!G18)</f>
        <v>0.14285714285714285</v>
      </c>
      <c r="H18" s="49">
        <f>AVERAGE('29.07 Nalya-Bweyogerere'!H18,'30.07 Nalya-Bweyogerere'!H18,'31.07 Nalya-Bweyogerere'!H18,'02.08 Nalya-Bweyogerere'!H18,'01.08 Nalya-Bweyogerere-24h'!H18,'03.08 Nalya-Bweyogerere-24h'!H18,'04.08 Nalya-Bweyogerere'!H18)</f>
        <v>0</v>
      </c>
      <c r="I18" s="49">
        <f>AVERAGE('29.07 Nalya-Bweyogerere'!I18,'30.07 Nalya-Bweyogerere'!I18,'31.07 Nalya-Bweyogerere'!I18,'02.08 Nalya-Bweyogerere'!I18,'01.08 Nalya-Bweyogerere-24h'!I18,'03.08 Nalya-Bweyogerere-24h'!I18,'04.08 Nalya-Bweyogerere'!I18)</f>
        <v>4.5714285714285712</v>
      </c>
      <c r="J18" s="49">
        <f>AVERAGE('29.07 Nalya-Bweyogerere'!J18,'30.07 Nalya-Bweyogerere'!J18,'31.07 Nalya-Bweyogerere'!J18,'02.08 Nalya-Bweyogerere'!J18,'01.08 Nalya-Bweyogerere-24h'!J18,'03.08 Nalya-Bweyogerere-24h'!J18,'04.08 Nalya-Bweyogerere'!J18)</f>
        <v>2.4285714285714284</v>
      </c>
      <c r="K18" s="49">
        <f>AVERAGE('29.07 Nalya-Bweyogerere'!K18,'30.07 Nalya-Bweyogerere'!K18,'31.07 Nalya-Bweyogerere'!K18,'02.08 Nalya-Bweyogerere'!K18,'01.08 Nalya-Bweyogerere-24h'!K18,'03.08 Nalya-Bweyogerere-24h'!K18,'04.08 Nalya-Bweyogerere'!K18)</f>
        <v>3.1428571428571428</v>
      </c>
      <c r="L18" s="49">
        <f>AVERAGE('29.07 Nalya-Bweyogerere'!L18,'30.07 Nalya-Bweyogerere'!L18,'31.07 Nalya-Bweyogerere'!L18,'02.08 Nalya-Bweyogerere'!L18,'01.08 Nalya-Bweyogerere-24h'!L18,'03.08 Nalya-Bweyogerere-24h'!L18,'04.08 Nalya-Bweyogerere'!L18)</f>
        <v>0.5714285714285714</v>
      </c>
      <c r="M18" s="49">
        <f>AVERAGE('29.07 Nalya-Bweyogerere'!M18,'30.07 Nalya-Bweyogerere'!M18,'31.07 Nalya-Bweyogerere'!M18,'02.08 Nalya-Bweyogerere'!M18,'01.08 Nalya-Bweyogerere-24h'!M18,'03.08 Nalya-Bweyogerere-24h'!M18,'04.08 Nalya-Bweyogerere'!M18)</f>
        <v>37.571428571428569</v>
      </c>
      <c r="N18" s="49">
        <f>AVERAGE('29.07 Nalya-Bweyogerere'!N18,'30.07 Nalya-Bweyogerere'!N18,'31.07 Nalya-Bweyogerere'!N18,'02.08 Nalya-Bweyogerere'!N18,'01.08 Nalya-Bweyogerere-24h'!N18,'03.08 Nalya-Bweyogerere-24h'!N18,'04.08 Nalya-Bweyogerere'!N18)</f>
        <v>0.14285714285714285</v>
      </c>
      <c r="O18" s="15">
        <f t="shared" si="0"/>
        <v>64.714285714285708</v>
      </c>
      <c r="P18" s="15">
        <f t="shared" si="1"/>
        <v>102.28571428571428</v>
      </c>
      <c r="R18" s="1" t="s">
        <v>14</v>
      </c>
      <c r="S18" s="17">
        <f t="shared" ref="S18:AF18" si="10">SUM(C42:C45)</f>
        <v>74.857142857142847</v>
      </c>
      <c r="T18" s="17">
        <f t="shared" si="10"/>
        <v>28.857142857142854</v>
      </c>
      <c r="U18" s="17">
        <f t="shared" si="10"/>
        <v>15.428571428571429</v>
      </c>
      <c r="V18" s="17">
        <f t="shared" si="10"/>
        <v>78.857142857142847</v>
      </c>
      <c r="W18" s="17">
        <f t="shared" si="10"/>
        <v>0.71428571428571419</v>
      </c>
      <c r="X18" s="17">
        <f t="shared" si="10"/>
        <v>0.5714285714285714</v>
      </c>
      <c r="Y18" s="17">
        <f t="shared" si="10"/>
        <v>19.285714285714285</v>
      </c>
      <c r="Z18" s="17">
        <f t="shared" si="10"/>
        <v>15.857142857142858</v>
      </c>
      <c r="AA18" s="17">
        <f t="shared" si="10"/>
        <v>18</v>
      </c>
      <c r="AB18" s="17">
        <f t="shared" si="10"/>
        <v>26.285714285714285</v>
      </c>
      <c r="AC18" s="17">
        <f t="shared" si="10"/>
        <v>135.71428571428572</v>
      </c>
      <c r="AD18" s="17">
        <f t="shared" si="10"/>
        <v>0</v>
      </c>
      <c r="AE18" s="31">
        <f t="shared" si="10"/>
        <v>278.71428571428572</v>
      </c>
      <c r="AF18" s="31">
        <f t="shared" si="10"/>
        <v>414.42857142857144</v>
      </c>
    </row>
    <row r="19" spans="2:32" ht="23.1" customHeight="1" x14ac:dyDescent="0.25">
      <c r="B19" s="23" t="s">
        <v>46</v>
      </c>
      <c r="C19" s="49">
        <f>AVERAGE('29.07 Nalya-Bweyogerere'!C19,'30.07 Nalya-Bweyogerere'!C19,'31.07 Nalya-Bweyogerere'!C19,'02.08 Nalya-Bweyogerere'!C19,'01.08 Nalya-Bweyogerere-24h'!C19,'03.08 Nalya-Bweyogerere-24h'!C19,'04.08 Nalya-Bweyogerere'!C19)</f>
        <v>15.142857142857142</v>
      </c>
      <c r="D19" s="49">
        <f>AVERAGE('29.07 Nalya-Bweyogerere'!D19,'30.07 Nalya-Bweyogerere'!D19,'31.07 Nalya-Bweyogerere'!D19,'02.08 Nalya-Bweyogerere'!D19,'01.08 Nalya-Bweyogerere-24h'!D19,'03.08 Nalya-Bweyogerere-24h'!D19,'04.08 Nalya-Bweyogerere'!D19)</f>
        <v>8.5714285714285712</v>
      </c>
      <c r="E19" s="49">
        <f>AVERAGE('29.07 Nalya-Bweyogerere'!E19,'30.07 Nalya-Bweyogerere'!E19,'31.07 Nalya-Bweyogerere'!E19,'02.08 Nalya-Bweyogerere'!E19,'01.08 Nalya-Bweyogerere-24h'!E19,'03.08 Nalya-Bweyogerere-24h'!E19,'04.08 Nalya-Bweyogerere'!E19)</f>
        <v>3.1428571428571428</v>
      </c>
      <c r="F19" s="49">
        <f>AVERAGE('29.07 Nalya-Bweyogerere'!F19,'30.07 Nalya-Bweyogerere'!F19,'31.07 Nalya-Bweyogerere'!F19,'02.08 Nalya-Bweyogerere'!F19,'01.08 Nalya-Bweyogerere-24h'!F19,'03.08 Nalya-Bweyogerere-24h'!F19,'04.08 Nalya-Bweyogerere'!F19)</f>
        <v>25.428571428571427</v>
      </c>
      <c r="G19" s="49">
        <f>AVERAGE('29.07 Nalya-Bweyogerere'!G19,'30.07 Nalya-Bweyogerere'!G19,'31.07 Nalya-Bweyogerere'!G19,'02.08 Nalya-Bweyogerere'!G19,'01.08 Nalya-Bweyogerere-24h'!G19,'03.08 Nalya-Bweyogerere-24h'!G19,'04.08 Nalya-Bweyogerere'!G19)</f>
        <v>0</v>
      </c>
      <c r="H19" s="49">
        <f>AVERAGE('29.07 Nalya-Bweyogerere'!H19,'30.07 Nalya-Bweyogerere'!H19,'31.07 Nalya-Bweyogerere'!H19,'02.08 Nalya-Bweyogerere'!H19,'01.08 Nalya-Bweyogerere-24h'!H19,'03.08 Nalya-Bweyogerere-24h'!H19,'04.08 Nalya-Bweyogerere'!H19)</f>
        <v>0</v>
      </c>
      <c r="I19" s="49">
        <f>AVERAGE('29.07 Nalya-Bweyogerere'!I19,'30.07 Nalya-Bweyogerere'!I19,'31.07 Nalya-Bweyogerere'!I19,'02.08 Nalya-Bweyogerere'!I19,'01.08 Nalya-Bweyogerere-24h'!I19,'03.08 Nalya-Bweyogerere-24h'!I19,'04.08 Nalya-Bweyogerere'!I19)</f>
        <v>6.1428571428571432</v>
      </c>
      <c r="J19" s="49">
        <f>AVERAGE('29.07 Nalya-Bweyogerere'!J19,'30.07 Nalya-Bweyogerere'!J19,'31.07 Nalya-Bweyogerere'!J19,'02.08 Nalya-Bweyogerere'!J19,'01.08 Nalya-Bweyogerere-24h'!J19,'03.08 Nalya-Bweyogerere-24h'!J19,'04.08 Nalya-Bweyogerere'!J19)</f>
        <v>3.7142857142857144</v>
      </c>
      <c r="K19" s="49">
        <f>AVERAGE('29.07 Nalya-Bweyogerere'!K19,'30.07 Nalya-Bweyogerere'!K19,'31.07 Nalya-Bweyogerere'!K19,'02.08 Nalya-Bweyogerere'!K19,'01.08 Nalya-Bweyogerere-24h'!K19,'03.08 Nalya-Bweyogerere-24h'!K19,'04.08 Nalya-Bweyogerere'!K19)</f>
        <v>3.4285714285714284</v>
      </c>
      <c r="L19" s="49">
        <f>AVERAGE('29.07 Nalya-Bweyogerere'!L19,'30.07 Nalya-Bweyogerere'!L19,'31.07 Nalya-Bweyogerere'!L19,'02.08 Nalya-Bweyogerere'!L19,'01.08 Nalya-Bweyogerere-24h'!L19,'03.08 Nalya-Bweyogerere-24h'!L19,'04.08 Nalya-Bweyogerere'!L19)</f>
        <v>2.4285714285714284</v>
      </c>
      <c r="M19" s="49">
        <f>AVERAGE('29.07 Nalya-Bweyogerere'!M19,'30.07 Nalya-Bweyogerere'!M19,'31.07 Nalya-Bweyogerere'!M19,'02.08 Nalya-Bweyogerere'!M19,'01.08 Nalya-Bweyogerere-24h'!M19,'03.08 Nalya-Bweyogerere-24h'!M19,'04.08 Nalya-Bweyogerere'!M19)</f>
        <v>37.428571428571431</v>
      </c>
      <c r="N19" s="49">
        <f>AVERAGE('29.07 Nalya-Bweyogerere'!N19,'30.07 Nalya-Bweyogerere'!N19,'31.07 Nalya-Bweyogerere'!N19,'02.08 Nalya-Bweyogerere'!N19,'01.08 Nalya-Bweyogerere-24h'!N19,'03.08 Nalya-Bweyogerere-24h'!N19,'04.08 Nalya-Bweyogerere'!N19)</f>
        <v>0</v>
      </c>
      <c r="O19" s="15">
        <f t="shared" si="0"/>
        <v>68</v>
      </c>
      <c r="P19" s="15">
        <f t="shared" si="1"/>
        <v>105.42857142857143</v>
      </c>
      <c r="R19" s="1" t="s">
        <v>15</v>
      </c>
      <c r="S19" s="17">
        <f t="shared" ref="S19:AF19" si="11">SUM(C46:C49)</f>
        <v>97.857142857142861</v>
      </c>
      <c r="T19" s="17">
        <f t="shared" si="11"/>
        <v>36.142857142857146</v>
      </c>
      <c r="U19" s="17">
        <f t="shared" si="11"/>
        <v>21.428571428571427</v>
      </c>
      <c r="V19" s="17">
        <f t="shared" si="11"/>
        <v>89.714285714285722</v>
      </c>
      <c r="W19" s="17">
        <f t="shared" si="11"/>
        <v>0.5714285714285714</v>
      </c>
      <c r="X19" s="17">
        <f t="shared" si="11"/>
        <v>0.42857142857142855</v>
      </c>
      <c r="Y19" s="17">
        <f t="shared" si="11"/>
        <v>21.714285714285715</v>
      </c>
      <c r="Z19" s="17">
        <f t="shared" si="11"/>
        <v>19.571428571428569</v>
      </c>
      <c r="AA19" s="17">
        <f t="shared" si="11"/>
        <v>19.428571428571427</v>
      </c>
      <c r="AB19" s="17">
        <f t="shared" si="11"/>
        <v>23.714285714285715</v>
      </c>
      <c r="AC19" s="17">
        <f t="shared" si="11"/>
        <v>141.28571428571428</v>
      </c>
      <c r="AD19" s="17">
        <f t="shared" si="11"/>
        <v>0</v>
      </c>
      <c r="AE19" s="31">
        <f t="shared" si="11"/>
        <v>330.57142857142856</v>
      </c>
      <c r="AF19" s="31">
        <f t="shared" si="11"/>
        <v>471.85714285714289</v>
      </c>
    </row>
    <row r="20" spans="2:32" ht="23.1" customHeight="1" x14ac:dyDescent="0.25">
      <c r="B20" s="23" t="s">
        <v>47</v>
      </c>
      <c r="C20" s="49">
        <f>AVERAGE('29.07 Nalya-Bweyogerere'!C20,'30.07 Nalya-Bweyogerere'!C20,'31.07 Nalya-Bweyogerere'!C20,'02.08 Nalya-Bweyogerere'!C20,'01.08 Nalya-Bweyogerere-24h'!C20,'03.08 Nalya-Bweyogerere-24h'!C20,'04.08 Nalya-Bweyogerere'!C20)</f>
        <v>20.428571428571427</v>
      </c>
      <c r="D20" s="49">
        <f>AVERAGE('29.07 Nalya-Bweyogerere'!D20,'30.07 Nalya-Bweyogerere'!D20,'31.07 Nalya-Bweyogerere'!D20,'02.08 Nalya-Bweyogerere'!D20,'01.08 Nalya-Bweyogerere-24h'!D20,'03.08 Nalya-Bweyogerere-24h'!D20,'04.08 Nalya-Bweyogerere'!D20)</f>
        <v>7.7142857142857144</v>
      </c>
      <c r="E20" s="49">
        <f>AVERAGE('29.07 Nalya-Bweyogerere'!E20,'30.07 Nalya-Bweyogerere'!E20,'31.07 Nalya-Bweyogerere'!E20,'02.08 Nalya-Bweyogerere'!E20,'01.08 Nalya-Bweyogerere-24h'!E20,'03.08 Nalya-Bweyogerere-24h'!E20,'04.08 Nalya-Bweyogerere'!E20)</f>
        <v>3.5714285714285716</v>
      </c>
      <c r="F20" s="49">
        <f>AVERAGE('29.07 Nalya-Bweyogerere'!F20,'30.07 Nalya-Bweyogerere'!F20,'31.07 Nalya-Bweyogerere'!F20,'02.08 Nalya-Bweyogerere'!F20,'01.08 Nalya-Bweyogerere-24h'!F20,'03.08 Nalya-Bweyogerere-24h'!F20,'04.08 Nalya-Bweyogerere'!F20)</f>
        <v>25.142857142857142</v>
      </c>
      <c r="G20" s="49">
        <f>AVERAGE('29.07 Nalya-Bweyogerere'!G20,'30.07 Nalya-Bweyogerere'!G20,'31.07 Nalya-Bweyogerere'!G20,'02.08 Nalya-Bweyogerere'!G20,'01.08 Nalya-Bweyogerere-24h'!G20,'03.08 Nalya-Bweyogerere-24h'!G20,'04.08 Nalya-Bweyogerere'!G20)</f>
        <v>0.5714285714285714</v>
      </c>
      <c r="H20" s="49">
        <f>AVERAGE('29.07 Nalya-Bweyogerere'!H20,'30.07 Nalya-Bweyogerere'!H20,'31.07 Nalya-Bweyogerere'!H20,'02.08 Nalya-Bweyogerere'!H20,'01.08 Nalya-Bweyogerere-24h'!H20,'03.08 Nalya-Bweyogerere-24h'!H20,'04.08 Nalya-Bweyogerere'!H20)</f>
        <v>0</v>
      </c>
      <c r="I20" s="49">
        <f>AVERAGE('29.07 Nalya-Bweyogerere'!I20,'30.07 Nalya-Bweyogerere'!I20,'31.07 Nalya-Bweyogerere'!I20,'02.08 Nalya-Bweyogerere'!I20,'01.08 Nalya-Bweyogerere-24h'!I20,'03.08 Nalya-Bweyogerere-24h'!I20,'04.08 Nalya-Bweyogerere'!I20)</f>
        <v>4.2857142857142856</v>
      </c>
      <c r="J20" s="49">
        <f>AVERAGE('29.07 Nalya-Bweyogerere'!J20,'30.07 Nalya-Bweyogerere'!J20,'31.07 Nalya-Bweyogerere'!J20,'02.08 Nalya-Bweyogerere'!J20,'01.08 Nalya-Bweyogerere-24h'!J20,'03.08 Nalya-Bweyogerere-24h'!J20,'04.08 Nalya-Bweyogerere'!J20)</f>
        <v>2.5714285714285716</v>
      </c>
      <c r="K20" s="49">
        <f>AVERAGE('29.07 Nalya-Bweyogerere'!K20,'30.07 Nalya-Bweyogerere'!K20,'31.07 Nalya-Bweyogerere'!K20,'02.08 Nalya-Bweyogerere'!K20,'01.08 Nalya-Bweyogerere-24h'!K20,'03.08 Nalya-Bweyogerere-24h'!K20,'04.08 Nalya-Bweyogerere'!K20)</f>
        <v>5.2857142857142856</v>
      </c>
      <c r="L20" s="49">
        <f>AVERAGE('29.07 Nalya-Bweyogerere'!L20,'30.07 Nalya-Bweyogerere'!L20,'31.07 Nalya-Bweyogerere'!L20,'02.08 Nalya-Bweyogerere'!L20,'01.08 Nalya-Bweyogerere-24h'!L20,'03.08 Nalya-Bweyogerere-24h'!L20,'04.08 Nalya-Bweyogerere'!L20)</f>
        <v>2.7142857142857144</v>
      </c>
      <c r="M20" s="49">
        <f>AVERAGE('29.07 Nalya-Bweyogerere'!M20,'30.07 Nalya-Bweyogerere'!M20,'31.07 Nalya-Bweyogerere'!M20,'02.08 Nalya-Bweyogerere'!M20,'01.08 Nalya-Bweyogerere-24h'!M20,'03.08 Nalya-Bweyogerere-24h'!M20,'04.08 Nalya-Bweyogerere'!M20)</f>
        <v>37.714285714285715</v>
      </c>
      <c r="N20" s="49">
        <f>AVERAGE('29.07 Nalya-Bweyogerere'!N20,'30.07 Nalya-Bweyogerere'!N20,'31.07 Nalya-Bweyogerere'!N20,'02.08 Nalya-Bweyogerere'!N20,'01.08 Nalya-Bweyogerere-24h'!N20,'03.08 Nalya-Bweyogerere-24h'!N20,'04.08 Nalya-Bweyogerere'!N20)</f>
        <v>0</v>
      </c>
      <c r="O20" s="15">
        <f t="shared" si="0"/>
        <v>72.285714285714292</v>
      </c>
      <c r="P20" s="15">
        <f t="shared" si="1"/>
        <v>110</v>
      </c>
      <c r="R20" s="1" t="s">
        <v>16</v>
      </c>
      <c r="S20" s="17">
        <f t="shared" ref="S20:AF20" si="12">SUM(C50:C53)</f>
        <v>120.14285714285714</v>
      </c>
      <c r="T20" s="17">
        <f t="shared" si="12"/>
        <v>55.285714285714292</v>
      </c>
      <c r="U20" s="17">
        <f t="shared" si="12"/>
        <v>23</v>
      </c>
      <c r="V20" s="17">
        <f t="shared" si="12"/>
        <v>113.85714285714286</v>
      </c>
      <c r="W20" s="17">
        <f t="shared" si="12"/>
        <v>2.4285714285714284</v>
      </c>
      <c r="X20" s="17">
        <f t="shared" si="12"/>
        <v>0.99999999999999989</v>
      </c>
      <c r="Y20" s="17">
        <f t="shared" si="12"/>
        <v>23.428571428571431</v>
      </c>
      <c r="Z20" s="17">
        <f t="shared" si="12"/>
        <v>18.285714285714285</v>
      </c>
      <c r="AA20" s="17">
        <f t="shared" si="12"/>
        <v>21.571428571428573</v>
      </c>
      <c r="AB20" s="17">
        <f t="shared" si="12"/>
        <v>20.285714285714285</v>
      </c>
      <c r="AC20" s="17">
        <f t="shared" si="12"/>
        <v>163.57142857142858</v>
      </c>
      <c r="AD20" s="17">
        <f t="shared" si="12"/>
        <v>0.14285714285714285</v>
      </c>
      <c r="AE20" s="31">
        <f t="shared" si="12"/>
        <v>399.42857142857144</v>
      </c>
      <c r="AF20" s="31">
        <f t="shared" si="12"/>
        <v>563</v>
      </c>
    </row>
    <row r="21" spans="2:32" ht="23.1" customHeight="1" x14ac:dyDescent="0.25">
      <c r="B21" s="23" t="s">
        <v>48</v>
      </c>
      <c r="C21" s="49">
        <f>AVERAGE('29.07 Nalya-Bweyogerere'!C21,'30.07 Nalya-Bweyogerere'!C21,'31.07 Nalya-Bweyogerere'!C21,'02.08 Nalya-Bweyogerere'!C21,'01.08 Nalya-Bweyogerere-24h'!C21,'03.08 Nalya-Bweyogerere-24h'!C21,'04.08 Nalya-Bweyogerere'!C21)</f>
        <v>17</v>
      </c>
      <c r="D21" s="49">
        <f>AVERAGE('29.07 Nalya-Bweyogerere'!D21,'30.07 Nalya-Bweyogerere'!D21,'31.07 Nalya-Bweyogerere'!D21,'02.08 Nalya-Bweyogerere'!D21,'01.08 Nalya-Bweyogerere-24h'!D21,'03.08 Nalya-Bweyogerere-24h'!D21,'04.08 Nalya-Bweyogerere'!D21)</f>
        <v>9</v>
      </c>
      <c r="E21" s="49">
        <f>AVERAGE('29.07 Nalya-Bweyogerere'!E21,'30.07 Nalya-Bweyogerere'!E21,'31.07 Nalya-Bweyogerere'!E21,'02.08 Nalya-Bweyogerere'!E21,'01.08 Nalya-Bweyogerere-24h'!E21,'03.08 Nalya-Bweyogerere-24h'!E21,'04.08 Nalya-Bweyogerere'!E21)</f>
        <v>5.1428571428571432</v>
      </c>
      <c r="F21" s="49">
        <f>AVERAGE('29.07 Nalya-Bweyogerere'!F21,'30.07 Nalya-Bweyogerere'!F21,'31.07 Nalya-Bweyogerere'!F21,'02.08 Nalya-Bweyogerere'!F21,'01.08 Nalya-Bweyogerere-24h'!F21,'03.08 Nalya-Bweyogerere-24h'!F21,'04.08 Nalya-Bweyogerere'!F21)</f>
        <v>28.571428571428573</v>
      </c>
      <c r="G21" s="49">
        <f>AVERAGE('29.07 Nalya-Bweyogerere'!G21,'30.07 Nalya-Bweyogerere'!G21,'31.07 Nalya-Bweyogerere'!G21,'02.08 Nalya-Bweyogerere'!G21,'01.08 Nalya-Bweyogerere-24h'!G21,'03.08 Nalya-Bweyogerere-24h'!G21,'04.08 Nalya-Bweyogerere'!G21)</f>
        <v>0.7142857142857143</v>
      </c>
      <c r="H21" s="49">
        <f>AVERAGE('29.07 Nalya-Bweyogerere'!H21,'30.07 Nalya-Bweyogerere'!H21,'31.07 Nalya-Bweyogerere'!H21,'02.08 Nalya-Bweyogerere'!H21,'01.08 Nalya-Bweyogerere-24h'!H21,'03.08 Nalya-Bweyogerere-24h'!H21,'04.08 Nalya-Bweyogerere'!H21)</f>
        <v>0</v>
      </c>
      <c r="I21" s="49">
        <f>AVERAGE('29.07 Nalya-Bweyogerere'!I21,'30.07 Nalya-Bweyogerere'!I21,'31.07 Nalya-Bweyogerere'!I21,'02.08 Nalya-Bweyogerere'!I21,'01.08 Nalya-Bweyogerere-24h'!I21,'03.08 Nalya-Bweyogerere-24h'!I21,'04.08 Nalya-Bweyogerere'!I21)</f>
        <v>3.1428571428571428</v>
      </c>
      <c r="J21" s="49">
        <f>AVERAGE('29.07 Nalya-Bweyogerere'!J21,'30.07 Nalya-Bweyogerere'!J21,'31.07 Nalya-Bweyogerere'!J21,'02.08 Nalya-Bweyogerere'!J21,'01.08 Nalya-Bweyogerere-24h'!J21,'03.08 Nalya-Bweyogerere-24h'!J21,'04.08 Nalya-Bweyogerere'!J21)</f>
        <v>3.4285714285714284</v>
      </c>
      <c r="K21" s="49">
        <f>AVERAGE('29.07 Nalya-Bweyogerere'!K21,'30.07 Nalya-Bweyogerere'!K21,'31.07 Nalya-Bweyogerere'!K21,'02.08 Nalya-Bweyogerere'!K21,'01.08 Nalya-Bweyogerere-24h'!K21,'03.08 Nalya-Bweyogerere-24h'!K21,'04.08 Nalya-Bweyogerere'!K21)</f>
        <v>3.2857142857142856</v>
      </c>
      <c r="L21" s="49">
        <f>AVERAGE('29.07 Nalya-Bweyogerere'!L21,'30.07 Nalya-Bweyogerere'!L21,'31.07 Nalya-Bweyogerere'!L21,'02.08 Nalya-Bweyogerere'!L21,'01.08 Nalya-Bweyogerere-24h'!L21,'03.08 Nalya-Bweyogerere-24h'!L21,'04.08 Nalya-Bweyogerere'!L21)</f>
        <v>3.1428571428571428</v>
      </c>
      <c r="M21" s="49">
        <f>AVERAGE('29.07 Nalya-Bweyogerere'!M21,'30.07 Nalya-Bweyogerere'!M21,'31.07 Nalya-Bweyogerere'!M21,'02.08 Nalya-Bweyogerere'!M21,'01.08 Nalya-Bweyogerere-24h'!M21,'03.08 Nalya-Bweyogerere-24h'!M21,'04.08 Nalya-Bweyogerere'!M21)</f>
        <v>38.285714285714285</v>
      </c>
      <c r="N21" s="49">
        <f>AVERAGE('29.07 Nalya-Bweyogerere'!N21,'30.07 Nalya-Bweyogerere'!N21,'31.07 Nalya-Bweyogerere'!N21,'02.08 Nalya-Bweyogerere'!N21,'01.08 Nalya-Bweyogerere-24h'!N21,'03.08 Nalya-Bweyogerere-24h'!N21,'04.08 Nalya-Bweyogerere'!N21)</f>
        <v>0</v>
      </c>
      <c r="O21" s="15">
        <f t="shared" si="0"/>
        <v>73.428571428571431</v>
      </c>
      <c r="P21" s="15">
        <f t="shared" si="1"/>
        <v>111.71428571428572</v>
      </c>
      <c r="R21" s="36" t="s">
        <v>20</v>
      </c>
      <c r="S21" s="34">
        <f t="shared" ref="S21:AF21" si="13">SUM(C54:C57)</f>
        <v>158.71428571428572</v>
      </c>
      <c r="T21" s="17">
        <f t="shared" si="13"/>
        <v>72.857142857142861</v>
      </c>
      <c r="U21" s="17">
        <f t="shared" si="13"/>
        <v>35</v>
      </c>
      <c r="V21" s="17">
        <f t="shared" si="13"/>
        <v>138.71428571428572</v>
      </c>
      <c r="W21" s="17">
        <f t="shared" si="13"/>
        <v>2.4285714285714284</v>
      </c>
      <c r="X21" s="17">
        <f t="shared" si="13"/>
        <v>0.2857142857142857</v>
      </c>
      <c r="Y21" s="17">
        <f t="shared" si="13"/>
        <v>31.571428571428573</v>
      </c>
      <c r="Z21" s="17">
        <f t="shared" si="13"/>
        <v>20</v>
      </c>
      <c r="AA21" s="17">
        <f t="shared" si="13"/>
        <v>20.285714285714288</v>
      </c>
      <c r="AB21" s="17">
        <f t="shared" si="13"/>
        <v>19.285714285714285</v>
      </c>
      <c r="AC21" s="17">
        <f t="shared" si="13"/>
        <v>186.57142857142856</v>
      </c>
      <c r="AD21" s="17">
        <f t="shared" si="13"/>
        <v>0</v>
      </c>
      <c r="AE21" s="31">
        <f t="shared" si="13"/>
        <v>499.14285714285722</v>
      </c>
      <c r="AF21" s="31">
        <f t="shared" si="13"/>
        <v>685.71428571428578</v>
      </c>
    </row>
    <row r="22" spans="2:32" ht="23.1" customHeight="1" x14ac:dyDescent="0.25">
      <c r="B22" s="23" t="s">
        <v>49</v>
      </c>
      <c r="C22" s="49">
        <f>AVERAGE('29.07 Nalya-Bweyogerere'!C22,'30.07 Nalya-Bweyogerere'!C22,'31.07 Nalya-Bweyogerere'!C22,'02.08 Nalya-Bweyogerere'!C22,'01.08 Nalya-Bweyogerere-24h'!C22,'03.08 Nalya-Bweyogerere-24h'!C22,'04.08 Nalya-Bweyogerere'!C22)</f>
        <v>21.142857142857142</v>
      </c>
      <c r="D22" s="49">
        <f>AVERAGE('29.07 Nalya-Bweyogerere'!D22,'30.07 Nalya-Bweyogerere'!D22,'31.07 Nalya-Bweyogerere'!D22,'02.08 Nalya-Bweyogerere'!D22,'01.08 Nalya-Bweyogerere-24h'!D22,'03.08 Nalya-Bweyogerere-24h'!D22,'04.08 Nalya-Bweyogerere'!D22)</f>
        <v>8.7142857142857135</v>
      </c>
      <c r="E22" s="49">
        <f>AVERAGE('29.07 Nalya-Bweyogerere'!E22,'30.07 Nalya-Bweyogerere'!E22,'31.07 Nalya-Bweyogerere'!E22,'02.08 Nalya-Bweyogerere'!E22,'01.08 Nalya-Bweyogerere-24h'!E22,'03.08 Nalya-Bweyogerere-24h'!E22,'04.08 Nalya-Bweyogerere'!E22)</f>
        <v>4.2857142857142856</v>
      </c>
      <c r="F22" s="49">
        <f>AVERAGE('29.07 Nalya-Bweyogerere'!F22,'30.07 Nalya-Bweyogerere'!F22,'31.07 Nalya-Bweyogerere'!F22,'02.08 Nalya-Bweyogerere'!F22,'01.08 Nalya-Bweyogerere-24h'!F22,'03.08 Nalya-Bweyogerere-24h'!F22,'04.08 Nalya-Bweyogerere'!F22)</f>
        <v>22.428571428571427</v>
      </c>
      <c r="G22" s="49">
        <f>AVERAGE('29.07 Nalya-Bweyogerere'!G22,'30.07 Nalya-Bweyogerere'!G22,'31.07 Nalya-Bweyogerere'!G22,'02.08 Nalya-Bweyogerere'!G22,'01.08 Nalya-Bweyogerere-24h'!G22,'03.08 Nalya-Bweyogerere-24h'!G22,'04.08 Nalya-Bweyogerere'!G22)</f>
        <v>0.14285714285714285</v>
      </c>
      <c r="H22" s="49">
        <f>AVERAGE('29.07 Nalya-Bweyogerere'!H22,'30.07 Nalya-Bweyogerere'!H22,'31.07 Nalya-Bweyogerere'!H22,'02.08 Nalya-Bweyogerere'!H22,'01.08 Nalya-Bweyogerere-24h'!H22,'03.08 Nalya-Bweyogerere-24h'!H22,'04.08 Nalya-Bweyogerere'!H22)</f>
        <v>0.5714285714285714</v>
      </c>
      <c r="I22" s="49">
        <f>AVERAGE('29.07 Nalya-Bweyogerere'!I22,'30.07 Nalya-Bweyogerere'!I22,'31.07 Nalya-Bweyogerere'!I22,'02.08 Nalya-Bweyogerere'!I22,'01.08 Nalya-Bweyogerere-24h'!I22,'03.08 Nalya-Bweyogerere-24h'!I22,'04.08 Nalya-Bweyogerere'!I22)</f>
        <v>6.5714285714285712</v>
      </c>
      <c r="J22" s="49">
        <f>AVERAGE('29.07 Nalya-Bweyogerere'!J22,'30.07 Nalya-Bweyogerere'!J22,'31.07 Nalya-Bweyogerere'!J22,'02.08 Nalya-Bweyogerere'!J22,'01.08 Nalya-Bweyogerere-24h'!J22,'03.08 Nalya-Bweyogerere-24h'!J22,'04.08 Nalya-Bweyogerere'!J22)</f>
        <v>3.7142857142857144</v>
      </c>
      <c r="K22" s="49">
        <f>AVERAGE('29.07 Nalya-Bweyogerere'!K22,'30.07 Nalya-Bweyogerere'!K22,'31.07 Nalya-Bweyogerere'!K22,'02.08 Nalya-Bweyogerere'!K22,'01.08 Nalya-Bweyogerere-24h'!K22,'03.08 Nalya-Bweyogerere-24h'!K22,'04.08 Nalya-Bweyogerere'!K22)</f>
        <v>4</v>
      </c>
      <c r="L22" s="49">
        <f>AVERAGE('29.07 Nalya-Bweyogerere'!L22,'30.07 Nalya-Bweyogerere'!L22,'31.07 Nalya-Bweyogerere'!L22,'02.08 Nalya-Bweyogerere'!L22,'01.08 Nalya-Bweyogerere-24h'!L22,'03.08 Nalya-Bweyogerere-24h'!L22,'04.08 Nalya-Bweyogerere'!L22)</f>
        <v>2.8571428571428572</v>
      </c>
      <c r="M22" s="49">
        <f>AVERAGE('29.07 Nalya-Bweyogerere'!M22,'30.07 Nalya-Bweyogerere'!M22,'31.07 Nalya-Bweyogerere'!M22,'02.08 Nalya-Bweyogerere'!M22,'01.08 Nalya-Bweyogerere-24h'!M22,'03.08 Nalya-Bweyogerere-24h'!M22,'04.08 Nalya-Bweyogerere'!M22)</f>
        <v>35.285714285714285</v>
      </c>
      <c r="N22" s="49">
        <f>AVERAGE('29.07 Nalya-Bweyogerere'!N22,'30.07 Nalya-Bweyogerere'!N22,'31.07 Nalya-Bweyogerere'!N22,'02.08 Nalya-Bweyogerere'!N22,'01.08 Nalya-Bweyogerere-24h'!N22,'03.08 Nalya-Bweyogerere-24h'!N22,'04.08 Nalya-Bweyogerere'!N22)</f>
        <v>0</v>
      </c>
      <c r="O22" s="15">
        <f t="shared" si="0"/>
        <v>74.428571428571431</v>
      </c>
      <c r="P22" s="15">
        <f t="shared" si="1"/>
        <v>109.71428571428572</v>
      </c>
      <c r="R22" s="1" t="s">
        <v>146</v>
      </c>
      <c r="S22" s="34">
        <f>SUM(C58:C61)</f>
        <v>169</v>
      </c>
      <c r="T22" s="34">
        <f t="shared" ref="T22:AF22" si="14">SUM(D58:D61)</f>
        <v>77</v>
      </c>
      <c r="U22" s="34">
        <f t="shared" si="14"/>
        <v>27</v>
      </c>
      <c r="V22" s="34">
        <f t="shared" si="14"/>
        <v>101</v>
      </c>
      <c r="W22" s="34">
        <f t="shared" si="14"/>
        <v>2.5</v>
      </c>
      <c r="X22" s="34">
        <f t="shared" si="14"/>
        <v>0.5</v>
      </c>
      <c r="Y22" s="34">
        <f t="shared" si="14"/>
        <v>7.5</v>
      </c>
      <c r="Z22" s="34">
        <f t="shared" si="14"/>
        <v>20.5</v>
      </c>
      <c r="AA22" s="34">
        <f t="shared" si="14"/>
        <v>12.5</v>
      </c>
      <c r="AB22" s="34">
        <f t="shared" si="14"/>
        <v>22</v>
      </c>
      <c r="AC22" s="34">
        <f t="shared" si="14"/>
        <v>150.5</v>
      </c>
      <c r="AD22" s="34">
        <f t="shared" si="14"/>
        <v>0</v>
      </c>
      <c r="AE22" s="51">
        <f t="shared" si="14"/>
        <v>439.5</v>
      </c>
      <c r="AF22" s="51">
        <f t="shared" si="14"/>
        <v>590</v>
      </c>
    </row>
    <row r="23" spans="2:32" ht="23.1" customHeight="1" x14ac:dyDescent="0.25">
      <c r="B23" s="23" t="s">
        <v>50</v>
      </c>
      <c r="C23" s="49">
        <f>AVERAGE('29.07 Nalya-Bweyogerere'!C23,'30.07 Nalya-Bweyogerere'!C23,'31.07 Nalya-Bweyogerere'!C23,'02.08 Nalya-Bweyogerere'!C23,'01.08 Nalya-Bweyogerere-24h'!C23,'03.08 Nalya-Bweyogerere-24h'!C23,'04.08 Nalya-Bweyogerere'!C23)</f>
        <v>19</v>
      </c>
      <c r="D23" s="49">
        <f>AVERAGE('29.07 Nalya-Bweyogerere'!D23,'30.07 Nalya-Bweyogerere'!D23,'31.07 Nalya-Bweyogerere'!D23,'02.08 Nalya-Bweyogerere'!D23,'01.08 Nalya-Bweyogerere-24h'!D23,'03.08 Nalya-Bweyogerere-24h'!D23,'04.08 Nalya-Bweyogerere'!D23)</f>
        <v>6.5714285714285712</v>
      </c>
      <c r="E23" s="49">
        <f>AVERAGE('29.07 Nalya-Bweyogerere'!E23,'30.07 Nalya-Bweyogerere'!E23,'31.07 Nalya-Bweyogerere'!E23,'02.08 Nalya-Bweyogerere'!E23,'01.08 Nalya-Bweyogerere-24h'!E23,'03.08 Nalya-Bweyogerere-24h'!E23,'04.08 Nalya-Bweyogerere'!E23)</f>
        <v>4.4285714285714288</v>
      </c>
      <c r="F23" s="49">
        <f>AVERAGE('29.07 Nalya-Bweyogerere'!F23,'30.07 Nalya-Bweyogerere'!F23,'31.07 Nalya-Bweyogerere'!F23,'02.08 Nalya-Bweyogerere'!F23,'01.08 Nalya-Bweyogerere-24h'!F23,'03.08 Nalya-Bweyogerere-24h'!F23,'04.08 Nalya-Bweyogerere'!F23)</f>
        <v>23.285714285714285</v>
      </c>
      <c r="G23" s="49">
        <f>AVERAGE('29.07 Nalya-Bweyogerere'!G23,'30.07 Nalya-Bweyogerere'!G23,'31.07 Nalya-Bweyogerere'!G23,'02.08 Nalya-Bweyogerere'!G23,'01.08 Nalya-Bweyogerere-24h'!G23,'03.08 Nalya-Bweyogerere-24h'!G23,'04.08 Nalya-Bweyogerere'!G23)</f>
        <v>0.8571428571428571</v>
      </c>
      <c r="H23" s="49">
        <f>AVERAGE('29.07 Nalya-Bweyogerere'!H23,'30.07 Nalya-Bweyogerere'!H23,'31.07 Nalya-Bweyogerere'!H23,'02.08 Nalya-Bweyogerere'!H23,'01.08 Nalya-Bweyogerere-24h'!H23,'03.08 Nalya-Bweyogerere-24h'!H23,'04.08 Nalya-Bweyogerere'!H23)</f>
        <v>0</v>
      </c>
      <c r="I23" s="49">
        <f>AVERAGE('29.07 Nalya-Bweyogerere'!I23,'30.07 Nalya-Bweyogerere'!I23,'31.07 Nalya-Bweyogerere'!I23,'02.08 Nalya-Bweyogerere'!I23,'01.08 Nalya-Bweyogerere-24h'!I23,'03.08 Nalya-Bweyogerere-24h'!I23,'04.08 Nalya-Bweyogerere'!I23)</f>
        <v>5</v>
      </c>
      <c r="J23" s="49">
        <f>AVERAGE('29.07 Nalya-Bweyogerere'!J23,'30.07 Nalya-Bweyogerere'!J23,'31.07 Nalya-Bweyogerere'!J23,'02.08 Nalya-Bweyogerere'!J23,'01.08 Nalya-Bweyogerere-24h'!J23,'03.08 Nalya-Bweyogerere-24h'!J23,'04.08 Nalya-Bweyogerere'!J23)</f>
        <v>2</v>
      </c>
      <c r="K23" s="49">
        <f>AVERAGE('29.07 Nalya-Bweyogerere'!K23,'30.07 Nalya-Bweyogerere'!K23,'31.07 Nalya-Bweyogerere'!K23,'02.08 Nalya-Bweyogerere'!K23,'01.08 Nalya-Bweyogerere-24h'!K23,'03.08 Nalya-Bweyogerere-24h'!K23,'04.08 Nalya-Bweyogerere'!K23)</f>
        <v>5.5714285714285712</v>
      </c>
      <c r="L23" s="49">
        <f>AVERAGE('29.07 Nalya-Bweyogerere'!L23,'30.07 Nalya-Bweyogerere'!L23,'31.07 Nalya-Bweyogerere'!L23,'02.08 Nalya-Bweyogerere'!L23,'01.08 Nalya-Bweyogerere-24h'!L23,'03.08 Nalya-Bweyogerere-24h'!L23,'04.08 Nalya-Bweyogerere'!L23)</f>
        <v>2.1428571428571428</v>
      </c>
      <c r="M23" s="49">
        <f>AVERAGE('29.07 Nalya-Bweyogerere'!M23,'30.07 Nalya-Bweyogerere'!M23,'31.07 Nalya-Bweyogerere'!M23,'02.08 Nalya-Bweyogerere'!M23,'01.08 Nalya-Bweyogerere-24h'!M23,'03.08 Nalya-Bweyogerere-24h'!M23,'04.08 Nalya-Bweyogerere'!M23)</f>
        <v>35.428571428571431</v>
      </c>
      <c r="N23" s="49">
        <f>AVERAGE('29.07 Nalya-Bweyogerere'!N23,'30.07 Nalya-Bweyogerere'!N23,'31.07 Nalya-Bweyogerere'!N23,'02.08 Nalya-Bweyogerere'!N23,'01.08 Nalya-Bweyogerere-24h'!N23,'03.08 Nalya-Bweyogerere-24h'!N23,'04.08 Nalya-Bweyogerere'!N23)</f>
        <v>0</v>
      </c>
      <c r="O23" s="15">
        <f t="shared" si="0"/>
        <v>68.857142857142847</v>
      </c>
      <c r="P23" s="15">
        <f t="shared" si="1"/>
        <v>104.28571428571428</v>
      </c>
      <c r="R23" s="1" t="s">
        <v>147</v>
      </c>
      <c r="S23" s="34">
        <f>SUM(C62:C65)</f>
        <v>157</v>
      </c>
      <c r="T23" s="34">
        <f t="shared" ref="T23:AF23" si="15">SUM(D62:D65)</f>
        <v>44.5</v>
      </c>
      <c r="U23" s="34">
        <f t="shared" si="15"/>
        <v>22</v>
      </c>
      <c r="V23" s="34">
        <f t="shared" si="15"/>
        <v>92.5</v>
      </c>
      <c r="W23" s="34">
        <f t="shared" si="15"/>
        <v>2.5</v>
      </c>
      <c r="X23" s="34">
        <f t="shared" si="15"/>
        <v>1.5</v>
      </c>
      <c r="Y23" s="34">
        <f t="shared" si="15"/>
        <v>8.5</v>
      </c>
      <c r="Z23" s="34">
        <f t="shared" si="15"/>
        <v>12</v>
      </c>
      <c r="AA23" s="34">
        <f t="shared" si="15"/>
        <v>6.5</v>
      </c>
      <c r="AB23" s="34">
        <f t="shared" si="15"/>
        <v>17.5</v>
      </c>
      <c r="AC23" s="34">
        <f t="shared" si="15"/>
        <v>150.5</v>
      </c>
      <c r="AD23" s="34">
        <f t="shared" si="15"/>
        <v>0</v>
      </c>
      <c r="AE23" s="51">
        <f t="shared" si="15"/>
        <v>364.5</v>
      </c>
      <c r="AF23" s="51">
        <f t="shared" si="15"/>
        <v>515</v>
      </c>
    </row>
    <row r="24" spans="2:32" ht="23.1" customHeight="1" x14ac:dyDescent="0.25">
      <c r="B24" s="23" t="s">
        <v>51</v>
      </c>
      <c r="C24" s="49">
        <f>AVERAGE('29.07 Nalya-Bweyogerere'!C24,'30.07 Nalya-Bweyogerere'!C24,'31.07 Nalya-Bweyogerere'!C24,'02.08 Nalya-Bweyogerere'!C24,'01.08 Nalya-Bweyogerere-24h'!C24,'03.08 Nalya-Bweyogerere-24h'!C24,'04.08 Nalya-Bweyogerere'!C24)</f>
        <v>20.714285714285715</v>
      </c>
      <c r="D24" s="49">
        <f>AVERAGE('29.07 Nalya-Bweyogerere'!D24,'30.07 Nalya-Bweyogerere'!D24,'31.07 Nalya-Bweyogerere'!D24,'02.08 Nalya-Bweyogerere'!D24,'01.08 Nalya-Bweyogerere-24h'!D24,'03.08 Nalya-Bweyogerere-24h'!D24,'04.08 Nalya-Bweyogerere'!D24)</f>
        <v>6.4285714285714288</v>
      </c>
      <c r="E24" s="49">
        <f>AVERAGE('29.07 Nalya-Bweyogerere'!E24,'30.07 Nalya-Bweyogerere'!E24,'31.07 Nalya-Bweyogerere'!E24,'02.08 Nalya-Bweyogerere'!E24,'01.08 Nalya-Bweyogerere-24h'!E24,'03.08 Nalya-Bweyogerere-24h'!E24,'04.08 Nalya-Bweyogerere'!E24)</f>
        <v>2.5714285714285716</v>
      </c>
      <c r="F24" s="49">
        <f>AVERAGE('29.07 Nalya-Bweyogerere'!F24,'30.07 Nalya-Bweyogerere'!F24,'31.07 Nalya-Bweyogerere'!F24,'02.08 Nalya-Bweyogerere'!F24,'01.08 Nalya-Bweyogerere-24h'!F24,'03.08 Nalya-Bweyogerere-24h'!F24,'04.08 Nalya-Bweyogerere'!F24)</f>
        <v>20.428571428571427</v>
      </c>
      <c r="G24" s="49">
        <f>AVERAGE('29.07 Nalya-Bweyogerere'!G24,'30.07 Nalya-Bweyogerere'!G24,'31.07 Nalya-Bweyogerere'!G24,'02.08 Nalya-Bweyogerere'!G24,'01.08 Nalya-Bweyogerere-24h'!G24,'03.08 Nalya-Bweyogerere-24h'!G24,'04.08 Nalya-Bweyogerere'!G24)</f>
        <v>0.42857142857142855</v>
      </c>
      <c r="H24" s="49">
        <f>AVERAGE('29.07 Nalya-Bweyogerere'!H24,'30.07 Nalya-Bweyogerere'!H24,'31.07 Nalya-Bweyogerere'!H24,'02.08 Nalya-Bweyogerere'!H24,'01.08 Nalya-Bweyogerere-24h'!H24,'03.08 Nalya-Bweyogerere-24h'!H24,'04.08 Nalya-Bweyogerere'!H24)</f>
        <v>0.14285714285714285</v>
      </c>
      <c r="I24" s="49">
        <f>AVERAGE('29.07 Nalya-Bweyogerere'!I24,'30.07 Nalya-Bweyogerere'!I24,'31.07 Nalya-Bweyogerere'!I24,'02.08 Nalya-Bweyogerere'!I24,'01.08 Nalya-Bweyogerere-24h'!I24,'03.08 Nalya-Bweyogerere-24h'!I24,'04.08 Nalya-Bweyogerere'!I24)</f>
        <v>6.2857142857142856</v>
      </c>
      <c r="J24" s="49">
        <f>AVERAGE('29.07 Nalya-Bweyogerere'!J24,'30.07 Nalya-Bweyogerere'!J24,'31.07 Nalya-Bweyogerere'!J24,'02.08 Nalya-Bweyogerere'!J24,'01.08 Nalya-Bweyogerere-24h'!J24,'03.08 Nalya-Bweyogerere-24h'!J24,'04.08 Nalya-Bweyogerere'!J24)</f>
        <v>3.5714285714285716</v>
      </c>
      <c r="K24" s="49">
        <f>AVERAGE('29.07 Nalya-Bweyogerere'!K24,'30.07 Nalya-Bweyogerere'!K24,'31.07 Nalya-Bweyogerere'!K24,'02.08 Nalya-Bweyogerere'!K24,'01.08 Nalya-Bweyogerere-24h'!K24,'03.08 Nalya-Bweyogerere-24h'!K24,'04.08 Nalya-Bweyogerere'!K24)</f>
        <v>3.2857142857142856</v>
      </c>
      <c r="L24" s="49">
        <f>AVERAGE('29.07 Nalya-Bweyogerere'!L24,'30.07 Nalya-Bweyogerere'!L24,'31.07 Nalya-Bweyogerere'!L24,'02.08 Nalya-Bweyogerere'!L24,'01.08 Nalya-Bweyogerere-24h'!L24,'03.08 Nalya-Bweyogerere-24h'!L24,'04.08 Nalya-Bweyogerere'!L24)</f>
        <v>3.5714285714285716</v>
      </c>
      <c r="M24" s="49">
        <f>AVERAGE('29.07 Nalya-Bweyogerere'!M24,'30.07 Nalya-Bweyogerere'!M24,'31.07 Nalya-Bweyogerere'!M24,'02.08 Nalya-Bweyogerere'!M24,'01.08 Nalya-Bweyogerere-24h'!M24,'03.08 Nalya-Bweyogerere-24h'!M24,'04.08 Nalya-Bweyogerere'!M24)</f>
        <v>33.571428571428569</v>
      </c>
      <c r="N24" s="49">
        <f>AVERAGE('29.07 Nalya-Bweyogerere'!N24,'30.07 Nalya-Bweyogerere'!N24,'31.07 Nalya-Bweyogerere'!N24,'02.08 Nalya-Bweyogerere'!N24,'01.08 Nalya-Bweyogerere-24h'!N24,'03.08 Nalya-Bweyogerere-24h'!N24,'04.08 Nalya-Bweyogerere'!N24)</f>
        <v>0</v>
      </c>
      <c r="O24" s="15">
        <f t="shared" si="0"/>
        <v>67.428571428571431</v>
      </c>
      <c r="P24" s="15">
        <f t="shared" si="1"/>
        <v>101</v>
      </c>
      <c r="R24" s="1" t="s">
        <v>148</v>
      </c>
      <c r="S24" s="34">
        <f>SUM(C66:C69)</f>
        <v>153</v>
      </c>
      <c r="T24" s="34">
        <f t="shared" ref="T24:AF24" si="16">SUM(D66:D69)</f>
        <v>25.5</v>
      </c>
      <c r="U24" s="34">
        <f t="shared" si="16"/>
        <v>26</v>
      </c>
      <c r="V24" s="34">
        <f t="shared" si="16"/>
        <v>88</v>
      </c>
      <c r="W24" s="34">
        <f t="shared" si="16"/>
        <v>2.5</v>
      </c>
      <c r="X24" s="34">
        <f t="shared" si="16"/>
        <v>1</v>
      </c>
      <c r="Y24" s="34">
        <f t="shared" si="16"/>
        <v>12.5</v>
      </c>
      <c r="Z24" s="34">
        <f t="shared" si="16"/>
        <v>13</v>
      </c>
      <c r="AA24" s="34">
        <f t="shared" si="16"/>
        <v>12</v>
      </c>
      <c r="AB24" s="34">
        <f t="shared" si="16"/>
        <v>16.5</v>
      </c>
      <c r="AC24" s="34">
        <f t="shared" si="16"/>
        <v>88.5</v>
      </c>
      <c r="AD24" s="34">
        <f t="shared" si="16"/>
        <v>0</v>
      </c>
      <c r="AE24" s="51">
        <f t="shared" si="16"/>
        <v>350</v>
      </c>
      <c r="AF24" s="51">
        <f t="shared" si="16"/>
        <v>438.5</v>
      </c>
    </row>
    <row r="25" spans="2:32" ht="23.1" customHeight="1" x14ac:dyDescent="0.25">
      <c r="B25" s="23" t="s">
        <v>52</v>
      </c>
      <c r="C25" s="49">
        <f>AVERAGE('29.07 Nalya-Bweyogerere'!C25,'30.07 Nalya-Bweyogerere'!C25,'31.07 Nalya-Bweyogerere'!C25,'02.08 Nalya-Bweyogerere'!C25,'01.08 Nalya-Bweyogerere-24h'!C25,'03.08 Nalya-Bweyogerere-24h'!C25,'04.08 Nalya-Bweyogerere'!C25)</f>
        <v>17.714285714285715</v>
      </c>
      <c r="D25" s="49">
        <f>AVERAGE('29.07 Nalya-Bweyogerere'!D25,'30.07 Nalya-Bweyogerere'!D25,'31.07 Nalya-Bweyogerere'!D25,'02.08 Nalya-Bweyogerere'!D25,'01.08 Nalya-Bweyogerere-24h'!D25,'03.08 Nalya-Bweyogerere-24h'!D25,'04.08 Nalya-Bweyogerere'!D25)</f>
        <v>7.7142857142857144</v>
      </c>
      <c r="E25" s="49">
        <f>AVERAGE('29.07 Nalya-Bweyogerere'!E25,'30.07 Nalya-Bweyogerere'!E25,'31.07 Nalya-Bweyogerere'!E25,'02.08 Nalya-Bweyogerere'!E25,'01.08 Nalya-Bweyogerere-24h'!E25,'03.08 Nalya-Bweyogerere-24h'!E25,'04.08 Nalya-Bweyogerere'!E25)</f>
        <v>4.4285714285714288</v>
      </c>
      <c r="F25" s="49">
        <f>AVERAGE('29.07 Nalya-Bweyogerere'!F25,'30.07 Nalya-Bweyogerere'!F25,'31.07 Nalya-Bweyogerere'!F25,'02.08 Nalya-Bweyogerere'!F25,'01.08 Nalya-Bweyogerere-24h'!F25,'03.08 Nalya-Bweyogerere-24h'!F25,'04.08 Nalya-Bweyogerere'!F25)</f>
        <v>23.571428571428573</v>
      </c>
      <c r="G25" s="49">
        <f>AVERAGE('29.07 Nalya-Bweyogerere'!G25,'30.07 Nalya-Bweyogerere'!G25,'31.07 Nalya-Bweyogerere'!G25,'02.08 Nalya-Bweyogerere'!G25,'01.08 Nalya-Bweyogerere-24h'!G25,'03.08 Nalya-Bweyogerere-24h'!G25,'04.08 Nalya-Bweyogerere'!G25)</f>
        <v>0.5714285714285714</v>
      </c>
      <c r="H25" s="49">
        <f>AVERAGE('29.07 Nalya-Bweyogerere'!H25,'30.07 Nalya-Bweyogerere'!H25,'31.07 Nalya-Bweyogerere'!H25,'02.08 Nalya-Bweyogerere'!H25,'01.08 Nalya-Bweyogerere-24h'!H25,'03.08 Nalya-Bweyogerere-24h'!H25,'04.08 Nalya-Bweyogerere'!H25)</f>
        <v>0</v>
      </c>
      <c r="I25" s="49">
        <f>AVERAGE('29.07 Nalya-Bweyogerere'!I25,'30.07 Nalya-Bweyogerere'!I25,'31.07 Nalya-Bweyogerere'!I25,'02.08 Nalya-Bweyogerere'!I25,'01.08 Nalya-Bweyogerere-24h'!I25,'03.08 Nalya-Bweyogerere-24h'!I25,'04.08 Nalya-Bweyogerere'!I25)</f>
        <v>4.1428571428571432</v>
      </c>
      <c r="J25" s="49">
        <f>AVERAGE('29.07 Nalya-Bweyogerere'!J25,'30.07 Nalya-Bweyogerere'!J25,'31.07 Nalya-Bweyogerere'!J25,'02.08 Nalya-Bweyogerere'!J25,'01.08 Nalya-Bweyogerere-24h'!J25,'03.08 Nalya-Bweyogerere-24h'!J25,'04.08 Nalya-Bweyogerere'!J25)</f>
        <v>3</v>
      </c>
      <c r="K25" s="49">
        <f>AVERAGE('29.07 Nalya-Bweyogerere'!K25,'30.07 Nalya-Bweyogerere'!K25,'31.07 Nalya-Bweyogerere'!K25,'02.08 Nalya-Bweyogerere'!K25,'01.08 Nalya-Bweyogerere-24h'!K25,'03.08 Nalya-Bweyogerere-24h'!K25,'04.08 Nalya-Bweyogerere'!K25)</f>
        <v>3.8571428571428572</v>
      </c>
      <c r="L25" s="49">
        <f>AVERAGE('29.07 Nalya-Bweyogerere'!L25,'30.07 Nalya-Bweyogerere'!L25,'31.07 Nalya-Bweyogerere'!L25,'02.08 Nalya-Bweyogerere'!L25,'01.08 Nalya-Bweyogerere-24h'!L25,'03.08 Nalya-Bweyogerere-24h'!L25,'04.08 Nalya-Bweyogerere'!L25)</f>
        <v>3.4285714285714284</v>
      </c>
      <c r="M25" s="49">
        <f>AVERAGE('29.07 Nalya-Bweyogerere'!M25,'30.07 Nalya-Bweyogerere'!M25,'31.07 Nalya-Bweyogerere'!M25,'02.08 Nalya-Bweyogerere'!M25,'01.08 Nalya-Bweyogerere-24h'!M25,'03.08 Nalya-Bweyogerere-24h'!M25,'04.08 Nalya-Bweyogerere'!M25)</f>
        <v>37.142857142857146</v>
      </c>
      <c r="N25" s="49">
        <f>AVERAGE('29.07 Nalya-Bweyogerere'!N25,'30.07 Nalya-Bweyogerere'!N25,'31.07 Nalya-Bweyogerere'!N25,'02.08 Nalya-Bweyogerere'!N25,'01.08 Nalya-Bweyogerere-24h'!N25,'03.08 Nalya-Bweyogerere-24h'!N25,'04.08 Nalya-Bweyogerere'!N25)</f>
        <v>0</v>
      </c>
      <c r="O25" s="15">
        <f t="shared" si="0"/>
        <v>68.428571428571431</v>
      </c>
      <c r="P25" s="15">
        <f t="shared" si="1"/>
        <v>105.57142857142858</v>
      </c>
      <c r="R25" s="1" t="s">
        <v>149</v>
      </c>
      <c r="S25" s="34">
        <f>SUM(C70:C73)</f>
        <v>95.5</v>
      </c>
      <c r="T25" s="34">
        <f t="shared" ref="T25:AF25" si="17">SUM(D70:D73)</f>
        <v>19</v>
      </c>
      <c r="U25" s="34">
        <f t="shared" si="17"/>
        <v>11</v>
      </c>
      <c r="V25" s="34">
        <f t="shared" si="17"/>
        <v>59</v>
      </c>
      <c r="W25" s="34">
        <f t="shared" si="17"/>
        <v>3.5</v>
      </c>
      <c r="X25" s="34">
        <f t="shared" si="17"/>
        <v>0</v>
      </c>
      <c r="Y25" s="34">
        <f t="shared" si="17"/>
        <v>6</v>
      </c>
      <c r="Z25" s="34">
        <f t="shared" si="17"/>
        <v>11</v>
      </c>
      <c r="AA25" s="34">
        <f t="shared" si="17"/>
        <v>5</v>
      </c>
      <c r="AB25" s="34">
        <f t="shared" si="17"/>
        <v>19</v>
      </c>
      <c r="AC25" s="34">
        <f t="shared" si="17"/>
        <v>58.5</v>
      </c>
      <c r="AD25" s="34">
        <f t="shared" si="17"/>
        <v>0</v>
      </c>
      <c r="AE25" s="51">
        <f t="shared" si="17"/>
        <v>229</v>
      </c>
      <c r="AF25" s="51">
        <f t="shared" si="17"/>
        <v>287.5</v>
      </c>
    </row>
    <row r="26" spans="2:32" ht="23.1" customHeight="1" x14ac:dyDescent="0.25">
      <c r="B26" s="23" t="s">
        <v>53</v>
      </c>
      <c r="C26" s="49">
        <f>AVERAGE('29.07 Nalya-Bweyogerere'!C26,'30.07 Nalya-Bweyogerere'!C26,'31.07 Nalya-Bweyogerere'!C26,'02.08 Nalya-Bweyogerere'!C26,'01.08 Nalya-Bweyogerere-24h'!C26,'03.08 Nalya-Bweyogerere-24h'!C26,'04.08 Nalya-Bweyogerere'!C26)</f>
        <v>20.571428571428573</v>
      </c>
      <c r="D26" s="49">
        <f>AVERAGE('29.07 Nalya-Bweyogerere'!D26,'30.07 Nalya-Bweyogerere'!D26,'31.07 Nalya-Bweyogerere'!D26,'02.08 Nalya-Bweyogerere'!D26,'01.08 Nalya-Bweyogerere-24h'!D26,'03.08 Nalya-Bweyogerere-24h'!D26,'04.08 Nalya-Bweyogerere'!D26)</f>
        <v>6.8571428571428568</v>
      </c>
      <c r="E26" s="49">
        <f>AVERAGE('29.07 Nalya-Bweyogerere'!E26,'30.07 Nalya-Bweyogerere'!E26,'31.07 Nalya-Bweyogerere'!E26,'02.08 Nalya-Bweyogerere'!E26,'01.08 Nalya-Bweyogerere-24h'!E26,'03.08 Nalya-Bweyogerere-24h'!E26,'04.08 Nalya-Bweyogerere'!E26)</f>
        <v>3.2857142857142856</v>
      </c>
      <c r="F26" s="49">
        <f>AVERAGE('29.07 Nalya-Bweyogerere'!F26,'30.07 Nalya-Bweyogerere'!F26,'31.07 Nalya-Bweyogerere'!F26,'02.08 Nalya-Bweyogerere'!F26,'01.08 Nalya-Bweyogerere-24h'!F26,'03.08 Nalya-Bweyogerere-24h'!F26,'04.08 Nalya-Bweyogerere'!F26)</f>
        <v>24</v>
      </c>
      <c r="G26" s="49">
        <f>AVERAGE('29.07 Nalya-Bweyogerere'!G26,'30.07 Nalya-Bweyogerere'!G26,'31.07 Nalya-Bweyogerere'!G26,'02.08 Nalya-Bweyogerere'!G26,'01.08 Nalya-Bweyogerere-24h'!G26,'03.08 Nalya-Bweyogerere-24h'!G26,'04.08 Nalya-Bweyogerere'!G26)</f>
        <v>0.5714285714285714</v>
      </c>
      <c r="H26" s="49">
        <f>AVERAGE('29.07 Nalya-Bweyogerere'!H26,'30.07 Nalya-Bweyogerere'!H26,'31.07 Nalya-Bweyogerere'!H26,'02.08 Nalya-Bweyogerere'!H26,'01.08 Nalya-Bweyogerere-24h'!H26,'03.08 Nalya-Bweyogerere-24h'!H26,'04.08 Nalya-Bweyogerere'!H26)</f>
        <v>0</v>
      </c>
      <c r="I26" s="49">
        <f>AVERAGE('29.07 Nalya-Bweyogerere'!I26,'30.07 Nalya-Bweyogerere'!I26,'31.07 Nalya-Bweyogerere'!I26,'02.08 Nalya-Bweyogerere'!I26,'01.08 Nalya-Bweyogerere-24h'!I26,'03.08 Nalya-Bweyogerere-24h'!I26,'04.08 Nalya-Bweyogerere'!I26)</f>
        <v>5.8571428571428568</v>
      </c>
      <c r="J26" s="49">
        <f>AVERAGE('29.07 Nalya-Bweyogerere'!J26,'30.07 Nalya-Bweyogerere'!J26,'31.07 Nalya-Bweyogerere'!J26,'02.08 Nalya-Bweyogerere'!J26,'01.08 Nalya-Bweyogerere-24h'!J26,'03.08 Nalya-Bweyogerere-24h'!J26,'04.08 Nalya-Bweyogerere'!J26)</f>
        <v>3.8571428571428572</v>
      </c>
      <c r="K26" s="49">
        <f>AVERAGE('29.07 Nalya-Bweyogerere'!K26,'30.07 Nalya-Bweyogerere'!K26,'31.07 Nalya-Bweyogerere'!K26,'02.08 Nalya-Bweyogerere'!K26,'01.08 Nalya-Bweyogerere-24h'!K26,'03.08 Nalya-Bweyogerere-24h'!K26,'04.08 Nalya-Bweyogerere'!K26)</f>
        <v>4.7142857142857144</v>
      </c>
      <c r="L26" s="49">
        <f>AVERAGE('29.07 Nalya-Bweyogerere'!L26,'30.07 Nalya-Bweyogerere'!L26,'31.07 Nalya-Bweyogerere'!L26,'02.08 Nalya-Bweyogerere'!L26,'01.08 Nalya-Bweyogerere-24h'!L26,'03.08 Nalya-Bweyogerere-24h'!L26,'04.08 Nalya-Bweyogerere'!L26)</f>
        <v>3.7142857142857144</v>
      </c>
      <c r="M26" s="49">
        <f>AVERAGE('29.07 Nalya-Bweyogerere'!M26,'30.07 Nalya-Bweyogerere'!M26,'31.07 Nalya-Bweyogerere'!M26,'02.08 Nalya-Bweyogerere'!M26,'01.08 Nalya-Bweyogerere-24h'!M26,'03.08 Nalya-Bweyogerere-24h'!M26,'04.08 Nalya-Bweyogerere'!M26)</f>
        <v>36.571428571428569</v>
      </c>
      <c r="N26" s="49">
        <f>AVERAGE('29.07 Nalya-Bweyogerere'!N26,'30.07 Nalya-Bweyogerere'!N26,'31.07 Nalya-Bweyogerere'!N26,'02.08 Nalya-Bweyogerere'!N26,'01.08 Nalya-Bweyogerere-24h'!N26,'03.08 Nalya-Bweyogerere-24h'!N26,'04.08 Nalya-Bweyogerere'!N26)</f>
        <v>0</v>
      </c>
      <c r="O26" s="15">
        <f t="shared" si="0"/>
        <v>73.428571428571416</v>
      </c>
      <c r="P26" s="15">
        <f t="shared" si="1"/>
        <v>109.99999999999999</v>
      </c>
      <c r="R26" s="1" t="s">
        <v>150</v>
      </c>
      <c r="S26" s="34">
        <f>SUM(C74:C77)</f>
        <v>64</v>
      </c>
      <c r="T26" s="34">
        <f t="shared" ref="T26:AF26" si="18">SUM(D74:D77)</f>
        <v>14</v>
      </c>
      <c r="U26" s="34">
        <f t="shared" si="18"/>
        <v>9</v>
      </c>
      <c r="V26" s="34">
        <f t="shared" si="18"/>
        <v>37</v>
      </c>
      <c r="W26" s="34">
        <f t="shared" si="18"/>
        <v>1</v>
      </c>
      <c r="X26" s="34">
        <f t="shared" si="18"/>
        <v>0</v>
      </c>
      <c r="Y26" s="34">
        <f t="shared" si="18"/>
        <v>6</v>
      </c>
      <c r="Z26" s="34">
        <f t="shared" si="18"/>
        <v>13.5</v>
      </c>
      <c r="AA26" s="34">
        <f t="shared" si="18"/>
        <v>6</v>
      </c>
      <c r="AB26" s="34">
        <f t="shared" si="18"/>
        <v>9.5</v>
      </c>
      <c r="AC26" s="34">
        <f t="shared" si="18"/>
        <v>35.5</v>
      </c>
      <c r="AD26" s="34">
        <f t="shared" si="18"/>
        <v>0.5</v>
      </c>
      <c r="AE26" s="51">
        <f t="shared" si="18"/>
        <v>160.5</v>
      </c>
      <c r="AF26" s="51">
        <f t="shared" si="18"/>
        <v>196</v>
      </c>
    </row>
    <row r="27" spans="2:32" ht="23.1" customHeight="1" x14ac:dyDescent="0.25">
      <c r="B27" s="23" t="s">
        <v>54</v>
      </c>
      <c r="C27" s="49">
        <f>AVERAGE('29.07 Nalya-Bweyogerere'!C27,'30.07 Nalya-Bweyogerere'!C27,'31.07 Nalya-Bweyogerere'!C27,'02.08 Nalya-Bweyogerere'!C27,'01.08 Nalya-Bweyogerere-24h'!C27,'03.08 Nalya-Bweyogerere-24h'!C27,'04.08 Nalya-Bweyogerere'!C27)</f>
        <v>17.428571428571427</v>
      </c>
      <c r="D27" s="49">
        <f>AVERAGE('29.07 Nalya-Bweyogerere'!D27,'30.07 Nalya-Bweyogerere'!D27,'31.07 Nalya-Bweyogerere'!D27,'02.08 Nalya-Bweyogerere'!D27,'01.08 Nalya-Bweyogerere-24h'!D27,'03.08 Nalya-Bweyogerere-24h'!D27,'04.08 Nalya-Bweyogerere'!D27)</f>
        <v>8.7142857142857135</v>
      </c>
      <c r="E27" s="49">
        <f>AVERAGE('29.07 Nalya-Bweyogerere'!E27,'30.07 Nalya-Bweyogerere'!E27,'31.07 Nalya-Bweyogerere'!E27,'02.08 Nalya-Bweyogerere'!E27,'01.08 Nalya-Bweyogerere-24h'!E27,'03.08 Nalya-Bweyogerere-24h'!E27,'04.08 Nalya-Bweyogerere'!E27)</f>
        <v>3.2857142857142856</v>
      </c>
      <c r="F27" s="49">
        <f>AVERAGE('29.07 Nalya-Bweyogerere'!F27,'30.07 Nalya-Bweyogerere'!F27,'31.07 Nalya-Bweyogerere'!F27,'02.08 Nalya-Bweyogerere'!F27,'01.08 Nalya-Bweyogerere-24h'!F27,'03.08 Nalya-Bweyogerere-24h'!F27,'04.08 Nalya-Bweyogerere'!F27)</f>
        <v>23.571428571428573</v>
      </c>
      <c r="G27" s="49">
        <f>AVERAGE('29.07 Nalya-Bweyogerere'!G27,'30.07 Nalya-Bweyogerere'!G27,'31.07 Nalya-Bweyogerere'!G27,'02.08 Nalya-Bweyogerere'!G27,'01.08 Nalya-Bweyogerere-24h'!G27,'03.08 Nalya-Bweyogerere-24h'!G27,'04.08 Nalya-Bweyogerere'!G27)</f>
        <v>0.14285714285714285</v>
      </c>
      <c r="H27" s="49">
        <f>AVERAGE('29.07 Nalya-Bweyogerere'!H27,'30.07 Nalya-Bweyogerere'!H27,'31.07 Nalya-Bweyogerere'!H27,'02.08 Nalya-Bweyogerere'!H27,'01.08 Nalya-Bweyogerere-24h'!H27,'03.08 Nalya-Bweyogerere-24h'!H27,'04.08 Nalya-Bweyogerere'!H27)</f>
        <v>0</v>
      </c>
      <c r="I27" s="49">
        <f>AVERAGE('29.07 Nalya-Bweyogerere'!I27,'30.07 Nalya-Bweyogerere'!I27,'31.07 Nalya-Bweyogerere'!I27,'02.08 Nalya-Bweyogerere'!I27,'01.08 Nalya-Bweyogerere-24h'!I27,'03.08 Nalya-Bweyogerere-24h'!I27,'04.08 Nalya-Bweyogerere'!I27)</f>
        <v>5.8571428571428568</v>
      </c>
      <c r="J27" s="49">
        <f>AVERAGE('29.07 Nalya-Bweyogerere'!J27,'30.07 Nalya-Bweyogerere'!J27,'31.07 Nalya-Bweyogerere'!J27,'02.08 Nalya-Bweyogerere'!J27,'01.08 Nalya-Bweyogerere-24h'!J27,'03.08 Nalya-Bweyogerere-24h'!J27,'04.08 Nalya-Bweyogerere'!J27)</f>
        <v>4.7142857142857144</v>
      </c>
      <c r="K27" s="49">
        <f>AVERAGE('29.07 Nalya-Bweyogerere'!K27,'30.07 Nalya-Bweyogerere'!K27,'31.07 Nalya-Bweyogerere'!K27,'02.08 Nalya-Bweyogerere'!K27,'01.08 Nalya-Bweyogerere-24h'!K27,'03.08 Nalya-Bweyogerere-24h'!K27,'04.08 Nalya-Bweyogerere'!K27)</f>
        <v>3.5714285714285716</v>
      </c>
      <c r="L27" s="49">
        <f>AVERAGE('29.07 Nalya-Bweyogerere'!L27,'30.07 Nalya-Bweyogerere'!L27,'31.07 Nalya-Bweyogerere'!L27,'02.08 Nalya-Bweyogerere'!L27,'01.08 Nalya-Bweyogerere-24h'!L27,'03.08 Nalya-Bweyogerere-24h'!L27,'04.08 Nalya-Bweyogerere'!L27)</f>
        <v>4.1428571428571432</v>
      </c>
      <c r="M27" s="49">
        <f>AVERAGE('29.07 Nalya-Bweyogerere'!M27,'30.07 Nalya-Bweyogerere'!M27,'31.07 Nalya-Bweyogerere'!M27,'02.08 Nalya-Bweyogerere'!M27,'01.08 Nalya-Bweyogerere-24h'!M27,'03.08 Nalya-Bweyogerere-24h'!M27,'04.08 Nalya-Bweyogerere'!M27)</f>
        <v>35.428571428571431</v>
      </c>
      <c r="N27" s="49">
        <f>AVERAGE('29.07 Nalya-Bweyogerere'!N27,'30.07 Nalya-Bweyogerere'!N27,'31.07 Nalya-Bweyogerere'!N27,'02.08 Nalya-Bweyogerere'!N27,'01.08 Nalya-Bweyogerere-24h'!N27,'03.08 Nalya-Bweyogerere-24h'!N27,'04.08 Nalya-Bweyogerere'!N27)</f>
        <v>0</v>
      </c>
      <c r="O27" s="15">
        <f t="shared" si="0"/>
        <v>71.428571428571431</v>
      </c>
      <c r="P27" s="15">
        <f t="shared" si="1"/>
        <v>106.85714285714286</v>
      </c>
      <c r="R27" s="1" t="s">
        <v>151</v>
      </c>
      <c r="S27" s="34">
        <f>SUM(C78:C81)</f>
        <v>36</v>
      </c>
      <c r="T27" s="34">
        <f t="shared" ref="T27:AF27" si="19">SUM(D78:D81)</f>
        <v>11.5</v>
      </c>
      <c r="U27" s="34">
        <f t="shared" si="19"/>
        <v>7.5</v>
      </c>
      <c r="V27" s="34">
        <f t="shared" si="19"/>
        <v>14</v>
      </c>
      <c r="W27" s="34">
        <f t="shared" si="19"/>
        <v>0</v>
      </c>
      <c r="X27" s="34">
        <f t="shared" si="19"/>
        <v>0</v>
      </c>
      <c r="Y27" s="34">
        <f t="shared" si="19"/>
        <v>7</v>
      </c>
      <c r="Z27" s="34">
        <f t="shared" si="19"/>
        <v>10.5</v>
      </c>
      <c r="AA27" s="34">
        <f t="shared" si="19"/>
        <v>4.5</v>
      </c>
      <c r="AB27" s="34">
        <f t="shared" si="19"/>
        <v>11</v>
      </c>
      <c r="AC27" s="34">
        <f t="shared" si="19"/>
        <v>17</v>
      </c>
      <c r="AD27" s="34">
        <f t="shared" si="19"/>
        <v>0</v>
      </c>
      <c r="AE27" s="51">
        <f t="shared" si="19"/>
        <v>102</v>
      </c>
      <c r="AF27" s="51">
        <f t="shared" si="19"/>
        <v>119</v>
      </c>
    </row>
    <row r="28" spans="2:32" ht="23.1" customHeight="1" x14ac:dyDescent="0.25">
      <c r="B28" s="23" t="s">
        <v>55</v>
      </c>
      <c r="C28" s="49">
        <f>AVERAGE('29.07 Nalya-Bweyogerere'!C28,'30.07 Nalya-Bweyogerere'!C28,'31.07 Nalya-Bweyogerere'!C28,'02.08 Nalya-Bweyogerere'!C28,'01.08 Nalya-Bweyogerere-24h'!C28,'03.08 Nalya-Bweyogerere-24h'!C28,'04.08 Nalya-Bweyogerere'!C28)</f>
        <v>17.857142857142858</v>
      </c>
      <c r="D28" s="49">
        <f>AVERAGE('29.07 Nalya-Bweyogerere'!D28,'30.07 Nalya-Bweyogerere'!D28,'31.07 Nalya-Bweyogerere'!D28,'02.08 Nalya-Bweyogerere'!D28,'01.08 Nalya-Bweyogerere-24h'!D28,'03.08 Nalya-Bweyogerere-24h'!D28,'04.08 Nalya-Bweyogerere'!D28)</f>
        <v>8.7142857142857135</v>
      </c>
      <c r="E28" s="49">
        <f>AVERAGE('29.07 Nalya-Bweyogerere'!E28,'30.07 Nalya-Bweyogerere'!E28,'31.07 Nalya-Bweyogerere'!E28,'02.08 Nalya-Bweyogerere'!E28,'01.08 Nalya-Bweyogerere-24h'!E28,'03.08 Nalya-Bweyogerere-24h'!E28,'04.08 Nalya-Bweyogerere'!E28)</f>
        <v>3.5714285714285716</v>
      </c>
      <c r="F28" s="49">
        <f>AVERAGE('29.07 Nalya-Bweyogerere'!F28,'30.07 Nalya-Bweyogerere'!F28,'31.07 Nalya-Bweyogerere'!F28,'02.08 Nalya-Bweyogerere'!F28,'01.08 Nalya-Bweyogerere-24h'!F28,'03.08 Nalya-Bweyogerere-24h'!F28,'04.08 Nalya-Bweyogerere'!F28)</f>
        <v>21</v>
      </c>
      <c r="G28" s="49">
        <f>AVERAGE('29.07 Nalya-Bweyogerere'!G28,'30.07 Nalya-Bweyogerere'!G28,'31.07 Nalya-Bweyogerere'!G28,'02.08 Nalya-Bweyogerere'!G28,'01.08 Nalya-Bweyogerere-24h'!G28,'03.08 Nalya-Bweyogerere-24h'!G28,'04.08 Nalya-Bweyogerere'!G28)</f>
        <v>0.2857142857142857</v>
      </c>
      <c r="H28" s="49">
        <f>AVERAGE('29.07 Nalya-Bweyogerere'!H28,'30.07 Nalya-Bweyogerere'!H28,'31.07 Nalya-Bweyogerere'!H28,'02.08 Nalya-Bweyogerere'!H28,'01.08 Nalya-Bweyogerere-24h'!H28,'03.08 Nalya-Bweyogerere-24h'!H28,'04.08 Nalya-Bweyogerere'!H28)</f>
        <v>0.14285714285714285</v>
      </c>
      <c r="I28" s="49">
        <f>AVERAGE('29.07 Nalya-Bweyogerere'!I28,'30.07 Nalya-Bweyogerere'!I28,'31.07 Nalya-Bweyogerere'!I28,'02.08 Nalya-Bweyogerere'!I28,'01.08 Nalya-Bweyogerere-24h'!I28,'03.08 Nalya-Bweyogerere-24h'!I28,'04.08 Nalya-Bweyogerere'!I28)</f>
        <v>5.1428571428571432</v>
      </c>
      <c r="J28" s="49">
        <f>AVERAGE('29.07 Nalya-Bweyogerere'!J28,'30.07 Nalya-Bweyogerere'!J28,'31.07 Nalya-Bweyogerere'!J28,'02.08 Nalya-Bweyogerere'!J28,'01.08 Nalya-Bweyogerere-24h'!J28,'03.08 Nalya-Bweyogerere-24h'!J28,'04.08 Nalya-Bweyogerere'!J28)</f>
        <v>4</v>
      </c>
      <c r="K28" s="49">
        <f>AVERAGE('29.07 Nalya-Bweyogerere'!K28,'30.07 Nalya-Bweyogerere'!K28,'31.07 Nalya-Bweyogerere'!K28,'02.08 Nalya-Bweyogerere'!K28,'01.08 Nalya-Bweyogerere-24h'!K28,'03.08 Nalya-Bweyogerere-24h'!K28,'04.08 Nalya-Bweyogerere'!K28)</f>
        <v>3.7142857142857144</v>
      </c>
      <c r="L28" s="49">
        <f>AVERAGE('29.07 Nalya-Bweyogerere'!L28,'30.07 Nalya-Bweyogerere'!L28,'31.07 Nalya-Bweyogerere'!L28,'02.08 Nalya-Bweyogerere'!L28,'01.08 Nalya-Bweyogerere-24h'!L28,'03.08 Nalya-Bweyogerere-24h'!L28,'04.08 Nalya-Bweyogerere'!L28)</f>
        <v>5.5714285714285712</v>
      </c>
      <c r="M28" s="49">
        <f>AVERAGE('29.07 Nalya-Bweyogerere'!M28,'30.07 Nalya-Bweyogerere'!M28,'31.07 Nalya-Bweyogerere'!M28,'02.08 Nalya-Bweyogerere'!M28,'01.08 Nalya-Bweyogerere-24h'!M28,'03.08 Nalya-Bweyogerere-24h'!M28,'04.08 Nalya-Bweyogerere'!M28)</f>
        <v>35.714285714285715</v>
      </c>
      <c r="N28" s="49">
        <f>AVERAGE('29.07 Nalya-Bweyogerere'!N28,'30.07 Nalya-Bweyogerere'!N28,'31.07 Nalya-Bweyogerere'!N28,'02.08 Nalya-Bweyogerere'!N28,'01.08 Nalya-Bweyogerere-24h'!N28,'03.08 Nalya-Bweyogerere-24h'!N28,'04.08 Nalya-Bweyogerere'!N28)</f>
        <v>0</v>
      </c>
      <c r="O28" s="15">
        <f t="shared" si="0"/>
        <v>70</v>
      </c>
      <c r="P28" s="15">
        <f t="shared" si="1"/>
        <v>105.71428571428572</v>
      </c>
      <c r="R28" s="1" t="s">
        <v>152</v>
      </c>
      <c r="S28" s="34">
        <f>SUM(C82:C85)</f>
        <v>19.5</v>
      </c>
      <c r="T28" s="34">
        <f t="shared" ref="T28:AF28" si="20">SUM(D82:D85)</f>
        <v>4.5</v>
      </c>
      <c r="U28" s="34">
        <f t="shared" si="20"/>
        <v>2.5</v>
      </c>
      <c r="V28" s="34">
        <f t="shared" si="20"/>
        <v>2.5</v>
      </c>
      <c r="W28" s="34">
        <f t="shared" si="20"/>
        <v>0.5</v>
      </c>
      <c r="X28" s="34">
        <f t="shared" si="20"/>
        <v>0</v>
      </c>
      <c r="Y28" s="34">
        <f t="shared" si="20"/>
        <v>3.5</v>
      </c>
      <c r="Z28" s="34">
        <f t="shared" si="20"/>
        <v>8</v>
      </c>
      <c r="AA28" s="34">
        <f t="shared" si="20"/>
        <v>7.5</v>
      </c>
      <c r="AB28" s="34">
        <f t="shared" si="20"/>
        <v>7</v>
      </c>
      <c r="AC28" s="34">
        <f t="shared" si="20"/>
        <v>12</v>
      </c>
      <c r="AD28" s="34">
        <f t="shared" si="20"/>
        <v>0</v>
      </c>
      <c r="AE28" s="51">
        <f t="shared" si="20"/>
        <v>55.5</v>
      </c>
      <c r="AF28" s="51">
        <f t="shared" si="20"/>
        <v>67.5</v>
      </c>
    </row>
    <row r="29" spans="2:32" ht="23.1" customHeight="1" x14ac:dyDescent="0.25">
      <c r="B29" s="23" t="s">
        <v>56</v>
      </c>
      <c r="C29" s="49">
        <f>AVERAGE('29.07 Nalya-Bweyogerere'!C29,'30.07 Nalya-Bweyogerere'!C29,'31.07 Nalya-Bweyogerere'!C29,'02.08 Nalya-Bweyogerere'!C29,'01.08 Nalya-Bweyogerere-24h'!C29,'03.08 Nalya-Bweyogerere-24h'!C29,'04.08 Nalya-Bweyogerere'!C29)</f>
        <v>14.857142857142858</v>
      </c>
      <c r="D29" s="49">
        <f>AVERAGE('29.07 Nalya-Bweyogerere'!D29,'30.07 Nalya-Bweyogerere'!D29,'31.07 Nalya-Bweyogerere'!D29,'02.08 Nalya-Bweyogerere'!D29,'01.08 Nalya-Bweyogerere-24h'!D29,'03.08 Nalya-Bweyogerere-24h'!D29,'04.08 Nalya-Bweyogerere'!D29)</f>
        <v>5.8571428571428568</v>
      </c>
      <c r="E29" s="49">
        <f>AVERAGE('29.07 Nalya-Bweyogerere'!E29,'30.07 Nalya-Bweyogerere'!E29,'31.07 Nalya-Bweyogerere'!E29,'02.08 Nalya-Bweyogerere'!E29,'01.08 Nalya-Bweyogerere-24h'!E29,'03.08 Nalya-Bweyogerere-24h'!E29,'04.08 Nalya-Bweyogerere'!E29)</f>
        <v>4.5714285714285712</v>
      </c>
      <c r="F29" s="49">
        <f>AVERAGE('29.07 Nalya-Bweyogerere'!F29,'30.07 Nalya-Bweyogerere'!F29,'31.07 Nalya-Bweyogerere'!F29,'02.08 Nalya-Bweyogerere'!F29,'01.08 Nalya-Bweyogerere-24h'!F29,'03.08 Nalya-Bweyogerere-24h'!F29,'04.08 Nalya-Bweyogerere'!F29)</f>
        <v>21.571428571428573</v>
      </c>
      <c r="G29" s="49">
        <f>AVERAGE('29.07 Nalya-Bweyogerere'!G29,'30.07 Nalya-Bweyogerere'!G29,'31.07 Nalya-Bweyogerere'!G29,'02.08 Nalya-Bweyogerere'!G29,'01.08 Nalya-Bweyogerere-24h'!G29,'03.08 Nalya-Bweyogerere-24h'!G29,'04.08 Nalya-Bweyogerere'!G29)</f>
        <v>0</v>
      </c>
      <c r="H29" s="49">
        <f>AVERAGE('29.07 Nalya-Bweyogerere'!H29,'30.07 Nalya-Bweyogerere'!H29,'31.07 Nalya-Bweyogerere'!H29,'02.08 Nalya-Bweyogerere'!H29,'01.08 Nalya-Bweyogerere-24h'!H29,'03.08 Nalya-Bweyogerere-24h'!H29,'04.08 Nalya-Bweyogerere'!H29)</f>
        <v>0</v>
      </c>
      <c r="I29" s="49">
        <f>AVERAGE('29.07 Nalya-Bweyogerere'!I29,'30.07 Nalya-Bweyogerere'!I29,'31.07 Nalya-Bweyogerere'!I29,'02.08 Nalya-Bweyogerere'!I29,'01.08 Nalya-Bweyogerere-24h'!I29,'03.08 Nalya-Bweyogerere-24h'!I29,'04.08 Nalya-Bweyogerere'!I29)</f>
        <v>4.2857142857142856</v>
      </c>
      <c r="J29" s="49">
        <f>AVERAGE('29.07 Nalya-Bweyogerere'!J29,'30.07 Nalya-Bweyogerere'!J29,'31.07 Nalya-Bweyogerere'!J29,'02.08 Nalya-Bweyogerere'!J29,'01.08 Nalya-Bweyogerere-24h'!J29,'03.08 Nalya-Bweyogerere-24h'!J29,'04.08 Nalya-Bweyogerere'!J29)</f>
        <v>2.5714285714285716</v>
      </c>
      <c r="K29" s="49">
        <f>AVERAGE('29.07 Nalya-Bweyogerere'!K29,'30.07 Nalya-Bweyogerere'!K29,'31.07 Nalya-Bweyogerere'!K29,'02.08 Nalya-Bweyogerere'!K29,'01.08 Nalya-Bweyogerere-24h'!K29,'03.08 Nalya-Bweyogerere-24h'!K29,'04.08 Nalya-Bweyogerere'!K29)</f>
        <v>3.7142857142857144</v>
      </c>
      <c r="L29" s="49">
        <f>AVERAGE('29.07 Nalya-Bweyogerere'!L29,'30.07 Nalya-Bweyogerere'!L29,'31.07 Nalya-Bweyogerere'!L29,'02.08 Nalya-Bweyogerere'!L29,'01.08 Nalya-Bweyogerere-24h'!L29,'03.08 Nalya-Bweyogerere-24h'!L29,'04.08 Nalya-Bweyogerere'!L29)</f>
        <v>4.1428571428571432</v>
      </c>
      <c r="M29" s="49">
        <f>AVERAGE('29.07 Nalya-Bweyogerere'!M29,'30.07 Nalya-Bweyogerere'!M29,'31.07 Nalya-Bweyogerere'!M29,'02.08 Nalya-Bweyogerere'!M29,'01.08 Nalya-Bweyogerere-24h'!M29,'03.08 Nalya-Bweyogerere-24h'!M29,'04.08 Nalya-Bweyogerere'!M29)</f>
        <v>40</v>
      </c>
      <c r="N29" s="49">
        <f>AVERAGE('29.07 Nalya-Bweyogerere'!N29,'30.07 Nalya-Bweyogerere'!N29,'31.07 Nalya-Bweyogerere'!N29,'02.08 Nalya-Bweyogerere'!N29,'01.08 Nalya-Bweyogerere-24h'!N29,'03.08 Nalya-Bweyogerere-24h'!N29,'04.08 Nalya-Bweyogerere'!N29)</f>
        <v>0</v>
      </c>
      <c r="O29" s="15">
        <f t="shared" si="0"/>
        <v>61.571428571428577</v>
      </c>
      <c r="P29" s="15">
        <f t="shared" si="1"/>
        <v>101.57142857142858</v>
      </c>
      <c r="R29" s="1" t="s">
        <v>153</v>
      </c>
      <c r="S29" s="34">
        <f>SUM(C86:C89)</f>
        <v>5.5</v>
      </c>
      <c r="T29" s="34">
        <f t="shared" ref="T29:AF29" si="21">SUM(D86:D89)</f>
        <v>0.5</v>
      </c>
      <c r="U29" s="34">
        <f t="shared" si="21"/>
        <v>2</v>
      </c>
      <c r="V29" s="34">
        <f t="shared" si="21"/>
        <v>0</v>
      </c>
      <c r="W29" s="34">
        <f t="shared" si="21"/>
        <v>1.5</v>
      </c>
      <c r="X29" s="34">
        <f t="shared" si="21"/>
        <v>0.5</v>
      </c>
      <c r="Y29" s="34">
        <f t="shared" si="21"/>
        <v>0</v>
      </c>
      <c r="Z29" s="34">
        <f t="shared" si="21"/>
        <v>6.5</v>
      </c>
      <c r="AA29" s="34">
        <f t="shared" si="21"/>
        <v>9.5</v>
      </c>
      <c r="AB29" s="34">
        <f t="shared" si="21"/>
        <v>3.5</v>
      </c>
      <c r="AC29" s="34">
        <f t="shared" si="21"/>
        <v>2</v>
      </c>
      <c r="AD29" s="34">
        <f t="shared" si="21"/>
        <v>0</v>
      </c>
      <c r="AE29" s="51">
        <f t="shared" si="21"/>
        <v>29.5</v>
      </c>
      <c r="AF29" s="51">
        <f t="shared" si="21"/>
        <v>31.5</v>
      </c>
    </row>
    <row r="30" spans="2:32" ht="23.1" customHeight="1" x14ac:dyDescent="0.25">
      <c r="B30" s="23" t="s">
        <v>57</v>
      </c>
      <c r="C30" s="49">
        <f>AVERAGE('29.07 Nalya-Bweyogerere'!C30,'30.07 Nalya-Bweyogerere'!C30,'31.07 Nalya-Bweyogerere'!C30,'02.08 Nalya-Bweyogerere'!C30,'01.08 Nalya-Bweyogerere-24h'!C30,'03.08 Nalya-Bweyogerere-24h'!C30,'04.08 Nalya-Bweyogerere'!C30)</f>
        <v>19.285714285714285</v>
      </c>
      <c r="D30" s="49">
        <f>AVERAGE('29.07 Nalya-Bweyogerere'!D30,'30.07 Nalya-Bweyogerere'!D30,'31.07 Nalya-Bweyogerere'!D30,'02.08 Nalya-Bweyogerere'!D30,'01.08 Nalya-Bweyogerere-24h'!D30,'03.08 Nalya-Bweyogerere-24h'!D30,'04.08 Nalya-Bweyogerere'!D30)</f>
        <v>9.4285714285714288</v>
      </c>
      <c r="E30" s="49">
        <f>AVERAGE('29.07 Nalya-Bweyogerere'!E30,'30.07 Nalya-Bweyogerere'!E30,'31.07 Nalya-Bweyogerere'!E30,'02.08 Nalya-Bweyogerere'!E30,'01.08 Nalya-Bweyogerere-24h'!E30,'03.08 Nalya-Bweyogerere-24h'!E30,'04.08 Nalya-Bweyogerere'!E30)</f>
        <v>2.8571428571428572</v>
      </c>
      <c r="F30" s="49">
        <f>AVERAGE('29.07 Nalya-Bweyogerere'!F30,'30.07 Nalya-Bweyogerere'!F30,'31.07 Nalya-Bweyogerere'!F30,'02.08 Nalya-Bweyogerere'!F30,'01.08 Nalya-Bweyogerere-24h'!F30,'03.08 Nalya-Bweyogerere-24h'!F30,'04.08 Nalya-Bweyogerere'!F30)</f>
        <v>20.285714285714285</v>
      </c>
      <c r="G30" s="49">
        <f>AVERAGE('29.07 Nalya-Bweyogerere'!G30,'30.07 Nalya-Bweyogerere'!G30,'31.07 Nalya-Bweyogerere'!G30,'02.08 Nalya-Bweyogerere'!G30,'01.08 Nalya-Bweyogerere-24h'!G30,'03.08 Nalya-Bweyogerere-24h'!G30,'04.08 Nalya-Bweyogerere'!G30)</f>
        <v>0.14285714285714285</v>
      </c>
      <c r="H30" s="49">
        <f>AVERAGE('29.07 Nalya-Bweyogerere'!H30,'30.07 Nalya-Bweyogerere'!H30,'31.07 Nalya-Bweyogerere'!H30,'02.08 Nalya-Bweyogerere'!H30,'01.08 Nalya-Bweyogerere-24h'!H30,'03.08 Nalya-Bweyogerere-24h'!H30,'04.08 Nalya-Bweyogerere'!H30)</f>
        <v>0</v>
      </c>
      <c r="I30" s="49">
        <f>AVERAGE('29.07 Nalya-Bweyogerere'!I30,'30.07 Nalya-Bweyogerere'!I30,'31.07 Nalya-Bweyogerere'!I30,'02.08 Nalya-Bweyogerere'!I30,'01.08 Nalya-Bweyogerere-24h'!I30,'03.08 Nalya-Bweyogerere-24h'!I30,'04.08 Nalya-Bweyogerere'!I30)</f>
        <v>5.5714285714285712</v>
      </c>
      <c r="J30" s="49">
        <f>AVERAGE('29.07 Nalya-Bweyogerere'!J30,'30.07 Nalya-Bweyogerere'!J30,'31.07 Nalya-Bweyogerere'!J30,'02.08 Nalya-Bweyogerere'!J30,'01.08 Nalya-Bweyogerere-24h'!J30,'03.08 Nalya-Bweyogerere-24h'!J30,'04.08 Nalya-Bweyogerere'!J30)</f>
        <v>3.4285714285714284</v>
      </c>
      <c r="K30" s="49">
        <f>AVERAGE('29.07 Nalya-Bweyogerere'!K30,'30.07 Nalya-Bweyogerere'!K30,'31.07 Nalya-Bweyogerere'!K30,'02.08 Nalya-Bweyogerere'!K30,'01.08 Nalya-Bweyogerere-24h'!K30,'03.08 Nalya-Bweyogerere-24h'!K30,'04.08 Nalya-Bweyogerere'!K30)</f>
        <v>5.1428571428571432</v>
      </c>
      <c r="L30" s="49">
        <f>AVERAGE('29.07 Nalya-Bweyogerere'!L30,'30.07 Nalya-Bweyogerere'!L30,'31.07 Nalya-Bweyogerere'!L30,'02.08 Nalya-Bweyogerere'!L30,'01.08 Nalya-Bweyogerere-24h'!L30,'03.08 Nalya-Bweyogerere-24h'!L30,'04.08 Nalya-Bweyogerere'!L30)</f>
        <v>5.7142857142857144</v>
      </c>
      <c r="M30" s="49">
        <f>AVERAGE('29.07 Nalya-Bweyogerere'!M30,'30.07 Nalya-Bweyogerere'!M30,'31.07 Nalya-Bweyogerere'!M30,'02.08 Nalya-Bweyogerere'!M30,'01.08 Nalya-Bweyogerere-24h'!M30,'03.08 Nalya-Bweyogerere-24h'!M30,'04.08 Nalya-Bweyogerere'!M30)</f>
        <v>44.571428571428569</v>
      </c>
      <c r="N30" s="49">
        <f>AVERAGE('29.07 Nalya-Bweyogerere'!N30,'30.07 Nalya-Bweyogerere'!N30,'31.07 Nalya-Bweyogerere'!N30,'02.08 Nalya-Bweyogerere'!N30,'01.08 Nalya-Bweyogerere-24h'!N30,'03.08 Nalya-Bweyogerere-24h'!N30,'04.08 Nalya-Bweyogerere'!N30)</f>
        <v>0</v>
      </c>
      <c r="O30" s="15">
        <f t="shared" si="0"/>
        <v>71.857142857142861</v>
      </c>
      <c r="P30" s="15">
        <f t="shared" si="1"/>
        <v>116.42857142857143</v>
      </c>
      <c r="R30" s="1" t="s">
        <v>154</v>
      </c>
      <c r="S30" s="34">
        <f>SUM(C90:C93)</f>
        <v>4.5</v>
      </c>
      <c r="T30" s="34">
        <f t="shared" ref="T30:AF30" si="22">SUM(D90:D93)</f>
        <v>3</v>
      </c>
      <c r="U30" s="34">
        <f t="shared" si="22"/>
        <v>0.5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5.5</v>
      </c>
      <c r="Z30" s="34">
        <f t="shared" si="22"/>
        <v>16.5</v>
      </c>
      <c r="AA30" s="34">
        <f t="shared" si="22"/>
        <v>4</v>
      </c>
      <c r="AB30" s="34">
        <f t="shared" si="22"/>
        <v>4.5</v>
      </c>
      <c r="AC30" s="34">
        <f t="shared" si="22"/>
        <v>4</v>
      </c>
      <c r="AD30" s="34">
        <f t="shared" si="22"/>
        <v>0</v>
      </c>
      <c r="AE30" s="51">
        <f t="shared" si="22"/>
        <v>40</v>
      </c>
      <c r="AF30" s="51">
        <f t="shared" si="22"/>
        <v>44</v>
      </c>
    </row>
    <row r="31" spans="2:32" ht="23.1" customHeight="1" x14ac:dyDescent="0.25">
      <c r="B31" s="24" t="s">
        <v>58</v>
      </c>
      <c r="C31" s="49">
        <f>AVERAGE('29.07 Nalya-Bweyogerere'!C31,'30.07 Nalya-Bweyogerere'!C31,'31.07 Nalya-Bweyogerere'!C31,'02.08 Nalya-Bweyogerere'!C31,'01.08 Nalya-Bweyogerere-24h'!C31,'03.08 Nalya-Bweyogerere-24h'!C31,'04.08 Nalya-Bweyogerere'!C31)</f>
        <v>17.142857142857142</v>
      </c>
      <c r="D31" s="49">
        <f>AVERAGE('29.07 Nalya-Bweyogerere'!D31,'30.07 Nalya-Bweyogerere'!D31,'31.07 Nalya-Bweyogerere'!D31,'02.08 Nalya-Bweyogerere'!D31,'01.08 Nalya-Bweyogerere-24h'!D31,'03.08 Nalya-Bweyogerere-24h'!D31,'04.08 Nalya-Bweyogerere'!D31)</f>
        <v>4.1428571428571432</v>
      </c>
      <c r="E31" s="49">
        <f>AVERAGE('29.07 Nalya-Bweyogerere'!E31,'30.07 Nalya-Bweyogerere'!E31,'31.07 Nalya-Bweyogerere'!E31,'02.08 Nalya-Bweyogerere'!E31,'01.08 Nalya-Bweyogerere-24h'!E31,'03.08 Nalya-Bweyogerere-24h'!E31,'04.08 Nalya-Bweyogerere'!E31)</f>
        <v>2.5714285714285716</v>
      </c>
      <c r="F31" s="49">
        <f>AVERAGE('29.07 Nalya-Bweyogerere'!F31,'30.07 Nalya-Bweyogerere'!F31,'31.07 Nalya-Bweyogerere'!F31,'02.08 Nalya-Bweyogerere'!F31,'01.08 Nalya-Bweyogerere-24h'!F31,'03.08 Nalya-Bweyogerere-24h'!F31,'04.08 Nalya-Bweyogerere'!F31)</f>
        <v>20.428571428571427</v>
      </c>
      <c r="G31" s="49">
        <f>AVERAGE('29.07 Nalya-Bweyogerere'!G31,'30.07 Nalya-Bweyogerere'!G31,'31.07 Nalya-Bweyogerere'!G31,'02.08 Nalya-Bweyogerere'!G31,'01.08 Nalya-Bweyogerere-24h'!G31,'03.08 Nalya-Bweyogerere-24h'!G31,'04.08 Nalya-Bweyogerere'!G31)</f>
        <v>0.2857142857142857</v>
      </c>
      <c r="H31" s="49">
        <f>AVERAGE('29.07 Nalya-Bweyogerere'!H31,'30.07 Nalya-Bweyogerere'!H31,'31.07 Nalya-Bweyogerere'!H31,'02.08 Nalya-Bweyogerere'!H31,'01.08 Nalya-Bweyogerere-24h'!H31,'03.08 Nalya-Bweyogerere-24h'!H31,'04.08 Nalya-Bweyogerere'!H31)</f>
        <v>0.14285714285714285</v>
      </c>
      <c r="I31" s="49">
        <f>AVERAGE('29.07 Nalya-Bweyogerere'!I31,'30.07 Nalya-Bweyogerere'!I31,'31.07 Nalya-Bweyogerere'!I31,'02.08 Nalya-Bweyogerere'!I31,'01.08 Nalya-Bweyogerere-24h'!I31,'03.08 Nalya-Bweyogerere-24h'!I31,'04.08 Nalya-Bweyogerere'!I31)</f>
        <v>3.5714285714285716</v>
      </c>
      <c r="J31" s="49">
        <f>AVERAGE('29.07 Nalya-Bweyogerere'!J31,'30.07 Nalya-Bweyogerere'!J31,'31.07 Nalya-Bweyogerere'!J31,'02.08 Nalya-Bweyogerere'!J31,'01.08 Nalya-Bweyogerere-24h'!J31,'03.08 Nalya-Bweyogerere-24h'!J31,'04.08 Nalya-Bweyogerere'!J31)</f>
        <v>1.8571428571428572</v>
      </c>
      <c r="K31" s="49">
        <f>AVERAGE('29.07 Nalya-Bweyogerere'!K31,'30.07 Nalya-Bweyogerere'!K31,'31.07 Nalya-Bweyogerere'!K31,'02.08 Nalya-Bweyogerere'!K31,'01.08 Nalya-Bweyogerere-24h'!K31,'03.08 Nalya-Bweyogerere-24h'!K31,'04.08 Nalya-Bweyogerere'!K31)</f>
        <v>2.4285714285714284</v>
      </c>
      <c r="L31" s="49">
        <f>AVERAGE('29.07 Nalya-Bweyogerere'!L31,'30.07 Nalya-Bweyogerere'!L31,'31.07 Nalya-Bweyogerere'!L31,'02.08 Nalya-Bweyogerere'!L31,'01.08 Nalya-Bweyogerere-24h'!L31,'03.08 Nalya-Bweyogerere-24h'!L31,'04.08 Nalya-Bweyogerere'!L31)</f>
        <v>4.1428571428571432</v>
      </c>
      <c r="M31" s="49">
        <f>AVERAGE('29.07 Nalya-Bweyogerere'!M31,'30.07 Nalya-Bweyogerere'!M31,'31.07 Nalya-Bweyogerere'!M31,'02.08 Nalya-Bweyogerere'!M31,'01.08 Nalya-Bweyogerere-24h'!M31,'03.08 Nalya-Bweyogerere-24h'!M31,'04.08 Nalya-Bweyogerere'!M31)</f>
        <v>33.142857142857146</v>
      </c>
      <c r="N31" s="49">
        <f>AVERAGE('29.07 Nalya-Bweyogerere'!N31,'30.07 Nalya-Bweyogerere'!N31,'31.07 Nalya-Bweyogerere'!N31,'02.08 Nalya-Bweyogerere'!N31,'01.08 Nalya-Bweyogerere-24h'!N31,'03.08 Nalya-Bweyogerere-24h'!N31,'04.08 Nalya-Bweyogerere'!N31)</f>
        <v>0</v>
      </c>
      <c r="O31" s="15">
        <f t="shared" si="0"/>
        <v>56.714285714285715</v>
      </c>
      <c r="P31" s="15">
        <f t="shared" si="1"/>
        <v>89.857142857142861</v>
      </c>
      <c r="R31" s="1" t="s">
        <v>155</v>
      </c>
      <c r="S31" s="34">
        <f>SUM(C94:C97)</f>
        <v>7.5</v>
      </c>
      <c r="T31" s="34">
        <f t="shared" ref="T31:AF31" si="23">SUM(D94:D97)</f>
        <v>1.5</v>
      </c>
      <c r="U31" s="34">
        <f t="shared" si="23"/>
        <v>2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13.5</v>
      </c>
      <c r="AA31" s="34">
        <f t="shared" si="23"/>
        <v>9</v>
      </c>
      <c r="AB31" s="34">
        <f t="shared" si="23"/>
        <v>8</v>
      </c>
      <c r="AC31" s="34">
        <f t="shared" si="23"/>
        <v>5.5</v>
      </c>
      <c r="AD31" s="34">
        <f t="shared" si="23"/>
        <v>0</v>
      </c>
      <c r="AE31" s="51">
        <f t="shared" si="23"/>
        <v>47</v>
      </c>
      <c r="AF31" s="51">
        <f t="shared" si="23"/>
        <v>52.5</v>
      </c>
    </row>
    <row r="32" spans="2:32" ht="23.1" customHeight="1" x14ac:dyDescent="0.25">
      <c r="B32" s="24" t="s">
        <v>59</v>
      </c>
      <c r="C32" s="49">
        <f>AVERAGE('29.07 Nalya-Bweyogerere'!C32,'30.07 Nalya-Bweyogerere'!C32,'31.07 Nalya-Bweyogerere'!C32,'02.08 Nalya-Bweyogerere'!C32,'01.08 Nalya-Bweyogerere-24h'!C32,'03.08 Nalya-Bweyogerere-24h'!C32,'04.08 Nalya-Bweyogerere'!C32)</f>
        <v>17.285714285714285</v>
      </c>
      <c r="D32" s="49">
        <f>AVERAGE('29.07 Nalya-Bweyogerere'!D32,'30.07 Nalya-Bweyogerere'!D32,'31.07 Nalya-Bweyogerere'!D32,'02.08 Nalya-Bweyogerere'!D32,'01.08 Nalya-Bweyogerere-24h'!D32,'03.08 Nalya-Bweyogerere-24h'!D32,'04.08 Nalya-Bweyogerere'!D32)</f>
        <v>7.4285714285714288</v>
      </c>
      <c r="E32" s="49">
        <f>AVERAGE('29.07 Nalya-Bweyogerere'!E32,'30.07 Nalya-Bweyogerere'!E32,'31.07 Nalya-Bweyogerere'!E32,'02.08 Nalya-Bweyogerere'!E32,'01.08 Nalya-Bweyogerere-24h'!E32,'03.08 Nalya-Bweyogerere-24h'!E32,'04.08 Nalya-Bweyogerere'!E32)</f>
        <v>3.4285714285714284</v>
      </c>
      <c r="F32" s="49">
        <f>AVERAGE('29.07 Nalya-Bweyogerere'!F32,'30.07 Nalya-Bweyogerere'!F32,'31.07 Nalya-Bweyogerere'!F32,'02.08 Nalya-Bweyogerere'!F32,'01.08 Nalya-Bweyogerere-24h'!F32,'03.08 Nalya-Bweyogerere-24h'!F32,'04.08 Nalya-Bweyogerere'!F32)</f>
        <v>20.142857142857142</v>
      </c>
      <c r="G32" s="49">
        <f>AVERAGE('29.07 Nalya-Bweyogerere'!G32,'30.07 Nalya-Bweyogerere'!G32,'31.07 Nalya-Bweyogerere'!G32,'02.08 Nalya-Bweyogerere'!G32,'01.08 Nalya-Bweyogerere-24h'!G32,'03.08 Nalya-Bweyogerere-24h'!G32,'04.08 Nalya-Bweyogerere'!G32)</f>
        <v>0.14285714285714285</v>
      </c>
      <c r="H32" s="49">
        <f>AVERAGE('29.07 Nalya-Bweyogerere'!H32,'30.07 Nalya-Bweyogerere'!H32,'31.07 Nalya-Bweyogerere'!H32,'02.08 Nalya-Bweyogerere'!H32,'01.08 Nalya-Bweyogerere-24h'!H32,'03.08 Nalya-Bweyogerere-24h'!H32,'04.08 Nalya-Bweyogerere'!H32)</f>
        <v>0</v>
      </c>
      <c r="I32" s="49">
        <f>AVERAGE('29.07 Nalya-Bweyogerere'!I32,'30.07 Nalya-Bweyogerere'!I32,'31.07 Nalya-Bweyogerere'!I32,'02.08 Nalya-Bweyogerere'!I32,'01.08 Nalya-Bweyogerere-24h'!I32,'03.08 Nalya-Bweyogerere-24h'!I32,'04.08 Nalya-Bweyogerere'!I32)</f>
        <v>4.2857142857142856</v>
      </c>
      <c r="J32" s="49">
        <f>AVERAGE('29.07 Nalya-Bweyogerere'!J32,'30.07 Nalya-Bweyogerere'!J32,'31.07 Nalya-Bweyogerere'!J32,'02.08 Nalya-Bweyogerere'!J32,'01.08 Nalya-Bweyogerere-24h'!J32,'03.08 Nalya-Bweyogerere-24h'!J32,'04.08 Nalya-Bweyogerere'!J32)</f>
        <v>2.5714285714285716</v>
      </c>
      <c r="K32" s="49">
        <f>AVERAGE('29.07 Nalya-Bweyogerere'!K32,'30.07 Nalya-Bweyogerere'!K32,'31.07 Nalya-Bweyogerere'!K32,'02.08 Nalya-Bweyogerere'!K32,'01.08 Nalya-Bweyogerere-24h'!K32,'03.08 Nalya-Bweyogerere-24h'!K32,'04.08 Nalya-Bweyogerere'!K32)</f>
        <v>3.1428571428571428</v>
      </c>
      <c r="L32" s="49">
        <f>AVERAGE('29.07 Nalya-Bweyogerere'!L32,'30.07 Nalya-Bweyogerere'!L32,'31.07 Nalya-Bweyogerere'!L32,'02.08 Nalya-Bweyogerere'!L32,'01.08 Nalya-Bweyogerere-24h'!L32,'03.08 Nalya-Bweyogerere-24h'!L32,'04.08 Nalya-Bweyogerere'!L32)</f>
        <v>6.5714285714285712</v>
      </c>
      <c r="M32" s="49">
        <f>AVERAGE('29.07 Nalya-Bweyogerere'!M32,'30.07 Nalya-Bweyogerere'!M32,'31.07 Nalya-Bweyogerere'!M32,'02.08 Nalya-Bweyogerere'!M32,'01.08 Nalya-Bweyogerere-24h'!M32,'03.08 Nalya-Bweyogerere-24h'!M32,'04.08 Nalya-Bweyogerere'!M32)</f>
        <v>35.142857142857146</v>
      </c>
      <c r="N32" s="49">
        <f>AVERAGE('29.07 Nalya-Bweyogerere'!N32,'30.07 Nalya-Bweyogerere'!N32,'31.07 Nalya-Bweyogerere'!N32,'02.08 Nalya-Bweyogerere'!N32,'01.08 Nalya-Bweyogerere-24h'!N32,'03.08 Nalya-Bweyogerere-24h'!N32,'04.08 Nalya-Bweyogerere'!N32)</f>
        <v>0</v>
      </c>
      <c r="O32" s="15">
        <f t="shared" si="0"/>
        <v>65</v>
      </c>
      <c r="P32" s="15">
        <f t="shared" si="1"/>
        <v>100.14285714285714</v>
      </c>
      <c r="R32" s="1" t="s">
        <v>156</v>
      </c>
      <c r="S32" s="34">
        <f>SUM(C98:C101)</f>
        <v>17</v>
      </c>
      <c r="T32" s="34">
        <f t="shared" ref="T32:AF32" si="24">SUM(D98:D101)</f>
        <v>5</v>
      </c>
      <c r="U32" s="34">
        <f t="shared" si="24"/>
        <v>3.5</v>
      </c>
      <c r="V32" s="34">
        <f t="shared" si="24"/>
        <v>14</v>
      </c>
      <c r="W32" s="34">
        <f t="shared" si="24"/>
        <v>2</v>
      </c>
      <c r="X32" s="34">
        <f t="shared" si="24"/>
        <v>0</v>
      </c>
      <c r="Y32" s="34">
        <f t="shared" si="24"/>
        <v>4.5</v>
      </c>
      <c r="Z32" s="34">
        <f t="shared" si="24"/>
        <v>16</v>
      </c>
      <c r="AA32" s="34">
        <f t="shared" si="24"/>
        <v>4.5</v>
      </c>
      <c r="AB32" s="34">
        <f t="shared" si="24"/>
        <v>9.5</v>
      </c>
      <c r="AC32" s="34">
        <f t="shared" si="24"/>
        <v>9.5</v>
      </c>
      <c r="AD32" s="34">
        <f t="shared" si="24"/>
        <v>0</v>
      </c>
      <c r="AE32" s="51">
        <f t="shared" si="24"/>
        <v>76</v>
      </c>
      <c r="AF32" s="51">
        <f t="shared" si="24"/>
        <v>85.5</v>
      </c>
    </row>
    <row r="33" spans="2:32" ht="23.1" customHeight="1" x14ac:dyDescent="0.25">
      <c r="B33" s="23" t="s">
        <v>60</v>
      </c>
      <c r="C33" s="49">
        <f>AVERAGE('29.07 Nalya-Bweyogerere'!C33,'30.07 Nalya-Bweyogerere'!C33,'31.07 Nalya-Bweyogerere'!C33,'02.08 Nalya-Bweyogerere'!C33,'01.08 Nalya-Bweyogerere-24h'!C33,'03.08 Nalya-Bweyogerere-24h'!C33,'04.08 Nalya-Bweyogerere'!C33)</f>
        <v>18.285714285714285</v>
      </c>
      <c r="D33" s="49">
        <f>AVERAGE('29.07 Nalya-Bweyogerere'!D33,'30.07 Nalya-Bweyogerere'!D33,'31.07 Nalya-Bweyogerere'!D33,'02.08 Nalya-Bweyogerere'!D33,'01.08 Nalya-Bweyogerere-24h'!D33,'03.08 Nalya-Bweyogerere-24h'!D33,'04.08 Nalya-Bweyogerere'!D33)</f>
        <v>5.7142857142857144</v>
      </c>
      <c r="E33" s="49">
        <f>AVERAGE('29.07 Nalya-Bweyogerere'!E33,'30.07 Nalya-Bweyogerere'!E33,'31.07 Nalya-Bweyogerere'!E33,'02.08 Nalya-Bweyogerere'!E33,'01.08 Nalya-Bweyogerere-24h'!E33,'03.08 Nalya-Bweyogerere-24h'!E33,'04.08 Nalya-Bweyogerere'!E33)</f>
        <v>4.2857142857142856</v>
      </c>
      <c r="F33" s="49">
        <f>AVERAGE('29.07 Nalya-Bweyogerere'!F33,'30.07 Nalya-Bweyogerere'!F33,'31.07 Nalya-Bweyogerere'!F33,'02.08 Nalya-Bweyogerere'!F33,'01.08 Nalya-Bweyogerere-24h'!F33,'03.08 Nalya-Bweyogerere-24h'!F33,'04.08 Nalya-Bweyogerere'!F33)</f>
        <v>20.571428571428573</v>
      </c>
      <c r="G33" s="49">
        <f>AVERAGE('29.07 Nalya-Bweyogerere'!G33,'30.07 Nalya-Bweyogerere'!G33,'31.07 Nalya-Bweyogerere'!G33,'02.08 Nalya-Bweyogerere'!G33,'01.08 Nalya-Bweyogerere-24h'!G33,'03.08 Nalya-Bweyogerere-24h'!G33,'04.08 Nalya-Bweyogerere'!G33)</f>
        <v>0.14285714285714285</v>
      </c>
      <c r="H33" s="49">
        <f>AVERAGE('29.07 Nalya-Bweyogerere'!H33,'30.07 Nalya-Bweyogerere'!H33,'31.07 Nalya-Bweyogerere'!H33,'02.08 Nalya-Bweyogerere'!H33,'01.08 Nalya-Bweyogerere-24h'!H33,'03.08 Nalya-Bweyogerere-24h'!H33,'04.08 Nalya-Bweyogerere'!H33)</f>
        <v>0</v>
      </c>
      <c r="I33" s="49">
        <f>AVERAGE('29.07 Nalya-Bweyogerere'!I33,'30.07 Nalya-Bweyogerere'!I33,'31.07 Nalya-Bweyogerere'!I33,'02.08 Nalya-Bweyogerere'!I33,'01.08 Nalya-Bweyogerere-24h'!I33,'03.08 Nalya-Bweyogerere-24h'!I33,'04.08 Nalya-Bweyogerere'!I33)</f>
        <v>5</v>
      </c>
      <c r="J33" s="49">
        <f>AVERAGE('29.07 Nalya-Bweyogerere'!J33,'30.07 Nalya-Bweyogerere'!J33,'31.07 Nalya-Bweyogerere'!J33,'02.08 Nalya-Bweyogerere'!J33,'01.08 Nalya-Bweyogerere-24h'!J33,'03.08 Nalya-Bweyogerere-24h'!J33,'04.08 Nalya-Bweyogerere'!J33)</f>
        <v>4</v>
      </c>
      <c r="K33" s="49">
        <f>AVERAGE('29.07 Nalya-Bweyogerere'!K33,'30.07 Nalya-Bweyogerere'!K33,'31.07 Nalya-Bweyogerere'!K33,'02.08 Nalya-Bweyogerere'!K33,'01.08 Nalya-Bweyogerere-24h'!K33,'03.08 Nalya-Bweyogerere-24h'!K33,'04.08 Nalya-Bweyogerere'!K33)</f>
        <v>3.8571428571428572</v>
      </c>
      <c r="L33" s="49">
        <f>AVERAGE('29.07 Nalya-Bweyogerere'!L33,'30.07 Nalya-Bweyogerere'!L33,'31.07 Nalya-Bweyogerere'!L33,'02.08 Nalya-Bweyogerere'!L33,'01.08 Nalya-Bweyogerere-24h'!L33,'03.08 Nalya-Bweyogerere-24h'!L33,'04.08 Nalya-Bweyogerere'!L33)</f>
        <v>6.8571428571428568</v>
      </c>
      <c r="M33" s="49">
        <f>AVERAGE('29.07 Nalya-Bweyogerere'!M33,'30.07 Nalya-Bweyogerere'!M33,'31.07 Nalya-Bweyogerere'!M33,'02.08 Nalya-Bweyogerere'!M33,'01.08 Nalya-Bweyogerere-24h'!M33,'03.08 Nalya-Bweyogerere-24h'!M33,'04.08 Nalya-Bweyogerere'!M33)</f>
        <v>35.857142857142854</v>
      </c>
      <c r="N33" s="49">
        <f>AVERAGE('29.07 Nalya-Bweyogerere'!N33,'30.07 Nalya-Bweyogerere'!N33,'31.07 Nalya-Bweyogerere'!N33,'02.08 Nalya-Bweyogerere'!N33,'01.08 Nalya-Bweyogerere-24h'!N33,'03.08 Nalya-Bweyogerere-24h'!N33,'04.08 Nalya-Bweyogerere'!N33)</f>
        <v>0</v>
      </c>
      <c r="O33" s="15">
        <f t="shared" si="0"/>
        <v>68.714285714285722</v>
      </c>
      <c r="P33" s="15">
        <f t="shared" si="1"/>
        <v>104.57142857142858</v>
      </c>
      <c r="R33" s="1" t="s">
        <v>157</v>
      </c>
      <c r="S33" s="34">
        <f>SUM(C102:C105)</f>
        <v>28</v>
      </c>
      <c r="T33" s="34">
        <f t="shared" ref="T33:AF33" si="25">SUM(D102:D105)</f>
        <v>14.5</v>
      </c>
      <c r="U33" s="34">
        <f t="shared" si="25"/>
        <v>9.5</v>
      </c>
      <c r="V33" s="34">
        <f t="shared" si="25"/>
        <v>42.5</v>
      </c>
      <c r="W33" s="34">
        <f t="shared" si="25"/>
        <v>2.5</v>
      </c>
      <c r="X33" s="34">
        <f t="shared" si="25"/>
        <v>0.5</v>
      </c>
      <c r="Y33" s="34">
        <f t="shared" si="25"/>
        <v>7.5</v>
      </c>
      <c r="Z33" s="34">
        <f t="shared" si="25"/>
        <v>18.5</v>
      </c>
      <c r="AA33" s="34">
        <f t="shared" si="25"/>
        <v>6.5</v>
      </c>
      <c r="AB33" s="34">
        <f t="shared" si="25"/>
        <v>10.5</v>
      </c>
      <c r="AC33" s="34">
        <f t="shared" si="25"/>
        <v>27.5</v>
      </c>
      <c r="AD33" s="34">
        <f t="shared" si="25"/>
        <v>0</v>
      </c>
      <c r="AE33" s="51">
        <f t="shared" si="25"/>
        <v>140.5</v>
      </c>
      <c r="AF33" s="51">
        <f t="shared" si="25"/>
        <v>168</v>
      </c>
    </row>
    <row r="34" spans="2:32" ht="23.1" customHeight="1" x14ac:dyDescent="0.25">
      <c r="B34" s="24" t="s">
        <v>61</v>
      </c>
      <c r="C34" s="49">
        <f>AVERAGE('29.07 Nalya-Bweyogerere'!C34,'30.07 Nalya-Bweyogerere'!C34,'31.07 Nalya-Bweyogerere'!C34,'02.08 Nalya-Bweyogerere'!C34,'01.08 Nalya-Bweyogerere-24h'!C34,'03.08 Nalya-Bweyogerere-24h'!C34,'04.08 Nalya-Bweyogerere'!C34)</f>
        <v>17.142857142857142</v>
      </c>
      <c r="D34" s="49">
        <f>AVERAGE('29.07 Nalya-Bweyogerere'!D34,'30.07 Nalya-Bweyogerere'!D34,'31.07 Nalya-Bweyogerere'!D34,'02.08 Nalya-Bweyogerere'!D34,'01.08 Nalya-Bweyogerere-24h'!D34,'03.08 Nalya-Bweyogerere-24h'!D34,'04.08 Nalya-Bweyogerere'!D34)</f>
        <v>7.7142857142857144</v>
      </c>
      <c r="E34" s="49">
        <f>AVERAGE('29.07 Nalya-Bweyogerere'!E34,'30.07 Nalya-Bweyogerere'!E34,'31.07 Nalya-Bweyogerere'!E34,'02.08 Nalya-Bweyogerere'!E34,'01.08 Nalya-Bweyogerere-24h'!E34,'03.08 Nalya-Bweyogerere-24h'!E34,'04.08 Nalya-Bweyogerere'!E34)</f>
        <v>3</v>
      </c>
      <c r="F34" s="49">
        <f>AVERAGE('29.07 Nalya-Bweyogerere'!F34,'30.07 Nalya-Bweyogerere'!F34,'31.07 Nalya-Bweyogerere'!F34,'02.08 Nalya-Bweyogerere'!F34,'01.08 Nalya-Bweyogerere-24h'!F34,'03.08 Nalya-Bweyogerere-24h'!F34,'04.08 Nalya-Bweyogerere'!F34)</f>
        <v>19.142857142857142</v>
      </c>
      <c r="G34" s="49">
        <f>AVERAGE('29.07 Nalya-Bweyogerere'!G34,'30.07 Nalya-Bweyogerere'!G34,'31.07 Nalya-Bweyogerere'!G34,'02.08 Nalya-Bweyogerere'!G34,'01.08 Nalya-Bweyogerere-24h'!G34,'03.08 Nalya-Bweyogerere-24h'!G34,'04.08 Nalya-Bweyogerere'!G34)</f>
        <v>0</v>
      </c>
      <c r="H34" s="49">
        <f>AVERAGE('29.07 Nalya-Bweyogerere'!H34,'30.07 Nalya-Bweyogerere'!H34,'31.07 Nalya-Bweyogerere'!H34,'02.08 Nalya-Bweyogerere'!H34,'01.08 Nalya-Bweyogerere-24h'!H34,'03.08 Nalya-Bweyogerere-24h'!H34,'04.08 Nalya-Bweyogerere'!H34)</f>
        <v>0.14285714285714285</v>
      </c>
      <c r="I34" s="49">
        <f>AVERAGE('29.07 Nalya-Bweyogerere'!I34,'30.07 Nalya-Bweyogerere'!I34,'31.07 Nalya-Bweyogerere'!I34,'02.08 Nalya-Bweyogerere'!I34,'01.08 Nalya-Bweyogerere-24h'!I34,'03.08 Nalya-Bweyogerere-24h'!I34,'04.08 Nalya-Bweyogerere'!I34)</f>
        <v>6</v>
      </c>
      <c r="J34" s="49">
        <f>AVERAGE('29.07 Nalya-Bweyogerere'!J34,'30.07 Nalya-Bweyogerere'!J34,'31.07 Nalya-Bweyogerere'!J34,'02.08 Nalya-Bweyogerere'!J34,'01.08 Nalya-Bweyogerere-24h'!J34,'03.08 Nalya-Bweyogerere-24h'!J34,'04.08 Nalya-Bweyogerere'!J34)</f>
        <v>3.5714285714285716</v>
      </c>
      <c r="K34" s="49">
        <f>AVERAGE('29.07 Nalya-Bweyogerere'!K34,'30.07 Nalya-Bweyogerere'!K34,'31.07 Nalya-Bweyogerere'!K34,'02.08 Nalya-Bweyogerere'!K34,'01.08 Nalya-Bweyogerere-24h'!K34,'03.08 Nalya-Bweyogerere-24h'!K34,'04.08 Nalya-Bweyogerere'!K34)</f>
        <v>2.5714285714285716</v>
      </c>
      <c r="L34" s="49">
        <f>AVERAGE('29.07 Nalya-Bweyogerere'!L34,'30.07 Nalya-Bweyogerere'!L34,'31.07 Nalya-Bweyogerere'!L34,'02.08 Nalya-Bweyogerere'!L34,'01.08 Nalya-Bweyogerere-24h'!L34,'03.08 Nalya-Bweyogerere-24h'!L34,'04.08 Nalya-Bweyogerere'!L34)</f>
        <v>4.8571428571428568</v>
      </c>
      <c r="M34" s="49">
        <f>AVERAGE('29.07 Nalya-Bweyogerere'!M34,'30.07 Nalya-Bweyogerere'!M34,'31.07 Nalya-Bweyogerere'!M34,'02.08 Nalya-Bweyogerere'!M34,'01.08 Nalya-Bweyogerere-24h'!M34,'03.08 Nalya-Bweyogerere-24h'!M34,'04.08 Nalya-Bweyogerere'!M34)</f>
        <v>39.285714285714285</v>
      </c>
      <c r="N34" s="49">
        <f>AVERAGE('29.07 Nalya-Bweyogerere'!N34,'30.07 Nalya-Bweyogerere'!N34,'31.07 Nalya-Bweyogerere'!N34,'02.08 Nalya-Bweyogerere'!N34,'01.08 Nalya-Bweyogerere-24h'!N34,'03.08 Nalya-Bweyogerere-24h'!N34,'04.08 Nalya-Bweyogerere'!N34)</f>
        <v>0</v>
      </c>
      <c r="O34" s="15">
        <f t="shared" si="0"/>
        <v>64.142857142857139</v>
      </c>
      <c r="P34" s="15">
        <f t="shared" si="1"/>
        <v>103.42857142857142</v>
      </c>
      <c r="R34" s="38" t="s">
        <v>90</v>
      </c>
      <c r="S34" s="39">
        <f t="shared" ref="S34:AF34" si="26">MAX(S10:S12)</f>
        <v>81.142857142857139</v>
      </c>
      <c r="T34" s="39">
        <f t="shared" si="26"/>
        <v>43.857142857142854</v>
      </c>
      <c r="U34" s="39">
        <f t="shared" si="26"/>
        <v>18.285714285714285</v>
      </c>
      <c r="V34" s="39">
        <f t="shared" si="26"/>
        <v>119.71428571428571</v>
      </c>
      <c r="W34" s="39">
        <f t="shared" si="26"/>
        <v>2.9999999999999996</v>
      </c>
      <c r="X34" s="39">
        <f t="shared" si="26"/>
        <v>0.2857142857142857</v>
      </c>
      <c r="Y34" s="39">
        <f t="shared" si="26"/>
        <v>18.142857142857142</v>
      </c>
      <c r="Z34" s="39">
        <f t="shared" si="26"/>
        <v>12.142857142857142</v>
      </c>
      <c r="AA34" s="39">
        <f t="shared" si="26"/>
        <v>15.142857142857142</v>
      </c>
      <c r="AB34" s="39">
        <f t="shared" si="26"/>
        <v>8.8571428571428577</v>
      </c>
      <c r="AC34" s="39">
        <f t="shared" si="26"/>
        <v>151</v>
      </c>
      <c r="AD34" s="39">
        <f t="shared" si="26"/>
        <v>0.14285714285714285</v>
      </c>
      <c r="AE34" s="40">
        <f t="shared" si="26"/>
        <v>307.28571428571428</v>
      </c>
      <c r="AF34" s="40">
        <f t="shared" si="26"/>
        <v>436.14285714285711</v>
      </c>
    </row>
    <row r="35" spans="2:32" ht="23.1" customHeight="1" x14ac:dyDescent="0.25">
      <c r="B35" s="24" t="s">
        <v>62</v>
      </c>
      <c r="C35" s="49">
        <f>AVERAGE('29.07 Nalya-Bweyogerere'!C35,'30.07 Nalya-Bweyogerere'!C35,'31.07 Nalya-Bweyogerere'!C35,'02.08 Nalya-Bweyogerere'!C35,'01.08 Nalya-Bweyogerere-24h'!C35,'03.08 Nalya-Bweyogerere-24h'!C35,'04.08 Nalya-Bweyogerere'!C35)</f>
        <v>17.285714285714285</v>
      </c>
      <c r="D35" s="49">
        <f>AVERAGE('29.07 Nalya-Bweyogerere'!D35,'30.07 Nalya-Bweyogerere'!D35,'31.07 Nalya-Bweyogerere'!D35,'02.08 Nalya-Bweyogerere'!D35,'01.08 Nalya-Bweyogerere-24h'!D35,'03.08 Nalya-Bweyogerere-24h'!D35,'04.08 Nalya-Bweyogerere'!D35)</f>
        <v>6.5714285714285712</v>
      </c>
      <c r="E35" s="49">
        <f>AVERAGE('29.07 Nalya-Bweyogerere'!E35,'30.07 Nalya-Bweyogerere'!E35,'31.07 Nalya-Bweyogerere'!E35,'02.08 Nalya-Bweyogerere'!E35,'01.08 Nalya-Bweyogerere-24h'!E35,'03.08 Nalya-Bweyogerere-24h'!E35,'04.08 Nalya-Bweyogerere'!E35)</f>
        <v>2.8571428571428572</v>
      </c>
      <c r="F35" s="49">
        <f>AVERAGE('29.07 Nalya-Bweyogerere'!F35,'30.07 Nalya-Bweyogerere'!F35,'31.07 Nalya-Bweyogerere'!F35,'02.08 Nalya-Bweyogerere'!F35,'01.08 Nalya-Bweyogerere-24h'!F35,'03.08 Nalya-Bweyogerere-24h'!F35,'04.08 Nalya-Bweyogerere'!F35)</f>
        <v>20.714285714285715</v>
      </c>
      <c r="G35" s="49">
        <f>AVERAGE('29.07 Nalya-Bweyogerere'!G35,'30.07 Nalya-Bweyogerere'!G35,'31.07 Nalya-Bweyogerere'!G35,'02.08 Nalya-Bweyogerere'!G35,'01.08 Nalya-Bweyogerere-24h'!G35,'03.08 Nalya-Bweyogerere-24h'!G35,'04.08 Nalya-Bweyogerere'!G35)</f>
        <v>0</v>
      </c>
      <c r="H35" s="49">
        <f>AVERAGE('29.07 Nalya-Bweyogerere'!H35,'30.07 Nalya-Bweyogerere'!H35,'31.07 Nalya-Bweyogerere'!H35,'02.08 Nalya-Bweyogerere'!H35,'01.08 Nalya-Bweyogerere-24h'!H35,'03.08 Nalya-Bweyogerere-24h'!H35,'04.08 Nalya-Bweyogerere'!H35)</f>
        <v>0</v>
      </c>
      <c r="I35" s="49">
        <f>AVERAGE('29.07 Nalya-Bweyogerere'!I35,'30.07 Nalya-Bweyogerere'!I35,'31.07 Nalya-Bweyogerere'!I35,'02.08 Nalya-Bweyogerere'!I35,'01.08 Nalya-Bweyogerere-24h'!I35,'03.08 Nalya-Bweyogerere-24h'!I35,'04.08 Nalya-Bweyogerere'!I35)</f>
        <v>4.5714285714285712</v>
      </c>
      <c r="J35" s="49">
        <f>AVERAGE('29.07 Nalya-Bweyogerere'!J35,'30.07 Nalya-Bweyogerere'!J35,'31.07 Nalya-Bweyogerere'!J35,'02.08 Nalya-Bweyogerere'!J35,'01.08 Nalya-Bweyogerere-24h'!J35,'03.08 Nalya-Bweyogerere-24h'!J35,'04.08 Nalya-Bweyogerere'!J35)</f>
        <v>4</v>
      </c>
      <c r="K35" s="49">
        <f>AVERAGE('29.07 Nalya-Bweyogerere'!K35,'30.07 Nalya-Bweyogerere'!K35,'31.07 Nalya-Bweyogerere'!K35,'02.08 Nalya-Bweyogerere'!K35,'01.08 Nalya-Bweyogerere-24h'!K35,'03.08 Nalya-Bweyogerere-24h'!K35,'04.08 Nalya-Bweyogerere'!K35)</f>
        <v>2.8571428571428572</v>
      </c>
      <c r="L35" s="49">
        <f>AVERAGE('29.07 Nalya-Bweyogerere'!L35,'30.07 Nalya-Bweyogerere'!L35,'31.07 Nalya-Bweyogerere'!L35,'02.08 Nalya-Bweyogerere'!L35,'01.08 Nalya-Bweyogerere-24h'!L35,'03.08 Nalya-Bweyogerere-24h'!L35,'04.08 Nalya-Bweyogerere'!L35)</f>
        <v>4.4285714285714288</v>
      </c>
      <c r="M35" s="49">
        <f>AVERAGE('29.07 Nalya-Bweyogerere'!M35,'30.07 Nalya-Bweyogerere'!M35,'31.07 Nalya-Bweyogerere'!M35,'02.08 Nalya-Bweyogerere'!M35,'01.08 Nalya-Bweyogerere-24h'!M35,'03.08 Nalya-Bweyogerere-24h'!M35,'04.08 Nalya-Bweyogerere'!M35)</f>
        <v>37.857142857142854</v>
      </c>
      <c r="N35" s="49">
        <f>AVERAGE('29.07 Nalya-Bweyogerere'!N35,'30.07 Nalya-Bweyogerere'!N35,'31.07 Nalya-Bweyogerere'!N35,'02.08 Nalya-Bweyogerere'!N35,'01.08 Nalya-Bweyogerere-24h'!N35,'03.08 Nalya-Bweyogerere-24h'!N35,'04.08 Nalya-Bweyogerere'!N35)</f>
        <v>0</v>
      </c>
      <c r="O35" s="15">
        <f t="shared" si="0"/>
        <v>63.285714285714285</v>
      </c>
      <c r="P35" s="15">
        <f t="shared" si="1"/>
        <v>101.14285714285714</v>
      </c>
      <c r="R35" s="38" t="s">
        <v>91</v>
      </c>
      <c r="S35" s="39">
        <f t="shared" ref="S35:AF35" si="27">MAX(S13:S18)</f>
        <v>78.571428571428569</v>
      </c>
      <c r="T35" s="39">
        <f t="shared" si="27"/>
        <v>32.571428571428569</v>
      </c>
      <c r="U35" s="39">
        <f t="shared" si="27"/>
        <v>17</v>
      </c>
      <c r="V35" s="39">
        <f t="shared" si="27"/>
        <v>90.142857142857139</v>
      </c>
      <c r="W35" s="39">
        <f t="shared" si="27"/>
        <v>2</v>
      </c>
      <c r="X35" s="39">
        <f t="shared" si="27"/>
        <v>0.71428571428571419</v>
      </c>
      <c r="Y35" s="39">
        <f t="shared" si="27"/>
        <v>22.857142857142858</v>
      </c>
      <c r="Z35" s="39">
        <f t="shared" si="27"/>
        <v>16.428571428571431</v>
      </c>
      <c r="AA35" s="39">
        <f t="shared" si="27"/>
        <v>18</v>
      </c>
      <c r="AB35" s="39">
        <f t="shared" si="27"/>
        <v>26.285714285714285</v>
      </c>
      <c r="AC35" s="39">
        <f t="shared" si="27"/>
        <v>148.71428571428572</v>
      </c>
      <c r="AD35" s="39">
        <f t="shared" si="27"/>
        <v>0.14285714285714285</v>
      </c>
      <c r="AE35" s="40">
        <f t="shared" si="27"/>
        <v>279.14285714285717</v>
      </c>
      <c r="AF35" s="40">
        <f t="shared" si="27"/>
        <v>424.57142857142856</v>
      </c>
    </row>
    <row r="36" spans="2:32" ht="23.1" customHeight="1" x14ac:dyDescent="0.25">
      <c r="B36" s="24" t="s">
        <v>63</v>
      </c>
      <c r="C36" s="49">
        <f>AVERAGE('29.07 Nalya-Bweyogerere'!C36,'30.07 Nalya-Bweyogerere'!C36,'31.07 Nalya-Bweyogerere'!C36,'02.08 Nalya-Bweyogerere'!C36,'01.08 Nalya-Bweyogerere-24h'!C36,'03.08 Nalya-Bweyogerere-24h'!C36,'04.08 Nalya-Bweyogerere'!C36)</f>
        <v>21</v>
      </c>
      <c r="D36" s="49">
        <f>AVERAGE('29.07 Nalya-Bweyogerere'!D36,'30.07 Nalya-Bweyogerere'!D36,'31.07 Nalya-Bweyogerere'!D36,'02.08 Nalya-Bweyogerere'!D36,'01.08 Nalya-Bweyogerere-24h'!D36,'03.08 Nalya-Bweyogerere-24h'!D36,'04.08 Nalya-Bweyogerere'!D36)</f>
        <v>9.8571428571428577</v>
      </c>
      <c r="E36" s="49">
        <f>AVERAGE('29.07 Nalya-Bweyogerere'!E36,'30.07 Nalya-Bweyogerere'!E36,'31.07 Nalya-Bweyogerere'!E36,'02.08 Nalya-Bweyogerere'!E36,'01.08 Nalya-Bweyogerere-24h'!E36,'03.08 Nalya-Bweyogerere-24h'!E36,'04.08 Nalya-Bweyogerere'!E36)</f>
        <v>3.5714285714285716</v>
      </c>
      <c r="F36" s="49">
        <f>AVERAGE('29.07 Nalya-Bweyogerere'!F36,'30.07 Nalya-Bweyogerere'!F36,'31.07 Nalya-Bweyogerere'!F36,'02.08 Nalya-Bweyogerere'!F36,'01.08 Nalya-Bweyogerere-24h'!F36,'03.08 Nalya-Bweyogerere-24h'!F36,'04.08 Nalya-Bweyogerere'!F36)</f>
        <v>23.142857142857142</v>
      </c>
      <c r="G36" s="49">
        <f>AVERAGE('29.07 Nalya-Bweyogerere'!G36,'30.07 Nalya-Bweyogerere'!G36,'31.07 Nalya-Bweyogerere'!G36,'02.08 Nalya-Bweyogerere'!G36,'01.08 Nalya-Bweyogerere-24h'!G36,'03.08 Nalya-Bweyogerere-24h'!G36,'04.08 Nalya-Bweyogerere'!G36)</f>
        <v>0.7142857142857143</v>
      </c>
      <c r="H36" s="49">
        <f>AVERAGE('29.07 Nalya-Bweyogerere'!H36,'30.07 Nalya-Bweyogerere'!H36,'31.07 Nalya-Bweyogerere'!H36,'02.08 Nalya-Bweyogerere'!H36,'01.08 Nalya-Bweyogerere-24h'!H36,'03.08 Nalya-Bweyogerere-24h'!H36,'04.08 Nalya-Bweyogerere'!H36)</f>
        <v>0</v>
      </c>
      <c r="I36" s="49">
        <f>AVERAGE('29.07 Nalya-Bweyogerere'!I36,'30.07 Nalya-Bweyogerere'!I36,'31.07 Nalya-Bweyogerere'!I36,'02.08 Nalya-Bweyogerere'!I36,'01.08 Nalya-Bweyogerere-24h'!I36,'03.08 Nalya-Bweyogerere-24h'!I36,'04.08 Nalya-Bweyogerere'!I36)</f>
        <v>6.4285714285714288</v>
      </c>
      <c r="J36" s="49">
        <f>AVERAGE('29.07 Nalya-Bweyogerere'!J36,'30.07 Nalya-Bweyogerere'!J36,'31.07 Nalya-Bweyogerere'!J36,'02.08 Nalya-Bweyogerere'!J36,'01.08 Nalya-Bweyogerere-24h'!J36,'03.08 Nalya-Bweyogerere-24h'!J36,'04.08 Nalya-Bweyogerere'!J36)</f>
        <v>3.7142857142857144</v>
      </c>
      <c r="K36" s="49">
        <f>AVERAGE('29.07 Nalya-Bweyogerere'!K36,'30.07 Nalya-Bweyogerere'!K36,'31.07 Nalya-Bweyogerere'!K36,'02.08 Nalya-Bweyogerere'!K36,'01.08 Nalya-Bweyogerere-24h'!K36,'03.08 Nalya-Bweyogerere-24h'!K36,'04.08 Nalya-Bweyogerere'!K36)</f>
        <v>3.4285714285714284</v>
      </c>
      <c r="L36" s="49">
        <f>AVERAGE('29.07 Nalya-Bweyogerere'!L36,'30.07 Nalya-Bweyogerere'!L36,'31.07 Nalya-Bweyogerere'!L36,'02.08 Nalya-Bweyogerere'!L36,'01.08 Nalya-Bweyogerere-24h'!L36,'03.08 Nalya-Bweyogerere-24h'!L36,'04.08 Nalya-Bweyogerere'!L36)</f>
        <v>5.8571428571428568</v>
      </c>
      <c r="M36" s="49">
        <f>AVERAGE('29.07 Nalya-Bweyogerere'!M36,'30.07 Nalya-Bweyogerere'!M36,'31.07 Nalya-Bweyogerere'!M36,'02.08 Nalya-Bweyogerere'!M36,'01.08 Nalya-Bweyogerere-24h'!M36,'03.08 Nalya-Bweyogerere-24h'!M36,'04.08 Nalya-Bweyogerere'!M36)</f>
        <v>35.857142857142854</v>
      </c>
      <c r="N36" s="49">
        <f>AVERAGE('29.07 Nalya-Bweyogerere'!N36,'30.07 Nalya-Bweyogerere'!N36,'31.07 Nalya-Bweyogerere'!N36,'02.08 Nalya-Bweyogerere'!N36,'01.08 Nalya-Bweyogerere-24h'!N36,'03.08 Nalya-Bweyogerere-24h'!N36,'04.08 Nalya-Bweyogerere'!N36)</f>
        <v>0</v>
      </c>
      <c r="O36" s="15">
        <f t="shared" si="0"/>
        <v>77.714285714285708</v>
      </c>
      <c r="P36" s="15">
        <f t="shared" si="1"/>
        <v>113.57142857142856</v>
      </c>
      <c r="R36" s="38" t="s">
        <v>92</v>
      </c>
      <c r="S36" s="39">
        <f t="shared" ref="S36:AF36" si="28">MAX(S19:S21)</f>
        <v>158.71428571428572</v>
      </c>
      <c r="T36" s="39">
        <f t="shared" si="28"/>
        <v>72.857142857142861</v>
      </c>
      <c r="U36" s="39">
        <f t="shared" si="28"/>
        <v>35</v>
      </c>
      <c r="V36" s="39">
        <f t="shared" si="28"/>
        <v>138.71428571428572</v>
      </c>
      <c r="W36" s="39">
        <f t="shared" si="28"/>
        <v>2.4285714285714284</v>
      </c>
      <c r="X36" s="39">
        <f t="shared" si="28"/>
        <v>0.99999999999999989</v>
      </c>
      <c r="Y36" s="39">
        <f t="shared" si="28"/>
        <v>31.571428571428573</v>
      </c>
      <c r="Z36" s="39">
        <f t="shared" si="28"/>
        <v>20</v>
      </c>
      <c r="AA36" s="39">
        <f t="shared" si="28"/>
        <v>21.571428571428573</v>
      </c>
      <c r="AB36" s="39">
        <f t="shared" si="28"/>
        <v>23.714285714285715</v>
      </c>
      <c r="AC36" s="39">
        <f t="shared" si="28"/>
        <v>186.57142857142856</v>
      </c>
      <c r="AD36" s="39">
        <f t="shared" si="28"/>
        <v>0.14285714285714285</v>
      </c>
      <c r="AE36" s="40">
        <f t="shared" si="28"/>
        <v>499.14285714285722</v>
      </c>
      <c r="AF36" s="40">
        <f t="shared" si="28"/>
        <v>685.71428571428578</v>
      </c>
    </row>
    <row r="37" spans="2:32" ht="23.1" customHeight="1" x14ac:dyDescent="0.25">
      <c r="B37" s="23" t="s">
        <v>64</v>
      </c>
      <c r="C37" s="49">
        <f>AVERAGE('29.07 Nalya-Bweyogerere'!C37,'30.07 Nalya-Bweyogerere'!C37,'31.07 Nalya-Bweyogerere'!C37,'02.08 Nalya-Bweyogerere'!C37,'01.08 Nalya-Bweyogerere-24h'!C37,'03.08 Nalya-Bweyogerere-24h'!C37,'04.08 Nalya-Bweyogerere'!C37)</f>
        <v>18.714285714285715</v>
      </c>
      <c r="D37" s="49">
        <f>AVERAGE('29.07 Nalya-Bweyogerere'!D37,'30.07 Nalya-Bweyogerere'!D37,'31.07 Nalya-Bweyogerere'!D37,'02.08 Nalya-Bweyogerere'!D37,'01.08 Nalya-Bweyogerere-24h'!D37,'03.08 Nalya-Bweyogerere-24h'!D37,'04.08 Nalya-Bweyogerere'!D37)</f>
        <v>8.4285714285714288</v>
      </c>
      <c r="E37" s="49">
        <f>AVERAGE('29.07 Nalya-Bweyogerere'!E37,'30.07 Nalya-Bweyogerere'!E37,'31.07 Nalya-Bweyogerere'!E37,'02.08 Nalya-Bweyogerere'!E37,'01.08 Nalya-Bweyogerere-24h'!E37,'03.08 Nalya-Bweyogerere-24h'!E37,'04.08 Nalya-Bweyogerere'!E37)</f>
        <v>4</v>
      </c>
      <c r="F37" s="49">
        <f>AVERAGE('29.07 Nalya-Bweyogerere'!F37,'30.07 Nalya-Bweyogerere'!F37,'31.07 Nalya-Bweyogerere'!F37,'02.08 Nalya-Bweyogerere'!F37,'01.08 Nalya-Bweyogerere-24h'!F37,'03.08 Nalya-Bweyogerere-24h'!F37,'04.08 Nalya-Bweyogerere'!F37)</f>
        <v>20.428571428571427</v>
      </c>
      <c r="G37" s="49">
        <f>AVERAGE('29.07 Nalya-Bweyogerere'!G37,'30.07 Nalya-Bweyogerere'!G37,'31.07 Nalya-Bweyogerere'!G37,'02.08 Nalya-Bweyogerere'!G37,'01.08 Nalya-Bweyogerere-24h'!G37,'03.08 Nalya-Bweyogerere-24h'!G37,'04.08 Nalya-Bweyogerere'!G37)</f>
        <v>0.2857142857142857</v>
      </c>
      <c r="H37" s="49">
        <f>AVERAGE('29.07 Nalya-Bweyogerere'!H37,'30.07 Nalya-Bweyogerere'!H37,'31.07 Nalya-Bweyogerere'!H37,'02.08 Nalya-Bweyogerere'!H37,'01.08 Nalya-Bweyogerere-24h'!H37,'03.08 Nalya-Bweyogerere-24h'!H37,'04.08 Nalya-Bweyogerere'!H37)</f>
        <v>0</v>
      </c>
      <c r="I37" s="49">
        <f>AVERAGE('29.07 Nalya-Bweyogerere'!I37,'30.07 Nalya-Bweyogerere'!I37,'31.07 Nalya-Bweyogerere'!I37,'02.08 Nalya-Bweyogerere'!I37,'01.08 Nalya-Bweyogerere-24h'!I37,'03.08 Nalya-Bweyogerere-24h'!I37,'04.08 Nalya-Bweyogerere'!I37)</f>
        <v>5.8571428571428568</v>
      </c>
      <c r="J37" s="49">
        <f>AVERAGE('29.07 Nalya-Bweyogerere'!J37,'30.07 Nalya-Bweyogerere'!J37,'31.07 Nalya-Bweyogerere'!J37,'02.08 Nalya-Bweyogerere'!J37,'01.08 Nalya-Bweyogerere-24h'!J37,'03.08 Nalya-Bweyogerere-24h'!J37,'04.08 Nalya-Bweyogerere'!J37)</f>
        <v>5.1428571428571432</v>
      </c>
      <c r="K37" s="49">
        <f>AVERAGE('29.07 Nalya-Bweyogerere'!K37,'30.07 Nalya-Bweyogerere'!K37,'31.07 Nalya-Bweyogerere'!K37,'02.08 Nalya-Bweyogerere'!K37,'01.08 Nalya-Bweyogerere-24h'!K37,'03.08 Nalya-Bweyogerere-24h'!K37,'04.08 Nalya-Bweyogerere'!K37)</f>
        <v>3.4285714285714284</v>
      </c>
      <c r="L37" s="49">
        <f>AVERAGE('29.07 Nalya-Bweyogerere'!L37,'30.07 Nalya-Bweyogerere'!L37,'31.07 Nalya-Bweyogerere'!L37,'02.08 Nalya-Bweyogerere'!L37,'01.08 Nalya-Bweyogerere-24h'!L37,'03.08 Nalya-Bweyogerere-24h'!L37,'04.08 Nalya-Bweyogerere'!L37)</f>
        <v>6.7142857142857144</v>
      </c>
      <c r="M37" s="49">
        <f>AVERAGE('29.07 Nalya-Bweyogerere'!M37,'30.07 Nalya-Bweyogerere'!M37,'31.07 Nalya-Bweyogerere'!M37,'02.08 Nalya-Bweyogerere'!M37,'01.08 Nalya-Bweyogerere-24h'!M37,'03.08 Nalya-Bweyogerere-24h'!M37,'04.08 Nalya-Bweyogerere'!M37)</f>
        <v>33.428571428571431</v>
      </c>
      <c r="N37" s="49">
        <f>AVERAGE('29.07 Nalya-Bweyogerere'!N37,'30.07 Nalya-Bweyogerere'!N37,'31.07 Nalya-Bweyogerere'!N37,'02.08 Nalya-Bweyogerere'!N37,'01.08 Nalya-Bweyogerere-24h'!N37,'03.08 Nalya-Bweyogerere-24h'!N37,'04.08 Nalya-Bweyogerere'!N37)</f>
        <v>0</v>
      </c>
      <c r="O37" s="15">
        <f t="shared" si="0"/>
        <v>72.999999999999986</v>
      </c>
      <c r="P37" s="15">
        <f t="shared" si="1"/>
        <v>106.42857142857142</v>
      </c>
      <c r="R37" s="37" t="s">
        <v>85</v>
      </c>
      <c r="S37" s="35">
        <f t="shared" ref="S37:AF37" si="29">SUM(S10:S12)</f>
        <v>224.42857142857142</v>
      </c>
      <c r="T37" s="16">
        <f t="shared" si="29"/>
        <v>104.85714285714285</v>
      </c>
      <c r="U37" s="16">
        <f t="shared" si="29"/>
        <v>49</v>
      </c>
      <c r="V37" s="16">
        <f t="shared" si="29"/>
        <v>328.85714285714283</v>
      </c>
      <c r="W37" s="16">
        <f t="shared" si="29"/>
        <v>5.7142857142857135</v>
      </c>
      <c r="X37" s="16">
        <f t="shared" si="29"/>
        <v>0.5714285714285714</v>
      </c>
      <c r="Y37" s="16">
        <f t="shared" si="29"/>
        <v>50.714285714285708</v>
      </c>
      <c r="Z37" s="16">
        <f t="shared" si="29"/>
        <v>33.142857142857139</v>
      </c>
      <c r="AA37" s="16">
        <f t="shared" si="29"/>
        <v>36.571428571428569</v>
      </c>
      <c r="AB37" s="16">
        <f t="shared" si="29"/>
        <v>23.142857142857146</v>
      </c>
      <c r="AC37" s="16">
        <f t="shared" si="29"/>
        <v>378.57142857142861</v>
      </c>
      <c r="AD37" s="16">
        <f t="shared" si="29"/>
        <v>0.14285714285714285</v>
      </c>
      <c r="AE37" s="32">
        <f t="shared" si="29"/>
        <v>857.14285714285722</v>
      </c>
      <c r="AF37" s="32">
        <f t="shared" si="29"/>
        <v>1235.7142857142858</v>
      </c>
    </row>
    <row r="38" spans="2:32" ht="23.1" customHeight="1" x14ac:dyDescent="0.25">
      <c r="B38" s="24" t="s">
        <v>65</v>
      </c>
      <c r="C38" s="49">
        <f>AVERAGE('29.07 Nalya-Bweyogerere'!C38,'30.07 Nalya-Bweyogerere'!C38,'31.07 Nalya-Bweyogerere'!C38,'02.08 Nalya-Bweyogerere'!C38,'01.08 Nalya-Bweyogerere-24h'!C38,'03.08 Nalya-Bweyogerere-24h'!C38,'04.08 Nalya-Bweyogerere'!C38)</f>
        <v>16.714285714285715</v>
      </c>
      <c r="D38" s="49">
        <f>AVERAGE('29.07 Nalya-Bweyogerere'!D38,'30.07 Nalya-Bweyogerere'!D38,'31.07 Nalya-Bweyogerere'!D38,'02.08 Nalya-Bweyogerere'!D38,'01.08 Nalya-Bweyogerere-24h'!D38,'03.08 Nalya-Bweyogerere-24h'!D38,'04.08 Nalya-Bweyogerere'!D38)</f>
        <v>7.8571428571428568</v>
      </c>
      <c r="E38" s="49">
        <f>AVERAGE('29.07 Nalya-Bweyogerere'!E38,'30.07 Nalya-Bweyogerere'!E38,'31.07 Nalya-Bweyogerere'!E38,'02.08 Nalya-Bweyogerere'!E38,'01.08 Nalya-Bweyogerere-24h'!E38,'03.08 Nalya-Bweyogerere-24h'!E38,'04.08 Nalya-Bweyogerere'!E38)</f>
        <v>4</v>
      </c>
      <c r="F38" s="49">
        <f>AVERAGE('29.07 Nalya-Bweyogerere'!F38,'30.07 Nalya-Bweyogerere'!F38,'31.07 Nalya-Bweyogerere'!F38,'02.08 Nalya-Bweyogerere'!F38,'01.08 Nalya-Bweyogerere-24h'!F38,'03.08 Nalya-Bweyogerere-24h'!F38,'04.08 Nalya-Bweyogerere'!F38)</f>
        <v>19.142857142857142</v>
      </c>
      <c r="G38" s="49">
        <f>AVERAGE('29.07 Nalya-Bweyogerere'!G38,'30.07 Nalya-Bweyogerere'!G38,'31.07 Nalya-Bweyogerere'!G38,'02.08 Nalya-Bweyogerere'!G38,'01.08 Nalya-Bweyogerere-24h'!G38,'03.08 Nalya-Bweyogerere-24h'!G38,'04.08 Nalya-Bweyogerere'!G38)</f>
        <v>0.14285714285714285</v>
      </c>
      <c r="H38" s="49">
        <f>AVERAGE('29.07 Nalya-Bweyogerere'!H38,'30.07 Nalya-Bweyogerere'!H38,'31.07 Nalya-Bweyogerere'!H38,'02.08 Nalya-Bweyogerere'!H38,'01.08 Nalya-Bweyogerere-24h'!H38,'03.08 Nalya-Bweyogerere-24h'!H38,'04.08 Nalya-Bweyogerere'!H38)</f>
        <v>0.14285714285714285</v>
      </c>
      <c r="I38" s="49">
        <f>AVERAGE('29.07 Nalya-Bweyogerere'!I38,'30.07 Nalya-Bweyogerere'!I38,'31.07 Nalya-Bweyogerere'!I38,'02.08 Nalya-Bweyogerere'!I38,'01.08 Nalya-Bweyogerere-24h'!I38,'03.08 Nalya-Bweyogerere-24h'!I38,'04.08 Nalya-Bweyogerere'!I38)</f>
        <v>5</v>
      </c>
      <c r="J38" s="49">
        <f>AVERAGE('29.07 Nalya-Bweyogerere'!J38,'30.07 Nalya-Bweyogerere'!J38,'31.07 Nalya-Bweyogerere'!J38,'02.08 Nalya-Bweyogerere'!J38,'01.08 Nalya-Bweyogerere-24h'!J38,'03.08 Nalya-Bweyogerere-24h'!J38,'04.08 Nalya-Bweyogerere'!J38)</f>
        <v>3.5714285714285716</v>
      </c>
      <c r="K38" s="49">
        <f>AVERAGE('29.07 Nalya-Bweyogerere'!K38,'30.07 Nalya-Bweyogerere'!K38,'31.07 Nalya-Bweyogerere'!K38,'02.08 Nalya-Bweyogerere'!K38,'01.08 Nalya-Bweyogerere-24h'!K38,'03.08 Nalya-Bweyogerere-24h'!K38,'04.08 Nalya-Bweyogerere'!K38)</f>
        <v>4.2857142857142856</v>
      </c>
      <c r="L38" s="49">
        <f>AVERAGE('29.07 Nalya-Bweyogerere'!L38,'30.07 Nalya-Bweyogerere'!L38,'31.07 Nalya-Bweyogerere'!L38,'02.08 Nalya-Bweyogerere'!L38,'01.08 Nalya-Bweyogerere-24h'!L38,'03.08 Nalya-Bweyogerere-24h'!L38,'04.08 Nalya-Bweyogerere'!L38)</f>
        <v>6.8571428571428568</v>
      </c>
      <c r="M38" s="49">
        <f>AVERAGE('29.07 Nalya-Bweyogerere'!M38,'30.07 Nalya-Bweyogerere'!M38,'31.07 Nalya-Bweyogerere'!M38,'02.08 Nalya-Bweyogerere'!M38,'01.08 Nalya-Bweyogerere-24h'!M38,'03.08 Nalya-Bweyogerere-24h'!M38,'04.08 Nalya-Bweyogerere'!M38)</f>
        <v>33.142857142857146</v>
      </c>
      <c r="N38" s="49">
        <f>AVERAGE('29.07 Nalya-Bweyogerere'!N38,'30.07 Nalya-Bweyogerere'!N38,'31.07 Nalya-Bweyogerere'!N38,'02.08 Nalya-Bweyogerere'!N38,'01.08 Nalya-Bweyogerere-24h'!N38,'03.08 Nalya-Bweyogerere-24h'!N38,'04.08 Nalya-Bweyogerere'!N38)</f>
        <v>0.14285714285714285</v>
      </c>
      <c r="O38" s="15">
        <f t="shared" si="0"/>
        <v>67.857142857142861</v>
      </c>
      <c r="P38" s="15">
        <f t="shared" si="1"/>
        <v>101</v>
      </c>
      <c r="R38" s="28" t="s">
        <v>86</v>
      </c>
      <c r="S38" s="16">
        <f t="shared" ref="S38:AF38" si="30">SUM(S13:S18)</f>
        <v>433</v>
      </c>
      <c r="T38" s="16">
        <f t="shared" si="30"/>
        <v>175.42857142857142</v>
      </c>
      <c r="U38" s="16">
        <f t="shared" si="30"/>
        <v>89.428571428571431</v>
      </c>
      <c r="V38" s="16">
        <f t="shared" si="30"/>
        <v>501.99999999999994</v>
      </c>
      <c r="W38" s="16">
        <f t="shared" si="30"/>
        <v>5.8571428571428577</v>
      </c>
      <c r="X38" s="16">
        <f t="shared" si="30"/>
        <v>1.9999999999999998</v>
      </c>
      <c r="Y38" s="16">
        <f t="shared" si="30"/>
        <v>122.57142857142858</v>
      </c>
      <c r="Z38" s="16">
        <f t="shared" si="30"/>
        <v>88.000000000000014</v>
      </c>
      <c r="AA38" s="16">
        <f t="shared" si="30"/>
        <v>93.285714285714278</v>
      </c>
      <c r="AB38" s="16">
        <f t="shared" si="30"/>
        <v>124.85714285714286</v>
      </c>
      <c r="AC38" s="16">
        <f t="shared" si="30"/>
        <v>858.14285714285711</v>
      </c>
      <c r="AD38" s="16">
        <f t="shared" si="30"/>
        <v>0.14285714285714285</v>
      </c>
      <c r="AE38" s="32">
        <f t="shared" si="30"/>
        <v>1636.5714285714287</v>
      </c>
      <c r="AF38" s="32">
        <f t="shared" si="30"/>
        <v>2494.7142857142858</v>
      </c>
    </row>
    <row r="39" spans="2:32" ht="23.1" customHeight="1" x14ac:dyDescent="0.25">
      <c r="B39" s="24" t="s">
        <v>66</v>
      </c>
      <c r="C39" s="49">
        <f>AVERAGE('29.07 Nalya-Bweyogerere'!C39,'30.07 Nalya-Bweyogerere'!C39,'31.07 Nalya-Bweyogerere'!C39,'02.08 Nalya-Bweyogerere'!C39,'01.08 Nalya-Bweyogerere-24h'!C39,'03.08 Nalya-Bweyogerere-24h'!C39,'04.08 Nalya-Bweyogerere'!C39)</f>
        <v>15</v>
      </c>
      <c r="D39" s="49">
        <f>AVERAGE('29.07 Nalya-Bweyogerere'!D39,'30.07 Nalya-Bweyogerere'!D39,'31.07 Nalya-Bweyogerere'!D39,'02.08 Nalya-Bweyogerere'!D39,'01.08 Nalya-Bweyogerere-24h'!D39,'03.08 Nalya-Bweyogerere-24h'!D39,'04.08 Nalya-Bweyogerere'!D39)</f>
        <v>7.1428571428571432</v>
      </c>
      <c r="E39" s="49">
        <f>AVERAGE('29.07 Nalya-Bweyogerere'!E39,'30.07 Nalya-Bweyogerere'!E39,'31.07 Nalya-Bweyogerere'!E39,'02.08 Nalya-Bweyogerere'!E39,'01.08 Nalya-Bweyogerere-24h'!E39,'03.08 Nalya-Bweyogerere-24h'!E39,'04.08 Nalya-Bweyogerere'!E39)</f>
        <v>5.1428571428571432</v>
      </c>
      <c r="F39" s="49">
        <f>AVERAGE('29.07 Nalya-Bweyogerere'!F39,'30.07 Nalya-Bweyogerere'!F39,'31.07 Nalya-Bweyogerere'!F39,'02.08 Nalya-Bweyogerere'!F39,'01.08 Nalya-Bweyogerere-24h'!F39,'03.08 Nalya-Bweyogerere-24h'!F39,'04.08 Nalya-Bweyogerere'!F39)</f>
        <v>20.571428571428573</v>
      </c>
      <c r="G39" s="49">
        <f>AVERAGE('29.07 Nalya-Bweyogerere'!G39,'30.07 Nalya-Bweyogerere'!G39,'31.07 Nalya-Bweyogerere'!G39,'02.08 Nalya-Bweyogerere'!G39,'01.08 Nalya-Bweyogerere-24h'!G39,'03.08 Nalya-Bweyogerere-24h'!G39,'04.08 Nalya-Bweyogerere'!G39)</f>
        <v>0.2857142857142857</v>
      </c>
      <c r="H39" s="49">
        <f>AVERAGE('29.07 Nalya-Bweyogerere'!H39,'30.07 Nalya-Bweyogerere'!H39,'31.07 Nalya-Bweyogerere'!H39,'02.08 Nalya-Bweyogerere'!H39,'01.08 Nalya-Bweyogerere-24h'!H39,'03.08 Nalya-Bweyogerere-24h'!H39,'04.08 Nalya-Bweyogerere'!H39)</f>
        <v>0.14285714285714285</v>
      </c>
      <c r="I39" s="49">
        <f>AVERAGE('29.07 Nalya-Bweyogerere'!I39,'30.07 Nalya-Bweyogerere'!I39,'31.07 Nalya-Bweyogerere'!I39,'02.08 Nalya-Bweyogerere'!I39,'01.08 Nalya-Bweyogerere-24h'!I39,'03.08 Nalya-Bweyogerere-24h'!I39,'04.08 Nalya-Bweyogerere'!I39)</f>
        <v>5</v>
      </c>
      <c r="J39" s="49">
        <f>AVERAGE('29.07 Nalya-Bweyogerere'!J39,'30.07 Nalya-Bweyogerere'!J39,'31.07 Nalya-Bweyogerere'!J39,'02.08 Nalya-Bweyogerere'!J39,'01.08 Nalya-Bweyogerere-24h'!J39,'03.08 Nalya-Bweyogerere-24h'!J39,'04.08 Nalya-Bweyogerere'!J39)</f>
        <v>3.8571428571428572</v>
      </c>
      <c r="K39" s="49">
        <f>AVERAGE('29.07 Nalya-Bweyogerere'!K39,'30.07 Nalya-Bweyogerere'!K39,'31.07 Nalya-Bweyogerere'!K39,'02.08 Nalya-Bweyogerere'!K39,'01.08 Nalya-Bweyogerere-24h'!K39,'03.08 Nalya-Bweyogerere-24h'!K39,'04.08 Nalya-Bweyogerere'!K39)</f>
        <v>3.8571428571428572</v>
      </c>
      <c r="L39" s="49">
        <f>AVERAGE('29.07 Nalya-Bweyogerere'!L39,'30.07 Nalya-Bweyogerere'!L39,'31.07 Nalya-Bweyogerere'!L39,'02.08 Nalya-Bweyogerere'!L39,'01.08 Nalya-Bweyogerere-24h'!L39,'03.08 Nalya-Bweyogerere-24h'!L39,'04.08 Nalya-Bweyogerere'!L39)</f>
        <v>4.5714285714285712</v>
      </c>
      <c r="M39" s="49">
        <f>AVERAGE('29.07 Nalya-Bweyogerere'!M39,'30.07 Nalya-Bweyogerere'!M39,'31.07 Nalya-Bweyogerere'!M39,'02.08 Nalya-Bweyogerere'!M39,'01.08 Nalya-Bweyogerere-24h'!M39,'03.08 Nalya-Bweyogerere-24h'!M39,'04.08 Nalya-Bweyogerere'!M39)</f>
        <v>37.142857142857146</v>
      </c>
      <c r="N39" s="49">
        <f>AVERAGE('29.07 Nalya-Bweyogerere'!N39,'30.07 Nalya-Bweyogerere'!N39,'31.07 Nalya-Bweyogerere'!N39,'02.08 Nalya-Bweyogerere'!N39,'01.08 Nalya-Bweyogerere-24h'!N39,'03.08 Nalya-Bweyogerere-24h'!N39,'04.08 Nalya-Bweyogerere'!N39)</f>
        <v>0</v>
      </c>
      <c r="O39" s="15">
        <f t="shared" si="0"/>
        <v>65.571428571428569</v>
      </c>
      <c r="P39" s="15">
        <f t="shared" si="1"/>
        <v>102.71428571428572</v>
      </c>
      <c r="R39" s="29" t="s">
        <v>87</v>
      </c>
      <c r="S39" s="16">
        <f t="shared" ref="S39:AF39" si="31">SUM(S19:S21)</f>
        <v>376.71428571428572</v>
      </c>
      <c r="T39" s="16">
        <f t="shared" si="31"/>
        <v>164.28571428571431</v>
      </c>
      <c r="U39" s="16">
        <f t="shared" si="31"/>
        <v>79.428571428571431</v>
      </c>
      <c r="V39" s="16">
        <f t="shared" si="31"/>
        <v>342.28571428571433</v>
      </c>
      <c r="W39" s="16">
        <f t="shared" si="31"/>
        <v>5.4285714285714288</v>
      </c>
      <c r="X39" s="16">
        <f t="shared" si="31"/>
        <v>1.714285714285714</v>
      </c>
      <c r="Y39" s="16">
        <f t="shared" si="31"/>
        <v>76.714285714285722</v>
      </c>
      <c r="Z39" s="16">
        <f t="shared" si="31"/>
        <v>57.857142857142854</v>
      </c>
      <c r="AA39" s="16">
        <f t="shared" si="31"/>
        <v>61.285714285714292</v>
      </c>
      <c r="AB39" s="16">
        <f t="shared" si="31"/>
        <v>63.285714285714285</v>
      </c>
      <c r="AC39" s="16">
        <f t="shared" si="31"/>
        <v>491.42857142857144</v>
      </c>
      <c r="AD39" s="16">
        <f t="shared" si="31"/>
        <v>0.14285714285714285</v>
      </c>
      <c r="AE39" s="32">
        <f t="shared" si="31"/>
        <v>1229.1428571428573</v>
      </c>
      <c r="AF39" s="32">
        <f t="shared" si="31"/>
        <v>1720.5714285714287</v>
      </c>
    </row>
    <row r="40" spans="2:32" ht="23.1" customHeight="1" x14ac:dyDescent="0.25">
      <c r="B40" s="24" t="s">
        <v>67</v>
      </c>
      <c r="C40" s="49">
        <f>AVERAGE('29.07 Nalya-Bweyogerere'!C40,'30.07 Nalya-Bweyogerere'!C40,'31.07 Nalya-Bweyogerere'!C40,'02.08 Nalya-Bweyogerere'!C40,'01.08 Nalya-Bweyogerere-24h'!C40,'03.08 Nalya-Bweyogerere-24h'!C40,'04.08 Nalya-Bweyogerere'!C40)</f>
        <v>16.428571428571427</v>
      </c>
      <c r="D40" s="49">
        <f>AVERAGE('29.07 Nalya-Bweyogerere'!D40,'30.07 Nalya-Bweyogerere'!D40,'31.07 Nalya-Bweyogerere'!D40,'02.08 Nalya-Bweyogerere'!D40,'01.08 Nalya-Bweyogerere-24h'!D40,'03.08 Nalya-Bweyogerere-24h'!D40,'04.08 Nalya-Bweyogerere'!D40)</f>
        <v>6.8571428571428568</v>
      </c>
      <c r="E40" s="49">
        <f>AVERAGE('29.07 Nalya-Bweyogerere'!E40,'30.07 Nalya-Bweyogerere'!E40,'31.07 Nalya-Bweyogerere'!E40,'02.08 Nalya-Bweyogerere'!E40,'01.08 Nalya-Bweyogerere-24h'!E40,'03.08 Nalya-Bweyogerere-24h'!E40,'04.08 Nalya-Bweyogerere'!E40)</f>
        <v>4</v>
      </c>
      <c r="F40" s="49">
        <f>AVERAGE('29.07 Nalya-Bweyogerere'!F40,'30.07 Nalya-Bweyogerere'!F40,'31.07 Nalya-Bweyogerere'!F40,'02.08 Nalya-Bweyogerere'!F40,'01.08 Nalya-Bweyogerere-24h'!F40,'03.08 Nalya-Bweyogerere-24h'!F40,'04.08 Nalya-Bweyogerere'!F40)</f>
        <v>17.285714285714285</v>
      </c>
      <c r="G40" s="49">
        <f>AVERAGE('29.07 Nalya-Bweyogerere'!G40,'30.07 Nalya-Bweyogerere'!G40,'31.07 Nalya-Bweyogerere'!G40,'02.08 Nalya-Bweyogerere'!G40,'01.08 Nalya-Bweyogerere-24h'!G40,'03.08 Nalya-Bweyogerere-24h'!G40,'04.08 Nalya-Bweyogerere'!G40)</f>
        <v>0</v>
      </c>
      <c r="H40" s="49">
        <f>AVERAGE('29.07 Nalya-Bweyogerere'!H40,'30.07 Nalya-Bweyogerere'!H40,'31.07 Nalya-Bweyogerere'!H40,'02.08 Nalya-Bweyogerere'!H40,'01.08 Nalya-Bweyogerere-24h'!H40,'03.08 Nalya-Bweyogerere-24h'!H40,'04.08 Nalya-Bweyogerere'!H40)</f>
        <v>0</v>
      </c>
      <c r="I40" s="49">
        <f>AVERAGE('29.07 Nalya-Bweyogerere'!I40,'30.07 Nalya-Bweyogerere'!I40,'31.07 Nalya-Bweyogerere'!I40,'02.08 Nalya-Bweyogerere'!I40,'01.08 Nalya-Bweyogerere-24h'!I40,'03.08 Nalya-Bweyogerere-24h'!I40,'04.08 Nalya-Bweyogerere'!I40)</f>
        <v>4</v>
      </c>
      <c r="J40" s="49">
        <f>AVERAGE('29.07 Nalya-Bweyogerere'!J40,'30.07 Nalya-Bweyogerere'!J40,'31.07 Nalya-Bweyogerere'!J40,'02.08 Nalya-Bweyogerere'!J40,'01.08 Nalya-Bweyogerere-24h'!J40,'03.08 Nalya-Bweyogerere-24h'!J40,'04.08 Nalya-Bweyogerere'!J40)</f>
        <v>4.4285714285714288</v>
      </c>
      <c r="K40" s="49">
        <f>AVERAGE('29.07 Nalya-Bweyogerere'!K40,'30.07 Nalya-Bweyogerere'!K40,'31.07 Nalya-Bweyogerere'!K40,'02.08 Nalya-Bweyogerere'!K40,'01.08 Nalya-Bweyogerere-24h'!K40,'03.08 Nalya-Bweyogerere-24h'!K40,'04.08 Nalya-Bweyogerere'!K40)</f>
        <v>4.2857142857142856</v>
      </c>
      <c r="L40" s="49">
        <f>AVERAGE('29.07 Nalya-Bweyogerere'!L40,'30.07 Nalya-Bweyogerere'!L40,'31.07 Nalya-Bweyogerere'!L40,'02.08 Nalya-Bweyogerere'!L40,'01.08 Nalya-Bweyogerere-24h'!L40,'03.08 Nalya-Bweyogerere-24h'!L40,'04.08 Nalya-Bweyogerere'!L40)</f>
        <v>6.2857142857142856</v>
      </c>
      <c r="M40" s="49">
        <f>AVERAGE('29.07 Nalya-Bweyogerere'!M40,'30.07 Nalya-Bweyogerere'!M40,'31.07 Nalya-Bweyogerere'!M40,'02.08 Nalya-Bweyogerere'!M40,'01.08 Nalya-Bweyogerere-24h'!M40,'03.08 Nalya-Bweyogerere-24h'!M40,'04.08 Nalya-Bweyogerere'!M40)</f>
        <v>35.571428571428569</v>
      </c>
      <c r="N40" s="49">
        <f>AVERAGE('29.07 Nalya-Bweyogerere'!N40,'30.07 Nalya-Bweyogerere'!N40,'31.07 Nalya-Bweyogerere'!N40,'02.08 Nalya-Bweyogerere'!N40,'01.08 Nalya-Bweyogerere-24h'!N40,'03.08 Nalya-Bweyogerere-24h'!N40,'04.08 Nalya-Bweyogerere'!N40)</f>
        <v>0</v>
      </c>
      <c r="O40" s="15">
        <f t="shared" si="0"/>
        <v>63.571428571428569</v>
      </c>
      <c r="P40" s="15">
        <f t="shared" si="1"/>
        <v>99.142857142857139</v>
      </c>
      <c r="R40" s="5" t="s">
        <v>17</v>
      </c>
      <c r="S40" s="16">
        <f t="shared" ref="S40:AF40" si="32">SUM(S10:S21)</f>
        <v>1034.1428571428571</v>
      </c>
      <c r="T40" s="16">
        <f t="shared" si="32"/>
        <v>444.57142857142856</v>
      </c>
      <c r="U40" s="16">
        <f t="shared" si="32"/>
        <v>217.85714285714283</v>
      </c>
      <c r="V40" s="16">
        <f t="shared" si="32"/>
        <v>1173.1428571428573</v>
      </c>
      <c r="W40" s="16">
        <f t="shared" si="32"/>
        <v>16.999999999999996</v>
      </c>
      <c r="X40" s="16">
        <f t="shared" si="32"/>
        <v>4.2857142857142856</v>
      </c>
      <c r="Y40" s="16">
        <f t="shared" si="32"/>
        <v>250.00000000000003</v>
      </c>
      <c r="Z40" s="16">
        <f t="shared" si="32"/>
        <v>179</v>
      </c>
      <c r="AA40" s="16">
        <f t="shared" si="32"/>
        <v>191.14285714285714</v>
      </c>
      <c r="AB40" s="16">
        <f t="shared" si="32"/>
        <v>211.28571428571428</v>
      </c>
      <c r="AC40" s="16">
        <f t="shared" si="32"/>
        <v>1728.1428571428573</v>
      </c>
      <c r="AD40" s="16">
        <f t="shared" si="32"/>
        <v>0.42857142857142855</v>
      </c>
      <c r="AE40" s="32">
        <f t="shared" si="32"/>
        <v>3722.8571428571431</v>
      </c>
      <c r="AF40" s="32">
        <f t="shared" si="32"/>
        <v>5451</v>
      </c>
    </row>
    <row r="41" spans="2:32" ht="23.1" customHeight="1" x14ac:dyDescent="0.25">
      <c r="B41" s="23" t="s">
        <v>68</v>
      </c>
      <c r="C41" s="49">
        <f>AVERAGE('29.07 Nalya-Bweyogerere'!C41,'30.07 Nalya-Bweyogerere'!C41,'31.07 Nalya-Bweyogerere'!C41,'02.08 Nalya-Bweyogerere'!C41,'01.08 Nalya-Bweyogerere-24h'!C41,'03.08 Nalya-Bweyogerere-24h'!C41,'04.08 Nalya-Bweyogerere'!C41)</f>
        <v>14.571428571428571</v>
      </c>
      <c r="D41" s="49">
        <f>AVERAGE('29.07 Nalya-Bweyogerere'!D41,'30.07 Nalya-Bweyogerere'!D41,'31.07 Nalya-Bweyogerere'!D41,'02.08 Nalya-Bweyogerere'!D41,'01.08 Nalya-Bweyogerere-24h'!D41,'03.08 Nalya-Bweyogerere-24h'!D41,'04.08 Nalya-Bweyogerere'!D41)</f>
        <v>5.8571428571428568</v>
      </c>
      <c r="E41" s="49">
        <f>AVERAGE('29.07 Nalya-Bweyogerere'!E41,'30.07 Nalya-Bweyogerere'!E41,'31.07 Nalya-Bweyogerere'!E41,'02.08 Nalya-Bweyogerere'!E41,'01.08 Nalya-Bweyogerere-24h'!E41,'03.08 Nalya-Bweyogerere-24h'!E41,'04.08 Nalya-Bweyogerere'!E41)</f>
        <v>3.8571428571428572</v>
      </c>
      <c r="F41" s="49">
        <f>AVERAGE('29.07 Nalya-Bweyogerere'!F41,'30.07 Nalya-Bweyogerere'!F41,'31.07 Nalya-Bweyogerere'!F41,'02.08 Nalya-Bweyogerere'!F41,'01.08 Nalya-Bweyogerere-24h'!F41,'03.08 Nalya-Bweyogerere-24h'!F41,'04.08 Nalya-Bweyogerere'!F41)</f>
        <v>21.428571428571427</v>
      </c>
      <c r="G41" s="49">
        <f>AVERAGE('29.07 Nalya-Bweyogerere'!G41,'30.07 Nalya-Bweyogerere'!G41,'31.07 Nalya-Bweyogerere'!G41,'02.08 Nalya-Bweyogerere'!G41,'01.08 Nalya-Bweyogerere-24h'!G41,'03.08 Nalya-Bweyogerere-24h'!G41,'04.08 Nalya-Bweyogerere'!G41)</f>
        <v>0</v>
      </c>
      <c r="H41" s="49">
        <f>AVERAGE('29.07 Nalya-Bweyogerere'!H41,'30.07 Nalya-Bweyogerere'!H41,'31.07 Nalya-Bweyogerere'!H41,'02.08 Nalya-Bweyogerere'!H41,'01.08 Nalya-Bweyogerere-24h'!H41,'03.08 Nalya-Bweyogerere-24h'!H41,'04.08 Nalya-Bweyogerere'!H41)</f>
        <v>0</v>
      </c>
      <c r="I41" s="49">
        <f>AVERAGE('29.07 Nalya-Bweyogerere'!I41,'30.07 Nalya-Bweyogerere'!I41,'31.07 Nalya-Bweyogerere'!I41,'02.08 Nalya-Bweyogerere'!I41,'01.08 Nalya-Bweyogerere-24h'!I41,'03.08 Nalya-Bweyogerere-24h'!I41,'04.08 Nalya-Bweyogerere'!I41)</f>
        <v>4.8571428571428568</v>
      </c>
      <c r="J41" s="49">
        <f>AVERAGE('29.07 Nalya-Bweyogerere'!J41,'30.07 Nalya-Bweyogerere'!J41,'31.07 Nalya-Bweyogerere'!J41,'02.08 Nalya-Bweyogerere'!J41,'01.08 Nalya-Bweyogerere-24h'!J41,'03.08 Nalya-Bweyogerere-24h'!J41,'04.08 Nalya-Bweyogerere'!J41)</f>
        <v>4.5714285714285712</v>
      </c>
      <c r="K41" s="49">
        <f>AVERAGE('29.07 Nalya-Bweyogerere'!K41,'30.07 Nalya-Bweyogerere'!K41,'31.07 Nalya-Bweyogerere'!K41,'02.08 Nalya-Bweyogerere'!K41,'01.08 Nalya-Bweyogerere-24h'!K41,'03.08 Nalya-Bweyogerere-24h'!K41,'04.08 Nalya-Bweyogerere'!K41)</f>
        <v>3.5714285714285716</v>
      </c>
      <c r="L41" s="49">
        <f>AVERAGE('29.07 Nalya-Bweyogerere'!L41,'30.07 Nalya-Bweyogerere'!L41,'31.07 Nalya-Bweyogerere'!L41,'02.08 Nalya-Bweyogerere'!L41,'01.08 Nalya-Bweyogerere-24h'!L41,'03.08 Nalya-Bweyogerere-24h'!L41,'04.08 Nalya-Bweyogerere'!L41)</f>
        <v>6.1428571428571432</v>
      </c>
      <c r="M41" s="49">
        <f>AVERAGE('29.07 Nalya-Bweyogerere'!M41,'30.07 Nalya-Bweyogerere'!M41,'31.07 Nalya-Bweyogerere'!M41,'02.08 Nalya-Bweyogerere'!M41,'01.08 Nalya-Bweyogerere-24h'!M41,'03.08 Nalya-Bweyogerere-24h'!M41,'04.08 Nalya-Bweyogerere'!M41)</f>
        <v>32.285714285714285</v>
      </c>
      <c r="N41" s="49">
        <f>AVERAGE('29.07 Nalya-Bweyogerere'!N41,'30.07 Nalya-Bweyogerere'!N41,'31.07 Nalya-Bweyogerere'!N41,'02.08 Nalya-Bweyogerere'!N41,'01.08 Nalya-Bweyogerere-24h'!N41,'03.08 Nalya-Bweyogerere-24h'!N41,'04.08 Nalya-Bweyogerere'!N41)</f>
        <v>0</v>
      </c>
      <c r="O41" s="15">
        <f t="shared" si="0"/>
        <v>64.857142857142847</v>
      </c>
      <c r="P41" s="15">
        <f t="shared" si="1"/>
        <v>97.142857142857139</v>
      </c>
    </row>
    <row r="42" spans="2:32" ht="23.1" customHeight="1" x14ac:dyDescent="0.25">
      <c r="B42" s="24" t="s">
        <v>69</v>
      </c>
      <c r="C42" s="49">
        <f>AVERAGE('29.07 Nalya-Bweyogerere'!C42,'30.07 Nalya-Bweyogerere'!C42,'31.07 Nalya-Bweyogerere'!C42,'02.08 Nalya-Bweyogerere'!C42,'01.08 Nalya-Bweyogerere-24h'!C42,'03.08 Nalya-Bweyogerere-24h'!C42,'04.08 Nalya-Bweyogerere'!C42)</f>
        <v>23.714285714285715</v>
      </c>
      <c r="D42" s="49">
        <f>AVERAGE('29.07 Nalya-Bweyogerere'!D42,'30.07 Nalya-Bweyogerere'!D42,'31.07 Nalya-Bweyogerere'!D42,'02.08 Nalya-Bweyogerere'!D42,'01.08 Nalya-Bweyogerere-24h'!D42,'03.08 Nalya-Bweyogerere-24h'!D42,'04.08 Nalya-Bweyogerere'!D42)</f>
        <v>6.4285714285714288</v>
      </c>
      <c r="E42" s="49">
        <f>AVERAGE('29.07 Nalya-Bweyogerere'!E42,'30.07 Nalya-Bweyogerere'!E42,'31.07 Nalya-Bweyogerere'!E42,'02.08 Nalya-Bweyogerere'!E42,'01.08 Nalya-Bweyogerere-24h'!E42,'03.08 Nalya-Bweyogerere-24h'!E42,'04.08 Nalya-Bweyogerere'!E42)</f>
        <v>3.1428571428571428</v>
      </c>
      <c r="F42" s="49">
        <f>AVERAGE('29.07 Nalya-Bweyogerere'!F42,'30.07 Nalya-Bweyogerere'!F42,'31.07 Nalya-Bweyogerere'!F42,'02.08 Nalya-Bweyogerere'!F42,'01.08 Nalya-Bweyogerere-24h'!F42,'03.08 Nalya-Bweyogerere-24h'!F42,'04.08 Nalya-Bweyogerere'!F42)</f>
        <v>22</v>
      </c>
      <c r="G42" s="49">
        <f>AVERAGE('29.07 Nalya-Bweyogerere'!G42,'30.07 Nalya-Bweyogerere'!G42,'31.07 Nalya-Bweyogerere'!G42,'02.08 Nalya-Bweyogerere'!G42,'01.08 Nalya-Bweyogerere-24h'!G42,'03.08 Nalya-Bweyogerere-24h'!G42,'04.08 Nalya-Bweyogerere'!G42)</f>
        <v>0</v>
      </c>
      <c r="H42" s="49">
        <f>AVERAGE('29.07 Nalya-Bweyogerere'!H42,'30.07 Nalya-Bweyogerere'!H42,'31.07 Nalya-Bweyogerere'!H42,'02.08 Nalya-Bweyogerere'!H42,'01.08 Nalya-Bweyogerere-24h'!H42,'03.08 Nalya-Bweyogerere-24h'!H42,'04.08 Nalya-Bweyogerere'!H42)</f>
        <v>0</v>
      </c>
      <c r="I42" s="49">
        <f>AVERAGE('29.07 Nalya-Bweyogerere'!I42,'30.07 Nalya-Bweyogerere'!I42,'31.07 Nalya-Bweyogerere'!I42,'02.08 Nalya-Bweyogerere'!I42,'01.08 Nalya-Bweyogerere-24h'!I42,'03.08 Nalya-Bweyogerere-24h'!I42,'04.08 Nalya-Bweyogerere'!I42)</f>
        <v>4</v>
      </c>
      <c r="J42" s="49">
        <f>AVERAGE('29.07 Nalya-Bweyogerere'!J42,'30.07 Nalya-Bweyogerere'!J42,'31.07 Nalya-Bweyogerere'!J42,'02.08 Nalya-Bweyogerere'!J42,'01.08 Nalya-Bweyogerere-24h'!J42,'03.08 Nalya-Bweyogerere-24h'!J42,'04.08 Nalya-Bweyogerere'!J42)</f>
        <v>3.7142857142857144</v>
      </c>
      <c r="K42" s="49">
        <f>AVERAGE('29.07 Nalya-Bweyogerere'!K42,'30.07 Nalya-Bweyogerere'!K42,'31.07 Nalya-Bweyogerere'!K42,'02.08 Nalya-Bweyogerere'!K42,'01.08 Nalya-Bweyogerere-24h'!K42,'03.08 Nalya-Bweyogerere-24h'!K42,'04.08 Nalya-Bweyogerere'!K42)</f>
        <v>4.8571428571428568</v>
      </c>
      <c r="L42" s="49">
        <f>AVERAGE('29.07 Nalya-Bweyogerere'!L42,'30.07 Nalya-Bweyogerere'!L42,'31.07 Nalya-Bweyogerere'!L42,'02.08 Nalya-Bweyogerere'!L42,'01.08 Nalya-Bweyogerere-24h'!L42,'03.08 Nalya-Bweyogerere-24h'!L42,'04.08 Nalya-Bweyogerere'!L42)</f>
        <v>7.4285714285714288</v>
      </c>
      <c r="M42" s="49">
        <f>AVERAGE('29.07 Nalya-Bweyogerere'!M42,'30.07 Nalya-Bweyogerere'!M42,'31.07 Nalya-Bweyogerere'!M42,'02.08 Nalya-Bweyogerere'!M42,'01.08 Nalya-Bweyogerere-24h'!M42,'03.08 Nalya-Bweyogerere-24h'!M42,'04.08 Nalya-Bweyogerere'!M42)</f>
        <v>35.142857142857146</v>
      </c>
      <c r="N42" s="49">
        <f>AVERAGE('29.07 Nalya-Bweyogerere'!N42,'30.07 Nalya-Bweyogerere'!N42,'31.07 Nalya-Bweyogerere'!N42,'02.08 Nalya-Bweyogerere'!N42,'01.08 Nalya-Bweyogerere-24h'!N42,'03.08 Nalya-Bweyogerere-24h'!N42,'04.08 Nalya-Bweyogerere'!N42)</f>
        <v>0</v>
      </c>
      <c r="O42" s="15">
        <f t="shared" si="0"/>
        <v>75.285714285714292</v>
      </c>
      <c r="P42" s="15">
        <f t="shared" si="1"/>
        <v>110.42857142857144</v>
      </c>
    </row>
    <row r="43" spans="2:32" ht="23.1" customHeight="1" x14ac:dyDescent="0.25">
      <c r="B43" s="23" t="s">
        <v>70</v>
      </c>
      <c r="C43" s="49">
        <f>AVERAGE('29.07 Nalya-Bweyogerere'!C43,'30.07 Nalya-Bweyogerere'!C43,'31.07 Nalya-Bweyogerere'!C43,'02.08 Nalya-Bweyogerere'!C43,'01.08 Nalya-Bweyogerere-24h'!C43,'03.08 Nalya-Bweyogerere-24h'!C43,'04.08 Nalya-Bweyogerere'!C43)</f>
        <v>17.285714285714285</v>
      </c>
      <c r="D43" s="49">
        <f>AVERAGE('29.07 Nalya-Bweyogerere'!D43,'30.07 Nalya-Bweyogerere'!D43,'31.07 Nalya-Bweyogerere'!D43,'02.08 Nalya-Bweyogerere'!D43,'01.08 Nalya-Bweyogerere-24h'!D43,'03.08 Nalya-Bweyogerere-24h'!D43,'04.08 Nalya-Bweyogerere'!D43)</f>
        <v>7.8571428571428568</v>
      </c>
      <c r="E43" s="49">
        <f>AVERAGE('29.07 Nalya-Bweyogerere'!E43,'30.07 Nalya-Bweyogerere'!E43,'31.07 Nalya-Bweyogerere'!E43,'02.08 Nalya-Bweyogerere'!E43,'01.08 Nalya-Bweyogerere-24h'!E43,'03.08 Nalya-Bweyogerere-24h'!E43,'04.08 Nalya-Bweyogerere'!E43)</f>
        <v>5.5714285714285712</v>
      </c>
      <c r="F43" s="49">
        <f>AVERAGE('29.07 Nalya-Bweyogerere'!F43,'30.07 Nalya-Bweyogerere'!F43,'31.07 Nalya-Bweyogerere'!F43,'02.08 Nalya-Bweyogerere'!F43,'01.08 Nalya-Bweyogerere-24h'!F43,'03.08 Nalya-Bweyogerere-24h'!F43,'04.08 Nalya-Bweyogerere'!F43)</f>
        <v>20.142857142857142</v>
      </c>
      <c r="G43" s="49">
        <f>AVERAGE('29.07 Nalya-Bweyogerere'!G43,'30.07 Nalya-Bweyogerere'!G43,'31.07 Nalya-Bweyogerere'!G43,'02.08 Nalya-Bweyogerere'!G43,'01.08 Nalya-Bweyogerere-24h'!G43,'03.08 Nalya-Bweyogerere-24h'!G43,'04.08 Nalya-Bweyogerere'!G43)</f>
        <v>0.2857142857142857</v>
      </c>
      <c r="H43" s="49">
        <f>AVERAGE('29.07 Nalya-Bweyogerere'!H43,'30.07 Nalya-Bweyogerere'!H43,'31.07 Nalya-Bweyogerere'!H43,'02.08 Nalya-Bweyogerere'!H43,'01.08 Nalya-Bweyogerere-24h'!H43,'03.08 Nalya-Bweyogerere-24h'!H43,'04.08 Nalya-Bweyogerere'!H43)</f>
        <v>0</v>
      </c>
      <c r="I43" s="49">
        <f>AVERAGE('29.07 Nalya-Bweyogerere'!I43,'30.07 Nalya-Bweyogerere'!I43,'31.07 Nalya-Bweyogerere'!I43,'02.08 Nalya-Bweyogerere'!I43,'01.08 Nalya-Bweyogerere-24h'!I43,'03.08 Nalya-Bweyogerere-24h'!I43,'04.08 Nalya-Bweyogerere'!I43)</f>
        <v>6</v>
      </c>
      <c r="J43" s="49">
        <f>AVERAGE('29.07 Nalya-Bweyogerere'!J43,'30.07 Nalya-Bweyogerere'!J43,'31.07 Nalya-Bweyogerere'!J43,'02.08 Nalya-Bweyogerere'!J43,'01.08 Nalya-Bweyogerere-24h'!J43,'03.08 Nalya-Bweyogerere-24h'!J43,'04.08 Nalya-Bweyogerere'!J43)</f>
        <v>3</v>
      </c>
      <c r="K43" s="49">
        <f>AVERAGE('29.07 Nalya-Bweyogerere'!K43,'30.07 Nalya-Bweyogerere'!K43,'31.07 Nalya-Bweyogerere'!K43,'02.08 Nalya-Bweyogerere'!K43,'01.08 Nalya-Bweyogerere-24h'!K43,'03.08 Nalya-Bweyogerere-24h'!K43,'04.08 Nalya-Bweyogerere'!K43)</f>
        <v>4.2857142857142856</v>
      </c>
      <c r="L43" s="49">
        <f>AVERAGE('29.07 Nalya-Bweyogerere'!L43,'30.07 Nalya-Bweyogerere'!L43,'31.07 Nalya-Bweyogerere'!L43,'02.08 Nalya-Bweyogerere'!L43,'01.08 Nalya-Bweyogerere-24h'!L43,'03.08 Nalya-Bweyogerere-24h'!L43,'04.08 Nalya-Bweyogerere'!L43)</f>
        <v>5.7142857142857144</v>
      </c>
      <c r="M43" s="49">
        <f>AVERAGE('29.07 Nalya-Bweyogerere'!M43,'30.07 Nalya-Bweyogerere'!M43,'31.07 Nalya-Bweyogerere'!M43,'02.08 Nalya-Bweyogerere'!M43,'01.08 Nalya-Bweyogerere-24h'!M43,'03.08 Nalya-Bweyogerere-24h'!M43,'04.08 Nalya-Bweyogerere'!M43)</f>
        <v>36.285714285714285</v>
      </c>
      <c r="N43" s="49">
        <f>AVERAGE('29.07 Nalya-Bweyogerere'!N43,'30.07 Nalya-Bweyogerere'!N43,'31.07 Nalya-Bweyogerere'!N43,'02.08 Nalya-Bweyogerere'!N43,'01.08 Nalya-Bweyogerere-24h'!N43,'03.08 Nalya-Bweyogerere-24h'!N43,'04.08 Nalya-Bweyogerere'!N43)</f>
        <v>0</v>
      </c>
      <c r="O43" s="15">
        <f t="shared" si="0"/>
        <v>70.142857142857139</v>
      </c>
      <c r="P43" s="15">
        <f t="shared" si="1"/>
        <v>106.42857142857142</v>
      </c>
    </row>
    <row r="44" spans="2:32" ht="23.1" customHeight="1" x14ac:dyDescent="0.25">
      <c r="B44" s="25" t="s">
        <v>71</v>
      </c>
      <c r="C44" s="49">
        <f>AVERAGE('29.07 Nalya-Bweyogerere'!C44,'30.07 Nalya-Bweyogerere'!C44,'31.07 Nalya-Bweyogerere'!C44,'02.08 Nalya-Bweyogerere'!C44,'01.08 Nalya-Bweyogerere-24h'!C44,'03.08 Nalya-Bweyogerere-24h'!C44,'04.08 Nalya-Bweyogerere'!C44)</f>
        <v>18.142857142857142</v>
      </c>
      <c r="D44" s="49">
        <f>AVERAGE('29.07 Nalya-Bweyogerere'!D44,'30.07 Nalya-Bweyogerere'!D44,'31.07 Nalya-Bweyogerere'!D44,'02.08 Nalya-Bweyogerere'!D44,'01.08 Nalya-Bweyogerere-24h'!D44,'03.08 Nalya-Bweyogerere-24h'!D44,'04.08 Nalya-Bweyogerere'!D44)</f>
        <v>6.2857142857142856</v>
      </c>
      <c r="E44" s="49">
        <f>AVERAGE('29.07 Nalya-Bweyogerere'!E44,'30.07 Nalya-Bweyogerere'!E44,'31.07 Nalya-Bweyogerere'!E44,'02.08 Nalya-Bweyogerere'!E44,'01.08 Nalya-Bweyogerere-24h'!E44,'03.08 Nalya-Bweyogerere-24h'!E44,'04.08 Nalya-Bweyogerere'!E44)</f>
        <v>3.2857142857142856</v>
      </c>
      <c r="F44" s="49">
        <f>AVERAGE('29.07 Nalya-Bweyogerere'!F44,'30.07 Nalya-Bweyogerere'!F44,'31.07 Nalya-Bweyogerere'!F44,'02.08 Nalya-Bweyogerere'!F44,'01.08 Nalya-Bweyogerere-24h'!F44,'03.08 Nalya-Bweyogerere-24h'!F44,'04.08 Nalya-Bweyogerere'!F44)</f>
        <v>18.571428571428573</v>
      </c>
      <c r="G44" s="49">
        <f>AVERAGE('29.07 Nalya-Bweyogerere'!G44,'30.07 Nalya-Bweyogerere'!G44,'31.07 Nalya-Bweyogerere'!G44,'02.08 Nalya-Bweyogerere'!G44,'01.08 Nalya-Bweyogerere-24h'!G44,'03.08 Nalya-Bweyogerere-24h'!G44,'04.08 Nalya-Bweyogerere'!G44)</f>
        <v>0.2857142857142857</v>
      </c>
      <c r="H44" s="49">
        <f>AVERAGE('29.07 Nalya-Bweyogerere'!H44,'30.07 Nalya-Bweyogerere'!H44,'31.07 Nalya-Bweyogerere'!H44,'02.08 Nalya-Bweyogerere'!H44,'01.08 Nalya-Bweyogerere-24h'!H44,'03.08 Nalya-Bweyogerere-24h'!H44,'04.08 Nalya-Bweyogerere'!H44)</f>
        <v>0.5714285714285714</v>
      </c>
      <c r="I44" s="49">
        <f>AVERAGE('29.07 Nalya-Bweyogerere'!I44,'30.07 Nalya-Bweyogerere'!I44,'31.07 Nalya-Bweyogerere'!I44,'02.08 Nalya-Bweyogerere'!I44,'01.08 Nalya-Bweyogerere-24h'!I44,'03.08 Nalya-Bweyogerere-24h'!I44,'04.08 Nalya-Bweyogerere'!I44)</f>
        <v>4.2857142857142856</v>
      </c>
      <c r="J44" s="49">
        <f>AVERAGE('29.07 Nalya-Bweyogerere'!J44,'30.07 Nalya-Bweyogerere'!J44,'31.07 Nalya-Bweyogerere'!J44,'02.08 Nalya-Bweyogerere'!J44,'01.08 Nalya-Bweyogerere-24h'!J44,'03.08 Nalya-Bweyogerere-24h'!J44,'04.08 Nalya-Bweyogerere'!J44)</f>
        <v>5.4285714285714288</v>
      </c>
      <c r="K44" s="49">
        <f>AVERAGE('29.07 Nalya-Bweyogerere'!K44,'30.07 Nalya-Bweyogerere'!K44,'31.07 Nalya-Bweyogerere'!K44,'02.08 Nalya-Bweyogerere'!K44,'01.08 Nalya-Bweyogerere-24h'!K44,'03.08 Nalya-Bweyogerere-24h'!K44,'04.08 Nalya-Bweyogerere'!K44)</f>
        <v>5.1428571428571432</v>
      </c>
      <c r="L44" s="49">
        <f>AVERAGE('29.07 Nalya-Bweyogerere'!L44,'30.07 Nalya-Bweyogerere'!L44,'31.07 Nalya-Bweyogerere'!L44,'02.08 Nalya-Bweyogerere'!L44,'01.08 Nalya-Bweyogerere-24h'!L44,'03.08 Nalya-Bweyogerere-24h'!L44,'04.08 Nalya-Bweyogerere'!L44)</f>
        <v>6.7142857142857144</v>
      </c>
      <c r="M44" s="49">
        <f>AVERAGE('29.07 Nalya-Bweyogerere'!M44,'30.07 Nalya-Bweyogerere'!M44,'31.07 Nalya-Bweyogerere'!M44,'02.08 Nalya-Bweyogerere'!M44,'01.08 Nalya-Bweyogerere-24h'!M44,'03.08 Nalya-Bweyogerere-24h'!M44,'04.08 Nalya-Bweyogerere'!M44)</f>
        <v>34.285714285714285</v>
      </c>
      <c r="N44" s="49">
        <f>AVERAGE('29.07 Nalya-Bweyogerere'!N44,'30.07 Nalya-Bweyogerere'!N44,'31.07 Nalya-Bweyogerere'!N44,'02.08 Nalya-Bweyogerere'!N44,'01.08 Nalya-Bweyogerere-24h'!N44,'03.08 Nalya-Bweyogerere-24h'!N44,'04.08 Nalya-Bweyogerere'!N44)</f>
        <v>0</v>
      </c>
      <c r="O44" s="15">
        <f t="shared" si="0"/>
        <v>68.714285714285708</v>
      </c>
      <c r="P44" s="15">
        <f t="shared" si="1"/>
        <v>103</v>
      </c>
    </row>
    <row r="45" spans="2:32" ht="23.1" customHeight="1" x14ac:dyDescent="0.25">
      <c r="B45" s="23" t="s">
        <v>72</v>
      </c>
      <c r="C45" s="49">
        <f>AVERAGE('29.07 Nalya-Bweyogerere'!C45,'30.07 Nalya-Bweyogerere'!C45,'31.07 Nalya-Bweyogerere'!C45,'02.08 Nalya-Bweyogerere'!C45,'01.08 Nalya-Bweyogerere-24h'!C45,'03.08 Nalya-Bweyogerere-24h'!C45,'04.08 Nalya-Bweyogerere'!C45)</f>
        <v>15.714285714285714</v>
      </c>
      <c r="D45" s="49">
        <f>AVERAGE('29.07 Nalya-Bweyogerere'!D45,'30.07 Nalya-Bweyogerere'!D45,'31.07 Nalya-Bweyogerere'!D45,'02.08 Nalya-Bweyogerere'!D45,'01.08 Nalya-Bweyogerere-24h'!D45,'03.08 Nalya-Bweyogerere-24h'!D45,'04.08 Nalya-Bweyogerere'!D45)</f>
        <v>8.2857142857142865</v>
      </c>
      <c r="E45" s="49">
        <f>AVERAGE('29.07 Nalya-Bweyogerere'!E45,'30.07 Nalya-Bweyogerere'!E45,'31.07 Nalya-Bweyogerere'!E45,'02.08 Nalya-Bweyogerere'!E45,'01.08 Nalya-Bweyogerere-24h'!E45,'03.08 Nalya-Bweyogerere-24h'!E45,'04.08 Nalya-Bweyogerere'!E45)</f>
        <v>3.4285714285714284</v>
      </c>
      <c r="F45" s="49">
        <f>AVERAGE('29.07 Nalya-Bweyogerere'!F45,'30.07 Nalya-Bweyogerere'!F45,'31.07 Nalya-Bweyogerere'!F45,'02.08 Nalya-Bweyogerere'!F45,'01.08 Nalya-Bweyogerere-24h'!F45,'03.08 Nalya-Bweyogerere-24h'!F45,'04.08 Nalya-Bweyogerere'!F45)</f>
        <v>18.142857142857142</v>
      </c>
      <c r="G45" s="49">
        <f>AVERAGE('29.07 Nalya-Bweyogerere'!G45,'30.07 Nalya-Bweyogerere'!G45,'31.07 Nalya-Bweyogerere'!G45,'02.08 Nalya-Bweyogerere'!G45,'01.08 Nalya-Bweyogerere-24h'!G45,'03.08 Nalya-Bweyogerere-24h'!G45,'04.08 Nalya-Bweyogerere'!G45)</f>
        <v>0.14285714285714285</v>
      </c>
      <c r="H45" s="49">
        <f>AVERAGE('29.07 Nalya-Bweyogerere'!H45,'30.07 Nalya-Bweyogerere'!H45,'31.07 Nalya-Bweyogerere'!H45,'02.08 Nalya-Bweyogerere'!H45,'01.08 Nalya-Bweyogerere-24h'!H45,'03.08 Nalya-Bweyogerere-24h'!H45,'04.08 Nalya-Bweyogerere'!H45)</f>
        <v>0</v>
      </c>
      <c r="I45" s="49">
        <f>AVERAGE('29.07 Nalya-Bweyogerere'!I45,'30.07 Nalya-Bweyogerere'!I45,'31.07 Nalya-Bweyogerere'!I45,'02.08 Nalya-Bweyogerere'!I45,'01.08 Nalya-Bweyogerere-24h'!I45,'03.08 Nalya-Bweyogerere-24h'!I45,'04.08 Nalya-Bweyogerere'!I45)</f>
        <v>5</v>
      </c>
      <c r="J45" s="49">
        <f>AVERAGE('29.07 Nalya-Bweyogerere'!J45,'30.07 Nalya-Bweyogerere'!J45,'31.07 Nalya-Bweyogerere'!J45,'02.08 Nalya-Bweyogerere'!J45,'01.08 Nalya-Bweyogerere-24h'!J45,'03.08 Nalya-Bweyogerere-24h'!J45,'04.08 Nalya-Bweyogerere'!J45)</f>
        <v>3.7142857142857144</v>
      </c>
      <c r="K45" s="49">
        <f>AVERAGE('29.07 Nalya-Bweyogerere'!K45,'30.07 Nalya-Bweyogerere'!K45,'31.07 Nalya-Bweyogerere'!K45,'02.08 Nalya-Bweyogerere'!K45,'01.08 Nalya-Bweyogerere-24h'!K45,'03.08 Nalya-Bweyogerere-24h'!K45,'04.08 Nalya-Bweyogerere'!K45)</f>
        <v>3.7142857142857144</v>
      </c>
      <c r="L45" s="49">
        <f>AVERAGE('29.07 Nalya-Bweyogerere'!L45,'30.07 Nalya-Bweyogerere'!L45,'31.07 Nalya-Bweyogerere'!L45,'02.08 Nalya-Bweyogerere'!L45,'01.08 Nalya-Bweyogerere-24h'!L45,'03.08 Nalya-Bweyogerere-24h'!L45,'04.08 Nalya-Bweyogerere'!L45)</f>
        <v>6.4285714285714288</v>
      </c>
      <c r="M45" s="49">
        <f>AVERAGE('29.07 Nalya-Bweyogerere'!M45,'30.07 Nalya-Bweyogerere'!M45,'31.07 Nalya-Bweyogerere'!M45,'02.08 Nalya-Bweyogerere'!M45,'01.08 Nalya-Bweyogerere-24h'!M45,'03.08 Nalya-Bweyogerere-24h'!M45,'04.08 Nalya-Bweyogerere'!M45)</f>
        <v>30</v>
      </c>
      <c r="N45" s="49">
        <f>AVERAGE('29.07 Nalya-Bweyogerere'!N45,'30.07 Nalya-Bweyogerere'!N45,'31.07 Nalya-Bweyogerere'!N45,'02.08 Nalya-Bweyogerere'!N45,'01.08 Nalya-Bweyogerere-24h'!N45,'03.08 Nalya-Bweyogerere-24h'!N45,'04.08 Nalya-Bweyogerere'!N45)</f>
        <v>0</v>
      </c>
      <c r="O45" s="15">
        <f t="shared" si="0"/>
        <v>64.571428571428569</v>
      </c>
      <c r="P45" s="15">
        <f t="shared" si="1"/>
        <v>94.571428571428569</v>
      </c>
    </row>
    <row r="46" spans="2:32" ht="23.1" customHeight="1" x14ac:dyDescent="0.25">
      <c r="B46" s="24" t="s">
        <v>73</v>
      </c>
      <c r="C46" s="49">
        <f>AVERAGE('29.07 Nalya-Bweyogerere'!C46,'30.07 Nalya-Bweyogerere'!C46,'31.07 Nalya-Bweyogerere'!C46,'02.08 Nalya-Bweyogerere'!C46,'01.08 Nalya-Bweyogerere-24h'!C46,'03.08 Nalya-Bweyogerere-24h'!C46,'04.08 Nalya-Bweyogerere'!C46)</f>
        <v>18.714285714285715</v>
      </c>
      <c r="D46" s="49">
        <f>AVERAGE('29.07 Nalya-Bweyogerere'!D46,'30.07 Nalya-Bweyogerere'!D46,'31.07 Nalya-Bweyogerere'!D46,'02.08 Nalya-Bweyogerere'!D46,'01.08 Nalya-Bweyogerere-24h'!D46,'03.08 Nalya-Bweyogerere-24h'!D46,'04.08 Nalya-Bweyogerere'!D46)</f>
        <v>8.2857142857142865</v>
      </c>
      <c r="E46" s="49">
        <f>AVERAGE('29.07 Nalya-Bweyogerere'!E46,'30.07 Nalya-Bweyogerere'!E46,'31.07 Nalya-Bweyogerere'!E46,'02.08 Nalya-Bweyogerere'!E46,'01.08 Nalya-Bweyogerere-24h'!E46,'03.08 Nalya-Bweyogerere-24h'!E46,'04.08 Nalya-Bweyogerere'!E46)</f>
        <v>4.5714285714285712</v>
      </c>
      <c r="F46" s="49">
        <f>AVERAGE('29.07 Nalya-Bweyogerere'!F46,'30.07 Nalya-Bweyogerere'!F46,'31.07 Nalya-Bweyogerere'!F46,'02.08 Nalya-Bweyogerere'!F46,'01.08 Nalya-Bweyogerere-24h'!F46,'03.08 Nalya-Bweyogerere-24h'!F46,'04.08 Nalya-Bweyogerere'!F46)</f>
        <v>19.714285714285715</v>
      </c>
      <c r="G46" s="49">
        <f>AVERAGE('29.07 Nalya-Bweyogerere'!G46,'30.07 Nalya-Bweyogerere'!G46,'31.07 Nalya-Bweyogerere'!G46,'02.08 Nalya-Bweyogerere'!G46,'01.08 Nalya-Bweyogerere-24h'!G46,'03.08 Nalya-Bweyogerere-24h'!G46,'04.08 Nalya-Bweyogerere'!G46)</f>
        <v>0.2857142857142857</v>
      </c>
      <c r="H46" s="49">
        <f>AVERAGE('29.07 Nalya-Bweyogerere'!H46,'30.07 Nalya-Bweyogerere'!H46,'31.07 Nalya-Bweyogerere'!H46,'02.08 Nalya-Bweyogerere'!H46,'01.08 Nalya-Bweyogerere-24h'!H46,'03.08 Nalya-Bweyogerere-24h'!H46,'04.08 Nalya-Bweyogerere'!H46)</f>
        <v>0.2857142857142857</v>
      </c>
      <c r="I46" s="49">
        <f>AVERAGE('29.07 Nalya-Bweyogerere'!I46,'30.07 Nalya-Bweyogerere'!I46,'31.07 Nalya-Bweyogerere'!I46,'02.08 Nalya-Bweyogerere'!I46,'01.08 Nalya-Bweyogerere-24h'!I46,'03.08 Nalya-Bweyogerere-24h'!I46,'04.08 Nalya-Bweyogerere'!I46)</f>
        <v>4.1428571428571432</v>
      </c>
      <c r="J46" s="49">
        <f>AVERAGE('29.07 Nalya-Bweyogerere'!J46,'30.07 Nalya-Bweyogerere'!J46,'31.07 Nalya-Bweyogerere'!J46,'02.08 Nalya-Bweyogerere'!J46,'01.08 Nalya-Bweyogerere-24h'!J46,'03.08 Nalya-Bweyogerere-24h'!J46,'04.08 Nalya-Bweyogerere'!J46)</f>
        <v>6.4285714285714288</v>
      </c>
      <c r="K46" s="49">
        <f>AVERAGE('29.07 Nalya-Bweyogerere'!K46,'30.07 Nalya-Bweyogerere'!K46,'31.07 Nalya-Bweyogerere'!K46,'02.08 Nalya-Bweyogerere'!K46,'01.08 Nalya-Bweyogerere-24h'!K46,'03.08 Nalya-Bweyogerere-24h'!K46,'04.08 Nalya-Bweyogerere'!K46)</f>
        <v>4.8571428571428568</v>
      </c>
      <c r="L46" s="49">
        <f>AVERAGE('29.07 Nalya-Bweyogerere'!L46,'30.07 Nalya-Bweyogerere'!L46,'31.07 Nalya-Bweyogerere'!L46,'02.08 Nalya-Bweyogerere'!L46,'01.08 Nalya-Bweyogerere-24h'!L46,'03.08 Nalya-Bweyogerere-24h'!L46,'04.08 Nalya-Bweyogerere'!L46)</f>
        <v>7.2857142857142856</v>
      </c>
      <c r="M46" s="49">
        <f>AVERAGE('29.07 Nalya-Bweyogerere'!M46,'30.07 Nalya-Bweyogerere'!M46,'31.07 Nalya-Bweyogerere'!M46,'02.08 Nalya-Bweyogerere'!M46,'01.08 Nalya-Bweyogerere-24h'!M46,'03.08 Nalya-Bweyogerere-24h'!M46,'04.08 Nalya-Bweyogerere'!M46)</f>
        <v>34</v>
      </c>
      <c r="N46" s="49">
        <f>AVERAGE('29.07 Nalya-Bweyogerere'!N46,'30.07 Nalya-Bweyogerere'!N46,'31.07 Nalya-Bweyogerere'!N46,'02.08 Nalya-Bweyogerere'!N46,'01.08 Nalya-Bweyogerere-24h'!N46,'03.08 Nalya-Bweyogerere-24h'!N46,'04.08 Nalya-Bweyogerere'!N46)</f>
        <v>0</v>
      </c>
      <c r="O46" s="15">
        <f t="shared" si="0"/>
        <v>74.571428571428584</v>
      </c>
      <c r="P46" s="15">
        <f t="shared" si="1"/>
        <v>108.57142857142858</v>
      </c>
      <c r="R46" s="8"/>
      <c r="T46"/>
    </row>
    <row r="47" spans="2:32" ht="23.1" customHeight="1" x14ac:dyDescent="0.25">
      <c r="B47" s="24" t="s">
        <v>74</v>
      </c>
      <c r="C47" s="49">
        <f>AVERAGE('29.07 Nalya-Bweyogerere'!C47,'30.07 Nalya-Bweyogerere'!C47,'31.07 Nalya-Bweyogerere'!C47,'02.08 Nalya-Bweyogerere'!C47,'01.08 Nalya-Bweyogerere-24h'!C47,'03.08 Nalya-Bweyogerere-24h'!C47,'04.08 Nalya-Bweyogerere'!C47)</f>
        <v>18.714285714285715</v>
      </c>
      <c r="D47" s="49">
        <f>AVERAGE('29.07 Nalya-Bweyogerere'!D47,'30.07 Nalya-Bweyogerere'!D47,'31.07 Nalya-Bweyogerere'!D47,'02.08 Nalya-Bweyogerere'!D47,'01.08 Nalya-Bweyogerere-24h'!D47,'03.08 Nalya-Bweyogerere-24h'!D47,'04.08 Nalya-Bweyogerere'!D47)</f>
        <v>7.4285714285714288</v>
      </c>
      <c r="E47" s="49">
        <f>AVERAGE('29.07 Nalya-Bweyogerere'!E47,'30.07 Nalya-Bweyogerere'!E47,'31.07 Nalya-Bweyogerere'!E47,'02.08 Nalya-Bweyogerere'!E47,'01.08 Nalya-Bweyogerere-24h'!E47,'03.08 Nalya-Bweyogerere-24h'!E47,'04.08 Nalya-Bweyogerere'!E47)</f>
        <v>4.5714285714285712</v>
      </c>
      <c r="F47" s="49">
        <f>AVERAGE('29.07 Nalya-Bweyogerere'!F47,'30.07 Nalya-Bweyogerere'!F47,'31.07 Nalya-Bweyogerere'!F47,'02.08 Nalya-Bweyogerere'!F47,'01.08 Nalya-Bweyogerere-24h'!F47,'03.08 Nalya-Bweyogerere-24h'!F47,'04.08 Nalya-Bweyogerere'!F47)</f>
        <v>18.571428571428573</v>
      </c>
      <c r="G47" s="49">
        <f>AVERAGE('29.07 Nalya-Bweyogerere'!G47,'30.07 Nalya-Bweyogerere'!G47,'31.07 Nalya-Bweyogerere'!G47,'02.08 Nalya-Bweyogerere'!G47,'01.08 Nalya-Bweyogerere-24h'!G47,'03.08 Nalya-Bweyogerere-24h'!G47,'04.08 Nalya-Bweyogerere'!G47)</f>
        <v>0</v>
      </c>
      <c r="H47" s="49">
        <f>AVERAGE('29.07 Nalya-Bweyogerere'!H47,'30.07 Nalya-Bweyogerere'!H47,'31.07 Nalya-Bweyogerere'!H47,'02.08 Nalya-Bweyogerere'!H47,'01.08 Nalya-Bweyogerere-24h'!H47,'03.08 Nalya-Bweyogerere-24h'!H47,'04.08 Nalya-Bweyogerere'!H47)</f>
        <v>0.14285714285714285</v>
      </c>
      <c r="I47" s="49">
        <f>AVERAGE('29.07 Nalya-Bweyogerere'!I47,'30.07 Nalya-Bweyogerere'!I47,'31.07 Nalya-Bweyogerere'!I47,'02.08 Nalya-Bweyogerere'!I47,'01.08 Nalya-Bweyogerere-24h'!I47,'03.08 Nalya-Bweyogerere-24h'!I47,'04.08 Nalya-Bweyogerere'!I47)</f>
        <v>4.7142857142857144</v>
      </c>
      <c r="J47" s="49">
        <f>AVERAGE('29.07 Nalya-Bweyogerere'!J47,'30.07 Nalya-Bweyogerere'!J47,'31.07 Nalya-Bweyogerere'!J47,'02.08 Nalya-Bweyogerere'!J47,'01.08 Nalya-Bweyogerere-24h'!J47,'03.08 Nalya-Bweyogerere-24h'!J47,'04.08 Nalya-Bweyogerere'!J47)</f>
        <v>3.5714285714285716</v>
      </c>
      <c r="K47" s="49">
        <f>AVERAGE('29.07 Nalya-Bweyogerere'!K47,'30.07 Nalya-Bweyogerere'!K47,'31.07 Nalya-Bweyogerere'!K47,'02.08 Nalya-Bweyogerere'!K47,'01.08 Nalya-Bweyogerere-24h'!K47,'03.08 Nalya-Bweyogerere-24h'!K47,'04.08 Nalya-Bweyogerere'!K47)</f>
        <v>3.1428571428571428</v>
      </c>
      <c r="L47" s="49">
        <f>AVERAGE('29.07 Nalya-Bweyogerere'!L47,'30.07 Nalya-Bweyogerere'!L47,'31.07 Nalya-Bweyogerere'!L47,'02.08 Nalya-Bweyogerere'!L47,'01.08 Nalya-Bweyogerere-24h'!L47,'03.08 Nalya-Bweyogerere-24h'!L47,'04.08 Nalya-Bweyogerere'!L47)</f>
        <v>5.2857142857142856</v>
      </c>
      <c r="M47" s="49">
        <f>AVERAGE('29.07 Nalya-Bweyogerere'!M47,'30.07 Nalya-Bweyogerere'!M47,'31.07 Nalya-Bweyogerere'!M47,'02.08 Nalya-Bweyogerere'!M47,'01.08 Nalya-Bweyogerere-24h'!M47,'03.08 Nalya-Bweyogerere-24h'!M47,'04.08 Nalya-Bweyogerere'!M47)</f>
        <v>31.714285714285715</v>
      </c>
      <c r="N47" s="49">
        <f>AVERAGE('29.07 Nalya-Bweyogerere'!N47,'30.07 Nalya-Bweyogerere'!N47,'31.07 Nalya-Bweyogerere'!N47,'02.08 Nalya-Bweyogerere'!N47,'01.08 Nalya-Bweyogerere-24h'!N47,'03.08 Nalya-Bweyogerere-24h'!N47,'04.08 Nalya-Bweyogerere'!N47)</f>
        <v>0</v>
      </c>
      <c r="O47" s="15">
        <f t="shared" si="0"/>
        <v>66.142857142857153</v>
      </c>
      <c r="P47" s="15">
        <f t="shared" si="1"/>
        <v>97.857142857142861</v>
      </c>
      <c r="R47" s="8"/>
      <c r="T47"/>
    </row>
    <row r="48" spans="2:32" ht="23.1" customHeight="1" x14ac:dyDescent="0.25">
      <c r="B48" s="24" t="s">
        <v>75</v>
      </c>
      <c r="C48" s="49">
        <f>AVERAGE('29.07 Nalya-Bweyogerere'!C48,'30.07 Nalya-Bweyogerere'!C48,'31.07 Nalya-Bweyogerere'!C48,'02.08 Nalya-Bweyogerere'!C48,'01.08 Nalya-Bweyogerere-24h'!C48,'03.08 Nalya-Bweyogerere-24h'!C48,'04.08 Nalya-Bweyogerere'!C48)</f>
        <v>28.857142857142858</v>
      </c>
      <c r="D48" s="49">
        <f>AVERAGE('29.07 Nalya-Bweyogerere'!D48,'30.07 Nalya-Bweyogerere'!D48,'31.07 Nalya-Bweyogerere'!D48,'02.08 Nalya-Bweyogerere'!D48,'01.08 Nalya-Bweyogerere-24h'!D48,'03.08 Nalya-Bweyogerere-24h'!D48,'04.08 Nalya-Bweyogerere'!D48)</f>
        <v>10.428571428571429</v>
      </c>
      <c r="E48" s="49">
        <f>AVERAGE('29.07 Nalya-Bweyogerere'!E48,'30.07 Nalya-Bweyogerere'!E48,'31.07 Nalya-Bweyogerere'!E48,'02.08 Nalya-Bweyogerere'!E48,'01.08 Nalya-Bweyogerere-24h'!E48,'03.08 Nalya-Bweyogerere-24h'!E48,'04.08 Nalya-Bweyogerere'!E48)</f>
        <v>7</v>
      </c>
      <c r="F48" s="49">
        <f>AVERAGE('29.07 Nalya-Bweyogerere'!F48,'30.07 Nalya-Bweyogerere'!F48,'31.07 Nalya-Bweyogerere'!F48,'02.08 Nalya-Bweyogerere'!F48,'01.08 Nalya-Bweyogerere-24h'!F48,'03.08 Nalya-Bweyogerere-24h'!F48,'04.08 Nalya-Bweyogerere'!F48)</f>
        <v>25.142857142857142</v>
      </c>
      <c r="G48" s="49">
        <f>AVERAGE('29.07 Nalya-Bweyogerere'!G48,'30.07 Nalya-Bweyogerere'!G48,'31.07 Nalya-Bweyogerere'!G48,'02.08 Nalya-Bweyogerere'!G48,'01.08 Nalya-Bweyogerere-24h'!G48,'03.08 Nalya-Bweyogerere-24h'!G48,'04.08 Nalya-Bweyogerere'!G48)</f>
        <v>0.14285714285714285</v>
      </c>
      <c r="H48" s="49">
        <f>AVERAGE('29.07 Nalya-Bweyogerere'!H48,'30.07 Nalya-Bweyogerere'!H48,'31.07 Nalya-Bweyogerere'!H48,'02.08 Nalya-Bweyogerere'!H48,'01.08 Nalya-Bweyogerere-24h'!H48,'03.08 Nalya-Bweyogerere-24h'!H48,'04.08 Nalya-Bweyogerere'!H48)</f>
        <v>0</v>
      </c>
      <c r="I48" s="49">
        <f>AVERAGE('29.07 Nalya-Bweyogerere'!I48,'30.07 Nalya-Bweyogerere'!I48,'31.07 Nalya-Bweyogerere'!I48,'02.08 Nalya-Bweyogerere'!I48,'01.08 Nalya-Bweyogerere-24h'!I48,'03.08 Nalya-Bweyogerere-24h'!I48,'04.08 Nalya-Bweyogerere'!I48)</f>
        <v>5.4285714285714288</v>
      </c>
      <c r="J48" s="49">
        <f>AVERAGE('29.07 Nalya-Bweyogerere'!J48,'30.07 Nalya-Bweyogerere'!J48,'31.07 Nalya-Bweyogerere'!J48,'02.08 Nalya-Bweyogerere'!J48,'01.08 Nalya-Bweyogerere-24h'!J48,'03.08 Nalya-Bweyogerere-24h'!J48,'04.08 Nalya-Bweyogerere'!J48)</f>
        <v>4.5714285714285712</v>
      </c>
      <c r="K48" s="49">
        <f>AVERAGE('29.07 Nalya-Bweyogerere'!K48,'30.07 Nalya-Bweyogerere'!K48,'31.07 Nalya-Bweyogerere'!K48,'02.08 Nalya-Bweyogerere'!K48,'01.08 Nalya-Bweyogerere-24h'!K48,'03.08 Nalya-Bweyogerere-24h'!K48,'04.08 Nalya-Bweyogerere'!K48)</f>
        <v>5.1428571428571432</v>
      </c>
      <c r="L48" s="49">
        <f>AVERAGE('29.07 Nalya-Bweyogerere'!L48,'30.07 Nalya-Bweyogerere'!L48,'31.07 Nalya-Bweyogerere'!L48,'02.08 Nalya-Bweyogerere'!L48,'01.08 Nalya-Bweyogerere-24h'!L48,'03.08 Nalya-Bweyogerere-24h'!L48,'04.08 Nalya-Bweyogerere'!L48)</f>
        <v>7.1428571428571432</v>
      </c>
      <c r="M48" s="49">
        <f>AVERAGE('29.07 Nalya-Bweyogerere'!M48,'30.07 Nalya-Bweyogerere'!M48,'31.07 Nalya-Bweyogerere'!M48,'02.08 Nalya-Bweyogerere'!M48,'01.08 Nalya-Bweyogerere-24h'!M48,'03.08 Nalya-Bweyogerere-24h'!M48,'04.08 Nalya-Bweyogerere'!M48)</f>
        <v>37.571428571428569</v>
      </c>
      <c r="N48" s="49">
        <f>AVERAGE('29.07 Nalya-Bweyogerere'!N48,'30.07 Nalya-Bweyogerere'!N48,'31.07 Nalya-Bweyogerere'!N48,'02.08 Nalya-Bweyogerere'!N48,'01.08 Nalya-Bweyogerere-24h'!N48,'03.08 Nalya-Bweyogerere-24h'!N48,'04.08 Nalya-Bweyogerere'!N48)</f>
        <v>0</v>
      </c>
      <c r="O48" s="15">
        <f t="shared" si="0"/>
        <v>93.857142857142847</v>
      </c>
      <c r="P48" s="15">
        <f t="shared" si="1"/>
        <v>131.42857142857142</v>
      </c>
      <c r="R48" s="8"/>
      <c r="T48"/>
    </row>
    <row r="49" spans="2:20" ht="23.1" customHeight="1" x14ac:dyDescent="0.25">
      <c r="B49" s="23" t="s">
        <v>76</v>
      </c>
      <c r="C49" s="49">
        <f>AVERAGE('29.07 Nalya-Bweyogerere'!C49,'30.07 Nalya-Bweyogerere'!C49,'31.07 Nalya-Bweyogerere'!C49,'02.08 Nalya-Bweyogerere'!C49,'01.08 Nalya-Bweyogerere-24h'!C49,'03.08 Nalya-Bweyogerere-24h'!C49,'04.08 Nalya-Bweyogerere'!C49)</f>
        <v>31.571428571428573</v>
      </c>
      <c r="D49" s="49">
        <f>AVERAGE('29.07 Nalya-Bweyogerere'!D49,'30.07 Nalya-Bweyogerere'!D49,'31.07 Nalya-Bweyogerere'!D49,'02.08 Nalya-Bweyogerere'!D49,'01.08 Nalya-Bweyogerere-24h'!D49,'03.08 Nalya-Bweyogerere-24h'!D49,'04.08 Nalya-Bweyogerere'!D49)</f>
        <v>10</v>
      </c>
      <c r="E49" s="49">
        <f>AVERAGE('29.07 Nalya-Bweyogerere'!E49,'30.07 Nalya-Bweyogerere'!E49,'31.07 Nalya-Bweyogerere'!E49,'02.08 Nalya-Bweyogerere'!E49,'01.08 Nalya-Bweyogerere-24h'!E49,'03.08 Nalya-Bweyogerere-24h'!E49,'04.08 Nalya-Bweyogerere'!E49)</f>
        <v>5.2857142857142856</v>
      </c>
      <c r="F49" s="49">
        <f>AVERAGE('29.07 Nalya-Bweyogerere'!F49,'30.07 Nalya-Bweyogerere'!F49,'31.07 Nalya-Bweyogerere'!F49,'02.08 Nalya-Bweyogerere'!F49,'01.08 Nalya-Bweyogerere-24h'!F49,'03.08 Nalya-Bweyogerere-24h'!F49,'04.08 Nalya-Bweyogerere'!F49)</f>
        <v>26.285714285714285</v>
      </c>
      <c r="G49" s="49">
        <f>AVERAGE('29.07 Nalya-Bweyogerere'!G49,'30.07 Nalya-Bweyogerere'!G49,'31.07 Nalya-Bweyogerere'!G49,'02.08 Nalya-Bweyogerere'!G49,'01.08 Nalya-Bweyogerere-24h'!G49,'03.08 Nalya-Bweyogerere-24h'!G49,'04.08 Nalya-Bweyogerere'!G49)</f>
        <v>0.14285714285714285</v>
      </c>
      <c r="H49" s="49">
        <f>AVERAGE('29.07 Nalya-Bweyogerere'!H49,'30.07 Nalya-Bweyogerere'!H49,'31.07 Nalya-Bweyogerere'!H49,'02.08 Nalya-Bweyogerere'!H49,'01.08 Nalya-Bweyogerere-24h'!H49,'03.08 Nalya-Bweyogerere-24h'!H49,'04.08 Nalya-Bweyogerere'!H49)</f>
        <v>0</v>
      </c>
      <c r="I49" s="49">
        <f>AVERAGE('29.07 Nalya-Bweyogerere'!I49,'30.07 Nalya-Bweyogerere'!I49,'31.07 Nalya-Bweyogerere'!I49,'02.08 Nalya-Bweyogerere'!I49,'01.08 Nalya-Bweyogerere-24h'!I49,'03.08 Nalya-Bweyogerere-24h'!I49,'04.08 Nalya-Bweyogerere'!I49)</f>
        <v>7.4285714285714288</v>
      </c>
      <c r="J49" s="49">
        <f>AVERAGE('29.07 Nalya-Bweyogerere'!J49,'30.07 Nalya-Bweyogerere'!J49,'31.07 Nalya-Bweyogerere'!J49,'02.08 Nalya-Bweyogerere'!J49,'01.08 Nalya-Bweyogerere-24h'!J49,'03.08 Nalya-Bweyogerere-24h'!J49,'04.08 Nalya-Bweyogerere'!J49)</f>
        <v>5</v>
      </c>
      <c r="K49" s="49">
        <f>AVERAGE('29.07 Nalya-Bweyogerere'!K49,'30.07 Nalya-Bweyogerere'!K49,'31.07 Nalya-Bweyogerere'!K49,'02.08 Nalya-Bweyogerere'!K49,'01.08 Nalya-Bweyogerere-24h'!K49,'03.08 Nalya-Bweyogerere-24h'!K49,'04.08 Nalya-Bweyogerere'!K49)</f>
        <v>6.2857142857142856</v>
      </c>
      <c r="L49" s="49">
        <f>AVERAGE('29.07 Nalya-Bweyogerere'!L49,'30.07 Nalya-Bweyogerere'!L49,'31.07 Nalya-Bweyogerere'!L49,'02.08 Nalya-Bweyogerere'!L49,'01.08 Nalya-Bweyogerere-24h'!L49,'03.08 Nalya-Bweyogerere-24h'!L49,'04.08 Nalya-Bweyogerere'!L49)</f>
        <v>4</v>
      </c>
      <c r="M49" s="49">
        <f>AVERAGE('29.07 Nalya-Bweyogerere'!M49,'30.07 Nalya-Bweyogerere'!M49,'31.07 Nalya-Bweyogerere'!M49,'02.08 Nalya-Bweyogerere'!M49,'01.08 Nalya-Bweyogerere-24h'!M49,'03.08 Nalya-Bweyogerere-24h'!M49,'04.08 Nalya-Bweyogerere'!M49)</f>
        <v>38</v>
      </c>
      <c r="N49" s="49">
        <f>AVERAGE('29.07 Nalya-Bweyogerere'!N49,'30.07 Nalya-Bweyogerere'!N49,'31.07 Nalya-Bweyogerere'!N49,'02.08 Nalya-Bweyogerere'!N49,'01.08 Nalya-Bweyogerere-24h'!N49,'03.08 Nalya-Bweyogerere-24h'!N49,'04.08 Nalya-Bweyogerere'!N49)</f>
        <v>0</v>
      </c>
      <c r="O49" s="15">
        <f t="shared" si="0"/>
        <v>96</v>
      </c>
      <c r="P49" s="15">
        <f t="shared" si="1"/>
        <v>134</v>
      </c>
      <c r="R49" s="8"/>
      <c r="T49"/>
    </row>
    <row r="50" spans="2:20" ht="23.1" customHeight="1" x14ac:dyDescent="0.25">
      <c r="B50" s="24" t="s">
        <v>77</v>
      </c>
      <c r="C50" s="49">
        <f>AVERAGE('29.07 Nalya-Bweyogerere'!C50,'30.07 Nalya-Bweyogerere'!C50,'31.07 Nalya-Bweyogerere'!C50,'02.08 Nalya-Bweyogerere'!C50,'01.08 Nalya-Bweyogerere-24h'!C50,'03.08 Nalya-Bweyogerere-24h'!C50,'04.08 Nalya-Bweyogerere'!C50)</f>
        <v>23.428571428571427</v>
      </c>
      <c r="D50" s="49">
        <f>AVERAGE('29.07 Nalya-Bweyogerere'!D50,'30.07 Nalya-Bweyogerere'!D50,'31.07 Nalya-Bweyogerere'!D50,'02.08 Nalya-Bweyogerere'!D50,'01.08 Nalya-Bweyogerere-24h'!D50,'03.08 Nalya-Bweyogerere-24h'!D50,'04.08 Nalya-Bweyogerere'!D50)</f>
        <v>11</v>
      </c>
      <c r="E50" s="49">
        <f>AVERAGE('29.07 Nalya-Bweyogerere'!E50,'30.07 Nalya-Bweyogerere'!E50,'31.07 Nalya-Bweyogerere'!E50,'02.08 Nalya-Bweyogerere'!E50,'01.08 Nalya-Bweyogerere-24h'!E50,'03.08 Nalya-Bweyogerere-24h'!E50,'04.08 Nalya-Bweyogerere'!E50)</f>
        <v>5.1428571428571432</v>
      </c>
      <c r="F50" s="49">
        <f>AVERAGE('29.07 Nalya-Bweyogerere'!F50,'30.07 Nalya-Bweyogerere'!F50,'31.07 Nalya-Bweyogerere'!F50,'02.08 Nalya-Bweyogerere'!F50,'01.08 Nalya-Bweyogerere-24h'!F50,'03.08 Nalya-Bweyogerere-24h'!F50,'04.08 Nalya-Bweyogerere'!F50)</f>
        <v>26.857142857142858</v>
      </c>
      <c r="G50" s="49">
        <f>AVERAGE('29.07 Nalya-Bweyogerere'!G50,'30.07 Nalya-Bweyogerere'!G50,'31.07 Nalya-Bweyogerere'!G50,'02.08 Nalya-Bweyogerere'!G50,'01.08 Nalya-Bweyogerere-24h'!G50,'03.08 Nalya-Bweyogerere-24h'!G50,'04.08 Nalya-Bweyogerere'!G50)</f>
        <v>0.2857142857142857</v>
      </c>
      <c r="H50" s="49">
        <f>AVERAGE('29.07 Nalya-Bweyogerere'!H50,'30.07 Nalya-Bweyogerere'!H50,'31.07 Nalya-Bweyogerere'!H50,'02.08 Nalya-Bweyogerere'!H50,'01.08 Nalya-Bweyogerere-24h'!H50,'03.08 Nalya-Bweyogerere-24h'!H50,'04.08 Nalya-Bweyogerere'!H50)</f>
        <v>0.42857142857142855</v>
      </c>
      <c r="I50" s="49">
        <f>AVERAGE('29.07 Nalya-Bweyogerere'!I50,'30.07 Nalya-Bweyogerere'!I50,'31.07 Nalya-Bweyogerere'!I50,'02.08 Nalya-Bweyogerere'!I50,'01.08 Nalya-Bweyogerere-24h'!I50,'03.08 Nalya-Bweyogerere-24h'!I50,'04.08 Nalya-Bweyogerere'!I50)</f>
        <v>3.8571428571428572</v>
      </c>
      <c r="J50" s="49">
        <f>AVERAGE('29.07 Nalya-Bweyogerere'!J50,'30.07 Nalya-Bweyogerere'!J50,'31.07 Nalya-Bweyogerere'!J50,'02.08 Nalya-Bweyogerere'!J50,'01.08 Nalya-Bweyogerere-24h'!J50,'03.08 Nalya-Bweyogerere-24h'!J50,'04.08 Nalya-Bweyogerere'!J50)</f>
        <v>3.4285714285714284</v>
      </c>
      <c r="K50" s="49">
        <f>AVERAGE('29.07 Nalya-Bweyogerere'!K50,'30.07 Nalya-Bweyogerere'!K50,'31.07 Nalya-Bweyogerere'!K50,'02.08 Nalya-Bweyogerere'!K50,'01.08 Nalya-Bweyogerere-24h'!K50,'03.08 Nalya-Bweyogerere-24h'!K50,'04.08 Nalya-Bweyogerere'!K50)</f>
        <v>4.8571428571428568</v>
      </c>
      <c r="L50" s="49">
        <f>AVERAGE('29.07 Nalya-Bweyogerere'!L50,'30.07 Nalya-Bweyogerere'!L50,'31.07 Nalya-Bweyogerere'!L50,'02.08 Nalya-Bweyogerere'!L50,'01.08 Nalya-Bweyogerere-24h'!L50,'03.08 Nalya-Bweyogerere-24h'!L50,'04.08 Nalya-Bweyogerere'!L50)</f>
        <v>3.8571428571428572</v>
      </c>
      <c r="M50" s="49">
        <f>AVERAGE('29.07 Nalya-Bweyogerere'!M50,'30.07 Nalya-Bweyogerere'!M50,'31.07 Nalya-Bweyogerere'!M50,'02.08 Nalya-Bweyogerere'!M50,'01.08 Nalya-Bweyogerere-24h'!M50,'03.08 Nalya-Bweyogerere-24h'!M50,'04.08 Nalya-Bweyogerere'!M50)</f>
        <v>38.142857142857146</v>
      </c>
      <c r="N50" s="49">
        <f>AVERAGE('29.07 Nalya-Bweyogerere'!N50,'30.07 Nalya-Bweyogerere'!N50,'31.07 Nalya-Bweyogerere'!N50,'02.08 Nalya-Bweyogerere'!N50,'01.08 Nalya-Bweyogerere-24h'!N50,'03.08 Nalya-Bweyogerere-24h'!N50,'04.08 Nalya-Bweyogerere'!N50)</f>
        <v>0</v>
      </c>
      <c r="O50" s="15">
        <f t="shared" si="0"/>
        <v>83.142857142857167</v>
      </c>
      <c r="P50" s="15">
        <f t="shared" si="1"/>
        <v>121.28571428571431</v>
      </c>
      <c r="R50" s="8"/>
      <c r="T50"/>
    </row>
    <row r="51" spans="2:20" ht="23.1" customHeight="1" x14ac:dyDescent="0.25">
      <c r="B51" s="24" t="s">
        <v>78</v>
      </c>
      <c r="C51" s="49">
        <f>AVERAGE('29.07 Nalya-Bweyogerere'!C51,'30.07 Nalya-Bweyogerere'!C51,'31.07 Nalya-Bweyogerere'!C51,'02.08 Nalya-Bweyogerere'!C51,'01.08 Nalya-Bweyogerere-24h'!C51,'03.08 Nalya-Bweyogerere-24h'!C51,'04.08 Nalya-Bweyogerere'!C51)</f>
        <v>33</v>
      </c>
      <c r="D51" s="49">
        <f>AVERAGE('29.07 Nalya-Bweyogerere'!D51,'30.07 Nalya-Bweyogerere'!D51,'31.07 Nalya-Bweyogerere'!D51,'02.08 Nalya-Bweyogerere'!D51,'01.08 Nalya-Bweyogerere-24h'!D51,'03.08 Nalya-Bweyogerere-24h'!D51,'04.08 Nalya-Bweyogerere'!D51)</f>
        <v>13.714285714285714</v>
      </c>
      <c r="E51" s="49">
        <f>AVERAGE('29.07 Nalya-Bweyogerere'!E51,'30.07 Nalya-Bweyogerere'!E51,'31.07 Nalya-Bweyogerere'!E51,'02.08 Nalya-Bweyogerere'!E51,'01.08 Nalya-Bweyogerere-24h'!E51,'03.08 Nalya-Bweyogerere-24h'!E51,'04.08 Nalya-Bweyogerere'!E51)</f>
        <v>6</v>
      </c>
      <c r="F51" s="49">
        <f>AVERAGE('29.07 Nalya-Bweyogerere'!F51,'30.07 Nalya-Bweyogerere'!F51,'31.07 Nalya-Bweyogerere'!F51,'02.08 Nalya-Bweyogerere'!F51,'01.08 Nalya-Bweyogerere-24h'!F51,'03.08 Nalya-Bweyogerere-24h'!F51,'04.08 Nalya-Bweyogerere'!F51)</f>
        <v>28.428571428571427</v>
      </c>
      <c r="G51" s="49">
        <f>AVERAGE('29.07 Nalya-Bweyogerere'!G51,'30.07 Nalya-Bweyogerere'!G51,'31.07 Nalya-Bweyogerere'!G51,'02.08 Nalya-Bweyogerere'!G51,'01.08 Nalya-Bweyogerere-24h'!G51,'03.08 Nalya-Bweyogerere-24h'!G51,'04.08 Nalya-Bweyogerere'!G51)</f>
        <v>0.5714285714285714</v>
      </c>
      <c r="H51" s="49">
        <f>AVERAGE('29.07 Nalya-Bweyogerere'!H51,'30.07 Nalya-Bweyogerere'!H51,'31.07 Nalya-Bweyogerere'!H51,'02.08 Nalya-Bweyogerere'!H51,'01.08 Nalya-Bweyogerere-24h'!H51,'03.08 Nalya-Bweyogerere-24h'!H51,'04.08 Nalya-Bweyogerere'!H51)</f>
        <v>0.2857142857142857</v>
      </c>
      <c r="I51" s="49">
        <f>AVERAGE('29.07 Nalya-Bweyogerere'!I51,'30.07 Nalya-Bweyogerere'!I51,'31.07 Nalya-Bweyogerere'!I51,'02.08 Nalya-Bweyogerere'!I51,'01.08 Nalya-Bweyogerere-24h'!I51,'03.08 Nalya-Bweyogerere-24h'!I51,'04.08 Nalya-Bweyogerere'!I51)</f>
        <v>8.2857142857142865</v>
      </c>
      <c r="J51" s="49">
        <f>AVERAGE('29.07 Nalya-Bweyogerere'!J51,'30.07 Nalya-Bweyogerere'!J51,'31.07 Nalya-Bweyogerere'!J51,'02.08 Nalya-Bweyogerere'!J51,'01.08 Nalya-Bweyogerere-24h'!J51,'03.08 Nalya-Bweyogerere-24h'!J51,'04.08 Nalya-Bweyogerere'!J51)</f>
        <v>4.8571428571428568</v>
      </c>
      <c r="K51" s="49">
        <f>AVERAGE('29.07 Nalya-Bweyogerere'!K51,'30.07 Nalya-Bweyogerere'!K51,'31.07 Nalya-Bweyogerere'!K51,'02.08 Nalya-Bweyogerere'!K51,'01.08 Nalya-Bweyogerere-24h'!K51,'03.08 Nalya-Bweyogerere-24h'!K51,'04.08 Nalya-Bweyogerere'!K51)</f>
        <v>5.1428571428571432</v>
      </c>
      <c r="L51" s="49">
        <f>AVERAGE('29.07 Nalya-Bweyogerere'!L51,'30.07 Nalya-Bweyogerere'!L51,'31.07 Nalya-Bweyogerere'!L51,'02.08 Nalya-Bweyogerere'!L51,'01.08 Nalya-Bweyogerere-24h'!L51,'03.08 Nalya-Bweyogerere-24h'!L51,'04.08 Nalya-Bweyogerere'!L51)</f>
        <v>6</v>
      </c>
      <c r="M51" s="49">
        <f>AVERAGE('29.07 Nalya-Bweyogerere'!M51,'30.07 Nalya-Bweyogerere'!M51,'31.07 Nalya-Bweyogerere'!M51,'02.08 Nalya-Bweyogerere'!M51,'01.08 Nalya-Bweyogerere-24h'!M51,'03.08 Nalya-Bweyogerere-24h'!M51,'04.08 Nalya-Bweyogerere'!M51)</f>
        <v>40.571428571428569</v>
      </c>
      <c r="N51" s="49">
        <f>AVERAGE('29.07 Nalya-Bweyogerere'!N51,'30.07 Nalya-Bweyogerere'!N51,'31.07 Nalya-Bweyogerere'!N51,'02.08 Nalya-Bweyogerere'!N51,'01.08 Nalya-Bweyogerere-24h'!N51,'03.08 Nalya-Bweyogerere-24h'!N51,'04.08 Nalya-Bweyogerere'!N51)</f>
        <v>0.14285714285714285</v>
      </c>
      <c r="O51" s="15">
        <f t="shared" si="0"/>
        <v>106.42857142857143</v>
      </c>
      <c r="P51" s="15">
        <f t="shared" si="1"/>
        <v>147</v>
      </c>
      <c r="R51" s="8"/>
      <c r="T51"/>
    </row>
    <row r="52" spans="2:20" ht="23.1" customHeight="1" x14ac:dyDescent="0.25">
      <c r="B52" s="24" t="s">
        <v>79</v>
      </c>
      <c r="C52" s="49">
        <f>AVERAGE('29.07 Nalya-Bweyogerere'!C52,'30.07 Nalya-Bweyogerere'!C52,'31.07 Nalya-Bweyogerere'!C52,'02.08 Nalya-Bweyogerere'!C52,'01.08 Nalya-Bweyogerere-24h'!C52,'03.08 Nalya-Bweyogerere-24h'!C52,'04.08 Nalya-Bweyogerere'!C52)</f>
        <v>30.428571428571427</v>
      </c>
      <c r="D52" s="49">
        <f>AVERAGE('29.07 Nalya-Bweyogerere'!D52,'30.07 Nalya-Bweyogerere'!D52,'31.07 Nalya-Bweyogerere'!D52,'02.08 Nalya-Bweyogerere'!D52,'01.08 Nalya-Bweyogerere-24h'!D52,'03.08 Nalya-Bweyogerere-24h'!D52,'04.08 Nalya-Bweyogerere'!D52)</f>
        <v>15.714285714285714</v>
      </c>
      <c r="E52" s="49">
        <f>AVERAGE('29.07 Nalya-Bweyogerere'!E52,'30.07 Nalya-Bweyogerere'!E52,'31.07 Nalya-Bweyogerere'!E52,'02.08 Nalya-Bweyogerere'!E52,'01.08 Nalya-Bweyogerere-24h'!E52,'03.08 Nalya-Bweyogerere-24h'!E52,'04.08 Nalya-Bweyogerere'!E52)</f>
        <v>4.8571428571428568</v>
      </c>
      <c r="F52" s="49">
        <f>AVERAGE('29.07 Nalya-Bweyogerere'!F52,'30.07 Nalya-Bweyogerere'!F52,'31.07 Nalya-Bweyogerere'!F52,'02.08 Nalya-Bweyogerere'!F52,'01.08 Nalya-Bweyogerere-24h'!F52,'03.08 Nalya-Bweyogerere-24h'!F52,'04.08 Nalya-Bweyogerere'!F52)</f>
        <v>28.285714285714285</v>
      </c>
      <c r="G52" s="49">
        <f>AVERAGE('29.07 Nalya-Bweyogerere'!G52,'30.07 Nalya-Bweyogerere'!G52,'31.07 Nalya-Bweyogerere'!G52,'02.08 Nalya-Bweyogerere'!G52,'01.08 Nalya-Bweyogerere-24h'!G52,'03.08 Nalya-Bweyogerere-24h'!G52,'04.08 Nalya-Bweyogerere'!G52)</f>
        <v>0.8571428571428571</v>
      </c>
      <c r="H52" s="49">
        <f>AVERAGE('29.07 Nalya-Bweyogerere'!H52,'30.07 Nalya-Bweyogerere'!H52,'31.07 Nalya-Bweyogerere'!H52,'02.08 Nalya-Bweyogerere'!H52,'01.08 Nalya-Bweyogerere-24h'!H52,'03.08 Nalya-Bweyogerere-24h'!H52,'04.08 Nalya-Bweyogerere'!H52)</f>
        <v>0.2857142857142857</v>
      </c>
      <c r="I52" s="49">
        <f>AVERAGE('29.07 Nalya-Bweyogerere'!I52,'30.07 Nalya-Bweyogerere'!I52,'31.07 Nalya-Bweyogerere'!I52,'02.08 Nalya-Bweyogerere'!I52,'01.08 Nalya-Bweyogerere-24h'!I52,'03.08 Nalya-Bweyogerere-24h'!I52,'04.08 Nalya-Bweyogerere'!I52)</f>
        <v>5.4285714285714288</v>
      </c>
      <c r="J52" s="49">
        <f>AVERAGE('29.07 Nalya-Bweyogerere'!J52,'30.07 Nalya-Bweyogerere'!J52,'31.07 Nalya-Bweyogerere'!J52,'02.08 Nalya-Bweyogerere'!J52,'01.08 Nalya-Bweyogerere-24h'!J52,'03.08 Nalya-Bweyogerere-24h'!J52,'04.08 Nalya-Bweyogerere'!J52)</f>
        <v>3.7142857142857144</v>
      </c>
      <c r="K52" s="49">
        <f>AVERAGE('29.07 Nalya-Bweyogerere'!K52,'30.07 Nalya-Bweyogerere'!K52,'31.07 Nalya-Bweyogerere'!K52,'02.08 Nalya-Bweyogerere'!K52,'01.08 Nalya-Bweyogerere-24h'!K52,'03.08 Nalya-Bweyogerere-24h'!K52,'04.08 Nalya-Bweyogerere'!K52)</f>
        <v>5.7142857142857144</v>
      </c>
      <c r="L52" s="49">
        <f>AVERAGE('29.07 Nalya-Bweyogerere'!L52,'30.07 Nalya-Bweyogerere'!L52,'31.07 Nalya-Bweyogerere'!L52,'02.08 Nalya-Bweyogerere'!L52,'01.08 Nalya-Bweyogerere-24h'!L52,'03.08 Nalya-Bweyogerere-24h'!L52,'04.08 Nalya-Bweyogerere'!L52)</f>
        <v>6</v>
      </c>
      <c r="M52" s="49">
        <f>AVERAGE('29.07 Nalya-Bweyogerere'!M52,'30.07 Nalya-Bweyogerere'!M52,'31.07 Nalya-Bweyogerere'!M52,'02.08 Nalya-Bweyogerere'!M52,'01.08 Nalya-Bweyogerere-24h'!M52,'03.08 Nalya-Bweyogerere-24h'!M52,'04.08 Nalya-Bweyogerere'!M52)</f>
        <v>46</v>
      </c>
      <c r="N52" s="49">
        <f>AVERAGE('29.07 Nalya-Bweyogerere'!N52,'30.07 Nalya-Bweyogerere'!N52,'31.07 Nalya-Bweyogerere'!N52,'02.08 Nalya-Bweyogerere'!N52,'01.08 Nalya-Bweyogerere-24h'!N52,'03.08 Nalya-Bweyogerere-24h'!N52,'04.08 Nalya-Bweyogerere'!N52)</f>
        <v>0</v>
      </c>
      <c r="O52" s="15">
        <f t="shared" si="0"/>
        <v>101.28571428571428</v>
      </c>
      <c r="P52" s="15">
        <f t="shared" si="1"/>
        <v>147.28571428571428</v>
      </c>
      <c r="R52" s="8"/>
      <c r="T52"/>
    </row>
    <row r="53" spans="2:20" ht="23.1" customHeight="1" x14ac:dyDescent="0.25">
      <c r="B53" s="23" t="s">
        <v>80</v>
      </c>
      <c r="C53" s="49">
        <f>AVERAGE('29.07 Nalya-Bweyogerere'!C53,'30.07 Nalya-Bweyogerere'!C53,'31.07 Nalya-Bweyogerere'!C53,'02.08 Nalya-Bweyogerere'!C53,'01.08 Nalya-Bweyogerere-24h'!C53,'03.08 Nalya-Bweyogerere-24h'!C53,'04.08 Nalya-Bweyogerere'!C53)</f>
        <v>33.285714285714285</v>
      </c>
      <c r="D53" s="49">
        <f>AVERAGE('29.07 Nalya-Bweyogerere'!D53,'30.07 Nalya-Bweyogerere'!D53,'31.07 Nalya-Bweyogerere'!D53,'02.08 Nalya-Bweyogerere'!D53,'01.08 Nalya-Bweyogerere-24h'!D53,'03.08 Nalya-Bweyogerere-24h'!D53,'04.08 Nalya-Bweyogerere'!D53)</f>
        <v>14.857142857142858</v>
      </c>
      <c r="E53" s="49">
        <f>AVERAGE('29.07 Nalya-Bweyogerere'!E53,'30.07 Nalya-Bweyogerere'!E53,'31.07 Nalya-Bweyogerere'!E53,'02.08 Nalya-Bweyogerere'!E53,'01.08 Nalya-Bweyogerere-24h'!E53,'03.08 Nalya-Bweyogerere-24h'!E53,'04.08 Nalya-Bweyogerere'!E53)</f>
        <v>7</v>
      </c>
      <c r="F53" s="49">
        <f>AVERAGE('29.07 Nalya-Bweyogerere'!F53,'30.07 Nalya-Bweyogerere'!F53,'31.07 Nalya-Bweyogerere'!F53,'02.08 Nalya-Bweyogerere'!F53,'01.08 Nalya-Bweyogerere-24h'!F53,'03.08 Nalya-Bweyogerere-24h'!F53,'04.08 Nalya-Bweyogerere'!F53)</f>
        <v>30.285714285714285</v>
      </c>
      <c r="G53" s="49">
        <f>AVERAGE('29.07 Nalya-Bweyogerere'!G53,'30.07 Nalya-Bweyogerere'!G53,'31.07 Nalya-Bweyogerere'!G53,'02.08 Nalya-Bweyogerere'!G53,'01.08 Nalya-Bweyogerere-24h'!G53,'03.08 Nalya-Bweyogerere-24h'!G53,'04.08 Nalya-Bweyogerere'!G53)</f>
        <v>0.7142857142857143</v>
      </c>
      <c r="H53" s="49">
        <f>AVERAGE('29.07 Nalya-Bweyogerere'!H53,'30.07 Nalya-Bweyogerere'!H53,'31.07 Nalya-Bweyogerere'!H53,'02.08 Nalya-Bweyogerere'!H53,'01.08 Nalya-Bweyogerere-24h'!H53,'03.08 Nalya-Bweyogerere-24h'!H53,'04.08 Nalya-Bweyogerere'!H53)</f>
        <v>0</v>
      </c>
      <c r="I53" s="49">
        <f>AVERAGE('29.07 Nalya-Bweyogerere'!I53,'30.07 Nalya-Bweyogerere'!I53,'31.07 Nalya-Bweyogerere'!I53,'02.08 Nalya-Bweyogerere'!I53,'01.08 Nalya-Bweyogerere-24h'!I53,'03.08 Nalya-Bweyogerere-24h'!I53,'04.08 Nalya-Bweyogerere'!I53)</f>
        <v>5.8571428571428568</v>
      </c>
      <c r="J53" s="49">
        <f>AVERAGE('29.07 Nalya-Bweyogerere'!J53,'30.07 Nalya-Bweyogerere'!J53,'31.07 Nalya-Bweyogerere'!J53,'02.08 Nalya-Bweyogerere'!J53,'01.08 Nalya-Bweyogerere-24h'!J53,'03.08 Nalya-Bweyogerere-24h'!J53,'04.08 Nalya-Bweyogerere'!J53)</f>
        <v>6.2857142857142856</v>
      </c>
      <c r="K53" s="49">
        <f>AVERAGE('29.07 Nalya-Bweyogerere'!K53,'30.07 Nalya-Bweyogerere'!K53,'31.07 Nalya-Bweyogerere'!K53,'02.08 Nalya-Bweyogerere'!K53,'01.08 Nalya-Bweyogerere-24h'!K53,'03.08 Nalya-Bweyogerere-24h'!K53,'04.08 Nalya-Bweyogerere'!K53)</f>
        <v>5.8571428571428568</v>
      </c>
      <c r="L53" s="49">
        <f>AVERAGE('29.07 Nalya-Bweyogerere'!L53,'30.07 Nalya-Bweyogerere'!L53,'31.07 Nalya-Bweyogerere'!L53,'02.08 Nalya-Bweyogerere'!L53,'01.08 Nalya-Bweyogerere-24h'!L53,'03.08 Nalya-Bweyogerere-24h'!L53,'04.08 Nalya-Bweyogerere'!L53)</f>
        <v>4.4285714285714288</v>
      </c>
      <c r="M53" s="49">
        <f>AVERAGE('29.07 Nalya-Bweyogerere'!M53,'30.07 Nalya-Bweyogerere'!M53,'31.07 Nalya-Bweyogerere'!M53,'02.08 Nalya-Bweyogerere'!M53,'01.08 Nalya-Bweyogerere-24h'!M53,'03.08 Nalya-Bweyogerere-24h'!M53,'04.08 Nalya-Bweyogerere'!M53)</f>
        <v>38.857142857142854</v>
      </c>
      <c r="N53" s="49">
        <f>AVERAGE('29.07 Nalya-Bweyogerere'!N53,'30.07 Nalya-Bweyogerere'!N53,'31.07 Nalya-Bweyogerere'!N53,'02.08 Nalya-Bweyogerere'!N53,'01.08 Nalya-Bweyogerere-24h'!N53,'03.08 Nalya-Bweyogerere-24h'!N53,'04.08 Nalya-Bweyogerere'!N53)</f>
        <v>0</v>
      </c>
      <c r="O53" s="15">
        <f t="shared" si="0"/>
        <v>108.57142857142857</v>
      </c>
      <c r="P53" s="15">
        <f t="shared" si="1"/>
        <v>147.42857142857142</v>
      </c>
      <c r="R53" s="8"/>
      <c r="T53"/>
    </row>
    <row r="54" spans="2:20" ht="23.1" customHeight="1" x14ac:dyDescent="0.25">
      <c r="B54" s="23" t="s">
        <v>81</v>
      </c>
      <c r="C54" s="49">
        <f>AVERAGE('29.07 Nalya-Bweyogerere'!C54,'30.07 Nalya-Bweyogerere'!C54,'31.07 Nalya-Bweyogerere'!C54,'02.08 Nalya-Bweyogerere'!C54,'01.08 Nalya-Bweyogerere-24h'!C54,'03.08 Nalya-Bweyogerere-24h'!C54,'04.08 Nalya-Bweyogerere'!C54)</f>
        <v>49.428571428571431</v>
      </c>
      <c r="D54" s="49">
        <f>AVERAGE('29.07 Nalya-Bweyogerere'!D54,'30.07 Nalya-Bweyogerere'!D54,'31.07 Nalya-Bweyogerere'!D54,'02.08 Nalya-Bweyogerere'!D54,'01.08 Nalya-Bweyogerere-24h'!D54,'03.08 Nalya-Bweyogerere-24h'!D54,'04.08 Nalya-Bweyogerere'!D54)</f>
        <v>17.857142857142858</v>
      </c>
      <c r="E54" s="49">
        <f>AVERAGE('29.07 Nalya-Bweyogerere'!E54,'30.07 Nalya-Bweyogerere'!E54,'31.07 Nalya-Bweyogerere'!E54,'02.08 Nalya-Bweyogerere'!E54,'01.08 Nalya-Bweyogerere-24h'!E54,'03.08 Nalya-Bweyogerere-24h'!E54,'04.08 Nalya-Bweyogerere'!E54)</f>
        <v>10</v>
      </c>
      <c r="F54" s="49">
        <f>AVERAGE('29.07 Nalya-Bweyogerere'!F54,'30.07 Nalya-Bweyogerere'!F54,'31.07 Nalya-Bweyogerere'!F54,'02.08 Nalya-Bweyogerere'!F54,'01.08 Nalya-Bweyogerere-24h'!F54,'03.08 Nalya-Bweyogerere-24h'!F54,'04.08 Nalya-Bweyogerere'!F54)</f>
        <v>37.142857142857146</v>
      </c>
      <c r="G54" s="49">
        <f>AVERAGE('29.07 Nalya-Bweyogerere'!G54,'30.07 Nalya-Bweyogerere'!G54,'31.07 Nalya-Bweyogerere'!G54,'02.08 Nalya-Bweyogerere'!G54,'01.08 Nalya-Bweyogerere-24h'!G54,'03.08 Nalya-Bweyogerere-24h'!G54,'04.08 Nalya-Bweyogerere'!G54)</f>
        <v>0.2857142857142857</v>
      </c>
      <c r="H54" s="49">
        <f>AVERAGE('29.07 Nalya-Bweyogerere'!H54,'30.07 Nalya-Bweyogerere'!H54,'31.07 Nalya-Bweyogerere'!H54,'02.08 Nalya-Bweyogerere'!H54,'01.08 Nalya-Bweyogerere-24h'!H54,'03.08 Nalya-Bweyogerere-24h'!H54,'04.08 Nalya-Bweyogerere'!H54)</f>
        <v>0.2857142857142857</v>
      </c>
      <c r="I54" s="49">
        <f>AVERAGE('29.07 Nalya-Bweyogerere'!I54,'30.07 Nalya-Bweyogerere'!I54,'31.07 Nalya-Bweyogerere'!I54,'02.08 Nalya-Bweyogerere'!I54,'01.08 Nalya-Bweyogerere-24h'!I54,'03.08 Nalya-Bweyogerere-24h'!I54,'04.08 Nalya-Bweyogerere'!I54)</f>
        <v>7.2857142857142856</v>
      </c>
      <c r="J54" s="49">
        <f>AVERAGE('29.07 Nalya-Bweyogerere'!J54,'30.07 Nalya-Bweyogerere'!J54,'31.07 Nalya-Bweyogerere'!J54,'02.08 Nalya-Bweyogerere'!J54,'01.08 Nalya-Bweyogerere-24h'!J54,'03.08 Nalya-Bweyogerere-24h'!J54,'04.08 Nalya-Bweyogerere'!J54)</f>
        <v>4.4285714285714288</v>
      </c>
      <c r="K54" s="49">
        <f>AVERAGE('29.07 Nalya-Bweyogerere'!K54,'30.07 Nalya-Bweyogerere'!K54,'31.07 Nalya-Bweyogerere'!K54,'02.08 Nalya-Bweyogerere'!K54,'01.08 Nalya-Bweyogerere-24h'!K54,'03.08 Nalya-Bweyogerere-24h'!K54,'04.08 Nalya-Bweyogerere'!K54)</f>
        <v>7.2857142857142856</v>
      </c>
      <c r="L54" s="49">
        <f>AVERAGE('29.07 Nalya-Bweyogerere'!L54,'30.07 Nalya-Bweyogerere'!L54,'31.07 Nalya-Bweyogerere'!L54,'02.08 Nalya-Bweyogerere'!L54,'01.08 Nalya-Bweyogerere-24h'!L54,'03.08 Nalya-Bweyogerere-24h'!L54,'04.08 Nalya-Bweyogerere'!L54)</f>
        <v>4.2857142857142856</v>
      </c>
      <c r="M54" s="49">
        <f>AVERAGE('29.07 Nalya-Bweyogerere'!M54,'30.07 Nalya-Bweyogerere'!M54,'31.07 Nalya-Bweyogerere'!M54,'02.08 Nalya-Bweyogerere'!M54,'01.08 Nalya-Bweyogerere-24h'!M54,'03.08 Nalya-Bweyogerere-24h'!M54,'04.08 Nalya-Bweyogerere'!M54)</f>
        <v>46</v>
      </c>
      <c r="N54" s="49">
        <f>AVERAGE('29.07 Nalya-Bweyogerere'!N54,'30.07 Nalya-Bweyogerere'!N54,'31.07 Nalya-Bweyogerere'!N54,'02.08 Nalya-Bweyogerere'!N54,'01.08 Nalya-Bweyogerere-24h'!N54,'03.08 Nalya-Bweyogerere-24h'!N54,'04.08 Nalya-Bweyogerere'!N54)</f>
        <v>0</v>
      </c>
      <c r="O54" s="15">
        <f t="shared" si="0"/>
        <v>138.28571428571431</v>
      </c>
      <c r="P54" s="15">
        <f t="shared" si="1"/>
        <v>184.28571428571431</v>
      </c>
      <c r="R54" s="8"/>
      <c r="T54"/>
    </row>
    <row r="55" spans="2:20" ht="23.1" customHeight="1" x14ac:dyDescent="0.25">
      <c r="B55" s="23" t="s">
        <v>82</v>
      </c>
      <c r="C55" s="49">
        <f>AVERAGE('29.07 Nalya-Bweyogerere'!C55,'30.07 Nalya-Bweyogerere'!C55,'31.07 Nalya-Bweyogerere'!C55,'02.08 Nalya-Bweyogerere'!C55,'01.08 Nalya-Bweyogerere-24h'!C55,'03.08 Nalya-Bweyogerere-24h'!C55,'04.08 Nalya-Bweyogerere'!C55)</f>
        <v>35.428571428571431</v>
      </c>
      <c r="D55" s="49">
        <f>AVERAGE('29.07 Nalya-Bweyogerere'!D55,'30.07 Nalya-Bweyogerere'!D55,'31.07 Nalya-Bweyogerere'!D55,'02.08 Nalya-Bweyogerere'!D55,'01.08 Nalya-Bweyogerere-24h'!D55,'03.08 Nalya-Bweyogerere-24h'!D55,'04.08 Nalya-Bweyogerere'!D55)</f>
        <v>17.571428571428573</v>
      </c>
      <c r="E55" s="49">
        <f>AVERAGE('29.07 Nalya-Bweyogerere'!E55,'30.07 Nalya-Bweyogerere'!E55,'31.07 Nalya-Bweyogerere'!E55,'02.08 Nalya-Bweyogerere'!E55,'01.08 Nalya-Bweyogerere-24h'!E55,'03.08 Nalya-Bweyogerere-24h'!E55,'04.08 Nalya-Bweyogerere'!E55)</f>
        <v>6.7142857142857144</v>
      </c>
      <c r="F55" s="49">
        <f>AVERAGE('29.07 Nalya-Bweyogerere'!F55,'30.07 Nalya-Bweyogerere'!F55,'31.07 Nalya-Bweyogerere'!F55,'02.08 Nalya-Bweyogerere'!F55,'01.08 Nalya-Bweyogerere-24h'!F55,'03.08 Nalya-Bweyogerere-24h'!F55,'04.08 Nalya-Bweyogerere'!F55)</f>
        <v>31.142857142857142</v>
      </c>
      <c r="G55" s="49">
        <f>AVERAGE('29.07 Nalya-Bweyogerere'!G55,'30.07 Nalya-Bweyogerere'!G55,'31.07 Nalya-Bweyogerere'!G55,'02.08 Nalya-Bweyogerere'!G55,'01.08 Nalya-Bweyogerere-24h'!G55,'03.08 Nalya-Bweyogerere-24h'!G55,'04.08 Nalya-Bweyogerere'!G55)</f>
        <v>0.42857142857142855</v>
      </c>
      <c r="H55" s="49">
        <f>AVERAGE('29.07 Nalya-Bweyogerere'!H55,'30.07 Nalya-Bweyogerere'!H55,'31.07 Nalya-Bweyogerere'!H55,'02.08 Nalya-Bweyogerere'!H55,'01.08 Nalya-Bweyogerere-24h'!H55,'03.08 Nalya-Bweyogerere-24h'!H55,'04.08 Nalya-Bweyogerere'!H55)</f>
        <v>0</v>
      </c>
      <c r="I55" s="49">
        <f>AVERAGE('29.07 Nalya-Bweyogerere'!I55,'30.07 Nalya-Bweyogerere'!I55,'31.07 Nalya-Bweyogerere'!I55,'02.08 Nalya-Bweyogerere'!I55,'01.08 Nalya-Bweyogerere-24h'!I55,'03.08 Nalya-Bweyogerere-24h'!I55,'04.08 Nalya-Bweyogerere'!I55)</f>
        <v>10.285714285714286</v>
      </c>
      <c r="J55" s="49">
        <f>AVERAGE('29.07 Nalya-Bweyogerere'!J55,'30.07 Nalya-Bweyogerere'!J55,'31.07 Nalya-Bweyogerere'!J55,'02.08 Nalya-Bweyogerere'!J55,'01.08 Nalya-Bweyogerere-24h'!J55,'03.08 Nalya-Bweyogerere-24h'!J55,'04.08 Nalya-Bweyogerere'!J55)</f>
        <v>3.8571428571428572</v>
      </c>
      <c r="K55" s="49">
        <f>AVERAGE('29.07 Nalya-Bweyogerere'!K55,'30.07 Nalya-Bweyogerere'!K55,'31.07 Nalya-Bweyogerere'!K55,'02.08 Nalya-Bweyogerere'!K55,'01.08 Nalya-Bweyogerere-24h'!K55,'03.08 Nalya-Bweyogerere-24h'!K55,'04.08 Nalya-Bweyogerere'!K55)</f>
        <v>5.5714285714285712</v>
      </c>
      <c r="L55" s="49">
        <f>AVERAGE('29.07 Nalya-Bweyogerere'!L55,'30.07 Nalya-Bweyogerere'!L55,'31.07 Nalya-Bweyogerere'!L55,'02.08 Nalya-Bweyogerere'!L55,'01.08 Nalya-Bweyogerere-24h'!L55,'03.08 Nalya-Bweyogerere-24h'!L55,'04.08 Nalya-Bweyogerere'!L55)</f>
        <v>3.2857142857142856</v>
      </c>
      <c r="M55" s="49">
        <f>AVERAGE('29.07 Nalya-Bweyogerere'!M55,'30.07 Nalya-Bweyogerere'!M55,'31.07 Nalya-Bweyogerere'!M55,'02.08 Nalya-Bweyogerere'!M55,'01.08 Nalya-Bweyogerere-24h'!M55,'03.08 Nalya-Bweyogerere-24h'!M55,'04.08 Nalya-Bweyogerere'!M55)</f>
        <v>48.571428571428569</v>
      </c>
      <c r="N55" s="49">
        <f>AVERAGE('29.07 Nalya-Bweyogerere'!N55,'30.07 Nalya-Bweyogerere'!N55,'31.07 Nalya-Bweyogerere'!N55,'02.08 Nalya-Bweyogerere'!N55,'01.08 Nalya-Bweyogerere-24h'!N55,'03.08 Nalya-Bweyogerere-24h'!N55,'04.08 Nalya-Bweyogerere'!N55)</f>
        <v>0</v>
      </c>
      <c r="O55" s="15">
        <f t="shared" si="0"/>
        <v>114.28571428571431</v>
      </c>
      <c r="P55" s="15">
        <f t="shared" si="1"/>
        <v>162.85714285714289</v>
      </c>
      <c r="R55" s="8"/>
      <c r="T55"/>
    </row>
    <row r="56" spans="2:20" ht="23.1" customHeight="1" x14ac:dyDescent="0.25">
      <c r="B56" s="23" t="s">
        <v>83</v>
      </c>
      <c r="C56" s="49">
        <f>AVERAGE('29.07 Nalya-Bweyogerere'!C56,'30.07 Nalya-Bweyogerere'!C56,'31.07 Nalya-Bweyogerere'!C56,'02.08 Nalya-Bweyogerere'!C56,'01.08 Nalya-Bweyogerere-24h'!C56,'03.08 Nalya-Bweyogerere-24h'!C56,'04.08 Nalya-Bweyogerere'!C56)</f>
        <v>36.285714285714285</v>
      </c>
      <c r="D56" s="49">
        <f>AVERAGE('29.07 Nalya-Bweyogerere'!D56,'30.07 Nalya-Bweyogerere'!D56,'31.07 Nalya-Bweyogerere'!D56,'02.08 Nalya-Bweyogerere'!D56,'01.08 Nalya-Bweyogerere-24h'!D56,'03.08 Nalya-Bweyogerere-24h'!D56,'04.08 Nalya-Bweyogerere'!D56)</f>
        <v>19.285714285714285</v>
      </c>
      <c r="E56" s="49">
        <f>AVERAGE('29.07 Nalya-Bweyogerere'!E56,'30.07 Nalya-Bweyogerere'!E56,'31.07 Nalya-Bweyogerere'!E56,'02.08 Nalya-Bweyogerere'!E56,'01.08 Nalya-Bweyogerere-24h'!E56,'03.08 Nalya-Bweyogerere-24h'!E56,'04.08 Nalya-Bweyogerere'!E56)</f>
        <v>8.8571428571428577</v>
      </c>
      <c r="F56" s="49">
        <f>AVERAGE('29.07 Nalya-Bweyogerere'!F56,'30.07 Nalya-Bweyogerere'!F56,'31.07 Nalya-Bweyogerere'!F56,'02.08 Nalya-Bweyogerere'!F56,'01.08 Nalya-Bweyogerere-24h'!F56,'03.08 Nalya-Bweyogerere-24h'!F56,'04.08 Nalya-Bweyogerere'!F56)</f>
        <v>32.714285714285715</v>
      </c>
      <c r="G56" s="49">
        <f>AVERAGE('29.07 Nalya-Bweyogerere'!G56,'30.07 Nalya-Bweyogerere'!G56,'31.07 Nalya-Bweyogerere'!G56,'02.08 Nalya-Bweyogerere'!G56,'01.08 Nalya-Bweyogerere-24h'!G56,'03.08 Nalya-Bweyogerere-24h'!G56,'04.08 Nalya-Bweyogerere'!G56)</f>
        <v>1.1428571428571428</v>
      </c>
      <c r="H56" s="49">
        <f>AVERAGE('29.07 Nalya-Bweyogerere'!H56,'30.07 Nalya-Bweyogerere'!H56,'31.07 Nalya-Bweyogerere'!H56,'02.08 Nalya-Bweyogerere'!H56,'01.08 Nalya-Bweyogerere-24h'!H56,'03.08 Nalya-Bweyogerere-24h'!H56,'04.08 Nalya-Bweyogerere'!H56)</f>
        <v>0</v>
      </c>
      <c r="I56" s="49">
        <f>AVERAGE('29.07 Nalya-Bweyogerere'!I56,'30.07 Nalya-Bweyogerere'!I56,'31.07 Nalya-Bweyogerere'!I56,'02.08 Nalya-Bweyogerere'!I56,'01.08 Nalya-Bweyogerere-24h'!I56,'03.08 Nalya-Bweyogerere-24h'!I56,'04.08 Nalya-Bweyogerere'!I56)</f>
        <v>8</v>
      </c>
      <c r="J56" s="49">
        <f>AVERAGE('29.07 Nalya-Bweyogerere'!J56,'30.07 Nalya-Bweyogerere'!J56,'31.07 Nalya-Bweyogerere'!J56,'02.08 Nalya-Bweyogerere'!J56,'01.08 Nalya-Bweyogerere-24h'!J56,'03.08 Nalya-Bweyogerere-24h'!J56,'04.08 Nalya-Bweyogerere'!J56)</f>
        <v>5.7142857142857144</v>
      </c>
      <c r="K56" s="49">
        <f>AVERAGE('29.07 Nalya-Bweyogerere'!K56,'30.07 Nalya-Bweyogerere'!K56,'31.07 Nalya-Bweyogerere'!K56,'02.08 Nalya-Bweyogerere'!K56,'01.08 Nalya-Bweyogerere-24h'!K56,'03.08 Nalya-Bweyogerere-24h'!K56,'04.08 Nalya-Bweyogerere'!K56)</f>
        <v>3.8571428571428572</v>
      </c>
      <c r="L56" s="49">
        <f>AVERAGE('29.07 Nalya-Bweyogerere'!L56,'30.07 Nalya-Bweyogerere'!L56,'31.07 Nalya-Bweyogerere'!L56,'02.08 Nalya-Bweyogerere'!L56,'01.08 Nalya-Bweyogerere-24h'!L56,'03.08 Nalya-Bweyogerere-24h'!L56,'04.08 Nalya-Bweyogerere'!L56)</f>
        <v>5.2857142857142856</v>
      </c>
      <c r="M56" s="49">
        <f>AVERAGE('29.07 Nalya-Bweyogerere'!M56,'30.07 Nalya-Bweyogerere'!M56,'31.07 Nalya-Bweyogerere'!M56,'02.08 Nalya-Bweyogerere'!M56,'01.08 Nalya-Bweyogerere-24h'!M56,'03.08 Nalya-Bweyogerere-24h'!M56,'04.08 Nalya-Bweyogerere'!M56)</f>
        <v>47.428571428571431</v>
      </c>
      <c r="N56" s="49">
        <f>AVERAGE('29.07 Nalya-Bweyogerere'!N56,'30.07 Nalya-Bweyogerere'!N56,'31.07 Nalya-Bweyogerere'!N56,'02.08 Nalya-Bweyogerere'!N56,'01.08 Nalya-Bweyogerere-24h'!N56,'03.08 Nalya-Bweyogerere-24h'!N56,'04.08 Nalya-Bweyogerere'!N56)</f>
        <v>0</v>
      </c>
      <c r="O56" s="15">
        <f t="shared" si="0"/>
        <v>121.14285714285714</v>
      </c>
      <c r="P56" s="15">
        <f t="shared" si="1"/>
        <v>168.57142857142856</v>
      </c>
      <c r="R56" s="8"/>
      <c r="T56"/>
    </row>
    <row r="57" spans="2:20" ht="23.1" customHeight="1" x14ac:dyDescent="0.25">
      <c r="B57" s="23" t="s">
        <v>84</v>
      </c>
      <c r="C57" s="49">
        <f>AVERAGE('29.07 Nalya-Bweyogerere'!C57,'30.07 Nalya-Bweyogerere'!C57,'31.07 Nalya-Bweyogerere'!C57,'02.08 Nalya-Bweyogerere'!C57,'01.08 Nalya-Bweyogerere-24h'!C57,'03.08 Nalya-Bweyogerere-24h'!C57,'04.08 Nalya-Bweyogerere'!C57)</f>
        <v>37.571428571428569</v>
      </c>
      <c r="D57" s="49">
        <f>AVERAGE('29.07 Nalya-Bweyogerere'!D57,'30.07 Nalya-Bweyogerere'!D57,'31.07 Nalya-Bweyogerere'!D57,'02.08 Nalya-Bweyogerere'!D57,'01.08 Nalya-Bweyogerere-24h'!D57,'03.08 Nalya-Bweyogerere-24h'!D57,'04.08 Nalya-Bweyogerere'!D57)</f>
        <v>18.142857142857142</v>
      </c>
      <c r="E57" s="49">
        <f>AVERAGE('29.07 Nalya-Bweyogerere'!E57,'30.07 Nalya-Bweyogerere'!E57,'31.07 Nalya-Bweyogerere'!E57,'02.08 Nalya-Bweyogerere'!E57,'01.08 Nalya-Bweyogerere-24h'!E57,'03.08 Nalya-Bweyogerere-24h'!E57,'04.08 Nalya-Bweyogerere'!E57)</f>
        <v>9.4285714285714288</v>
      </c>
      <c r="F57" s="49">
        <f>AVERAGE('29.07 Nalya-Bweyogerere'!F57,'30.07 Nalya-Bweyogerere'!F57,'31.07 Nalya-Bweyogerere'!F57,'02.08 Nalya-Bweyogerere'!F57,'01.08 Nalya-Bweyogerere-24h'!F57,'03.08 Nalya-Bweyogerere-24h'!F57,'04.08 Nalya-Bweyogerere'!F57)</f>
        <v>37.714285714285715</v>
      </c>
      <c r="G57" s="49">
        <f>AVERAGE('29.07 Nalya-Bweyogerere'!G57,'30.07 Nalya-Bweyogerere'!G57,'31.07 Nalya-Bweyogerere'!G57,'02.08 Nalya-Bweyogerere'!G57,'01.08 Nalya-Bweyogerere-24h'!G57,'03.08 Nalya-Bweyogerere-24h'!G57,'04.08 Nalya-Bweyogerere'!G57)</f>
        <v>0.5714285714285714</v>
      </c>
      <c r="H57" s="49">
        <f>AVERAGE('29.07 Nalya-Bweyogerere'!H57,'30.07 Nalya-Bweyogerere'!H57,'31.07 Nalya-Bweyogerere'!H57,'02.08 Nalya-Bweyogerere'!H57,'01.08 Nalya-Bweyogerere-24h'!H57,'03.08 Nalya-Bweyogerere-24h'!H57,'04.08 Nalya-Bweyogerere'!H57)</f>
        <v>0</v>
      </c>
      <c r="I57" s="49">
        <f>AVERAGE('29.07 Nalya-Bweyogerere'!I57,'30.07 Nalya-Bweyogerere'!I57,'31.07 Nalya-Bweyogerere'!I57,'02.08 Nalya-Bweyogerere'!I57,'01.08 Nalya-Bweyogerere-24h'!I57,'03.08 Nalya-Bweyogerere-24h'!I57,'04.08 Nalya-Bweyogerere'!I57)</f>
        <v>6</v>
      </c>
      <c r="J57" s="49">
        <f>AVERAGE('29.07 Nalya-Bweyogerere'!J57,'30.07 Nalya-Bweyogerere'!J57,'31.07 Nalya-Bweyogerere'!J57,'02.08 Nalya-Bweyogerere'!J57,'01.08 Nalya-Bweyogerere-24h'!J57,'03.08 Nalya-Bweyogerere-24h'!J57,'04.08 Nalya-Bweyogerere'!J57)</f>
        <v>6</v>
      </c>
      <c r="K57" s="49">
        <f>AVERAGE('29.07 Nalya-Bweyogerere'!K57,'30.07 Nalya-Bweyogerere'!K57,'31.07 Nalya-Bweyogerere'!K57,'02.08 Nalya-Bweyogerere'!K57,'01.08 Nalya-Bweyogerere-24h'!K57,'03.08 Nalya-Bweyogerere-24h'!K57,'04.08 Nalya-Bweyogerere'!K57)</f>
        <v>3.5714285714285716</v>
      </c>
      <c r="L57" s="49">
        <f>AVERAGE('29.07 Nalya-Bweyogerere'!L57,'30.07 Nalya-Bweyogerere'!L57,'31.07 Nalya-Bweyogerere'!L57,'02.08 Nalya-Bweyogerere'!L57,'01.08 Nalya-Bweyogerere-24h'!L57,'03.08 Nalya-Bweyogerere-24h'!L57,'04.08 Nalya-Bweyogerere'!L57)</f>
        <v>6.4285714285714288</v>
      </c>
      <c r="M57" s="49">
        <f>AVERAGE('29.07 Nalya-Bweyogerere'!M57,'30.07 Nalya-Bweyogerere'!M57,'31.07 Nalya-Bweyogerere'!M57,'02.08 Nalya-Bweyogerere'!M57,'01.08 Nalya-Bweyogerere-24h'!M57,'03.08 Nalya-Bweyogerere-24h'!M57,'04.08 Nalya-Bweyogerere'!M57)</f>
        <v>44.571428571428569</v>
      </c>
      <c r="N57" s="49">
        <f>AVERAGE('29.07 Nalya-Bweyogerere'!N57,'30.07 Nalya-Bweyogerere'!N57,'31.07 Nalya-Bweyogerere'!N57,'02.08 Nalya-Bweyogerere'!N57,'01.08 Nalya-Bweyogerere-24h'!N57,'03.08 Nalya-Bweyogerere-24h'!N57,'04.08 Nalya-Bweyogerere'!N57)</f>
        <v>0</v>
      </c>
      <c r="O57" s="15">
        <f t="shared" si="0"/>
        <v>125.42857142857143</v>
      </c>
      <c r="P57" s="15">
        <f t="shared" si="1"/>
        <v>170</v>
      </c>
      <c r="R57" s="8"/>
      <c r="T57"/>
    </row>
    <row r="58" spans="2:20" ht="23.1" customHeight="1" x14ac:dyDescent="0.25">
      <c r="B58" s="23" t="s">
        <v>99</v>
      </c>
      <c r="C58" s="49">
        <f>AVERAGE('01.08 Nalya-Bweyogerere-24h'!C58,'03.08 Nalya-Bweyogerere-24h'!C58)</f>
        <v>47.5</v>
      </c>
      <c r="D58" s="49">
        <f>AVERAGE('01.08 Nalya-Bweyogerere-24h'!D58,'03.08 Nalya-Bweyogerere-24h'!D58)</f>
        <v>14.5</v>
      </c>
      <c r="E58" s="49">
        <f>AVERAGE('01.08 Nalya-Bweyogerere-24h'!E58,'03.08 Nalya-Bweyogerere-24h'!E58)</f>
        <v>11</v>
      </c>
      <c r="F58" s="49">
        <f>AVERAGE('01.08 Nalya-Bweyogerere-24h'!F58,'03.08 Nalya-Bweyogerere-24h'!F58)</f>
        <v>26</v>
      </c>
      <c r="G58" s="49">
        <f>AVERAGE('01.08 Nalya-Bweyogerere-24h'!G58,'03.08 Nalya-Bweyogerere-24h'!G58)</f>
        <v>1</v>
      </c>
      <c r="H58" s="49">
        <f>AVERAGE('01.08 Nalya-Bweyogerere-24h'!H58,'03.08 Nalya-Bweyogerere-24h'!H58)</f>
        <v>0</v>
      </c>
      <c r="I58" s="49">
        <f>AVERAGE('01.08 Nalya-Bweyogerere-24h'!I58,'03.08 Nalya-Bweyogerere-24h'!I58)</f>
        <v>1.5</v>
      </c>
      <c r="J58" s="49">
        <f>AVERAGE('01.08 Nalya-Bweyogerere-24h'!J58,'03.08 Nalya-Bweyogerere-24h'!J58)</f>
        <v>5.5</v>
      </c>
      <c r="K58" s="49">
        <f>AVERAGE('01.08 Nalya-Bweyogerere-24h'!K58,'03.08 Nalya-Bweyogerere-24h'!K58)</f>
        <v>5</v>
      </c>
      <c r="L58" s="49">
        <f>AVERAGE('01.08 Nalya-Bweyogerere-24h'!L58,'03.08 Nalya-Bweyogerere-24h'!L58)</f>
        <v>8</v>
      </c>
      <c r="M58" s="49">
        <f>AVERAGE('01.08 Nalya-Bweyogerere-24h'!M58,'03.08 Nalya-Bweyogerere-24h'!M58)</f>
        <v>42</v>
      </c>
      <c r="N58" s="49">
        <f>AVERAGE('01.08 Nalya-Bweyogerere-24h'!N58,'03.08 Nalya-Bweyogerere-24h'!N58)</f>
        <v>0</v>
      </c>
      <c r="O58" s="15">
        <f t="shared" si="0"/>
        <v>120</v>
      </c>
      <c r="P58" s="15">
        <f t="shared" si="1"/>
        <v>162</v>
      </c>
      <c r="R58" s="8"/>
      <c r="T58"/>
    </row>
    <row r="59" spans="2:20" ht="23.1" customHeight="1" x14ac:dyDescent="0.25">
      <c r="B59" s="23" t="s">
        <v>100</v>
      </c>
      <c r="C59" s="49">
        <f>AVERAGE('01.08 Nalya-Bweyogerere-24h'!C59,'03.08 Nalya-Bweyogerere-24h'!C59)</f>
        <v>34.5</v>
      </c>
      <c r="D59" s="49">
        <f>AVERAGE('01.08 Nalya-Bweyogerere-24h'!D59,'03.08 Nalya-Bweyogerere-24h'!D59)</f>
        <v>21.5</v>
      </c>
      <c r="E59" s="49">
        <f>AVERAGE('01.08 Nalya-Bweyogerere-24h'!E59,'03.08 Nalya-Bweyogerere-24h'!E59)</f>
        <v>4.5</v>
      </c>
      <c r="F59" s="49">
        <f>AVERAGE('01.08 Nalya-Bweyogerere-24h'!F59,'03.08 Nalya-Bweyogerere-24h'!F59)</f>
        <v>19.5</v>
      </c>
      <c r="G59" s="49">
        <f>AVERAGE('01.08 Nalya-Bweyogerere-24h'!G59,'03.08 Nalya-Bweyogerere-24h'!G59)</f>
        <v>0</v>
      </c>
      <c r="H59" s="49">
        <f>AVERAGE('01.08 Nalya-Bweyogerere-24h'!H59,'03.08 Nalya-Bweyogerere-24h'!H59)</f>
        <v>0.5</v>
      </c>
      <c r="I59" s="49">
        <f>AVERAGE('01.08 Nalya-Bweyogerere-24h'!I59,'03.08 Nalya-Bweyogerere-24h'!I59)</f>
        <v>3</v>
      </c>
      <c r="J59" s="49">
        <f>AVERAGE('01.08 Nalya-Bweyogerere-24h'!J59,'03.08 Nalya-Bweyogerere-24h'!J59)</f>
        <v>7</v>
      </c>
      <c r="K59" s="49">
        <f>AVERAGE('01.08 Nalya-Bweyogerere-24h'!K59,'03.08 Nalya-Bweyogerere-24h'!K59)</f>
        <v>3</v>
      </c>
      <c r="L59" s="49">
        <f>AVERAGE('01.08 Nalya-Bweyogerere-24h'!L59,'03.08 Nalya-Bweyogerere-24h'!L59)</f>
        <v>5.5</v>
      </c>
      <c r="M59" s="49">
        <f>AVERAGE('01.08 Nalya-Bweyogerere-24h'!M59,'03.08 Nalya-Bweyogerere-24h'!M59)</f>
        <v>19</v>
      </c>
      <c r="N59" s="49">
        <f>AVERAGE('01.08 Nalya-Bweyogerere-24h'!N59,'03.08 Nalya-Bweyogerere-24h'!N59)</f>
        <v>0</v>
      </c>
      <c r="O59" s="15">
        <f t="shared" ref="O59:O105" si="33">SUM(C59:L59,N59)</f>
        <v>99</v>
      </c>
      <c r="P59" s="15">
        <f t="shared" ref="P59:P105" si="34">SUM(C59:N59)</f>
        <v>118</v>
      </c>
      <c r="R59" s="8"/>
      <c r="T59"/>
    </row>
    <row r="60" spans="2:20" ht="23.1" customHeight="1" x14ac:dyDescent="0.25">
      <c r="B60" s="23" t="s">
        <v>101</v>
      </c>
      <c r="C60" s="49">
        <f>AVERAGE('01.08 Nalya-Bweyogerere-24h'!C60,'03.08 Nalya-Bweyogerere-24h'!C60)</f>
        <v>49.5</v>
      </c>
      <c r="D60" s="49">
        <f>AVERAGE('01.08 Nalya-Bweyogerere-24h'!D60,'03.08 Nalya-Bweyogerere-24h'!D60)</f>
        <v>19</v>
      </c>
      <c r="E60" s="49">
        <f>AVERAGE('01.08 Nalya-Bweyogerere-24h'!E60,'03.08 Nalya-Bweyogerere-24h'!E60)</f>
        <v>6</v>
      </c>
      <c r="F60" s="49">
        <f>AVERAGE('01.08 Nalya-Bweyogerere-24h'!F60,'03.08 Nalya-Bweyogerere-24h'!F60)</f>
        <v>26</v>
      </c>
      <c r="G60" s="49">
        <f>AVERAGE('01.08 Nalya-Bweyogerere-24h'!G60,'03.08 Nalya-Bweyogerere-24h'!G60)</f>
        <v>1.5</v>
      </c>
      <c r="H60" s="49">
        <f>AVERAGE('01.08 Nalya-Bweyogerere-24h'!H60,'03.08 Nalya-Bweyogerere-24h'!H60)</f>
        <v>0</v>
      </c>
      <c r="I60" s="49">
        <f>AVERAGE('01.08 Nalya-Bweyogerere-24h'!I60,'03.08 Nalya-Bweyogerere-24h'!I60)</f>
        <v>1.5</v>
      </c>
      <c r="J60" s="49">
        <f>AVERAGE('01.08 Nalya-Bweyogerere-24h'!J60,'03.08 Nalya-Bweyogerere-24h'!J60)</f>
        <v>5</v>
      </c>
      <c r="K60" s="49">
        <f>AVERAGE('01.08 Nalya-Bweyogerere-24h'!K60,'03.08 Nalya-Bweyogerere-24h'!K60)</f>
        <v>1.5</v>
      </c>
      <c r="L60" s="49">
        <f>AVERAGE('01.08 Nalya-Bweyogerere-24h'!L60,'03.08 Nalya-Bweyogerere-24h'!L60)</f>
        <v>7</v>
      </c>
      <c r="M60" s="49">
        <f>AVERAGE('01.08 Nalya-Bweyogerere-24h'!M60,'03.08 Nalya-Bweyogerere-24h'!M60)</f>
        <v>45.5</v>
      </c>
      <c r="N60" s="49">
        <f>AVERAGE('01.08 Nalya-Bweyogerere-24h'!N60,'03.08 Nalya-Bweyogerere-24h'!N60)</f>
        <v>0</v>
      </c>
      <c r="O60" s="15">
        <f t="shared" si="33"/>
        <v>117</v>
      </c>
      <c r="P60" s="15">
        <f t="shared" si="34"/>
        <v>162.5</v>
      </c>
      <c r="R60" s="8"/>
      <c r="T60"/>
    </row>
    <row r="61" spans="2:20" ht="23.1" customHeight="1" x14ac:dyDescent="0.25">
      <c r="B61" s="23" t="s">
        <v>102</v>
      </c>
      <c r="C61" s="49">
        <f>AVERAGE('01.08 Nalya-Bweyogerere-24h'!C61,'03.08 Nalya-Bweyogerere-24h'!C61)</f>
        <v>37.5</v>
      </c>
      <c r="D61" s="49">
        <f>AVERAGE('01.08 Nalya-Bweyogerere-24h'!D61,'03.08 Nalya-Bweyogerere-24h'!D61)</f>
        <v>22</v>
      </c>
      <c r="E61" s="49">
        <f>AVERAGE('01.08 Nalya-Bweyogerere-24h'!E61,'03.08 Nalya-Bweyogerere-24h'!E61)</f>
        <v>5.5</v>
      </c>
      <c r="F61" s="49">
        <f>AVERAGE('01.08 Nalya-Bweyogerere-24h'!F61,'03.08 Nalya-Bweyogerere-24h'!F61)</f>
        <v>29.5</v>
      </c>
      <c r="G61" s="49">
        <f>AVERAGE('01.08 Nalya-Bweyogerere-24h'!G61,'03.08 Nalya-Bweyogerere-24h'!G61)</f>
        <v>0</v>
      </c>
      <c r="H61" s="49">
        <f>AVERAGE('01.08 Nalya-Bweyogerere-24h'!H61,'03.08 Nalya-Bweyogerere-24h'!H61)</f>
        <v>0</v>
      </c>
      <c r="I61" s="49">
        <f>AVERAGE('01.08 Nalya-Bweyogerere-24h'!I61,'03.08 Nalya-Bweyogerere-24h'!I61)</f>
        <v>1.5</v>
      </c>
      <c r="J61" s="49">
        <f>AVERAGE('01.08 Nalya-Bweyogerere-24h'!J61,'03.08 Nalya-Bweyogerere-24h'!J61)</f>
        <v>3</v>
      </c>
      <c r="K61" s="49">
        <f>AVERAGE('01.08 Nalya-Bweyogerere-24h'!K61,'03.08 Nalya-Bweyogerere-24h'!K61)</f>
        <v>3</v>
      </c>
      <c r="L61" s="49">
        <f>AVERAGE('01.08 Nalya-Bweyogerere-24h'!L61,'03.08 Nalya-Bweyogerere-24h'!L61)</f>
        <v>1.5</v>
      </c>
      <c r="M61" s="49">
        <f>AVERAGE('01.08 Nalya-Bweyogerere-24h'!M61,'03.08 Nalya-Bweyogerere-24h'!M61)</f>
        <v>44</v>
      </c>
      <c r="N61" s="49">
        <f>AVERAGE('01.08 Nalya-Bweyogerere-24h'!N61,'03.08 Nalya-Bweyogerere-24h'!N61)</f>
        <v>0</v>
      </c>
      <c r="O61" s="15">
        <f t="shared" si="33"/>
        <v>103.5</v>
      </c>
      <c r="P61" s="15">
        <f t="shared" si="34"/>
        <v>147.5</v>
      </c>
      <c r="R61" s="8"/>
      <c r="T61"/>
    </row>
    <row r="62" spans="2:20" ht="23.1" customHeight="1" x14ac:dyDescent="0.25">
      <c r="B62" s="23" t="s">
        <v>107</v>
      </c>
      <c r="C62" s="49">
        <f>AVERAGE('01.08 Nalya-Bweyogerere-24h'!C62,'03.08 Nalya-Bweyogerere-24h'!C62)</f>
        <v>43.5</v>
      </c>
      <c r="D62" s="49">
        <f>AVERAGE('01.08 Nalya-Bweyogerere-24h'!D62,'03.08 Nalya-Bweyogerere-24h'!D62)</f>
        <v>15</v>
      </c>
      <c r="E62" s="49">
        <f>AVERAGE('01.08 Nalya-Bweyogerere-24h'!E62,'03.08 Nalya-Bweyogerere-24h'!E62)</f>
        <v>9</v>
      </c>
      <c r="F62" s="49">
        <f>AVERAGE('01.08 Nalya-Bweyogerere-24h'!F62,'03.08 Nalya-Bweyogerere-24h'!F62)</f>
        <v>32</v>
      </c>
      <c r="G62" s="49">
        <f>AVERAGE('01.08 Nalya-Bweyogerere-24h'!G62,'03.08 Nalya-Bweyogerere-24h'!G62)</f>
        <v>0</v>
      </c>
      <c r="H62" s="49">
        <f>AVERAGE('01.08 Nalya-Bweyogerere-24h'!H62,'03.08 Nalya-Bweyogerere-24h'!H62)</f>
        <v>1</v>
      </c>
      <c r="I62" s="49">
        <f>AVERAGE('01.08 Nalya-Bweyogerere-24h'!I62,'03.08 Nalya-Bweyogerere-24h'!I62)</f>
        <v>2.5</v>
      </c>
      <c r="J62" s="49">
        <f>AVERAGE('01.08 Nalya-Bweyogerere-24h'!J62,'03.08 Nalya-Bweyogerere-24h'!J62)</f>
        <v>4</v>
      </c>
      <c r="K62" s="49">
        <f>AVERAGE('01.08 Nalya-Bweyogerere-24h'!K62,'03.08 Nalya-Bweyogerere-24h'!K62)</f>
        <v>1</v>
      </c>
      <c r="L62" s="49">
        <f>AVERAGE('01.08 Nalya-Bweyogerere-24h'!L62,'03.08 Nalya-Bweyogerere-24h'!L62)</f>
        <v>5.5</v>
      </c>
      <c r="M62" s="49">
        <f>AVERAGE('01.08 Nalya-Bweyogerere-24h'!M62,'03.08 Nalya-Bweyogerere-24h'!M62)</f>
        <v>43.5</v>
      </c>
      <c r="N62" s="49">
        <f>AVERAGE('01.08 Nalya-Bweyogerere-24h'!N62,'03.08 Nalya-Bweyogerere-24h'!N62)</f>
        <v>0</v>
      </c>
      <c r="O62" s="15">
        <f t="shared" si="33"/>
        <v>113.5</v>
      </c>
      <c r="P62" s="15">
        <f t="shared" si="34"/>
        <v>157</v>
      </c>
      <c r="R62" s="8"/>
      <c r="T62"/>
    </row>
    <row r="63" spans="2:20" ht="23.1" customHeight="1" x14ac:dyDescent="0.25">
      <c r="B63" s="23" t="s">
        <v>108</v>
      </c>
      <c r="C63" s="49">
        <f>AVERAGE('01.08 Nalya-Bweyogerere-24h'!C63,'03.08 Nalya-Bweyogerere-24h'!C63)</f>
        <v>35</v>
      </c>
      <c r="D63" s="49">
        <f>AVERAGE('01.08 Nalya-Bweyogerere-24h'!D63,'03.08 Nalya-Bweyogerere-24h'!D63)</f>
        <v>11.5</v>
      </c>
      <c r="E63" s="49">
        <f>AVERAGE('01.08 Nalya-Bweyogerere-24h'!E63,'03.08 Nalya-Bweyogerere-24h'!E63)</f>
        <v>7</v>
      </c>
      <c r="F63" s="49">
        <f>AVERAGE('01.08 Nalya-Bweyogerere-24h'!F63,'03.08 Nalya-Bweyogerere-24h'!F63)</f>
        <v>23</v>
      </c>
      <c r="G63" s="49">
        <f>AVERAGE('01.08 Nalya-Bweyogerere-24h'!G63,'03.08 Nalya-Bweyogerere-24h'!G63)</f>
        <v>0.5</v>
      </c>
      <c r="H63" s="49">
        <f>AVERAGE('01.08 Nalya-Bweyogerere-24h'!H63,'03.08 Nalya-Bweyogerere-24h'!H63)</f>
        <v>0</v>
      </c>
      <c r="I63" s="49">
        <f>AVERAGE('01.08 Nalya-Bweyogerere-24h'!I63,'03.08 Nalya-Bweyogerere-24h'!I63)</f>
        <v>2.5</v>
      </c>
      <c r="J63" s="49">
        <f>AVERAGE('01.08 Nalya-Bweyogerere-24h'!J63,'03.08 Nalya-Bweyogerere-24h'!J63)</f>
        <v>2.5</v>
      </c>
      <c r="K63" s="49">
        <f>AVERAGE('01.08 Nalya-Bweyogerere-24h'!K63,'03.08 Nalya-Bweyogerere-24h'!K63)</f>
        <v>2.5</v>
      </c>
      <c r="L63" s="49">
        <f>AVERAGE('01.08 Nalya-Bweyogerere-24h'!L63,'03.08 Nalya-Bweyogerere-24h'!L63)</f>
        <v>3.5</v>
      </c>
      <c r="M63" s="49">
        <f>AVERAGE('01.08 Nalya-Bweyogerere-24h'!M63,'03.08 Nalya-Bweyogerere-24h'!M63)</f>
        <v>42.5</v>
      </c>
      <c r="N63" s="49">
        <f>AVERAGE('01.08 Nalya-Bweyogerere-24h'!N63,'03.08 Nalya-Bweyogerere-24h'!N63)</f>
        <v>0</v>
      </c>
      <c r="O63" s="15">
        <f t="shared" si="33"/>
        <v>88</v>
      </c>
      <c r="P63" s="15">
        <f t="shared" si="34"/>
        <v>130.5</v>
      </c>
      <c r="R63" s="8"/>
      <c r="T63"/>
    </row>
    <row r="64" spans="2:20" ht="23.1" customHeight="1" x14ac:dyDescent="0.25">
      <c r="B64" s="23" t="s">
        <v>109</v>
      </c>
      <c r="C64" s="49">
        <f>AVERAGE('01.08 Nalya-Bweyogerere-24h'!C64,'03.08 Nalya-Bweyogerere-24h'!C64)</f>
        <v>34.5</v>
      </c>
      <c r="D64" s="49">
        <f>AVERAGE('01.08 Nalya-Bweyogerere-24h'!D64,'03.08 Nalya-Bweyogerere-24h'!D64)</f>
        <v>13.5</v>
      </c>
      <c r="E64" s="49">
        <f>AVERAGE('01.08 Nalya-Bweyogerere-24h'!E64,'03.08 Nalya-Bweyogerere-24h'!E64)</f>
        <v>3</v>
      </c>
      <c r="F64" s="49">
        <f>AVERAGE('01.08 Nalya-Bweyogerere-24h'!F64,'03.08 Nalya-Bweyogerere-24h'!F64)</f>
        <v>22</v>
      </c>
      <c r="G64" s="49">
        <f>AVERAGE('01.08 Nalya-Bweyogerere-24h'!G64,'03.08 Nalya-Bweyogerere-24h'!G64)</f>
        <v>1.5</v>
      </c>
      <c r="H64" s="49">
        <f>AVERAGE('01.08 Nalya-Bweyogerere-24h'!H64,'03.08 Nalya-Bweyogerere-24h'!H64)</f>
        <v>0</v>
      </c>
      <c r="I64" s="49">
        <f>AVERAGE('01.08 Nalya-Bweyogerere-24h'!I64,'03.08 Nalya-Bweyogerere-24h'!I64)</f>
        <v>3.5</v>
      </c>
      <c r="J64" s="49">
        <f>AVERAGE('01.08 Nalya-Bweyogerere-24h'!J64,'03.08 Nalya-Bweyogerere-24h'!J64)</f>
        <v>2.5</v>
      </c>
      <c r="K64" s="49">
        <f>AVERAGE('01.08 Nalya-Bweyogerere-24h'!K64,'03.08 Nalya-Bweyogerere-24h'!K64)</f>
        <v>2.5</v>
      </c>
      <c r="L64" s="49">
        <f>AVERAGE('01.08 Nalya-Bweyogerere-24h'!L64,'03.08 Nalya-Bweyogerere-24h'!L64)</f>
        <v>3</v>
      </c>
      <c r="M64" s="49">
        <f>AVERAGE('01.08 Nalya-Bweyogerere-24h'!M64,'03.08 Nalya-Bweyogerere-24h'!M64)</f>
        <v>34.5</v>
      </c>
      <c r="N64" s="49">
        <f>AVERAGE('01.08 Nalya-Bweyogerere-24h'!N64,'03.08 Nalya-Bweyogerere-24h'!N64)</f>
        <v>0</v>
      </c>
      <c r="O64" s="15">
        <f t="shared" si="33"/>
        <v>86</v>
      </c>
      <c r="P64" s="15">
        <f t="shared" si="34"/>
        <v>120.5</v>
      </c>
      <c r="R64" s="8"/>
      <c r="T64"/>
    </row>
    <row r="65" spans="2:20" ht="23.1" customHeight="1" x14ac:dyDescent="0.25">
      <c r="B65" s="23" t="s">
        <v>158</v>
      </c>
      <c r="C65" s="49">
        <f>AVERAGE('01.08 Nalya-Bweyogerere-24h'!C65,'03.08 Nalya-Bweyogerere-24h'!C65)</f>
        <v>44</v>
      </c>
      <c r="D65" s="49">
        <f>AVERAGE('01.08 Nalya-Bweyogerere-24h'!D65,'03.08 Nalya-Bweyogerere-24h'!D65)</f>
        <v>4.5</v>
      </c>
      <c r="E65" s="49">
        <f>AVERAGE('01.08 Nalya-Bweyogerere-24h'!E65,'03.08 Nalya-Bweyogerere-24h'!E65)</f>
        <v>3</v>
      </c>
      <c r="F65" s="49">
        <f>AVERAGE('01.08 Nalya-Bweyogerere-24h'!F65,'03.08 Nalya-Bweyogerere-24h'!F65)</f>
        <v>15.5</v>
      </c>
      <c r="G65" s="49">
        <f>AVERAGE('01.08 Nalya-Bweyogerere-24h'!G65,'03.08 Nalya-Bweyogerere-24h'!G65)</f>
        <v>0.5</v>
      </c>
      <c r="H65" s="49">
        <f>AVERAGE('01.08 Nalya-Bweyogerere-24h'!H65,'03.08 Nalya-Bweyogerere-24h'!H65)</f>
        <v>0.5</v>
      </c>
      <c r="I65" s="49">
        <f>AVERAGE('01.08 Nalya-Bweyogerere-24h'!I65,'03.08 Nalya-Bweyogerere-24h'!I65)</f>
        <v>0</v>
      </c>
      <c r="J65" s="49">
        <f>AVERAGE('01.08 Nalya-Bweyogerere-24h'!J65,'03.08 Nalya-Bweyogerere-24h'!J65)</f>
        <v>3</v>
      </c>
      <c r="K65" s="49">
        <f>AVERAGE('01.08 Nalya-Bweyogerere-24h'!K65,'03.08 Nalya-Bweyogerere-24h'!K65)</f>
        <v>0.5</v>
      </c>
      <c r="L65" s="49">
        <f>AVERAGE('01.08 Nalya-Bweyogerere-24h'!L65,'03.08 Nalya-Bweyogerere-24h'!L65)</f>
        <v>5.5</v>
      </c>
      <c r="M65" s="49">
        <f>AVERAGE('01.08 Nalya-Bweyogerere-24h'!M65,'03.08 Nalya-Bweyogerere-24h'!M65)</f>
        <v>30</v>
      </c>
      <c r="N65" s="49">
        <f>AVERAGE('01.08 Nalya-Bweyogerere-24h'!N65,'03.08 Nalya-Bweyogerere-24h'!N65)</f>
        <v>0</v>
      </c>
      <c r="O65" s="15">
        <f t="shared" si="33"/>
        <v>77</v>
      </c>
      <c r="P65" s="15">
        <f t="shared" si="34"/>
        <v>107</v>
      </c>
      <c r="R65" s="8"/>
      <c r="T65"/>
    </row>
    <row r="66" spans="2:20" ht="23.1" customHeight="1" x14ac:dyDescent="0.25">
      <c r="B66" s="23" t="s">
        <v>103</v>
      </c>
      <c r="C66" s="49">
        <f>AVERAGE('01.08 Nalya-Bweyogerere-24h'!C66,'03.08 Nalya-Bweyogerere-24h'!C66)</f>
        <v>42.5</v>
      </c>
      <c r="D66" s="49">
        <f>AVERAGE('01.08 Nalya-Bweyogerere-24h'!D66,'03.08 Nalya-Bweyogerere-24h'!D66)</f>
        <v>10.5</v>
      </c>
      <c r="E66" s="49">
        <f>AVERAGE('01.08 Nalya-Bweyogerere-24h'!E66,'03.08 Nalya-Bweyogerere-24h'!E66)</f>
        <v>9</v>
      </c>
      <c r="F66" s="49">
        <f>AVERAGE('01.08 Nalya-Bweyogerere-24h'!F66,'03.08 Nalya-Bweyogerere-24h'!F66)</f>
        <v>27.5</v>
      </c>
      <c r="G66" s="49">
        <f>AVERAGE('01.08 Nalya-Bweyogerere-24h'!G66,'03.08 Nalya-Bweyogerere-24h'!G66)</f>
        <v>1</v>
      </c>
      <c r="H66" s="49">
        <f>AVERAGE('01.08 Nalya-Bweyogerere-24h'!H66,'03.08 Nalya-Bweyogerere-24h'!H66)</f>
        <v>0.5</v>
      </c>
      <c r="I66" s="49">
        <f>AVERAGE('01.08 Nalya-Bweyogerere-24h'!I66,'03.08 Nalya-Bweyogerere-24h'!I66)</f>
        <v>4.5</v>
      </c>
      <c r="J66" s="49">
        <f>AVERAGE('01.08 Nalya-Bweyogerere-24h'!J66,'03.08 Nalya-Bweyogerere-24h'!J66)</f>
        <v>3.5</v>
      </c>
      <c r="K66" s="49">
        <f>AVERAGE('01.08 Nalya-Bweyogerere-24h'!K66,'03.08 Nalya-Bweyogerere-24h'!K66)</f>
        <v>2.5</v>
      </c>
      <c r="L66" s="49">
        <f>AVERAGE('01.08 Nalya-Bweyogerere-24h'!L66,'03.08 Nalya-Bweyogerere-24h'!L66)</f>
        <v>4</v>
      </c>
      <c r="M66" s="49">
        <f>AVERAGE('01.08 Nalya-Bweyogerere-24h'!M66,'03.08 Nalya-Bweyogerere-24h'!M66)</f>
        <v>23</v>
      </c>
      <c r="N66" s="49">
        <f>AVERAGE('01.08 Nalya-Bweyogerere-24h'!N66,'03.08 Nalya-Bweyogerere-24h'!N66)</f>
        <v>0</v>
      </c>
      <c r="O66" s="15">
        <f t="shared" si="33"/>
        <v>105.5</v>
      </c>
      <c r="P66" s="15">
        <f t="shared" si="34"/>
        <v>128.5</v>
      </c>
      <c r="R66" s="8"/>
      <c r="T66"/>
    </row>
    <row r="67" spans="2:20" ht="23.1" customHeight="1" x14ac:dyDescent="0.25">
      <c r="B67" s="23" t="s">
        <v>104</v>
      </c>
      <c r="C67" s="49">
        <f>AVERAGE('01.08 Nalya-Bweyogerere-24h'!C67,'03.08 Nalya-Bweyogerere-24h'!C67)</f>
        <v>43</v>
      </c>
      <c r="D67" s="49">
        <f>AVERAGE('01.08 Nalya-Bweyogerere-24h'!D67,'03.08 Nalya-Bweyogerere-24h'!D67)</f>
        <v>4.5</v>
      </c>
      <c r="E67" s="49">
        <f>AVERAGE('01.08 Nalya-Bweyogerere-24h'!E67,'03.08 Nalya-Bweyogerere-24h'!E67)</f>
        <v>5</v>
      </c>
      <c r="F67" s="49">
        <f>AVERAGE('01.08 Nalya-Bweyogerere-24h'!F67,'03.08 Nalya-Bweyogerere-24h'!F67)</f>
        <v>15.5</v>
      </c>
      <c r="G67" s="49">
        <f>AVERAGE('01.08 Nalya-Bweyogerere-24h'!G67,'03.08 Nalya-Bweyogerere-24h'!G67)</f>
        <v>0</v>
      </c>
      <c r="H67" s="49">
        <f>AVERAGE('01.08 Nalya-Bweyogerere-24h'!H67,'03.08 Nalya-Bweyogerere-24h'!H67)</f>
        <v>0.5</v>
      </c>
      <c r="I67" s="49">
        <f>AVERAGE('01.08 Nalya-Bweyogerere-24h'!I67,'03.08 Nalya-Bweyogerere-24h'!I67)</f>
        <v>1</v>
      </c>
      <c r="J67" s="49">
        <f>AVERAGE('01.08 Nalya-Bweyogerere-24h'!J67,'03.08 Nalya-Bweyogerere-24h'!J67)</f>
        <v>1</v>
      </c>
      <c r="K67" s="49">
        <f>AVERAGE('01.08 Nalya-Bweyogerere-24h'!K67,'03.08 Nalya-Bweyogerere-24h'!K67)</f>
        <v>3</v>
      </c>
      <c r="L67" s="49">
        <f>AVERAGE('01.08 Nalya-Bweyogerere-24h'!L67,'03.08 Nalya-Bweyogerere-24h'!L67)</f>
        <v>3</v>
      </c>
      <c r="M67" s="49">
        <f>AVERAGE('01.08 Nalya-Bweyogerere-24h'!M67,'03.08 Nalya-Bweyogerere-24h'!M67)</f>
        <v>17</v>
      </c>
      <c r="N67" s="49">
        <f>AVERAGE('01.08 Nalya-Bweyogerere-24h'!N67,'03.08 Nalya-Bweyogerere-24h'!N67)</f>
        <v>0</v>
      </c>
      <c r="O67" s="15">
        <f t="shared" si="33"/>
        <v>76.5</v>
      </c>
      <c r="P67" s="15">
        <f t="shared" si="34"/>
        <v>93.5</v>
      </c>
      <c r="R67" s="8"/>
      <c r="T67"/>
    </row>
    <row r="68" spans="2:20" ht="23.1" customHeight="1" x14ac:dyDescent="0.25">
      <c r="B68" s="23" t="s">
        <v>105</v>
      </c>
      <c r="C68" s="49">
        <f>AVERAGE('01.08 Nalya-Bweyogerere-24h'!C68,'03.08 Nalya-Bweyogerere-24h'!C68)</f>
        <v>34</v>
      </c>
      <c r="D68" s="49">
        <f>AVERAGE('01.08 Nalya-Bweyogerere-24h'!D68,'03.08 Nalya-Bweyogerere-24h'!D68)</f>
        <v>4</v>
      </c>
      <c r="E68" s="49">
        <f>AVERAGE('01.08 Nalya-Bweyogerere-24h'!E68,'03.08 Nalya-Bweyogerere-24h'!E68)</f>
        <v>6</v>
      </c>
      <c r="F68" s="49">
        <f>AVERAGE('01.08 Nalya-Bweyogerere-24h'!F68,'03.08 Nalya-Bweyogerere-24h'!F68)</f>
        <v>21.5</v>
      </c>
      <c r="G68" s="49">
        <f>AVERAGE('01.08 Nalya-Bweyogerere-24h'!G68,'03.08 Nalya-Bweyogerere-24h'!G68)</f>
        <v>0.5</v>
      </c>
      <c r="H68" s="49">
        <f>AVERAGE('01.08 Nalya-Bweyogerere-24h'!H68,'03.08 Nalya-Bweyogerere-24h'!H68)</f>
        <v>0</v>
      </c>
      <c r="I68" s="49">
        <f>AVERAGE('01.08 Nalya-Bweyogerere-24h'!I68,'03.08 Nalya-Bweyogerere-24h'!I68)</f>
        <v>2</v>
      </c>
      <c r="J68" s="49">
        <f>AVERAGE('01.08 Nalya-Bweyogerere-24h'!J68,'03.08 Nalya-Bweyogerere-24h'!J68)</f>
        <v>4.5</v>
      </c>
      <c r="K68" s="49">
        <f>AVERAGE('01.08 Nalya-Bweyogerere-24h'!K68,'03.08 Nalya-Bweyogerere-24h'!K68)</f>
        <v>4</v>
      </c>
      <c r="L68" s="49">
        <f>AVERAGE('01.08 Nalya-Bweyogerere-24h'!L68,'03.08 Nalya-Bweyogerere-24h'!L68)</f>
        <v>6.5</v>
      </c>
      <c r="M68" s="49">
        <f>AVERAGE('01.08 Nalya-Bweyogerere-24h'!M68,'03.08 Nalya-Bweyogerere-24h'!M68)</f>
        <v>24.5</v>
      </c>
      <c r="N68" s="49">
        <f>AVERAGE('01.08 Nalya-Bweyogerere-24h'!N68,'03.08 Nalya-Bweyogerere-24h'!N68)</f>
        <v>0</v>
      </c>
      <c r="O68" s="15">
        <f t="shared" si="33"/>
        <v>83</v>
      </c>
      <c r="P68" s="15">
        <f t="shared" si="34"/>
        <v>107.5</v>
      </c>
      <c r="R68" s="8"/>
      <c r="T68"/>
    </row>
    <row r="69" spans="2:20" ht="23.1" customHeight="1" x14ac:dyDescent="0.25">
      <c r="B69" s="23" t="s">
        <v>106</v>
      </c>
      <c r="C69" s="49">
        <f>AVERAGE('01.08 Nalya-Bweyogerere-24h'!C69,'03.08 Nalya-Bweyogerere-24h'!C69)</f>
        <v>33.5</v>
      </c>
      <c r="D69" s="49">
        <f>AVERAGE('01.08 Nalya-Bweyogerere-24h'!D69,'03.08 Nalya-Bweyogerere-24h'!D69)</f>
        <v>6.5</v>
      </c>
      <c r="E69" s="49">
        <f>AVERAGE('01.08 Nalya-Bweyogerere-24h'!E69,'03.08 Nalya-Bweyogerere-24h'!E69)</f>
        <v>6</v>
      </c>
      <c r="F69" s="49">
        <f>AVERAGE('01.08 Nalya-Bweyogerere-24h'!F69,'03.08 Nalya-Bweyogerere-24h'!F69)</f>
        <v>23.5</v>
      </c>
      <c r="G69" s="49">
        <f>AVERAGE('01.08 Nalya-Bweyogerere-24h'!G69,'03.08 Nalya-Bweyogerere-24h'!G69)</f>
        <v>1</v>
      </c>
      <c r="H69" s="49">
        <f>AVERAGE('01.08 Nalya-Bweyogerere-24h'!H69,'03.08 Nalya-Bweyogerere-24h'!H69)</f>
        <v>0</v>
      </c>
      <c r="I69" s="49">
        <f>AVERAGE('01.08 Nalya-Bweyogerere-24h'!I69,'03.08 Nalya-Bweyogerere-24h'!I69)</f>
        <v>5</v>
      </c>
      <c r="J69" s="49">
        <f>AVERAGE('01.08 Nalya-Bweyogerere-24h'!J69,'03.08 Nalya-Bweyogerere-24h'!J69)</f>
        <v>4</v>
      </c>
      <c r="K69" s="49">
        <f>AVERAGE('01.08 Nalya-Bweyogerere-24h'!K69,'03.08 Nalya-Bweyogerere-24h'!K69)</f>
        <v>2.5</v>
      </c>
      <c r="L69" s="49">
        <f>AVERAGE('01.08 Nalya-Bweyogerere-24h'!L69,'03.08 Nalya-Bweyogerere-24h'!L69)</f>
        <v>3</v>
      </c>
      <c r="M69" s="49">
        <f>AVERAGE('01.08 Nalya-Bweyogerere-24h'!M69,'03.08 Nalya-Bweyogerere-24h'!M69)</f>
        <v>24</v>
      </c>
      <c r="N69" s="49">
        <f>AVERAGE('01.08 Nalya-Bweyogerere-24h'!N69,'03.08 Nalya-Bweyogerere-24h'!N69)</f>
        <v>0</v>
      </c>
      <c r="O69" s="15">
        <f t="shared" si="33"/>
        <v>85</v>
      </c>
      <c r="P69" s="15">
        <f t="shared" si="34"/>
        <v>109</v>
      </c>
      <c r="R69" s="8"/>
      <c r="T69"/>
    </row>
    <row r="70" spans="2:20" ht="23.1" customHeight="1" x14ac:dyDescent="0.25">
      <c r="B70" s="23" t="s">
        <v>110</v>
      </c>
      <c r="C70" s="49">
        <f>AVERAGE('01.08 Nalya-Bweyogerere-24h'!C70,'03.08 Nalya-Bweyogerere-24h'!C70)</f>
        <v>33</v>
      </c>
      <c r="D70" s="49">
        <f>AVERAGE('01.08 Nalya-Bweyogerere-24h'!D70,'03.08 Nalya-Bweyogerere-24h'!D70)</f>
        <v>3</v>
      </c>
      <c r="E70" s="49">
        <f>AVERAGE('01.08 Nalya-Bweyogerere-24h'!E70,'03.08 Nalya-Bweyogerere-24h'!E70)</f>
        <v>3</v>
      </c>
      <c r="F70" s="49">
        <f>AVERAGE('01.08 Nalya-Bweyogerere-24h'!F70,'03.08 Nalya-Bweyogerere-24h'!F70)</f>
        <v>17.5</v>
      </c>
      <c r="G70" s="49">
        <f>AVERAGE('01.08 Nalya-Bweyogerere-24h'!G70,'03.08 Nalya-Bweyogerere-24h'!G70)</f>
        <v>0</v>
      </c>
      <c r="H70" s="49">
        <f>AVERAGE('01.08 Nalya-Bweyogerere-24h'!H70,'03.08 Nalya-Bweyogerere-24h'!H70)</f>
        <v>0</v>
      </c>
      <c r="I70" s="49">
        <f>AVERAGE('01.08 Nalya-Bweyogerere-24h'!I70,'03.08 Nalya-Bweyogerere-24h'!I70)</f>
        <v>1.5</v>
      </c>
      <c r="J70" s="49">
        <f>AVERAGE('01.08 Nalya-Bweyogerere-24h'!J70,'03.08 Nalya-Bweyogerere-24h'!J70)</f>
        <v>0.5</v>
      </c>
      <c r="K70" s="49">
        <f>AVERAGE('01.08 Nalya-Bweyogerere-24h'!K70,'03.08 Nalya-Bweyogerere-24h'!K70)</f>
        <v>2</v>
      </c>
      <c r="L70" s="49">
        <f>AVERAGE('01.08 Nalya-Bweyogerere-24h'!L70,'03.08 Nalya-Bweyogerere-24h'!L70)</f>
        <v>7.5</v>
      </c>
      <c r="M70" s="49">
        <f>AVERAGE('01.08 Nalya-Bweyogerere-24h'!M70,'03.08 Nalya-Bweyogerere-24h'!M70)</f>
        <v>19.5</v>
      </c>
      <c r="N70" s="49">
        <f>AVERAGE('01.08 Nalya-Bweyogerere-24h'!N70,'03.08 Nalya-Bweyogerere-24h'!N70)</f>
        <v>0</v>
      </c>
      <c r="O70" s="15">
        <f t="shared" si="33"/>
        <v>68</v>
      </c>
      <c r="P70" s="15">
        <f t="shared" si="34"/>
        <v>87.5</v>
      </c>
      <c r="R70" s="8"/>
      <c r="T70"/>
    </row>
    <row r="71" spans="2:20" ht="23.1" customHeight="1" x14ac:dyDescent="0.25">
      <c r="B71" s="23" t="s">
        <v>111</v>
      </c>
      <c r="C71" s="49">
        <f>AVERAGE('01.08 Nalya-Bweyogerere-24h'!C71,'03.08 Nalya-Bweyogerere-24h'!C71)</f>
        <v>13.5</v>
      </c>
      <c r="D71" s="49">
        <f>AVERAGE('01.08 Nalya-Bweyogerere-24h'!D71,'03.08 Nalya-Bweyogerere-24h'!D71)</f>
        <v>6</v>
      </c>
      <c r="E71" s="49">
        <f>AVERAGE('01.08 Nalya-Bweyogerere-24h'!E71,'03.08 Nalya-Bweyogerere-24h'!E71)</f>
        <v>2.5</v>
      </c>
      <c r="F71" s="49">
        <f>AVERAGE('01.08 Nalya-Bweyogerere-24h'!F71,'03.08 Nalya-Bweyogerere-24h'!F71)</f>
        <v>13</v>
      </c>
      <c r="G71" s="49">
        <f>AVERAGE('01.08 Nalya-Bweyogerere-24h'!G71,'03.08 Nalya-Bweyogerere-24h'!G71)</f>
        <v>2.5</v>
      </c>
      <c r="H71" s="49">
        <f>AVERAGE('01.08 Nalya-Bweyogerere-24h'!H71,'03.08 Nalya-Bweyogerere-24h'!H71)</f>
        <v>0</v>
      </c>
      <c r="I71" s="49">
        <f>AVERAGE('01.08 Nalya-Bweyogerere-24h'!I71,'03.08 Nalya-Bweyogerere-24h'!I71)</f>
        <v>1.5</v>
      </c>
      <c r="J71" s="49">
        <f>AVERAGE('01.08 Nalya-Bweyogerere-24h'!J71,'03.08 Nalya-Bweyogerere-24h'!J71)</f>
        <v>2</v>
      </c>
      <c r="K71" s="49">
        <f>AVERAGE('01.08 Nalya-Bweyogerere-24h'!K71,'03.08 Nalya-Bweyogerere-24h'!K71)</f>
        <v>1</v>
      </c>
      <c r="L71" s="49">
        <f>AVERAGE('01.08 Nalya-Bweyogerere-24h'!L71,'03.08 Nalya-Bweyogerere-24h'!L71)</f>
        <v>2.5</v>
      </c>
      <c r="M71" s="49">
        <f>AVERAGE('01.08 Nalya-Bweyogerere-24h'!M71,'03.08 Nalya-Bweyogerere-24h'!M71)</f>
        <v>12.5</v>
      </c>
      <c r="N71" s="49">
        <f>AVERAGE('01.08 Nalya-Bweyogerere-24h'!N71,'03.08 Nalya-Bweyogerere-24h'!N71)</f>
        <v>0</v>
      </c>
      <c r="O71" s="15">
        <f t="shared" si="33"/>
        <v>44.5</v>
      </c>
      <c r="P71" s="15">
        <f t="shared" si="34"/>
        <v>57</v>
      </c>
      <c r="R71" s="8"/>
      <c r="T71"/>
    </row>
    <row r="72" spans="2:20" ht="23.1" customHeight="1" x14ac:dyDescent="0.25">
      <c r="B72" s="23" t="s">
        <v>112</v>
      </c>
      <c r="C72" s="49">
        <f>AVERAGE('01.08 Nalya-Bweyogerere-24h'!C72,'03.08 Nalya-Bweyogerere-24h'!C72)</f>
        <v>28.5</v>
      </c>
      <c r="D72" s="49">
        <f>AVERAGE('01.08 Nalya-Bweyogerere-24h'!D72,'03.08 Nalya-Bweyogerere-24h'!D72)</f>
        <v>4</v>
      </c>
      <c r="E72" s="49">
        <f>AVERAGE('01.08 Nalya-Bweyogerere-24h'!E72,'03.08 Nalya-Bweyogerere-24h'!E72)</f>
        <v>2</v>
      </c>
      <c r="F72" s="49">
        <f>AVERAGE('01.08 Nalya-Bweyogerere-24h'!F72,'03.08 Nalya-Bweyogerere-24h'!F72)</f>
        <v>14.5</v>
      </c>
      <c r="G72" s="49">
        <f>AVERAGE('01.08 Nalya-Bweyogerere-24h'!G72,'03.08 Nalya-Bweyogerere-24h'!G72)</f>
        <v>0.5</v>
      </c>
      <c r="H72" s="49">
        <f>AVERAGE('01.08 Nalya-Bweyogerere-24h'!H72,'03.08 Nalya-Bweyogerere-24h'!H72)</f>
        <v>0</v>
      </c>
      <c r="I72" s="49">
        <f>AVERAGE('01.08 Nalya-Bweyogerere-24h'!I72,'03.08 Nalya-Bweyogerere-24h'!I72)</f>
        <v>2</v>
      </c>
      <c r="J72" s="49">
        <f>AVERAGE('01.08 Nalya-Bweyogerere-24h'!J72,'03.08 Nalya-Bweyogerere-24h'!J72)</f>
        <v>3</v>
      </c>
      <c r="K72" s="49">
        <f>AVERAGE('01.08 Nalya-Bweyogerere-24h'!K72,'03.08 Nalya-Bweyogerere-24h'!K72)</f>
        <v>0.5</v>
      </c>
      <c r="L72" s="49">
        <f>AVERAGE('01.08 Nalya-Bweyogerere-24h'!L72,'03.08 Nalya-Bweyogerere-24h'!L72)</f>
        <v>2.5</v>
      </c>
      <c r="M72" s="49">
        <f>AVERAGE('01.08 Nalya-Bweyogerere-24h'!M72,'03.08 Nalya-Bweyogerere-24h'!M72)</f>
        <v>12.5</v>
      </c>
      <c r="N72" s="49">
        <f>AVERAGE('01.08 Nalya-Bweyogerere-24h'!N72,'03.08 Nalya-Bweyogerere-24h'!N72)</f>
        <v>0</v>
      </c>
      <c r="O72" s="15">
        <f t="shared" si="33"/>
        <v>57.5</v>
      </c>
      <c r="P72" s="15">
        <f t="shared" si="34"/>
        <v>70</v>
      </c>
      <c r="R72" s="8"/>
      <c r="T72"/>
    </row>
    <row r="73" spans="2:20" ht="23.1" customHeight="1" x14ac:dyDescent="0.25">
      <c r="B73" s="23" t="s">
        <v>113</v>
      </c>
      <c r="C73" s="49">
        <f>AVERAGE('01.08 Nalya-Bweyogerere-24h'!C73,'03.08 Nalya-Bweyogerere-24h'!C73)</f>
        <v>20.5</v>
      </c>
      <c r="D73" s="49">
        <f>AVERAGE('01.08 Nalya-Bweyogerere-24h'!D73,'03.08 Nalya-Bweyogerere-24h'!D73)</f>
        <v>6</v>
      </c>
      <c r="E73" s="49">
        <f>AVERAGE('01.08 Nalya-Bweyogerere-24h'!E73,'03.08 Nalya-Bweyogerere-24h'!E73)</f>
        <v>3.5</v>
      </c>
      <c r="F73" s="49">
        <f>AVERAGE('01.08 Nalya-Bweyogerere-24h'!F73,'03.08 Nalya-Bweyogerere-24h'!F73)</f>
        <v>14</v>
      </c>
      <c r="G73" s="49">
        <f>AVERAGE('01.08 Nalya-Bweyogerere-24h'!G73,'03.08 Nalya-Bweyogerere-24h'!G73)</f>
        <v>0.5</v>
      </c>
      <c r="H73" s="49">
        <f>AVERAGE('01.08 Nalya-Bweyogerere-24h'!H73,'03.08 Nalya-Bweyogerere-24h'!H73)</f>
        <v>0</v>
      </c>
      <c r="I73" s="49">
        <f>AVERAGE('01.08 Nalya-Bweyogerere-24h'!I73,'03.08 Nalya-Bweyogerere-24h'!I73)</f>
        <v>1</v>
      </c>
      <c r="J73" s="49">
        <f>AVERAGE('01.08 Nalya-Bweyogerere-24h'!J73,'03.08 Nalya-Bweyogerere-24h'!J73)</f>
        <v>5.5</v>
      </c>
      <c r="K73" s="49">
        <f>AVERAGE('01.08 Nalya-Bweyogerere-24h'!K73,'03.08 Nalya-Bweyogerere-24h'!K73)</f>
        <v>1.5</v>
      </c>
      <c r="L73" s="49">
        <f>AVERAGE('01.08 Nalya-Bweyogerere-24h'!L73,'03.08 Nalya-Bweyogerere-24h'!L73)</f>
        <v>6.5</v>
      </c>
      <c r="M73" s="49">
        <f>AVERAGE('01.08 Nalya-Bweyogerere-24h'!M73,'03.08 Nalya-Bweyogerere-24h'!M73)</f>
        <v>14</v>
      </c>
      <c r="N73" s="49">
        <f>AVERAGE('01.08 Nalya-Bweyogerere-24h'!N73,'03.08 Nalya-Bweyogerere-24h'!N73)</f>
        <v>0</v>
      </c>
      <c r="O73" s="15">
        <f t="shared" si="33"/>
        <v>59</v>
      </c>
      <c r="P73" s="15">
        <f t="shared" si="34"/>
        <v>73</v>
      </c>
      <c r="R73" s="8"/>
      <c r="T73"/>
    </row>
    <row r="74" spans="2:20" ht="23.1" customHeight="1" x14ac:dyDescent="0.25">
      <c r="B74" s="23" t="s">
        <v>114</v>
      </c>
      <c r="C74" s="49">
        <f>AVERAGE('01.08 Nalya-Bweyogerere-24h'!C74,'03.08 Nalya-Bweyogerere-24h'!C74)</f>
        <v>26.5</v>
      </c>
      <c r="D74" s="49">
        <f>AVERAGE('01.08 Nalya-Bweyogerere-24h'!D74,'03.08 Nalya-Bweyogerere-24h'!D74)</f>
        <v>3.5</v>
      </c>
      <c r="E74" s="49">
        <f>AVERAGE('01.08 Nalya-Bweyogerere-24h'!E74,'03.08 Nalya-Bweyogerere-24h'!E74)</f>
        <v>3.5</v>
      </c>
      <c r="F74" s="49">
        <f>AVERAGE('01.08 Nalya-Bweyogerere-24h'!F74,'03.08 Nalya-Bweyogerere-24h'!F74)</f>
        <v>13.5</v>
      </c>
      <c r="G74" s="49">
        <f>AVERAGE('01.08 Nalya-Bweyogerere-24h'!G74,'03.08 Nalya-Bweyogerere-24h'!G74)</f>
        <v>0.5</v>
      </c>
      <c r="H74" s="49">
        <f>AVERAGE('01.08 Nalya-Bweyogerere-24h'!H74,'03.08 Nalya-Bweyogerere-24h'!H74)</f>
        <v>0</v>
      </c>
      <c r="I74" s="49">
        <f>AVERAGE('01.08 Nalya-Bweyogerere-24h'!I74,'03.08 Nalya-Bweyogerere-24h'!I74)</f>
        <v>1.5</v>
      </c>
      <c r="J74" s="49">
        <f>AVERAGE('01.08 Nalya-Bweyogerere-24h'!J74,'03.08 Nalya-Bweyogerere-24h'!J74)</f>
        <v>6</v>
      </c>
      <c r="K74" s="49">
        <f>AVERAGE('01.08 Nalya-Bweyogerere-24h'!K74,'03.08 Nalya-Bweyogerere-24h'!K74)</f>
        <v>1</v>
      </c>
      <c r="L74" s="49">
        <f>AVERAGE('01.08 Nalya-Bweyogerere-24h'!L74,'03.08 Nalya-Bweyogerere-24h'!L74)</f>
        <v>2.5</v>
      </c>
      <c r="M74" s="49">
        <f>AVERAGE('01.08 Nalya-Bweyogerere-24h'!M74,'03.08 Nalya-Bweyogerere-24h'!M74)</f>
        <v>10</v>
      </c>
      <c r="N74" s="49">
        <f>AVERAGE('01.08 Nalya-Bweyogerere-24h'!N74,'03.08 Nalya-Bweyogerere-24h'!N74)</f>
        <v>0</v>
      </c>
      <c r="O74" s="15">
        <f t="shared" si="33"/>
        <v>58.5</v>
      </c>
      <c r="P74" s="15">
        <f t="shared" si="34"/>
        <v>68.5</v>
      </c>
      <c r="R74" s="8"/>
      <c r="T74"/>
    </row>
    <row r="75" spans="2:20" ht="23.1" customHeight="1" x14ac:dyDescent="0.25">
      <c r="B75" s="23" t="s">
        <v>115</v>
      </c>
      <c r="C75" s="49">
        <f>AVERAGE('01.08 Nalya-Bweyogerere-24h'!C75,'03.08 Nalya-Bweyogerere-24h'!C75)</f>
        <v>13</v>
      </c>
      <c r="D75" s="49">
        <f>AVERAGE('01.08 Nalya-Bweyogerere-24h'!D75,'03.08 Nalya-Bweyogerere-24h'!D75)</f>
        <v>2.5</v>
      </c>
      <c r="E75" s="49">
        <f>AVERAGE('01.08 Nalya-Bweyogerere-24h'!E75,'03.08 Nalya-Bweyogerere-24h'!E75)</f>
        <v>2</v>
      </c>
      <c r="F75" s="49">
        <f>AVERAGE('01.08 Nalya-Bweyogerere-24h'!F75,'03.08 Nalya-Bweyogerere-24h'!F75)</f>
        <v>9</v>
      </c>
      <c r="G75" s="49">
        <f>AVERAGE('01.08 Nalya-Bweyogerere-24h'!G75,'03.08 Nalya-Bweyogerere-24h'!G75)</f>
        <v>0.5</v>
      </c>
      <c r="H75" s="49">
        <f>AVERAGE('01.08 Nalya-Bweyogerere-24h'!H75,'03.08 Nalya-Bweyogerere-24h'!H75)</f>
        <v>0</v>
      </c>
      <c r="I75" s="49">
        <f>AVERAGE('01.08 Nalya-Bweyogerere-24h'!I75,'03.08 Nalya-Bweyogerere-24h'!I75)</f>
        <v>1</v>
      </c>
      <c r="J75" s="49">
        <f>AVERAGE('01.08 Nalya-Bweyogerere-24h'!J75,'03.08 Nalya-Bweyogerere-24h'!J75)</f>
        <v>3.5</v>
      </c>
      <c r="K75" s="49">
        <f>AVERAGE('01.08 Nalya-Bweyogerere-24h'!K75,'03.08 Nalya-Bweyogerere-24h'!K75)</f>
        <v>2.5</v>
      </c>
      <c r="L75" s="49">
        <f>AVERAGE('01.08 Nalya-Bweyogerere-24h'!L75,'03.08 Nalya-Bweyogerere-24h'!L75)</f>
        <v>4.5</v>
      </c>
      <c r="M75" s="49">
        <f>AVERAGE('01.08 Nalya-Bweyogerere-24h'!M75,'03.08 Nalya-Bweyogerere-24h'!M75)</f>
        <v>11.5</v>
      </c>
      <c r="N75" s="49">
        <f>AVERAGE('01.08 Nalya-Bweyogerere-24h'!N75,'03.08 Nalya-Bweyogerere-24h'!N75)</f>
        <v>0</v>
      </c>
      <c r="O75" s="15">
        <f t="shared" si="33"/>
        <v>38.5</v>
      </c>
      <c r="P75" s="15">
        <f t="shared" si="34"/>
        <v>50</v>
      </c>
      <c r="R75" s="8"/>
      <c r="T75"/>
    </row>
    <row r="76" spans="2:20" ht="23.1" customHeight="1" x14ac:dyDescent="0.25">
      <c r="B76" s="23" t="s">
        <v>116</v>
      </c>
      <c r="C76" s="49">
        <f>AVERAGE('01.08 Nalya-Bweyogerere-24h'!C76,'03.08 Nalya-Bweyogerere-24h'!C76)</f>
        <v>12</v>
      </c>
      <c r="D76" s="49">
        <f>AVERAGE('01.08 Nalya-Bweyogerere-24h'!D76,'03.08 Nalya-Bweyogerere-24h'!D76)</f>
        <v>4</v>
      </c>
      <c r="E76" s="49">
        <f>AVERAGE('01.08 Nalya-Bweyogerere-24h'!E76,'03.08 Nalya-Bweyogerere-24h'!E76)</f>
        <v>2</v>
      </c>
      <c r="F76" s="49">
        <f>AVERAGE('01.08 Nalya-Bweyogerere-24h'!F76,'03.08 Nalya-Bweyogerere-24h'!F76)</f>
        <v>9.5</v>
      </c>
      <c r="G76" s="49">
        <f>AVERAGE('01.08 Nalya-Bweyogerere-24h'!G76,'03.08 Nalya-Bweyogerere-24h'!G76)</f>
        <v>0</v>
      </c>
      <c r="H76" s="49">
        <f>AVERAGE('01.08 Nalya-Bweyogerere-24h'!H76,'03.08 Nalya-Bweyogerere-24h'!H76)</f>
        <v>0</v>
      </c>
      <c r="I76" s="49">
        <f>AVERAGE('01.08 Nalya-Bweyogerere-24h'!I76,'03.08 Nalya-Bweyogerere-24h'!I76)</f>
        <v>2.5</v>
      </c>
      <c r="J76" s="49">
        <f>AVERAGE('01.08 Nalya-Bweyogerere-24h'!J76,'03.08 Nalya-Bweyogerere-24h'!J76)</f>
        <v>3</v>
      </c>
      <c r="K76" s="49">
        <f>AVERAGE('01.08 Nalya-Bweyogerere-24h'!K76,'03.08 Nalya-Bweyogerere-24h'!K76)</f>
        <v>1.5</v>
      </c>
      <c r="L76" s="49">
        <f>AVERAGE('01.08 Nalya-Bweyogerere-24h'!L76,'03.08 Nalya-Bweyogerere-24h'!L76)</f>
        <v>1.5</v>
      </c>
      <c r="M76" s="49">
        <f>AVERAGE('01.08 Nalya-Bweyogerere-24h'!M76,'03.08 Nalya-Bweyogerere-24h'!M76)</f>
        <v>10</v>
      </c>
      <c r="N76" s="49">
        <f>AVERAGE('01.08 Nalya-Bweyogerere-24h'!N76,'03.08 Nalya-Bweyogerere-24h'!N76)</f>
        <v>0</v>
      </c>
      <c r="O76" s="15">
        <f t="shared" si="33"/>
        <v>36</v>
      </c>
      <c r="P76" s="15">
        <f t="shared" si="34"/>
        <v>46</v>
      </c>
      <c r="R76" s="8"/>
      <c r="T76"/>
    </row>
    <row r="77" spans="2:20" ht="23.1" customHeight="1" x14ac:dyDescent="0.25">
      <c r="B77" s="23" t="s">
        <v>117</v>
      </c>
      <c r="C77" s="49">
        <f>AVERAGE('01.08 Nalya-Bweyogerere-24h'!C77,'03.08 Nalya-Bweyogerere-24h'!C77)</f>
        <v>12.5</v>
      </c>
      <c r="D77" s="49">
        <f>AVERAGE('01.08 Nalya-Bweyogerere-24h'!D77,'03.08 Nalya-Bweyogerere-24h'!D77)</f>
        <v>4</v>
      </c>
      <c r="E77" s="49">
        <f>AVERAGE('01.08 Nalya-Bweyogerere-24h'!E77,'03.08 Nalya-Bweyogerere-24h'!E77)</f>
        <v>1.5</v>
      </c>
      <c r="F77" s="49">
        <f>AVERAGE('01.08 Nalya-Bweyogerere-24h'!F77,'03.08 Nalya-Bweyogerere-24h'!F77)</f>
        <v>5</v>
      </c>
      <c r="G77" s="49">
        <f>AVERAGE('01.08 Nalya-Bweyogerere-24h'!G77,'03.08 Nalya-Bweyogerere-24h'!G77)</f>
        <v>0</v>
      </c>
      <c r="H77" s="49">
        <f>AVERAGE('01.08 Nalya-Bweyogerere-24h'!H77,'03.08 Nalya-Bweyogerere-24h'!H77)</f>
        <v>0</v>
      </c>
      <c r="I77" s="49">
        <f>AVERAGE('01.08 Nalya-Bweyogerere-24h'!I77,'03.08 Nalya-Bweyogerere-24h'!I77)</f>
        <v>1</v>
      </c>
      <c r="J77" s="49">
        <f>AVERAGE('01.08 Nalya-Bweyogerere-24h'!J77,'03.08 Nalya-Bweyogerere-24h'!J77)</f>
        <v>1</v>
      </c>
      <c r="K77" s="49">
        <f>AVERAGE('01.08 Nalya-Bweyogerere-24h'!K77,'03.08 Nalya-Bweyogerere-24h'!K77)</f>
        <v>1</v>
      </c>
      <c r="L77" s="49">
        <f>AVERAGE('01.08 Nalya-Bweyogerere-24h'!L77,'03.08 Nalya-Bweyogerere-24h'!L77)</f>
        <v>1</v>
      </c>
      <c r="M77" s="49">
        <f>AVERAGE('01.08 Nalya-Bweyogerere-24h'!M77,'03.08 Nalya-Bweyogerere-24h'!M77)</f>
        <v>4</v>
      </c>
      <c r="N77" s="49">
        <f>AVERAGE('01.08 Nalya-Bweyogerere-24h'!N77,'03.08 Nalya-Bweyogerere-24h'!N77)</f>
        <v>0.5</v>
      </c>
      <c r="O77" s="15">
        <f t="shared" si="33"/>
        <v>27.5</v>
      </c>
      <c r="P77" s="15">
        <f t="shared" si="34"/>
        <v>31.5</v>
      </c>
      <c r="R77" s="8"/>
      <c r="T77"/>
    </row>
    <row r="78" spans="2:20" ht="23.1" customHeight="1" x14ac:dyDescent="0.25">
      <c r="B78" s="24" t="s">
        <v>118</v>
      </c>
      <c r="C78" s="49">
        <f>AVERAGE('01.08 Nalya-Bweyogerere-24h'!C78,'03.08 Nalya-Bweyogerere-24h'!C78)</f>
        <v>14.5</v>
      </c>
      <c r="D78" s="49">
        <f>AVERAGE('01.08 Nalya-Bweyogerere-24h'!D78,'03.08 Nalya-Bweyogerere-24h'!D78)</f>
        <v>1.5</v>
      </c>
      <c r="E78" s="49">
        <f>AVERAGE('01.08 Nalya-Bweyogerere-24h'!E78,'03.08 Nalya-Bweyogerere-24h'!E78)</f>
        <v>2.5</v>
      </c>
      <c r="F78" s="49">
        <f>AVERAGE('01.08 Nalya-Bweyogerere-24h'!F78,'03.08 Nalya-Bweyogerere-24h'!F78)</f>
        <v>7</v>
      </c>
      <c r="G78" s="49">
        <f>AVERAGE('01.08 Nalya-Bweyogerere-24h'!G78,'03.08 Nalya-Bweyogerere-24h'!G78)</f>
        <v>0</v>
      </c>
      <c r="H78" s="49">
        <f>AVERAGE('01.08 Nalya-Bweyogerere-24h'!H78,'03.08 Nalya-Bweyogerere-24h'!H78)</f>
        <v>0</v>
      </c>
      <c r="I78" s="49">
        <f>AVERAGE('01.08 Nalya-Bweyogerere-24h'!I78,'03.08 Nalya-Bweyogerere-24h'!I78)</f>
        <v>2.5</v>
      </c>
      <c r="J78" s="49">
        <f>AVERAGE('01.08 Nalya-Bweyogerere-24h'!J78,'03.08 Nalya-Bweyogerere-24h'!J78)</f>
        <v>5</v>
      </c>
      <c r="K78" s="49">
        <f>AVERAGE('01.08 Nalya-Bweyogerere-24h'!K78,'03.08 Nalya-Bweyogerere-24h'!K78)</f>
        <v>0.5</v>
      </c>
      <c r="L78" s="49">
        <f>AVERAGE('01.08 Nalya-Bweyogerere-24h'!L78,'03.08 Nalya-Bweyogerere-24h'!L78)</f>
        <v>1.5</v>
      </c>
      <c r="M78" s="49">
        <f>AVERAGE('01.08 Nalya-Bweyogerere-24h'!M78,'03.08 Nalya-Bweyogerere-24h'!M78)</f>
        <v>6</v>
      </c>
      <c r="N78" s="49">
        <f>AVERAGE('01.08 Nalya-Bweyogerere-24h'!N78,'03.08 Nalya-Bweyogerere-24h'!N78)</f>
        <v>0</v>
      </c>
      <c r="O78" s="15">
        <f t="shared" si="33"/>
        <v>35</v>
      </c>
      <c r="P78" s="15">
        <f t="shared" si="34"/>
        <v>41</v>
      </c>
      <c r="R78" s="8"/>
      <c r="T78"/>
    </row>
    <row r="79" spans="2:20" ht="23.1" customHeight="1" x14ac:dyDescent="0.25">
      <c r="B79" s="23" t="s">
        <v>119</v>
      </c>
      <c r="C79" s="49">
        <f>AVERAGE('01.08 Nalya-Bweyogerere-24h'!C79,'03.08 Nalya-Bweyogerere-24h'!C79)</f>
        <v>6</v>
      </c>
      <c r="D79" s="49">
        <f>AVERAGE('01.08 Nalya-Bweyogerere-24h'!D79,'03.08 Nalya-Bweyogerere-24h'!D79)</f>
        <v>3</v>
      </c>
      <c r="E79" s="49">
        <f>AVERAGE('01.08 Nalya-Bweyogerere-24h'!E79,'03.08 Nalya-Bweyogerere-24h'!E79)</f>
        <v>1</v>
      </c>
      <c r="F79" s="49">
        <f>AVERAGE('01.08 Nalya-Bweyogerere-24h'!F79,'03.08 Nalya-Bweyogerere-24h'!F79)</f>
        <v>2.5</v>
      </c>
      <c r="G79" s="49">
        <f>AVERAGE('01.08 Nalya-Bweyogerere-24h'!G79,'03.08 Nalya-Bweyogerere-24h'!G79)</f>
        <v>0</v>
      </c>
      <c r="H79" s="49">
        <f>AVERAGE('01.08 Nalya-Bweyogerere-24h'!H79,'03.08 Nalya-Bweyogerere-24h'!H79)</f>
        <v>0</v>
      </c>
      <c r="I79" s="49">
        <f>AVERAGE('01.08 Nalya-Bweyogerere-24h'!I79,'03.08 Nalya-Bweyogerere-24h'!I79)</f>
        <v>1</v>
      </c>
      <c r="J79" s="49">
        <f>AVERAGE('01.08 Nalya-Bweyogerere-24h'!J79,'03.08 Nalya-Bweyogerere-24h'!J79)</f>
        <v>3</v>
      </c>
      <c r="K79" s="49">
        <f>AVERAGE('01.08 Nalya-Bweyogerere-24h'!K79,'03.08 Nalya-Bweyogerere-24h'!K79)</f>
        <v>1.5</v>
      </c>
      <c r="L79" s="49">
        <f>AVERAGE('01.08 Nalya-Bweyogerere-24h'!L79,'03.08 Nalya-Bweyogerere-24h'!L79)</f>
        <v>5</v>
      </c>
      <c r="M79" s="49">
        <f>AVERAGE('01.08 Nalya-Bweyogerere-24h'!M79,'03.08 Nalya-Bweyogerere-24h'!M79)</f>
        <v>4</v>
      </c>
      <c r="N79" s="49">
        <f>AVERAGE('01.08 Nalya-Bweyogerere-24h'!N79,'03.08 Nalya-Bweyogerere-24h'!N79)</f>
        <v>0</v>
      </c>
      <c r="O79" s="15">
        <f t="shared" si="33"/>
        <v>23</v>
      </c>
      <c r="P79" s="15">
        <f t="shared" si="34"/>
        <v>27</v>
      </c>
      <c r="R79" s="8"/>
      <c r="T79"/>
    </row>
    <row r="80" spans="2:20" ht="23.1" customHeight="1" x14ac:dyDescent="0.25">
      <c r="B80" s="25" t="s">
        <v>120</v>
      </c>
      <c r="C80" s="49">
        <f>AVERAGE('01.08 Nalya-Bweyogerere-24h'!C80,'03.08 Nalya-Bweyogerere-24h'!C80)</f>
        <v>8.5</v>
      </c>
      <c r="D80" s="49">
        <f>AVERAGE('01.08 Nalya-Bweyogerere-24h'!D80,'03.08 Nalya-Bweyogerere-24h'!D80)</f>
        <v>3</v>
      </c>
      <c r="E80" s="49">
        <f>AVERAGE('01.08 Nalya-Bweyogerere-24h'!E80,'03.08 Nalya-Bweyogerere-24h'!E80)</f>
        <v>2.5</v>
      </c>
      <c r="F80" s="49">
        <f>AVERAGE('01.08 Nalya-Bweyogerere-24h'!F80,'03.08 Nalya-Bweyogerere-24h'!F80)</f>
        <v>2</v>
      </c>
      <c r="G80" s="49">
        <f>AVERAGE('01.08 Nalya-Bweyogerere-24h'!G80,'03.08 Nalya-Bweyogerere-24h'!G80)</f>
        <v>0</v>
      </c>
      <c r="H80" s="49">
        <f>AVERAGE('01.08 Nalya-Bweyogerere-24h'!H80,'03.08 Nalya-Bweyogerere-24h'!H80)</f>
        <v>0</v>
      </c>
      <c r="I80" s="49">
        <f>AVERAGE('01.08 Nalya-Bweyogerere-24h'!I80,'03.08 Nalya-Bweyogerere-24h'!I80)</f>
        <v>2.5</v>
      </c>
      <c r="J80" s="49">
        <f>AVERAGE('01.08 Nalya-Bweyogerere-24h'!J80,'03.08 Nalya-Bweyogerere-24h'!J80)</f>
        <v>2</v>
      </c>
      <c r="K80" s="49">
        <f>AVERAGE('01.08 Nalya-Bweyogerere-24h'!K80,'03.08 Nalya-Bweyogerere-24h'!K80)</f>
        <v>1.5</v>
      </c>
      <c r="L80" s="49">
        <f>AVERAGE('01.08 Nalya-Bweyogerere-24h'!L80,'03.08 Nalya-Bweyogerere-24h'!L80)</f>
        <v>3.5</v>
      </c>
      <c r="M80" s="49">
        <f>AVERAGE('01.08 Nalya-Bweyogerere-24h'!M80,'03.08 Nalya-Bweyogerere-24h'!M80)</f>
        <v>5</v>
      </c>
      <c r="N80" s="49">
        <f>AVERAGE('01.08 Nalya-Bweyogerere-24h'!N80,'03.08 Nalya-Bweyogerere-24h'!N80)</f>
        <v>0</v>
      </c>
      <c r="O80" s="15">
        <f t="shared" si="33"/>
        <v>25.5</v>
      </c>
      <c r="P80" s="15">
        <f t="shared" si="34"/>
        <v>30.5</v>
      </c>
      <c r="R80" s="8"/>
      <c r="T80"/>
    </row>
    <row r="81" spans="2:20" ht="23.1" customHeight="1" x14ac:dyDescent="0.25">
      <c r="B81" s="23" t="s">
        <v>121</v>
      </c>
      <c r="C81" s="49">
        <f>AVERAGE('01.08 Nalya-Bweyogerere-24h'!C81,'03.08 Nalya-Bweyogerere-24h'!C81)</f>
        <v>7</v>
      </c>
      <c r="D81" s="49">
        <f>AVERAGE('01.08 Nalya-Bweyogerere-24h'!D81,'03.08 Nalya-Bweyogerere-24h'!D81)</f>
        <v>4</v>
      </c>
      <c r="E81" s="49">
        <f>AVERAGE('01.08 Nalya-Bweyogerere-24h'!E81,'03.08 Nalya-Bweyogerere-24h'!E81)</f>
        <v>1.5</v>
      </c>
      <c r="F81" s="49">
        <f>AVERAGE('01.08 Nalya-Bweyogerere-24h'!F81,'03.08 Nalya-Bweyogerere-24h'!F81)</f>
        <v>2.5</v>
      </c>
      <c r="G81" s="49">
        <f>AVERAGE('01.08 Nalya-Bweyogerere-24h'!G81,'03.08 Nalya-Bweyogerere-24h'!G81)</f>
        <v>0</v>
      </c>
      <c r="H81" s="49">
        <f>AVERAGE('01.08 Nalya-Bweyogerere-24h'!H81,'03.08 Nalya-Bweyogerere-24h'!H81)</f>
        <v>0</v>
      </c>
      <c r="I81" s="49">
        <f>AVERAGE('01.08 Nalya-Bweyogerere-24h'!I81,'03.08 Nalya-Bweyogerere-24h'!I81)</f>
        <v>1</v>
      </c>
      <c r="J81" s="49">
        <f>AVERAGE('01.08 Nalya-Bweyogerere-24h'!J81,'03.08 Nalya-Bweyogerere-24h'!J81)</f>
        <v>0.5</v>
      </c>
      <c r="K81" s="49">
        <f>AVERAGE('01.08 Nalya-Bweyogerere-24h'!K81,'03.08 Nalya-Bweyogerere-24h'!K81)</f>
        <v>1</v>
      </c>
      <c r="L81" s="49">
        <f>AVERAGE('01.08 Nalya-Bweyogerere-24h'!L81,'03.08 Nalya-Bweyogerere-24h'!L81)</f>
        <v>1</v>
      </c>
      <c r="M81" s="49">
        <f>AVERAGE('01.08 Nalya-Bweyogerere-24h'!M81,'03.08 Nalya-Bweyogerere-24h'!M81)</f>
        <v>2</v>
      </c>
      <c r="N81" s="49">
        <f>AVERAGE('01.08 Nalya-Bweyogerere-24h'!N81,'03.08 Nalya-Bweyogerere-24h'!N81)</f>
        <v>0</v>
      </c>
      <c r="O81" s="15">
        <f t="shared" si="33"/>
        <v>18.5</v>
      </c>
      <c r="P81" s="15">
        <f t="shared" si="34"/>
        <v>20.5</v>
      </c>
      <c r="R81" s="8"/>
      <c r="T81"/>
    </row>
    <row r="82" spans="2:20" ht="23.1" customHeight="1" x14ac:dyDescent="0.25">
      <c r="B82" s="24" t="s">
        <v>122</v>
      </c>
      <c r="C82" s="49">
        <f>AVERAGE('01.08 Nalya-Bweyogerere-24h'!C82,'03.08 Nalya-Bweyogerere-24h'!C82)</f>
        <v>7.5</v>
      </c>
      <c r="D82" s="49">
        <f>AVERAGE('01.08 Nalya-Bweyogerere-24h'!D82,'03.08 Nalya-Bweyogerere-24h'!D82)</f>
        <v>0.5</v>
      </c>
      <c r="E82" s="49">
        <f>AVERAGE('01.08 Nalya-Bweyogerere-24h'!E82,'03.08 Nalya-Bweyogerere-24h'!E82)</f>
        <v>1</v>
      </c>
      <c r="F82" s="49">
        <f>AVERAGE('01.08 Nalya-Bweyogerere-24h'!F82,'03.08 Nalya-Bweyogerere-24h'!F82)</f>
        <v>0</v>
      </c>
      <c r="G82" s="49">
        <f>AVERAGE('01.08 Nalya-Bweyogerere-24h'!G82,'03.08 Nalya-Bweyogerere-24h'!G82)</f>
        <v>0</v>
      </c>
      <c r="H82" s="49">
        <f>AVERAGE('01.08 Nalya-Bweyogerere-24h'!H82,'03.08 Nalya-Bweyogerere-24h'!H82)</f>
        <v>0</v>
      </c>
      <c r="I82" s="49">
        <f>AVERAGE('01.08 Nalya-Bweyogerere-24h'!I82,'03.08 Nalya-Bweyogerere-24h'!I82)</f>
        <v>1</v>
      </c>
      <c r="J82" s="49">
        <f>AVERAGE('01.08 Nalya-Bweyogerere-24h'!J82,'03.08 Nalya-Bweyogerere-24h'!J82)</f>
        <v>2.5</v>
      </c>
      <c r="K82" s="49">
        <f>AVERAGE('01.08 Nalya-Bweyogerere-24h'!K82,'03.08 Nalya-Bweyogerere-24h'!K82)</f>
        <v>1.5</v>
      </c>
      <c r="L82" s="49">
        <f>AVERAGE('01.08 Nalya-Bweyogerere-24h'!L82,'03.08 Nalya-Bweyogerere-24h'!L82)</f>
        <v>0.5</v>
      </c>
      <c r="M82" s="49">
        <f>AVERAGE('01.08 Nalya-Bweyogerere-24h'!M82,'03.08 Nalya-Bweyogerere-24h'!M82)</f>
        <v>4</v>
      </c>
      <c r="N82" s="49">
        <f>AVERAGE('01.08 Nalya-Bweyogerere-24h'!N82,'03.08 Nalya-Bweyogerere-24h'!N82)</f>
        <v>0</v>
      </c>
      <c r="O82" s="15">
        <f t="shared" si="33"/>
        <v>14.5</v>
      </c>
      <c r="P82" s="15">
        <f t="shared" si="34"/>
        <v>18.5</v>
      </c>
      <c r="R82" s="8"/>
      <c r="T82"/>
    </row>
    <row r="83" spans="2:20" ht="23.1" customHeight="1" x14ac:dyDescent="0.25">
      <c r="B83" s="23" t="s">
        <v>123</v>
      </c>
      <c r="C83" s="49">
        <f>AVERAGE('01.08 Nalya-Bweyogerere-24h'!C83,'03.08 Nalya-Bweyogerere-24h'!C83)</f>
        <v>6</v>
      </c>
      <c r="D83" s="49">
        <f>AVERAGE('01.08 Nalya-Bweyogerere-24h'!D83,'03.08 Nalya-Bweyogerere-24h'!D83)</f>
        <v>2</v>
      </c>
      <c r="E83" s="49">
        <f>AVERAGE('01.08 Nalya-Bweyogerere-24h'!E83,'03.08 Nalya-Bweyogerere-24h'!E83)</f>
        <v>0.5</v>
      </c>
      <c r="F83" s="49">
        <f>AVERAGE('01.08 Nalya-Bweyogerere-24h'!F83,'03.08 Nalya-Bweyogerere-24h'!F83)</f>
        <v>1.5</v>
      </c>
      <c r="G83" s="49">
        <f>AVERAGE('01.08 Nalya-Bweyogerere-24h'!G83,'03.08 Nalya-Bweyogerere-24h'!G83)</f>
        <v>0</v>
      </c>
      <c r="H83" s="49">
        <f>AVERAGE('01.08 Nalya-Bweyogerere-24h'!H83,'03.08 Nalya-Bweyogerere-24h'!H83)</f>
        <v>0</v>
      </c>
      <c r="I83" s="49">
        <f>AVERAGE('01.08 Nalya-Bweyogerere-24h'!I83,'03.08 Nalya-Bweyogerere-24h'!I83)</f>
        <v>0</v>
      </c>
      <c r="J83" s="49">
        <f>AVERAGE('01.08 Nalya-Bweyogerere-24h'!J83,'03.08 Nalya-Bweyogerere-24h'!J83)</f>
        <v>1.5</v>
      </c>
      <c r="K83" s="49">
        <f>AVERAGE('01.08 Nalya-Bweyogerere-24h'!K83,'03.08 Nalya-Bweyogerere-24h'!K83)</f>
        <v>3</v>
      </c>
      <c r="L83" s="49">
        <f>AVERAGE('01.08 Nalya-Bweyogerere-24h'!L83,'03.08 Nalya-Bweyogerere-24h'!L83)</f>
        <v>3</v>
      </c>
      <c r="M83" s="49">
        <f>AVERAGE('01.08 Nalya-Bweyogerere-24h'!M83,'03.08 Nalya-Bweyogerere-24h'!M83)</f>
        <v>4</v>
      </c>
      <c r="N83" s="49">
        <f>AVERAGE('01.08 Nalya-Bweyogerere-24h'!N83,'03.08 Nalya-Bweyogerere-24h'!N83)</f>
        <v>0</v>
      </c>
      <c r="O83" s="15">
        <f t="shared" si="33"/>
        <v>17.5</v>
      </c>
      <c r="P83" s="15">
        <f t="shared" si="34"/>
        <v>21.5</v>
      </c>
      <c r="R83" s="8"/>
      <c r="T83"/>
    </row>
    <row r="84" spans="2:20" ht="23.1" customHeight="1" x14ac:dyDescent="0.25">
      <c r="B84" s="25" t="s">
        <v>124</v>
      </c>
      <c r="C84" s="49">
        <f>AVERAGE('01.08 Nalya-Bweyogerere-24h'!C84,'03.08 Nalya-Bweyogerere-24h'!C84)</f>
        <v>4.5</v>
      </c>
      <c r="D84" s="49">
        <f>AVERAGE('01.08 Nalya-Bweyogerere-24h'!D84,'03.08 Nalya-Bweyogerere-24h'!D84)</f>
        <v>2</v>
      </c>
      <c r="E84" s="49">
        <f>AVERAGE('01.08 Nalya-Bweyogerere-24h'!E84,'03.08 Nalya-Bweyogerere-24h'!E84)</f>
        <v>1</v>
      </c>
      <c r="F84" s="49">
        <f>AVERAGE('01.08 Nalya-Bweyogerere-24h'!F84,'03.08 Nalya-Bweyogerere-24h'!F84)</f>
        <v>0.5</v>
      </c>
      <c r="G84" s="49">
        <f>AVERAGE('01.08 Nalya-Bweyogerere-24h'!G84,'03.08 Nalya-Bweyogerere-24h'!G84)</f>
        <v>0.5</v>
      </c>
      <c r="H84" s="49">
        <f>AVERAGE('01.08 Nalya-Bweyogerere-24h'!H84,'03.08 Nalya-Bweyogerere-24h'!H84)</f>
        <v>0</v>
      </c>
      <c r="I84" s="49">
        <f>AVERAGE('01.08 Nalya-Bweyogerere-24h'!I84,'03.08 Nalya-Bweyogerere-24h'!I84)</f>
        <v>2</v>
      </c>
      <c r="J84" s="49">
        <f>AVERAGE('01.08 Nalya-Bweyogerere-24h'!J84,'03.08 Nalya-Bweyogerere-24h'!J84)</f>
        <v>2.5</v>
      </c>
      <c r="K84" s="49">
        <f>AVERAGE('01.08 Nalya-Bweyogerere-24h'!K84,'03.08 Nalya-Bweyogerere-24h'!K84)</f>
        <v>2.5</v>
      </c>
      <c r="L84" s="49">
        <f>AVERAGE('01.08 Nalya-Bweyogerere-24h'!L84,'03.08 Nalya-Bweyogerere-24h'!L84)</f>
        <v>2.5</v>
      </c>
      <c r="M84" s="49">
        <f>AVERAGE('01.08 Nalya-Bweyogerere-24h'!M84,'03.08 Nalya-Bweyogerere-24h'!M84)</f>
        <v>3.5</v>
      </c>
      <c r="N84" s="49">
        <f>AVERAGE('01.08 Nalya-Bweyogerere-24h'!N84,'03.08 Nalya-Bweyogerere-24h'!N84)</f>
        <v>0</v>
      </c>
      <c r="O84" s="15">
        <f t="shared" si="33"/>
        <v>18</v>
      </c>
      <c r="P84" s="15">
        <f t="shared" si="34"/>
        <v>21.5</v>
      </c>
      <c r="R84" s="8"/>
      <c r="T84"/>
    </row>
    <row r="85" spans="2:20" ht="23.1" customHeight="1" x14ac:dyDescent="0.25">
      <c r="B85" s="23" t="s">
        <v>125</v>
      </c>
      <c r="C85" s="49">
        <f>AVERAGE('01.08 Nalya-Bweyogerere-24h'!C85,'03.08 Nalya-Bweyogerere-24h'!C85)</f>
        <v>1.5</v>
      </c>
      <c r="D85" s="49">
        <f>AVERAGE('01.08 Nalya-Bweyogerere-24h'!D85,'03.08 Nalya-Bweyogerere-24h'!D85)</f>
        <v>0</v>
      </c>
      <c r="E85" s="49">
        <f>AVERAGE('01.08 Nalya-Bweyogerere-24h'!E85,'03.08 Nalya-Bweyogerere-24h'!E85)</f>
        <v>0</v>
      </c>
      <c r="F85" s="49">
        <f>AVERAGE('01.08 Nalya-Bweyogerere-24h'!F85,'03.08 Nalya-Bweyogerere-24h'!F85)</f>
        <v>0.5</v>
      </c>
      <c r="G85" s="49">
        <f>AVERAGE('01.08 Nalya-Bweyogerere-24h'!G85,'03.08 Nalya-Bweyogerere-24h'!G85)</f>
        <v>0</v>
      </c>
      <c r="H85" s="49">
        <f>AVERAGE('01.08 Nalya-Bweyogerere-24h'!H85,'03.08 Nalya-Bweyogerere-24h'!H85)</f>
        <v>0</v>
      </c>
      <c r="I85" s="49">
        <f>AVERAGE('01.08 Nalya-Bweyogerere-24h'!I85,'03.08 Nalya-Bweyogerere-24h'!I85)</f>
        <v>0.5</v>
      </c>
      <c r="J85" s="49">
        <f>AVERAGE('01.08 Nalya-Bweyogerere-24h'!J85,'03.08 Nalya-Bweyogerere-24h'!J85)</f>
        <v>1.5</v>
      </c>
      <c r="K85" s="49">
        <f>AVERAGE('01.08 Nalya-Bweyogerere-24h'!K85,'03.08 Nalya-Bweyogerere-24h'!K85)</f>
        <v>0.5</v>
      </c>
      <c r="L85" s="49">
        <f>AVERAGE('01.08 Nalya-Bweyogerere-24h'!L85,'03.08 Nalya-Bweyogerere-24h'!L85)</f>
        <v>1</v>
      </c>
      <c r="M85" s="49">
        <f>AVERAGE('01.08 Nalya-Bweyogerere-24h'!M85,'03.08 Nalya-Bweyogerere-24h'!M85)</f>
        <v>0.5</v>
      </c>
      <c r="N85" s="49">
        <f>AVERAGE('01.08 Nalya-Bweyogerere-24h'!N85,'03.08 Nalya-Bweyogerere-24h'!N85)</f>
        <v>0</v>
      </c>
      <c r="O85" s="15">
        <f t="shared" si="33"/>
        <v>5.5</v>
      </c>
      <c r="P85" s="15">
        <f t="shared" si="34"/>
        <v>6</v>
      </c>
      <c r="R85" s="8"/>
      <c r="T85"/>
    </row>
    <row r="86" spans="2:20" ht="23.1" customHeight="1" x14ac:dyDescent="0.25">
      <c r="B86" s="24" t="s">
        <v>126</v>
      </c>
      <c r="C86" s="49">
        <f>AVERAGE('01.08 Nalya-Bweyogerere-24h'!C86,'03.08 Nalya-Bweyogerere-24h'!C86)</f>
        <v>0.5</v>
      </c>
      <c r="D86" s="49">
        <f>AVERAGE('01.08 Nalya-Bweyogerere-24h'!D86,'03.08 Nalya-Bweyogerere-24h'!D86)</f>
        <v>0.5</v>
      </c>
      <c r="E86" s="49">
        <f>AVERAGE('01.08 Nalya-Bweyogerere-24h'!E86,'03.08 Nalya-Bweyogerere-24h'!E86)</f>
        <v>0</v>
      </c>
      <c r="F86" s="49">
        <f>AVERAGE('01.08 Nalya-Bweyogerere-24h'!F86,'03.08 Nalya-Bweyogerere-24h'!F86)</f>
        <v>0</v>
      </c>
      <c r="G86" s="49">
        <f>AVERAGE('01.08 Nalya-Bweyogerere-24h'!G86,'03.08 Nalya-Bweyogerere-24h'!G86)</f>
        <v>1</v>
      </c>
      <c r="H86" s="49">
        <f>AVERAGE('01.08 Nalya-Bweyogerere-24h'!H86,'03.08 Nalya-Bweyogerere-24h'!H86)</f>
        <v>0.5</v>
      </c>
      <c r="I86" s="49">
        <f>AVERAGE('01.08 Nalya-Bweyogerere-24h'!I86,'03.08 Nalya-Bweyogerere-24h'!I86)</f>
        <v>0</v>
      </c>
      <c r="J86" s="49">
        <f>AVERAGE('01.08 Nalya-Bweyogerere-24h'!J86,'03.08 Nalya-Bweyogerere-24h'!J86)</f>
        <v>0</v>
      </c>
      <c r="K86" s="49">
        <f>AVERAGE('01.08 Nalya-Bweyogerere-24h'!K86,'03.08 Nalya-Bweyogerere-24h'!K86)</f>
        <v>1</v>
      </c>
      <c r="L86" s="49">
        <f>AVERAGE('01.08 Nalya-Bweyogerere-24h'!L86,'03.08 Nalya-Bweyogerere-24h'!L86)</f>
        <v>1</v>
      </c>
      <c r="M86" s="49">
        <f>AVERAGE('01.08 Nalya-Bweyogerere-24h'!M86,'03.08 Nalya-Bweyogerere-24h'!M86)</f>
        <v>0</v>
      </c>
      <c r="N86" s="49">
        <f>AVERAGE('01.08 Nalya-Bweyogerere-24h'!N86,'03.08 Nalya-Bweyogerere-24h'!N86)</f>
        <v>0</v>
      </c>
      <c r="O86" s="15">
        <f t="shared" si="33"/>
        <v>4.5</v>
      </c>
      <c r="P86" s="15">
        <f t="shared" si="34"/>
        <v>4.5</v>
      </c>
      <c r="R86" s="8"/>
      <c r="T86"/>
    </row>
    <row r="87" spans="2:20" ht="23.1" customHeight="1" x14ac:dyDescent="0.25">
      <c r="B87" s="23" t="s">
        <v>127</v>
      </c>
      <c r="C87" s="49">
        <f>AVERAGE('01.08 Nalya-Bweyogerere-24h'!C87,'03.08 Nalya-Bweyogerere-24h'!C87)</f>
        <v>2</v>
      </c>
      <c r="D87" s="49">
        <f>AVERAGE('01.08 Nalya-Bweyogerere-24h'!D87,'03.08 Nalya-Bweyogerere-24h'!D87)</f>
        <v>0</v>
      </c>
      <c r="E87" s="49">
        <f>AVERAGE('01.08 Nalya-Bweyogerere-24h'!E87,'03.08 Nalya-Bweyogerere-24h'!E87)</f>
        <v>1</v>
      </c>
      <c r="F87" s="49">
        <f>AVERAGE('01.08 Nalya-Bweyogerere-24h'!F87,'03.08 Nalya-Bweyogerere-24h'!F87)</f>
        <v>0</v>
      </c>
      <c r="G87" s="49">
        <f>AVERAGE('01.08 Nalya-Bweyogerere-24h'!G87,'03.08 Nalya-Bweyogerere-24h'!G87)</f>
        <v>0</v>
      </c>
      <c r="H87" s="49">
        <f>AVERAGE('01.08 Nalya-Bweyogerere-24h'!H87,'03.08 Nalya-Bweyogerere-24h'!H87)</f>
        <v>0</v>
      </c>
      <c r="I87" s="49">
        <f>AVERAGE('01.08 Nalya-Bweyogerere-24h'!I87,'03.08 Nalya-Bweyogerere-24h'!I87)</f>
        <v>0</v>
      </c>
      <c r="J87" s="49">
        <f>AVERAGE('01.08 Nalya-Bweyogerere-24h'!J87,'03.08 Nalya-Bweyogerere-24h'!J87)</f>
        <v>0.5</v>
      </c>
      <c r="K87" s="49">
        <f>AVERAGE('01.08 Nalya-Bweyogerere-24h'!K87,'03.08 Nalya-Bweyogerere-24h'!K87)</f>
        <v>2</v>
      </c>
      <c r="L87" s="49">
        <f>AVERAGE('01.08 Nalya-Bweyogerere-24h'!L87,'03.08 Nalya-Bweyogerere-24h'!L87)</f>
        <v>0</v>
      </c>
      <c r="M87" s="49">
        <f>AVERAGE('01.08 Nalya-Bweyogerere-24h'!M87,'03.08 Nalya-Bweyogerere-24h'!M87)</f>
        <v>0</v>
      </c>
      <c r="N87" s="49">
        <f>AVERAGE('01.08 Nalya-Bweyogerere-24h'!N87,'03.08 Nalya-Bweyogerere-24h'!N87)</f>
        <v>0</v>
      </c>
      <c r="O87" s="15">
        <f t="shared" si="33"/>
        <v>5.5</v>
      </c>
      <c r="P87" s="15">
        <f t="shared" si="34"/>
        <v>5.5</v>
      </c>
      <c r="R87" s="8"/>
      <c r="T87"/>
    </row>
    <row r="88" spans="2:20" ht="23.1" customHeight="1" x14ac:dyDescent="0.25">
      <c r="B88" s="25" t="s">
        <v>128</v>
      </c>
      <c r="C88" s="49">
        <f>AVERAGE('01.08 Nalya-Bweyogerere-24h'!C88,'03.08 Nalya-Bweyogerere-24h'!C88)</f>
        <v>1</v>
      </c>
      <c r="D88" s="49">
        <f>AVERAGE('01.08 Nalya-Bweyogerere-24h'!D88,'03.08 Nalya-Bweyogerere-24h'!D88)</f>
        <v>0</v>
      </c>
      <c r="E88" s="49">
        <f>AVERAGE('01.08 Nalya-Bweyogerere-24h'!E88,'03.08 Nalya-Bweyogerere-24h'!E88)</f>
        <v>1</v>
      </c>
      <c r="F88" s="49">
        <f>AVERAGE('01.08 Nalya-Bweyogerere-24h'!F88,'03.08 Nalya-Bweyogerere-24h'!F88)</f>
        <v>0</v>
      </c>
      <c r="G88" s="49">
        <f>AVERAGE('01.08 Nalya-Bweyogerere-24h'!G88,'03.08 Nalya-Bweyogerere-24h'!G88)</f>
        <v>0.5</v>
      </c>
      <c r="H88" s="49">
        <f>AVERAGE('01.08 Nalya-Bweyogerere-24h'!H88,'03.08 Nalya-Bweyogerere-24h'!H88)</f>
        <v>0</v>
      </c>
      <c r="I88" s="49">
        <f>AVERAGE('01.08 Nalya-Bweyogerere-24h'!I88,'03.08 Nalya-Bweyogerere-24h'!I88)</f>
        <v>0</v>
      </c>
      <c r="J88" s="49">
        <f>AVERAGE('01.08 Nalya-Bweyogerere-24h'!J88,'03.08 Nalya-Bweyogerere-24h'!J88)</f>
        <v>2</v>
      </c>
      <c r="K88" s="49">
        <f>AVERAGE('01.08 Nalya-Bweyogerere-24h'!K88,'03.08 Nalya-Bweyogerere-24h'!K88)</f>
        <v>4.5</v>
      </c>
      <c r="L88" s="49">
        <f>AVERAGE('01.08 Nalya-Bweyogerere-24h'!L88,'03.08 Nalya-Bweyogerere-24h'!L88)</f>
        <v>2</v>
      </c>
      <c r="M88" s="49">
        <f>AVERAGE('01.08 Nalya-Bweyogerere-24h'!M88,'03.08 Nalya-Bweyogerere-24h'!M88)</f>
        <v>1.5</v>
      </c>
      <c r="N88" s="49">
        <f>AVERAGE('01.08 Nalya-Bweyogerere-24h'!N88,'03.08 Nalya-Bweyogerere-24h'!N88)</f>
        <v>0</v>
      </c>
      <c r="O88" s="15">
        <f t="shared" si="33"/>
        <v>11</v>
      </c>
      <c r="P88" s="15">
        <f t="shared" si="34"/>
        <v>12.5</v>
      </c>
      <c r="R88" s="8"/>
      <c r="T88"/>
    </row>
    <row r="89" spans="2:20" ht="23.1" customHeight="1" x14ac:dyDescent="0.25">
      <c r="B89" s="23" t="s">
        <v>129</v>
      </c>
      <c r="C89" s="49">
        <f>AVERAGE('01.08 Nalya-Bweyogerere-24h'!C89,'03.08 Nalya-Bweyogerere-24h'!C89)</f>
        <v>2</v>
      </c>
      <c r="D89" s="49">
        <f>AVERAGE('01.08 Nalya-Bweyogerere-24h'!D89,'03.08 Nalya-Bweyogerere-24h'!D89)</f>
        <v>0</v>
      </c>
      <c r="E89" s="49">
        <f>AVERAGE('01.08 Nalya-Bweyogerere-24h'!E89,'03.08 Nalya-Bweyogerere-24h'!E89)</f>
        <v>0</v>
      </c>
      <c r="F89" s="49">
        <f>AVERAGE('01.08 Nalya-Bweyogerere-24h'!F89,'03.08 Nalya-Bweyogerere-24h'!F89)</f>
        <v>0</v>
      </c>
      <c r="G89" s="49">
        <f>AVERAGE('01.08 Nalya-Bweyogerere-24h'!G89,'03.08 Nalya-Bweyogerere-24h'!G89)</f>
        <v>0</v>
      </c>
      <c r="H89" s="49">
        <f>AVERAGE('01.08 Nalya-Bweyogerere-24h'!H89,'03.08 Nalya-Bweyogerere-24h'!H89)</f>
        <v>0</v>
      </c>
      <c r="I89" s="49">
        <f>AVERAGE('01.08 Nalya-Bweyogerere-24h'!I89,'03.08 Nalya-Bweyogerere-24h'!I89)</f>
        <v>0</v>
      </c>
      <c r="J89" s="49">
        <f>AVERAGE('01.08 Nalya-Bweyogerere-24h'!J89,'03.08 Nalya-Bweyogerere-24h'!J89)</f>
        <v>4</v>
      </c>
      <c r="K89" s="49">
        <f>AVERAGE('01.08 Nalya-Bweyogerere-24h'!K89,'03.08 Nalya-Bweyogerere-24h'!K89)</f>
        <v>2</v>
      </c>
      <c r="L89" s="49">
        <f>AVERAGE('01.08 Nalya-Bweyogerere-24h'!L89,'03.08 Nalya-Bweyogerere-24h'!L89)</f>
        <v>0.5</v>
      </c>
      <c r="M89" s="49">
        <f>AVERAGE('01.08 Nalya-Bweyogerere-24h'!M89,'03.08 Nalya-Bweyogerere-24h'!M89)</f>
        <v>0.5</v>
      </c>
      <c r="N89" s="49">
        <f>AVERAGE('01.08 Nalya-Bweyogerere-24h'!N89,'03.08 Nalya-Bweyogerere-24h'!N89)</f>
        <v>0</v>
      </c>
      <c r="O89" s="15">
        <f t="shared" si="33"/>
        <v>8.5</v>
      </c>
      <c r="P89" s="15">
        <f t="shared" si="34"/>
        <v>9</v>
      </c>
      <c r="R89" s="8"/>
      <c r="T89"/>
    </row>
    <row r="90" spans="2:20" ht="23.1" customHeight="1" x14ac:dyDescent="0.25">
      <c r="B90" s="24" t="s">
        <v>130</v>
      </c>
      <c r="C90" s="49">
        <f>AVERAGE('01.08 Nalya-Bweyogerere-24h'!C90,'03.08 Nalya-Bweyogerere-24h'!C90)</f>
        <v>1.5</v>
      </c>
      <c r="D90" s="49">
        <f>AVERAGE('01.08 Nalya-Bweyogerere-24h'!D90,'03.08 Nalya-Bweyogerere-24h'!D90)</f>
        <v>0</v>
      </c>
      <c r="E90" s="49">
        <f>AVERAGE('01.08 Nalya-Bweyogerere-24h'!E90,'03.08 Nalya-Bweyogerere-24h'!E90)</f>
        <v>0.5</v>
      </c>
      <c r="F90" s="49">
        <f>AVERAGE('01.08 Nalya-Bweyogerere-24h'!F90,'03.08 Nalya-Bweyogerere-24h'!F90)</f>
        <v>0</v>
      </c>
      <c r="G90" s="49">
        <f>AVERAGE('01.08 Nalya-Bweyogerere-24h'!G90,'03.08 Nalya-Bweyogerere-24h'!G90)</f>
        <v>0</v>
      </c>
      <c r="H90" s="49">
        <f>AVERAGE('01.08 Nalya-Bweyogerere-24h'!H90,'03.08 Nalya-Bweyogerere-24h'!H90)</f>
        <v>0</v>
      </c>
      <c r="I90" s="49">
        <f>AVERAGE('01.08 Nalya-Bweyogerere-24h'!I90,'03.08 Nalya-Bweyogerere-24h'!I90)</f>
        <v>2</v>
      </c>
      <c r="J90" s="49">
        <f>AVERAGE('01.08 Nalya-Bweyogerere-24h'!J90,'03.08 Nalya-Bweyogerere-24h'!J90)</f>
        <v>4.5</v>
      </c>
      <c r="K90" s="49">
        <f>AVERAGE('01.08 Nalya-Bweyogerere-24h'!K90,'03.08 Nalya-Bweyogerere-24h'!K90)</f>
        <v>0</v>
      </c>
      <c r="L90" s="49">
        <f>AVERAGE('01.08 Nalya-Bweyogerere-24h'!L90,'03.08 Nalya-Bweyogerere-24h'!L90)</f>
        <v>0.5</v>
      </c>
      <c r="M90" s="49">
        <f>AVERAGE('01.08 Nalya-Bweyogerere-24h'!M90,'03.08 Nalya-Bweyogerere-24h'!M90)</f>
        <v>1</v>
      </c>
      <c r="N90" s="49">
        <f>AVERAGE('01.08 Nalya-Bweyogerere-24h'!N90,'03.08 Nalya-Bweyogerere-24h'!N90)</f>
        <v>0</v>
      </c>
      <c r="O90" s="15">
        <f t="shared" si="33"/>
        <v>9</v>
      </c>
      <c r="P90" s="15">
        <f t="shared" si="34"/>
        <v>10</v>
      </c>
      <c r="R90" s="8"/>
      <c r="T90"/>
    </row>
    <row r="91" spans="2:20" ht="23.1" customHeight="1" x14ac:dyDescent="0.25">
      <c r="B91" s="23" t="s">
        <v>131</v>
      </c>
      <c r="C91" s="49">
        <f>AVERAGE('01.08 Nalya-Bweyogerere-24h'!C91,'03.08 Nalya-Bweyogerere-24h'!C91)</f>
        <v>0.5</v>
      </c>
      <c r="D91" s="49">
        <f>AVERAGE('01.08 Nalya-Bweyogerere-24h'!D91,'03.08 Nalya-Bweyogerere-24h'!D91)</f>
        <v>0.5</v>
      </c>
      <c r="E91" s="49">
        <f>AVERAGE('01.08 Nalya-Bweyogerere-24h'!E91,'03.08 Nalya-Bweyogerere-24h'!E91)</f>
        <v>0</v>
      </c>
      <c r="F91" s="49">
        <f>AVERAGE('01.08 Nalya-Bweyogerere-24h'!F91,'03.08 Nalya-Bweyogerere-24h'!F91)</f>
        <v>1.5</v>
      </c>
      <c r="G91" s="49">
        <f>AVERAGE('01.08 Nalya-Bweyogerere-24h'!G91,'03.08 Nalya-Bweyogerere-24h'!G91)</f>
        <v>0</v>
      </c>
      <c r="H91" s="49">
        <f>AVERAGE('01.08 Nalya-Bweyogerere-24h'!H91,'03.08 Nalya-Bweyogerere-24h'!H91)</f>
        <v>0</v>
      </c>
      <c r="I91" s="49">
        <f>AVERAGE('01.08 Nalya-Bweyogerere-24h'!I91,'03.08 Nalya-Bweyogerere-24h'!I91)</f>
        <v>1</v>
      </c>
      <c r="J91" s="49">
        <f>AVERAGE('01.08 Nalya-Bweyogerere-24h'!J91,'03.08 Nalya-Bweyogerere-24h'!J91)</f>
        <v>6</v>
      </c>
      <c r="K91" s="49">
        <f>AVERAGE('01.08 Nalya-Bweyogerere-24h'!K91,'03.08 Nalya-Bweyogerere-24h'!K91)</f>
        <v>1</v>
      </c>
      <c r="L91" s="49">
        <f>AVERAGE('01.08 Nalya-Bweyogerere-24h'!L91,'03.08 Nalya-Bweyogerere-24h'!L91)</f>
        <v>2.5</v>
      </c>
      <c r="M91" s="49">
        <f>AVERAGE('01.08 Nalya-Bweyogerere-24h'!M91,'03.08 Nalya-Bweyogerere-24h'!M91)</f>
        <v>1</v>
      </c>
      <c r="N91" s="49">
        <f>AVERAGE('01.08 Nalya-Bweyogerere-24h'!N91,'03.08 Nalya-Bweyogerere-24h'!N91)</f>
        <v>0</v>
      </c>
      <c r="O91" s="15">
        <f t="shared" si="33"/>
        <v>13</v>
      </c>
      <c r="P91" s="15">
        <f t="shared" si="34"/>
        <v>14</v>
      </c>
      <c r="R91" s="8"/>
      <c r="T91"/>
    </row>
    <row r="92" spans="2:20" ht="23.1" customHeight="1" x14ac:dyDescent="0.25">
      <c r="B92" s="25" t="s">
        <v>132</v>
      </c>
      <c r="C92" s="49">
        <f>AVERAGE('01.08 Nalya-Bweyogerere-24h'!C92,'03.08 Nalya-Bweyogerere-24h'!C92)</f>
        <v>2</v>
      </c>
      <c r="D92" s="49">
        <f>AVERAGE('01.08 Nalya-Bweyogerere-24h'!D92,'03.08 Nalya-Bweyogerere-24h'!D92)</f>
        <v>1</v>
      </c>
      <c r="E92" s="49">
        <f>AVERAGE('01.08 Nalya-Bweyogerere-24h'!E92,'03.08 Nalya-Bweyogerere-24h'!E92)</f>
        <v>0</v>
      </c>
      <c r="F92" s="49">
        <f>AVERAGE('01.08 Nalya-Bweyogerere-24h'!F92,'03.08 Nalya-Bweyogerere-24h'!F92)</f>
        <v>0</v>
      </c>
      <c r="G92" s="49">
        <f>AVERAGE('01.08 Nalya-Bweyogerere-24h'!G92,'03.08 Nalya-Bweyogerere-24h'!G92)</f>
        <v>0</v>
      </c>
      <c r="H92" s="49">
        <f>AVERAGE('01.08 Nalya-Bweyogerere-24h'!H92,'03.08 Nalya-Bweyogerere-24h'!H92)</f>
        <v>0</v>
      </c>
      <c r="I92" s="49">
        <f>AVERAGE('01.08 Nalya-Bweyogerere-24h'!I92,'03.08 Nalya-Bweyogerere-24h'!I92)</f>
        <v>0.5</v>
      </c>
      <c r="J92" s="49">
        <f>AVERAGE('01.08 Nalya-Bweyogerere-24h'!J92,'03.08 Nalya-Bweyogerere-24h'!J92)</f>
        <v>3</v>
      </c>
      <c r="K92" s="49">
        <f>AVERAGE('01.08 Nalya-Bweyogerere-24h'!K92,'03.08 Nalya-Bweyogerere-24h'!K92)</f>
        <v>2</v>
      </c>
      <c r="L92" s="49">
        <f>AVERAGE('01.08 Nalya-Bweyogerere-24h'!L92,'03.08 Nalya-Bweyogerere-24h'!L92)</f>
        <v>1</v>
      </c>
      <c r="M92" s="49">
        <f>AVERAGE('01.08 Nalya-Bweyogerere-24h'!M92,'03.08 Nalya-Bweyogerere-24h'!M92)</f>
        <v>1</v>
      </c>
      <c r="N92" s="49">
        <f>AVERAGE('01.08 Nalya-Bweyogerere-24h'!N92,'03.08 Nalya-Bweyogerere-24h'!N92)</f>
        <v>0</v>
      </c>
      <c r="O92" s="15">
        <f t="shared" si="33"/>
        <v>9.5</v>
      </c>
      <c r="P92" s="15">
        <f t="shared" si="34"/>
        <v>10.5</v>
      </c>
      <c r="R92" s="8"/>
      <c r="T92"/>
    </row>
    <row r="93" spans="2:20" ht="23.1" customHeight="1" x14ac:dyDescent="0.25">
      <c r="B93" s="23" t="s">
        <v>133</v>
      </c>
      <c r="C93" s="49">
        <f>AVERAGE('01.08 Nalya-Bweyogerere-24h'!C93,'03.08 Nalya-Bweyogerere-24h'!C93)</f>
        <v>0.5</v>
      </c>
      <c r="D93" s="49">
        <f>AVERAGE('01.08 Nalya-Bweyogerere-24h'!D93,'03.08 Nalya-Bweyogerere-24h'!D93)</f>
        <v>1.5</v>
      </c>
      <c r="E93" s="49">
        <f>AVERAGE('01.08 Nalya-Bweyogerere-24h'!E93,'03.08 Nalya-Bweyogerere-24h'!E93)</f>
        <v>0</v>
      </c>
      <c r="F93" s="49">
        <f>AVERAGE('01.08 Nalya-Bweyogerere-24h'!F93,'03.08 Nalya-Bweyogerere-24h'!F93)</f>
        <v>0</v>
      </c>
      <c r="G93" s="49">
        <f>AVERAGE('01.08 Nalya-Bweyogerere-24h'!G93,'03.08 Nalya-Bweyogerere-24h'!G93)</f>
        <v>0</v>
      </c>
      <c r="H93" s="49">
        <f>AVERAGE('01.08 Nalya-Bweyogerere-24h'!H93,'03.08 Nalya-Bweyogerere-24h'!H93)</f>
        <v>0</v>
      </c>
      <c r="I93" s="49">
        <f>AVERAGE('01.08 Nalya-Bweyogerere-24h'!I93,'03.08 Nalya-Bweyogerere-24h'!I93)</f>
        <v>2</v>
      </c>
      <c r="J93" s="49">
        <f>AVERAGE('01.08 Nalya-Bweyogerere-24h'!J93,'03.08 Nalya-Bweyogerere-24h'!J93)</f>
        <v>3</v>
      </c>
      <c r="K93" s="49">
        <f>AVERAGE('01.08 Nalya-Bweyogerere-24h'!K93,'03.08 Nalya-Bweyogerere-24h'!K93)</f>
        <v>1</v>
      </c>
      <c r="L93" s="49">
        <f>AVERAGE('01.08 Nalya-Bweyogerere-24h'!L93,'03.08 Nalya-Bweyogerere-24h'!L93)</f>
        <v>0.5</v>
      </c>
      <c r="M93" s="49">
        <f>AVERAGE('01.08 Nalya-Bweyogerere-24h'!M93,'03.08 Nalya-Bweyogerere-24h'!M93)</f>
        <v>1</v>
      </c>
      <c r="N93" s="49">
        <f>AVERAGE('01.08 Nalya-Bweyogerere-24h'!N93,'03.08 Nalya-Bweyogerere-24h'!N93)</f>
        <v>0</v>
      </c>
      <c r="O93" s="15">
        <f t="shared" si="33"/>
        <v>8.5</v>
      </c>
      <c r="P93" s="15">
        <f t="shared" si="34"/>
        <v>9.5</v>
      </c>
      <c r="R93" s="8"/>
      <c r="T93"/>
    </row>
    <row r="94" spans="2:20" ht="23.1" customHeight="1" x14ac:dyDescent="0.25">
      <c r="B94" s="24" t="s">
        <v>134</v>
      </c>
      <c r="C94" s="49">
        <f>AVERAGE('01.08 Nalya-Bweyogerere-24h'!C94,'03.08 Nalya-Bweyogerere-24h'!C94)</f>
        <v>1.5</v>
      </c>
      <c r="D94" s="49">
        <f>AVERAGE('01.08 Nalya-Bweyogerere-24h'!D94,'03.08 Nalya-Bweyogerere-24h'!D94)</f>
        <v>0.5</v>
      </c>
      <c r="E94" s="49">
        <f>AVERAGE('01.08 Nalya-Bweyogerere-24h'!E94,'03.08 Nalya-Bweyogerere-24h'!E94)</f>
        <v>0.5</v>
      </c>
      <c r="F94" s="49">
        <f>AVERAGE('01.08 Nalya-Bweyogerere-24h'!F94,'03.08 Nalya-Bweyogerere-24h'!F94)</f>
        <v>0.5</v>
      </c>
      <c r="G94" s="49">
        <f>AVERAGE('01.08 Nalya-Bweyogerere-24h'!G94,'03.08 Nalya-Bweyogerere-24h'!G94)</f>
        <v>0</v>
      </c>
      <c r="H94" s="49">
        <f>AVERAGE('01.08 Nalya-Bweyogerere-24h'!H94,'03.08 Nalya-Bweyogerere-24h'!H94)</f>
        <v>0</v>
      </c>
      <c r="I94" s="49">
        <f>AVERAGE('01.08 Nalya-Bweyogerere-24h'!I94,'03.08 Nalya-Bweyogerere-24h'!I94)</f>
        <v>0.5</v>
      </c>
      <c r="J94" s="49">
        <f>AVERAGE('01.08 Nalya-Bweyogerere-24h'!J94,'03.08 Nalya-Bweyogerere-24h'!J94)</f>
        <v>5</v>
      </c>
      <c r="K94" s="49">
        <f>AVERAGE('01.08 Nalya-Bweyogerere-24h'!K94,'03.08 Nalya-Bweyogerere-24h'!K94)</f>
        <v>5</v>
      </c>
      <c r="L94" s="49">
        <f>AVERAGE('01.08 Nalya-Bweyogerere-24h'!L94,'03.08 Nalya-Bweyogerere-24h'!L94)</f>
        <v>1.5</v>
      </c>
      <c r="M94" s="49">
        <f>AVERAGE('01.08 Nalya-Bweyogerere-24h'!M94,'03.08 Nalya-Bweyogerere-24h'!M94)</f>
        <v>2</v>
      </c>
      <c r="N94" s="49">
        <f>AVERAGE('01.08 Nalya-Bweyogerere-24h'!N94,'03.08 Nalya-Bweyogerere-24h'!N94)</f>
        <v>0</v>
      </c>
      <c r="O94" s="15">
        <f t="shared" si="33"/>
        <v>15</v>
      </c>
      <c r="P94" s="15">
        <f t="shared" si="34"/>
        <v>17</v>
      </c>
      <c r="R94" s="8"/>
      <c r="T94"/>
    </row>
    <row r="95" spans="2:20" ht="23.1" customHeight="1" x14ac:dyDescent="0.25">
      <c r="B95" s="23" t="s">
        <v>135</v>
      </c>
      <c r="C95" s="49">
        <f>AVERAGE('01.08 Nalya-Bweyogerere-24h'!C95,'03.08 Nalya-Bweyogerere-24h'!C95)</f>
        <v>1.5</v>
      </c>
      <c r="D95" s="49">
        <f>AVERAGE('01.08 Nalya-Bweyogerere-24h'!D95,'03.08 Nalya-Bweyogerere-24h'!D95)</f>
        <v>0</v>
      </c>
      <c r="E95" s="49">
        <f>AVERAGE('01.08 Nalya-Bweyogerere-24h'!E95,'03.08 Nalya-Bweyogerere-24h'!E95)</f>
        <v>1</v>
      </c>
      <c r="F95" s="49">
        <f>AVERAGE('01.08 Nalya-Bweyogerere-24h'!F95,'03.08 Nalya-Bweyogerere-24h'!F95)</f>
        <v>0.5</v>
      </c>
      <c r="G95" s="49">
        <f>AVERAGE('01.08 Nalya-Bweyogerere-24h'!G95,'03.08 Nalya-Bweyogerere-24h'!G95)</f>
        <v>0</v>
      </c>
      <c r="H95" s="49">
        <f>AVERAGE('01.08 Nalya-Bweyogerere-24h'!H95,'03.08 Nalya-Bweyogerere-24h'!H95)</f>
        <v>0</v>
      </c>
      <c r="I95" s="49">
        <f>AVERAGE('01.08 Nalya-Bweyogerere-24h'!I95,'03.08 Nalya-Bweyogerere-24h'!I95)</f>
        <v>0.5</v>
      </c>
      <c r="J95" s="49">
        <f>AVERAGE('01.08 Nalya-Bweyogerere-24h'!J95,'03.08 Nalya-Bweyogerere-24h'!J95)</f>
        <v>2.5</v>
      </c>
      <c r="K95" s="49">
        <f>AVERAGE('01.08 Nalya-Bweyogerere-24h'!K95,'03.08 Nalya-Bweyogerere-24h'!K95)</f>
        <v>3</v>
      </c>
      <c r="L95" s="49">
        <f>AVERAGE('01.08 Nalya-Bweyogerere-24h'!L95,'03.08 Nalya-Bweyogerere-24h'!L95)</f>
        <v>2.5</v>
      </c>
      <c r="M95" s="49">
        <f>AVERAGE('01.08 Nalya-Bweyogerere-24h'!M95,'03.08 Nalya-Bweyogerere-24h'!M95)</f>
        <v>0.5</v>
      </c>
      <c r="N95" s="49">
        <f>AVERAGE('01.08 Nalya-Bweyogerere-24h'!N95,'03.08 Nalya-Bweyogerere-24h'!N95)</f>
        <v>0</v>
      </c>
      <c r="O95" s="15">
        <f t="shared" si="33"/>
        <v>11.5</v>
      </c>
      <c r="P95" s="15">
        <f t="shared" si="34"/>
        <v>12</v>
      </c>
      <c r="R95" s="8"/>
      <c r="T95"/>
    </row>
    <row r="96" spans="2:20" ht="23.1" customHeight="1" x14ac:dyDescent="0.25">
      <c r="B96" s="25" t="s">
        <v>136</v>
      </c>
      <c r="C96" s="49">
        <f>AVERAGE('01.08 Nalya-Bweyogerere-24h'!C96,'03.08 Nalya-Bweyogerere-24h'!C96)</f>
        <v>1</v>
      </c>
      <c r="D96" s="49">
        <f>AVERAGE('01.08 Nalya-Bweyogerere-24h'!D96,'03.08 Nalya-Bweyogerere-24h'!D96)</f>
        <v>0</v>
      </c>
      <c r="E96" s="49">
        <f>AVERAGE('01.08 Nalya-Bweyogerere-24h'!E96,'03.08 Nalya-Bweyogerere-24h'!E96)</f>
        <v>0.5</v>
      </c>
      <c r="F96" s="49">
        <f>AVERAGE('01.08 Nalya-Bweyogerere-24h'!F96,'03.08 Nalya-Bweyogerere-24h'!F96)</f>
        <v>0</v>
      </c>
      <c r="G96" s="49">
        <f>AVERAGE('01.08 Nalya-Bweyogerere-24h'!G96,'03.08 Nalya-Bweyogerere-24h'!G96)</f>
        <v>0</v>
      </c>
      <c r="H96" s="49">
        <f>AVERAGE('01.08 Nalya-Bweyogerere-24h'!H96,'03.08 Nalya-Bweyogerere-24h'!H96)</f>
        <v>0</v>
      </c>
      <c r="I96" s="49">
        <f>AVERAGE('01.08 Nalya-Bweyogerere-24h'!I96,'03.08 Nalya-Bweyogerere-24h'!I96)</f>
        <v>0</v>
      </c>
      <c r="J96" s="49">
        <f>AVERAGE('01.08 Nalya-Bweyogerere-24h'!J96,'03.08 Nalya-Bweyogerere-24h'!J96)</f>
        <v>2.5</v>
      </c>
      <c r="K96" s="49">
        <f>AVERAGE('01.08 Nalya-Bweyogerere-24h'!K96,'03.08 Nalya-Bweyogerere-24h'!K96)</f>
        <v>1</v>
      </c>
      <c r="L96" s="49">
        <f>AVERAGE('01.08 Nalya-Bweyogerere-24h'!L96,'03.08 Nalya-Bweyogerere-24h'!L96)</f>
        <v>1.5</v>
      </c>
      <c r="M96" s="49">
        <f>AVERAGE('01.08 Nalya-Bweyogerere-24h'!M96,'03.08 Nalya-Bweyogerere-24h'!M96)</f>
        <v>1.5</v>
      </c>
      <c r="N96" s="49">
        <f>AVERAGE('01.08 Nalya-Bweyogerere-24h'!N96,'03.08 Nalya-Bweyogerere-24h'!N96)</f>
        <v>0</v>
      </c>
      <c r="O96" s="15">
        <f t="shared" si="33"/>
        <v>6.5</v>
      </c>
      <c r="P96" s="15">
        <f t="shared" si="34"/>
        <v>8</v>
      </c>
      <c r="R96" s="8"/>
      <c r="T96"/>
    </row>
    <row r="97" spans="2:20" ht="23.1" customHeight="1" x14ac:dyDescent="0.25">
      <c r="B97" s="23" t="s">
        <v>137</v>
      </c>
      <c r="C97" s="49">
        <f>AVERAGE('01.08 Nalya-Bweyogerere-24h'!C97,'03.08 Nalya-Bweyogerere-24h'!C97)</f>
        <v>3.5</v>
      </c>
      <c r="D97" s="49">
        <f>AVERAGE('01.08 Nalya-Bweyogerere-24h'!D97,'03.08 Nalya-Bweyogerere-24h'!D97)</f>
        <v>1</v>
      </c>
      <c r="E97" s="49">
        <f>AVERAGE('01.08 Nalya-Bweyogerere-24h'!E97,'03.08 Nalya-Bweyogerere-24h'!E97)</f>
        <v>0</v>
      </c>
      <c r="F97" s="49">
        <f>AVERAGE('01.08 Nalya-Bweyogerere-24h'!F97,'03.08 Nalya-Bweyogerere-24h'!F97)</f>
        <v>2.5</v>
      </c>
      <c r="G97" s="49">
        <f>AVERAGE('01.08 Nalya-Bweyogerere-24h'!G97,'03.08 Nalya-Bweyogerere-24h'!G97)</f>
        <v>0</v>
      </c>
      <c r="H97" s="49">
        <f>AVERAGE('01.08 Nalya-Bweyogerere-24h'!H97,'03.08 Nalya-Bweyogerere-24h'!H97)</f>
        <v>0</v>
      </c>
      <c r="I97" s="49">
        <f>AVERAGE('01.08 Nalya-Bweyogerere-24h'!I97,'03.08 Nalya-Bweyogerere-24h'!I97)</f>
        <v>1</v>
      </c>
      <c r="J97" s="49">
        <f>AVERAGE('01.08 Nalya-Bweyogerere-24h'!J97,'03.08 Nalya-Bweyogerere-24h'!J97)</f>
        <v>3.5</v>
      </c>
      <c r="K97" s="49">
        <f>AVERAGE('01.08 Nalya-Bweyogerere-24h'!K97,'03.08 Nalya-Bweyogerere-24h'!K97)</f>
        <v>0</v>
      </c>
      <c r="L97" s="49">
        <f>AVERAGE('01.08 Nalya-Bweyogerere-24h'!L97,'03.08 Nalya-Bweyogerere-24h'!L97)</f>
        <v>2.5</v>
      </c>
      <c r="M97" s="49">
        <f>AVERAGE('01.08 Nalya-Bweyogerere-24h'!M97,'03.08 Nalya-Bweyogerere-24h'!M97)</f>
        <v>1.5</v>
      </c>
      <c r="N97" s="49">
        <f>AVERAGE('01.08 Nalya-Bweyogerere-24h'!N97,'03.08 Nalya-Bweyogerere-24h'!N97)</f>
        <v>0</v>
      </c>
      <c r="O97" s="15">
        <f t="shared" si="33"/>
        <v>14</v>
      </c>
      <c r="P97" s="15">
        <f t="shared" si="34"/>
        <v>15.5</v>
      </c>
      <c r="R97" s="8"/>
      <c r="T97"/>
    </row>
    <row r="98" spans="2:20" ht="23.1" customHeight="1" x14ac:dyDescent="0.25">
      <c r="B98" s="24" t="s">
        <v>138</v>
      </c>
      <c r="C98" s="49">
        <f>AVERAGE('01.08 Nalya-Bweyogerere-24h'!C98,'03.08 Nalya-Bweyogerere-24h'!C98)</f>
        <v>2.5</v>
      </c>
      <c r="D98" s="49">
        <f>AVERAGE('01.08 Nalya-Bweyogerere-24h'!D98,'03.08 Nalya-Bweyogerere-24h'!D98)</f>
        <v>0.5</v>
      </c>
      <c r="E98" s="49">
        <f>AVERAGE('01.08 Nalya-Bweyogerere-24h'!E98,'03.08 Nalya-Bweyogerere-24h'!E98)</f>
        <v>1</v>
      </c>
      <c r="F98" s="49">
        <f>AVERAGE('01.08 Nalya-Bweyogerere-24h'!F98,'03.08 Nalya-Bweyogerere-24h'!F98)</f>
        <v>2</v>
      </c>
      <c r="G98" s="49">
        <f>AVERAGE('01.08 Nalya-Bweyogerere-24h'!G98,'03.08 Nalya-Bweyogerere-24h'!G98)</f>
        <v>0</v>
      </c>
      <c r="H98" s="49">
        <f>AVERAGE('01.08 Nalya-Bweyogerere-24h'!H98,'03.08 Nalya-Bweyogerere-24h'!H98)</f>
        <v>0</v>
      </c>
      <c r="I98" s="49">
        <f>AVERAGE('01.08 Nalya-Bweyogerere-24h'!I98,'03.08 Nalya-Bweyogerere-24h'!I98)</f>
        <v>1</v>
      </c>
      <c r="J98" s="49">
        <f>AVERAGE('01.08 Nalya-Bweyogerere-24h'!J98,'03.08 Nalya-Bweyogerere-24h'!J98)</f>
        <v>5</v>
      </c>
      <c r="K98" s="49">
        <f>AVERAGE('01.08 Nalya-Bweyogerere-24h'!K98,'03.08 Nalya-Bweyogerere-24h'!K98)</f>
        <v>1</v>
      </c>
      <c r="L98" s="49">
        <f>AVERAGE('01.08 Nalya-Bweyogerere-24h'!L98,'03.08 Nalya-Bweyogerere-24h'!L98)</f>
        <v>4</v>
      </c>
      <c r="M98" s="49">
        <f>AVERAGE('01.08 Nalya-Bweyogerere-24h'!M98,'03.08 Nalya-Bweyogerere-24h'!M98)</f>
        <v>1</v>
      </c>
      <c r="N98" s="49">
        <f>AVERAGE('01.08 Nalya-Bweyogerere-24h'!N98,'03.08 Nalya-Bweyogerere-24h'!N98)</f>
        <v>0</v>
      </c>
      <c r="O98" s="15">
        <f t="shared" si="33"/>
        <v>17</v>
      </c>
      <c r="P98" s="15">
        <f t="shared" si="34"/>
        <v>18</v>
      </c>
      <c r="R98" s="8"/>
      <c r="T98"/>
    </row>
    <row r="99" spans="2:20" ht="23.1" customHeight="1" x14ac:dyDescent="0.25">
      <c r="B99" s="23" t="s">
        <v>139</v>
      </c>
      <c r="C99" s="49">
        <f>AVERAGE('01.08 Nalya-Bweyogerere-24h'!C99,'03.08 Nalya-Bweyogerere-24h'!C99)</f>
        <v>1.5</v>
      </c>
      <c r="D99" s="49">
        <f>AVERAGE('01.08 Nalya-Bweyogerere-24h'!D99,'03.08 Nalya-Bweyogerere-24h'!D99)</f>
        <v>0.5</v>
      </c>
      <c r="E99" s="49">
        <f>AVERAGE('01.08 Nalya-Bweyogerere-24h'!E99,'03.08 Nalya-Bweyogerere-24h'!E99)</f>
        <v>0</v>
      </c>
      <c r="F99" s="49">
        <f>AVERAGE('01.08 Nalya-Bweyogerere-24h'!F99,'03.08 Nalya-Bweyogerere-24h'!F99)</f>
        <v>1.5</v>
      </c>
      <c r="G99" s="49">
        <f>AVERAGE('01.08 Nalya-Bweyogerere-24h'!G99,'03.08 Nalya-Bweyogerere-24h'!G99)</f>
        <v>1</v>
      </c>
      <c r="H99" s="49">
        <f>AVERAGE('01.08 Nalya-Bweyogerere-24h'!H99,'03.08 Nalya-Bweyogerere-24h'!H99)</f>
        <v>0</v>
      </c>
      <c r="I99" s="49">
        <f>AVERAGE('01.08 Nalya-Bweyogerere-24h'!I99,'03.08 Nalya-Bweyogerere-24h'!I99)</f>
        <v>1</v>
      </c>
      <c r="J99" s="49">
        <f>AVERAGE('01.08 Nalya-Bweyogerere-24h'!J99,'03.08 Nalya-Bweyogerere-24h'!J99)</f>
        <v>2.5</v>
      </c>
      <c r="K99" s="49">
        <f>AVERAGE('01.08 Nalya-Bweyogerere-24h'!K99,'03.08 Nalya-Bweyogerere-24h'!K99)</f>
        <v>0.5</v>
      </c>
      <c r="L99" s="49">
        <f>AVERAGE('01.08 Nalya-Bweyogerere-24h'!L99,'03.08 Nalya-Bweyogerere-24h'!L99)</f>
        <v>2.5</v>
      </c>
      <c r="M99" s="49">
        <f>AVERAGE('01.08 Nalya-Bweyogerere-24h'!M99,'03.08 Nalya-Bweyogerere-24h'!M99)</f>
        <v>1</v>
      </c>
      <c r="N99" s="49">
        <f>AVERAGE('01.08 Nalya-Bweyogerere-24h'!N99,'03.08 Nalya-Bweyogerere-24h'!N99)</f>
        <v>0</v>
      </c>
      <c r="O99" s="15">
        <f t="shared" si="33"/>
        <v>11</v>
      </c>
      <c r="P99" s="15">
        <f t="shared" si="34"/>
        <v>12</v>
      </c>
      <c r="R99" s="8"/>
      <c r="T99"/>
    </row>
    <row r="100" spans="2:20" ht="23.1" customHeight="1" x14ac:dyDescent="0.25">
      <c r="B100" s="25" t="s">
        <v>140</v>
      </c>
      <c r="C100" s="49">
        <f>AVERAGE('01.08 Nalya-Bweyogerere-24h'!C100,'03.08 Nalya-Bweyogerere-24h'!C100)</f>
        <v>5</v>
      </c>
      <c r="D100" s="49">
        <f>AVERAGE('01.08 Nalya-Bweyogerere-24h'!D100,'03.08 Nalya-Bweyogerere-24h'!D100)</f>
        <v>2.5</v>
      </c>
      <c r="E100" s="49">
        <f>AVERAGE('01.08 Nalya-Bweyogerere-24h'!E100,'03.08 Nalya-Bweyogerere-24h'!E100)</f>
        <v>1.5</v>
      </c>
      <c r="F100" s="49">
        <f>AVERAGE('01.08 Nalya-Bweyogerere-24h'!F100,'03.08 Nalya-Bweyogerere-24h'!F100)</f>
        <v>7</v>
      </c>
      <c r="G100" s="49">
        <f>AVERAGE('01.08 Nalya-Bweyogerere-24h'!G100,'03.08 Nalya-Bweyogerere-24h'!G100)</f>
        <v>0</v>
      </c>
      <c r="H100" s="49">
        <f>AVERAGE('01.08 Nalya-Bweyogerere-24h'!H100,'03.08 Nalya-Bweyogerere-24h'!H100)</f>
        <v>0</v>
      </c>
      <c r="I100" s="49">
        <f>AVERAGE('01.08 Nalya-Bweyogerere-24h'!I100,'03.08 Nalya-Bweyogerere-24h'!I100)</f>
        <v>1</v>
      </c>
      <c r="J100" s="49">
        <f>AVERAGE('01.08 Nalya-Bweyogerere-24h'!J100,'03.08 Nalya-Bweyogerere-24h'!J100)</f>
        <v>4.5</v>
      </c>
      <c r="K100" s="49">
        <f>AVERAGE('01.08 Nalya-Bweyogerere-24h'!K100,'03.08 Nalya-Bweyogerere-24h'!K100)</f>
        <v>1</v>
      </c>
      <c r="L100" s="49">
        <f>AVERAGE('01.08 Nalya-Bweyogerere-24h'!L100,'03.08 Nalya-Bweyogerere-24h'!L100)</f>
        <v>2</v>
      </c>
      <c r="M100" s="49">
        <f>AVERAGE('01.08 Nalya-Bweyogerere-24h'!M100,'03.08 Nalya-Bweyogerere-24h'!M100)</f>
        <v>5</v>
      </c>
      <c r="N100" s="49">
        <f>AVERAGE('01.08 Nalya-Bweyogerere-24h'!N100,'03.08 Nalya-Bweyogerere-24h'!N100)</f>
        <v>0</v>
      </c>
      <c r="O100" s="15">
        <f t="shared" si="33"/>
        <v>24.5</v>
      </c>
      <c r="P100" s="15">
        <f t="shared" si="34"/>
        <v>29.5</v>
      </c>
      <c r="R100" s="8"/>
      <c r="T100"/>
    </row>
    <row r="101" spans="2:20" ht="23.1" customHeight="1" x14ac:dyDescent="0.25">
      <c r="B101" s="23" t="s">
        <v>141</v>
      </c>
      <c r="C101" s="49">
        <f>AVERAGE('01.08 Nalya-Bweyogerere-24h'!C101,'03.08 Nalya-Bweyogerere-24h'!C101)</f>
        <v>8</v>
      </c>
      <c r="D101" s="49">
        <f>AVERAGE('01.08 Nalya-Bweyogerere-24h'!D101,'03.08 Nalya-Bweyogerere-24h'!D101)</f>
        <v>1.5</v>
      </c>
      <c r="E101" s="49">
        <f>AVERAGE('01.08 Nalya-Bweyogerere-24h'!E101,'03.08 Nalya-Bweyogerere-24h'!E101)</f>
        <v>1</v>
      </c>
      <c r="F101" s="49">
        <f>AVERAGE('01.08 Nalya-Bweyogerere-24h'!F101,'03.08 Nalya-Bweyogerere-24h'!F101)</f>
        <v>3.5</v>
      </c>
      <c r="G101" s="49">
        <f>AVERAGE('01.08 Nalya-Bweyogerere-24h'!G101,'03.08 Nalya-Bweyogerere-24h'!G101)</f>
        <v>1</v>
      </c>
      <c r="H101" s="49">
        <f>AVERAGE('01.08 Nalya-Bweyogerere-24h'!H101,'03.08 Nalya-Bweyogerere-24h'!H101)</f>
        <v>0</v>
      </c>
      <c r="I101" s="49">
        <f>AVERAGE('01.08 Nalya-Bweyogerere-24h'!I101,'03.08 Nalya-Bweyogerere-24h'!I101)</f>
        <v>1.5</v>
      </c>
      <c r="J101" s="49">
        <f>AVERAGE('01.08 Nalya-Bweyogerere-24h'!J101,'03.08 Nalya-Bweyogerere-24h'!J101)</f>
        <v>4</v>
      </c>
      <c r="K101" s="49">
        <f>AVERAGE('01.08 Nalya-Bweyogerere-24h'!K101,'03.08 Nalya-Bweyogerere-24h'!K101)</f>
        <v>2</v>
      </c>
      <c r="L101" s="49">
        <f>AVERAGE('01.08 Nalya-Bweyogerere-24h'!L101,'03.08 Nalya-Bweyogerere-24h'!L101)</f>
        <v>1</v>
      </c>
      <c r="M101" s="49">
        <f>AVERAGE('01.08 Nalya-Bweyogerere-24h'!M101,'03.08 Nalya-Bweyogerere-24h'!M101)</f>
        <v>2.5</v>
      </c>
      <c r="N101" s="49">
        <f>AVERAGE('01.08 Nalya-Bweyogerere-24h'!N101,'03.08 Nalya-Bweyogerere-24h'!N101)</f>
        <v>0</v>
      </c>
      <c r="O101" s="15">
        <f t="shared" si="33"/>
        <v>23.5</v>
      </c>
      <c r="P101" s="15">
        <f t="shared" si="34"/>
        <v>26</v>
      </c>
      <c r="R101" s="8"/>
      <c r="T101"/>
    </row>
    <row r="102" spans="2:20" ht="23.1" customHeight="1" x14ac:dyDescent="0.25">
      <c r="B102" s="24" t="s">
        <v>142</v>
      </c>
      <c r="C102" s="49">
        <f>AVERAGE('01.08 Nalya-Bweyogerere-24h'!C102,'03.08 Nalya-Bweyogerere-24h'!C102)</f>
        <v>4</v>
      </c>
      <c r="D102" s="49">
        <f>AVERAGE('01.08 Nalya-Bweyogerere-24h'!D102,'03.08 Nalya-Bweyogerere-24h'!D102)</f>
        <v>2</v>
      </c>
      <c r="E102" s="49">
        <f>AVERAGE('01.08 Nalya-Bweyogerere-24h'!E102,'03.08 Nalya-Bweyogerere-24h'!E102)</f>
        <v>1</v>
      </c>
      <c r="F102" s="49">
        <f>AVERAGE('01.08 Nalya-Bweyogerere-24h'!F102,'03.08 Nalya-Bweyogerere-24h'!F102)</f>
        <v>5</v>
      </c>
      <c r="G102" s="49">
        <f>AVERAGE('01.08 Nalya-Bweyogerere-24h'!G102,'03.08 Nalya-Bweyogerere-24h'!G102)</f>
        <v>0</v>
      </c>
      <c r="H102" s="49">
        <f>AVERAGE('01.08 Nalya-Bweyogerere-24h'!H102,'03.08 Nalya-Bweyogerere-24h'!H102)</f>
        <v>0</v>
      </c>
      <c r="I102" s="49">
        <f>AVERAGE('01.08 Nalya-Bweyogerere-24h'!I102,'03.08 Nalya-Bweyogerere-24h'!I102)</f>
        <v>2</v>
      </c>
      <c r="J102" s="49">
        <f>AVERAGE('01.08 Nalya-Bweyogerere-24h'!J102,'03.08 Nalya-Bweyogerere-24h'!J102)</f>
        <v>6</v>
      </c>
      <c r="K102" s="49">
        <f>AVERAGE('01.08 Nalya-Bweyogerere-24h'!K102,'03.08 Nalya-Bweyogerere-24h'!K102)</f>
        <v>1.5</v>
      </c>
      <c r="L102" s="49">
        <f>AVERAGE('01.08 Nalya-Bweyogerere-24h'!L102,'03.08 Nalya-Bweyogerere-24h'!L102)</f>
        <v>2</v>
      </c>
      <c r="M102" s="49">
        <f>AVERAGE('01.08 Nalya-Bweyogerere-24h'!M102,'03.08 Nalya-Bweyogerere-24h'!M102)</f>
        <v>2</v>
      </c>
      <c r="N102" s="49">
        <f>AVERAGE('01.08 Nalya-Bweyogerere-24h'!N102,'03.08 Nalya-Bweyogerere-24h'!N102)</f>
        <v>0</v>
      </c>
      <c r="O102" s="15">
        <f t="shared" si="33"/>
        <v>23.5</v>
      </c>
      <c r="P102" s="15">
        <f t="shared" si="34"/>
        <v>25.5</v>
      </c>
      <c r="R102" s="8"/>
      <c r="T102"/>
    </row>
    <row r="103" spans="2:20" ht="23.1" customHeight="1" x14ac:dyDescent="0.25">
      <c r="B103" s="23" t="s">
        <v>143</v>
      </c>
      <c r="C103" s="49">
        <f>AVERAGE('01.08 Nalya-Bweyogerere-24h'!C103,'03.08 Nalya-Bweyogerere-24h'!C103)</f>
        <v>5.5</v>
      </c>
      <c r="D103" s="49">
        <f>AVERAGE('01.08 Nalya-Bweyogerere-24h'!D103,'03.08 Nalya-Bweyogerere-24h'!D103)</f>
        <v>4</v>
      </c>
      <c r="E103" s="49">
        <f>AVERAGE('01.08 Nalya-Bweyogerere-24h'!E103,'03.08 Nalya-Bweyogerere-24h'!E103)</f>
        <v>1.5</v>
      </c>
      <c r="F103" s="49">
        <f>AVERAGE('01.08 Nalya-Bweyogerere-24h'!F103,'03.08 Nalya-Bweyogerere-24h'!F103)</f>
        <v>12.5</v>
      </c>
      <c r="G103" s="49">
        <f>AVERAGE('01.08 Nalya-Bweyogerere-24h'!G103,'03.08 Nalya-Bweyogerere-24h'!G103)</f>
        <v>1</v>
      </c>
      <c r="H103" s="49">
        <f>AVERAGE('01.08 Nalya-Bweyogerere-24h'!H103,'03.08 Nalya-Bweyogerere-24h'!H103)</f>
        <v>0</v>
      </c>
      <c r="I103" s="49">
        <f>AVERAGE('01.08 Nalya-Bweyogerere-24h'!I103,'03.08 Nalya-Bweyogerere-24h'!I103)</f>
        <v>3</v>
      </c>
      <c r="J103" s="49">
        <f>AVERAGE('01.08 Nalya-Bweyogerere-24h'!J103,'03.08 Nalya-Bweyogerere-24h'!J103)</f>
        <v>6</v>
      </c>
      <c r="K103" s="49">
        <f>AVERAGE('01.08 Nalya-Bweyogerere-24h'!K103,'03.08 Nalya-Bweyogerere-24h'!K103)</f>
        <v>2</v>
      </c>
      <c r="L103" s="49">
        <f>AVERAGE('01.08 Nalya-Bweyogerere-24h'!L103,'03.08 Nalya-Bweyogerere-24h'!L103)</f>
        <v>3</v>
      </c>
      <c r="M103" s="49">
        <f>AVERAGE('01.08 Nalya-Bweyogerere-24h'!M103,'03.08 Nalya-Bweyogerere-24h'!M103)</f>
        <v>3</v>
      </c>
      <c r="N103" s="49">
        <f>AVERAGE('01.08 Nalya-Bweyogerere-24h'!N103,'03.08 Nalya-Bweyogerere-24h'!N103)</f>
        <v>0</v>
      </c>
      <c r="O103" s="15">
        <f t="shared" si="33"/>
        <v>38.5</v>
      </c>
      <c r="P103" s="15">
        <f t="shared" si="34"/>
        <v>41.5</v>
      </c>
      <c r="R103" s="8"/>
      <c r="T103"/>
    </row>
    <row r="104" spans="2:20" ht="23.1" customHeight="1" x14ac:dyDescent="0.25">
      <c r="B104" s="25" t="s">
        <v>144</v>
      </c>
      <c r="C104" s="49">
        <f>AVERAGE('01.08 Nalya-Bweyogerere-24h'!C104,'03.08 Nalya-Bweyogerere-24h'!C104)</f>
        <v>8</v>
      </c>
      <c r="D104" s="49">
        <f>AVERAGE('01.08 Nalya-Bweyogerere-24h'!D104,'03.08 Nalya-Bweyogerere-24h'!D104)</f>
        <v>3.5</v>
      </c>
      <c r="E104" s="49">
        <f>AVERAGE('01.08 Nalya-Bweyogerere-24h'!E104,'03.08 Nalya-Bweyogerere-24h'!E104)</f>
        <v>4</v>
      </c>
      <c r="F104" s="49">
        <f>AVERAGE('01.08 Nalya-Bweyogerere-24h'!F104,'03.08 Nalya-Bweyogerere-24h'!F104)</f>
        <v>8.5</v>
      </c>
      <c r="G104" s="49">
        <f>AVERAGE('01.08 Nalya-Bweyogerere-24h'!G104,'03.08 Nalya-Bweyogerere-24h'!G104)</f>
        <v>1</v>
      </c>
      <c r="H104" s="49">
        <f>AVERAGE('01.08 Nalya-Bweyogerere-24h'!H104,'03.08 Nalya-Bweyogerere-24h'!H104)</f>
        <v>0.5</v>
      </c>
      <c r="I104" s="49">
        <f>AVERAGE('01.08 Nalya-Bweyogerere-24h'!I104,'03.08 Nalya-Bweyogerere-24h'!I104)</f>
        <v>2</v>
      </c>
      <c r="J104" s="49">
        <f>AVERAGE('01.08 Nalya-Bweyogerere-24h'!J104,'03.08 Nalya-Bweyogerere-24h'!J104)</f>
        <v>3.5</v>
      </c>
      <c r="K104" s="49">
        <f>AVERAGE('01.08 Nalya-Bweyogerere-24h'!K104,'03.08 Nalya-Bweyogerere-24h'!K104)</f>
        <v>1.5</v>
      </c>
      <c r="L104" s="49">
        <f>AVERAGE('01.08 Nalya-Bweyogerere-24h'!L104,'03.08 Nalya-Bweyogerere-24h'!L104)</f>
        <v>4.5</v>
      </c>
      <c r="M104" s="49">
        <f>AVERAGE('01.08 Nalya-Bweyogerere-24h'!M104,'03.08 Nalya-Bweyogerere-24h'!M104)</f>
        <v>11.5</v>
      </c>
      <c r="N104" s="49">
        <f>AVERAGE('01.08 Nalya-Bweyogerere-24h'!N104,'03.08 Nalya-Bweyogerere-24h'!N104)</f>
        <v>0</v>
      </c>
      <c r="O104" s="15">
        <f t="shared" si="33"/>
        <v>37</v>
      </c>
      <c r="P104" s="15">
        <f t="shared" si="34"/>
        <v>48.5</v>
      </c>
      <c r="R104" s="8"/>
      <c r="T104"/>
    </row>
    <row r="105" spans="2:20" ht="23.1" customHeight="1" x14ac:dyDescent="0.25">
      <c r="B105" s="23" t="s">
        <v>145</v>
      </c>
      <c r="C105" s="49">
        <f>AVERAGE('01.08 Nalya-Bweyogerere-24h'!C105,'03.08 Nalya-Bweyogerere-24h'!C105)</f>
        <v>10.5</v>
      </c>
      <c r="D105" s="49">
        <f>AVERAGE('01.08 Nalya-Bweyogerere-24h'!D105,'03.08 Nalya-Bweyogerere-24h'!D105)</f>
        <v>5</v>
      </c>
      <c r="E105" s="49">
        <f>AVERAGE('01.08 Nalya-Bweyogerere-24h'!E105,'03.08 Nalya-Bweyogerere-24h'!E105)</f>
        <v>3</v>
      </c>
      <c r="F105" s="49">
        <f>AVERAGE('01.08 Nalya-Bweyogerere-24h'!F105,'03.08 Nalya-Bweyogerere-24h'!F105)</f>
        <v>16.5</v>
      </c>
      <c r="G105" s="49">
        <f>AVERAGE('01.08 Nalya-Bweyogerere-24h'!G105,'03.08 Nalya-Bweyogerere-24h'!G105)</f>
        <v>0.5</v>
      </c>
      <c r="H105" s="49">
        <f>AVERAGE('01.08 Nalya-Bweyogerere-24h'!H105,'03.08 Nalya-Bweyogerere-24h'!H105)</f>
        <v>0</v>
      </c>
      <c r="I105" s="49">
        <f>AVERAGE('01.08 Nalya-Bweyogerere-24h'!I105,'03.08 Nalya-Bweyogerere-24h'!I105)</f>
        <v>0.5</v>
      </c>
      <c r="J105" s="49">
        <f>AVERAGE('01.08 Nalya-Bweyogerere-24h'!J105,'03.08 Nalya-Bweyogerere-24h'!J105)</f>
        <v>3</v>
      </c>
      <c r="K105" s="49">
        <f>AVERAGE('01.08 Nalya-Bweyogerere-24h'!K105,'03.08 Nalya-Bweyogerere-24h'!K105)</f>
        <v>1.5</v>
      </c>
      <c r="L105" s="49">
        <f>AVERAGE('01.08 Nalya-Bweyogerere-24h'!L105,'03.08 Nalya-Bweyogerere-24h'!L105)</f>
        <v>1</v>
      </c>
      <c r="M105" s="49">
        <f>AVERAGE('01.08 Nalya-Bweyogerere-24h'!M105,'03.08 Nalya-Bweyogerere-24h'!M105)</f>
        <v>11</v>
      </c>
      <c r="N105" s="49">
        <f>AVERAGE('01.08 Nalya-Bweyogerere-24h'!N105,'03.08 Nalya-Bweyogerere-24h'!N105)</f>
        <v>0</v>
      </c>
      <c r="O105" s="15">
        <f t="shared" si="33"/>
        <v>41.5</v>
      </c>
      <c r="P105" s="15">
        <f t="shared" si="34"/>
        <v>52.5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1790.6428571428571</v>
      </c>
      <c r="D106" s="16">
        <f t="shared" ref="D106:O106" si="35">SUM(D10:D105)</f>
        <v>665.07142857142856</v>
      </c>
      <c r="E106" s="16">
        <f t="shared" si="35"/>
        <v>340.35714285714289</v>
      </c>
      <c r="F106" s="16">
        <f t="shared" si="35"/>
        <v>1628.6428571428571</v>
      </c>
      <c r="G106" s="16">
        <f t="shared" si="35"/>
        <v>35.5</v>
      </c>
      <c r="H106" s="16">
        <f t="shared" si="35"/>
        <v>8.2857142857142847</v>
      </c>
      <c r="I106" s="16">
        <f t="shared" si="35"/>
        <v>320.49999999999994</v>
      </c>
      <c r="J106" s="16">
        <f t="shared" si="35"/>
        <v>338.5</v>
      </c>
      <c r="K106" s="16">
        <f t="shared" si="35"/>
        <v>278.64285714285717</v>
      </c>
      <c r="L106" s="16">
        <f t="shared" si="35"/>
        <v>349.78571428571422</v>
      </c>
      <c r="M106" s="16">
        <f t="shared" si="35"/>
        <v>2289.1428571428573</v>
      </c>
      <c r="N106" s="16">
        <f t="shared" si="35"/>
        <v>0.9285714285714286</v>
      </c>
      <c r="O106" s="16">
        <f t="shared" si="35"/>
        <v>5756.8571428571431</v>
      </c>
      <c r="P106" s="16">
        <f>SUM(P10:P105)</f>
        <v>8046.0000000000027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0.22255069067149597</v>
      </c>
      <c r="D107" s="43">
        <f t="shared" si="36"/>
        <v>8.2658641383473563E-2</v>
      </c>
      <c r="E107" s="43">
        <f t="shared" si="36"/>
        <v>4.2301409751074173E-2</v>
      </c>
      <c r="F107" s="43">
        <f t="shared" si="36"/>
        <v>0.2024164624835765</v>
      </c>
      <c r="G107" s="43">
        <f t="shared" si="36"/>
        <v>4.4121302510564241E-3</v>
      </c>
      <c r="H107" s="43">
        <f t="shared" si="36"/>
        <v>1.0297929761017004E-3</v>
      </c>
      <c r="I107" s="43">
        <f t="shared" si="36"/>
        <v>3.9833457618692496E-2</v>
      </c>
      <c r="J107" s="43">
        <f t="shared" si="36"/>
        <v>4.2070594084016887E-2</v>
      </c>
      <c r="K107" s="43">
        <f t="shared" si="36"/>
        <v>3.4631227584247706E-2</v>
      </c>
      <c r="L107" s="43">
        <f t="shared" si="36"/>
        <v>4.3473243137672646E-2</v>
      </c>
      <c r="M107" s="43">
        <f t="shared" si="36"/>
        <v>0.28450694222506295</v>
      </c>
      <c r="N107" s="43">
        <f t="shared" si="36"/>
        <v>1.1540783352863887E-4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0.3110452131619435</v>
      </c>
      <c r="D108" s="44">
        <f t="shared" ref="D108:N108" si="37">D106/$O$106</f>
        <v>0.11552682515261302</v>
      </c>
      <c r="E108" s="44">
        <f t="shared" si="37"/>
        <v>5.9122040796069288E-2</v>
      </c>
      <c r="F108" s="44">
        <f t="shared" si="37"/>
        <v>0.28290485880192562</v>
      </c>
      <c r="G108" s="44">
        <f t="shared" si="37"/>
        <v>6.1665591344483598E-3</v>
      </c>
      <c r="H108" s="44">
        <f t="shared" si="37"/>
        <v>1.439277383492977E-3</v>
      </c>
      <c r="I108" s="44">
        <f t="shared" si="37"/>
        <v>5.5672738101146445E-2</v>
      </c>
      <c r="J108" s="44">
        <f t="shared" si="37"/>
        <v>5.8799444141148439E-2</v>
      </c>
      <c r="K108" s="44">
        <f t="shared" si="37"/>
        <v>4.8401905801776765E-2</v>
      </c>
      <c r="L108" s="44">
        <f t="shared" si="37"/>
        <v>6.075983919797507E-2</v>
      </c>
      <c r="M108" s="44"/>
      <c r="N108" s="44">
        <f t="shared" si="37"/>
        <v>1.6129832746041988E-4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55" zoomScale="60" workbookViewId="0">
      <selection activeCell="AE57" sqref="A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'04.08 Bweyogerere-Nalya'!G5:H5</f>
        <v>Signs and Symbols</v>
      </c>
      <c r="H5" s="65"/>
      <c r="I5" s="14"/>
      <c r="J5" s="2" t="s">
        <v>5</v>
      </c>
      <c r="K5" s="64" t="str">
        <f>'04.08 Bweyogerere-Nalya'!K5:L5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'04.08 Bweyogerere-Nalya'!D6:E6</f>
        <v>Bweyogerere</v>
      </c>
      <c r="E6" s="65"/>
      <c r="F6" s="2" t="s">
        <v>2</v>
      </c>
      <c r="G6" s="64" t="str">
        <f>'04.08 Bweyogerere-Nalya'!G6:H6</f>
        <v>Nalya</v>
      </c>
      <c r="H6" s="65"/>
      <c r="J6" s="2" t="s">
        <v>21</v>
      </c>
      <c r="K6" s="64" t="str">
        <f>'04.08 Bweyogerere-Nalya'!K6:L6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Bweyogerere-Nalya'!C10,'30.07 Bweyogerere-Nalya'!C10,'31.07 Bweyogerere-Nalya'!C10,'02.08 Bweyogerere-Nalya'!C10,'01.08 Bweyogerere-Nalya-24h'!C10,'03.08 Bweyogerere-Nalya-24h'!C10,'04.08 Bweyogerere-Nalya'!C10)</f>
        <v>30</v>
      </c>
      <c r="D10" s="49">
        <f>AVERAGE('29.07 Bweyogerere-Nalya'!D10,'30.07 Bweyogerere-Nalya'!D10,'31.07 Bweyogerere-Nalya'!D10,'02.08 Bweyogerere-Nalya'!D10,'01.08 Bweyogerere-Nalya-24h'!D10,'03.08 Bweyogerere-Nalya-24h'!D10,'04.08 Bweyogerere-Nalya'!D10)</f>
        <v>10.857142857142858</v>
      </c>
      <c r="E10" s="49">
        <f>AVERAGE('29.07 Bweyogerere-Nalya'!E10,'30.07 Bweyogerere-Nalya'!E10,'31.07 Bweyogerere-Nalya'!E10,'02.08 Bweyogerere-Nalya'!E10,'01.08 Bweyogerere-Nalya-24h'!E10,'03.08 Bweyogerere-Nalya-24h'!E10,'04.08 Bweyogerere-Nalya'!E10)</f>
        <v>6.1428571428571432</v>
      </c>
      <c r="F10" s="49">
        <f>AVERAGE('29.07 Bweyogerere-Nalya'!F10,'30.07 Bweyogerere-Nalya'!F10,'31.07 Bweyogerere-Nalya'!F10,'02.08 Bweyogerere-Nalya'!F10,'01.08 Bweyogerere-Nalya-24h'!F10,'03.08 Bweyogerere-Nalya-24h'!F10,'04.08 Bweyogerere-Nalya'!F10)</f>
        <v>18.285714285714285</v>
      </c>
      <c r="G10" s="49">
        <f>AVERAGE('29.07 Bweyogerere-Nalya'!G10,'30.07 Bweyogerere-Nalya'!G10,'31.07 Bweyogerere-Nalya'!G10,'02.08 Bweyogerere-Nalya'!G10,'01.08 Bweyogerere-Nalya-24h'!G10,'03.08 Bweyogerere-Nalya-24h'!G10,'04.08 Bweyogerere-Nalya'!G10)</f>
        <v>0.7142857142857143</v>
      </c>
      <c r="H10" s="49">
        <f>AVERAGE('29.07 Bweyogerere-Nalya'!H10,'30.07 Bweyogerere-Nalya'!H10,'31.07 Bweyogerere-Nalya'!H10,'02.08 Bweyogerere-Nalya'!H10,'01.08 Bweyogerere-Nalya-24h'!H10,'03.08 Bweyogerere-Nalya-24h'!H10,'04.08 Bweyogerere-Nalya'!H10)</f>
        <v>0.14285714285714285</v>
      </c>
      <c r="I10" s="49">
        <f>AVERAGE('29.07 Bweyogerere-Nalya'!I10,'30.07 Bweyogerere-Nalya'!I10,'31.07 Bweyogerere-Nalya'!I10,'02.08 Bweyogerere-Nalya'!I10,'01.08 Bweyogerere-Nalya-24h'!I10,'03.08 Bweyogerere-Nalya-24h'!I10,'04.08 Bweyogerere-Nalya'!I10)</f>
        <v>2.2857142857142856</v>
      </c>
      <c r="J10" s="49">
        <f>AVERAGE('29.07 Bweyogerere-Nalya'!J10,'30.07 Bweyogerere-Nalya'!J10,'31.07 Bweyogerere-Nalya'!J10,'02.08 Bweyogerere-Nalya'!J10,'01.08 Bweyogerere-Nalya-24h'!J10,'03.08 Bweyogerere-Nalya-24h'!J10,'04.08 Bweyogerere-Nalya'!J10)</f>
        <v>2</v>
      </c>
      <c r="K10" s="49">
        <f>AVERAGE('29.07 Bweyogerere-Nalya'!K10,'30.07 Bweyogerere-Nalya'!K10,'31.07 Bweyogerere-Nalya'!K10,'02.08 Bweyogerere-Nalya'!K10,'01.08 Bweyogerere-Nalya-24h'!K10,'03.08 Bweyogerere-Nalya-24h'!K10,'04.08 Bweyogerere-Nalya'!K10)</f>
        <v>2.4285714285714284</v>
      </c>
      <c r="L10" s="49">
        <f>AVERAGE('29.07 Bweyogerere-Nalya'!L10,'30.07 Bweyogerere-Nalya'!L10,'31.07 Bweyogerere-Nalya'!L10,'02.08 Bweyogerere-Nalya'!L10,'01.08 Bweyogerere-Nalya-24h'!L10,'03.08 Bweyogerere-Nalya-24h'!L10,'04.08 Bweyogerere-Nalya'!L10)</f>
        <v>2.5714285714285716</v>
      </c>
      <c r="M10" s="49">
        <f>AVERAGE('29.07 Bweyogerere-Nalya'!M10,'30.07 Bweyogerere-Nalya'!M10,'31.07 Bweyogerere-Nalya'!M10,'02.08 Bweyogerere-Nalya'!M10,'01.08 Bweyogerere-Nalya-24h'!M10,'03.08 Bweyogerere-Nalya-24h'!M10,'04.08 Bweyogerere-Nalya'!M10)</f>
        <v>19.428571428571427</v>
      </c>
      <c r="N10" s="49">
        <f>AVERAGE('29.07 Bweyogerere-Nalya'!N10,'30.07 Bweyogerere-Nalya'!N10,'31.07 Bweyogerere-Nalya'!N10,'02.08 Bweyogerere-Nalya'!N10,'01.08 Bweyogerere-Nalya-24h'!N10,'03.08 Bweyogerere-Nalya-24h'!N10,'04.08 Bweyogerere-Nalya'!N10)</f>
        <v>0</v>
      </c>
      <c r="O10" s="15">
        <f t="shared" ref="O10:O58" si="0">SUM(C10:L10,N10)</f>
        <v>75.428571428571431</v>
      </c>
      <c r="P10" s="15">
        <f t="shared" ref="P10:P58" si="1">SUM(C10:N10)</f>
        <v>94.857142857142861</v>
      </c>
      <c r="R10" s="1" t="s">
        <v>6</v>
      </c>
      <c r="S10" s="17">
        <f t="shared" ref="S10:AF10" si="2">SUM(C10:C13)</f>
        <v>136.42857142857144</v>
      </c>
      <c r="T10" s="17">
        <f t="shared" si="2"/>
        <v>34.428571428571431</v>
      </c>
      <c r="U10" s="17">
        <f t="shared" si="2"/>
        <v>24.857142857142858</v>
      </c>
      <c r="V10" s="17">
        <f t="shared" si="2"/>
        <v>88.857142857142861</v>
      </c>
      <c r="W10" s="17">
        <f t="shared" si="2"/>
        <v>1.4285714285714284</v>
      </c>
      <c r="X10" s="17">
        <f t="shared" si="2"/>
        <v>0.42857142857142855</v>
      </c>
      <c r="Y10" s="17">
        <f t="shared" si="2"/>
        <v>8.5714285714285712</v>
      </c>
      <c r="Z10" s="17">
        <f t="shared" si="2"/>
        <v>13</v>
      </c>
      <c r="AA10" s="17">
        <f t="shared" si="2"/>
        <v>9.5714285714285712</v>
      </c>
      <c r="AB10" s="17">
        <f t="shared" si="2"/>
        <v>12.857142857142856</v>
      </c>
      <c r="AC10" s="17">
        <f t="shared" si="2"/>
        <v>110.71428571428571</v>
      </c>
      <c r="AD10" s="17">
        <f t="shared" si="2"/>
        <v>0.14285714285714285</v>
      </c>
      <c r="AE10" s="31">
        <f t="shared" si="2"/>
        <v>330.57142857142856</v>
      </c>
      <c r="AF10" s="31">
        <f t="shared" si="2"/>
        <v>441.28571428571428</v>
      </c>
    </row>
    <row r="11" spans="2:32" s="6" customFormat="1" ht="23.1" customHeight="1" x14ac:dyDescent="0.25">
      <c r="B11" s="23" t="s">
        <v>38</v>
      </c>
      <c r="C11" s="49">
        <f>AVERAGE('29.07 Bweyogerere-Nalya'!C11,'30.07 Bweyogerere-Nalya'!C11,'31.07 Bweyogerere-Nalya'!C11,'02.08 Bweyogerere-Nalya'!C11,'01.08 Bweyogerere-Nalya-24h'!C11,'03.08 Bweyogerere-Nalya-24h'!C11,'04.08 Bweyogerere-Nalya'!C11)</f>
        <v>36.714285714285715</v>
      </c>
      <c r="D11" s="49">
        <f>AVERAGE('29.07 Bweyogerere-Nalya'!D11,'30.07 Bweyogerere-Nalya'!D11,'31.07 Bweyogerere-Nalya'!D11,'02.08 Bweyogerere-Nalya'!D11,'01.08 Bweyogerere-Nalya-24h'!D11,'03.08 Bweyogerere-Nalya-24h'!D11,'04.08 Bweyogerere-Nalya'!D11)</f>
        <v>6.8571428571428568</v>
      </c>
      <c r="E11" s="49">
        <f>AVERAGE('29.07 Bweyogerere-Nalya'!E11,'30.07 Bweyogerere-Nalya'!E11,'31.07 Bweyogerere-Nalya'!E11,'02.08 Bweyogerere-Nalya'!E11,'01.08 Bweyogerere-Nalya-24h'!E11,'03.08 Bweyogerere-Nalya-24h'!E11,'04.08 Bweyogerere-Nalya'!E11)</f>
        <v>7.4285714285714288</v>
      </c>
      <c r="F11" s="49">
        <f>AVERAGE('29.07 Bweyogerere-Nalya'!F11,'30.07 Bweyogerere-Nalya'!F11,'31.07 Bweyogerere-Nalya'!F11,'02.08 Bweyogerere-Nalya'!F11,'01.08 Bweyogerere-Nalya-24h'!F11,'03.08 Bweyogerere-Nalya-24h'!F11,'04.08 Bweyogerere-Nalya'!F11)</f>
        <v>21</v>
      </c>
      <c r="G11" s="49">
        <f>AVERAGE('29.07 Bweyogerere-Nalya'!G11,'30.07 Bweyogerere-Nalya'!G11,'31.07 Bweyogerere-Nalya'!G11,'02.08 Bweyogerere-Nalya'!G11,'01.08 Bweyogerere-Nalya-24h'!G11,'03.08 Bweyogerere-Nalya-24h'!G11,'04.08 Bweyogerere-Nalya'!G11)</f>
        <v>0.2857142857142857</v>
      </c>
      <c r="H11" s="49">
        <f>AVERAGE('29.07 Bweyogerere-Nalya'!H11,'30.07 Bweyogerere-Nalya'!H11,'31.07 Bweyogerere-Nalya'!H11,'02.08 Bweyogerere-Nalya'!H11,'01.08 Bweyogerere-Nalya-24h'!H11,'03.08 Bweyogerere-Nalya-24h'!H11,'04.08 Bweyogerere-Nalya'!H11)</f>
        <v>0.14285714285714285</v>
      </c>
      <c r="I11" s="49">
        <f>AVERAGE('29.07 Bweyogerere-Nalya'!I11,'30.07 Bweyogerere-Nalya'!I11,'31.07 Bweyogerere-Nalya'!I11,'02.08 Bweyogerere-Nalya'!I11,'01.08 Bweyogerere-Nalya-24h'!I11,'03.08 Bweyogerere-Nalya-24h'!I11,'04.08 Bweyogerere-Nalya'!I11)</f>
        <v>1.1428571428571428</v>
      </c>
      <c r="J11" s="49">
        <f>AVERAGE('29.07 Bweyogerere-Nalya'!J11,'30.07 Bweyogerere-Nalya'!J11,'31.07 Bweyogerere-Nalya'!J11,'02.08 Bweyogerere-Nalya'!J11,'01.08 Bweyogerere-Nalya-24h'!J11,'03.08 Bweyogerere-Nalya-24h'!J11,'04.08 Bweyogerere-Nalya'!J11)</f>
        <v>3.4285714285714284</v>
      </c>
      <c r="K11" s="49">
        <f>AVERAGE('29.07 Bweyogerere-Nalya'!K11,'30.07 Bweyogerere-Nalya'!K11,'31.07 Bweyogerere-Nalya'!K11,'02.08 Bweyogerere-Nalya'!K11,'01.08 Bweyogerere-Nalya-24h'!K11,'03.08 Bweyogerere-Nalya-24h'!K11,'04.08 Bweyogerere-Nalya'!K11)</f>
        <v>1.8571428571428572</v>
      </c>
      <c r="L11" s="49">
        <f>AVERAGE('29.07 Bweyogerere-Nalya'!L11,'30.07 Bweyogerere-Nalya'!L11,'31.07 Bweyogerere-Nalya'!L11,'02.08 Bweyogerere-Nalya'!L11,'01.08 Bweyogerere-Nalya-24h'!L11,'03.08 Bweyogerere-Nalya-24h'!L11,'04.08 Bweyogerere-Nalya'!L11)</f>
        <v>2.4285714285714284</v>
      </c>
      <c r="M11" s="49">
        <f>AVERAGE('29.07 Bweyogerere-Nalya'!M11,'30.07 Bweyogerere-Nalya'!M11,'31.07 Bweyogerere-Nalya'!M11,'02.08 Bweyogerere-Nalya'!M11,'01.08 Bweyogerere-Nalya-24h'!M11,'03.08 Bweyogerere-Nalya-24h'!M11,'04.08 Bweyogerere-Nalya'!M11)</f>
        <v>24.285714285714285</v>
      </c>
      <c r="N11" s="49">
        <f>AVERAGE('29.07 Bweyogerere-Nalya'!N11,'30.07 Bweyogerere-Nalya'!N11,'31.07 Bweyogerere-Nalya'!N11,'02.08 Bweyogerere-Nalya'!N11,'01.08 Bweyogerere-Nalya-24h'!N11,'03.08 Bweyogerere-Nalya-24h'!N11,'04.08 Bweyogerere-Nalya'!N11)</f>
        <v>0</v>
      </c>
      <c r="O11" s="15">
        <f t="shared" si="0"/>
        <v>81.285714285714292</v>
      </c>
      <c r="P11" s="15">
        <f t="shared" si="1"/>
        <v>105.57142857142858</v>
      </c>
      <c r="R11" s="1" t="s">
        <v>7</v>
      </c>
      <c r="S11" s="17">
        <f t="shared" ref="S11:AF11" si="3">SUM(C14:C17)</f>
        <v>113.14285714285714</v>
      </c>
      <c r="T11" s="17">
        <f t="shared" si="3"/>
        <v>30.714285714285715</v>
      </c>
      <c r="U11" s="17">
        <f t="shared" si="3"/>
        <v>20.285714285714285</v>
      </c>
      <c r="V11" s="17">
        <f t="shared" si="3"/>
        <v>91.571428571428569</v>
      </c>
      <c r="W11" s="17">
        <f t="shared" si="3"/>
        <v>2.4285714285714284</v>
      </c>
      <c r="X11" s="17">
        <f t="shared" si="3"/>
        <v>0.14285714285714285</v>
      </c>
      <c r="Y11" s="17">
        <f t="shared" si="3"/>
        <v>11.285714285714285</v>
      </c>
      <c r="Z11" s="17">
        <f t="shared" si="3"/>
        <v>16.142857142857142</v>
      </c>
      <c r="AA11" s="17">
        <f t="shared" si="3"/>
        <v>9.2857142857142847</v>
      </c>
      <c r="AB11" s="17">
        <f t="shared" si="3"/>
        <v>15.000000000000002</v>
      </c>
      <c r="AC11" s="17">
        <f t="shared" si="3"/>
        <v>147.85714285714286</v>
      </c>
      <c r="AD11" s="17">
        <f t="shared" si="3"/>
        <v>0.14285714285714285</v>
      </c>
      <c r="AE11" s="31">
        <f t="shared" si="3"/>
        <v>310.14285714285711</v>
      </c>
      <c r="AF11" s="31">
        <f t="shared" si="3"/>
        <v>458</v>
      </c>
    </row>
    <row r="12" spans="2:32" ht="23.1" customHeight="1" x14ac:dyDescent="0.25">
      <c r="B12" s="23" t="s">
        <v>39</v>
      </c>
      <c r="C12" s="49">
        <f>AVERAGE('29.07 Bweyogerere-Nalya'!C12,'30.07 Bweyogerere-Nalya'!C12,'31.07 Bweyogerere-Nalya'!C12,'02.08 Bweyogerere-Nalya'!C12,'01.08 Bweyogerere-Nalya-24h'!C12,'03.08 Bweyogerere-Nalya-24h'!C12,'04.08 Bweyogerere-Nalya'!C12)</f>
        <v>34.571428571428569</v>
      </c>
      <c r="D12" s="49">
        <f>AVERAGE('29.07 Bweyogerere-Nalya'!D12,'30.07 Bweyogerere-Nalya'!D12,'31.07 Bweyogerere-Nalya'!D12,'02.08 Bweyogerere-Nalya'!D12,'01.08 Bweyogerere-Nalya-24h'!D12,'03.08 Bweyogerere-Nalya-24h'!D12,'04.08 Bweyogerere-Nalya'!D12)</f>
        <v>9.8571428571428577</v>
      </c>
      <c r="E12" s="49">
        <f>AVERAGE('29.07 Bweyogerere-Nalya'!E12,'30.07 Bweyogerere-Nalya'!E12,'31.07 Bweyogerere-Nalya'!E12,'02.08 Bweyogerere-Nalya'!E12,'01.08 Bweyogerere-Nalya-24h'!E12,'03.08 Bweyogerere-Nalya-24h'!E12,'04.08 Bweyogerere-Nalya'!E12)</f>
        <v>6.1428571428571432</v>
      </c>
      <c r="F12" s="49">
        <f>AVERAGE('29.07 Bweyogerere-Nalya'!F12,'30.07 Bweyogerere-Nalya'!F12,'31.07 Bweyogerere-Nalya'!F12,'02.08 Bweyogerere-Nalya'!F12,'01.08 Bweyogerere-Nalya-24h'!F12,'03.08 Bweyogerere-Nalya-24h'!F12,'04.08 Bweyogerere-Nalya'!F12)</f>
        <v>26.285714285714285</v>
      </c>
      <c r="G12" s="49">
        <f>AVERAGE('29.07 Bweyogerere-Nalya'!G12,'30.07 Bweyogerere-Nalya'!G12,'31.07 Bweyogerere-Nalya'!G12,'02.08 Bweyogerere-Nalya'!G12,'01.08 Bweyogerere-Nalya-24h'!G12,'03.08 Bweyogerere-Nalya-24h'!G12,'04.08 Bweyogerere-Nalya'!G12)</f>
        <v>0.2857142857142857</v>
      </c>
      <c r="H12" s="49">
        <f>AVERAGE('29.07 Bweyogerere-Nalya'!H12,'30.07 Bweyogerere-Nalya'!H12,'31.07 Bweyogerere-Nalya'!H12,'02.08 Bweyogerere-Nalya'!H12,'01.08 Bweyogerere-Nalya-24h'!H12,'03.08 Bweyogerere-Nalya-24h'!H12,'04.08 Bweyogerere-Nalya'!H12)</f>
        <v>0</v>
      </c>
      <c r="I12" s="49">
        <f>AVERAGE('29.07 Bweyogerere-Nalya'!I12,'30.07 Bweyogerere-Nalya'!I12,'31.07 Bweyogerere-Nalya'!I12,'02.08 Bweyogerere-Nalya'!I12,'01.08 Bweyogerere-Nalya-24h'!I12,'03.08 Bweyogerere-Nalya-24h'!I12,'04.08 Bweyogerere-Nalya'!I12)</f>
        <v>2.4285714285714284</v>
      </c>
      <c r="J12" s="49">
        <f>AVERAGE('29.07 Bweyogerere-Nalya'!J12,'30.07 Bweyogerere-Nalya'!J12,'31.07 Bweyogerere-Nalya'!J12,'02.08 Bweyogerere-Nalya'!J12,'01.08 Bweyogerere-Nalya-24h'!J12,'03.08 Bweyogerere-Nalya-24h'!J12,'04.08 Bweyogerere-Nalya'!J12)</f>
        <v>3</v>
      </c>
      <c r="K12" s="49">
        <f>AVERAGE('29.07 Bweyogerere-Nalya'!K12,'30.07 Bweyogerere-Nalya'!K12,'31.07 Bweyogerere-Nalya'!K12,'02.08 Bweyogerere-Nalya'!K12,'01.08 Bweyogerere-Nalya-24h'!K12,'03.08 Bweyogerere-Nalya-24h'!K12,'04.08 Bweyogerere-Nalya'!K12)</f>
        <v>3.1428571428571428</v>
      </c>
      <c r="L12" s="49">
        <f>AVERAGE('29.07 Bweyogerere-Nalya'!L12,'30.07 Bweyogerere-Nalya'!L12,'31.07 Bweyogerere-Nalya'!L12,'02.08 Bweyogerere-Nalya'!L12,'01.08 Bweyogerere-Nalya-24h'!L12,'03.08 Bweyogerere-Nalya-24h'!L12,'04.08 Bweyogerere-Nalya'!L12)</f>
        <v>4.2857142857142856</v>
      </c>
      <c r="M12" s="49">
        <f>AVERAGE('29.07 Bweyogerere-Nalya'!M12,'30.07 Bweyogerere-Nalya'!M12,'31.07 Bweyogerere-Nalya'!M12,'02.08 Bweyogerere-Nalya'!M12,'01.08 Bweyogerere-Nalya-24h'!M12,'03.08 Bweyogerere-Nalya-24h'!M12,'04.08 Bweyogerere-Nalya'!M12)</f>
        <v>34.428571428571431</v>
      </c>
      <c r="N12" s="49">
        <f>AVERAGE('29.07 Bweyogerere-Nalya'!N12,'30.07 Bweyogerere-Nalya'!N12,'31.07 Bweyogerere-Nalya'!N12,'02.08 Bweyogerere-Nalya'!N12,'01.08 Bweyogerere-Nalya-24h'!N12,'03.08 Bweyogerere-Nalya-24h'!N12,'04.08 Bweyogerere-Nalya'!N12)</f>
        <v>0.14285714285714285</v>
      </c>
      <c r="O12" s="15">
        <f t="shared" si="0"/>
        <v>90.142857142857153</v>
      </c>
      <c r="P12" s="15">
        <f t="shared" si="1"/>
        <v>124.57142857142858</v>
      </c>
      <c r="R12" s="1" t="s">
        <v>8</v>
      </c>
      <c r="S12" s="17">
        <f t="shared" ref="S12:AF12" si="4">SUM(C18:C21)</f>
        <v>105.57142857142858</v>
      </c>
      <c r="T12" s="17">
        <f t="shared" si="4"/>
        <v>30.714285714285712</v>
      </c>
      <c r="U12" s="17">
        <f t="shared" si="4"/>
        <v>15.285714285714285</v>
      </c>
      <c r="V12" s="17">
        <f t="shared" si="4"/>
        <v>80.714285714285722</v>
      </c>
      <c r="W12" s="17">
        <f t="shared" si="4"/>
        <v>3.1428571428571428</v>
      </c>
      <c r="X12" s="17">
        <f t="shared" si="4"/>
        <v>0.14285714285714285</v>
      </c>
      <c r="Y12" s="17">
        <f t="shared" si="4"/>
        <v>16.571428571428569</v>
      </c>
      <c r="Z12" s="17">
        <f t="shared" si="4"/>
        <v>19</v>
      </c>
      <c r="AA12" s="17">
        <f t="shared" si="4"/>
        <v>12.285714285714285</v>
      </c>
      <c r="AB12" s="17">
        <f t="shared" si="4"/>
        <v>18.714285714285715</v>
      </c>
      <c r="AC12" s="17">
        <f t="shared" si="4"/>
        <v>151.42857142857144</v>
      </c>
      <c r="AD12" s="17">
        <f t="shared" si="4"/>
        <v>0.2857142857142857</v>
      </c>
      <c r="AE12" s="31">
        <f t="shared" si="4"/>
        <v>302.42857142857144</v>
      </c>
      <c r="AF12" s="31">
        <f t="shared" si="4"/>
        <v>453.85714285714289</v>
      </c>
    </row>
    <row r="13" spans="2:32" ht="23.1" customHeight="1" x14ac:dyDescent="0.25">
      <c r="B13" s="23" t="s">
        <v>40</v>
      </c>
      <c r="C13" s="49">
        <f>AVERAGE('29.07 Bweyogerere-Nalya'!C13,'30.07 Bweyogerere-Nalya'!C13,'31.07 Bweyogerere-Nalya'!C13,'02.08 Bweyogerere-Nalya'!C13,'01.08 Bweyogerere-Nalya-24h'!C13,'03.08 Bweyogerere-Nalya-24h'!C13,'04.08 Bweyogerere-Nalya'!C13)</f>
        <v>35.142857142857146</v>
      </c>
      <c r="D13" s="49">
        <f>AVERAGE('29.07 Bweyogerere-Nalya'!D13,'30.07 Bweyogerere-Nalya'!D13,'31.07 Bweyogerere-Nalya'!D13,'02.08 Bweyogerere-Nalya'!D13,'01.08 Bweyogerere-Nalya-24h'!D13,'03.08 Bweyogerere-Nalya-24h'!D13,'04.08 Bweyogerere-Nalya'!D13)</f>
        <v>6.8571428571428568</v>
      </c>
      <c r="E13" s="49">
        <f>AVERAGE('29.07 Bweyogerere-Nalya'!E13,'30.07 Bweyogerere-Nalya'!E13,'31.07 Bweyogerere-Nalya'!E13,'02.08 Bweyogerere-Nalya'!E13,'01.08 Bweyogerere-Nalya-24h'!E13,'03.08 Bweyogerere-Nalya-24h'!E13,'04.08 Bweyogerere-Nalya'!E13)</f>
        <v>5.1428571428571432</v>
      </c>
      <c r="F13" s="49">
        <f>AVERAGE('29.07 Bweyogerere-Nalya'!F13,'30.07 Bweyogerere-Nalya'!F13,'31.07 Bweyogerere-Nalya'!F13,'02.08 Bweyogerere-Nalya'!F13,'01.08 Bweyogerere-Nalya-24h'!F13,'03.08 Bweyogerere-Nalya-24h'!F13,'04.08 Bweyogerere-Nalya'!F13)</f>
        <v>23.285714285714285</v>
      </c>
      <c r="G13" s="49">
        <f>AVERAGE('29.07 Bweyogerere-Nalya'!G13,'30.07 Bweyogerere-Nalya'!G13,'31.07 Bweyogerere-Nalya'!G13,'02.08 Bweyogerere-Nalya'!G13,'01.08 Bweyogerere-Nalya-24h'!G13,'03.08 Bweyogerere-Nalya-24h'!G13,'04.08 Bweyogerere-Nalya'!G13)</f>
        <v>0.14285714285714285</v>
      </c>
      <c r="H13" s="49">
        <f>AVERAGE('29.07 Bweyogerere-Nalya'!H13,'30.07 Bweyogerere-Nalya'!H13,'31.07 Bweyogerere-Nalya'!H13,'02.08 Bweyogerere-Nalya'!H13,'01.08 Bweyogerere-Nalya-24h'!H13,'03.08 Bweyogerere-Nalya-24h'!H13,'04.08 Bweyogerere-Nalya'!H13)</f>
        <v>0.14285714285714285</v>
      </c>
      <c r="I13" s="49">
        <f>AVERAGE('29.07 Bweyogerere-Nalya'!I13,'30.07 Bweyogerere-Nalya'!I13,'31.07 Bweyogerere-Nalya'!I13,'02.08 Bweyogerere-Nalya'!I13,'01.08 Bweyogerere-Nalya-24h'!I13,'03.08 Bweyogerere-Nalya-24h'!I13,'04.08 Bweyogerere-Nalya'!I13)</f>
        <v>2.7142857142857144</v>
      </c>
      <c r="J13" s="49">
        <f>AVERAGE('29.07 Bweyogerere-Nalya'!J13,'30.07 Bweyogerere-Nalya'!J13,'31.07 Bweyogerere-Nalya'!J13,'02.08 Bweyogerere-Nalya'!J13,'01.08 Bweyogerere-Nalya-24h'!J13,'03.08 Bweyogerere-Nalya-24h'!J13,'04.08 Bweyogerere-Nalya'!J13)</f>
        <v>4.5714285714285712</v>
      </c>
      <c r="K13" s="49">
        <f>AVERAGE('29.07 Bweyogerere-Nalya'!K13,'30.07 Bweyogerere-Nalya'!K13,'31.07 Bweyogerere-Nalya'!K13,'02.08 Bweyogerere-Nalya'!K13,'01.08 Bweyogerere-Nalya-24h'!K13,'03.08 Bweyogerere-Nalya-24h'!K13,'04.08 Bweyogerere-Nalya'!K13)</f>
        <v>2.1428571428571428</v>
      </c>
      <c r="L13" s="49">
        <f>AVERAGE('29.07 Bweyogerere-Nalya'!L13,'30.07 Bweyogerere-Nalya'!L13,'31.07 Bweyogerere-Nalya'!L13,'02.08 Bweyogerere-Nalya'!L13,'01.08 Bweyogerere-Nalya-24h'!L13,'03.08 Bweyogerere-Nalya-24h'!L13,'04.08 Bweyogerere-Nalya'!L13)</f>
        <v>3.5714285714285716</v>
      </c>
      <c r="M13" s="49">
        <f>AVERAGE('29.07 Bweyogerere-Nalya'!M13,'30.07 Bweyogerere-Nalya'!M13,'31.07 Bweyogerere-Nalya'!M13,'02.08 Bweyogerere-Nalya'!M13,'01.08 Bweyogerere-Nalya-24h'!M13,'03.08 Bweyogerere-Nalya-24h'!M13,'04.08 Bweyogerere-Nalya'!M13)</f>
        <v>32.571428571428569</v>
      </c>
      <c r="N13" s="49">
        <f>AVERAGE('29.07 Bweyogerere-Nalya'!N13,'30.07 Bweyogerere-Nalya'!N13,'31.07 Bweyogerere-Nalya'!N13,'02.08 Bweyogerere-Nalya'!N13,'01.08 Bweyogerere-Nalya-24h'!N13,'03.08 Bweyogerere-Nalya-24h'!N13,'04.08 Bweyogerere-Nalya'!N13)</f>
        <v>0</v>
      </c>
      <c r="O13" s="15">
        <f t="shared" si="0"/>
        <v>83.714285714285694</v>
      </c>
      <c r="P13" s="15">
        <f t="shared" si="1"/>
        <v>116.28571428571426</v>
      </c>
      <c r="R13" s="1" t="s">
        <v>9</v>
      </c>
      <c r="S13" s="17">
        <f t="shared" ref="S13:AF13" si="5">SUM(C22:C25)</f>
        <v>97.571428571428584</v>
      </c>
      <c r="T13" s="17">
        <f t="shared" si="5"/>
        <v>35.428571428571431</v>
      </c>
      <c r="U13" s="17">
        <f t="shared" si="5"/>
        <v>18.428571428571431</v>
      </c>
      <c r="V13" s="17">
        <f t="shared" si="5"/>
        <v>87.142857142857139</v>
      </c>
      <c r="W13" s="17">
        <f t="shared" si="5"/>
        <v>4.2857142857142856</v>
      </c>
      <c r="X13" s="17">
        <f t="shared" si="5"/>
        <v>0.2857142857142857</v>
      </c>
      <c r="Y13" s="17">
        <f t="shared" si="5"/>
        <v>11.714285714285712</v>
      </c>
      <c r="Z13" s="17">
        <f t="shared" si="5"/>
        <v>20</v>
      </c>
      <c r="AA13" s="17">
        <f t="shared" si="5"/>
        <v>13</v>
      </c>
      <c r="AB13" s="17">
        <f t="shared" si="5"/>
        <v>21.285714285714285</v>
      </c>
      <c r="AC13" s="17">
        <f t="shared" si="5"/>
        <v>153.71428571428572</v>
      </c>
      <c r="AD13" s="17">
        <f t="shared" si="5"/>
        <v>0.14285714285714285</v>
      </c>
      <c r="AE13" s="31">
        <f t="shared" si="5"/>
        <v>309.28571428571433</v>
      </c>
      <c r="AF13" s="31">
        <f t="shared" si="5"/>
        <v>463</v>
      </c>
    </row>
    <row r="14" spans="2:32" ht="23.1" customHeight="1" x14ac:dyDescent="0.25">
      <c r="B14" s="23" t="s">
        <v>41</v>
      </c>
      <c r="C14" s="49">
        <f>AVERAGE('29.07 Bweyogerere-Nalya'!C14,'30.07 Bweyogerere-Nalya'!C14,'31.07 Bweyogerere-Nalya'!C14,'02.08 Bweyogerere-Nalya'!C14,'01.08 Bweyogerere-Nalya-24h'!C14,'03.08 Bweyogerere-Nalya-24h'!C14,'04.08 Bweyogerere-Nalya'!C14)</f>
        <v>27</v>
      </c>
      <c r="D14" s="49">
        <f>AVERAGE('29.07 Bweyogerere-Nalya'!D14,'30.07 Bweyogerere-Nalya'!D14,'31.07 Bweyogerere-Nalya'!D14,'02.08 Bweyogerere-Nalya'!D14,'01.08 Bweyogerere-Nalya-24h'!D14,'03.08 Bweyogerere-Nalya-24h'!D14,'04.08 Bweyogerere-Nalya'!D14)</f>
        <v>7.7142857142857144</v>
      </c>
      <c r="E14" s="49">
        <f>AVERAGE('29.07 Bweyogerere-Nalya'!E14,'30.07 Bweyogerere-Nalya'!E14,'31.07 Bweyogerere-Nalya'!E14,'02.08 Bweyogerere-Nalya'!E14,'01.08 Bweyogerere-Nalya-24h'!E14,'03.08 Bweyogerere-Nalya-24h'!E14,'04.08 Bweyogerere-Nalya'!E14)</f>
        <v>4.8571428571428568</v>
      </c>
      <c r="F14" s="49">
        <f>AVERAGE('29.07 Bweyogerere-Nalya'!F14,'30.07 Bweyogerere-Nalya'!F14,'31.07 Bweyogerere-Nalya'!F14,'02.08 Bweyogerere-Nalya'!F14,'01.08 Bweyogerere-Nalya-24h'!F14,'03.08 Bweyogerere-Nalya-24h'!F14,'04.08 Bweyogerere-Nalya'!F14)</f>
        <v>22</v>
      </c>
      <c r="G14" s="49">
        <f>AVERAGE('29.07 Bweyogerere-Nalya'!G14,'30.07 Bweyogerere-Nalya'!G14,'31.07 Bweyogerere-Nalya'!G14,'02.08 Bweyogerere-Nalya'!G14,'01.08 Bweyogerere-Nalya-24h'!G14,'03.08 Bweyogerere-Nalya-24h'!G14,'04.08 Bweyogerere-Nalya'!G14)</f>
        <v>0.7142857142857143</v>
      </c>
      <c r="H14" s="49">
        <f>AVERAGE('29.07 Bweyogerere-Nalya'!H14,'30.07 Bweyogerere-Nalya'!H14,'31.07 Bweyogerere-Nalya'!H14,'02.08 Bweyogerere-Nalya'!H14,'01.08 Bweyogerere-Nalya-24h'!H14,'03.08 Bweyogerere-Nalya-24h'!H14,'04.08 Bweyogerere-Nalya'!H14)</f>
        <v>0.14285714285714285</v>
      </c>
      <c r="I14" s="49">
        <f>AVERAGE('29.07 Bweyogerere-Nalya'!I14,'30.07 Bweyogerere-Nalya'!I14,'31.07 Bweyogerere-Nalya'!I14,'02.08 Bweyogerere-Nalya'!I14,'01.08 Bweyogerere-Nalya-24h'!I14,'03.08 Bweyogerere-Nalya-24h'!I14,'04.08 Bweyogerere-Nalya'!I14)</f>
        <v>1.8571428571428572</v>
      </c>
      <c r="J14" s="49">
        <f>AVERAGE('29.07 Bweyogerere-Nalya'!J14,'30.07 Bweyogerere-Nalya'!J14,'31.07 Bweyogerere-Nalya'!J14,'02.08 Bweyogerere-Nalya'!J14,'01.08 Bweyogerere-Nalya-24h'!J14,'03.08 Bweyogerere-Nalya-24h'!J14,'04.08 Bweyogerere-Nalya'!J14)</f>
        <v>4.1428571428571432</v>
      </c>
      <c r="K14" s="49">
        <f>AVERAGE('29.07 Bweyogerere-Nalya'!K14,'30.07 Bweyogerere-Nalya'!K14,'31.07 Bweyogerere-Nalya'!K14,'02.08 Bweyogerere-Nalya'!K14,'01.08 Bweyogerere-Nalya-24h'!K14,'03.08 Bweyogerere-Nalya-24h'!K14,'04.08 Bweyogerere-Nalya'!K14)</f>
        <v>2.5714285714285716</v>
      </c>
      <c r="L14" s="49">
        <f>AVERAGE('29.07 Bweyogerere-Nalya'!L14,'30.07 Bweyogerere-Nalya'!L14,'31.07 Bweyogerere-Nalya'!L14,'02.08 Bweyogerere-Nalya'!L14,'01.08 Bweyogerere-Nalya-24h'!L14,'03.08 Bweyogerere-Nalya-24h'!L14,'04.08 Bweyogerere-Nalya'!L14)</f>
        <v>5</v>
      </c>
      <c r="M14" s="49">
        <f>AVERAGE('29.07 Bweyogerere-Nalya'!M14,'30.07 Bweyogerere-Nalya'!M14,'31.07 Bweyogerere-Nalya'!M14,'02.08 Bweyogerere-Nalya'!M14,'01.08 Bweyogerere-Nalya-24h'!M14,'03.08 Bweyogerere-Nalya-24h'!M14,'04.08 Bweyogerere-Nalya'!M14)</f>
        <v>36.285714285714285</v>
      </c>
      <c r="N14" s="49">
        <f>AVERAGE('29.07 Bweyogerere-Nalya'!N14,'30.07 Bweyogerere-Nalya'!N14,'31.07 Bweyogerere-Nalya'!N14,'02.08 Bweyogerere-Nalya'!N14,'01.08 Bweyogerere-Nalya-24h'!N14,'03.08 Bweyogerere-Nalya-24h'!N14,'04.08 Bweyogerere-Nalya'!N14)</f>
        <v>0</v>
      </c>
      <c r="O14" s="15">
        <f t="shared" si="0"/>
        <v>76</v>
      </c>
      <c r="P14" s="15">
        <f t="shared" si="1"/>
        <v>112.28571428571428</v>
      </c>
      <c r="R14" s="1" t="s">
        <v>10</v>
      </c>
      <c r="S14" s="17">
        <f t="shared" ref="S14:AF14" si="6">SUM(C26:C29)</f>
        <v>103.28571428571428</v>
      </c>
      <c r="T14" s="17">
        <f t="shared" si="6"/>
        <v>37.142857142857139</v>
      </c>
      <c r="U14" s="17">
        <f t="shared" si="6"/>
        <v>16.428571428571427</v>
      </c>
      <c r="V14" s="17">
        <f t="shared" si="6"/>
        <v>78</v>
      </c>
      <c r="W14" s="17">
        <f t="shared" si="6"/>
        <v>2.7142857142857144</v>
      </c>
      <c r="X14" s="17">
        <f t="shared" si="6"/>
        <v>0.14285714285714285</v>
      </c>
      <c r="Y14" s="17">
        <f t="shared" si="6"/>
        <v>19.571428571428569</v>
      </c>
      <c r="Z14" s="17">
        <f t="shared" si="6"/>
        <v>19.428571428571431</v>
      </c>
      <c r="AA14" s="17">
        <f t="shared" si="6"/>
        <v>11.714285714285714</v>
      </c>
      <c r="AB14" s="17">
        <f t="shared" si="6"/>
        <v>20.285714285714285</v>
      </c>
      <c r="AC14" s="17">
        <f t="shared" si="6"/>
        <v>153.57142857142858</v>
      </c>
      <c r="AD14" s="17">
        <f t="shared" si="6"/>
        <v>0.14285714285714285</v>
      </c>
      <c r="AE14" s="31">
        <f t="shared" si="6"/>
        <v>308.85714285714283</v>
      </c>
      <c r="AF14" s="31">
        <f t="shared" si="6"/>
        <v>462.42857142857144</v>
      </c>
    </row>
    <row r="15" spans="2:32" ht="23.1" customHeight="1" x14ac:dyDescent="0.25">
      <c r="B15" s="23" t="s">
        <v>42</v>
      </c>
      <c r="C15" s="49">
        <f>AVERAGE('29.07 Bweyogerere-Nalya'!C15,'30.07 Bweyogerere-Nalya'!C15,'31.07 Bweyogerere-Nalya'!C15,'02.08 Bweyogerere-Nalya'!C15,'01.08 Bweyogerere-Nalya-24h'!C15,'03.08 Bweyogerere-Nalya-24h'!C15,'04.08 Bweyogerere-Nalya'!C15)</f>
        <v>34.142857142857146</v>
      </c>
      <c r="D15" s="49">
        <f>AVERAGE('29.07 Bweyogerere-Nalya'!D15,'30.07 Bweyogerere-Nalya'!D15,'31.07 Bweyogerere-Nalya'!D15,'02.08 Bweyogerere-Nalya'!D15,'01.08 Bweyogerere-Nalya-24h'!D15,'03.08 Bweyogerere-Nalya-24h'!D15,'04.08 Bweyogerere-Nalya'!D15)</f>
        <v>7.7142857142857144</v>
      </c>
      <c r="E15" s="49">
        <f>AVERAGE('29.07 Bweyogerere-Nalya'!E15,'30.07 Bweyogerere-Nalya'!E15,'31.07 Bweyogerere-Nalya'!E15,'02.08 Bweyogerere-Nalya'!E15,'01.08 Bweyogerere-Nalya-24h'!E15,'03.08 Bweyogerere-Nalya-24h'!E15,'04.08 Bweyogerere-Nalya'!E15)</f>
        <v>5.2857142857142856</v>
      </c>
      <c r="F15" s="49">
        <f>AVERAGE('29.07 Bweyogerere-Nalya'!F15,'30.07 Bweyogerere-Nalya'!F15,'31.07 Bweyogerere-Nalya'!F15,'02.08 Bweyogerere-Nalya'!F15,'01.08 Bweyogerere-Nalya-24h'!F15,'03.08 Bweyogerere-Nalya-24h'!F15,'04.08 Bweyogerere-Nalya'!F15)</f>
        <v>25.142857142857142</v>
      </c>
      <c r="G15" s="49">
        <f>AVERAGE('29.07 Bweyogerere-Nalya'!G15,'30.07 Bweyogerere-Nalya'!G15,'31.07 Bweyogerere-Nalya'!G15,'02.08 Bweyogerere-Nalya'!G15,'01.08 Bweyogerere-Nalya-24h'!G15,'03.08 Bweyogerere-Nalya-24h'!G15,'04.08 Bweyogerere-Nalya'!G15)</f>
        <v>0.42857142857142855</v>
      </c>
      <c r="H15" s="49">
        <f>AVERAGE('29.07 Bweyogerere-Nalya'!H15,'30.07 Bweyogerere-Nalya'!H15,'31.07 Bweyogerere-Nalya'!H15,'02.08 Bweyogerere-Nalya'!H15,'01.08 Bweyogerere-Nalya-24h'!H15,'03.08 Bweyogerere-Nalya-24h'!H15,'04.08 Bweyogerere-Nalya'!H15)</f>
        <v>0</v>
      </c>
      <c r="I15" s="49">
        <f>AVERAGE('29.07 Bweyogerere-Nalya'!I15,'30.07 Bweyogerere-Nalya'!I15,'31.07 Bweyogerere-Nalya'!I15,'02.08 Bweyogerere-Nalya'!I15,'01.08 Bweyogerere-Nalya-24h'!I15,'03.08 Bweyogerere-Nalya-24h'!I15,'04.08 Bweyogerere-Nalya'!I15)</f>
        <v>2.8571428571428572</v>
      </c>
      <c r="J15" s="49">
        <f>AVERAGE('29.07 Bweyogerere-Nalya'!J15,'30.07 Bweyogerere-Nalya'!J15,'31.07 Bweyogerere-Nalya'!J15,'02.08 Bweyogerere-Nalya'!J15,'01.08 Bweyogerere-Nalya-24h'!J15,'03.08 Bweyogerere-Nalya-24h'!J15,'04.08 Bweyogerere-Nalya'!J15)</f>
        <v>4.2857142857142856</v>
      </c>
      <c r="K15" s="49">
        <f>AVERAGE('29.07 Bweyogerere-Nalya'!K15,'30.07 Bweyogerere-Nalya'!K15,'31.07 Bweyogerere-Nalya'!K15,'02.08 Bweyogerere-Nalya'!K15,'01.08 Bweyogerere-Nalya-24h'!K15,'03.08 Bweyogerere-Nalya-24h'!K15,'04.08 Bweyogerere-Nalya'!K15)</f>
        <v>1.1428571428571428</v>
      </c>
      <c r="L15" s="49">
        <f>AVERAGE('29.07 Bweyogerere-Nalya'!L15,'30.07 Bweyogerere-Nalya'!L15,'31.07 Bweyogerere-Nalya'!L15,'02.08 Bweyogerere-Nalya'!L15,'01.08 Bweyogerere-Nalya-24h'!L15,'03.08 Bweyogerere-Nalya-24h'!L15,'04.08 Bweyogerere-Nalya'!L15)</f>
        <v>2.8571428571428572</v>
      </c>
      <c r="M15" s="49">
        <f>AVERAGE('29.07 Bweyogerere-Nalya'!M15,'30.07 Bweyogerere-Nalya'!M15,'31.07 Bweyogerere-Nalya'!M15,'02.08 Bweyogerere-Nalya'!M15,'01.08 Bweyogerere-Nalya-24h'!M15,'03.08 Bweyogerere-Nalya-24h'!M15,'04.08 Bweyogerere-Nalya'!M15)</f>
        <v>40</v>
      </c>
      <c r="N15" s="49">
        <f>AVERAGE('29.07 Bweyogerere-Nalya'!N15,'30.07 Bweyogerere-Nalya'!N15,'31.07 Bweyogerere-Nalya'!N15,'02.08 Bweyogerere-Nalya'!N15,'01.08 Bweyogerere-Nalya-24h'!N15,'03.08 Bweyogerere-Nalya-24h'!N15,'04.08 Bweyogerere-Nalya'!N15)</f>
        <v>0.14285714285714285</v>
      </c>
      <c r="O15" s="15">
        <f t="shared" si="0"/>
        <v>84.000000000000014</v>
      </c>
      <c r="P15" s="15">
        <f t="shared" si="1"/>
        <v>124.00000000000001</v>
      </c>
      <c r="R15" s="1" t="s">
        <v>11</v>
      </c>
      <c r="S15" s="17">
        <f t="shared" ref="S15:AF15" si="7">SUM(C30:C33)</f>
        <v>105</v>
      </c>
      <c r="T15" s="17">
        <f t="shared" si="7"/>
        <v>33.428571428571431</v>
      </c>
      <c r="U15" s="17">
        <f t="shared" si="7"/>
        <v>18</v>
      </c>
      <c r="V15" s="17">
        <f t="shared" si="7"/>
        <v>81.142857142857139</v>
      </c>
      <c r="W15" s="17">
        <f t="shared" si="7"/>
        <v>1.4285714285714284</v>
      </c>
      <c r="X15" s="17">
        <f t="shared" si="7"/>
        <v>0.42857142857142855</v>
      </c>
      <c r="Y15" s="17">
        <f t="shared" si="7"/>
        <v>20.428571428571427</v>
      </c>
      <c r="Z15" s="17">
        <f t="shared" si="7"/>
        <v>25.857142857142854</v>
      </c>
      <c r="AA15" s="17">
        <f t="shared" si="7"/>
        <v>12</v>
      </c>
      <c r="AB15" s="17">
        <f t="shared" si="7"/>
        <v>20</v>
      </c>
      <c r="AC15" s="17">
        <f t="shared" si="7"/>
        <v>147.85714285714283</v>
      </c>
      <c r="AD15" s="17">
        <f t="shared" si="7"/>
        <v>0.14285714285714285</v>
      </c>
      <c r="AE15" s="31">
        <f t="shared" si="7"/>
        <v>317.85714285714283</v>
      </c>
      <c r="AF15" s="31">
        <f t="shared" si="7"/>
        <v>465.71428571428572</v>
      </c>
    </row>
    <row r="16" spans="2:32" ht="23.1" customHeight="1" x14ac:dyDescent="0.25">
      <c r="B16" s="23" t="s">
        <v>43</v>
      </c>
      <c r="C16" s="49">
        <f>AVERAGE('29.07 Bweyogerere-Nalya'!C16,'30.07 Bweyogerere-Nalya'!C16,'31.07 Bweyogerere-Nalya'!C16,'02.08 Bweyogerere-Nalya'!C16,'01.08 Bweyogerere-Nalya-24h'!C16,'03.08 Bweyogerere-Nalya-24h'!C16,'04.08 Bweyogerere-Nalya'!C16)</f>
        <v>25</v>
      </c>
      <c r="D16" s="49">
        <f>AVERAGE('29.07 Bweyogerere-Nalya'!D16,'30.07 Bweyogerere-Nalya'!D16,'31.07 Bweyogerere-Nalya'!D16,'02.08 Bweyogerere-Nalya'!D16,'01.08 Bweyogerere-Nalya-24h'!D16,'03.08 Bweyogerere-Nalya-24h'!D16,'04.08 Bweyogerere-Nalya'!D16)</f>
        <v>8.4285714285714288</v>
      </c>
      <c r="E16" s="49">
        <f>AVERAGE('29.07 Bweyogerere-Nalya'!E16,'30.07 Bweyogerere-Nalya'!E16,'31.07 Bweyogerere-Nalya'!E16,'02.08 Bweyogerere-Nalya'!E16,'01.08 Bweyogerere-Nalya-24h'!E16,'03.08 Bweyogerere-Nalya-24h'!E16,'04.08 Bweyogerere-Nalya'!E16)</f>
        <v>5.1428571428571432</v>
      </c>
      <c r="F16" s="49">
        <f>AVERAGE('29.07 Bweyogerere-Nalya'!F16,'30.07 Bweyogerere-Nalya'!F16,'31.07 Bweyogerere-Nalya'!F16,'02.08 Bweyogerere-Nalya'!F16,'01.08 Bweyogerere-Nalya-24h'!F16,'03.08 Bweyogerere-Nalya-24h'!F16,'04.08 Bweyogerere-Nalya'!F16)</f>
        <v>22</v>
      </c>
      <c r="G16" s="49">
        <f>AVERAGE('29.07 Bweyogerere-Nalya'!G16,'30.07 Bweyogerere-Nalya'!G16,'31.07 Bweyogerere-Nalya'!G16,'02.08 Bweyogerere-Nalya'!G16,'01.08 Bweyogerere-Nalya-24h'!G16,'03.08 Bweyogerere-Nalya-24h'!G16,'04.08 Bweyogerere-Nalya'!G16)</f>
        <v>0.42857142857142855</v>
      </c>
      <c r="H16" s="49">
        <f>AVERAGE('29.07 Bweyogerere-Nalya'!H16,'30.07 Bweyogerere-Nalya'!H16,'31.07 Bweyogerere-Nalya'!H16,'02.08 Bweyogerere-Nalya'!H16,'01.08 Bweyogerere-Nalya-24h'!H16,'03.08 Bweyogerere-Nalya-24h'!H16,'04.08 Bweyogerere-Nalya'!H16)</f>
        <v>0</v>
      </c>
      <c r="I16" s="49">
        <f>AVERAGE('29.07 Bweyogerere-Nalya'!I16,'30.07 Bweyogerere-Nalya'!I16,'31.07 Bweyogerere-Nalya'!I16,'02.08 Bweyogerere-Nalya'!I16,'01.08 Bweyogerere-Nalya-24h'!I16,'03.08 Bweyogerere-Nalya-24h'!I16,'04.08 Bweyogerere-Nalya'!I16)</f>
        <v>2.8571428571428572</v>
      </c>
      <c r="J16" s="49">
        <f>AVERAGE('29.07 Bweyogerere-Nalya'!J16,'30.07 Bweyogerere-Nalya'!J16,'31.07 Bweyogerere-Nalya'!J16,'02.08 Bweyogerere-Nalya'!J16,'01.08 Bweyogerere-Nalya-24h'!J16,'03.08 Bweyogerere-Nalya-24h'!J16,'04.08 Bweyogerere-Nalya'!J16)</f>
        <v>4.7142857142857144</v>
      </c>
      <c r="K16" s="49">
        <f>AVERAGE('29.07 Bweyogerere-Nalya'!K16,'30.07 Bweyogerere-Nalya'!K16,'31.07 Bweyogerere-Nalya'!K16,'02.08 Bweyogerere-Nalya'!K16,'01.08 Bweyogerere-Nalya-24h'!K16,'03.08 Bweyogerere-Nalya-24h'!K16,'04.08 Bweyogerere-Nalya'!K16)</f>
        <v>2.8571428571428572</v>
      </c>
      <c r="L16" s="49">
        <f>AVERAGE('29.07 Bweyogerere-Nalya'!L16,'30.07 Bweyogerere-Nalya'!L16,'31.07 Bweyogerere-Nalya'!L16,'02.08 Bweyogerere-Nalya'!L16,'01.08 Bweyogerere-Nalya-24h'!L16,'03.08 Bweyogerere-Nalya-24h'!L16,'04.08 Bweyogerere-Nalya'!L16)</f>
        <v>3.7142857142857144</v>
      </c>
      <c r="M16" s="49">
        <f>AVERAGE('29.07 Bweyogerere-Nalya'!M16,'30.07 Bweyogerere-Nalya'!M16,'31.07 Bweyogerere-Nalya'!M16,'02.08 Bweyogerere-Nalya'!M16,'01.08 Bweyogerere-Nalya-24h'!M16,'03.08 Bweyogerere-Nalya-24h'!M16,'04.08 Bweyogerere-Nalya'!M16)</f>
        <v>31.428571428571427</v>
      </c>
      <c r="N16" s="49">
        <f>AVERAGE('29.07 Bweyogerere-Nalya'!N16,'30.07 Bweyogerere-Nalya'!N16,'31.07 Bweyogerere-Nalya'!N16,'02.08 Bweyogerere-Nalya'!N16,'01.08 Bweyogerere-Nalya-24h'!N16,'03.08 Bweyogerere-Nalya-24h'!N16,'04.08 Bweyogerere-Nalya'!N16)</f>
        <v>0</v>
      </c>
      <c r="O16" s="15">
        <f t="shared" si="0"/>
        <v>75.142857142857139</v>
      </c>
      <c r="P16" s="15">
        <f t="shared" si="1"/>
        <v>106.57142857142857</v>
      </c>
      <c r="R16" s="1" t="s">
        <v>12</v>
      </c>
      <c r="S16" s="17">
        <f t="shared" ref="S16:AF16" si="8">SUM(C34:C37)</f>
        <v>92.428571428571431</v>
      </c>
      <c r="T16" s="17">
        <f t="shared" si="8"/>
        <v>27.142857142857142</v>
      </c>
      <c r="U16" s="17">
        <f t="shared" si="8"/>
        <v>17.857142857142854</v>
      </c>
      <c r="V16" s="17">
        <f t="shared" si="8"/>
        <v>69.857142857142861</v>
      </c>
      <c r="W16" s="17">
        <f t="shared" si="8"/>
        <v>0.5714285714285714</v>
      </c>
      <c r="X16" s="17">
        <f t="shared" si="8"/>
        <v>0.42857142857142855</v>
      </c>
      <c r="Y16" s="17">
        <f t="shared" si="8"/>
        <v>20.714285714285715</v>
      </c>
      <c r="Z16" s="17">
        <f t="shared" si="8"/>
        <v>19.571428571428569</v>
      </c>
      <c r="AA16" s="17">
        <f t="shared" si="8"/>
        <v>13</v>
      </c>
      <c r="AB16" s="17">
        <f t="shared" si="8"/>
        <v>18.428571428571431</v>
      </c>
      <c r="AC16" s="17">
        <f t="shared" si="8"/>
        <v>131.71428571428572</v>
      </c>
      <c r="AD16" s="17">
        <f t="shared" si="8"/>
        <v>0</v>
      </c>
      <c r="AE16" s="31">
        <f t="shared" si="8"/>
        <v>280</v>
      </c>
      <c r="AF16" s="31">
        <f t="shared" si="8"/>
        <v>411.71428571428578</v>
      </c>
    </row>
    <row r="17" spans="2:32" ht="23.1" customHeight="1" x14ac:dyDescent="0.25">
      <c r="B17" s="23" t="s">
        <v>44</v>
      </c>
      <c r="C17" s="49">
        <f>AVERAGE('29.07 Bweyogerere-Nalya'!C17,'30.07 Bweyogerere-Nalya'!C17,'31.07 Bweyogerere-Nalya'!C17,'02.08 Bweyogerere-Nalya'!C17,'01.08 Bweyogerere-Nalya-24h'!C17,'03.08 Bweyogerere-Nalya-24h'!C17,'04.08 Bweyogerere-Nalya'!C17)</f>
        <v>27</v>
      </c>
      <c r="D17" s="49">
        <f>AVERAGE('29.07 Bweyogerere-Nalya'!D17,'30.07 Bweyogerere-Nalya'!D17,'31.07 Bweyogerere-Nalya'!D17,'02.08 Bweyogerere-Nalya'!D17,'01.08 Bweyogerere-Nalya-24h'!D17,'03.08 Bweyogerere-Nalya-24h'!D17,'04.08 Bweyogerere-Nalya'!D17)</f>
        <v>6.8571428571428568</v>
      </c>
      <c r="E17" s="49">
        <f>AVERAGE('29.07 Bweyogerere-Nalya'!E17,'30.07 Bweyogerere-Nalya'!E17,'31.07 Bweyogerere-Nalya'!E17,'02.08 Bweyogerere-Nalya'!E17,'01.08 Bweyogerere-Nalya-24h'!E17,'03.08 Bweyogerere-Nalya-24h'!E17,'04.08 Bweyogerere-Nalya'!E17)</f>
        <v>5</v>
      </c>
      <c r="F17" s="49">
        <f>AVERAGE('29.07 Bweyogerere-Nalya'!F17,'30.07 Bweyogerere-Nalya'!F17,'31.07 Bweyogerere-Nalya'!F17,'02.08 Bweyogerere-Nalya'!F17,'01.08 Bweyogerere-Nalya-24h'!F17,'03.08 Bweyogerere-Nalya-24h'!F17,'04.08 Bweyogerere-Nalya'!F17)</f>
        <v>22.428571428571427</v>
      </c>
      <c r="G17" s="49">
        <f>AVERAGE('29.07 Bweyogerere-Nalya'!G17,'30.07 Bweyogerere-Nalya'!G17,'31.07 Bweyogerere-Nalya'!G17,'02.08 Bweyogerere-Nalya'!G17,'01.08 Bweyogerere-Nalya-24h'!G17,'03.08 Bweyogerere-Nalya-24h'!G17,'04.08 Bweyogerere-Nalya'!G17)</f>
        <v>0.8571428571428571</v>
      </c>
      <c r="H17" s="49">
        <f>AVERAGE('29.07 Bweyogerere-Nalya'!H17,'30.07 Bweyogerere-Nalya'!H17,'31.07 Bweyogerere-Nalya'!H17,'02.08 Bweyogerere-Nalya'!H17,'01.08 Bweyogerere-Nalya-24h'!H17,'03.08 Bweyogerere-Nalya-24h'!H17,'04.08 Bweyogerere-Nalya'!H17)</f>
        <v>0</v>
      </c>
      <c r="I17" s="49">
        <f>AVERAGE('29.07 Bweyogerere-Nalya'!I17,'30.07 Bweyogerere-Nalya'!I17,'31.07 Bweyogerere-Nalya'!I17,'02.08 Bweyogerere-Nalya'!I17,'01.08 Bweyogerere-Nalya-24h'!I17,'03.08 Bweyogerere-Nalya-24h'!I17,'04.08 Bweyogerere-Nalya'!I17)</f>
        <v>3.7142857142857144</v>
      </c>
      <c r="J17" s="49">
        <f>AVERAGE('29.07 Bweyogerere-Nalya'!J17,'30.07 Bweyogerere-Nalya'!J17,'31.07 Bweyogerere-Nalya'!J17,'02.08 Bweyogerere-Nalya'!J17,'01.08 Bweyogerere-Nalya-24h'!J17,'03.08 Bweyogerere-Nalya-24h'!J17,'04.08 Bweyogerere-Nalya'!J17)</f>
        <v>3</v>
      </c>
      <c r="K17" s="49">
        <f>AVERAGE('29.07 Bweyogerere-Nalya'!K17,'30.07 Bweyogerere-Nalya'!K17,'31.07 Bweyogerere-Nalya'!K17,'02.08 Bweyogerere-Nalya'!K17,'01.08 Bweyogerere-Nalya-24h'!K17,'03.08 Bweyogerere-Nalya-24h'!K17,'04.08 Bweyogerere-Nalya'!K17)</f>
        <v>2.7142857142857144</v>
      </c>
      <c r="L17" s="49">
        <f>AVERAGE('29.07 Bweyogerere-Nalya'!L17,'30.07 Bweyogerere-Nalya'!L17,'31.07 Bweyogerere-Nalya'!L17,'02.08 Bweyogerere-Nalya'!L17,'01.08 Bweyogerere-Nalya-24h'!L17,'03.08 Bweyogerere-Nalya-24h'!L17,'04.08 Bweyogerere-Nalya'!L17)</f>
        <v>3.4285714285714284</v>
      </c>
      <c r="M17" s="49">
        <f>AVERAGE('29.07 Bweyogerere-Nalya'!M17,'30.07 Bweyogerere-Nalya'!M17,'31.07 Bweyogerere-Nalya'!M17,'02.08 Bweyogerere-Nalya'!M17,'01.08 Bweyogerere-Nalya-24h'!M17,'03.08 Bweyogerere-Nalya-24h'!M17,'04.08 Bweyogerere-Nalya'!M17)</f>
        <v>40.142857142857146</v>
      </c>
      <c r="N17" s="49">
        <f>AVERAGE('29.07 Bweyogerere-Nalya'!N17,'30.07 Bweyogerere-Nalya'!N17,'31.07 Bweyogerere-Nalya'!N17,'02.08 Bweyogerere-Nalya'!N17,'01.08 Bweyogerere-Nalya-24h'!N17,'03.08 Bweyogerere-Nalya-24h'!N17,'04.08 Bweyogerere-Nalya'!N17)</f>
        <v>0</v>
      </c>
      <c r="O17" s="15">
        <f t="shared" si="0"/>
        <v>74.999999999999986</v>
      </c>
      <c r="P17" s="15">
        <f t="shared" si="1"/>
        <v>115.14285714285714</v>
      </c>
      <c r="R17" s="1" t="s">
        <v>13</v>
      </c>
      <c r="S17" s="17">
        <f t="shared" ref="S17:AF17" si="9">SUM(C38:C41)</f>
        <v>83.714285714285708</v>
      </c>
      <c r="T17" s="17">
        <f t="shared" si="9"/>
        <v>30.714285714285715</v>
      </c>
      <c r="U17" s="17">
        <f t="shared" si="9"/>
        <v>14.142857142857142</v>
      </c>
      <c r="V17" s="17">
        <f t="shared" si="9"/>
        <v>65.857142857142861</v>
      </c>
      <c r="W17" s="17">
        <f t="shared" si="9"/>
        <v>0.42857142857142855</v>
      </c>
      <c r="X17" s="17">
        <f t="shared" si="9"/>
        <v>0.2857142857142857</v>
      </c>
      <c r="Y17" s="17">
        <f t="shared" si="9"/>
        <v>19.142857142857142</v>
      </c>
      <c r="Z17" s="17">
        <f t="shared" si="9"/>
        <v>18.857142857142858</v>
      </c>
      <c r="AA17" s="17">
        <f t="shared" si="9"/>
        <v>13.571428571428569</v>
      </c>
      <c r="AB17" s="17">
        <f t="shared" si="9"/>
        <v>18.285714285714285</v>
      </c>
      <c r="AC17" s="17">
        <f t="shared" si="9"/>
        <v>134.71428571428572</v>
      </c>
      <c r="AD17" s="17">
        <f t="shared" si="9"/>
        <v>0.2857142857142857</v>
      </c>
      <c r="AE17" s="31">
        <f t="shared" si="9"/>
        <v>265.28571428571428</v>
      </c>
      <c r="AF17" s="31">
        <f t="shared" si="9"/>
        <v>400</v>
      </c>
    </row>
    <row r="18" spans="2:32" ht="23.1" customHeight="1" x14ac:dyDescent="0.25">
      <c r="B18" s="23" t="s">
        <v>45</v>
      </c>
      <c r="C18" s="49">
        <f>AVERAGE('29.07 Bweyogerere-Nalya'!C18,'30.07 Bweyogerere-Nalya'!C18,'31.07 Bweyogerere-Nalya'!C18,'02.08 Bweyogerere-Nalya'!C18,'01.08 Bweyogerere-Nalya-24h'!C18,'03.08 Bweyogerere-Nalya-24h'!C18,'04.08 Bweyogerere-Nalya'!C18)</f>
        <v>28.142857142857142</v>
      </c>
      <c r="D18" s="49">
        <f>AVERAGE('29.07 Bweyogerere-Nalya'!D18,'30.07 Bweyogerere-Nalya'!D18,'31.07 Bweyogerere-Nalya'!D18,'02.08 Bweyogerere-Nalya'!D18,'01.08 Bweyogerere-Nalya-24h'!D18,'03.08 Bweyogerere-Nalya-24h'!D18,'04.08 Bweyogerere-Nalya'!D18)</f>
        <v>7.5714285714285712</v>
      </c>
      <c r="E18" s="49">
        <f>AVERAGE('29.07 Bweyogerere-Nalya'!E18,'30.07 Bweyogerere-Nalya'!E18,'31.07 Bweyogerere-Nalya'!E18,'02.08 Bweyogerere-Nalya'!E18,'01.08 Bweyogerere-Nalya-24h'!E18,'03.08 Bweyogerere-Nalya-24h'!E18,'04.08 Bweyogerere-Nalya'!E18)</f>
        <v>4.1428571428571432</v>
      </c>
      <c r="F18" s="49">
        <f>AVERAGE('29.07 Bweyogerere-Nalya'!F18,'30.07 Bweyogerere-Nalya'!F18,'31.07 Bweyogerere-Nalya'!F18,'02.08 Bweyogerere-Nalya'!F18,'01.08 Bweyogerere-Nalya-24h'!F18,'03.08 Bweyogerere-Nalya-24h'!F18,'04.08 Bweyogerere-Nalya'!F18)</f>
        <v>21.142857142857142</v>
      </c>
      <c r="G18" s="49">
        <f>AVERAGE('29.07 Bweyogerere-Nalya'!G18,'30.07 Bweyogerere-Nalya'!G18,'31.07 Bweyogerere-Nalya'!G18,'02.08 Bweyogerere-Nalya'!G18,'01.08 Bweyogerere-Nalya-24h'!G18,'03.08 Bweyogerere-Nalya-24h'!G18,'04.08 Bweyogerere-Nalya'!G18)</f>
        <v>0.5714285714285714</v>
      </c>
      <c r="H18" s="49">
        <f>AVERAGE('29.07 Bweyogerere-Nalya'!H18,'30.07 Bweyogerere-Nalya'!H18,'31.07 Bweyogerere-Nalya'!H18,'02.08 Bweyogerere-Nalya'!H18,'01.08 Bweyogerere-Nalya-24h'!H18,'03.08 Bweyogerere-Nalya-24h'!H18,'04.08 Bweyogerere-Nalya'!H18)</f>
        <v>0</v>
      </c>
      <c r="I18" s="49">
        <f>AVERAGE('29.07 Bweyogerere-Nalya'!I18,'30.07 Bweyogerere-Nalya'!I18,'31.07 Bweyogerere-Nalya'!I18,'02.08 Bweyogerere-Nalya'!I18,'01.08 Bweyogerere-Nalya-24h'!I18,'03.08 Bweyogerere-Nalya-24h'!I18,'04.08 Bweyogerere-Nalya'!I18)</f>
        <v>4.4285714285714288</v>
      </c>
      <c r="J18" s="49">
        <f>AVERAGE('29.07 Bweyogerere-Nalya'!J18,'30.07 Bweyogerere-Nalya'!J18,'31.07 Bweyogerere-Nalya'!J18,'02.08 Bweyogerere-Nalya'!J18,'01.08 Bweyogerere-Nalya-24h'!J18,'03.08 Bweyogerere-Nalya-24h'!J18,'04.08 Bweyogerere-Nalya'!J18)</f>
        <v>3</v>
      </c>
      <c r="K18" s="49">
        <f>AVERAGE('29.07 Bweyogerere-Nalya'!K18,'30.07 Bweyogerere-Nalya'!K18,'31.07 Bweyogerere-Nalya'!K18,'02.08 Bweyogerere-Nalya'!K18,'01.08 Bweyogerere-Nalya-24h'!K18,'03.08 Bweyogerere-Nalya-24h'!K18,'04.08 Bweyogerere-Nalya'!K18)</f>
        <v>3.7142857142857144</v>
      </c>
      <c r="L18" s="49">
        <f>AVERAGE('29.07 Bweyogerere-Nalya'!L18,'30.07 Bweyogerere-Nalya'!L18,'31.07 Bweyogerere-Nalya'!L18,'02.08 Bweyogerere-Nalya'!L18,'01.08 Bweyogerere-Nalya-24h'!L18,'03.08 Bweyogerere-Nalya-24h'!L18,'04.08 Bweyogerere-Nalya'!L18)</f>
        <v>4.2857142857142856</v>
      </c>
      <c r="M18" s="49">
        <f>AVERAGE('29.07 Bweyogerere-Nalya'!M18,'30.07 Bweyogerere-Nalya'!M18,'31.07 Bweyogerere-Nalya'!M18,'02.08 Bweyogerere-Nalya'!M18,'01.08 Bweyogerere-Nalya-24h'!M18,'03.08 Bweyogerere-Nalya-24h'!M18,'04.08 Bweyogerere-Nalya'!M18)</f>
        <v>36.142857142857146</v>
      </c>
      <c r="N18" s="49">
        <f>AVERAGE('29.07 Bweyogerere-Nalya'!N18,'30.07 Bweyogerere-Nalya'!N18,'31.07 Bweyogerere-Nalya'!N18,'02.08 Bweyogerere-Nalya'!N18,'01.08 Bweyogerere-Nalya-24h'!N18,'03.08 Bweyogerere-Nalya-24h'!N18,'04.08 Bweyogerere-Nalya'!N18)</f>
        <v>0</v>
      </c>
      <c r="O18" s="15">
        <f t="shared" si="0"/>
        <v>77</v>
      </c>
      <c r="P18" s="15">
        <f t="shared" si="1"/>
        <v>113.14285714285714</v>
      </c>
      <c r="R18" s="1" t="s">
        <v>14</v>
      </c>
      <c r="S18" s="17">
        <f t="shared" ref="S18:AF18" si="10">SUM(C42:C45)</f>
        <v>75.714285714285708</v>
      </c>
      <c r="T18" s="17">
        <f t="shared" si="10"/>
        <v>32.857142857142861</v>
      </c>
      <c r="U18" s="17">
        <f t="shared" si="10"/>
        <v>13.428571428571427</v>
      </c>
      <c r="V18" s="17">
        <f t="shared" si="10"/>
        <v>76.285714285714292</v>
      </c>
      <c r="W18" s="17">
        <f t="shared" si="10"/>
        <v>0.99999999999999978</v>
      </c>
      <c r="X18" s="17">
        <f t="shared" si="10"/>
        <v>0.14285714285714285</v>
      </c>
      <c r="Y18" s="17">
        <f t="shared" si="10"/>
        <v>21.285714285714285</v>
      </c>
      <c r="Z18" s="17">
        <f t="shared" si="10"/>
        <v>18.714285714285715</v>
      </c>
      <c r="AA18" s="17">
        <f t="shared" si="10"/>
        <v>16.571428571428573</v>
      </c>
      <c r="AB18" s="17">
        <f t="shared" si="10"/>
        <v>19.714285714285715</v>
      </c>
      <c r="AC18" s="17">
        <f t="shared" si="10"/>
        <v>137.71428571428572</v>
      </c>
      <c r="AD18" s="17">
        <f t="shared" si="10"/>
        <v>0</v>
      </c>
      <c r="AE18" s="31">
        <f t="shared" si="10"/>
        <v>275.71428571428572</v>
      </c>
      <c r="AF18" s="31">
        <f t="shared" si="10"/>
        <v>413.42857142857144</v>
      </c>
    </row>
    <row r="19" spans="2:32" ht="23.1" customHeight="1" x14ac:dyDescent="0.25">
      <c r="B19" s="23" t="s">
        <v>46</v>
      </c>
      <c r="C19" s="49">
        <f>AVERAGE('29.07 Bweyogerere-Nalya'!C19,'30.07 Bweyogerere-Nalya'!C19,'31.07 Bweyogerere-Nalya'!C19,'02.08 Bweyogerere-Nalya'!C19,'01.08 Bweyogerere-Nalya-24h'!C19,'03.08 Bweyogerere-Nalya-24h'!C19,'04.08 Bweyogerere-Nalya'!C19)</f>
        <v>24.571428571428573</v>
      </c>
      <c r="D19" s="49">
        <f>AVERAGE('29.07 Bweyogerere-Nalya'!D19,'30.07 Bweyogerere-Nalya'!D19,'31.07 Bweyogerere-Nalya'!D19,'02.08 Bweyogerere-Nalya'!D19,'01.08 Bweyogerere-Nalya-24h'!D19,'03.08 Bweyogerere-Nalya-24h'!D19,'04.08 Bweyogerere-Nalya'!D19)</f>
        <v>7.8571428571428568</v>
      </c>
      <c r="E19" s="49">
        <f>AVERAGE('29.07 Bweyogerere-Nalya'!E19,'30.07 Bweyogerere-Nalya'!E19,'31.07 Bweyogerere-Nalya'!E19,'02.08 Bweyogerere-Nalya'!E19,'01.08 Bweyogerere-Nalya-24h'!E19,'03.08 Bweyogerere-Nalya-24h'!E19,'04.08 Bweyogerere-Nalya'!E19)</f>
        <v>3.5714285714285716</v>
      </c>
      <c r="F19" s="49">
        <f>AVERAGE('29.07 Bweyogerere-Nalya'!F19,'30.07 Bweyogerere-Nalya'!F19,'31.07 Bweyogerere-Nalya'!F19,'02.08 Bweyogerere-Nalya'!F19,'01.08 Bweyogerere-Nalya-24h'!F19,'03.08 Bweyogerere-Nalya-24h'!F19,'04.08 Bweyogerere-Nalya'!F19)</f>
        <v>18.857142857142858</v>
      </c>
      <c r="G19" s="49">
        <f>AVERAGE('29.07 Bweyogerere-Nalya'!G19,'30.07 Bweyogerere-Nalya'!G19,'31.07 Bweyogerere-Nalya'!G19,'02.08 Bweyogerere-Nalya'!G19,'01.08 Bweyogerere-Nalya-24h'!G19,'03.08 Bweyogerere-Nalya-24h'!G19,'04.08 Bweyogerere-Nalya'!G19)</f>
        <v>1.1428571428571428</v>
      </c>
      <c r="H19" s="49">
        <f>AVERAGE('29.07 Bweyogerere-Nalya'!H19,'30.07 Bweyogerere-Nalya'!H19,'31.07 Bweyogerere-Nalya'!H19,'02.08 Bweyogerere-Nalya'!H19,'01.08 Bweyogerere-Nalya-24h'!H19,'03.08 Bweyogerere-Nalya-24h'!H19,'04.08 Bweyogerere-Nalya'!H19)</f>
        <v>0.14285714285714285</v>
      </c>
      <c r="I19" s="49">
        <f>AVERAGE('29.07 Bweyogerere-Nalya'!I19,'30.07 Bweyogerere-Nalya'!I19,'31.07 Bweyogerere-Nalya'!I19,'02.08 Bweyogerere-Nalya'!I19,'01.08 Bweyogerere-Nalya-24h'!I19,'03.08 Bweyogerere-Nalya-24h'!I19,'04.08 Bweyogerere-Nalya'!I19)</f>
        <v>4.4285714285714288</v>
      </c>
      <c r="J19" s="49">
        <f>AVERAGE('29.07 Bweyogerere-Nalya'!J19,'30.07 Bweyogerere-Nalya'!J19,'31.07 Bweyogerere-Nalya'!J19,'02.08 Bweyogerere-Nalya'!J19,'01.08 Bweyogerere-Nalya-24h'!J19,'03.08 Bweyogerere-Nalya-24h'!J19,'04.08 Bweyogerere-Nalya'!J19)</f>
        <v>4.2857142857142856</v>
      </c>
      <c r="K19" s="49">
        <f>AVERAGE('29.07 Bweyogerere-Nalya'!K19,'30.07 Bweyogerere-Nalya'!K19,'31.07 Bweyogerere-Nalya'!K19,'02.08 Bweyogerere-Nalya'!K19,'01.08 Bweyogerere-Nalya-24h'!K19,'03.08 Bweyogerere-Nalya-24h'!K19,'04.08 Bweyogerere-Nalya'!K19)</f>
        <v>2</v>
      </c>
      <c r="L19" s="49">
        <f>AVERAGE('29.07 Bweyogerere-Nalya'!L19,'30.07 Bweyogerere-Nalya'!L19,'31.07 Bweyogerere-Nalya'!L19,'02.08 Bweyogerere-Nalya'!L19,'01.08 Bweyogerere-Nalya-24h'!L19,'03.08 Bweyogerere-Nalya-24h'!L19,'04.08 Bweyogerere-Nalya'!L19)</f>
        <v>5.5714285714285712</v>
      </c>
      <c r="M19" s="49">
        <f>AVERAGE('29.07 Bweyogerere-Nalya'!M19,'30.07 Bweyogerere-Nalya'!M19,'31.07 Bweyogerere-Nalya'!M19,'02.08 Bweyogerere-Nalya'!M19,'01.08 Bweyogerere-Nalya-24h'!M19,'03.08 Bweyogerere-Nalya-24h'!M19,'04.08 Bweyogerere-Nalya'!M19)</f>
        <v>35.428571428571431</v>
      </c>
      <c r="N19" s="49">
        <f>AVERAGE('29.07 Bweyogerere-Nalya'!N19,'30.07 Bweyogerere-Nalya'!N19,'31.07 Bweyogerere-Nalya'!N19,'02.08 Bweyogerere-Nalya'!N19,'01.08 Bweyogerere-Nalya-24h'!N19,'03.08 Bweyogerere-Nalya-24h'!N19,'04.08 Bweyogerere-Nalya'!N19)</f>
        <v>0</v>
      </c>
      <c r="O19" s="15">
        <f t="shared" si="0"/>
        <v>72.428571428571445</v>
      </c>
      <c r="P19" s="15">
        <f t="shared" si="1"/>
        <v>107.85714285714288</v>
      </c>
      <c r="R19" s="1" t="s">
        <v>15</v>
      </c>
      <c r="S19" s="17">
        <f t="shared" ref="S19:AF19" si="11">SUM(C46:C49)</f>
        <v>87.571428571428584</v>
      </c>
      <c r="T19" s="17">
        <f t="shared" si="11"/>
        <v>31.428571428571431</v>
      </c>
      <c r="U19" s="17">
        <f t="shared" si="11"/>
        <v>17.428571428571431</v>
      </c>
      <c r="V19" s="17">
        <f t="shared" si="11"/>
        <v>81.285714285714292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17.142857142857142</v>
      </c>
      <c r="Z19" s="17">
        <f t="shared" si="11"/>
        <v>17.571428571428569</v>
      </c>
      <c r="AA19" s="17">
        <f t="shared" si="11"/>
        <v>14</v>
      </c>
      <c r="AB19" s="17">
        <f t="shared" si="11"/>
        <v>19.571428571428573</v>
      </c>
      <c r="AC19" s="17">
        <f t="shared" si="11"/>
        <v>138</v>
      </c>
      <c r="AD19" s="17">
        <f t="shared" si="11"/>
        <v>0.14285714285714285</v>
      </c>
      <c r="AE19" s="31">
        <f t="shared" si="11"/>
        <v>287.71428571428572</v>
      </c>
      <c r="AF19" s="31">
        <f t="shared" si="11"/>
        <v>425.71428571428572</v>
      </c>
    </row>
    <row r="20" spans="2:32" ht="23.1" customHeight="1" x14ac:dyDescent="0.25">
      <c r="B20" s="23" t="s">
        <v>47</v>
      </c>
      <c r="C20" s="49">
        <f>AVERAGE('29.07 Bweyogerere-Nalya'!C20,'30.07 Bweyogerere-Nalya'!C20,'31.07 Bweyogerere-Nalya'!C20,'02.08 Bweyogerere-Nalya'!C20,'01.08 Bweyogerere-Nalya-24h'!C20,'03.08 Bweyogerere-Nalya-24h'!C20,'04.08 Bweyogerere-Nalya'!C20)</f>
        <v>31.142857142857142</v>
      </c>
      <c r="D20" s="49">
        <f>AVERAGE('29.07 Bweyogerere-Nalya'!D20,'30.07 Bweyogerere-Nalya'!D20,'31.07 Bweyogerere-Nalya'!D20,'02.08 Bweyogerere-Nalya'!D20,'01.08 Bweyogerere-Nalya-24h'!D20,'03.08 Bweyogerere-Nalya-24h'!D20,'04.08 Bweyogerere-Nalya'!D20)</f>
        <v>8.4285714285714288</v>
      </c>
      <c r="E20" s="49">
        <f>AVERAGE('29.07 Bweyogerere-Nalya'!E20,'30.07 Bweyogerere-Nalya'!E20,'31.07 Bweyogerere-Nalya'!E20,'02.08 Bweyogerere-Nalya'!E20,'01.08 Bweyogerere-Nalya-24h'!E20,'03.08 Bweyogerere-Nalya-24h'!E20,'04.08 Bweyogerere-Nalya'!E20)</f>
        <v>4.2857142857142856</v>
      </c>
      <c r="F20" s="49">
        <f>AVERAGE('29.07 Bweyogerere-Nalya'!F20,'30.07 Bweyogerere-Nalya'!F20,'31.07 Bweyogerere-Nalya'!F20,'02.08 Bweyogerere-Nalya'!F20,'01.08 Bweyogerere-Nalya-24h'!F20,'03.08 Bweyogerere-Nalya-24h'!F20,'04.08 Bweyogerere-Nalya'!F20)</f>
        <v>21</v>
      </c>
      <c r="G20" s="49">
        <f>AVERAGE('29.07 Bweyogerere-Nalya'!G20,'30.07 Bweyogerere-Nalya'!G20,'31.07 Bweyogerere-Nalya'!G20,'02.08 Bweyogerere-Nalya'!G20,'01.08 Bweyogerere-Nalya-24h'!G20,'03.08 Bweyogerere-Nalya-24h'!G20,'04.08 Bweyogerere-Nalya'!G20)</f>
        <v>1</v>
      </c>
      <c r="H20" s="49">
        <f>AVERAGE('29.07 Bweyogerere-Nalya'!H20,'30.07 Bweyogerere-Nalya'!H20,'31.07 Bweyogerere-Nalya'!H20,'02.08 Bweyogerere-Nalya'!H20,'01.08 Bweyogerere-Nalya-24h'!H20,'03.08 Bweyogerere-Nalya-24h'!H20,'04.08 Bweyogerere-Nalya'!H20)</f>
        <v>0</v>
      </c>
      <c r="I20" s="49">
        <f>AVERAGE('29.07 Bweyogerere-Nalya'!I20,'30.07 Bweyogerere-Nalya'!I20,'31.07 Bweyogerere-Nalya'!I20,'02.08 Bweyogerere-Nalya'!I20,'01.08 Bweyogerere-Nalya-24h'!I20,'03.08 Bweyogerere-Nalya-24h'!I20,'04.08 Bweyogerere-Nalya'!I20)</f>
        <v>3.2857142857142856</v>
      </c>
      <c r="J20" s="49">
        <f>AVERAGE('29.07 Bweyogerere-Nalya'!J20,'30.07 Bweyogerere-Nalya'!J20,'31.07 Bweyogerere-Nalya'!J20,'02.08 Bweyogerere-Nalya'!J20,'01.08 Bweyogerere-Nalya-24h'!J20,'03.08 Bweyogerere-Nalya-24h'!J20,'04.08 Bweyogerere-Nalya'!J20)</f>
        <v>6.7142857142857144</v>
      </c>
      <c r="K20" s="49">
        <f>AVERAGE('29.07 Bweyogerere-Nalya'!K20,'30.07 Bweyogerere-Nalya'!K20,'31.07 Bweyogerere-Nalya'!K20,'02.08 Bweyogerere-Nalya'!K20,'01.08 Bweyogerere-Nalya-24h'!K20,'03.08 Bweyogerere-Nalya-24h'!K20,'04.08 Bweyogerere-Nalya'!K20)</f>
        <v>3.4285714285714284</v>
      </c>
      <c r="L20" s="49">
        <f>AVERAGE('29.07 Bweyogerere-Nalya'!L20,'30.07 Bweyogerere-Nalya'!L20,'31.07 Bweyogerere-Nalya'!L20,'02.08 Bweyogerere-Nalya'!L20,'01.08 Bweyogerere-Nalya-24h'!L20,'03.08 Bweyogerere-Nalya-24h'!L20,'04.08 Bweyogerere-Nalya'!L20)</f>
        <v>4</v>
      </c>
      <c r="M20" s="49">
        <f>AVERAGE('29.07 Bweyogerere-Nalya'!M20,'30.07 Bweyogerere-Nalya'!M20,'31.07 Bweyogerere-Nalya'!M20,'02.08 Bweyogerere-Nalya'!M20,'01.08 Bweyogerere-Nalya-24h'!M20,'03.08 Bweyogerere-Nalya-24h'!M20,'04.08 Bweyogerere-Nalya'!M20)</f>
        <v>39.714285714285715</v>
      </c>
      <c r="N20" s="49">
        <f>AVERAGE('29.07 Bweyogerere-Nalya'!N20,'30.07 Bweyogerere-Nalya'!N20,'31.07 Bweyogerere-Nalya'!N20,'02.08 Bweyogerere-Nalya'!N20,'01.08 Bweyogerere-Nalya-24h'!N20,'03.08 Bweyogerere-Nalya-24h'!N20,'04.08 Bweyogerere-Nalya'!N20)</f>
        <v>0.2857142857142857</v>
      </c>
      <c r="O20" s="15">
        <f t="shared" si="0"/>
        <v>83.571428571428584</v>
      </c>
      <c r="P20" s="15">
        <f t="shared" si="1"/>
        <v>123.28571428571429</v>
      </c>
      <c r="R20" s="1" t="s">
        <v>16</v>
      </c>
      <c r="S20" s="17">
        <f t="shared" ref="S20:AF20" si="12">SUM(C50:C53)</f>
        <v>111.57142857142857</v>
      </c>
      <c r="T20" s="17">
        <f t="shared" si="12"/>
        <v>31.142857142857146</v>
      </c>
      <c r="U20" s="17">
        <f t="shared" si="12"/>
        <v>19</v>
      </c>
      <c r="V20" s="17">
        <f t="shared" si="12"/>
        <v>103.14285714285715</v>
      </c>
      <c r="W20" s="17">
        <f t="shared" si="12"/>
        <v>1</v>
      </c>
      <c r="X20" s="17">
        <f t="shared" si="12"/>
        <v>0</v>
      </c>
      <c r="Y20" s="17">
        <f t="shared" si="12"/>
        <v>17.714285714285715</v>
      </c>
      <c r="Z20" s="17">
        <f t="shared" si="12"/>
        <v>26.857142857142858</v>
      </c>
      <c r="AA20" s="17">
        <f t="shared" si="12"/>
        <v>9.7142857142857135</v>
      </c>
      <c r="AB20" s="17">
        <f t="shared" si="12"/>
        <v>21.142857142857142</v>
      </c>
      <c r="AC20" s="17">
        <f t="shared" si="12"/>
        <v>181.57142857142858</v>
      </c>
      <c r="AD20" s="17">
        <f t="shared" si="12"/>
        <v>0</v>
      </c>
      <c r="AE20" s="31">
        <f t="shared" si="12"/>
        <v>341.28571428571422</v>
      </c>
      <c r="AF20" s="31">
        <f t="shared" si="12"/>
        <v>522.85714285714289</v>
      </c>
    </row>
    <row r="21" spans="2:32" ht="23.1" customHeight="1" x14ac:dyDescent="0.25">
      <c r="B21" s="23" t="s">
        <v>48</v>
      </c>
      <c r="C21" s="49">
        <f>AVERAGE('29.07 Bweyogerere-Nalya'!C21,'30.07 Bweyogerere-Nalya'!C21,'31.07 Bweyogerere-Nalya'!C21,'02.08 Bweyogerere-Nalya'!C21,'01.08 Bweyogerere-Nalya-24h'!C21,'03.08 Bweyogerere-Nalya-24h'!C21,'04.08 Bweyogerere-Nalya'!C21)</f>
        <v>21.714285714285715</v>
      </c>
      <c r="D21" s="49">
        <f>AVERAGE('29.07 Bweyogerere-Nalya'!D21,'30.07 Bweyogerere-Nalya'!D21,'31.07 Bweyogerere-Nalya'!D21,'02.08 Bweyogerere-Nalya'!D21,'01.08 Bweyogerere-Nalya-24h'!D21,'03.08 Bweyogerere-Nalya-24h'!D21,'04.08 Bweyogerere-Nalya'!D21)</f>
        <v>6.8571428571428568</v>
      </c>
      <c r="E21" s="49">
        <f>AVERAGE('29.07 Bweyogerere-Nalya'!E21,'30.07 Bweyogerere-Nalya'!E21,'31.07 Bweyogerere-Nalya'!E21,'02.08 Bweyogerere-Nalya'!E21,'01.08 Bweyogerere-Nalya-24h'!E21,'03.08 Bweyogerere-Nalya-24h'!E21,'04.08 Bweyogerere-Nalya'!E21)</f>
        <v>3.2857142857142856</v>
      </c>
      <c r="F21" s="49">
        <f>AVERAGE('29.07 Bweyogerere-Nalya'!F21,'30.07 Bweyogerere-Nalya'!F21,'31.07 Bweyogerere-Nalya'!F21,'02.08 Bweyogerere-Nalya'!F21,'01.08 Bweyogerere-Nalya-24h'!F21,'03.08 Bweyogerere-Nalya-24h'!F21,'04.08 Bweyogerere-Nalya'!F21)</f>
        <v>19.714285714285715</v>
      </c>
      <c r="G21" s="49">
        <f>AVERAGE('29.07 Bweyogerere-Nalya'!G21,'30.07 Bweyogerere-Nalya'!G21,'31.07 Bweyogerere-Nalya'!G21,'02.08 Bweyogerere-Nalya'!G21,'01.08 Bweyogerere-Nalya-24h'!G21,'03.08 Bweyogerere-Nalya-24h'!G21,'04.08 Bweyogerere-Nalya'!G21)</f>
        <v>0.42857142857142855</v>
      </c>
      <c r="H21" s="49">
        <f>AVERAGE('29.07 Bweyogerere-Nalya'!H21,'30.07 Bweyogerere-Nalya'!H21,'31.07 Bweyogerere-Nalya'!H21,'02.08 Bweyogerere-Nalya'!H21,'01.08 Bweyogerere-Nalya-24h'!H21,'03.08 Bweyogerere-Nalya-24h'!H21,'04.08 Bweyogerere-Nalya'!H21)</f>
        <v>0</v>
      </c>
      <c r="I21" s="49">
        <f>AVERAGE('29.07 Bweyogerere-Nalya'!I21,'30.07 Bweyogerere-Nalya'!I21,'31.07 Bweyogerere-Nalya'!I21,'02.08 Bweyogerere-Nalya'!I21,'01.08 Bweyogerere-Nalya-24h'!I21,'03.08 Bweyogerere-Nalya-24h'!I21,'04.08 Bweyogerere-Nalya'!I21)</f>
        <v>4.4285714285714288</v>
      </c>
      <c r="J21" s="49">
        <f>AVERAGE('29.07 Bweyogerere-Nalya'!J21,'30.07 Bweyogerere-Nalya'!J21,'31.07 Bweyogerere-Nalya'!J21,'02.08 Bweyogerere-Nalya'!J21,'01.08 Bweyogerere-Nalya-24h'!J21,'03.08 Bweyogerere-Nalya-24h'!J21,'04.08 Bweyogerere-Nalya'!J21)</f>
        <v>5</v>
      </c>
      <c r="K21" s="49">
        <f>AVERAGE('29.07 Bweyogerere-Nalya'!K21,'30.07 Bweyogerere-Nalya'!K21,'31.07 Bweyogerere-Nalya'!K21,'02.08 Bweyogerere-Nalya'!K21,'01.08 Bweyogerere-Nalya-24h'!K21,'03.08 Bweyogerere-Nalya-24h'!K21,'04.08 Bweyogerere-Nalya'!K21)</f>
        <v>3.1428571428571428</v>
      </c>
      <c r="L21" s="49">
        <f>AVERAGE('29.07 Bweyogerere-Nalya'!L21,'30.07 Bweyogerere-Nalya'!L21,'31.07 Bweyogerere-Nalya'!L21,'02.08 Bweyogerere-Nalya'!L21,'01.08 Bweyogerere-Nalya-24h'!L21,'03.08 Bweyogerere-Nalya-24h'!L21,'04.08 Bweyogerere-Nalya'!L21)</f>
        <v>4.8571428571428568</v>
      </c>
      <c r="M21" s="49">
        <f>AVERAGE('29.07 Bweyogerere-Nalya'!M21,'30.07 Bweyogerere-Nalya'!M21,'31.07 Bweyogerere-Nalya'!M21,'02.08 Bweyogerere-Nalya'!M21,'01.08 Bweyogerere-Nalya-24h'!M21,'03.08 Bweyogerere-Nalya-24h'!M21,'04.08 Bweyogerere-Nalya'!M21)</f>
        <v>40.142857142857146</v>
      </c>
      <c r="N21" s="49">
        <f>AVERAGE('29.07 Bweyogerere-Nalya'!N21,'30.07 Bweyogerere-Nalya'!N21,'31.07 Bweyogerere-Nalya'!N21,'02.08 Bweyogerere-Nalya'!N21,'01.08 Bweyogerere-Nalya-24h'!N21,'03.08 Bweyogerere-Nalya-24h'!N21,'04.08 Bweyogerere-Nalya'!N21)</f>
        <v>0</v>
      </c>
      <c r="O21" s="15">
        <f t="shared" si="0"/>
        <v>69.428571428571431</v>
      </c>
      <c r="P21" s="15">
        <f t="shared" si="1"/>
        <v>109.57142857142858</v>
      </c>
      <c r="R21" s="36" t="s">
        <v>20</v>
      </c>
      <c r="S21" s="34">
        <f t="shared" ref="S21:AF21" si="13">SUM(C54:C57)</f>
        <v>139.42857142857142</v>
      </c>
      <c r="T21" s="17">
        <f t="shared" si="13"/>
        <v>43.285714285714285</v>
      </c>
      <c r="U21" s="17">
        <f t="shared" si="13"/>
        <v>17.428571428571427</v>
      </c>
      <c r="V21" s="17">
        <f t="shared" si="13"/>
        <v>133.85714285714286</v>
      </c>
      <c r="W21" s="17">
        <f t="shared" si="13"/>
        <v>3.2857142857142856</v>
      </c>
      <c r="X21" s="17">
        <f t="shared" si="13"/>
        <v>0.71428571428571419</v>
      </c>
      <c r="Y21" s="17">
        <f t="shared" si="13"/>
        <v>17.714285714285715</v>
      </c>
      <c r="Z21" s="17">
        <f t="shared" si="13"/>
        <v>24</v>
      </c>
      <c r="AA21" s="17">
        <f t="shared" si="13"/>
        <v>15.428571428571429</v>
      </c>
      <c r="AB21" s="17">
        <f t="shared" si="13"/>
        <v>16.714285714285715</v>
      </c>
      <c r="AC21" s="17">
        <f t="shared" si="13"/>
        <v>199.14285714285717</v>
      </c>
      <c r="AD21" s="17">
        <f t="shared" si="13"/>
        <v>0.14285714285714285</v>
      </c>
      <c r="AE21" s="31">
        <f t="shared" si="13"/>
        <v>411.99999999999994</v>
      </c>
      <c r="AF21" s="31">
        <f t="shared" si="13"/>
        <v>611.14285714285722</v>
      </c>
    </row>
    <row r="22" spans="2:32" ht="23.1" customHeight="1" x14ac:dyDescent="0.25">
      <c r="B22" s="23" t="s">
        <v>49</v>
      </c>
      <c r="C22" s="49">
        <f>AVERAGE('29.07 Bweyogerere-Nalya'!C22,'30.07 Bweyogerere-Nalya'!C22,'31.07 Bweyogerere-Nalya'!C22,'02.08 Bweyogerere-Nalya'!C22,'01.08 Bweyogerere-Nalya-24h'!C22,'03.08 Bweyogerere-Nalya-24h'!C22,'04.08 Bweyogerere-Nalya'!C22)</f>
        <v>24.714285714285715</v>
      </c>
      <c r="D22" s="49">
        <f>AVERAGE('29.07 Bweyogerere-Nalya'!D22,'30.07 Bweyogerere-Nalya'!D22,'31.07 Bweyogerere-Nalya'!D22,'02.08 Bweyogerere-Nalya'!D22,'01.08 Bweyogerere-Nalya-24h'!D22,'03.08 Bweyogerere-Nalya-24h'!D22,'04.08 Bweyogerere-Nalya'!D22)</f>
        <v>9.1428571428571423</v>
      </c>
      <c r="E22" s="49">
        <f>AVERAGE('29.07 Bweyogerere-Nalya'!E22,'30.07 Bweyogerere-Nalya'!E22,'31.07 Bweyogerere-Nalya'!E22,'02.08 Bweyogerere-Nalya'!E22,'01.08 Bweyogerere-Nalya-24h'!E22,'03.08 Bweyogerere-Nalya-24h'!E22,'04.08 Bweyogerere-Nalya'!E22)</f>
        <v>6.2857142857142856</v>
      </c>
      <c r="F22" s="49">
        <f>AVERAGE('29.07 Bweyogerere-Nalya'!F22,'30.07 Bweyogerere-Nalya'!F22,'31.07 Bweyogerere-Nalya'!F22,'02.08 Bweyogerere-Nalya'!F22,'01.08 Bweyogerere-Nalya-24h'!F22,'03.08 Bweyogerere-Nalya-24h'!F22,'04.08 Bweyogerere-Nalya'!F22)</f>
        <v>24.571428571428573</v>
      </c>
      <c r="G22" s="49">
        <f>AVERAGE('29.07 Bweyogerere-Nalya'!G22,'30.07 Bweyogerere-Nalya'!G22,'31.07 Bweyogerere-Nalya'!G22,'02.08 Bweyogerere-Nalya'!G22,'01.08 Bweyogerere-Nalya-24h'!G22,'03.08 Bweyogerere-Nalya-24h'!G22,'04.08 Bweyogerere-Nalya'!G22)</f>
        <v>1.2857142857142858</v>
      </c>
      <c r="H22" s="49">
        <f>AVERAGE('29.07 Bweyogerere-Nalya'!H22,'30.07 Bweyogerere-Nalya'!H22,'31.07 Bweyogerere-Nalya'!H22,'02.08 Bweyogerere-Nalya'!H22,'01.08 Bweyogerere-Nalya-24h'!H22,'03.08 Bweyogerere-Nalya-24h'!H22,'04.08 Bweyogerere-Nalya'!H22)</f>
        <v>0</v>
      </c>
      <c r="I22" s="49">
        <f>AVERAGE('29.07 Bweyogerere-Nalya'!I22,'30.07 Bweyogerere-Nalya'!I22,'31.07 Bweyogerere-Nalya'!I22,'02.08 Bweyogerere-Nalya'!I22,'01.08 Bweyogerere-Nalya-24h'!I22,'03.08 Bweyogerere-Nalya-24h'!I22,'04.08 Bweyogerere-Nalya'!I22)</f>
        <v>3.1428571428571428</v>
      </c>
      <c r="J22" s="49">
        <f>AVERAGE('29.07 Bweyogerere-Nalya'!J22,'30.07 Bweyogerere-Nalya'!J22,'31.07 Bweyogerere-Nalya'!J22,'02.08 Bweyogerere-Nalya'!J22,'01.08 Bweyogerere-Nalya-24h'!J22,'03.08 Bweyogerere-Nalya-24h'!J22,'04.08 Bweyogerere-Nalya'!J22)</f>
        <v>5</v>
      </c>
      <c r="K22" s="49">
        <f>AVERAGE('29.07 Bweyogerere-Nalya'!K22,'30.07 Bweyogerere-Nalya'!K22,'31.07 Bweyogerere-Nalya'!K22,'02.08 Bweyogerere-Nalya'!K22,'01.08 Bweyogerere-Nalya-24h'!K22,'03.08 Bweyogerere-Nalya-24h'!K22,'04.08 Bweyogerere-Nalya'!K22)</f>
        <v>2</v>
      </c>
      <c r="L22" s="49">
        <f>AVERAGE('29.07 Bweyogerere-Nalya'!L22,'30.07 Bweyogerere-Nalya'!L22,'31.07 Bweyogerere-Nalya'!L22,'02.08 Bweyogerere-Nalya'!L22,'01.08 Bweyogerere-Nalya-24h'!L22,'03.08 Bweyogerere-Nalya-24h'!L22,'04.08 Bweyogerere-Nalya'!L22)</f>
        <v>4.7142857142857144</v>
      </c>
      <c r="M22" s="49">
        <f>AVERAGE('29.07 Bweyogerere-Nalya'!M22,'30.07 Bweyogerere-Nalya'!M22,'31.07 Bweyogerere-Nalya'!M22,'02.08 Bweyogerere-Nalya'!M22,'01.08 Bweyogerere-Nalya-24h'!M22,'03.08 Bweyogerere-Nalya-24h'!M22,'04.08 Bweyogerere-Nalya'!M22)</f>
        <v>42</v>
      </c>
      <c r="N22" s="49">
        <f>AVERAGE('29.07 Bweyogerere-Nalya'!N22,'30.07 Bweyogerere-Nalya'!N22,'31.07 Bweyogerere-Nalya'!N22,'02.08 Bweyogerere-Nalya'!N22,'01.08 Bweyogerere-Nalya-24h'!N22,'03.08 Bweyogerere-Nalya-24h'!N22,'04.08 Bweyogerere-Nalya'!N22)</f>
        <v>0.14285714285714285</v>
      </c>
      <c r="O22" s="15">
        <f t="shared" si="0"/>
        <v>81</v>
      </c>
      <c r="P22" s="15">
        <f t="shared" si="1"/>
        <v>123</v>
      </c>
      <c r="R22" s="1" t="s">
        <v>146</v>
      </c>
      <c r="S22" s="34">
        <f>SUM(C58:C61)</f>
        <v>73</v>
      </c>
      <c r="T22" s="34">
        <f t="shared" ref="T22:AF22" si="14">SUM(D58:D61)</f>
        <v>39</v>
      </c>
      <c r="U22" s="34">
        <f t="shared" si="14"/>
        <v>13</v>
      </c>
      <c r="V22" s="34">
        <f t="shared" si="14"/>
        <v>82.5</v>
      </c>
      <c r="W22" s="34">
        <f t="shared" si="14"/>
        <v>4</v>
      </c>
      <c r="X22" s="34">
        <f t="shared" si="14"/>
        <v>0</v>
      </c>
      <c r="Y22" s="34">
        <f t="shared" si="14"/>
        <v>8.5</v>
      </c>
      <c r="Z22" s="34">
        <f t="shared" si="14"/>
        <v>16</v>
      </c>
      <c r="AA22" s="34">
        <f t="shared" si="14"/>
        <v>8.5</v>
      </c>
      <c r="AB22" s="34">
        <f t="shared" si="14"/>
        <v>12</v>
      </c>
      <c r="AC22" s="34">
        <f t="shared" si="14"/>
        <v>139.5</v>
      </c>
      <c r="AD22" s="34">
        <f t="shared" si="14"/>
        <v>0.5</v>
      </c>
      <c r="AE22" s="51">
        <f t="shared" si="14"/>
        <v>257</v>
      </c>
      <c r="AF22" s="51">
        <f t="shared" si="14"/>
        <v>396.5</v>
      </c>
    </row>
    <row r="23" spans="2:32" ht="23.1" customHeight="1" x14ac:dyDescent="0.25">
      <c r="B23" s="23" t="s">
        <v>50</v>
      </c>
      <c r="C23" s="49">
        <f>AVERAGE('29.07 Bweyogerere-Nalya'!C23,'30.07 Bweyogerere-Nalya'!C23,'31.07 Bweyogerere-Nalya'!C23,'02.08 Bweyogerere-Nalya'!C23,'01.08 Bweyogerere-Nalya-24h'!C23,'03.08 Bweyogerere-Nalya-24h'!C23,'04.08 Bweyogerere-Nalya'!C23)</f>
        <v>25.571428571428573</v>
      </c>
      <c r="D23" s="49">
        <f>AVERAGE('29.07 Bweyogerere-Nalya'!D23,'30.07 Bweyogerere-Nalya'!D23,'31.07 Bweyogerere-Nalya'!D23,'02.08 Bweyogerere-Nalya'!D23,'01.08 Bweyogerere-Nalya-24h'!D23,'03.08 Bweyogerere-Nalya-24h'!D23,'04.08 Bweyogerere-Nalya'!D23)</f>
        <v>9.4285714285714288</v>
      </c>
      <c r="E23" s="49">
        <f>AVERAGE('29.07 Bweyogerere-Nalya'!E23,'30.07 Bweyogerere-Nalya'!E23,'31.07 Bweyogerere-Nalya'!E23,'02.08 Bweyogerere-Nalya'!E23,'01.08 Bweyogerere-Nalya-24h'!E23,'03.08 Bweyogerere-Nalya-24h'!E23,'04.08 Bweyogerere-Nalya'!E23)</f>
        <v>3.1428571428571428</v>
      </c>
      <c r="F23" s="49">
        <f>AVERAGE('29.07 Bweyogerere-Nalya'!F23,'30.07 Bweyogerere-Nalya'!F23,'31.07 Bweyogerere-Nalya'!F23,'02.08 Bweyogerere-Nalya'!F23,'01.08 Bweyogerere-Nalya-24h'!F23,'03.08 Bweyogerere-Nalya-24h'!F23,'04.08 Bweyogerere-Nalya'!F23)</f>
        <v>20.428571428571427</v>
      </c>
      <c r="G23" s="49">
        <f>AVERAGE('29.07 Bweyogerere-Nalya'!G23,'30.07 Bweyogerere-Nalya'!G23,'31.07 Bweyogerere-Nalya'!G23,'02.08 Bweyogerere-Nalya'!G23,'01.08 Bweyogerere-Nalya-24h'!G23,'03.08 Bweyogerere-Nalya-24h'!G23,'04.08 Bweyogerere-Nalya'!G23)</f>
        <v>0.42857142857142855</v>
      </c>
      <c r="H23" s="49">
        <f>AVERAGE('29.07 Bweyogerere-Nalya'!H23,'30.07 Bweyogerere-Nalya'!H23,'31.07 Bweyogerere-Nalya'!H23,'02.08 Bweyogerere-Nalya'!H23,'01.08 Bweyogerere-Nalya-24h'!H23,'03.08 Bweyogerere-Nalya-24h'!H23,'04.08 Bweyogerere-Nalya'!H23)</f>
        <v>0.14285714285714285</v>
      </c>
      <c r="I23" s="49">
        <f>AVERAGE('29.07 Bweyogerere-Nalya'!I23,'30.07 Bweyogerere-Nalya'!I23,'31.07 Bweyogerere-Nalya'!I23,'02.08 Bweyogerere-Nalya'!I23,'01.08 Bweyogerere-Nalya-24h'!I23,'03.08 Bweyogerere-Nalya-24h'!I23,'04.08 Bweyogerere-Nalya'!I23)</f>
        <v>4</v>
      </c>
      <c r="J23" s="49">
        <f>AVERAGE('29.07 Bweyogerere-Nalya'!J23,'30.07 Bweyogerere-Nalya'!J23,'31.07 Bweyogerere-Nalya'!J23,'02.08 Bweyogerere-Nalya'!J23,'01.08 Bweyogerere-Nalya-24h'!J23,'03.08 Bweyogerere-Nalya-24h'!J23,'04.08 Bweyogerere-Nalya'!J23)</f>
        <v>5.7142857142857144</v>
      </c>
      <c r="K23" s="49">
        <f>AVERAGE('29.07 Bweyogerere-Nalya'!K23,'30.07 Bweyogerere-Nalya'!K23,'31.07 Bweyogerere-Nalya'!K23,'02.08 Bweyogerere-Nalya'!K23,'01.08 Bweyogerere-Nalya-24h'!K23,'03.08 Bweyogerere-Nalya-24h'!K23,'04.08 Bweyogerere-Nalya'!K23)</f>
        <v>3</v>
      </c>
      <c r="L23" s="49">
        <f>AVERAGE('29.07 Bweyogerere-Nalya'!L23,'30.07 Bweyogerere-Nalya'!L23,'31.07 Bweyogerere-Nalya'!L23,'02.08 Bweyogerere-Nalya'!L23,'01.08 Bweyogerere-Nalya-24h'!L23,'03.08 Bweyogerere-Nalya-24h'!L23,'04.08 Bweyogerere-Nalya'!L23)</f>
        <v>5.5714285714285712</v>
      </c>
      <c r="M23" s="49">
        <f>AVERAGE('29.07 Bweyogerere-Nalya'!M23,'30.07 Bweyogerere-Nalya'!M23,'31.07 Bweyogerere-Nalya'!M23,'02.08 Bweyogerere-Nalya'!M23,'01.08 Bweyogerere-Nalya-24h'!M23,'03.08 Bweyogerere-Nalya-24h'!M23,'04.08 Bweyogerere-Nalya'!M23)</f>
        <v>41.428571428571431</v>
      </c>
      <c r="N23" s="49">
        <f>AVERAGE('29.07 Bweyogerere-Nalya'!N23,'30.07 Bweyogerere-Nalya'!N23,'31.07 Bweyogerere-Nalya'!N23,'02.08 Bweyogerere-Nalya'!N23,'01.08 Bweyogerere-Nalya-24h'!N23,'03.08 Bweyogerere-Nalya-24h'!N23,'04.08 Bweyogerere-Nalya'!N23)</f>
        <v>0</v>
      </c>
      <c r="O23" s="15">
        <f t="shared" si="0"/>
        <v>77.428571428571431</v>
      </c>
      <c r="P23" s="15">
        <f t="shared" si="1"/>
        <v>118.85714285714286</v>
      </c>
      <c r="R23" s="1" t="s">
        <v>147</v>
      </c>
      <c r="S23" s="34">
        <f>SUM(C62:C65)</f>
        <v>91</v>
      </c>
      <c r="T23" s="34">
        <f t="shared" ref="T23:AF23" si="15">SUM(D62:D65)</f>
        <v>64.5</v>
      </c>
      <c r="U23" s="34">
        <f t="shared" si="15"/>
        <v>18</v>
      </c>
      <c r="V23" s="34">
        <f t="shared" si="15"/>
        <v>88.5</v>
      </c>
      <c r="W23" s="34">
        <f t="shared" si="15"/>
        <v>3.5</v>
      </c>
      <c r="X23" s="34">
        <f t="shared" si="15"/>
        <v>0.5</v>
      </c>
      <c r="Y23" s="34">
        <f t="shared" si="15"/>
        <v>13.5</v>
      </c>
      <c r="Z23" s="34">
        <f t="shared" si="15"/>
        <v>24</v>
      </c>
      <c r="AA23" s="34">
        <f t="shared" si="15"/>
        <v>7</v>
      </c>
      <c r="AB23" s="34">
        <f t="shared" si="15"/>
        <v>7.5</v>
      </c>
      <c r="AC23" s="34">
        <f t="shared" si="15"/>
        <v>145.5</v>
      </c>
      <c r="AD23" s="34">
        <f t="shared" si="15"/>
        <v>0</v>
      </c>
      <c r="AE23" s="51">
        <f t="shared" si="15"/>
        <v>318</v>
      </c>
      <c r="AF23" s="51">
        <f t="shared" si="15"/>
        <v>463.5</v>
      </c>
    </row>
    <row r="24" spans="2:32" ht="23.1" customHeight="1" x14ac:dyDescent="0.25">
      <c r="B24" s="23" t="s">
        <v>51</v>
      </c>
      <c r="C24" s="49">
        <f>AVERAGE('29.07 Bweyogerere-Nalya'!C24,'30.07 Bweyogerere-Nalya'!C24,'31.07 Bweyogerere-Nalya'!C24,'02.08 Bweyogerere-Nalya'!C24,'01.08 Bweyogerere-Nalya-24h'!C24,'03.08 Bweyogerere-Nalya-24h'!C24,'04.08 Bweyogerere-Nalya'!C24)</f>
        <v>26.857142857142858</v>
      </c>
      <c r="D24" s="49">
        <f>AVERAGE('29.07 Bweyogerere-Nalya'!D24,'30.07 Bweyogerere-Nalya'!D24,'31.07 Bweyogerere-Nalya'!D24,'02.08 Bweyogerere-Nalya'!D24,'01.08 Bweyogerere-Nalya-24h'!D24,'03.08 Bweyogerere-Nalya-24h'!D24,'04.08 Bweyogerere-Nalya'!D24)</f>
        <v>7.4285714285714288</v>
      </c>
      <c r="E24" s="49">
        <f>AVERAGE('29.07 Bweyogerere-Nalya'!E24,'30.07 Bweyogerere-Nalya'!E24,'31.07 Bweyogerere-Nalya'!E24,'02.08 Bweyogerere-Nalya'!E24,'01.08 Bweyogerere-Nalya-24h'!E24,'03.08 Bweyogerere-Nalya-24h'!E24,'04.08 Bweyogerere-Nalya'!E24)</f>
        <v>4.4285714285714288</v>
      </c>
      <c r="F24" s="49">
        <f>AVERAGE('29.07 Bweyogerere-Nalya'!F24,'30.07 Bweyogerere-Nalya'!F24,'31.07 Bweyogerere-Nalya'!F24,'02.08 Bweyogerere-Nalya'!F24,'01.08 Bweyogerere-Nalya-24h'!F24,'03.08 Bweyogerere-Nalya-24h'!F24,'04.08 Bweyogerere-Nalya'!F24)</f>
        <v>18.714285714285715</v>
      </c>
      <c r="G24" s="49">
        <f>AVERAGE('29.07 Bweyogerere-Nalya'!G24,'30.07 Bweyogerere-Nalya'!G24,'31.07 Bweyogerere-Nalya'!G24,'02.08 Bweyogerere-Nalya'!G24,'01.08 Bweyogerere-Nalya-24h'!G24,'03.08 Bweyogerere-Nalya-24h'!G24,'04.08 Bweyogerere-Nalya'!G24)</f>
        <v>1.2857142857142858</v>
      </c>
      <c r="H24" s="49">
        <f>AVERAGE('29.07 Bweyogerere-Nalya'!H24,'30.07 Bweyogerere-Nalya'!H24,'31.07 Bweyogerere-Nalya'!H24,'02.08 Bweyogerere-Nalya'!H24,'01.08 Bweyogerere-Nalya-24h'!H24,'03.08 Bweyogerere-Nalya-24h'!H24,'04.08 Bweyogerere-Nalya'!H24)</f>
        <v>0</v>
      </c>
      <c r="I24" s="49">
        <f>AVERAGE('29.07 Bweyogerere-Nalya'!I24,'30.07 Bweyogerere-Nalya'!I24,'31.07 Bweyogerere-Nalya'!I24,'02.08 Bweyogerere-Nalya'!I24,'01.08 Bweyogerere-Nalya-24h'!I24,'03.08 Bweyogerere-Nalya-24h'!I24,'04.08 Bweyogerere-Nalya'!I24)</f>
        <v>2.2857142857142856</v>
      </c>
      <c r="J24" s="49">
        <f>AVERAGE('29.07 Bweyogerere-Nalya'!J24,'30.07 Bweyogerere-Nalya'!J24,'31.07 Bweyogerere-Nalya'!J24,'02.08 Bweyogerere-Nalya'!J24,'01.08 Bweyogerere-Nalya-24h'!J24,'03.08 Bweyogerere-Nalya-24h'!J24,'04.08 Bweyogerere-Nalya'!J24)</f>
        <v>4.4285714285714288</v>
      </c>
      <c r="K24" s="49">
        <f>AVERAGE('29.07 Bweyogerere-Nalya'!K24,'30.07 Bweyogerere-Nalya'!K24,'31.07 Bweyogerere-Nalya'!K24,'02.08 Bweyogerere-Nalya'!K24,'01.08 Bweyogerere-Nalya-24h'!K24,'03.08 Bweyogerere-Nalya-24h'!K24,'04.08 Bweyogerere-Nalya'!K24)</f>
        <v>3.2857142857142856</v>
      </c>
      <c r="L24" s="49">
        <f>AVERAGE('29.07 Bweyogerere-Nalya'!L24,'30.07 Bweyogerere-Nalya'!L24,'31.07 Bweyogerere-Nalya'!L24,'02.08 Bweyogerere-Nalya'!L24,'01.08 Bweyogerere-Nalya-24h'!L24,'03.08 Bweyogerere-Nalya-24h'!L24,'04.08 Bweyogerere-Nalya'!L24)</f>
        <v>3.7142857142857144</v>
      </c>
      <c r="M24" s="49">
        <f>AVERAGE('29.07 Bweyogerere-Nalya'!M24,'30.07 Bweyogerere-Nalya'!M24,'31.07 Bweyogerere-Nalya'!M24,'02.08 Bweyogerere-Nalya'!M24,'01.08 Bweyogerere-Nalya-24h'!M24,'03.08 Bweyogerere-Nalya-24h'!M24,'04.08 Bweyogerere-Nalya'!M24)</f>
        <v>37.142857142857146</v>
      </c>
      <c r="N24" s="49">
        <f>AVERAGE('29.07 Bweyogerere-Nalya'!N24,'30.07 Bweyogerere-Nalya'!N24,'31.07 Bweyogerere-Nalya'!N24,'02.08 Bweyogerere-Nalya'!N24,'01.08 Bweyogerere-Nalya-24h'!N24,'03.08 Bweyogerere-Nalya-24h'!N24,'04.08 Bweyogerere-Nalya'!N24)</f>
        <v>0</v>
      </c>
      <c r="O24" s="15">
        <f t="shared" si="0"/>
        <v>72.428571428571431</v>
      </c>
      <c r="P24" s="15">
        <f t="shared" si="1"/>
        <v>109.57142857142858</v>
      </c>
      <c r="R24" s="1" t="s">
        <v>148</v>
      </c>
      <c r="S24" s="34">
        <f>SUM(C66:C69)</f>
        <v>96</v>
      </c>
      <c r="T24" s="34">
        <f t="shared" ref="T24:AF24" si="16">SUM(D66:D69)</f>
        <v>30.5</v>
      </c>
      <c r="U24" s="34">
        <f t="shared" si="16"/>
        <v>15</v>
      </c>
      <c r="V24" s="34">
        <f t="shared" si="16"/>
        <v>80</v>
      </c>
      <c r="W24" s="34">
        <f t="shared" si="16"/>
        <v>2.5</v>
      </c>
      <c r="X24" s="34">
        <f t="shared" si="16"/>
        <v>1</v>
      </c>
      <c r="Y24" s="34">
        <f t="shared" si="16"/>
        <v>9</v>
      </c>
      <c r="Z24" s="34">
        <f t="shared" si="16"/>
        <v>12.5</v>
      </c>
      <c r="AA24" s="34">
        <f t="shared" si="16"/>
        <v>9</v>
      </c>
      <c r="AB24" s="34">
        <f t="shared" si="16"/>
        <v>7.5</v>
      </c>
      <c r="AC24" s="34">
        <f t="shared" si="16"/>
        <v>116.5</v>
      </c>
      <c r="AD24" s="34">
        <f t="shared" si="16"/>
        <v>0</v>
      </c>
      <c r="AE24" s="51">
        <f t="shared" si="16"/>
        <v>263</v>
      </c>
      <c r="AF24" s="51">
        <f t="shared" si="16"/>
        <v>379.5</v>
      </c>
    </row>
    <row r="25" spans="2:32" ht="23.1" customHeight="1" x14ac:dyDescent="0.25">
      <c r="B25" s="23" t="s">
        <v>52</v>
      </c>
      <c r="C25" s="49">
        <f>AVERAGE('29.07 Bweyogerere-Nalya'!C25,'30.07 Bweyogerere-Nalya'!C25,'31.07 Bweyogerere-Nalya'!C25,'02.08 Bweyogerere-Nalya'!C25,'01.08 Bweyogerere-Nalya-24h'!C25,'03.08 Bweyogerere-Nalya-24h'!C25,'04.08 Bweyogerere-Nalya'!C25)</f>
        <v>20.428571428571427</v>
      </c>
      <c r="D25" s="49">
        <f>AVERAGE('29.07 Bweyogerere-Nalya'!D25,'30.07 Bweyogerere-Nalya'!D25,'31.07 Bweyogerere-Nalya'!D25,'02.08 Bweyogerere-Nalya'!D25,'01.08 Bweyogerere-Nalya-24h'!D25,'03.08 Bweyogerere-Nalya-24h'!D25,'04.08 Bweyogerere-Nalya'!D25)</f>
        <v>9.4285714285714288</v>
      </c>
      <c r="E25" s="49">
        <f>AVERAGE('29.07 Bweyogerere-Nalya'!E25,'30.07 Bweyogerere-Nalya'!E25,'31.07 Bweyogerere-Nalya'!E25,'02.08 Bweyogerere-Nalya'!E25,'01.08 Bweyogerere-Nalya-24h'!E25,'03.08 Bweyogerere-Nalya-24h'!E25,'04.08 Bweyogerere-Nalya'!E25)</f>
        <v>4.5714285714285712</v>
      </c>
      <c r="F25" s="49">
        <f>AVERAGE('29.07 Bweyogerere-Nalya'!F25,'30.07 Bweyogerere-Nalya'!F25,'31.07 Bweyogerere-Nalya'!F25,'02.08 Bweyogerere-Nalya'!F25,'01.08 Bweyogerere-Nalya-24h'!F25,'03.08 Bweyogerere-Nalya-24h'!F25,'04.08 Bweyogerere-Nalya'!F25)</f>
        <v>23.428571428571427</v>
      </c>
      <c r="G25" s="49">
        <f>AVERAGE('29.07 Bweyogerere-Nalya'!G25,'30.07 Bweyogerere-Nalya'!G25,'31.07 Bweyogerere-Nalya'!G25,'02.08 Bweyogerere-Nalya'!G25,'01.08 Bweyogerere-Nalya-24h'!G25,'03.08 Bweyogerere-Nalya-24h'!G25,'04.08 Bweyogerere-Nalya'!G25)</f>
        <v>1.2857142857142858</v>
      </c>
      <c r="H25" s="49">
        <f>AVERAGE('29.07 Bweyogerere-Nalya'!H25,'30.07 Bweyogerere-Nalya'!H25,'31.07 Bweyogerere-Nalya'!H25,'02.08 Bweyogerere-Nalya'!H25,'01.08 Bweyogerere-Nalya-24h'!H25,'03.08 Bweyogerere-Nalya-24h'!H25,'04.08 Bweyogerere-Nalya'!H25)</f>
        <v>0.14285714285714285</v>
      </c>
      <c r="I25" s="49">
        <f>AVERAGE('29.07 Bweyogerere-Nalya'!I25,'30.07 Bweyogerere-Nalya'!I25,'31.07 Bweyogerere-Nalya'!I25,'02.08 Bweyogerere-Nalya'!I25,'01.08 Bweyogerere-Nalya-24h'!I25,'03.08 Bweyogerere-Nalya-24h'!I25,'04.08 Bweyogerere-Nalya'!I25)</f>
        <v>2.2857142857142856</v>
      </c>
      <c r="J25" s="49">
        <f>AVERAGE('29.07 Bweyogerere-Nalya'!J25,'30.07 Bweyogerere-Nalya'!J25,'31.07 Bweyogerere-Nalya'!J25,'02.08 Bweyogerere-Nalya'!J25,'01.08 Bweyogerere-Nalya-24h'!J25,'03.08 Bweyogerere-Nalya-24h'!J25,'04.08 Bweyogerere-Nalya'!J25)</f>
        <v>4.8571428571428568</v>
      </c>
      <c r="K25" s="49">
        <f>AVERAGE('29.07 Bweyogerere-Nalya'!K25,'30.07 Bweyogerere-Nalya'!K25,'31.07 Bweyogerere-Nalya'!K25,'02.08 Bweyogerere-Nalya'!K25,'01.08 Bweyogerere-Nalya-24h'!K25,'03.08 Bweyogerere-Nalya-24h'!K25,'04.08 Bweyogerere-Nalya'!K25)</f>
        <v>4.7142857142857144</v>
      </c>
      <c r="L25" s="49">
        <f>AVERAGE('29.07 Bweyogerere-Nalya'!L25,'30.07 Bweyogerere-Nalya'!L25,'31.07 Bweyogerere-Nalya'!L25,'02.08 Bweyogerere-Nalya'!L25,'01.08 Bweyogerere-Nalya-24h'!L25,'03.08 Bweyogerere-Nalya-24h'!L25,'04.08 Bweyogerere-Nalya'!L25)</f>
        <v>7.2857142857142856</v>
      </c>
      <c r="M25" s="49">
        <f>AVERAGE('29.07 Bweyogerere-Nalya'!M25,'30.07 Bweyogerere-Nalya'!M25,'31.07 Bweyogerere-Nalya'!M25,'02.08 Bweyogerere-Nalya'!M25,'01.08 Bweyogerere-Nalya-24h'!M25,'03.08 Bweyogerere-Nalya-24h'!M25,'04.08 Bweyogerere-Nalya'!M25)</f>
        <v>33.142857142857146</v>
      </c>
      <c r="N25" s="49">
        <f>AVERAGE('29.07 Bweyogerere-Nalya'!N25,'30.07 Bweyogerere-Nalya'!N25,'31.07 Bweyogerere-Nalya'!N25,'02.08 Bweyogerere-Nalya'!N25,'01.08 Bweyogerere-Nalya-24h'!N25,'03.08 Bweyogerere-Nalya-24h'!N25,'04.08 Bweyogerere-Nalya'!N25)</f>
        <v>0</v>
      </c>
      <c r="O25" s="15">
        <f t="shared" si="0"/>
        <v>78.428571428571416</v>
      </c>
      <c r="P25" s="15">
        <f t="shared" si="1"/>
        <v>111.57142857142856</v>
      </c>
      <c r="R25" s="1" t="s">
        <v>149</v>
      </c>
      <c r="S25" s="34">
        <f>SUM(C70:C73)</f>
        <v>54.5</v>
      </c>
      <c r="T25" s="34">
        <f t="shared" ref="T25:AF25" si="17">SUM(D70:D73)</f>
        <v>30</v>
      </c>
      <c r="U25" s="34">
        <f t="shared" si="17"/>
        <v>9.5</v>
      </c>
      <c r="V25" s="34">
        <f t="shared" si="17"/>
        <v>58</v>
      </c>
      <c r="W25" s="34">
        <f t="shared" si="17"/>
        <v>2.5</v>
      </c>
      <c r="X25" s="34">
        <f t="shared" si="17"/>
        <v>0.5</v>
      </c>
      <c r="Y25" s="34">
        <f t="shared" si="17"/>
        <v>9.5</v>
      </c>
      <c r="Z25" s="34">
        <f t="shared" si="17"/>
        <v>10</v>
      </c>
      <c r="AA25" s="34">
        <f t="shared" si="17"/>
        <v>9.5</v>
      </c>
      <c r="AB25" s="34">
        <f t="shared" si="17"/>
        <v>17.5</v>
      </c>
      <c r="AC25" s="34">
        <f t="shared" si="17"/>
        <v>60.5</v>
      </c>
      <c r="AD25" s="34">
        <f t="shared" si="17"/>
        <v>0</v>
      </c>
      <c r="AE25" s="51">
        <f t="shared" si="17"/>
        <v>201.5</v>
      </c>
      <c r="AF25" s="51">
        <f t="shared" si="17"/>
        <v>262</v>
      </c>
    </row>
    <row r="26" spans="2:32" ht="23.1" customHeight="1" x14ac:dyDescent="0.25">
      <c r="B26" s="23" t="s">
        <v>53</v>
      </c>
      <c r="C26" s="49">
        <f>AVERAGE('29.07 Bweyogerere-Nalya'!C26,'30.07 Bweyogerere-Nalya'!C26,'31.07 Bweyogerere-Nalya'!C26,'02.08 Bweyogerere-Nalya'!C26,'01.08 Bweyogerere-Nalya-24h'!C26,'03.08 Bweyogerere-Nalya-24h'!C26,'04.08 Bweyogerere-Nalya'!C26)</f>
        <v>23</v>
      </c>
      <c r="D26" s="49">
        <f>AVERAGE('29.07 Bweyogerere-Nalya'!D26,'30.07 Bweyogerere-Nalya'!D26,'31.07 Bweyogerere-Nalya'!D26,'02.08 Bweyogerere-Nalya'!D26,'01.08 Bweyogerere-Nalya-24h'!D26,'03.08 Bweyogerere-Nalya-24h'!D26,'04.08 Bweyogerere-Nalya'!D26)</f>
        <v>9.2857142857142865</v>
      </c>
      <c r="E26" s="49">
        <f>AVERAGE('29.07 Bweyogerere-Nalya'!E26,'30.07 Bweyogerere-Nalya'!E26,'31.07 Bweyogerere-Nalya'!E26,'02.08 Bweyogerere-Nalya'!E26,'01.08 Bweyogerere-Nalya-24h'!E26,'03.08 Bweyogerere-Nalya-24h'!E26,'04.08 Bweyogerere-Nalya'!E26)</f>
        <v>3</v>
      </c>
      <c r="F26" s="49">
        <f>AVERAGE('29.07 Bweyogerere-Nalya'!F26,'30.07 Bweyogerere-Nalya'!F26,'31.07 Bweyogerere-Nalya'!F26,'02.08 Bweyogerere-Nalya'!F26,'01.08 Bweyogerere-Nalya-24h'!F26,'03.08 Bweyogerere-Nalya-24h'!F26,'04.08 Bweyogerere-Nalya'!F26)</f>
        <v>20.857142857142858</v>
      </c>
      <c r="G26" s="49">
        <f>AVERAGE('29.07 Bweyogerere-Nalya'!G26,'30.07 Bweyogerere-Nalya'!G26,'31.07 Bweyogerere-Nalya'!G26,'02.08 Bweyogerere-Nalya'!G26,'01.08 Bweyogerere-Nalya-24h'!G26,'03.08 Bweyogerere-Nalya-24h'!G26,'04.08 Bweyogerere-Nalya'!G26)</f>
        <v>0.7142857142857143</v>
      </c>
      <c r="H26" s="49">
        <f>AVERAGE('29.07 Bweyogerere-Nalya'!H26,'30.07 Bweyogerere-Nalya'!H26,'31.07 Bweyogerere-Nalya'!H26,'02.08 Bweyogerere-Nalya'!H26,'01.08 Bweyogerere-Nalya-24h'!H26,'03.08 Bweyogerere-Nalya-24h'!H26,'04.08 Bweyogerere-Nalya'!H26)</f>
        <v>0.14285714285714285</v>
      </c>
      <c r="I26" s="49">
        <f>AVERAGE('29.07 Bweyogerere-Nalya'!I26,'30.07 Bweyogerere-Nalya'!I26,'31.07 Bweyogerere-Nalya'!I26,'02.08 Bweyogerere-Nalya'!I26,'01.08 Bweyogerere-Nalya-24h'!I26,'03.08 Bweyogerere-Nalya-24h'!I26,'04.08 Bweyogerere-Nalya'!I26)</f>
        <v>4.4285714285714288</v>
      </c>
      <c r="J26" s="49">
        <f>AVERAGE('29.07 Bweyogerere-Nalya'!J26,'30.07 Bweyogerere-Nalya'!J26,'31.07 Bweyogerere-Nalya'!J26,'02.08 Bweyogerere-Nalya'!J26,'01.08 Bweyogerere-Nalya-24h'!J26,'03.08 Bweyogerere-Nalya-24h'!J26,'04.08 Bweyogerere-Nalya'!J26)</f>
        <v>6.1428571428571432</v>
      </c>
      <c r="K26" s="49">
        <f>AVERAGE('29.07 Bweyogerere-Nalya'!K26,'30.07 Bweyogerere-Nalya'!K26,'31.07 Bweyogerere-Nalya'!K26,'02.08 Bweyogerere-Nalya'!K26,'01.08 Bweyogerere-Nalya-24h'!K26,'03.08 Bweyogerere-Nalya-24h'!K26,'04.08 Bweyogerere-Nalya'!K26)</f>
        <v>3.1428571428571428</v>
      </c>
      <c r="L26" s="49">
        <f>AVERAGE('29.07 Bweyogerere-Nalya'!L26,'30.07 Bweyogerere-Nalya'!L26,'31.07 Bweyogerere-Nalya'!L26,'02.08 Bweyogerere-Nalya'!L26,'01.08 Bweyogerere-Nalya-24h'!L26,'03.08 Bweyogerere-Nalya-24h'!L26,'04.08 Bweyogerere-Nalya'!L26)</f>
        <v>5.2857142857142856</v>
      </c>
      <c r="M26" s="49">
        <f>AVERAGE('29.07 Bweyogerere-Nalya'!M26,'30.07 Bweyogerere-Nalya'!M26,'31.07 Bweyogerere-Nalya'!M26,'02.08 Bweyogerere-Nalya'!M26,'01.08 Bweyogerere-Nalya-24h'!M26,'03.08 Bweyogerere-Nalya-24h'!M26,'04.08 Bweyogerere-Nalya'!M26)</f>
        <v>41</v>
      </c>
      <c r="N26" s="49">
        <f>AVERAGE('29.07 Bweyogerere-Nalya'!N26,'30.07 Bweyogerere-Nalya'!N26,'31.07 Bweyogerere-Nalya'!N26,'02.08 Bweyogerere-Nalya'!N26,'01.08 Bweyogerere-Nalya-24h'!N26,'03.08 Bweyogerere-Nalya-24h'!N26,'04.08 Bweyogerere-Nalya'!N26)</f>
        <v>0</v>
      </c>
      <c r="O26" s="15">
        <f t="shared" si="0"/>
        <v>76</v>
      </c>
      <c r="P26" s="15">
        <f t="shared" si="1"/>
        <v>117</v>
      </c>
      <c r="R26" s="1" t="s">
        <v>150</v>
      </c>
      <c r="S26" s="34">
        <f>SUM(C74:C77)</f>
        <v>36</v>
      </c>
      <c r="T26" s="34">
        <f t="shared" ref="T26:AF26" si="18">SUM(D74:D77)</f>
        <v>19</v>
      </c>
      <c r="U26" s="34">
        <f t="shared" si="18"/>
        <v>5</v>
      </c>
      <c r="V26" s="34">
        <f t="shared" si="18"/>
        <v>25</v>
      </c>
      <c r="W26" s="34">
        <f t="shared" si="18"/>
        <v>0</v>
      </c>
      <c r="X26" s="34">
        <f t="shared" si="18"/>
        <v>0.5</v>
      </c>
      <c r="Y26" s="34">
        <f t="shared" si="18"/>
        <v>2</v>
      </c>
      <c r="Z26" s="34">
        <f t="shared" si="18"/>
        <v>6</v>
      </c>
      <c r="AA26" s="34">
        <f t="shared" si="18"/>
        <v>2</v>
      </c>
      <c r="AB26" s="34">
        <f t="shared" si="18"/>
        <v>11</v>
      </c>
      <c r="AC26" s="34">
        <f t="shared" si="18"/>
        <v>24.5</v>
      </c>
      <c r="AD26" s="34">
        <f t="shared" si="18"/>
        <v>0</v>
      </c>
      <c r="AE26" s="51">
        <f t="shared" si="18"/>
        <v>106.5</v>
      </c>
      <c r="AF26" s="51">
        <f t="shared" si="18"/>
        <v>131</v>
      </c>
    </row>
    <row r="27" spans="2:32" ht="23.1" customHeight="1" x14ac:dyDescent="0.25">
      <c r="B27" s="23" t="s">
        <v>54</v>
      </c>
      <c r="C27" s="49">
        <f>AVERAGE('29.07 Bweyogerere-Nalya'!C27,'30.07 Bweyogerere-Nalya'!C27,'31.07 Bweyogerere-Nalya'!C27,'02.08 Bweyogerere-Nalya'!C27,'01.08 Bweyogerere-Nalya-24h'!C27,'03.08 Bweyogerere-Nalya-24h'!C27,'04.08 Bweyogerere-Nalya'!C27)</f>
        <v>29.571428571428573</v>
      </c>
      <c r="D27" s="49">
        <f>AVERAGE('29.07 Bweyogerere-Nalya'!D27,'30.07 Bweyogerere-Nalya'!D27,'31.07 Bweyogerere-Nalya'!D27,'02.08 Bweyogerere-Nalya'!D27,'01.08 Bweyogerere-Nalya-24h'!D27,'03.08 Bweyogerere-Nalya-24h'!D27,'04.08 Bweyogerere-Nalya'!D27)</f>
        <v>8.5714285714285712</v>
      </c>
      <c r="E27" s="49">
        <f>AVERAGE('29.07 Bweyogerere-Nalya'!E27,'30.07 Bweyogerere-Nalya'!E27,'31.07 Bweyogerere-Nalya'!E27,'02.08 Bweyogerere-Nalya'!E27,'01.08 Bweyogerere-Nalya-24h'!E27,'03.08 Bweyogerere-Nalya-24h'!E27,'04.08 Bweyogerere-Nalya'!E27)</f>
        <v>4.7142857142857144</v>
      </c>
      <c r="F27" s="49">
        <f>AVERAGE('29.07 Bweyogerere-Nalya'!F27,'30.07 Bweyogerere-Nalya'!F27,'31.07 Bweyogerere-Nalya'!F27,'02.08 Bweyogerere-Nalya'!F27,'01.08 Bweyogerere-Nalya-24h'!F27,'03.08 Bweyogerere-Nalya-24h'!F27,'04.08 Bweyogerere-Nalya'!F27)</f>
        <v>20.142857142857142</v>
      </c>
      <c r="G27" s="49">
        <f>AVERAGE('29.07 Bweyogerere-Nalya'!G27,'30.07 Bweyogerere-Nalya'!G27,'31.07 Bweyogerere-Nalya'!G27,'02.08 Bweyogerere-Nalya'!G27,'01.08 Bweyogerere-Nalya-24h'!G27,'03.08 Bweyogerere-Nalya-24h'!G27,'04.08 Bweyogerere-Nalya'!G27)</f>
        <v>1</v>
      </c>
      <c r="H27" s="49">
        <f>AVERAGE('29.07 Bweyogerere-Nalya'!H27,'30.07 Bweyogerere-Nalya'!H27,'31.07 Bweyogerere-Nalya'!H27,'02.08 Bweyogerere-Nalya'!H27,'01.08 Bweyogerere-Nalya-24h'!H27,'03.08 Bweyogerere-Nalya-24h'!H27,'04.08 Bweyogerere-Nalya'!H27)</f>
        <v>0</v>
      </c>
      <c r="I27" s="49">
        <f>AVERAGE('29.07 Bweyogerere-Nalya'!I27,'30.07 Bweyogerere-Nalya'!I27,'31.07 Bweyogerere-Nalya'!I27,'02.08 Bweyogerere-Nalya'!I27,'01.08 Bweyogerere-Nalya-24h'!I27,'03.08 Bweyogerere-Nalya-24h'!I27,'04.08 Bweyogerere-Nalya'!I27)</f>
        <v>6.4285714285714288</v>
      </c>
      <c r="J27" s="49">
        <f>AVERAGE('29.07 Bweyogerere-Nalya'!J27,'30.07 Bweyogerere-Nalya'!J27,'31.07 Bweyogerere-Nalya'!J27,'02.08 Bweyogerere-Nalya'!J27,'01.08 Bweyogerere-Nalya-24h'!J27,'03.08 Bweyogerere-Nalya-24h'!J27,'04.08 Bweyogerere-Nalya'!J27)</f>
        <v>5.2857142857142856</v>
      </c>
      <c r="K27" s="49">
        <f>AVERAGE('29.07 Bweyogerere-Nalya'!K27,'30.07 Bweyogerere-Nalya'!K27,'31.07 Bweyogerere-Nalya'!K27,'02.08 Bweyogerere-Nalya'!K27,'01.08 Bweyogerere-Nalya-24h'!K27,'03.08 Bweyogerere-Nalya-24h'!K27,'04.08 Bweyogerere-Nalya'!K27)</f>
        <v>2.4285714285714284</v>
      </c>
      <c r="L27" s="49">
        <f>AVERAGE('29.07 Bweyogerere-Nalya'!L27,'30.07 Bweyogerere-Nalya'!L27,'31.07 Bweyogerere-Nalya'!L27,'02.08 Bweyogerere-Nalya'!L27,'01.08 Bweyogerere-Nalya-24h'!L27,'03.08 Bweyogerere-Nalya-24h'!L27,'04.08 Bweyogerere-Nalya'!L27)</f>
        <v>5.5714285714285712</v>
      </c>
      <c r="M27" s="49">
        <f>AVERAGE('29.07 Bweyogerere-Nalya'!M27,'30.07 Bweyogerere-Nalya'!M27,'31.07 Bweyogerere-Nalya'!M27,'02.08 Bweyogerere-Nalya'!M27,'01.08 Bweyogerere-Nalya-24h'!M27,'03.08 Bweyogerere-Nalya-24h'!M27,'04.08 Bweyogerere-Nalya'!M27)</f>
        <v>34.428571428571431</v>
      </c>
      <c r="N27" s="49">
        <f>AVERAGE('29.07 Bweyogerere-Nalya'!N27,'30.07 Bweyogerere-Nalya'!N27,'31.07 Bweyogerere-Nalya'!N27,'02.08 Bweyogerere-Nalya'!N27,'01.08 Bweyogerere-Nalya-24h'!N27,'03.08 Bweyogerere-Nalya-24h'!N27,'04.08 Bweyogerere-Nalya'!N27)</f>
        <v>0.14285714285714285</v>
      </c>
      <c r="O27" s="15">
        <f t="shared" si="0"/>
        <v>83.857142857142861</v>
      </c>
      <c r="P27" s="15">
        <f t="shared" si="1"/>
        <v>118.28571428571429</v>
      </c>
      <c r="R27" s="1" t="s">
        <v>151</v>
      </c>
      <c r="S27" s="34">
        <f>SUM(C78:C81)</f>
        <v>20.5</v>
      </c>
      <c r="T27" s="34">
        <f t="shared" ref="T27:AF27" si="19">SUM(D78:D81)</f>
        <v>18</v>
      </c>
      <c r="U27" s="34">
        <f t="shared" si="19"/>
        <v>1.5</v>
      </c>
      <c r="V27" s="34">
        <f t="shared" si="19"/>
        <v>7</v>
      </c>
      <c r="W27" s="34">
        <f t="shared" si="19"/>
        <v>0.5</v>
      </c>
      <c r="X27" s="34">
        <f t="shared" si="19"/>
        <v>0</v>
      </c>
      <c r="Y27" s="34">
        <f t="shared" si="19"/>
        <v>3</v>
      </c>
      <c r="Z27" s="34">
        <f t="shared" si="19"/>
        <v>9</v>
      </c>
      <c r="AA27" s="34">
        <f t="shared" si="19"/>
        <v>13</v>
      </c>
      <c r="AB27" s="34">
        <f t="shared" si="19"/>
        <v>7.5</v>
      </c>
      <c r="AC27" s="34">
        <f t="shared" si="19"/>
        <v>10.5</v>
      </c>
      <c r="AD27" s="34">
        <f t="shared" si="19"/>
        <v>0</v>
      </c>
      <c r="AE27" s="51">
        <f t="shared" si="19"/>
        <v>80</v>
      </c>
      <c r="AF27" s="51">
        <f t="shared" si="19"/>
        <v>90.5</v>
      </c>
    </row>
    <row r="28" spans="2:32" ht="23.1" customHeight="1" x14ac:dyDescent="0.25">
      <c r="B28" s="23" t="s">
        <v>55</v>
      </c>
      <c r="C28" s="49">
        <f>AVERAGE('29.07 Bweyogerere-Nalya'!C28,'30.07 Bweyogerere-Nalya'!C28,'31.07 Bweyogerere-Nalya'!C28,'02.08 Bweyogerere-Nalya'!C28,'01.08 Bweyogerere-Nalya-24h'!C28,'03.08 Bweyogerere-Nalya-24h'!C28,'04.08 Bweyogerere-Nalya'!C28)</f>
        <v>24.571428571428573</v>
      </c>
      <c r="D28" s="49">
        <f>AVERAGE('29.07 Bweyogerere-Nalya'!D28,'30.07 Bweyogerere-Nalya'!D28,'31.07 Bweyogerere-Nalya'!D28,'02.08 Bweyogerere-Nalya'!D28,'01.08 Bweyogerere-Nalya-24h'!D28,'03.08 Bweyogerere-Nalya-24h'!D28,'04.08 Bweyogerere-Nalya'!D28)</f>
        <v>8.7142857142857135</v>
      </c>
      <c r="E28" s="49">
        <f>AVERAGE('29.07 Bweyogerere-Nalya'!E28,'30.07 Bweyogerere-Nalya'!E28,'31.07 Bweyogerere-Nalya'!E28,'02.08 Bweyogerere-Nalya'!E28,'01.08 Bweyogerere-Nalya-24h'!E28,'03.08 Bweyogerere-Nalya-24h'!E28,'04.08 Bweyogerere-Nalya'!E28)</f>
        <v>5.2857142857142856</v>
      </c>
      <c r="F28" s="49">
        <f>AVERAGE('29.07 Bweyogerere-Nalya'!F28,'30.07 Bweyogerere-Nalya'!F28,'31.07 Bweyogerere-Nalya'!F28,'02.08 Bweyogerere-Nalya'!F28,'01.08 Bweyogerere-Nalya-24h'!F28,'03.08 Bweyogerere-Nalya-24h'!F28,'04.08 Bweyogerere-Nalya'!F28)</f>
        <v>20.142857142857142</v>
      </c>
      <c r="G28" s="49">
        <f>AVERAGE('29.07 Bweyogerere-Nalya'!G28,'30.07 Bweyogerere-Nalya'!G28,'31.07 Bweyogerere-Nalya'!G28,'02.08 Bweyogerere-Nalya'!G28,'01.08 Bweyogerere-Nalya-24h'!G28,'03.08 Bweyogerere-Nalya-24h'!G28,'04.08 Bweyogerere-Nalya'!G28)</f>
        <v>0.2857142857142857</v>
      </c>
      <c r="H28" s="49">
        <f>AVERAGE('29.07 Bweyogerere-Nalya'!H28,'30.07 Bweyogerere-Nalya'!H28,'31.07 Bweyogerere-Nalya'!H28,'02.08 Bweyogerere-Nalya'!H28,'01.08 Bweyogerere-Nalya-24h'!H28,'03.08 Bweyogerere-Nalya-24h'!H28,'04.08 Bweyogerere-Nalya'!H28)</f>
        <v>0</v>
      </c>
      <c r="I28" s="49">
        <f>AVERAGE('29.07 Bweyogerere-Nalya'!I28,'30.07 Bweyogerere-Nalya'!I28,'31.07 Bweyogerere-Nalya'!I28,'02.08 Bweyogerere-Nalya'!I28,'01.08 Bweyogerere-Nalya-24h'!I28,'03.08 Bweyogerere-Nalya-24h'!I28,'04.08 Bweyogerere-Nalya'!I28)</f>
        <v>5.4285714285714288</v>
      </c>
      <c r="J28" s="49">
        <f>AVERAGE('29.07 Bweyogerere-Nalya'!J28,'30.07 Bweyogerere-Nalya'!J28,'31.07 Bweyogerere-Nalya'!J28,'02.08 Bweyogerere-Nalya'!J28,'01.08 Bweyogerere-Nalya-24h'!J28,'03.08 Bweyogerere-Nalya-24h'!J28,'04.08 Bweyogerere-Nalya'!J28)</f>
        <v>3.5714285714285716</v>
      </c>
      <c r="K28" s="49">
        <f>AVERAGE('29.07 Bweyogerere-Nalya'!K28,'30.07 Bweyogerere-Nalya'!K28,'31.07 Bweyogerere-Nalya'!K28,'02.08 Bweyogerere-Nalya'!K28,'01.08 Bweyogerere-Nalya-24h'!K28,'03.08 Bweyogerere-Nalya-24h'!K28,'04.08 Bweyogerere-Nalya'!K28)</f>
        <v>4</v>
      </c>
      <c r="L28" s="49">
        <f>AVERAGE('29.07 Bweyogerere-Nalya'!L28,'30.07 Bweyogerere-Nalya'!L28,'31.07 Bweyogerere-Nalya'!L28,'02.08 Bweyogerere-Nalya'!L28,'01.08 Bweyogerere-Nalya-24h'!L28,'03.08 Bweyogerere-Nalya-24h'!L28,'04.08 Bweyogerere-Nalya'!L28)</f>
        <v>5</v>
      </c>
      <c r="M28" s="49">
        <f>AVERAGE('29.07 Bweyogerere-Nalya'!M28,'30.07 Bweyogerere-Nalya'!M28,'31.07 Bweyogerere-Nalya'!M28,'02.08 Bweyogerere-Nalya'!M28,'01.08 Bweyogerere-Nalya-24h'!M28,'03.08 Bweyogerere-Nalya-24h'!M28,'04.08 Bweyogerere-Nalya'!M28)</f>
        <v>40.142857142857146</v>
      </c>
      <c r="N28" s="49">
        <f>AVERAGE('29.07 Bweyogerere-Nalya'!N28,'30.07 Bweyogerere-Nalya'!N28,'31.07 Bweyogerere-Nalya'!N28,'02.08 Bweyogerere-Nalya'!N28,'01.08 Bweyogerere-Nalya-24h'!N28,'03.08 Bweyogerere-Nalya-24h'!N28,'04.08 Bweyogerere-Nalya'!N28)</f>
        <v>0</v>
      </c>
      <c r="O28" s="15">
        <f t="shared" si="0"/>
        <v>76.999999999999986</v>
      </c>
      <c r="P28" s="15">
        <f t="shared" si="1"/>
        <v>117.14285714285714</v>
      </c>
      <c r="R28" s="1" t="s">
        <v>152</v>
      </c>
      <c r="S28" s="34">
        <f>SUM(C82:C85)</f>
        <v>7.5</v>
      </c>
      <c r="T28" s="34">
        <f t="shared" ref="T28:AF28" si="20">SUM(D82:D85)</f>
        <v>3.5</v>
      </c>
      <c r="U28" s="34">
        <f t="shared" si="20"/>
        <v>1.5</v>
      </c>
      <c r="V28" s="34">
        <f t="shared" si="20"/>
        <v>3</v>
      </c>
      <c r="W28" s="34">
        <f t="shared" si="20"/>
        <v>1</v>
      </c>
      <c r="X28" s="34">
        <f t="shared" si="20"/>
        <v>0</v>
      </c>
      <c r="Y28" s="34">
        <f t="shared" si="20"/>
        <v>3.5</v>
      </c>
      <c r="Z28" s="34">
        <f t="shared" si="20"/>
        <v>7</v>
      </c>
      <c r="AA28" s="34">
        <f t="shared" si="20"/>
        <v>7</v>
      </c>
      <c r="AB28" s="34">
        <f t="shared" si="20"/>
        <v>9.5</v>
      </c>
      <c r="AC28" s="34">
        <f t="shared" si="20"/>
        <v>5.5</v>
      </c>
      <c r="AD28" s="34">
        <f t="shared" si="20"/>
        <v>0</v>
      </c>
      <c r="AE28" s="51">
        <f t="shared" si="20"/>
        <v>43.5</v>
      </c>
      <c r="AF28" s="51">
        <f t="shared" si="20"/>
        <v>49</v>
      </c>
    </row>
    <row r="29" spans="2:32" ht="23.1" customHeight="1" x14ac:dyDescent="0.25">
      <c r="B29" s="23" t="s">
        <v>56</v>
      </c>
      <c r="C29" s="49">
        <f>AVERAGE('29.07 Bweyogerere-Nalya'!C29,'30.07 Bweyogerere-Nalya'!C29,'31.07 Bweyogerere-Nalya'!C29,'02.08 Bweyogerere-Nalya'!C29,'01.08 Bweyogerere-Nalya-24h'!C29,'03.08 Bweyogerere-Nalya-24h'!C29,'04.08 Bweyogerere-Nalya'!C29)</f>
        <v>26.142857142857142</v>
      </c>
      <c r="D29" s="49">
        <f>AVERAGE('29.07 Bweyogerere-Nalya'!D29,'30.07 Bweyogerere-Nalya'!D29,'31.07 Bweyogerere-Nalya'!D29,'02.08 Bweyogerere-Nalya'!D29,'01.08 Bweyogerere-Nalya-24h'!D29,'03.08 Bweyogerere-Nalya-24h'!D29,'04.08 Bweyogerere-Nalya'!D29)</f>
        <v>10.571428571428571</v>
      </c>
      <c r="E29" s="49">
        <f>AVERAGE('29.07 Bweyogerere-Nalya'!E29,'30.07 Bweyogerere-Nalya'!E29,'31.07 Bweyogerere-Nalya'!E29,'02.08 Bweyogerere-Nalya'!E29,'01.08 Bweyogerere-Nalya-24h'!E29,'03.08 Bweyogerere-Nalya-24h'!E29,'04.08 Bweyogerere-Nalya'!E29)</f>
        <v>3.4285714285714284</v>
      </c>
      <c r="F29" s="49">
        <f>AVERAGE('29.07 Bweyogerere-Nalya'!F29,'30.07 Bweyogerere-Nalya'!F29,'31.07 Bweyogerere-Nalya'!F29,'02.08 Bweyogerere-Nalya'!F29,'01.08 Bweyogerere-Nalya-24h'!F29,'03.08 Bweyogerere-Nalya-24h'!F29,'04.08 Bweyogerere-Nalya'!F29)</f>
        <v>16.857142857142858</v>
      </c>
      <c r="G29" s="49">
        <f>AVERAGE('29.07 Bweyogerere-Nalya'!G29,'30.07 Bweyogerere-Nalya'!G29,'31.07 Bweyogerere-Nalya'!G29,'02.08 Bweyogerere-Nalya'!G29,'01.08 Bweyogerere-Nalya-24h'!G29,'03.08 Bweyogerere-Nalya-24h'!G29,'04.08 Bweyogerere-Nalya'!G29)</f>
        <v>0.7142857142857143</v>
      </c>
      <c r="H29" s="49">
        <f>AVERAGE('29.07 Bweyogerere-Nalya'!H29,'30.07 Bweyogerere-Nalya'!H29,'31.07 Bweyogerere-Nalya'!H29,'02.08 Bweyogerere-Nalya'!H29,'01.08 Bweyogerere-Nalya-24h'!H29,'03.08 Bweyogerere-Nalya-24h'!H29,'04.08 Bweyogerere-Nalya'!H29)</f>
        <v>0</v>
      </c>
      <c r="I29" s="49">
        <f>AVERAGE('29.07 Bweyogerere-Nalya'!I29,'30.07 Bweyogerere-Nalya'!I29,'31.07 Bweyogerere-Nalya'!I29,'02.08 Bweyogerere-Nalya'!I29,'01.08 Bweyogerere-Nalya-24h'!I29,'03.08 Bweyogerere-Nalya-24h'!I29,'04.08 Bweyogerere-Nalya'!I29)</f>
        <v>3.2857142857142856</v>
      </c>
      <c r="J29" s="49">
        <f>AVERAGE('29.07 Bweyogerere-Nalya'!J29,'30.07 Bweyogerere-Nalya'!J29,'31.07 Bweyogerere-Nalya'!J29,'02.08 Bweyogerere-Nalya'!J29,'01.08 Bweyogerere-Nalya-24h'!J29,'03.08 Bweyogerere-Nalya-24h'!J29,'04.08 Bweyogerere-Nalya'!J29)</f>
        <v>4.4285714285714288</v>
      </c>
      <c r="K29" s="49">
        <f>AVERAGE('29.07 Bweyogerere-Nalya'!K29,'30.07 Bweyogerere-Nalya'!K29,'31.07 Bweyogerere-Nalya'!K29,'02.08 Bweyogerere-Nalya'!K29,'01.08 Bweyogerere-Nalya-24h'!K29,'03.08 Bweyogerere-Nalya-24h'!K29,'04.08 Bweyogerere-Nalya'!K29)</f>
        <v>2.1428571428571428</v>
      </c>
      <c r="L29" s="49">
        <f>AVERAGE('29.07 Bweyogerere-Nalya'!L29,'30.07 Bweyogerere-Nalya'!L29,'31.07 Bweyogerere-Nalya'!L29,'02.08 Bweyogerere-Nalya'!L29,'01.08 Bweyogerere-Nalya-24h'!L29,'03.08 Bweyogerere-Nalya-24h'!L29,'04.08 Bweyogerere-Nalya'!L29)</f>
        <v>4.4285714285714288</v>
      </c>
      <c r="M29" s="49">
        <f>AVERAGE('29.07 Bweyogerere-Nalya'!M29,'30.07 Bweyogerere-Nalya'!M29,'31.07 Bweyogerere-Nalya'!M29,'02.08 Bweyogerere-Nalya'!M29,'01.08 Bweyogerere-Nalya-24h'!M29,'03.08 Bweyogerere-Nalya-24h'!M29,'04.08 Bweyogerere-Nalya'!M29)</f>
        <v>38</v>
      </c>
      <c r="N29" s="49">
        <f>AVERAGE('29.07 Bweyogerere-Nalya'!N29,'30.07 Bweyogerere-Nalya'!N29,'31.07 Bweyogerere-Nalya'!N29,'02.08 Bweyogerere-Nalya'!N29,'01.08 Bweyogerere-Nalya-24h'!N29,'03.08 Bweyogerere-Nalya-24h'!N29,'04.08 Bweyogerere-Nalya'!N29)</f>
        <v>0</v>
      </c>
      <c r="O29" s="15">
        <f t="shared" si="0"/>
        <v>72</v>
      </c>
      <c r="P29" s="15">
        <f t="shared" si="1"/>
        <v>110</v>
      </c>
      <c r="R29" s="1" t="s">
        <v>153</v>
      </c>
      <c r="S29" s="34">
        <f>SUM(C86:C89)</f>
        <v>6.5</v>
      </c>
      <c r="T29" s="34">
        <f t="shared" ref="T29:AF29" si="21">SUM(D86:D89)</f>
        <v>0.5</v>
      </c>
      <c r="U29" s="34">
        <f t="shared" si="21"/>
        <v>1</v>
      </c>
      <c r="V29" s="34">
        <f t="shared" si="21"/>
        <v>3</v>
      </c>
      <c r="W29" s="34">
        <f t="shared" si="21"/>
        <v>0</v>
      </c>
      <c r="X29" s="34">
        <f t="shared" si="21"/>
        <v>0.5</v>
      </c>
      <c r="Y29" s="34">
        <f t="shared" si="21"/>
        <v>2</v>
      </c>
      <c r="Z29" s="34">
        <f t="shared" si="21"/>
        <v>3</v>
      </c>
      <c r="AA29" s="34">
        <f t="shared" si="21"/>
        <v>7.5</v>
      </c>
      <c r="AB29" s="34">
        <f t="shared" si="21"/>
        <v>8.5</v>
      </c>
      <c r="AC29" s="34">
        <f t="shared" si="21"/>
        <v>0.5</v>
      </c>
      <c r="AD29" s="34">
        <f t="shared" si="21"/>
        <v>0</v>
      </c>
      <c r="AE29" s="51">
        <f t="shared" si="21"/>
        <v>32.5</v>
      </c>
      <c r="AF29" s="51">
        <f t="shared" si="21"/>
        <v>33</v>
      </c>
    </row>
    <row r="30" spans="2:32" ht="23.1" customHeight="1" x14ac:dyDescent="0.25">
      <c r="B30" s="23" t="s">
        <v>57</v>
      </c>
      <c r="C30" s="49">
        <f>AVERAGE('29.07 Bweyogerere-Nalya'!C30,'30.07 Bweyogerere-Nalya'!C30,'31.07 Bweyogerere-Nalya'!C30,'02.08 Bweyogerere-Nalya'!C30,'01.08 Bweyogerere-Nalya-24h'!C30,'03.08 Bweyogerere-Nalya-24h'!C30,'04.08 Bweyogerere-Nalya'!C30)</f>
        <v>30.428571428571427</v>
      </c>
      <c r="D30" s="49">
        <f>AVERAGE('29.07 Bweyogerere-Nalya'!D30,'30.07 Bweyogerere-Nalya'!D30,'31.07 Bweyogerere-Nalya'!D30,'02.08 Bweyogerere-Nalya'!D30,'01.08 Bweyogerere-Nalya-24h'!D30,'03.08 Bweyogerere-Nalya-24h'!D30,'04.08 Bweyogerere-Nalya'!D30)</f>
        <v>11</v>
      </c>
      <c r="E30" s="49">
        <f>AVERAGE('29.07 Bweyogerere-Nalya'!E30,'30.07 Bweyogerere-Nalya'!E30,'31.07 Bweyogerere-Nalya'!E30,'02.08 Bweyogerere-Nalya'!E30,'01.08 Bweyogerere-Nalya-24h'!E30,'03.08 Bweyogerere-Nalya-24h'!E30,'04.08 Bweyogerere-Nalya'!E30)</f>
        <v>4.4285714285714288</v>
      </c>
      <c r="F30" s="49">
        <f>AVERAGE('29.07 Bweyogerere-Nalya'!F30,'30.07 Bweyogerere-Nalya'!F30,'31.07 Bweyogerere-Nalya'!F30,'02.08 Bweyogerere-Nalya'!F30,'01.08 Bweyogerere-Nalya-24h'!F30,'03.08 Bweyogerere-Nalya-24h'!F30,'04.08 Bweyogerere-Nalya'!F30)</f>
        <v>22</v>
      </c>
      <c r="G30" s="49">
        <f>AVERAGE('29.07 Bweyogerere-Nalya'!G30,'30.07 Bweyogerere-Nalya'!G30,'31.07 Bweyogerere-Nalya'!G30,'02.08 Bweyogerere-Nalya'!G30,'01.08 Bweyogerere-Nalya-24h'!G30,'03.08 Bweyogerere-Nalya-24h'!G30,'04.08 Bweyogerere-Nalya'!G30)</f>
        <v>0.8571428571428571</v>
      </c>
      <c r="H30" s="49">
        <f>AVERAGE('29.07 Bweyogerere-Nalya'!H30,'30.07 Bweyogerere-Nalya'!H30,'31.07 Bweyogerere-Nalya'!H30,'02.08 Bweyogerere-Nalya'!H30,'01.08 Bweyogerere-Nalya-24h'!H30,'03.08 Bweyogerere-Nalya-24h'!H30,'04.08 Bweyogerere-Nalya'!H30)</f>
        <v>0.14285714285714285</v>
      </c>
      <c r="I30" s="49">
        <f>AVERAGE('29.07 Bweyogerere-Nalya'!I30,'30.07 Bweyogerere-Nalya'!I30,'31.07 Bweyogerere-Nalya'!I30,'02.08 Bweyogerere-Nalya'!I30,'01.08 Bweyogerere-Nalya-24h'!I30,'03.08 Bweyogerere-Nalya-24h'!I30,'04.08 Bweyogerere-Nalya'!I30)</f>
        <v>6</v>
      </c>
      <c r="J30" s="49">
        <f>AVERAGE('29.07 Bweyogerere-Nalya'!J30,'30.07 Bweyogerere-Nalya'!J30,'31.07 Bweyogerere-Nalya'!J30,'02.08 Bweyogerere-Nalya'!J30,'01.08 Bweyogerere-Nalya-24h'!J30,'03.08 Bweyogerere-Nalya-24h'!J30,'04.08 Bweyogerere-Nalya'!J30)</f>
        <v>7.1428571428571432</v>
      </c>
      <c r="K30" s="49">
        <f>AVERAGE('29.07 Bweyogerere-Nalya'!K30,'30.07 Bweyogerere-Nalya'!K30,'31.07 Bweyogerere-Nalya'!K30,'02.08 Bweyogerere-Nalya'!K30,'01.08 Bweyogerere-Nalya-24h'!K30,'03.08 Bweyogerere-Nalya-24h'!K30,'04.08 Bweyogerere-Nalya'!K30)</f>
        <v>2.2857142857142856</v>
      </c>
      <c r="L30" s="49">
        <f>AVERAGE('29.07 Bweyogerere-Nalya'!L30,'30.07 Bweyogerere-Nalya'!L30,'31.07 Bweyogerere-Nalya'!L30,'02.08 Bweyogerere-Nalya'!L30,'01.08 Bweyogerere-Nalya-24h'!L30,'03.08 Bweyogerere-Nalya-24h'!L30,'04.08 Bweyogerere-Nalya'!L30)</f>
        <v>4.4285714285714288</v>
      </c>
      <c r="M30" s="49">
        <f>AVERAGE('29.07 Bweyogerere-Nalya'!M30,'30.07 Bweyogerere-Nalya'!M30,'31.07 Bweyogerere-Nalya'!M30,'02.08 Bweyogerere-Nalya'!M30,'01.08 Bweyogerere-Nalya-24h'!M30,'03.08 Bweyogerere-Nalya-24h'!M30,'04.08 Bweyogerere-Nalya'!M30)</f>
        <v>36.285714285714285</v>
      </c>
      <c r="N30" s="49">
        <f>AVERAGE('29.07 Bweyogerere-Nalya'!N30,'30.07 Bweyogerere-Nalya'!N30,'31.07 Bweyogerere-Nalya'!N30,'02.08 Bweyogerere-Nalya'!N30,'01.08 Bweyogerere-Nalya-24h'!N30,'03.08 Bweyogerere-Nalya-24h'!N30,'04.08 Bweyogerere-Nalya'!N30)</f>
        <v>0</v>
      </c>
      <c r="O30" s="15">
        <f t="shared" si="0"/>
        <v>88.714285714285722</v>
      </c>
      <c r="P30" s="15">
        <f t="shared" si="1"/>
        <v>125</v>
      </c>
      <c r="R30" s="1" t="s">
        <v>154</v>
      </c>
      <c r="S30" s="34">
        <f>SUM(C90:C93)</f>
        <v>7.5</v>
      </c>
      <c r="T30" s="34">
        <f t="shared" ref="T30:AF30" si="22">SUM(D90:D93)</f>
        <v>4.5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7</v>
      </c>
      <c r="AA30" s="34">
        <f t="shared" si="22"/>
        <v>3.5</v>
      </c>
      <c r="AB30" s="34">
        <f t="shared" si="22"/>
        <v>3.5</v>
      </c>
      <c r="AC30" s="34">
        <f t="shared" si="22"/>
        <v>2.5</v>
      </c>
      <c r="AD30" s="34">
        <f t="shared" si="22"/>
        <v>0</v>
      </c>
      <c r="AE30" s="51">
        <f t="shared" si="22"/>
        <v>30.5</v>
      </c>
      <c r="AF30" s="51">
        <f t="shared" si="22"/>
        <v>33</v>
      </c>
    </row>
    <row r="31" spans="2:32" ht="23.1" customHeight="1" x14ac:dyDescent="0.25">
      <c r="B31" s="24" t="s">
        <v>58</v>
      </c>
      <c r="C31" s="49">
        <f>AVERAGE('29.07 Bweyogerere-Nalya'!C31,'30.07 Bweyogerere-Nalya'!C31,'31.07 Bweyogerere-Nalya'!C31,'02.08 Bweyogerere-Nalya'!C31,'01.08 Bweyogerere-Nalya-24h'!C31,'03.08 Bweyogerere-Nalya-24h'!C31,'04.08 Bweyogerere-Nalya'!C31)</f>
        <v>27</v>
      </c>
      <c r="D31" s="49">
        <f>AVERAGE('29.07 Bweyogerere-Nalya'!D31,'30.07 Bweyogerere-Nalya'!D31,'31.07 Bweyogerere-Nalya'!D31,'02.08 Bweyogerere-Nalya'!D31,'01.08 Bweyogerere-Nalya-24h'!D31,'03.08 Bweyogerere-Nalya-24h'!D31,'04.08 Bweyogerere-Nalya'!D31)</f>
        <v>8.1428571428571423</v>
      </c>
      <c r="E31" s="49">
        <f>AVERAGE('29.07 Bweyogerere-Nalya'!E31,'30.07 Bweyogerere-Nalya'!E31,'31.07 Bweyogerere-Nalya'!E31,'02.08 Bweyogerere-Nalya'!E31,'01.08 Bweyogerere-Nalya-24h'!E31,'03.08 Bweyogerere-Nalya-24h'!E31,'04.08 Bweyogerere-Nalya'!E31)</f>
        <v>4.8571428571428568</v>
      </c>
      <c r="F31" s="49">
        <f>AVERAGE('29.07 Bweyogerere-Nalya'!F31,'30.07 Bweyogerere-Nalya'!F31,'31.07 Bweyogerere-Nalya'!F31,'02.08 Bweyogerere-Nalya'!F31,'01.08 Bweyogerere-Nalya-24h'!F31,'03.08 Bweyogerere-Nalya-24h'!F31,'04.08 Bweyogerere-Nalya'!F31)</f>
        <v>22.428571428571427</v>
      </c>
      <c r="G31" s="49">
        <f>AVERAGE('29.07 Bweyogerere-Nalya'!G31,'30.07 Bweyogerere-Nalya'!G31,'31.07 Bweyogerere-Nalya'!G31,'02.08 Bweyogerere-Nalya'!G31,'01.08 Bweyogerere-Nalya-24h'!G31,'03.08 Bweyogerere-Nalya-24h'!G31,'04.08 Bweyogerere-Nalya'!G31)</f>
        <v>0.14285714285714285</v>
      </c>
      <c r="H31" s="49">
        <f>AVERAGE('29.07 Bweyogerere-Nalya'!H31,'30.07 Bweyogerere-Nalya'!H31,'31.07 Bweyogerere-Nalya'!H31,'02.08 Bweyogerere-Nalya'!H31,'01.08 Bweyogerere-Nalya-24h'!H31,'03.08 Bweyogerere-Nalya-24h'!H31,'04.08 Bweyogerere-Nalya'!H31)</f>
        <v>0</v>
      </c>
      <c r="I31" s="49">
        <f>AVERAGE('29.07 Bweyogerere-Nalya'!I31,'30.07 Bweyogerere-Nalya'!I31,'31.07 Bweyogerere-Nalya'!I31,'02.08 Bweyogerere-Nalya'!I31,'01.08 Bweyogerere-Nalya-24h'!I31,'03.08 Bweyogerere-Nalya-24h'!I31,'04.08 Bweyogerere-Nalya'!I31)</f>
        <v>4.1428571428571432</v>
      </c>
      <c r="J31" s="49">
        <f>AVERAGE('29.07 Bweyogerere-Nalya'!J31,'30.07 Bweyogerere-Nalya'!J31,'31.07 Bweyogerere-Nalya'!J31,'02.08 Bweyogerere-Nalya'!J31,'01.08 Bweyogerere-Nalya-24h'!J31,'03.08 Bweyogerere-Nalya-24h'!J31,'04.08 Bweyogerere-Nalya'!J31)</f>
        <v>6.2857142857142856</v>
      </c>
      <c r="K31" s="49">
        <f>AVERAGE('29.07 Bweyogerere-Nalya'!K31,'30.07 Bweyogerere-Nalya'!K31,'31.07 Bweyogerere-Nalya'!K31,'02.08 Bweyogerere-Nalya'!K31,'01.08 Bweyogerere-Nalya-24h'!K31,'03.08 Bweyogerere-Nalya-24h'!K31,'04.08 Bweyogerere-Nalya'!K31)</f>
        <v>3</v>
      </c>
      <c r="L31" s="49">
        <f>AVERAGE('29.07 Bweyogerere-Nalya'!L31,'30.07 Bweyogerere-Nalya'!L31,'31.07 Bweyogerere-Nalya'!L31,'02.08 Bweyogerere-Nalya'!L31,'01.08 Bweyogerere-Nalya-24h'!L31,'03.08 Bweyogerere-Nalya-24h'!L31,'04.08 Bweyogerere-Nalya'!L31)</f>
        <v>5.4285714285714288</v>
      </c>
      <c r="M31" s="49">
        <f>AVERAGE('29.07 Bweyogerere-Nalya'!M31,'30.07 Bweyogerere-Nalya'!M31,'31.07 Bweyogerere-Nalya'!M31,'02.08 Bweyogerere-Nalya'!M31,'01.08 Bweyogerere-Nalya-24h'!M31,'03.08 Bweyogerere-Nalya-24h'!M31,'04.08 Bweyogerere-Nalya'!M31)</f>
        <v>34.285714285714285</v>
      </c>
      <c r="N31" s="49">
        <f>AVERAGE('29.07 Bweyogerere-Nalya'!N31,'30.07 Bweyogerere-Nalya'!N31,'31.07 Bweyogerere-Nalya'!N31,'02.08 Bweyogerere-Nalya'!N31,'01.08 Bweyogerere-Nalya-24h'!N31,'03.08 Bweyogerere-Nalya-24h'!N31,'04.08 Bweyogerere-Nalya'!N31)</f>
        <v>0.14285714285714285</v>
      </c>
      <c r="O31" s="15">
        <f t="shared" si="0"/>
        <v>81.571428571428569</v>
      </c>
      <c r="P31" s="15">
        <f t="shared" si="1"/>
        <v>115.85714285714286</v>
      </c>
      <c r="R31" s="1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8</v>
      </c>
      <c r="AA31" s="34">
        <f t="shared" si="23"/>
        <v>6.5</v>
      </c>
      <c r="AB31" s="34">
        <f t="shared" si="23"/>
        <v>6.5</v>
      </c>
      <c r="AC31" s="34">
        <f t="shared" si="23"/>
        <v>6</v>
      </c>
      <c r="AD31" s="34">
        <f t="shared" si="23"/>
        <v>0</v>
      </c>
      <c r="AE31" s="51">
        <f t="shared" si="23"/>
        <v>33.5</v>
      </c>
      <c r="AF31" s="51">
        <f t="shared" si="23"/>
        <v>39.5</v>
      </c>
    </row>
    <row r="32" spans="2:32" ht="23.1" customHeight="1" x14ac:dyDescent="0.25">
      <c r="B32" s="24" t="s">
        <v>59</v>
      </c>
      <c r="C32" s="49">
        <f>AVERAGE('29.07 Bweyogerere-Nalya'!C32,'30.07 Bweyogerere-Nalya'!C32,'31.07 Bweyogerere-Nalya'!C32,'02.08 Bweyogerere-Nalya'!C32,'01.08 Bweyogerere-Nalya-24h'!C32,'03.08 Bweyogerere-Nalya-24h'!C32,'04.08 Bweyogerere-Nalya'!C32)</f>
        <v>23.571428571428573</v>
      </c>
      <c r="D32" s="49">
        <f>AVERAGE('29.07 Bweyogerere-Nalya'!D32,'30.07 Bweyogerere-Nalya'!D32,'31.07 Bweyogerere-Nalya'!D32,'02.08 Bweyogerere-Nalya'!D32,'01.08 Bweyogerere-Nalya-24h'!D32,'03.08 Bweyogerere-Nalya-24h'!D32,'04.08 Bweyogerere-Nalya'!D32)</f>
        <v>6.2857142857142856</v>
      </c>
      <c r="E32" s="49">
        <f>AVERAGE('29.07 Bweyogerere-Nalya'!E32,'30.07 Bweyogerere-Nalya'!E32,'31.07 Bweyogerere-Nalya'!E32,'02.08 Bweyogerere-Nalya'!E32,'01.08 Bweyogerere-Nalya-24h'!E32,'03.08 Bweyogerere-Nalya-24h'!E32,'04.08 Bweyogerere-Nalya'!E32)</f>
        <v>3.5714285714285716</v>
      </c>
      <c r="F32" s="49">
        <f>AVERAGE('29.07 Bweyogerere-Nalya'!F32,'30.07 Bweyogerere-Nalya'!F32,'31.07 Bweyogerere-Nalya'!F32,'02.08 Bweyogerere-Nalya'!F32,'01.08 Bweyogerere-Nalya-24h'!F32,'03.08 Bweyogerere-Nalya-24h'!F32,'04.08 Bweyogerere-Nalya'!F32)</f>
        <v>19.142857142857142</v>
      </c>
      <c r="G32" s="49">
        <f>AVERAGE('29.07 Bweyogerere-Nalya'!G32,'30.07 Bweyogerere-Nalya'!G32,'31.07 Bweyogerere-Nalya'!G32,'02.08 Bweyogerere-Nalya'!G32,'01.08 Bweyogerere-Nalya-24h'!G32,'03.08 Bweyogerere-Nalya-24h'!G32,'04.08 Bweyogerere-Nalya'!G32)</f>
        <v>0.2857142857142857</v>
      </c>
      <c r="H32" s="49">
        <f>AVERAGE('29.07 Bweyogerere-Nalya'!H32,'30.07 Bweyogerere-Nalya'!H32,'31.07 Bweyogerere-Nalya'!H32,'02.08 Bweyogerere-Nalya'!H32,'01.08 Bweyogerere-Nalya-24h'!H32,'03.08 Bweyogerere-Nalya-24h'!H32,'04.08 Bweyogerere-Nalya'!H32)</f>
        <v>0.2857142857142857</v>
      </c>
      <c r="I32" s="49">
        <f>AVERAGE('29.07 Bweyogerere-Nalya'!I32,'30.07 Bweyogerere-Nalya'!I32,'31.07 Bweyogerere-Nalya'!I32,'02.08 Bweyogerere-Nalya'!I32,'01.08 Bweyogerere-Nalya-24h'!I32,'03.08 Bweyogerere-Nalya-24h'!I32,'04.08 Bweyogerere-Nalya'!I32)</f>
        <v>4.1428571428571432</v>
      </c>
      <c r="J32" s="49">
        <f>AVERAGE('29.07 Bweyogerere-Nalya'!J32,'30.07 Bweyogerere-Nalya'!J32,'31.07 Bweyogerere-Nalya'!J32,'02.08 Bweyogerere-Nalya'!J32,'01.08 Bweyogerere-Nalya-24h'!J32,'03.08 Bweyogerere-Nalya-24h'!J32,'04.08 Bweyogerere-Nalya'!J32)</f>
        <v>6.8571428571428568</v>
      </c>
      <c r="K32" s="49">
        <f>AVERAGE('29.07 Bweyogerere-Nalya'!K32,'30.07 Bweyogerere-Nalya'!K32,'31.07 Bweyogerere-Nalya'!K32,'02.08 Bweyogerere-Nalya'!K32,'01.08 Bweyogerere-Nalya-24h'!K32,'03.08 Bweyogerere-Nalya-24h'!K32,'04.08 Bweyogerere-Nalya'!K32)</f>
        <v>4.1428571428571432</v>
      </c>
      <c r="L32" s="49">
        <f>AVERAGE('29.07 Bweyogerere-Nalya'!L32,'30.07 Bweyogerere-Nalya'!L32,'31.07 Bweyogerere-Nalya'!L32,'02.08 Bweyogerere-Nalya'!L32,'01.08 Bweyogerere-Nalya-24h'!L32,'03.08 Bweyogerere-Nalya-24h'!L32,'04.08 Bweyogerere-Nalya'!L32)</f>
        <v>5.5714285714285712</v>
      </c>
      <c r="M32" s="49">
        <f>AVERAGE('29.07 Bweyogerere-Nalya'!M32,'30.07 Bweyogerere-Nalya'!M32,'31.07 Bweyogerere-Nalya'!M32,'02.08 Bweyogerere-Nalya'!M32,'01.08 Bweyogerere-Nalya-24h'!M32,'03.08 Bweyogerere-Nalya-24h'!M32,'04.08 Bweyogerere-Nalya'!M32)</f>
        <v>39.714285714285715</v>
      </c>
      <c r="N32" s="49">
        <f>AVERAGE('29.07 Bweyogerere-Nalya'!N32,'30.07 Bweyogerere-Nalya'!N32,'31.07 Bweyogerere-Nalya'!N32,'02.08 Bweyogerere-Nalya'!N32,'01.08 Bweyogerere-Nalya-24h'!N32,'03.08 Bweyogerere-Nalya-24h'!N32,'04.08 Bweyogerere-Nalya'!N32)</f>
        <v>0</v>
      </c>
      <c r="O32" s="15">
        <f t="shared" si="0"/>
        <v>73.857142857142847</v>
      </c>
      <c r="P32" s="15">
        <f t="shared" si="1"/>
        <v>113.57142857142856</v>
      </c>
      <c r="R32" s="1" t="s">
        <v>156</v>
      </c>
      <c r="S32" s="34">
        <f>SUM(C98:C101)</f>
        <v>16</v>
      </c>
      <c r="T32" s="34">
        <f t="shared" ref="T32:AF32" si="24">SUM(D98:D101)</f>
        <v>5.5</v>
      </c>
      <c r="U32" s="34">
        <f t="shared" si="24"/>
        <v>3</v>
      </c>
      <c r="V32" s="34">
        <f t="shared" si="24"/>
        <v>19</v>
      </c>
      <c r="W32" s="34">
        <f t="shared" si="24"/>
        <v>0.5</v>
      </c>
      <c r="X32" s="34">
        <f t="shared" si="24"/>
        <v>0</v>
      </c>
      <c r="Y32" s="34">
        <f t="shared" si="24"/>
        <v>3</v>
      </c>
      <c r="Z32" s="34">
        <f t="shared" si="24"/>
        <v>8.5</v>
      </c>
      <c r="AA32" s="34">
        <f t="shared" si="24"/>
        <v>5.5</v>
      </c>
      <c r="AB32" s="34">
        <f t="shared" si="24"/>
        <v>11</v>
      </c>
      <c r="AC32" s="34">
        <f t="shared" si="24"/>
        <v>10.5</v>
      </c>
      <c r="AD32" s="34">
        <f t="shared" si="24"/>
        <v>0</v>
      </c>
      <c r="AE32" s="51">
        <f t="shared" si="24"/>
        <v>72</v>
      </c>
      <c r="AF32" s="51">
        <f t="shared" si="24"/>
        <v>82.5</v>
      </c>
    </row>
    <row r="33" spans="2:32" ht="23.1" customHeight="1" x14ac:dyDescent="0.25">
      <c r="B33" s="23" t="s">
        <v>60</v>
      </c>
      <c r="C33" s="49">
        <f>AVERAGE('29.07 Bweyogerere-Nalya'!C33,'30.07 Bweyogerere-Nalya'!C33,'31.07 Bweyogerere-Nalya'!C33,'02.08 Bweyogerere-Nalya'!C33,'01.08 Bweyogerere-Nalya-24h'!C33,'03.08 Bweyogerere-Nalya-24h'!C33,'04.08 Bweyogerere-Nalya'!C33)</f>
        <v>24</v>
      </c>
      <c r="D33" s="49">
        <f>AVERAGE('29.07 Bweyogerere-Nalya'!D33,'30.07 Bweyogerere-Nalya'!D33,'31.07 Bweyogerere-Nalya'!D33,'02.08 Bweyogerere-Nalya'!D33,'01.08 Bweyogerere-Nalya-24h'!D33,'03.08 Bweyogerere-Nalya-24h'!D33,'04.08 Bweyogerere-Nalya'!D33)</f>
        <v>8</v>
      </c>
      <c r="E33" s="49">
        <f>AVERAGE('29.07 Bweyogerere-Nalya'!E33,'30.07 Bweyogerere-Nalya'!E33,'31.07 Bweyogerere-Nalya'!E33,'02.08 Bweyogerere-Nalya'!E33,'01.08 Bweyogerere-Nalya-24h'!E33,'03.08 Bweyogerere-Nalya-24h'!E33,'04.08 Bweyogerere-Nalya'!E33)</f>
        <v>5.1428571428571432</v>
      </c>
      <c r="F33" s="49">
        <f>AVERAGE('29.07 Bweyogerere-Nalya'!F33,'30.07 Bweyogerere-Nalya'!F33,'31.07 Bweyogerere-Nalya'!F33,'02.08 Bweyogerere-Nalya'!F33,'01.08 Bweyogerere-Nalya-24h'!F33,'03.08 Bweyogerere-Nalya-24h'!F33,'04.08 Bweyogerere-Nalya'!F33)</f>
        <v>17.571428571428573</v>
      </c>
      <c r="G33" s="49">
        <f>AVERAGE('29.07 Bweyogerere-Nalya'!G33,'30.07 Bweyogerere-Nalya'!G33,'31.07 Bweyogerere-Nalya'!G33,'02.08 Bweyogerere-Nalya'!G33,'01.08 Bweyogerere-Nalya-24h'!G33,'03.08 Bweyogerere-Nalya-24h'!G33,'04.08 Bweyogerere-Nalya'!G33)</f>
        <v>0.14285714285714285</v>
      </c>
      <c r="H33" s="49">
        <f>AVERAGE('29.07 Bweyogerere-Nalya'!H33,'30.07 Bweyogerere-Nalya'!H33,'31.07 Bweyogerere-Nalya'!H33,'02.08 Bweyogerere-Nalya'!H33,'01.08 Bweyogerere-Nalya-24h'!H33,'03.08 Bweyogerere-Nalya-24h'!H33,'04.08 Bweyogerere-Nalya'!H33)</f>
        <v>0</v>
      </c>
      <c r="I33" s="49">
        <f>AVERAGE('29.07 Bweyogerere-Nalya'!I33,'30.07 Bweyogerere-Nalya'!I33,'31.07 Bweyogerere-Nalya'!I33,'02.08 Bweyogerere-Nalya'!I33,'01.08 Bweyogerere-Nalya-24h'!I33,'03.08 Bweyogerere-Nalya-24h'!I33,'04.08 Bweyogerere-Nalya'!I33)</f>
        <v>6.1428571428571432</v>
      </c>
      <c r="J33" s="49">
        <f>AVERAGE('29.07 Bweyogerere-Nalya'!J33,'30.07 Bweyogerere-Nalya'!J33,'31.07 Bweyogerere-Nalya'!J33,'02.08 Bweyogerere-Nalya'!J33,'01.08 Bweyogerere-Nalya-24h'!J33,'03.08 Bweyogerere-Nalya-24h'!J33,'04.08 Bweyogerere-Nalya'!J33)</f>
        <v>5.5714285714285712</v>
      </c>
      <c r="K33" s="49">
        <f>AVERAGE('29.07 Bweyogerere-Nalya'!K33,'30.07 Bweyogerere-Nalya'!K33,'31.07 Bweyogerere-Nalya'!K33,'02.08 Bweyogerere-Nalya'!K33,'01.08 Bweyogerere-Nalya-24h'!K33,'03.08 Bweyogerere-Nalya-24h'!K33,'04.08 Bweyogerere-Nalya'!K33)</f>
        <v>2.5714285714285716</v>
      </c>
      <c r="L33" s="49">
        <f>AVERAGE('29.07 Bweyogerere-Nalya'!L33,'30.07 Bweyogerere-Nalya'!L33,'31.07 Bweyogerere-Nalya'!L33,'02.08 Bweyogerere-Nalya'!L33,'01.08 Bweyogerere-Nalya-24h'!L33,'03.08 Bweyogerere-Nalya-24h'!L33,'04.08 Bweyogerere-Nalya'!L33)</f>
        <v>4.5714285714285712</v>
      </c>
      <c r="M33" s="49">
        <f>AVERAGE('29.07 Bweyogerere-Nalya'!M33,'30.07 Bweyogerere-Nalya'!M33,'31.07 Bweyogerere-Nalya'!M33,'02.08 Bweyogerere-Nalya'!M33,'01.08 Bweyogerere-Nalya-24h'!M33,'03.08 Bweyogerere-Nalya-24h'!M33,'04.08 Bweyogerere-Nalya'!M33)</f>
        <v>37.571428571428569</v>
      </c>
      <c r="N33" s="49">
        <f>AVERAGE('29.07 Bweyogerere-Nalya'!N33,'30.07 Bweyogerere-Nalya'!N33,'31.07 Bweyogerere-Nalya'!N33,'02.08 Bweyogerere-Nalya'!N33,'01.08 Bweyogerere-Nalya-24h'!N33,'03.08 Bweyogerere-Nalya-24h'!N33,'04.08 Bweyogerere-Nalya'!N33)</f>
        <v>0</v>
      </c>
      <c r="O33" s="15">
        <f t="shared" si="0"/>
        <v>73.714285714285722</v>
      </c>
      <c r="P33" s="15">
        <f t="shared" si="1"/>
        <v>111.28571428571429</v>
      </c>
      <c r="R33" s="1" t="s">
        <v>157</v>
      </c>
      <c r="S33" s="34">
        <f>SUM(C102:C105)</f>
        <v>46.5</v>
      </c>
      <c r="T33" s="34">
        <f t="shared" ref="T33:AF33" si="25">SUM(D102:D105)</f>
        <v>32.5</v>
      </c>
      <c r="U33" s="34">
        <f t="shared" si="25"/>
        <v>15.5</v>
      </c>
      <c r="V33" s="34">
        <f t="shared" si="25"/>
        <v>54</v>
      </c>
      <c r="W33" s="34">
        <f t="shared" si="25"/>
        <v>2.5</v>
      </c>
      <c r="X33" s="34">
        <f t="shared" si="25"/>
        <v>0</v>
      </c>
      <c r="Y33" s="34">
        <f t="shared" si="25"/>
        <v>5</v>
      </c>
      <c r="Z33" s="34">
        <f t="shared" si="25"/>
        <v>10.5</v>
      </c>
      <c r="AA33" s="34">
        <f t="shared" si="25"/>
        <v>19</v>
      </c>
      <c r="AB33" s="34">
        <f t="shared" si="25"/>
        <v>20</v>
      </c>
      <c r="AC33" s="34">
        <f t="shared" si="25"/>
        <v>33</v>
      </c>
      <c r="AD33" s="34">
        <f t="shared" si="25"/>
        <v>0.5</v>
      </c>
      <c r="AE33" s="51">
        <f t="shared" si="25"/>
        <v>206</v>
      </c>
      <c r="AF33" s="51">
        <f t="shared" si="25"/>
        <v>239</v>
      </c>
    </row>
    <row r="34" spans="2:32" ht="23.1" customHeight="1" x14ac:dyDescent="0.25">
      <c r="B34" s="24" t="s">
        <v>61</v>
      </c>
      <c r="C34" s="49">
        <f>AVERAGE('29.07 Bweyogerere-Nalya'!C34,'30.07 Bweyogerere-Nalya'!C34,'31.07 Bweyogerere-Nalya'!C34,'02.08 Bweyogerere-Nalya'!C34,'01.08 Bweyogerere-Nalya-24h'!C34,'03.08 Bweyogerere-Nalya-24h'!C34,'04.08 Bweyogerere-Nalya'!C34)</f>
        <v>19.714285714285715</v>
      </c>
      <c r="D34" s="49">
        <f>AVERAGE('29.07 Bweyogerere-Nalya'!D34,'30.07 Bweyogerere-Nalya'!D34,'31.07 Bweyogerere-Nalya'!D34,'02.08 Bweyogerere-Nalya'!D34,'01.08 Bweyogerere-Nalya-24h'!D34,'03.08 Bweyogerere-Nalya-24h'!D34,'04.08 Bweyogerere-Nalya'!D34)</f>
        <v>6.8571428571428568</v>
      </c>
      <c r="E34" s="49">
        <f>AVERAGE('29.07 Bweyogerere-Nalya'!E34,'30.07 Bweyogerere-Nalya'!E34,'31.07 Bweyogerere-Nalya'!E34,'02.08 Bweyogerere-Nalya'!E34,'01.08 Bweyogerere-Nalya-24h'!E34,'03.08 Bweyogerere-Nalya-24h'!E34,'04.08 Bweyogerere-Nalya'!E34)</f>
        <v>4</v>
      </c>
      <c r="F34" s="49">
        <f>AVERAGE('29.07 Bweyogerere-Nalya'!F34,'30.07 Bweyogerere-Nalya'!F34,'31.07 Bweyogerere-Nalya'!F34,'02.08 Bweyogerere-Nalya'!F34,'01.08 Bweyogerere-Nalya-24h'!F34,'03.08 Bweyogerere-Nalya-24h'!F34,'04.08 Bweyogerere-Nalya'!F34)</f>
        <v>15.142857142857142</v>
      </c>
      <c r="G34" s="49">
        <f>AVERAGE('29.07 Bweyogerere-Nalya'!G34,'30.07 Bweyogerere-Nalya'!G34,'31.07 Bweyogerere-Nalya'!G34,'02.08 Bweyogerere-Nalya'!G34,'01.08 Bweyogerere-Nalya-24h'!G34,'03.08 Bweyogerere-Nalya-24h'!G34,'04.08 Bweyogerere-Nalya'!G34)</f>
        <v>0</v>
      </c>
      <c r="H34" s="49">
        <f>AVERAGE('29.07 Bweyogerere-Nalya'!H34,'30.07 Bweyogerere-Nalya'!H34,'31.07 Bweyogerere-Nalya'!H34,'02.08 Bweyogerere-Nalya'!H34,'01.08 Bweyogerere-Nalya-24h'!H34,'03.08 Bweyogerere-Nalya-24h'!H34,'04.08 Bweyogerere-Nalya'!H34)</f>
        <v>0.2857142857142857</v>
      </c>
      <c r="I34" s="49">
        <f>AVERAGE('29.07 Bweyogerere-Nalya'!I34,'30.07 Bweyogerere-Nalya'!I34,'31.07 Bweyogerere-Nalya'!I34,'02.08 Bweyogerere-Nalya'!I34,'01.08 Bweyogerere-Nalya-24h'!I34,'03.08 Bweyogerere-Nalya-24h'!I34,'04.08 Bweyogerere-Nalya'!I34)</f>
        <v>3.4285714285714284</v>
      </c>
      <c r="J34" s="49">
        <f>AVERAGE('29.07 Bweyogerere-Nalya'!J34,'30.07 Bweyogerere-Nalya'!J34,'31.07 Bweyogerere-Nalya'!J34,'02.08 Bweyogerere-Nalya'!J34,'01.08 Bweyogerere-Nalya-24h'!J34,'03.08 Bweyogerere-Nalya-24h'!J34,'04.08 Bweyogerere-Nalya'!J34)</f>
        <v>3.2857142857142856</v>
      </c>
      <c r="K34" s="49">
        <f>AVERAGE('29.07 Bweyogerere-Nalya'!K34,'30.07 Bweyogerere-Nalya'!K34,'31.07 Bweyogerere-Nalya'!K34,'02.08 Bweyogerere-Nalya'!K34,'01.08 Bweyogerere-Nalya-24h'!K34,'03.08 Bweyogerere-Nalya-24h'!K34,'04.08 Bweyogerere-Nalya'!K34)</f>
        <v>3</v>
      </c>
      <c r="L34" s="49">
        <f>AVERAGE('29.07 Bweyogerere-Nalya'!L34,'30.07 Bweyogerere-Nalya'!L34,'31.07 Bweyogerere-Nalya'!L34,'02.08 Bweyogerere-Nalya'!L34,'01.08 Bweyogerere-Nalya-24h'!L34,'03.08 Bweyogerere-Nalya-24h'!L34,'04.08 Bweyogerere-Nalya'!L34)</f>
        <v>4.5714285714285712</v>
      </c>
      <c r="M34" s="49">
        <f>AVERAGE('29.07 Bweyogerere-Nalya'!M34,'30.07 Bweyogerere-Nalya'!M34,'31.07 Bweyogerere-Nalya'!M34,'02.08 Bweyogerere-Nalya'!M34,'01.08 Bweyogerere-Nalya-24h'!M34,'03.08 Bweyogerere-Nalya-24h'!M34,'04.08 Bweyogerere-Nalya'!M34)</f>
        <v>31.571428571428573</v>
      </c>
      <c r="N34" s="49">
        <f>AVERAGE('29.07 Bweyogerere-Nalya'!N34,'30.07 Bweyogerere-Nalya'!N34,'31.07 Bweyogerere-Nalya'!N34,'02.08 Bweyogerere-Nalya'!N34,'01.08 Bweyogerere-Nalya-24h'!N34,'03.08 Bweyogerere-Nalya-24h'!N34,'04.08 Bweyogerere-Nalya'!N34)</f>
        <v>0</v>
      </c>
      <c r="O34" s="15">
        <f t="shared" si="0"/>
        <v>60.285714285714285</v>
      </c>
      <c r="P34" s="15">
        <f t="shared" si="1"/>
        <v>91.857142857142861</v>
      </c>
      <c r="R34" s="38" t="s">
        <v>90</v>
      </c>
      <c r="S34" s="39">
        <f t="shared" ref="S34:AF34" si="26">MAX(S10:S12)</f>
        <v>136.42857142857144</v>
      </c>
      <c r="T34" s="39">
        <f t="shared" si="26"/>
        <v>34.428571428571431</v>
      </c>
      <c r="U34" s="39">
        <f t="shared" si="26"/>
        <v>24.857142857142858</v>
      </c>
      <c r="V34" s="39">
        <f t="shared" si="26"/>
        <v>91.571428571428569</v>
      </c>
      <c r="W34" s="39">
        <f t="shared" si="26"/>
        <v>3.1428571428571428</v>
      </c>
      <c r="X34" s="39">
        <f t="shared" si="26"/>
        <v>0.42857142857142855</v>
      </c>
      <c r="Y34" s="39">
        <f t="shared" si="26"/>
        <v>16.571428571428569</v>
      </c>
      <c r="Z34" s="39">
        <f t="shared" si="26"/>
        <v>19</v>
      </c>
      <c r="AA34" s="39">
        <f t="shared" si="26"/>
        <v>12.285714285714285</v>
      </c>
      <c r="AB34" s="39">
        <f t="shared" si="26"/>
        <v>18.714285714285715</v>
      </c>
      <c r="AC34" s="39">
        <f t="shared" si="26"/>
        <v>151.42857142857144</v>
      </c>
      <c r="AD34" s="39">
        <f t="shared" si="26"/>
        <v>0.2857142857142857</v>
      </c>
      <c r="AE34" s="40">
        <f t="shared" si="26"/>
        <v>330.57142857142856</v>
      </c>
      <c r="AF34" s="40">
        <f t="shared" si="26"/>
        <v>458</v>
      </c>
    </row>
    <row r="35" spans="2:32" ht="23.1" customHeight="1" x14ac:dyDescent="0.25">
      <c r="B35" s="24" t="s">
        <v>62</v>
      </c>
      <c r="C35" s="49">
        <f>AVERAGE('29.07 Bweyogerere-Nalya'!C35,'30.07 Bweyogerere-Nalya'!C35,'31.07 Bweyogerere-Nalya'!C35,'02.08 Bweyogerere-Nalya'!C35,'01.08 Bweyogerere-Nalya-24h'!C35,'03.08 Bweyogerere-Nalya-24h'!C35,'04.08 Bweyogerere-Nalya'!C35)</f>
        <v>24.428571428571427</v>
      </c>
      <c r="D35" s="49">
        <f>AVERAGE('29.07 Bweyogerere-Nalya'!D35,'30.07 Bweyogerere-Nalya'!D35,'31.07 Bweyogerere-Nalya'!D35,'02.08 Bweyogerere-Nalya'!D35,'01.08 Bweyogerere-Nalya-24h'!D35,'03.08 Bweyogerere-Nalya-24h'!D35,'04.08 Bweyogerere-Nalya'!D35)</f>
        <v>5.8571428571428568</v>
      </c>
      <c r="E35" s="49">
        <f>AVERAGE('29.07 Bweyogerere-Nalya'!E35,'30.07 Bweyogerere-Nalya'!E35,'31.07 Bweyogerere-Nalya'!E35,'02.08 Bweyogerere-Nalya'!E35,'01.08 Bweyogerere-Nalya-24h'!E35,'03.08 Bweyogerere-Nalya-24h'!E35,'04.08 Bweyogerere-Nalya'!E35)</f>
        <v>2.7142857142857144</v>
      </c>
      <c r="F35" s="49">
        <f>AVERAGE('29.07 Bweyogerere-Nalya'!F35,'30.07 Bweyogerere-Nalya'!F35,'31.07 Bweyogerere-Nalya'!F35,'02.08 Bweyogerere-Nalya'!F35,'01.08 Bweyogerere-Nalya-24h'!F35,'03.08 Bweyogerere-Nalya-24h'!F35,'04.08 Bweyogerere-Nalya'!F35)</f>
        <v>17.571428571428573</v>
      </c>
      <c r="G35" s="49">
        <f>AVERAGE('29.07 Bweyogerere-Nalya'!G35,'30.07 Bweyogerere-Nalya'!G35,'31.07 Bweyogerere-Nalya'!G35,'02.08 Bweyogerere-Nalya'!G35,'01.08 Bweyogerere-Nalya-24h'!G35,'03.08 Bweyogerere-Nalya-24h'!G35,'04.08 Bweyogerere-Nalya'!G35)</f>
        <v>0.14285714285714285</v>
      </c>
      <c r="H35" s="49">
        <f>AVERAGE('29.07 Bweyogerere-Nalya'!H35,'30.07 Bweyogerere-Nalya'!H35,'31.07 Bweyogerere-Nalya'!H35,'02.08 Bweyogerere-Nalya'!H35,'01.08 Bweyogerere-Nalya-24h'!H35,'03.08 Bweyogerere-Nalya-24h'!H35,'04.08 Bweyogerere-Nalya'!H35)</f>
        <v>0</v>
      </c>
      <c r="I35" s="49">
        <f>AVERAGE('29.07 Bweyogerere-Nalya'!I35,'30.07 Bweyogerere-Nalya'!I35,'31.07 Bweyogerere-Nalya'!I35,'02.08 Bweyogerere-Nalya'!I35,'01.08 Bweyogerere-Nalya-24h'!I35,'03.08 Bweyogerere-Nalya-24h'!I35,'04.08 Bweyogerere-Nalya'!I35)</f>
        <v>6.2857142857142856</v>
      </c>
      <c r="J35" s="49">
        <f>AVERAGE('29.07 Bweyogerere-Nalya'!J35,'30.07 Bweyogerere-Nalya'!J35,'31.07 Bweyogerere-Nalya'!J35,'02.08 Bweyogerere-Nalya'!J35,'01.08 Bweyogerere-Nalya-24h'!J35,'03.08 Bweyogerere-Nalya-24h'!J35,'04.08 Bweyogerere-Nalya'!J35)</f>
        <v>4.4285714285714288</v>
      </c>
      <c r="K35" s="49">
        <f>AVERAGE('29.07 Bweyogerere-Nalya'!K35,'30.07 Bweyogerere-Nalya'!K35,'31.07 Bweyogerere-Nalya'!K35,'02.08 Bweyogerere-Nalya'!K35,'01.08 Bweyogerere-Nalya-24h'!K35,'03.08 Bweyogerere-Nalya-24h'!K35,'04.08 Bweyogerere-Nalya'!K35)</f>
        <v>2.8571428571428572</v>
      </c>
      <c r="L35" s="49">
        <f>AVERAGE('29.07 Bweyogerere-Nalya'!L35,'30.07 Bweyogerere-Nalya'!L35,'31.07 Bweyogerere-Nalya'!L35,'02.08 Bweyogerere-Nalya'!L35,'01.08 Bweyogerere-Nalya-24h'!L35,'03.08 Bweyogerere-Nalya-24h'!L35,'04.08 Bweyogerere-Nalya'!L35)</f>
        <v>4.2857142857142856</v>
      </c>
      <c r="M35" s="49">
        <f>AVERAGE('29.07 Bweyogerere-Nalya'!M35,'30.07 Bweyogerere-Nalya'!M35,'31.07 Bweyogerere-Nalya'!M35,'02.08 Bweyogerere-Nalya'!M35,'01.08 Bweyogerere-Nalya-24h'!M35,'03.08 Bweyogerere-Nalya-24h'!M35,'04.08 Bweyogerere-Nalya'!M35)</f>
        <v>32</v>
      </c>
      <c r="N35" s="49">
        <f>AVERAGE('29.07 Bweyogerere-Nalya'!N35,'30.07 Bweyogerere-Nalya'!N35,'31.07 Bweyogerere-Nalya'!N35,'02.08 Bweyogerere-Nalya'!N35,'01.08 Bweyogerere-Nalya-24h'!N35,'03.08 Bweyogerere-Nalya-24h'!N35,'04.08 Bweyogerere-Nalya'!N35)</f>
        <v>0</v>
      </c>
      <c r="O35" s="15">
        <f t="shared" si="0"/>
        <v>68.571428571428584</v>
      </c>
      <c r="P35" s="15">
        <f t="shared" si="1"/>
        <v>100.57142857142858</v>
      </c>
      <c r="R35" s="38" t="s">
        <v>91</v>
      </c>
      <c r="S35" s="39">
        <f t="shared" ref="S35:AF35" si="27">MAX(S13:S18)</f>
        <v>105</v>
      </c>
      <c r="T35" s="39">
        <f t="shared" si="27"/>
        <v>37.142857142857139</v>
      </c>
      <c r="U35" s="39">
        <f t="shared" si="27"/>
        <v>18.428571428571431</v>
      </c>
      <c r="V35" s="39">
        <f t="shared" si="27"/>
        <v>87.142857142857139</v>
      </c>
      <c r="W35" s="39">
        <f t="shared" si="27"/>
        <v>4.2857142857142856</v>
      </c>
      <c r="X35" s="39">
        <f t="shared" si="27"/>
        <v>0.42857142857142855</v>
      </c>
      <c r="Y35" s="39">
        <f t="shared" si="27"/>
        <v>21.285714285714285</v>
      </c>
      <c r="Z35" s="39">
        <f t="shared" si="27"/>
        <v>25.857142857142854</v>
      </c>
      <c r="AA35" s="39">
        <f t="shared" si="27"/>
        <v>16.571428571428573</v>
      </c>
      <c r="AB35" s="39">
        <f t="shared" si="27"/>
        <v>21.285714285714285</v>
      </c>
      <c r="AC35" s="39">
        <f t="shared" si="27"/>
        <v>153.71428571428572</v>
      </c>
      <c r="AD35" s="39">
        <f t="shared" si="27"/>
        <v>0.2857142857142857</v>
      </c>
      <c r="AE35" s="40">
        <f t="shared" si="27"/>
        <v>317.85714285714283</v>
      </c>
      <c r="AF35" s="40">
        <f t="shared" si="27"/>
        <v>465.71428571428572</v>
      </c>
    </row>
    <row r="36" spans="2:32" ht="23.1" customHeight="1" x14ac:dyDescent="0.25">
      <c r="B36" s="24" t="s">
        <v>63</v>
      </c>
      <c r="C36" s="49">
        <f>AVERAGE('29.07 Bweyogerere-Nalya'!C36,'30.07 Bweyogerere-Nalya'!C36,'31.07 Bweyogerere-Nalya'!C36,'02.08 Bweyogerere-Nalya'!C36,'01.08 Bweyogerere-Nalya-24h'!C36,'03.08 Bweyogerere-Nalya-24h'!C36,'04.08 Bweyogerere-Nalya'!C36)</f>
        <v>26.428571428571427</v>
      </c>
      <c r="D36" s="49">
        <f>AVERAGE('29.07 Bweyogerere-Nalya'!D36,'30.07 Bweyogerere-Nalya'!D36,'31.07 Bweyogerere-Nalya'!D36,'02.08 Bweyogerere-Nalya'!D36,'01.08 Bweyogerere-Nalya-24h'!D36,'03.08 Bweyogerere-Nalya-24h'!D36,'04.08 Bweyogerere-Nalya'!D36)</f>
        <v>6.2857142857142856</v>
      </c>
      <c r="E36" s="49">
        <f>AVERAGE('29.07 Bweyogerere-Nalya'!E36,'30.07 Bweyogerere-Nalya'!E36,'31.07 Bweyogerere-Nalya'!E36,'02.08 Bweyogerere-Nalya'!E36,'01.08 Bweyogerere-Nalya-24h'!E36,'03.08 Bweyogerere-Nalya-24h'!E36,'04.08 Bweyogerere-Nalya'!E36)</f>
        <v>5.5714285714285712</v>
      </c>
      <c r="F36" s="49">
        <f>AVERAGE('29.07 Bweyogerere-Nalya'!F36,'30.07 Bweyogerere-Nalya'!F36,'31.07 Bweyogerere-Nalya'!F36,'02.08 Bweyogerere-Nalya'!F36,'01.08 Bweyogerere-Nalya-24h'!F36,'03.08 Bweyogerere-Nalya-24h'!F36,'04.08 Bweyogerere-Nalya'!F36)</f>
        <v>19.714285714285715</v>
      </c>
      <c r="G36" s="49">
        <f>AVERAGE('29.07 Bweyogerere-Nalya'!G36,'30.07 Bweyogerere-Nalya'!G36,'31.07 Bweyogerere-Nalya'!G36,'02.08 Bweyogerere-Nalya'!G36,'01.08 Bweyogerere-Nalya-24h'!G36,'03.08 Bweyogerere-Nalya-24h'!G36,'04.08 Bweyogerere-Nalya'!G36)</f>
        <v>0.2857142857142857</v>
      </c>
      <c r="H36" s="49">
        <f>AVERAGE('29.07 Bweyogerere-Nalya'!H36,'30.07 Bweyogerere-Nalya'!H36,'31.07 Bweyogerere-Nalya'!H36,'02.08 Bweyogerere-Nalya'!H36,'01.08 Bweyogerere-Nalya-24h'!H36,'03.08 Bweyogerere-Nalya-24h'!H36,'04.08 Bweyogerere-Nalya'!H36)</f>
        <v>0</v>
      </c>
      <c r="I36" s="49">
        <f>AVERAGE('29.07 Bweyogerere-Nalya'!I36,'30.07 Bweyogerere-Nalya'!I36,'31.07 Bweyogerere-Nalya'!I36,'02.08 Bweyogerere-Nalya'!I36,'01.08 Bweyogerere-Nalya-24h'!I36,'03.08 Bweyogerere-Nalya-24h'!I36,'04.08 Bweyogerere-Nalya'!I36)</f>
        <v>6.5714285714285712</v>
      </c>
      <c r="J36" s="49">
        <f>AVERAGE('29.07 Bweyogerere-Nalya'!J36,'30.07 Bweyogerere-Nalya'!J36,'31.07 Bweyogerere-Nalya'!J36,'02.08 Bweyogerere-Nalya'!J36,'01.08 Bweyogerere-Nalya-24h'!J36,'03.08 Bweyogerere-Nalya-24h'!J36,'04.08 Bweyogerere-Nalya'!J36)</f>
        <v>6.4285714285714288</v>
      </c>
      <c r="K36" s="49">
        <f>AVERAGE('29.07 Bweyogerere-Nalya'!K36,'30.07 Bweyogerere-Nalya'!K36,'31.07 Bweyogerere-Nalya'!K36,'02.08 Bweyogerere-Nalya'!K36,'01.08 Bweyogerere-Nalya-24h'!K36,'03.08 Bweyogerere-Nalya-24h'!K36,'04.08 Bweyogerere-Nalya'!K36)</f>
        <v>4.4285714285714288</v>
      </c>
      <c r="L36" s="49">
        <f>AVERAGE('29.07 Bweyogerere-Nalya'!L36,'30.07 Bweyogerere-Nalya'!L36,'31.07 Bweyogerere-Nalya'!L36,'02.08 Bweyogerere-Nalya'!L36,'01.08 Bweyogerere-Nalya-24h'!L36,'03.08 Bweyogerere-Nalya-24h'!L36,'04.08 Bweyogerere-Nalya'!L36)</f>
        <v>4.8571428571428568</v>
      </c>
      <c r="M36" s="49">
        <f>AVERAGE('29.07 Bweyogerere-Nalya'!M36,'30.07 Bweyogerere-Nalya'!M36,'31.07 Bweyogerere-Nalya'!M36,'02.08 Bweyogerere-Nalya'!M36,'01.08 Bweyogerere-Nalya-24h'!M36,'03.08 Bweyogerere-Nalya-24h'!M36,'04.08 Bweyogerere-Nalya'!M36)</f>
        <v>32.285714285714285</v>
      </c>
      <c r="N36" s="49">
        <f>AVERAGE('29.07 Bweyogerere-Nalya'!N36,'30.07 Bweyogerere-Nalya'!N36,'31.07 Bweyogerere-Nalya'!N36,'02.08 Bweyogerere-Nalya'!N36,'01.08 Bweyogerere-Nalya-24h'!N36,'03.08 Bweyogerere-Nalya-24h'!N36,'04.08 Bweyogerere-Nalya'!N36)</f>
        <v>0</v>
      </c>
      <c r="O36" s="15">
        <f t="shared" si="0"/>
        <v>80.571428571428584</v>
      </c>
      <c r="P36" s="15">
        <f t="shared" si="1"/>
        <v>112.85714285714286</v>
      </c>
      <c r="R36" s="38" t="s">
        <v>92</v>
      </c>
      <c r="S36" s="39">
        <f t="shared" ref="S36:AF36" si="28">MAX(S19:S21)</f>
        <v>139.42857142857142</v>
      </c>
      <c r="T36" s="39">
        <f t="shared" si="28"/>
        <v>43.285714285714285</v>
      </c>
      <c r="U36" s="39">
        <f t="shared" si="28"/>
        <v>19</v>
      </c>
      <c r="V36" s="39">
        <f t="shared" si="28"/>
        <v>133.85714285714286</v>
      </c>
      <c r="W36" s="39">
        <f t="shared" si="28"/>
        <v>3.2857142857142856</v>
      </c>
      <c r="X36" s="39">
        <f t="shared" si="28"/>
        <v>0.71428571428571419</v>
      </c>
      <c r="Y36" s="39">
        <f t="shared" si="28"/>
        <v>17.714285714285715</v>
      </c>
      <c r="Z36" s="39">
        <f t="shared" si="28"/>
        <v>26.857142857142858</v>
      </c>
      <c r="AA36" s="39">
        <f t="shared" si="28"/>
        <v>15.428571428571429</v>
      </c>
      <c r="AB36" s="39">
        <f t="shared" si="28"/>
        <v>21.142857142857142</v>
      </c>
      <c r="AC36" s="39">
        <f t="shared" si="28"/>
        <v>199.14285714285717</v>
      </c>
      <c r="AD36" s="39">
        <f t="shared" si="28"/>
        <v>0.14285714285714285</v>
      </c>
      <c r="AE36" s="40">
        <f t="shared" si="28"/>
        <v>411.99999999999994</v>
      </c>
      <c r="AF36" s="40">
        <f t="shared" si="28"/>
        <v>611.14285714285722</v>
      </c>
    </row>
    <row r="37" spans="2:32" ht="23.1" customHeight="1" x14ac:dyDescent="0.25">
      <c r="B37" s="23" t="s">
        <v>64</v>
      </c>
      <c r="C37" s="49">
        <f>AVERAGE('29.07 Bweyogerere-Nalya'!C37,'30.07 Bweyogerere-Nalya'!C37,'31.07 Bweyogerere-Nalya'!C37,'02.08 Bweyogerere-Nalya'!C37,'01.08 Bweyogerere-Nalya-24h'!C37,'03.08 Bweyogerere-Nalya-24h'!C37,'04.08 Bweyogerere-Nalya'!C37)</f>
        <v>21.857142857142858</v>
      </c>
      <c r="D37" s="49">
        <f>AVERAGE('29.07 Bweyogerere-Nalya'!D37,'30.07 Bweyogerere-Nalya'!D37,'31.07 Bweyogerere-Nalya'!D37,'02.08 Bweyogerere-Nalya'!D37,'01.08 Bweyogerere-Nalya-24h'!D37,'03.08 Bweyogerere-Nalya-24h'!D37,'04.08 Bweyogerere-Nalya'!D37)</f>
        <v>8.1428571428571423</v>
      </c>
      <c r="E37" s="49">
        <f>AVERAGE('29.07 Bweyogerere-Nalya'!E37,'30.07 Bweyogerere-Nalya'!E37,'31.07 Bweyogerere-Nalya'!E37,'02.08 Bweyogerere-Nalya'!E37,'01.08 Bweyogerere-Nalya-24h'!E37,'03.08 Bweyogerere-Nalya-24h'!E37,'04.08 Bweyogerere-Nalya'!E37)</f>
        <v>5.5714285714285712</v>
      </c>
      <c r="F37" s="49">
        <f>AVERAGE('29.07 Bweyogerere-Nalya'!F37,'30.07 Bweyogerere-Nalya'!F37,'31.07 Bweyogerere-Nalya'!F37,'02.08 Bweyogerere-Nalya'!F37,'01.08 Bweyogerere-Nalya-24h'!F37,'03.08 Bweyogerere-Nalya-24h'!F37,'04.08 Bweyogerere-Nalya'!F37)</f>
        <v>17.428571428571427</v>
      </c>
      <c r="G37" s="49">
        <f>AVERAGE('29.07 Bweyogerere-Nalya'!G37,'30.07 Bweyogerere-Nalya'!G37,'31.07 Bweyogerere-Nalya'!G37,'02.08 Bweyogerere-Nalya'!G37,'01.08 Bweyogerere-Nalya-24h'!G37,'03.08 Bweyogerere-Nalya-24h'!G37,'04.08 Bweyogerere-Nalya'!G37)</f>
        <v>0.14285714285714285</v>
      </c>
      <c r="H37" s="49">
        <f>AVERAGE('29.07 Bweyogerere-Nalya'!H37,'30.07 Bweyogerere-Nalya'!H37,'31.07 Bweyogerere-Nalya'!H37,'02.08 Bweyogerere-Nalya'!H37,'01.08 Bweyogerere-Nalya-24h'!H37,'03.08 Bweyogerere-Nalya-24h'!H37,'04.08 Bweyogerere-Nalya'!H37)</f>
        <v>0.14285714285714285</v>
      </c>
      <c r="I37" s="49">
        <f>AVERAGE('29.07 Bweyogerere-Nalya'!I37,'30.07 Bweyogerere-Nalya'!I37,'31.07 Bweyogerere-Nalya'!I37,'02.08 Bweyogerere-Nalya'!I37,'01.08 Bweyogerere-Nalya-24h'!I37,'03.08 Bweyogerere-Nalya-24h'!I37,'04.08 Bweyogerere-Nalya'!I37)</f>
        <v>4.4285714285714288</v>
      </c>
      <c r="J37" s="49">
        <f>AVERAGE('29.07 Bweyogerere-Nalya'!J37,'30.07 Bweyogerere-Nalya'!J37,'31.07 Bweyogerere-Nalya'!J37,'02.08 Bweyogerere-Nalya'!J37,'01.08 Bweyogerere-Nalya-24h'!J37,'03.08 Bweyogerere-Nalya-24h'!J37,'04.08 Bweyogerere-Nalya'!J37)</f>
        <v>5.4285714285714288</v>
      </c>
      <c r="K37" s="49">
        <f>AVERAGE('29.07 Bweyogerere-Nalya'!K37,'30.07 Bweyogerere-Nalya'!K37,'31.07 Bweyogerere-Nalya'!K37,'02.08 Bweyogerere-Nalya'!K37,'01.08 Bweyogerere-Nalya-24h'!K37,'03.08 Bweyogerere-Nalya-24h'!K37,'04.08 Bweyogerere-Nalya'!K37)</f>
        <v>2.7142857142857144</v>
      </c>
      <c r="L37" s="49">
        <f>AVERAGE('29.07 Bweyogerere-Nalya'!L37,'30.07 Bweyogerere-Nalya'!L37,'31.07 Bweyogerere-Nalya'!L37,'02.08 Bweyogerere-Nalya'!L37,'01.08 Bweyogerere-Nalya-24h'!L37,'03.08 Bweyogerere-Nalya-24h'!L37,'04.08 Bweyogerere-Nalya'!L37)</f>
        <v>4.7142857142857144</v>
      </c>
      <c r="M37" s="49">
        <f>AVERAGE('29.07 Bweyogerere-Nalya'!M37,'30.07 Bweyogerere-Nalya'!M37,'31.07 Bweyogerere-Nalya'!M37,'02.08 Bweyogerere-Nalya'!M37,'01.08 Bweyogerere-Nalya-24h'!M37,'03.08 Bweyogerere-Nalya-24h'!M37,'04.08 Bweyogerere-Nalya'!M37)</f>
        <v>35.857142857142854</v>
      </c>
      <c r="N37" s="49">
        <f>AVERAGE('29.07 Bweyogerere-Nalya'!N37,'30.07 Bweyogerere-Nalya'!N37,'31.07 Bweyogerere-Nalya'!N37,'02.08 Bweyogerere-Nalya'!N37,'01.08 Bweyogerere-Nalya-24h'!N37,'03.08 Bweyogerere-Nalya-24h'!N37,'04.08 Bweyogerere-Nalya'!N37)</f>
        <v>0</v>
      </c>
      <c r="O37" s="15">
        <f t="shared" si="0"/>
        <v>70.571428571428569</v>
      </c>
      <c r="P37" s="15">
        <f t="shared" si="1"/>
        <v>106.42857142857142</v>
      </c>
      <c r="R37" s="37" t="s">
        <v>85</v>
      </c>
      <c r="S37" s="35">
        <f t="shared" ref="S37:AF37" si="29">SUM(S10:S12)</f>
        <v>355.14285714285717</v>
      </c>
      <c r="T37" s="16">
        <f t="shared" si="29"/>
        <v>95.857142857142847</v>
      </c>
      <c r="U37" s="16">
        <f t="shared" si="29"/>
        <v>60.428571428571423</v>
      </c>
      <c r="V37" s="16">
        <f t="shared" si="29"/>
        <v>261.14285714285717</v>
      </c>
      <c r="W37" s="16">
        <f t="shared" si="29"/>
        <v>7</v>
      </c>
      <c r="X37" s="16">
        <f t="shared" si="29"/>
        <v>0.71428571428571419</v>
      </c>
      <c r="Y37" s="16">
        <f t="shared" si="29"/>
        <v>36.428571428571423</v>
      </c>
      <c r="Z37" s="16">
        <f t="shared" si="29"/>
        <v>48.142857142857139</v>
      </c>
      <c r="AA37" s="16">
        <f t="shared" si="29"/>
        <v>31.142857142857139</v>
      </c>
      <c r="AB37" s="16">
        <f t="shared" si="29"/>
        <v>46.571428571428569</v>
      </c>
      <c r="AC37" s="16">
        <f t="shared" si="29"/>
        <v>410</v>
      </c>
      <c r="AD37" s="16">
        <f t="shared" si="29"/>
        <v>0.5714285714285714</v>
      </c>
      <c r="AE37" s="32">
        <f t="shared" si="29"/>
        <v>943.14285714285711</v>
      </c>
      <c r="AF37" s="32">
        <f t="shared" si="29"/>
        <v>1353.1428571428571</v>
      </c>
    </row>
    <row r="38" spans="2:32" ht="23.1" customHeight="1" x14ac:dyDescent="0.25">
      <c r="B38" s="24" t="s">
        <v>65</v>
      </c>
      <c r="C38" s="49">
        <f>AVERAGE('29.07 Bweyogerere-Nalya'!C38,'30.07 Bweyogerere-Nalya'!C38,'31.07 Bweyogerere-Nalya'!C38,'02.08 Bweyogerere-Nalya'!C38,'01.08 Bweyogerere-Nalya-24h'!C38,'03.08 Bweyogerere-Nalya-24h'!C38,'04.08 Bweyogerere-Nalya'!C38)</f>
        <v>22</v>
      </c>
      <c r="D38" s="49">
        <f>AVERAGE('29.07 Bweyogerere-Nalya'!D38,'30.07 Bweyogerere-Nalya'!D38,'31.07 Bweyogerere-Nalya'!D38,'02.08 Bweyogerere-Nalya'!D38,'01.08 Bweyogerere-Nalya-24h'!D38,'03.08 Bweyogerere-Nalya-24h'!D38,'04.08 Bweyogerere-Nalya'!D38)</f>
        <v>8</v>
      </c>
      <c r="E38" s="49">
        <f>AVERAGE('29.07 Bweyogerere-Nalya'!E38,'30.07 Bweyogerere-Nalya'!E38,'31.07 Bweyogerere-Nalya'!E38,'02.08 Bweyogerere-Nalya'!E38,'01.08 Bweyogerere-Nalya-24h'!E38,'03.08 Bweyogerere-Nalya-24h'!E38,'04.08 Bweyogerere-Nalya'!E38)</f>
        <v>4</v>
      </c>
      <c r="F38" s="49">
        <f>AVERAGE('29.07 Bweyogerere-Nalya'!F38,'30.07 Bweyogerere-Nalya'!F38,'31.07 Bweyogerere-Nalya'!F38,'02.08 Bweyogerere-Nalya'!F38,'01.08 Bweyogerere-Nalya-24h'!F38,'03.08 Bweyogerere-Nalya-24h'!F38,'04.08 Bweyogerere-Nalya'!F38)</f>
        <v>17.428571428571427</v>
      </c>
      <c r="G38" s="49">
        <f>AVERAGE('29.07 Bweyogerere-Nalya'!G38,'30.07 Bweyogerere-Nalya'!G38,'31.07 Bweyogerere-Nalya'!G38,'02.08 Bweyogerere-Nalya'!G38,'01.08 Bweyogerere-Nalya-24h'!G38,'03.08 Bweyogerere-Nalya-24h'!G38,'04.08 Bweyogerere-Nalya'!G38)</f>
        <v>0.14285714285714285</v>
      </c>
      <c r="H38" s="49">
        <f>AVERAGE('29.07 Bweyogerere-Nalya'!H38,'30.07 Bweyogerere-Nalya'!H38,'31.07 Bweyogerere-Nalya'!H38,'02.08 Bweyogerere-Nalya'!H38,'01.08 Bweyogerere-Nalya-24h'!H38,'03.08 Bweyogerere-Nalya-24h'!H38,'04.08 Bweyogerere-Nalya'!H38)</f>
        <v>0.14285714285714285</v>
      </c>
      <c r="I38" s="49">
        <f>AVERAGE('29.07 Bweyogerere-Nalya'!I38,'30.07 Bweyogerere-Nalya'!I38,'31.07 Bweyogerere-Nalya'!I38,'02.08 Bweyogerere-Nalya'!I38,'01.08 Bweyogerere-Nalya-24h'!I38,'03.08 Bweyogerere-Nalya-24h'!I38,'04.08 Bweyogerere-Nalya'!I38)</f>
        <v>4.4285714285714288</v>
      </c>
      <c r="J38" s="49">
        <f>AVERAGE('29.07 Bweyogerere-Nalya'!J38,'30.07 Bweyogerere-Nalya'!J38,'31.07 Bweyogerere-Nalya'!J38,'02.08 Bweyogerere-Nalya'!J38,'01.08 Bweyogerere-Nalya-24h'!J38,'03.08 Bweyogerere-Nalya-24h'!J38,'04.08 Bweyogerere-Nalya'!J38)</f>
        <v>4.5714285714285712</v>
      </c>
      <c r="K38" s="49">
        <f>AVERAGE('29.07 Bweyogerere-Nalya'!K38,'30.07 Bweyogerere-Nalya'!K38,'31.07 Bweyogerere-Nalya'!K38,'02.08 Bweyogerere-Nalya'!K38,'01.08 Bweyogerere-Nalya-24h'!K38,'03.08 Bweyogerere-Nalya-24h'!K38,'04.08 Bweyogerere-Nalya'!K38)</f>
        <v>3</v>
      </c>
      <c r="L38" s="49">
        <f>AVERAGE('29.07 Bweyogerere-Nalya'!L38,'30.07 Bweyogerere-Nalya'!L38,'31.07 Bweyogerere-Nalya'!L38,'02.08 Bweyogerere-Nalya'!L38,'01.08 Bweyogerere-Nalya-24h'!L38,'03.08 Bweyogerere-Nalya-24h'!L38,'04.08 Bweyogerere-Nalya'!L38)</f>
        <v>4.4285714285714288</v>
      </c>
      <c r="M38" s="49">
        <f>AVERAGE('29.07 Bweyogerere-Nalya'!M38,'30.07 Bweyogerere-Nalya'!M38,'31.07 Bweyogerere-Nalya'!M38,'02.08 Bweyogerere-Nalya'!M38,'01.08 Bweyogerere-Nalya-24h'!M38,'03.08 Bweyogerere-Nalya-24h'!M38,'04.08 Bweyogerere-Nalya'!M38)</f>
        <v>35.142857142857146</v>
      </c>
      <c r="N38" s="49">
        <f>AVERAGE('29.07 Bweyogerere-Nalya'!N38,'30.07 Bweyogerere-Nalya'!N38,'31.07 Bweyogerere-Nalya'!N38,'02.08 Bweyogerere-Nalya'!N38,'01.08 Bweyogerere-Nalya-24h'!N38,'03.08 Bweyogerere-Nalya-24h'!N38,'04.08 Bweyogerere-Nalya'!N38)</f>
        <v>0.14285714285714285</v>
      </c>
      <c r="O38" s="15">
        <f t="shared" si="0"/>
        <v>68.285714285714292</v>
      </c>
      <c r="P38" s="15">
        <f t="shared" si="1"/>
        <v>103.42857142857144</v>
      </c>
      <c r="R38" s="28" t="s">
        <v>86</v>
      </c>
      <c r="S38" s="16">
        <f t="shared" ref="S38:AF38" si="30">SUM(S13:S18)</f>
        <v>557.71428571428578</v>
      </c>
      <c r="T38" s="16">
        <f t="shared" si="30"/>
        <v>196.71428571428572</v>
      </c>
      <c r="U38" s="16">
        <f t="shared" si="30"/>
        <v>98.285714285714292</v>
      </c>
      <c r="V38" s="16">
        <f t="shared" si="30"/>
        <v>458.28571428571428</v>
      </c>
      <c r="W38" s="16">
        <f t="shared" si="30"/>
        <v>10.428571428571429</v>
      </c>
      <c r="X38" s="16">
        <f t="shared" si="30"/>
        <v>1.714285714285714</v>
      </c>
      <c r="Y38" s="16">
        <f t="shared" si="30"/>
        <v>112.85714285714283</v>
      </c>
      <c r="Z38" s="16">
        <f t="shared" si="30"/>
        <v>122.42857142857142</v>
      </c>
      <c r="AA38" s="16">
        <f t="shared" si="30"/>
        <v>79.857142857142861</v>
      </c>
      <c r="AB38" s="16">
        <f t="shared" si="30"/>
        <v>118</v>
      </c>
      <c r="AC38" s="16">
        <f t="shared" si="30"/>
        <v>859.28571428571445</v>
      </c>
      <c r="AD38" s="16">
        <f t="shared" si="30"/>
        <v>0.71428571428571419</v>
      </c>
      <c r="AE38" s="32">
        <f t="shared" si="30"/>
        <v>1757</v>
      </c>
      <c r="AF38" s="32">
        <f t="shared" si="30"/>
        <v>2616.2857142857147</v>
      </c>
    </row>
    <row r="39" spans="2:32" ht="23.1" customHeight="1" x14ac:dyDescent="0.25">
      <c r="B39" s="24" t="s">
        <v>66</v>
      </c>
      <c r="C39" s="49">
        <f>AVERAGE('29.07 Bweyogerere-Nalya'!C39,'30.07 Bweyogerere-Nalya'!C39,'31.07 Bweyogerere-Nalya'!C39,'02.08 Bweyogerere-Nalya'!C39,'01.08 Bweyogerere-Nalya-24h'!C39,'03.08 Bweyogerere-Nalya-24h'!C39,'04.08 Bweyogerere-Nalya'!C39)</f>
        <v>18.571428571428573</v>
      </c>
      <c r="D39" s="49">
        <f>AVERAGE('29.07 Bweyogerere-Nalya'!D39,'30.07 Bweyogerere-Nalya'!D39,'31.07 Bweyogerere-Nalya'!D39,'02.08 Bweyogerere-Nalya'!D39,'01.08 Bweyogerere-Nalya-24h'!D39,'03.08 Bweyogerere-Nalya-24h'!D39,'04.08 Bweyogerere-Nalya'!D39)</f>
        <v>9.4285714285714288</v>
      </c>
      <c r="E39" s="49">
        <f>AVERAGE('29.07 Bweyogerere-Nalya'!E39,'30.07 Bweyogerere-Nalya'!E39,'31.07 Bweyogerere-Nalya'!E39,'02.08 Bweyogerere-Nalya'!E39,'01.08 Bweyogerere-Nalya-24h'!E39,'03.08 Bweyogerere-Nalya-24h'!E39,'04.08 Bweyogerere-Nalya'!E39)</f>
        <v>3.7142857142857144</v>
      </c>
      <c r="F39" s="49">
        <f>AVERAGE('29.07 Bweyogerere-Nalya'!F39,'30.07 Bweyogerere-Nalya'!F39,'31.07 Bweyogerere-Nalya'!F39,'02.08 Bweyogerere-Nalya'!F39,'01.08 Bweyogerere-Nalya-24h'!F39,'03.08 Bweyogerere-Nalya-24h'!F39,'04.08 Bweyogerere-Nalya'!F39)</f>
        <v>15.142857142857142</v>
      </c>
      <c r="G39" s="49">
        <f>AVERAGE('29.07 Bweyogerere-Nalya'!G39,'30.07 Bweyogerere-Nalya'!G39,'31.07 Bweyogerere-Nalya'!G39,'02.08 Bweyogerere-Nalya'!G39,'01.08 Bweyogerere-Nalya-24h'!G39,'03.08 Bweyogerere-Nalya-24h'!G39,'04.08 Bweyogerere-Nalya'!G39)</f>
        <v>0.14285714285714285</v>
      </c>
      <c r="H39" s="49">
        <f>AVERAGE('29.07 Bweyogerere-Nalya'!H39,'30.07 Bweyogerere-Nalya'!H39,'31.07 Bweyogerere-Nalya'!H39,'02.08 Bweyogerere-Nalya'!H39,'01.08 Bweyogerere-Nalya-24h'!H39,'03.08 Bweyogerere-Nalya-24h'!H39,'04.08 Bweyogerere-Nalya'!H39)</f>
        <v>0</v>
      </c>
      <c r="I39" s="49">
        <f>AVERAGE('29.07 Bweyogerere-Nalya'!I39,'30.07 Bweyogerere-Nalya'!I39,'31.07 Bweyogerere-Nalya'!I39,'02.08 Bweyogerere-Nalya'!I39,'01.08 Bweyogerere-Nalya-24h'!I39,'03.08 Bweyogerere-Nalya-24h'!I39,'04.08 Bweyogerere-Nalya'!I39)</f>
        <v>6.4285714285714288</v>
      </c>
      <c r="J39" s="49">
        <f>AVERAGE('29.07 Bweyogerere-Nalya'!J39,'30.07 Bweyogerere-Nalya'!J39,'31.07 Bweyogerere-Nalya'!J39,'02.08 Bweyogerere-Nalya'!J39,'01.08 Bweyogerere-Nalya-24h'!J39,'03.08 Bweyogerere-Nalya-24h'!J39,'04.08 Bweyogerere-Nalya'!J39)</f>
        <v>4.4285714285714288</v>
      </c>
      <c r="K39" s="49">
        <f>AVERAGE('29.07 Bweyogerere-Nalya'!K39,'30.07 Bweyogerere-Nalya'!K39,'31.07 Bweyogerere-Nalya'!K39,'02.08 Bweyogerere-Nalya'!K39,'01.08 Bweyogerere-Nalya-24h'!K39,'03.08 Bweyogerere-Nalya-24h'!K39,'04.08 Bweyogerere-Nalya'!K39)</f>
        <v>3.5714285714285716</v>
      </c>
      <c r="L39" s="49">
        <f>AVERAGE('29.07 Bweyogerere-Nalya'!L39,'30.07 Bweyogerere-Nalya'!L39,'31.07 Bweyogerere-Nalya'!L39,'02.08 Bweyogerere-Nalya'!L39,'01.08 Bweyogerere-Nalya-24h'!L39,'03.08 Bweyogerere-Nalya-24h'!L39,'04.08 Bweyogerere-Nalya'!L39)</f>
        <v>5</v>
      </c>
      <c r="M39" s="49">
        <f>AVERAGE('29.07 Bweyogerere-Nalya'!M39,'30.07 Bweyogerere-Nalya'!M39,'31.07 Bweyogerere-Nalya'!M39,'02.08 Bweyogerere-Nalya'!M39,'01.08 Bweyogerere-Nalya-24h'!M39,'03.08 Bweyogerere-Nalya-24h'!M39,'04.08 Bweyogerere-Nalya'!M39)</f>
        <v>31.714285714285715</v>
      </c>
      <c r="N39" s="49">
        <f>AVERAGE('29.07 Bweyogerere-Nalya'!N39,'30.07 Bweyogerere-Nalya'!N39,'31.07 Bweyogerere-Nalya'!N39,'02.08 Bweyogerere-Nalya'!N39,'01.08 Bweyogerere-Nalya-24h'!N39,'03.08 Bweyogerere-Nalya-24h'!N39,'04.08 Bweyogerere-Nalya'!N39)</f>
        <v>0</v>
      </c>
      <c r="O39" s="15">
        <f t="shared" si="0"/>
        <v>66.428571428571445</v>
      </c>
      <c r="P39" s="15">
        <f t="shared" si="1"/>
        <v>98.142857142857167</v>
      </c>
      <c r="R39" s="29" t="s">
        <v>87</v>
      </c>
      <c r="S39" s="16">
        <f t="shared" ref="S39:AF39" si="31">SUM(S19:S21)</f>
        <v>338.57142857142856</v>
      </c>
      <c r="T39" s="16">
        <f t="shared" si="31"/>
        <v>105.85714285714286</v>
      </c>
      <c r="U39" s="16">
        <f t="shared" si="31"/>
        <v>53.857142857142861</v>
      </c>
      <c r="V39" s="16">
        <f t="shared" si="31"/>
        <v>318.28571428571433</v>
      </c>
      <c r="W39" s="16">
        <f t="shared" si="31"/>
        <v>5.7142857142857135</v>
      </c>
      <c r="X39" s="16">
        <f t="shared" si="31"/>
        <v>0.85714285714285698</v>
      </c>
      <c r="Y39" s="16">
        <f t="shared" si="31"/>
        <v>52.571428571428577</v>
      </c>
      <c r="Z39" s="16">
        <f t="shared" si="31"/>
        <v>68.428571428571431</v>
      </c>
      <c r="AA39" s="16">
        <f t="shared" si="31"/>
        <v>39.142857142857146</v>
      </c>
      <c r="AB39" s="16">
        <f t="shared" si="31"/>
        <v>57.428571428571431</v>
      </c>
      <c r="AC39" s="16">
        <f t="shared" si="31"/>
        <v>518.71428571428578</v>
      </c>
      <c r="AD39" s="16">
        <f t="shared" si="31"/>
        <v>0.2857142857142857</v>
      </c>
      <c r="AE39" s="32">
        <f t="shared" si="31"/>
        <v>1041</v>
      </c>
      <c r="AF39" s="32">
        <f t="shared" si="31"/>
        <v>1559.7142857142858</v>
      </c>
    </row>
    <row r="40" spans="2:32" ht="23.1" customHeight="1" x14ac:dyDescent="0.25">
      <c r="B40" s="24" t="s">
        <v>67</v>
      </c>
      <c r="C40" s="49">
        <f>AVERAGE('29.07 Bweyogerere-Nalya'!C40,'30.07 Bweyogerere-Nalya'!C40,'31.07 Bweyogerere-Nalya'!C40,'02.08 Bweyogerere-Nalya'!C40,'01.08 Bweyogerere-Nalya-24h'!C40,'03.08 Bweyogerere-Nalya-24h'!C40,'04.08 Bweyogerere-Nalya'!C40)</f>
        <v>23.142857142857142</v>
      </c>
      <c r="D40" s="49">
        <f>AVERAGE('29.07 Bweyogerere-Nalya'!D40,'30.07 Bweyogerere-Nalya'!D40,'31.07 Bweyogerere-Nalya'!D40,'02.08 Bweyogerere-Nalya'!D40,'01.08 Bweyogerere-Nalya-24h'!D40,'03.08 Bweyogerere-Nalya-24h'!D40,'04.08 Bweyogerere-Nalya'!D40)</f>
        <v>6.5714285714285712</v>
      </c>
      <c r="E40" s="49">
        <f>AVERAGE('29.07 Bweyogerere-Nalya'!E40,'30.07 Bweyogerere-Nalya'!E40,'31.07 Bweyogerere-Nalya'!E40,'02.08 Bweyogerere-Nalya'!E40,'01.08 Bweyogerere-Nalya-24h'!E40,'03.08 Bweyogerere-Nalya-24h'!E40,'04.08 Bweyogerere-Nalya'!E40)</f>
        <v>2.8571428571428572</v>
      </c>
      <c r="F40" s="49">
        <f>AVERAGE('29.07 Bweyogerere-Nalya'!F40,'30.07 Bweyogerere-Nalya'!F40,'31.07 Bweyogerere-Nalya'!F40,'02.08 Bweyogerere-Nalya'!F40,'01.08 Bweyogerere-Nalya-24h'!F40,'03.08 Bweyogerere-Nalya-24h'!F40,'04.08 Bweyogerere-Nalya'!F40)</f>
        <v>16.571428571428573</v>
      </c>
      <c r="G40" s="49">
        <f>AVERAGE('29.07 Bweyogerere-Nalya'!G40,'30.07 Bweyogerere-Nalya'!G40,'31.07 Bweyogerere-Nalya'!G40,'02.08 Bweyogerere-Nalya'!G40,'01.08 Bweyogerere-Nalya-24h'!G40,'03.08 Bweyogerere-Nalya-24h'!G40,'04.08 Bweyogerere-Nalya'!G40)</f>
        <v>0</v>
      </c>
      <c r="H40" s="49">
        <f>AVERAGE('29.07 Bweyogerere-Nalya'!H40,'30.07 Bweyogerere-Nalya'!H40,'31.07 Bweyogerere-Nalya'!H40,'02.08 Bweyogerere-Nalya'!H40,'01.08 Bweyogerere-Nalya-24h'!H40,'03.08 Bweyogerere-Nalya-24h'!H40,'04.08 Bweyogerere-Nalya'!H40)</f>
        <v>0.14285714285714285</v>
      </c>
      <c r="I40" s="49">
        <f>AVERAGE('29.07 Bweyogerere-Nalya'!I40,'30.07 Bweyogerere-Nalya'!I40,'31.07 Bweyogerere-Nalya'!I40,'02.08 Bweyogerere-Nalya'!I40,'01.08 Bweyogerere-Nalya-24h'!I40,'03.08 Bweyogerere-Nalya-24h'!I40,'04.08 Bweyogerere-Nalya'!I40)</f>
        <v>4.8571428571428568</v>
      </c>
      <c r="J40" s="49">
        <f>AVERAGE('29.07 Bweyogerere-Nalya'!J40,'30.07 Bweyogerere-Nalya'!J40,'31.07 Bweyogerere-Nalya'!J40,'02.08 Bweyogerere-Nalya'!J40,'01.08 Bweyogerere-Nalya-24h'!J40,'03.08 Bweyogerere-Nalya-24h'!J40,'04.08 Bweyogerere-Nalya'!J40)</f>
        <v>4.5714285714285712</v>
      </c>
      <c r="K40" s="49">
        <f>AVERAGE('29.07 Bweyogerere-Nalya'!K40,'30.07 Bweyogerere-Nalya'!K40,'31.07 Bweyogerere-Nalya'!K40,'02.08 Bweyogerere-Nalya'!K40,'01.08 Bweyogerere-Nalya-24h'!K40,'03.08 Bweyogerere-Nalya-24h'!K40,'04.08 Bweyogerere-Nalya'!K40)</f>
        <v>4.7142857142857144</v>
      </c>
      <c r="L40" s="49">
        <f>AVERAGE('29.07 Bweyogerere-Nalya'!L40,'30.07 Bweyogerere-Nalya'!L40,'31.07 Bweyogerere-Nalya'!L40,'02.08 Bweyogerere-Nalya'!L40,'01.08 Bweyogerere-Nalya-24h'!L40,'03.08 Bweyogerere-Nalya-24h'!L40,'04.08 Bweyogerere-Nalya'!L40)</f>
        <v>5</v>
      </c>
      <c r="M40" s="49">
        <f>AVERAGE('29.07 Bweyogerere-Nalya'!M40,'30.07 Bweyogerere-Nalya'!M40,'31.07 Bweyogerere-Nalya'!M40,'02.08 Bweyogerere-Nalya'!M40,'01.08 Bweyogerere-Nalya-24h'!M40,'03.08 Bweyogerere-Nalya-24h'!M40,'04.08 Bweyogerere-Nalya'!M40)</f>
        <v>35</v>
      </c>
      <c r="N40" s="49">
        <f>AVERAGE('29.07 Bweyogerere-Nalya'!N40,'30.07 Bweyogerere-Nalya'!N40,'31.07 Bweyogerere-Nalya'!N40,'02.08 Bweyogerere-Nalya'!N40,'01.08 Bweyogerere-Nalya-24h'!N40,'03.08 Bweyogerere-Nalya-24h'!N40,'04.08 Bweyogerere-Nalya'!N40)</f>
        <v>0</v>
      </c>
      <c r="O40" s="15">
        <f t="shared" si="0"/>
        <v>68.428571428571416</v>
      </c>
      <c r="P40" s="15">
        <f t="shared" si="1"/>
        <v>103.42857142857142</v>
      </c>
      <c r="R40" s="5" t="s">
        <v>17</v>
      </c>
      <c r="S40" s="16">
        <f t="shared" ref="S40:AF40" si="32">SUM(S10:S21)</f>
        <v>1251.4285714285713</v>
      </c>
      <c r="T40" s="16">
        <f t="shared" si="32"/>
        <v>398.42857142857144</v>
      </c>
      <c r="U40" s="16">
        <f t="shared" si="32"/>
        <v>212.57142857142853</v>
      </c>
      <c r="V40" s="16">
        <f t="shared" si="32"/>
        <v>1037.7142857142858</v>
      </c>
      <c r="W40" s="16">
        <f t="shared" si="32"/>
        <v>23.142857142857139</v>
      </c>
      <c r="X40" s="16">
        <f t="shared" si="32"/>
        <v>3.2857142857142856</v>
      </c>
      <c r="Y40" s="16">
        <f t="shared" si="32"/>
        <v>201.85714285714286</v>
      </c>
      <c r="Z40" s="16">
        <f t="shared" si="32"/>
        <v>239.00000000000003</v>
      </c>
      <c r="AA40" s="16">
        <f t="shared" si="32"/>
        <v>150.14285714285714</v>
      </c>
      <c r="AB40" s="16">
        <f t="shared" si="32"/>
        <v>222.00000000000003</v>
      </c>
      <c r="AC40" s="16">
        <f t="shared" si="32"/>
        <v>1788.0000000000002</v>
      </c>
      <c r="AD40" s="16">
        <f t="shared" si="32"/>
        <v>1.5714285714285712</v>
      </c>
      <c r="AE40" s="32">
        <f t="shared" si="32"/>
        <v>3741.1428571428573</v>
      </c>
      <c r="AF40" s="32">
        <f t="shared" si="32"/>
        <v>5529.1428571428569</v>
      </c>
    </row>
    <row r="41" spans="2:32" ht="23.1" customHeight="1" x14ac:dyDescent="0.25">
      <c r="B41" s="23" t="s">
        <v>68</v>
      </c>
      <c r="C41" s="49">
        <f>AVERAGE('29.07 Bweyogerere-Nalya'!C41,'30.07 Bweyogerere-Nalya'!C41,'31.07 Bweyogerere-Nalya'!C41,'02.08 Bweyogerere-Nalya'!C41,'01.08 Bweyogerere-Nalya-24h'!C41,'03.08 Bweyogerere-Nalya-24h'!C41,'04.08 Bweyogerere-Nalya'!C41)</f>
        <v>20</v>
      </c>
      <c r="D41" s="49">
        <f>AVERAGE('29.07 Bweyogerere-Nalya'!D41,'30.07 Bweyogerere-Nalya'!D41,'31.07 Bweyogerere-Nalya'!D41,'02.08 Bweyogerere-Nalya'!D41,'01.08 Bweyogerere-Nalya-24h'!D41,'03.08 Bweyogerere-Nalya-24h'!D41,'04.08 Bweyogerere-Nalya'!D41)</f>
        <v>6.7142857142857144</v>
      </c>
      <c r="E41" s="49">
        <f>AVERAGE('29.07 Bweyogerere-Nalya'!E41,'30.07 Bweyogerere-Nalya'!E41,'31.07 Bweyogerere-Nalya'!E41,'02.08 Bweyogerere-Nalya'!E41,'01.08 Bweyogerere-Nalya-24h'!E41,'03.08 Bweyogerere-Nalya-24h'!E41,'04.08 Bweyogerere-Nalya'!E41)</f>
        <v>3.5714285714285716</v>
      </c>
      <c r="F41" s="49">
        <f>AVERAGE('29.07 Bweyogerere-Nalya'!F41,'30.07 Bweyogerere-Nalya'!F41,'31.07 Bweyogerere-Nalya'!F41,'02.08 Bweyogerere-Nalya'!F41,'01.08 Bweyogerere-Nalya-24h'!F41,'03.08 Bweyogerere-Nalya-24h'!F41,'04.08 Bweyogerere-Nalya'!F41)</f>
        <v>16.714285714285715</v>
      </c>
      <c r="G41" s="49">
        <f>AVERAGE('29.07 Bweyogerere-Nalya'!G41,'30.07 Bweyogerere-Nalya'!G41,'31.07 Bweyogerere-Nalya'!G41,'02.08 Bweyogerere-Nalya'!G41,'01.08 Bweyogerere-Nalya-24h'!G41,'03.08 Bweyogerere-Nalya-24h'!G41,'04.08 Bweyogerere-Nalya'!G41)</f>
        <v>0.14285714285714285</v>
      </c>
      <c r="H41" s="49">
        <f>AVERAGE('29.07 Bweyogerere-Nalya'!H41,'30.07 Bweyogerere-Nalya'!H41,'31.07 Bweyogerere-Nalya'!H41,'02.08 Bweyogerere-Nalya'!H41,'01.08 Bweyogerere-Nalya-24h'!H41,'03.08 Bweyogerere-Nalya-24h'!H41,'04.08 Bweyogerere-Nalya'!H41)</f>
        <v>0</v>
      </c>
      <c r="I41" s="49">
        <f>AVERAGE('29.07 Bweyogerere-Nalya'!I41,'30.07 Bweyogerere-Nalya'!I41,'31.07 Bweyogerere-Nalya'!I41,'02.08 Bweyogerere-Nalya'!I41,'01.08 Bweyogerere-Nalya-24h'!I41,'03.08 Bweyogerere-Nalya-24h'!I41,'04.08 Bweyogerere-Nalya'!I41)</f>
        <v>3.4285714285714284</v>
      </c>
      <c r="J41" s="49">
        <f>AVERAGE('29.07 Bweyogerere-Nalya'!J41,'30.07 Bweyogerere-Nalya'!J41,'31.07 Bweyogerere-Nalya'!J41,'02.08 Bweyogerere-Nalya'!J41,'01.08 Bweyogerere-Nalya-24h'!J41,'03.08 Bweyogerere-Nalya-24h'!J41,'04.08 Bweyogerere-Nalya'!J41)</f>
        <v>5.2857142857142856</v>
      </c>
      <c r="K41" s="49">
        <f>AVERAGE('29.07 Bweyogerere-Nalya'!K41,'30.07 Bweyogerere-Nalya'!K41,'31.07 Bweyogerere-Nalya'!K41,'02.08 Bweyogerere-Nalya'!K41,'01.08 Bweyogerere-Nalya-24h'!K41,'03.08 Bweyogerere-Nalya-24h'!K41,'04.08 Bweyogerere-Nalya'!K41)</f>
        <v>2.2857142857142856</v>
      </c>
      <c r="L41" s="49">
        <f>AVERAGE('29.07 Bweyogerere-Nalya'!L41,'30.07 Bweyogerere-Nalya'!L41,'31.07 Bweyogerere-Nalya'!L41,'02.08 Bweyogerere-Nalya'!L41,'01.08 Bweyogerere-Nalya-24h'!L41,'03.08 Bweyogerere-Nalya-24h'!L41,'04.08 Bweyogerere-Nalya'!L41)</f>
        <v>3.8571428571428572</v>
      </c>
      <c r="M41" s="49">
        <f>AVERAGE('29.07 Bweyogerere-Nalya'!M41,'30.07 Bweyogerere-Nalya'!M41,'31.07 Bweyogerere-Nalya'!M41,'02.08 Bweyogerere-Nalya'!M41,'01.08 Bweyogerere-Nalya-24h'!M41,'03.08 Bweyogerere-Nalya-24h'!M41,'04.08 Bweyogerere-Nalya'!M41)</f>
        <v>32.857142857142854</v>
      </c>
      <c r="N41" s="49">
        <f>AVERAGE('29.07 Bweyogerere-Nalya'!N41,'30.07 Bweyogerere-Nalya'!N41,'31.07 Bweyogerere-Nalya'!N41,'02.08 Bweyogerere-Nalya'!N41,'01.08 Bweyogerere-Nalya-24h'!N41,'03.08 Bweyogerere-Nalya-24h'!N41,'04.08 Bweyogerere-Nalya'!N41)</f>
        <v>0.14285714285714285</v>
      </c>
      <c r="O41" s="15">
        <f t="shared" si="0"/>
        <v>62.142857142857146</v>
      </c>
      <c r="P41" s="15">
        <f t="shared" si="1"/>
        <v>95</v>
      </c>
      <c r="R41" s="5" t="s">
        <v>177</v>
      </c>
      <c r="S41" s="52">
        <f>SUM(S10:S33)</f>
        <v>1712.4285714285713</v>
      </c>
      <c r="T41" s="52">
        <f t="shared" ref="T41:AD41" si="33">SUM(T10:T33)</f>
        <v>646.92857142857144</v>
      </c>
      <c r="U41" s="52">
        <f t="shared" si="33"/>
        <v>297.57142857142856</v>
      </c>
      <c r="V41" s="52">
        <f t="shared" si="33"/>
        <v>1462.2142857142858</v>
      </c>
      <c r="W41" s="52">
        <f t="shared" si="33"/>
        <v>40.142857142857139</v>
      </c>
      <c r="X41" s="52">
        <f t="shared" si="33"/>
        <v>6.2857142857142856</v>
      </c>
      <c r="Y41" s="52">
        <f t="shared" si="33"/>
        <v>264.35714285714289</v>
      </c>
      <c r="Z41" s="52">
        <f t="shared" si="33"/>
        <v>360.5</v>
      </c>
      <c r="AA41" s="52">
        <f t="shared" si="33"/>
        <v>248.14285714285714</v>
      </c>
      <c r="AB41" s="52">
        <f t="shared" si="33"/>
        <v>344</v>
      </c>
      <c r="AC41" s="52">
        <f t="shared" si="33"/>
        <v>2343</v>
      </c>
      <c r="AD41" s="52">
        <f t="shared" si="33"/>
        <v>2.5714285714285712</v>
      </c>
      <c r="AE41" s="53">
        <f>SUM(AE10:AE33)</f>
        <v>5385.1428571428569</v>
      </c>
      <c r="AF41" s="53">
        <f>SUM(AF10:AF33)</f>
        <v>7728.1428571428569</v>
      </c>
    </row>
    <row r="42" spans="2:32" ht="23.1" customHeight="1" x14ac:dyDescent="0.25">
      <c r="B42" s="24" t="s">
        <v>69</v>
      </c>
      <c r="C42" s="49">
        <f>AVERAGE('29.07 Bweyogerere-Nalya'!C42,'30.07 Bweyogerere-Nalya'!C42,'31.07 Bweyogerere-Nalya'!C42,'02.08 Bweyogerere-Nalya'!C42,'01.08 Bweyogerere-Nalya-24h'!C42,'03.08 Bweyogerere-Nalya-24h'!C42,'04.08 Bweyogerere-Nalya'!C42)</f>
        <v>21.142857142857142</v>
      </c>
      <c r="D42" s="49">
        <f>AVERAGE('29.07 Bweyogerere-Nalya'!D42,'30.07 Bweyogerere-Nalya'!D42,'31.07 Bweyogerere-Nalya'!D42,'02.08 Bweyogerere-Nalya'!D42,'01.08 Bweyogerere-Nalya-24h'!D42,'03.08 Bweyogerere-Nalya-24h'!D42,'04.08 Bweyogerere-Nalya'!D42)</f>
        <v>9.1428571428571423</v>
      </c>
      <c r="E42" s="49">
        <f>AVERAGE('29.07 Bweyogerere-Nalya'!E42,'30.07 Bweyogerere-Nalya'!E42,'31.07 Bweyogerere-Nalya'!E42,'02.08 Bweyogerere-Nalya'!E42,'01.08 Bweyogerere-Nalya-24h'!E42,'03.08 Bweyogerere-Nalya-24h'!E42,'04.08 Bweyogerere-Nalya'!E42)</f>
        <v>4</v>
      </c>
      <c r="F42" s="49">
        <f>AVERAGE('29.07 Bweyogerere-Nalya'!F42,'30.07 Bweyogerere-Nalya'!F42,'31.07 Bweyogerere-Nalya'!F42,'02.08 Bweyogerere-Nalya'!F42,'01.08 Bweyogerere-Nalya-24h'!F42,'03.08 Bweyogerere-Nalya-24h'!F42,'04.08 Bweyogerere-Nalya'!F42)</f>
        <v>19</v>
      </c>
      <c r="G42" s="49">
        <f>AVERAGE('29.07 Bweyogerere-Nalya'!G42,'30.07 Bweyogerere-Nalya'!G42,'31.07 Bweyogerere-Nalya'!G42,'02.08 Bweyogerere-Nalya'!G42,'01.08 Bweyogerere-Nalya-24h'!G42,'03.08 Bweyogerere-Nalya-24h'!G42,'04.08 Bweyogerere-Nalya'!G42)</f>
        <v>0.42857142857142855</v>
      </c>
      <c r="H42" s="49">
        <f>AVERAGE('29.07 Bweyogerere-Nalya'!H42,'30.07 Bweyogerere-Nalya'!H42,'31.07 Bweyogerere-Nalya'!H42,'02.08 Bweyogerere-Nalya'!H42,'01.08 Bweyogerere-Nalya-24h'!H42,'03.08 Bweyogerere-Nalya-24h'!H42,'04.08 Bweyogerere-Nalya'!H42)</f>
        <v>0</v>
      </c>
      <c r="I42" s="49">
        <f>AVERAGE('29.07 Bweyogerere-Nalya'!I42,'30.07 Bweyogerere-Nalya'!I42,'31.07 Bweyogerere-Nalya'!I42,'02.08 Bweyogerere-Nalya'!I42,'01.08 Bweyogerere-Nalya-24h'!I42,'03.08 Bweyogerere-Nalya-24h'!I42,'04.08 Bweyogerere-Nalya'!I42)</f>
        <v>4.2857142857142856</v>
      </c>
      <c r="J42" s="49">
        <f>AVERAGE('29.07 Bweyogerere-Nalya'!J42,'30.07 Bweyogerere-Nalya'!J42,'31.07 Bweyogerere-Nalya'!J42,'02.08 Bweyogerere-Nalya'!J42,'01.08 Bweyogerere-Nalya-24h'!J42,'03.08 Bweyogerere-Nalya-24h'!J42,'04.08 Bweyogerere-Nalya'!J42)</f>
        <v>5.1428571428571432</v>
      </c>
      <c r="K42" s="49">
        <f>AVERAGE('29.07 Bweyogerere-Nalya'!K42,'30.07 Bweyogerere-Nalya'!K42,'31.07 Bweyogerere-Nalya'!K42,'02.08 Bweyogerere-Nalya'!K42,'01.08 Bweyogerere-Nalya-24h'!K42,'03.08 Bweyogerere-Nalya-24h'!K42,'04.08 Bweyogerere-Nalya'!K42)</f>
        <v>4.8571428571428568</v>
      </c>
      <c r="L42" s="49">
        <f>AVERAGE('29.07 Bweyogerere-Nalya'!L42,'30.07 Bweyogerere-Nalya'!L42,'31.07 Bweyogerere-Nalya'!L42,'02.08 Bweyogerere-Nalya'!L42,'01.08 Bweyogerere-Nalya-24h'!L42,'03.08 Bweyogerere-Nalya-24h'!L42,'04.08 Bweyogerere-Nalya'!L42)</f>
        <v>5.4285714285714288</v>
      </c>
      <c r="M42" s="49">
        <f>AVERAGE('29.07 Bweyogerere-Nalya'!M42,'30.07 Bweyogerere-Nalya'!M42,'31.07 Bweyogerere-Nalya'!M42,'02.08 Bweyogerere-Nalya'!M42,'01.08 Bweyogerere-Nalya-24h'!M42,'03.08 Bweyogerere-Nalya-24h'!M42,'04.08 Bweyogerere-Nalya'!M42)</f>
        <v>31.714285714285715</v>
      </c>
      <c r="N42" s="49">
        <f>AVERAGE('29.07 Bweyogerere-Nalya'!N42,'30.07 Bweyogerere-Nalya'!N42,'31.07 Bweyogerere-Nalya'!N42,'02.08 Bweyogerere-Nalya'!N42,'01.08 Bweyogerere-Nalya-24h'!N42,'03.08 Bweyogerere-Nalya-24h'!N42,'04.08 Bweyogerere-Nalya'!N42)</f>
        <v>0</v>
      </c>
      <c r="O42" s="15">
        <f t="shared" si="0"/>
        <v>73.428571428571431</v>
      </c>
      <c r="P42" s="15">
        <f t="shared" si="1"/>
        <v>105.14285714285714</v>
      </c>
      <c r="R42" s="5" t="s">
        <v>160</v>
      </c>
      <c r="S42" s="48">
        <f>S41/S40</f>
        <v>1.3683789954337899</v>
      </c>
      <c r="T42" s="48">
        <f t="shared" ref="T42:AF42" si="34">T41/T40</f>
        <v>1.6237002509860166</v>
      </c>
      <c r="U42" s="48">
        <f t="shared" si="34"/>
        <v>1.3998655913978497</v>
      </c>
      <c r="V42" s="48">
        <f t="shared" si="34"/>
        <v>1.4090721365638765</v>
      </c>
      <c r="W42" s="48">
        <f t="shared" si="34"/>
        <v>1.7345679012345681</v>
      </c>
      <c r="X42" s="48">
        <f t="shared" si="34"/>
        <v>1.9130434782608696</v>
      </c>
      <c r="Y42" s="48">
        <f t="shared" si="34"/>
        <v>1.3096249115357397</v>
      </c>
      <c r="Z42" s="48">
        <f t="shared" si="34"/>
        <v>1.50836820083682</v>
      </c>
      <c r="AA42" s="48">
        <f t="shared" si="34"/>
        <v>1.6527117031398668</v>
      </c>
      <c r="AB42" s="48">
        <f t="shared" si="34"/>
        <v>1.5495495495495493</v>
      </c>
      <c r="AC42" s="48">
        <f t="shared" si="34"/>
        <v>1.3104026845637582</v>
      </c>
      <c r="AD42" s="48">
        <f>AD41/AD40</f>
        <v>1.6363636363636365</v>
      </c>
      <c r="AE42" s="54">
        <f t="shared" si="34"/>
        <v>1.4394379104933557</v>
      </c>
      <c r="AF42" s="54">
        <f t="shared" si="34"/>
        <v>1.3977108309218687</v>
      </c>
    </row>
    <row r="43" spans="2:32" ht="23.1" customHeight="1" x14ac:dyDescent="0.25">
      <c r="B43" s="23" t="s">
        <v>70</v>
      </c>
      <c r="C43" s="49">
        <f>AVERAGE('29.07 Bweyogerere-Nalya'!C43,'30.07 Bweyogerere-Nalya'!C43,'31.07 Bweyogerere-Nalya'!C43,'02.08 Bweyogerere-Nalya'!C43,'01.08 Bweyogerere-Nalya-24h'!C43,'03.08 Bweyogerere-Nalya-24h'!C43,'04.08 Bweyogerere-Nalya'!C43)</f>
        <v>17</v>
      </c>
      <c r="D43" s="49">
        <f>AVERAGE('29.07 Bweyogerere-Nalya'!D43,'30.07 Bweyogerere-Nalya'!D43,'31.07 Bweyogerere-Nalya'!D43,'02.08 Bweyogerere-Nalya'!D43,'01.08 Bweyogerere-Nalya-24h'!D43,'03.08 Bweyogerere-Nalya-24h'!D43,'04.08 Bweyogerere-Nalya'!D43)</f>
        <v>8.2857142857142865</v>
      </c>
      <c r="E43" s="49">
        <f>AVERAGE('29.07 Bweyogerere-Nalya'!E43,'30.07 Bweyogerere-Nalya'!E43,'31.07 Bweyogerere-Nalya'!E43,'02.08 Bweyogerere-Nalya'!E43,'01.08 Bweyogerere-Nalya-24h'!E43,'03.08 Bweyogerere-Nalya-24h'!E43,'04.08 Bweyogerere-Nalya'!E43)</f>
        <v>2.4285714285714284</v>
      </c>
      <c r="F43" s="49">
        <f>AVERAGE('29.07 Bweyogerere-Nalya'!F43,'30.07 Bweyogerere-Nalya'!F43,'31.07 Bweyogerere-Nalya'!F43,'02.08 Bweyogerere-Nalya'!F43,'01.08 Bweyogerere-Nalya-24h'!F43,'03.08 Bweyogerere-Nalya-24h'!F43,'04.08 Bweyogerere-Nalya'!F43)</f>
        <v>21.714285714285715</v>
      </c>
      <c r="G43" s="49">
        <f>AVERAGE('29.07 Bweyogerere-Nalya'!G43,'30.07 Bweyogerere-Nalya'!G43,'31.07 Bweyogerere-Nalya'!G43,'02.08 Bweyogerere-Nalya'!G43,'01.08 Bweyogerere-Nalya-24h'!G43,'03.08 Bweyogerere-Nalya-24h'!G43,'04.08 Bweyogerere-Nalya'!G43)</f>
        <v>0.2857142857142857</v>
      </c>
      <c r="H43" s="49">
        <f>AVERAGE('29.07 Bweyogerere-Nalya'!H43,'30.07 Bweyogerere-Nalya'!H43,'31.07 Bweyogerere-Nalya'!H43,'02.08 Bweyogerere-Nalya'!H43,'01.08 Bweyogerere-Nalya-24h'!H43,'03.08 Bweyogerere-Nalya-24h'!H43,'04.08 Bweyogerere-Nalya'!H43)</f>
        <v>0.14285714285714285</v>
      </c>
      <c r="I43" s="49">
        <f>AVERAGE('29.07 Bweyogerere-Nalya'!I43,'30.07 Bweyogerere-Nalya'!I43,'31.07 Bweyogerere-Nalya'!I43,'02.08 Bweyogerere-Nalya'!I43,'01.08 Bweyogerere-Nalya-24h'!I43,'03.08 Bweyogerere-Nalya-24h'!I43,'04.08 Bweyogerere-Nalya'!I43)</f>
        <v>6.8571428571428568</v>
      </c>
      <c r="J43" s="49">
        <f>AVERAGE('29.07 Bweyogerere-Nalya'!J43,'30.07 Bweyogerere-Nalya'!J43,'31.07 Bweyogerere-Nalya'!J43,'02.08 Bweyogerere-Nalya'!J43,'01.08 Bweyogerere-Nalya-24h'!J43,'03.08 Bweyogerere-Nalya-24h'!J43,'04.08 Bweyogerere-Nalya'!J43)</f>
        <v>4.5714285714285712</v>
      </c>
      <c r="K43" s="49">
        <f>AVERAGE('29.07 Bweyogerere-Nalya'!K43,'30.07 Bweyogerere-Nalya'!K43,'31.07 Bweyogerere-Nalya'!K43,'02.08 Bweyogerere-Nalya'!K43,'01.08 Bweyogerere-Nalya-24h'!K43,'03.08 Bweyogerere-Nalya-24h'!K43,'04.08 Bweyogerere-Nalya'!K43)</f>
        <v>4</v>
      </c>
      <c r="L43" s="49">
        <f>AVERAGE('29.07 Bweyogerere-Nalya'!L43,'30.07 Bweyogerere-Nalya'!L43,'31.07 Bweyogerere-Nalya'!L43,'02.08 Bweyogerere-Nalya'!L43,'01.08 Bweyogerere-Nalya-24h'!L43,'03.08 Bweyogerere-Nalya-24h'!L43,'04.08 Bweyogerere-Nalya'!L43)</f>
        <v>6.2857142857142856</v>
      </c>
      <c r="M43" s="49">
        <f>AVERAGE('29.07 Bweyogerere-Nalya'!M43,'30.07 Bweyogerere-Nalya'!M43,'31.07 Bweyogerere-Nalya'!M43,'02.08 Bweyogerere-Nalya'!M43,'01.08 Bweyogerere-Nalya-24h'!M43,'03.08 Bweyogerere-Nalya-24h'!M43,'04.08 Bweyogerere-Nalya'!M43)</f>
        <v>34.428571428571431</v>
      </c>
      <c r="N43" s="49">
        <f>AVERAGE('29.07 Bweyogerere-Nalya'!N43,'30.07 Bweyogerere-Nalya'!N43,'31.07 Bweyogerere-Nalya'!N43,'02.08 Bweyogerere-Nalya'!N43,'01.08 Bweyogerere-Nalya-24h'!N43,'03.08 Bweyogerere-Nalya-24h'!N43,'04.08 Bweyogerere-Nalya'!N43)</f>
        <v>0</v>
      </c>
      <c r="O43" s="15">
        <f t="shared" si="0"/>
        <v>71.571428571428569</v>
      </c>
      <c r="P43" s="15">
        <f t="shared" si="1"/>
        <v>106</v>
      </c>
    </row>
    <row r="44" spans="2:32" ht="23.1" customHeight="1" x14ac:dyDescent="0.25">
      <c r="B44" s="25" t="s">
        <v>71</v>
      </c>
      <c r="C44" s="49">
        <f>AVERAGE('29.07 Bweyogerere-Nalya'!C44,'30.07 Bweyogerere-Nalya'!C44,'31.07 Bweyogerere-Nalya'!C44,'02.08 Bweyogerere-Nalya'!C44,'01.08 Bweyogerere-Nalya-24h'!C44,'03.08 Bweyogerere-Nalya-24h'!C44,'04.08 Bweyogerere-Nalya'!C44)</f>
        <v>20.571428571428573</v>
      </c>
      <c r="D44" s="49">
        <f>AVERAGE('29.07 Bweyogerere-Nalya'!D44,'30.07 Bweyogerere-Nalya'!D44,'31.07 Bweyogerere-Nalya'!D44,'02.08 Bweyogerere-Nalya'!D44,'01.08 Bweyogerere-Nalya-24h'!D44,'03.08 Bweyogerere-Nalya-24h'!D44,'04.08 Bweyogerere-Nalya'!D44)</f>
        <v>7.1428571428571432</v>
      </c>
      <c r="E44" s="49">
        <f>AVERAGE('29.07 Bweyogerere-Nalya'!E44,'30.07 Bweyogerere-Nalya'!E44,'31.07 Bweyogerere-Nalya'!E44,'02.08 Bweyogerere-Nalya'!E44,'01.08 Bweyogerere-Nalya-24h'!E44,'03.08 Bweyogerere-Nalya-24h'!E44,'04.08 Bweyogerere-Nalya'!E44)</f>
        <v>4.7142857142857144</v>
      </c>
      <c r="F44" s="49">
        <f>AVERAGE('29.07 Bweyogerere-Nalya'!F44,'30.07 Bweyogerere-Nalya'!F44,'31.07 Bweyogerere-Nalya'!F44,'02.08 Bweyogerere-Nalya'!F44,'01.08 Bweyogerere-Nalya-24h'!F44,'03.08 Bweyogerere-Nalya-24h'!F44,'04.08 Bweyogerere-Nalya'!F44)</f>
        <v>18.714285714285715</v>
      </c>
      <c r="G44" s="49">
        <f>AVERAGE('29.07 Bweyogerere-Nalya'!G44,'30.07 Bweyogerere-Nalya'!G44,'31.07 Bweyogerere-Nalya'!G44,'02.08 Bweyogerere-Nalya'!G44,'01.08 Bweyogerere-Nalya-24h'!G44,'03.08 Bweyogerere-Nalya-24h'!G44,'04.08 Bweyogerere-Nalya'!G44)</f>
        <v>0.14285714285714285</v>
      </c>
      <c r="H44" s="49">
        <f>AVERAGE('29.07 Bweyogerere-Nalya'!H44,'30.07 Bweyogerere-Nalya'!H44,'31.07 Bweyogerere-Nalya'!H44,'02.08 Bweyogerere-Nalya'!H44,'01.08 Bweyogerere-Nalya-24h'!H44,'03.08 Bweyogerere-Nalya-24h'!H44,'04.08 Bweyogerere-Nalya'!H44)</f>
        <v>0</v>
      </c>
      <c r="I44" s="49">
        <f>AVERAGE('29.07 Bweyogerere-Nalya'!I44,'30.07 Bweyogerere-Nalya'!I44,'31.07 Bweyogerere-Nalya'!I44,'02.08 Bweyogerere-Nalya'!I44,'01.08 Bweyogerere-Nalya-24h'!I44,'03.08 Bweyogerere-Nalya-24h'!I44,'04.08 Bweyogerere-Nalya'!I44)</f>
        <v>5</v>
      </c>
      <c r="J44" s="49">
        <f>AVERAGE('29.07 Bweyogerere-Nalya'!J44,'30.07 Bweyogerere-Nalya'!J44,'31.07 Bweyogerere-Nalya'!J44,'02.08 Bweyogerere-Nalya'!J44,'01.08 Bweyogerere-Nalya-24h'!J44,'03.08 Bweyogerere-Nalya-24h'!J44,'04.08 Bweyogerere-Nalya'!J44)</f>
        <v>4</v>
      </c>
      <c r="K44" s="49">
        <f>AVERAGE('29.07 Bweyogerere-Nalya'!K44,'30.07 Bweyogerere-Nalya'!K44,'31.07 Bweyogerere-Nalya'!K44,'02.08 Bweyogerere-Nalya'!K44,'01.08 Bweyogerere-Nalya-24h'!K44,'03.08 Bweyogerere-Nalya-24h'!K44,'04.08 Bweyogerere-Nalya'!K44)</f>
        <v>4.4285714285714288</v>
      </c>
      <c r="L44" s="49">
        <f>AVERAGE('29.07 Bweyogerere-Nalya'!L44,'30.07 Bweyogerere-Nalya'!L44,'31.07 Bweyogerere-Nalya'!L44,'02.08 Bweyogerere-Nalya'!L44,'01.08 Bweyogerere-Nalya-24h'!L44,'03.08 Bweyogerere-Nalya-24h'!L44,'04.08 Bweyogerere-Nalya'!L44)</f>
        <v>3.8571428571428572</v>
      </c>
      <c r="M44" s="49">
        <f>AVERAGE('29.07 Bweyogerere-Nalya'!M44,'30.07 Bweyogerere-Nalya'!M44,'31.07 Bweyogerere-Nalya'!M44,'02.08 Bweyogerere-Nalya'!M44,'01.08 Bweyogerere-Nalya-24h'!M44,'03.08 Bweyogerere-Nalya-24h'!M44,'04.08 Bweyogerere-Nalya'!M44)</f>
        <v>38.857142857142854</v>
      </c>
      <c r="N44" s="49">
        <f>AVERAGE('29.07 Bweyogerere-Nalya'!N44,'30.07 Bweyogerere-Nalya'!N44,'31.07 Bweyogerere-Nalya'!N44,'02.08 Bweyogerere-Nalya'!N44,'01.08 Bweyogerere-Nalya-24h'!N44,'03.08 Bweyogerere-Nalya-24h'!N44,'04.08 Bweyogerere-Nalya'!N44)</f>
        <v>0</v>
      </c>
      <c r="O44" s="15">
        <f t="shared" si="0"/>
        <v>68.571428571428584</v>
      </c>
      <c r="P44" s="15">
        <f t="shared" si="1"/>
        <v>107.42857142857144</v>
      </c>
    </row>
    <row r="45" spans="2:32" ht="23.1" customHeight="1" x14ac:dyDescent="0.25">
      <c r="B45" s="23" t="s">
        <v>72</v>
      </c>
      <c r="C45" s="49">
        <f>AVERAGE('29.07 Bweyogerere-Nalya'!C45,'30.07 Bweyogerere-Nalya'!C45,'31.07 Bweyogerere-Nalya'!C45,'02.08 Bweyogerere-Nalya'!C45,'01.08 Bweyogerere-Nalya-24h'!C45,'03.08 Bweyogerere-Nalya-24h'!C45,'04.08 Bweyogerere-Nalya'!C45)</f>
        <v>17</v>
      </c>
      <c r="D45" s="49">
        <f>AVERAGE('29.07 Bweyogerere-Nalya'!D45,'30.07 Bweyogerere-Nalya'!D45,'31.07 Bweyogerere-Nalya'!D45,'02.08 Bweyogerere-Nalya'!D45,'01.08 Bweyogerere-Nalya-24h'!D45,'03.08 Bweyogerere-Nalya-24h'!D45,'04.08 Bweyogerere-Nalya'!D45)</f>
        <v>8.2857142857142865</v>
      </c>
      <c r="E45" s="49">
        <f>AVERAGE('29.07 Bweyogerere-Nalya'!E45,'30.07 Bweyogerere-Nalya'!E45,'31.07 Bweyogerere-Nalya'!E45,'02.08 Bweyogerere-Nalya'!E45,'01.08 Bweyogerere-Nalya-24h'!E45,'03.08 Bweyogerere-Nalya-24h'!E45,'04.08 Bweyogerere-Nalya'!E45)</f>
        <v>2.2857142857142856</v>
      </c>
      <c r="F45" s="49">
        <f>AVERAGE('29.07 Bweyogerere-Nalya'!F45,'30.07 Bweyogerere-Nalya'!F45,'31.07 Bweyogerere-Nalya'!F45,'02.08 Bweyogerere-Nalya'!F45,'01.08 Bweyogerere-Nalya-24h'!F45,'03.08 Bweyogerere-Nalya-24h'!F45,'04.08 Bweyogerere-Nalya'!F45)</f>
        <v>16.857142857142858</v>
      </c>
      <c r="G45" s="49">
        <f>AVERAGE('29.07 Bweyogerere-Nalya'!G45,'30.07 Bweyogerere-Nalya'!G45,'31.07 Bweyogerere-Nalya'!G45,'02.08 Bweyogerere-Nalya'!G45,'01.08 Bweyogerere-Nalya-24h'!G45,'03.08 Bweyogerere-Nalya-24h'!G45,'04.08 Bweyogerere-Nalya'!G45)</f>
        <v>0.14285714285714285</v>
      </c>
      <c r="H45" s="49">
        <f>AVERAGE('29.07 Bweyogerere-Nalya'!H45,'30.07 Bweyogerere-Nalya'!H45,'31.07 Bweyogerere-Nalya'!H45,'02.08 Bweyogerere-Nalya'!H45,'01.08 Bweyogerere-Nalya-24h'!H45,'03.08 Bweyogerere-Nalya-24h'!H45,'04.08 Bweyogerere-Nalya'!H45)</f>
        <v>0</v>
      </c>
      <c r="I45" s="49">
        <f>AVERAGE('29.07 Bweyogerere-Nalya'!I45,'30.07 Bweyogerere-Nalya'!I45,'31.07 Bweyogerere-Nalya'!I45,'02.08 Bweyogerere-Nalya'!I45,'01.08 Bweyogerere-Nalya-24h'!I45,'03.08 Bweyogerere-Nalya-24h'!I45,'04.08 Bweyogerere-Nalya'!I45)</f>
        <v>5.1428571428571432</v>
      </c>
      <c r="J45" s="49">
        <f>AVERAGE('29.07 Bweyogerere-Nalya'!J45,'30.07 Bweyogerere-Nalya'!J45,'31.07 Bweyogerere-Nalya'!J45,'02.08 Bweyogerere-Nalya'!J45,'01.08 Bweyogerere-Nalya-24h'!J45,'03.08 Bweyogerere-Nalya-24h'!J45,'04.08 Bweyogerere-Nalya'!J45)</f>
        <v>5</v>
      </c>
      <c r="K45" s="49">
        <f>AVERAGE('29.07 Bweyogerere-Nalya'!K45,'30.07 Bweyogerere-Nalya'!K45,'31.07 Bweyogerere-Nalya'!K45,'02.08 Bweyogerere-Nalya'!K45,'01.08 Bweyogerere-Nalya-24h'!K45,'03.08 Bweyogerere-Nalya-24h'!K45,'04.08 Bweyogerere-Nalya'!K45)</f>
        <v>3.2857142857142856</v>
      </c>
      <c r="L45" s="49">
        <f>AVERAGE('29.07 Bweyogerere-Nalya'!L45,'30.07 Bweyogerere-Nalya'!L45,'31.07 Bweyogerere-Nalya'!L45,'02.08 Bweyogerere-Nalya'!L45,'01.08 Bweyogerere-Nalya-24h'!L45,'03.08 Bweyogerere-Nalya-24h'!L45,'04.08 Bweyogerere-Nalya'!L45)</f>
        <v>4.1428571428571432</v>
      </c>
      <c r="M45" s="49">
        <f>AVERAGE('29.07 Bweyogerere-Nalya'!M45,'30.07 Bweyogerere-Nalya'!M45,'31.07 Bweyogerere-Nalya'!M45,'02.08 Bweyogerere-Nalya'!M45,'01.08 Bweyogerere-Nalya-24h'!M45,'03.08 Bweyogerere-Nalya-24h'!M45,'04.08 Bweyogerere-Nalya'!M45)</f>
        <v>32.714285714285715</v>
      </c>
      <c r="N45" s="49">
        <f>AVERAGE('29.07 Bweyogerere-Nalya'!N45,'30.07 Bweyogerere-Nalya'!N45,'31.07 Bweyogerere-Nalya'!N45,'02.08 Bweyogerere-Nalya'!N45,'01.08 Bweyogerere-Nalya-24h'!N45,'03.08 Bweyogerere-Nalya-24h'!N45,'04.08 Bweyogerere-Nalya'!N45)</f>
        <v>0</v>
      </c>
      <c r="O45" s="15">
        <f t="shared" si="0"/>
        <v>62.142857142857153</v>
      </c>
      <c r="P45" s="15">
        <f t="shared" si="1"/>
        <v>94.857142857142861</v>
      </c>
    </row>
    <row r="46" spans="2:32" ht="23.1" customHeight="1" x14ac:dyDescent="0.25">
      <c r="B46" s="24" t="s">
        <v>73</v>
      </c>
      <c r="C46" s="49">
        <f>AVERAGE('29.07 Bweyogerere-Nalya'!C46,'30.07 Bweyogerere-Nalya'!C46,'31.07 Bweyogerere-Nalya'!C46,'02.08 Bweyogerere-Nalya'!C46,'01.08 Bweyogerere-Nalya-24h'!C46,'03.08 Bweyogerere-Nalya-24h'!C46,'04.08 Bweyogerere-Nalya'!C46)</f>
        <v>23.142857142857142</v>
      </c>
      <c r="D46" s="49">
        <f>AVERAGE('29.07 Bweyogerere-Nalya'!D46,'30.07 Bweyogerere-Nalya'!D46,'31.07 Bweyogerere-Nalya'!D46,'02.08 Bweyogerere-Nalya'!D46,'01.08 Bweyogerere-Nalya-24h'!D46,'03.08 Bweyogerere-Nalya-24h'!D46,'04.08 Bweyogerere-Nalya'!D46)</f>
        <v>8.5714285714285712</v>
      </c>
      <c r="E46" s="49">
        <f>AVERAGE('29.07 Bweyogerere-Nalya'!E46,'30.07 Bweyogerere-Nalya'!E46,'31.07 Bweyogerere-Nalya'!E46,'02.08 Bweyogerere-Nalya'!E46,'01.08 Bweyogerere-Nalya-24h'!E46,'03.08 Bweyogerere-Nalya-24h'!E46,'04.08 Bweyogerere-Nalya'!E46)</f>
        <v>5</v>
      </c>
      <c r="F46" s="49">
        <f>AVERAGE('29.07 Bweyogerere-Nalya'!F46,'30.07 Bweyogerere-Nalya'!F46,'31.07 Bweyogerere-Nalya'!F46,'02.08 Bweyogerere-Nalya'!F46,'01.08 Bweyogerere-Nalya-24h'!F46,'03.08 Bweyogerere-Nalya-24h'!F46,'04.08 Bweyogerere-Nalya'!F46)</f>
        <v>21.142857142857142</v>
      </c>
      <c r="G46" s="49">
        <f>AVERAGE('29.07 Bweyogerere-Nalya'!G46,'30.07 Bweyogerere-Nalya'!G46,'31.07 Bweyogerere-Nalya'!G46,'02.08 Bweyogerere-Nalya'!G46,'01.08 Bweyogerere-Nalya-24h'!G46,'03.08 Bweyogerere-Nalya-24h'!G46,'04.08 Bweyogerere-Nalya'!G46)</f>
        <v>0.14285714285714285</v>
      </c>
      <c r="H46" s="49">
        <f>AVERAGE('29.07 Bweyogerere-Nalya'!H46,'30.07 Bweyogerere-Nalya'!H46,'31.07 Bweyogerere-Nalya'!H46,'02.08 Bweyogerere-Nalya'!H46,'01.08 Bweyogerere-Nalya-24h'!H46,'03.08 Bweyogerere-Nalya-24h'!H46,'04.08 Bweyogerere-Nalya'!H46)</f>
        <v>0</v>
      </c>
      <c r="I46" s="49">
        <f>AVERAGE('29.07 Bweyogerere-Nalya'!I46,'30.07 Bweyogerere-Nalya'!I46,'31.07 Bweyogerere-Nalya'!I46,'02.08 Bweyogerere-Nalya'!I46,'01.08 Bweyogerere-Nalya-24h'!I46,'03.08 Bweyogerere-Nalya-24h'!I46,'04.08 Bweyogerere-Nalya'!I46)</f>
        <v>4</v>
      </c>
      <c r="J46" s="49">
        <f>AVERAGE('29.07 Bweyogerere-Nalya'!J46,'30.07 Bweyogerere-Nalya'!J46,'31.07 Bweyogerere-Nalya'!J46,'02.08 Bweyogerere-Nalya'!J46,'01.08 Bweyogerere-Nalya-24h'!J46,'03.08 Bweyogerere-Nalya-24h'!J46,'04.08 Bweyogerere-Nalya'!J46)</f>
        <v>5</v>
      </c>
      <c r="K46" s="49">
        <f>AVERAGE('29.07 Bweyogerere-Nalya'!K46,'30.07 Bweyogerere-Nalya'!K46,'31.07 Bweyogerere-Nalya'!K46,'02.08 Bweyogerere-Nalya'!K46,'01.08 Bweyogerere-Nalya-24h'!K46,'03.08 Bweyogerere-Nalya-24h'!K46,'04.08 Bweyogerere-Nalya'!K46)</f>
        <v>4.2857142857142856</v>
      </c>
      <c r="L46" s="49">
        <f>AVERAGE('29.07 Bweyogerere-Nalya'!L46,'30.07 Bweyogerere-Nalya'!L46,'31.07 Bweyogerere-Nalya'!L46,'02.08 Bweyogerere-Nalya'!L46,'01.08 Bweyogerere-Nalya-24h'!L46,'03.08 Bweyogerere-Nalya-24h'!L46,'04.08 Bweyogerere-Nalya'!L46)</f>
        <v>4</v>
      </c>
      <c r="M46" s="49">
        <f>AVERAGE('29.07 Bweyogerere-Nalya'!M46,'30.07 Bweyogerere-Nalya'!M46,'31.07 Bweyogerere-Nalya'!M46,'02.08 Bweyogerere-Nalya'!M46,'01.08 Bweyogerere-Nalya-24h'!M46,'03.08 Bweyogerere-Nalya-24h'!M46,'04.08 Bweyogerere-Nalya'!M46)</f>
        <v>37</v>
      </c>
      <c r="N46" s="49">
        <f>AVERAGE('29.07 Bweyogerere-Nalya'!N46,'30.07 Bweyogerere-Nalya'!N46,'31.07 Bweyogerere-Nalya'!N46,'02.08 Bweyogerere-Nalya'!N46,'01.08 Bweyogerere-Nalya-24h'!N46,'03.08 Bweyogerere-Nalya-24h'!N46,'04.08 Bweyogerere-Nalya'!N46)</f>
        <v>0</v>
      </c>
      <c r="O46" s="15">
        <f t="shared" si="0"/>
        <v>75.285714285714292</v>
      </c>
      <c r="P46" s="15">
        <f t="shared" si="1"/>
        <v>112.28571428571429</v>
      </c>
    </row>
    <row r="47" spans="2:32" ht="23.1" customHeight="1" x14ac:dyDescent="0.25">
      <c r="B47" s="24" t="s">
        <v>74</v>
      </c>
      <c r="C47" s="49">
        <f>AVERAGE('29.07 Bweyogerere-Nalya'!C47,'30.07 Bweyogerere-Nalya'!C47,'31.07 Bweyogerere-Nalya'!C47,'02.08 Bweyogerere-Nalya'!C47,'01.08 Bweyogerere-Nalya-24h'!C47,'03.08 Bweyogerere-Nalya-24h'!C47,'04.08 Bweyogerere-Nalya'!C47)</f>
        <v>20.714285714285715</v>
      </c>
      <c r="D47" s="49">
        <f>AVERAGE('29.07 Bweyogerere-Nalya'!D47,'30.07 Bweyogerere-Nalya'!D47,'31.07 Bweyogerere-Nalya'!D47,'02.08 Bweyogerere-Nalya'!D47,'01.08 Bweyogerere-Nalya-24h'!D47,'03.08 Bweyogerere-Nalya-24h'!D47,'04.08 Bweyogerere-Nalya'!D47)</f>
        <v>6.1428571428571432</v>
      </c>
      <c r="E47" s="49">
        <f>AVERAGE('29.07 Bweyogerere-Nalya'!E47,'30.07 Bweyogerere-Nalya'!E47,'31.07 Bweyogerere-Nalya'!E47,'02.08 Bweyogerere-Nalya'!E47,'01.08 Bweyogerere-Nalya-24h'!E47,'03.08 Bweyogerere-Nalya-24h'!E47,'04.08 Bweyogerere-Nalya'!E47)</f>
        <v>4.8571428571428568</v>
      </c>
      <c r="F47" s="49">
        <f>AVERAGE('29.07 Bweyogerere-Nalya'!F47,'30.07 Bweyogerere-Nalya'!F47,'31.07 Bweyogerere-Nalya'!F47,'02.08 Bweyogerere-Nalya'!F47,'01.08 Bweyogerere-Nalya-24h'!F47,'03.08 Bweyogerere-Nalya-24h'!F47,'04.08 Bweyogerere-Nalya'!F47)</f>
        <v>17.714285714285715</v>
      </c>
      <c r="G47" s="49">
        <f>AVERAGE('29.07 Bweyogerere-Nalya'!G47,'30.07 Bweyogerere-Nalya'!G47,'31.07 Bweyogerere-Nalya'!G47,'02.08 Bweyogerere-Nalya'!G47,'01.08 Bweyogerere-Nalya-24h'!G47,'03.08 Bweyogerere-Nalya-24h'!G47,'04.08 Bweyogerere-Nalya'!G47)</f>
        <v>0.14285714285714285</v>
      </c>
      <c r="H47" s="49">
        <f>AVERAGE('29.07 Bweyogerere-Nalya'!H47,'30.07 Bweyogerere-Nalya'!H47,'31.07 Bweyogerere-Nalya'!H47,'02.08 Bweyogerere-Nalya'!H47,'01.08 Bweyogerere-Nalya-24h'!H47,'03.08 Bweyogerere-Nalya-24h'!H47,'04.08 Bweyogerere-Nalya'!H47)</f>
        <v>0.14285714285714285</v>
      </c>
      <c r="I47" s="49">
        <f>AVERAGE('29.07 Bweyogerere-Nalya'!I47,'30.07 Bweyogerere-Nalya'!I47,'31.07 Bweyogerere-Nalya'!I47,'02.08 Bweyogerere-Nalya'!I47,'01.08 Bweyogerere-Nalya-24h'!I47,'03.08 Bweyogerere-Nalya-24h'!I47,'04.08 Bweyogerere-Nalya'!I47)</f>
        <v>4.4285714285714288</v>
      </c>
      <c r="J47" s="49">
        <f>AVERAGE('29.07 Bweyogerere-Nalya'!J47,'30.07 Bweyogerere-Nalya'!J47,'31.07 Bweyogerere-Nalya'!J47,'02.08 Bweyogerere-Nalya'!J47,'01.08 Bweyogerere-Nalya-24h'!J47,'03.08 Bweyogerere-Nalya-24h'!J47,'04.08 Bweyogerere-Nalya'!J47)</f>
        <v>3.2857142857142856</v>
      </c>
      <c r="K47" s="49">
        <f>AVERAGE('29.07 Bweyogerere-Nalya'!K47,'30.07 Bweyogerere-Nalya'!K47,'31.07 Bweyogerere-Nalya'!K47,'02.08 Bweyogerere-Nalya'!K47,'01.08 Bweyogerere-Nalya-24h'!K47,'03.08 Bweyogerere-Nalya-24h'!K47,'04.08 Bweyogerere-Nalya'!K47)</f>
        <v>2.7142857142857144</v>
      </c>
      <c r="L47" s="49">
        <f>AVERAGE('29.07 Bweyogerere-Nalya'!L47,'30.07 Bweyogerere-Nalya'!L47,'31.07 Bweyogerere-Nalya'!L47,'02.08 Bweyogerere-Nalya'!L47,'01.08 Bweyogerere-Nalya-24h'!L47,'03.08 Bweyogerere-Nalya-24h'!L47,'04.08 Bweyogerere-Nalya'!L47)</f>
        <v>4</v>
      </c>
      <c r="M47" s="49">
        <f>AVERAGE('29.07 Bweyogerere-Nalya'!M47,'30.07 Bweyogerere-Nalya'!M47,'31.07 Bweyogerere-Nalya'!M47,'02.08 Bweyogerere-Nalya'!M47,'01.08 Bweyogerere-Nalya-24h'!M47,'03.08 Bweyogerere-Nalya-24h'!M47,'04.08 Bweyogerere-Nalya'!M47)</f>
        <v>29.571428571428573</v>
      </c>
      <c r="N47" s="49">
        <f>AVERAGE('29.07 Bweyogerere-Nalya'!N47,'30.07 Bweyogerere-Nalya'!N47,'31.07 Bweyogerere-Nalya'!N47,'02.08 Bweyogerere-Nalya'!N47,'01.08 Bweyogerere-Nalya-24h'!N47,'03.08 Bweyogerere-Nalya-24h'!N47,'04.08 Bweyogerere-Nalya'!N47)</f>
        <v>0.14285714285714285</v>
      </c>
      <c r="O47" s="15">
        <f t="shared" si="0"/>
        <v>64.285714285714292</v>
      </c>
      <c r="P47" s="15">
        <f t="shared" si="1"/>
        <v>93.857142857142861</v>
      </c>
    </row>
    <row r="48" spans="2:32" ht="23.1" customHeight="1" x14ac:dyDescent="0.25">
      <c r="B48" s="24" t="s">
        <v>75</v>
      </c>
      <c r="C48" s="49">
        <f>AVERAGE('29.07 Bweyogerere-Nalya'!C48,'30.07 Bweyogerere-Nalya'!C48,'31.07 Bweyogerere-Nalya'!C48,'02.08 Bweyogerere-Nalya'!C48,'01.08 Bweyogerere-Nalya-24h'!C48,'03.08 Bweyogerere-Nalya-24h'!C48,'04.08 Bweyogerere-Nalya'!C48)</f>
        <v>22.428571428571427</v>
      </c>
      <c r="D48" s="49">
        <f>AVERAGE('29.07 Bweyogerere-Nalya'!D48,'30.07 Bweyogerere-Nalya'!D48,'31.07 Bweyogerere-Nalya'!D48,'02.08 Bweyogerere-Nalya'!D48,'01.08 Bweyogerere-Nalya-24h'!D48,'03.08 Bweyogerere-Nalya-24h'!D48,'04.08 Bweyogerere-Nalya'!D48)</f>
        <v>9.7142857142857135</v>
      </c>
      <c r="E48" s="49">
        <f>AVERAGE('29.07 Bweyogerere-Nalya'!E48,'30.07 Bweyogerere-Nalya'!E48,'31.07 Bweyogerere-Nalya'!E48,'02.08 Bweyogerere-Nalya'!E48,'01.08 Bweyogerere-Nalya-24h'!E48,'03.08 Bweyogerere-Nalya-24h'!E48,'04.08 Bweyogerere-Nalya'!E48)</f>
        <v>3.1428571428571428</v>
      </c>
      <c r="F48" s="49">
        <f>AVERAGE('29.07 Bweyogerere-Nalya'!F48,'30.07 Bweyogerere-Nalya'!F48,'31.07 Bweyogerere-Nalya'!F48,'02.08 Bweyogerere-Nalya'!F48,'01.08 Bweyogerere-Nalya-24h'!F48,'03.08 Bweyogerere-Nalya-24h'!F48,'04.08 Bweyogerere-Nalya'!F48)</f>
        <v>21.714285714285715</v>
      </c>
      <c r="G48" s="49">
        <f>AVERAGE('29.07 Bweyogerere-Nalya'!G48,'30.07 Bweyogerere-Nalya'!G48,'31.07 Bweyogerere-Nalya'!G48,'02.08 Bweyogerere-Nalya'!G48,'01.08 Bweyogerere-Nalya-24h'!G48,'03.08 Bweyogerere-Nalya-24h'!G48,'04.08 Bweyogerere-Nalya'!G48)</f>
        <v>0.2857142857142857</v>
      </c>
      <c r="H48" s="49">
        <f>AVERAGE('29.07 Bweyogerere-Nalya'!H48,'30.07 Bweyogerere-Nalya'!H48,'31.07 Bweyogerere-Nalya'!H48,'02.08 Bweyogerere-Nalya'!H48,'01.08 Bweyogerere-Nalya-24h'!H48,'03.08 Bweyogerere-Nalya-24h'!H48,'04.08 Bweyogerere-Nalya'!H48)</f>
        <v>0</v>
      </c>
      <c r="I48" s="49">
        <f>AVERAGE('29.07 Bweyogerere-Nalya'!I48,'30.07 Bweyogerere-Nalya'!I48,'31.07 Bweyogerere-Nalya'!I48,'02.08 Bweyogerere-Nalya'!I48,'01.08 Bweyogerere-Nalya-24h'!I48,'03.08 Bweyogerere-Nalya-24h'!I48,'04.08 Bweyogerere-Nalya'!I48)</f>
        <v>4.8571428571428568</v>
      </c>
      <c r="J48" s="49">
        <f>AVERAGE('29.07 Bweyogerere-Nalya'!J48,'30.07 Bweyogerere-Nalya'!J48,'31.07 Bweyogerere-Nalya'!J48,'02.08 Bweyogerere-Nalya'!J48,'01.08 Bweyogerere-Nalya-24h'!J48,'03.08 Bweyogerere-Nalya-24h'!J48,'04.08 Bweyogerere-Nalya'!J48)</f>
        <v>4</v>
      </c>
      <c r="K48" s="49">
        <f>AVERAGE('29.07 Bweyogerere-Nalya'!K48,'30.07 Bweyogerere-Nalya'!K48,'31.07 Bweyogerere-Nalya'!K48,'02.08 Bweyogerere-Nalya'!K48,'01.08 Bweyogerere-Nalya-24h'!K48,'03.08 Bweyogerere-Nalya-24h'!K48,'04.08 Bweyogerere-Nalya'!K48)</f>
        <v>4</v>
      </c>
      <c r="L48" s="49">
        <f>AVERAGE('29.07 Bweyogerere-Nalya'!L48,'30.07 Bweyogerere-Nalya'!L48,'31.07 Bweyogerere-Nalya'!L48,'02.08 Bweyogerere-Nalya'!L48,'01.08 Bweyogerere-Nalya-24h'!L48,'03.08 Bweyogerere-Nalya-24h'!L48,'04.08 Bweyogerere-Nalya'!L48)</f>
        <v>6.8571428571428568</v>
      </c>
      <c r="M48" s="49">
        <f>AVERAGE('29.07 Bweyogerere-Nalya'!M48,'30.07 Bweyogerere-Nalya'!M48,'31.07 Bweyogerere-Nalya'!M48,'02.08 Bweyogerere-Nalya'!M48,'01.08 Bweyogerere-Nalya-24h'!M48,'03.08 Bweyogerere-Nalya-24h'!M48,'04.08 Bweyogerere-Nalya'!M48)</f>
        <v>35.714285714285715</v>
      </c>
      <c r="N48" s="49">
        <f>AVERAGE('29.07 Bweyogerere-Nalya'!N48,'30.07 Bweyogerere-Nalya'!N48,'31.07 Bweyogerere-Nalya'!N48,'02.08 Bweyogerere-Nalya'!N48,'01.08 Bweyogerere-Nalya-24h'!N48,'03.08 Bweyogerere-Nalya-24h'!N48,'04.08 Bweyogerere-Nalya'!N48)</f>
        <v>0</v>
      </c>
      <c r="O48" s="15">
        <f t="shared" si="0"/>
        <v>77</v>
      </c>
      <c r="P48" s="15">
        <f t="shared" si="1"/>
        <v>112.71428571428572</v>
      </c>
    </row>
    <row r="49" spans="2:20" ht="23.1" customHeight="1" x14ac:dyDescent="0.25">
      <c r="B49" s="23" t="s">
        <v>76</v>
      </c>
      <c r="C49" s="49">
        <f>AVERAGE('29.07 Bweyogerere-Nalya'!C49,'30.07 Bweyogerere-Nalya'!C49,'31.07 Bweyogerere-Nalya'!C49,'02.08 Bweyogerere-Nalya'!C49,'01.08 Bweyogerere-Nalya-24h'!C49,'03.08 Bweyogerere-Nalya-24h'!C49,'04.08 Bweyogerere-Nalya'!C49)</f>
        <v>21.285714285714285</v>
      </c>
      <c r="D49" s="49">
        <f>AVERAGE('29.07 Bweyogerere-Nalya'!D49,'30.07 Bweyogerere-Nalya'!D49,'31.07 Bweyogerere-Nalya'!D49,'02.08 Bweyogerere-Nalya'!D49,'01.08 Bweyogerere-Nalya-24h'!D49,'03.08 Bweyogerere-Nalya-24h'!D49,'04.08 Bweyogerere-Nalya'!D49)</f>
        <v>7</v>
      </c>
      <c r="E49" s="49">
        <f>AVERAGE('29.07 Bweyogerere-Nalya'!E49,'30.07 Bweyogerere-Nalya'!E49,'31.07 Bweyogerere-Nalya'!E49,'02.08 Bweyogerere-Nalya'!E49,'01.08 Bweyogerere-Nalya-24h'!E49,'03.08 Bweyogerere-Nalya-24h'!E49,'04.08 Bweyogerere-Nalya'!E49)</f>
        <v>4.4285714285714288</v>
      </c>
      <c r="F49" s="49">
        <f>AVERAGE('29.07 Bweyogerere-Nalya'!F49,'30.07 Bweyogerere-Nalya'!F49,'31.07 Bweyogerere-Nalya'!F49,'02.08 Bweyogerere-Nalya'!F49,'01.08 Bweyogerere-Nalya-24h'!F49,'03.08 Bweyogerere-Nalya-24h'!F49,'04.08 Bweyogerere-Nalya'!F49)</f>
        <v>20.714285714285715</v>
      </c>
      <c r="G49" s="49">
        <f>AVERAGE('29.07 Bweyogerere-Nalya'!G49,'30.07 Bweyogerere-Nalya'!G49,'31.07 Bweyogerere-Nalya'!G49,'02.08 Bweyogerere-Nalya'!G49,'01.08 Bweyogerere-Nalya-24h'!G49,'03.08 Bweyogerere-Nalya-24h'!G49,'04.08 Bweyogerere-Nalya'!G49)</f>
        <v>0.8571428571428571</v>
      </c>
      <c r="H49" s="49">
        <f>AVERAGE('29.07 Bweyogerere-Nalya'!H49,'30.07 Bweyogerere-Nalya'!H49,'31.07 Bweyogerere-Nalya'!H49,'02.08 Bweyogerere-Nalya'!H49,'01.08 Bweyogerere-Nalya-24h'!H49,'03.08 Bweyogerere-Nalya-24h'!H49,'04.08 Bweyogerere-Nalya'!H49)</f>
        <v>0</v>
      </c>
      <c r="I49" s="49">
        <f>AVERAGE('29.07 Bweyogerere-Nalya'!I49,'30.07 Bweyogerere-Nalya'!I49,'31.07 Bweyogerere-Nalya'!I49,'02.08 Bweyogerere-Nalya'!I49,'01.08 Bweyogerere-Nalya-24h'!I49,'03.08 Bweyogerere-Nalya-24h'!I49,'04.08 Bweyogerere-Nalya'!I49)</f>
        <v>3.8571428571428572</v>
      </c>
      <c r="J49" s="49">
        <f>AVERAGE('29.07 Bweyogerere-Nalya'!J49,'30.07 Bweyogerere-Nalya'!J49,'31.07 Bweyogerere-Nalya'!J49,'02.08 Bweyogerere-Nalya'!J49,'01.08 Bweyogerere-Nalya-24h'!J49,'03.08 Bweyogerere-Nalya-24h'!J49,'04.08 Bweyogerere-Nalya'!J49)</f>
        <v>5.2857142857142856</v>
      </c>
      <c r="K49" s="49">
        <f>AVERAGE('29.07 Bweyogerere-Nalya'!K49,'30.07 Bweyogerere-Nalya'!K49,'31.07 Bweyogerere-Nalya'!K49,'02.08 Bweyogerere-Nalya'!K49,'01.08 Bweyogerere-Nalya-24h'!K49,'03.08 Bweyogerere-Nalya-24h'!K49,'04.08 Bweyogerere-Nalya'!K49)</f>
        <v>3</v>
      </c>
      <c r="L49" s="49">
        <f>AVERAGE('29.07 Bweyogerere-Nalya'!L49,'30.07 Bweyogerere-Nalya'!L49,'31.07 Bweyogerere-Nalya'!L49,'02.08 Bweyogerere-Nalya'!L49,'01.08 Bweyogerere-Nalya-24h'!L49,'03.08 Bweyogerere-Nalya-24h'!L49,'04.08 Bweyogerere-Nalya'!L49)</f>
        <v>4.7142857142857144</v>
      </c>
      <c r="M49" s="49">
        <f>AVERAGE('29.07 Bweyogerere-Nalya'!M49,'30.07 Bweyogerere-Nalya'!M49,'31.07 Bweyogerere-Nalya'!M49,'02.08 Bweyogerere-Nalya'!M49,'01.08 Bweyogerere-Nalya-24h'!M49,'03.08 Bweyogerere-Nalya-24h'!M49,'04.08 Bweyogerere-Nalya'!M49)</f>
        <v>35.714285714285715</v>
      </c>
      <c r="N49" s="49">
        <f>AVERAGE('29.07 Bweyogerere-Nalya'!N49,'30.07 Bweyogerere-Nalya'!N49,'31.07 Bweyogerere-Nalya'!N49,'02.08 Bweyogerere-Nalya'!N49,'01.08 Bweyogerere-Nalya-24h'!N49,'03.08 Bweyogerere-Nalya-24h'!N49,'04.08 Bweyogerere-Nalya'!N49)</f>
        <v>0</v>
      </c>
      <c r="O49" s="15">
        <f t="shared" si="0"/>
        <v>71.142857142857125</v>
      </c>
      <c r="P49" s="15">
        <f t="shared" si="1"/>
        <v>106.85714285714283</v>
      </c>
    </row>
    <row r="50" spans="2:20" ht="23.1" customHeight="1" x14ac:dyDescent="0.25">
      <c r="B50" s="24" t="s">
        <v>77</v>
      </c>
      <c r="C50" s="49">
        <f>AVERAGE('29.07 Bweyogerere-Nalya'!C50,'30.07 Bweyogerere-Nalya'!C50,'31.07 Bweyogerere-Nalya'!C50,'02.08 Bweyogerere-Nalya'!C50,'01.08 Bweyogerere-Nalya-24h'!C50,'03.08 Bweyogerere-Nalya-24h'!C50,'04.08 Bweyogerere-Nalya'!C50)</f>
        <v>28.714285714285715</v>
      </c>
      <c r="D50" s="49">
        <f>AVERAGE('29.07 Bweyogerere-Nalya'!D50,'30.07 Bweyogerere-Nalya'!D50,'31.07 Bweyogerere-Nalya'!D50,'02.08 Bweyogerere-Nalya'!D50,'01.08 Bweyogerere-Nalya-24h'!D50,'03.08 Bweyogerere-Nalya-24h'!D50,'04.08 Bweyogerere-Nalya'!D50)</f>
        <v>5.2857142857142856</v>
      </c>
      <c r="E50" s="49">
        <f>AVERAGE('29.07 Bweyogerere-Nalya'!E50,'30.07 Bweyogerere-Nalya'!E50,'31.07 Bweyogerere-Nalya'!E50,'02.08 Bweyogerere-Nalya'!E50,'01.08 Bweyogerere-Nalya-24h'!E50,'03.08 Bweyogerere-Nalya-24h'!E50,'04.08 Bweyogerere-Nalya'!E50)</f>
        <v>4.5714285714285712</v>
      </c>
      <c r="F50" s="49">
        <f>AVERAGE('29.07 Bweyogerere-Nalya'!F50,'30.07 Bweyogerere-Nalya'!F50,'31.07 Bweyogerere-Nalya'!F50,'02.08 Bweyogerere-Nalya'!F50,'01.08 Bweyogerere-Nalya-24h'!F50,'03.08 Bweyogerere-Nalya-24h'!F50,'04.08 Bweyogerere-Nalya'!F50)</f>
        <v>25</v>
      </c>
      <c r="G50" s="49">
        <f>AVERAGE('29.07 Bweyogerere-Nalya'!G50,'30.07 Bweyogerere-Nalya'!G50,'31.07 Bweyogerere-Nalya'!G50,'02.08 Bweyogerere-Nalya'!G50,'01.08 Bweyogerere-Nalya-24h'!G50,'03.08 Bweyogerere-Nalya-24h'!G50,'04.08 Bweyogerere-Nalya'!G50)</f>
        <v>0.5714285714285714</v>
      </c>
      <c r="H50" s="49">
        <f>AVERAGE('29.07 Bweyogerere-Nalya'!H50,'30.07 Bweyogerere-Nalya'!H50,'31.07 Bweyogerere-Nalya'!H50,'02.08 Bweyogerere-Nalya'!H50,'01.08 Bweyogerere-Nalya-24h'!H50,'03.08 Bweyogerere-Nalya-24h'!H50,'04.08 Bweyogerere-Nalya'!H50)</f>
        <v>0</v>
      </c>
      <c r="I50" s="49">
        <f>AVERAGE('29.07 Bweyogerere-Nalya'!I50,'30.07 Bweyogerere-Nalya'!I50,'31.07 Bweyogerere-Nalya'!I50,'02.08 Bweyogerere-Nalya'!I50,'01.08 Bweyogerere-Nalya-24h'!I50,'03.08 Bweyogerere-Nalya-24h'!I50,'04.08 Bweyogerere-Nalya'!I50)</f>
        <v>5.4285714285714288</v>
      </c>
      <c r="J50" s="49">
        <f>AVERAGE('29.07 Bweyogerere-Nalya'!J50,'30.07 Bweyogerere-Nalya'!J50,'31.07 Bweyogerere-Nalya'!J50,'02.08 Bweyogerere-Nalya'!J50,'01.08 Bweyogerere-Nalya-24h'!J50,'03.08 Bweyogerere-Nalya-24h'!J50,'04.08 Bweyogerere-Nalya'!J50)</f>
        <v>8</v>
      </c>
      <c r="K50" s="49">
        <f>AVERAGE('29.07 Bweyogerere-Nalya'!K50,'30.07 Bweyogerere-Nalya'!K50,'31.07 Bweyogerere-Nalya'!K50,'02.08 Bweyogerere-Nalya'!K50,'01.08 Bweyogerere-Nalya-24h'!K50,'03.08 Bweyogerere-Nalya-24h'!K50,'04.08 Bweyogerere-Nalya'!K50)</f>
        <v>3.1428571428571428</v>
      </c>
      <c r="L50" s="49">
        <f>AVERAGE('29.07 Bweyogerere-Nalya'!L50,'30.07 Bweyogerere-Nalya'!L50,'31.07 Bweyogerere-Nalya'!L50,'02.08 Bweyogerere-Nalya'!L50,'01.08 Bweyogerere-Nalya-24h'!L50,'03.08 Bweyogerere-Nalya-24h'!L50,'04.08 Bweyogerere-Nalya'!L50)</f>
        <v>5.7142857142857144</v>
      </c>
      <c r="M50" s="49">
        <f>AVERAGE('29.07 Bweyogerere-Nalya'!M50,'30.07 Bweyogerere-Nalya'!M50,'31.07 Bweyogerere-Nalya'!M50,'02.08 Bweyogerere-Nalya'!M50,'01.08 Bweyogerere-Nalya-24h'!M50,'03.08 Bweyogerere-Nalya-24h'!M50,'04.08 Bweyogerere-Nalya'!M50)</f>
        <v>45.428571428571431</v>
      </c>
      <c r="N50" s="49">
        <f>AVERAGE('29.07 Bweyogerere-Nalya'!N50,'30.07 Bweyogerere-Nalya'!N50,'31.07 Bweyogerere-Nalya'!N50,'02.08 Bweyogerere-Nalya'!N50,'01.08 Bweyogerere-Nalya-24h'!N50,'03.08 Bweyogerere-Nalya-24h'!N50,'04.08 Bweyogerere-Nalya'!N50)</f>
        <v>0</v>
      </c>
      <c r="O50" s="15">
        <f t="shared" si="0"/>
        <v>86.428571428571416</v>
      </c>
      <c r="P50" s="15">
        <f t="shared" si="1"/>
        <v>131.85714285714283</v>
      </c>
    </row>
    <row r="51" spans="2:20" ht="23.1" customHeight="1" x14ac:dyDescent="0.25">
      <c r="B51" s="24" t="s">
        <v>78</v>
      </c>
      <c r="C51" s="49">
        <f>AVERAGE('29.07 Bweyogerere-Nalya'!C51,'30.07 Bweyogerere-Nalya'!C51,'31.07 Bweyogerere-Nalya'!C51,'02.08 Bweyogerere-Nalya'!C51,'01.08 Bweyogerere-Nalya-24h'!C51,'03.08 Bweyogerere-Nalya-24h'!C51,'04.08 Bweyogerere-Nalya'!C51)</f>
        <v>26.285714285714285</v>
      </c>
      <c r="D51" s="49">
        <f>AVERAGE('29.07 Bweyogerere-Nalya'!D51,'30.07 Bweyogerere-Nalya'!D51,'31.07 Bweyogerere-Nalya'!D51,'02.08 Bweyogerere-Nalya'!D51,'01.08 Bweyogerere-Nalya-24h'!D51,'03.08 Bweyogerere-Nalya-24h'!D51,'04.08 Bweyogerere-Nalya'!D51)</f>
        <v>8.2857142857142865</v>
      </c>
      <c r="E51" s="49">
        <f>AVERAGE('29.07 Bweyogerere-Nalya'!E51,'30.07 Bweyogerere-Nalya'!E51,'31.07 Bweyogerere-Nalya'!E51,'02.08 Bweyogerere-Nalya'!E51,'01.08 Bweyogerere-Nalya-24h'!E51,'03.08 Bweyogerere-Nalya-24h'!E51,'04.08 Bweyogerere-Nalya'!E51)</f>
        <v>3.8571428571428572</v>
      </c>
      <c r="F51" s="49">
        <f>AVERAGE('29.07 Bweyogerere-Nalya'!F51,'30.07 Bweyogerere-Nalya'!F51,'31.07 Bweyogerere-Nalya'!F51,'02.08 Bweyogerere-Nalya'!F51,'01.08 Bweyogerere-Nalya-24h'!F51,'03.08 Bweyogerere-Nalya-24h'!F51,'04.08 Bweyogerere-Nalya'!F51)</f>
        <v>25.714285714285715</v>
      </c>
      <c r="G51" s="49">
        <f>AVERAGE('29.07 Bweyogerere-Nalya'!G51,'30.07 Bweyogerere-Nalya'!G51,'31.07 Bweyogerere-Nalya'!G51,'02.08 Bweyogerere-Nalya'!G51,'01.08 Bweyogerere-Nalya-24h'!G51,'03.08 Bweyogerere-Nalya-24h'!G51,'04.08 Bweyogerere-Nalya'!G51)</f>
        <v>0.2857142857142857</v>
      </c>
      <c r="H51" s="49">
        <f>AVERAGE('29.07 Bweyogerere-Nalya'!H51,'30.07 Bweyogerere-Nalya'!H51,'31.07 Bweyogerere-Nalya'!H51,'02.08 Bweyogerere-Nalya'!H51,'01.08 Bweyogerere-Nalya-24h'!H51,'03.08 Bweyogerere-Nalya-24h'!H51,'04.08 Bweyogerere-Nalya'!H51)</f>
        <v>0</v>
      </c>
      <c r="I51" s="49">
        <f>AVERAGE('29.07 Bweyogerere-Nalya'!I51,'30.07 Bweyogerere-Nalya'!I51,'31.07 Bweyogerere-Nalya'!I51,'02.08 Bweyogerere-Nalya'!I51,'01.08 Bweyogerere-Nalya-24h'!I51,'03.08 Bweyogerere-Nalya-24h'!I51,'04.08 Bweyogerere-Nalya'!I51)</f>
        <v>4.4285714285714288</v>
      </c>
      <c r="J51" s="49">
        <f>AVERAGE('29.07 Bweyogerere-Nalya'!J51,'30.07 Bweyogerere-Nalya'!J51,'31.07 Bweyogerere-Nalya'!J51,'02.08 Bweyogerere-Nalya'!J51,'01.08 Bweyogerere-Nalya-24h'!J51,'03.08 Bweyogerere-Nalya-24h'!J51,'04.08 Bweyogerere-Nalya'!J51)</f>
        <v>7</v>
      </c>
      <c r="K51" s="49">
        <f>AVERAGE('29.07 Bweyogerere-Nalya'!K51,'30.07 Bweyogerere-Nalya'!K51,'31.07 Bweyogerere-Nalya'!K51,'02.08 Bweyogerere-Nalya'!K51,'01.08 Bweyogerere-Nalya-24h'!K51,'03.08 Bweyogerere-Nalya-24h'!K51,'04.08 Bweyogerere-Nalya'!K51)</f>
        <v>2.2857142857142856</v>
      </c>
      <c r="L51" s="49">
        <f>AVERAGE('29.07 Bweyogerere-Nalya'!L51,'30.07 Bweyogerere-Nalya'!L51,'31.07 Bweyogerere-Nalya'!L51,'02.08 Bweyogerere-Nalya'!L51,'01.08 Bweyogerere-Nalya-24h'!L51,'03.08 Bweyogerere-Nalya-24h'!L51,'04.08 Bweyogerere-Nalya'!L51)</f>
        <v>4.2857142857142856</v>
      </c>
      <c r="M51" s="49">
        <f>AVERAGE('29.07 Bweyogerere-Nalya'!M51,'30.07 Bweyogerere-Nalya'!M51,'31.07 Bweyogerere-Nalya'!M51,'02.08 Bweyogerere-Nalya'!M51,'01.08 Bweyogerere-Nalya-24h'!M51,'03.08 Bweyogerere-Nalya-24h'!M51,'04.08 Bweyogerere-Nalya'!M51)</f>
        <v>46</v>
      </c>
      <c r="N51" s="49">
        <f>AVERAGE('29.07 Bweyogerere-Nalya'!N51,'30.07 Bweyogerere-Nalya'!N51,'31.07 Bweyogerere-Nalya'!N51,'02.08 Bweyogerere-Nalya'!N51,'01.08 Bweyogerere-Nalya-24h'!N51,'03.08 Bweyogerere-Nalya-24h'!N51,'04.08 Bweyogerere-Nalya'!N51)</f>
        <v>0</v>
      </c>
      <c r="O51" s="15">
        <f t="shared" si="0"/>
        <v>82.428571428571445</v>
      </c>
      <c r="P51" s="15">
        <f t="shared" si="1"/>
        <v>128.42857142857144</v>
      </c>
      <c r="R51" s="8"/>
      <c r="T51"/>
    </row>
    <row r="52" spans="2:20" ht="23.1" customHeight="1" x14ac:dyDescent="0.25">
      <c r="B52" s="24" t="s">
        <v>79</v>
      </c>
      <c r="C52" s="49">
        <f>AVERAGE('29.07 Bweyogerere-Nalya'!C52,'30.07 Bweyogerere-Nalya'!C52,'31.07 Bweyogerere-Nalya'!C52,'02.08 Bweyogerere-Nalya'!C52,'01.08 Bweyogerere-Nalya-24h'!C52,'03.08 Bweyogerere-Nalya-24h'!C52,'04.08 Bweyogerere-Nalya'!C52)</f>
        <v>27.142857142857142</v>
      </c>
      <c r="D52" s="49">
        <f>AVERAGE('29.07 Bweyogerere-Nalya'!D52,'30.07 Bweyogerere-Nalya'!D52,'31.07 Bweyogerere-Nalya'!D52,'02.08 Bweyogerere-Nalya'!D52,'01.08 Bweyogerere-Nalya-24h'!D52,'03.08 Bweyogerere-Nalya-24h'!D52,'04.08 Bweyogerere-Nalya'!D52)</f>
        <v>7</v>
      </c>
      <c r="E52" s="49">
        <f>AVERAGE('29.07 Bweyogerere-Nalya'!E52,'30.07 Bweyogerere-Nalya'!E52,'31.07 Bweyogerere-Nalya'!E52,'02.08 Bweyogerere-Nalya'!E52,'01.08 Bweyogerere-Nalya-24h'!E52,'03.08 Bweyogerere-Nalya-24h'!E52,'04.08 Bweyogerere-Nalya'!E52)</f>
        <v>4.4285714285714288</v>
      </c>
      <c r="F52" s="49">
        <f>AVERAGE('29.07 Bweyogerere-Nalya'!F52,'30.07 Bweyogerere-Nalya'!F52,'31.07 Bweyogerere-Nalya'!F52,'02.08 Bweyogerere-Nalya'!F52,'01.08 Bweyogerere-Nalya-24h'!F52,'03.08 Bweyogerere-Nalya-24h'!F52,'04.08 Bweyogerere-Nalya'!F52)</f>
        <v>26</v>
      </c>
      <c r="G52" s="49">
        <f>AVERAGE('29.07 Bweyogerere-Nalya'!G52,'30.07 Bweyogerere-Nalya'!G52,'31.07 Bweyogerere-Nalya'!G52,'02.08 Bweyogerere-Nalya'!G52,'01.08 Bweyogerere-Nalya-24h'!G52,'03.08 Bweyogerere-Nalya-24h'!G52,'04.08 Bweyogerere-Nalya'!G52)</f>
        <v>0.14285714285714285</v>
      </c>
      <c r="H52" s="49">
        <f>AVERAGE('29.07 Bweyogerere-Nalya'!H52,'30.07 Bweyogerere-Nalya'!H52,'31.07 Bweyogerere-Nalya'!H52,'02.08 Bweyogerere-Nalya'!H52,'01.08 Bweyogerere-Nalya-24h'!H52,'03.08 Bweyogerere-Nalya-24h'!H52,'04.08 Bweyogerere-Nalya'!H52)</f>
        <v>0</v>
      </c>
      <c r="I52" s="49">
        <f>AVERAGE('29.07 Bweyogerere-Nalya'!I52,'30.07 Bweyogerere-Nalya'!I52,'31.07 Bweyogerere-Nalya'!I52,'02.08 Bweyogerere-Nalya'!I52,'01.08 Bweyogerere-Nalya-24h'!I52,'03.08 Bweyogerere-Nalya-24h'!I52,'04.08 Bweyogerere-Nalya'!I52)</f>
        <v>3.8571428571428572</v>
      </c>
      <c r="J52" s="49">
        <f>AVERAGE('29.07 Bweyogerere-Nalya'!J52,'30.07 Bweyogerere-Nalya'!J52,'31.07 Bweyogerere-Nalya'!J52,'02.08 Bweyogerere-Nalya'!J52,'01.08 Bweyogerere-Nalya-24h'!J52,'03.08 Bweyogerere-Nalya-24h'!J52,'04.08 Bweyogerere-Nalya'!J52)</f>
        <v>5.1428571428571432</v>
      </c>
      <c r="K52" s="49">
        <f>AVERAGE('29.07 Bweyogerere-Nalya'!K52,'30.07 Bweyogerere-Nalya'!K52,'31.07 Bweyogerere-Nalya'!K52,'02.08 Bweyogerere-Nalya'!K52,'01.08 Bweyogerere-Nalya-24h'!K52,'03.08 Bweyogerere-Nalya-24h'!K52,'04.08 Bweyogerere-Nalya'!K52)</f>
        <v>2.1428571428571428</v>
      </c>
      <c r="L52" s="49">
        <f>AVERAGE('29.07 Bweyogerere-Nalya'!L52,'30.07 Bweyogerere-Nalya'!L52,'31.07 Bweyogerere-Nalya'!L52,'02.08 Bweyogerere-Nalya'!L52,'01.08 Bweyogerere-Nalya-24h'!L52,'03.08 Bweyogerere-Nalya-24h'!L52,'04.08 Bweyogerere-Nalya'!L52)</f>
        <v>6.1428571428571432</v>
      </c>
      <c r="M52" s="49">
        <f>AVERAGE('29.07 Bweyogerere-Nalya'!M52,'30.07 Bweyogerere-Nalya'!M52,'31.07 Bweyogerere-Nalya'!M52,'02.08 Bweyogerere-Nalya'!M52,'01.08 Bweyogerere-Nalya-24h'!M52,'03.08 Bweyogerere-Nalya-24h'!M52,'04.08 Bweyogerere-Nalya'!M52)</f>
        <v>42.285714285714285</v>
      </c>
      <c r="N52" s="49">
        <f>AVERAGE('29.07 Bweyogerere-Nalya'!N52,'30.07 Bweyogerere-Nalya'!N52,'31.07 Bweyogerere-Nalya'!N52,'02.08 Bweyogerere-Nalya'!N52,'01.08 Bweyogerere-Nalya-24h'!N52,'03.08 Bweyogerere-Nalya-24h'!N52,'04.08 Bweyogerere-Nalya'!N52)</f>
        <v>0</v>
      </c>
      <c r="O52" s="15">
        <f t="shared" si="0"/>
        <v>81.999999999999986</v>
      </c>
      <c r="P52" s="15">
        <f t="shared" si="1"/>
        <v>124.28571428571428</v>
      </c>
      <c r="R52" s="8"/>
      <c r="T52"/>
    </row>
    <row r="53" spans="2:20" ht="23.1" customHeight="1" x14ac:dyDescent="0.25">
      <c r="B53" s="23" t="s">
        <v>80</v>
      </c>
      <c r="C53" s="49">
        <f>AVERAGE('29.07 Bweyogerere-Nalya'!C53,'30.07 Bweyogerere-Nalya'!C53,'31.07 Bweyogerere-Nalya'!C53,'02.08 Bweyogerere-Nalya'!C53,'01.08 Bweyogerere-Nalya-24h'!C53,'03.08 Bweyogerere-Nalya-24h'!C53,'04.08 Bweyogerere-Nalya'!C53)</f>
        <v>29.428571428571427</v>
      </c>
      <c r="D53" s="49">
        <f>AVERAGE('29.07 Bweyogerere-Nalya'!D53,'30.07 Bweyogerere-Nalya'!D53,'31.07 Bweyogerere-Nalya'!D53,'02.08 Bweyogerere-Nalya'!D53,'01.08 Bweyogerere-Nalya-24h'!D53,'03.08 Bweyogerere-Nalya-24h'!D53,'04.08 Bweyogerere-Nalya'!D53)</f>
        <v>10.571428571428571</v>
      </c>
      <c r="E53" s="49">
        <f>AVERAGE('29.07 Bweyogerere-Nalya'!E53,'30.07 Bweyogerere-Nalya'!E53,'31.07 Bweyogerere-Nalya'!E53,'02.08 Bweyogerere-Nalya'!E53,'01.08 Bweyogerere-Nalya-24h'!E53,'03.08 Bweyogerere-Nalya-24h'!E53,'04.08 Bweyogerere-Nalya'!E53)</f>
        <v>6.1428571428571432</v>
      </c>
      <c r="F53" s="49">
        <f>AVERAGE('29.07 Bweyogerere-Nalya'!F53,'30.07 Bweyogerere-Nalya'!F53,'31.07 Bweyogerere-Nalya'!F53,'02.08 Bweyogerere-Nalya'!F53,'01.08 Bweyogerere-Nalya-24h'!F53,'03.08 Bweyogerere-Nalya-24h'!F53,'04.08 Bweyogerere-Nalya'!F53)</f>
        <v>26.428571428571427</v>
      </c>
      <c r="G53" s="49">
        <f>AVERAGE('29.07 Bweyogerere-Nalya'!G53,'30.07 Bweyogerere-Nalya'!G53,'31.07 Bweyogerere-Nalya'!G53,'02.08 Bweyogerere-Nalya'!G53,'01.08 Bweyogerere-Nalya-24h'!G53,'03.08 Bweyogerere-Nalya-24h'!G53,'04.08 Bweyogerere-Nalya'!G53)</f>
        <v>0</v>
      </c>
      <c r="H53" s="49">
        <f>AVERAGE('29.07 Bweyogerere-Nalya'!H53,'30.07 Bweyogerere-Nalya'!H53,'31.07 Bweyogerere-Nalya'!H53,'02.08 Bweyogerere-Nalya'!H53,'01.08 Bweyogerere-Nalya-24h'!H53,'03.08 Bweyogerere-Nalya-24h'!H53,'04.08 Bweyogerere-Nalya'!H53)</f>
        <v>0</v>
      </c>
      <c r="I53" s="49">
        <f>AVERAGE('29.07 Bweyogerere-Nalya'!I53,'30.07 Bweyogerere-Nalya'!I53,'31.07 Bweyogerere-Nalya'!I53,'02.08 Bweyogerere-Nalya'!I53,'01.08 Bweyogerere-Nalya-24h'!I53,'03.08 Bweyogerere-Nalya-24h'!I53,'04.08 Bweyogerere-Nalya'!I53)</f>
        <v>4</v>
      </c>
      <c r="J53" s="49">
        <f>AVERAGE('29.07 Bweyogerere-Nalya'!J53,'30.07 Bweyogerere-Nalya'!J53,'31.07 Bweyogerere-Nalya'!J53,'02.08 Bweyogerere-Nalya'!J53,'01.08 Bweyogerere-Nalya-24h'!J53,'03.08 Bweyogerere-Nalya-24h'!J53,'04.08 Bweyogerere-Nalya'!J53)</f>
        <v>6.7142857142857144</v>
      </c>
      <c r="K53" s="49">
        <f>AVERAGE('29.07 Bweyogerere-Nalya'!K53,'30.07 Bweyogerere-Nalya'!K53,'31.07 Bweyogerere-Nalya'!K53,'02.08 Bweyogerere-Nalya'!K53,'01.08 Bweyogerere-Nalya-24h'!K53,'03.08 Bweyogerere-Nalya-24h'!K53,'04.08 Bweyogerere-Nalya'!K53)</f>
        <v>2.1428571428571428</v>
      </c>
      <c r="L53" s="49">
        <f>AVERAGE('29.07 Bweyogerere-Nalya'!L53,'30.07 Bweyogerere-Nalya'!L53,'31.07 Bweyogerere-Nalya'!L53,'02.08 Bweyogerere-Nalya'!L53,'01.08 Bweyogerere-Nalya-24h'!L53,'03.08 Bweyogerere-Nalya-24h'!L53,'04.08 Bweyogerere-Nalya'!L53)</f>
        <v>5</v>
      </c>
      <c r="M53" s="49">
        <f>AVERAGE('29.07 Bweyogerere-Nalya'!M53,'30.07 Bweyogerere-Nalya'!M53,'31.07 Bweyogerere-Nalya'!M53,'02.08 Bweyogerere-Nalya'!M53,'01.08 Bweyogerere-Nalya-24h'!M53,'03.08 Bweyogerere-Nalya-24h'!M53,'04.08 Bweyogerere-Nalya'!M53)</f>
        <v>47.857142857142854</v>
      </c>
      <c r="N53" s="49">
        <f>AVERAGE('29.07 Bweyogerere-Nalya'!N53,'30.07 Bweyogerere-Nalya'!N53,'31.07 Bweyogerere-Nalya'!N53,'02.08 Bweyogerere-Nalya'!N53,'01.08 Bweyogerere-Nalya-24h'!N53,'03.08 Bweyogerere-Nalya-24h'!N53,'04.08 Bweyogerere-Nalya'!N53)</f>
        <v>0</v>
      </c>
      <c r="O53" s="15">
        <f t="shared" si="0"/>
        <v>90.428571428571416</v>
      </c>
      <c r="P53" s="15">
        <f t="shared" si="1"/>
        <v>138.28571428571428</v>
      </c>
      <c r="R53" s="8"/>
      <c r="T53"/>
    </row>
    <row r="54" spans="2:20" ht="23.1" customHeight="1" x14ac:dyDescent="0.25">
      <c r="B54" s="23" t="s">
        <v>81</v>
      </c>
      <c r="C54" s="49">
        <f>AVERAGE('29.07 Bweyogerere-Nalya'!C54,'30.07 Bweyogerere-Nalya'!C54,'31.07 Bweyogerere-Nalya'!C54,'02.08 Bweyogerere-Nalya'!C54,'01.08 Bweyogerere-Nalya-24h'!C54,'03.08 Bweyogerere-Nalya-24h'!C54,'04.08 Bweyogerere-Nalya'!C54)</f>
        <v>37.428571428571431</v>
      </c>
      <c r="D54" s="49">
        <f>AVERAGE('29.07 Bweyogerere-Nalya'!D54,'30.07 Bweyogerere-Nalya'!D54,'31.07 Bweyogerere-Nalya'!D54,'02.08 Bweyogerere-Nalya'!D54,'01.08 Bweyogerere-Nalya-24h'!D54,'03.08 Bweyogerere-Nalya-24h'!D54,'04.08 Bweyogerere-Nalya'!D54)</f>
        <v>10.428571428571429</v>
      </c>
      <c r="E54" s="49">
        <f>AVERAGE('29.07 Bweyogerere-Nalya'!E54,'30.07 Bweyogerere-Nalya'!E54,'31.07 Bweyogerere-Nalya'!E54,'02.08 Bweyogerere-Nalya'!E54,'01.08 Bweyogerere-Nalya-24h'!E54,'03.08 Bweyogerere-Nalya-24h'!E54,'04.08 Bweyogerere-Nalya'!E54)</f>
        <v>4.2857142857142856</v>
      </c>
      <c r="F54" s="49">
        <f>AVERAGE('29.07 Bweyogerere-Nalya'!F54,'30.07 Bweyogerere-Nalya'!F54,'31.07 Bweyogerere-Nalya'!F54,'02.08 Bweyogerere-Nalya'!F54,'01.08 Bweyogerere-Nalya-24h'!F54,'03.08 Bweyogerere-Nalya-24h'!F54,'04.08 Bweyogerere-Nalya'!F54)</f>
        <v>34.857142857142854</v>
      </c>
      <c r="G54" s="49">
        <f>AVERAGE('29.07 Bweyogerere-Nalya'!G54,'30.07 Bweyogerere-Nalya'!G54,'31.07 Bweyogerere-Nalya'!G54,'02.08 Bweyogerere-Nalya'!G54,'01.08 Bweyogerere-Nalya-24h'!G54,'03.08 Bweyogerere-Nalya-24h'!G54,'04.08 Bweyogerere-Nalya'!G54)</f>
        <v>0.42857142857142855</v>
      </c>
      <c r="H54" s="49">
        <f>AVERAGE('29.07 Bweyogerere-Nalya'!H54,'30.07 Bweyogerere-Nalya'!H54,'31.07 Bweyogerere-Nalya'!H54,'02.08 Bweyogerere-Nalya'!H54,'01.08 Bweyogerere-Nalya-24h'!H54,'03.08 Bweyogerere-Nalya-24h'!H54,'04.08 Bweyogerere-Nalya'!H54)</f>
        <v>0</v>
      </c>
      <c r="I54" s="49">
        <f>AVERAGE('29.07 Bweyogerere-Nalya'!I54,'30.07 Bweyogerere-Nalya'!I54,'31.07 Bweyogerere-Nalya'!I54,'02.08 Bweyogerere-Nalya'!I54,'01.08 Bweyogerere-Nalya-24h'!I54,'03.08 Bweyogerere-Nalya-24h'!I54,'04.08 Bweyogerere-Nalya'!I54)</f>
        <v>5.1428571428571432</v>
      </c>
      <c r="J54" s="49">
        <f>AVERAGE('29.07 Bweyogerere-Nalya'!J54,'30.07 Bweyogerere-Nalya'!J54,'31.07 Bweyogerere-Nalya'!J54,'02.08 Bweyogerere-Nalya'!J54,'01.08 Bweyogerere-Nalya-24h'!J54,'03.08 Bweyogerere-Nalya-24h'!J54,'04.08 Bweyogerere-Nalya'!J54)</f>
        <v>6.7142857142857144</v>
      </c>
      <c r="K54" s="49">
        <f>AVERAGE('29.07 Bweyogerere-Nalya'!K54,'30.07 Bweyogerere-Nalya'!K54,'31.07 Bweyogerere-Nalya'!K54,'02.08 Bweyogerere-Nalya'!K54,'01.08 Bweyogerere-Nalya-24h'!K54,'03.08 Bweyogerere-Nalya-24h'!K54,'04.08 Bweyogerere-Nalya'!K54)</f>
        <v>3.8571428571428572</v>
      </c>
      <c r="L54" s="49">
        <f>AVERAGE('29.07 Bweyogerere-Nalya'!L54,'30.07 Bweyogerere-Nalya'!L54,'31.07 Bweyogerere-Nalya'!L54,'02.08 Bweyogerere-Nalya'!L54,'01.08 Bweyogerere-Nalya-24h'!L54,'03.08 Bweyogerere-Nalya-24h'!L54,'04.08 Bweyogerere-Nalya'!L54)</f>
        <v>4</v>
      </c>
      <c r="M54" s="49">
        <f>AVERAGE('29.07 Bweyogerere-Nalya'!M54,'30.07 Bweyogerere-Nalya'!M54,'31.07 Bweyogerere-Nalya'!M54,'02.08 Bweyogerere-Nalya'!M54,'01.08 Bweyogerere-Nalya-24h'!M54,'03.08 Bweyogerere-Nalya-24h'!M54,'04.08 Bweyogerere-Nalya'!M54)</f>
        <v>42.571428571428569</v>
      </c>
      <c r="N54" s="49">
        <f>AVERAGE('29.07 Bweyogerere-Nalya'!N54,'30.07 Bweyogerere-Nalya'!N54,'31.07 Bweyogerere-Nalya'!N54,'02.08 Bweyogerere-Nalya'!N54,'01.08 Bweyogerere-Nalya-24h'!N54,'03.08 Bweyogerere-Nalya-24h'!N54,'04.08 Bweyogerere-Nalya'!N54)</f>
        <v>0</v>
      </c>
      <c r="O54" s="15">
        <f t="shared" si="0"/>
        <v>107.14285714285714</v>
      </c>
      <c r="P54" s="15">
        <f t="shared" si="1"/>
        <v>149.71428571428572</v>
      </c>
      <c r="R54" s="8"/>
      <c r="T54"/>
    </row>
    <row r="55" spans="2:20" ht="23.1" customHeight="1" x14ac:dyDescent="0.25">
      <c r="B55" s="23" t="s">
        <v>82</v>
      </c>
      <c r="C55" s="49">
        <f>AVERAGE('29.07 Bweyogerere-Nalya'!C55,'30.07 Bweyogerere-Nalya'!C55,'31.07 Bweyogerere-Nalya'!C55,'02.08 Bweyogerere-Nalya'!C55,'01.08 Bweyogerere-Nalya-24h'!C55,'03.08 Bweyogerere-Nalya-24h'!C55,'04.08 Bweyogerere-Nalya'!C55)</f>
        <v>36.857142857142854</v>
      </c>
      <c r="D55" s="49">
        <f>AVERAGE('29.07 Bweyogerere-Nalya'!D55,'30.07 Bweyogerere-Nalya'!D55,'31.07 Bweyogerere-Nalya'!D55,'02.08 Bweyogerere-Nalya'!D55,'01.08 Bweyogerere-Nalya-24h'!D55,'03.08 Bweyogerere-Nalya-24h'!D55,'04.08 Bweyogerere-Nalya'!D55)</f>
        <v>11.142857142857142</v>
      </c>
      <c r="E55" s="49">
        <f>AVERAGE('29.07 Bweyogerere-Nalya'!E55,'30.07 Bweyogerere-Nalya'!E55,'31.07 Bweyogerere-Nalya'!E55,'02.08 Bweyogerere-Nalya'!E55,'01.08 Bweyogerere-Nalya-24h'!E55,'03.08 Bweyogerere-Nalya-24h'!E55,'04.08 Bweyogerere-Nalya'!E55)</f>
        <v>4.5714285714285712</v>
      </c>
      <c r="F55" s="49">
        <f>AVERAGE('29.07 Bweyogerere-Nalya'!F55,'30.07 Bweyogerere-Nalya'!F55,'31.07 Bweyogerere-Nalya'!F55,'02.08 Bweyogerere-Nalya'!F55,'01.08 Bweyogerere-Nalya-24h'!F55,'03.08 Bweyogerere-Nalya-24h'!F55,'04.08 Bweyogerere-Nalya'!F55)</f>
        <v>33.714285714285715</v>
      </c>
      <c r="G55" s="49">
        <f>AVERAGE('29.07 Bweyogerere-Nalya'!G55,'30.07 Bweyogerere-Nalya'!G55,'31.07 Bweyogerere-Nalya'!G55,'02.08 Bweyogerere-Nalya'!G55,'01.08 Bweyogerere-Nalya-24h'!G55,'03.08 Bweyogerere-Nalya-24h'!G55,'04.08 Bweyogerere-Nalya'!G55)</f>
        <v>1.7142857142857142</v>
      </c>
      <c r="H55" s="49">
        <f>AVERAGE('29.07 Bweyogerere-Nalya'!H55,'30.07 Bweyogerere-Nalya'!H55,'31.07 Bweyogerere-Nalya'!H55,'02.08 Bweyogerere-Nalya'!H55,'01.08 Bweyogerere-Nalya-24h'!H55,'03.08 Bweyogerere-Nalya-24h'!H55,'04.08 Bweyogerere-Nalya'!H55)</f>
        <v>0</v>
      </c>
      <c r="I55" s="49">
        <f>AVERAGE('29.07 Bweyogerere-Nalya'!I55,'30.07 Bweyogerere-Nalya'!I55,'31.07 Bweyogerere-Nalya'!I55,'02.08 Bweyogerere-Nalya'!I55,'01.08 Bweyogerere-Nalya-24h'!I55,'03.08 Bweyogerere-Nalya-24h'!I55,'04.08 Bweyogerere-Nalya'!I55)</f>
        <v>5.8571428571428568</v>
      </c>
      <c r="J55" s="49">
        <f>AVERAGE('29.07 Bweyogerere-Nalya'!J55,'30.07 Bweyogerere-Nalya'!J55,'31.07 Bweyogerere-Nalya'!J55,'02.08 Bweyogerere-Nalya'!J55,'01.08 Bweyogerere-Nalya-24h'!J55,'03.08 Bweyogerere-Nalya-24h'!J55,'04.08 Bweyogerere-Nalya'!J55)</f>
        <v>6.2857142857142856</v>
      </c>
      <c r="K55" s="49">
        <f>AVERAGE('29.07 Bweyogerere-Nalya'!K55,'30.07 Bweyogerere-Nalya'!K55,'31.07 Bweyogerere-Nalya'!K55,'02.08 Bweyogerere-Nalya'!K55,'01.08 Bweyogerere-Nalya-24h'!K55,'03.08 Bweyogerere-Nalya-24h'!K55,'04.08 Bweyogerere-Nalya'!K55)</f>
        <v>4</v>
      </c>
      <c r="L55" s="49">
        <f>AVERAGE('29.07 Bweyogerere-Nalya'!L55,'30.07 Bweyogerere-Nalya'!L55,'31.07 Bweyogerere-Nalya'!L55,'02.08 Bweyogerere-Nalya'!L55,'01.08 Bweyogerere-Nalya-24h'!L55,'03.08 Bweyogerere-Nalya-24h'!L55,'04.08 Bweyogerere-Nalya'!L55)</f>
        <v>3.2857142857142856</v>
      </c>
      <c r="M55" s="49">
        <f>AVERAGE('29.07 Bweyogerere-Nalya'!M55,'30.07 Bweyogerere-Nalya'!M55,'31.07 Bweyogerere-Nalya'!M55,'02.08 Bweyogerere-Nalya'!M55,'01.08 Bweyogerere-Nalya-24h'!M55,'03.08 Bweyogerere-Nalya-24h'!M55,'04.08 Bweyogerere-Nalya'!M55)</f>
        <v>55.142857142857146</v>
      </c>
      <c r="N55" s="49">
        <f>AVERAGE('29.07 Bweyogerere-Nalya'!N55,'30.07 Bweyogerere-Nalya'!N55,'31.07 Bweyogerere-Nalya'!N55,'02.08 Bweyogerere-Nalya'!N55,'01.08 Bweyogerere-Nalya-24h'!N55,'03.08 Bweyogerere-Nalya-24h'!N55,'04.08 Bweyogerere-Nalya'!N55)</f>
        <v>0</v>
      </c>
      <c r="O55" s="15">
        <f t="shared" si="0"/>
        <v>107.42857142857143</v>
      </c>
      <c r="P55" s="15">
        <f t="shared" si="1"/>
        <v>162.57142857142858</v>
      </c>
      <c r="R55" s="8"/>
      <c r="T55"/>
    </row>
    <row r="56" spans="2:20" ht="23.1" customHeight="1" x14ac:dyDescent="0.25">
      <c r="B56" s="23" t="s">
        <v>83</v>
      </c>
      <c r="C56" s="49">
        <f>AVERAGE('29.07 Bweyogerere-Nalya'!C56,'30.07 Bweyogerere-Nalya'!C56,'31.07 Bweyogerere-Nalya'!C56,'02.08 Bweyogerere-Nalya'!C56,'01.08 Bweyogerere-Nalya-24h'!C56,'03.08 Bweyogerere-Nalya-24h'!C56,'04.08 Bweyogerere-Nalya'!C56)</f>
        <v>34.142857142857146</v>
      </c>
      <c r="D56" s="49">
        <f>AVERAGE('29.07 Bweyogerere-Nalya'!D56,'30.07 Bweyogerere-Nalya'!D56,'31.07 Bweyogerere-Nalya'!D56,'02.08 Bweyogerere-Nalya'!D56,'01.08 Bweyogerere-Nalya-24h'!D56,'03.08 Bweyogerere-Nalya-24h'!D56,'04.08 Bweyogerere-Nalya'!D56)</f>
        <v>11.285714285714286</v>
      </c>
      <c r="E56" s="49">
        <f>AVERAGE('29.07 Bweyogerere-Nalya'!E56,'30.07 Bweyogerere-Nalya'!E56,'31.07 Bweyogerere-Nalya'!E56,'02.08 Bweyogerere-Nalya'!E56,'01.08 Bweyogerere-Nalya-24h'!E56,'03.08 Bweyogerere-Nalya-24h'!E56,'04.08 Bweyogerere-Nalya'!E56)</f>
        <v>4.2857142857142856</v>
      </c>
      <c r="F56" s="49">
        <f>AVERAGE('29.07 Bweyogerere-Nalya'!F56,'30.07 Bweyogerere-Nalya'!F56,'31.07 Bweyogerere-Nalya'!F56,'02.08 Bweyogerere-Nalya'!F56,'01.08 Bweyogerere-Nalya-24h'!F56,'03.08 Bweyogerere-Nalya-24h'!F56,'04.08 Bweyogerere-Nalya'!F56)</f>
        <v>34</v>
      </c>
      <c r="G56" s="49">
        <f>AVERAGE('29.07 Bweyogerere-Nalya'!G56,'30.07 Bweyogerere-Nalya'!G56,'31.07 Bweyogerere-Nalya'!G56,'02.08 Bweyogerere-Nalya'!G56,'01.08 Bweyogerere-Nalya-24h'!G56,'03.08 Bweyogerere-Nalya-24h'!G56,'04.08 Bweyogerere-Nalya'!G56)</f>
        <v>1</v>
      </c>
      <c r="H56" s="49">
        <f>AVERAGE('29.07 Bweyogerere-Nalya'!H56,'30.07 Bweyogerere-Nalya'!H56,'31.07 Bweyogerere-Nalya'!H56,'02.08 Bweyogerere-Nalya'!H56,'01.08 Bweyogerere-Nalya-24h'!H56,'03.08 Bweyogerere-Nalya-24h'!H56,'04.08 Bweyogerere-Nalya'!H56)</f>
        <v>0.2857142857142857</v>
      </c>
      <c r="I56" s="49">
        <f>AVERAGE('29.07 Bweyogerere-Nalya'!I56,'30.07 Bweyogerere-Nalya'!I56,'31.07 Bweyogerere-Nalya'!I56,'02.08 Bweyogerere-Nalya'!I56,'01.08 Bweyogerere-Nalya-24h'!I56,'03.08 Bweyogerere-Nalya-24h'!I56,'04.08 Bweyogerere-Nalya'!I56)</f>
        <v>3</v>
      </c>
      <c r="J56" s="49">
        <f>AVERAGE('29.07 Bweyogerere-Nalya'!J56,'30.07 Bweyogerere-Nalya'!J56,'31.07 Bweyogerere-Nalya'!J56,'02.08 Bweyogerere-Nalya'!J56,'01.08 Bweyogerere-Nalya-24h'!J56,'03.08 Bweyogerere-Nalya-24h'!J56,'04.08 Bweyogerere-Nalya'!J56)</f>
        <v>5.7142857142857144</v>
      </c>
      <c r="K56" s="49">
        <f>AVERAGE('29.07 Bweyogerere-Nalya'!K56,'30.07 Bweyogerere-Nalya'!K56,'31.07 Bweyogerere-Nalya'!K56,'02.08 Bweyogerere-Nalya'!K56,'01.08 Bweyogerere-Nalya-24h'!K56,'03.08 Bweyogerere-Nalya-24h'!K56,'04.08 Bweyogerere-Nalya'!K56)</f>
        <v>4.4285714285714288</v>
      </c>
      <c r="L56" s="49">
        <f>AVERAGE('29.07 Bweyogerere-Nalya'!L56,'30.07 Bweyogerere-Nalya'!L56,'31.07 Bweyogerere-Nalya'!L56,'02.08 Bweyogerere-Nalya'!L56,'01.08 Bweyogerere-Nalya-24h'!L56,'03.08 Bweyogerere-Nalya-24h'!L56,'04.08 Bweyogerere-Nalya'!L56)</f>
        <v>5.4285714285714288</v>
      </c>
      <c r="M56" s="49">
        <f>AVERAGE('29.07 Bweyogerere-Nalya'!M56,'30.07 Bweyogerere-Nalya'!M56,'31.07 Bweyogerere-Nalya'!M56,'02.08 Bweyogerere-Nalya'!M56,'01.08 Bweyogerere-Nalya-24h'!M56,'03.08 Bweyogerere-Nalya-24h'!M56,'04.08 Bweyogerere-Nalya'!M56)</f>
        <v>51.428571428571431</v>
      </c>
      <c r="N56" s="49">
        <f>AVERAGE('29.07 Bweyogerere-Nalya'!N56,'30.07 Bweyogerere-Nalya'!N56,'31.07 Bweyogerere-Nalya'!N56,'02.08 Bweyogerere-Nalya'!N56,'01.08 Bweyogerere-Nalya-24h'!N56,'03.08 Bweyogerere-Nalya-24h'!N56,'04.08 Bweyogerere-Nalya'!N56)</f>
        <v>0</v>
      </c>
      <c r="O56" s="15">
        <f t="shared" si="0"/>
        <v>103.57142857142858</v>
      </c>
      <c r="P56" s="15">
        <f t="shared" si="1"/>
        <v>155</v>
      </c>
      <c r="R56" s="8"/>
      <c r="T56"/>
    </row>
    <row r="57" spans="2:20" ht="23.1" customHeight="1" x14ac:dyDescent="0.25">
      <c r="B57" s="23" t="s">
        <v>84</v>
      </c>
      <c r="C57" s="49">
        <f>AVERAGE('29.07 Bweyogerere-Nalya'!C57,'30.07 Bweyogerere-Nalya'!C57,'31.07 Bweyogerere-Nalya'!C57,'02.08 Bweyogerere-Nalya'!C57,'01.08 Bweyogerere-Nalya-24h'!C57,'03.08 Bweyogerere-Nalya-24h'!C57,'04.08 Bweyogerere-Nalya'!C57)</f>
        <v>31</v>
      </c>
      <c r="D57" s="49">
        <f>AVERAGE('29.07 Bweyogerere-Nalya'!D57,'30.07 Bweyogerere-Nalya'!D57,'31.07 Bweyogerere-Nalya'!D57,'02.08 Bweyogerere-Nalya'!D57,'01.08 Bweyogerere-Nalya-24h'!D57,'03.08 Bweyogerere-Nalya-24h'!D57,'04.08 Bweyogerere-Nalya'!D57)</f>
        <v>10.428571428571429</v>
      </c>
      <c r="E57" s="49">
        <f>AVERAGE('29.07 Bweyogerere-Nalya'!E57,'30.07 Bweyogerere-Nalya'!E57,'31.07 Bweyogerere-Nalya'!E57,'02.08 Bweyogerere-Nalya'!E57,'01.08 Bweyogerere-Nalya-24h'!E57,'03.08 Bweyogerere-Nalya-24h'!E57,'04.08 Bweyogerere-Nalya'!E57)</f>
        <v>4.2857142857142856</v>
      </c>
      <c r="F57" s="49">
        <f>AVERAGE('29.07 Bweyogerere-Nalya'!F57,'30.07 Bweyogerere-Nalya'!F57,'31.07 Bweyogerere-Nalya'!F57,'02.08 Bweyogerere-Nalya'!F57,'01.08 Bweyogerere-Nalya-24h'!F57,'03.08 Bweyogerere-Nalya-24h'!F57,'04.08 Bweyogerere-Nalya'!F57)</f>
        <v>31.285714285714285</v>
      </c>
      <c r="G57" s="49">
        <f>AVERAGE('29.07 Bweyogerere-Nalya'!G57,'30.07 Bweyogerere-Nalya'!G57,'31.07 Bweyogerere-Nalya'!G57,'02.08 Bweyogerere-Nalya'!G57,'01.08 Bweyogerere-Nalya-24h'!G57,'03.08 Bweyogerere-Nalya-24h'!G57,'04.08 Bweyogerere-Nalya'!G57)</f>
        <v>0.14285714285714285</v>
      </c>
      <c r="H57" s="49">
        <f>AVERAGE('29.07 Bweyogerere-Nalya'!H57,'30.07 Bweyogerere-Nalya'!H57,'31.07 Bweyogerere-Nalya'!H57,'02.08 Bweyogerere-Nalya'!H57,'01.08 Bweyogerere-Nalya-24h'!H57,'03.08 Bweyogerere-Nalya-24h'!H57,'04.08 Bweyogerere-Nalya'!H57)</f>
        <v>0.42857142857142855</v>
      </c>
      <c r="I57" s="49">
        <f>AVERAGE('29.07 Bweyogerere-Nalya'!I57,'30.07 Bweyogerere-Nalya'!I57,'31.07 Bweyogerere-Nalya'!I57,'02.08 Bweyogerere-Nalya'!I57,'01.08 Bweyogerere-Nalya-24h'!I57,'03.08 Bweyogerere-Nalya-24h'!I57,'04.08 Bweyogerere-Nalya'!I57)</f>
        <v>3.7142857142857144</v>
      </c>
      <c r="J57" s="49">
        <f>AVERAGE('29.07 Bweyogerere-Nalya'!J57,'30.07 Bweyogerere-Nalya'!J57,'31.07 Bweyogerere-Nalya'!J57,'02.08 Bweyogerere-Nalya'!J57,'01.08 Bweyogerere-Nalya-24h'!J57,'03.08 Bweyogerere-Nalya-24h'!J57,'04.08 Bweyogerere-Nalya'!J57)</f>
        <v>5.2857142857142856</v>
      </c>
      <c r="K57" s="49">
        <f>AVERAGE('29.07 Bweyogerere-Nalya'!K57,'30.07 Bweyogerere-Nalya'!K57,'31.07 Bweyogerere-Nalya'!K57,'02.08 Bweyogerere-Nalya'!K57,'01.08 Bweyogerere-Nalya-24h'!K57,'03.08 Bweyogerere-Nalya-24h'!K57,'04.08 Bweyogerere-Nalya'!K57)</f>
        <v>3.1428571428571428</v>
      </c>
      <c r="L57" s="49">
        <f>AVERAGE('29.07 Bweyogerere-Nalya'!L57,'30.07 Bweyogerere-Nalya'!L57,'31.07 Bweyogerere-Nalya'!L57,'02.08 Bweyogerere-Nalya'!L57,'01.08 Bweyogerere-Nalya-24h'!L57,'03.08 Bweyogerere-Nalya-24h'!L57,'04.08 Bweyogerere-Nalya'!L57)</f>
        <v>4</v>
      </c>
      <c r="M57" s="49">
        <f>AVERAGE('29.07 Bweyogerere-Nalya'!M57,'30.07 Bweyogerere-Nalya'!M57,'31.07 Bweyogerere-Nalya'!M57,'02.08 Bweyogerere-Nalya'!M57,'01.08 Bweyogerere-Nalya-24h'!M57,'03.08 Bweyogerere-Nalya-24h'!M57,'04.08 Bweyogerere-Nalya'!M57)</f>
        <v>50</v>
      </c>
      <c r="N57" s="49">
        <f>AVERAGE('29.07 Bweyogerere-Nalya'!N57,'30.07 Bweyogerere-Nalya'!N57,'31.07 Bweyogerere-Nalya'!N57,'02.08 Bweyogerere-Nalya'!N57,'01.08 Bweyogerere-Nalya-24h'!N57,'03.08 Bweyogerere-Nalya-24h'!N57,'04.08 Bweyogerere-Nalya'!N57)</f>
        <v>0.14285714285714285</v>
      </c>
      <c r="O57" s="15">
        <f t="shared" si="0"/>
        <v>93.857142857142847</v>
      </c>
      <c r="P57" s="15">
        <f t="shared" si="1"/>
        <v>143.85714285714286</v>
      </c>
      <c r="R57" s="8"/>
      <c r="T57"/>
    </row>
    <row r="58" spans="2:20" ht="23.1" customHeight="1" x14ac:dyDescent="0.25">
      <c r="B58" s="23" t="s">
        <v>99</v>
      </c>
      <c r="C58" s="49">
        <f>AVERAGE('01.08 Bweyogerere-Nalya-24h'!C58,'03.08 Bweyogerere-Nalya-24h'!C58)</f>
        <v>20.5</v>
      </c>
      <c r="D58" s="49">
        <f>AVERAGE('01.08 Bweyogerere-Nalya-24h'!D58,'03.08 Bweyogerere-Nalya-24h'!D58)</f>
        <v>5.5</v>
      </c>
      <c r="E58" s="49">
        <f>AVERAGE('01.08 Bweyogerere-Nalya-24h'!E58,'03.08 Bweyogerere-Nalya-24h'!E58)</f>
        <v>1.5</v>
      </c>
      <c r="F58" s="49">
        <f>AVERAGE('01.08 Bweyogerere-Nalya-24h'!F58,'03.08 Bweyogerere-Nalya-24h'!F58)</f>
        <v>21.5</v>
      </c>
      <c r="G58" s="49">
        <f>AVERAGE('01.08 Bweyogerere-Nalya-24h'!G58,'03.08 Bweyogerere-Nalya-24h'!G58)</f>
        <v>0</v>
      </c>
      <c r="H58" s="49">
        <f>AVERAGE('01.08 Bweyogerere-Nalya-24h'!H58,'03.08 Bweyogerere-Nalya-24h'!H58)</f>
        <v>0</v>
      </c>
      <c r="I58" s="49">
        <f>AVERAGE('01.08 Bweyogerere-Nalya-24h'!I58,'03.08 Bweyogerere-Nalya-24h'!I58)</f>
        <v>2</v>
      </c>
      <c r="J58" s="49">
        <f>AVERAGE('01.08 Bweyogerere-Nalya-24h'!J58,'03.08 Bweyogerere-Nalya-24h'!J58)</f>
        <v>4</v>
      </c>
      <c r="K58" s="49">
        <f>AVERAGE('01.08 Bweyogerere-Nalya-24h'!K58,'03.08 Bweyogerere-Nalya-24h'!K58)</f>
        <v>2</v>
      </c>
      <c r="L58" s="49">
        <f>AVERAGE('01.08 Bweyogerere-Nalya-24h'!L58,'03.08 Bweyogerere-Nalya-24h'!L58)</f>
        <v>2</v>
      </c>
      <c r="M58" s="49">
        <f>AVERAGE('01.08 Bweyogerere-Nalya-24h'!M58,'03.08 Bweyogerere-Nalya-24h'!M58)</f>
        <v>35</v>
      </c>
      <c r="N58" s="49">
        <f>AVERAGE('01.08 Bweyogerere-Nalya-24h'!N58,'03.08 Bweyogerere-Nalya-24h'!N58)</f>
        <v>0.5</v>
      </c>
      <c r="O58" s="15">
        <f t="shared" si="0"/>
        <v>59.5</v>
      </c>
      <c r="P58" s="15">
        <f t="shared" si="1"/>
        <v>94.5</v>
      </c>
      <c r="R58" s="8"/>
      <c r="T58"/>
    </row>
    <row r="59" spans="2:20" ht="23.1" customHeight="1" x14ac:dyDescent="0.25">
      <c r="B59" s="23" t="s">
        <v>100</v>
      </c>
      <c r="C59" s="49">
        <f>AVERAGE('01.08 Bweyogerere-Nalya-24h'!C59,'03.08 Bweyogerere-Nalya-24h'!C59)</f>
        <v>16</v>
      </c>
      <c r="D59" s="49">
        <f>AVERAGE('01.08 Bweyogerere-Nalya-24h'!D59,'03.08 Bweyogerere-Nalya-24h'!D59)</f>
        <v>11</v>
      </c>
      <c r="E59" s="49">
        <f>AVERAGE('01.08 Bweyogerere-Nalya-24h'!E59,'03.08 Bweyogerere-Nalya-24h'!E59)</f>
        <v>3</v>
      </c>
      <c r="F59" s="49">
        <f>AVERAGE('01.08 Bweyogerere-Nalya-24h'!F59,'03.08 Bweyogerere-Nalya-24h'!F59)</f>
        <v>23</v>
      </c>
      <c r="G59" s="49">
        <f>AVERAGE('01.08 Bweyogerere-Nalya-24h'!G59,'03.08 Bweyogerere-Nalya-24h'!G59)</f>
        <v>1</v>
      </c>
      <c r="H59" s="49">
        <f>AVERAGE('01.08 Bweyogerere-Nalya-24h'!H59,'03.08 Bweyogerere-Nalya-24h'!H59)</f>
        <v>0</v>
      </c>
      <c r="I59" s="49">
        <f>AVERAGE('01.08 Bweyogerere-Nalya-24h'!I59,'03.08 Bweyogerere-Nalya-24h'!I59)</f>
        <v>2.5</v>
      </c>
      <c r="J59" s="49">
        <f>AVERAGE('01.08 Bweyogerere-Nalya-24h'!J59,'03.08 Bweyogerere-Nalya-24h'!J59)</f>
        <v>4.5</v>
      </c>
      <c r="K59" s="49">
        <f>AVERAGE('01.08 Bweyogerere-Nalya-24h'!K59,'03.08 Bweyogerere-Nalya-24h'!K59)</f>
        <v>2.5</v>
      </c>
      <c r="L59" s="49">
        <f>AVERAGE('01.08 Bweyogerere-Nalya-24h'!L59,'03.08 Bweyogerere-Nalya-24h'!L59)</f>
        <v>2.5</v>
      </c>
      <c r="M59" s="49">
        <f>AVERAGE('01.08 Bweyogerere-Nalya-24h'!M59,'03.08 Bweyogerere-Nalya-24h'!M59)</f>
        <v>30</v>
      </c>
      <c r="N59" s="49">
        <f>AVERAGE('01.08 Bweyogerere-Nalya-24h'!N59,'03.08 Bweyogerere-Nalya-24h'!N59)</f>
        <v>0</v>
      </c>
      <c r="O59" s="15">
        <f t="shared" ref="O59:O105" si="35">SUM(C59:L59,N59)</f>
        <v>66</v>
      </c>
      <c r="P59" s="15">
        <f t="shared" ref="P59:P105" si="36">SUM(C59:N59)</f>
        <v>96</v>
      </c>
      <c r="R59" s="8"/>
      <c r="T59"/>
    </row>
    <row r="60" spans="2:20" ht="23.1" customHeight="1" x14ac:dyDescent="0.25">
      <c r="B60" s="23" t="s">
        <v>101</v>
      </c>
      <c r="C60" s="49">
        <f>AVERAGE('01.08 Bweyogerere-Nalya-24h'!C60,'03.08 Bweyogerere-Nalya-24h'!C60)</f>
        <v>19</v>
      </c>
      <c r="D60" s="49">
        <f>AVERAGE('01.08 Bweyogerere-Nalya-24h'!D60,'03.08 Bweyogerere-Nalya-24h'!D60)</f>
        <v>11</v>
      </c>
      <c r="E60" s="49">
        <f>AVERAGE('01.08 Bweyogerere-Nalya-24h'!E60,'03.08 Bweyogerere-Nalya-24h'!E60)</f>
        <v>3.5</v>
      </c>
      <c r="F60" s="49">
        <f>AVERAGE('01.08 Bweyogerere-Nalya-24h'!F60,'03.08 Bweyogerere-Nalya-24h'!F60)</f>
        <v>19</v>
      </c>
      <c r="G60" s="49">
        <f>AVERAGE('01.08 Bweyogerere-Nalya-24h'!G60,'03.08 Bweyogerere-Nalya-24h'!G60)</f>
        <v>0.5</v>
      </c>
      <c r="H60" s="49">
        <f>AVERAGE('01.08 Bweyogerere-Nalya-24h'!H60,'03.08 Bweyogerere-Nalya-24h'!H60)</f>
        <v>0</v>
      </c>
      <c r="I60" s="49">
        <f>AVERAGE('01.08 Bweyogerere-Nalya-24h'!I60,'03.08 Bweyogerere-Nalya-24h'!I60)</f>
        <v>2</v>
      </c>
      <c r="J60" s="49">
        <f>AVERAGE('01.08 Bweyogerere-Nalya-24h'!J60,'03.08 Bweyogerere-Nalya-24h'!J60)</f>
        <v>2.5</v>
      </c>
      <c r="K60" s="49">
        <f>AVERAGE('01.08 Bweyogerere-Nalya-24h'!K60,'03.08 Bweyogerere-Nalya-24h'!K60)</f>
        <v>2.5</v>
      </c>
      <c r="L60" s="49">
        <f>AVERAGE('01.08 Bweyogerere-Nalya-24h'!L60,'03.08 Bweyogerere-Nalya-24h'!L60)</f>
        <v>5</v>
      </c>
      <c r="M60" s="49">
        <f>AVERAGE('01.08 Bweyogerere-Nalya-24h'!M60,'03.08 Bweyogerere-Nalya-24h'!M60)</f>
        <v>34</v>
      </c>
      <c r="N60" s="49">
        <f>AVERAGE('01.08 Bweyogerere-Nalya-24h'!N60,'03.08 Bweyogerere-Nalya-24h'!N60)</f>
        <v>0</v>
      </c>
      <c r="O60" s="15">
        <f t="shared" si="35"/>
        <v>65</v>
      </c>
      <c r="P60" s="15">
        <f t="shared" si="36"/>
        <v>99</v>
      </c>
      <c r="R60" s="8"/>
      <c r="T60"/>
    </row>
    <row r="61" spans="2:20" ht="23.1" customHeight="1" x14ac:dyDescent="0.25">
      <c r="B61" s="23" t="s">
        <v>102</v>
      </c>
      <c r="C61" s="49">
        <f>AVERAGE('01.08 Bweyogerere-Nalya-24h'!C61,'03.08 Bweyogerere-Nalya-24h'!C61)</f>
        <v>17.5</v>
      </c>
      <c r="D61" s="49">
        <f>AVERAGE('01.08 Bweyogerere-Nalya-24h'!D61,'03.08 Bweyogerere-Nalya-24h'!D61)</f>
        <v>11.5</v>
      </c>
      <c r="E61" s="49">
        <f>AVERAGE('01.08 Bweyogerere-Nalya-24h'!E61,'03.08 Bweyogerere-Nalya-24h'!E61)</f>
        <v>5</v>
      </c>
      <c r="F61" s="49">
        <f>AVERAGE('01.08 Bweyogerere-Nalya-24h'!F61,'03.08 Bweyogerere-Nalya-24h'!F61)</f>
        <v>19</v>
      </c>
      <c r="G61" s="49">
        <f>AVERAGE('01.08 Bweyogerere-Nalya-24h'!G61,'03.08 Bweyogerere-Nalya-24h'!G61)</f>
        <v>2.5</v>
      </c>
      <c r="H61" s="49">
        <f>AVERAGE('01.08 Bweyogerere-Nalya-24h'!H61,'03.08 Bweyogerere-Nalya-24h'!H61)</f>
        <v>0</v>
      </c>
      <c r="I61" s="49">
        <f>AVERAGE('01.08 Bweyogerere-Nalya-24h'!I61,'03.08 Bweyogerere-Nalya-24h'!I61)</f>
        <v>2</v>
      </c>
      <c r="J61" s="49">
        <f>AVERAGE('01.08 Bweyogerere-Nalya-24h'!J61,'03.08 Bweyogerere-Nalya-24h'!J61)</f>
        <v>5</v>
      </c>
      <c r="K61" s="49">
        <f>AVERAGE('01.08 Bweyogerere-Nalya-24h'!K61,'03.08 Bweyogerere-Nalya-24h'!K61)</f>
        <v>1.5</v>
      </c>
      <c r="L61" s="49">
        <f>AVERAGE('01.08 Bweyogerere-Nalya-24h'!L61,'03.08 Bweyogerere-Nalya-24h'!L61)</f>
        <v>2.5</v>
      </c>
      <c r="M61" s="49">
        <f>AVERAGE('01.08 Bweyogerere-Nalya-24h'!M61,'03.08 Bweyogerere-Nalya-24h'!M61)</f>
        <v>40.5</v>
      </c>
      <c r="N61" s="49">
        <f>AVERAGE('01.08 Bweyogerere-Nalya-24h'!N61,'03.08 Bweyogerere-Nalya-24h'!N61)</f>
        <v>0</v>
      </c>
      <c r="O61" s="15">
        <f t="shared" si="35"/>
        <v>66.5</v>
      </c>
      <c r="P61" s="15">
        <f t="shared" si="36"/>
        <v>107</v>
      </c>
      <c r="R61" s="8"/>
      <c r="T61"/>
    </row>
    <row r="62" spans="2:20" ht="23.1" customHeight="1" x14ac:dyDescent="0.25">
      <c r="B62" s="23" t="s">
        <v>107</v>
      </c>
      <c r="C62" s="49">
        <f>AVERAGE('01.08 Bweyogerere-Nalya-24h'!C62,'03.08 Bweyogerere-Nalya-24h'!C62)</f>
        <v>31.5</v>
      </c>
      <c r="D62" s="49">
        <f>AVERAGE('01.08 Bweyogerere-Nalya-24h'!D62,'03.08 Bweyogerere-Nalya-24h'!D62)</f>
        <v>22</v>
      </c>
      <c r="E62" s="49">
        <f>AVERAGE('01.08 Bweyogerere-Nalya-24h'!E62,'03.08 Bweyogerere-Nalya-24h'!E62)</f>
        <v>6</v>
      </c>
      <c r="F62" s="49">
        <f>AVERAGE('01.08 Bweyogerere-Nalya-24h'!F62,'03.08 Bweyogerere-Nalya-24h'!F62)</f>
        <v>24</v>
      </c>
      <c r="G62" s="49">
        <f>AVERAGE('01.08 Bweyogerere-Nalya-24h'!G62,'03.08 Bweyogerere-Nalya-24h'!G62)</f>
        <v>2.5</v>
      </c>
      <c r="H62" s="49">
        <f>AVERAGE('01.08 Bweyogerere-Nalya-24h'!H62,'03.08 Bweyogerere-Nalya-24h'!H62)</f>
        <v>0.5</v>
      </c>
      <c r="I62" s="49">
        <f>AVERAGE('01.08 Bweyogerere-Nalya-24h'!I62,'03.08 Bweyogerere-Nalya-24h'!I62)</f>
        <v>3</v>
      </c>
      <c r="J62" s="49">
        <f>AVERAGE('01.08 Bweyogerere-Nalya-24h'!J62,'03.08 Bweyogerere-Nalya-24h'!J62)</f>
        <v>4.5</v>
      </c>
      <c r="K62" s="49">
        <f>AVERAGE('01.08 Bweyogerere-Nalya-24h'!K62,'03.08 Bweyogerere-Nalya-24h'!K62)</f>
        <v>2</v>
      </c>
      <c r="L62" s="49">
        <f>AVERAGE('01.08 Bweyogerere-Nalya-24h'!L62,'03.08 Bweyogerere-Nalya-24h'!L62)</f>
        <v>2.5</v>
      </c>
      <c r="M62" s="49">
        <f>AVERAGE('01.08 Bweyogerere-Nalya-24h'!M62,'03.08 Bweyogerere-Nalya-24h'!M62)</f>
        <v>50.5</v>
      </c>
      <c r="N62" s="49">
        <f>AVERAGE('01.08 Bweyogerere-Nalya-24h'!N62,'03.08 Bweyogerere-Nalya-24h'!N62)</f>
        <v>0</v>
      </c>
      <c r="O62" s="15">
        <f t="shared" si="35"/>
        <v>98.5</v>
      </c>
      <c r="P62" s="15">
        <f t="shared" si="36"/>
        <v>149</v>
      </c>
      <c r="R62" s="8"/>
      <c r="T62"/>
    </row>
    <row r="63" spans="2:20" ht="23.1" customHeight="1" x14ac:dyDescent="0.25">
      <c r="B63" s="23" t="s">
        <v>108</v>
      </c>
      <c r="C63" s="49">
        <f>AVERAGE('01.08 Bweyogerere-Nalya-24h'!C63,'03.08 Bweyogerere-Nalya-24h'!C63)</f>
        <v>21</v>
      </c>
      <c r="D63" s="49">
        <f>AVERAGE('01.08 Bweyogerere-Nalya-24h'!D63,'03.08 Bweyogerere-Nalya-24h'!D63)</f>
        <v>20</v>
      </c>
      <c r="E63" s="49">
        <f>AVERAGE('01.08 Bweyogerere-Nalya-24h'!E63,'03.08 Bweyogerere-Nalya-24h'!E63)</f>
        <v>3</v>
      </c>
      <c r="F63" s="49">
        <f>AVERAGE('01.08 Bweyogerere-Nalya-24h'!F63,'03.08 Bweyogerere-Nalya-24h'!F63)</f>
        <v>26.5</v>
      </c>
      <c r="G63" s="49">
        <f>AVERAGE('01.08 Bweyogerere-Nalya-24h'!G63,'03.08 Bweyogerere-Nalya-24h'!G63)</f>
        <v>0</v>
      </c>
      <c r="H63" s="49">
        <f>AVERAGE('01.08 Bweyogerere-Nalya-24h'!H63,'03.08 Bweyogerere-Nalya-24h'!H63)</f>
        <v>0</v>
      </c>
      <c r="I63" s="49">
        <f>AVERAGE('01.08 Bweyogerere-Nalya-24h'!I63,'03.08 Bweyogerere-Nalya-24h'!I63)</f>
        <v>3.5</v>
      </c>
      <c r="J63" s="49">
        <f>AVERAGE('01.08 Bweyogerere-Nalya-24h'!J63,'03.08 Bweyogerere-Nalya-24h'!J63)</f>
        <v>6</v>
      </c>
      <c r="K63" s="49">
        <f>AVERAGE('01.08 Bweyogerere-Nalya-24h'!K63,'03.08 Bweyogerere-Nalya-24h'!K63)</f>
        <v>3.5</v>
      </c>
      <c r="L63" s="49">
        <f>AVERAGE('01.08 Bweyogerere-Nalya-24h'!L63,'03.08 Bweyogerere-Nalya-24h'!L63)</f>
        <v>2</v>
      </c>
      <c r="M63" s="49">
        <f>AVERAGE('01.08 Bweyogerere-Nalya-24h'!M63,'03.08 Bweyogerere-Nalya-24h'!M63)</f>
        <v>39.5</v>
      </c>
      <c r="N63" s="49">
        <f>AVERAGE('01.08 Bweyogerere-Nalya-24h'!N63,'03.08 Bweyogerere-Nalya-24h'!N63)</f>
        <v>0</v>
      </c>
      <c r="O63" s="15">
        <f t="shared" si="35"/>
        <v>85.5</v>
      </c>
      <c r="P63" s="15">
        <f t="shared" si="36"/>
        <v>125</v>
      </c>
      <c r="R63" s="8"/>
      <c r="T63"/>
    </row>
    <row r="64" spans="2:20" ht="23.1" customHeight="1" x14ac:dyDescent="0.25">
      <c r="B64" s="23" t="s">
        <v>109</v>
      </c>
      <c r="C64" s="49">
        <f>AVERAGE('01.08 Bweyogerere-Nalya-24h'!C64,'03.08 Bweyogerere-Nalya-24h'!C64)</f>
        <v>18</v>
      </c>
      <c r="D64" s="49">
        <f>AVERAGE('01.08 Bweyogerere-Nalya-24h'!D64,'03.08 Bweyogerere-Nalya-24h'!D64)</f>
        <v>15.5</v>
      </c>
      <c r="E64" s="49">
        <f>AVERAGE('01.08 Bweyogerere-Nalya-24h'!E64,'03.08 Bweyogerere-Nalya-24h'!E64)</f>
        <v>4.5</v>
      </c>
      <c r="F64" s="49">
        <f>AVERAGE('01.08 Bweyogerere-Nalya-24h'!F64,'03.08 Bweyogerere-Nalya-24h'!F64)</f>
        <v>21.5</v>
      </c>
      <c r="G64" s="49">
        <f>AVERAGE('01.08 Bweyogerere-Nalya-24h'!G64,'03.08 Bweyogerere-Nalya-24h'!G64)</f>
        <v>1</v>
      </c>
      <c r="H64" s="49">
        <f>AVERAGE('01.08 Bweyogerere-Nalya-24h'!H64,'03.08 Bweyogerere-Nalya-24h'!H64)</f>
        <v>0</v>
      </c>
      <c r="I64" s="49">
        <f>AVERAGE('01.08 Bweyogerere-Nalya-24h'!I64,'03.08 Bweyogerere-Nalya-24h'!I64)</f>
        <v>3</v>
      </c>
      <c r="J64" s="49">
        <f>AVERAGE('01.08 Bweyogerere-Nalya-24h'!J64,'03.08 Bweyogerere-Nalya-24h'!J64)</f>
        <v>9</v>
      </c>
      <c r="K64" s="49">
        <f>AVERAGE('01.08 Bweyogerere-Nalya-24h'!K64,'03.08 Bweyogerere-Nalya-24h'!K64)</f>
        <v>1</v>
      </c>
      <c r="L64" s="49">
        <f>AVERAGE('01.08 Bweyogerere-Nalya-24h'!L64,'03.08 Bweyogerere-Nalya-24h'!L64)</f>
        <v>1</v>
      </c>
      <c r="M64" s="49">
        <f>AVERAGE('01.08 Bweyogerere-Nalya-24h'!M64,'03.08 Bweyogerere-Nalya-24h'!M64)</f>
        <v>33.5</v>
      </c>
      <c r="N64" s="49">
        <f>AVERAGE('01.08 Bweyogerere-Nalya-24h'!N64,'03.08 Bweyogerere-Nalya-24h'!N64)</f>
        <v>0</v>
      </c>
      <c r="O64" s="15">
        <f t="shared" si="35"/>
        <v>74.5</v>
      </c>
      <c r="P64" s="15">
        <f t="shared" si="36"/>
        <v>108</v>
      </c>
      <c r="R64" s="8"/>
      <c r="T64"/>
    </row>
    <row r="65" spans="2:20" ht="23.1" customHeight="1" x14ac:dyDescent="0.25">
      <c r="B65" s="23" t="s">
        <v>158</v>
      </c>
      <c r="C65" s="49">
        <f>AVERAGE('01.08 Bweyogerere-Nalya-24h'!C65,'03.08 Bweyogerere-Nalya-24h'!C65)</f>
        <v>20.5</v>
      </c>
      <c r="D65" s="49">
        <f>AVERAGE('01.08 Bweyogerere-Nalya-24h'!D65,'03.08 Bweyogerere-Nalya-24h'!D65)</f>
        <v>7</v>
      </c>
      <c r="E65" s="49">
        <f>AVERAGE('01.08 Bweyogerere-Nalya-24h'!E65,'03.08 Bweyogerere-Nalya-24h'!E65)</f>
        <v>4.5</v>
      </c>
      <c r="F65" s="49">
        <f>AVERAGE('01.08 Bweyogerere-Nalya-24h'!F65,'03.08 Bweyogerere-Nalya-24h'!F65)</f>
        <v>16.5</v>
      </c>
      <c r="G65" s="49">
        <f>AVERAGE('01.08 Bweyogerere-Nalya-24h'!G65,'03.08 Bweyogerere-Nalya-24h'!G65)</f>
        <v>0</v>
      </c>
      <c r="H65" s="49">
        <f>AVERAGE('01.08 Bweyogerere-Nalya-24h'!H65,'03.08 Bweyogerere-Nalya-24h'!H65)</f>
        <v>0</v>
      </c>
      <c r="I65" s="49">
        <f>AVERAGE('01.08 Bweyogerere-Nalya-24h'!I65,'03.08 Bweyogerere-Nalya-24h'!I65)</f>
        <v>4</v>
      </c>
      <c r="J65" s="49">
        <f>AVERAGE('01.08 Bweyogerere-Nalya-24h'!J65,'03.08 Bweyogerere-Nalya-24h'!J65)</f>
        <v>4.5</v>
      </c>
      <c r="K65" s="49">
        <f>AVERAGE('01.08 Bweyogerere-Nalya-24h'!K65,'03.08 Bweyogerere-Nalya-24h'!K65)</f>
        <v>0.5</v>
      </c>
      <c r="L65" s="49">
        <f>AVERAGE('01.08 Bweyogerere-Nalya-24h'!L65,'03.08 Bweyogerere-Nalya-24h'!L65)</f>
        <v>2</v>
      </c>
      <c r="M65" s="49">
        <f>AVERAGE('01.08 Bweyogerere-Nalya-24h'!M65,'03.08 Bweyogerere-Nalya-24h'!M65)</f>
        <v>22</v>
      </c>
      <c r="N65" s="49">
        <f>AVERAGE('01.08 Bweyogerere-Nalya-24h'!N65,'03.08 Bweyogerere-Nalya-24h'!N65)</f>
        <v>0</v>
      </c>
      <c r="O65" s="15">
        <f t="shared" si="35"/>
        <v>59.5</v>
      </c>
      <c r="P65" s="15">
        <f t="shared" si="36"/>
        <v>81.5</v>
      </c>
      <c r="R65" s="8"/>
      <c r="T65"/>
    </row>
    <row r="66" spans="2:20" ht="23.1" customHeight="1" x14ac:dyDescent="0.25">
      <c r="B66" s="23" t="s">
        <v>103</v>
      </c>
      <c r="C66" s="49">
        <f>AVERAGE('01.08 Bweyogerere-Nalya-24h'!C66,'03.08 Bweyogerere-Nalya-24h'!C66)</f>
        <v>32.5</v>
      </c>
      <c r="D66" s="49">
        <f>AVERAGE('01.08 Bweyogerere-Nalya-24h'!D66,'03.08 Bweyogerere-Nalya-24h'!D66)</f>
        <v>7</v>
      </c>
      <c r="E66" s="49">
        <f>AVERAGE('01.08 Bweyogerere-Nalya-24h'!E66,'03.08 Bweyogerere-Nalya-24h'!E66)</f>
        <v>4</v>
      </c>
      <c r="F66" s="49">
        <f>AVERAGE('01.08 Bweyogerere-Nalya-24h'!F66,'03.08 Bweyogerere-Nalya-24h'!F66)</f>
        <v>24</v>
      </c>
      <c r="G66" s="49">
        <f>AVERAGE('01.08 Bweyogerere-Nalya-24h'!G66,'03.08 Bweyogerere-Nalya-24h'!G66)</f>
        <v>0.5</v>
      </c>
      <c r="H66" s="49">
        <f>AVERAGE('01.08 Bweyogerere-Nalya-24h'!H66,'03.08 Bweyogerere-Nalya-24h'!H66)</f>
        <v>0.5</v>
      </c>
      <c r="I66" s="49">
        <f>AVERAGE('01.08 Bweyogerere-Nalya-24h'!I66,'03.08 Bweyogerere-Nalya-24h'!I66)</f>
        <v>2.5</v>
      </c>
      <c r="J66" s="49">
        <f>AVERAGE('01.08 Bweyogerere-Nalya-24h'!J66,'03.08 Bweyogerere-Nalya-24h'!J66)</f>
        <v>3</v>
      </c>
      <c r="K66" s="49">
        <f>AVERAGE('01.08 Bweyogerere-Nalya-24h'!K66,'03.08 Bweyogerere-Nalya-24h'!K66)</f>
        <v>5</v>
      </c>
      <c r="L66" s="49">
        <f>AVERAGE('01.08 Bweyogerere-Nalya-24h'!L66,'03.08 Bweyogerere-Nalya-24h'!L66)</f>
        <v>0.5</v>
      </c>
      <c r="M66" s="49">
        <f>AVERAGE('01.08 Bweyogerere-Nalya-24h'!M66,'03.08 Bweyogerere-Nalya-24h'!M66)</f>
        <v>47</v>
      </c>
      <c r="N66" s="49">
        <f>AVERAGE('01.08 Bweyogerere-Nalya-24h'!N66,'03.08 Bweyogerere-Nalya-24h'!N66)</f>
        <v>0</v>
      </c>
      <c r="O66" s="15">
        <f t="shared" si="35"/>
        <v>79.5</v>
      </c>
      <c r="P66" s="15">
        <f t="shared" si="36"/>
        <v>126.5</v>
      </c>
      <c r="R66" s="8"/>
      <c r="T66"/>
    </row>
    <row r="67" spans="2:20" ht="23.1" customHeight="1" x14ac:dyDescent="0.25">
      <c r="B67" s="23" t="s">
        <v>104</v>
      </c>
      <c r="C67" s="49">
        <f>AVERAGE('01.08 Bweyogerere-Nalya-24h'!C67,'03.08 Bweyogerere-Nalya-24h'!C67)</f>
        <v>26</v>
      </c>
      <c r="D67" s="49">
        <f>AVERAGE('01.08 Bweyogerere-Nalya-24h'!D67,'03.08 Bweyogerere-Nalya-24h'!D67)</f>
        <v>9</v>
      </c>
      <c r="E67" s="49">
        <f>AVERAGE('01.08 Bweyogerere-Nalya-24h'!E67,'03.08 Bweyogerere-Nalya-24h'!E67)</f>
        <v>3.5</v>
      </c>
      <c r="F67" s="49">
        <f>AVERAGE('01.08 Bweyogerere-Nalya-24h'!F67,'03.08 Bweyogerere-Nalya-24h'!F67)</f>
        <v>17</v>
      </c>
      <c r="G67" s="49">
        <f>AVERAGE('01.08 Bweyogerere-Nalya-24h'!G67,'03.08 Bweyogerere-Nalya-24h'!G67)</f>
        <v>1.5</v>
      </c>
      <c r="H67" s="49">
        <f>AVERAGE('01.08 Bweyogerere-Nalya-24h'!H67,'03.08 Bweyogerere-Nalya-24h'!H67)</f>
        <v>0</v>
      </c>
      <c r="I67" s="49">
        <f>AVERAGE('01.08 Bweyogerere-Nalya-24h'!I67,'03.08 Bweyogerere-Nalya-24h'!I67)</f>
        <v>1.5</v>
      </c>
      <c r="J67" s="49">
        <f>AVERAGE('01.08 Bweyogerere-Nalya-24h'!J67,'03.08 Bweyogerere-Nalya-24h'!J67)</f>
        <v>2.5</v>
      </c>
      <c r="K67" s="49">
        <f>AVERAGE('01.08 Bweyogerere-Nalya-24h'!K67,'03.08 Bweyogerere-Nalya-24h'!K67)</f>
        <v>0.5</v>
      </c>
      <c r="L67" s="49">
        <f>AVERAGE('01.08 Bweyogerere-Nalya-24h'!L67,'03.08 Bweyogerere-Nalya-24h'!L67)</f>
        <v>2</v>
      </c>
      <c r="M67" s="49">
        <f>AVERAGE('01.08 Bweyogerere-Nalya-24h'!M67,'03.08 Bweyogerere-Nalya-24h'!M67)</f>
        <v>28</v>
      </c>
      <c r="N67" s="49">
        <f>AVERAGE('01.08 Bweyogerere-Nalya-24h'!N67,'03.08 Bweyogerere-Nalya-24h'!N67)</f>
        <v>0</v>
      </c>
      <c r="O67" s="15">
        <f t="shared" si="35"/>
        <v>63.5</v>
      </c>
      <c r="P67" s="15">
        <f t="shared" si="36"/>
        <v>91.5</v>
      </c>
      <c r="R67" s="8"/>
      <c r="T67"/>
    </row>
    <row r="68" spans="2:20" ht="23.1" customHeight="1" x14ac:dyDescent="0.25">
      <c r="B68" s="23" t="s">
        <v>105</v>
      </c>
      <c r="C68" s="49">
        <f>AVERAGE('01.08 Bweyogerere-Nalya-24h'!C68,'03.08 Bweyogerere-Nalya-24h'!C68)</f>
        <v>21</v>
      </c>
      <c r="D68" s="49">
        <f>AVERAGE('01.08 Bweyogerere-Nalya-24h'!D68,'03.08 Bweyogerere-Nalya-24h'!D68)</f>
        <v>8.5</v>
      </c>
      <c r="E68" s="49">
        <f>AVERAGE('01.08 Bweyogerere-Nalya-24h'!E68,'03.08 Bweyogerere-Nalya-24h'!E68)</f>
        <v>5</v>
      </c>
      <c r="F68" s="49">
        <f>AVERAGE('01.08 Bweyogerere-Nalya-24h'!F68,'03.08 Bweyogerere-Nalya-24h'!F68)</f>
        <v>21.5</v>
      </c>
      <c r="G68" s="49">
        <f>AVERAGE('01.08 Bweyogerere-Nalya-24h'!G68,'03.08 Bweyogerere-Nalya-24h'!G68)</f>
        <v>0</v>
      </c>
      <c r="H68" s="49">
        <f>AVERAGE('01.08 Bweyogerere-Nalya-24h'!H68,'03.08 Bweyogerere-Nalya-24h'!H68)</f>
        <v>0.5</v>
      </c>
      <c r="I68" s="49">
        <f>AVERAGE('01.08 Bweyogerere-Nalya-24h'!I68,'03.08 Bweyogerere-Nalya-24h'!I68)</f>
        <v>3</v>
      </c>
      <c r="J68" s="49">
        <f>AVERAGE('01.08 Bweyogerere-Nalya-24h'!J68,'03.08 Bweyogerere-Nalya-24h'!J68)</f>
        <v>4.5</v>
      </c>
      <c r="K68" s="49">
        <f>AVERAGE('01.08 Bweyogerere-Nalya-24h'!K68,'03.08 Bweyogerere-Nalya-24h'!K68)</f>
        <v>3</v>
      </c>
      <c r="L68" s="49">
        <f>AVERAGE('01.08 Bweyogerere-Nalya-24h'!L68,'03.08 Bweyogerere-Nalya-24h'!L68)</f>
        <v>3.5</v>
      </c>
      <c r="M68" s="49">
        <f>AVERAGE('01.08 Bweyogerere-Nalya-24h'!M68,'03.08 Bweyogerere-Nalya-24h'!M68)</f>
        <v>21.5</v>
      </c>
      <c r="N68" s="49">
        <f>AVERAGE('01.08 Bweyogerere-Nalya-24h'!N68,'03.08 Bweyogerere-Nalya-24h'!N68)</f>
        <v>0</v>
      </c>
      <c r="O68" s="15">
        <f t="shared" si="35"/>
        <v>70.5</v>
      </c>
      <c r="P68" s="15">
        <f t="shared" si="36"/>
        <v>92</v>
      </c>
      <c r="R68" s="8"/>
      <c r="T68"/>
    </row>
    <row r="69" spans="2:20" ht="23.1" customHeight="1" x14ac:dyDescent="0.25">
      <c r="B69" s="23" t="s">
        <v>106</v>
      </c>
      <c r="C69" s="49">
        <f>AVERAGE('01.08 Bweyogerere-Nalya-24h'!C69,'03.08 Bweyogerere-Nalya-24h'!C69)</f>
        <v>16.5</v>
      </c>
      <c r="D69" s="49">
        <f>AVERAGE('01.08 Bweyogerere-Nalya-24h'!D69,'03.08 Bweyogerere-Nalya-24h'!D69)</f>
        <v>6</v>
      </c>
      <c r="E69" s="49">
        <f>AVERAGE('01.08 Bweyogerere-Nalya-24h'!E69,'03.08 Bweyogerere-Nalya-24h'!E69)</f>
        <v>2.5</v>
      </c>
      <c r="F69" s="49">
        <f>AVERAGE('01.08 Bweyogerere-Nalya-24h'!F69,'03.08 Bweyogerere-Nalya-24h'!F69)</f>
        <v>17.5</v>
      </c>
      <c r="G69" s="49">
        <f>AVERAGE('01.08 Bweyogerere-Nalya-24h'!G69,'03.08 Bweyogerere-Nalya-24h'!G69)</f>
        <v>0.5</v>
      </c>
      <c r="H69" s="49">
        <f>AVERAGE('01.08 Bweyogerere-Nalya-24h'!H69,'03.08 Bweyogerere-Nalya-24h'!H69)</f>
        <v>0</v>
      </c>
      <c r="I69" s="49">
        <f>AVERAGE('01.08 Bweyogerere-Nalya-24h'!I69,'03.08 Bweyogerere-Nalya-24h'!I69)</f>
        <v>2</v>
      </c>
      <c r="J69" s="49">
        <f>AVERAGE('01.08 Bweyogerere-Nalya-24h'!J69,'03.08 Bweyogerere-Nalya-24h'!J69)</f>
        <v>2.5</v>
      </c>
      <c r="K69" s="49">
        <f>AVERAGE('01.08 Bweyogerere-Nalya-24h'!K69,'03.08 Bweyogerere-Nalya-24h'!K69)</f>
        <v>0.5</v>
      </c>
      <c r="L69" s="49">
        <f>AVERAGE('01.08 Bweyogerere-Nalya-24h'!L69,'03.08 Bweyogerere-Nalya-24h'!L69)</f>
        <v>1.5</v>
      </c>
      <c r="M69" s="49">
        <f>AVERAGE('01.08 Bweyogerere-Nalya-24h'!M69,'03.08 Bweyogerere-Nalya-24h'!M69)</f>
        <v>20</v>
      </c>
      <c r="N69" s="49">
        <f>AVERAGE('01.08 Bweyogerere-Nalya-24h'!N69,'03.08 Bweyogerere-Nalya-24h'!N69)</f>
        <v>0</v>
      </c>
      <c r="O69" s="15">
        <f t="shared" si="35"/>
        <v>49.5</v>
      </c>
      <c r="P69" s="15">
        <f t="shared" si="36"/>
        <v>69.5</v>
      </c>
      <c r="R69" s="8"/>
      <c r="T69"/>
    </row>
    <row r="70" spans="2:20" ht="23.1" customHeight="1" x14ac:dyDescent="0.25">
      <c r="B70" s="23" t="s">
        <v>110</v>
      </c>
      <c r="C70" s="49">
        <f>AVERAGE('01.08 Bweyogerere-Nalya-24h'!C70,'03.08 Bweyogerere-Nalya-24h'!C70)</f>
        <v>17.5</v>
      </c>
      <c r="D70" s="49">
        <f>AVERAGE('01.08 Bweyogerere-Nalya-24h'!D70,'03.08 Bweyogerere-Nalya-24h'!D70)</f>
        <v>9.5</v>
      </c>
      <c r="E70" s="49">
        <f>AVERAGE('01.08 Bweyogerere-Nalya-24h'!E70,'03.08 Bweyogerere-Nalya-24h'!E70)</f>
        <v>1</v>
      </c>
      <c r="F70" s="49">
        <f>AVERAGE('01.08 Bweyogerere-Nalya-24h'!F70,'03.08 Bweyogerere-Nalya-24h'!F70)</f>
        <v>18</v>
      </c>
      <c r="G70" s="49">
        <f>AVERAGE('01.08 Bweyogerere-Nalya-24h'!G70,'03.08 Bweyogerere-Nalya-24h'!G70)</f>
        <v>0.5</v>
      </c>
      <c r="H70" s="49">
        <f>AVERAGE('01.08 Bweyogerere-Nalya-24h'!H70,'03.08 Bweyogerere-Nalya-24h'!H70)</f>
        <v>0</v>
      </c>
      <c r="I70" s="49">
        <f>AVERAGE('01.08 Bweyogerere-Nalya-24h'!I70,'03.08 Bweyogerere-Nalya-24h'!I70)</f>
        <v>1.5</v>
      </c>
      <c r="J70" s="49">
        <f>AVERAGE('01.08 Bweyogerere-Nalya-24h'!J70,'03.08 Bweyogerere-Nalya-24h'!J70)</f>
        <v>2</v>
      </c>
      <c r="K70" s="49">
        <f>AVERAGE('01.08 Bweyogerere-Nalya-24h'!K70,'03.08 Bweyogerere-Nalya-24h'!K70)</f>
        <v>2.5</v>
      </c>
      <c r="L70" s="49">
        <f>AVERAGE('01.08 Bweyogerere-Nalya-24h'!L70,'03.08 Bweyogerere-Nalya-24h'!L70)</f>
        <v>7.5</v>
      </c>
      <c r="M70" s="49">
        <f>AVERAGE('01.08 Bweyogerere-Nalya-24h'!M70,'03.08 Bweyogerere-Nalya-24h'!M70)</f>
        <v>25</v>
      </c>
      <c r="N70" s="49">
        <f>AVERAGE('01.08 Bweyogerere-Nalya-24h'!N70,'03.08 Bweyogerere-Nalya-24h'!N70)</f>
        <v>0</v>
      </c>
      <c r="O70" s="15">
        <f t="shared" si="35"/>
        <v>60</v>
      </c>
      <c r="P70" s="15">
        <f t="shared" si="36"/>
        <v>85</v>
      </c>
      <c r="R70" s="8"/>
      <c r="T70"/>
    </row>
    <row r="71" spans="2:20" ht="23.1" customHeight="1" x14ac:dyDescent="0.25">
      <c r="B71" s="23" t="s">
        <v>111</v>
      </c>
      <c r="C71" s="49">
        <f>AVERAGE('01.08 Bweyogerere-Nalya-24h'!C71,'03.08 Bweyogerere-Nalya-24h'!C71)</f>
        <v>7.5</v>
      </c>
      <c r="D71" s="49">
        <f>AVERAGE('01.08 Bweyogerere-Nalya-24h'!D71,'03.08 Bweyogerere-Nalya-24h'!D71)</f>
        <v>2.5</v>
      </c>
      <c r="E71" s="49">
        <f>AVERAGE('01.08 Bweyogerere-Nalya-24h'!E71,'03.08 Bweyogerere-Nalya-24h'!E71)</f>
        <v>1.5</v>
      </c>
      <c r="F71" s="49">
        <f>AVERAGE('01.08 Bweyogerere-Nalya-24h'!F71,'03.08 Bweyogerere-Nalya-24h'!F71)</f>
        <v>8</v>
      </c>
      <c r="G71" s="49">
        <f>AVERAGE('01.08 Bweyogerere-Nalya-24h'!G71,'03.08 Bweyogerere-Nalya-24h'!G71)</f>
        <v>1</v>
      </c>
      <c r="H71" s="49">
        <f>AVERAGE('01.08 Bweyogerere-Nalya-24h'!H71,'03.08 Bweyogerere-Nalya-24h'!H71)</f>
        <v>0</v>
      </c>
      <c r="I71" s="49">
        <f>AVERAGE('01.08 Bweyogerere-Nalya-24h'!I71,'03.08 Bweyogerere-Nalya-24h'!I71)</f>
        <v>2.5</v>
      </c>
      <c r="J71" s="49">
        <f>AVERAGE('01.08 Bweyogerere-Nalya-24h'!J71,'03.08 Bweyogerere-Nalya-24h'!J71)</f>
        <v>1</v>
      </c>
      <c r="K71" s="49">
        <f>AVERAGE('01.08 Bweyogerere-Nalya-24h'!K71,'03.08 Bweyogerere-Nalya-24h'!K71)</f>
        <v>1</v>
      </c>
      <c r="L71" s="49">
        <f>AVERAGE('01.08 Bweyogerere-Nalya-24h'!L71,'03.08 Bweyogerere-Nalya-24h'!L71)</f>
        <v>2</v>
      </c>
      <c r="M71" s="49">
        <f>AVERAGE('01.08 Bweyogerere-Nalya-24h'!M71,'03.08 Bweyogerere-Nalya-24h'!M71)</f>
        <v>14</v>
      </c>
      <c r="N71" s="49">
        <f>AVERAGE('01.08 Bweyogerere-Nalya-24h'!N71,'03.08 Bweyogerere-Nalya-24h'!N71)</f>
        <v>0</v>
      </c>
      <c r="O71" s="15">
        <f t="shared" si="35"/>
        <v>27</v>
      </c>
      <c r="P71" s="15">
        <f t="shared" si="36"/>
        <v>41</v>
      </c>
      <c r="R71" s="8"/>
      <c r="T71"/>
    </row>
    <row r="72" spans="2:20" ht="23.1" customHeight="1" x14ac:dyDescent="0.25">
      <c r="B72" s="23" t="s">
        <v>112</v>
      </c>
      <c r="C72" s="49">
        <f>AVERAGE('01.08 Bweyogerere-Nalya-24h'!C72,'03.08 Bweyogerere-Nalya-24h'!C72)</f>
        <v>16</v>
      </c>
      <c r="D72" s="49">
        <f>AVERAGE('01.08 Bweyogerere-Nalya-24h'!D72,'03.08 Bweyogerere-Nalya-24h'!D72)</f>
        <v>8</v>
      </c>
      <c r="E72" s="49">
        <f>AVERAGE('01.08 Bweyogerere-Nalya-24h'!E72,'03.08 Bweyogerere-Nalya-24h'!E72)</f>
        <v>4</v>
      </c>
      <c r="F72" s="49">
        <f>AVERAGE('01.08 Bweyogerere-Nalya-24h'!F72,'03.08 Bweyogerere-Nalya-24h'!F72)</f>
        <v>19.5</v>
      </c>
      <c r="G72" s="49">
        <f>AVERAGE('01.08 Bweyogerere-Nalya-24h'!G72,'03.08 Bweyogerere-Nalya-24h'!G72)</f>
        <v>0.5</v>
      </c>
      <c r="H72" s="49">
        <f>AVERAGE('01.08 Bweyogerere-Nalya-24h'!H72,'03.08 Bweyogerere-Nalya-24h'!H72)</f>
        <v>0.5</v>
      </c>
      <c r="I72" s="49">
        <f>AVERAGE('01.08 Bweyogerere-Nalya-24h'!I72,'03.08 Bweyogerere-Nalya-24h'!I72)</f>
        <v>5</v>
      </c>
      <c r="J72" s="49">
        <f>AVERAGE('01.08 Bweyogerere-Nalya-24h'!J72,'03.08 Bweyogerere-Nalya-24h'!J72)</f>
        <v>4.5</v>
      </c>
      <c r="K72" s="49">
        <f>AVERAGE('01.08 Bweyogerere-Nalya-24h'!K72,'03.08 Bweyogerere-Nalya-24h'!K72)</f>
        <v>5.5</v>
      </c>
      <c r="L72" s="49">
        <f>AVERAGE('01.08 Bweyogerere-Nalya-24h'!L72,'03.08 Bweyogerere-Nalya-24h'!L72)</f>
        <v>7</v>
      </c>
      <c r="M72" s="49">
        <f>AVERAGE('01.08 Bweyogerere-Nalya-24h'!M72,'03.08 Bweyogerere-Nalya-24h'!M72)</f>
        <v>12</v>
      </c>
      <c r="N72" s="49">
        <f>AVERAGE('01.08 Bweyogerere-Nalya-24h'!N72,'03.08 Bweyogerere-Nalya-24h'!N72)</f>
        <v>0</v>
      </c>
      <c r="O72" s="15">
        <f t="shared" si="35"/>
        <v>70.5</v>
      </c>
      <c r="P72" s="15">
        <f t="shared" si="36"/>
        <v>82.5</v>
      </c>
      <c r="R72" s="8"/>
      <c r="T72"/>
    </row>
    <row r="73" spans="2:20" ht="23.1" customHeight="1" x14ac:dyDescent="0.25">
      <c r="B73" s="23" t="s">
        <v>113</v>
      </c>
      <c r="C73" s="49">
        <f>AVERAGE('01.08 Bweyogerere-Nalya-24h'!C73,'03.08 Bweyogerere-Nalya-24h'!C73)</f>
        <v>13.5</v>
      </c>
      <c r="D73" s="49">
        <f>AVERAGE('01.08 Bweyogerere-Nalya-24h'!D73,'03.08 Bweyogerere-Nalya-24h'!D73)</f>
        <v>10</v>
      </c>
      <c r="E73" s="49">
        <f>AVERAGE('01.08 Bweyogerere-Nalya-24h'!E73,'03.08 Bweyogerere-Nalya-24h'!E73)</f>
        <v>3</v>
      </c>
      <c r="F73" s="49">
        <f>AVERAGE('01.08 Bweyogerere-Nalya-24h'!F73,'03.08 Bweyogerere-Nalya-24h'!F73)</f>
        <v>12.5</v>
      </c>
      <c r="G73" s="49">
        <f>AVERAGE('01.08 Bweyogerere-Nalya-24h'!G73,'03.08 Bweyogerere-Nalya-24h'!G73)</f>
        <v>0.5</v>
      </c>
      <c r="H73" s="49">
        <f>AVERAGE('01.08 Bweyogerere-Nalya-24h'!H73,'03.08 Bweyogerere-Nalya-24h'!H73)</f>
        <v>0</v>
      </c>
      <c r="I73" s="49">
        <f>AVERAGE('01.08 Bweyogerere-Nalya-24h'!I73,'03.08 Bweyogerere-Nalya-24h'!I73)</f>
        <v>0.5</v>
      </c>
      <c r="J73" s="49">
        <f>AVERAGE('01.08 Bweyogerere-Nalya-24h'!J73,'03.08 Bweyogerere-Nalya-24h'!J73)</f>
        <v>2.5</v>
      </c>
      <c r="K73" s="49">
        <f>AVERAGE('01.08 Bweyogerere-Nalya-24h'!K73,'03.08 Bweyogerere-Nalya-24h'!K73)</f>
        <v>0.5</v>
      </c>
      <c r="L73" s="49">
        <f>AVERAGE('01.08 Bweyogerere-Nalya-24h'!L73,'03.08 Bweyogerere-Nalya-24h'!L73)</f>
        <v>1</v>
      </c>
      <c r="M73" s="49">
        <f>AVERAGE('01.08 Bweyogerere-Nalya-24h'!M73,'03.08 Bweyogerere-Nalya-24h'!M73)</f>
        <v>9.5</v>
      </c>
      <c r="N73" s="49">
        <f>AVERAGE('01.08 Bweyogerere-Nalya-24h'!N73,'03.08 Bweyogerere-Nalya-24h'!N73)</f>
        <v>0</v>
      </c>
      <c r="O73" s="15">
        <f t="shared" si="35"/>
        <v>44</v>
      </c>
      <c r="P73" s="15">
        <f t="shared" si="36"/>
        <v>53.5</v>
      </c>
      <c r="R73" s="8"/>
      <c r="T73"/>
    </row>
    <row r="74" spans="2:20" ht="23.1" customHeight="1" x14ac:dyDescent="0.25">
      <c r="B74" s="23" t="s">
        <v>114</v>
      </c>
      <c r="C74" s="49">
        <f>AVERAGE('01.08 Bweyogerere-Nalya-24h'!C74,'03.08 Bweyogerere-Nalya-24h'!C74)</f>
        <v>17.5</v>
      </c>
      <c r="D74" s="49">
        <f>AVERAGE('01.08 Bweyogerere-Nalya-24h'!D74,'03.08 Bweyogerere-Nalya-24h'!D74)</f>
        <v>6.5</v>
      </c>
      <c r="E74" s="49">
        <f>AVERAGE('01.08 Bweyogerere-Nalya-24h'!E74,'03.08 Bweyogerere-Nalya-24h'!E74)</f>
        <v>2.5</v>
      </c>
      <c r="F74" s="49">
        <f>AVERAGE('01.08 Bweyogerere-Nalya-24h'!F74,'03.08 Bweyogerere-Nalya-24h'!F74)</f>
        <v>10</v>
      </c>
      <c r="G74" s="49">
        <f>AVERAGE('01.08 Bweyogerere-Nalya-24h'!G74,'03.08 Bweyogerere-Nalya-24h'!G74)</f>
        <v>0</v>
      </c>
      <c r="H74" s="49">
        <f>AVERAGE('01.08 Bweyogerere-Nalya-24h'!H74,'03.08 Bweyogerere-Nalya-24h'!H74)</f>
        <v>0.5</v>
      </c>
      <c r="I74" s="49">
        <f>AVERAGE('01.08 Bweyogerere-Nalya-24h'!I74,'03.08 Bweyogerere-Nalya-24h'!I74)</f>
        <v>0.5</v>
      </c>
      <c r="J74" s="49">
        <f>AVERAGE('01.08 Bweyogerere-Nalya-24h'!J74,'03.08 Bweyogerere-Nalya-24h'!J74)</f>
        <v>3</v>
      </c>
      <c r="K74" s="49">
        <f>AVERAGE('01.08 Bweyogerere-Nalya-24h'!K74,'03.08 Bweyogerere-Nalya-24h'!K74)</f>
        <v>0.5</v>
      </c>
      <c r="L74" s="49">
        <f>AVERAGE('01.08 Bweyogerere-Nalya-24h'!L74,'03.08 Bweyogerere-Nalya-24h'!L74)</f>
        <v>2.5</v>
      </c>
      <c r="M74" s="49">
        <f>AVERAGE('01.08 Bweyogerere-Nalya-24h'!M74,'03.08 Bweyogerere-Nalya-24h'!M74)</f>
        <v>6.5</v>
      </c>
      <c r="N74" s="49">
        <f>AVERAGE('01.08 Bweyogerere-Nalya-24h'!N74,'03.08 Bweyogerere-Nalya-24h'!N74)</f>
        <v>0</v>
      </c>
      <c r="O74" s="15">
        <f t="shared" si="35"/>
        <v>43.5</v>
      </c>
      <c r="P74" s="15">
        <f t="shared" si="36"/>
        <v>50</v>
      </c>
      <c r="R74" s="8"/>
      <c r="T74"/>
    </row>
    <row r="75" spans="2:20" ht="23.1" customHeight="1" x14ac:dyDescent="0.25">
      <c r="B75" s="23" t="s">
        <v>115</v>
      </c>
      <c r="C75" s="49">
        <f>AVERAGE('01.08 Bweyogerere-Nalya-24h'!C75,'03.08 Bweyogerere-Nalya-24h'!C75)</f>
        <v>9.5</v>
      </c>
      <c r="D75" s="49">
        <f>AVERAGE('01.08 Bweyogerere-Nalya-24h'!D75,'03.08 Bweyogerere-Nalya-24h'!D75)</f>
        <v>3.5</v>
      </c>
      <c r="E75" s="49">
        <f>AVERAGE('01.08 Bweyogerere-Nalya-24h'!E75,'03.08 Bweyogerere-Nalya-24h'!E75)</f>
        <v>1</v>
      </c>
      <c r="F75" s="49">
        <f>AVERAGE('01.08 Bweyogerere-Nalya-24h'!F75,'03.08 Bweyogerere-Nalya-24h'!F75)</f>
        <v>6.5</v>
      </c>
      <c r="G75" s="49">
        <f>AVERAGE('01.08 Bweyogerere-Nalya-24h'!G75,'03.08 Bweyogerere-Nalya-24h'!G75)</f>
        <v>0</v>
      </c>
      <c r="H75" s="49">
        <f>AVERAGE('01.08 Bweyogerere-Nalya-24h'!H75,'03.08 Bweyogerere-Nalya-24h'!H75)</f>
        <v>0</v>
      </c>
      <c r="I75" s="49">
        <f>AVERAGE('01.08 Bweyogerere-Nalya-24h'!I75,'03.08 Bweyogerere-Nalya-24h'!I75)</f>
        <v>0</v>
      </c>
      <c r="J75" s="49">
        <f>AVERAGE('01.08 Bweyogerere-Nalya-24h'!J75,'03.08 Bweyogerere-Nalya-24h'!J75)</f>
        <v>0.5</v>
      </c>
      <c r="K75" s="49">
        <f>AVERAGE('01.08 Bweyogerere-Nalya-24h'!K75,'03.08 Bweyogerere-Nalya-24h'!K75)</f>
        <v>0</v>
      </c>
      <c r="L75" s="49">
        <f>AVERAGE('01.08 Bweyogerere-Nalya-24h'!L75,'03.08 Bweyogerere-Nalya-24h'!L75)</f>
        <v>0</v>
      </c>
      <c r="M75" s="49">
        <f>AVERAGE('01.08 Bweyogerere-Nalya-24h'!M75,'03.08 Bweyogerere-Nalya-24h'!M75)</f>
        <v>8.5</v>
      </c>
      <c r="N75" s="49">
        <f>AVERAGE('01.08 Bweyogerere-Nalya-24h'!N75,'03.08 Bweyogerere-Nalya-24h'!N75)</f>
        <v>0</v>
      </c>
      <c r="O75" s="15">
        <f t="shared" si="35"/>
        <v>21</v>
      </c>
      <c r="P75" s="15">
        <f t="shared" si="36"/>
        <v>29.5</v>
      </c>
      <c r="R75" s="8"/>
      <c r="T75"/>
    </row>
    <row r="76" spans="2:20" ht="23.1" customHeight="1" x14ac:dyDescent="0.25">
      <c r="B76" s="23" t="s">
        <v>116</v>
      </c>
      <c r="C76" s="49">
        <f>AVERAGE('01.08 Bweyogerere-Nalya-24h'!C76,'03.08 Bweyogerere-Nalya-24h'!C76)</f>
        <v>6</v>
      </c>
      <c r="D76" s="49">
        <f>AVERAGE('01.08 Bweyogerere-Nalya-24h'!D76,'03.08 Bweyogerere-Nalya-24h'!D76)</f>
        <v>5</v>
      </c>
      <c r="E76" s="49">
        <f>AVERAGE('01.08 Bweyogerere-Nalya-24h'!E76,'03.08 Bweyogerere-Nalya-24h'!E76)</f>
        <v>1.5</v>
      </c>
      <c r="F76" s="49">
        <f>AVERAGE('01.08 Bweyogerere-Nalya-24h'!F76,'03.08 Bweyogerere-Nalya-24h'!F76)</f>
        <v>3</v>
      </c>
      <c r="G76" s="49">
        <f>AVERAGE('01.08 Bweyogerere-Nalya-24h'!G76,'03.08 Bweyogerere-Nalya-24h'!G76)</f>
        <v>0</v>
      </c>
      <c r="H76" s="49">
        <f>AVERAGE('01.08 Bweyogerere-Nalya-24h'!H76,'03.08 Bweyogerere-Nalya-24h'!H76)</f>
        <v>0</v>
      </c>
      <c r="I76" s="49">
        <f>AVERAGE('01.08 Bweyogerere-Nalya-24h'!I76,'03.08 Bweyogerere-Nalya-24h'!I76)</f>
        <v>1</v>
      </c>
      <c r="J76" s="49">
        <f>AVERAGE('01.08 Bweyogerere-Nalya-24h'!J76,'03.08 Bweyogerere-Nalya-24h'!J76)</f>
        <v>2</v>
      </c>
      <c r="K76" s="49">
        <f>AVERAGE('01.08 Bweyogerere-Nalya-24h'!K76,'03.08 Bweyogerere-Nalya-24h'!K76)</f>
        <v>1</v>
      </c>
      <c r="L76" s="49">
        <f>AVERAGE('01.08 Bweyogerere-Nalya-24h'!L76,'03.08 Bweyogerere-Nalya-24h'!L76)</f>
        <v>4.5</v>
      </c>
      <c r="M76" s="49">
        <f>AVERAGE('01.08 Bweyogerere-Nalya-24h'!M76,'03.08 Bweyogerere-Nalya-24h'!M76)</f>
        <v>7</v>
      </c>
      <c r="N76" s="49">
        <f>AVERAGE('01.08 Bweyogerere-Nalya-24h'!N76,'03.08 Bweyogerere-Nalya-24h'!N76)</f>
        <v>0</v>
      </c>
      <c r="O76" s="15">
        <f t="shared" si="35"/>
        <v>24</v>
      </c>
      <c r="P76" s="15">
        <f t="shared" si="36"/>
        <v>31</v>
      </c>
      <c r="R76" s="8"/>
      <c r="T76"/>
    </row>
    <row r="77" spans="2:20" ht="23.1" customHeight="1" x14ac:dyDescent="0.25">
      <c r="B77" s="23" t="s">
        <v>117</v>
      </c>
      <c r="C77" s="49">
        <f>AVERAGE('01.08 Bweyogerere-Nalya-24h'!C77,'03.08 Bweyogerere-Nalya-24h'!C77)</f>
        <v>3</v>
      </c>
      <c r="D77" s="49">
        <f>AVERAGE('01.08 Bweyogerere-Nalya-24h'!D77,'03.08 Bweyogerere-Nalya-24h'!D77)</f>
        <v>4</v>
      </c>
      <c r="E77" s="49">
        <f>AVERAGE('01.08 Bweyogerere-Nalya-24h'!E77,'03.08 Bweyogerere-Nalya-24h'!E77)</f>
        <v>0</v>
      </c>
      <c r="F77" s="49">
        <f>AVERAGE('01.08 Bweyogerere-Nalya-24h'!F77,'03.08 Bweyogerere-Nalya-24h'!F77)</f>
        <v>5.5</v>
      </c>
      <c r="G77" s="49">
        <f>AVERAGE('01.08 Bweyogerere-Nalya-24h'!G77,'03.08 Bweyogerere-Nalya-24h'!G77)</f>
        <v>0</v>
      </c>
      <c r="H77" s="49">
        <f>AVERAGE('01.08 Bweyogerere-Nalya-24h'!H77,'03.08 Bweyogerere-Nalya-24h'!H77)</f>
        <v>0</v>
      </c>
      <c r="I77" s="49">
        <f>AVERAGE('01.08 Bweyogerere-Nalya-24h'!I77,'03.08 Bweyogerere-Nalya-24h'!I77)</f>
        <v>0.5</v>
      </c>
      <c r="J77" s="49">
        <f>AVERAGE('01.08 Bweyogerere-Nalya-24h'!J77,'03.08 Bweyogerere-Nalya-24h'!J77)</f>
        <v>0.5</v>
      </c>
      <c r="K77" s="49">
        <f>AVERAGE('01.08 Bweyogerere-Nalya-24h'!K77,'03.08 Bweyogerere-Nalya-24h'!K77)</f>
        <v>0.5</v>
      </c>
      <c r="L77" s="49">
        <f>AVERAGE('01.08 Bweyogerere-Nalya-24h'!L77,'03.08 Bweyogerere-Nalya-24h'!L77)</f>
        <v>4</v>
      </c>
      <c r="M77" s="49">
        <f>AVERAGE('01.08 Bweyogerere-Nalya-24h'!M77,'03.08 Bweyogerere-Nalya-24h'!M77)</f>
        <v>2.5</v>
      </c>
      <c r="N77" s="49">
        <f>AVERAGE('01.08 Bweyogerere-Nalya-24h'!N77,'03.08 Bweyogerere-Nalya-24h'!N77)</f>
        <v>0</v>
      </c>
      <c r="O77" s="15">
        <f t="shared" si="35"/>
        <v>18</v>
      </c>
      <c r="P77" s="15">
        <f t="shared" si="36"/>
        <v>20.5</v>
      </c>
      <c r="R77" s="8"/>
      <c r="T77"/>
    </row>
    <row r="78" spans="2:20" ht="23.1" customHeight="1" x14ac:dyDescent="0.25">
      <c r="B78" s="24" t="s">
        <v>118</v>
      </c>
      <c r="C78" s="49">
        <f>AVERAGE('01.08 Bweyogerere-Nalya-24h'!C78,'03.08 Bweyogerere-Nalya-24h'!C78)</f>
        <v>8</v>
      </c>
      <c r="D78" s="49">
        <f>AVERAGE('01.08 Bweyogerere-Nalya-24h'!D78,'03.08 Bweyogerere-Nalya-24h'!D78)</f>
        <v>5.5</v>
      </c>
      <c r="E78" s="49">
        <f>AVERAGE('01.08 Bweyogerere-Nalya-24h'!E78,'03.08 Bweyogerere-Nalya-24h'!E78)</f>
        <v>1</v>
      </c>
      <c r="F78" s="49">
        <f>AVERAGE('01.08 Bweyogerere-Nalya-24h'!F78,'03.08 Bweyogerere-Nalya-24h'!F78)</f>
        <v>4</v>
      </c>
      <c r="G78" s="49">
        <f>AVERAGE('01.08 Bweyogerere-Nalya-24h'!G78,'03.08 Bweyogerere-Nalya-24h'!G78)</f>
        <v>0</v>
      </c>
      <c r="H78" s="49">
        <f>AVERAGE('01.08 Bweyogerere-Nalya-24h'!H78,'03.08 Bweyogerere-Nalya-24h'!H78)</f>
        <v>0</v>
      </c>
      <c r="I78" s="49">
        <f>AVERAGE('01.08 Bweyogerere-Nalya-24h'!I78,'03.08 Bweyogerere-Nalya-24h'!I78)</f>
        <v>1</v>
      </c>
      <c r="J78" s="49">
        <f>AVERAGE('01.08 Bweyogerere-Nalya-24h'!J78,'03.08 Bweyogerere-Nalya-24h'!J78)</f>
        <v>2</v>
      </c>
      <c r="K78" s="49">
        <f>AVERAGE('01.08 Bweyogerere-Nalya-24h'!K78,'03.08 Bweyogerere-Nalya-24h'!K78)</f>
        <v>3.5</v>
      </c>
      <c r="L78" s="49">
        <f>AVERAGE('01.08 Bweyogerere-Nalya-24h'!L78,'03.08 Bweyogerere-Nalya-24h'!L78)</f>
        <v>1</v>
      </c>
      <c r="M78" s="49">
        <f>AVERAGE('01.08 Bweyogerere-Nalya-24h'!M78,'03.08 Bweyogerere-Nalya-24h'!M78)</f>
        <v>3</v>
      </c>
      <c r="N78" s="49">
        <f>AVERAGE('01.08 Bweyogerere-Nalya-24h'!N78,'03.08 Bweyogerere-Nalya-24h'!N78)</f>
        <v>0</v>
      </c>
      <c r="O78" s="15">
        <f t="shared" si="35"/>
        <v>26</v>
      </c>
      <c r="P78" s="15">
        <f t="shared" si="36"/>
        <v>29</v>
      </c>
      <c r="R78" s="8"/>
      <c r="T78"/>
    </row>
    <row r="79" spans="2:20" ht="23.1" customHeight="1" x14ac:dyDescent="0.25">
      <c r="B79" s="23" t="s">
        <v>119</v>
      </c>
      <c r="C79" s="49">
        <f>AVERAGE('01.08 Bweyogerere-Nalya-24h'!C79,'03.08 Bweyogerere-Nalya-24h'!C79)</f>
        <v>5.5</v>
      </c>
      <c r="D79" s="49">
        <f>AVERAGE('01.08 Bweyogerere-Nalya-24h'!D79,'03.08 Bweyogerere-Nalya-24h'!D79)</f>
        <v>4</v>
      </c>
      <c r="E79" s="49">
        <f>AVERAGE('01.08 Bweyogerere-Nalya-24h'!E79,'03.08 Bweyogerere-Nalya-24h'!E79)</f>
        <v>0</v>
      </c>
      <c r="F79" s="49">
        <f>AVERAGE('01.08 Bweyogerere-Nalya-24h'!F79,'03.08 Bweyogerere-Nalya-24h'!F79)</f>
        <v>1.5</v>
      </c>
      <c r="G79" s="49">
        <f>AVERAGE('01.08 Bweyogerere-Nalya-24h'!G79,'03.08 Bweyogerere-Nalya-24h'!G79)</f>
        <v>0</v>
      </c>
      <c r="H79" s="49">
        <f>AVERAGE('01.08 Bweyogerere-Nalya-24h'!H79,'03.08 Bweyogerere-Nalya-24h'!H79)</f>
        <v>0</v>
      </c>
      <c r="I79" s="49">
        <f>AVERAGE('01.08 Bweyogerere-Nalya-24h'!I79,'03.08 Bweyogerere-Nalya-24h'!I79)</f>
        <v>1</v>
      </c>
      <c r="J79" s="49">
        <f>AVERAGE('01.08 Bweyogerere-Nalya-24h'!J79,'03.08 Bweyogerere-Nalya-24h'!J79)</f>
        <v>2.5</v>
      </c>
      <c r="K79" s="49">
        <f>AVERAGE('01.08 Bweyogerere-Nalya-24h'!K79,'03.08 Bweyogerere-Nalya-24h'!K79)</f>
        <v>0.5</v>
      </c>
      <c r="L79" s="49">
        <f>AVERAGE('01.08 Bweyogerere-Nalya-24h'!L79,'03.08 Bweyogerere-Nalya-24h'!L79)</f>
        <v>2</v>
      </c>
      <c r="M79" s="49">
        <f>AVERAGE('01.08 Bweyogerere-Nalya-24h'!M79,'03.08 Bweyogerere-Nalya-24h'!M79)</f>
        <v>2</v>
      </c>
      <c r="N79" s="49">
        <f>AVERAGE('01.08 Bweyogerere-Nalya-24h'!N79,'03.08 Bweyogerere-Nalya-24h'!N79)</f>
        <v>0</v>
      </c>
      <c r="O79" s="15">
        <f t="shared" si="35"/>
        <v>17</v>
      </c>
      <c r="P79" s="15">
        <f t="shared" si="36"/>
        <v>19</v>
      </c>
      <c r="R79" s="8"/>
      <c r="T79"/>
    </row>
    <row r="80" spans="2:20" ht="23.1" customHeight="1" x14ac:dyDescent="0.25">
      <c r="B80" s="25" t="s">
        <v>120</v>
      </c>
      <c r="C80" s="49">
        <f>AVERAGE('01.08 Bweyogerere-Nalya-24h'!C80,'03.08 Bweyogerere-Nalya-24h'!C80)</f>
        <v>4.5</v>
      </c>
      <c r="D80" s="49">
        <f>AVERAGE('01.08 Bweyogerere-Nalya-24h'!D80,'03.08 Bweyogerere-Nalya-24h'!D80)</f>
        <v>3.5</v>
      </c>
      <c r="E80" s="49">
        <f>AVERAGE('01.08 Bweyogerere-Nalya-24h'!E80,'03.08 Bweyogerere-Nalya-24h'!E80)</f>
        <v>0</v>
      </c>
      <c r="F80" s="49">
        <f>AVERAGE('01.08 Bweyogerere-Nalya-24h'!F80,'03.08 Bweyogerere-Nalya-24h'!F80)</f>
        <v>1</v>
      </c>
      <c r="G80" s="49">
        <f>AVERAGE('01.08 Bweyogerere-Nalya-24h'!G80,'03.08 Bweyogerere-Nalya-24h'!G80)</f>
        <v>0</v>
      </c>
      <c r="H80" s="49">
        <f>AVERAGE('01.08 Bweyogerere-Nalya-24h'!H80,'03.08 Bweyogerere-Nalya-24h'!H80)</f>
        <v>0</v>
      </c>
      <c r="I80" s="49">
        <f>AVERAGE('01.08 Bweyogerere-Nalya-24h'!I80,'03.08 Bweyogerere-Nalya-24h'!I80)</f>
        <v>1</v>
      </c>
      <c r="J80" s="49">
        <f>AVERAGE('01.08 Bweyogerere-Nalya-24h'!J80,'03.08 Bweyogerere-Nalya-24h'!J80)</f>
        <v>3</v>
      </c>
      <c r="K80" s="49">
        <f>AVERAGE('01.08 Bweyogerere-Nalya-24h'!K80,'03.08 Bweyogerere-Nalya-24h'!K80)</f>
        <v>4.5</v>
      </c>
      <c r="L80" s="49">
        <f>AVERAGE('01.08 Bweyogerere-Nalya-24h'!L80,'03.08 Bweyogerere-Nalya-24h'!L80)</f>
        <v>2</v>
      </c>
      <c r="M80" s="49">
        <f>AVERAGE('01.08 Bweyogerere-Nalya-24h'!M80,'03.08 Bweyogerere-Nalya-24h'!M80)</f>
        <v>3</v>
      </c>
      <c r="N80" s="49">
        <f>AVERAGE('01.08 Bweyogerere-Nalya-24h'!N80,'03.08 Bweyogerere-Nalya-24h'!N80)</f>
        <v>0</v>
      </c>
      <c r="O80" s="15">
        <f t="shared" si="35"/>
        <v>19.5</v>
      </c>
      <c r="P80" s="15">
        <f t="shared" si="36"/>
        <v>22.5</v>
      </c>
      <c r="R80" s="8"/>
      <c r="T80"/>
    </row>
    <row r="81" spans="2:20" ht="23.1" customHeight="1" x14ac:dyDescent="0.25">
      <c r="B81" s="23" t="s">
        <v>121</v>
      </c>
      <c r="C81" s="49">
        <f>AVERAGE('01.08 Bweyogerere-Nalya-24h'!C81,'03.08 Bweyogerere-Nalya-24h'!C81)</f>
        <v>2.5</v>
      </c>
      <c r="D81" s="49">
        <f>AVERAGE('01.08 Bweyogerere-Nalya-24h'!D81,'03.08 Bweyogerere-Nalya-24h'!D81)</f>
        <v>5</v>
      </c>
      <c r="E81" s="49">
        <f>AVERAGE('01.08 Bweyogerere-Nalya-24h'!E81,'03.08 Bweyogerere-Nalya-24h'!E81)</f>
        <v>0.5</v>
      </c>
      <c r="F81" s="49">
        <f>AVERAGE('01.08 Bweyogerere-Nalya-24h'!F81,'03.08 Bweyogerere-Nalya-24h'!F81)</f>
        <v>0.5</v>
      </c>
      <c r="G81" s="49">
        <f>AVERAGE('01.08 Bweyogerere-Nalya-24h'!G81,'03.08 Bweyogerere-Nalya-24h'!G81)</f>
        <v>0.5</v>
      </c>
      <c r="H81" s="49">
        <f>AVERAGE('01.08 Bweyogerere-Nalya-24h'!H81,'03.08 Bweyogerere-Nalya-24h'!H81)</f>
        <v>0</v>
      </c>
      <c r="I81" s="49">
        <f>AVERAGE('01.08 Bweyogerere-Nalya-24h'!I81,'03.08 Bweyogerere-Nalya-24h'!I81)</f>
        <v>0</v>
      </c>
      <c r="J81" s="49">
        <f>AVERAGE('01.08 Bweyogerere-Nalya-24h'!J81,'03.08 Bweyogerere-Nalya-24h'!J81)</f>
        <v>1.5</v>
      </c>
      <c r="K81" s="49">
        <f>AVERAGE('01.08 Bweyogerere-Nalya-24h'!K81,'03.08 Bweyogerere-Nalya-24h'!K81)</f>
        <v>4.5</v>
      </c>
      <c r="L81" s="49">
        <f>AVERAGE('01.08 Bweyogerere-Nalya-24h'!L81,'03.08 Bweyogerere-Nalya-24h'!L81)</f>
        <v>2.5</v>
      </c>
      <c r="M81" s="49">
        <f>AVERAGE('01.08 Bweyogerere-Nalya-24h'!M81,'03.08 Bweyogerere-Nalya-24h'!M81)</f>
        <v>2.5</v>
      </c>
      <c r="N81" s="49">
        <f>AVERAGE('01.08 Bweyogerere-Nalya-24h'!N81,'03.08 Bweyogerere-Nalya-24h'!N81)</f>
        <v>0</v>
      </c>
      <c r="O81" s="15">
        <f t="shared" si="35"/>
        <v>17.5</v>
      </c>
      <c r="P81" s="15">
        <f t="shared" si="36"/>
        <v>20</v>
      </c>
      <c r="R81" s="8"/>
      <c r="T81"/>
    </row>
    <row r="82" spans="2:20" ht="23.1" customHeight="1" x14ac:dyDescent="0.25">
      <c r="B82" s="24" t="s">
        <v>122</v>
      </c>
      <c r="C82" s="49">
        <f>AVERAGE('01.08 Bweyogerere-Nalya-24h'!C82,'03.08 Bweyogerere-Nalya-24h'!C82)</f>
        <v>2.5</v>
      </c>
      <c r="D82" s="49">
        <f>AVERAGE('01.08 Bweyogerere-Nalya-24h'!D82,'03.08 Bweyogerere-Nalya-24h'!D82)</f>
        <v>0.5</v>
      </c>
      <c r="E82" s="49">
        <f>AVERAGE('01.08 Bweyogerere-Nalya-24h'!E82,'03.08 Bweyogerere-Nalya-24h'!E82)</f>
        <v>0.5</v>
      </c>
      <c r="F82" s="49">
        <f>AVERAGE('01.08 Bweyogerere-Nalya-24h'!F82,'03.08 Bweyogerere-Nalya-24h'!F82)</f>
        <v>1</v>
      </c>
      <c r="G82" s="49">
        <f>AVERAGE('01.08 Bweyogerere-Nalya-24h'!G82,'03.08 Bweyogerere-Nalya-24h'!G82)</f>
        <v>0</v>
      </c>
      <c r="H82" s="49">
        <f>AVERAGE('01.08 Bweyogerere-Nalya-24h'!H82,'03.08 Bweyogerere-Nalya-24h'!H82)</f>
        <v>0</v>
      </c>
      <c r="I82" s="49">
        <f>AVERAGE('01.08 Bweyogerere-Nalya-24h'!I82,'03.08 Bweyogerere-Nalya-24h'!I82)</f>
        <v>2.5</v>
      </c>
      <c r="J82" s="49">
        <f>AVERAGE('01.08 Bweyogerere-Nalya-24h'!J82,'03.08 Bweyogerere-Nalya-24h'!J82)</f>
        <v>2.5</v>
      </c>
      <c r="K82" s="49">
        <f>AVERAGE('01.08 Bweyogerere-Nalya-24h'!K82,'03.08 Bweyogerere-Nalya-24h'!K82)</f>
        <v>1.5</v>
      </c>
      <c r="L82" s="49">
        <f>AVERAGE('01.08 Bweyogerere-Nalya-24h'!L82,'03.08 Bweyogerere-Nalya-24h'!L82)</f>
        <v>2.5</v>
      </c>
      <c r="M82" s="49">
        <f>AVERAGE('01.08 Bweyogerere-Nalya-24h'!M82,'03.08 Bweyogerere-Nalya-24h'!M82)</f>
        <v>0.5</v>
      </c>
      <c r="N82" s="49">
        <f>AVERAGE('01.08 Bweyogerere-Nalya-24h'!N82,'03.08 Bweyogerere-Nalya-24h'!N82)</f>
        <v>0</v>
      </c>
      <c r="O82" s="15">
        <f t="shared" si="35"/>
        <v>13.5</v>
      </c>
      <c r="P82" s="15">
        <f t="shared" si="36"/>
        <v>14</v>
      </c>
      <c r="R82" s="8"/>
      <c r="T82"/>
    </row>
    <row r="83" spans="2:20" ht="23.1" customHeight="1" x14ac:dyDescent="0.25">
      <c r="B83" s="23" t="s">
        <v>123</v>
      </c>
      <c r="C83" s="49">
        <f>AVERAGE('01.08 Bweyogerere-Nalya-24h'!C83,'03.08 Bweyogerere-Nalya-24h'!C83)</f>
        <v>3.5</v>
      </c>
      <c r="D83" s="49">
        <f>AVERAGE('01.08 Bweyogerere-Nalya-24h'!D83,'03.08 Bweyogerere-Nalya-24h'!D83)</f>
        <v>1.5</v>
      </c>
      <c r="E83" s="49">
        <f>AVERAGE('01.08 Bweyogerere-Nalya-24h'!E83,'03.08 Bweyogerere-Nalya-24h'!E83)</f>
        <v>0.5</v>
      </c>
      <c r="F83" s="49">
        <f>AVERAGE('01.08 Bweyogerere-Nalya-24h'!F83,'03.08 Bweyogerere-Nalya-24h'!F83)</f>
        <v>1.5</v>
      </c>
      <c r="G83" s="49">
        <f>AVERAGE('01.08 Bweyogerere-Nalya-24h'!G83,'03.08 Bweyogerere-Nalya-24h'!G83)</f>
        <v>1</v>
      </c>
      <c r="H83" s="49">
        <f>AVERAGE('01.08 Bweyogerere-Nalya-24h'!H83,'03.08 Bweyogerere-Nalya-24h'!H83)</f>
        <v>0</v>
      </c>
      <c r="I83" s="49">
        <f>AVERAGE('01.08 Bweyogerere-Nalya-24h'!I83,'03.08 Bweyogerere-Nalya-24h'!I83)</f>
        <v>0.5</v>
      </c>
      <c r="J83" s="49">
        <f>AVERAGE('01.08 Bweyogerere-Nalya-24h'!J83,'03.08 Bweyogerere-Nalya-24h'!J83)</f>
        <v>0</v>
      </c>
      <c r="K83" s="49">
        <f>AVERAGE('01.08 Bweyogerere-Nalya-24h'!K83,'03.08 Bweyogerere-Nalya-24h'!K83)</f>
        <v>1.5</v>
      </c>
      <c r="L83" s="49">
        <f>AVERAGE('01.08 Bweyogerere-Nalya-24h'!L83,'03.08 Bweyogerere-Nalya-24h'!L83)</f>
        <v>2</v>
      </c>
      <c r="M83" s="49">
        <f>AVERAGE('01.08 Bweyogerere-Nalya-24h'!M83,'03.08 Bweyogerere-Nalya-24h'!M83)</f>
        <v>2.5</v>
      </c>
      <c r="N83" s="49">
        <f>AVERAGE('01.08 Bweyogerere-Nalya-24h'!N83,'03.08 Bweyogerere-Nalya-24h'!N83)</f>
        <v>0</v>
      </c>
      <c r="O83" s="15">
        <f t="shared" si="35"/>
        <v>12</v>
      </c>
      <c r="P83" s="15">
        <f t="shared" si="36"/>
        <v>14.5</v>
      </c>
      <c r="R83" s="8"/>
      <c r="T83"/>
    </row>
    <row r="84" spans="2:20" ht="23.1" customHeight="1" x14ac:dyDescent="0.25">
      <c r="B84" s="25" t="s">
        <v>124</v>
      </c>
      <c r="C84" s="49">
        <f>AVERAGE('01.08 Bweyogerere-Nalya-24h'!C84,'03.08 Bweyogerere-Nalya-24h'!C84)</f>
        <v>1</v>
      </c>
      <c r="D84" s="49">
        <f>AVERAGE('01.08 Bweyogerere-Nalya-24h'!D84,'03.08 Bweyogerere-Nalya-24h'!D84)</f>
        <v>1.5</v>
      </c>
      <c r="E84" s="49">
        <f>AVERAGE('01.08 Bweyogerere-Nalya-24h'!E84,'03.08 Bweyogerere-Nalya-24h'!E84)</f>
        <v>0</v>
      </c>
      <c r="F84" s="49">
        <f>AVERAGE('01.08 Bweyogerere-Nalya-24h'!F84,'03.08 Bweyogerere-Nalya-24h'!F84)</f>
        <v>0.5</v>
      </c>
      <c r="G84" s="49">
        <f>AVERAGE('01.08 Bweyogerere-Nalya-24h'!G84,'03.08 Bweyogerere-Nalya-24h'!G84)</f>
        <v>0</v>
      </c>
      <c r="H84" s="49">
        <f>AVERAGE('01.08 Bweyogerere-Nalya-24h'!H84,'03.08 Bweyogerere-Nalya-24h'!H84)</f>
        <v>0</v>
      </c>
      <c r="I84" s="49">
        <f>AVERAGE('01.08 Bweyogerere-Nalya-24h'!I84,'03.08 Bweyogerere-Nalya-24h'!I84)</f>
        <v>0</v>
      </c>
      <c r="J84" s="49">
        <f>AVERAGE('01.08 Bweyogerere-Nalya-24h'!J84,'03.08 Bweyogerere-Nalya-24h'!J84)</f>
        <v>2</v>
      </c>
      <c r="K84" s="49">
        <f>AVERAGE('01.08 Bweyogerere-Nalya-24h'!K84,'03.08 Bweyogerere-Nalya-24h'!K84)</f>
        <v>1.5</v>
      </c>
      <c r="L84" s="49">
        <f>AVERAGE('01.08 Bweyogerere-Nalya-24h'!L84,'03.08 Bweyogerere-Nalya-24h'!L84)</f>
        <v>3</v>
      </c>
      <c r="M84" s="49">
        <f>AVERAGE('01.08 Bweyogerere-Nalya-24h'!M84,'03.08 Bweyogerere-Nalya-24h'!M84)</f>
        <v>2</v>
      </c>
      <c r="N84" s="49">
        <f>AVERAGE('01.08 Bweyogerere-Nalya-24h'!N84,'03.08 Bweyogerere-Nalya-24h'!N84)</f>
        <v>0</v>
      </c>
      <c r="O84" s="15">
        <f t="shared" si="35"/>
        <v>9.5</v>
      </c>
      <c r="P84" s="15">
        <f t="shared" si="36"/>
        <v>11.5</v>
      </c>
      <c r="R84" s="8"/>
      <c r="T84"/>
    </row>
    <row r="85" spans="2:20" ht="23.1" customHeight="1" x14ac:dyDescent="0.25">
      <c r="B85" s="23" t="s">
        <v>125</v>
      </c>
      <c r="C85" s="49">
        <f>AVERAGE('01.08 Bweyogerere-Nalya-24h'!C85,'03.08 Bweyogerere-Nalya-24h'!C85)</f>
        <v>0.5</v>
      </c>
      <c r="D85" s="49">
        <f>AVERAGE('01.08 Bweyogerere-Nalya-24h'!D85,'03.08 Bweyogerere-Nalya-24h'!D85)</f>
        <v>0</v>
      </c>
      <c r="E85" s="49">
        <f>AVERAGE('01.08 Bweyogerere-Nalya-24h'!E85,'03.08 Bweyogerere-Nalya-24h'!E85)</f>
        <v>0.5</v>
      </c>
      <c r="F85" s="49">
        <f>AVERAGE('01.08 Bweyogerere-Nalya-24h'!F85,'03.08 Bweyogerere-Nalya-24h'!F85)</f>
        <v>0</v>
      </c>
      <c r="G85" s="49">
        <f>AVERAGE('01.08 Bweyogerere-Nalya-24h'!G85,'03.08 Bweyogerere-Nalya-24h'!G85)</f>
        <v>0</v>
      </c>
      <c r="H85" s="49">
        <f>AVERAGE('01.08 Bweyogerere-Nalya-24h'!H85,'03.08 Bweyogerere-Nalya-24h'!H85)</f>
        <v>0</v>
      </c>
      <c r="I85" s="49">
        <f>AVERAGE('01.08 Bweyogerere-Nalya-24h'!I85,'03.08 Bweyogerere-Nalya-24h'!I85)</f>
        <v>0.5</v>
      </c>
      <c r="J85" s="49">
        <f>AVERAGE('01.08 Bweyogerere-Nalya-24h'!J85,'03.08 Bweyogerere-Nalya-24h'!J85)</f>
        <v>2.5</v>
      </c>
      <c r="K85" s="49">
        <f>AVERAGE('01.08 Bweyogerere-Nalya-24h'!K85,'03.08 Bweyogerere-Nalya-24h'!K85)</f>
        <v>2.5</v>
      </c>
      <c r="L85" s="49">
        <f>AVERAGE('01.08 Bweyogerere-Nalya-24h'!L85,'03.08 Bweyogerere-Nalya-24h'!L85)</f>
        <v>2</v>
      </c>
      <c r="M85" s="49">
        <f>AVERAGE('01.08 Bweyogerere-Nalya-24h'!M85,'03.08 Bweyogerere-Nalya-24h'!M85)</f>
        <v>0.5</v>
      </c>
      <c r="N85" s="49">
        <f>AVERAGE('01.08 Bweyogerere-Nalya-24h'!N85,'03.08 Bweyogerere-Nalya-24h'!N85)</f>
        <v>0</v>
      </c>
      <c r="O85" s="15">
        <f t="shared" si="35"/>
        <v>8.5</v>
      </c>
      <c r="P85" s="15">
        <f t="shared" si="36"/>
        <v>9</v>
      </c>
      <c r="R85" s="8"/>
      <c r="T85"/>
    </row>
    <row r="86" spans="2:20" ht="23.1" customHeight="1" x14ac:dyDescent="0.25">
      <c r="B86" s="24" t="s">
        <v>126</v>
      </c>
      <c r="C86" s="49">
        <f>AVERAGE('01.08 Bweyogerere-Nalya-24h'!C86,'03.08 Bweyogerere-Nalya-24h'!C86)</f>
        <v>1.5</v>
      </c>
      <c r="D86" s="49">
        <f>AVERAGE('01.08 Bweyogerere-Nalya-24h'!D86,'03.08 Bweyogerere-Nalya-24h'!D86)</f>
        <v>0</v>
      </c>
      <c r="E86" s="49">
        <f>AVERAGE('01.08 Bweyogerere-Nalya-24h'!E86,'03.08 Bweyogerere-Nalya-24h'!E86)</f>
        <v>0</v>
      </c>
      <c r="F86" s="49">
        <f>AVERAGE('01.08 Bweyogerere-Nalya-24h'!F86,'03.08 Bweyogerere-Nalya-24h'!F86)</f>
        <v>0</v>
      </c>
      <c r="G86" s="49">
        <f>AVERAGE('01.08 Bweyogerere-Nalya-24h'!G86,'03.08 Bweyogerere-Nalya-24h'!G86)</f>
        <v>0</v>
      </c>
      <c r="H86" s="49">
        <f>AVERAGE('01.08 Bweyogerere-Nalya-24h'!H86,'03.08 Bweyogerere-Nalya-24h'!H86)</f>
        <v>0</v>
      </c>
      <c r="I86" s="49">
        <f>AVERAGE('01.08 Bweyogerere-Nalya-24h'!I86,'03.08 Bweyogerere-Nalya-24h'!I86)</f>
        <v>1</v>
      </c>
      <c r="J86" s="49">
        <f>AVERAGE('01.08 Bweyogerere-Nalya-24h'!J86,'03.08 Bweyogerere-Nalya-24h'!J86)</f>
        <v>0</v>
      </c>
      <c r="K86" s="49">
        <f>AVERAGE('01.08 Bweyogerere-Nalya-24h'!K86,'03.08 Bweyogerere-Nalya-24h'!K86)</f>
        <v>0</v>
      </c>
      <c r="L86" s="49">
        <f>AVERAGE('01.08 Bweyogerere-Nalya-24h'!L86,'03.08 Bweyogerere-Nalya-24h'!L86)</f>
        <v>4</v>
      </c>
      <c r="M86" s="49">
        <f>AVERAGE('01.08 Bweyogerere-Nalya-24h'!M86,'03.08 Bweyogerere-Nalya-24h'!M86)</f>
        <v>0</v>
      </c>
      <c r="N86" s="49">
        <f>AVERAGE('01.08 Bweyogerere-Nalya-24h'!N86,'03.08 Bweyogerere-Nalya-24h'!N86)</f>
        <v>0</v>
      </c>
      <c r="O86" s="15">
        <f t="shared" si="35"/>
        <v>6.5</v>
      </c>
      <c r="P86" s="15">
        <f t="shared" si="36"/>
        <v>6.5</v>
      </c>
      <c r="R86" s="8"/>
      <c r="T86"/>
    </row>
    <row r="87" spans="2:20" ht="23.1" customHeight="1" x14ac:dyDescent="0.25">
      <c r="B87" s="23" t="s">
        <v>127</v>
      </c>
      <c r="C87" s="49">
        <f>AVERAGE('01.08 Bweyogerere-Nalya-24h'!C87,'03.08 Bweyogerere-Nalya-24h'!C87)</f>
        <v>0.5</v>
      </c>
      <c r="D87" s="49">
        <f>AVERAGE('01.08 Bweyogerere-Nalya-24h'!D87,'03.08 Bweyogerere-Nalya-24h'!D87)</f>
        <v>0</v>
      </c>
      <c r="E87" s="49">
        <f>AVERAGE('01.08 Bweyogerere-Nalya-24h'!E87,'03.08 Bweyogerere-Nalya-24h'!E87)</f>
        <v>0</v>
      </c>
      <c r="F87" s="49">
        <f>AVERAGE('01.08 Bweyogerere-Nalya-24h'!F87,'03.08 Bweyogerere-Nalya-24h'!F87)</f>
        <v>0</v>
      </c>
      <c r="G87" s="49">
        <f>AVERAGE('01.08 Bweyogerere-Nalya-24h'!G87,'03.08 Bweyogerere-Nalya-24h'!G87)</f>
        <v>0</v>
      </c>
      <c r="H87" s="49">
        <f>AVERAGE('01.08 Bweyogerere-Nalya-24h'!H87,'03.08 Bweyogerere-Nalya-24h'!H87)</f>
        <v>0</v>
      </c>
      <c r="I87" s="49">
        <f>AVERAGE('01.08 Bweyogerere-Nalya-24h'!I87,'03.08 Bweyogerere-Nalya-24h'!I87)</f>
        <v>0</v>
      </c>
      <c r="J87" s="49">
        <f>AVERAGE('01.08 Bweyogerere-Nalya-24h'!J87,'03.08 Bweyogerere-Nalya-24h'!J87)</f>
        <v>0</v>
      </c>
      <c r="K87" s="49">
        <f>AVERAGE('01.08 Bweyogerere-Nalya-24h'!K87,'03.08 Bweyogerere-Nalya-24h'!K87)</f>
        <v>2.5</v>
      </c>
      <c r="L87" s="49">
        <f>AVERAGE('01.08 Bweyogerere-Nalya-24h'!L87,'03.08 Bweyogerere-Nalya-24h'!L87)</f>
        <v>1</v>
      </c>
      <c r="M87" s="49">
        <f>AVERAGE('01.08 Bweyogerere-Nalya-24h'!M87,'03.08 Bweyogerere-Nalya-24h'!M87)</f>
        <v>0</v>
      </c>
      <c r="N87" s="49">
        <f>AVERAGE('01.08 Bweyogerere-Nalya-24h'!N87,'03.08 Bweyogerere-Nalya-24h'!N87)</f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25" t="s">
        <v>128</v>
      </c>
      <c r="C88" s="49">
        <f>AVERAGE('01.08 Bweyogerere-Nalya-24h'!C88,'03.08 Bweyogerere-Nalya-24h'!C88)</f>
        <v>1</v>
      </c>
      <c r="D88" s="49">
        <f>AVERAGE('01.08 Bweyogerere-Nalya-24h'!D88,'03.08 Bweyogerere-Nalya-24h'!D88)</f>
        <v>0</v>
      </c>
      <c r="E88" s="49">
        <f>AVERAGE('01.08 Bweyogerere-Nalya-24h'!E88,'03.08 Bweyogerere-Nalya-24h'!E88)</f>
        <v>0.5</v>
      </c>
      <c r="F88" s="49">
        <f>AVERAGE('01.08 Bweyogerere-Nalya-24h'!F88,'03.08 Bweyogerere-Nalya-24h'!F88)</f>
        <v>1.5</v>
      </c>
      <c r="G88" s="49">
        <f>AVERAGE('01.08 Bweyogerere-Nalya-24h'!G88,'03.08 Bweyogerere-Nalya-24h'!G88)</f>
        <v>0</v>
      </c>
      <c r="H88" s="49">
        <f>AVERAGE('01.08 Bweyogerere-Nalya-24h'!H88,'03.08 Bweyogerere-Nalya-24h'!H88)</f>
        <v>0.5</v>
      </c>
      <c r="I88" s="49">
        <f>AVERAGE('01.08 Bweyogerere-Nalya-24h'!I88,'03.08 Bweyogerere-Nalya-24h'!I88)</f>
        <v>0.5</v>
      </c>
      <c r="J88" s="49">
        <f>AVERAGE('01.08 Bweyogerere-Nalya-24h'!J88,'03.08 Bweyogerere-Nalya-24h'!J88)</f>
        <v>0.5</v>
      </c>
      <c r="K88" s="49">
        <f>AVERAGE('01.08 Bweyogerere-Nalya-24h'!K88,'03.08 Bweyogerere-Nalya-24h'!K88)</f>
        <v>2.5</v>
      </c>
      <c r="L88" s="49">
        <f>AVERAGE('01.08 Bweyogerere-Nalya-24h'!L88,'03.08 Bweyogerere-Nalya-24h'!L88)</f>
        <v>1</v>
      </c>
      <c r="M88" s="49">
        <f>AVERAGE('01.08 Bweyogerere-Nalya-24h'!M88,'03.08 Bweyogerere-Nalya-24h'!M88)</f>
        <v>0</v>
      </c>
      <c r="N88" s="49">
        <f>AVERAGE('01.08 Bweyogerere-Nalya-24h'!N88,'03.08 Bweyogerere-Nalya-24h'!N88)</f>
        <v>0</v>
      </c>
      <c r="O88" s="15">
        <f t="shared" si="35"/>
        <v>8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AVERAGE('01.08 Bweyogerere-Nalya-24h'!C89,'03.08 Bweyogerere-Nalya-24h'!C89)</f>
        <v>3.5</v>
      </c>
      <c r="D89" s="49">
        <f>AVERAGE('01.08 Bweyogerere-Nalya-24h'!D89,'03.08 Bweyogerere-Nalya-24h'!D89)</f>
        <v>0.5</v>
      </c>
      <c r="E89" s="49">
        <f>AVERAGE('01.08 Bweyogerere-Nalya-24h'!E89,'03.08 Bweyogerere-Nalya-24h'!E89)</f>
        <v>0.5</v>
      </c>
      <c r="F89" s="49">
        <f>AVERAGE('01.08 Bweyogerere-Nalya-24h'!F89,'03.08 Bweyogerere-Nalya-24h'!F89)</f>
        <v>1.5</v>
      </c>
      <c r="G89" s="49">
        <f>AVERAGE('01.08 Bweyogerere-Nalya-24h'!G89,'03.08 Bweyogerere-Nalya-24h'!G89)</f>
        <v>0</v>
      </c>
      <c r="H89" s="49">
        <f>AVERAGE('01.08 Bweyogerere-Nalya-24h'!H89,'03.08 Bweyogerere-Nalya-24h'!H89)</f>
        <v>0</v>
      </c>
      <c r="I89" s="49">
        <f>AVERAGE('01.08 Bweyogerere-Nalya-24h'!I89,'03.08 Bweyogerere-Nalya-24h'!I89)</f>
        <v>0.5</v>
      </c>
      <c r="J89" s="49">
        <f>AVERAGE('01.08 Bweyogerere-Nalya-24h'!J89,'03.08 Bweyogerere-Nalya-24h'!J89)</f>
        <v>2.5</v>
      </c>
      <c r="K89" s="49">
        <f>AVERAGE('01.08 Bweyogerere-Nalya-24h'!K89,'03.08 Bweyogerere-Nalya-24h'!K89)</f>
        <v>2.5</v>
      </c>
      <c r="L89" s="49">
        <f>AVERAGE('01.08 Bweyogerere-Nalya-24h'!L89,'03.08 Bweyogerere-Nalya-24h'!L89)</f>
        <v>2.5</v>
      </c>
      <c r="M89" s="49">
        <f>AVERAGE('01.08 Bweyogerere-Nalya-24h'!M89,'03.08 Bweyogerere-Nalya-24h'!M89)</f>
        <v>0.5</v>
      </c>
      <c r="N89" s="49">
        <f>AVERAGE('01.08 Bweyogerere-Nalya-24h'!N89,'03.08 Bweyogerere-Nalya-24h'!N89)</f>
        <v>0</v>
      </c>
      <c r="O89" s="15">
        <f t="shared" si="35"/>
        <v>14</v>
      </c>
      <c r="P89" s="15">
        <f t="shared" si="36"/>
        <v>14.5</v>
      </c>
      <c r="R89" s="8"/>
      <c r="T89"/>
    </row>
    <row r="90" spans="2:20" ht="23.1" customHeight="1" x14ac:dyDescent="0.25">
      <c r="B90" s="24" t="s">
        <v>130</v>
      </c>
      <c r="C90" s="49">
        <f>AVERAGE('01.08 Bweyogerere-Nalya-24h'!C90,'03.08 Bweyogerere-Nalya-24h'!C90)</f>
        <v>2</v>
      </c>
      <c r="D90" s="49">
        <f>AVERAGE('01.08 Bweyogerere-Nalya-24h'!D90,'03.08 Bweyogerere-Nalya-24h'!D90)</f>
        <v>0</v>
      </c>
      <c r="E90" s="49">
        <f>AVERAGE('01.08 Bweyogerere-Nalya-24h'!E90,'03.08 Bweyogerere-Nalya-24h'!E90)</f>
        <v>0.5</v>
      </c>
      <c r="F90" s="49">
        <f>AVERAGE('01.08 Bweyogerere-Nalya-24h'!F90,'03.08 Bweyogerere-Nalya-24h'!F90)</f>
        <v>1</v>
      </c>
      <c r="G90" s="49">
        <f>AVERAGE('01.08 Bweyogerere-Nalya-24h'!G90,'03.08 Bweyogerere-Nalya-24h'!G90)</f>
        <v>0</v>
      </c>
      <c r="H90" s="49">
        <f>AVERAGE('01.08 Bweyogerere-Nalya-24h'!H90,'03.08 Bweyogerere-Nalya-24h'!H90)</f>
        <v>0</v>
      </c>
      <c r="I90" s="49">
        <f>AVERAGE('01.08 Bweyogerere-Nalya-24h'!I90,'03.08 Bweyogerere-Nalya-24h'!I90)</f>
        <v>0.5</v>
      </c>
      <c r="J90" s="49">
        <f>AVERAGE('01.08 Bweyogerere-Nalya-24h'!J90,'03.08 Bweyogerere-Nalya-24h'!J90)</f>
        <v>1</v>
      </c>
      <c r="K90" s="49">
        <f>AVERAGE('01.08 Bweyogerere-Nalya-24h'!K90,'03.08 Bweyogerere-Nalya-24h'!K90)</f>
        <v>0.5</v>
      </c>
      <c r="L90" s="49">
        <f>AVERAGE('01.08 Bweyogerere-Nalya-24h'!L90,'03.08 Bweyogerere-Nalya-24h'!L90)</f>
        <v>1</v>
      </c>
      <c r="M90" s="49">
        <f>AVERAGE('01.08 Bweyogerere-Nalya-24h'!M90,'03.08 Bweyogerere-Nalya-24h'!M90)</f>
        <v>0.5</v>
      </c>
      <c r="N90" s="49">
        <f>AVERAGE('01.08 Bweyogerere-Nalya-24h'!N90,'03.08 Bweyogerere-Nalya-24h'!N90)</f>
        <v>0</v>
      </c>
      <c r="O90" s="15">
        <f t="shared" si="35"/>
        <v>6.5</v>
      </c>
      <c r="P90" s="15">
        <f t="shared" si="36"/>
        <v>7</v>
      </c>
      <c r="R90" s="8"/>
      <c r="T90"/>
    </row>
    <row r="91" spans="2:20" ht="23.1" customHeight="1" x14ac:dyDescent="0.25">
      <c r="B91" s="23" t="s">
        <v>131</v>
      </c>
      <c r="C91" s="49">
        <f>AVERAGE('01.08 Bweyogerere-Nalya-24h'!C91,'03.08 Bweyogerere-Nalya-24h'!C91)</f>
        <v>1.5</v>
      </c>
      <c r="D91" s="49">
        <f>AVERAGE('01.08 Bweyogerere-Nalya-24h'!D91,'03.08 Bweyogerere-Nalya-24h'!D91)</f>
        <v>2</v>
      </c>
      <c r="E91" s="49">
        <f>AVERAGE('01.08 Bweyogerere-Nalya-24h'!E91,'03.08 Bweyogerere-Nalya-24h'!E91)</f>
        <v>0</v>
      </c>
      <c r="F91" s="49">
        <f>AVERAGE('01.08 Bweyogerere-Nalya-24h'!F91,'03.08 Bweyogerere-Nalya-24h'!F91)</f>
        <v>0</v>
      </c>
      <c r="G91" s="49">
        <f>AVERAGE('01.08 Bweyogerere-Nalya-24h'!G91,'03.08 Bweyogerere-Nalya-24h'!G91)</f>
        <v>0</v>
      </c>
      <c r="H91" s="49">
        <f>AVERAGE('01.08 Bweyogerere-Nalya-24h'!H91,'03.08 Bweyogerere-Nalya-24h'!H91)</f>
        <v>0</v>
      </c>
      <c r="I91" s="49">
        <f>AVERAGE('01.08 Bweyogerere-Nalya-24h'!I91,'03.08 Bweyogerere-Nalya-24h'!I91)</f>
        <v>0</v>
      </c>
      <c r="J91" s="49">
        <f>AVERAGE('01.08 Bweyogerere-Nalya-24h'!J91,'03.08 Bweyogerere-Nalya-24h'!J91)</f>
        <v>2.5</v>
      </c>
      <c r="K91" s="49">
        <f>AVERAGE('01.08 Bweyogerere-Nalya-24h'!K91,'03.08 Bweyogerere-Nalya-24h'!K91)</f>
        <v>0.5</v>
      </c>
      <c r="L91" s="49">
        <f>AVERAGE('01.08 Bweyogerere-Nalya-24h'!L91,'03.08 Bweyogerere-Nalya-24h'!L91)</f>
        <v>0.5</v>
      </c>
      <c r="M91" s="49">
        <f>AVERAGE('01.08 Bweyogerere-Nalya-24h'!M91,'03.08 Bweyogerere-Nalya-24h'!M91)</f>
        <v>0</v>
      </c>
      <c r="N91" s="49">
        <f>AVERAGE('01.08 Bweyogerere-Nalya-24h'!N91,'03.08 Bweyogerere-Nalya-24h'!N91)</f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AVERAGE('01.08 Bweyogerere-Nalya-24h'!C92,'03.08 Bweyogerere-Nalya-24h'!C92)</f>
        <v>2.5</v>
      </c>
      <c r="D92" s="49">
        <f>AVERAGE('01.08 Bweyogerere-Nalya-24h'!D92,'03.08 Bweyogerere-Nalya-24h'!D92)</f>
        <v>0.5</v>
      </c>
      <c r="E92" s="49">
        <f>AVERAGE('01.08 Bweyogerere-Nalya-24h'!E92,'03.08 Bweyogerere-Nalya-24h'!E92)</f>
        <v>0.5</v>
      </c>
      <c r="F92" s="49">
        <f>AVERAGE('01.08 Bweyogerere-Nalya-24h'!F92,'03.08 Bweyogerere-Nalya-24h'!F92)</f>
        <v>0</v>
      </c>
      <c r="G92" s="49">
        <f>AVERAGE('01.08 Bweyogerere-Nalya-24h'!G92,'03.08 Bweyogerere-Nalya-24h'!G92)</f>
        <v>0</v>
      </c>
      <c r="H92" s="49">
        <f>AVERAGE('01.08 Bweyogerere-Nalya-24h'!H92,'03.08 Bweyogerere-Nalya-24h'!H92)</f>
        <v>0</v>
      </c>
      <c r="I92" s="49">
        <f>AVERAGE('01.08 Bweyogerere-Nalya-24h'!I92,'03.08 Bweyogerere-Nalya-24h'!I92)</f>
        <v>1</v>
      </c>
      <c r="J92" s="49">
        <f>AVERAGE('01.08 Bweyogerere-Nalya-24h'!J92,'03.08 Bweyogerere-Nalya-24h'!J92)</f>
        <v>2</v>
      </c>
      <c r="K92" s="49">
        <f>AVERAGE('01.08 Bweyogerere-Nalya-24h'!K92,'03.08 Bweyogerere-Nalya-24h'!K92)</f>
        <v>1</v>
      </c>
      <c r="L92" s="49">
        <f>AVERAGE('01.08 Bweyogerere-Nalya-24h'!L92,'03.08 Bweyogerere-Nalya-24h'!L92)</f>
        <v>1</v>
      </c>
      <c r="M92" s="49">
        <f>AVERAGE('01.08 Bweyogerere-Nalya-24h'!M92,'03.08 Bweyogerere-Nalya-24h'!M92)</f>
        <v>1</v>
      </c>
      <c r="N92" s="49">
        <f>AVERAGE('01.08 Bweyogerere-Nalya-24h'!N92,'03.08 Bweyogerere-Nalya-24h'!N92)</f>
        <v>0</v>
      </c>
      <c r="O92" s="15">
        <f t="shared" si="35"/>
        <v>8.5</v>
      </c>
      <c r="P92" s="15">
        <f t="shared" si="36"/>
        <v>9.5</v>
      </c>
      <c r="R92" s="8"/>
      <c r="T92"/>
    </row>
    <row r="93" spans="2:20" ht="23.1" customHeight="1" x14ac:dyDescent="0.25">
      <c r="B93" s="23" t="s">
        <v>133</v>
      </c>
      <c r="C93" s="49">
        <f>AVERAGE('01.08 Bweyogerere-Nalya-24h'!C93,'03.08 Bweyogerere-Nalya-24h'!C93)</f>
        <v>1.5</v>
      </c>
      <c r="D93" s="49">
        <f>AVERAGE('01.08 Bweyogerere-Nalya-24h'!D93,'03.08 Bweyogerere-Nalya-24h'!D93)</f>
        <v>2</v>
      </c>
      <c r="E93" s="49">
        <f>AVERAGE('01.08 Bweyogerere-Nalya-24h'!E93,'03.08 Bweyogerere-Nalya-24h'!E93)</f>
        <v>0</v>
      </c>
      <c r="F93" s="49">
        <f>AVERAGE('01.08 Bweyogerere-Nalya-24h'!F93,'03.08 Bweyogerere-Nalya-24h'!F93)</f>
        <v>0</v>
      </c>
      <c r="G93" s="49">
        <f>AVERAGE('01.08 Bweyogerere-Nalya-24h'!G93,'03.08 Bweyogerere-Nalya-24h'!G93)</f>
        <v>0</v>
      </c>
      <c r="H93" s="49">
        <f>AVERAGE('01.08 Bweyogerere-Nalya-24h'!H93,'03.08 Bweyogerere-Nalya-24h'!H93)</f>
        <v>0</v>
      </c>
      <c r="I93" s="49">
        <f>AVERAGE('01.08 Bweyogerere-Nalya-24h'!I93,'03.08 Bweyogerere-Nalya-24h'!I93)</f>
        <v>1</v>
      </c>
      <c r="J93" s="49">
        <f>AVERAGE('01.08 Bweyogerere-Nalya-24h'!J93,'03.08 Bweyogerere-Nalya-24h'!J93)</f>
        <v>1.5</v>
      </c>
      <c r="K93" s="49">
        <f>AVERAGE('01.08 Bweyogerere-Nalya-24h'!K93,'03.08 Bweyogerere-Nalya-24h'!K93)</f>
        <v>1.5</v>
      </c>
      <c r="L93" s="49">
        <f>AVERAGE('01.08 Bweyogerere-Nalya-24h'!L93,'03.08 Bweyogerere-Nalya-24h'!L93)</f>
        <v>1</v>
      </c>
      <c r="M93" s="49">
        <f>AVERAGE('01.08 Bweyogerere-Nalya-24h'!M93,'03.08 Bweyogerere-Nalya-24h'!M93)</f>
        <v>1</v>
      </c>
      <c r="N93" s="49">
        <f>AVERAGE('01.08 Bweyogerere-Nalya-24h'!N93,'03.08 Bweyogerere-Nalya-24h'!N93)</f>
        <v>0</v>
      </c>
      <c r="O93" s="15">
        <f t="shared" si="35"/>
        <v>8.5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AVERAGE('01.08 Bweyogerere-Nalya-24h'!C94,'03.08 Bweyogerere-Nalya-24h'!C94)</f>
        <v>1</v>
      </c>
      <c r="D94" s="49">
        <f>AVERAGE('01.08 Bweyogerere-Nalya-24h'!D94,'03.08 Bweyogerere-Nalya-24h'!D94)</f>
        <v>0</v>
      </c>
      <c r="E94" s="49">
        <f>AVERAGE('01.08 Bweyogerere-Nalya-24h'!E94,'03.08 Bweyogerere-Nalya-24h'!E94)</f>
        <v>0.5</v>
      </c>
      <c r="F94" s="49">
        <f>AVERAGE('01.08 Bweyogerere-Nalya-24h'!F94,'03.08 Bweyogerere-Nalya-24h'!F94)</f>
        <v>1</v>
      </c>
      <c r="G94" s="49">
        <f>AVERAGE('01.08 Bweyogerere-Nalya-24h'!G94,'03.08 Bweyogerere-Nalya-24h'!G94)</f>
        <v>0</v>
      </c>
      <c r="H94" s="49">
        <f>AVERAGE('01.08 Bweyogerere-Nalya-24h'!H94,'03.08 Bweyogerere-Nalya-24h'!H94)</f>
        <v>0</v>
      </c>
      <c r="I94" s="49">
        <f>AVERAGE('01.08 Bweyogerere-Nalya-24h'!I94,'03.08 Bweyogerere-Nalya-24h'!I94)</f>
        <v>0</v>
      </c>
      <c r="J94" s="49">
        <f>AVERAGE('01.08 Bweyogerere-Nalya-24h'!J94,'03.08 Bweyogerere-Nalya-24h'!J94)</f>
        <v>2.5</v>
      </c>
      <c r="K94" s="49">
        <f>AVERAGE('01.08 Bweyogerere-Nalya-24h'!K94,'03.08 Bweyogerere-Nalya-24h'!K94)</f>
        <v>1</v>
      </c>
      <c r="L94" s="49">
        <f>AVERAGE('01.08 Bweyogerere-Nalya-24h'!L94,'03.08 Bweyogerere-Nalya-24h'!L94)</f>
        <v>1</v>
      </c>
      <c r="M94" s="49">
        <f>AVERAGE('01.08 Bweyogerere-Nalya-24h'!M94,'03.08 Bweyogerere-Nalya-24h'!M94)</f>
        <v>1.5</v>
      </c>
      <c r="N94" s="49">
        <f>AVERAGE('01.08 Bweyogerere-Nalya-24h'!N94,'03.08 Bweyogerere-Nalya-24h'!N94)</f>
        <v>0</v>
      </c>
      <c r="O94" s="15">
        <f t="shared" si="35"/>
        <v>7</v>
      </c>
      <c r="P94" s="15">
        <f t="shared" si="36"/>
        <v>8.5</v>
      </c>
      <c r="R94" s="8"/>
      <c r="T94"/>
    </row>
    <row r="95" spans="2:20" ht="23.1" customHeight="1" x14ac:dyDescent="0.25">
      <c r="B95" s="23" t="s">
        <v>135</v>
      </c>
      <c r="C95" s="49">
        <f>AVERAGE('01.08 Bweyogerere-Nalya-24h'!C95,'03.08 Bweyogerere-Nalya-24h'!C95)</f>
        <v>2</v>
      </c>
      <c r="D95" s="49">
        <f>AVERAGE('01.08 Bweyogerere-Nalya-24h'!D95,'03.08 Bweyogerere-Nalya-24h'!D95)</f>
        <v>0</v>
      </c>
      <c r="E95" s="49">
        <f>AVERAGE('01.08 Bweyogerere-Nalya-24h'!E95,'03.08 Bweyogerere-Nalya-24h'!E95)</f>
        <v>0</v>
      </c>
      <c r="F95" s="49">
        <f>AVERAGE('01.08 Bweyogerere-Nalya-24h'!F95,'03.08 Bweyogerere-Nalya-24h'!F95)</f>
        <v>0.5</v>
      </c>
      <c r="G95" s="49">
        <f>AVERAGE('01.08 Bweyogerere-Nalya-24h'!G95,'03.08 Bweyogerere-Nalya-24h'!G95)</f>
        <v>0</v>
      </c>
      <c r="H95" s="49">
        <f>AVERAGE('01.08 Bweyogerere-Nalya-24h'!H95,'03.08 Bweyogerere-Nalya-24h'!H95)</f>
        <v>0</v>
      </c>
      <c r="I95" s="49">
        <f>AVERAGE('01.08 Bweyogerere-Nalya-24h'!I95,'03.08 Bweyogerere-Nalya-24h'!I95)</f>
        <v>0.5</v>
      </c>
      <c r="J95" s="49">
        <f>AVERAGE('01.08 Bweyogerere-Nalya-24h'!J95,'03.08 Bweyogerere-Nalya-24h'!J95)</f>
        <v>1.5</v>
      </c>
      <c r="K95" s="49">
        <f>AVERAGE('01.08 Bweyogerere-Nalya-24h'!K95,'03.08 Bweyogerere-Nalya-24h'!K95)</f>
        <v>0.5</v>
      </c>
      <c r="L95" s="49">
        <f>AVERAGE('01.08 Bweyogerere-Nalya-24h'!L95,'03.08 Bweyogerere-Nalya-24h'!L95)</f>
        <v>1</v>
      </c>
      <c r="M95" s="49">
        <f>AVERAGE('01.08 Bweyogerere-Nalya-24h'!M95,'03.08 Bweyogerere-Nalya-24h'!M95)</f>
        <v>2.5</v>
      </c>
      <c r="N95" s="49">
        <f>AVERAGE('01.08 Bweyogerere-Nalya-24h'!N95,'03.08 Bweyogerere-Nalya-24h'!N95)</f>
        <v>0</v>
      </c>
      <c r="O95" s="15">
        <f t="shared" si="35"/>
        <v>6</v>
      </c>
      <c r="P95" s="15">
        <f t="shared" si="36"/>
        <v>8.5</v>
      </c>
      <c r="R95" s="8"/>
      <c r="T95"/>
    </row>
    <row r="96" spans="2:20" ht="23.1" customHeight="1" x14ac:dyDescent="0.25">
      <c r="B96" s="25" t="s">
        <v>136</v>
      </c>
      <c r="C96" s="49">
        <f>AVERAGE('01.08 Bweyogerere-Nalya-24h'!C96,'03.08 Bweyogerere-Nalya-24h'!C96)</f>
        <v>0.5</v>
      </c>
      <c r="D96" s="49">
        <f>AVERAGE('01.08 Bweyogerere-Nalya-24h'!D96,'03.08 Bweyogerere-Nalya-24h'!D96)</f>
        <v>0</v>
      </c>
      <c r="E96" s="49">
        <f>AVERAGE('01.08 Bweyogerere-Nalya-24h'!E96,'03.08 Bweyogerere-Nalya-24h'!E96)</f>
        <v>0</v>
      </c>
      <c r="F96" s="49">
        <f>AVERAGE('01.08 Bweyogerere-Nalya-24h'!F96,'03.08 Bweyogerere-Nalya-24h'!F96)</f>
        <v>0</v>
      </c>
      <c r="G96" s="49">
        <f>AVERAGE('01.08 Bweyogerere-Nalya-24h'!G96,'03.08 Bweyogerere-Nalya-24h'!G96)</f>
        <v>0</v>
      </c>
      <c r="H96" s="49">
        <f>AVERAGE('01.08 Bweyogerere-Nalya-24h'!H96,'03.08 Bweyogerere-Nalya-24h'!H96)</f>
        <v>0</v>
      </c>
      <c r="I96" s="49">
        <f>AVERAGE('01.08 Bweyogerere-Nalya-24h'!I96,'03.08 Bweyogerere-Nalya-24h'!I96)</f>
        <v>0</v>
      </c>
      <c r="J96" s="49">
        <f>AVERAGE('01.08 Bweyogerere-Nalya-24h'!J96,'03.08 Bweyogerere-Nalya-24h'!J96)</f>
        <v>2.5</v>
      </c>
      <c r="K96" s="49">
        <f>AVERAGE('01.08 Bweyogerere-Nalya-24h'!K96,'03.08 Bweyogerere-Nalya-24h'!K96)</f>
        <v>1.5</v>
      </c>
      <c r="L96" s="49">
        <f>AVERAGE('01.08 Bweyogerere-Nalya-24h'!L96,'03.08 Bweyogerere-Nalya-24h'!L96)</f>
        <v>2.5</v>
      </c>
      <c r="M96" s="49">
        <f>AVERAGE('01.08 Bweyogerere-Nalya-24h'!M96,'03.08 Bweyogerere-Nalya-24h'!M96)</f>
        <v>0.5</v>
      </c>
      <c r="N96" s="49">
        <f>AVERAGE('01.08 Bweyogerere-Nalya-24h'!N96,'03.08 Bweyogerere-Nalya-24h'!N96)</f>
        <v>0</v>
      </c>
      <c r="O96" s="15">
        <f t="shared" si="35"/>
        <v>7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AVERAGE('01.08 Bweyogerere-Nalya-24h'!C97,'03.08 Bweyogerere-Nalya-24h'!C97)</f>
        <v>2.5</v>
      </c>
      <c r="D97" s="49">
        <f>AVERAGE('01.08 Bweyogerere-Nalya-24h'!D97,'03.08 Bweyogerere-Nalya-24h'!D97)</f>
        <v>1</v>
      </c>
      <c r="E97" s="49">
        <f>AVERAGE('01.08 Bweyogerere-Nalya-24h'!E97,'03.08 Bweyogerere-Nalya-24h'!E97)</f>
        <v>0.5</v>
      </c>
      <c r="F97" s="49">
        <f>AVERAGE('01.08 Bweyogerere-Nalya-24h'!F97,'03.08 Bweyogerere-Nalya-24h'!F97)</f>
        <v>2</v>
      </c>
      <c r="G97" s="49">
        <f>AVERAGE('01.08 Bweyogerere-Nalya-24h'!G97,'03.08 Bweyogerere-Nalya-24h'!G97)</f>
        <v>0</v>
      </c>
      <c r="H97" s="49">
        <f>AVERAGE('01.08 Bweyogerere-Nalya-24h'!H97,'03.08 Bweyogerere-Nalya-24h'!H97)</f>
        <v>0</v>
      </c>
      <c r="I97" s="49">
        <f>AVERAGE('01.08 Bweyogerere-Nalya-24h'!I97,'03.08 Bweyogerere-Nalya-24h'!I97)</f>
        <v>0.5</v>
      </c>
      <c r="J97" s="49">
        <f>AVERAGE('01.08 Bweyogerere-Nalya-24h'!J97,'03.08 Bweyogerere-Nalya-24h'!J97)</f>
        <v>1.5</v>
      </c>
      <c r="K97" s="49">
        <f>AVERAGE('01.08 Bweyogerere-Nalya-24h'!K97,'03.08 Bweyogerere-Nalya-24h'!K97)</f>
        <v>3.5</v>
      </c>
      <c r="L97" s="49">
        <f>AVERAGE('01.08 Bweyogerere-Nalya-24h'!L97,'03.08 Bweyogerere-Nalya-24h'!L97)</f>
        <v>2</v>
      </c>
      <c r="M97" s="49">
        <f>AVERAGE('01.08 Bweyogerere-Nalya-24h'!M97,'03.08 Bweyogerere-Nalya-24h'!M97)</f>
        <v>1.5</v>
      </c>
      <c r="N97" s="49">
        <f>AVERAGE('01.08 Bweyogerere-Nalya-24h'!N97,'03.08 Bweyogerere-Nalya-24h'!N97)</f>
        <v>0</v>
      </c>
      <c r="O97" s="15">
        <f t="shared" si="35"/>
        <v>13.5</v>
      </c>
      <c r="P97" s="15">
        <f t="shared" si="36"/>
        <v>15</v>
      </c>
      <c r="R97" s="8"/>
      <c r="T97"/>
    </row>
    <row r="98" spans="2:20" ht="23.1" customHeight="1" x14ac:dyDescent="0.25">
      <c r="B98" s="24" t="s">
        <v>138</v>
      </c>
      <c r="C98" s="49">
        <f>AVERAGE('01.08 Bweyogerere-Nalya-24h'!C98,'03.08 Bweyogerere-Nalya-24h'!C98)</f>
        <v>1.5</v>
      </c>
      <c r="D98" s="49">
        <f>AVERAGE('01.08 Bweyogerere-Nalya-24h'!D98,'03.08 Bweyogerere-Nalya-24h'!D98)</f>
        <v>0.5</v>
      </c>
      <c r="E98" s="49">
        <f>AVERAGE('01.08 Bweyogerere-Nalya-24h'!E98,'03.08 Bweyogerere-Nalya-24h'!E98)</f>
        <v>0</v>
      </c>
      <c r="F98" s="49">
        <f>AVERAGE('01.08 Bweyogerere-Nalya-24h'!F98,'03.08 Bweyogerere-Nalya-24h'!F98)</f>
        <v>3</v>
      </c>
      <c r="G98" s="49">
        <f>AVERAGE('01.08 Bweyogerere-Nalya-24h'!G98,'03.08 Bweyogerere-Nalya-24h'!G98)</f>
        <v>0</v>
      </c>
      <c r="H98" s="49">
        <f>AVERAGE('01.08 Bweyogerere-Nalya-24h'!H98,'03.08 Bweyogerere-Nalya-24h'!H98)</f>
        <v>0</v>
      </c>
      <c r="I98" s="49">
        <f>AVERAGE('01.08 Bweyogerere-Nalya-24h'!I98,'03.08 Bweyogerere-Nalya-24h'!I98)</f>
        <v>1.5</v>
      </c>
      <c r="J98" s="49">
        <f>AVERAGE('01.08 Bweyogerere-Nalya-24h'!J98,'03.08 Bweyogerere-Nalya-24h'!J98)</f>
        <v>0.5</v>
      </c>
      <c r="K98" s="49">
        <f>AVERAGE('01.08 Bweyogerere-Nalya-24h'!K98,'03.08 Bweyogerere-Nalya-24h'!K98)</f>
        <v>1.5</v>
      </c>
      <c r="L98" s="49">
        <f>AVERAGE('01.08 Bweyogerere-Nalya-24h'!L98,'03.08 Bweyogerere-Nalya-24h'!L98)</f>
        <v>1.5</v>
      </c>
      <c r="M98" s="49">
        <f>AVERAGE('01.08 Bweyogerere-Nalya-24h'!M98,'03.08 Bweyogerere-Nalya-24h'!M98)</f>
        <v>0.5</v>
      </c>
      <c r="N98" s="49">
        <f>AVERAGE('01.08 Bweyogerere-Nalya-24h'!N98,'03.08 Bweyogerere-Nalya-24h'!N98)</f>
        <v>0</v>
      </c>
      <c r="O98" s="15">
        <f t="shared" si="35"/>
        <v>10</v>
      </c>
      <c r="P98" s="15">
        <f t="shared" si="36"/>
        <v>10.5</v>
      </c>
      <c r="R98" s="8"/>
      <c r="T98"/>
    </row>
    <row r="99" spans="2:20" ht="23.1" customHeight="1" x14ac:dyDescent="0.25">
      <c r="B99" s="23" t="s">
        <v>139</v>
      </c>
      <c r="C99" s="49">
        <f>AVERAGE('01.08 Bweyogerere-Nalya-24h'!C99,'03.08 Bweyogerere-Nalya-24h'!C99)</f>
        <v>5.5</v>
      </c>
      <c r="D99" s="49">
        <f>AVERAGE('01.08 Bweyogerere-Nalya-24h'!D99,'03.08 Bweyogerere-Nalya-24h'!D99)</f>
        <v>1.5</v>
      </c>
      <c r="E99" s="49">
        <f>AVERAGE('01.08 Bweyogerere-Nalya-24h'!E99,'03.08 Bweyogerere-Nalya-24h'!E99)</f>
        <v>1</v>
      </c>
      <c r="F99" s="49">
        <f>AVERAGE('01.08 Bweyogerere-Nalya-24h'!F99,'03.08 Bweyogerere-Nalya-24h'!F99)</f>
        <v>4</v>
      </c>
      <c r="G99" s="49">
        <f>AVERAGE('01.08 Bweyogerere-Nalya-24h'!G99,'03.08 Bweyogerere-Nalya-24h'!G99)</f>
        <v>0.5</v>
      </c>
      <c r="H99" s="49">
        <f>AVERAGE('01.08 Bweyogerere-Nalya-24h'!H99,'03.08 Bweyogerere-Nalya-24h'!H99)</f>
        <v>0</v>
      </c>
      <c r="I99" s="49">
        <f>AVERAGE('01.08 Bweyogerere-Nalya-24h'!I99,'03.08 Bweyogerere-Nalya-24h'!I99)</f>
        <v>0</v>
      </c>
      <c r="J99" s="49">
        <f>AVERAGE('01.08 Bweyogerere-Nalya-24h'!J99,'03.08 Bweyogerere-Nalya-24h'!J99)</f>
        <v>2</v>
      </c>
      <c r="K99" s="49">
        <f>AVERAGE('01.08 Bweyogerere-Nalya-24h'!K99,'03.08 Bweyogerere-Nalya-24h'!K99)</f>
        <v>0</v>
      </c>
      <c r="L99" s="49">
        <f>AVERAGE('01.08 Bweyogerere-Nalya-24h'!L99,'03.08 Bweyogerere-Nalya-24h'!L99)</f>
        <v>4</v>
      </c>
      <c r="M99" s="49">
        <f>AVERAGE('01.08 Bweyogerere-Nalya-24h'!M99,'03.08 Bweyogerere-Nalya-24h'!M99)</f>
        <v>4</v>
      </c>
      <c r="N99" s="49">
        <f>AVERAGE('01.08 Bweyogerere-Nalya-24h'!N99,'03.08 Bweyogerere-Nalya-24h'!N99)</f>
        <v>0</v>
      </c>
      <c r="O99" s="15">
        <f t="shared" si="35"/>
        <v>18.5</v>
      </c>
      <c r="P99" s="15">
        <f t="shared" si="36"/>
        <v>22.5</v>
      </c>
      <c r="R99" s="8"/>
      <c r="T99"/>
    </row>
    <row r="100" spans="2:20" ht="23.1" customHeight="1" x14ac:dyDescent="0.25">
      <c r="B100" s="25" t="s">
        <v>140</v>
      </c>
      <c r="C100" s="49">
        <f>AVERAGE('01.08 Bweyogerere-Nalya-24h'!C100,'03.08 Bweyogerere-Nalya-24h'!C100)</f>
        <v>4</v>
      </c>
      <c r="D100" s="49">
        <f>AVERAGE('01.08 Bweyogerere-Nalya-24h'!D100,'03.08 Bweyogerere-Nalya-24h'!D100)</f>
        <v>2</v>
      </c>
      <c r="E100" s="49">
        <f>AVERAGE('01.08 Bweyogerere-Nalya-24h'!E100,'03.08 Bweyogerere-Nalya-24h'!E100)</f>
        <v>1</v>
      </c>
      <c r="F100" s="49">
        <f>AVERAGE('01.08 Bweyogerere-Nalya-24h'!F100,'03.08 Bweyogerere-Nalya-24h'!F100)</f>
        <v>7.5</v>
      </c>
      <c r="G100" s="49">
        <f>AVERAGE('01.08 Bweyogerere-Nalya-24h'!G100,'03.08 Bweyogerere-Nalya-24h'!G100)</f>
        <v>0</v>
      </c>
      <c r="H100" s="49">
        <f>AVERAGE('01.08 Bweyogerere-Nalya-24h'!H100,'03.08 Bweyogerere-Nalya-24h'!H100)</f>
        <v>0</v>
      </c>
      <c r="I100" s="49">
        <f>AVERAGE('01.08 Bweyogerere-Nalya-24h'!I100,'03.08 Bweyogerere-Nalya-24h'!I100)</f>
        <v>0.5</v>
      </c>
      <c r="J100" s="49">
        <f>AVERAGE('01.08 Bweyogerere-Nalya-24h'!J100,'03.08 Bweyogerere-Nalya-24h'!J100)</f>
        <v>2.5</v>
      </c>
      <c r="K100" s="49">
        <f>AVERAGE('01.08 Bweyogerere-Nalya-24h'!K100,'03.08 Bweyogerere-Nalya-24h'!K100)</f>
        <v>1.5</v>
      </c>
      <c r="L100" s="49">
        <f>AVERAGE('01.08 Bweyogerere-Nalya-24h'!L100,'03.08 Bweyogerere-Nalya-24h'!L100)</f>
        <v>3</v>
      </c>
      <c r="M100" s="49">
        <f>AVERAGE('01.08 Bweyogerere-Nalya-24h'!M100,'03.08 Bweyogerere-Nalya-24h'!M100)</f>
        <v>4</v>
      </c>
      <c r="N100" s="49">
        <f>AVERAGE('01.08 Bweyogerere-Nalya-24h'!N100,'03.08 Bweyogerere-Nalya-24h'!N100)</f>
        <v>0</v>
      </c>
      <c r="O100" s="15">
        <f t="shared" si="35"/>
        <v>22</v>
      </c>
      <c r="P100" s="15">
        <f t="shared" si="36"/>
        <v>26</v>
      </c>
      <c r="R100" s="8"/>
      <c r="T100"/>
    </row>
    <row r="101" spans="2:20" ht="23.1" customHeight="1" x14ac:dyDescent="0.25">
      <c r="B101" s="23" t="s">
        <v>141</v>
      </c>
      <c r="C101" s="49">
        <f>AVERAGE('01.08 Bweyogerere-Nalya-24h'!C101,'03.08 Bweyogerere-Nalya-24h'!C101)</f>
        <v>5</v>
      </c>
      <c r="D101" s="49">
        <f>AVERAGE('01.08 Bweyogerere-Nalya-24h'!D101,'03.08 Bweyogerere-Nalya-24h'!D101)</f>
        <v>1.5</v>
      </c>
      <c r="E101" s="49">
        <f>AVERAGE('01.08 Bweyogerere-Nalya-24h'!E101,'03.08 Bweyogerere-Nalya-24h'!E101)</f>
        <v>1</v>
      </c>
      <c r="F101" s="49">
        <f>AVERAGE('01.08 Bweyogerere-Nalya-24h'!F101,'03.08 Bweyogerere-Nalya-24h'!F101)</f>
        <v>4.5</v>
      </c>
      <c r="G101" s="49">
        <f>AVERAGE('01.08 Bweyogerere-Nalya-24h'!G101,'03.08 Bweyogerere-Nalya-24h'!G101)</f>
        <v>0</v>
      </c>
      <c r="H101" s="49">
        <f>AVERAGE('01.08 Bweyogerere-Nalya-24h'!H101,'03.08 Bweyogerere-Nalya-24h'!H101)</f>
        <v>0</v>
      </c>
      <c r="I101" s="49">
        <f>AVERAGE('01.08 Bweyogerere-Nalya-24h'!I101,'03.08 Bweyogerere-Nalya-24h'!I101)</f>
        <v>1</v>
      </c>
      <c r="J101" s="49">
        <f>AVERAGE('01.08 Bweyogerere-Nalya-24h'!J101,'03.08 Bweyogerere-Nalya-24h'!J101)</f>
        <v>3.5</v>
      </c>
      <c r="K101" s="49">
        <f>AVERAGE('01.08 Bweyogerere-Nalya-24h'!K101,'03.08 Bweyogerere-Nalya-24h'!K101)</f>
        <v>2.5</v>
      </c>
      <c r="L101" s="49">
        <f>AVERAGE('01.08 Bweyogerere-Nalya-24h'!L101,'03.08 Bweyogerere-Nalya-24h'!L101)</f>
        <v>2.5</v>
      </c>
      <c r="M101" s="49">
        <f>AVERAGE('01.08 Bweyogerere-Nalya-24h'!M101,'03.08 Bweyogerere-Nalya-24h'!M101)</f>
        <v>2</v>
      </c>
      <c r="N101" s="49">
        <f>AVERAGE('01.08 Bweyogerere-Nalya-24h'!N101,'03.08 Bweyogerere-Nalya-24h'!N101)</f>
        <v>0</v>
      </c>
      <c r="O101" s="15">
        <f t="shared" si="35"/>
        <v>21.5</v>
      </c>
      <c r="P101" s="15">
        <f t="shared" si="36"/>
        <v>23.5</v>
      </c>
      <c r="R101" s="8"/>
      <c r="T101"/>
    </row>
    <row r="102" spans="2:20" ht="23.1" customHeight="1" x14ac:dyDescent="0.25">
      <c r="B102" s="24" t="s">
        <v>142</v>
      </c>
      <c r="C102" s="49">
        <f>AVERAGE('01.08 Bweyogerere-Nalya-24h'!C102,'03.08 Bweyogerere-Nalya-24h'!C102)</f>
        <v>3</v>
      </c>
      <c r="D102" s="49">
        <f>AVERAGE('01.08 Bweyogerere-Nalya-24h'!D102,'03.08 Bweyogerere-Nalya-24h'!D102)</f>
        <v>3.5</v>
      </c>
      <c r="E102" s="49">
        <f>AVERAGE('01.08 Bweyogerere-Nalya-24h'!E102,'03.08 Bweyogerere-Nalya-24h'!E102)</f>
        <v>1</v>
      </c>
      <c r="F102" s="49">
        <f>AVERAGE('01.08 Bweyogerere-Nalya-24h'!F102,'03.08 Bweyogerere-Nalya-24h'!F102)</f>
        <v>7</v>
      </c>
      <c r="G102" s="49">
        <f>AVERAGE('01.08 Bweyogerere-Nalya-24h'!G102,'03.08 Bweyogerere-Nalya-24h'!G102)</f>
        <v>0</v>
      </c>
      <c r="H102" s="49">
        <f>AVERAGE('01.08 Bweyogerere-Nalya-24h'!H102,'03.08 Bweyogerere-Nalya-24h'!H102)</f>
        <v>0</v>
      </c>
      <c r="I102" s="49">
        <f>AVERAGE('01.08 Bweyogerere-Nalya-24h'!I102,'03.08 Bweyogerere-Nalya-24h'!I102)</f>
        <v>1</v>
      </c>
      <c r="J102" s="49">
        <f>AVERAGE('01.08 Bweyogerere-Nalya-24h'!J102,'03.08 Bweyogerere-Nalya-24h'!J102)</f>
        <v>1</v>
      </c>
      <c r="K102" s="49">
        <f>AVERAGE('01.08 Bweyogerere-Nalya-24h'!K102,'03.08 Bweyogerere-Nalya-24h'!K102)</f>
        <v>5</v>
      </c>
      <c r="L102" s="49">
        <f>AVERAGE('01.08 Bweyogerere-Nalya-24h'!L102,'03.08 Bweyogerere-Nalya-24h'!L102)</f>
        <v>6</v>
      </c>
      <c r="M102" s="49">
        <f>AVERAGE('01.08 Bweyogerere-Nalya-24h'!M102,'03.08 Bweyogerere-Nalya-24h'!M102)</f>
        <v>5.5</v>
      </c>
      <c r="N102" s="49">
        <f>AVERAGE('01.08 Bweyogerere-Nalya-24h'!N102,'03.08 Bweyogerere-Nalya-24h'!N102)</f>
        <v>0</v>
      </c>
      <c r="O102" s="15">
        <f t="shared" si="35"/>
        <v>27.5</v>
      </c>
      <c r="P102" s="15">
        <f t="shared" si="36"/>
        <v>33</v>
      </c>
      <c r="R102" s="8"/>
      <c r="T102"/>
    </row>
    <row r="103" spans="2:20" ht="23.1" customHeight="1" x14ac:dyDescent="0.25">
      <c r="B103" s="23" t="s">
        <v>143</v>
      </c>
      <c r="C103" s="49">
        <f>AVERAGE('01.08 Bweyogerere-Nalya-24h'!C103,'03.08 Bweyogerere-Nalya-24h'!C103)</f>
        <v>11.5</v>
      </c>
      <c r="D103" s="49">
        <f>AVERAGE('01.08 Bweyogerere-Nalya-24h'!D103,'03.08 Bweyogerere-Nalya-24h'!D103)</f>
        <v>7.5</v>
      </c>
      <c r="E103" s="49">
        <f>AVERAGE('01.08 Bweyogerere-Nalya-24h'!E103,'03.08 Bweyogerere-Nalya-24h'!E103)</f>
        <v>4</v>
      </c>
      <c r="F103" s="49">
        <f>AVERAGE('01.08 Bweyogerere-Nalya-24h'!F103,'03.08 Bweyogerere-Nalya-24h'!F103)</f>
        <v>12</v>
      </c>
      <c r="G103" s="49">
        <f>AVERAGE('01.08 Bweyogerere-Nalya-24h'!G103,'03.08 Bweyogerere-Nalya-24h'!G103)</f>
        <v>1.5</v>
      </c>
      <c r="H103" s="49">
        <f>AVERAGE('01.08 Bweyogerere-Nalya-24h'!H103,'03.08 Bweyogerere-Nalya-24h'!H103)</f>
        <v>0</v>
      </c>
      <c r="I103" s="49">
        <f>AVERAGE('01.08 Bweyogerere-Nalya-24h'!I103,'03.08 Bweyogerere-Nalya-24h'!I103)</f>
        <v>1.5</v>
      </c>
      <c r="J103" s="49">
        <f>AVERAGE('01.08 Bweyogerere-Nalya-24h'!J103,'03.08 Bweyogerere-Nalya-24h'!J103)</f>
        <v>3.5</v>
      </c>
      <c r="K103" s="49">
        <f>AVERAGE('01.08 Bweyogerere-Nalya-24h'!K103,'03.08 Bweyogerere-Nalya-24h'!K103)</f>
        <v>4.5</v>
      </c>
      <c r="L103" s="49">
        <f>AVERAGE('01.08 Bweyogerere-Nalya-24h'!L103,'03.08 Bweyogerere-Nalya-24h'!L103)</f>
        <v>2.5</v>
      </c>
      <c r="M103" s="49">
        <f>AVERAGE('01.08 Bweyogerere-Nalya-24h'!M103,'03.08 Bweyogerere-Nalya-24h'!M103)</f>
        <v>3</v>
      </c>
      <c r="N103" s="49">
        <f>AVERAGE('01.08 Bweyogerere-Nalya-24h'!N103,'03.08 Bweyogerere-Nalya-24h'!N103)</f>
        <v>0</v>
      </c>
      <c r="O103" s="15">
        <f t="shared" si="35"/>
        <v>48.5</v>
      </c>
      <c r="P103" s="15">
        <f t="shared" si="36"/>
        <v>51.5</v>
      </c>
      <c r="R103" s="8"/>
      <c r="T103"/>
    </row>
    <row r="104" spans="2:20" ht="23.1" customHeight="1" x14ac:dyDescent="0.25">
      <c r="B104" s="25" t="s">
        <v>144</v>
      </c>
      <c r="C104" s="49">
        <f>AVERAGE('01.08 Bweyogerere-Nalya-24h'!C104,'03.08 Bweyogerere-Nalya-24h'!C104)</f>
        <v>14</v>
      </c>
      <c r="D104" s="49">
        <f>AVERAGE('01.08 Bweyogerere-Nalya-24h'!D104,'03.08 Bweyogerere-Nalya-24h'!D104)</f>
        <v>8</v>
      </c>
      <c r="E104" s="49">
        <f>AVERAGE('01.08 Bweyogerere-Nalya-24h'!E104,'03.08 Bweyogerere-Nalya-24h'!E104)</f>
        <v>5</v>
      </c>
      <c r="F104" s="49">
        <f>AVERAGE('01.08 Bweyogerere-Nalya-24h'!F104,'03.08 Bweyogerere-Nalya-24h'!F104)</f>
        <v>16</v>
      </c>
      <c r="G104" s="49">
        <f>AVERAGE('01.08 Bweyogerere-Nalya-24h'!G104,'03.08 Bweyogerere-Nalya-24h'!G104)</f>
        <v>0.5</v>
      </c>
      <c r="H104" s="49">
        <f>AVERAGE('01.08 Bweyogerere-Nalya-24h'!H104,'03.08 Bweyogerere-Nalya-24h'!H104)</f>
        <v>0</v>
      </c>
      <c r="I104" s="49">
        <f>AVERAGE('01.08 Bweyogerere-Nalya-24h'!I104,'03.08 Bweyogerere-Nalya-24h'!I104)</f>
        <v>1.5</v>
      </c>
      <c r="J104" s="49">
        <f>AVERAGE('01.08 Bweyogerere-Nalya-24h'!J104,'03.08 Bweyogerere-Nalya-24h'!J104)</f>
        <v>4</v>
      </c>
      <c r="K104" s="49">
        <f>AVERAGE('01.08 Bweyogerere-Nalya-24h'!K104,'03.08 Bweyogerere-Nalya-24h'!K104)</f>
        <v>3.5</v>
      </c>
      <c r="L104" s="49">
        <f>AVERAGE('01.08 Bweyogerere-Nalya-24h'!L104,'03.08 Bweyogerere-Nalya-24h'!L104)</f>
        <v>7.5</v>
      </c>
      <c r="M104" s="49">
        <f>AVERAGE('01.08 Bweyogerere-Nalya-24h'!M104,'03.08 Bweyogerere-Nalya-24h'!M104)</f>
        <v>9</v>
      </c>
      <c r="N104" s="49">
        <f>AVERAGE('01.08 Bweyogerere-Nalya-24h'!N104,'03.08 Bweyogerere-Nalya-24h'!N104)</f>
        <v>0</v>
      </c>
      <c r="O104" s="15">
        <f t="shared" si="35"/>
        <v>60</v>
      </c>
      <c r="P104" s="15">
        <f t="shared" si="36"/>
        <v>69</v>
      </c>
      <c r="R104" s="8"/>
      <c r="T104"/>
    </row>
    <row r="105" spans="2:20" ht="23.1" customHeight="1" x14ac:dyDescent="0.25">
      <c r="B105" s="23" t="s">
        <v>145</v>
      </c>
      <c r="C105" s="49">
        <f>AVERAGE('01.08 Bweyogerere-Nalya-24h'!C105,'03.08 Bweyogerere-Nalya-24h'!C105)</f>
        <v>18</v>
      </c>
      <c r="D105" s="49">
        <f>AVERAGE('01.08 Bweyogerere-Nalya-24h'!D105,'03.08 Bweyogerere-Nalya-24h'!D105)</f>
        <v>13.5</v>
      </c>
      <c r="E105" s="49">
        <f>AVERAGE('01.08 Bweyogerere-Nalya-24h'!E105,'03.08 Bweyogerere-Nalya-24h'!E105)</f>
        <v>5.5</v>
      </c>
      <c r="F105" s="49">
        <f>AVERAGE('01.08 Bweyogerere-Nalya-24h'!F105,'03.08 Bweyogerere-Nalya-24h'!F105)</f>
        <v>19</v>
      </c>
      <c r="G105" s="49">
        <f>AVERAGE('01.08 Bweyogerere-Nalya-24h'!G105,'03.08 Bweyogerere-Nalya-24h'!G105)</f>
        <v>0.5</v>
      </c>
      <c r="H105" s="49">
        <f>AVERAGE('01.08 Bweyogerere-Nalya-24h'!H105,'03.08 Bweyogerere-Nalya-24h'!H105)</f>
        <v>0</v>
      </c>
      <c r="I105" s="49">
        <f>AVERAGE('01.08 Bweyogerere-Nalya-24h'!I105,'03.08 Bweyogerere-Nalya-24h'!I105)</f>
        <v>1</v>
      </c>
      <c r="J105" s="49">
        <f>AVERAGE('01.08 Bweyogerere-Nalya-24h'!J105,'03.08 Bweyogerere-Nalya-24h'!J105)</f>
        <v>2</v>
      </c>
      <c r="K105" s="49">
        <f>AVERAGE('01.08 Bweyogerere-Nalya-24h'!K105,'03.08 Bweyogerere-Nalya-24h'!K105)</f>
        <v>6</v>
      </c>
      <c r="L105" s="49">
        <f>AVERAGE('01.08 Bweyogerere-Nalya-24h'!L105,'03.08 Bweyogerere-Nalya-24h'!L105)</f>
        <v>4</v>
      </c>
      <c r="M105" s="49">
        <f>AVERAGE('01.08 Bweyogerere-Nalya-24h'!M105,'03.08 Bweyogerere-Nalya-24h'!M105)</f>
        <v>15.5</v>
      </c>
      <c r="N105" s="49">
        <f>AVERAGE('01.08 Bweyogerere-Nalya-24h'!N105,'03.08 Bweyogerere-Nalya-24h'!N105)</f>
        <v>0.5</v>
      </c>
      <c r="O105" s="15">
        <f t="shared" si="35"/>
        <v>70</v>
      </c>
      <c r="P105" s="15">
        <f t="shared" si="36"/>
        <v>85.5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1712.4285714285711</v>
      </c>
      <c r="D106" s="16">
        <f t="shared" ref="D106:P106" si="37">SUM(D10:D105)</f>
        <v>646.92857142857156</v>
      </c>
      <c r="E106" s="16">
        <f t="shared" si="37"/>
        <v>297.57142857142856</v>
      </c>
      <c r="F106" s="16">
        <f t="shared" si="37"/>
        <v>1462.2142857142853</v>
      </c>
      <c r="G106" s="16">
        <f t="shared" si="37"/>
        <v>40.142857142857139</v>
      </c>
      <c r="H106" s="16">
        <f t="shared" si="37"/>
        <v>6.2857142857142847</v>
      </c>
      <c r="I106" s="16">
        <f t="shared" si="37"/>
        <v>264.35714285714283</v>
      </c>
      <c r="J106" s="16">
        <f t="shared" si="37"/>
        <v>360.5</v>
      </c>
      <c r="K106" s="16">
        <f t="shared" si="37"/>
        <v>248.14285714285714</v>
      </c>
      <c r="L106" s="16">
        <f t="shared" si="37"/>
        <v>344</v>
      </c>
      <c r="M106" s="16">
        <f t="shared" si="37"/>
        <v>2343.0000000000005</v>
      </c>
      <c r="N106" s="16">
        <f t="shared" si="37"/>
        <v>2.5714285714285712</v>
      </c>
      <c r="O106" s="16">
        <f t="shared" si="37"/>
        <v>5385.1428571428578</v>
      </c>
      <c r="P106" s="16">
        <f t="shared" si="37"/>
        <v>7728.1428571428578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0.22158345194742771</v>
      </c>
      <c r="D107" s="43">
        <f t="shared" si="38"/>
        <v>8.3710741815627487E-2</v>
      </c>
      <c r="E107" s="43">
        <f t="shared" si="38"/>
        <v>3.8504907850712602E-2</v>
      </c>
      <c r="F107" s="43">
        <f t="shared" si="38"/>
        <v>0.18920642549494421</v>
      </c>
      <c r="G107" s="43">
        <f t="shared" si="38"/>
        <v>5.194373070595411E-3</v>
      </c>
      <c r="H107" s="43">
        <f t="shared" si="38"/>
        <v>8.1335379041351627E-4</v>
      </c>
      <c r="I107" s="43">
        <f t="shared" si="38"/>
        <v>3.4207072480913911E-2</v>
      </c>
      <c r="J107" s="43">
        <f t="shared" si="38"/>
        <v>4.6647688411557017E-2</v>
      </c>
      <c r="K107" s="43">
        <f t="shared" si="38"/>
        <v>3.2108989407915407E-2</v>
      </c>
      <c r="L107" s="43">
        <f t="shared" si="38"/>
        <v>4.4512634711721531E-2</v>
      </c>
      <c r="M107" s="43">
        <f t="shared" si="38"/>
        <v>0.30317762537663828</v>
      </c>
      <c r="N107" s="43">
        <f t="shared" si="38"/>
        <v>3.3273564153280211E-4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0.31799129881154492</v>
      </c>
      <c r="D108" s="44">
        <f t="shared" ref="D108:N108" si="39">D106/$O$106</f>
        <v>0.12013210950764008</v>
      </c>
      <c r="E108" s="44">
        <f t="shared" si="39"/>
        <v>5.5257852292020362E-2</v>
      </c>
      <c r="F108" s="44">
        <f t="shared" si="39"/>
        <v>0.27152748302207119</v>
      </c>
      <c r="G108" s="44">
        <f t="shared" si="39"/>
        <v>7.4543718166383685E-3</v>
      </c>
      <c r="H108" s="44">
        <f t="shared" si="39"/>
        <v>1.1672325976230897E-3</v>
      </c>
      <c r="I108" s="44">
        <f t="shared" si="39"/>
        <v>4.9090089134125624E-2</v>
      </c>
      <c r="J108" s="44">
        <f t="shared" si="39"/>
        <v>6.6943442275042439E-2</v>
      </c>
      <c r="K108" s="44">
        <f t="shared" si="39"/>
        <v>4.6079159592529707E-2</v>
      </c>
      <c r="L108" s="44">
        <f t="shared" si="39"/>
        <v>6.3879456706281826E-2</v>
      </c>
      <c r="M108" s="44"/>
      <c r="N108" s="44">
        <f t="shared" si="39"/>
        <v>4.7750424448217307E-4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52" zoomScale="60" workbookViewId="0">
      <selection activeCell="AC57" sqref="A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Bweyogerere-Nalya'!C3:G3</f>
        <v>MCC - C1 - STN40 - NORTHERN BYPASS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'Avg Week Bweyogerere-Naalya'!G5:H5</f>
        <v>Signs and Symbols</v>
      </c>
      <c r="H5" s="65"/>
      <c r="I5" s="14"/>
      <c r="J5" s="2" t="s">
        <v>5</v>
      </c>
      <c r="K5" s="64" t="str">
        <f>'Avg Week Bweyogerere-Naalya'!K5:L5</f>
        <v>Acema Vicent/Aseru Sherry/Mejje Mathias Trevor/Martin Anthony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64" t="str">
        <f>'Avg Week Bweyogerere-Naalya'!K6:L6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Nalya-Bweyogerere'!C10+'Avg Week Bweyogerere-Naalya'!C10</f>
        <v>46.428571428571431</v>
      </c>
      <c r="D10" s="49">
        <f>'Avg Week Nalya-Bweyogerere'!D10+'Avg Week Bweyogerere-Naalya'!D10</f>
        <v>16.714285714285715</v>
      </c>
      <c r="E10" s="49">
        <f>'Avg Week Nalya-Bweyogerere'!E10+'Avg Week Bweyogerere-Naalya'!E10</f>
        <v>9.2857142857142865</v>
      </c>
      <c r="F10" s="49">
        <f>'Avg Week Nalya-Bweyogerere'!F10+'Avg Week Bweyogerere-Naalya'!F10</f>
        <v>41.142857142857139</v>
      </c>
      <c r="G10" s="49">
        <f>'Avg Week Nalya-Bweyogerere'!G10+'Avg Week Bweyogerere-Naalya'!G10</f>
        <v>1.2857142857142856</v>
      </c>
      <c r="H10" s="49">
        <f>'Avg Week Nalya-Bweyogerere'!H10+'Avg Week Bweyogerere-Naalya'!H10</f>
        <v>0.14285714285714285</v>
      </c>
      <c r="I10" s="49">
        <f>'Avg Week Nalya-Bweyogerere'!I10+'Avg Week Bweyogerere-Naalya'!I10</f>
        <v>6.2857142857142856</v>
      </c>
      <c r="J10" s="49">
        <f>'Avg Week Nalya-Bweyogerere'!J10+'Avg Week Bweyogerere-Naalya'!J10</f>
        <v>4.8571428571428577</v>
      </c>
      <c r="K10" s="49">
        <f>'Avg Week Nalya-Bweyogerere'!K10+'Avg Week Bweyogerere-Naalya'!K10</f>
        <v>4.5714285714285712</v>
      </c>
      <c r="L10" s="49">
        <f>'Avg Week Nalya-Bweyogerere'!L10+'Avg Week Bweyogerere-Naalya'!L10</f>
        <v>3.7142857142857144</v>
      </c>
      <c r="M10" s="49">
        <f>'Avg Week Nalya-Bweyogerere'!M10+'Avg Week Bweyogerere-Naalya'!M10</f>
        <v>35</v>
      </c>
      <c r="N10" s="49">
        <f>'Avg Week Nalya-Bweyogerere'!N10+'Avg Week Bweyogerere-Naalya'!N10</f>
        <v>0</v>
      </c>
      <c r="O10" s="15">
        <f t="shared" ref="O10:O58" si="0">SUM(C10:L10,N10)</f>
        <v>134.42857142857144</v>
      </c>
      <c r="P10" s="15">
        <f t="shared" ref="P10:P58" si="1">SUM(C10:N10)</f>
        <v>169.42857142857144</v>
      </c>
      <c r="R10" s="1" t="s">
        <v>6</v>
      </c>
      <c r="S10" s="17">
        <f t="shared" ref="S10:AF10" si="2">SUM(C10:C13)</f>
        <v>210.57142857142861</v>
      </c>
      <c r="T10" s="17">
        <f t="shared" si="2"/>
        <v>62</v>
      </c>
      <c r="U10" s="17">
        <f t="shared" si="2"/>
        <v>43.142857142857146</v>
      </c>
      <c r="V10" s="17">
        <f t="shared" si="2"/>
        <v>192.57142857142856</v>
      </c>
      <c r="W10" s="17">
        <f t="shared" si="2"/>
        <v>4.4285714285714279</v>
      </c>
      <c r="X10" s="17">
        <f t="shared" si="2"/>
        <v>0.71428571428571419</v>
      </c>
      <c r="Y10" s="17">
        <f t="shared" si="2"/>
        <v>24.571428571428569</v>
      </c>
      <c r="Z10" s="17">
        <f t="shared" si="2"/>
        <v>23.857142857142854</v>
      </c>
      <c r="AA10" s="17">
        <f t="shared" si="2"/>
        <v>20</v>
      </c>
      <c r="AB10" s="17">
        <f t="shared" si="2"/>
        <v>20</v>
      </c>
      <c r="AC10" s="17">
        <f t="shared" si="2"/>
        <v>209.42857142857144</v>
      </c>
      <c r="AD10" s="17">
        <f t="shared" si="2"/>
        <v>0.14285714285714285</v>
      </c>
      <c r="AE10" s="31">
        <f t="shared" si="2"/>
        <v>602</v>
      </c>
      <c r="AF10" s="31">
        <f t="shared" si="2"/>
        <v>811.42857142857133</v>
      </c>
    </row>
    <row r="11" spans="2:32" s="6" customFormat="1" ht="23.1" customHeight="1" x14ac:dyDescent="0.25">
      <c r="B11" s="23" t="s">
        <v>38</v>
      </c>
      <c r="C11" s="49">
        <f>'Avg Week Nalya-Bweyogerere'!C11+'Avg Week Bweyogerere-Naalya'!C11</f>
        <v>51.285714285714285</v>
      </c>
      <c r="D11" s="49">
        <f>'Avg Week Nalya-Bweyogerere'!D11+'Avg Week Bweyogerere-Naalya'!D11</f>
        <v>13</v>
      </c>
      <c r="E11" s="49">
        <f>'Avg Week Nalya-Bweyogerere'!E11+'Avg Week Bweyogerere-Naalya'!E11</f>
        <v>12.571428571428573</v>
      </c>
      <c r="F11" s="49">
        <f>'Avg Week Nalya-Bweyogerere'!F11+'Avg Week Bweyogerere-Naalya'!F11</f>
        <v>45.142857142857139</v>
      </c>
      <c r="G11" s="49">
        <f>'Avg Week Nalya-Bweyogerere'!G11+'Avg Week Bweyogerere-Naalya'!G11</f>
        <v>1.4285714285714284</v>
      </c>
      <c r="H11" s="49">
        <f>'Avg Week Nalya-Bweyogerere'!H11+'Avg Week Bweyogerere-Naalya'!H11</f>
        <v>0.14285714285714285</v>
      </c>
      <c r="I11" s="49">
        <f>'Avg Week Nalya-Bweyogerere'!I11+'Avg Week Bweyogerere-Naalya'!I11</f>
        <v>5</v>
      </c>
      <c r="J11" s="49">
        <f>'Avg Week Nalya-Bweyogerere'!J11+'Avg Week Bweyogerere-Naalya'!J11</f>
        <v>6.7142857142857135</v>
      </c>
      <c r="K11" s="49">
        <f>'Avg Week Nalya-Bweyogerere'!K11+'Avg Week Bweyogerere-Naalya'!K11</f>
        <v>3.7142857142857144</v>
      </c>
      <c r="L11" s="49">
        <f>'Avg Week Nalya-Bweyogerere'!L11+'Avg Week Bweyogerere-Naalya'!L11</f>
        <v>4.2857142857142856</v>
      </c>
      <c r="M11" s="49">
        <f>'Avg Week Nalya-Bweyogerere'!M11+'Avg Week Bweyogerere-Naalya'!M11</f>
        <v>49.857142857142861</v>
      </c>
      <c r="N11" s="49">
        <f>'Avg Week Nalya-Bweyogerere'!N11+'Avg Week Bweyogerere-Naalya'!N11</f>
        <v>0</v>
      </c>
      <c r="O11" s="15">
        <f t="shared" si="0"/>
        <v>143.28571428571428</v>
      </c>
      <c r="P11" s="15">
        <f t="shared" si="1"/>
        <v>193.14285714285714</v>
      </c>
      <c r="R11" s="1" t="s">
        <v>7</v>
      </c>
      <c r="S11" s="17">
        <f t="shared" ref="S11:AF11" si="3">SUM(C14:C17)</f>
        <v>194.28571428571428</v>
      </c>
      <c r="T11" s="17">
        <f t="shared" si="3"/>
        <v>74.571428571428569</v>
      </c>
      <c r="U11" s="17">
        <f t="shared" si="3"/>
        <v>36.428571428571431</v>
      </c>
      <c r="V11" s="17">
        <f t="shared" si="3"/>
        <v>211.28571428571428</v>
      </c>
      <c r="W11" s="17">
        <f t="shared" si="3"/>
        <v>3.714285714285714</v>
      </c>
      <c r="X11" s="17">
        <f t="shared" si="3"/>
        <v>0.42857142857142855</v>
      </c>
      <c r="Y11" s="17">
        <f t="shared" si="3"/>
        <v>27.857142857142861</v>
      </c>
      <c r="Z11" s="17">
        <f t="shared" si="3"/>
        <v>26.285714285714285</v>
      </c>
      <c r="AA11" s="17">
        <f t="shared" si="3"/>
        <v>20.285714285714285</v>
      </c>
      <c r="AB11" s="17">
        <f t="shared" si="3"/>
        <v>22.142857142857142</v>
      </c>
      <c r="AC11" s="17">
        <f t="shared" si="3"/>
        <v>276.71428571428572</v>
      </c>
      <c r="AD11" s="17">
        <f t="shared" si="3"/>
        <v>0.14285714285714285</v>
      </c>
      <c r="AE11" s="31">
        <f t="shared" si="3"/>
        <v>617.42857142857133</v>
      </c>
      <c r="AF11" s="31">
        <f t="shared" si="3"/>
        <v>894.14285714285711</v>
      </c>
    </row>
    <row r="12" spans="2:32" ht="23.1" customHeight="1" x14ac:dyDescent="0.25">
      <c r="B12" s="23" t="s">
        <v>39</v>
      </c>
      <c r="C12" s="49">
        <f>'Avg Week Nalya-Bweyogerere'!C12+'Avg Week Bweyogerere-Naalya'!C12</f>
        <v>56.428571428571431</v>
      </c>
      <c r="D12" s="49">
        <f>'Avg Week Nalya-Bweyogerere'!D12+'Avg Week Bweyogerere-Naalya'!D12</f>
        <v>18.142857142857146</v>
      </c>
      <c r="E12" s="49">
        <f>'Avg Week Nalya-Bweyogerere'!E12+'Avg Week Bweyogerere-Naalya'!E12</f>
        <v>12.714285714285715</v>
      </c>
      <c r="F12" s="49">
        <f>'Avg Week Nalya-Bweyogerere'!F12+'Avg Week Bweyogerere-Naalya'!F12</f>
        <v>51.857142857142861</v>
      </c>
      <c r="G12" s="49">
        <f>'Avg Week Nalya-Bweyogerere'!G12+'Avg Week Bweyogerere-Naalya'!G12</f>
        <v>1.1428571428571428</v>
      </c>
      <c r="H12" s="49">
        <f>'Avg Week Nalya-Bweyogerere'!H12+'Avg Week Bweyogerere-Naalya'!H12</f>
        <v>0.14285714285714285</v>
      </c>
      <c r="I12" s="49">
        <f>'Avg Week Nalya-Bweyogerere'!I12+'Avg Week Bweyogerere-Naalya'!I12</f>
        <v>6.8571428571428577</v>
      </c>
      <c r="J12" s="49">
        <f>'Avg Week Nalya-Bweyogerere'!J12+'Avg Week Bweyogerere-Naalya'!J12</f>
        <v>4.5714285714285712</v>
      </c>
      <c r="K12" s="49">
        <f>'Avg Week Nalya-Bweyogerere'!K12+'Avg Week Bweyogerere-Naalya'!K12</f>
        <v>6.1428571428571423</v>
      </c>
      <c r="L12" s="49">
        <f>'Avg Week Nalya-Bweyogerere'!L12+'Avg Week Bweyogerere-Naalya'!L12</f>
        <v>6.1428571428571423</v>
      </c>
      <c r="M12" s="49">
        <f>'Avg Week Nalya-Bweyogerere'!M12+'Avg Week Bweyogerere-Naalya'!M12</f>
        <v>62.285714285714292</v>
      </c>
      <c r="N12" s="49">
        <f>'Avg Week Nalya-Bweyogerere'!N12+'Avg Week Bweyogerere-Naalya'!N12</f>
        <v>0.14285714285714285</v>
      </c>
      <c r="O12" s="15">
        <f t="shared" si="0"/>
        <v>164.28571428571431</v>
      </c>
      <c r="P12" s="15">
        <f t="shared" si="1"/>
        <v>226.57142857142858</v>
      </c>
      <c r="R12" s="1" t="s">
        <v>8</v>
      </c>
      <c r="S12" s="17">
        <f t="shared" ref="S12:AF12" si="4">SUM(C18:C21)</f>
        <v>174.71428571428572</v>
      </c>
      <c r="T12" s="17">
        <f t="shared" si="4"/>
        <v>64.142857142857139</v>
      </c>
      <c r="U12" s="17">
        <f t="shared" si="4"/>
        <v>29.857142857142861</v>
      </c>
      <c r="V12" s="17">
        <f t="shared" si="4"/>
        <v>186.14285714285717</v>
      </c>
      <c r="W12" s="17">
        <f t="shared" si="4"/>
        <v>4.5714285714285712</v>
      </c>
      <c r="X12" s="17">
        <f t="shared" si="4"/>
        <v>0.14285714285714285</v>
      </c>
      <c r="Y12" s="17">
        <f t="shared" si="4"/>
        <v>34.714285714285715</v>
      </c>
      <c r="Z12" s="17">
        <f t="shared" si="4"/>
        <v>31.142857142857146</v>
      </c>
      <c r="AA12" s="17">
        <f t="shared" si="4"/>
        <v>27.428571428571431</v>
      </c>
      <c r="AB12" s="17">
        <f t="shared" si="4"/>
        <v>27.571428571428573</v>
      </c>
      <c r="AC12" s="17">
        <f t="shared" si="4"/>
        <v>302.42857142857144</v>
      </c>
      <c r="AD12" s="17">
        <f t="shared" si="4"/>
        <v>0.42857142857142855</v>
      </c>
      <c r="AE12" s="31">
        <f t="shared" si="4"/>
        <v>580.85714285714289</v>
      </c>
      <c r="AF12" s="31">
        <f t="shared" si="4"/>
        <v>883.28571428571422</v>
      </c>
    </row>
    <row r="13" spans="2:32" ht="23.1" customHeight="1" x14ac:dyDescent="0.25">
      <c r="B13" s="23" t="s">
        <v>40</v>
      </c>
      <c r="C13" s="49">
        <f>'Avg Week Nalya-Bweyogerere'!C13+'Avg Week Bweyogerere-Naalya'!C13</f>
        <v>56.428571428571431</v>
      </c>
      <c r="D13" s="49">
        <f>'Avg Week Nalya-Bweyogerere'!D13+'Avg Week Bweyogerere-Naalya'!D13</f>
        <v>14.142857142857142</v>
      </c>
      <c r="E13" s="49">
        <f>'Avg Week Nalya-Bweyogerere'!E13+'Avg Week Bweyogerere-Naalya'!E13</f>
        <v>8.5714285714285712</v>
      </c>
      <c r="F13" s="49">
        <f>'Avg Week Nalya-Bweyogerere'!F13+'Avg Week Bweyogerere-Naalya'!F13</f>
        <v>54.428571428571431</v>
      </c>
      <c r="G13" s="49">
        <f>'Avg Week Nalya-Bweyogerere'!G13+'Avg Week Bweyogerere-Naalya'!G13</f>
        <v>0.5714285714285714</v>
      </c>
      <c r="H13" s="49">
        <f>'Avg Week Nalya-Bweyogerere'!H13+'Avg Week Bweyogerere-Naalya'!H13</f>
        <v>0.2857142857142857</v>
      </c>
      <c r="I13" s="49">
        <f>'Avg Week Nalya-Bweyogerere'!I13+'Avg Week Bweyogerere-Naalya'!I13</f>
        <v>6.4285714285714288</v>
      </c>
      <c r="J13" s="49">
        <f>'Avg Week Nalya-Bweyogerere'!J13+'Avg Week Bweyogerere-Naalya'!J13</f>
        <v>7.7142857142857135</v>
      </c>
      <c r="K13" s="49">
        <f>'Avg Week Nalya-Bweyogerere'!K13+'Avg Week Bweyogerere-Naalya'!K13</f>
        <v>5.5714285714285712</v>
      </c>
      <c r="L13" s="49">
        <f>'Avg Week Nalya-Bweyogerere'!L13+'Avg Week Bweyogerere-Naalya'!L13</f>
        <v>5.8571428571428577</v>
      </c>
      <c r="M13" s="49">
        <f>'Avg Week Nalya-Bweyogerere'!M13+'Avg Week Bweyogerere-Naalya'!M13</f>
        <v>62.285714285714285</v>
      </c>
      <c r="N13" s="49">
        <f>'Avg Week Nalya-Bweyogerere'!N13+'Avg Week Bweyogerere-Naalya'!N13</f>
        <v>0</v>
      </c>
      <c r="O13" s="15">
        <f t="shared" si="0"/>
        <v>160</v>
      </c>
      <c r="P13" s="15">
        <f t="shared" si="1"/>
        <v>222.28571428571428</v>
      </c>
      <c r="R13" s="1" t="s">
        <v>9</v>
      </c>
      <c r="S13" s="17">
        <f t="shared" ref="S13:AF13" si="5">SUM(C22:C25)</f>
        <v>176.14285714285714</v>
      </c>
      <c r="T13" s="17">
        <f t="shared" si="5"/>
        <v>64.857142857142847</v>
      </c>
      <c r="U13" s="17">
        <f t="shared" si="5"/>
        <v>34.142857142857139</v>
      </c>
      <c r="V13" s="17">
        <f t="shared" si="5"/>
        <v>176.85714285714283</v>
      </c>
      <c r="W13" s="17">
        <f t="shared" si="5"/>
        <v>6.2857142857142865</v>
      </c>
      <c r="X13" s="17">
        <f t="shared" si="5"/>
        <v>0.99999999999999978</v>
      </c>
      <c r="Y13" s="17">
        <f t="shared" si="5"/>
        <v>33.714285714285715</v>
      </c>
      <c r="Z13" s="17">
        <f t="shared" si="5"/>
        <v>32.285714285714285</v>
      </c>
      <c r="AA13" s="17">
        <f t="shared" si="5"/>
        <v>29.714285714285715</v>
      </c>
      <c r="AB13" s="17">
        <f t="shared" si="5"/>
        <v>33.285714285714285</v>
      </c>
      <c r="AC13" s="17">
        <f t="shared" si="5"/>
        <v>295.14285714285717</v>
      </c>
      <c r="AD13" s="17">
        <f t="shared" si="5"/>
        <v>0.14285714285714285</v>
      </c>
      <c r="AE13" s="31">
        <f t="shared" si="5"/>
        <v>588.42857142857144</v>
      </c>
      <c r="AF13" s="31">
        <f t="shared" si="5"/>
        <v>883.57142857142867</v>
      </c>
    </row>
    <row r="14" spans="2:32" ht="23.1" customHeight="1" x14ac:dyDescent="0.25">
      <c r="B14" s="23" t="s">
        <v>41</v>
      </c>
      <c r="C14" s="49">
        <f>'Avg Week Nalya-Bweyogerere'!C14+'Avg Week Bweyogerere-Naalya'!C14</f>
        <v>49.285714285714285</v>
      </c>
      <c r="D14" s="49">
        <f>'Avg Week Nalya-Bweyogerere'!D14+'Avg Week Bweyogerere-Naalya'!D14</f>
        <v>18.714285714285715</v>
      </c>
      <c r="E14" s="49">
        <f>'Avg Week Nalya-Bweyogerere'!E14+'Avg Week Bweyogerere-Naalya'!E14</f>
        <v>9.2857142857142847</v>
      </c>
      <c r="F14" s="49">
        <f>'Avg Week Nalya-Bweyogerere'!F14+'Avg Week Bweyogerere-Naalya'!F14</f>
        <v>52.714285714285715</v>
      </c>
      <c r="G14" s="49">
        <f>'Avg Week Nalya-Bweyogerere'!G14+'Avg Week Bweyogerere-Naalya'!G14</f>
        <v>1.2857142857142856</v>
      </c>
      <c r="H14" s="49">
        <f>'Avg Week Nalya-Bweyogerere'!H14+'Avg Week Bweyogerere-Naalya'!H14</f>
        <v>0.2857142857142857</v>
      </c>
      <c r="I14" s="49">
        <f>'Avg Week Nalya-Bweyogerere'!I14+'Avg Week Bweyogerere-Naalya'!I14</f>
        <v>5.4285714285714288</v>
      </c>
      <c r="J14" s="49">
        <f>'Avg Week Nalya-Bweyogerere'!J14+'Avg Week Bweyogerere-Naalya'!J14</f>
        <v>6.2857142857142865</v>
      </c>
      <c r="K14" s="49">
        <f>'Avg Week Nalya-Bweyogerere'!K14+'Avg Week Bweyogerere-Naalya'!K14</f>
        <v>5.7142857142857144</v>
      </c>
      <c r="L14" s="49">
        <f>'Avg Week Nalya-Bweyogerere'!L14+'Avg Week Bweyogerere-Naalya'!L14</f>
        <v>7.1428571428571423</v>
      </c>
      <c r="M14" s="49">
        <f>'Avg Week Nalya-Bweyogerere'!M14+'Avg Week Bweyogerere-Naalya'!M14</f>
        <v>69.714285714285722</v>
      </c>
      <c r="N14" s="49">
        <f>'Avg Week Nalya-Bweyogerere'!N14+'Avg Week Bweyogerere-Naalya'!N14</f>
        <v>0</v>
      </c>
      <c r="O14" s="15">
        <f t="shared" si="0"/>
        <v>156.14285714285711</v>
      </c>
      <c r="P14" s="15">
        <f t="shared" si="1"/>
        <v>225.85714285714283</v>
      </c>
      <c r="R14" s="1" t="s">
        <v>10</v>
      </c>
      <c r="S14" s="17">
        <f t="shared" ref="S14:AF14" si="6">SUM(C26:C29)</f>
        <v>174</v>
      </c>
      <c r="T14" s="17">
        <f t="shared" si="6"/>
        <v>67.285714285714292</v>
      </c>
      <c r="U14" s="17">
        <f t="shared" si="6"/>
        <v>31.142857142857142</v>
      </c>
      <c r="V14" s="17">
        <f t="shared" si="6"/>
        <v>168.14285714285717</v>
      </c>
      <c r="W14" s="17">
        <f t="shared" si="6"/>
        <v>3.7142857142857144</v>
      </c>
      <c r="X14" s="17">
        <f t="shared" si="6"/>
        <v>0.2857142857142857</v>
      </c>
      <c r="Y14" s="17">
        <f t="shared" si="6"/>
        <v>40.714285714285708</v>
      </c>
      <c r="Z14" s="17">
        <f t="shared" si="6"/>
        <v>34.571428571428569</v>
      </c>
      <c r="AA14" s="17">
        <f t="shared" si="6"/>
        <v>27.428571428571431</v>
      </c>
      <c r="AB14" s="17">
        <f t="shared" si="6"/>
        <v>37.857142857142861</v>
      </c>
      <c r="AC14" s="17">
        <f t="shared" si="6"/>
        <v>301.28571428571433</v>
      </c>
      <c r="AD14" s="17">
        <f t="shared" si="6"/>
        <v>0.14285714285714285</v>
      </c>
      <c r="AE14" s="31">
        <f t="shared" si="6"/>
        <v>585.28571428571433</v>
      </c>
      <c r="AF14" s="31">
        <f t="shared" si="6"/>
        <v>886.57142857142856</v>
      </c>
    </row>
    <row r="15" spans="2:32" ht="23.1" customHeight="1" x14ac:dyDescent="0.25">
      <c r="B15" s="23" t="s">
        <v>42</v>
      </c>
      <c r="C15" s="49">
        <f>'Avg Week Nalya-Bweyogerere'!C15+'Avg Week Bweyogerere-Naalya'!C15</f>
        <v>56.142857142857146</v>
      </c>
      <c r="D15" s="49">
        <f>'Avg Week Nalya-Bweyogerere'!D15+'Avg Week Bweyogerere-Naalya'!D15</f>
        <v>20.571428571428573</v>
      </c>
      <c r="E15" s="49">
        <f>'Avg Week Nalya-Bweyogerere'!E15+'Avg Week Bweyogerere-Naalya'!E15</f>
        <v>10.285714285714285</v>
      </c>
      <c r="F15" s="49">
        <f>'Avg Week Nalya-Bweyogerere'!F15+'Avg Week Bweyogerere-Naalya'!F15</f>
        <v>58.142857142857139</v>
      </c>
      <c r="G15" s="49">
        <f>'Avg Week Nalya-Bweyogerere'!G15+'Avg Week Bweyogerere-Naalya'!G15</f>
        <v>1</v>
      </c>
      <c r="H15" s="49">
        <f>'Avg Week Nalya-Bweyogerere'!H15+'Avg Week Bweyogerere-Naalya'!H15</f>
        <v>0</v>
      </c>
      <c r="I15" s="49">
        <f>'Avg Week Nalya-Bweyogerere'!I15+'Avg Week Bweyogerere-Naalya'!I15</f>
        <v>7.8571428571428577</v>
      </c>
      <c r="J15" s="49">
        <f>'Avg Week Nalya-Bweyogerere'!J15+'Avg Week Bweyogerere-Naalya'!J15</f>
        <v>7.1428571428571423</v>
      </c>
      <c r="K15" s="49">
        <f>'Avg Week Nalya-Bweyogerere'!K15+'Avg Week Bweyogerere-Naalya'!K15</f>
        <v>3.1428571428571428</v>
      </c>
      <c r="L15" s="49">
        <f>'Avg Week Nalya-Bweyogerere'!L15+'Avg Week Bweyogerere-Naalya'!L15</f>
        <v>5.1428571428571423</v>
      </c>
      <c r="M15" s="49">
        <f>'Avg Week Nalya-Bweyogerere'!M15+'Avg Week Bweyogerere-Naalya'!M15</f>
        <v>72.142857142857139</v>
      </c>
      <c r="N15" s="49">
        <f>'Avg Week Nalya-Bweyogerere'!N15+'Avg Week Bweyogerere-Naalya'!N15</f>
        <v>0.14285714285714285</v>
      </c>
      <c r="O15" s="15">
        <f t="shared" si="0"/>
        <v>169.57142857142856</v>
      </c>
      <c r="P15" s="15">
        <f t="shared" si="1"/>
        <v>241.71428571428569</v>
      </c>
      <c r="R15" s="1" t="s">
        <v>11</v>
      </c>
      <c r="S15" s="17">
        <f t="shared" ref="S15:AF15" si="7">SUM(C30:C33)</f>
        <v>177</v>
      </c>
      <c r="T15" s="17">
        <f t="shared" si="7"/>
        <v>60.142857142857146</v>
      </c>
      <c r="U15" s="17">
        <f t="shared" si="7"/>
        <v>31.142857142857146</v>
      </c>
      <c r="V15" s="17">
        <f t="shared" si="7"/>
        <v>162.57142857142856</v>
      </c>
      <c r="W15" s="17">
        <f t="shared" si="7"/>
        <v>2.1428571428571428</v>
      </c>
      <c r="X15" s="17">
        <f t="shared" si="7"/>
        <v>0.5714285714285714</v>
      </c>
      <c r="Y15" s="17">
        <f t="shared" si="7"/>
        <v>38.857142857142861</v>
      </c>
      <c r="Z15" s="17">
        <f t="shared" si="7"/>
        <v>37.714285714285715</v>
      </c>
      <c r="AA15" s="17">
        <f t="shared" si="7"/>
        <v>26.571428571428577</v>
      </c>
      <c r="AB15" s="17">
        <f t="shared" si="7"/>
        <v>43.285714285714285</v>
      </c>
      <c r="AC15" s="17">
        <f t="shared" si="7"/>
        <v>296.57142857142856</v>
      </c>
      <c r="AD15" s="17">
        <f t="shared" si="7"/>
        <v>0.14285714285714285</v>
      </c>
      <c r="AE15" s="31">
        <f t="shared" si="7"/>
        <v>580.14285714285722</v>
      </c>
      <c r="AF15" s="31">
        <f t="shared" si="7"/>
        <v>876.71428571428578</v>
      </c>
    </row>
    <row r="16" spans="2:32" ht="23.1" customHeight="1" x14ac:dyDescent="0.25">
      <c r="B16" s="23" t="s">
        <v>43</v>
      </c>
      <c r="C16" s="49">
        <f>'Avg Week Nalya-Bweyogerere'!C16+'Avg Week Bweyogerere-Naalya'!C16</f>
        <v>43.428571428571431</v>
      </c>
      <c r="D16" s="49">
        <f>'Avg Week Nalya-Bweyogerere'!D16+'Avg Week Bweyogerere-Naalya'!D16</f>
        <v>20.142857142857142</v>
      </c>
      <c r="E16" s="49">
        <f>'Avg Week Nalya-Bweyogerere'!E16+'Avg Week Bweyogerere-Naalya'!E16</f>
        <v>8.7142857142857153</v>
      </c>
      <c r="F16" s="49">
        <f>'Avg Week Nalya-Bweyogerere'!F16+'Avg Week Bweyogerere-Naalya'!F16</f>
        <v>48.857142857142861</v>
      </c>
      <c r="G16" s="49">
        <f>'Avg Week Nalya-Bweyogerere'!G16+'Avg Week Bweyogerere-Naalya'!G16</f>
        <v>0.5714285714285714</v>
      </c>
      <c r="H16" s="49">
        <f>'Avg Week Nalya-Bweyogerere'!H16+'Avg Week Bweyogerere-Naalya'!H16</f>
        <v>0</v>
      </c>
      <c r="I16" s="49">
        <f>'Avg Week Nalya-Bweyogerere'!I16+'Avg Week Bweyogerere-Naalya'!I16</f>
        <v>7.2857142857142865</v>
      </c>
      <c r="J16" s="49">
        <f>'Avg Week Nalya-Bweyogerere'!J16+'Avg Week Bweyogerere-Naalya'!J16</f>
        <v>7.1428571428571423</v>
      </c>
      <c r="K16" s="49">
        <f>'Avg Week Nalya-Bweyogerere'!K16+'Avg Week Bweyogerere-Naalya'!K16</f>
        <v>5</v>
      </c>
      <c r="L16" s="49">
        <f>'Avg Week Nalya-Bweyogerere'!L16+'Avg Week Bweyogerere-Naalya'!L16</f>
        <v>4.7142857142857144</v>
      </c>
      <c r="M16" s="49">
        <f>'Avg Week Nalya-Bweyogerere'!M16+'Avg Week Bweyogerere-Naalya'!M16</f>
        <v>62.285714285714285</v>
      </c>
      <c r="N16" s="49">
        <f>'Avg Week Nalya-Bweyogerere'!N16+'Avg Week Bweyogerere-Naalya'!N16</f>
        <v>0</v>
      </c>
      <c r="O16" s="15">
        <f t="shared" si="0"/>
        <v>145.85714285714286</v>
      </c>
      <c r="P16" s="15">
        <f t="shared" si="1"/>
        <v>208.14285714285714</v>
      </c>
      <c r="R16" s="1" t="s">
        <v>12</v>
      </c>
      <c r="S16" s="17">
        <f t="shared" ref="S16:AF16" si="8">SUM(C34:C37)</f>
        <v>166.57142857142856</v>
      </c>
      <c r="T16" s="17">
        <f t="shared" si="8"/>
        <v>59.714285714285708</v>
      </c>
      <c r="U16" s="17">
        <f t="shared" si="8"/>
        <v>31.285714285714285</v>
      </c>
      <c r="V16" s="17">
        <f t="shared" si="8"/>
        <v>153.28571428571431</v>
      </c>
      <c r="W16" s="17">
        <f t="shared" si="8"/>
        <v>1.5714285714285714</v>
      </c>
      <c r="X16" s="17">
        <f t="shared" si="8"/>
        <v>0.5714285714285714</v>
      </c>
      <c r="Y16" s="17">
        <f t="shared" si="8"/>
        <v>43.571428571428569</v>
      </c>
      <c r="Z16" s="17">
        <f t="shared" si="8"/>
        <v>36</v>
      </c>
      <c r="AA16" s="17">
        <f t="shared" si="8"/>
        <v>25.285714285714285</v>
      </c>
      <c r="AB16" s="17">
        <f t="shared" si="8"/>
        <v>40.285714285714285</v>
      </c>
      <c r="AC16" s="17">
        <f t="shared" si="8"/>
        <v>278.14285714285711</v>
      </c>
      <c r="AD16" s="17">
        <f t="shared" si="8"/>
        <v>0</v>
      </c>
      <c r="AE16" s="31">
        <f t="shared" si="8"/>
        <v>558.14285714285711</v>
      </c>
      <c r="AF16" s="31">
        <f t="shared" si="8"/>
        <v>836.28571428571422</v>
      </c>
    </row>
    <row r="17" spans="2:32" ht="23.1" customHeight="1" x14ac:dyDescent="0.25">
      <c r="B17" s="23" t="s">
        <v>44</v>
      </c>
      <c r="C17" s="49">
        <f>'Avg Week Nalya-Bweyogerere'!C17+'Avg Week Bweyogerere-Naalya'!C17</f>
        <v>45.428571428571431</v>
      </c>
      <c r="D17" s="49">
        <f>'Avg Week Nalya-Bweyogerere'!D17+'Avg Week Bweyogerere-Naalya'!D17</f>
        <v>15.142857142857142</v>
      </c>
      <c r="E17" s="49">
        <f>'Avg Week Nalya-Bweyogerere'!E17+'Avg Week Bweyogerere-Naalya'!E17</f>
        <v>8.1428571428571423</v>
      </c>
      <c r="F17" s="49">
        <f>'Avg Week Nalya-Bweyogerere'!F17+'Avg Week Bweyogerere-Naalya'!F17</f>
        <v>51.571428571428569</v>
      </c>
      <c r="G17" s="49">
        <f>'Avg Week Nalya-Bweyogerere'!G17+'Avg Week Bweyogerere-Naalya'!G17</f>
        <v>0.8571428571428571</v>
      </c>
      <c r="H17" s="49">
        <f>'Avg Week Nalya-Bweyogerere'!H17+'Avg Week Bweyogerere-Naalya'!H17</f>
        <v>0.14285714285714285</v>
      </c>
      <c r="I17" s="49">
        <f>'Avg Week Nalya-Bweyogerere'!I17+'Avg Week Bweyogerere-Naalya'!I17</f>
        <v>7.2857142857142865</v>
      </c>
      <c r="J17" s="49">
        <f>'Avg Week Nalya-Bweyogerere'!J17+'Avg Week Bweyogerere-Naalya'!J17</f>
        <v>5.7142857142857144</v>
      </c>
      <c r="K17" s="49">
        <f>'Avg Week Nalya-Bweyogerere'!K17+'Avg Week Bweyogerere-Naalya'!K17</f>
        <v>6.4285714285714288</v>
      </c>
      <c r="L17" s="49">
        <f>'Avg Week Nalya-Bweyogerere'!L17+'Avg Week Bweyogerere-Naalya'!L17</f>
        <v>5.1428571428571423</v>
      </c>
      <c r="M17" s="49">
        <f>'Avg Week Nalya-Bweyogerere'!M17+'Avg Week Bweyogerere-Naalya'!M17</f>
        <v>72.571428571428584</v>
      </c>
      <c r="N17" s="49">
        <f>'Avg Week Nalya-Bweyogerere'!N17+'Avg Week Bweyogerere-Naalya'!N17</f>
        <v>0</v>
      </c>
      <c r="O17" s="15">
        <f t="shared" si="0"/>
        <v>145.85714285714283</v>
      </c>
      <c r="P17" s="15">
        <f t="shared" si="1"/>
        <v>218.42857142857142</v>
      </c>
      <c r="R17" s="1" t="s">
        <v>13</v>
      </c>
      <c r="S17" s="17">
        <f t="shared" ref="S17:AF17" si="9">SUM(C38:C41)</f>
        <v>146.42857142857142</v>
      </c>
      <c r="T17" s="17">
        <f t="shared" si="9"/>
        <v>58.428571428571431</v>
      </c>
      <c r="U17" s="17">
        <f t="shared" si="9"/>
        <v>31.142857142857146</v>
      </c>
      <c r="V17" s="17">
        <f t="shared" si="9"/>
        <v>144.28571428571428</v>
      </c>
      <c r="W17" s="17">
        <f t="shared" si="9"/>
        <v>0.85714285714285698</v>
      </c>
      <c r="X17" s="17">
        <f t="shared" si="9"/>
        <v>0.5714285714285714</v>
      </c>
      <c r="Y17" s="17">
        <f t="shared" si="9"/>
        <v>38</v>
      </c>
      <c r="Z17" s="17">
        <f t="shared" si="9"/>
        <v>35.285714285714292</v>
      </c>
      <c r="AA17" s="17">
        <f t="shared" si="9"/>
        <v>29.571428571428573</v>
      </c>
      <c r="AB17" s="17">
        <f t="shared" si="9"/>
        <v>42.142857142857139</v>
      </c>
      <c r="AC17" s="17">
        <f t="shared" si="9"/>
        <v>272.85714285714289</v>
      </c>
      <c r="AD17" s="17">
        <f t="shared" si="9"/>
        <v>0.42857142857142855</v>
      </c>
      <c r="AE17" s="31">
        <f t="shared" si="9"/>
        <v>527.14285714285711</v>
      </c>
      <c r="AF17" s="31">
        <f t="shared" si="9"/>
        <v>800</v>
      </c>
    </row>
    <row r="18" spans="2:32" ht="23.1" customHeight="1" x14ac:dyDescent="0.25">
      <c r="B18" s="23" t="s">
        <v>45</v>
      </c>
      <c r="C18" s="49">
        <f>'Avg Week Nalya-Bweyogerere'!C18+'Avg Week Bweyogerere-Naalya'!C18</f>
        <v>44.714285714285715</v>
      </c>
      <c r="D18" s="49">
        <f>'Avg Week Nalya-Bweyogerere'!D18+'Avg Week Bweyogerere-Naalya'!D18</f>
        <v>15.714285714285714</v>
      </c>
      <c r="E18" s="49">
        <f>'Avg Week Nalya-Bweyogerere'!E18+'Avg Week Bweyogerere-Naalya'!E18</f>
        <v>6.8571428571428577</v>
      </c>
      <c r="F18" s="49">
        <f>'Avg Week Nalya-Bweyogerere'!F18+'Avg Week Bweyogerere-Naalya'!F18</f>
        <v>47.428571428571431</v>
      </c>
      <c r="G18" s="49">
        <f>'Avg Week Nalya-Bweyogerere'!G18+'Avg Week Bweyogerere-Naalya'!G18</f>
        <v>0.71428571428571419</v>
      </c>
      <c r="H18" s="49">
        <f>'Avg Week Nalya-Bweyogerere'!H18+'Avg Week Bweyogerere-Naalya'!H18</f>
        <v>0</v>
      </c>
      <c r="I18" s="49">
        <f>'Avg Week Nalya-Bweyogerere'!I18+'Avg Week Bweyogerere-Naalya'!I18</f>
        <v>9</v>
      </c>
      <c r="J18" s="49">
        <f>'Avg Week Nalya-Bweyogerere'!J18+'Avg Week Bweyogerere-Naalya'!J18</f>
        <v>5.4285714285714288</v>
      </c>
      <c r="K18" s="49">
        <f>'Avg Week Nalya-Bweyogerere'!K18+'Avg Week Bweyogerere-Naalya'!K18</f>
        <v>6.8571428571428577</v>
      </c>
      <c r="L18" s="49">
        <f>'Avg Week Nalya-Bweyogerere'!L18+'Avg Week Bweyogerere-Naalya'!L18</f>
        <v>4.8571428571428568</v>
      </c>
      <c r="M18" s="49">
        <f>'Avg Week Nalya-Bweyogerere'!M18+'Avg Week Bweyogerere-Naalya'!M18</f>
        <v>73.714285714285722</v>
      </c>
      <c r="N18" s="49">
        <f>'Avg Week Nalya-Bweyogerere'!N18+'Avg Week Bweyogerere-Naalya'!N18</f>
        <v>0.14285714285714285</v>
      </c>
      <c r="O18" s="15">
        <f t="shared" si="0"/>
        <v>141.71428571428572</v>
      </c>
      <c r="P18" s="15">
        <f t="shared" si="1"/>
        <v>215.42857142857144</v>
      </c>
      <c r="R18" s="1" t="s">
        <v>14</v>
      </c>
      <c r="S18" s="17">
        <f t="shared" ref="S18:AF18" si="10">SUM(C42:C45)</f>
        <v>150.57142857142858</v>
      </c>
      <c r="T18" s="17">
        <f t="shared" si="10"/>
        <v>61.714285714285722</v>
      </c>
      <c r="U18" s="17">
        <f t="shared" si="10"/>
        <v>28.857142857142854</v>
      </c>
      <c r="V18" s="17">
        <f t="shared" si="10"/>
        <v>155.14285714285717</v>
      </c>
      <c r="W18" s="17">
        <f t="shared" si="10"/>
        <v>1.7142857142857144</v>
      </c>
      <c r="X18" s="17">
        <f t="shared" si="10"/>
        <v>0.71428571428571419</v>
      </c>
      <c r="Y18" s="17">
        <f t="shared" si="10"/>
        <v>40.571428571428569</v>
      </c>
      <c r="Z18" s="17">
        <f t="shared" si="10"/>
        <v>34.571428571428577</v>
      </c>
      <c r="AA18" s="17">
        <f t="shared" si="10"/>
        <v>34.571428571428569</v>
      </c>
      <c r="AB18" s="17">
        <f t="shared" si="10"/>
        <v>46</v>
      </c>
      <c r="AC18" s="17">
        <f t="shared" si="10"/>
        <v>273.42857142857144</v>
      </c>
      <c r="AD18" s="17">
        <f t="shared" si="10"/>
        <v>0</v>
      </c>
      <c r="AE18" s="31">
        <f t="shared" si="10"/>
        <v>554.42857142857144</v>
      </c>
      <c r="AF18" s="31">
        <f t="shared" si="10"/>
        <v>827.85714285714289</v>
      </c>
    </row>
    <row r="19" spans="2:32" ht="23.1" customHeight="1" x14ac:dyDescent="0.25">
      <c r="B19" s="23" t="s">
        <v>46</v>
      </c>
      <c r="C19" s="49">
        <f>'Avg Week Nalya-Bweyogerere'!C19+'Avg Week Bweyogerere-Naalya'!C19</f>
        <v>39.714285714285715</v>
      </c>
      <c r="D19" s="49">
        <f>'Avg Week Nalya-Bweyogerere'!D19+'Avg Week Bweyogerere-Naalya'!D19</f>
        <v>16.428571428571427</v>
      </c>
      <c r="E19" s="49">
        <f>'Avg Week Nalya-Bweyogerere'!E19+'Avg Week Bweyogerere-Naalya'!E19</f>
        <v>6.7142857142857144</v>
      </c>
      <c r="F19" s="49">
        <f>'Avg Week Nalya-Bweyogerere'!F19+'Avg Week Bweyogerere-Naalya'!F19</f>
        <v>44.285714285714285</v>
      </c>
      <c r="G19" s="49">
        <f>'Avg Week Nalya-Bweyogerere'!G19+'Avg Week Bweyogerere-Naalya'!G19</f>
        <v>1.1428571428571428</v>
      </c>
      <c r="H19" s="49">
        <f>'Avg Week Nalya-Bweyogerere'!H19+'Avg Week Bweyogerere-Naalya'!H19</f>
        <v>0.14285714285714285</v>
      </c>
      <c r="I19" s="49">
        <f>'Avg Week Nalya-Bweyogerere'!I19+'Avg Week Bweyogerere-Naalya'!I19</f>
        <v>10.571428571428573</v>
      </c>
      <c r="J19" s="49">
        <f>'Avg Week Nalya-Bweyogerere'!J19+'Avg Week Bweyogerere-Naalya'!J19</f>
        <v>8</v>
      </c>
      <c r="K19" s="49">
        <f>'Avg Week Nalya-Bweyogerere'!K19+'Avg Week Bweyogerere-Naalya'!K19</f>
        <v>5.4285714285714288</v>
      </c>
      <c r="L19" s="49">
        <f>'Avg Week Nalya-Bweyogerere'!L19+'Avg Week Bweyogerere-Naalya'!L19</f>
        <v>8</v>
      </c>
      <c r="M19" s="49">
        <f>'Avg Week Nalya-Bweyogerere'!M19+'Avg Week Bweyogerere-Naalya'!M19</f>
        <v>72.857142857142861</v>
      </c>
      <c r="N19" s="49">
        <f>'Avg Week Nalya-Bweyogerere'!N19+'Avg Week Bweyogerere-Naalya'!N19</f>
        <v>0</v>
      </c>
      <c r="O19" s="15">
        <f t="shared" si="0"/>
        <v>140.42857142857142</v>
      </c>
      <c r="P19" s="15">
        <f t="shared" si="1"/>
        <v>213.28571428571428</v>
      </c>
      <c r="R19" s="1" t="s">
        <v>15</v>
      </c>
      <c r="S19" s="17">
        <f t="shared" ref="S19:AF19" si="11">SUM(C46:C49)</f>
        <v>185.42857142857144</v>
      </c>
      <c r="T19" s="17">
        <f t="shared" si="11"/>
        <v>67.571428571428569</v>
      </c>
      <c r="U19" s="17">
        <f t="shared" si="11"/>
        <v>38.857142857142861</v>
      </c>
      <c r="V19" s="17">
        <f t="shared" si="11"/>
        <v>171</v>
      </c>
      <c r="W19" s="17">
        <f t="shared" si="11"/>
        <v>2</v>
      </c>
      <c r="X19" s="17">
        <f t="shared" si="11"/>
        <v>0.5714285714285714</v>
      </c>
      <c r="Y19" s="17">
        <f t="shared" si="11"/>
        <v>38.857142857142854</v>
      </c>
      <c r="Z19" s="17">
        <f t="shared" si="11"/>
        <v>37.142857142857139</v>
      </c>
      <c r="AA19" s="17">
        <f t="shared" si="11"/>
        <v>33.428571428571431</v>
      </c>
      <c r="AB19" s="17">
        <f t="shared" si="11"/>
        <v>43.285714285714285</v>
      </c>
      <c r="AC19" s="17">
        <f t="shared" si="11"/>
        <v>279.28571428571428</v>
      </c>
      <c r="AD19" s="17">
        <f t="shared" si="11"/>
        <v>0.14285714285714285</v>
      </c>
      <c r="AE19" s="31">
        <f t="shared" si="11"/>
        <v>618.28571428571433</v>
      </c>
      <c r="AF19" s="31">
        <f t="shared" si="11"/>
        <v>897.57142857142867</v>
      </c>
    </row>
    <row r="20" spans="2:32" ht="23.1" customHeight="1" x14ac:dyDescent="0.25">
      <c r="B20" s="23" t="s">
        <v>47</v>
      </c>
      <c r="C20" s="49">
        <f>'Avg Week Nalya-Bweyogerere'!C20+'Avg Week Bweyogerere-Naalya'!C20</f>
        <v>51.571428571428569</v>
      </c>
      <c r="D20" s="49">
        <f>'Avg Week Nalya-Bweyogerere'!D20+'Avg Week Bweyogerere-Naalya'!D20</f>
        <v>16.142857142857142</v>
      </c>
      <c r="E20" s="49">
        <f>'Avg Week Nalya-Bweyogerere'!E20+'Avg Week Bweyogerere-Naalya'!E20</f>
        <v>7.8571428571428577</v>
      </c>
      <c r="F20" s="49">
        <f>'Avg Week Nalya-Bweyogerere'!F20+'Avg Week Bweyogerere-Naalya'!F20</f>
        <v>46.142857142857139</v>
      </c>
      <c r="G20" s="49">
        <f>'Avg Week Nalya-Bweyogerere'!G20+'Avg Week Bweyogerere-Naalya'!G20</f>
        <v>1.5714285714285714</v>
      </c>
      <c r="H20" s="49">
        <f>'Avg Week Nalya-Bweyogerere'!H20+'Avg Week Bweyogerere-Naalya'!H20</f>
        <v>0</v>
      </c>
      <c r="I20" s="49">
        <f>'Avg Week Nalya-Bweyogerere'!I20+'Avg Week Bweyogerere-Naalya'!I20</f>
        <v>7.5714285714285712</v>
      </c>
      <c r="J20" s="49">
        <f>'Avg Week Nalya-Bweyogerere'!J20+'Avg Week Bweyogerere-Naalya'!J20</f>
        <v>9.2857142857142865</v>
      </c>
      <c r="K20" s="49">
        <f>'Avg Week Nalya-Bweyogerere'!K20+'Avg Week Bweyogerere-Naalya'!K20</f>
        <v>8.7142857142857135</v>
      </c>
      <c r="L20" s="49">
        <f>'Avg Week Nalya-Bweyogerere'!L20+'Avg Week Bweyogerere-Naalya'!L20</f>
        <v>6.7142857142857144</v>
      </c>
      <c r="M20" s="49">
        <f>'Avg Week Nalya-Bweyogerere'!M20+'Avg Week Bweyogerere-Naalya'!M20</f>
        <v>77.428571428571431</v>
      </c>
      <c r="N20" s="49">
        <f>'Avg Week Nalya-Bweyogerere'!N20+'Avg Week Bweyogerere-Naalya'!N20</f>
        <v>0.2857142857142857</v>
      </c>
      <c r="O20" s="15">
        <f t="shared" si="0"/>
        <v>155.85714285714286</v>
      </c>
      <c r="P20" s="15">
        <f t="shared" si="1"/>
        <v>233.28571428571428</v>
      </c>
      <c r="R20" s="1" t="s">
        <v>16</v>
      </c>
      <c r="S20" s="17">
        <f t="shared" ref="S20:AF20" si="12">SUM(C50:C53)</f>
        <v>231.71428571428572</v>
      </c>
      <c r="T20" s="17">
        <f t="shared" si="12"/>
        <v>86.428571428571431</v>
      </c>
      <c r="U20" s="17">
        <f t="shared" si="12"/>
        <v>42</v>
      </c>
      <c r="V20" s="17">
        <f t="shared" si="12"/>
        <v>217</v>
      </c>
      <c r="W20" s="17">
        <f t="shared" si="12"/>
        <v>3.4285714285714288</v>
      </c>
      <c r="X20" s="17">
        <f t="shared" si="12"/>
        <v>0.99999999999999989</v>
      </c>
      <c r="Y20" s="17">
        <f t="shared" si="12"/>
        <v>41.142857142857139</v>
      </c>
      <c r="Z20" s="17">
        <f t="shared" si="12"/>
        <v>45.142857142857139</v>
      </c>
      <c r="AA20" s="17">
        <f t="shared" si="12"/>
        <v>31.285714285714285</v>
      </c>
      <c r="AB20" s="17">
        <f t="shared" si="12"/>
        <v>41.428571428571423</v>
      </c>
      <c r="AC20" s="17">
        <f t="shared" si="12"/>
        <v>345.14285714285717</v>
      </c>
      <c r="AD20" s="17">
        <f t="shared" si="12"/>
        <v>0.14285714285714285</v>
      </c>
      <c r="AE20" s="31">
        <f t="shared" si="12"/>
        <v>740.71428571428567</v>
      </c>
      <c r="AF20" s="31">
        <f t="shared" si="12"/>
        <v>1085.8571428571429</v>
      </c>
    </row>
    <row r="21" spans="2:32" ht="23.1" customHeight="1" x14ac:dyDescent="0.25">
      <c r="B21" s="23" t="s">
        <v>48</v>
      </c>
      <c r="C21" s="49">
        <f>'Avg Week Nalya-Bweyogerere'!C21+'Avg Week Bweyogerere-Naalya'!C21</f>
        <v>38.714285714285715</v>
      </c>
      <c r="D21" s="49">
        <f>'Avg Week Nalya-Bweyogerere'!D21+'Avg Week Bweyogerere-Naalya'!D21</f>
        <v>15.857142857142858</v>
      </c>
      <c r="E21" s="49">
        <f>'Avg Week Nalya-Bweyogerere'!E21+'Avg Week Bweyogerere-Naalya'!E21</f>
        <v>8.4285714285714288</v>
      </c>
      <c r="F21" s="49">
        <f>'Avg Week Nalya-Bweyogerere'!F21+'Avg Week Bweyogerere-Naalya'!F21</f>
        <v>48.285714285714292</v>
      </c>
      <c r="G21" s="49">
        <f>'Avg Week Nalya-Bweyogerere'!G21+'Avg Week Bweyogerere-Naalya'!G21</f>
        <v>1.1428571428571428</v>
      </c>
      <c r="H21" s="49">
        <f>'Avg Week Nalya-Bweyogerere'!H21+'Avg Week Bweyogerere-Naalya'!H21</f>
        <v>0</v>
      </c>
      <c r="I21" s="49">
        <f>'Avg Week Nalya-Bweyogerere'!I21+'Avg Week Bweyogerere-Naalya'!I21</f>
        <v>7.5714285714285712</v>
      </c>
      <c r="J21" s="49">
        <f>'Avg Week Nalya-Bweyogerere'!J21+'Avg Week Bweyogerere-Naalya'!J21</f>
        <v>8.4285714285714288</v>
      </c>
      <c r="K21" s="49">
        <f>'Avg Week Nalya-Bweyogerere'!K21+'Avg Week Bweyogerere-Naalya'!K21</f>
        <v>6.4285714285714288</v>
      </c>
      <c r="L21" s="49">
        <f>'Avg Week Nalya-Bweyogerere'!L21+'Avg Week Bweyogerere-Naalya'!L21</f>
        <v>8</v>
      </c>
      <c r="M21" s="49">
        <f>'Avg Week Nalya-Bweyogerere'!M21+'Avg Week Bweyogerere-Naalya'!M21</f>
        <v>78.428571428571431</v>
      </c>
      <c r="N21" s="49">
        <f>'Avg Week Nalya-Bweyogerere'!N21+'Avg Week Bweyogerere-Naalya'!N21</f>
        <v>0</v>
      </c>
      <c r="O21" s="15">
        <f t="shared" si="0"/>
        <v>142.85714285714283</v>
      </c>
      <c r="P21" s="15">
        <f t="shared" si="1"/>
        <v>221.28571428571428</v>
      </c>
      <c r="R21" s="36" t="s">
        <v>20</v>
      </c>
      <c r="S21" s="34">
        <f t="shared" ref="S21:AF21" si="13">SUM(C54:C57)</f>
        <v>298.14285714285711</v>
      </c>
      <c r="T21" s="17">
        <f t="shared" si="13"/>
        <v>116.14285714285714</v>
      </c>
      <c r="U21" s="17">
        <f t="shared" si="13"/>
        <v>52.428571428571423</v>
      </c>
      <c r="V21" s="17">
        <f t="shared" si="13"/>
        <v>272.57142857142856</v>
      </c>
      <c r="W21" s="17">
        <f t="shared" si="13"/>
        <v>5.7142857142857144</v>
      </c>
      <c r="X21" s="17">
        <f t="shared" si="13"/>
        <v>1</v>
      </c>
      <c r="Y21" s="17">
        <f t="shared" si="13"/>
        <v>49.285714285714285</v>
      </c>
      <c r="Z21" s="17">
        <f t="shared" si="13"/>
        <v>44</v>
      </c>
      <c r="AA21" s="17">
        <f t="shared" si="13"/>
        <v>35.714285714285715</v>
      </c>
      <c r="AB21" s="17">
        <f t="shared" si="13"/>
        <v>36</v>
      </c>
      <c r="AC21" s="17">
        <f t="shared" si="13"/>
        <v>385.71428571428567</v>
      </c>
      <c r="AD21" s="17">
        <f t="shared" si="13"/>
        <v>0.14285714285714285</v>
      </c>
      <c r="AE21" s="31">
        <f t="shared" si="13"/>
        <v>911.14285714285711</v>
      </c>
      <c r="AF21" s="31">
        <f t="shared" si="13"/>
        <v>1296.8571428571427</v>
      </c>
    </row>
    <row r="22" spans="2:32" ht="23.1" customHeight="1" x14ac:dyDescent="0.25">
      <c r="B22" s="23" t="s">
        <v>49</v>
      </c>
      <c r="C22" s="49">
        <f>'Avg Week Nalya-Bweyogerere'!C22+'Avg Week Bweyogerere-Naalya'!C22</f>
        <v>45.857142857142861</v>
      </c>
      <c r="D22" s="49">
        <f>'Avg Week Nalya-Bweyogerere'!D22+'Avg Week Bweyogerere-Naalya'!D22</f>
        <v>17.857142857142854</v>
      </c>
      <c r="E22" s="49">
        <f>'Avg Week Nalya-Bweyogerere'!E22+'Avg Week Bweyogerere-Naalya'!E22</f>
        <v>10.571428571428571</v>
      </c>
      <c r="F22" s="49">
        <f>'Avg Week Nalya-Bweyogerere'!F22+'Avg Week Bweyogerere-Naalya'!F22</f>
        <v>47</v>
      </c>
      <c r="G22" s="49">
        <f>'Avg Week Nalya-Bweyogerere'!G22+'Avg Week Bweyogerere-Naalya'!G22</f>
        <v>1.4285714285714286</v>
      </c>
      <c r="H22" s="49">
        <f>'Avg Week Nalya-Bweyogerere'!H22+'Avg Week Bweyogerere-Naalya'!H22</f>
        <v>0.5714285714285714</v>
      </c>
      <c r="I22" s="49">
        <f>'Avg Week Nalya-Bweyogerere'!I22+'Avg Week Bweyogerere-Naalya'!I22</f>
        <v>9.7142857142857135</v>
      </c>
      <c r="J22" s="49">
        <f>'Avg Week Nalya-Bweyogerere'!J22+'Avg Week Bweyogerere-Naalya'!J22</f>
        <v>8.7142857142857153</v>
      </c>
      <c r="K22" s="49">
        <f>'Avg Week Nalya-Bweyogerere'!K22+'Avg Week Bweyogerere-Naalya'!K22</f>
        <v>6</v>
      </c>
      <c r="L22" s="49">
        <f>'Avg Week Nalya-Bweyogerere'!L22+'Avg Week Bweyogerere-Naalya'!L22</f>
        <v>7.5714285714285712</v>
      </c>
      <c r="M22" s="49">
        <f>'Avg Week Nalya-Bweyogerere'!M22+'Avg Week Bweyogerere-Naalya'!M22</f>
        <v>77.285714285714278</v>
      </c>
      <c r="N22" s="49">
        <f>'Avg Week Nalya-Bweyogerere'!N22+'Avg Week Bweyogerere-Naalya'!N22</f>
        <v>0.14285714285714285</v>
      </c>
      <c r="O22" s="15">
        <f t="shared" si="0"/>
        <v>155.42857142857144</v>
      </c>
      <c r="P22" s="15">
        <f t="shared" si="1"/>
        <v>232.71428571428572</v>
      </c>
      <c r="R22" s="1" t="s">
        <v>146</v>
      </c>
      <c r="S22" s="34">
        <f>SUM(C58:C61)</f>
        <v>242</v>
      </c>
      <c r="T22" s="34">
        <f t="shared" ref="T22:AF22" si="14">SUM(D58:D61)</f>
        <v>116</v>
      </c>
      <c r="U22" s="34">
        <f t="shared" si="14"/>
        <v>40</v>
      </c>
      <c r="V22" s="34">
        <f t="shared" si="14"/>
        <v>183.5</v>
      </c>
      <c r="W22" s="34">
        <f t="shared" si="14"/>
        <v>6.5</v>
      </c>
      <c r="X22" s="34">
        <f t="shared" si="14"/>
        <v>0.5</v>
      </c>
      <c r="Y22" s="34">
        <f t="shared" si="14"/>
        <v>16</v>
      </c>
      <c r="Z22" s="34">
        <f t="shared" si="14"/>
        <v>36.5</v>
      </c>
      <c r="AA22" s="34">
        <f t="shared" si="14"/>
        <v>21</v>
      </c>
      <c r="AB22" s="34">
        <f t="shared" si="14"/>
        <v>34</v>
      </c>
      <c r="AC22" s="34">
        <f t="shared" si="14"/>
        <v>290</v>
      </c>
      <c r="AD22" s="34">
        <f t="shared" si="14"/>
        <v>0.5</v>
      </c>
      <c r="AE22" s="51">
        <f t="shared" si="14"/>
        <v>696.5</v>
      </c>
      <c r="AF22" s="51">
        <f t="shared" si="14"/>
        <v>986.5</v>
      </c>
    </row>
    <row r="23" spans="2:32" ht="23.1" customHeight="1" x14ac:dyDescent="0.25">
      <c r="B23" s="23" t="s">
        <v>50</v>
      </c>
      <c r="C23" s="49">
        <f>'Avg Week Nalya-Bweyogerere'!C23+'Avg Week Bweyogerere-Naalya'!C23</f>
        <v>44.571428571428569</v>
      </c>
      <c r="D23" s="49">
        <f>'Avg Week Nalya-Bweyogerere'!D23+'Avg Week Bweyogerere-Naalya'!D23</f>
        <v>16</v>
      </c>
      <c r="E23" s="49">
        <f>'Avg Week Nalya-Bweyogerere'!E23+'Avg Week Bweyogerere-Naalya'!E23</f>
        <v>7.5714285714285712</v>
      </c>
      <c r="F23" s="49">
        <f>'Avg Week Nalya-Bweyogerere'!F23+'Avg Week Bweyogerere-Naalya'!F23</f>
        <v>43.714285714285708</v>
      </c>
      <c r="G23" s="49">
        <f>'Avg Week Nalya-Bweyogerere'!G23+'Avg Week Bweyogerere-Naalya'!G23</f>
        <v>1.2857142857142856</v>
      </c>
      <c r="H23" s="49">
        <f>'Avg Week Nalya-Bweyogerere'!H23+'Avg Week Bweyogerere-Naalya'!H23</f>
        <v>0.14285714285714285</v>
      </c>
      <c r="I23" s="49">
        <f>'Avg Week Nalya-Bweyogerere'!I23+'Avg Week Bweyogerere-Naalya'!I23</f>
        <v>9</v>
      </c>
      <c r="J23" s="49">
        <f>'Avg Week Nalya-Bweyogerere'!J23+'Avg Week Bweyogerere-Naalya'!J23</f>
        <v>7.7142857142857144</v>
      </c>
      <c r="K23" s="49">
        <f>'Avg Week Nalya-Bweyogerere'!K23+'Avg Week Bweyogerere-Naalya'!K23</f>
        <v>8.5714285714285712</v>
      </c>
      <c r="L23" s="49">
        <f>'Avg Week Nalya-Bweyogerere'!L23+'Avg Week Bweyogerere-Naalya'!L23</f>
        <v>7.7142857142857135</v>
      </c>
      <c r="M23" s="49">
        <f>'Avg Week Nalya-Bweyogerere'!M23+'Avg Week Bweyogerere-Naalya'!M23</f>
        <v>76.857142857142861</v>
      </c>
      <c r="N23" s="49">
        <f>'Avg Week Nalya-Bweyogerere'!N23+'Avg Week Bweyogerere-Naalya'!N23</f>
        <v>0</v>
      </c>
      <c r="O23" s="15">
        <f t="shared" si="0"/>
        <v>146.28571428571431</v>
      </c>
      <c r="P23" s="15">
        <f t="shared" si="1"/>
        <v>223.14285714285717</v>
      </c>
      <c r="R23" s="1" t="s">
        <v>147</v>
      </c>
      <c r="S23" s="34">
        <f>SUM(C62:C65)</f>
        <v>248</v>
      </c>
      <c r="T23" s="34">
        <f t="shared" ref="T23:AF23" si="15">SUM(D62:D65)</f>
        <v>109</v>
      </c>
      <c r="U23" s="34">
        <f t="shared" si="15"/>
        <v>40</v>
      </c>
      <c r="V23" s="34">
        <f t="shared" si="15"/>
        <v>181</v>
      </c>
      <c r="W23" s="34">
        <f t="shared" si="15"/>
        <v>6</v>
      </c>
      <c r="X23" s="34">
        <f t="shared" si="15"/>
        <v>2</v>
      </c>
      <c r="Y23" s="34">
        <f t="shared" si="15"/>
        <v>22</v>
      </c>
      <c r="Z23" s="34">
        <f t="shared" si="15"/>
        <v>36</v>
      </c>
      <c r="AA23" s="34">
        <f t="shared" si="15"/>
        <v>13.5</v>
      </c>
      <c r="AB23" s="34">
        <f t="shared" si="15"/>
        <v>25</v>
      </c>
      <c r="AC23" s="34">
        <f t="shared" si="15"/>
        <v>296</v>
      </c>
      <c r="AD23" s="34">
        <f t="shared" si="15"/>
        <v>0</v>
      </c>
      <c r="AE23" s="51">
        <f t="shared" si="15"/>
        <v>682.5</v>
      </c>
      <c r="AF23" s="51">
        <f t="shared" si="15"/>
        <v>978.5</v>
      </c>
    </row>
    <row r="24" spans="2:32" ht="23.1" customHeight="1" x14ac:dyDescent="0.25">
      <c r="B24" s="23" t="s">
        <v>51</v>
      </c>
      <c r="C24" s="49">
        <f>'Avg Week Nalya-Bweyogerere'!C24+'Avg Week Bweyogerere-Naalya'!C24</f>
        <v>47.571428571428569</v>
      </c>
      <c r="D24" s="49">
        <f>'Avg Week Nalya-Bweyogerere'!D24+'Avg Week Bweyogerere-Naalya'!D24</f>
        <v>13.857142857142858</v>
      </c>
      <c r="E24" s="49">
        <f>'Avg Week Nalya-Bweyogerere'!E24+'Avg Week Bweyogerere-Naalya'!E24</f>
        <v>7</v>
      </c>
      <c r="F24" s="49">
        <f>'Avg Week Nalya-Bweyogerere'!F24+'Avg Week Bweyogerere-Naalya'!F24</f>
        <v>39.142857142857139</v>
      </c>
      <c r="G24" s="49">
        <f>'Avg Week Nalya-Bweyogerere'!G24+'Avg Week Bweyogerere-Naalya'!G24</f>
        <v>1.7142857142857144</v>
      </c>
      <c r="H24" s="49">
        <f>'Avg Week Nalya-Bweyogerere'!H24+'Avg Week Bweyogerere-Naalya'!H24</f>
        <v>0.14285714285714285</v>
      </c>
      <c r="I24" s="49">
        <f>'Avg Week Nalya-Bweyogerere'!I24+'Avg Week Bweyogerere-Naalya'!I24</f>
        <v>8.5714285714285712</v>
      </c>
      <c r="J24" s="49">
        <f>'Avg Week Nalya-Bweyogerere'!J24+'Avg Week Bweyogerere-Naalya'!J24</f>
        <v>8</v>
      </c>
      <c r="K24" s="49">
        <f>'Avg Week Nalya-Bweyogerere'!K24+'Avg Week Bweyogerere-Naalya'!K24</f>
        <v>6.5714285714285712</v>
      </c>
      <c r="L24" s="49">
        <f>'Avg Week Nalya-Bweyogerere'!L24+'Avg Week Bweyogerere-Naalya'!L24</f>
        <v>7.2857142857142865</v>
      </c>
      <c r="M24" s="49">
        <f>'Avg Week Nalya-Bweyogerere'!M24+'Avg Week Bweyogerere-Naalya'!M24</f>
        <v>70.714285714285722</v>
      </c>
      <c r="N24" s="49">
        <f>'Avg Week Nalya-Bweyogerere'!N24+'Avg Week Bweyogerere-Naalya'!N24</f>
        <v>0</v>
      </c>
      <c r="O24" s="15">
        <f t="shared" si="0"/>
        <v>139.85714285714283</v>
      </c>
      <c r="P24" s="15">
        <f t="shared" si="1"/>
        <v>210.57142857142856</v>
      </c>
      <c r="R24" s="1" t="s">
        <v>148</v>
      </c>
      <c r="S24" s="34">
        <f>SUM(C66:C69)</f>
        <v>249</v>
      </c>
      <c r="T24" s="34">
        <f t="shared" ref="T24:AF24" si="16">SUM(D66:D69)</f>
        <v>56</v>
      </c>
      <c r="U24" s="34">
        <f t="shared" si="16"/>
        <v>41</v>
      </c>
      <c r="V24" s="34">
        <f t="shared" si="16"/>
        <v>168</v>
      </c>
      <c r="W24" s="34">
        <f t="shared" si="16"/>
        <v>5</v>
      </c>
      <c r="X24" s="34">
        <f t="shared" si="16"/>
        <v>2</v>
      </c>
      <c r="Y24" s="34">
        <f t="shared" si="16"/>
        <v>21.5</v>
      </c>
      <c r="Z24" s="34">
        <f t="shared" si="16"/>
        <v>25.5</v>
      </c>
      <c r="AA24" s="34">
        <f t="shared" si="16"/>
        <v>21</v>
      </c>
      <c r="AB24" s="34">
        <f t="shared" si="16"/>
        <v>24</v>
      </c>
      <c r="AC24" s="34">
        <f t="shared" si="16"/>
        <v>205</v>
      </c>
      <c r="AD24" s="34">
        <f t="shared" si="16"/>
        <v>0</v>
      </c>
      <c r="AE24" s="51">
        <f t="shared" si="16"/>
        <v>613</v>
      </c>
      <c r="AF24" s="51">
        <f t="shared" si="16"/>
        <v>818</v>
      </c>
    </row>
    <row r="25" spans="2:32" ht="23.1" customHeight="1" x14ac:dyDescent="0.25">
      <c r="B25" s="23" t="s">
        <v>52</v>
      </c>
      <c r="C25" s="49">
        <f>'Avg Week Nalya-Bweyogerere'!C25+'Avg Week Bweyogerere-Naalya'!C25</f>
        <v>38.142857142857139</v>
      </c>
      <c r="D25" s="49">
        <f>'Avg Week Nalya-Bweyogerere'!D25+'Avg Week Bweyogerere-Naalya'!D25</f>
        <v>17.142857142857142</v>
      </c>
      <c r="E25" s="49">
        <f>'Avg Week Nalya-Bweyogerere'!E25+'Avg Week Bweyogerere-Naalya'!E25</f>
        <v>9</v>
      </c>
      <c r="F25" s="49">
        <f>'Avg Week Nalya-Bweyogerere'!F25+'Avg Week Bweyogerere-Naalya'!F25</f>
        <v>47</v>
      </c>
      <c r="G25" s="49">
        <f>'Avg Week Nalya-Bweyogerere'!G25+'Avg Week Bweyogerere-Naalya'!G25</f>
        <v>1.8571428571428572</v>
      </c>
      <c r="H25" s="49">
        <f>'Avg Week Nalya-Bweyogerere'!H25+'Avg Week Bweyogerere-Naalya'!H25</f>
        <v>0.14285714285714285</v>
      </c>
      <c r="I25" s="49">
        <f>'Avg Week Nalya-Bweyogerere'!I25+'Avg Week Bweyogerere-Naalya'!I25</f>
        <v>6.4285714285714288</v>
      </c>
      <c r="J25" s="49">
        <f>'Avg Week Nalya-Bweyogerere'!J25+'Avg Week Bweyogerere-Naalya'!J25</f>
        <v>7.8571428571428568</v>
      </c>
      <c r="K25" s="49">
        <f>'Avg Week Nalya-Bweyogerere'!K25+'Avg Week Bweyogerere-Naalya'!K25</f>
        <v>8.5714285714285712</v>
      </c>
      <c r="L25" s="49">
        <f>'Avg Week Nalya-Bweyogerere'!L25+'Avg Week Bweyogerere-Naalya'!L25</f>
        <v>10.714285714285714</v>
      </c>
      <c r="M25" s="49">
        <f>'Avg Week Nalya-Bweyogerere'!M25+'Avg Week Bweyogerere-Naalya'!M25</f>
        <v>70.285714285714292</v>
      </c>
      <c r="N25" s="49">
        <f>'Avg Week Nalya-Bweyogerere'!N25+'Avg Week Bweyogerere-Naalya'!N25</f>
        <v>0</v>
      </c>
      <c r="O25" s="15">
        <f t="shared" si="0"/>
        <v>146.85714285714286</v>
      </c>
      <c r="P25" s="15">
        <f t="shared" si="1"/>
        <v>217.14285714285717</v>
      </c>
      <c r="R25" s="1" t="s">
        <v>149</v>
      </c>
      <c r="S25" s="34">
        <f>SUM(C70:C73)</f>
        <v>150</v>
      </c>
      <c r="T25" s="34">
        <f t="shared" ref="T25:AF25" si="17">SUM(D70:D73)</f>
        <v>49</v>
      </c>
      <c r="U25" s="34">
        <f t="shared" si="17"/>
        <v>20.5</v>
      </c>
      <c r="V25" s="34">
        <f t="shared" si="17"/>
        <v>117</v>
      </c>
      <c r="W25" s="34">
        <f t="shared" si="17"/>
        <v>6</v>
      </c>
      <c r="X25" s="34">
        <f t="shared" si="17"/>
        <v>0.5</v>
      </c>
      <c r="Y25" s="34">
        <f t="shared" si="17"/>
        <v>15.5</v>
      </c>
      <c r="Z25" s="34">
        <f t="shared" si="17"/>
        <v>21</v>
      </c>
      <c r="AA25" s="34">
        <f t="shared" si="17"/>
        <v>14.5</v>
      </c>
      <c r="AB25" s="34">
        <f t="shared" si="17"/>
        <v>36.5</v>
      </c>
      <c r="AC25" s="34">
        <f t="shared" si="17"/>
        <v>119</v>
      </c>
      <c r="AD25" s="34">
        <f t="shared" si="17"/>
        <v>0</v>
      </c>
      <c r="AE25" s="51">
        <f t="shared" si="17"/>
        <v>430.5</v>
      </c>
      <c r="AF25" s="51">
        <f t="shared" si="17"/>
        <v>549.5</v>
      </c>
    </row>
    <row r="26" spans="2:32" ht="23.1" customHeight="1" x14ac:dyDescent="0.25">
      <c r="B26" s="23" t="s">
        <v>53</v>
      </c>
      <c r="C26" s="49">
        <f>'Avg Week Nalya-Bweyogerere'!C26+'Avg Week Bweyogerere-Naalya'!C26</f>
        <v>43.571428571428569</v>
      </c>
      <c r="D26" s="49">
        <f>'Avg Week Nalya-Bweyogerere'!D26+'Avg Week Bweyogerere-Naalya'!D26</f>
        <v>16.142857142857142</v>
      </c>
      <c r="E26" s="49">
        <f>'Avg Week Nalya-Bweyogerere'!E26+'Avg Week Bweyogerere-Naalya'!E26</f>
        <v>6.2857142857142856</v>
      </c>
      <c r="F26" s="49">
        <f>'Avg Week Nalya-Bweyogerere'!F26+'Avg Week Bweyogerere-Naalya'!F26</f>
        <v>44.857142857142861</v>
      </c>
      <c r="G26" s="49">
        <f>'Avg Week Nalya-Bweyogerere'!G26+'Avg Week Bweyogerere-Naalya'!G26</f>
        <v>1.2857142857142856</v>
      </c>
      <c r="H26" s="49">
        <f>'Avg Week Nalya-Bweyogerere'!H26+'Avg Week Bweyogerere-Naalya'!H26</f>
        <v>0.14285714285714285</v>
      </c>
      <c r="I26" s="49">
        <f>'Avg Week Nalya-Bweyogerere'!I26+'Avg Week Bweyogerere-Naalya'!I26</f>
        <v>10.285714285714285</v>
      </c>
      <c r="J26" s="49">
        <f>'Avg Week Nalya-Bweyogerere'!J26+'Avg Week Bweyogerere-Naalya'!J26</f>
        <v>10</v>
      </c>
      <c r="K26" s="49">
        <f>'Avg Week Nalya-Bweyogerere'!K26+'Avg Week Bweyogerere-Naalya'!K26</f>
        <v>7.8571428571428577</v>
      </c>
      <c r="L26" s="49">
        <f>'Avg Week Nalya-Bweyogerere'!L26+'Avg Week Bweyogerere-Naalya'!L26</f>
        <v>9</v>
      </c>
      <c r="M26" s="49">
        <f>'Avg Week Nalya-Bweyogerere'!M26+'Avg Week Bweyogerere-Naalya'!M26</f>
        <v>77.571428571428569</v>
      </c>
      <c r="N26" s="49">
        <f>'Avg Week Nalya-Bweyogerere'!N26+'Avg Week Bweyogerere-Naalya'!N26</f>
        <v>0</v>
      </c>
      <c r="O26" s="15">
        <f t="shared" si="0"/>
        <v>149.42857142857144</v>
      </c>
      <c r="P26" s="15">
        <f t="shared" si="1"/>
        <v>227</v>
      </c>
      <c r="R26" s="1" t="s">
        <v>150</v>
      </c>
      <c r="S26" s="34">
        <f>SUM(C74:C77)</f>
        <v>100</v>
      </c>
      <c r="T26" s="34">
        <f t="shared" ref="T26:AF26" si="18">SUM(D74:D77)</f>
        <v>33</v>
      </c>
      <c r="U26" s="34">
        <f t="shared" si="18"/>
        <v>14</v>
      </c>
      <c r="V26" s="34">
        <f t="shared" si="18"/>
        <v>62</v>
      </c>
      <c r="W26" s="34">
        <f t="shared" si="18"/>
        <v>1</v>
      </c>
      <c r="X26" s="34">
        <f t="shared" si="18"/>
        <v>0.5</v>
      </c>
      <c r="Y26" s="34">
        <f t="shared" si="18"/>
        <v>8</v>
      </c>
      <c r="Z26" s="34">
        <f t="shared" si="18"/>
        <v>19.5</v>
      </c>
      <c r="AA26" s="34">
        <f t="shared" si="18"/>
        <v>8</v>
      </c>
      <c r="AB26" s="34">
        <f t="shared" si="18"/>
        <v>20.5</v>
      </c>
      <c r="AC26" s="34">
        <f t="shared" si="18"/>
        <v>60</v>
      </c>
      <c r="AD26" s="34">
        <f t="shared" si="18"/>
        <v>0.5</v>
      </c>
      <c r="AE26" s="51">
        <f t="shared" si="18"/>
        <v>267</v>
      </c>
      <c r="AF26" s="51">
        <f t="shared" si="18"/>
        <v>327</v>
      </c>
    </row>
    <row r="27" spans="2:32" ht="23.1" customHeight="1" x14ac:dyDescent="0.25">
      <c r="B27" s="23" t="s">
        <v>54</v>
      </c>
      <c r="C27" s="49">
        <f>'Avg Week Nalya-Bweyogerere'!C27+'Avg Week Bweyogerere-Naalya'!C27</f>
        <v>47</v>
      </c>
      <c r="D27" s="49">
        <f>'Avg Week Nalya-Bweyogerere'!D27+'Avg Week Bweyogerere-Naalya'!D27</f>
        <v>17.285714285714285</v>
      </c>
      <c r="E27" s="49">
        <f>'Avg Week Nalya-Bweyogerere'!E27+'Avg Week Bweyogerere-Naalya'!E27</f>
        <v>8</v>
      </c>
      <c r="F27" s="49">
        <f>'Avg Week Nalya-Bweyogerere'!F27+'Avg Week Bweyogerere-Naalya'!F27</f>
        <v>43.714285714285715</v>
      </c>
      <c r="G27" s="49">
        <f>'Avg Week Nalya-Bweyogerere'!G27+'Avg Week Bweyogerere-Naalya'!G27</f>
        <v>1.1428571428571428</v>
      </c>
      <c r="H27" s="49">
        <f>'Avg Week Nalya-Bweyogerere'!H27+'Avg Week Bweyogerere-Naalya'!H27</f>
        <v>0</v>
      </c>
      <c r="I27" s="49">
        <f>'Avg Week Nalya-Bweyogerere'!I27+'Avg Week Bweyogerere-Naalya'!I27</f>
        <v>12.285714285714285</v>
      </c>
      <c r="J27" s="49">
        <f>'Avg Week Nalya-Bweyogerere'!J27+'Avg Week Bweyogerere-Naalya'!J27</f>
        <v>10</v>
      </c>
      <c r="K27" s="49">
        <f>'Avg Week Nalya-Bweyogerere'!K27+'Avg Week Bweyogerere-Naalya'!K27</f>
        <v>6</v>
      </c>
      <c r="L27" s="49">
        <f>'Avg Week Nalya-Bweyogerere'!L27+'Avg Week Bweyogerere-Naalya'!L27</f>
        <v>9.7142857142857153</v>
      </c>
      <c r="M27" s="49">
        <f>'Avg Week Nalya-Bweyogerere'!M27+'Avg Week Bweyogerere-Naalya'!M27</f>
        <v>69.857142857142861</v>
      </c>
      <c r="N27" s="49">
        <f>'Avg Week Nalya-Bweyogerere'!N27+'Avg Week Bweyogerere-Naalya'!N27</f>
        <v>0.14285714285714285</v>
      </c>
      <c r="O27" s="15">
        <f t="shared" si="0"/>
        <v>155.28571428571428</v>
      </c>
      <c r="P27" s="15">
        <f t="shared" si="1"/>
        <v>225.14285714285714</v>
      </c>
      <c r="R27" s="1" t="s">
        <v>151</v>
      </c>
      <c r="S27" s="34">
        <f>SUM(C78:C81)</f>
        <v>56.5</v>
      </c>
      <c r="T27" s="34">
        <f t="shared" ref="T27:AF27" si="19">SUM(D78:D81)</f>
        <v>29.5</v>
      </c>
      <c r="U27" s="34">
        <f t="shared" si="19"/>
        <v>9</v>
      </c>
      <c r="V27" s="34">
        <f t="shared" si="19"/>
        <v>21</v>
      </c>
      <c r="W27" s="34">
        <f t="shared" si="19"/>
        <v>0.5</v>
      </c>
      <c r="X27" s="34">
        <f t="shared" si="19"/>
        <v>0</v>
      </c>
      <c r="Y27" s="34">
        <f t="shared" si="19"/>
        <v>10</v>
      </c>
      <c r="Z27" s="34">
        <f t="shared" si="19"/>
        <v>19.5</v>
      </c>
      <c r="AA27" s="34">
        <f t="shared" si="19"/>
        <v>17.5</v>
      </c>
      <c r="AB27" s="34">
        <f t="shared" si="19"/>
        <v>18.5</v>
      </c>
      <c r="AC27" s="34">
        <f t="shared" si="19"/>
        <v>27.5</v>
      </c>
      <c r="AD27" s="34">
        <f t="shared" si="19"/>
        <v>0</v>
      </c>
      <c r="AE27" s="51">
        <f t="shared" si="19"/>
        <v>182</v>
      </c>
      <c r="AF27" s="51">
        <f t="shared" si="19"/>
        <v>209.5</v>
      </c>
    </row>
    <row r="28" spans="2:32" ht="23.1" customHeight="1" x14ac:dyDescent="0.25">
      <c r="B28" s="23" t="s">
        <v>55</v>
      </c>
      <c r="C28" s="49">
        <f>'Avg Week Nalya-Bweyogerere'!C28+'Avg Week Bweyogerere-Naalya'!C28</f>
        <v>42.428571428571431</v>
      </c>
      <c r="D28" s="49">
        <f>'Avg Week Nalya-Bweyogerere'!D28+'Avg Week Bweyogerere-Naalya'!D28</f>
        <v>17.428571428571427</v>
      </c>
      <c r="E28" s="49">
        <f>'Avg Week Nalya-Bweyogerere'!E28+'Avg Week Bweyogerere-Naalya'!E28</f>
        <v>8.8571428571428577</v>
      </c>
      <c r="F28" s="49">
        <f>'Avg Week Nalya-Bweyogerere'!F28+'Avg Week Bweyogerere-Naalya'!F28</f>
        <v>41.142857142857139</v>
      </c>
      <c r="G28" s="49">
        <f>'Avg Week Nalya-Bweyogerere'!G28+'Avg Week Bweyogerere-Naalya'!G28</f>
        <v>0.5714285714285714</v>
      </c>
      <c r="H28" s="49">
        <f>'Avg Week Nalya-Bweyogerere'!H28+'Avg Week Bweyogerere-Naalya'!H28</f>
        <v>0.14285714285714285</v>
      </c>
      <c r="I28" s="49">
        <f>'Avg Week Nalya-Bweyogerere'!I28+'Avg Week Bweyogerere-Naalya'!I28</f>
        <v>10.571428571428573</v>
      </c>
      <c r="J28" s="49">
        <f>'Avg Week Nalya-Bweyogerere'!J28+'Avg Week Bweyogerere-Naalya'!J28</f>
        <v>7.5714285714285712</v>
      </c>
      <c r="K28" s="49">
        <f>'Avg Week Nalya-Bweyogerere'!K28+'Avg Week Bweyogerere-Naalya'!K28</f>
        <v>7.7142857142857144</v>
      </c>
      <c r="L28" s="49">
        <f>'Avg Week Nalya-Bweyogerere'!L28+'Avg Week Bweyogerere-Naalya'!L28</f>
        <v>10.571428571428571</v>
      </c>
      <c r="M28" s="49">
        <f>'Avg Week Nalya-Bweyogerere'!M28+'Avg Week Bweyogerere-Naalya'!M28</f>
        <v>75.857142857142861</v>
      </c>
      <c r="N28" s="49">
        <f>'Avg Week Nalya-Bweyogerere'!N28+'Avg Week Bweyogerere-Naalya'!N28</f>
        <v>0</v>
      </c>
      <c r="O28" s="15">
        <f t="shared" si="0"/>
        <v>147.00000000000003</v>
      </c>
      <c r="P28" s="15">
        <f t="shared" si="1"/>
        <v>222.85714285714289</v>
      </c>
      <c r="R28" s="1" t="s">
        <v>152</v>
      </c>
      <c r="S28" s="34">
        <f>SUM(C82:C85)</f>
        <v>27</v>
      </c>
      <c r="T28" s="34">
        <f t="shared" ref="T28:AF28" si="20">SUM(D82:D85)</f>
        <v>8</v>
      </c>
      <c r="U28" s="34">
        <f t="shared" si="20"/>
        <v>4</v>
      </c>
      <c r="V28" s="34">
        <f t="shared" si="20"/>
        <v>5.5</v>
      </c>
      <c r="W28" s="34">
        <f t="shared" si="20"/>
        <v>1.5</v>
      </c>
      <c r="X28" s="34">
        <f t="shared" si="20"/>
        <v>0</v>
      </c>
      <c r="Y28" s="34">
        <f t="shared" si="20"/>
        <v>7</v>
      </c>
      <c r="Z28" s="34">
        <f t="shared" si="20"/>
        <v>15</v>
      </c>
      <c r="AA28" s="34">
        <f t="shared" si="20"/>
        <v>14.5</v>
      </c>
      <c r="AB28" s="34">
        <f t="shared" si="20"/>
        <v>16.5</v>
      </c>
      <c r="AC28" s="34">
        <f t="shared" si="20"/>
        <v>17.5</v>
      </c>
      <c r="AD28" s="34">
        <f t="shared" si="20"/>
        <v>0</v>
      </c>
      <c r="AE28" s="51">
        <f t="shared" si="20"/>
        <v>99</v>
      </c>
      <c r="AF28" s="51">
        <f t="shared" si="20"/>
        <v>116.5</v>
      </c>
    </row>
    <row r="29" spans="2:32" ht="23.1" customHeight="1" x14ac:dyDescent="0.25">
      <c r="B29" s="23" t="s">
        <v>56</v>
      </c>
      <c r="C29" s="49">
        <f>'Avg Week Nalya-Bweyogerere'!C29+'Avg Week Bweyogerere-Naalya'!C29</f>
        <v>41</v>
      </c>
      <c r="D29" s="49">
        <f>'Avg Week Nalya-Bweyogerere'!D29+'Avg Week Bweyogerere-Naalya'!D29</f>
        <v>16.428571428571427</v>
      </c>
      <c r="E29" s="49">
        <f>'Avg Week Nalya-Bweyogerere'!E29+'Avg Week Bweyogerere-Naalya'!E29</f>
        <v>8</v>
      </c>
      <c r="F29" s="49">
        <f>'Avg Week Nalya-Bweyogerere'!F29+'Avg Week Bweyogerere-Naalya'!F29</f>
        <v>38.428571428571431</v>
      </c>
      <c r="G29" s="49">
        <f>'Avg Week Nalya-Bweyogerere'!G29+'Avg Week Bweyogerere-Naalya'!G29</f>
        <v>0.7142857142857143</v>
      </c>
      <c r="H29" s="49">
        <f>'Avg Week Nalya-Bweyogerere'!H29+'Avg Week Bweyogerere-Naalya'!H29</f>
        <v>0</v>
      </c>
      <c r="I29" s="49">
        <f>'Avg Week Nalya-Bweyogerere'!I29+'Avg Week Bweyogerere-Naalya'!I29</f>
        <v>7.5714285714285712</v>
      </c>
      <c r="J29" s="49">
        <f>'Avg Week Nalya-Bweyogerere'!J29+'Avg Week Bweyogerere-Naalya'!J29</f>
        <v>7</v>
      </c>
      <c r="K29" s="49">
        <f>'Avg Week Nalya-Bweyogerere'!K29+'Avg Week Bweyogerere-Naalya'!K29</f>
        <v>5.8571428571428577</v>
      </c>
      <c r="L29" s="49">
        <f>'Avg Week Nalya-Bweyogerere'!L29+'Avg Week Bweyogerere-Naalya'!L29</f>
        <v>8.571428571428573</v>
      </c>
      <c r="M29" s="49">
        <f>'Avg Week Nalya-Bweyogerere'!M29+'Avg Week Bweyogerere-Naalya'!M29</f>
        <v>78</v>
      </c>
      <c r="N29" s="49">
        <f>'Avg Week Nalya-Bweyogerere'!N29+'Avg Week Bweyogerere-Naalya'!N29</f>
        <v>0</v>
      </c>
      <c r="O29" s="15">
        <f t="shared" si="0"/>
        <v>133.57142857142858</v>
      </c>
      <c r="P29" s="15">
        <f t="shared" si="1"/>
        <v>211.57142857142858</v>
      </c>
      <c r="R29" s="1" t="s">
        <v>153</v>
      </c>
      <c r="S29" s="34">
        <f>SUM(C86:C89)</f>
        <v>12</v>
      </c>
      <c r="T29" s="34">
        <f t="shared" ref="T29:AF29" si="21">SUM(D86:D89)</f>
        <v>1</v>
      </c>
      <c r="U29" s="34">
        <f t="shared" si="21"/>
        <v>3</v>
      </c>
      <c r="V29" s="34">
        <f t="shared" si="21"/>
        <v>3</v>
      </c>
      <c r="W29" s="34">
        <f t="shared" si="21"/>
        <v>1.5</v>
      </c>
      <c r="X29" s="34">
        <f t="shared" si="21"/>
        <v>1</v>
      </c>
      <c r="Y29" s="34">
        <f t="shared" si="21"/>
        <v>2</v>
      </c>
      <c r="Z29" s="34">
        <f t="shared" si="21"/>
        <v>9.5</v>
      </c>
      <c r="AA29" s="34">
        <f t="shared" si="21"/>
        <v>17</v>
      </c>
      <c r="AB29" s="34">
        <f t="shared" si="21"/>
        <v>12</v>
      </c>
      <c r="AC29" s="34">
        <f t="shared" si="21"/>
        <v>2.5</v>
      </c>
      <c r="AD29" s="34">
        <f t="shared" si="21"/>
        <v>0</v>
      </c>
      <c r="AE29" s="51">
        <f t="shared" si="21"/>
        <v>62</v>
      </c>
      <c r="AF29" s="51">
        <f t="shared" si="21"/>
        <v>64.5</v>
      </c>
    </row>
    <row r="30" spans="2:32" ht="23.1" customHeight="1" x14ac:dyDescent="0.25">
      <c r="B30" s="23" t="s">
        <v>57</v>
      </c>
      <c r="C30" s="49">
        <f>'Avg Week Nalya-Bweyogerere'!C30+'Avg Week Bweyogerere-Naalya'!C30</f>
        <v>49.714285714285708</v>
      </c>
      <c r="D30" s="49">
        <f>'Avg Week Nalya-Bweyogerere'!D30+'Avg Week Bweyogerere-Naalya'!D30</f>
        <v>20.428571428571431</v>
      </c>
      <c r="E30" s="49">
        <f>'Avg Week Nalya-Bweyogerere'!E30+'Avg Week Bweyogerere-Naalya'!E30</f>
        <v>7.2857142857142865</v>
      </c>
      <c r="F30" s="49">
        <f>'Avg Week Nalya-Bweyogerere'!F30+'Avg Week Bweyogerere-Naalya'!F30</f>
        <v>42.285714285714285</v>
      </c>
      <c r="G30" s="49">
        <f>'Avg Week Nalya-Bweyogerere'!G30+'Avg Week Bweyogerere-Naalya'!G30</f>
        <v>1</v>
      </c>
      <c r="H30" s="49">
        <f>'Avg Week Nalya-Bweyogerere'!H30+'Avg Week Bweyogerere-Naalya'!H30</f>
        <v>0.14285714285714285</v>
      </c>
      <c r="I30" s="49">
        <f>'Avg Week Nalya-Bweyogerere'!I30+'Avg Week Bweyogerere-Naalya'!I30</f>
        <v>11.571428571428571</v>
      </c>
      <c r="J30" s="49">
        <f>'Avg Week Nalya-Bweyogerere'!J30+'Avg Week Bweyogerere-Naalya'!J30</f>
        <v>10.571428571428571</v>
      </c>
      <c r="K30" s="49">
        <f>'Avg Week Nalya-Bweyogerere'!K30+'Avg Week Bweyogerere-Naalya'!K30</f>
        <v>7.4285714285714288</v>
      </c>
      <c r="L30" s="49">
        <f>'Avg Week Nalya-Bweyogerere'!L30+'Avg Week Bweyogerere-Naalya'!L30</f>
        <v>10.142857142857142</v>
      </c>
      <c r="M30" s="49">
        <f>'Avg Week Nalya-Bweyogerere'!M30+'Avg Week Bweyogerere-Naalya'!M30</f>
        <v>80.857142857142861</v>
      </c>
      <c r="N30" s="49">
        <f>'Avg Week Nalya-Bweyogerere'!N30+'Avg Week Bweyogerere-Naalya'!N30</f>
        <v>0</v>
      </c>
      <c r="O30" s="15">
        <f t="shared" si="0"/>
        <v>160.57142857142858</v>
      </c>
      <c r="P30" s="15">
        <f t="shared" si="1"/>
        <v>241.42857142857144</v>
      </c>
      <c r="R30" s="1" t="s">
        <v>154</v>
      </c>
      <c r="S30" s="34">
        <f>SUM(C90:C93)</f>
        <v>12</v>
      </c>
      <c r="T30" s="34">
        <f t="shared" ref="T30:AF30" si="22">SUM(D90:D93)</f>
        <v>7.5</v>
      </c>
      <c r="U30" s="34">
        <f t="shared" si="22"/>
        <v>1.5</v>
      </c>
      <c r="V30" s="34">
        <f t="shared" si="22"/>
        <v>2.5</v>
      </c>
      <c r="W30" s="34">
        <f t="shared" si="22"/>
        <v>0</v>
      </c>
      <c r="X30" s="34">
        <f t="shared" si="22"/>
        <v>0</v>
      </c>
      <c r="Y30" s="34">
        <f t="shared" si="22"/>
        <v>8</v>
      </c>
      <c r="Z30" s="34">
        <f t="shared" si="22"/>
        <v>23.5</v>
      </c>
      <c r="AA30" s="34">
        <f t="shared" si="22"/>
        <v>7.5</v>
      </c>
      <c r="AB30" s="34">
        <f t="shared" si="22"/>
        <v>8</v>
      </c>
      <c r="AC30" s="34">
        <f t="shared" si="22"/>
        <v>6.5</v>
      </c>
      <c r="AD30" s="34">
        <f t="shared" si="22"/>
        <v>0</v>
      </c>
      <c r="AE30" s="51">
        <f t="shared" si="22"/>
        <v>70.5</v>
      </c>
      <c r="AF30" s="51">
        <f t="shared" si="22"/>
        <v>77</v>
      </c>
    </row>
    <row r="31" spans="2:32" ht="23.1" customHeight="1" x14ac:dyDescent="0.25">
      <c r="B31" s="24" t="s">
        <v>58</v>
      </c>
      <c r="C31" s="49">
        <f>'Avg Week Nalya-Bweyogerere'!C31+'Avg Week Bweyogerere-Naalya'!C31</f>
        <v>44.142857142857139</v>
      </c>
      <c r="D31" s="49">
        <f>'Avg Week Nalya-Bweyogerere'!D31+'Avg Week Bweyogerere-Naalya'!D31</f>
        <v>12.285714285714285</v>
      </c>
      <c r="E31" s="49">
        <f>'Avg Week Nalya-Bweyogerere'!E31+'Avg Week Bweyogerere-Naalya'!E31</f>
        <v>7.4285714285714288</v>
      </c>
      <c r="F31" s="49">
        <f>'Avg Week Nalya-Bweyogerere'!F31+'Avg Week Bweyogerere-Naalya'!F31</f>
        <v>42.857142857142854</v>
      </c>
      <c r="G31" s="49">
        <f>'Avg Week Nalya-Bweyogerere'!G31+'Avg Week Bweyogerere-Naalya'!G31</f>
        <v>0.42857142857142855</v>
      </c>
      <c r="H31" s="49">
        <f>'Avg Week Nalya-Bweyogerere'!H31+'Avg Week Bweyogerere-Naalya'!H31</f>
        <v>0.14285714285714285</v>
      </c>
      <c r="I31" s="49">
        <f>'Avg Week Nalya-Bweyogerere'!I31+'Avg Week Bweyogerere-Naalya'!I31</f>
        <v>7.7142857142857153</v>
      </c>
      <c r="J31" s="49">
        <f>'Avg Week Nalya-Bweyogerere'!J31+'Avg Week Bweyogerere-Naalya'!J31</f>
        <v>8.1428571428571423</v>
      </c>
      <c r="K31" s="49">
        <f>'Avg Week Nalya-Bweyogerere'!K31+'Avg Week Bweyogerere-Naalya'!K31</f>
        <v>5.4285714285714288</v>
      </c>
      <c r="L31" s="49">
        <f>'Avg Week Nalya-Bweyogerere'!L31+'Avg Week Bweyogerere-Naalya'!L31</f>
        <v>9.571428571428573</v>
      </c>
      <c r="M31" s="49">
        <f>'Avg Week Nalya-Bweyogerere'!M31+'Avg Week Bweyogerere-Naalya'!M31</f>
        <v>67.428571428571431</v>
      </c>
      <c r="N31" s="49">
        <f>'Avg Week Nalya-Bweyogerere'!N31+'Avg Week Bweyogerere-Naalya'!N31</f>
        <v>0.14285714285714285</v>
      </c>
      <c r="O31" s="15">
        <f t="shared" si="0"/>
        <v>138.28571428571428</v>
      </c>
      <c r="P31" s="15">
        <f t="shared" si="1"/>
        <v>205.71428571428569</v>
      </c>
      <c r="R31" s="1" t="s">
        <v>155</v>
      </c>
      <c r="S31" s="34">
        <f>SUM(C94:C97)</f>
        <v>13.5</v>
      </c>
      <c r="T31" s="34">
        <f t="shared" ref="T31:AF31" si="23">SUM(D94:D97)</f>
        <v>2.5</v>
      </c>
      <c r="U31" s="34">
        <f t="shared" si="23"/>
        <v>3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21.5</v>
      </c>
      <c r="AA31" s="34">
        <f t="shared" si="23"/>
        <v>15.5</v>
      </c>
      <c r="AB31" s="34">
        <f t="shared" si="23"/>
        <v>14.5</v>
      </c>
      <c r="AC31" s="34">
        <f t="shared" si="23"/>
        <v>11.5</v>
      </c>
      <c r="AD31" s="34">
        <f t="shared" si="23"/>
        <v>0</v>
      </c>
      <c r="AE31" s="51">
        <f t="shared" si="23"/>
        <v>80.5</v>
      </c>
      <c r="AF31" s="51">
        <f t="shared" si="23"/>
        <v>92</v>
      </c>
    </row>
    <row r="32" spans="2:32" ht="23.1" customHeight="1" x14ac:dyDescent="0.25">
      <c r="B32" s="24" t="s">
        <v>59</v>
      </c>
      <c r="C32" s="49">
        <f>'Avg Week Nalya-Bweyogerere'!C32+'Avg Week Bweyogerere-Naalya'!C32</f>
        <v>40.857142857142861</v>
      </c>
      <c r="D32" s="49">
        <f>'Avg Week Nalya-Bweyogerere'!D32+'Avg Week Bweyogerere-Naalya'!D32</f>
        <v>13.714285714285715</v>
      </c>
      <c r="E32" s="49">
        <f>'Avg Week Nalya-Bweyogerere'!E32+'Avg Week Bweyogerere-Naalya'!E32</f>
        <v>7</v>
      </c>
      <c r="F32" s="49">
        <f>'Avg Week Nalya-Bweyogerere'!F32+'Avg Week Bweyogerere-Naalya'!F32</f>
        <v>39.285714285714285</v>
      </c>
      <c r="G32" s="49">
        <f>'Avg Week Nalya-Bweyogerere'!G32+'Avg Week Bweyogerere-Naalya'!G32</f>
        <v>0.42857142857142855</v>
      </c>
      <c r="H32" s="49">
        <f>'Avg Week Nalya-Bweyogerere'!H32+'Avg Week Bweyogerere-Naalya'!H32</f>
        <v>0.2857142857142857</v>
      </c>
      <c r="I32" s="49">
        <f>'Avg Week Nalya-Bweyogerere'!I32+'Avg Week Bweyogerere-Naalya'!I32</f>
        <v>8.4285714285714288</v>
      </c>
      <c r="J32" s="49">
        <f>'Avg Week Nalya-Bweyogerere'!J32+'Avg Week Bweyogerere-Naalya'!J32</f>
        <v>9.4285714285714288</v>
      </c>
      <c r="K32" s="49">
        <f>'Avg Week Nalya-Bweyogerere'!K32+'Avg Week Bweyogerere-Naalya'!K32</f>
        <v>7.2857142857142865</v>
      </c>
      <c r="L32" s="49">
        <f>'Avg Week Nalya-Bweyogerere'!L32+'Avg Week Bweyogerere-Naalya'!L32</f>
        <v>12.142857142857142</v>
      </c>
      <c r="M32" s="49">
        <f>'Avg Week Nalya-Bweyogerere'!M32+'Avg Week Bweyogerere-Naalya'!M32</f>
        <v>74.857142857142861</v>
      </c>
      <c r="N32" s="49">
        <f>'Avg Week Nalya-Bweyogerere'!N32+'Avg Week Bweyogerere-Naalya'!N32</f>
        <v>0</v>
      </c>
      <c r="O32" s="15">
        <f t="shared" si="0"/>
        <v>138.85714285714289</v>
      </c>
      <c r="P32" s="15">
        <f t="shared" si="1"/>
        <v>213.71428571428575</v>
      </c>
      <c r="R32" s="1" t="s">
        <v>156</v>
      </c>
      <c r="S32" s="34">
        <f>SUM(C98:C101)</f>
        <v>33</v>
      </c>
      <c r="T32" s="34">
        <f t="shared" ref="T32:AF32" si="24">SUM(D98:D101)</f>
        <v>10.5</v>
      </c>
      <c r="U32" s="34">
        <f t="shared" si="24"/>
        <v>6.5</v>
      </c>
      <c r="V32" s="34">
        <f t="shared" si="24"/>
        <v>33</v>
      </c>
      <c r="W32" s="34">
        <f t="shared" si="24"/>
        <v>2.5</v>
      </c>
      <c r="X32" s="34">
        <f t="shared" si="24"/>
        <v>0</v>
      </c>
      <c r="Y32" s="34">
        <f t="shared" si="24"/>
        <v>7.5</v>
      </c>
      <c r="Z32" s="34">
        <f t="shared" si="24"/>
        <v>24.5</v>
      </c>
      <c r="AA32" s="34">
        <f t="shared" si="24"/>
        <v>10</v>
      </c>
      <c r="AB32" s="34">
        <f t="shared" si="24"/>
        <v>20.5</v>
      </c>
      <c r="AC32" s="34">
        <f t="shared" si="24"/>
        <v>20</v>
      </c>
      <c r="AD32" s="34">
        <f t="shared" si="24"/>
        <v>0</v>
      </c>
      <c r="AE32" s="51">
        <f t="shared" si="24"/>
        <v>148</v>
      </c>
      <c r="AF32" s="51">
        <f t="shared" si="24"/>
        <v>168</v>
      </c>
    </row>
    <row r="33" spans="2:32" ht="23.1" customHeight="1" x14ac:dyDescent="0.25">
      <c r="B33" s="23" t="s">
        <v>60</v>
      </c>
      <c r="C33" s="49">
        <f>'Avg Week Nalya-Bweyogerere'!C33+'Avg Week Bweyogerere-Naalya'!C33</f>
        <v>42.285714285714285</v>
      </c>
      <c r="D33" s="49">
        <f>'Avg Week Nalya-Bweyogerere'!D33+'Avg Week Bweyogerere-Naalya'!D33</f>
        <v>13.714285714285715</v>
      </c>
      <c r="E33" s="49">
        <f>'Avg Week Nalya-Bweyogerere'!E33+'Avg Week Bweyogerere-Naalya'!E33</f>
        <v>9.4285714285714288</v>
      </c>
      <c r="F33" s="49">
        <f>'Avg Week Nalya-Bweyogerere'!F33+'Avg Week Bweyogerere-Naalya'!F33</f>
        <v>38.142857142857146</v>
      </c>
      <c r="G33" s="49">
        <f>'Avg Week Nalya-Bweyogerere'!G33+'Avg Week Bweyogerere-Naalya'!G33</f>
        <v>0.2857142857142857</v>
      </c>
      <c r="H33" s="49">
        <f>'Avg Week Nalya-Bweyogerere'!H33+'Avg Week Bweyogerere-Naalya'!H33</f>
        <v>0</v>
      </c>
      <c r="I33" s="49">
        <f>'Avg Week Nalya-Bweyogerere'!I33+'Avg Week Bweyogerere-Naalya'!I33</f>
        <v>11.142857142857142</v>
      </c>
      <c r="J33" s="49">
        <f>'Avg Week Nalya-Bweyogerere'!J33+'Avg Week Bweyogerere-Naalya'!J33</f>
        <v>9.5714285714285712</v>
      </c>
      <c r="K33" s="49">
        <f>'Avg Week Nalya-Bweyogerere'!K33+'Avg Week Bweyogerere-Naalya'!K33</f>
        <v>6.4285714285714288</v>
      </c>
      <c r="L33" s="49">
        <f>'Avg Week Nalya-Bweyogerere'!L33+'Avg Week Bweyogerere-Naalya'!L33</f>
        <v>11.428571428571427</v>
      </c>
      <c r="M33" s="49">
        <f>'Avg Week Nalya-Bweyogerere'!M33+'Avg Week Bweyogerere-Naalya'!M33</f>
        <v>73.428571428571416</v>
      </c>
      <c r="N33" s="49">
        <f>'Avg Week Nalya-Bweyogerere'!N33+'Avg Week Bweyogerere-Naalya'!N33</f>
        <v>0</v>
      </c>
      <c r="O33" s="15">
        <f t="shared" si="0"/>
        <v>142.42857142857142</v>
      </c>
      <c r="P33" s="15">
        <f t="shared" si="1"/>
        <v>215.85714285714283</v>
      </c>
      <c r="R33" s="1" t="s">
        <v>157</v>
      </c>
      <c r="S33" s="34">
        <f>SUM(C102:C105)</f>
        <v>74.5</v>
      </c>
      <c r="T33" s="34">
        <f t="shared" ref="T33:AF33" si="25">SUM(D102:D105)</f>
        <v>47</v>
      </c>
      <c r="U33" s="34">
        <f t="shared" si="25"/>
        <v>25</v>
      </c>
      <c r="V33" s="34">
        <f t="shared" si="25"/>
        <v>96.5</v>
      </c>
      <c r="W33" s="34">
        <f t="shared" si="25"/>
        <v>5</v>
      </c>
      <c r="X33" s="34">
        <f t="shared" si="25"/>
        <v>0.5</v>
      </c>
      <c r="Y33" s="34">
        <f t="shared" si="25"/>
        <v>12.5</v>
      </c>
      <c r="Z33" s="34">
        <f t="shared" si="25"/>
        <v>29</v>
      </c>
      <c r="AA33" s="34">
        <f t="shared" si="25"/>
        <v>25.5</v>
      </c>
      <c r="AB33" s="34">
        <f t="shared" si="25"/>
        <v>30.5</v>
      </c>
      <c r="AC33" s="34">
        <f t="shared" si="25"/>
        <v>60.5</v>
      </c>
      <c r="AD33" s="34">
        <f t="shared" si="25"/>
        <v>0.5</v>
      </c>
      <c r="AE33" s="51">
        <f t="shared" si="25"/>
        <v>346.5</v>
      </c>
      <c r="AF33" s="51">
        <f t="shared" si="25"/>
        <v>407</v>
      </c>
    </row>
    <row r="34" spans="2:32" ht="23.1" customHeight="1" x14ac:dyDescent="0.25">
      <c r="B34" s="24" t="s">
        <v>61</v>
      </c>
      <c r="C34" s="49">
        <f>'Avg Week Nalya-Bweyogerere'!C34+'Avg Week Bweyogerere-Naalya'!C34</f>
        <v>36.857142857142861</v>
      </c>
      <c r="D34" s="49">
        <f>'Avg Week Nalya-Bweyogerere'!D34+'Avg Week Bweyogerere-Naalya'!D34</f>
        <v>14.571428571428571</v>
      </c>
      <c r="E34" s="49">
        <f>'Avg Week Nalya-Bweyogerere'!E34+'Avg Week Bweyogerere-Naalya'!E34</f>
        <v>7</v>
      </c>
      <c r="F34" s="49">
        <f>'Avg Week Nalya-Bweyogerere'!F34+'Avg Week Bweyogerere-Naalya'!F34</f>
        <v>34.285714285714285</v>
      </c>
      <c r="G34" s="49">
        <f>'Avg Week Nalya-Bweyogerere'!G34+'Avg Week Bweyogerere-Naalya'!G34</f>
        <v>0</v>
      </c>
      <c r="H34" s="49">
        <f>'Avg Week Nalya-Bweyogerere'!H34+'Avg Week Bweyogerere-Naalya'!H34</f>
        <v>0.42857142857142855</v>
      </c>
      <c r="I34" s="49">
        <f>'Avg Week Nalya-Bweyogerere'!I34+'Avg Week Bweyogerere-Naalya'!I34</f>
        <v>9.4285714285714288</v>
      </c>
      <c r="J34" s="49">
        <f>'Avg Week Nalya-Bweyogerere'!J34+'Avg Week Bweyogerere-Naalya'!J34</f>
        <v>6.8571428571428577</v>
      </c>
      <c r="K34" s="49">
        <f>'Avg Week Nalya-Bweyogerere'!K34+'Avg Week Bweyogerere-Naalya'!K34</f>
        <v>5.5714285714285712</v>
      </c>
      <c r="L34" s="49">
        <f>'Avg Week Nalya-Bweyogerere'!L34+'Avg Week Bweyogerere-Naalya'!L34</f>
        <v>9.428571428571427</v>
      </c>
      <c r="M34" s="49">
        <f>'Avg Week Nalya-Bweyogerere'!M34+'Avg Week Bweyogerere-Naalya'!M34</f>
        <v>70.857142857142861</v>
      </c>
      <c r="N34" s="49">
        <f>'Avg Week Nalya-Bweyogerere'!N34+'Avg Week Bweyogerere-Naalya'!N34</f>
        <v>0</v>
      </c>
      <c r="O34" s="15">
        <f t="shared" si="0"/>
        <v>124.42857142857144</v>
      </c>
      <c r="P34" s="15">
        <f t="shared" si="1"/>
        <v>195.28571428571431</v>
      </c>
      <c r="R34" s="38" t="s">
        <v>90</v>
      </c>
      <c r="S34" s="39">
        <f t="shared" ref="S34:AF34" si="26">MAX(S10:S12)</f>
        <v>210.57142857142861</v>
      </c>
      <c r="T34" s="39">
        <f t="shared" si="26"/>
        <v>74.571428571428569</v>
      </c>
      <c r="U34" s="39">
        <f t="shared" si="26"/>
        <v>43.142857142857146</v>
      </c>
      <c r="V34" s="39">
        <f t="shared" si="26"/>
        <v>211.28571428571428</v>
      </c>
      <c r="W34" s="39">
        <f t="shared" si="26"/>
        <v>4.5714285714285712</v>
      </c>
      <c r="X34" s="39">
        <f t="shared" si="26"/>
        <v>0.71428571428571419</v>
      </c>
      <c r="Y34" s="39">
        <f t="shared" si="26"/>
        <v>34.714285714285715</v>
      </c>
      <c r="Z34" s="39">
        <f t="shared" si="26"/>
        <v>31.142857142857146</v>
      </c>
      <c r="AA34" s="39">
        <f t="shared" si="26"/>
        <v>27.428571428571431</v>
      </c>
      <c r="AB34" s="39">
        <f t="shared" si="26"/>
        <v>27.571428571428573</v>
      </c>
      <c r="AC34" s="39">
        <f t="shared" si="26"/>
        <v>302.42857142857144</v>
      </c>
      <c r="AD34" s="39">
        <f t="shared" si="26"/>
        <v>0.42857142857142855</v>
      </c>
      <c r="AE34" s="40">
        <f t="shared" si="26"/>
        <v>617.42857142857133</v>
      </c>
      <c r="AF34" s="40">
        <f t="shared" si="26"/>
        <v>894.14285714285711</v>
      </c>
    </row>
    <row r="35" spans="2:32" ht="23.1" customHeight="1" x14ac:dyDescent="0.25">
      <c r="B35" s="24" t="s">
        <v>62</v>
      </c>
      <c r="C35" s="49">
        <f>'Avg Week Nalya-Bweyogerere'!C35+'Avg Week Bweyogerere-Naalya'!C35</f>
        <v>41.714285714285708</v>
      </c>
      <c r="D35" s="49">
        <f>'Avg Week Nalya-Bweyogerere'!D35+'Avg Week Bweyogerere-Naalya'!D35</f>
        <v>12.428571428571427</v>
      </c>
      <c r="E35" s="49">
        <f>'Avg Week Nalya-Bweyogerere'!E35+'Avg Week Bweyogerere-Naalya'!E35</f>
        <v>5.5714285714285712</v>
      </c>
      <c r="F35" s="49">
        <f>'Avg Week Nalya-Bweyogerere'!F35+'Avg Week Bweyogerere-Naalya'!F35</f>
        <v>38.285714285714292</v>
      </c>
      <c r="G35" s="49">
        <f>'Avg Week Nalya-Bweyogerere'!G35+'Avg Week Bweyogerere-Naalya'!G35</f>
        <v>0.14285714285714285</v>
      </c>
      <c r="H35" s="49">
        <f>'Avg Week Nalya-Bweyogerere'!H35+'Avg Week Bweyogerere-Naalya'!H35</f>
        <v>0</v>
      </c>
      <c r="I35" s="49">
        <f>'Avg Week Nalya-Bweyogerere'!I35+'Avg Week Bweyogerere-Naalya'!I35</f>
        <v>10.857142857142858</v>
      </c>
      <c r="J35" s="49">
        <f>'Avg Week Nalya-Bweyogerere'!J35+'Avg Week Bweyogerere-Naalya'!J35</f>
        <v>8.4285714285714288</v>
      </c>
      <c r="K35" s="49">
        <f>'Avg Week Nalya-Bweyogerere'!K35+'Avg Week Bweyogerere-Naalya'!K35</f>
        <v>5.7142857142857144</v>
      </c>
      <c r="L35" s="49">
        <f>'Avg Week Nalya-Bweyogerere'!L35+'Avg Week Bweyogerere-Naalya'!L35</f>
        <v>8.7142857142857153</v>
      </c>
      <c r="M35" s="49">
        <f>'Avg Week Nalya-Bweyogerere'!M35+'Avg Week Bweyogerere-Naalya'!M35</f>
        <v>69.857142857142861</v>
      </c>
      <c r="N35" s="49">
        <f>'Avg Week Nalya-Bweyogerere'!N35+'Avg Week Bweyogerere-Naalya'!N35</f>
        <v>0</v>
      </c>
      <c r="O35" s="15">
        <f t="shared" si="0"/>
        <v>131.85714285714286</v>
      </c>
      <c r="P35" s="15">
        <f t="shared" si="1"/>
        <v>201.71428571428572</v>
      </c>
      <c r="R35" s="38" t="s">
        <v>91</v>
      </c>
      <c r="S35" s="39">
        <f t="shared" ref="S35:AF35" si="27">MAX(S13:S18)</f>
        <v>177</v>
      </c>
      <c r="T35" s="39">
        <f t="shared" si="27"/>
        <v>67.285714285714292</v>
      </c>
      <c r="U35" s="39">
        <f t="shared" si="27"/>
        <v>34.142857142857139</v>
      </c>
      <c r="V35" s="39">
        <f t="shared" si="27"/>
        <v>176.85714285714283</v>
      </c>
      <c r="W35" s="39">
        <f t="shared" si="27"/>
        <v>6.2857142857142865</v>
      </c>
      <c r="X35" s="39">
        <f t="shared" si="27"/>
        <v>0.99999999999999978</v>
      </c>
      <c r="Y35" s="39">
        <f t="shared" si="27"/>
        <v>43.571428571428569</v>
      </c>
      <c r="Z35" s="39">
        <f t="shared" si="27"/>
        <v>37.714285714285715</v>
      </c>
      <c r="AA35" s="39">
        <f t="shared" si="27"/>
        <v>34.571428571428569</v>
      </c>
      <c r="AB35" s="39">
        <f t="shared" si="27"/>
        <v>46</v>
      </c>
      <c r="AC35" s="39">
        <f t="shared" si="27"/>
        <v>301.28571428571433</v>
      </c>
      <c r="AD35" s="39">
        <f t="shared" si="27"/>
        <v>0.42857142857142855</v>
      </c>
      <c r="AE35" s="40">
        <f t="shared" si="27"/>
        <v>588.42857142857144</v>
      </c>
      <c r="AF35" s="40">
        <f t="shared" si="27"/>
        <v>886.57142857142856</v>
      </c>
    </row>
    <row r="36" spans="2:32" ht="23.1" customHeight="1" x14ac:dyDescent="0.25">
      <c r="B36" s="24" t="s">
        <v>63</v>
      </c>
      <c r="C36" s="49">
        <f>'Avg Week Nalya-Bweyogerere'!C36+'Avg Week Bweyogerere-Naalya'!C36</f>
        <v>47.428571428571431</v>
      </c>
      <c r="D36" s="49">
        <f>'Avg Week Nalya-Bweyogerere'!D36+'Avg Week Bweyogerere-Naalya'!D36</f>
        <v>16.142857142857142</v>
      </c>
      <c r="E36" s="49">
        <f>'Avg Week Nalya-Bweyogerere'!E36+'Avg Week Bweyogerere-Naalya'!E36</f>
        <v>9.1428571428571423</v>
      </c>
      <c r="F36" s="49">
        <f>'Avg Week Nalya-Bweyogerere'!F36+'Avg Week Bweyogerere-Naalya'!F36</f>
        <v>42.857142857142861</v>
      </c>
      <c r="G36" s="49">
        <f>'Avg Week Nalya-Bweyogerere'!G36+'Avg Week Bweyogerere-Naalya'!G36</f>
        <v>1</v>
      </c>
      <c r="H36" s="49">
        <f>'Avg Week Nalya-Bweyogerere'!H36+'Avg Week Bweyogerere-Naalya'!H36</f>
        <v>0</v>
      </c>
      <c r="I36" s="49">
        <f>'Avg Week Nalya-Bweyogerere'!I36+'Avg Week Bweyogerere-Naalya'!I36</f>
        <v>13</v>
      </c>
      <c r="J36" s="49">
        <f>'Avg Week Nalya-Bweyogerere'!J36+'Avg Week Bweyogerere-Naalya'!J36</f>
        <v>10.142857142857142</v>
      </c>
      <c r="K36" s="49">
        <f>'Avg Week Nalya-Bweyogerere'!K36+'Avg Week Bweyogerere-Naalya'!K36</f>
        <v>7.8571428571428577</v>
      </c>
      <c r="L36" s="49">
        <f>'Avg Week Nalya-Bweyogerere'!L36+'Avg Week Bweyogerere-Naalya'!L36</f>
        <v>10.714285714285714</v>
      </c>
      <c r="M36" s="49">
        <f>'Avg Week Nalya-Bweyogerere'!M36+'Avg Week Bweyogerere-Naalya'!M36</f>
        <v>68.142857142857139</v>
      </c>
      <c r="N36" s="49">
        <f>'Avg Week Nalya-Bweyogerere'!N36+'Avg Week Bweyogerere-Naalya'!N36</f>
        <v>0</v>
      </c>
      <c r="O36" s="15">
        <f t="shared" si="0"/>
        <v>158.28571428571428</v>
      </c>
      <c r="P36" s="15">
        <f t="shared" si="1"/>
        <v>226.42857142857142</v>
      </c>
      <c r="R36" s="38" t="s">
        <v>92</v>
      </c>
      <c r="S36" s="39">
        <f t="shared" ref="S36:AF36" si="28">MAX(S19:S21)</f>
        <v>298.14285714285711</v>
      </c>
      <c r="T36" s="39">
        <f t="shared" si="28"/>
        <v>116.14285714285714</v>
      </c>
      <c r="U36" s="39">
        <f t="shared" si="28"/>
        <v>52.428571428571423</v>
      </c>
      <c r="V36" s="39">
        <f t="shared" si="28"/>
        <v>272.57142857142856</v>
      </c>
      <c r="W36" s="39">
        <f t="shared" si="28"/>
        <v>5.7142857142857144</v>
      </c>
      <c r="X36" s="39">
        <f t="shared" si="28"/>
        <v>1</v>
      </c>
      <c r="Y36" s="39">
        <f t="shared" si="28"/>
        <v>49.285714285714285</v>
      </c>
      <c r="Z36" s="39">
        <f t="shared" si="28"/>
        <v>45.142857142857139</v>
      </c>
      <c r="AA36" s="39">
        <f t="shared" si="28"/>
        <v>35.714285714285715</v>
      </c>
      <c r="AB36" s="39">
        <f t="shared" si="28"/>
        <v>43.285714285714285</v>
      </c>
      <c r="AC36" s="39">
        <f t="shared" si="28"/>
        <v>385.71428571428567</v>
      </c>
      <c r="AD36" s="39">
        <f t="shared" si="28"/>
        <v>0.14285714285714285</v>
      </c>
      <c r="AE36" s="40">
        <f t="shared" si="28"/>
        <v>911.14285714285711</v>
      </c>
      <c r="AF36" s="40">
        <f t="shared" si="28"/>
        <v>1296.8571428571427</v>
      </c>
    </row>
    <row r="37" spans="2:32" ht="23.1" customHeight="1" x14ac:dyDescent="0.25">
      <c r="B37" s="23" t="s">
        <v>64</v>
      </c>
      <c r="C37" s="49">
        <f>'Avg Week Nalya-Bweyogerere'!C37+'Avg Week Bweyogerere-Naalya'!C37</f>
        <v>40.571428571428569</v>
      </c>
      <c r="D37" s="49">
        <f>'Avg Week Nalya-Bweyogerere'!D37+'Avg Week Bweyogerere-Naalya'!D37</f>
        <v>16.571428571428569</v>
      </c>
      <c r="E37" s="49">
        <f>'Avg Week Nalya-Bweyogerere'!E37+'Avg Week Bweyogerere-Naalya'!E37</f>
        <v>9.5714285714285712</v>
      </c>
      <c r="F37" s="49">
        <f>'Avg Week Nalya-Bweyogerere'!F37+'Avg Week Bweyogerere-Naalya'!F37</f>
        <v>37.857142857142854</v>
      </c>
      <c r="G37" s="49">
        <f>'Avg Week Nalya-Bweyogerere'!G37+'Avg Week Bweyogerere-Naalya'!G37</f>
        <v>0.42857142857142855</v>
      </c>
      <c r="H37" s="49">
        <f>'Avg Week Nalya-Bweyogerere'!H37+'Avg Week Bweyogerere-Naalya'!H37</f>
        <v>0.14285714285714285</v>
      </c>
      <c r="I37" s="49">
        <f>'Avg Week Nalya-Bweyogerere'!I37+'Avg Week Bweyogerere-Naalya'!I37</f>
        <v>10.285714285714285</v>
      </c>
      <c r="J37" s="49">
        <f>'Avg Week Nalya-Bweyogerere'!J37+'Avg Week Bweyogerere-Naalya'!J37</f>
        <v>10.571428571428573</v>
      </c>
      <c r="K37" s="49">
        <f>'Avg Week Nalya-Bweyogerere'!K37+'Avg Week Bweyogerere-Naalya'!K37</f>
        <v>6.1428571428571423</v>
      </c>
      <c r="L37" s="49">
        <f>'Avg Week Nalya-Bweyogerere'!L37+'Avg Week Bweyogerere-Naalya'!L37</f>
        <v>11.428571428571429</v>
      </c>
      <c r="M37" s="49">
        <f>'Avg Week Nalya-Bweyogerere'!M37+'Avg Week Bweyogerere-Naalya'!M37</f>
        <v>69.285714285714278</v>
      </c>
      <c r="N37" s="49">
        <f>'Avg Week Nalya-Bweyogerere'!N37+'Avg Week Bweyogerere-Naalya'!N37</f>
        <v>0</v>
      </c>
      <c r="O37" s="15">
        <f t="shared" si="0"/>
        <v>143.57142857142856</v>
      </c>
      <c r="P37" s="15">
        <f t="shared" si="1"/>
        <v>212.85714285714283</v>
      </c>
      <c r="R37" s="37" t="s">
        <v>85</v>
      </c>
      <c r="S37" s="35">
        <f t="shared" ref="S37:AF37" si="29">SUM(S10:S12)</f>
        <v>579.57142857142867</v>
      </c>
      <c r="T37" s="16">
        <f t="shared" si="29"/>
        <v>200.71428571428569</v>
      </c>
      <c r="U37" s="16">
        <f t="shared" si="29"/>
        <v>109.42857142857144</v>
      </c>
      <c r="V37" s="16">
        <f t="shared" si="29"/>
        <v>590</v>
      </c>
      <c r="W37" s="16">
        <f t="shared" si="29"/>
        <v>12.714285714285714</v>
      </c>
      <c r="X37" s="16">
        <f t="shared" si="29"/>
        <v>1.2857142857142856</v>
      </c>
      <c r="Y37" s="16">
        <f t="shared" si="29"/>
        <v>87.142857142857139</v>
      </c>
      <c r="Z37" s="16">
        <f t="shared" si="29"/>
        <v>81.285714285714278</v>
      </c>
      <c r="AA37" s="16">
        <f t="shared" si="29"/>
        <v>67.714285714285722</v>
      </c>
      <c r="AB37" s="16">
        <f t="shared" si="29"/>
        <v>69.714285714285708</v>
      </c>
      <c r="AC37" s="16">
        <f t="shared" si="29"/>
        <v>788.57142857142867</v>
      </c>
      <c r="AD37" s="16">
        <f t="shared" si="29"/>
        <v>0.71428571428571419</v>
      </c>
      <c r="AE37" s="32">
        <f t="shared" si="29"/>
        <v>1800.2857142857142</v>
      </c>
      <c r="AF37" s="32">
        <f t="shared" si="29"/>
        <v>2588.8571428571427</v>
      </c>
    </row>
    <row r="38" spans="2:32" ht="23.1" customHeight="1" x14ac:dyDescent="0.25">
      <c r="B38" s="24" t="s">
        <v>65</v>
      </c>
      <c r="C38" s="49">
        <f>'Avg Week Nalya-Bweyogerere'!C38+'Avg Week Bweyogerere-Naalya'!C38</f>
        <v>38.714285714285715</v>
      </c>
      <c r="D38" s="49">
        <f>'Avg Week Nalya-Bweyogerere'!D38+'Avg Week Bweyogerere-Naalya'!D38</f>
        <v>15.857142857142858</v>
      </c>
      <c r="E38" s="49">
        <f>'Avg Week Nalya-Bweyogerere'!E38+'Avg Week Bweyogerere-Naalya'!E38</f>
        <v>8</v>
      </c>
      <c r="F38" s="49">
        <f>'Avg Week Nalya-Bweyogerere'!F38+'Avg Week Bweyogerere-Naalya'!F38</f>
        <v>36.571428571428569</v>
      </c>
      <c r="G38" s="49">
        <f>'Avg Week Nalya-Bweyogerere'!G38+'Avg Week Bweyogerere-Naalya'!G38</f>
        <v>0.2857142857142857</v>
      </c>
      <c r="H38" s="49">
        <f>'Avg Week Nalya-Bweyogerere'!H38+'Avg Week Bweyogerere-Naalya'!H38</f>
        <v>0.2857142857142857</v>
      </c>
      <c r="I38" s="49">
        <f>'Avg Week Nalya-Bweyogerere'!I38+'Avg Week Bweyogerere-Naalya'!I38</f>
        <v>9.4285714285714288</v>
      </c>
      <c r="J38" s="49">
        <f>'Avg Week Nalya-Bweyogerere'!J38+'Avg Week Bweyogerere-Naalya'!J38</f>
        <v>8.1428571428571423</v>
      </c>
      <c r="K38" s="49">
        <f>'Avg Week Nalya-Bweyogerere'!K38+'Avg Week Bweyogerere-Naalya'!K38</f>
        <v>7.2857142857142856</v>
      </c>
      <c r="L38" s="49">
        <f>'Avg Week Nalya-Bweyogerere'!L38+'Avg Week Bweyogerere-Naalya'!L38</f>
        <v>11.285714285714285</v>
      </c>
      <c r="M38" s="49">
        <f>'Avg Week Nalya-Bweyogerere'!M38+'Avg Week Bweyogerere-Naalya'!M38</f>
        <v>68.285714285714292</v>
      </c>
      <c r="N38" s="49">
        <f>'Avg Week Nalya-Bweyogerere'!N38+'Avg Week Bweyogerere-Naalya'!N38</f>
        <v>0.2857142857142857</v>
      </c>
      <c r="O38" s="15">
        <f t="shared" si="0"/>
        <v>136.14285714285714</v>
      </c>
      <c r="P38" s="15">
        <f t="shared" si="1"/>
        <v>204.42857142857144</v>
      </c>
      <c r="R38" s="28" t="s">
        <v>86</v>
      </c>
      <c r="S38" s="16">
        <f t="shared" ref="S38:AF38" si="30">SUM(S13:S18)</f>
        <v>990.71428571428567</v>
      </c>
      <c r="T38" s="16">
        <f t="shared" si="30"/>
        <v>372.14285714285717</v>
      </c>
      <c r="U38" s="16">
        <f t="shared" si="30"/>
        <v>187.71428571428569</v>
      </c>
      <c r="V38" s="16">
        <f t="shared" si="30"/>
        <v>960.28571428571422</v>
      </c>
      <c r="W38" s="16">
        <f t="shared" si="30"/>
        <v>16.285714285714285</v>
      </c>
      <c r="X38" s="16">
        <f t="shared" si="30"/>
        <v>3.7142857142857144</v>
      </c>
      <c r="Y38" s="16">
        <f t="shared" si="30"/>
        <v>235.42857142857139</v>
      </c>
      <c r="Z38" s="16">
        <f t="shared" si="30"/>
        <v>210.42857142857147</v>
      </c>
      <c r="AA38" s="16">
        <f t="shared" si="30"/>
        <v>173.14285714285717</v>
      </c>
      <c r="AB38" s="16">
        <f t="shared" si="30"/>
        <v>242.85714285714283</v>
      </c>
      <c r="AC38" s="16">
        <f t="shared" si="30"/>
        <v>1717.4285714285716</v>
      </c>
      <c r="AD38" s="16">
        <f t="shared" si="30"/>
        <v>0.8571428571428571</v>
      </c>
      <c r="AE38" s="32">
        <f t="shared" si="30"/>
        <v>3393.5714285714284</v>
      </c>
      <c r="AF38" s="32">
        <f t="shared" si="30"/>
        <v>5111</v>
      </c>
    </row>
    <row r="39" spans="2:32" ht="23.1" customHeight="1" x14ac:dyDescent="0.25">
      <c r="B39" s="24" t="s">
        <v>66</v>
      </c>
      <c r="C39" s="49">
        <f>'Avg Week Nalya-Bweyogerere'!C39+'Avg Week Bweyogerere-Naalya'!C39</f>
        <v>33.571428571428569</v>
      </c>
      <c r="D39" s="49">
        <f>'Avg Week Nalya-Bweyogerere'!D39+'Avg Week Bweyogerere-Naalya'!D39</f>
        <v>16.571428571428573</v>
      </c>
      <c r="E39" s="49">
        <f>'Avg Week Nalya-Bweyogerere'!E39+'Avg Week Bweyogerere-Naalya'!E39</f>
        <v>8.8571428571428577</v>
      </c>
      <c r="F39" s="49">
        <f>'Avg Week Nalya-Bweyogerere'!F39+'Avg Week Bweyogerere-Naalya'!F39</f>
        <v>35.714285714285715</v>
      </c>
      <c r="G39" s="49">
        <f>'Avg Week Nalya-Bweyogerere'!G39+'Avg Week Bweyogerere-Naalya'!G39</f>
        <v>0.42857142857142855</v>
      </c>
      <c r="H39" s="49">
        <f>'Avg Week Nalya-Bweyogerere'!H39+'Avg Week Bweyogerere-Naalya'!H39</f>
        <v>0.14285714285714285</v>
      </c>
      <c r="I39" s="49">
        <f>'Avg Week Nalya-Bweyogerere'!I39+'Avg Week Bweyogerere-Naalya'!I39</f>
        <v>11.428571428571429</v>
      </c>
      <c r="J39" s="49">
        <f>'Avg Week Nalya-Bweyogerere'!J39+'Avg Week Bweyogerere-Naalya'!J39</f>
        <v>8.2857142857142865</v>
      </c>
      <c r="K39" s="49">
        <f>'Avg Week Nalya-Bweyogerere'!K39+'Avg Week Bweyogerere-Naalya'!K39</f>
        <v>7.4285714285714288</v>
      </c>
      <c r="L39" s="49">
        <f>'Avg Week Nalya-Bweyogerere'!L39+'Avg Week Bweyogerere-Naalya'!L39</f>
        <v>9.5714285714285712</v>
      </c>
      <c r="M39" s="49">
        <f>'Avg Week Nalya-Bweyogerere'!M39+'Avg Week Bweyogerere-Naalya'!M39</f>
        <v>68.857142857142861</v>
      </c>
      <c r="N39" s="49">
        <f>'Avg Week Nalya-Bweyogerere'!N39+'Avg Week Bweyogerere-Naalya'!N39</f>
        <v>0</v>
      </c>
      <c r="O39" s="15">
        <f t="shared" si="0"/>
        <v>132.00000000000003</v>
      </c>
      <c r="P39" s="15">
        <f t="shared" si="1"/>
        <v>200.85714285714289</v>
      </c>
      <c r="R39" s="29" t="s">
        <v>87</v>
      </c>
      <c r="S39" s="16">
        <f t="shared" ref="S39:AF39" si="31">SUM(S19:S21)</f>
        <v>715.28571428571422</v>
      </c>
      <c r="T39" s="16">
        <f t="shared" si="31"/>
        <v>270.14285714285711</v>
      </c>
      <c r="U39" s="16">
        <f t="shared" si="31"/>
        <v>133.28571428571428</v>
      </c>
      <c r="V39" s="16">
        <f t="shared" si="31"/>
        <v>660.57142857142856</v>
      </c>
      <c r="W39" s="16">
        <f t="shared" si="31"/>
        <v>11.142857142857142</v>
      </c>
      <c r="X39" s="16">
        <f t="shared" si="31"/>
        <v>2.5714285714285712</v>
      </c>
      <c r="Y39" s="16">
        <f t="shared" si="31"/>
        <v>129.28571428571428</v>
      </c>
      <c r="Z39" s="16">
        <f t="shared" si="31"/>
        <v>126.28571428571428</v>
      </c>
      <c r="AA39" s="16">
        <f t="shared" si="31"/>
        <v>100.42857142857144</v>
      </c>
      <c r="AB39" s="16">
        <f t="shared" si="31"/>
        <v>120.71428571428571</v>
      </c>
      <c r="AC39" s="16">
        <f t="shared" si="31"/>
        <v>1010.1428571428571</v>
      </c>
      <c r="AD39" s="16">
        <f t="shared" si="31"/>
        <v>0.42857142857142855</v>
      </c>
      <c r="AE39" s="32">
        <f t="shared" si="31"/>
        <v>2270.1428571428569</v>
      </c>
      <c r="AF39" s="32">
        <f t="shared" si="31"/>
        <v>3280.2857142857142</v>
      </c>
    </row>
    <row r="40" spans="2:32" ht="23.1" customHeight="1" x14ac:dyDescent="0.25">
      <c r="B40" s="24" t="s">
        <v>67</v>
      </c>
      <c r="C40" s="49">
        <f>'Avg Week Nalya-Bweyogerere'!C40+'Avg Week Bweyogerere-Naalya'!C40</f>
        <v>39.571428571428569</v>
      </c>
      <c r="D40" s="49">
        <f>'Avg Week Nalya-Bweyogerere'!D40+'Avg Week Bweyogerere-Naalya'!D40</f>
        <v>13.428571428571427</v>
      </c>
      <c r="E40" s="49">
        <f>'Avg Week Nalya-Bweyogerere'!E40+'Avg Week Bweyogerere-Naalya'!E40</f>
        <v>6.8571428571428577</v>
      </c>
      <c r="F40" s="49">
        <f>'Avg Week Nalya-Bweyogerere'!F40+'Avg Week Bweyogerere-Naalya'!F40</f>
        <v>33.857142857142861</v>
      </c>
      <c r="G40" s="49">
        <f>'Avg Week Nalya-Bweyogerere'!G40+'Avg Week Bweyogerere-Naalya'!G40</f>
        <v>0</v>
      </c>
      <c r="H40" s="49">
        <f>'Avg Week Nalya-Bweyogerere'!H40+'Avg Week Bweyogerere-Naalya'!H40</f>
        <v>0.14285714285714285</v>
      </c>
      <c r="I40" s="49">
        <f>'Avg Week Nalya-Bweyogerere'!I40+'Avg Week Bweyogerere-Naalya'!I40</f>
        <v>8.8571428571428577</v>
      </c>
      <c r="J40" s="49">
        <f>'Avg Week Nalya-Bweyogerere'!J40+'Avg Week Bweyogerere-Naalya'!J40</f>
        <v>9</v>
      </c>
      <c r="K40" s="49">
        <f>'Avg Week Nalya-Bweyogerere'!K40+'Avg Week Bweyogerere-Naalya'!K40</f>
        <v>9</v>
      </c>
      <c r="L40" s="49">
        <f>'Avg Week Nalya-Bweyogerere'!L40+'Avg Week Bweyogerere-Naalya'!L40</f>
        <v>11.285714285714285</v>
      </c>
      <c r="M40" s="49">
        <f>'Avg Week Nalya-Bweyogerere'!M40+'Avg Week Bweyogerere-Naalya'!M40</f>
        <v>70.571428571428569</v>
      </c>
      <c r="N40" s="49">
        <f>'Avg Week Nalya-Bweyogerere'!N40+'Avg Week Bweyogerere-Naalya'!N40</f>
        <v>0</v>
      </c>
      <c r="O40" s="15">
        <f t="shared" si="0"/>
        <v>132</v>
      </c>
      <c r="P40" s="15">
        <f t="shared" si="1"/>
        <v>202.57142857142856</v>
      </c>
      <c r="R40" s="5" t="s">
        <v>17</v>
      </c>
      <c r="S40" s="16">
        <f t="shared" ref="S40:AF40" si="32">SUM(S10:S21)</f>
        <v>2285.5714285714284</v>
      </c>
      <c r="T40" s="16">
        <f t="shared" si="32"/>
        <v>843</v>
      </c>
      <c r="U40" s="16">
        <f t="shared" si="32"/>
        <v>430.42857142857144</v>
      </c>
      <c r="V40" s="16">
        <f t="shared" si="32"/>
        <v>2210.8571428571427</v>
      </c>
      <c r="W40" s="16">
        <f t="shared" si="32"/>
        <v>40.142857142857146</v>
      </c>
      <c r="X40" s="16">
        <f t="shared" si="32"/>
        <v>7.5714285714285703</v>
      </c>
      <c r="Y40" s="16">
        <f t="shared" si="32"/>
        <v>451.85714285714283</v>
      </c>
      <c r="Z40" s="16">
        <f t="shared" si="32"/>
        <v>417.99999999999989</v>
      </c>
      <c r="AA40" s="16">
        <f t="shared" si="32"/>
        <v>341.28571428571433</v>
      </c>
      <c r="AB40" s="16">
        <f t="shared" si="32"/>
        <v>433.28571428571428</v>
      </c>
      <c r="AC40" s="16">
        <f t="shared" si="32"/>
        <v>3516.1428571428573</v>
      </c>
      <c r="AD40" s="16">
        <f t="shared" si="32"/>
        <v>1.9999999999999996</v>
      </c>
      <c r="AE40" s="32">
        <f t="shared" si="32"/>
        <v>7464</v>
      </c>
      <c r="AF40" s="32">
        <f t="shared" si="32"/>
        <v>10980.142857142859</v>
      </c>
    </row>
    <row r="41" spans="2:32" ht="23.1" customHeight="1" x14ac:dyDescent="0.25">
      <c r="B41" s="23" t="s">
        <v>68</v>
      </c>
      <c r="C41" s="49">
        <f>'Avg Week Nalya-Bweyogerere'!C41+'Avg Week Bweyogerere-Naalya'!C41</f>
        <v>34.571428571428569</v>
      </c>
      <c r="D41" s="49">
        <f>'Avg Week Nalya-Bweyogerere'!D41+'Avg Week Bweyogerere-Naalya'!D41</f>
        <v>12.571428571428571</v>
      </c>
      <c r="E41" s="49">
        <f>'Avg Week Nalya-Bweyogerere'!E41+'Avg Week Bweyogerere-Naalya'!E41</f>
        <v>7.4285714285714288</v>
      </c>
      <c r="F41" s="49">
        <f>'Avg Week Nalya-Bweyogerere'!F41+'Avg Week Bweyogerere-Naalya'!F41</f>
        <v>38.142857142857139</v>
      </c>
      <c r="G41" s="49">
        <f>'Avg Week Nalya-Bweyogerere'!G41+'Avg Week Bweyogerere-Naalya'!G41</f>
        <v>0.14285714285714285</v>
      </c>
      <c r="H41" s="49">
        <f>'Avg Week Nalya-Bweyogerere'!H41+'Avg Week Bweyogerere-Naalya'!H41</f>
        <v>0</v>
      </c>
      <c r="I41" s="49">
        <f>'Avg Week Nalya-Bweyogerere'!I41+'Avg Week Bweyogerere-Naalya'!I41</f>
        <v>8.2857142857142847</v>
      </c>
      <c r="J41" s="49">
        <f>'Avg Week Nalya-Bweyogerere'!J41+'Avg Week Bweyogerere-Naalya'!J41</f>
        <v>9.8571428571428577</v>
      </c>
      <c r="K41" s="49">
        <f>'Avg Week Nalya-Bweyogerere'!K41+'Avg Week Bweyogerere-Naalya'!K41</f>
        <v>5.8571428571428577</v>
      </c>
      <c r="L41" s="49">
        <f>'Avg Week Nalya-Bweyogerere'!L41+'Avg Week Bweyogerere-Naalya'!L41</f>
        <v>10</v>
      </c>
      <c r="M41" s="49">
        <f>'Avg Week Nalya-Bweyogerere'!M41+'Avg Week Bweyogerere-Naalya'!M41</f>
        <v>65.142857142857139</v>
      </c>
      <c r="N41" s="49">
        <f>'Avg Week Nalya-Bweyogerere'!N41+'Avg Week Bweyogerere-Naalya'!N41</f>
        <v>0.14285714285714285</v>
      </c>
      <c r="O41" s="15">
        <f t="shared" si="0"/>
        <v>127</v>
      </c>
      <c r="P41" s="15">
        <f t="shared" si="1"/>
        <v>192.14285714285714</v>
      </c>
      <c r="R41" s="5" t="s">
        <v>177</v>
      </c>
      <c r="S41" s="52">
        <f>SUM(S10:S33)</f>
        <v>3503.0714285714284</v>
      </c>
      <c r="T41" s="52">
        <f t="shared" ref="T41:AD41" si="33">SUM(T10:T33)</f>
        <v>1312</v>
      </c>
      <c r="U41" s="52">
        <f t="shared" si="33"/>
        <v>637.92857142857144</v>
      </c>
      <c r="V41" s="52">
        <f t="shared" si="33"/>
        <v>3090.8571428571427</v>
      </c>
      <c r="W41" s="52">
        <f t="shared" si="33"/>
        <v>75.642857142857139</v>
      </c>
      <c r="X41" s="52">
        <f t="shared" si="33"/>
        <v>14.571428571428569</v>
      </c>
      <c r="Y41" s="52">
        <f t="shared" si="33"/>
        <v>584.85714285714289</v>
      </c>
      <c r="Z41" s="52">
        <f t="shared" si="33"/>
        <v>698.99999999999989</v>
      </c>
      <c r="AA41" s="52">
        <f t="shared" si="33"/>
        <v>526.78571428571433</v>
      </c>
      <c r="AB41" s="52">
        <f t="shared" si="33"/>
        <v>693.78571428571422</v>
      </c>
      <c r="AC41" s="52">
        <f t="shared" si="33"/>
        <v>4632.1428571428569</v>
      </c>
      <c r="AD41" s="52">
        <f t="shared" si="33"/>
        <v>3.4999999999999996</v>
      </c>
      <c r="AE41" s="53">
        <f>SUM(AE10:AE33)</f>
        <v>11142</v>
      </c>
      <c r="AF41" s="53">
        <f>SUM(AF10:AF33)</f>
        <v>15774.142857142859</v>
      </c>
    </row>
    <row r="42" spans="2:32" ht="23.1" customHeight="1" x14ac:dyDescent="0.25">
      <c r="B42" s="24" t="s">
        <v>69</v>
      </c>
      <c r="C42" s="49">
        <f>'Avg Week Nalya-Bweyogerere'!C42+'Avg Week Bweyogerere-Naalya'!C42</f>
        <v>44.857142857142861</v>
      </c>
      <c r="D42" s="49">
        <f>'Avg Week Nalya-Bweyogerere'!D42+'Avg Week Bweyogerere-Naalya'!D42</f>
        <v>15.571428571428571</v>
      </c>
      <c r="E42" s="49">
        <f>'Avg Week Nalya-Bweyogerere'!E42+'Avg Week Bweyogerere-Naalya'!E42</f>
        <v>7.1428571428571423</v>
      </c>
      <c r="F42" s="49">
        <f>'Avg Week Nalya-Bweyogerere'!F42+'Avg Week Bweyogerere-Naalya'!F42</f>
        <v>41</v>
      </c>
      <c r="G42" s="49">
        <f>'Avg Week Nalya-Bweyogerere'!G42+'Avg Week Bweyogerere-Naalya'!G42</f>
        <v>0.42857142857142855</v>
      </c>
      <c r="H42" s="49">
        <f>'Avg Week Nalya-Bweyogerere'!H42+'Avg Week Bweyogerere-Naalya'!H42</f>
        <v>0</v>
      </c>
      <c r="I42" s="49">
        <f>'Avg Week Nalya-Bweyogerere'!I42+'Avg Week Bweyogerere-Naalya'!I42</f>
        <v>8.2857142857142847</v>
      </c>
      <c r="J42" s="49">
        <f>'Avg Week Nalya-Bweyogerere'!J42+'Avg Week Bweyogerere-Naalya'!J42</f>
        <v>8.8571428571428577</v>
      </c>
      <c r="K42" s="49">
        <f>'Avg Week Nalya-Bweyogerere'!K42+'Avg Week Bweyogerere-Naalya'!K42</f>
        <v>9.7142857142857135</v>
      </c>
      <c r="L42" s="49">
        <f>'Avg Week Nalya-Bweyogerere'!L42+'Avg Week Bweyogerere-Naalya'!L42</f>
        <v>12.857142857142858</v>
      </c>
      <c r="M42" s="49">
        <f>'Avg Week Nalya-Bweyogerere'!M42+'Avg Week Bweyogerere-Naalya'!M42</f>
        <v>66.857142857142861</v>
      </c>
      <c r="N42" s="49">
        <f>'Avg Week Nalya-Bweyogerere'!N42+'Avg Week Bweyogerere-Naalya'!N42</f>
        <v>0</v>
      </c>
      <c r="O42" s="15">
        <f t="shared" si="0"/>
        <v>148.71428571428572</v>
      </c>
      <c r="P42" s="15">
        <f t="shared" si="1"/>
        <v>215.57142857142858</v>
      </c>
      <c r="R42" s="5" t="s">
        <v>160</v>
      </c>
      <c r="S42" s="48">
        <f>S41/S40</f>
        <v>1.5326895430964436</v>
      </c>
      <c r="T42" s="48">
        <f t="shared" ref="T42:AF42" si="34">T41/T40</f>
        <v>1.5563463819691579</v>
      </c>
      <c r="U42" s="48">
        <f t="shared" si="34"/>
        <v>1.4820776634583472</v>
      </c>
      <c r="V42" s="48">
        <f t="shared" si="34"/>
        <v>1.3980356681313002</v>
      </c>
      <c r="W42" s="48">
        <f t="shared" si="34"/>
        <v>1.8843416370106758</v>
      </c>
      <c r="X42" s="48">
        <f t="shared" si="34"/>
        <v>1.9245283018867925</v>
      </c>
      <c r="Y42" s="48">
        <f t="shared" si="34"/>
        <v>1.2943408156813154</v>
      </c>
      <c r="Z42" s="48">
        <f t="shared" si="34"/>
        <v>1.6722488038277514</v>
      </c>
      <c r="AA42" s="48">
        <f t="shared" si="34"/>
        <v>1.5435328589367936</v>
      </c>
      <c r="AB42" s="48">
        <f t="shared" si="34"/>
        <v>1.601219914276294</v>
      </c>
      <c r="AC42" s="48">
        <f t="shared" si="34"/>
        <v>1.3173932474708485</v>
      </c>
      <c r="AD42" s="48">
        <f t="shared" si="34"/>
        <v>1.7500000000000002</v>
      </c>
      <c r="AE42" s="54">
        <f t="shared" si="34"/>
        <v>1.492765273311897</v>
      </c>
      <c r="AF42" s="54">
        <f t="shared" si="34"/>
        <v>1.436606341317443</v>
      </c>
    </row>
    <row r="43" spans="2:32" ht="23.1" customHeight="1" x14ac:dyDescent="0.25">
      <c r="B43" s="23" t="s">
        <v>70</v>
      </c>
      <c r="C43" s="49">
        <f>'Avg Week Nalya-Bweyogerere'!C43+'Avg Week Bweyogerere-Naalya'!C43</f>
        <v>34.285714285714285</v>
      </c>
      <c r="D43" s="49">
        <f>'Avg Week Nalya-Bweyogerere'!D43+'Avg Week Bweyogerere-Naalya'!D43</f>
        <v>16.142857142857142</v>
      </c>
      <c r="E43" s="49">
        <f>'Avg Week Nalya-Bweyogerere'!E43+'Avg Week Bweyogerere-Naalya'!E43</f>
        <v>8</v>
      </c>
      <c r="F43" s="49">
        <f>'Avg Week Nalya-Bweyogerere'!F43+'Avg Week Bweyogerere-Naalya'!F43</f>
        <v>41.857142857142861</v>
      </c>
      <c r="G43" s="49">
        <f>'Avg Week Nalya-Bweyogerere'!G43+'Avg Week Bweyogerere-Naalya'!G43</f>
        <v>0.5714285714285714</v>
      </c>
      <c r="H43" s="49">
        <f>'Avg Week Nalya-Bweyogerere'!H43+'Avg Week Bweyogerere-Naalya'!H43</f>
        <v>0.14285714285714285</v>
      </c>
      <c r="I43" s="49">
        <f>'Avg Week Nalya-Bweyogerere'!I43+'Avg Week Bweyogerere-Naalya'!I43</f>
        <v>12.857142857142858</v>
      </c>
      <c r="J43" s="49">
        <f>'Avg Week Nalya-Bweyogerere'!J43+'Avg Week Bweyogerere-Naalya'!J43</f>
        <v>7.5714285714285712</v>
      </c>
      <c r="K43" s="49">
        <f>'Avg Week Nalya-Bweyogerere'!K43+'Avg Week Bweyogerere-Naalya'!K43</f>
        <v>8.2857142857142847</v>
      </c>
      <c r="L43" s="49">
        <f>'Avg Week Nalya-Bweyogerere'!L43+'Avg Week Bweyogerere-Naalya'!L43</f>
        <v>12</v>
      </c>
      <c r="M43" s="49">
        <f>'Avg Week Nalya-Bweyogerere'!M43+'Avg Week Bweyogerere-Naalya'!M43</f>
        <v>70.714285714285722</v>
      </c>
      <c r="N43" s="49">
        <f>'Avg Week Nalya-Bweyogerere'!N43+'Avg Week Bweyogerere-Naalya'!N43</f>
        <v>0</v>
      </c>
      <c r="O43" s="15">
        <f t="shared" si="0"/>
        <v>141.71428571428572</v>
      </c>
      <c r="P43" s="15">
        <f t="shared" si="1"/>
        <v>212.42857142857144</v>
      </c>
    </row>
    <row r="44" spans="2:32" ht="23.1" customHeight="1" x14ac:dyDescent="0.25">
      <c r="B44" s="25" t="s">
        <v>71</v>
      </c>
      <c r="C44" s="49">
        <f>'Avg Week Nalya-Bweyogerere'!C44+'Avg Week Bweyogerere-Naalya'!C44</f>
        <v>38.714285714285715</v>
      </c>
      <c r="D44" s="49">
        <f>'Avg Week Nalya-Bweyogerere'!D44+'Avg Week Bweyogerere-Naalya'!D44</f>
        <v>13.428571428571429</v>
      </c>
      <c r="E44" s="49">
        <f>'Avg Week Nalya-Bweyogerere'!E44+'Avg Week Bweyogerere-Naalya'!E44</f>
        <v>8</v>
      </c>
      <c r="F44" s="49">
        <f>'Avg Week Nalya-Bweyogerere'!F44+'Avg Week Bweyogerere-Naalya'!F44</f>
        <v>37.285714285714292</v>
      </c>
      <c r="G44" s="49">
        <f>'Avg Week Nalya-Bweyogerere'!G44+'Avg Week Bweyogerere-Naalya'!G44</f>
        <v>0.42857142857142855</v>
      </c>
      <c r="H44" s="49">
        <f>'Avg Week Nalya-Bweyogerere'!H44+'Avg Week Bweyogerere-Naalya'!H44</f>
        <v>0.5714285714285714</v>
      </c>
      <c r="I44" s="49">
        <f>'Avg Week Nalya-Bweyogerere'!I44+'Avg Week Bweyogerere-Naalya'!I44</f>
        <v>9.2857142857142847</v>
      </c>
      <c r="J44" s="49">
        <f>'Avg Week Nalya-Bweyogerere'!J44+'Avg Week Bweyogerere-Naalya'!J44</f>
        <v>9.4285714285714288</v>
      </c>
      <c r="K44" s="49">
        <f>'Avg Week Nalya-Bweyogerere'!K44+'Avg Week Bweyogerere-Naalya'!K44</f>
        <v>9.571428571428573</v>
      </c>
      <c r="L44" s="49">
        <f>'Avg Week Nalya-Bweyogerere'!L44+'Avg Week Bweyogerere-Naalya'!L44</f>
        <v>10.571428571428571</v>
      </c>
      <c r="M44" s="49">
        <f>'Avg Week Nalya-Bweyogerere'!M44+'Avg Week Bweyogerere-Naalya'!M44</f>
        <v>73.142857142857139</v>
      </c>
      <c r="N44" s="49">
        <f>'Avg Week Nalya-Bweyogerere'!N44+'Avg Week Bweyogerere-Naalya'!N44</f>
        <v>0</v>
      </c>
      <c r="O44" s="15">
        <f t="shared" si="0"/>
        <v>137.28571428571431</v>
      </c>
      <c r="P44" s="15">
        <f t="shared" si="1"/>
        <v>210.42857142857144</v>
      </c>
    </row>
    <row r="45" spans="2:32" ht="23.1" customHeight="1" x14ac:dyDescent="0.25">
      <c r="B45" s="23" t="s">
        <v>72</v>
      </c>
      <c r="C45" s="49">
        <f>'Avg Week Nalya-Bweyogerere'!C45+'Avg Week Bweyogerere-Naalya'!C45</f>
        <v>32.714285714285715</v>
      </c>
      <c r="D45" s="49">
        <f>'Avg Week Nalya-Bweyogerere'!D45+'Avg Week Bweyogerere-Naalya'!D45</f>
        <v>16.571428571428573</v>
      </c>
      <c r="E45" s="49">
        <f>'Avg Week Nalya-Bweyogerere'!E45+'Avg Week Bweyogerere-Naalya'!E45</f>
        <v>5.7142857142857135</v>
      </c>
      <c r="F45" s="49">
        <f>'Avg Week Nalya-Bweyogerere'!F45+'Avg Week Bweyogerere-Naalya'!F45</f>
        <v>35</v>
      </c>
      <c r="G45" s="49">
        <f>'Avg Week Nalya-Bweyogerere'!G45+'Avg Week Bweyogerere-Naalya'!G45</f>
        <v>0.2857142857142857</v>
      </c>
      <c r="H45" s="49">
        <f>'Avg Week Nalya-Bweyogerere'!H45+'Avg Week Bweyogerere-Naalya'!H45</f>
        <v>0</v>
      </c>
      <c r="I45" s="49">
        <f>'Avg Week Nalya-Bweyogerere'!I45+'Avg Week Bweyogerere-Naalya'!I45</f>
        <v>10.142857142857142</v>
      </c>
      <c r="J45" s="49">
        <f>'Avg Week Nalya-Bweyogerere'!J45+'Avg Week Bweyogerere-Naalya'!J45</f>
        <v>8.7142857142857153</v>
      </c>
      <c r="K45" s="49">
        <f>'Avg Week Nalya-Bweyogerere'!K45+'Avg Week Bweyogerere-Naalya'!K45</f>
        <v>7</v>
      </c>
      <c r="L45" s="49">
        <f>'Avg Week Nalya-Bweyogerere'!L45+'Avg Week Bweyogerere-Naalya'!L45</f>
        <v>10.571428571428573</v>
      </c>
      <c r="M45" s="49">
        <f>'Avg Week Nalya-Bweyogerere'!M45+'Avg Week Bweyogerere-Naalya'!M45</f>
        <v>62.714285714285715</v>
      </c>
      <c r="N45" s="49">
        <f>'Avg Week Nalya-Bweyogerere'!N45+'Avg Week Bweyogerere-Naalya'!N45</f>
        <v>0</v>
      </c>
      <c r="O45" s="15">
        <f t="shared" si="0"/>
        <v>126.71428571428571</v>
      </c>
      <c r="P45" s="15">
        <f t="shared" si="1"/>
        <v>189.42857142857142</v>
      </c>
    </row>
    <row r="46" spans="2:32" ht="23.1" customHeight="1" x14ac:dyDescent="0.25">
      <c r="B46" s="24" t="s">
        <v>73</v>
      </c>
      <c r="C46" s="49">
        <f>'Avg Week Nalya-Bweyogerere'!C46+'Avg Week Bweyogerere-Naalya'!C46</f>
        <v>41.857142857142861</v>
      </c>
      <c r="D46" s="49">
        <f>'Avg Week Nalya-Bweyogerere'!D46+'Avg Week Bweyogerere-Naalya'!D46</f>
        <v>16.857142857142858</v>
      </c>
      <c r="E46" s="49">
        <f>'Avg Week Nalya-Bweyogerere'!E46+'Avg Week Bweyogerere-Naalya'!E46</f>
        <v>9.5714285714285712</v>
      </c>
      <c r="F46" s="49">
        <f>'Avg Week Nalya-Bweyogerere'!F46+'Avg Week Bweyogerere-Naalya'!F46</f>
        <v>40.857142857142861</v>
      </c>
      <c r="G46" s="49">
        <f>'Avg Week Nalya-Bweyogerere'!G46+'Avg Week Bweyogerere-Naalya'!G46</f>
        <v>0.42857142857142855</v>
      </c>
      <c r="H46" s="49">
        <f>'Avg Week Nalya-Bweyogerere'!H46+'Avg Week Bweyogerere-Naalya'!H46</f>
        <v>0.2857142857142857</v>
      </c>
      <c r="I46" s="49">
        <f>'Avg Week Nalya-Bweyogerere'!I46+'Avg Week Bweyogerere-Naalya'!I46</f>
        <v>8.1428571428571423</v>
      </c>
      <c r="J46" s="49">
        <f>'Avg Week Nalya-Bweyogerere'!J46+'Avg Week Bweyogerere-Naalya'!J46</f>
        <v>11.428571428571429</v>
      </c>
      <c r="K46" s="49">
        <f>'Avg Week Nalya-Bweyogerere'!K46+'Avg Week Bweyogerere-Naalya'!K46</f>
        <v>9.1428571428571423</v>
      </c>
      <c r="L46" s="49">
        <f>'Avg Week Nalya-Bweyogerere'!L46+'Avg Week Bweyogerere-Naalya'!L46</f>
        <v>11.285714285714285</v>
      </c>
      <c r="M46" s="49">
        <f>'Avg Week Nalya-Bweyogerere'!M46+'Avg Week Bweyogerere-Naalya'!M46</f>
        <v>71</v>
      </c>
      <c r="N46" s="49">
        <f>'Avg Week Nalya-Bweyogerere'!N46+'Avg Week Bweyogerere-Naalya'!N46</f>
        <v>0</v>
      </c>
      <c r="O46" s="15">
        <f t="shared" si="0"/>
        <v>149.85714285714286</v>
      </c>
      <c r="P46" s="15">
        <f t="shared" si="1"/>
        <v>220.85714285714286</v>
      </c>
      <c r="R46" s="8"/>
      <c r="T46"/>
    </row>
    <row r="47" spans="2:32" ht="23.1" customHeight="1" x14ac:dyDescent="0.25">
      <c r="B47" s="24" t="s">
        <v>74</v>
      </c>
      <c r="C47" s="49">
        <f>'Avg Week Nalya-Bweyogerere'!C47+'Avg Week Bweyogerere-Naalya'!C47</f>
        <v>39.428571428571431</v>
      </c>
      <c r="D47" s="49">
        <f>'Avg Week Nalya-Bweyogerere'!D47+'Avg Week Bweyogerere-Naalya'!D47</f>
        <v>13.571428571428573</v>
      </c>
      <c r="E47" s="49">
        <f>'Avg Week Nalya-Bweyogerere'!E47+'Avg Week Bweyogerere-Naalya'!E47</f>
        <v>9.428571428571427</v>
      </c>
      <c r="F47" s="49">
        <f>'Avg Week Nalya-Bweyogerere'!F47+'Avg Week Bweyogerere-Naalya'!F47</f>
        <v>36.285714285714292</v>
      </c>
      <c r="G47" s="49">
        <f>'Avg Week Nalya-Bweyogerere'!G47+'Avg Week Bweyogerere-Naalya'!G47</f>
        <v>0.14285714285714285</v>
      </c>
      <c r="H47" s="49">
        <f>'Avg Week Nalya-Bweyogerere'!H47+'Avg Week Bweyogerere-Naalya'!H47</f>
        <v>0.2857142857142857</v>
      </c>
      <c r="I47" s="49">
        <f>'Avg Week Nalya-Bweyogerere'!I47+'Avg Week Bweyogerere-Naalya'!I47</f>
        <v>9.1428571428571423</v>
      </c>
      <c r="J47" s="49">
        <f>'Avg Week Nalya-Bweyogerere'!J47+'Avg Week Bweyogerere-Naalya'!J47</f>
        <v>6.8571428571428577</v>
      </c>
      <c r="K47" s="49">
        <f>'Avg Week Nalya-Bweyogerere'!K47+'Avg Week Bweyogerere-Naalya'!K47</f>
        <v>5.8571428571428577</v>
      </c>
      <c r="L47" s="49">
        <f>'Avg Week Nalya-Bweyogerere'!L47+'Avg Week Bweyogerere-Naalya'!L47</f>
        <v>9.2857142857142847</v>
      </c>
      <c r="M47" s="49">
        <f>'Avg Week Nalya-Bweyogerere'!M47+'Avg Week Bweyogerere-Naalya'!M47</f>
        <v>61.285714285714292</v>
      </c>
      <c r="N47" s="49">
        <f>'Avg Week Nalya-Bweyogerere'!N47+'Avg Week Bweyogerere-Naalya'!N47</f>
        <v>0.14285714285714285</v>
      </c>
      <c r="O47" s="15">
        <f t="shared" si="0"/>
        <v>130.42857142857144</v>
      </c>
      <c r="P47" s="15">
        <f t="shared" si="1"/>
        <v>191.71428571428575</v>
      </c>
      <c r="R47" s="8"/>
      <c r="T47"/>
    </row>
    <row r="48" spans="2:32" ht="23.1" customHeight="1" x14ac:dyDescent="0.25">
      <c r="B48" s="24" t="s">
        <v>75</v>
      </c>
      <c r="C48" s="49">
        <f>'Avg Week Nalya-Bweyogerere'!C48+'Avg Week Bweyogerere-Naalya'!C48</f>
        <v>51.285714285714285</v>
      </c>
      <c r="D48" s="49">
        <f>'Avg Week Nalya-Bweyogerere'!D48+'Avg Week Bweyogerere-Naalya'!D48</f>
        <v>20.142857142857142</v>
      </c>
      <c r="E48" s="49">
        <f>'Avg Week Nalya-Bweyogerere'!E48+'Avg Week Bweyogerere-Naalya'!E48</f>
        <v>10.142857142857142</v>
      </c>
      <c r="F48" s="49">
        <f>'Avg Week Nalya-Bweyogerere'!F48+'Avg Week Bweyogerere-Naalya'!F48</f>
        <v>46.857142857142861</v>
      </c>
      <c r="G48" s="49">
        <f>'Avg Week Nalya-Bweyogerere'!G48+'Avg Week Bweyogerere-Naalya'!G48</f>
        <v>0.42857142857142855</v>
      </c>
      <c r="H48" s="49">
        <f>'Avg Week Nalya-Bweyogerere'!H48+'Avg Week Bweyogerere-Naalya'!H48</f>
        <v>0</v>
      </c>
      <c r="I48" s="49">
        <f>'Avg Week Nalya-Bweyogerere'!I48+'Avg Week Bweyogerere-Naalya'!I48</f>
        <v>10.285714285714285</v>
      </c>
      <c r="J48" s="49">
        <f>'Avg Week Nalya-Bweyogerere'!J48+'Avg Week Bweyogerere-Naalya'!J48</f>
        <v>8.5714285714285712</v>
      </c>
      <c r="K48" s="49">
        <f>'Avg Week Nalya-Bweyogerere'!K48+'Avg Week Bweyogerere-Naalya'!K48</f>
        <v>9.1428571428571423</v>
      </c>
      <c r="L48" s="49">
        <f>'Avg Week Nalya-Bweyogerere'!L48+'Avg Week Bweyogerere-Naalya'!L48</f>
        <v>14</v>
      </c>
      <c r="M48" s="49">
        <f>'Avg Week Nalya-Bweyogerere'!M48+'Avg Week Bweyogerere-Naalya'!M48</f>
        <v>73.285714285714278</v>
      </c>
      <c r="N48" s="49">
        <f>'Avg Week Nalya-Bweyogerere'!N48+'Avg Week Bweyogerere-Naalya'!N48</f>
        <v>0</v>
      </c>
      <c r="O48" s="15">
        <f t="shared" si="0"/>
        <v>170.85714285714286</v>
      </c>
      <c r="P48" s="15">
        <f t="shared" si="1"/>
        <v>244.14285714285714</v>
      </c>
      <c r="R48" s="8"/>
      <c r="T48"/>
    </row>
    <row r="49" spans="2:20" ht="23.1" customHeight="1" x14ac:dyDescent="0.25">
      <c r="B49" s="23" t="s">
        <v>76</v>
      </c>
      <c r="C49" s="49">
        <f>'Avg Week Nalya-Bweyogerere'!C49+'Avg Week Bweyogerere-Naalya'!C49</f>
        <v>52.857142857142861</v>
      </c>
      <c r="D49" s="49">
        <f>'Avg Week Nalya-Bweyogerere'!D49+'Avg Week Bweyogerere-Naalya'!D49</f>
        <v>17</v>
      </c>
      <c r="E49" s="49">
        <f>'Avg Week Nalya-Bweyogerere'!E49+'Avg Week Bweyogerere-Naalya'!E49</f>
        <v>9.7142857142857153</v>
      </c>
      <c r="F49" s="49">
        <f>'Avg Week Nalya-Bweyogerere'!F49+'Avg Week Bweyogerere-Naalya'!F49</f>
        <v>47</v>
      </c>
      <c r="G49" s="49">
        <f>'Avg Week Nalya-Bweyogerere'!G49+'Avg Week Bweyogerere-Naalya'!G49</f>
        <v>1</v>
      </c>
      <c r="H49" s="49">
        <f>'Avg Week Nalya-Bweyogerere'!H49+'Avg Week Bweyogerere-Naalya'!H49</f>
        <v>0</v>
      </c>
      <c r="I49" s="49">
        <f>'Avg Week Nalya-Bweyogerere'!I49+'Avg Week Bweyogerere-Naalya'!I49</f>
        <v>11.285714285714286</v>
      </c>
      <c r="J49" s="49">
        <f>'Avg Week Nalya-Bweyogerere'!J49+'Avg Week Bweyogerere-Naalya'!J49</f>
        <v>10.285714285714285</v>
      </c>
      <c r="K49" s="49">
        <f>'Avg Week Nalya-Bweyogerere'!K49+'Avg Week Bweyogerere-Naalya'!K49</f>
        <v>9.2857142857142847</v>
      </c>
      <c r="L49" s="49">
        <f>'Avg Week Nalya-Bweyogerere'!L49+'Avg Week Bweyogerere-Naalya'!L49</f>
        <v>8.7142857142857153</v>
      </c>
      <c r="M49" s="49">
        <f>'Avg Week Nalya-Bweyogerere'!M49+'Avg Week Bweyogerere-Naalya'!M49</f>
        <v>73.714285714285722</v>
      </c>
      <c r="N49" s="49">
        <f>'Avg Week Nalya-Bweyogerere'!N49+'Avg Week Bweyogerere-Naalya'!N49</f>
        <v>0</v>
      </c>
      <c r="O49" s="15">
        <f t="shared" si="0"/>
        <v>167.14285714285714</v>
      </c>
      <c r="P49" s="15">
        <f t="shared" si="1"/>
        <v>240.85714285714286</v>
      </c>
      <c r="R49" s="8"/>
      <c r="T49"/>
    </row>
    <row r="50" spans="2:20" ht="23.1" customHeight="1" x14ac:dyDescent="0.25">
      <c r="B50" s="24" t="s">
        <v>77</v>
      </c>
      <c r="C50" s="49">
        <f>'Avg Week Nalya-Bweyogerere'!C50+'Avg Week Bweyogerere-Naalya'!C50</f>
        <v>52.142857142857139</v>
      </c>
      <c r="D50" s="49">
        <f>'Avg Week Nalya-Bweyogerere'!D50+'Avg Week Bweyogerere-Naalya'!D50</f>
        <v>16.285714285714285</v>
      </c>
      <c r="E50" s="49">
        <f>'Avg Week Nalya-Bweyogerere'!E50+'Avg Week Bweyogerere-Naalya'!E50</f>
        <v>9.7142857142857153</v>
      </c>
      <c r="F50" s="49">
        <f>'Avg Week Nalya-Bweyogerere'!F50+'Avg Week Bweyogerere-Naalya'!F50</f>
        <v>51.857142857142861</v>
      </c>
      <c r="G50" s="49">
        <f>'Avg Week Nalya-Bweyogerere'!G50+'Avg Week Bweyogerere-Naalya'!G50</f>
        <v>0.8571428571428571</v>
      </c>
      <c r="H50" s="49">
        <f>'Avg Week Nalya-Bweyogerere'!H50+'Avg Week Bweyogerere-Naalya'!H50</f>
        <v>0.42857142857142855</v>
      </c>
      <c r="I50" s="49">
        <f>'Avg Week Nalya-Bweyogerere'!I50+'Avg Week Bweyogerere-Naalya'!I50</f>
        <v>9.2857142857142865</v>
      </c>
      <c r="J50" s="49">
        <f>'Avg Week Nalya-Bweyogerere'!J50+'Avg Week Bweyogerere-Naalya'!J50</f>
        <v>11.428571428571429</v>
      </c>
      <c r="K50" s="49">
        <f>'Avg Week Nalya-Bweyogerere'!K50+'Avg Week Bweyogerere-Naalya'!K50</f>
        <v>8</v>
      </c>
      <c r="L50" s="49">
        <f>'Avg Week Nalya-Bweyogerere'!L50+'Avg Week Bweyogerere-Naalya'!L50</f>
        <v>9.5714285714285712</v>
      </c>
      <c r="M50" s="49">
        <f>'Avg Week Nalya-Bweyogerere'!M50+'Avg Week Bweyogerere-Naalya'!M50</f>
        <v>83.571428571428584</v>
      </c>
      <c r="N50" s="49">
        <f>'Avg Week Nalya-Bweyogerere'!N50+'Avg Week Bweyogerere-Naalya'!N50</f>
        <v>0</v>
      </c>
      <c r="O50" s="15">
        <f t="shared" si="0"/>
        <v>169.57142857142856</v>
      </c>
      <c r="P50" s="15">
        <f t="shared" si="1"/>
        <v>253.14285714285714</v>
      </c>
      <c r="R50" s="8"/>
      <c r="T50"/>
    </row>
    <row r="51" spans="2:20" ht="23.1" customHeight="1" x14ac:dyDescent="0.25">
      <c r="B51" s="24" t="s">
        <v>78</v>
      </c>
      <c r="C51" s="49">
        <f>'Avg Week Nalya-Bweyogerere'!C51+'Avg Week Bweyogerere-Naalya'!C51</f>
        <v>59.285714285714285</v>
      </c>
      <c r="D51" s="49">
        <f>'Avg Week Nalya-Bweyogerere'!D51+'Avg Week Bweyogerere-Naalya'!D51</f>
        <v>22</v>
      </c>
      <c r="E51" s="49">
        <f>'Avg Week Nalya-Bweyogerere'!E51+'Avg Week Bweyogerere-Naalya'!E51</f>
        <v>9.8571428571428577</v>
      </c>
      <c r="F51" s="49">
        <f>'Avg Week Nalya-Bweyogerere'!F51+'Avg Week Bweyogerere-Naalya'!F51</f>
        <v>54.142857142857139</v>
      </c>
      <c r="G51" s="49">
        <f>'Avg Week Nalya-Bweyogerere'!G51+'Avg Week Bweyogerere-Naalya'!G51</f>
        <v>0.8571428571428571</v>
      </c>
      <c r="H51" s="49">
        <f>'Avg Week Nalya-Bweyogerere'!H51+'Avg Week Bweyogerere-Naalya'!H51</f>
        <v>0.2857142857142857</v>
      </c>
      <c r="I51" s="49">
        <f>'Avg Week Nalya-Bweyogerere'!I51+'Avg Week Bweyogerere-Naalya'!I51</f>
        <v>12.714285714285715</v>
      </c>
      <c r="J51" s="49">
        <f>'Avg Week Nalya-Bweyogerere'!J51+'Avg Week Bweyogerere-Naalya'!J51</f>
        <v>11.857142857142858</v>
      </c>
      <c r="K51" s="49">
        <f>'Avg Week Nalya-Bweyogerere'!K51+'Avg Week Bweyogerere-Naalya'!K51</f>
        <v>7.4285714285714288</v>
      </c>
      <c r="L51" s="49">
        <f>'Avg Week Nalya-Bweyogerere'!L51+'Avg Week Bweyogerere-Naalya'!L51</f>
        <v>10.285714285714285</v>
      </c>
      <c r="M51" s="49">
        <f>'Avg Week Nalya-Bweyogerere'!M51+'Avg Week Bweyogerere-Naalya'!M51</f>
        <v>86.571428571428569</v>
      </c>
      <c r="N51" s="49">
        <f>'Avg Week Nalya-Bweyogerere'!N51+'Avg Week Bweyogerere-Naalya'!N51</f>
        <v>0.14285714285714285</v>
      </c>
      <c r="O51" s="15">
        <f t="shared" si="0"/>
        <v>188.85714285714283</v>
      </c>
      <c r="P51" s="15">
        <f t="shared" si="1"/>
        <v>275.42857142857144</v>
      </c>
      <c r="R51" s="8"/>
      <c r="T51"/>
    </row>
    <row r="52" spans="2:20" ht="23.1" customHeight="1" x14ac:dyDescent="0.25">
      <c r="B52" s="24" t="s">
        <v>79</v>
      </c>
      <c r="C52" s="49">
        <f>'Avg Week Nalya-Bweyogerere'!C52+'Avg Week Bweyogerere-Naalya'!C52</f>
        <v>57.571428571428569</v>
      </c>
      <c r="D52" s="49">
        <f>'Avg Week Nalya-Bweyogerere'!D52+'Avg Week Bweyogerere-Naalya'!D52</f>
        <v>22.714285714285715</v>
      </c>
      <c r="E52" s="49">
        <f>'Avg Week Nalya-Bweyogerere'!E52+'Avg Week Bweyogerere-Naalya'!E52</f>
        <v>9.2857142857142847</v>
      </c>
      <c r="F52" s="49">
        <f>'Avg Week Nalya-Bweyogerere'!F52+'Avg Week Bweyogerere-Naalya'!F52</f>
        <v>54.285714285714285</v>
      </c>
      <c r="G52" s="49">
        <f>'Avg Week Nalya-Bweyogerere'!G52+'Avg Week Bweyogerere-Naalya'!G52</f>
        <v>1</v>
      </c>
      <c r="H52" s="49">
        <f>'Avg Week Nalya-Bweyogerere'!H52+'Avg Week Bweyogerere-Naalya'!H52</f>
        <v>0.2857142857142857</v>
      </c>
      <c r="I52" s="49">
        <f>'Avg Week Nalya-Bweyogerere'!I52+'Avg Week Bweyogerere-Naalya'!I52</f>
        <v>9.2857142857142865</v>
      </c>
      <c r="J52" s="49">
        <f>'Avg Week Nalya-Bweyogerere'!J52+'Avg Week Bweyogerere-Naalya'!J52</f>
        <v>8.8571428571428577</v>
      </c>
      <c r="K52" s="49">
        <f>'Avg Week Nalya-Bweyogerere'!K52+'Avg Week Bweyogerere-Naalya'!K52</f>
        <v>7.8571428571428577</v>
      </c>
      <c r="L52" s="49">
        <f>'Avg Week Nalya-Bweyogerere'!L52+'Avg Week Bweyogerere-Naalya'!L52</f>
        <v>12.142857142857142</v>
      </c>
      <c r="M52" s="49">
        <f>'Avg Week Nalya-Bweyogerere'!M52+'Avg Week Bweyogerere-Naalya'!M52</f>
        <v>88.285714285714278</v>
      </c>
      <c r="N52" s="49">
        <f>'Avg Week Nalya-Bweyogerere'!N52+'Avg Week Bweyogerere-Naalya'!N52</f>
        <v>0</v>
      </c>
      <c r="O52" s="15">
        <f t="shared" si="0"/>
        <v>183.28571428571425</v>
      </c>
      <c r="P52" s="15">
        <f t="shared" si="1"/>
        <v>271.57142857142856</v>
      </c>
      <c r="R52" s="8"/>
      <c r="T52"/>
    </row>
    <row r="53" spans="2:20" ht="23.1" customHeight="1" x14ac:dyDescent="0.25">
      <c r="B53" s="23" t="s">
        <v>80</v>
      </c>
      <c r="C53" s="49">
        <f>'Avg Week Nalya-Bweyogerere'!C53+'Avg Week Bweyogerere-Naalya'!C53</f>
        <v>62.714285714285708</v>
      </c>
      <c r="D53" s="49">
        <f>'Avg Week Nalya-Bweyogerere'!D53+'Avg Week Bweyogerere-Naalya'!D53</f>
        <v>25.428571428571431</v>
      </c>
      <c r="E53" s="49">
        <f>'Avg Week Nalya-Bweyogerere'!E53+'Avg Week Bweyogerere-Naalya'!E53</f>
        <v>13.142857142857142</v>
      </c>
      <c r="F53" s="49">
        <f>'Avg Week Nalya-Bweyogerere'!F53+'Avg Week Bweyogerere-Naalya'!F53</f>
        <v>56.714285714285708</v>
      </c>
      <c r="G53" s="49">
        <f>'Avg Week Nalya-Bweyogerere'!G53+'Avg Week Bweyogerere-Naalya'!G53</f>
        <v>0.7142857142857143</v>
      </c>
      <c r="H53" s="49">
        <f>'Avg Week Nalya-Bweyogerere'!H53+'Avg Week Bweyogerere-Naalya'!H53</f>
        <v>0</v>
      </c>
      <c r="I53" s="49">
        <f>'Avg Week Nalya-Bweyogerere'!I53+'Avg Week Bweyogerere-Naalya'!I53</f>
        <v>9.8571428571428577</v>
      </c>
      <c r="J53" s="49">
        <f>'Avg Week Nalya-Bweyogerere'!J53+'Avg Week Bweyogerere-Naalya'!J53</f>
        <v>13</v>
      </c>
      <c r="K53" s="49">
        <f>'Avg Week Nalya-Bweyogerere'!K53+'Avg Week Bweyogerere-Naalya'!K53</f>
        <v>8</v>
      </c>
      <c r="L53" s="49">
        <f>'Avg Week Nalya-Bweyogerere'!L53+'Avg Week Bweyogerere-Naalya'!L53</f>
        <v>9.4285714285714288</v>
      </c>
      <c r="M53" s="49">
        <f>'Avg Week Nalya-Bweyogerere'!M53+'Avg Week Bweyogerere-Naalya'!M53</f>
        <v>86.714285714285708</v>
      </c>
      <c r="N53" s="49">
        <f>'Avg Week Nalya-Bweyogerere'!N53+'Avg Week Bweyogerere-Naalya'!N53</f>
        <v>0</v>
      </c>
      <c r="O53" s="15">
        <f t="shared" si="0"/>
        <v>199</v>
      </c>
      <c r="P53" s="15">
        <f t="shared" si="1"/>
        <v>285.71428571428572</v>
      </c>
      <c r="R53" s="8"/>
      <c r="T53"/>
    </row>
    <row r="54" spans="2:20" ht="23.1" customHeight="1" x14ac:dyDescent="0.25">
      <c r="B54" s="23" t="s">
        <v>81</v>
      </c>
      <c r="C54" s="49">
        <f>'Avg Week Nalya-Bweyogerere'!C54+'Avg Week Bweyogerere-Naalya'!C54</f>
        <v>86.857142857142861</v>
      </c>
      <c r="D54" s="49">
        <f>'Avg Week Nalya-Bweyogerere'!D54+'Avg Week Bweyogerere-Naalya'!D54</f>
        <v>28.285714285714285</v>
      </c>
      <c r="E54" s="49">
        <f>'Avg Week Nalya-Bweyogerere'!E54+'Avg Week Bweyogerere-Naalya'!E54</f>
        <v>14.285714285714285</v>
      </c>
      <c r="F54" s="49">
        <f>'Avg Week Nalya-Bweyogerere'!F54+'Avg Week Bweyogerere-Naalya'!F54</f>
        <v>72</v>
      </c>
      <c r="G54" s="49">
        <f>'Avg Week Nalya-Bweyogerere'!G54+'Avg Week Bweyogerere-Naalya'!G54</f>
        <v>0.71428571428571419</v>
      </c>
      <c r="H54" s="49">
        <f>'Avg Week Nalya-Bweyogerere'!H54+'Avg Week Bweyogerere-Naalya'!H54</f>
        <v>0.2857142857142857</v>
      </c>
      <c r="I54" s="49">
        <f>'Avg Week Nalya-Bweyogerere'!I54+'Avg Week Bweyogerere-Naalya'!I54</f>
        <v>12.428571428571429</v>
      </c>
      <c r="J54" s="49">
        <f>'Avg Week Nalya-Bweyogerere'!J54+'Avg Week Bweyogerere-Naalya'!J54</f>
        <v>11.142857142857142</v>
      </c>
      <c r="K54" s="49">
        <f>'Avg Week Nalya-Bweyogerere'!K54+'Avg Week Bweyogerere-Naalya'!K54</f>
        <v>11.142857142857142</v>
      </c>
      <c r="L54" s="49">
        <f>'Avg Week Nalya-Bweyogerere'!L54+'Avg Week Bweyogerere-Naalya'!L54</f>
        <v>8.2857142857142847</v>
      </c>
      <c r="M54" s="49">
        <f>'Avg Week Nalya-Bweyogerere'!M54+'Avg Week Bweyogerere-Naalya'!M54</f>
        <v>88.571428571428569</v>
      </c>
      <c r="N54" s="49">
        <f>'Avg Week Nalya-Bweyogerere'!N54+'Avg Week Bweyogerere-Naalya'!N54</f>
        <v>0</v>
      </c>
      <c r="O54" s="15">
        <f t="shared" si="0"/>
        <v>245.42857142857139</v>
      </c>
      <c r="P54" s="15">
        <f t="shared" si="1"/>
        <v>333.99999999999994</v>
      </c>
      <c r="R54" s="8"/>
      <c r="T54"/>
    </row>
    <row r="55" spans="2:20" ht="23.1" customHeight="1" x14ac:dyDescent="0.25">
      <c r="B55" s="23" t="s">
        <v>82</v>
      </c>
      <c r="C55" s="49">
        <f>'Avg Week Nalya-Bweyogerere'!C55+'Avg Week Bweyogerere-Naalya'!C55</f>
        <v>72.285714285714278</v>
      </c>
      <c r="D55" s="49">
        <f>'Avg Week Nalya-Bweyogerere'!D55+'Avg Week Bweyogerere-Naalya'!D55</f>
        <v>28.714285714285715</v>
      </c>
      <c r="E55" s="49">
        <f>'Avg Week Nalya-Bweyogerere'!E55+'Avg Week Bweyogerere-Naalya'!E55</f>
        <v>11.285714285714285</v>
      </c>
      <c r="F55" s="49">
        <f>'Avg Week Nalya-Bweyogerere'!F55+'Avg Week Bweyogerere-Naalya'!F55</f>
        <v>64.857142857142861</v>
      </c>
      <c r="G55" s="49">
        <f>'Avg Week Nalya-Bweyogerere'!G55+'Avg Week Bweyogerere-Naalya'!G55</f>
        <v>2.1428571428571428</v>
      </c>
      <c r="H55" s="49">
        <f>'Avg Week Nalya-Bweyogerere'!H55+'Avg Week Bweyogerere-Naalya'!H55</f>
        <v>0</v>
      </c>
      <c r="I55" s="49">
        <f>'Avg Week Nalya-Bweyogerere'!I55+'Avg Week Bweyogerere-Naalya'!I55</f>
        <v>16.142857142857142</v>
      </c>
      <c r="J55" s="49">
        <f>'Avg Week Nalya-Bweyogerere'!J55+'Avg Week Bweyogerere-Naalya'!J55</f>
        <v>10.142857142857142</v>
      </c>
      <c r="K55" s="49">
        <f>'Avg Week Nalya-Bweyogerere'!K55+'Avg Week Bweyogerere-Naalya'!K55</f>
        <v>9.5714285714285712</v>
      </c>
      <c r="L55" s="49">
        <f>'Avg Week Nalya-Bweyogerere'!L55+'Avg Week Bweyogerere-Naalya'!L55</f>
        <v>6.5714285714285712</v>
      </c>
      <c r="M55" s="49">
        <f>'Avg Week Nalya-Bweyogerere'!M55+'Avg Week Bweyogerere-Naalya'!M55</f>
        <v>103.71428571428572</v>
      </c>
      <c r="N55" s="49">
        <f>'Avg Week Nalya-Bweyogerere'!N55+'Avg Week Bweyogerere-Naalya'!N55</f>
        <v>0</v>
      </c>
      <c r="O55" s="15">
        <f t="shared" si="0"/>
        <v>221.71428571428572</v>
      </c>
      <c r="P55" s="15">
        <f t="shared" si="1"/>
        <v>325.42857142857144</v>
      </c>
      <c r="R55" s="8"/>
      <c r="T55"/>
    </row>
    <row r="56" spans="2:20" ht="23.1" customHeight="1" x14ac:dyDescent="0.25">
      <c r="B56" s="23" t="s">
        <v>83</v>
      </c>
      <c r="C56" s="49">
        <f>'Avg Week Nalya-Bweyogerere'!C56+'Avg Week Bweyogerere-Naalya'!C56</f>
        <v>70.428571428571431</v>
      </c>
      <c r="D56" s="49">
        <f>'Avg Week Nalya-Bweyogerere'!D56+'Avg Week Bweyogerere-Naalya'!D56</f>
        <v>30.571428571428569</v>
      </c>
      <c r="E56" s="49">
        <f>'Avg Week Nalya-Bweyogerere'!E56+'Avg Week Bweyogerere-Naalya'!E56</f>
        <v>13.142857142857142</v>
      </c>
      <c r="F56" s="49">
        <f>'Avg Week Nalya-Bweyogerere'!F56+'Avg Week Bweyogerere-Naalya'!F56</f>
        <v>66.714285714285722</v>
      </c>
      <c r="G56" s="49">
        <f>'Avg Week Nalya-Bweyogerere'!G56+'Avg Week Bweyogerere-Naalya'!G56</f>
        <v>2.1428571428571428</v>
      </c>
      <c r="H56" s="49">
        <f>'Avg Week Nalya-Bweyogerere'!H56+'Avg Week Bweyogerere-Naalya'!H56</f>
        <v>0.2857142857142857</v>
      </c>
      <c r="I56" s="49">
        <f>'Avg Week Nalya-Bweyogerere'!I56+'Avg Week Bweyogerere-Naalya'!I56</f>
        <v>11</v>
      </c>
      <c r="J56" s="49">
        <f>'Avg Week Nalya-Bweyogerere'!J56+'Avg Week Bweyogerere-Naalya'!J56</f>
        <v>11.428571428571429</v>
      </c>
      <c r="K56" s="49">
        <f>'Avg Week Nalya-Bweyogerere'!K56+'Avg Week Bweyogerere-Naalya'!K56</f>
        <v>8.2857142857142865</v>
      </c>
      <c r="L56" s="49">
        <f>'Avg Week Nalya-Bweyogerere'!L56+'Avg Week Bweyogerere-Naalya'!L56</f>
        <v>10.714285714285715</v>
      </c>
      <c r="M56" s="49">
        <f>'Avg Week Nalya-Bweyogerere'!M56+'Avg Week Bweyogerere-Naalya'!M56</f>
        <v>98.857142857142861</v>
      </c>
      <c r="N56" s="49">
        <f>'Avg Week Nalya-Bweyogerere'!N56+'Avg Week Bweyogerere-Naalya'!N56</f>
        <v>0</v>
      </c>
      <c r="O56" s="15">
        <f t="shared" si="0"/>
        <v>224.71428571428569</v>
      </c>
      <c r="P56" s="15">
        <f t="shared" si="1"/>
        <v>323.57142857142856</v>
      </c>
      <c r="R56" s="8"/>
      <c r="T56"/>
    </row>
    <row r="57" spans="2:20" ht="23.1" customHeight="1" x14ac:dyDescent="0.25">
      <c r="B57" s="23" t="s">
        <v>84</v>
      </c>
      <c r="C57" s="49">
        <f>'Avg Week Nalya-Bweyogerere'!C57+'Avg Week Bweyogerere-Naalya'!C57</f>
        <v>68.571428571428569</v>
      </c>
      <c r="D57" s="49">
        <f>'Avg Week Nalya-Bweyogerere'!D57+'Avg Week Bweyogerere-Naalya'!D57</f>
        <v>28.571428571428569</v>
      </c>
      <c r="E57" s="49">
        <f>'Avg Week Nalya-Bweyogerere'!E57+'Avg Week Bweyogerere-Naalya'!E57</f>
        <v>13.714285714285715</v>
      </c>
      <c r="F57" s="49">
        <f>'Avg Week Nalya-Bweyogerere'!F57+'Avg Week Bweyogerere-Naalya'!F57</f>
        <v>69</v>
      </c>
      <c r="G57" s="49">
        <f>'Avg Week Nalya-Bweyogerere'!G57+'Avg Week Bweyogerere-Naalya'!G57</f>
        <v>0.71428571428571419</v>
      </c>
      <c r="H57" s="49">
        <f>'Avg Week Nalya-Bweyogerere'!H57+'Avg Week Bweyogerere-Naalya'!H57</f>
        <v>0.42857142857142855</v>
      </c>
      <c r="I57" s="49">
        <f>'Avg Week Nalya-Bweyogerere'!I57+'Avg Week Bweyogerere-Naalya'!I57</f>
        <v>9.7142857142857153</v>
      </c>
      <c r="J57" s="49">
        <f>'Avg Week Nalya-Bweyogerere'!J57+'Avg Week Bweyogerere-Naalya'!J57</f>
        <v>11.285714285714285</v>
      </c>
      <c r="K57" s="49">
        <f>'Avg Week Nalya-Bweyogerere'!K57+'Avg Week Bweyogerere-Naalya'!K57</f>
        <v>6.7142857142857144</v>
      </c>
      <c r="L57" s="49">
        <f>'Avg Week Nalya-Bweyogerere'!L57+'Avg Week Bweyogerere-Naalya'!L57</f>
        <v>10.428571428571429</v>
      </c>
      <c r="M57" s="49">
        <f>'Avg Week Nalya-Bweyogerere'!M57+'Avg Week Bweyogerere-Naalya'!M57</f>
        <v>94.571428571428569</v>
      </c>
      <c r="N57" s="49">
        <f>'Avg Week Nalya-Bweyogerere'!N57+'Avg Week Bweyogerere-Naalya'!N57</f>
        <v>0.14285714285714285</v>
      </c>
      <c r="O57" s="15">
        <f t="shared" si="0"/>
        <v>219.28571428571428</v>
      </c>
      <c r="P57" s="15">
        <f t="shared" si="1"/>
        <v>313.85714285714289</v>
      </c>
      <c r="R57" s="8"/>
      <c r="T57"/>
    </row>
    <row r="58" spans="2:20" ht="23.1" customHeight="1" x14ac:dyDescent="0.25">
      <c r="B58" s="23" t="s">
        <v>99</v>
      </c>
      <c r="C58" s="49">
        <f>'Avg Week Nalya-Bweyogerere'!C58+'Avg Week Bweyogerere-Naalya'!C58</f>
        <v>68</v>
      </c>
      <c r="D58" s="49">
        <f>'Avg Week Nalya-Bweyogerere'!D58+'Avg Week Bweyogerere-Naalya'!D58</f>
        <v>20</v>
      </c>
      <c r="E58" s="49">
        <f>'Avg Week Nalya-Bweyogerere'!E58+'Avg Week Bweyogerere-Naalya'!E58</f>
        <v>12.5</v>
      </c>
      <c r="F58" s="49">
        <f>'Avg Week Nalya-Bweyogerere'!F58+'Avg Week Bweyogerere-Naalya'!F58</f>
        <v>47.5</v>
      </c>
      <c r="G58" s="49">
        <f>'Avg Week Nalya-Bweyogerere'!G58+'Avg Week Bweyogerere-Naalya'!G58</f>
        <v>1</v>
      </c>
      <c r="H58" s="49">
        <f>'Avg Week Nalya-Bweyogerere'!H58+'Avg Week Bweyogerere-Naalya'!H58</f>
        <v>0</v>
      </c>
      <c r="I58" s="49">
        <f>'Avg Week Nalya-Bweyogerere'!I58+'Avg Week Bweyogerere-Naalya'!I58</f>
        <v>3.5</v>
      </c>
      <c r="J58" s="49">
        <f>'Avg Week Nalya-Bweyogerere'!J58+'Avg Week Bweyogerere-Naalya'!J58</f>
        <v>9.5</v>
      </c>
      <c r="K58" s="49">
        <f>'Avg Week Nalya-Bweyogerere'!K58+'Avg Week Bweyogerere-Naalya'!K58</f>
        <v>7</v>
      </c>
      <c r="L58" s="49">
        <f>'Avg Week Nalya-Bweyogerere'!L58+'Avg Week Bweyogerere-Naalya'!L58</f>
        <v>10</v>
      </c>
      <c r="M58" s="49">
        <f>'Avg Week Nalya-Bweyogerere'!M58+'Avg Week Bweyogerere-Naalya'!M58</f>
        <v>77</v>
      </c>
      <c r="N58" s="49">
        <f>'Avg Week Nalya-Bweyogerere'!N58+'Avg Week Bweyogerere-Naalya'!N58</f>
        <v>0.5</v>
      </c>
      <c r="O58" s="15">
        <f t="shared" si="0"/>
        <v>179.5</v>
      </c>
      <c r="P58" s="15">
        <f t="shared" si="1"/>
        <v>256.5</v>
      </c>
      <c r="R58" s="8"/>
      <c r="T58"/>
    </row>
    <row r="59" spans="2:20" ht="23.1" customHeight="1" x14ac:dyDescent="0.25">
      <c r="B59" s="23" t="s">
        <v>100</v>
      </c>
      <c r="C59" s="49">
        <f>'Avg Week Nalya-Bweyogerere'!C59+'Avg Week Bweyogerere-Naalya'!C59</f>
        <v>50.5</v>
      </c>
      <c r="D59" s="49">
        <f>'Avg Week Nalya-Bweyogerere'!D59+'Avg Week Bweyogerere-Naalya'!D59</f>
        <v>32.5</v>
      </c>
      <c r="E59" s="49">
        <f>'Avg Week Nalya-Bweyogerere'!E59+'Avg Week Bweyogerere-Naalya'!E59</f>
        <v>7.5</v>
      </c>
      <c r="F59" s="49">
        <f>'Avg Week Nalya-Bweyogerere'!F59+'Avg Week Bweyogerere-Naalya'!F59</f>
        <v>42.5</v>
      </c>
      <c r="G59" s="49">
        <f>'Avg Week Nalya-Bweyogerere'!G59+'Avg Week Bweyogerere-Naalya'!G59</f>
        <v>1</v>
      </c>
      <c r="H59" s="49">
        <f>'Avg Week Nalya-Bweyogerere'!H59+'Avg Week Bweyogerere-Naalya'!H59</f>
        <v>0.5</v>
      </c>
      <c r="I59" s="49">
        <f>'Avg Week Nalya-Bweyogerere'!I59+'Avg Week Bweyogerere-Naalya'!I59</f>
        <v>5.5</v>
      </c>
      <c r="J59" s="49">
        <f>'Avg Week Nalya-Bweyogerere'!J59+'Avg Week Bweyogerere-Naalya'!J59</f>
        <v>11.5</v>
      </c>
      <c r="K59" s="49">
        <f>'Avg Week Nalya-Bweyogerere'!K59+'Avg Week Bweyogerere-Naalya'!K59</f>
        <v>5.5</v>
      </c>
      <c r="L59" s="49">
        <f>'Avg Week Nalya-Bweyogerere'!L59+'Avg Week Bweyogerere-Naalya'!L59</f>
        <v>8</v>
      </c>
      <c r="M59" s="49">
        <f>'Avg Week Nalya-Bweyogerere'!M59+'Avg Week Bweyogerere-Naalya'!M59</f>
        <v>49</v>
      </c>
      <c r="N59" s="49">
        <f>'Avg Week Nalya-Bweyogerere'!N59+'Avg Week Bweyogerere-Naalya'!N59</f>
        <v>0</v>
      </c>
      <c r="O59" s="15">
        <f t="shared" ref="O59:O105" si="35">SUM(C59:L59,N59)</f>
        <v>165</v>
      </c>
      <c r="P59" s="15">
        <f t="shared" ref="P59:P105" si="36">SUM(C59:N59)</f>
        <v>214</v>
      </c>
      <c r="R59" s="8"/>
      <c r="T59"/>
    </row>
    <row r="60" spans="2:20" ht="23.1" customHeight="1" x14ac:dyDescent="0.25">
      <c r="B60" s="23" t="s">
        <v>101</v>
      </c>
      <c r="C60" s="49">
        <f>'Avg Week Nalya-Bweyogerere'!C60+'Avg Week Bweyogerere-Naalya'!C60</f>
        <v>68.5</v>
      </c>
      <c r="D60" s="49">
        <f>'Avg Week Nalya-Bweyogerere'!D60+'Avg Week Bweyogerere-Naalya'!D60</f>
        <v>30</v>
      </c>
      <c r="E60" s="49">
        <f>'Avg Week Nalya-Bweyogerere'!E60+'Avg Week Bweyogerere-Naalya'!E60</f>
        <v>9.5</v>
      </c>
      <c r="F60" s="49">
        <f>'Avg Week Nalya-Bweyogerere'!F60+'Avg Week Bweyogerere-Naalya'!F60</f>
        <v>45</v>
      </c>
      <c r="G60" s="49">
        <f>'Avg Week Nalya-Bweyogerere'!G60+'Avg Week Bweyogerere-Naalya'!G60</f>
        <v>2</v>
      </c>
      <c r="H60" s="49">
        <f>'Avg Week Nalya-Bweyogerere'!H60+'Avg Week Bweyogerere-Naalya'!H60</f>
        <v>0</v>
      </c>
      <c r="I60" s="49">
        <f>'Avg Week Nalya-Bweyogerere'!I60+'Avg Week Bweyogerere-Naalya'!I60</f>
        <v>3.5</v>
      </c>
      <c r="J60" s="49">
        <f>'Avg Week Nalya-Bweyogerere'!J60+'Avg Week Bweyogerere-Naalya'!J60</f>
        <v>7.5</v>
      </c>
      <c r="K60" s="49">
        <f>'Avg Week Nalya-Bweyogerere'!K60+'Avg Week Bweyogerere-Naalya'!K60</f>
        <v>4</v>
      </c>
      <c r="L60" s="49">
        <f>'Avg Week Nalya-Bweyogerere'!L60+'Avg Week Bweyogerere-Naalya'!L60</f>
        <v>12</v>
      </c>
      <c r="M60" s="49">
        <f>'Avg Week Nalya-Bweyogerere'!M60+'Avg Week Bweyogerere-Naalya'!M60</f>
        <v>79.5</v>
      </c>
      <c r="N60" s="49">
        <f>'Avg Week Nalya-Bweyogerere'!N60+'Avg Week Bweyogerere-Naalya'!N60</f>
        <v>0</v>
      </c>
      <c r="O60" s="15">
        <f t="shared" si="35"/>
        <v>182</v>
      </c>
      <c r="P60" s="15">
        <f t="shared" si="36"/>
        <v>261.5</v>
      </c>
      <c r="R60" s="8"/>
      <c r="T60"/>
    </row>
    <row r="61" spans="2:20" ht="23.1" customHeight="1" x14ac:dyDescent="0.25">
      <c r="B61" s="23" t="s">
        <v>102</v>
      </c>
      <c r="C61" s="49">
        <f>'Avg Week Nalya-Bweyogerere'!C61+'Avg Week Bweyogerere-Naalya'!C61</f>
        <v>55</v>
      </c>
      <c r="D61" s="49">
        <f>'Avg Week Nalya-Bweyogerere'!D61+'Avg Week Bweyogerere-Naalya'!D61</f>
        <v>33.5</v>
      </c>
      <c r="E61" s="49">
        <f>'Avg Week Nalya-Bweyogerere'!E61+'Avg Week Bweyogerere-Naalya'!E61</f>
        <v>10.5</v>
      </c>
      <c r="F61" s="49">
        <f>'Avg Week Nalya-Bweyogerere'!F61+'Avg Week Bweyogerere-Naalya'!F61</f>
        <v>48.5</v>
      </c>
      <c r="G61" s="49">
        <f>'Avg Week Nalya-Bweyogerere'!G61+'Avg Week Bweyogerere-Naalya'!G61</f>
        <v>2.5</v>
      </c>
      <c r="H61" s="49">
        <f>'Avg Week Nalya-Bweyogerere'!H61+'Avg Week Bweyogerere-Naalya'!H61</f>
        <v>0</v>
      </c>
      <c r="I61" s="49">
        <f>'Avg Week Nalya-Bweyogerere'!I61+'Avg Week Bweyogerere-Naalya'!I61</f>
        <v>3.5</v>
      </c>
      <c r="J61" s="49">
        <f>'Avg Week Nalya-Bweyogerere'!J61+'Avg Week Bweyogerere-Naalya'!J61</f>
        <v>8</v>
      </c>
      <c r="K61" s="49">
        <f>'Avg Week Nalya-Bweyogerere'!K61+'Avg Week Bweyogerere-Naalya'!K61</f>
        <v>4.5</v>
      </c>
      <c r="L61" s="49">
        <f>'Avg Week Nalya-Bweyogerere'!L61+'Avg Week Bweyogerere-Naalya'!L61</f>
        <v>4</v>
      </c>
      <c r="M61" s="49">
        <f>'Avg Week Nalya-Bweyogerere'!M61+'Avg Week Bweyogerere-Naalya'!M61</f>
        <v>84.5</v>
      </c>
      <c r="N61" s="49">
        <f>'Avg Week Nalya-Bweyogerere'!N61+'Avg Week Bweyogerere-Naalya'!N61</f>
        <v>0</v>
      </c>
      <c r="O61" s="15">
        <f t="shared" si="35"/>
        <v>170</v>
      </c>
      <c r="P61" s="15">
        <f t="shared" si="36"/>
        <v>254.5</v>
      </c>
      <c r="R61" s="8"/>
      <c r="T61"/>
    </row>
    <row r="62" spans="2:20" ht="23.1" customHeight="1" x14ac:dyDescent="0.25">
      <c r="B62" s="23" t="s">
        <v>107</v>
      </c>
      <c r="C62" s="49">
        <f>'Avg Week Nalya-Bweyogerere'!C62+'Avg Week Bweyogerere-Naalya'!C62</f>
        <v>75</v>
      </c>
      <c r="D62" s="49">
        <f>'Avg Week Nalya-Bweyogerere'!D62+'Avg Week Bweyogerere-Naalya'!D62</f>
        <v>37</v>
      </c>
      <c r="E62" s="49">
        <f>'Avg Week Nalya-Bweyogerere'!E62+'Avg Week Bweyogerere-Naalya'!E62</f>
        <v>15</v>
      </c>
      <c r="F62" s="49">
        <f>'Avg Week Nalya-Bweyogerere'!F62+'Avg Week Bweyogerere-Naalya'!F62</f>
        <v>56</v>
      </c>
      <c r="G62" s="49">
        <f>'Avg Week Nalya-Bweyogerere'!G62+'Avg Week Bweyogerere-Naalya'!G62</f>
        <v>2.5</v>
      </c>
      <c r="H62" s="49">
        <f>'Avg Week Nalya-Bweyogerere'!H62+'Avg Week Bweyogerere-Naalya'!H62</f>
        <v>1.5</v>
      </c>
      <c r="I62" s="49">
        <f>'Avg Week Nalya-Bweyogerere'!I62+'Avg Week Bweyogerere-Naalya'!I62</f>
        <v>5.5</v>
      </c>
      <c r="J62" s="49">
        <f>'Avg Week Nalya-Bweyogerere'!J62+'Avg Week Bweyogerere-Naalya'!J62</f>
        <v>8.5</v>
      </c>
      <c r="K62" s="49">
        <f>'Avg Week Nalya-Bweyogerere'!K62+'Avg Week Bweyogerere-Naalya'!K62</f>
        <v>3</v>
      </c>
      <c r="L62" s="49">
        <f>'Avg Week Nalya-Bweyogerere'!L62+'Avg Week Bweyogerere-Naalya'!L62</f>
        <v>8</v>
      </c>
      <c r="M62" s="49">
        <f>'Avg Week Nalya-Bweyogerere'!M62+'Avg Week Bweyogerere-Naalya'!M62</f>
        <v>94</v>
      </c>
      <c r="N62" s="49">
        <f>'Avg Week Nalya-Bweyogerere'!N62+'Avg Week Bweyogerere-Naalya'!N62</f>
        <v>0</v>
      </c>
      <c r="O62" s="15">
        <f t="shared" si="35"/>
        <v>212</v>
      </c>
      <c r="P62" s="15">
        <f t="shared" si="36"/>
        <v>306</v>
      </c>
      <c r="R62" s="8"/>
      <c r="T62"/>
    </row>
    <row r="63" spans="2:20" ht="23.1" customHeight="1" x14ac:dyDescent="0.25">
      <c r="B63" s="23" t="s">
        <v>108</v>
      </c>
      <c r="C63" s="49">
        <f>'Avg Week Nalya-Bweyogerere'!C63+'Avg Week Bweyogerere-Naalya'!C63</f>
        <v>56</v>
      </c>
      <c r="D63" s="49">
        <f>'Avg Week Nalya-Bweyogerere'!D63+'Avg Week Bweyogerere-Naalya'!D63</f>
        <v>31.5</v>
      </c>
      <c r="E63" s="49">
        <f>'Avg Week Nalya-Bweyogerere'!E63+'Avg Week Bweyogerere-Naalya'!E63</f>
        <v>10</v>
      </c>
      <c r="F63" s="49">
        <f>'Avg Week Nalya-Bweyogerere'!F63+'Avg Week Bweyogerere-Naalya'!F63</f>
        <v>49.5</v>
      </c>
      <c r="G63" s="49">
        <f>'Avg Week Nalya-Bweyogerere'!G63+'Avg Week Bweyogerere-Naalya'!G63</f>
        <v>0.5</v>
      </c>
      <c r="H63" s="49">
        <f>'Avg Week Nalya-Bweyogerere'!H63+'Avg Week Bweyogerere-Naalya'!H63</f>
        <v>0</v>
      </c>
      <c r="I63" s="49">
        <f>'Avg Week Nalya-Bweyogerere'!I63+'Avg Week Bweyogerere-Naalya'!I63</f>
        <v>6</v>
      </c>
      <c r="J63" s="49">
        <f>'Avg Week Nalya-Bweyogerere'!J63+'Avg Week Bweyogerere-Naalya'!J63</f>
        <v>8.5</v>
      </c>
      <c r="K63" s="49">
        <f>'Avg Week Nalya-Bweyogerere'!K63+'Avg Week Bweyogerere-Naalya'!K63</f>
        <v>6</v>
      </c>
      <c r="L63" s="49">
        <f>'Avg Week Nalya-Bweyogerere'!L63+'Avg Week Bweyogerere-Naalya'!L63</f>
        <v>5.5</v>
      </c>
      <c r="M63" s="49">
        <f>'Avg Week Nalya-Bweyogerere'!M63+'Avg Week Bweyogerere-Naalya'!M63</f>
        <v>82</v>
      </c>
      <c r="N63" s="49">
        <f>'Avg Week Nalya-Bweyogerere'!N63+'Avg Week Bweyogerere-Naalya'!N63</f>
        <v>0</v>
      </c>
      <c r="O63" s="15">
        <f t="shared" si="35"/>
        <v>173.5</v>
      </c>
      <c r="P63" s="15">
        <f t="shared" si="36"/>
        <v>255.5</v>
      </c>
      <c r="R63" s="8"/>
      <c r="T63"/>
    </row>
    <row r="64" spans="2:20" ht="23.1" customHeight="1" x14ac:dyDescent="0.25">
      <c r="B64" s="23" t="s">
        <v>109</v>
      </c>
      <c r="C64" s="49">
        <f>'Avg Week Nalya-Bweyogerere'!C64+'Avg Week Bweyogerere-Naalya'!C64</f>
        <v>52.5</v>
      </c>
      <c r="D64" s="49">
        <f>'Avg Week Nalya-Bweyogerere'!D64+'Avg Week Bweyogerere-Naalya'!D64</f>
        <v>29</v>
      </c>
      <c r="E64" s="49">
        <f>'Avg Week Nalya-Bweyogerere'!E64+'Avg Week Bweyogerere-Naalya'!E64</f>
        <v>7.5</v>
      </c>
      <c r="F64" s="49">
        <f>'Avg Week Nalya-Bweyogerere'!F64+'Avg Week Bweyogerere-Naalya'!F64</f>
        <v>43.5</v>
      </c>
      <c r="G64" s="49">
        <f>'Avg Week Nalya-Bweyogerere'!G64+'Avg Week Bweyogerere-Naalya'!G64</f>
        <v>2.5</v>
      </c>
      <c r="H64" s="49">
        <f>'Avg Week Nalya-Bweyogerere'!H64+'Avg Week Bweyogerere-Naalya'!H64</f>
        <v>0</v>
      </c>
      <c r="I64" s="49">
        <f>'Avg Week Nalya-Bweyogerere'!I64+'Avg Week Bweyogerere-Naalya'!I64</f>
        <v>6.5</v>
      </c>
      <c r="J64" s="49">
        <f>'Avg Week Nalya-Bweyogerere'!J64+'Avg Week Bweyogerere-Naalya'!J64</f>
        <v>11.5</v>
      </c>
      <c r="K64" s="49">
        <f>'Avg Week Nalya-Bweyogerere'!K64+'Avg Week Bweyogerere-Naalya'!K64</f>
        <v>3.5</v>
      </c>
      <c r="L64" s="49">
        <f>'Avg Week Nalya-Bweyogerere'!L64+'Avg Week Bweyogerere-Naalya'!L64</f>
        <v>4</v>
      </c>
      <c r="M64" s="49">
        <f>'Avg Week Nalya-Bweyogerere'!M64+'Avg Week Bweyogerere-Naalya'!M64</f>
        <v>68</v>
      </c>
      <c r="N64" s="49">
        <f>'Avg Week Nalya-Bweyogerere'!N64+'Avg Week Bweyogerere-Naalya'!N64</f>
        <v>0</v>
      </c>
      <c r="O64" s="15">
        <f t="shared" si="35"/>
        <v>160.5</v>
      </c>
      <c r="P64" s="15">
        <f t="shared" si="36"/>
        <v>228.5</v>
      </c>
      <c r="R64" s="8"/>
      <c r="T64"/>
    </row>
    <row r="65" spans="2:20" ht="23.1" customHeight="1" x14ac:dyDescent="0.25">
      <c r="B65" s="23" t="s">
        <v>158</v>
      </c>
      <c r="C65" s="49">
        <f>'Avg Week Nalya-Bweyogerere'!C65+'Avg Week Bweyogerere-Naalya'!C65</f>
        <v>64.5</v>
      </c>
      <c r="D65" s="49">
        <f>'Avg Week Nalya-Bweyogerere'!D65+'Avg Week Bweyogerere-Naalya'!D65</f>
        <v>11.5</v>
      </c>
      <c r="E65" s="49">
        <f>'Avg Week Nalya-Bweyogerere'!E65+'Avg Week Bweyogerere-Naalya'!E65</f>
        <v>7.5</v>
      </c>
      <c r="F65" s="49">
        <f>'Avg Week Nalya-Bweyogerere'!F65+'Avg Week Bweyogerere-Naalya'!F65</f>
        <v>32</v>
      </c>
      <c r="G65" s="49">
        <f>'Avg Week Nalya-Bweyogerere'!G65+'Avg Week Bweyogerere-Naalya'!G65</f>
        <v>0.5</v>
      </c>
      <c r="H65" s="49">
        <f>'Avg Week Nalya-Bweyogerere'!H65+'Avg Week Bweyogerere-Naalya'!H65</f>
        <v>0.5</v>
      </c>
      <c r="I65" s="49">
        <f>'Avg Week Nalya-Bweyogerere'!I65+'Avg Week Bweyogerere-Naalya'!I65</f>
        <v>4</v>
      </c>
      <c r="J65" s="49">
        <f>'Avg Week Nalya-Bweyogerere'!J65+'Avg Week Bweyogerere-Naalya'!J65</f>
        <v>7.5</v>
      </c>
      <c r="K65" s="49">
        <f>'Avg Week Nalya-Bweyogerere'!K65+'Avg Week Bweyogerere-Naalya'!K65</f>
        <v>1</v>
      </c>
      <c r="L65" s="49">
        <f>'Avg Week Nalya-Bweyogerere'!L65+'Avg Week Bweyogerere-Naalya'!L65</f>
        <v>7.5</v>
      </c>
      <c r="M65" s="49">
        <f>'Avg Week Nalya-Bweyogerere'!M65+'Avg Week Bweyogerere-Naalya'!M65</f>
        <v>52</v>
      </c>
      <c r="N65" s="49">
        <f>'Avg Week Nalya-Bweyogerere'!N65+'Avg Week Bweyogerere-Naalya'!N65</f>
        <v>0</v>
      </c>
      <c r="O65" s="15">
        <f t="shared" si="35"/>
        <v>136.5</v>
      </c>
      <c r="P65" s="15">
        <f t="shared" si="36"/>
        <v>188.5</v>
      </c>
      <c r="R65" s="8"/>
      <c r="T65"/>
    </row>
    <row r="66" spans="2:20" ht="23.1" customHeight="1" x14ac:dyDescent="0.25">
      <c r="B66" s="23" t="s">
        <v>103</v>
      </c>
      <c r="C66" s="49">
        <f>'Avg Week Nalya-Bweyogerere'!C66+'Avg Week Bweyogerere-Naalya'!C66</f>
        <v>75</v>
      </c>
      <c r="D66" s="49">
        <f>'Avg Week Nalya-Bweyogerere'!D66+'Avg Week Bweyogerere-Naalya'!D66</f>
        <v>17.5</v>
      </c>
      <c r="E66" s="49">
        <f>'Avg Week Nalya-Bweyogerere'!E66+'Avg Week Bweyogerere-Naalya'!E66</f>
        <v>13</v>
      </c>
      <c r="F66" s="49">
        <f>'Avg Week Nalya-Bweyogerere'!F66+'Avg Week Bweyogerere-Naalya'!F66</f>
        <v>51.5</v>
      </c>
      <c r="G66" s="49">
        <f>'Avg Week Nalya-Bweyogerere'!G66+'Avg Week Bweyogerere-Naalya'!G66</f>
        <v>1.5</v>
      </c>
      <c r="H66" s="49">
        <f>'Avg Week Nalya-Bweyogerere'!H66+'Avg Week Bweyogerere-Naalya'!H66</f>
        <v>1</v>
      </c>
      <c r="I66" s="49">
        <f>'Avg Week Nalya-Bweyogerere'!I66+'Avg Week Bweyogerere-Naalya'!I66</f>
        <v>7</v>
      </c>
      <c r="J66" s="49">
        <f>'Avg Week Nalya-Bweyogerere'!J66+'Avg Week Bweyogerere-Naalya'!J66</f>
        <v>6.5</v>
      </c>
      <c r="K66" s="49">
        <f>'Avg Week Nalya-Bweyogerere'!K66+'Avg Week Bweyogerere-Naalya'!K66</f>
        <v>7.5</v>
      </c>
      <c r="L66" s="49">
        <f>'Avg Week Nalya-Bweyogerere'!L66+'Avg Week Bweyogerere-Naalya'!L66</f>
        <v>4.5</v>
      </c>
      <c r="M66" s="49">
        <f>'Avg Week Nalya-Bweyogerere'!M66+'Avg Week Bweyogerere-Naalya'!M66</f>
        <v>70</v>
      </c>
      <c r="N66" s="49">
        <f>'Avg Week Nalya-Bweyogerere'!N66+'Avg Week Bweyogerere-Naalya'!N66</f>
        <v>0</v>
      </c>
      <c r="O66" s="15">
        <f t="shared" si="35"/>
        <v>185</v>
      </c>
      <c r="P66" s="15">
        <f t="shared" si="36"/>
        <v>255</v>
      </c>
      <c r="R66" s="8"/>
      <c r="T66"/>
    </row>
    <row r="67" spans="2:20" ht="23.1" customHeight="1" x14ac:dyDescent="0.25">
      <c r="B67" s="23" t="s">
        <v>104</v>
      </c>
      <c r="C67" s="49">
        <f>'Avg Week Nalya-Bweyogerere'!C67+'Avg Week Bweyogerere-Naalya'!C67</f>
        <v>69</v>
      </c>
      <c r="D67" s="49">
        <f>'Avg Week Nalya-Bweyogerere'!D67+'Avg Week Bweyogerere-Naalya'!D67</f>
        <v>13.5</v>
      </c>
      <c r="E67" s="49">
        <f>'Avg Week Nalya-Bweyogerere'!E67+'Avg Week Bweyogerere-Naalya'!E67</f>
        <v>8.5</v>
      </c>
      <c r="F67" s="49">
        <f>'Avg Week Nalya-Bweyogerere'!F67+'Avg Week Bweyogerere-Naalya'!F67</f>
        <v>32.5</v>
      </c>
      <c r="G67" s="49">
        <f>'Avg Week Nalya-Bweyogerere'!G67+'Avg Week Bweyogerere-Naalya'!G67</f>
        <v>1.5</v>
      </c>
      <c r="H67" s="49">
        <f>'Avg Week Nalya-Bweyogerere'!H67+'Avg Week Bweyogerere-Naalya'!H67</f>
        <v>0.5</v>
      </c>
      <c r="I67" s="49">
        <f>'Avg Week Nalya-Bweyogerere'!I67+'Avg Week Bweyogerere-Naalya'!I67</f>
        <v>2.5</v>
      </c>
      <c r="J67" s="49">
        <f>'Avg Week Nalya-Bweyogerere'!J67+'Avg Week Bweyogerere-Naalya'!J67</f>
        <v>3.5</v>
      </c>
      <c r="K67" s="49">
        <f>'Avg Week Nalya-Bweyogerere'!K67+'Avg Week Bweyogerere-Naalya'!K67</f>
        <v>3.5</v>
      </c>
      <c r="L67" s="49">
        <f>'Avg Week Nalya-Bweyogerere'!L67+'Avg Week Bweyogerere-Naalya'!L67</f>
        <v>5</v>
      </c>
      <c r="M67" s="49">
        <f>'Avg Week Nalya-Bweyogerere'!M67+'Avg Week Bweyogerere-Naalya'!M67</f>
        <v>45</v>
      </c>
      <c r="N67" s="49">
        <f>'Avg Week Nalya-Bweyogerere'!N67+'Avg Week Bweyogerere-Naalya'!N67</f>
        <v>0</v>
      </c>
      <c r="O67" s="15">
        <f t="shared" si="35"/>
        <v>140</v>
      </c>
      <c r="P67" s="15">
        <f t="shared" si="36"/>
        <v>185</v>
      </c>
      <c r="R67" s="8"/>
      <c r="T67"/>
    </row>
    <row r="68" spans="2:20" ht="23.1" customHeight="1" x14ac:dyDescent="0.25">
      <c r="B68" s="23" t="s">
        <v>105</v>
      </c>
      <c r="C68" s="49">
        <f>'Avg Week Nalya-Bweyogerere'!C68+'Avg Week Bweyogerere-Naalya'!C68</f>
        <v>55</v>
      </c>
      <c r="D68" s="49">
        <f>'Avg Week Nalya-Bweyogerere'!D68+'Avg Week Bweyogerere-Naalya'!D68</f>
        <v>12.5</v>
      </c>
      <c r="E68" s="49">
        <f>'Avg Week Nalya-Bweyogerere'!E68+'Avg Week Bweyogerere-Naalya'!E68</f>
        <v>11</v>
      </c>
      <c r="F68" s="49">
        <f>'Avg Week Nalya-Bweyogerere'!F68+'Avg Week Bweyogerere-Naalya'!F68</f>
        <v>43</v>
      </c>
      <c r="G68" s="49">
        <f>'Avg Week Nalya-Bweyogerere'!G68+'Avg Week Bweyogerere-Naalya'!G68</f>
        <v>0.5</v>
      </c>
      <c r="H68" s="49">
        <f>'Avg Week Nalya-Bweyogerere'!H68+'Avg Week Bweyogerere-Naalya'!H68</f>
        <v>0.5</v>
      </c>
      <c r="I68" s="49">
        <f>'Avg Week Nalya-Bweyogerere'!I68+'Avg Week Bweyogerere-Naalya'!I68</f>
        <v>5</v>
      </c>
      <c r="J68" s="49">
        <f>'Avg Week Nalya-Bweyogerere'!J68+'Avg Week Bweyogerere-Naalya'!J68</f>
        <v>9</v>
      </c>
      <c r="K68" s="49">
        <f>'Avg Week Nalya-Bweyogerere'!K68+'Avg Week Bweyogerere-Naalya'!K68</f>
        <v>7</v>
      </c>
      <c r="L68" s="49">
        <f>'Avg Week Nalya-Bweyogerere'!L68+'Avg Week Bweyogerere-Naalya'!L68</f>
        <v>10</v>
      </c>
      <c r="M68" s="49">
        <f>'Avg Week Nalya-Bweyogerere'!M68+'Avg Week Bweyogerere-Naalya'!M68</f>
        <v>46</v>
      </c>
      <c r="N68" s="49">
        <f>'Avg Week Nalya-Bweyogerere'!N68+'Avg Week Bweyogerere-Naalya'!N68</f>
        <v>0</v>
      </c>
      <c r="O68" s="15">
        <f t="shared" si="35"/>
        <v>153.5</v>
      </c>
      <c r="P68" s="15">
        <f t="shared" si="36"/>
        <v>199.5</v>
      </c>
      <c r="R68" s="8"/>
      <c r="T68"/>
    </row>
    <row r="69" spans="2:20" ht="23.1" customHeight="1" x14ac:dyDescent="0.25">
      <c r="B69" s="23" t="s">
        <v>106</v>
      </c>
      <c r="C69" s="49">
        <f>'Avg Week Nalya-Bweyogerere'!C69+'Avg Week Bweyogerere-Naalya'!C69</f>
        <v>50</v>
      </c>
      <c r="D69" s="49">
        <f>'Avg Week Nalya-Bweyogerere'!D69+'Avg Week Bweyogerere-Naalya'!D69</f>
        <v>12.5</v>
      </c>
      <c r="E69" s="49">
        <f>'Avg Week Nalya-Bweyogerere'!E69+'Avg Week Bweyogerere-Naalya'!E69</f>
        <v>8.5</v>
      </c>
      <c r="F69" s="49">
        <f>'Avg Week Nalya-Bweyogerere'!F69+'Avg Week Bweyogerere-Naalya'!F69</f>
        <v>41</v>
      </c>
      <c r="G69" s="49">
        <f>'Avg Week Nalya-Bweyogerere'!G69+'Avg Week Bweyogerere-Naalya'!G69</f>
        <v>1.5</v>
      </c>
      <c r="H69" s="49">
        <f>'Avg Week Nalya-Bweyogerere'!H69+'Avg Week Bweyogerere-Naalya'!H69</f>
        <v>0</v>
      </c>
      <c r="I69" s="49">
        <f>'Avg Week Nalya-Bweyogerere'!I69+'Avg Week Bweyogerere-Naalya'!I69</f>
        <v>7</v>
      </c>
      <c r="J69" s="49">
        <f>'Avg Week Nalya-Bweyogerere'!J69+'Avg Week Bweyogerere-Naalya'!J69</f>
        <v>6.5</v>
      </c>
      <c r="K69" s="49">
        <f>'Avg Week Nalya-Bweyogerere'!K69+'Avg Week Bweyogerere-Naalya'!K69</f>
        <v>3</v>
      </c>
      <c r="L69" s="49">
        <f>'Avg Week Nalya-Bweyogerere'!L69+'Avg Week Bweyogerere-Naalya'!L69</f>
        <v>4.5</v>
      </c>
      <c r="M69" s="49">
        <f>'Avg Week Nalya-Bweyogerere'!M69+'Avg Week Bweyogerere-Naalya'!M69</f>
        <v>44</v>
      </c>
      <c r="N69" s="49">
        <f>'Avg Week Nalya-Bweyogerere'!N69+'Avg Week Bweyogerere-Naalya'!N69</f>
        <v>0</v>
      </c>
      <c r="O69" s="15">
        <f t="shared" si="35"/>
        <v>134.5</v>
      </c>
      <c r="P69" s="15">
        <f t="shared" si="36"/>
        <v>178.5</v>
      </c>
      <c r="R69" s="8"/>
      <c r="T69"/>
    </row>
    <row r="70" spans="2:20" ht="23.1" customHeight="1" x14ac:dyDescent="0.25">
      <c r="B70" s="23" t="s">
        <v>110</v>
      </c>
      <c r="C70" s="49">
        <f>'Avg Week Nalya-Bweyogerere'!C70+'Avg Week Bweyogerere-Naalya'!C70</f>
        <v>50.5</v>
      </c>
      <c r="D70" s="49">
        <f>'Avg Week Nalya-Bweyogerere'!D70+'Avg Week Bweyogerere-Naalya'!D70</f>
        <v>12.5</v>
      </c>
      <c r="E70" s="49">
        <f>'Avg Week Nalya-Bweyogerere'!E70+'Avg Week Bweyogerere-Naalya'!E70</f>
        <v>4</v>
      </c>
      <c r="F70" s="49">
        <f>'Avg Week Nalya-Bweyogerere'!F70+'Avg Week Bweyogerere-Naalya'!F70</f>
        <v>35.5</v>
      </c>
      <c r="G70" s="49">
        <f>'Avg Week Nalya-Bweyogerere'!G70+'Avg Week Bweyogerere-Naalya'!G70</f>
        <v>0.5</v>
      </c>
      <c r="H70" s="49">
        <f>'Avg Week Nalya-Bweyogerere'!H70+'Avg Week Bweyogerere-Naalya'!H70</f>
        <v>0</v>
      </c>
      <c r="I70" s="49">
        <f>'Avg Week Nalya-Bweyogerere'!I70+'Avg Week Bweyogerere-Naalya'!I70</f>
        <v>3</v>
      </c>
      <c r="J70" s="49">
        <f>'Avg Week Nalya-Bweyogerere'!J70+'Avg Week Bweyogerere-Naalya'!J70</f>
        <v>2.5</v>
      </c>
      <c r="K70" s="49">
        <f>'Avg Week Nalya-Bweyogerere'!K70+'Avg Week Bweyogerere-Naalya'!K70</f>
        <v>4.5</v>
      </c>
      <c r="L70" s="49">
        <f>'Avg Week Nalya-Bweyogerere'!L70+'Avg Week Bweyogerere-Naalya'!L70</f>
        <v>15</v>
      </c>
      <c r="M70" s="49">
        <f>'Avg Week Nalya-Bweyogerere'!M70+'Avg Week Bweyogerere-Naalya'!M70</f>
        <v>44.5</v>
      </c>
      <c r="N70" s="49">
        <f>'Avg Week Nalya-Bweyogerere'!N70+'Avg Week Bweyogerere-Naalya'!N70</f>
        <v>0</v>
      </c>
      <c r="O70" s="15">
        <f t="shared" si="35"/>
        <v>128</v>
      </c>
      <c r="P70" s="15">
        <f t="shared" si="36"/>
        <v>172.5</v>
      </c>
      <c r="R70" s="8"/>
      <c r="T70"/>
    </row>
    <row r="71" spans="2:20" ht="23.1" customHeight="1" x14ac:dyDescent="0.25">
      <c r="B71" s="23" t="s">
        <v>111</v>
      </c>
      <c r="C71" s="49">
        <f>'Avg Week Nalya-Bweyogerere'!C71+'Avg Week Bweyogerere-Naalya'!C71</f>
        <v>21</v>
      </c>
      <c r="D71" s="49">
        <f>'Avg Week Nalya-Bweyogerere'!D71+'Avg Week Bweyogerere-Naalya'!D71</f>
        <v>8.5</v>
      </c>
      <c r="E71" s="49">
        <f>'Avg Week Nalya-Bweyogerere'!E71+'Avg Week Bweyogerere-Naalya'!E71</f>
        <v>4</v>
      </c>
      <c r="F71" s="49">
        <f>'Avg Week Nalya-Bweyogerere'!F71+'Avg Week Bweyogerere-Naalya'!F71</f>
        <v>21</v>
      </c>
      <c r="G71" s="49">
        <f>'Avg Week Nalya-Bweyogerere'!G71+'Avg Week Bweyogerere-Naalya'!G71</f>
        <v>3.5</v>
      </c>
      <c r="H71" s="49">
        <f>'Avg Week Nalya-Bweyogerere'!H71+'Avg Week Bweyogerere-Naalya'!H71</f>
        <v>0</v>
      </c>
      <c r="I71" s="49">
        <f>'Avg Week Nalya-Bweyogerere'!I71+'Avg Week Bweyogerere-Naalya'!I71</f>
        <v>4</v>
      </c>
      <c r="J71" s="49">
        <f>'Avg Week Nalya-Bweyogerere'!J71+'Avg Week Bweyogerere-Naalya'!J71</f>
        <v>3</v>
      </c>
      <c r="K71" s="49">
        <f>'Avg Week Nalya-Bweyogerere'!K71+'Avg Week Bweyogerere-Naalya'!K71</f>
        <v>2</v>
      </c>
      <c r="L71" s="49">
        <f>'Avg Week Nalya-Bweyogerere'!L71+'Avg Week Bweyogerere-Naalya'!L71</f>
        <v>4.5</v>
      </c>
      <c r="M71" s="49">
        <f>'Avg Week Nalya-Bweyogerere'!M71+'Avg Week Bweyogerere-Naalya'!M71</f>
        <v>26.5</v>
      </c>
      <c r="N71" s="49">
        <f>'Avg Week Nalya-Bweyogerere'!N71+'Avg Week Bweyogerere-Naalya'!N71</f>
        <v>0</v>
      </c>
      <c r="O71" s="15">
        <f t="shared" si="35"/>
        <v>71.5</v>
      </c>
      <c r="P71" s="15">
        <f t="shared" si="36"/>
        <v>98</v>
      </c>
      <c r="R71" s="8"/>
      <c r="T71"/>
    </row>
    <row r="72" spans="2:20" ht="23.1" customHeight="1" x14ac:dyDescent="0.25">
      <c r="B72" s="23" t="s">
        <v>112</v>
      </c>
      <c r="C72" s="49">
        <f>'Avg Week Nalya-Bweyogerere'!C72+'Avg Week Bweyogerere-Naalya'!C72</f>
        <v>44.5</v>
      </c>
      <c r="D72" s="49">
        <f>'Avg Week Nalya-Bweyogerere'!D72+'Avg Week Bweyogerere-Naalya'!D72</f>
        <v>12</v>
      </c>
      <c r="E72" s="49">
        <f>'Avg Week Nalya-Bweyogerere'!E72+'Avg Week Bweyogerere-Naalya'!E72</f>
        <v>6</v>
      </c>
      <c r="F72" s="49">
        <f>'Avg Week Nalya-Bweyogerere'!F72+'Avg Week Bweyogerere-Naalya'!F72</f>
        <v>34</v>
      </c>
      <c r="G72" s="49">
        <f>'Avg Week Nalya-Bweyogerere'!G72+'Avg Week Bweyogerere-Naalya'!G72</f>
        <v>1</v>
      </c>
      <c r="H72" s="49">
        <f>'Avg Week Nalya-Bweyogerere'!H72+'Avg Week Bweyogerere-Naalya'!H72</f>
        <v>0.5</v>
      </c>
      <c r="I72" s="49">
        <f>'Avg Week Nalya-Bweyogerere'!I72+'Avg Week Bweyogerere-Naalya'!I72</f>
        <v>7</v>
      </c>
      <c r="J72" s="49">
        <f>'Avg Week Nalya-Bweyogerere'!J72+'Avg Week Bweyogerere-Naalya'!J72</f>
        <v>7.5</v>
      </c>
      <c r="K72" s="49">
        <f>'Avg Week Nalya-Bweyogerere'!K72+'Avg Week Bweyogerere-Naalya'!K72</f>
        <v>6</v>
      </c>
      <c r="L72" s="49">
        <f>'Avg Week Nalya-Bweyogerere'!L72+'Avg Week Bweyogerere-Naalya'!L72</f>
        <v>9.5</v>
      </c>
      <c r="M72" s="49">
        <f>'Avg Week Nalya-Bweyogerere'!M72+'Avg Week Bweyogerere-Naalya'!M72</f>
        <v>24.5</v>
      </c>
      <c r="N72" s="49">
        <f>'Avg Week Nalya-Bweyogerere'!N72+'Avg Week Bweyogerere-Naalya'!N72</f>
        <v>0</v>
      </c>
      <c r="O72" s="15">
        <f t="shared" si="35"/>
        <v>128</v>
      </c>
      <c r="P72" s="15">
        <f t="shared" si="36"/>
        <v>152.5</v>
      </c>
      <c r="R72" s="8"/>
      <c r="T72"/>
    </row>
    <row r="73" spans="2:20" ht="23.1" customHeight="1" x14ac:dyDescent="0.25">
      <c r="B73" s="23" t="s">
        <v>113</v>
      </c>
      <c r="C73" s="49">
        <f>'Avg Week Nalya-Bweyogerere'!C73+'Avg Week Bweyogerere-Naalya'!C73</f>
        <v>34</v>
      </c>
      <c r="D73" s="49">
        <f>'Avg Week Nalya-Bweyogerere'!D73+'Avg Week Bweyogerere-Naalya'!D73</f>
        <v>16</v>
      </c>
      <c r="E73" s="49">
        <f>'Avg Week Nalya-Bweyogerere'!E73+'Avg Week Bweyogerere-Naalya'!E73</f>
        <v>6.5</v>
      </c>
      <c r="F73" s="49">
        <f>'Avg Week Nalya-Bweyogerere'!F73+'Avg Week Bweyogerere-Naalya'!F73</f>
        <v>26.5</v>
      </c>
      <c r="G73" s="49">
        <f>'Avg Week Nalya-Bweyogerere'!G73+'Avg Week Bweyogerere-Naalya'!G73</f>
        <v>1</v>
      </c>
      <c r="H73" s="49">
        <f>'Avg Week Nalya-Bweyogerere'!H73+'Avg Week Bweyogerere-Naalya'!H73</f>
        <v>0</v>
      </c>
      <c r="I73" s="49">
        <f>'Avg Week Nalya-Bweyogerere'!I73+'Avg Week Bweyogerere-Naalya'!I73</f>
        <v>1.5</v>
      </c>
      <c r="J73" s="49">
        <f>'Avg Week Nalya-Bweyogerere'!J73+'Avg Week Bweyogerere-Naalya'!J73</f>
        <v>8</v>
      </c>
      <c r="K73" s="49">
        <f>'Avg Week Nalya-Bweyogerere'!K73+'Avg Week Bweyogerere-Naalya'!K73</f>
        <v>2</v>
      </c>
      <c r="L73" s="49">
        <f>'Avg Week Nalya-Bweyogerere'!L73+'Avg Week Bweyogerere-Naalya'!L73</f>
        <v>7.5</v>
      </c>
      <c r="M73" s="49">
        <f>'Avg Week Nalya-Bweyogerere'!M73+'Avg Week Bweyogerere-Naalya'!M73</f>
        <v>23.5</v>
      </c>
      <c r="N73" s="49">
        <f>'Avg Week Nalya-Bweyogerere'!N73+'Avg Week Bweyogerere-Naalya'!N73</f>
        <v>0</v>
      </c>
      <c r="O73" s="15">
        <f t="shared" si="35"/>
        <v>103</v>
      </c>
      <c r="P73" s="15">
        <f t="shared" si="36"/>
        <v>126.5</v>
      </c>
      <c r="R73" s="8"/>
      <c r="T73"/>
    </row>
    <row r="74" spans="2:20" ht="23.1" customHeight="1" x14ac:dyDescent="0.25">
      <c r="B74" s="23" t="s">
        <v>114</v>
      </c>
      <c r="C74" s="49">
        <f>'Avg Week Nalya-Bweyogerere'!C74+'Avg Week Bweyogerere-Naalya'!C74</f>
        <v>44</v>
      </c>
      <c r="D74" s="49">
        <f>'Avg Week Nalya-Bweyogerere'!D74+'Avg Week Bweyogerere-Naalya'!D74</f>
        <v>10</v>
      </c>
      <c r="E74" s="49">
        <f>'Avg Week Nalya-Bweyogerere'!E74+'Avg Week Bweyogerere-Naalya'!E74</f>
        <v>6</v>
      </c>
      <c r="F74" s="49">
        <f>'Avg Week Nalya-Bweyogerere'!F74+'Avg Week Bweyogerere-Naalya'!F74</f>
        <v>23.5</v>
      </c>
      <c r="G74" s="49">
        <f>'Avg Week Nalya-Bweyogerere'!G74+'Avg Week Bweyogerere-Naalya'!G74</f>
        <v>0.5</v>
      </c>
      <c r="H74" s="49">
        <f>'Avg Week Nalya-Bweyogerere'!H74+'Avg Week Bweyogerere-Naalya'!H74</f>
        <v>0.5</v>
      </c>
      <c r="I74" s="49">
        <f>'Avg Week Nalya-Bweyogerere'!I74+'Avg Week Bweyogerere-Naalya'!I74</f>
        <v>2</v>
      </c>
      <c r="J74" s="49">
        <f>'Avg Week Nalya-Bweyogerere'!J74+'Avg Week Bweyogerere-Naalya'!J74</f>
        <v>9</v>
      </c>
      <c r="K74" s="49">
        <f>'Avg Week Nalya-Bweyogerere'!K74+'Avg Week Bweyogerere-Naalya'!K74</f>
        <v>1.5</v>
      </c>
      <c r="L74" s="49">
        <f>'Avg Week Nalya-Bweyogerere'!L74+'Avg Week Bweyogerere-Naalya'!L74</f>
        <v>5</v>
      </c>
      <c r="M74" s="49">
        <f>'Avg Week Nalya-Bweyogerere'!M74+'Avg Week Bweyogerere-Naalya'!M74</f>
        <v>16.5</v>
      </c>
      <c r="N74" s="49">
        <f>'Avg Week Nalya-Bweyogerere'!N74+'Avg Week Bweyogerere-Naalya'!N74</f>
        <v>0</v>
      </c>
      <c r="O74" s="15">
        <f t="shared" si="35"/>
        <v>102</v>
      </c>
      <c r="P74" s="15">
        <f t="shared" si="36"/>
        <v>118.5</v>
      </c>
      <c r="R74" s="8"/>
      <c r="T74"/>
    </row>
    <row r="75" spans="2:20" ht="23.1" customHeight="1" x14ac:dyDescent="0.25">
      <c r="B75" s="23" t="s">
        <v>115</v>
      </c>
      <c r="C75" s="49">
        <f>'Avg Week Nalya-Bweyogerere'!C75+'Avg Week Bweyogerere-Naalya'!C75</f>
        <v>22.5</v>
      </c>
      <c r="D75" s="49">
        <f>'Avg Week Nalya-Bweyogerere'!D75+'Avg Week Bweyogerere-Naalya'!D75</f>
        <v>6</v>
      </c>
      <c r="E75" s="49">
        <f>'Avg Week Nalya-Bweyogerere'!E75+'Avg Week Bweyogerere-Naalya'!E75</f>
        <v>3</v>
      </c>
      <c r="F75" s="49">
        <f>'Avg Week Nalya-Bweyogerere'!F75+'Avg Week Bweyogerere-Naalya'!F75</f>
        <v>15.5</v>
      </c>
      <c r="G75" s="49">
        <f>'Avg Week Nalya-Bweyogerere'!G75+'Avg Week Bweyogerere-Naalya'!G75</f>
        <v>0.5</v>
      </c>
      <c r="H75" s="49">
        <f>'Avg Week Nalya-Bweyogerere'!H75+'Avg Week Bweyogerere-Naalya'!H75</f>
        <v>0</v>
      </c>
      <c r="I75" s="49">
        <f>'Avg Week Nalya-Bweyogerere'!I75+'Avg Week Bweyogerere-Naalya'!I75</f>
        <v>1</v>
      </c>
      <c r="J75" s="49">
        <f>'Avg Week Nalya-Bweyogerere'!J75+'Avg Week Bweyogerere-Naalya'!J75</f>
        <v>4</v>
      </c>
      <c r="K75" s="49">
        <f>'Avg Week Nalya-Bweyogerere'!K75+'Avg Week Bweyogerere-Naalya'!K75</f>
        <v>2.5</v>
      </c>
      <c r="L75" s="49">
        <f>'Avg Week Nalya-Bweyogerere'!L75+'Avg Week Bweyogerere-Naalya'!L75</f>
        <v>4.5</v>
      </c>
      <c r="M75" s="49">
        <f>'Avg Week Nalya-Bweyogerere'!M75+'Avg Week Bweyogerere-Naalya'!M75</f>
        <v>20</v>
      </c>
      <c r="N75" s="49">
        <f>'Avg Week Nalya-Bweyogerere'!N75+'Avg Week Bweyogerere-Naalya'!N75</f>
        <v>0</v>
      </c>
      <c r="O75" s="15">
        <f t="shared" si="35"/>
        <v>59.5</v>
      </c>
      <c r="P75" s="15">
        <f t="shared" si="36"/>
        <v>79.5</v>
      </c>
      <c r="R75" s="8"/>
      <c r="T75"/>
    </row>
    <row r="76" spans="2:20" ht="23.1" customHeight="1" x14ac:dyDescent="0.25">
      <c r="B76" s="23" t="s">
        <v>116</v>
      </c>
      <c r="C76" s="49">
        <f>'Avg Week Nalya-Bweyogerere'!C76+'Avg Week Bweyogerere-Naalya'!C76</f>
        <v>18</v>
      </c>
      <c r="D76" s="49">
        <f>'Avg Week Nalya-Bweyogerere'!D76+'Avg Week Bweyogerere-Naalya'!D76</f>
        <v>9</v>
      </c>
      <c r="E76" s="49">
        <f>'Avg Week Nalya-Bweyogerere'!E76+'Avg Week Bweyogerere-Naalya'!E76</f>
        <v>3.5</v>
      </c>
      <c r="F76" s="49">
        <f>'Avg Week Nalya-Bweyogerere'!F76+'Avg Week Bweyogerere-Naalya'!F76</f>
        <v>12.5</v>
      </c>
      <c r="G76" s="49">
        <f>'Avg Week Nalya-Bweyogerere'!G76+'Avg Week Bweyogerere-Naalya'!G76</f>
        <v>0</v>
      </c>
      <c r="H76" s="49">
        <f>'Avg Week Nalya-Bweyogerere'!H76+'Avg Week Bweyogerere-Naalya'!H76</f>
        <v>0</v>
      </c>
      <c r="I76" s="49">
        <f>'Avg Week Nalya-Bweyogerere'!I76+'Avg Week Bweyogerere-Naalya'!I76</f>
        <v>3.5</v>
      </c>
      <c r="J76" s="49">
        <f>'Avg Week Nalya-Bweyogerere'!J76+'Avg Week Bweyogerere-Naalya'!J76</f>
        <v>5</v>
      </c>
      <c r="K76" s="49">
        <f>'Avg Week Nalya-Bweyogerere'!K76+'Avg Week Bweyogerere-Naalya'!K76</f>
        <v>2.5</v>
      </c>
      <c r="L76" s="49">
        <f>'Avg Week Nalya-Bweyogerere'!L76+'Avg Week Bweyogerere-Naalya'!L76</f>
        <v>6</v>
      </c>
      <c r="M76" s="49">
        <f>'Avg Week Nalya-Bweyogerere'!M76+'Avg Week Bweyogerere-Naalya'!M76</f>
        <v>17</v>
      </c>
      <c r="N76" s="49">
        <f>'Avg Week Nalya-Bweyogerere'!N76+'Avg Week Bweyogerere-Naalya'!N76</f>
        <v>0</v>
      </c>
      <c r="O76" s="15">
        <f t="shared" si="35"/>
        <v>60</v>
      </c>
      <c r="P76" s="15">
        <f t="shared" si="36"/>
        <v>77</v>
      </c>
      <c r="R76" s="8"/>
      <c r="T76"/>
    </row>
    <row r="77" spans="2:20" ht="23.1" customHeight="1" x14ac:dyDescent="0.25">
      <c r="B77" s="23" t="s">
        <v>117</v>
      </c>
      <c r="C77" s="49">
        <f>'Avg Week Nalya-Bweyogerere'!C77+'Avg Week Bweyogerere-Naalya'!C77</f>
        <v>15.5</v>
      </c>
      <c r="D77" s="49">
        <f>'Avg Week Nalya-Bweyogerere'!D77+'Avg Week Bweyogerere-Naalya'!D77</f>
        <v>8</v>
      </c>
      <c r="E77" s="49">
        <f>'Avg Week Nalya-Bweyogerere'!E77+'Avg Week Bweyogerere-Naalya'!E77</f>
        <v>1.5</v>
      </c>
      <c r="F77" s="49">
        <f>'Avg Week Nalya-Bweyogerere'!F77+'Avg Week Bweyogerere-Naalya'!F77</f>
        <v>10.5</v>
      </c>
      <c r="G77" s="49">
        <f>'Avg Week Nalya-Bweyogerere'!G77+'Avg Week Bweyogerere-Naalya'!G77</f>
        <v>0</v>
      </c>
      <c r="H77" s="49">
        <f>'Avg Week Nalya-Bweyogerere'!H77+'Avg Week Bweyogerere-Naalya'!H77</f>
        <v>0</v>
      </c>
      <c r="I77" s="49">
        <f>'Avg Week Nalya-Bweyogerere'!I77+'Avg Week Bweyogerere-Naalya'!I77</f>
        <v>1.5</v>
      </c>
      <c r="J77" s="49">
        <f>'Avg Week Nalya-Bweyogerere'!J77+'Avg Week Bweyogerere-Naalya'!J77</f>
        <v>1.5</v>
      </c>
      <c r="K77" s="49">
        <f>'Avg Week Nalya-Bweyogerere'!K77+'Avg Week Bweyogerere-Naalya'!K77</f>
        <v>1.5</v>
      </c>
      <c r="L77" s="49">
        <f>'Avg Week Nalya-Bweyogerere'!L77+'Avg Week Bweyogerere-Naalya'!L77</f>
        <v>5</v>
      </c>
      <c r="M77" s="49">
        <f>'Avg Week Nalya-Bweyogerere'!M77+'Avg Week Bweyogerere-Naalya'!M77</f>
        <v>6.5</v>
      </c>
      <c r="N77" s="49">
        <f>'Avg Week Nalya-Bweyogerere'!N77+'Avg Week Bweyogerere-Naalya'!N77</f>
        <v>0.5</v>
      </c>
      <c r="O77" s="15">
        <f t="shared" si="35"/>
        <v>45.5</v>
      </c>
      <c r="P77" s="15">
        <f t="shared" si="36"/>
        <v>52</v>
      </c>
      <c r="R77" s="8"/>
      <c r="T77"/>
    </row>
    <row r="78" spans="2:20" ht="23.1" customHeight="1" x14ac:dyDescent="0.25">
      <c r="B78" s="24" t="s">
        <v>118</v>
      </c>
      <c r="C78" s="49">
        <f>'Avg Week Nalya-Bweyogerere'!C78+'Avg Week Bweyogerere-Naalya'!C78</f>
        <v>22.5</v>
      </c>
      <c r="D78" s="49">
        <f>'Avg Week Nalya-Bweyogerere'!D78+'Avg Week Bweyogerere-Naalya'!D78</f>
        <v>7</v>
      </c>
      <c r="E78" s="49">
        <f>'Avg Week Nalya-Bweyogerere'!E78+'Avg Week Bweyogerere-Naalya'!E78</f>
        <v>3.5</v>
      </c>
      <c r="F78" s="49">
        <f>'Avg Week Nalya-Bweyogerere'!F78+'Avg Week Bweyogerere-Naalya'!F78</f>
        <v>11</v>
      </c>
      <c r="G78" s="49">
        <f>'Avg Week Nalya-Bweyogerere'!G78+'Avg Week Bweyogerere-Naalya'!G78</f>
        <v>0</v>
      </c>
      <c r="H78" s="49">
        <f>'Avg Week Nalya-Bweyogerere'!H78+'Avg Week Bweyogerere-Naalya'!H78</f>
        <v>0</v>
      </c>
      <c r="I78" s="49">
        <f>'Avg Week Nalya-Bweyogerere'!I78+'Avg Week Bweyogerere-Naalya'!I78</f>
        <v>3.5</v>
      </c>
      <c r="J78" s="49">
        <f>'Avg Week Nalya-Bweyogerere'!J78+'Avg Week Bweyogerere-Naalya'!J78</f>
        <v>7</v>
      </c>
      <c r="K78" s="49">
        <f>'Avg Week Nalya-Bweyogerere'!K78+'Avg Week Bweyogerere-Naalya'!K78</f>
        <v>4</v>
      </c>
      <c r="L78" s="49">
        <f>'Avg Week Nalya-Bweyogerere'!L78+'Avg Week Bweyogerere-Naalya'!L78</f>
        <v>2.5</v>
      </c>
      <c r="M78" s="49">
        <f>'Avg Week Nalya-Bweyogerere'!M78+'Avg Week Bweyogerere-Naalya'!M78</f>
        <v>9</v>
      </c>
      <c r="N78" s="49">
        <f>'Avg Week Nalya-Bweyogerere'!N78+'Avg Week Bweyogerere-Naalya'!N78</f>
        <v>0</v>
      </c>
      <c r="O78" s="15">
        <f t="shared" si="35"/>
        <v>61</v>
      </c>
      <c r="P78" s="15">
        <f t="shared" si="36"/>
        <v>70</v>
      </c>
      <c r="R78" s="8"/>
      <c r="T78"/>
    </row>
    <row r="79" spans="2:20" ht="23.1" customHeight="1" x14ac:dyDescent="0.25">
      <c r="B79" s="23" t="s">
        <v>119</v>
      </c>
      <c r="C79" s="49">
        <f>'Avg Week Nalya-Bweyogerere'!C79+'Avg Week Bweyogerere-Naalya'!C79</f>
        <v>11.5</v>
      </c>
      <c r="D79" s="49">
        <f>'Avg Week Nalya-Bweyogerere'!D79+'Avg Week Bweyogerere-Naalya'!D79</f>
        <v>7</v>
      </c>
      <c r="E79" s="49">
        <f>'Avg Week Nalya-Bweyogerere'!E79+'Avg Week Bweyogerere-Naalya'!E79</f>
        <v>1</v>
      </c>
      <c r="F79" s="49">
        <f>'Avg Week Nalya-Bweyogerere'!F79+'Avg Week Bweyogerere-Naalya'!F79</f>
        <v>4</v>
      </c>
      <c r="G79" s="49">
        <f>'Avg Week Nalya-Bweyogerere'!G79+'Avg Week Bweyogerere-Naalya'!G79</f>
        <v>0</v>
      </c>
      <c r="H79" s="49">
        <f>'Avg Week Nalya-Bweyogerere'!H79+'Avg Week Bweyogerere-Naalya'!H79</f>
        <v>0</v>
      </c>
      <c r="I79" s="49">
        <f>'Avg Week Nalya-Bweyogerere'!I79+'Avg Week Bweyogerere-Naalya'!I79</f>
        <v>2</v>
      </c>
      <c r="J79" s="49">
        <f>'Avg Week Nalya-Bweyogerere'!J79+'Avg Week Bweyogerere-Naalya'!J79</f>
        <v>5.5</v>
      </c>
      <c r="K79" s="49">
        <f>'Avg Week Nalya-Bweyogerere'!K79+'Avg Week Bweyogerere-Naalya'!K79</f>
        <v>2</v>
      </c>
      <c r="L79" s="49">
        <f>'Avg Week Nalya-Bweyogerere'!L79+'Avg Week Bweyogerere-Naalya'!L79</f>
        <v>7</v>
      </c>
      <c r="M79" s="49">
        <f>'Avg Week Nalya-Bweyogerere'!M79+'Avg Week Bweyogerere-Naalya'!M79</f>
        <v>6</v>
      </c>
      <c r="N79" s="49">
        <f>'Avg Week Nalya-Bweyogerere'!N79+'Avg Week Bweyogerere-Naalya'!N79</f>
        <v>0</v>
      </c>
      <c r="O79" s="15">
        <f t="shared" si="35"/>
        <v>40</v>
      </c>
      <c r="P79" s="15">
        <f t="shared" si="36"/>
        <v>46</v>
      </c>
      <c r="R79" s="8"/>
      <c r="T79"/>
    </row>
    <row r="80" spans="2:20" ht="23.1" customHeight="1" x14ac:dyDescent="0.25">
      <c r="B80" s="25" t="s">
        <v>120</v>
      </c>
      <c r="C80" s="49">
        <f>'Avg Week Nalya-Bweyogerere'!C80+'Avg Week Bweyogerere-Naalya'!C80</f>
        <v>13</v>
      </c>
      <c r="D80" s="49">
        <f>'Avg Week Nalya-Bweyogerere'!D80+'Avg Week Bweyogerere-Naalya'!D80</f>
        <v>6.5</v>
      </c>
      <c r="E80" s="49">
        <f>'Avg Week Nalya-Bweyogerere'!E80+'Avg Week Bweyogerere-Naalya'!E80</f>
        <v>2.5</v>
      </c>
      <c r="F80" s="49">
        <f>'Avg Week Nalya-Bweyogerere'!F80+'Avg Week Bweyogerere-Naalya'!F80</f>
        <v>3</v>
      </c>
      <c r="G80" s="49">
        <f>'Avg Week Nalya-Bweyogerere'!G80+'Avg Week Bweyogerere-Naalya'!G80</f>
        <v>0</v>
      </c>
      <c r="H80" s="49">
        <f>'Avg Week Nalya-Bweyogerere'!H80+'Avg Week Bweyogerere-Naalya'!H80</f>
        <v>0</v>
      </c>
      <c r="I80" s="49">
        <f>'Avg Week Nalya-Bweyogerere'!I80+'Avg Week Bweyogerere-Naalya'!I80</f>
        <v>3.5</v>
      </c>
      <c r="J80" s="49">
        <f>'Avg Week Nalya-Bweyogerere'!J80+'Avg Week Bweyogerere-Naalya'!J80</f>
        <v>5</v>
      </c>
      <c r="K80" s="49">
        <f>'Avg Week Nalya-Bweyogerere'!K80+'Avg Week Bweyogerere-Naalya'!K80</f>
        <v>6</v>
      </c>
      <c r="L80" s="49">
        <f>'Avg Week Nalya-Bweyogerere'!L80+'Avg Week Bweyogerere-Naalya'!L80</f>
        <v>5.5</v>
      </c>
      <c r="M80" s="49">
        <f>'Avg Week Nalya-Bweyogerere'!M80+'Avg Week Bweyogerere-Naalya'!M80</f>
        <v>8</v>
      </c>
      <c r="N80" s="49">
        <f>'Avg Week Nalya-Bweyogerere'!N80+'Avg Week Bweyogerere-Naalya'!N80</f>
        <v>0</v>
      </c>
      <c r="O80" s="15">
        <f t="shared" si="35"/>
        <v>45</v>
      </c>
      <c r="P80" s="15">
        <f t="shared" si="36"/>
        <v>53</v>
      </c>
      <c r="R80" s="8"/>
      <c r="T80"/>
    </row>
    <row r="81" spans="2:20" ht="23.1" customHeight="1" x14ac:dyDescent="0.25">
      <c r="B81" s="23" t="s">
        <v>121</v>
      </c>
      <c r="C81" s="49">
        <f>'Avg Week Nalya-Bweyogerere'!C81+'Avg Week Bweyogerere-Naalya'!C81</f>
        <v>9.5</v>
      </c>
      <c r="D81" s="49">
        <f>'Avg Week Nalya-Bweyogerere'!D81+'Avg Week Bweyogerere-Naalya'!D81</f>
        <v>9</v>
      </c>
      <c r="E81" s="49">
        <f>'Avg Week Nalya-Bweyogerere'!E81+'Avg Week Bweyogerere-Naalya'!E81</f>
        <v>2</v>
      </c>
      <c r="F81" s="49">
        <f>'Avg Week Nalya-Bweyogerere'!F81+'Avg Week Bweyogerere-Naalya'!F81</f>
        <v>3</v>
      </c>
      <c r="G81" s="49">
        <f>'Avg Week Nalya-Bweyogerere'!G81+'Avg Week Bweyogerere-Naalya'!G81</f>
        <v>0.5</v>
      </c>
      <c r="H81" s="49">
        <f>'Avg Week Nalya-Bweyogerere'!H81+'Avg Week Bweyogerere-Naalya'!H81</f>
        <v>0</v>
      </c>
      <c r="I81" s="49">
        <f>'Avg Week Nalya-Bweyogerere'!I81+'Avg Week Bweyogerere-Naalya'!I81</f>
        <v>1</v>
      </c>
      <c r="J81" s="49">
        <f>'Avg Week Nalya-Bweyogerere'!J81+'Avg Week Bweyogerere-Naalya'!J81</f>
        <v>2</v>
      </c>
      <c r="K81" s="49">
        <f>'Avg Week Nalya-Bweyogerere'!K81+'Avg Week Bweyogerere-Naalya'!K81</f>
        <v>5.5</v>
      </c>
      <c r="L81" s="49">
        <f>'Avg Week Nalya-Bweyogerere'!L81+'Avg Week Bweyogerere-Naalya'!L81</f>
        <v>3.5</v>
      </c>
      <c r="M81" s="49">
        <f>'Avg Week Nalya-Bweyogerere'!M81+'Avg Week Bweyogerere-Naalya'!M81</f>
        <v>4.5</v>
      </c>
      <c r="N81" s="49">
        <f>'Avg Week Nalya-Bweyogerere'!N81+'Avg Week Bweyogerere-Naalya'!N81</f>
        <v>0</v>
      </c>
      <c r="O81" s="15">
        <f t="shared" si="35"/>
        <v>36</v>
      </c>
      <c r="P81" s="15">
        <f t="shared" si="36"/>
        <v>40.5</v>
      </c>
      <c r="R81" s="8"/>
      <c r="T81"/>
    </row>
    <row r="82" spans="2:20" ht="23.1" customHeight="1" x14ac:dyDescent="0.25">
      <c r="B82" s="24" t="s">
        <v>122</v>
      </c>
      <c r="C82" s="49">
        <f>'Avg Week Nalya-Bweyogerere'!C82+'Avg Week Bweyogerere-Naalya'!C82</f>
        <v>10</v>
      </c>
      <c r="D82" s="49">
        <f>'Avg Week Nalya-Bweyogerere'!D82+'Avg Week Bweyogerere-Naalya'!D82</f>
        <v>1</v>
      </c>
      <c r="E82" s="49">
        <f>'Avg Week Nalya-Bweyogerere'!E82+'Avg Week Bweyogerere-Naalya'!E82</f>
        <v>1.5</v>
      </c>
      <c r="F82" s="49">
        <f>'Avg Week Nalya-Bweyogerere'!F82+'Avg Week Bweyogerere-Naalya'!F82</f>
        <v>1</v>
      </c>
      <c r="G82" s="49">
        <f>'Avg Week Nalya-Bweyogerere'!G82+'Avg Week Bweyogerere-Naalya'!G82</f>
        <v>0</v>
      </c>
      <c r="H82" s="49">
        <f>'Avg Week Nalya-Bweyogerere'!H82+'Avg Week Bweyogerere-Naalya'!H82</f>
        <v>0</v>
      </c>
      <c r="I82" s="49">
        <f>'Avg Week Nalya-Bweyogerere'!I82+'Avg Week Bweyogerere-Naalya'!I82</f>
        <v>3.5</v>
      </c>
      <c r="J82" s="49">
        <f>'Avg Week Nalya-Bweyogerere'!J82+'Avg Week Bweyogerere-Naalya'!J82</f>
        <v>5</v>
      </c>
      <c r="K82" s="49">
        <f>'Avg Week Nalya-Bweyogerere'!K82+'Avg Week Bweyogerere-Naalya'!K82</f>
        <v>3</v>
      </c>
      <c r="L82" s="49">
        <f>'Avg Week Nalya-Bweyogerere'!L82+'Avg Week Bweyogerere-Naalya'!L82</f>
        <v>3</v>
      </c>
      <c r="M82" s="49">
        <f>'Avg Week Nalya-Bweyogerere'!M82+'Avg Week Bweyogerere-Naalya'!M82</f>
        <v>4.5</v>
      </c>
      <c r="N82" s="49">
        <f>'Avg Week Nalya-Bweyogerere'!N82+'Avg Week Bweyogerere-Naalya'!N82</f>
        <v>0</v>
      </c>
      <c r="O82" s="15">
        <f t="shared" si="35"/>
        <v>28</v>
      </c>
      <c r="P82" s="15">
        <f t="shared" si="36"/>
        <v>32.5</v>
      </c>
      <c r="R82" s="8"/>
      <c r="T82"/>
    </row>
    <row r="83" spans="2:20" ht="23.1" customHeight="1" x14ac:dyDescent="0.25">
      <c r="B83" s="23" t="s">
        <v>123</v>
      </c>
      <c r="C83" s="49">
        <f>'Avg Week Nalya-Bweyogerere'!C83+'Avg Week Bweyogerere-Naalya'!C83</f>
        <v>9.5</v>
      </c>
      <c r="D83" s="49">
        <f>'Avg Week Nalya-Bweyogerere'!D83+'Avg Week Bweyogerere-Naalya'!D83</f>
        <v>3.5</v>
      </c>
      <c r="E83" s="49">
        <f>'Avg Week Nalya-Bweyogerere'!E83+'Avg Week Bweyogerere-Naalya'!E83</f>
        <v>1</v>
      </c>
      <c r="F83" s="49">
        <f>'Avg Week Nalya-Bweyogerere'!F83+'Avg Week Bweyogerere-Naalya'!F83</f>
        <v>3</v>
      </c>
      <c r="G83" s="49">
        <f>'Avg Week Nalya-Bweyogerere'!G83+'Avg Week Bweyogerere-Naalya'!G83</f>
        <v>1</v>
      </c>
      <c r="H83" s="49">
        <f>'Avg Week Nalya-Bweyogerere'!H83+'Avg Week Bweyogerere-Naalya'!H83</f>
        <v>0</v>
      </c>
      <c r="I83" s="49">
        <f>'Avg Week Nalya-Bweyogerere'!I83+'Avg Week Bweyogerere-Naalya'!I83</f>
        <v>0.5</v>
      </c>
      <c r="J83" s="49">
        <f>'Avg Week Nalya-Bweyogerere'!J83+'Avg Week Bweyogerere-Naalya'!J83</f>
        <v>1.5</v>
      </c>
      <c r="K83" s="49">
        <f>'Avg Week Nalya-Bweyogerere'!K83+'Avg Week Bweyogerere-Naalya'!K83</f>
        <v>4.5</v>
      </c>
      <c r="L83" s="49">
        <f>'Avg Week Nalya-Bweyogerere'!L83+'Avg Week Bweyogerere-Naalya'!L83</f>
        <v>5</v>
      </c>
      <c r="M83" s="49">
        <f>'Avg Week Nalya-Bweyogerere'!M83+'Avg Week Bweyogerere-Naalya'!M83</f>
        <v>6.5</v>
      </c>
      <c r="N83" s="49">
        <f>'Avg Week Nalya-Bweyogerere'!N83+'Avg Week Bweyogerere-Naalya'!N83</f>
        <v>0</v>
      </c>
      <c r="O83" s="15">
        <f t="shared" si="35"/>
        <v>29.5</v>
      </c>
      <c r="P83" s="15">
        <f t="shared" si="36"/>
        <v>36</v>
      </c>
      <c r="R83" s="8"/>
      <c r="T83"/>
    </row>
    <row r="84" spans="2:20" ht="23.1" customHeight="1" x14ac:dyDescent="0.25">
      <c r="B84" s="25" t="s">
        <v>124</v>
      </c>
      <c r="C84" s="49">
        <f>'Avg Week Nalya-Bweyogerere'!C84+'Avg Week Bweyogerere-Naalya'!C84</f>
        <v>5.5</v>
      </c>
      <c r="D84" s="49">
        <f>'Avg Week Nalya-Bweyogerere'!D84+'Avg Week Bweyogerere-Naalya'!D84</f>
        <v>3.5</v>
      </c>
      <c r="E84" s="49">
        <f>'Avg Week Nalya-Bweyogerere'!E84+'Avg Week Bweyogerere-Naalya'!E84</f>
        <v>1</v>
      </c>
      <c r="F84" s="49">
        <f>'Avg Week Nalya-Bweyogerere'!F84+'Avg Week Bweyogerere-Naalya'!F84</f>
        <v>1</v>
      </c>
      <c r="G84" s="49">
        <f>'Avg Week Nalya-Bweyogerere'!G84+'Avg Week Bweyogerere-Naalya'!G84</f>
        <v>0.5</v>
      </c>
      <c r="H84" s="49">
        <f>'Avg Week Nalya-Bweyogerere'!H84+'Avg Week Bweyogerere-Naalya'!H84</f>
        <v>0</v>
      </c>
      <c r="I84" s="49">
        <f>'Avg Week Nalya-Bweyogerere'!I84+'Avg Week Bweyogerere-Naalya'!I84</f>
        <v>2</v>
      </c>
      <c r="J84" s="49">
        <f>'Avg Week Nalya-Bweyogerere'!J84+'Avg Week Bweyogerere-Naalya'!J84</f>
        <v>4.5</v>
      </c>
      <c r="K84" s="49">
        <f>'Avg Week Nalya-Bweyogerere'!K84+'Avg Week Bweyogerere-Naalya'!K84</f>
        <v>4</v>
      </c>
      <c r="L84" s="49">
        <f>'Avg Week Nalya-Bweyogerere'!L84+'Avg Week Bweyogerere-Naalya'!L84</f>
        <v>5.5</v>
      </c>
      <c r="M84" s="49">
        <f>'Avg Week Nalya-Bweyogerere'!M84+'Avg Week Bweyogerere-Naalya'!M84</f>
        <v>5.5</v>
      </c>
      <c r="N84" s="49">
        <f>'Avg Week Nalya-Bweyogerere'!N84+'Avg Week Bweyogerere-Naalya'!N84</f>
        <v>0</v>
      </c>
      <c r="O84" s="15">
        <f t="shared" si="35"/>
        <v>27.5</v>
      </c>
      <c r="P84" s="15">
        <f t="shared" si="36"/>
        <v>33</v>
      </c>
      <c r="R84" s="8"/>
      <c r="T84"/>
    </row>
    <row r="85" spans="2:20" ht="23.1" customHeight="1" x14ac:dyDescent="0.25">
      <c r="B85" s="23" t="s">
        <v>125</v>
      </c>
      <c r="C85" s="49">
        <f>'Avg Week Nalya-Bweyogerere'!C85+'Avg Week Bweyogerere-Naalya'!C85</f>
        <v>2</v>
      </c>
      <c r="D85" s="49">
        <f>'Avg Week Nalya-Bweyogerere'!D85+'Avg Week Bweyogerere-Naalya'!D85</f>
        <v>0</v>
      </c>
      <c r="E85" s="49">
        <f>'Avg Week Nalya-Bweyogerere'!E85+'Avg Week Bweyogerere-Naalya'!E85</f>
        <v>0.5</v>
      </c>
      <c r="F85" s="49">
        <f>'Avg Week Nalya-Bweyogerere'!F85+'Avg Week Bweyogerere-Naalya'!F85</f>
        <v>0.5</v>
      </c>
      <c r="G85" s="49">
        <f>'Avg Week Nalya-Bweyogerere'!G85+'Avg Week Bweyogerere-Naalya'!G85</f>
        <v>0</v>
      </c>
      <c r="H85" s="49">
        <f>'Avg Week Nalya-Bweyogerere'!H85+'Avg Week Bweyogerere-Naalya'!H85</f>
        <v>0</v>
      </c>
      <c r="I85" s="49">
        <f>'Avg Week Nalya-Bweyogerere'!I85+'Avg Week Bweyogerere-Naalya'!I85</f>
        <v>1</v>
      </c>
      <c r="J85" s="49">
        <f>'Avg Week Nalya-Bweyogerere'!J85+'Avg Week Bweyogerere-Naalya'!J85</f>
        <v>4</v>
      </c>
      <c r="K85" s="49">
        <f>'Avg Week Nalya-Bweyogerere'!K85+'Avg Week Bweyogerere-Naalya'!K85</f>
        <v>3</v>
      </c>
      <c r="L85" s="49">
        <f>'Avg Week Nalya-Bweyogerere'!L85+'Avg Week Bweyogerere-Naalya'!L85</f>
        <v>3</v>
      </c>
      <c r="M85" s="49">
        <f>'Avg Week Nalya-Bweyogerere'!M85+'Avg Week Bweyogerere-Naalya'!M85</f>
        <v>1</v>
      </c>
      <c r="N85" s="49">
        <f>'Avg Week Nalya-Bweyogerere'!N85+'Avg Week Bweyogerere-Naalya'!N85</f>
        <v>0</v>
      </c>
      <c r="O85" s="15">
        <f t="shared" si="35"/>
        <v>14</v>
      </c>
      <c r="P85" s="15">
        <f t="shared" si="36"/>
        <v>15</v>
      </c>
      <c r="R85" s="8"/>
      <c r="T85"/>
    </row>
    <row r="86" spans="2:20" ht="23.1" customHeight="1" x14ac:dyDescent="0.25">
      <c r="B86" s="24" t="s">
        <v>126</v>
      </c>
      <c r="C86" s="49">
        <f>'Avg Week Nalya-Bweyogerere'!C86+'Avg Week Bweyogerere-Naalya'!C86</f>
        <v>2</v>
      </c>
      <c r="D86" s="49">
        <f>'Avg Week Nalya-Bweyogerere'!D86+'Avg Week Bweyogerere-Naalya'!D86</f>
        <v>0.5</v>
      </c>
      <c r="E86" s="49">
        <f>'Avg Week Nalya-Bweyogerere'!E86+'Avg Week Bweyogerere-Naalya'!E86</f>
        <v>0</v>
      </c>
      <c r="F86" s="49">
        <f>'Avg Week Nalya-Bweyogerere'!F86+'Avg Week Bweyogerere-Naalya'!F86</f>
        <v>0</v>
      </c>
      <c r="G86" s="49">
        <f>'Avg Week Nalya-Bweyogerere'!G86+'Avg Week Bweyogerere-Naalya'!G86</f>
        <v>1</v>
      </c>
      <c r="H86" s="49">
        <f>'Avg Week Nalya-Bweyogerere'!H86+'Avg Week Bweyogerere-Naalya'!H86</f>
        <v>0.5</v>
      </c>
      <c r="I86" s="49">
        <f>'Avg Week Nalya-Bweyogerere'!I86+'Avg Week Bweyogerere-Naalya'!I86</f>
        <v>1</v>
      </c>
      <c r="J86" s="49">
        <f>'Avg Week Nalya-Bweyogerere'!J86+'Avg Week Bweyogerere-Naalya'!J86</f>
        <v>0</v>
      </c>
      <c r="K86" s="49">
        <f>'Avg Week Nalya-Bweyogerere'!K86+'Avg Week Bweyogerere-Naalya'!K86</f>
        <v>1</v>
      </c>
      <c r="L86" s="49">
        <f>'Avg Week Nalya-Bweyogerere'!L86+'Avg Week Bweyogerere-Naalya'!L86</f>
        <v>5</v>
      </c>
      <c r="M86" s="49">
        <f>'Avg Week Nalya-Bweyogerere'!M86+'Avg Week Bweyogerere-Naalya'!M86</f>
        <v>0</v>
      </c>
      <c r="N86" s="49">
        <f>'Avg Week Nalya-Bweyogerere'!N86+'Avg Week Bweyogerere-Naalya'!N86</f>
        <v>0</v>
      </c>
      <c r="O86" s="15">
        <f t="shared" si="35"/>
        <v>11</v>
      </c>
      <c r="P86" s="15">
        <f t="shared" si="36"/>
        <v>11</v>
      </c>
      <c r="R86" s="8"/>
      <c r="T86"/>
    </row>
    <row r="87" spans="2:20" ht="23.1" customHeight="1" x14ac:dyDescent="0.25">
      <c r="B87" s="23" t="s">
        <v>127</v>
      </c>
      <c r="C87" s="49">
        <f>'Avg Week Nalya-Bweyogerere'!C87+'Avg Week Bweyogerere-Naalya'!C87</f>
        <v>2.5</v>
      </c>
      <c r="D87" s="49">
        <f>'Avg Week Nalya-Bweyogerere'!D87+'Avg Week Bweyogerere-Naalya'!D87</f>
        <v>0</v>
      </c>
      <c r="E87" s="49">
        <f>'Avg Week Nalya-Bweyogerere'!E87+'Avg Week Bweyogerere-Naalya'!E87</f>
        <v>1</v>
      </c>
      <c r="F87" s="49">
        <f>'Avg Week Nalya-Bweyogerere'!F87+'Avg Week Bweyogerere-Naalya'!F87</f>
        <v>0</v>
      </c>
      <c r="G87" s="49">
        <f>'Avg Week Nalya-Bweyogerere'!G87+'Avg Week Bweyogerere-Naalya'!G87</f>
        <v>0</v>
      </c>
      <c r="H87" s="49">
        <f>'Avg Week Nalya-Bweyogerere'!H87+'Avg Week Bweyogerere-Naalya'!H87</f>
        <v>0</v>
      </c>
      <c r="I87" s="49">
        <f>'Avg Week Nalya-Bweyogerere'!I87+'Avg Week Bweyogerere-Naalya'!I87</f>
        <v>0</v>
      </c>
      <c r="J87" s="49">
        <f>'Avg Week Nalya-Bweyogerere'!J87+'Avg Week Bweyogerere-Naalya'!J87</f>
        <v>0.5</v>
      </c>
      <c r="K87" s="49">
        <f>'Avg Week Nalya-Bweyogerere'!K87+'Avg Week Bweyogerere-Naalya'!K87</f>
        <v>4.5</v>
      </c>
      <c r="L87" s="49">
        <f>'Avg Week Nalya-Bweyogerere'!L87+'Avg Week Bweyogerere-Naalya'!L87</f>
        <v>1</v>
      </c>
      <c r="M87" s="49">
        <f>'Avg Week Nalya-Bweyogerere'!M87+'Avg Week Bweyogerere-Naalya'!M87</f>
        <v>0</v>
      </c>
      <c r="N87" s="49">
        <f>'Avg Week Nalya-Bweyogerere'!N87+'Avg Week Bweyogerere-Naalya'!N87</f>
        <v>0</v>
      </c>
      <c r="O87" s="15">
        <f t="shared" si="35"/>
        <v>9.5</v>
      </c>
      <c r="P87" s="15">
        <f t="shared" si="36"/>
        <v>9.5</v>
      </c>
      <c r="R87" s="8"/>
      <c r="T87"/>
    </row>
    <row r="88" spans="2:20" ht="23.1" customHeight="1" x14ac:dyDescent="0.25">
      <c r="B88" s="25" t="s">
        <v>128</v>
      </c>
      <c r="C88" s="49">
        <f>'Avg Week Nalya-Bweyogerere'!C88+'Avg Week Bweyogerere-Naalya'!C88</f>
        <v>2</v>
      </c>
      <c r="D88" s="49">
        <f>'Avg Week Nalya-Bweyogerere'!D88+'Avg Week Bweyogerere-Naalya'!D88</f>
        <v>0</v>
      </c>
      <c r="E88" s="49">
        <f>'Avg Week Nalya-Bweyogerere'!E88+'Avg Week Bweyogerere-Naalya'!E88</f>
        <v>1.5</v>
      </c>
      <c r="F88" s="49">
        <f>'Avg Week Nalya-Bweyogerere'!F88+'Avg Week Bweyogerere-Naalya'!F88</f>
        <v>1.5</v>
      </c>
      <c r="G88" s="49">
        <f>'Avg Week Nalya-Bweyogerere'!G88+'Avg Week Bweyogerere-Naalya'!G88</f>
        <v>0.5</v>
      </c>
      <c r="H88" s="49">
        <f>'Avg Week Nalya-Bweyogerere'!H88+'Avg Week Bweyogerere-Naalya'!H88</f>
        <v>0.5</v>
      </c>
      <c r="I88" s="49">
        <f>'Avg Week Nalya-Bweyogerere'!I88+'Avg Week Bweyogerere-Naalya'!I88</f>
        <v>0.5</v>
      </c>
      <c r="J88" s="49">
        <f>'Avg Week Nalya-Bweyogerere'!J88+'Avg Week Bweyogerere-Naalya'!J88</f>
        <v>2.5</v>
      </c>
      <c r="K88" s="49">
        <f>'Avg Week Nalya-Bweyogerere'!K88+'Avg Week Bweyogerere-Naalya'!K88</f>
        <v>7</v>
      </c>
      <c r="L88" s="49">
        <f>'Avg Week Nalya-Bweyogerere'!L88+'Avg Week Bweyogerere-Naalya'!L88</f>
        <v>3</v>
      </c>
      <c r="M88" s="49">
        <f>'Avg Week Nalya-Bweyogerere'!M88+'Avg Week Bweyogerere-Naalya'!M88</f>
        <v>1.5</v>
      </c>
      <c r="N88" s="49">
        <f>'Avg Week Nalya-Bweyogerere'!N88+'Avg Week Bweyogerere-Naalya'!N88</f>
        <v>0</v>
      </c>
      <c r="O88" s="15">
        <f t="shared" si="35"/>
        <v>19</v>
      </c>
      <c r="P88" s="15">
        <f t="shared" si="36"/>
        <v>20.5</v>
      </c>
      <c r="R88" s="8"/>
      <c r="T88"/>
    </row>
    <row r="89" spans="2:20" ht="23.1" customHeight="1" x14ac:dyDescent="0.25">
      <c r="B89" s="23" t="s">
        <v>129</v>
      </c>
      <c r="C89" s="49">
        <f>'Avg Week Nalya-Bweyogerere'!C89+'Avg Week Bweyogerere-Naalya'!C89</f>
        <v>5.5</v>
      </c>
      <c r="D89" s="49">
        <f>'Avg Week Nalya-Bweyogerere'!D89+'Avg Week Bweyogerere-Naalya'!D89</f>
        <v>0.5</v>
      </c>
      <c r="E89" s="49">
        <f>'Avg Week Nalya-Bweyogerere'!E89+'Avg Week Bweyogerere-Naalya'!E89</f>
        <v>0.5</v>
      </c>
      <c r="F89" s="49">
        <f>'Avg Week Nalya-Bweyogerere'!F89+'Avg Week Bweyogerere-Naalya'!F89</f>
        <v>1.5</v>
      </c>
      <c r="G89" s="49">
        <f>'Avg Week Nalya-Bweyogerere'!G89+'Avg Week Bweyogerere-Naalya'!G89</f>
        <v>0</v>
      </c>
      <c r="H89" s="49">
        <f>'Avg Week Nalya-Bweyogerere'!H89+'Avg Week Bweyogerere-Naalya'!H89</f>
        <v>0</v>
      </c>
      <c r="I89" s="49">
        <f>'Avg Week Nalya-Bweyogerere'!I89+'Avg Week Bweyogerere-Naalya'!I89</f>
        <v>0.5</v>
      </c>
      <c r="J89" s="49">
        <f>'Avg Week Nalya-Bweyogerere'!J89+'Avg Week Bweyogerere-Naalya'!J89</f>
        <v>6.5</v>
      </c>
      <c r="K89" s="49">
        <f>'Avg Week Nalya-Bweyogerere'!K89+'Avg Week Bweyogerere-Naalya'!K89</f>
        <v>4.5</v>
      </c>
      <c r="L89" s="49">
        <f>'Avg Week Nalya-Bweyogerere'!L89+'Avg Week Bweyogerere-Naalya'!L89</f>
        <v>3</v>
      </c>
      <c r="M89" s="49">
        <f>'Avg Week Nalya-Bweyogerere'!M89+'Avg Week Bweyogerere-Naalya'!M89</f>
        <v>1</v>
      </c>
      <c r="N89" s="49">
        <f>'Avg Week Nalya-Bweyogerere'!N89+'Avg Week Bweyogerere-Naalya'!N89</f>
        <v>0</v>
      </c>
      <c r="O89" s="15">
        <f t="shared" si="35"/>
        <v>22.5</v>
      </c>
      <c r="P89" s="15">
        <f t="shared" si="36"/>
        <v>23.5</v>
      </c>
      <c r="R89" s="8"/>
      <c r="T89"/>
    </row>
    <row r="90" spans="2:20" ht="23.1" customHeight="1" x14ac:dyDescent="0.25">
      <c r="B90" s="24" t="s">
        <v>130</v>
      </c>
      <c r="C90" s="49">
        <f>'Avg Week Nalya-Bweyogerere'!C90+'Avg Week Bweyogerere-Naalya'!C90</f>
        <v>3.5</v>
      </c>
      <c r="D90" s="49">
        <f>'Avg Week Nalya-Bweyogerere'!D90+'Avg Week Bweyogerere-Naalya'!D90</f>
        <v>0</v>
      </c>
      <c r="E90" s="49">
        <f>'Avg Week Nalya-Bweyogerere'!E90+'Avg Week Bweyogerere-Naalya'!E90</f>
        <v>1</v>
      </c>
      <c r="F90" s="49">
        <f>'Avg Week Nalya-Bweyogerere'!F90+'Avg Week Bweyogerere-Naalya'!F90</f>
        <v>1</v>
      </c>
      <c r="G90" s="49">
        <f>'Avg Week Nalya-Bweyogerere'!G90+'Avg Week Bweyogerere-Naalya'!G90</f>
        <v>0</v>
      </c>
      <c r="H90" s="49">
        <f>'Avg Week Nalya-Bweyogerere'!H90+'Avg Week Bweyogerere-Naalya'!H90</f>
        <v>0</v>
      </c>
      <c r="I90" s="49">
        <f>'Avg Week Nalya-Bweyogerere'!I90+'Avg Week Bweyogerere-Naalya'!I90</f>
        <v>2.5</v>
      </c>
      <c r="J90" s="49">
        <f>'Avg Week Nalya-Bweyogerere'!J90+'Avg Week Bweyogerere-Naalya'!J90</f>
        <v>5.5</v>
      </c>
      <c r="K90" s="49">
        <f>'Avg Week Nalya-Bweyogerere'!K90+'Avg Week Bweyogerere-Naalya'!K90</f>
        <v>0.5</v>
      </c>
      <c r="L90" s="49">
        <f>'Avg Week Nalya-Bweyogerere'!L90+'Avg Week Bweyogerere-Naalya'!L90</f>
        <v>1.5</v>
      </c>
      <c r="M90" s="49">
        <f>'Avg Week Nalya-Bweyogerere'!M90+'Avg Week Bweyogerere-Naalya'!M90</f>
        <v>1.5</v>
      </c>
      <c r="N90" s="49">
        <f>'Avg Week Nalya-Bweyogerere'!N90+'Avg Week Bweyogerere-Naalya'!N90</f>
        <v>0</v>
      </c>
      <c r="O90" s="15">
        <f t="shared" si="35"/>
        <v>15.5</v>
      </c>
      <c r="P90" s="15">
        <f t="shared" si="36"/>
        <v>17</v>
      </c>
      <c r="R90" s="8"/>
      <c r="T90"/>
    </row>
    <row r="91" spans="2:20" ht="23.1" customHeight="1" x14ac:dyDescent="0.25">
      <c r="B91" s="23" t="s">
        <v>131</v>
      </c>
      <c r="C91" s="49">
        <f>'Avg Week Nalya-Bweyogerere'!C91+'Avg Week Bweyogerere-Naalya'!C91</f>
        <v>2</v>
      </c>
      <c r="D91" s="49">
        <f>'Avg Week Nalya-Bweyogerere'!D91+'Avg Week Bweyogerere-Naalya'!D91</f>
        <v>2.5</v>
      </c>
      <c r="E91" s="49">
        <f>'Avg Week Nalya-Bweyogerere'!E91+'Avg Week Bweyogerere-Naalya'!E91</f>
        <v>0</v>
      </c>
      <c r="F91" s="49">
        <f>'Avg Week Nalya-Bweyogerere'!F91+'Avg Week Bweyogerere-Naalya'!F91</f>
        <v>1.5</v>
      </c>
      <c r="G91" s="49">
        <f>'Avg Week Nalya-Bweyogerere'!G91+'Avg Week Bweyogerere-Naalya'!G91</f>
        <v>0</v>
      </c>
      <c r="H91" s="49">
        <f>'Avg Week Nalya-Bweyogerere'!H91+'Avg Week Bweyogerere-Naalya'!H91</f>
        <v>0</v>
      </c>
      <c r="I91" s="49">
        <f>'Avg Week Nalya-Bweyogerere'!I91+'Avg Week Bweyogerere-Naalya'!I91</f>
        <v>1</v>
      </c>
      <c r="J91" s="49">
        <f>'Avg Week Nalya-Bweyogerere'!J91+'Avg Week Bweyogerere-Naalya'!J91</f>
        <v>8.5</v>
      </c>
      <c r="K91" s="49">
        <f>'Avg Week Nalya-Bweyogerere'!K91+'Avg Week Bweyogerere-Naalya'!K91</f>
        <v>1.5</v>
      </c>
      <c r="L91" s="49">
        <f>'Avg Week Nalya-Bweyogerere'!L91+'Avg Week Bweyogerere-Naalya'!L91</f>
        <v>3</v>
      </c>
      <c r="M91" s="49">
        <f>'Avg Week Nalya-Bweyogerere'!M91+'Avg Week Bweyogerere-Naalya'!M91</f>
        <v>1</v>
      </c>
      <c r="N91" s="49">
        <f>'Avg Week Nalya-Bweyogerere'!N91+'Avg Week Bweyogerere-Naalya'!N91</f>
        <v>0</v>
      </c>
      <c r="O91" s="15">
        <f t="shared" si="35"/>
        <v>20</v>
      </c>
      <c r="P91" s="15">
        <f t="shared" si="36"/>
        <v>21</v>
      </c>
      <c r="R91" s="8"/>
      <c r="T91"/>
    </row>
    <row r="92" spans="2:20" ht="23.1" customHeight="1" x14ac:dyDescent="0.25">
      <c r="B92" s="25" t="s">
        <v>132</v>
      </c>
      <c r="C92" s="49">
        <f>'Avg Week Nalya-Bweyogerere'!C92+'Avg Week Bweyogerere-Naalya'!C92</f>
        <v>4.5</v>
      </c>
      <c r="D92" s="49">
        <f>'Avg Week Nalya-Bweyogerere'!D92+'Avg Week Bweyogerere-Naalya'!D92</f>
        <v>1.5</v>
      </c>
      <c r="E92" s="49">
        <f>'Avg Week Nalya-Bweyogerere'!E92+'Avg Week Bweyogerere-Naalya'!E92</f>
        <v>0.5</v>
      </c>
      <c r="F92" s="49">
        <f>'Avg Week Nalya-Bweyogerere'!F92+'Avg Week Bweyogerere-Naalya'!F92</f>
        <v>0</v>
      </c>
      <c r="G92" s="49">
        <f>'Avg Week Nalya-Bweyogerere'!G92+'Avg Week Bweyogerere-Naalya'!G92</f>
        <v>0</v>
      </c>
      <c r="H92" s="49">
        <f>'Avg Week Nalya-Bweyogerere'!H92+'Avg Week Bweyogerere-Naalya'!H92</f>
        <v>0</v>
      </c>
      <c r="I92" s="49">
        <f>'Avg Week Nalya-Bweyogerere'!I92+'Avg Week Bweyogerere-Naalya'!I92</f>
        <v>1.5</v>
      </c>
      <c r="J92" s="49">
        <f>'Avg Week Nalya-Bweyogerere'!J92+'Avg Week Bweyogerere-Naalya'!J92</f>
        <v>5</v>
      </c>
      <c r="K92" s="49">
        <f>'Avg Week Nalya-Bweyogerere'!K92+'Avg Week Bweyogerere-Naalya'!K92</f>
        <v>3</v>
      </c>
      <c r="L92" s="49">
        <f>'Avg Week Nalya-Bweyogerere'!L92+'Avg Week Bweyogerere-Naalya'!L92</f>
        <v>2</v>
      </c>
      <c r="M92" s="49">
        <f>'Avg Week Nalya-Bweyogerere'!M92+'Avg Week Bweyogerere-Naalya'!M92</f>
        <v>2</v>
      </c>
      <c r="N92" s="49">
        <f>'Avg Week Nalya-Bweyogerere'!N92+'Avg Week Bweyogerere-Naalya'!N92</f>
        <v>0</v>
      </c>
      <c r="O92" s="15">
        <f t="shared" si="35"/>
        <v>18</v>
      </c>
      <c r="P92" s="15">
        <f t="shared" si="36"/>
        <v>20</v>
      </c>
      <c r="R92" s="8"/>
      <c r="T92"/>
    </row>
    <row r="93" spans="2:20" ht="23.1" customHeight="1" x14ac:dyDescent="0.25">
      <c r="B93" s="23" t="s">
        <v>133</v>
      </c>
      <c r="C93" s="49">
        <f>'Avg Week Nalya-Bweyogerere'!C93+'Avg Week Bweyogerere-Naalya'!C93</f>
        <v>2</v>
      </c>
      <c r="D93" s="49">
        <f>'Avg Week Nalya-Bweyogerere'!D93+'Avg Week Bweyogerere-Naalya'!D93</f>
        <v>3.5</v>
      </c>
      <c r="E93" s="49">
        <f>'Avg Week Nalya-Bweyogerere'!E93+'Avg Week Bweyogerere-Naalya'!E93</f>
        <v>0</v>
      </c>
      <c r="F93" s="49">
        <f>'Avg Week Nalya-Bweyogerere'!F93+'Avg Week Bweyogerere-Naalya'!F93</f>
        <v>0</v>
      </c>
      <c r="G93" s="49">
        <f>'Avg Week Nalya-Bweyogerere'!G93+'Avg Week Bweyogerere-Naalya'!G93</f>
        <v>0</v>
      </c>
      <c r="H93" s="49">
        <f>'Avg Week Nalya-Bweyogerere'!H93+'Avg Week Bweyogerere-Naalya'!H93</f>
        <v>0</v>
      </c>
      <c r="I93" s="49">
        <f>'Avg Week Nalya-Bweyogerere'!I93+'Avg Week Bweyogerere-Naalya'!I93</f>
        <v>3</v>
      </c>
      <c r="J93" s="49">
        <f>'Avg Week Nalya-Bweyogerere'!J93+'Avg Week Bweyogerere-Naalya'!J93</f>
        <v>4.5</v>
      </c>
      <c r="K93" s="49">
        <f>'Avg Week Nalya-Bweyogerere'!K93+'Avg Week Bweyogerere-Naalya'!K93</f>
        <v>2.5</v>
      </c>
      <c r="L93" s="49">
        <f>'Avg Week Nalya-Bweyogerere'!L93+'Avg Week Bweyogerere-Naalya'!L93</f>
        <v>1.5</v>
      </c>
      <c r="M93" s="49">
        <f>'Avg Week Nalya-Bweyogerere'!M93+'Avg Week Bweyogerere-Naalya'!M93</f>
        <v>2</v>
      </c>
      <c r="N93" s="49">
        <f>'Avg Week Nalya-Bweyogerere'!N93+'Avg Week Bweyogerere-Naalya'!N93</f>
        <v>0</v>
      </c>
      <c r="O93" s="15">
        <f t="shared" si="35"/>
        <v>17</v>
      </c>
      <c r="P93" s="15">
        <f t="shared" si="36"/>
        <v>19</v>
      </c>
      <c r="R93" s="8"/>
      <c r="T93"/>
    </row>
    <row r="94" spans="2:20" ht="23.1" customHeight="1" x14ac:dyDescent="0.25">
      <c r="B94" s="24" t="s">
        <v>134</v>
      </c>
      <c r="C94" s="49">
        <f>'Avg Week Nalya-Bweyogerere'!C94+'Avg Week Bweyogerere-Naalya'!C94</f>
        <v>2.5</v>
      </c>
      <c r="D94" s="49">
        <f>'Avg Week Nalya-Bweyogerere'!D94+'Avg Week Bweyogerere-Naalya'!D94</f>
        <v>0.5</v>
      </c>
      <c r="E94" s="49">
        <f>'Avg Week Nalya-Bweyogerere'!E94+'Avg Week Bweyogerere-Naalya'!E94</f>
        <v>1</v>
      </c>
      <c r="F94" s="49">
        <f>'Avg Week Nalya-Bweyogerere'!F94+'Avg Week Bweyogerere-Naalya'!F94</f>
        <v>1.5</v>
      </c>
      <c r="G94" s="49">
        <f>'Avg Week Nalya-Bweyogerere'!G94+'Avg Week Bweyogerere-Naalya'!G94</f>
        <v>0</v>
      </c>
      <c r="H94" s="49">
        <f>'Avg Week Nalya-Bweyogerere'!H94+'Avg Week Bweyogerere-Naalya'!H94</f>
        <v>0</v>
      </c>
      <c r="I94" s="49">
        <f>'Avg Week Nalya-Bweyogerere'!I94+'Avg Week Bweyogerere-Naalya'!I94</f>
        <v>0.5</v>
      </c>
      <c r="J94" s="49">
        <f>'Avg Week Nalya-Bweyogerere'!J94+'Avg Week Bweyogerere-Naalya'!J94</f>
        <v>7.5</v>
      </c>
      <c r="K94" s="49">
        <f>'Avg Week Nalya-Bweyogerere'!K94+'Avg Week Bweyogerere-Naalya'!K94</f>
        <v>6</v>
      </c>
      <c r="L94" s="49">
        <f>'Avg Week Nalya-Bweyogerere'!L94+'Avg Week Bweyogerere-Naalya'!L94</f>
        <v>2.5</v>
      </c>
      <c r="M94" s="49">
        <f>'Avg Week Nalya-Bweyogerere'!M94+'Avg Week Bweyogerere-Naalya'!M94</f>
        <v>3.5</v>
      </c>
      <c r="N94" s="49">
        <f>'Avg Week Nalya-Bweyogerere'!N94+'Avg Week Bweyogerere-Naalya'!N94</f>
        <v>0</v>
      </c>
      <c r="O94" s="15">
        <f t="shared" si="35"/>
        <v>22</v>
      </c>
      <c r="P94" s="15">
        <f t="shared" si="36"/>
        <v>25.5</v>
      </c>
      <c r="R94" s="8"/>
      <c r="T94"/>
    </row>
    <row r="95" spans="2:20" ht="23.1" customHeight="1" x14ac:dyDescent="0.25">
      <c r="B95" s="23" t="s">
        <v>135</v>
      </c>
      <c r="C95" s="49">
        <f>'Avg Week Nalya-Bweyogerere'!C95+'Avg Week Bweyogerere-Naalya'!C95</f>
        <v>3.5</v>
      </c>
      <c r="D95" s="49">
        <f>'Avg Week Nalya-Bweyogerere'!D95+'Avg Week Bweyogerere-Naalya'!D95</f>
        <v>0</v>
      </c>
      <c r="E95" s="49">
        <f>'Avg Week Nalya-Bweyogerere'!E95+'Avg Week Bweyogerere-Naalya'!E95</f>
        <v>1</v>
      </c>
      <c r="F95" s="49">
        <f>'Avg Week Nalya-Bweyogerere'!F95+'Avg Week Bweyogerere-Naalya'!F95</f>
        <v>1</v>
      </c>
      <c r="G95" s="49">
        <f>'Avg Week Nalya-Bweyogerere'!G95+'Avg Week Bweyogerere-Naalya'!G95</f>
        <v>0</v>
      </c>
      <c r="H95" s="49">
        <f>'Avg Week Nalya-Bweyogerere'!H95+'Avg Week Bweyogerere-Naalya'!H95</f>
        <v>0</v>
      </c>
      <c r="I95" s="49">
        <f>'Avg Week Nalya-Bweyogerere'!I95+'Avg Week Bweyogerere-Naalya'!I95</f>
        <v>1</v>
      </c>
      <c r="J95" s="49">
        <f>'Avg Week Nalya-Bweyogerere'!J95+'Avg Week Bweyogerere-Naalya'!J95</f>
        <v>4</v>
      </c>
      <c r="K95" s="49">
        <f>'Avg Week Nalya-Bweyogerere'!K95+'Avg Week Bweyogerere-Naalya'!K95</f>
        <v>3.5</v>
      </c>
      <c r="L95" s="49">
        <f>'Avg Week Nalya-Bweyogerere'!L95+'Avg Week Bweyogerere-Naalya'!L95</f>
        <v>3.5</v>
      </c>
      <c r="M95" s="49">
        <f>'Avg Week Nalya-Bweyogerere'!M95+'Avg Week Bweyogerere-Naalya'!M95</f>
        <v>3</v>
      </c>
      <c r="N95" s="49">
        <f>'Avg Week Nalya-Bweyogerere'!N95+'Avg Week Bweyogerere-Naalya'!N95</f>
        <v>0</v>
      </c>
      <c r="O95" s="15">
        <f t="shared" si="35"/>
        <v>17.5</v>
      </c>
      <c r="P95" s="15">
        <f t="shared" si="36"/>
        <v>20.5</v>
      </c>
      <c r="R95" s="8"/>
      <c r="T95"/>
    </row>
    <row r="96" spans="2:20" ht="23.1" customHeight="1" x14ac:dyDescent="0.25">
      <c r="B96" s="25" t="s">
        <v>136</v>
      </c>
      <c r="C96" s="49">
        <f>'Avg Week Nalya-Bweyogerere'!C96+'Avg Week Bweyogerere-Naalya'!C96</f>
        <v>1.5</v>
      </c>
      <c r="D96" s="49">
        <f>'Avg Week Nalya-Bweyogerere'!D96+'Avg Week Bweyogerere-Naalya'!D96</f>
        <v>0</v>
      </c>
      <c r="E96" s="49">
        <f>'Avg Week Nalya-Bweyogerere'!E96+'Avg Week Bweyogerere-Naalya'!E96</f>
        <v>0.5</v>
      </c>
      <c r="F96" s="49">
        <f>'Avg Week Nalya-Bweyogerere'!F96+'Avg Week Bweyogerere-Naalya'!F96</f>
        <v>0</v>
      </c>
      <c r="G96" s="49">
        <f>'Avg Week Nalya-Bweyogerere'!G96+'Avg Week Bweyogerere-Naalya'!G96</f>
        <v>0</v>
      </c>
      <c r="H96" s="49">
        <f>'Avg Week Nalya-Bweyogerere'!H96+'Avg Week Bweyogerere-Naalya'!H96</f>
        <v>0</v>
      </c>
      <c r="I96" s="49">
        <f>'Avg Week Nalya-Bweyogerere'!I96+'Avg Week Bweyogerere-Naalya'!I96</f>
        <v>0</v>
      </c>
      <c r="J96" s="49">
        <f>'Avg Week Nalya-Bweyogerere'!J96+'Avg Week Bweyogerere-Naalya'!J96</f>
        <v>5</v>
      </c>
      <c r="K96" s="49">
        <f>'Avg Week Nalya-Bweyogerere'!K96+'Avg Week Bweyogerere-Naalya'!K96</f>
        <v>2.5</v>
      </c>
      <c r="L96" s="49">
        <f>'Avg Week Nalya-Bweyogerere'!L96+'Avg Week Bweyogerere-Naalya'!L96</f>
        <v>4</v>
      </c>
      <c r="M96" s="49">
        <f>'Avg Week Nalya-Bweyogerere'!M96+'Avg Week Bweyogerere-Naalya'!M96</f>
        <v>2</v>
      </c>
      <c r="N96" s="49">
        <f>'Avg Week Nalya-Bweyogerere'!N96+'Avg Week Bweyogerere-Naalya'!N96</f>
        <v>0</v>
      </c>
      <c r="O96" s="15">
        <f t="shared" si="35"/>
        <v>13.5</v>
      </c>
      <c r="P96" s="15">
        <f t="shared" si="36"/>
        <v>15.5</v>
      </c>
      <c r="R96" s="8"/>
      <c r="T96"/>
    </row>
    <row r="97" spans="2:20" ht="23.1" customHeight="1" x14ac:dyDescent="0.25">
      <c r="B97" s="23" t="s">
        <v>137</v>
      </c>
      <c r="C97" s="49">
        <f>'Avg Week Nalya-Bweyogerere'!C97+'Avg Week Bweyogerere-Naalya'!C97</f>
        <v>6</v>
      </c>
      <c r="D97" s="49">
        <f>'Avg Week Nalya-Bweyogerere'!D97+'Avg Week Bweyogerere-Naalya'!D97</f>
        <v>2</v>
      </c>
      <c r="E97" s="49">
        <f>'Avg Week Nalya-Bweyogerere'!E97+'Avg Week Bweyogerere-Naalya'!E97</f>
        <v>0.5</v>
      </c>
      <c r="F97" s="49">
        <f>'Avg Week Nalya-Bweyogerere'!F97+'Avg Week Bweyogerere-Naalya'!F97</f>
        <v>4.5</v>
      </c>
      <c r="G97" s="49">
        <f>'Avg Week Nalya-Bweyogerere'!G97+'Avg Week Bweyogerere-Naalya'!G97</f>
        <v>0</v>
      </c>
      <c r="H97" s="49">
        <f>'Avg Week Nalya-Bweyogerere'!H97+'Avg Week Bweyogerere-Naalya'!H97</f>
        <v>0</v>
      </c>
      <c r="I97" s="49">
        <f>'Avg Week Nalya-Bweyogerere'!I97+'Avg Week Bweyogerere-Naalya'!I97</f>
        <v>1.5</v>
      </c>
      <c r="J97" s="49">
        <f>'Avg Week Nalya-Bweyogerere'!J97+'Avg Week Bweyogerere-Naalya'!J97</f>
        <v>5</v>
      </c>
      <c r="K97" s="49">
        <f>'Avg Week Nalya-Bweyogerere'!K97+'Avg Week Bweyogerere-Naalya'!K97</f>
        <v>3.5</v>
      </c>
      <c r="L97" s="49">
        <f>'Avg Week Nalya-Bweyogerere'!L97+'Avg Week Bweyogerere-Naalya'!L97</f>
        <v>4.5</v>
      </c>
      <c r="M97" s="49">
        <f>'Avg Week Nalya-Bweyogerere'!M97+'Avg Week Bweyogerere-Naalya'!M97</f>
        <v>3</v>
      </c>
      <c r="N97" s="49">
        <f>'Avg Week Nalya-Bweyogerere'!N97+'Avg Week Bweyogerere-Naalya'!N97</f>
        <v>0</v>
      </c>
      <c r="O97" s="15">
        <f t="shared" si="35"/>
        <v>27.5</v>
      </c>
      <c r="P97" s="15">
        <f t="shared" si="36"/>
        <v>30.5</v>
      </c>
      <c r="R97" s="8"/>
      <c r="T97"/>
    </row>
    <row r="98" spans="2:20" ht="23.1" customHeight="1" x14ac:dyDescent="0.25">
      <c r="B98" s="24" t="s">
        <v>138</v>
      </c>
      <c r="C98" s="49">
        <f>'Avg Week Nalya-Bweyogerere'!C98+'Avg Week Bweyogerere-Naalya'!C98</f>
        <v>4</v>
      </c>
      <c r="D98" s="49">
        <f>'Avg Week Nalya-Bweyogerere'!D98+'Avg Week Bweyogerere-Naalya'!D98</f>
        <v>1</v>
      </c>
      <c r="E98" s="49">
        <f>'Avg Week Nalya-Bweyogerere'!E98+'Avg Week Bweyogerere-Naalya'!E98</f>
        <v>1</v>
      </c>
      <c r="F98" s="49">
        <f>'Avg Week Nalya-Bweyogerere'!F98+'Avg Week Bweyogerere-Naalya'!F98</f>
        <v>5</v>
      </c>
      <c r="G98" s="49">
        <f>'Avg Week Nalya-Bweyogerere'!G98+'Avg Week Bweyogerere-Naalya'!G98</f>
        <v>0</v>
      </c>
      <c r="H98" s="49">
        <f>'Avg Week Nalya-Bweyogerere'!H98+'Avg Week Bweyogerere-Naalya'!H98</f>
        <v>0</v>
      </c>
      <c r="I98" s="49">
        <f>'Avg Week Nalya-Bweyogerere'!I98+'Avg Week Bweyogerere-Naalya'!I98</f>
        <v>2.5</v>
      </c>
      <c r="J98" s="49">
        <f>'Avg Week Nalya-Bweyogerere'!J98+'Avg Week Bweyogerere-Naalya'!J98</f>
        <v>5.5</v>
      </c>
      <c r="K98" s="49">
        <f>'Avg Week Nalya-Bweyogerere'!K98+'Avg Week Bweyogerere-Naalya'!K98</f>
        <v>2.5</v>
      </c>
      <c r="L98" s="49">
        <f>'Avg Week Nalya-Bweyogerere'!L98+'Avg Week Bweyogerere-Naalya'!L98</f>
        <v>5.5</v>
      </c>
      <c r="M98" s="49">
        <f>'Avg Week Nalya-Bweyogerere'!M98+'Avg Week Bweyogerere-Naalya'!M98</f>
        <v>1.5</v>
      </c>
      <c r="N98" s="49">
        <f>'Avg Week Nalya-Bweyogerere'!N98+'Avg Week Bweyogerere-Naalya'!N98</f>
        <v>0</v>
      </c>
      <c r="O98" s="15">
        <f t="shared" si="35"/>
        <v>27</v>
      </c>
      <c r="P98" s="15">
        <f t="shared" si="36"/>
        <v>28.5</v>
      </c>
      <c r="R98" s="8"/>
      <c r="T98"/>
    </row>
    <row r="99" spans="2:20" ht="23.1" customHeight="1" x14ac:dyDescent="0.25">
      <c r="B99" s="23" t="s">
        <v>139</v>
      </c>
      <c r="C99" s="49">
        <f>'Avg Week Nalya-Bweyogerere'!C99+'Avg Week Bweyogerere-Naalya'!C99</f>
        <v>7</v>
      </c>
      <c r="D99" s="49">
        <f>'Avg Week Nalya-Bweyogerere'!D99+'Avg Week Bweyogerere-Naalya'!D99</f>
        <v>2</v>
      </c>
      <c r="E99" s="49">
        <f>'Avg Week Nalya-Bweyogerere'!E99+'Avg Week Bweyogerere-Naalya'!E99</f>
        <v>1</v>
      </c>
      <c r="F99" s="49">
        <f>'Avg Week Nalya-Bweyogerere'!F99+'Avg Week Bweyogerere-Naalya'!F99</f>
        <v>5.5</v>
      </c>
      <c r="G99" s="49">
        <f>'Avg Week Nalya-Bweyogerere'!G99+'Avg Week Bweyogerere-Naalya'!G99</f>
        <v>1.5</v>
      </c>
      <c r="H99" s="49">
        <f>'Avg Week Nalya-Bweyogerere'!H99+'Avg Week Bweyogerere-Naalya'!H99</f>
        <v>0</v>
      </c>
      <c r="I99" s="49">
        <f>'Avg Week Nalya-Bweyogerere'!I99+'Avg Week Bweyogerere-Naalya'!I99</f>
        <v>1</v>
      </c>
      <c r="J99" s="49">
        <f>'Avg Week Nalya-Bweyogerere'!J99+'Avg Week Bweyogerere-Naalya'!J99</f>
        <v>4.5</v>
      </c>
      <c r="K99" s="49">
        <f>'Avg Week Nalya-Bweyogerere'!K99+'Avg Week Bweyogerere-Naalya'!K99</f>
        <v>0.5</v>
      </c>
      <c r="L99" s="49">
        <f>'Avg Week Nalya-Bweyogerere'!L99+'Avg Week Bweyogerere-Naalya'!L99</f>
        <v>6.5</v>
      </c>
      <c r="M99" s="49">
        <f>'Avg Week Nalya-Bweyogerere'!M99+'Avg Week Bweyogerere-Naalya'!M99</f>
        <v>5</v>
      </c>
      <c r="N99" s="49">
        <f>'Avg Week Nalya-Bweyogerere'!N99+'Avg Week Bweyogerere-Naalya'!N99</f>
        <v>0</v>
      </c>
      <c r="O99" s="15">
        <f t="shared" si="35"/>
        <v>29.5</v>
      </c>
      <c r="P99" s="15">
        <f t="shared" si="36"/>
        <v>34.5</v>
      </c>
      <c r="R99" s="8"/>
      <c r="T99"/>
    </row>
    <row r="100" spans="2:20" ht="23.1" customHeight="1" x14ac:dyDescent="0.25">
      <c r="B100" s="25" t="s">
        <v>140</v>
      </c>
      <c r="C100" s="49">
        <f>'Avg Week Nalya-Bweyogerere'!C100+'Avg Week Bweyogerere-Naalya'!C100</f>
        <v>9</v>
      </c>
      <c r="D100" s="49">
        <f>'Avg Week Nalya-Bweyogerere'!D100+'Avg Week Bweyogerere-Naalya'!D100</f>
        <v>4.5</v>
      </c>
      <c r="E100" s="49">
        <f>'Avg Week Nalya-Bweyogerere'!E100+'Avg Week Bweyogerere-Naalya'!E100</f>
        <v>2.5</v>
      </c>
      <c r="F100" s="49">
        <f>'Avg Week Nalya-Bweyogerere'!F100+'Avg Week Bweyogerere-Naalya'!F100</f>
        <v>14.5</v>
      </c>
      <c r="G100" s="49">
        <f>'Avg Week Nalya-Bweyogerere'!G100+'Avg Week Bweyogerere-Naalya'!G100</f>
        <v>0</v>
      </c>
      <c r="H100" s="49">
        <f>'Avg Week Nalya-Bweyogerere'!H100+'Avg Week Bweyogerere-Naalya'!H100</f>
        <v>0</v>
      </c>
      <c r="I100" s="49">
        <f>'Avg Week Nalya-Bweyogerere'!I100+'Avg Week Bweyogerere-Naalya'!I100</f>
        <v>1.5</v>
      </c>
      <c r="J100" s="49">
        <f>'Avg Week Nalya-Bweyogerere'!J100+'Avg Week Bweyogerere-Naalya'!J100</f>
        <v>7</v>
      </c>
      <c r="K100" s="49">
        <f>'Avg Week Nalya-Bweyogerere'!K100+'Avg Week Bweyogerere-Naalya'!K100</f>
        <v>2.5</v>
      </c>
      <c r="L100" s="49">
        <f>'Avg Week Nalya-Bweyogerere'!L100+'Avg Week Bweyogerere-Naalya'!L100</f>
        <v>5</v>
      </c>
      <c r="M100" s="49">
        <f>'Avg Week Nalya-Bweyogerere'!M100+'Avg Week Bweyogerere-Naalya'!M100</f>
        <v>9</v>
      </c>
      <c r="N100" s="49">
        <f>'Avg Week Nalya-Bweyogerere'!N100+'Avg Week Bweyogerere-Naalya'!N100</f>
        <v>0</v>
      </c>
      <c r="O100" s="15">
        <f t="shared" si="35"/>
        <v>46.5</v>
      </c>
      <c r="P100" s="15">
        <f t="shared" si="36"/>
        <v>55.5</v>
      </c>
      <c r="R100" s="8"/>
      <c r="T100"/>
    </row>
    <row r="101" spans="2:20" ht="23.1" customHeight="1" x14ac:dyDescent="0.25">
      <c r="B101" s="23" t="s">
        <v>141</v>
      </c>
      <c r="C101" s="49">
        <f>'Avg Week Nalya-Bweyogerere'!C101+'Avg Week Bweyogerere-Naalya'!C101</f>
        <v>13</v>
      </c>
      <c r="D101" s="49">
        <f>'Avg Week Nalya-Bweyogerere'!D101+'Avg Week Bweyogerere-Naalya'!D101</f>
        <v>3</v>
      </c>
      <c r="E101" s="49">
        <f>'Avg Week Nalya-Bweyogerere'!E101+'Avg Week Bweyogerere-Naalya'!E101</f>
        <v>2</v>
      </c>
      <c r="F101" s="49">
        <f>'Avg Week Nalya-Bweyogerere'!F101+'Avg Week Bweyogerere-Naalya'!F101</f>
        <v>8</v>
      </c>
      <c r="G101" s="49">
        <f>'Avg Week Nalya-Bweyogerere'!G101+'Avg Week Bweyogerere-Naalya'!G101</f>
        <v>1</v>
      </c>
      <c r="H101" s="49">
        <f>'Avg Week Nalya-Bweyogerere'!H101+'Avg Week Bweyogerere-Naalya'!H101</f>
        <v>0</v>
      </c>
      <c r="I101" s="49">
        <f>'Avg Week Nalya-Bweyogerere'!I101+'Avg Week Bweyogerere-Naalya'!I101</f>
        <v>2.5</v>
      </c>
      <c r="J101" s="49">
        <f>'Avg Week Nalya-Bweyogerere'!J101+'Avg Week Bweyogerere-Naalya'!J101</f>
        <v>7.5</v>
      </c>
      <c r="K101" s="49">
        <f>'Avg Week Nalya-Bweyogerere'!K101+'Avg Week Bweyogerere-Naalya'!K101</f>
        <v>4.5</v>
      </c>
      <c r="L101" s="49">
        <f>'Avg Week Nalya-Bweyogerere'!L101+'Avg Week Bweyogerere-Naalya'!L101</f>
        <v>3.5</v>
      </c>
      <c r="M101" s="49">
        <f>'Avg Week Nalya-Bweyogerere'!M101+'Avg Week Bweyogerere-Naalya'!M101</f>
        <v>4.5</v>
      </c>
      <c r="N101" s="49">
        <f>'Avg Week Nalya-Bweyogerere'!N101+'Avg Week Bweyogerere-Naalya'!N101</f>
        <v>0</v>
      </c>
      <c r="O101" s="15">
        <f t="shared" si="35"/>
        <v>45</v>
      </c>
      <c r="P101" s="15">
        <f t="shared" si="36"/>
        <v>49.5</v>
      </c>
      <c r="R101" s="8"/>
      <c r="T101"/>
    </row>
    <row r="102" spans="2:20" ht="23.1" customHeight="1" x14ac:dyDescent="0.25">
      <c r="B102" s="24" t="s">
        <v>142</v>
      </c>
      <c r="C102" s="49">
        <f>'Avg Week Nalya-Bweyogerere'!C102+'Avg Week Bweyogerere-Naalya'!C102</f>
        <v>7</v>
      </c>
      <c r="D102" s="49">
        <f>'Avg Week Nalya-Bweyogerere'!D102+'Avg Week Bweyogerere-Naalya'!D102</f>
        <v>5.5</v>
      </c>
      <c r="E102" s="49">
        <f>'Avg Week Nalya-Bweyogerere'!E102+'Avg Week Bweyogerere-Naalya'!E102</f>
        <v>2</v>
      </c>
      <c r="F102" s="49">
        <f>'Avg Week Nalya-Bweyogerere'!F102+'Avg Week Bweyogerere-Naalya'!F102</f>
        <v>12</v>
      </c>
      <c r="G102" s="49">
        <f>'Avg Week Nalya-Bweyogerere'!G102+'Avg Week Bweyogerere-Naalya'!G102</f>
        <v>0</v>
      </c>
      <c r="H102" s="49">
        <f>'Avg Week Nalya-Bweyogerere'!H102+'Avg Week Bweyogerere-Naalya'!H102</f>
        <v>0</v>
      </c>
      <c r="I102" s="49">
        <f>'Avg Week Nalya-Bweyogerere'!I102+'Avg Week Bweyogerere-Naalya'!I102</f>
        <v>3</v>
      </c>
      <c r="J102" s="49">
        <f>'Avg Week Nalya-Bweyogerere'!J102+'Avg Week Bweyogerere-Naalya'!J102</f>
        <v>7</v>
      </c>
      <c r="K102" s="49">
        <f>'Avg Week Nalya-Bweyogerere'!K102+'Avg Week Bweyogerere-Naalya'!K102</f>
        <v>6.5</v>
      </c>
      <c r="L102" s="49">
        <f>'Avg Week Nalya-Bweyogerere'!L102+'Avg Week Bweyogerere-Naalya'!L102</f>
        <v>8</v>
      </c>
      <c r="M102" s="49">
        <f>'Avg Week Nalya-Bweyogerere'!M102+'Avg Week Bweyogerere-Naalya'!M102</f>
        <v>7.5</v>
      </c>
      <c r="N102" s="49">
        <f>'Avg Week Nalya-Bweyogerere'!N102+'Avg Week Bweyogerere-Naalya'!N102</f>
        <v>0</v>
      </c>
      <c r="O102" s="15">
        <f t="shared" si="35"/>
        <v>51</v>
      </c>
      <c r="P102" s="15">
        <f t="shared" si="36"/>
        <v>58.5</v>
      </c>
      <c r="R102" s="8"/>
      <c r="T102"/>
    </row>
    <row r="103" spans="2:20" ht="23.1" customHeight="1" x14ac:dyDescent="0.25">
      <c r="B103" s="23" t="s">
        <v>143</v>
      </c>
      <c r="C103" s="49">
        <f>'Avg Week Nalya-Bweyogerere'!C103+'Avg Week Bweyogerere-Naalya'!C103</f>
        <v>17</v>
      </c>
      <c r="D103" s="49">
        <f>'Avg Week Nalya-Bweyogerere'!D103+'Avg Week Bweyogerere-Naalya'!D103</f>
        <v>11.5</v>
      </c>
      <c r="E103" s="49">
        <f>'Avg Week Nalya-Bweyogerere'!E103+'Avg Week Bweyogerere-Naalya'!E103</f>
        <v>5.5</v>
      </c>
      <c r="F103" s="49">
        <f>'Avg Week Nalya-Bweyogerere'!F103+'Avg Week Bweyogerere-Naalya'!F103</f>
        <v>24.5</v>
      </c>
      <c r="G103" s="49">
        <f>'Avg Week Nalya-Bweyogerere'!G103+'Avg Week Bweyogerere-Naalya'!G103</f>
        <v>2.5</v>
      </c>
      <c r="H103" s="49">
        <f>'Avg Week Nalya-Bweyogerere'!H103+'Avg Week Bweyogerere-Naalya'!H103</f>
        <v>0</v>
      </c>
      <c r="I103" s="49">
        <f>'Avg Week Nalya-Bweyogerere'!I103+'Avg Week Bweyogerere-Naalya'!I103</f>
        <v>4.5</v>
      </c>
      <c r="J103" s="49">
        <f>'Avg Week Nalya-Bweyogerere'!J103+'Avg Week Bweyogerere-Naalya'!J103</f>
        <v>9.5</v>
      </c>
      <c r="K103" s="49">
        <f>'Avg Week Nalya-Bweyogerere'!K103+'Avg Week Bweyogerere-Naalya'!K103</f>
        <v>6.5</v>
      </c>
      <c r="L103" s="49">
        <f>'Avg Week Nalya-Bweyogerere'!L103+'Avg Week Bweyogerere-Naalya'!L103</f>
        <v>5.5</v>
      </c>
      <c r="M103" s="49">
        <f>'Avg Week Nalya-Bweyogerere'!M103+'Avg Week Bweyogerere-Naalya'!M103</f>
        <v>6</v>
      </c>
      <c r="N103" s="49">
        <f>'Avg Week Nalya-Bweyogerere'!N103+'Avg Week Bweyogerere-Naalya'!N103</f>
        <v>0</v>
      </c>
      <c r="O103" s="15">
        <f t="shared" si="35"/>
        <v>87</v>
      </c>
      <c r="P103" s="15">
        <f t="shared" si="36"/>
        <v>93</v>
      </c>
      <c r="R103" s="8"/>
      <c r="T103"/>
    </row>
    <row r="104" spans="2:20" ht="23.1" customHeight="1" x14ac:dyDescent="0.25">
      <c r="B104" s="25" t="s">
        <v>144</v>
      </c>
      <c r="C104" s="49">
        <f>'Avg Week Nalya-Bweyogerere'!C104+'Avg Week Bweyogerere-Naalya'!C104</f>
        <v>22</v>
      </c>
      <c r="D104" s="49">
        <f>'Avg Week Nalya-Bweyogerere'!D104+'Avg Week Bweyogerere-Naalya'!D104</f>
        <v>11.5</v>
      </c>
      <c r="E104" s="49">
        <f>'Avg Week Nalya-Bweyogerere'!E104+'Avg Week Bweyogerere-Naalya'!E104</f>
        <v>9</v>
      </c>
      <c r="F104" s="49">
        <f>'Avg Week Nalya-Bweyogerere'!F104+'Avg Week Bweyogerere-Naalya'!F104</f>
        <v>24.5</v>
      </c>
      <c r="G104" s="49">
        <f>'Avg Week Nalya-Bweyogerere'!G104+'Avg Week Bweyogerere-Naalya'!G104</f>
        <v>1.5</v>
      </c>
      <c r="H104" s="49">
        <f>'Avg Week Nalya-Bweyogerere'!H104+'Avg Week Bweyogerere-Naalya'!H104</f>
        <v>0.5</v>
      </c>
      <c r="I104" s="49">
        <f>'Avg Week Nalya-Bweyogerere'!I104+'Avg Week Bweyogerere-Naalya'!I104</f>
        <v>3.5</v>
      </c>
      <c r="J104" s="49">
        <f>'Avg Week Nalya-Bweyogerere'!J104+'Avg Week Bweyogerere-Naalya'!J104</f>
        <v>7.5</v>
      </c>
      <c r="K104" s="49">
        <f>'Avg Week Nalya-Bweyogerere'!K104+'Avg Week Bweyogerere-Naalya'!K104</f>
        <v>5</v>
      </c>
      <c r="L104" s="49">
        <f>'Avg Week Nalya-Bweyogerere'!L104+'Avg Week Bweyogerere-Naalya'!L104</f>
        <v>12</v>
      </c>
      <c r="M104" s="49">
        <f>'Avg Week Nalya-Bweyogerere'!M104+'Avg Week Bweyogerere-Naalya'!M104</f>
        <v>20.5</v>
      </c>
      <c r="N104" s="49">
        <f>'Avg Week Nalya-Bweyogerere'!N104+'Avg Week Bweyogerere-Naalya'!N104</f>
        <v>0</v>
      </c>
      <c r="O104" s="15">
        <f t="shared" si="35"/>
        <v>97</v>
      </c>
      <c r="P104" s="15">
        <f t="shared" si="36"/>
        <v>117.5</v>
      </c>
      <c r="R104" s="8"/>
      <c r="T104"/>
    </row>
    <row r="105" spans="2:20" ht="23.1" customHeight="1" x14ac:dyDescent="0.25">
      <c r="B105" s="23" t="s">
        <v>145</v>
      </c>
      <c r="C105" s="49">
        <f>'Avg Week Nalya-Bweyogerere'!C105+'Avg Week Bweyogerere-Naalya'!C105</f>
        <v>28.5</v>
      </c>
      <c r="D105" s="49">
        <f>'Avg Week Nalya-Bweyogerere'!D105+'Avg Week Bweyogerere-Naalya'!D105</f>
        <v>18.5</v>
      </c>
      <c r="E105" s="49">
        <f>'Avg Week Nalya-Bweyogerere'!E105+'Avg Week Bweyogerere-Naalya'!E105</f>
        <v>8.5</v>
      </c>
      <c r="F105" s="49">
        <f>'Avg Week Nalya-Bweyogerere'!F105+'Avg Week Bweyogerere-Naalya'!F105</f>
        <v>35.5</v>
      </c>
      <c r="G105" s="49">
        <f>'Avg Week Nalya-Bweyogerere'!G105+'Avg Week Bweyogerere-Naalya'!G105</f>
        <v>1</v>
      </c>
      <c r="H105" s="49">
        <f>'Avg Week Nalya-Bweyogerere'!H105+'Avg Week Bweyogerere-Naalya'!H105</f>
        <v>0</v>
      </c>
      <c r="I105" s="49">
        <f>'Avg Week Nalya-Bweyogerere'!I105+'Avg Week Bweyogerere-Naalya'!I105</f>
        <v>1.5</v>
      </c>
      <c r="J105" s="49">
        <f>'Avg Week Nalya-Bweyogerere'!J105+'Avg Week Bweyogerere-Naalya'!J105</f>
        <v>5</v>
      </c>
      <c r="K105" s="49">
        <f>'Avg Week Nalya-Bweyogerere'!K105+'Avg Week Bweyogerere-Naalya'!K105</f>
        <v>7.5</v>
      </c>
      <c r="L105" s="49">
        <f>'Avg Week Nalya-Bweyogerere'!L105+'Avg Week Bweyogerere-Naalya'!L105</f>
        <v>5</v>
      </c>
      <c r="M105" s="49">
        <f>'Avg Week Nalya-Bweyogerere'!M105+'Avg Week Bweyogerere-Naalya'!M105</f>
        <v>26.5</v>
      </c>
      <c r="N105" s="49">
        <f>'Avg Week Nalya-Bweyogerere'!N105+'Avg Week Bweyogerere-Naalya'!N105</f>
        <v>0.5</v>
      </c>
      <c r="O105" s="15">
        <f t="shared" si="35"/>
        <v>111.5</v>
      </c>
      <c r="P105" s="15">
        <f t="shared" si="36"/>
        <v>138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3503.0714285714289</v>
      </c>
      <c r="D106" s="16">
        <f t="shared" ref="D106:O106" si="37">SUM(D10:D105)</f>
        <v>1312</v>
      </c>
      <c r="E106" s="16">
        <f t="shared" si="37"/>
        <v>637.92857142857156</v>
      </c>
      <c r="F106" s="16">
        <f t="shared" si="37"/>
        <v>3090.8571428571431</v>
      </c>
      <c r="G106" s="16">
        <f t="shared" si="37"/>
        <v>75.642857142857139</v>
      </c>
      <c r="H106" s="16">
        <f t="shared" si="37"/>
        <v>14.571428571428571</v>
      </c>
      <c r="I106" s="16">
        <f t="shared" si="37"/>
        <v>584.85714285714289</v>
      </c>
      <c r="J106" s="16">
        <f t="shared" si="37"/>
        <v>699</v>
      </c>
      <c r="K106" s="16">
        <f t="shared" si="37"/>
        <v>526.78571428571422</v>
      </c>
      <c r="L106" s="16">
        <f t="shared" si="37"/>
        <v>693.78571428571422</v>
      </c>
      <c r="M106" s="16">
        <f t="shared" si="37"/>
        <v>4632.1428571428569</v>
      </c>
      <c r="N106" s="16">
        <f t="shared" si="37"/>
        <v>3.4999999999999996</v>
      </c>
      <c r="O106" s="16">
        <f t="shared" si="37"/>
        <v>11142</v>
      </c>
      <c r="P106" s="16">
        <f>SUM(P10:P105)</f>
        <v>15774.142857142859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0.22207681648991567</v>
      </c>
      <c r="D107" s="43">
        <f t="shared" si="38"/>
        <v>8.3174091415426685E-2</v>
      </c>
      <c r="E107" s="43">
        <f t="shared" si="38"/>
        <v>4.0441409540024821E-2</v>
      </c>
      <c r="F107" s="43">
        <f t="shared" si="38"/>
        <v>0.19594453853050653</v>
      </c>
      <c r="G107" s="43">
        <f t="shared" si="38"/>
        <v>4.7953703619848026E-3</v>
      </c>
      <c r="H107" s="43">
        <f t="shared" si="38"/>
        <v>9.2375406406506114E-4</v>
      </c>
      <c r="I107" s="43">
        <f t="shared" si="38"/>
        <v>3.7076952336101573E-2</v>
      </c>
      <c r="J107" s="43">
        <f t="shared" si="38"/>
        <v>4.4313025837944553E-2</v>
      </c>
      <c r="K107" s="43">
        <f t="shared" si="38"/>
        <v>3.339552069843052E-2</v>
      </c>
      <c r="L107" s="43">
        <f t="shared" si="38"/>
        <v>4.3982466785607542E-2</v>
      </c>
      <c r="M107" s="43">
        <f t="shared" si="38"/>
        <v>0.29365417183636872</v>
      </c>
      <c r="N107" s="43">
        <f t="shared" si="38"/>
        <v>2.2188210362347055E-4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0.31440238992743036</v>
      </c>
      <c r="D108" s="44">
        <f t="shared" ref="D108:N108" si="39">D106/$O$106</f>
        <v>0.11775264763956202</v>
      </c>
      <c r="E108" s="44">
        <f t="shared" si="39"/>
        <v>5.7254404184937317E-2</v>
      </c>
      <c r="F108" s="44">
        <f t="shared" si="39"/>
        <v>0.27740595430417725</v>
      </c>
      <c r="G108" s="44">
        <f t="shared" si="39"/>
        <v>6.788983767982152E-3</v>
      </c>
      <c r="H108" s="44">
        <f t="shared" si="39"/>
        <v>1.3077929071467036E-3</v>
      </c>
      <c r="I108" s="44">
        <f t="shared" si="39"/>
        <v>5.2491217273123579E-2</v>
      </c>
      <c r="J108" s="44">
        <f t="shared" si="39"/>
        <v>6.2735595045772752E-2</v>
      </c>
      <c r="K108" s="44">
        <f t="shared" si="39"/>
        <v>4.7279277893171261E-2</v>
      </c>
      <c r="L108" s="44">
        <f t="shared" si="39"/>
        <v>6.2267610328999662E-2</v>
      </c>
      <c r="M108" s="44"/>
      <c r="N108" s="44">
        <f t="shared" si="39"/>
        <v>3.1412672769700229E-4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Nalya-Bweyogerere</vt:lpstr>
      <vt:lpstr>29.07 Bweyogerere-Nalya</vt:lpstr>
      <vt:lpstr>30.07 Nalya-Bweyogerere</vt:lpstr>
      <vt:lpstr>30.07 Bweyogerere-Nalya</vt:lpstr>
      <vt:lpstr>31.07 Nalya-Bweyogerere</vt:lpstr>
      <vt:lpstr>31.07 Bweyogerere-Nalya</vt:lpstr>
      <vt:lpstr>01.08 Nalya-Bweyogerere-24h</vt:lpstr>
      <vt:lpstr>01.08 Bweyogerere-Nalya-24h</vt:lpstr>
      <vt:lpstr>02.08 Nalya-Bweyogerere</vt:lpstr>
      <vt:lpstr>02.08 Bweyogerere-Nalya</vt:lpstr>
      <vt:lpstr>03.08 Nalya-Bweyogerere-24h</vt:lpstr>
      <vt:lpstr>03.08 Bweyogerere-Nalya-24h</vt:lpstr>
      <vt:lpstr>04.08 Nalya-Bweyogerere</vt:lpstr>
      <vt:lpstr>04.08 Bweyogerere-Nalya</vt:lpstr>
      <vt:lpstr>Avg Week Nalya-Bweyogerere</vt:lpstr>
      <vt:lpstr>Avg Week Bweyogerere-Naalya</vt:lpstr>
      <vt:lpstr>Avg Week Naalya-Bweyogerer-2Dir</vt:lpstr>
      <vt:lpstr>'01.08 Bweyogerere-Nalya-24h'!Print_Area</vt:lpstr>
      <vt:lpstr>'01.08 Nalya-Bweyogerere-24h'!Print_Area</vt:lpstr>
      <vt:lpstr>'02.08 Bweyogerere-Nalya'!Print_Area</vt:lpstr>
      <vt:lpstr>'02.08 Nalya-Bweyogerere'!Print_Area</vt:lpstr>
      <vt:lpstr>'03.08 Bweyogerere-Nalya-24h'!Print_Area</vt:lpstr>
      <vt:lpstr>'03.08 Nalya-Bweyogerere-24h'!Print_Area</vt:lpstr>
      <vt:lpstr>'04.08 Bweyogerere-Nalya'!Print_Area</vt:lpstr>
      <vt:lpstr>'04.08 Nalya-Bweyogerere'!Print_Area</vt:lpstr>
      <vt:lpstr>'29.07 Bweyogerere-Nalya'!Print_Area</vt:lpstr>
      <vt:lpstr>'29.07 Nalya-Bweyogerere'!Print_Area</vt:lpstr>
      <vt:lpstr>'30.07 Bweyogerere-Nalya'!Print_Area</vt:lpstr>
      <vt:lpstr>'30.07 Nalya-Bweyogerere'!Print_Area</vt:lpstr>
      <vt:lpstr>'31.07 Bweyogerere-Nalya'!Print_Area</vt:lpstr>
      <vt:lpstr>'31.07 Nalya-Bweyogerere'!Print_Area</vt:lpstr>
      <vt:lpstr>'Avg Week Bweyogerere-Naalya'!Print_Area</vt:lpstr>
      <vt:lpstr>'Avg Week Naalya-Bweyogerer-2Dir'!Print_Area</vt:lpstr>
      <vt:lpstr>'Avg Week Nalya-Bweyogerere'!Print_Area</vt:lpstr>
      <vt:lpstr>'01.08 Bweyogerere-Nalya-24h'!Print_Titles</vt:lpstr>
      <vt:lpstr>'01.08 Nalya-Bweyogerere-24h'!Print_Titles</vt:lpstr>
      <vt:lpstr>'02.08 Bweyogerere-Nalya'!Print_Titles</vt:lpstr>
      <vt:lpstr>'02.08 Nalya-Bweyogerere'!Print_Titles</vt:lpstr>
      <vt:lpstr>'03.08 Bweyogerere-Nalya-24h'!Print_Titles</vt:lpstr>
      <vt:lpstr>'03.08 Nalya-Bweyogerere-24h'!Print_Titles</vt:lpstr>
      <vt:lpstr>'04.08 Bweyogerere-Nalya'!Print_Titles</vt:lpstr>
      <vt:lpstr>'04.08 Nalya-Bweyogerere'!Print_Titles</vt:lpstr>
      <vt:lpstr>'29.07 Bweyogerere-Nalya'!Print_Titles</vt:lpstr>
      <vt:lpstr>'29.07 Nalya-Bweyogerere'!Print_Titles</vt:lpstr>
      <vt:lpstr>'30.07 Bweyogerere-Nalya'!Print_Titles</vt:lpstr>
      <vt:lpstr>'30.07 Nalya-Bweyogerere'!Print_Titles</vt:lpstr>
      <vt:lpstr>'31.07 Bweyogerere-Nalya'!Print_Titles</vt:lpstr>
      <vt:lpstr>'31.07 Nalya-Bweyogerere'!Print_Titles</vt:lpstr>
      <vt:lpstr>'Avg Week Bweyogerere-Naalya'!Print_Titles</vt:lpstr>
      <vt:lpstr>'Avg Week Naalya-Bweyogerer-2Dir'!Print_Titles</vt:lpstr>
      <vt:lpstr>'Avg Week Nalya-Bweyogerere'!Print_Titles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2020-01-15T17:55:28Z</dcterms:modified>
</cp:coreProperties>
</file>