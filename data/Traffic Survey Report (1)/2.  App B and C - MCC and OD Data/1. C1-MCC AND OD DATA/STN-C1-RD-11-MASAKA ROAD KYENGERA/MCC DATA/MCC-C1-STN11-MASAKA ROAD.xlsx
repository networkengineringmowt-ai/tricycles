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11-MASAKA ROAD KYENGERA\MCC DATA\"/>
    </mc:Choice>
  </mc:AlternateContent>
  <bookViews>
    <workbookView xWindow="-120" yWindow="-120" windowWidth="20730" windowHeight="11160" tabRatio="940" firstSheet="14" activeTab="15"/>
  </bookViews>
  <sheets>
    <sheet name="22.07 KYENGERA-BUSEGA" sheetId="93" r:id="rId1"/>
    <sheet name="22.07 BUSEGA-KYENGERA" sheetId="94" r:id="rId2"/>
    <sheet name="23.07 KYENGERA-BUSEGA" sheetId="95" r:id="rId3"/>
    <sheet name="23.07 BUSEGA-KYENGERA" sheetId="96" r:id="rId4"/>
    <sheet name="24.07 KYENGERA-BUSEGA" sheetId="97" r:id="rId5"/>
    <sheet name="24.07 BUSEGA-KYENGERA" sheetId="98" r:id="rId6"/>
    <sheet name="25.07 KYENGERA-BUSEGA" sheetId="99" r:id="rId7"/>
    <sheet name="25.07 BUSEGA-KYENGERA" sheetId="100" r:id="rId8"/>
    <sheet name="26.07 KYENGERA-BUSEGA-24h" sheetId="101" r:id="rId9"/>
    <sheet name="26.07 BUSEGA-KYENGERA-24h" sheetId="109" r:id="rId10"/>
    <sheet name="27.07 KYENGERA-BUSEGA-24h" sheetId="105" r:id="rId11"/>
    <sheet name="27.07 BUSEGA-KYENGERA-24h" sheetId="110" r:id="rId12"/>
    <sheet name="28.07 KYENGERA-BUSEGA" sheetId="103" r:id="rId13"/>
    <sheet name="28.07 BUSEGA-KYENGERA" sheetId="104" r:id="rId14"/>
    <sheet name="Avg Week KYENGERA-BUSEGA" sheetId="107" r:id="rId15"/>
    <sheet name="Avg Week BUSEGA-KYENGERA" sheetId="108" r:id="rId16"/>
    <sheet name="Avg Week KYENGERA-BUSEGA-2Dir" sheetId="111" r:id="rId17"/>
  </sheets>
  <definedNames>
    <definedName name="_xlnm.Print_Area" localSheetId="1">'22.07 BUSEGA-KYENGERA'!$A$1:$AF$60</definedName>
    <definedName name="_xlnm.Print_Area" localSheetId="0">'22.07 KYENGERA-BUSEGA'!$A$1:$AF$60</definedName>
    <definedName name="_xlnm.Print_Area" localSheetId="3">'23.07 BUSEGA-KYENGERA'!$A$1:$AF$60</definedName>
    <definedName name="_xlnm.Print_Area" localSheetId="2">'23.07 KYENGERA-BUSEGA'!$A$1:$AF$60</definedName>
    <definedName name="_xlnm.Print_Area" localSheetId="5">'24.07 BUSEGA-KYENGERA'!$A$1:$AF$60</definedName>
    <definedName name="_xlnm.Print_Area" localSheetId="4">'24.07 KYENGERA-BUSEGA'!$A$1:$AF$60</definedName>
    <definedName name="_xlnm.Print_Area" localSheetId="7">'25.07 BUSEGA-KYENGERA'!$A$1:$AF$60</definedName>
    <definedName name="_xlnm.Print_Area" localSheetId="6">'25.07 KYENGERA-BUSEGA'!$A$1:$AF$60</definedName>
    <definedName name="_xlnm.Print_Area" localSheetId="9">'26.07 BUSEGA-KYENGERA-24h'!$A$1:$AF$108</definedName>
    <definedName name="_xlnm.Print_Area" localSheetId="8">'26.07 KYENGERA-BUSEGA-24h'!$A$1:$AF$108</definedName>
    <definedName name="_xlnm.Print_Area" localSheetId="11">'27.07 BUSEGA-KYENGERA-24h'!$A$1:$AF$108</definedName>
    <definedName name="_xlnm.Print_Area" localSheetId="10">'27.07 KYENGERA-BUSEGA-24h'!$A$1:$AF$108</definedName>
    <definedName name="_xlnm.Print_Area" localSheetId="13">'28.07 BUSEGA-KYENGERA'!$A$1:$AF$60</definedName>
    <definedName name="_xlnm.Print_Area" localSheetId="12">'28.07 KYENGERA-BUSEGA'!$A$1:$AF$60</definedName>
    <definedName name="_xlnm.Print_Area" localSheetId="15">'Avg Week BUSEGA-KYENGERA'!$A$1:$AF$108</definedName>
    <definedName name="_xlnm.Print_Area" localSheetId="14">'Avg Week KYENGERA-BUSEGA'!$A$1:$AF$108</definedName>
    <definedName name="_xlnm.Print_Area" localSheetId="16">'Avg Week KYENGERA-BUSEGA-2Dir'!$A$1:$AF$108</definedName>
    <definedName name="_xlnm.Print_Titles" localSheetId="1">'22.07 BUSEGA-KYENGERA'!$1:$8</definedName>
    <definedName name="_xlnm.Print_Titles" localSheetId="0">'22.07 KYENGERA-BUSEGA'!$1:$8</definedName>
    <definedName name="_xlnm.Print_Titles" localSheetId="3">'23.07 BUSEGA-KYENGERA'!$1:$8</definedName>
    <definedName name="_xlnm.Print_Titles" localSheetId="2">'23.07 KYENGERA-BUSEGA'!$1:$8</definedName>
    <definedName name="_xlnm.Print_Titles" localSheetId="5">'24.07 BUSEGA-KYENGERA'!$1:$8</definedName>
    <definedName name="_xlnm.Print_Titles" localSheetId="4">'24.07 KYENGERA-BUSEGA'!$1:$8</definedName>
    <definedName name="_xlnm.Print_Titles" localSheetId="7">'25.07 BUSEGA-KYENGERA'!$1:$8</definedName>
    <definedName name="_xlnm.Print_Titles" localSheetId="6">'25.07 KYENGERA-BUSEGA'!$1:$8</definedName>
    <definedName name="_xlnm.Print_Titles" localSheetId="9">'26.07 BUSEGA-KYENGERA-24h'!$1:$8</definedName>
    <definedName name="_xlnm.Print_Titles" localSheetId="8">'26.07 KYENGERA-BUSEGA-24h'!$1:$8</definedName>
    <definedName name="_xlnm.Print_Titles" localSheetId="11">'27.07 BUSEGA-KYENGERA-24h'!$1:$8</definedName>
    <definedName name="_xlnm.Print_Titles" localSheetId="10">'27.07 KYENGERA-BUSEGA-24h'!$1:$8</definedName>
    <definedName name="_xlnm.Print_Titles" localSheetId="13">'28.07 BUSEGA-KYENGERA'!$1:$8</definedName>
    <definedName name="_xlnm.Print_Titles" localSheetId="12">'28.07 KYENGERA-BUSEGA'!$1:$8</definedName>
    <definedName name="_xlnm.Print_Titles" localSheetId="15">'Avg Week BUSEGA-KYENGERA'!$1:$8</definedName>
    <definedName name="_xlnm.Print_Titles" localSheetId="14">'Avg Week KYENGERA-BUSEGA'!$1:$8</definedName>
    <definedName name="_xlnm.Print_Titles" localSheetId="16">'Avg Week KYENGERA-BUSEGA-2Dir'!$1:$8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9" i="108" l="1"/>
  <c r="D59" i="108"/>
  <c r="P59" i="108" s="1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AD24" i="108" s="1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U26" i="108" s="1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Y27" i="108" s="1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X28" i="108" s="1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U30" i="108" s="1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T22" i="108" s="1"/>
  <c r="E58" i="108"/>
  <c r="U22" i="108" s="1"/>
  <c r="F58" i="108"/>
  <c r="V22" i="108" s="1"/>
  <c r="G58" i="108"/>
  <c r="W22" i="108" s="1"/>
  <c r="H58" i="108"/>
  <c r="X22" i="108" s="1"/>
  <c r="I58" i="108"/>
  <c r="Y22" i="108" s="1"/>
  <c r="J58" i="108"/>
  <c r="K58" i="108"/>
  <c r="AA22" i="108" s="1"/>
  <c r="L58" i="108"/>
  <c r="AB22" i="108" s="1"/>
  <c r="M58" i="108"/>
  <c r="AC22" i="108" s="1"/>
  <c r="N58" i="108"/>
  <c r="AD22" i="108" s="1"/>
  <c r="C58" i="108"/>
  <c r="C59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C60" i="107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C62" i="107"/>
  <c r="D62" i="107"/>
  <c r="E62" i="107"/>
  <c r="F62" i="107"/>
  <c r="G62" i="107"/>
  <c r="H62" i="107"/>
  <c r="I62" i="107"/>
  <c r="J62" i="107"/>
  <c r="K62" i="107"/>
  <c r="L62" i="107"/>
  <c r="M62" i="107"/>
  <c r="N62" i="107"/>
  <c r="C63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D66" i="107"/>
  <c r="E66" i="107"/>
  <c r="F66" i="107"/>
  <c r="G66" i="107"/>
  <c r="H66" i="107"/>
  <c r="I66" i="107"/>
  <c r="J66" i="107"/>
  <c r="K66" i="107"/>
  <c r="L66" i="107"/>
  <c r="M66" i="107"/>
  <c r="N66" i="107"/>
  <c r="C67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E70" i="107"/>
  <c r="F70" i="107"/>
  <c r="G70" i="107"/>
  <c r="H70" i="107"/>
  <c r="I70" i="107"/>
  <c r="J70" i="107"/>
  <c r="K70" i="107"/>
  <c r="L70" i="107"/>
  <c r="M70" i="107"/>
  <c r="N70" i="107"/>
  <c r="C71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D74" i="107"/>
  <c r="E74" i="107"/>
  <c r="F74" i="107"/>
  <c r="G74" i="107"/>
  <c r="H74" i="107"/>
  <c r="I74" i="107"/>
  <c r="J74" i="107"/>
  <c r="K74" i="107"/>
  <c r="L74" i="107"/>
  <c r="M74" i="107"/>
  <c r="N74" i="107"/>
  <c r="C75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D78" i="107"/>
  <c r="E78" i="107"/>
  <c r="F78" i="107"/>
  <c r="G78" i="107"/>
  <c r="H78" i="107"/>
  <c r="I78" i="107"/>
  <c r="J78" i="107"/>
  <c r="K78" i="107"/>
  <c r="L78" i="107"/>
  <c r="M78" i="107"/>
  <c r="N78" i="107"/>
  <c r="C79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D82" i="107"/>
  <c r="E82" i="107"/>
  <c r="F82" i="107"/>
  <c r="G82" i="107"/>
  <c r="H82" i="107"/>
  <c r="I82" i="107"/>
  <c r="J82" i="107"/>
  <c r="K82" i="107"/>
  <c r="L82" i="107"/>
  <c r="M82" i="107"/>
  <c r="N82" i="107"/>
  <c r="C83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D86" i="107"/>
  <c r="E86" i="107"/>
  <c r="F86" i="107"/>
  <c r="G86" i="107"/>
  <c r="H86" i="107"/>
  <c r="I86" i="107"/>
  <c r="J86" i="107"/>
  <c r="K86" i="107"/>
  <c r="L86" i="107"/>
  <c r="M86" i="107"/>
  <c r="N86" i="107"/>
  <c r="C87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E90" i="107"/>
  <c r="F90" i="107"/>
  <c r="G90" i="107"/>
  <c r="H90" i="107"/>
  <c r="I90" i="107"/>
  <c r="J90" i="107"/>
  <c r="K90" i="107"/>
  <c r="L90" i="107"/>
  <c r="M90" i="107"/>
  <c r="N90" i="107"/>
  <c r="C91" i="107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D94" i="107"/>
  <c r="E94" i="107"/>
  <c r="F94" i="107"/>
  <c r="G94" i="107"/>
  <c r="H94" i="107"/>
  <c r="I94" i="107"/>
  <c r="J94" i="107"/>
  <c r="K94" i="107"/>
  <c r="L94" i="107"/>
  <c r="M94" i="107"/>
  <c r="N94" i="107"/>
  <c r="C95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C97" i="107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D98" i="107"/>
  <c r="E98" i="107"/>
  <c r="F98" i="107"/>
  <c r="G98" i="107"/>
  <c r="H98" i="107"/>
  <c r="I98" i="107"/>
  <c r="J98" i="107"/>
  <c r="K98" i="107"/>
  <c r="L98" i="107"/>
  <c r="M98" i="107"/>
  <c r="N98" i="107"/>
  <c r="C99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C103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E58" i="107"/>
  <c r="F58" i="107"/>
  <c r="G58" i="107"/>
  <c r="H58" i="107"/>
  <c r="I58" i="107"/>
  <c r="J58" i="107"/>
  <c r="K58" i="107"/>
  <c r="L58" i="107"/>
  <c r="M58" i="107"/>
  <c r="N58" i="107"/>
  <c r="C58" i="107"/>
  <c r="W22" i="107" l="1"/>
  <c r="G58" i="111"/>
  <c r="W22" i="111" s="1"/>
  <c r="AD30" i="107"/>
  <c r="N90" i="111"/>
  <c r="AD30" i="111" s="1"/>
  <c r="V29" i="107"/>
  <c r="F86" i="111"/>
  <c r="V29" i="111" s="1"/>
  <c r="V26" i="107"/>
  <c r="F74" i="111"/>
  <c r="V26" i="111" s="1"/>
  <c r="F70" i="111"/>
  <c r="V25" i="111" s="1"/>
  <c r="V25" i="107"/>
  <c r="U32" i="107"/>
  <c r="E98" i="111"/>
  <c r="U32" i="111" s="1"/>
  <c r="AC31" i="107"/>
  <c r="M94" i="111"/>
  <c r="AC31" i="111" s="1"/>
  <c r="M90" i="111"/>
  <c r="AC30" i="111" s="1"/>
  <c r="AC30" i="107"/>
  <c r="AC29" i="107"/>
  <c r="M86" i="111"/>
  <c r="AC29" i="111" s="1"/>
  <c r="AC27" i="107"/>
  <c r="M78" i="111"/>
  <c r="AC27" i="111" s="1"/>
  <c r="U25" i="107"/>
  <c r="E70" i="111"/>
  <c r="U25" i="111" s="1"/>
  <c r="AC32" i="108"/>
  <c r="U22" i="107"/>
  <c r="E58" i="111"/>
  <c r="U22" i="111" s="1"/>
  <c r="L98" i="111"/>
  <c r="AB32" i="111" s="1"/>
  <c r="AB32" i="107"/>
  <c r="AB29" i="107"/>
  <c r="L86" i="111"/>
  <c r="AB29" i="111" s="1"/>
  <c r="AB28" i="107"/>
  <c r="L82" i="111"/>
  <c r="AB28" i="111" s="1"/>
  <c r="AB27" i="107"/>
  <c r="L78" i="111"/>
  <c r="AB27" i="111" s="1"/>
  <c r="T26" i="107"/>
  <c r="D74" i="111"/>
  <c r="T26" i="111" s="1"/>
  <c r="D70" i="111"/>
  <c r="T25" i="111" s="1"/>
  <c r="T25" i="107"/>
  <c r="T23" i="107"/>
  <c r="D62" i="111"/>
  <c r="T23" i="111" s="1"/>
  <c r="T33" i="108"/>
  <c r="AB22" i="107"/>
  <c r="L58" i="111"/>
  <c r="AB22" i="111" s="1"/>
  <c r="T22" i="107"/>
  <c r="D58" i="111"/>
  <c r="T22" i="111" s="1"/>
  <c r="C104" i="111"/>
  <c r="P104" i="107"/>
  <c r="O104" i="107"/>
  <c r="AA33" i="107"/>
  <c r="K102" i="111"/>
  <c r="AA33" i="111" s="1"/>
  <c r="S33" i="107"/>
  <c r="P102" i="107"/>
  <c r="O102" i="107"/>
  <c r="C102" i="111"/>
  <c r="P100" i="107"/>
  <c r="O100" i="107"/>
  <c r="C100" i="111"/>
  <c r="AA32" i="107"/>
  <c r="K98" i="111"/>
  <c r="AA32" i="111" s="1"/>
  <c r="S32" i="107"/>
  <c r="P98" i="107"/>
  <c r="O98" i="107"/>
  <c r="C98" i="111"/>
  <c r="P96" i="107"/>
  <c r="O96" i="107"/>
  <c r="C96" i="111"/>
  <c r="AA31" i="107"/>
  <c r="K94" i="111"/>
  <c r="AA31" i="111" s="1"/>
  <c r="S31" i="107"/>
  <c r="P94" i="107"/>
  <c r="O94" i="107"/>
  <c r="C94" i="111"/>
  <c r="P92" i="107"/>
  <c r="O92" i="107"/>
  <c r="C92" i="111"/>
  <c r="AA30" i="107"/>
  <c r="K90" i="111"/>
  <c r="AA30" i="111" s="1"/>
  <c r="S30" i="107"/>
  <c r="C90" i="111"/>
  <c r="P90" i="107"/>
  <c r="O90" i="107"/>
  <c r="C88" i="111"/>
  <c r="P88" i="107"/>
  <c r="O88" i="107"/>
  <c r="AA29" i="107"/>
  <c r="K86" i="111"/>
  <c r="AA29" i="111" s="1"/>
  <c r="S29" i="107"/>
  <c r="C86" i="111"/>
  <c r="P86" i="107"/>
  <c r="O86" i="107"/>
  <c r="P84" i="107"/>
  <c r="O84" i="107"/>
  <c r="C84" i="111"/>
  <c r="AA28" i="107"/>
  <c r="K82" i="111"/>
  <c r="AA28" i="111" s="1"/>
  <c r="S28" i="107"/>
  <c r="C82" i="111"/>
  <c r="P82" i="107"/>
  <c r="O82" i="107"/>
  <c r="P80" i="107"/>
  <c r="O80" i="107"/>
  <c r="C80" i="111"/>
  <c r="AA27" i="107"/>
  <c r="K78" i="111"/>
  <c r="AA27" i="111" s="1"/>
  <c r="S27" i="107"/>
  <c r="P78" i="107"/>
  <c r="O78" i="107"/>
  <c r="C78" i="111"/>
  <c r="P76" i="107"/>
  <c r="O76" i="107"/>
  <c r="C76" i="111"/>
  <c r="AA26" i="107"/>
  <c r="K74" i="111"/>
  <c r="AA26" i="111" s="1"/>
  <c r="S26" i="107"/>
  <c r="C74" i="111"/>
  <c r="P74" i="107"/>
  <c r="O74" i="107"/>
  <c r="C72" i="111"/>
  <c r="P72" i="107"/>
  <c r="O72" i="107"/>
  <c r="AA25" i="107"/>
  <c r="K70" i="111"/>
  <c r="AA25" i="111" s="1"/>
  <c r="S25" i="107"/>
  <c r="C70" i="111"/>
  <c r="P70" i="107"/>
  <c r="O70" i="107"/>
  <c r="C68" i="111"/>
  <c r="P68" i="107"/>
  <c r="O68" i="107"/>
  <c r="AA24" i="107"/>
  <c r="K66" i="111"/>
  <c r="AA24" i="111" s="1"/>
  <c r="S24" i="107"/>
  <c r="C66" i="111"/>
  <c r="P66" i="107"/>
  <c r="O66" i="107"/>
  <c r="C64" i="111"/>
  <c r="P64" i="107"/>
  <c r="O64" i="107"/>
  <c r="K62" i="111"/>
  <c r="AA23" i="111" s="1"/>
  <c r="AA23" i="107"/>
  <c r="S23" i="107"/>
  <c r="C62" i="111"/>
  <c r="P62" i="107"/>
  <c r="O62" i="107"/>
  <c r="C60" i="111"/>
  <c r="P60" i="107"/>
  <c r="O60" i="107"/>
  <c r="AE27" i="107" s="1"/>
  <c r="P104" i="108"/>
  <c r="O104" i="108"/>
  <c r="AA33" i="108"/>
  <c r="S33" i="108"/>
  <c r="P102" i="108"/>
  <c r="O102" i="108"/>
  <c r="P100" i="108"/>
  <c r="O100" i="108"/>
  <c r="AA32" i="108"/>
  <c r="S32" i="108"/>
  <c r="P98" i="108"/>
  <c r="O98" i="108"/>
  <c r="P96" i="108"/>
  <c r="O96" i="108"/>
  <c r="AA31" i="108"/>
  <c r="P94" i="108"/>
  <c r="O94" i="108"/>
  <c r="S31" i="108"/>
  <c r="P92" i="108"/>
  <c r="O92" i="108"/>
  <c r="AA30" i="108"/>
  <c r="S30" i="108"/>
  <c r="P90" i="108"/>
  <c r="O90" i="108"/>
  <c r="P88" i="108"/>
  <c r="O88" i="108"/>
  <c r="AA29" i="108"/>
  <c r="S29" i="108"/>
  <c r="P86" i="108"/>
  <c r="O86" i="108"/>
  <c r="P84" i="108"/>
  <c r="O84" i="108"/>
  <c r="AA28" i="108"/>
  <c r="S28" i="108"/>
  <c r="P82" i="108"/>
  <c r="O82" i="108"/>
  <c r="P80" i="108"/>
  <c r="O80" i="108"/>
  <c r="AA27" i="108"/>
  <c r="S27" i="108"/>
  <c r="P78" i="108"/>
  <c r="O78" i="108"/>
  <c r="P76" i="108"/>
  <c r="O76" i="108"/>
  <c r="AA26" i="108"/>
  <c r="S26" i="108"/>
  <c r="P74" i="108"/>
  <c r="O74" i="108"/>
  <c r="P72" i="108"/>
  <c r="O72" i="108"/>
  <c r="AA25" i="108"/>
  <c r="S25" i="108"/>
  <c r="P70" i="108"/>
  <c r="O70" i="108"/>
  <c r="P68" i="108"/>
  <c r="O68" i="108"/>
  <c r="AA24" i="108"/>
  <c r="P66" i="108"/>
  <c r="O66" i="108"/>
  <c r="S24" i="108"/>
  <c r="P64" i="108"/>
  <c r="O64" i="108"/>
  <c r="AA23" i="108"/>
  <c r="S23" i="108"/>
  <c r="P62" i="108"/>
  <c r="AF29" i="108" s="1"/>
  <c r="O62" i="108"/>
  <c r="P60" i="108"/>
  <c r="O60" i="108"/>
  <c r="S22" i="107"/>
  <c r="C58" i="111"/>
  <c r="P58" i="107"/>
  <c r="O58" i="107"/>
  <c r="AE25" i="107" s="1"/>
  <c r="AD32" i="107"/>
  <c r="N98" i="111"/>
  <c r="AD32" i="111" s="1"/>
  <c r="AD29" i="107"/>
  <c r="N86" i="111"/>
  <c r="AD29" i="111" s="1"/>
  <c r="V28" i="107"/>
  <c r="F82" i="111"/>
  <c r="V28" i="111" s="1"/>
  <c r="AD27" i="107"/>
  <c r="N78" i="111"/>
  <c r="AD27" i="111" s="1"/>
  <c r="N70" i="111"/>
  <c r="AD25" i="111" s="1"/>
  <c r="AD25" i="107"/>
  <c r="N62" i="111"/>
  <c r="AD23" i="111" s="1"/>
  <c r="AD23" i="107"/>
  <c r="V22" i="107"/>
  <c r="F58" i="111"/>
  <c r="V22" i="111" s="1"/>
  <c r="AC33" i="107"/>
  <c r="M102" i="111"/>
  <c r="AC33" i="111" s="1"/>
  <c r="AC32" i="107"/>
  <c r="M98" i="111"/>
  <c r="AC32" i="111" s="1"/>
  <c r="U30" i="107"/>
  <c r="E90" i="111"/>
  <c r="U30" i="111" s="1"/>
  <c r="U28" i="107"/>
  <c r="E82" i="111"/>
  <c r="U28" i="111" s="1"/>
  <c r="U26" i="107"/>
  <c r="E74" i="111"/>
  <c r="U26" i="111" s="1"/>
  <c r="AC25" i="107"/>
  <c r="M70" i="111"/>
  <c r="AC25" i="111" s="1"/>
  <c r="AC24" i="107"/>
  <c r="M66" i="111"/>
  <c r="AC24" i="111" s="1"/>
  <c r="AC23" i="107"/>
  <c r="M62" i="111"/>
  <c r="AC23" i="111" s="1"/>
  <c r="AC33" i="108"/>
  <c r="AB33" i="107"/>
  <c r="L102" i="111"/>
  <c r="AB33" i="111" s="1"/>
  <c r="T32" i="107"/>
  <c r="D98" i="111"/>
  <c r="T32" i="111" s="1"/>
  <c r="T28" i="107"/>
  <c r="D82" i="111"/>
  <c r="T28" i="111" s="1"/>
  <c r="AB23" i="107"/>
  <c r="L62" i="111"/>
  <c r="AB23" i="111" s="1"/>
  <c r="AB33" i="108"/>
  <c r="AB32" i="108"/>
  <c r="Z32" i="107"/>
  <c r="J98" i="111"/>
  <c r="Z32" i="111" s="1"/>
  <c r="J94" i="111"/>
  <c r="Z31" i="111" s="1"/>
  <c r="Z31" i="107"/>
  <c r="J90" i="111"/>
  <c r="Z30" i="111" s="1"/>
  <c r="Z30" i="107"/>
  <c r="Z29" i="107"/>
  <c r="J86" i="111"/>
  <c r="Z29" i="111" s="1"/>
  <c r="J82" i="111"/>
  <c r="Z28" i="111" s="1"/>
  <c r="Z28" i="107"/>
  <c r="Z27" i="107"/>
  <c r="J78" i="111"/>
  <c r="Z27" i="111" s="1"/>
  <c r="Z26" i="107"/>
  <c r="J74" i="111"/>
  <c r="Z26" i="111" s="1"/>
  <c r="Z25" i="107"/>
  <c r="J70" i="111"/>
  <c r="Z25" i="111" s="1"/>
  <c r="J66" i="111"/>
  <c r="Z24" i="111" s="1"/>
  <c r="Z24" i="107"/>
  <c r="J62" i="111"/>
  <c r="Z23" i="111" s="1"/>
  <c r="Z23" i="107"/>
  <c r="Z33" i="108"/>
  <c r="Z32" i="108"/>
  <c r="Z31" i="108"/>
  <c r="Z30" i="108"/>
  <c r="Z29" i="108"/>
  <c r="Z28" i="108"/>
  <c r="Z27" i="108"/>
  <c r="Z26" i="108"/>
  <c r="Z25" i="108"/>
  <c r="Z24" i="108"/>
  <c r="Z23" i="108"/>
  <c r="D102" i="111"/>
  <c r="T33" i="111" s="1"/>
  <c r="T33" i="107"/>
  <c r="T31" i="107"/>
  <c r="D94" i="111"/>
  <c r="T31" i="111" s="1"/>
  <c r="AB30" i="107"/>
  <c r="L90" i="111"/>
  <c r="AB30" i="111" s="1"/>
  <c r="T27" i="107"/>
  <c r="D78" i="111"/>
  <c r="T27" i="111" s="1"/>
  <c r="L74" i="111"/>
  <c r="AB26" i="111" s="1"/>
  <c r="AB26" i="107"/>
  <c r="L66" i="111"/>
  <c r="AB24" i="111" s="1"/>
  <c r="AB24" i="107"/>
  <c r="Z22" i="107"/>
  <c r="J58" i="111"/>
  <c r="Z22" i="111" s="1"/>
  <c r="Y31" i="107"/>
  <c r="I94" i="111"/>
  <c r="Y31" i="111" s="1"/>
  <c r="Y30" i="107"/>
  <c r="I90" i="111"/>
  <c r="Y30" i="111" s="1"/>
  <c r="Y29" i="107"/>
  <c r="I86" i="111"/>
  <c r="Y29" i="111" s="1"/>
  <c r="Y28" i="107"/>
  <c r="I82" i="111"/>
  <c r="Y28" i="111" s="1"/>
  <c r="I78" i="111"/>
  <c r="Y27" i="111" s="1"/>
  <c r="Y27" i="107"/>
  <c r="Y26" i="107"/>
  <c r="I74" i="111"/>
  <c r="Y26" i="111" s="1"/>
  <c r="I70" i="111"/>
  <c r="Y25" i="111" s="1"/>
  <c r="Y25" i="107"/>
  <c r="Y24" i="107"/>
  <c r="I66" i="111"/>
  <c r="Y24" i="111" s="1"/>
  <c r="Y23" i="107"/>
  <c r="I62" i="111"/>
  <c r="Y23" i="111" s="1"/>
  <c r="V33" i="107"/>
  <c r="F102" i="111"/>
  <c r="V33" i="111" s="1"/>
  <c r="V32" i="107"/>
  <c r="F98" i="111"/>
  <c r="V32" i="111" s="1"/>
  <c r="AD31" i="107"/>
  <c r="N94" i="111"/>
  <c r="AD31" i="111" s="1"/>
  <c r="V30" i="107"/>
  <c r="F90" i="111"/>
  <c r="V30" i="111" s="1"/>
  <c r="AD26" i="107"/>
  <c r="N74" i="111"/>
  <c r="AD26" i="111" s="1"/>
  <c r="V24" i="107"/>
  <c r="F66" i="111"/>
  <c r="V24" i="111" s="1"/>
  <c r="F62" i="111"/>
  <c r="V23" i="111" s="1"/>
  <c r="V23" i="107"/>
  <c r="U33" i="107"/>
  <c r="E102" i="111"/>
  <c r="U33" i="111" s="1"/>
  <c r="U31" i="107"/>
  <c r="E94" i="111"/>
  <c r="U31" i="111" s="1"/>
  <c r="U29" i="107"/>
  <c r="E86" i="111"/>
  <c r="U29" i="111" s="1"/>
  <c r="AC28" i="107"/>
  <c r="M82" i="111"/>
  <c r="AC28" i="111" s="1"/>
  <c r="U27" i="107"/>
  <c r="E78" i="111"/>
  <c r="U27" i="111" s="1"/>
  <c r="AC26" i="107"/>
  <c r="M74" i="111"/>
  <c r="AC26" i="111" s="1"/>
  <c r="U24" i="107"/>
  <c r="E66" i="111"/>
  <c r="U24" i="111" s="1"/>
  <c r="U23" i="107"/>
  <c r="E62" i="111"/>
  <c r="U23" i="111" s="1"/>
  <c r="U33" i="108"/>
  <c r="U32" i="108"/>
  <c r="M58" i="111"/>
  <c r="AC22" i="111" s="1"/>
  <c r="AC22" i="107"/>
  <c r="AB31" i="107"/>
  <c r="L94" i="111"/>
  <c r="AB31" i="111" s="1"/>
  <c r="T30" i="107"/>
  <c r="D90" i="111"/>
  <c r="T30" i="111" s="1"/>
  <c r="T29" i="107"/>
  <c r="D86" i="111"/>
  <c r="T29" i="111" s="1"/>
  <c r="AB25" i="107"/>
  <c r="L70" i="111"/>
  <c r="AB25" i="111" s="1"/>
  <c r="T24" i="107"/>
  <c r="D66" i="111"/>
  <c r="T24" i="111" s="1"/>
  <c r="T32" i="108"/>
  <c r="AA22" i="107"/>
  <c r="K58" i="111"/>
  <c r="AA22" i="111" s="1"/>
  <c r="J102" i="111"/>
  <c r="Z33" i="111" s="1"/>
  <c r="Z33" i="107"/>
  <c r="I102" i="111"/>
  <c r="Y33" i="111" s="1"/>
  <c r="Y33" i="107"/>
  <c r="Y32" i="107"/>
  <c r="I98" i="111"/>
  <c r="Y32" i="111" s="1"/>
  <c r="Y22" i="107"/>
  <c r="I58" i="111"/>
  <c r="Y22" i="111" s="1"/>
  <c r="X33" i="107"/>
  <c r="H102" i="111"/>
  <c r="X33" i="111" s="1"/>
  <c r="X32" i="107"/>
  <c r="H98" i="111"/>
  <c r="X32" i="111" s="1"/>
  <c r="X31" i="107"/>
  <c r="H94" i="111"/>
  <c r="X31" i="111" s="1"/>
  <c r="X30" i="107"/>
  <c r="H90" i="111"/>
  <c r="X30" i="111" s="1"/>
  <c r="X29" i="107"/>
  <c r="H86" i="111"/>
  <c r="X29" i="111" s="1"/>
  <c r="X28" i="107"/>
  <c r="H82" i="111"/>
  <c r="X28" i="111" s="1"/>
  <c r="H78" i="111"/>
  <c r="X27" i="111" s="1"/>
  <c r="X27" i="107"/>
  <c r="X26" i="107"/>
  <c r="H74" i="111"/>
  <c r="X26" i="111" s="1"/>
  <c r="X25" i="107"/>
  <c r="H70" i="111"/>
  <c r="X25" i="111" s="1"/>
  <c r="H66" i="111"/>
  <c r="X24" i="111" s="1"/>
  <c r="X24" i="107"/>
  <c r="X23" i="107"/>
  <c r="H62" i="111"/>
  <c r="X23" i="111" s="1"/>
  <c r="X33" i="108"/>
  <c r="X32" i="108"/>
  <c r="AD33" i="107"/>
  <c r="N102" i="111"/>
  <c r="AD33" i="111" s="1"/>
  <c r="V31" i="107"/>
  <c r="F94" i="111"/>
  <c r="V31" i="111" s="1"/>
  <c r="AD28" i="107"/>
  <c r="N82" i="111"/>
  <c r="AD28" i="111" s="1"/>
  <c r="V27" i="107"/>
  <c r="F78" i="111"/>
  <c r="V27" i="111" s="1"/>
  <c r="N66" i="111"/>
  <c r="AD24" i="111" s="1"/>
  <c r="AD24" i="107"/>
  <c r="S22" i="108"/>
  <c r="P58" i="108"/>
  <c r="O58" i="108"/>
  <c r="AD22" i="107"/>
  <c r="N58" i="111"/>
  <c r="AD22" i="111" s="1"/>
  <c r="X22" i="107"/>
  <c r="H58" i="111"/>
  <c r="X22" i="111" s="1"/>
  <c r="C105" i="111"/>
  <c r="P105" i="107"/>
  <c r="O105" i="107"/>
  <c r="P103" i="107"/>
  <c r="O103" i="107"/>
  <c r="C103" i="111"/>
  <c r="W33" i="107"/>
  <c r="G102" i="111"/>
  <c r="W33" i="111" s="1"/>
  <c r="P101" i="107"/>
  <c r="O101" i="107"/>
  <c r="C101" i="111"/>
  <c r="C99" i="111"/>
  <c r="P99" i="107"/>
  <c r="O99" i="107"/>
  <c r="W32" i="107"/>
  <c r="G98" i="111"/>
  <c r="W32" i="111" s="1"/>
  <c r="C97" i="111"/>
  <c r="P97" i="107"/>
  <c r="O97" i="107"/>
  <c r="C95" i="111"/>
  <c r="P95" i="107"/>
  <c r="O95" i="107"/>
  <c r="W31" i="107"/>
  <c r="G94" i="111"/>
  <c r="W31" i="111" s="1"/>
  <c r="C93" i="111"/>
  <c r="P93" i="107"/>
  <c r="O93" i="107"/>
  <c r="C91" i="111"/>
  <c r="P91" i="107"/>
  <c r="O91" i="107"/>
  <c r="W30" i="107"/>
  <c r="G90" i="111"/>
  <c r="W30" i="111" s="1"/>
  <c r="P89" i="107"/>
  <c r="O89" i="107"/>
  <c r="C89" i="111"/>
  <c r="P87" i="107"/>
  <c r="O87" i="107"/>
  <c r="C87" i="111"/>
  <c r="W29" i="107"/>
  <c r="G86" i="111"/>
  <c r="W29" i="111" s="1"/>
  <c r="P85" i="107"/>
  <c r="O85" i="107"/>
  <c r="C85" i="111"/>
  <c r="C83" i="111"/>
  <c r="P83" i="107"/>
  <c r="O83" i="107"/>
  <c r="W28" i="107"/>
  <c r="G82" i="111"/>
  <c r="W28" i="111" s="1"/>
  <c r="C81" i="111"/>
  <c r="P81" i="107"/>
  <c r="O81" i="107"/>
  <c r="C79" i="111"/>
  <c r="P79" i="107"/>
  <c r="O79" i="107"/>
  <c r="W27" i="107"/>
  <c r="G78" i="111"/>
  <c r="W27" i="111" s="1"/>
  <c r="C77" i="111"/>
  <c r="P77" i="107"/>
  <c r="O77" i="107"/>
  <c r="C75" i="111"/>
  <c r="P75" i="107"/>
  <c r="O75" i="107"/>
  <c r="W26" i="107"/>
  <c r="G74" i="111"/>
  <c r="W26" i="111" s="1"/>
  <c r="P73" i="107"/>
  <c r="O73" i="107"/>
  <c r="C73" i="111"/>
  <c r="C71" i="111"/>
  <c r="P71" i="107"/>
  <c r="O71" i="107"/>
  <c r="W25" i="107"/>
  <c r="G70" i="111"/>
  <c r="W25" i="111" s="1"/>
  <c r="P69" i="107"/>
  <c r="O69" i="107"/>
  <c r="C69" i="111"/>
  <c r="C67" i="111"/>
  <c r="P67" i="107"/>
  <c r="O67" i="107"/>
  <c r="G66" i="111"/>
  <c r="W24" i="111" s="1"/>
  <c r="W24" i="107"/>
  <c r="C65" i="111"/>
  <c r="P65" i="107"/>
  <c r="O65" i="107"/>
  <c r="AE32" i="107" s="1"/>
  <c r="C63" i="111"/>
  <c r="P63" i="107"/>
  <c r="AF30" i="107" s="1"/>
  <c r="O63" i="107"/>
  <c r="G62" i="111"/>
  <c r="W23" i="111" s="1"/>
  <c r="W23" i="107"/>
  <c r="C61" i="111"/>
  <c r="P61" i="107"/>
  <c r="O61" i="107"/>
  <c r="AE28" i="107" s="1"/>
  <c r="C59" i="111"/>
  <c r="P59" i="107"/>
  <c r="AF26" i="107" s="1"/>
  <c r="O59" i="107"/>
  <c r="P105" i="108"/>
  <c r="O105" i="108"/>
  <c r="P103" i="108"/>
  <c r="O103" i="108"/>
  <c r="W33" i="108"/>
  <c r="P101" i="108"/>
  <c r="O101" i="108"/>
  <c r="P99" i="108"/>
  <c r="O99" i="108"/>
  <c r="W32" i="108"/>
  <c r="P97" i="108"/>
  <c r="O97" i="108"/>
  <c r="P95" i="108"/>
  <c r="O95" i="108"/>
  <c r="W31" i="108"/>
  <c r="P93" i="108"/>
  <c r="O93" i="108"/>
  <c r="P91" i="108"/>
  <c r="O91" i="108"/>
  <c r="W30" i="108"/>
  <c r="P89" i="108"/>
  <c r="O89" i="108"/>
  <c r="P87" i="108"/>
  <c r="O87" i="108"/>
  <c r="W29" i="108"/>
  <c r="P85" i="108"/>
  <c r="O85" i="108"/>
  <c r="P83" i="108"/>
  <c r="O83" i="108"/>
  <c r="W28" i="108"/>
  <c r="P81" i="108"/>
  <c r="O81" i="108"/>
  <c r="P79" i="108"/>
  <c r="O79" i="108"/>
  <c r="W27" i="108"/>
  <c r="P77" i="108"/>
  <c r="O77" i="108"/>
  <c r="P75" i="108"/>
  <c r="O75" i="108"/>
  <c r="W26" i="108"/>
  <c r="P73" i="108"/>
  <c r="O73" i="108"/>
  <c r="P71" i="108"/>
  <c r="O71" i="108"/>
  <c r="W25" i="108"/>
  <c r="P69" i="108"/>
  <c r="O69" i="108"/>
  <c r="P67" i="108"/>
  <c r="O67" i="108"/>
  <c r="W24" i="108"/>
  <c r="P65" i="108"/>
  <c r="AF32" i="108" s="1"/>
  <c r="O65" i="108"/>
  <c r="P63" i="108"/>
  <c r="P61" i="108"/>
  <c r="X31" i="108"/>
  <c r="X30" i="108"/>
  <c r="X29" i="108"/>
  <c r="X27" i="108"/>
  <c r="X26" i="108"/>
  <c r="X25" i="108"/>
  <c r="X24" i="108"/>
  <c r="X23" i="108"/>
  <c r="O59" i="108"/>
  <c r="W23" i="108"/>
  <c r="AD33" i="108"/>
  <c r="V33" i="108"/>
  <c r="AD32" i="108"/>
  <c r="V32" i="108"/>
  <c r="AD31" i="108"/>
  <c r="V31" i="108"/>
  <c r="AD30" i="108"/>
  <c r="V30" i="108"/>
  <c r="AD29" i="108"/>
  <c r="V29" i="108"/>
  <c r="AD28" i="108"/>
  <c r="V28" i="108"/>
  <c r="AD27" i="108"/>
  <c r="V27" i="108"/>
  <c r="AD26" i="108"/>
  <c r="V26" i="108"/>
  <c r="AD25" i="108"/>
  <c r="V25" i="108"/>
  <c r="V24" i="108"/>
  <c r="AD23" i="108"/>
  <c r="V23" i="108"/>
  <c r="AC31" i="108"/>
  <c r="U31" i="108"/>
  <c r="AC30" i="108"/>
  <c r="AC29" i="108"/>
  <c r="U29" i="108"/>
  <c r="AC28" i="108"/>
  <c r="U28" i="108"/>
  <c r="AC27" i="108"/>
  <c r="U27" i="108"/>
  <c r="AC26" i="108"/>
  <c r="AC25" i="108"/>
  <c r="U25" i="108"/>
  <c r="AC24" i="108"/>
  <c r="U24" i="108"/>
  <c r="AC23" i="108"/>
  <c r="U23" i="108"/>
  <c r="AB31" i="108"/>
  <c r="T31" i="108"/>
  <c r="AB30" i="108"/>
  <c r="T30" i="108"/>
  <c r="AB29" i="108"/>
  <c r="T29" i="108"/>
  <c r="AB28" i="108"/>
  <c r="T28" i="108"/>
  <c r="AB27" i="108"/>
  <c r="T27" i="108"/>
  <c r="AB26" i="108"/>
  <c r="T26" i="108"/>
  <c r="AB25" i="108"/>
  <c r="T25" i="108"/>
  <c r="AB24" i="108"/>
  <c r="T24" i="108"/>
  <c r="AB23" i="108"/>
  <c r="T23" i="108"/>
  <c r="O63" i="108"/>
  <c r="O61" i="108"/>
  <c r="AE28" i="108" s="1"/>
  <c r="Z22" i="108"/>
  <c r="Y33" i="108"/>
  <c r="Y32" i="108"/>
  <c r="Y31" i="108"/>
  <c r="Y30" i="108"/>
  <c r="Y29" i="108"/>
  <c r="Y28" i="108"/>
  <c r="Y26" i="108"/>
  <c r="Y25" i="108"/>
  <c r="Y24" i="108"/>
  <c r="Y23" i="108"/>
  <c r="P35" i="103"/>
  <c r="O35" i="103"/>
  <c r="AE26" i="108" l="1"/>
  <c r="O58" i="111"/>
  <c r="S22" i="111"/>
  <c r="P58" i="111"/>
  <c r="AE31" i="108"/>
  <c r="P60" i="111"/>
  <c r="O60" i="111"/>
  <c r="AF31" i="107"/>
  <c r="O82" i="111"/>
  <c r="S28" i="111"/>
  <c r="P82" i="111"/>
  <c r="P100" i="111"/>
  <c r="O100" i="111"/>
  <c r="P70" i="111"/>
  <c r="S25" i="111"/>
  <c r="O70" i="111"/>
  <c r="AF26" i="108"/>
  <c r="AF28" i="108"/>
  <c r="O59" i="111"/>
  <c r="P59" i="111"/>
  <c r="P63" i="111"/>
  <c r="O63" i="111"/>
  <c r="O67" i="111"/>
  <c r="P67" i="111"/>
  <c r="P71" i="111"/>
  <c r="O71" i="111"/>
  <c r="P75" i="111"/>
  <c r="O75" i="111"/>
  <c r="P79" i="111"/>
  <c r="O79" i="111"/>
  <c r="P83" i="111"/>
  <c r="O83" i="111"/>
  <c r="O91" i="111"/>
  <c r="P91" i="111"/>
  <c r="O95" i="111"/>
  <c r="P95" i="111"/>
  <c r="P99" i="111"/>
  <c r="O99" i="111"/>
  <c r="AE25" i="108"/>
  <c r="AF31" i="108"/>
  <c r="AE29" i="107"/>
  <c r="O64" i="111"/>
  <c r="P64" i="111"/>
  <c r="O86" i="111"/>
  <c r="S29" i="111"/>
  <c r="P86" i="111"/>
  <c r="P94" i="111"/>
  <c r="S31" i="111"/>
  <c r="O94" i="111"/>
  <c r="AF30" i="108"/>
  <c r="O69" i="111"/>
  <c r="P69" i="111"/>
  <c r="O73" i="111"/>
  <c r="P73" i="111"/>
  <c r="P85" i="111"/>
  <c r="O85" i="111"/>
  <c r="P89" i="111"/>
  <c r="O89" i="111"/>
  <c r="O101" i="111"/>
  <c r="P101" i="111"/>
  <c r="AF25" i="108"/>
  <c r="AE27" i="108"/>
  <c r="AF29" i="107"/>
  <c r="AE33" i="107"/>
  <c r="P68" i="111"/>
  <c r="O68" i="111"/>
  <c r="P76" i="111"/>
  <c r="O76" i="111"/>
  <c r="P90" i="111"/>
  <c r="O90" i="111"/>
  <c r="S30" i="111"/>
  <c r="P98" i="111"/>
  <c r="O98" i="111"/>
  <c r="S32" i="111"/>
  <c r="AE32" i="108"/>
  <c r="AF28" i="107"/>
  <c r="AF32" i="107"/>
  <c r="AF27" i="108"/>
  <c r="AE33" i="108"/>
  <c r="P62" i="111"/>
  <c r="AF29" i="111" s="1"/>
  <c r="S23" i="111"/>
  <c r="O62" i="111"/>
  <c r="AF33" i="107"/>
  <c r="P72" i="111"/>
  <c r="O72" i="111"/>
  <c r="P80" i="111"/>
  <c r="O80" i="111"/>
  <c r="S33" i="111"/>
  <c r="P102" i="111"/>
  <c r="O102" i="111"/>
  <c r="O104" i="111"/>
  <c r="P104" i="111"/>
  <c r="P61" i="111"/>
  <c r="O61" i="111"/>
  <c r="AE28" i="111" s="1"/>
  <c r="P65" i="111"/>
  <c r="O65" i="111"/>
  <c r="AE32" i="111" s="1"/>
  <c r="O77" i="111"/>
  <c r="P77" i="111"/>
  <c r="P81" i="111"/>
  <c r="O81" i="111"/>
  <c r="P93" i="111"/>
  <c r="O93" i="111"/>
  <c r="P97" i="111"/>
  <c r="O97" i="111"/>
  <c r="O105" i="111"/>
  <c r="P105" i="111"/>
  <c r="AE29" i="108"/>
  <c r="AF33" i="108"/>
  <c r="P66" i="111"/>
  <c r="O66" i="111"/>
  <c r="AE33" i="111" s="1"/>
  <c r="S24" i="111"/>
  <c r="P84" i="111"/>
  <c r="O84" i="111"/>
  <c r="O78" i="111"/>
  <c r="S27" i="111"/>
  <c r="P78" i="111"/>
  <c r="S26" i="111"/>
  <c r="P74" i="111"/>
  <c r="O74" i="111"/>
  <c r="P92" i="111"/>
  <c r="O92" i="111"/>
  <c r="AE30" i="108"/>
  <c r="AE26" i="107"/>
  <c r="AE30" i="107"/>
  <c r="O87" i="111"/>
  <c r="P87" i="111"/>
  <c r="P103" i="111"/>
  <c r="O103" i="111"/>
  <c r="AF25" i="107"/>
  <c r="AF27" i="107"/>
  <c r="AE31" i="107"/>
  <c r="P88" i="111"/>
  <c r="O88" i="111"/>
  <c r="O96" i="111"/>
  <c r="P96" i="111"/>
  <c r="O17" i="98"/>
  <c r="AF32" i="111" l="1"/>
  <c r="AE27" i="111"/>
  <c r="AF27" i="111"/>
  <c r="AF33" i="111"/>
  <c r="AF28" i="111"/>
  <c r="AF30" i="111"/>
  <c r="AF26" i="111"/>
  <c r="AF25" i="111"/>
  <c r="AF31" i="111"/>
  <c r="AE26" i="111"/>
  <c r="AE29" i="111"/>
  <c r="AE31" i="111"/>
  <c r="AE25" i="111"/>
  <c r="AE30" i="111"/>
  <c r="K5" i="96"/>
  <c r="C3" i="94" l="1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10" l="1"/>
  <c r="K5" i="103" s="1"/>
  <c r="K6" i="107"/>
  <c r="K6" i="104"/>
  <c r="K6" i="108" s="1"/>
  <c r="K6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Z39" i="105" s="1"/>
  <c r="Y19" i="105"/>
  <c r="X19" i="105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Y19" i="103"/>
  <c r="Y27" i="103" s="1"/>
  <c r="X19" i="103"/>
  <c r="W19" i="103"/>
  <c r="V19" i="103"/>
  <c r="V27" i="103" s="1"/>
  <c r="U19" i="103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V19" i="99"/>
  <c r="U19" i="99"/>
  <c r="T19" i="99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B27" i="97" s="1"/>
  <c r="AA19" i="97"/>
  <c r="Z19" i="97"/>
  <c r="Z27" i="97" s="1"/>
  <c r="Y19" i="97"/>
  <c r="X19" i="97"/>
  <c r="W19" i="97"/>
  <c r="V19" i="97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D38" i="101" l="1"/>
  <c r="AA26" i="95"/>
  <c r="Z27" i="103"/>
  <c r="V39" i="105"/>
  <c r="AD39" i="105"/>
  <c r="AA27" i="99"/>
  <c r="AA39" i="101"/>
  <c r="X39" i="105"/>
  <c r="V27" i="97"/>
  <c r="AD27" i="97"/>
  <c r="T27" i="99"/>
  <c r="U24" i="103"/>
  <c r="X27" i="97"/>
  <c r="V27" i="99"/>
  <c r="AD27" i="99"/>
  <c r="V39" i="101"/>
  <c r="W27" i="103"/>
  <c r="AA39" i="105"/>
  <c r="U39" i="109"/>
  <c r="W27" i="99"/>
  <c r="W39" i="101"/>
  <c r="X27" i="103"/>
  <c r="K5" i="104"/>
  <c r="K5" i="108" s="1"/>
  <c r="K5" i="111" s="1"/>
  <c r="K5" i="107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U38" i="110" s="1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L106" i="108" s="1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H106" i="107" s="1"/>
  <c r="I10" i="107"/>
  <c r="J10" i="107"/>
  <c r="K10" i="107"/>
  <c r="L10" i="107"/>
  <c r="M10" i="107"/>
  <c r="N10" i="107"/>
  <c r="C10" i="107"/>
  <c r="G106" i="108" l="1"/>
  <c r="C106" i="107"/>
  <c r="G106" i="107"/>
  <c r="C106" i="108"/>
  <c r="E106" i="108"/>
  <c r="F106" i="107"/>
  <c r="M106" i="107"/>
  <c r="AF32" i="101"/>
  <c r="N106" i="108"/>
  <c r="N106" i="107"/>
  <c r="U38" i="109"/>
  <c r="E106" i="107"/>
  <c r="L106" i="107"/>
  <c r="D106" i="107"/>
  <c r="J106" i="108"/>
  <c r="F106" i="108"/>
  <c r="M106" i="108"/>
  <c r="K106" i="107"/>
  <c r="AB26" i="103"/>
  <c r="Y38" i="105"/>
  <c r="D106" i="108"/>
  <c r="V19" i="108"/>
  <c r="K106" i="108"/>
  <c r="J106" i="107"/>
  <c r="I106" i="107"/>
  <c r="X23" i="103"/>
  <c r="AF33" i="101"/>
  <c r="S38" i="110"/>
  <c r="H106" i="108"/>
  <c r="I106" i="108"/>
  <c r="AF28" i="101"/>
  <c r="AB26" i="98"/>
  <c r="X26" i="103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F106" i="111" s="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Z41" i="108" s="1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AE23" i="108" s="1"/>
  <c r="S15" i="108"/>
  <c r="T17" i="108"/>
  <c r="O11" i="108"/>
  <c r="X18" i="108"/>
  <c r="AB15" i="108"/>
  <c r="O57" i="108"/>
  <c r="AE24" i="108" s="1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AF24" i="108" s="1"/>
  <c r="P55" i="108"/>
  <c r="AF22" i="108" s="1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AF23" i="108" s="1"/>
  <c r="O55" i="108"/>
  <c r="AE22" i="108" s="1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AC41" i="107" s="1"/>
  <c r="W10" i="107"/>
  <c r="U10" i="107"/>
  <c r="X38" i="105"/>
  <c r="O57" i="107"/>
  <c r="AE24" i="107" s="1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AB41" i="107" s="1"/>
  <c r="Z10" i="107"/>
  <c r="X10" i="107"/>
  <c r="T10" i="107"/>
  <c r="P57" i="107"/>
  <c r="AF24" i="107" s="1"/>
  <c r="P56" i="107"/>
  <c r="O56" i="107"/>
  <c r="P55" i="107"/>
  <c r="AF22" i="107" s="1"/>
  <c r="O55" i="107"/>
  <c r="AE22" i="107" s="1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S41" i="107" s="1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A41" i="107" l="1"/>
  <c r="AE23" i="107"/>
  <c r="AC41" i="108"/>
  <c r="AD41" i="108"/>
  <c r="N106" i="111"/>
  <c r="E106" i="111"/>
  <c r="O106" i="108"/>
  <c r="H106" i="111"/>
  <c r="V41" i="107"/>
  <c r="AF23" i="107"/>
  <c r="AD39" i="107"/>
  <c r="S41" i="108"/>
  <c r="AA41" i="108"/>
  <c r="AA42" i="108" s="1"/>
  <c r="S42" i="110"/>
  <c r="G106" i="111"/>
  <c r="I106" i="111"/>
  <c r="P106" i="107"/>
  <c r="AD41" i="107"/>
  <c r="W41" i="108"/>
  <c r="W42" i="108" s="1"/>
  <c r="Y41" i="108"/>
  <c r="K106" i="111"/>
  <c r="V41" i="108"/>
  <c r="M106" i="111"/>
  <c r="D106" i="111"/>
  <c r="P106" i="108"/>
  <c r="X41" i="108"/>
  <c r="T41" i="107"/>
  <c r="T42" i="107" s="1"/>
  <c r="AB41" i="108"/>
  <c r="C106" i="111"/>
  <c r="J106" i="111"/>
  <c r="X41" i="107"/>
  <c r="U41" i="107"/>
  <c r="U42" i="107" s="1"/>
  <c r="U41" i="108"/>
  <c r="Y34" i="108"/>
  <c r="T41" i="108"/>
  <c r="L106" i="111"/>
  <c r="AE24" i="98"/>
  <c r="O106" i="107"/>
  <c r="Y41" i="107"/>
  <c r="U36" i="107"/>
  <c r="Z41" i="107"/>
  <c r="W41" i="107"/>
  <c r="W42" i="107" s="1"/>
  <c r="AF10" i="108"/>
  <c r="U39" i="107"/>
  <c r="X42" i="109"/>
  <c r="T12" i="111"/>
  <c r="T13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AE22" i="111" s="1"/>
  <c r="U21" i="111"/>
  <c r="P23" i="111"/>
  <c r="O23" i="111"/>
  <c r="Y18" i="111"/>
  <c r="O43" i="111"/>
  <c r="O49" i="111"/>
  <c r="P49" i="111"/>
  <c r="W21" i="111"/>
  <c r="P56" i="111"/>
  <c r="AF23" i="111" s="1"/>
  <c r="O10" i="111"/>
  <c r="C108" i="110"/>
  <c r="P15" i="111"/>
  <c r="O28" i="111"/>
  <c r="O35" i="111"/>
  <c r="O25" i="111"/>
  <c r="O44" i="111"/>
  <c r="O54" i="111"/>
  <c r="AD10" i="111"/>
  <c r="P36" i="111"/>
  <c r="O57" i="111"/>
  <c r="AE24" i="111" s="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AF22" i="111" s="1"/>
  <c r="O56" i="111"/>
  <c r="AE23" i="111" s="1"/>
  <c r="P57" i="111"/>
  <c r="AF24" i="111" s="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E41" i="108" s="1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Z42" i="108" s="1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AC42" i="107" s="1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AB42" i="107" s="1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42" i="107" s="1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C41" i="111" l="1"/>
  <c r="T41" i="111"/>
  <c r="U41" i="111"/>
  <c r="V41" i="111"/>
  <c r="AF41" i="108"/>
  <c r="T42" i="108"/>
  <c r="AB42" i="108"/>
  <c r="Y42" i="108"/>
  <c r="S42" i="108"/>
  <c r="S41" i="111"/>
  <c r="AD41" i="111"/>
  <c r="O106" i="111"/>
  <c r="X41" i="111"/>
  <c r="Z42" i="107"/>
  <c r="U42" i="108"/>
  <c r="X42" i="108"/>
  <c r="AD42" i="107"/>
  <c r="V42" i="107"/>
  <c r="AD42" i="108"/>
  <c r="AF41" i="107"/>
  <c r="Y41" i="111"/>
  <c r="W41" i="111"/>
  <c r="Y42" i="107"/>
  <c r="X42" i="107"/>
  <c r="AC42" i="108"/>
  <c r="AE41" i="107"/>
  <c r="AA41" i="111"/>
  <c r="AB41" i="111"/>
  <c r="AB42" i="111" s="1"/>
  <c r="P106" i="111"/>
  <c r="Z41" i="111"/>
  <c r="Z42" i="111" s="1"/>
  <c r="V42" i="108"/>
  <c r="AA42" i="107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E42" i="108" s="1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Y42" i="111" l="1"/>
  <c r="X42" i="111"/>
  <c r="AF42" i="107"/>
  <c r="AF42" i="108"/>
  <c r="AF41" i="111"/>
  <c r="AA42" i="111"/>
  <c r="AD42" i="111"/>
  <c r="V42" i="111"/>
  <c r="W42" i="111"/>
  <c r="AE42" i="107"/>
  <c r="S42" i="111"/>
  <c r="U42" i="111"/>
  <c r="AE41" i="111"/>
  <c r="AE42" i="111" s="1"/>
  <c r="T42" i="111"/>
  <c r="AC42" i="111"/>
  <c r="AF34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F42" i="111" l="1"/>
</calcChain>
</file>

<file path=xl/sharedStrings.xml><?xml version="1.0" encoding="utf-8"?>
<sst xmlns="http://schemas.openxmlformats.org/spreadsheetml/2006/main" count="2324" uniqueCount="176">
  <si>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</si>
  <si>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</si>
  <si>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</si>
  <si>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</si>
  <si>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</si>
  <si>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</si>
  <si>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</si>
  <si>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</si>
  <si>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</si>
  <si>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</si>
  <si>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</si>
  <si>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</si>
  <si>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</si>
  <si>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</si>
  <si>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</si>
  <si>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</si>
  <si>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</si>
  <si>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</si>
  <si>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</si>
  <si>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</si>
  <si>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</si>
  <si>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</si>
  <si>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</si>
  <si>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</si>
  <si>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</si>
  <si>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</si>
  <si>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</si>
  <si>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</si>
  <si>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</si>
  <si>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</si>
  <si>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</si>
  <si>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</si>
  <si>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</si>
  <si>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</si>
  <si>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</si>
  <si>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</si>
  <si>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</si>
  <si>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</si>
  <si>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</si>
  <si>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</si>
  <si>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</si>
  <si>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</si>
  <si>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</si>
  <si>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</si>
  <si>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</si>
  <si>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</si>
  <si>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</si>
  <si>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</si>
  <si>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</si>
  <si>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</si>
  <si>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</si>
  <si>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</si>
  <si>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</si>
  <si>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</si>
  <si>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</si>
  <si>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</si>
  <si>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</si>
  <si>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</si>
  <si>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</si>
  <si>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</si>
  <si>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</si>
  <si>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</si>
  <si>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</si>
  <si>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</si>
  <si>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</si>
  <si>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</si>
  <si>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</si>
  <si>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</si>
  <si>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</si>
  <si>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</si>
  <si>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</si>
  <si>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</si>
  <si>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</si>
  <si>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</si>
  <si>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</si>
  <si>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</si>
  <si>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</si>
  <si>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</si>
  <si>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</si>
  <si>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</si>
  <si>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</si>
  <si>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</si>
  <si>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</si>
  <si>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</si>
  <si>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</si>
  <si>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</si>
  <si>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</si>
  <si>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</si>
  <si>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</si>
  <si>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</si>
  <si>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</si>
  <si>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</si>
  <si>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</si>
  <si>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</si>
  <si>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</si>
  <si>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</si>
  <si>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</si>
  <si>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</si>
  <si>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</si>
  <si>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</si>
  <si>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</si>
  <si>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</si>
  <si>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</si>
  <si>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</si>
  <si>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</si>
  <si>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</si>
  <si>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</si>
  <si>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</si>
  <si>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</si>
  <si>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</si>
  <si>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</si>
  <si>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</si>
  <si>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</si>
  <si>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</si>
  <si>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</si>
  <si>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</si>
  <si>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</si>
  <si>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</si>
  <si>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</si>
  <si>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</si>
  <si>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</si>
  <si>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</si>
  <si>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</si>
  <si>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</si>
  <si>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</si>
  <si>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</si>
  <si>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</si>
  <si>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</si>
  <si>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</si>
  <si>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</si>
  <si>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</si>
  <si>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</si>
  <si>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</si>
  <si>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</si>
  <si>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</si>
  <si>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</si>
  <si>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</si>
  <si>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</si>
  <si>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</si>
  <si>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</si>
  <si>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</si>
  <si>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</si>
  <si>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</si>
  <si>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</si>
  <si>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</si>
  <si>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</si>
  <si>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</si>
  <si>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</si>
  <si>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</si>
  <si>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</si>
  <si>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</si>
  <si>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</si>
  <si>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</si>
  <si>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</si>
  <si>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</si>
  <si>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</si>
  <si>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</si>
  <si>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</si>
  <si>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</si>
  <si>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</si>
  <si>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</si>
  <si>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</si>
  <si>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</si>
  <si>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</si>
  <si>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</si>
  <si>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</si>
  <si>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</si>
  <si>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</si>
  <si>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</si>
  <si>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</si>
  <si>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MCC-C1-STN11-MASAKA ROAD</t>
  </si>
  <si>
    <t>KYENGERA</t>
  </si>
  <si>
    <t>BUSEGA</t>
  </si>
  <si>
    <t>ANDREW</t>
  </si>
  <si>
    <t xml:space="preserve">KIRUMIRA FRANK / MUKASA GIBRIEL / NAGAWA JULIET / NALUBEGA RESTY / NAKIRIJJA HADIJAH / MUGANGA SHAFIK / MUGISHA HASSAN / NAKIBIRI BRENDA 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</si>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</sst>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5" xfId="0" applyNumberFormat="1" applyFont="1" applyFill="1" applyBorder="1" applyAlignment="1">
      <alignment horizontal="center" vertic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KYENGERA-BUSEGA'!$AE$9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KYENGERA-BUSEGA'!$AE$10:$AE$21</c:f>
              <c:numCache>
                <c:formatCode>0</c:formatCode>
                <c:ptCount val="12"/>
                <c:pt idx="0">
                  <c:v>798</c:v>
                </c:pt>
                <c:pt idx="1">
                  <c:v>826</c:v>
                </c:pt>
                <c:pt idx="2">
                  <c:v>698</c:v>
                </c:pt>
                <c:pt idx="3">
                  <c:v>525</c:v>
                </c:pt>
                <c:pt idx="4">
                  <c:v>509</c:v>
                </c:pt>
                <c:pt idx="5">
                  <c:v>665</c:v>
                </c:pt>
                <c:pt idx="6">
                  <c:v>516</c:v>
                </c:pt>
                <c:pt idx="7">
                  <c:v>522</c:v>
                </c:pt>
                <c:pt idx="8">
                  <c:v>503</c:v>
                </c:pt>
                <c:pt idx="9">
                  <c:v>532</c:v>
                </c:pt>
                <c:pt idx="10">
                  <c:v>670</c:v>
                </c:pt>
                <c:pt idx="11">
                  <c:v>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KYENGERA-BUSEGA'!$AF$9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KYENGERA-BUSEGA'!$AF$10:$AF$21</c:f>
              <c:numCache>
                <c:formatCode>0</c:formatCode>
                <c:ptCount val="12"/>
                <c:pt idx="0">
                  <c:v>1661</c:v>
                </c:pt>
                <c:pt idx="1">
                  <c:v>1734</c:v>
                </c:pt>
                <c:pt idx="2">
                  <c:v>1328</c:v>
                </c:pt>
                <c:pt idx="3">
                  <c:v>1056</c:v>
                </c:pt>
                <c:pt idx="4">
                  <c:v>1192</c:v>
                </c:pt>
                <c:pt idx="5">
                  <c:v>1371</c:v>
                </c:pt>
                <c:pt idx="6">
                  <c:v>1160</c:v>
                </c:pt>
                <c:pt idx="7">
                  <c:v>1167</c:v>
                </c:pt>
                <c:pt idx="8">
                  <c:v>895</c:v>
                </c:pt>
                <c:pt idx="9">
                  <c:v>1002</c:v>
                </c:pt>
                <c:pt idx="10">
                  <c:v>1572</c:v>
                </c:pt>
                <c:pt idx="11">
                  <c:v>1837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64704"/>
        <c:axId val="-147770144"/>
      </c:lineChart>
      <c:catAx>
        <c:axId val="-147764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70144"/>
        <c:crosses val="autoZero"/>
        <c:auto val="1"/>
        <c:lblAlgn val="ctr"/>
        <c:lblOffset val="100"/>
        <c:noMultiLvlLbl val="0"/>
      </c:catAx>
      <c:valAx>
        <c:axId val="-147770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KYENGERA-BUSEGA'!$C$59:$N$59</c:f>
              <c:numCache>
                <c:formatCode>0.0%</c:formatCode>
                <c:ptCount val="12"/>
                <c:pt idx="0">
                  <c:v>0.20413145539906102</c:v>
                </c:pt>
                <c:pt idx="1">
                  <c:v>2.3474178403755867E-2</c:v>
                </c:pt>
                <c:pt idx="2">
                  <c:v>2.7417840375586856E-2</c:v>
                </c:pt>
                <c:pt idx="3">
                  <c:v>0.13270735524256652</c:v>
                </c:pt>
                <c:pt idx="4">
                  <c:v>4.507042253521127E-3</c:v>
                </c:pt>
                <c:pt idx="5">
                  <c:v>4.3818466353677619E-3</c:v>
                </c:pt>
                <c:pt idx="6">
                  <c:v>4.0187793427230049E-2</c:v>
                </c:pt>
                <c:pt idx="7">
                  <c:v>1.4460093896713615E-2</c:v>
                </c:pt>
                <c:pt idx="8">
                  <c:v>5.9467918622848198E-3</c:v>
                </c:pt>
                <c:pt idx="9">
                  <c:v>8.2003129890453833E-3</c:v>
                </c:pt>
                <c:pt idx="10">
                  <c:v>0.53458528951486695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KYENGERA-BUSEGA'!$C$60:$N$60</c:f>
              <c:numCache>
                <c:formatCode>0.00%</c:formatCode>
                <c:ptCount val="12"/>
                <c:pt idx="0">
                  <c:v>0.43860121049092132</c:v>
                </c:pt>
                <c:pt idx="1">
                  <c:v>5.043712172158709E-2</c:v>
                </c:pt>
                <c:pt idx="2">
                  <c:v>5.8910558170813719E-2</c:v>
                </c:pt>
                <c:pt idx="3">
                  <c:v>0.28513786146603898</c:v>
                </c:pt>
                <c:pt idx="4">
                  <c:v>9.6839273705447201E-3</c:v>
                </c:pt>
                <c:pt idx="5">
                  <c:v>9.4149293880295901E-3</c:v>
                </c:pt>
                <c:pt idx="6">
                  <c:v>8.6348352387357094E-2</c:v>
                </c:pt>
                <c:pt idx="7">
                  <c:v>3.1069266980497647E-2</c:v>
                </c:pt>
                <c:pt idx="8">
                  <c:v>1.2777404169468728E-2</c:v>
                </c:pt>
                <c:pt idx="9">
                  <c:v>1.7619367854741091E-2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BUSEGA-KYENGERA'!$AE$9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BUSEGA-KYENGERA'!$AE$10:$AE$21</c:f>
              <c:numCache>
                <c:formatCode>0</c:formatCode>
                <c:ptCount val="12"/>
                <c:pt idx="0">
                  <c:v>442</c:v>
                </c:pt>
                <c:pt idx="1">
                  <c:v>513</c:v>
                </c:pt>
                <c:pt idx="2">
                  <c:v>490</c:v>
                </c:pt>
                <c:pt idx="3">
                  <c:v>492</c:v>
                </c:pt>
                <c:pt idx="4">
                  <c:v>478</c:v>
                </c:pt>
                <c:pt idx="5">
                  <c:v>363</c:v>
                </c:pt>
                <c:pt idx="6">
                  <c:v>254</c:v>
                </c:pt>
                <c:pt idx="7">
                  <c:v>404</c:v>
                </c:pt>
                <c:pt idx="8">
                  <c:v>319</c:v>
                </c:pt>
                <c:pt idx="9">
                  <c:v>371</c:v>
                </c:pt>
                <c:pt idx="10">
                  <c:v>539</c:v>
                </c:pt>
                <c:pt idx="11">
                  <c:v>414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BUSEGA-KYENGERA'!$AF$9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BUSEGA-KYENGERA'!$AF$10:$AF$21</c:f>
              <c:numCache>
                <c:formatCode>0</c:formatCode>
                <c:ptCount val="12"/>
                <c:pt idx="0">
                  <c:v>996</c:v>
                </c:pt>
                <c:pt idx="1">
                  <c:v>1124</c:v>
                </c:pt>
                <c:pt idx="2">
                  <c:v>1025</c:v>
                </c:pt>
                <c:pt idx="3">
                  <c:v>1015</c:v>
                </c:pt>
                <c:pt idx="4">
                  <c:v>811</c:v>
                </c:pt>
                <c:pt idx="5">
                  <c:v>543</c:v>
                </c:pt>
                <c:pt idx="6">
                  <c:v>488</c:v>
                </c:pt>
                <c:pt idx="7">
                  <c:v>710</c:v>
                </c:pt>
                <c:pt idx="8">
                  <c:v>494</c:v>
                </c:pt>
                <c:pt idx="9">
                  <c:v>788</c:v>
                </c:pt>
                <c:pt idx="10">
                  <c:v>1159</c:v>
                </c:pt>
                <c:pt idx="11">
                  <c:v>837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57632"/>
        <c:axId val="-147756000"/>
      </c:lineChart>
      <c:catAx>
        <c:axId val="-147757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6000"/>
        <c:crosses val="autoZero"/>
        <c:auto val="1"/>
        <c:lblAlgn val="ctr"/>
        <c:lblOffset val="100"/>
        <c:noMultiLvlLbl val="0"/>
      </c:catAx>
      <c:valAx>
        <c:axId val="-147756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BUSEGA-KYENGERA'!$C$59:$N$59</c:f>
              <c:numCache>
                <c:formatCode>0.0%</c:formatCode>
                <c:ptCount val="12"/>
                <c:pt idx="0">
                  <c:v>0.16586586586586585</c:v>
                </c:pt>
                <c:pt idx="1">
                  <c:v>3.7937937937937941E-2</c:v>
                </c:pt>
                <c:pt idx="2">
                  <c:v>2.2822822822822823E-2</c:v>
                </c:pt>
                <c:pt idx="3">
                  <c:v>0.17637637637637638</c:v>
                </c:pt>
                <c:pt idx="4">
                  <c:v>6.4064064064064067E-3</c:v>
                </c:pt>
                <c:pt idx="5">
                  <c:v>7.6076076076076072E-3</c:v>
                </c:pt>
                <c:pt idx="6">
                  <c:v>4.7947947947947947E-2</c:v>
                </c:pt>
                <c:pt idx="7">
                  <c:v>2.0820820820820821E-2</c:v>
                </c:pt>
                <c:pt idx="8">
                  <c:v>8.7087087087087088E-3</c:v>
                </c:pt>
                <c:pt idx="9">
                  <c:v>1.3513513513513514E-2</c:v>
                </c:pt>
                <c:pt idx="10">
                  <c:v>0.4915915915915916</c:v>
                </c:pt>
                <c:pt idx="11">
                  <c:v>4.0040040040040042E-4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BUSEGA-KYENGERA'!$S$9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BUSEGA-KYENGERA'!$S$10:$S$21</c:f>
              <c:numCache>
                <c:formatCode>0</c:formatCode>
                <c:ptCount val="12"/>
                <c:pt idx="0">
                  <c:v>129</c:v>
                </c:pt>
                <c:pt idx="1">
                  <c:v>156</c:v>
                </c:pt>
                <c:pt idx="2">
                  <c:v>150</c:v>
                </c:pt>
                <c:pt idx="3">
                  <c:v>154</c:v>
                </c:pt>
                <c:pt idx="4">
                  <c:v>146</c:v>
                </c:pt>
                <c:pt idx="5">
                  <c:v>85</c:v>
                </c:pt>
                <c:pt idx="6">
                  <c:v>83</c:v>
                </c:pt>
                <c:pt idx="7">
                  <c:v>136</c:v>
                </c:pt>
                <c:pt idx="8">
                  <c:v>131</c:v>
                </c:pt>
                <c:pt idx="9">
                  <c:v>141</c:v>
                </c:pt>
                <c:pt idx="10">
                  <c:v>199</c:v>
                </c:pt>
                <c:pt idx="11">
                  <c:v>147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BUSEGA-KYENGERA'!$T$9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BUSEGA-KYENGERA'!$T$10:$T$21</c:f>
              <c:numCache>
                <c:formatCode>0</c:formatCode>
                <c:ptCount val="12"/>
                <c:pt idx="0">
                  <c:v>36</c:v>
                </c:pt>
                <c:pt idx="1">
                  <c:v>42</c:v>
                </c:pt>
                <c:pt idx="2">
                  <c:v>29</c:v>
                </c:pt>
                <c:pt idx="3">
                  <c:v>27</c:v>
                </c:pt>
                <c:pt idx="4">
                  <c:v>25</c:v>
                </c:pt>
                <c:pt idx="5">
                  <c:v>23</c:v>
                </c:pt>
                <c:pt idx="6">
                  <c:v>19</c:v>
                </c:pt>
                <c:pt idx="7">
                  <c:v>65</c:v>
                </c:pt>
                <c:pt idx="8">
                  <c:v>8</c:v>
                </c:pt>
                <c:pt idx="9">
                  <c:v>19</c:v>
                </c:pt>
                <c:pt idx="10">
                  <c:v>33</c:v>
                </c:pt>
                <c:pt idx="11">
                  <c:v>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BUSEGA-KYENGERA'!$U$9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BUSEGA-KYENGERA'!$U$10:$U$21</c:f>
              <c:numCache>
                <c:formatCode>0</c:formatCode>
                <c:ptCount val="12"/>
                <c:pt idx="0">
                  <c:v>18</c:v>
                </c:pt>
                <c:pt idx="1">
                  <c:v>22</c:v>
                </c:pt>
                <c:pt idx="2">
                  <c:v>16</c:v>
                </c:pt>
                <c:pt idx="3">
                  <c:v>18</c:v>
                </c:pt>
                <c:pt idx="4">
                  <c:v>18</c:v>
                </c:pt>
                <c:pt idx="5">
                  <c:v>14</c:v>
                </c:pt>
                <c:pt idx="6">
                  <c:v>13</c:v>
                </c:pt>
                <c:pt idx="7">
                  <c:v>19</c:v>
                </c:pt>
                <c:pt idx="8">
                  <c:v>28</c:v>
                </c:pt>
                <c:pt idx="9">
                  <c:v>12</c:v>
                </c:pt>
                <c:pt idx="10">
                  <c:v>29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BUSEGA-KYENGERA'!$V$9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BUSEGA-KYENGERA'!$V$10:$V$21</c:f>
              <c:numCache>
                <c:formatCode>0</c:formatCode>
                <c:ptCount val="12"/>
                <c:pt idx="0">
                  <c:v>176</c:v>
                </c:pt>
                <c:pt idx="1">
                  <c:v>201</c:v>
                </c:pt>
                <c:pt idx="2">
                  <c:v>192</c:v>
                </c:pt>
                <c:pt idx="3">
                  <c:v>183</c:v>
                </c:pt>
                <c:pt idx="4">
                  <c:v>164</c:v>
                </c:pt>
                <c:pt idx="5">
                  <c:v>162</c:v>
                </c:pt>
                <c:pt idx="6">
                  <c:v>78</c:v>
                </c:pt>
                <c:pt idx="7">
                  <c:v>107</c:v>
                </c:pt>
                <c:pt idx="8">
                  <c:v>90</c:v>
                </c:pt>
                <c:pt idx="9">
                  <c:v>121</c:v>
                </c:pt>
                <c:pt idx="10">
                  <c:v>169</c:v>
                </c:pt>
                <c:pt idx="11">
                  <c:v>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BUSEGA-KYENGERA'!$W$9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BUSEGA-KYENGERA'!$W$10:$W$21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  <c:pt idx="4">
                  <c:v>7</c:v>
                </c:pt>
                <c:pt idx="5">
                  <c:v>12</c:v>
                </c:pt>
                <c:pt idx="6">
                  <c:v>3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BUSEGA-KYENGERA'!$X$9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BUSEGA-KYENGERA'!$X$10:$X$21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8</c:v>
                </c:pt>
                <c:pt idx="3">
                  <c:v>6</c:v>
                </c:pt>
                <c:pt idx="4">
                  <c:v>11</c:v>
                </c:pt>
                <c:pt idx="5">
                  <c:v>8</c:v>
                </c:pt>
                <c:pt idx="6">
                  <c:v>4</c:v>
                </c:pt>
                <c:pt idx="7">
                  <c:v>6</c:v>
                </c:pt>
                <c:pt idx="8">
                  <c:v>7</c:v>
                </c:pt>
                <c:pt idx="9">
                  <c:v>4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BUSEGA-KYENGERA'!$Y$9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BUSEGA-KYENGERA'!$Y$10:$Y$21</c:f>
              <c:numCache>
                <c:formatCode>0</c:formatCode>
                <c:ptCount val="12"/>
                <c:pt idx="0">
                  <c:v>42</c:v>
                </c:pt>
                <c:pt idx="1">
                  <c:v>53</c:v>
                </c:pt>
                <c:pt idx="2">
                  <c:v>49</c:v>
                </c:pt>
                <c:pt idx="3">
                  <c:v>60</c:v>
                </c:pt>
                <c:pt idx="4">
                  <c:v>78</c:v>
                </c:pt>
                <c:pt idx="5">
                  <c:v>34</c:v>
                </c:pt>
                <c:pt idx="6">
                  <c:v>14</c:v>
                </c:pt>
                <c:pt idx="7">
                  <c:v>32</c:v>
                </c:pt>
                <c:pt idx="8">
                  <c:v>18</c:v>
                </c:pt>
                <c:pt idx="9">
                  <c:v>27</c:v>
                </c:pt>
                <c:pt idx="10">
                  <c:v>47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BUSEGA-KYENGERA'!$Z$9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BUSEGA-KYENGERA'!$Z$10:$Z$21</c:f>
              <c:numCache>
                <c:formatCode>0</c:formatCode>
                <c:ptCount val="12"/>
                <c:pt idx="0">
                  <c:v>17</c:v>
                </c:pt>
                <c:pt idx="1">
                  <c:v>26</c:v>
                </c:pt>
                <c:pt idx="2">
                  <c:v>20</c:v>
                </c:pt>
                <c:pt idx="3">
                  <c:v>17</c:v>
                </c:pt>
                <c:pt idx="4">
                  <c:v>7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10</c:v>
                </c:pt>
                <c:pt idx="9">
                  <c:v>20</c:v>
                </c:pt>
                <c:pt idx="10">
                  <c:v>29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BUSEGA-KYENGERA'!$AA$9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BUSEGA-KYENGERA'!$AA$10:$AA$21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10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12</c:v>
                </c:pt>
                <c:pt idx="7">
                  <c:v>7</c:v>
                </c:pt>
                <c:pt idx="8">
                  <c:v>3</c:v>
                </c:pt>
                <c:pt idx="9">
                  <c:v>8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BUSEGA-KYENGERA'!$AB$9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BUSEGA-KYENGERA'!$AB$10:$AB$21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10</c:v>
                </c:pt>
                <c:pt idx="3">
                  <c:v>11</c:v>
                </c:pt>
                <c:pt idx="4">
                  <c:v>15</c:v>
                </c:pt>
                <c:pt idx="5">
                  <c:v>7</c:v>
                </c:pt>
                <c:pt idx="6">
                  <c:v>13</c:v>
                </c:pt>
                <c:pt idx="7">
                  <c:v>9</c:v>
                </c:pt>
                <c:pt idx="8">
                  <c:v>19</c:v>
                </c:pt>
                <c:pt idx="9">
                  <c:v>15</c:v>
                </c:pt>
                <c:pt idx="10">
                  <c:v>15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BUSEGA-KYENGERA'!$AC$9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BUSEGA-KYENGERA'!$AC$10:$AC$21</c:f>
              <c:numCache>
                <c:formatCode>0</c:formatCode>
                <c:ptCount val="12"/>
                <c:pt idx="0">
                  <c:v>554</c:v>
                </c:pt>
                <c:pt idx="1">
                  <c:v>611</c:v>
                </c:pt>
                <c:pt idx="2">
                  <c:v>535</c:v>
                </c:pt>
                <c:pt idx="3">
                  <c:v>523</c:v>
                </c:pt>
                <c:pt idx="4">
                  <c:v>333</c:v>
                </c:pt>
                <c:pt idx="5">
                  <c:v>180</c:v>
                </c:pt>
                <c:pt idx="6">
                  <c:v>234</c:v>
                </c:pt>
                <c:pt idx="7">
                  <c:v>306</c:v>
                </c:pt>
                <c:pt idx="8">
                  <c:v>175</c:v>
                </c:pt>
                <c:pt idx="9">
                  <c:v>417</c:v>
                </c:pt>
                <c:pt idx="10">
                  <c:v>620</c:v>
                </c:pt>
                <c:pt idx="11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BUSEGA-KYENGERA'!$AD$9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BUSEGA-KYENGERA'!$AD$10:$AD$21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58720"/>
        <c:axId val="-147768512"/>
      </c:lineChart>
      <c:catAx>
        <c:axId val="-14775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8512"/>
        <c:crosses val="autoZero"/>
        <c:auto val="1"/>
        <c:lblAlgn val="ctr"/>
        <c:lblOffset val="100"/>
        <c:noMultiLvlLbl val="0"/>
      </c:catAx>
      <c:valAx>
        <c:axId val="-14776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BUSEGA-KYENGERA'!$C$60:$N$60</c:f>
              <c:numCache>
                <c:formatCode>0.00%</c:formatCode>
                <c:ptCount val="12"/>
                <c:pt idx="0">
                  <c:v>0.32624532388265409</c:v>
                </c:pt>
                <c:pt idx="1">
                  <c:v>7.462098838354006E-2</c:v>
                </c:pt>
                <c:pt idx="2">
                  <c:v>4.4890726520968698E-2</c:v>
                </c:pt>
                <c:pt idx="3">
                  <c:v>0.34691868478046861</c:v>
                </c:pt>
                <c:pt idx="4">
                  <c:v>1.2600905690096476E-2</c:v>
                </c:pt>
                <c:pt idx="5">
                  <c:v>1.4963575506989565E-2</c:v>
                </c:pt>
                <c:pt idx="6">
                  <c:v>9.4309903524315813E-2</c:v>
                </c:pt>
                <c:pt idx="7">
                  <c:v>4.0952943492813546E-2</c:v>
                </c:pt>
                <c:pt idx="8">
                  <c:v>1.7129356172474897E-2</c:v>
                </c:pt>
                <c:pt idx="9">
                  <c:v>2.6580035440047254E-2</c:v>
                </c:pt>
                <c:pt idx="11">
                  <c:v>7.8755660563102972E-4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KYENGERA-BUSEGA'!$AE$9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KYENGERA-BUSEGA'!$AE$10:$AE$21</c:f>
              <c:numCache>
                <c:formatCode>0</c:formatCode>
                <c:ptCount val="12"/>
                <c:pt idx="0">
                  <c:v>899</c:v>
                </c:pt>
                <c:pt idx="1">
                  <c:v>957</c:v>
                </c:pt>
                <c:pt idx="2">
                  <c:v>756</c:v>
                </c:pt>
                <c:pt idx="3">
                  <c:v>691</c:v>
                </c:pt>
                <c:pt idx="4">
                  <c:v>666</c:v>
                </c:pt>
                <c:pt idx="5">
                  <c:v>644</c:v>
                </c:pt>
                <c:pt idx="6">
                  <c:v>534</c:v>
                </c:pt>
                <c:pt idx="7">
                  <c:v>488</c:v>
                </c:pt>
                <c:pt idx="8">
                  <c:v>510</c:v>
                </c:pt>
                <c:pt idx="9">
                  <c:v>595</c:v>
                </c:pt>
                <c:pt idx="10">
                  <c:v>707</c:v>
                </c:pt>
                <c:pt idx="11">
                  <c:v>574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KYENGERA-BUSEGA'!$AF$9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KYENGERA-BUSEGA'!$AF$10:$AF$21</c:f>
              <c:numCache>
                <c:formatCode>0</c:formatCode>
                <c:ptCount val="12"/>
                <c:pt idx="0">
                  <c:v>2323</c:v>
                </c:pt>
                <c:pt idx="1">
                  <c:v>2521</c:v>
                </c:pt>
                <c:pt idx="2">
                  <c:v>2263</c:v>
                </c:pt>
                <c:pt idx="3">
                  <c:v>1444</c:v>
                </c:pt>
                <c:pt idx="4">
                  <c:v>1468</c:v>
                </c:pt>
                <c:pt idx="5">
                  <c:v>1273</c:v>
                </c:pt>
                <c:pt idx="6">
                  <c:v>1173</c:v>
                </c:pt>
                <c:pt idx="7">
                  <c:v>951</c:v>
                </c:pt>
                <c:pt idx="8">
                  <c:v>1029</c:v>
                </c:pt>
                <c:pt idx="9">
                  <c:v>1136</c:v>
                </c:pt>
                <c:pt idx="10">
                  <c:v>1492</c:v>
                </c:pt>
                <c:pt idx="11">
                  <c:v>1899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66880"/>
        <c:axId val="-147759264"/>
      </c:lineChart>
      <c:catAx>
        <c:axId val="-147766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9264"/>
        <c:crosses val="autoZero"/>
        <c:auto val="1"/>
        <c:lblAlgn val="ctr"/>
        <c:lblOffset val="100"/>
        <c:noMultiLvlLbl val="0"/>
      </c:catAx>
      <c:valAx>
        <c:axId val="-1477592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KYENGERA-BUSEGA'!$C$59:$N$59</c:f>
              <c:numCache>
                <c:formatCode>0.0%</c:formatCode>
                <c:ptCount val="12"/>
                <c:pt idx="0">
                  <c:v>0.18516761543327009</c:v>
                </c:pt>
                <c:pt idx="1">
                  <c:v>2.0029517183217372E-2</c:v>
                </c:pt>
                <c:pt idx="2">
                  <c:v>2.6512755639890365E-2</c:v>
                </c:pt>
                <c:pt idx="3">
                  <c:v>0.11991355682057769</c:v>
                </c:pt>
                <c:pt idx="4">
                  <c:v>4.1640312038794015E-3</c:v>
                </c:pt>
                <c:pt idx="5">
                  <c:v>3.6369386464263124E-3</c:v>
                </c:pt>
                <c:pt idx="6">
                  <c:v>3.8688593717056713E-2</c:v>
                </c:pt>
                <c:pt idx="7">
                  <c:v>1.3071895424836602E-2</c:v>
                </c:pt>
                <c:pt idx="8">
                  <c:v>3.1625553447185324E-3</c:v>
                </c:pt>
                <c:pt idx="9">
                  <c:v>8.3807716635041114E-3</c:v>
                </c:pt>
                <c:pt idx="10">
                  <c:v>0.57721905966687748</c:v>
                </c:pt>
                <c:pt idx="11">
                  <c:v>5.2709255745308875E-5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KYENGERA-BUSEGA'!$S$9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KYENGERA-BUSEGA'!$S$10:$S$21</c:f>
              <c:numCache>
                <c:formatCode>0</c:formatCode>
                <c:ptCount val="12"/>
                <c:pt idx="0">
                  <c:v>444</c:v>
                </c:pt>
                <c:pt idx="1">
                  <c:v>489</c:v>
                </c:pt>
                <c:pt idx="2">
                  <c:v>360</c:v>
                </c:pt>
                <c:pt idx="3">
                  <c:v>297</c:v>
                </c:pt>
                <c:pt idx="4">
                  <c:v>309</c:v>
                </c:pt>
                <c:pt idx="5">
                  <c:v>248</c:v>
                </c:pt>
                <c:pt idx="6">
                  <c:v>211</c:v>
                </c:pt>
                <c:pt idx="7">
                  <c:v>186</c:v>
                </c:pt>
                <c:pt idx="8">
                  <c:v>191</c:v>
                </c:pt>
                <c:pt idx="9">
                  <c:v>222</c:v>
                </c:pt>
                <c:pt idx="10">
                  <c:v>326</c:v>
                </c:pt>
                <c:pt idx="11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KYENGERA-BUSEGA'!$T$9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KYENGERA-BUSEGA'!$T$10:$T$21</c:f>
              <c:numCache>
                <c:formatCode>0</c:formatCode>
                <c:ptCount val="12"/>
                <c:pt idx="0">
                  <c:v>42</c:v>
                </c:pt>
                <c:pt idx="1">
                  <c:v>44</c:v>
                </c:pt>
                <c:pt idx="2">
                  <c:v>37</c:v>
                </c:pt>
                <c:pt idx="3">
                  <c:v>29</c:v>
                </c:pt>
                <c:pt idx="4">
                  <c:v>23</c:v>
                </c:pt>
                <c:pt idx="5">
                  <c:v>49</c:v>
                </c:pt>
                <c:pt idx="6">
                  <c:v>24</c:v>
                </c:pt>
                <c:pt idx="7">
                  <c:v>32</c:v>
                </c:pt>
                <c:pt idx="8">
                  <c:v>27</c:v>
                </c:pt>
                <c:pt idx="9">
                  <c:v>25</c:v>
                </c:pt>
                <c:pt idx="10">
                  <c:v>18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KYENGERA-BUSEGA'!$U$9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KYENGERA-BUSEGA'!$U$10:$U$21</c:f>
              <c:numCache>
                <c:formatCode>0</c:formatCode>
                <c:ptCount val="12"/>
                <c:pt idx="0">
                  <c:v>47</c:v>
                </c:pt>
                <c:pt idx="1">
                  <c:v>53</c:v>
                </c:pt>
                <c:pt idx="2">
                  <c:v>52</c:v>
                </c:pt>
                <c:pt idx="3">
                  <c:v>51</c:v>
                </c:pt>
                <c:pt idx="4">
                  <c:v>34</c:v>
                </c:pt>
                <c:pt idx="5">
                  <c:v>48</c:v>
                </c:pt>
                <c:pt idx="6">
                  <c:v>20</c:v>
                </c:pt>
                <c:pt idx="7">
                  <c:v>42</c:v>
                </c:pt>
                <c:pt idx="8">
                  <c:v>35</c:v>
                </c:pt>
                <c:pt idx="9">
                  <c:v>43</c:v>
                </c:pt>
                <c:pt idx="10">
                  <c:v>42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KYENGERA-BUSEGA'!$V$9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KYENGERA-BUSEGA'!$V$10:$V$21</c:f>
              <c:numCache>
                <c:formatCode>0</c:formatCode>
                <c:ptCount val="12"/>
                <c:pt idx="0">
                  <c:v>234</c:v>
                </c:pt>
                <c:pt idx="1">
                  <c:v>261</c:v>
                </c:pt>
                <c:pt idx="2">
                  <c:v>211</c:v>
                </c:pt>
                <c:pt idx="3">
                  <c:v>211</c:v>
                </c:pt>
                <c:pt idx="4">
                  <c:v>200</c:v>
                </c:pt>
                <c:pt idx="5">
                  <c:v>201</c:v>
                </c:pt>
                <c:pt idx="6">
                  <c:v>179</c:v>
                </c:pt>
                <c:pt idx="7">
                  <c:v>121</c:v>
                </c:pt>
                <c:pt idx="8">
                  <c:v>131</c:v>
                </c:pt>
                <c:pt idx="9">
                  <c:v>172</c:v>
                </c:pt>
                <c:pt idx="10">
                  <c:v>184</c:v>
                </c:pt>
                <c:pt idx="11">
                  <c:v>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KYENGERA-BUSEGA'!$W$9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KYENGERA-BUSEGA'!$W$10:$W$21</c:f>
              <c:numCache>
                <c:formatCode>0</c:formatCode>
                <c:ptCount val="12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4</c:v>
                </c:pt>
                <c:pt idx="4">
                  <c:v>8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KYENGERA-BUSEGA'!$X$9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KYENGERA-BUSEGA'!$X$10:$X$21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8</c:v>
                </c:pt>
                <c:pt idx="7">
                  <c:v>4</c:v>
                </c:pt>
                <c:pt idx="8">
                  <c:v>11</c:v>
                </c:pt>
                <c:pt idx="9">
                  <c:v>7</c:v>
                </c:pt>
                <c:pt idx="10">
                  <c:v>11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KYENGERA-BUSEGA'!$Y$9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KYENGERA-BUSEGA'!$Y$10:$Y$21</c:f>
              <c:numCache>
                <c:formatCode>0</c:formatCode>
                <c:ptCount val="12"/>
                <c:pt idx="0">
                  <c:v>66</c:v>
                </c:pt>
                <c:pt idx="1">
                  <c:v>52</c:v>
                </c:pt>
                <c:pt idx="2">
                  <c:v>48</c:v>
                </c:pt>
                <c:pt idx="3">
                  <c:v>57</c:v>
                </c:pt>
                <c:pt idx="4">
                  <c:v>51</c:v>
                </c:pt>
                <c:pt idx="5">
                  <c:v>54</c:v>
                </c:pt>
                <c:pt idx="6">
                  <c:v>51</c:v>
                </c:pt>
                <c:pt idx="7">
                  <c:v>59</c:v>
                </c:pt>
                <c:pt idx="8">
                  <c:v>76</c:v>
                </c:pt>
                <c:pt idx="9">
                  <c:v>88</c:v>
                </c:pt>
                <c:pt idx="10">
                  <c:v>77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KYENGERA-BUSEGA'!$Z$9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KYENGERA-BUSEGA'!$Z$10:$Z$21</c:f>
              <c:numCache>
                <c:formatCode>0</c:formatCode>
                <c:ptCount val="12"/>
                <c:pt idx="0">
                  <c:v>35</c:v>
                </c:pt>
                <c:pt idx="1">
                  <c:v>31</c:v>
                </c:pt>
                <c:pt idx="2">
                  <c:v>22</c:v>
                </c:pt>
                <c:pt idx="3">
                  <c:v>20</c:v>
                </c:pt>
                <c:pt idx="4">
                  <c:v>16</c:v>
                </c:pt>
                <c:pt idx="5">
                  <c:v>23</c:v>
                </c:pt>
                <c:pt idx="6">
                  <c:v>19</c:v>
                </c:pt>
                <c:pt idx="7">
                  <c:v>19</c:v>
                </c:pt>
                <c:pt idx="8">
                  <c:v>15</c:v>
                </c:pt>
                <c:pt idx="9">
                  <c:v>16</c:v>
                </c:pt>
                <c:pt idx="10">
                  <c:v>15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KYENGERA-BUSEGA'!$AA$9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KYENGERA-BUSEGA'!$AA$10:$AA$21</c:f>
              <c:numCache>
                <c:formatCode>0</c:formatCode>
                <c:ptCount val="12"/>
                <c:pt idx="0">
                  <c:v>8</c:v>
                </c:pt>
                <c:pt idx="1">
                  <c:v>8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6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KYENGERA-BUSEGA'!$AB$9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KYENGERA-BUSEGA'!$AB$10:$AB$21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8</c:v>
                </c:pt>
                <c:pt idx="3">
                  <c:v>12</c:v>
                </c:pt>
                <c:pt idx="4">
                  <c:v>20</c:v>
                </c:pt>
                <c:pt idx="5">
                  <c:v>14</c:v>
                </c:pt>
                <c:pt idx="6">
                  <c:v>18</c:v>
                </c:pt>
                <c:pt idx="7">
                  <c:v>18</c:v>
                </c:pt>
                <c:pt idx="8">
                  <c:v>15</c:v>
                </c:pt>
                <c:pt idx="9">
                  <c:v>12</c:v>
                </c:pt>
                <c:pt idx="10">
                  <c:v>21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KYENGERA-BUSEGA'!$AC$9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KYENGERA-BUSEGA'!$AC$10:$AC$21</c:f>
              <c:numCache>
                <c:formatCode>0</c:formatCode>
                <c:ptCount val="12"/>
                <c:pt idx="0">
                  <c:v>1424</c:v>
                </c:pt>
                <c:pt idx="1">
                  <c:v>1564</c:v>
                </c:pt>
                <c:pt idx="2">
                  <c:v>1507</c:v>
                </c:pt>
                <c:pt idx="3">
                  <c:v>753</c:v>
                </c:pt>
                <c:pt idx="4">
                  <c:v>802</c:v>
                </c:pt>
                <c:pt idx="5">
                  <c:v>629</c:v>
                </c:pt>
                <c:pt idx="6">
                  <c:v>639</c:v>
                </c:pt>
                <c:pt idx="7">
                  <c:v>463</c:v>
                </c:pt>
                <c:pt idx="8">
                  <c:v>519</c:v>
                </c:pt>
                <c:pt idx="9">
                  <c:v>541</c:v>
                </c:pt>
                <c:pt idx="10">
                  <c:v>785</c:v>
                </c:pt>
                <c:pt idx="11">
                  <c:v>1325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KYENGERA-BUSEGA'!$AD$9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KYENGERA-BUSEGA'!$AD$10:$AD$21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9154640"/>
        <c:axId val="-149143760"/>
      </c:lineChart>
      <c:catAx>
        <c:axId val="-149154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3760"/>
        <c:crosses val="autoZero"/>
        <c:auto val="1"/>
        <c:lblAlgn val="ctr"/>
        <c:lblOffset val="100"/>
        <c:noMultiLvlLbl val="0"/>
      </c:catAx>
      <c:valAx>
        <c:axId val="-1491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KYENGERA-BUSEGA'!$C$60:$N$60</c:f>
              <c:numCache>
                <c:formatCode>0.00%</c:formatCode>
                <c:ptCount val="12"/>
                <c:pt idx="0">
                  <c:v>0.43797531479865354</c:v>
                </c:pt>
                <c:pt idx="1">
                  <c:v>4.7375638947762123E-2</c:v>
                </c:pt>
                <c:pt idx="2">
                  <c:v>6.2710385238748292E-2</c:v>
                </c:pt>
                <c:pt idx="3">
                  <c:v>0.28363047001620745</c:v>
                </c:pt>
                <c:pt idx="4">
                  <c:v>9.849145991771599E-3</c:v>
                </c:pt>
                <c:pt idx="5">
                  <c:v>8.6024186510410168E-3</c:v>
                </c:pt>
                <c:pt idx="6">
                  <c:v>9.1509786809624738E-2</c:v>
                </c:pt>
                <c:pt idx="7">
                  <c:v>3.0918838050118438E-2</c:v>
                </c:pt>
                <c:pt idx="8">
                  <c:v>7.4803640443834932E-3</c:v>
                </c:pt>
                <c:pt idx="9">
                  <c:v>1.9822964717616257E-2</c:v>
                </c:pt>
                <c:pt idx="11">
                  <c:v>1.2467273407305821E-4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BUSEGA-KYENGERA'!$AE$9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BUSEGA-KYENGERA'!$AE$10:$AE$21</c:f>
              <c:numCache>
                <c:formatCode>0</c:formatCode>
                <c:ptCount val="12"/>
                <c:pt idx="0">
                  <c:v>480</c:v>
                </c:pt>
                <c:pt idx="1">
                  <c:v>525</c:v>
                </c:pt>
                <c:pt idx="2">
                  <c:v>560</c:v>
                </c:pt>
                <c:pt idx="3">
                  <c:v>656</c:v>
                </c:pt>
                <c:pt idx="4">
                  <c:v>606</c:v>
                </c:pt>
                <c:pt idx="5">
                  <c:v>563</c:v>
                </c:pt>
                <c:pt idx="6">
                  <c:v>421</c:v>
                </c:pt>
                <c:pt idx="7">
                  <c:v>544</c:v>
                </c:pt>
                <c:pt idx="8">
                  <c:v>645</c:v>
                </c:pt>
                <c:pt idx="9">
                  <c:v>597</c:v>
                </c:pt>
                <c:pt idx="10">
                  <c:v>662</c:v>
                </c:pt>
                <c:pt idx="11">
                  <c:v>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BUSEGA-KYENGERA'!$AF$9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BUSEGA-KYENGERA'!$AF$10:$AF$21</c:f>
              <c:numCache>
                <c:formatCode>0</c:formatCode>
                <c:ptCount val="12"/>
                <c:pt idx="0">
                  <c:v>979</c:v>
                </c:pt>
                <c:pt idx="1">
                  <c:v>1157</c:v>
                </c:pt>
                <c:pt idx="2">
                  <c:v>1271</c:v>
                </c:pt>
                <c:pt idx="3">
                  <c:v>1376</c:v>
                </c:pt>
                <c:pt idx="4">
                  <c:v>1226</c:v>
                </c:pt>
                <c:pt idx="5">
                  <c:v>948</c:v>
                </c:pt>
                <c:pt idx="6">
                  <c:v>1091</c:v>
                </c:pt>
                <c:pt idx="7">
                  <c:v>999</c:v>
                </c:pt>
                <c:pt idx="8">
                  <c:v>1130</c:v>
                </c:pt>
                <c:pt idx="9">
                  <c:v>1277</c:v>
                </c:pt>
                <c:pt idx="10">
                  <c:v>1392</c:v>
                </c:pt>
                <c:pt idx="11">
                  <c:v>1614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154096"/>
        <c:axId val="-149153008"/>
      </c:lineChart>
      <c:catAx>
        <c:axId val="-149154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3008"/>
        <c:crosses val="autoZero"/>
        <c:auto val="1"/>
        <c:lblAlgn val="ctr"/>
        <c:lblOffset val="100"/>
        <c:noMultiLvlLbl val="0"/>
      </c:catAx>
      <c:valAx>
        <c:axId val="-1491530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BUSEGA-KYENGERA'!$C$59:$N$59</c:f>
              <c:numCache>
                <c:formatCode>0.0%</c:formatCode>
                <c:ptCount val="12"/>
                <c:pt idx="0">
                  <c:v>0.1553941908713693</c:v>
                </c:pt>
                <c:pt idx="1">
                  <c:v>3.1742738589211617E-2</c:v>
                </c:pt>
                <c:pt idx="2">
                  <c:v>1.590594744121715E-2</c:v>
                </c:pt>
                <c:pt idx="3">
                  <c:v>0.16168741355463348</c:v>
                </c:pt>
                <c:pt idx="4">
                  <c:v>5.5325034578146614E-3</c:v>
                </c:pt>
                <c:pt idx="5">
                  <c:v>5.1867219917012446E-3</c:v>
                </c:pt>
                <c:pt idx="6">
                  <c:v>4.2946058091286307E-2</c:v>
                </c:pt>
                <c:pt idx="7">
                  <c:v>3.7482710926694328E-2</c:v>
                </c:pt>
                <c:pt idx="8">
                  <c:v>4.7026279391424617E-3</c:v>
                </c:pt>
                <c:pt idx="9">
                  <c:v>1.5629322268326418E-2</c:v>
                </c:pt>
                <c:pt idx="10">
                  <c:v>0.5236514522821577</c:v>
                </c:pt>
                <c:pt idx="11">
                  <c:v>1.3831258644536652E-4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BUSEGA-KYENGERA'!$S$9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BUSEGA-KYENGERA'!$S$10:$S$21</c:f>
              <c:numCache>
                <c:formatCode>0</c:formatCode>
                <c:ptCount val="12"/>
                <c:pt idx="0">
                  <c:v>149</c:v>
                </c:pt>
                <c:pt idx="1">
                  <c:v>167</c:v>
                </c:pt>
                <c:pt idx="2">
                  <c:v>164</c:v>
                </c:pt>
                <c:pt idx="3">
                  <c:v>187</c:v>
                </c:pt>
                <c:pt idx="4">
                  <c:v>193</c:v>
                </c:pt>
                <c:pt idx="5">
                  <c:v>183</c:v>
                </c:pt>
                <c:pt idx="6">
                  <c:v>118</c:v>
                </c:pt>
                <c:pt idx="7">
                  <c:v>154</c:v>
                </c:pt>
                <c:pt idx="8">
                  <c:v>151</c:v>
                </c:pt>
                <c:pt idx="9">
                  <c:v>185</c:v>
                </c:pt>
                <c:pt idx="10">
                  <c:v>300</c:v>
                </c:pt>
                <c:pt idx="11">
                  <c:v>296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BUSEGA-KYENGERA'!$T$9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BUSEGA-KYENGERA'!$T$10:$T$21</c:f>
              <c:numCache>
                <c:formatCode>0</c:formatCode>
                <c:ptCount val="12"/>
                <c:pt idx="0">
                  <c:v>26</c:v>
                </c:pt>
                <c:pt idx="1">
                  <c:v>27</c:v>
                </c:pt>
                <c:pt idx="2">
                  <c:v>52</c:v>
                </c:pt>
                <c:pt idx="3">
                  <c:v>54</c:v>
                </c:pt>
                <c:pt idx="4">
                  <c:v>37</c:v>
                </c:pt>
                <c:pt idx="5">
                  <c:v>29</c:v>
                </c:pt>
                <c:pt idx="6">
                  <c:v>21</c:v>
                </c:pt>
                <c:pt idx="7">
                  <c:v>19</c:v>
                </c:pt>
                <c:pt idx="8">
                  <c:v>85</c:v>
                </c:pt>
                <c:pt idx="9">
                  <c:v>39</c:v>
                </c:pt>
                <c:pt idx="10">
                  <c:v>32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BUSEGA-KYENGERA'!$U$9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BUSEGA-KYENGERA'!$U$10:$U$21</c:f>
              <c:numCache>
                <c:formatCode>0</c:formatCode>
                <c:ptCount val="12"/>
                <c:pt idx="0">
                  <c:v>15</c:v>
                </c:pt>
                <c:pt idx="1">
                  <c:v>21</c:v>
                </c:pt>
                <c:pt idx="2">
                  <c:v>32</c:v>
                </c:pt>
                <c:pt idx="3">
                  <c:v>22</c:v>
                </c:pt>
                <c:pt idx="4">
                  <c:v>17</c:v>
                </c:pt>
                <c:pt idx="5">
                  <c:v>10</c:v>
                </c:pt>
                <c:pt idx="6">
                  <c:v>12</c:v>
                </c:pt>
                <c:pt idx="7">
                  <c:v>22</c:v>
                </c:pt>
                <c:pt idx="8">
                  <c:v>10</c:v>
                </c:pt>
                <c:pt idx="9">
                  <c:v>21</c:v>
                </c:pt>
                <c:pt idx="10">
                  <c:v>21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BUSEGA-KYENGERA'!$V$9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BUSEGA-KYENGERA'!$V$10:$V$21</c:f>
              <c:numCache>
                <c:formatCode>0</c:formatCode>
                <c:ptCount val="12"/>
                <c:pt idx="0">
                  <c:v>179</c:v>
                </c:pt>
                <c:pt idx="1">
                  <c:v>230</c:v>
                </c:pt>
                <c:pt idx="2">
                  <c:v>204</c:v>
                </c:pt>
                <c:pt idx="3">
                  <c:v>223</c:v>
                </c:pt>
                <c:pt idx="4">
                  <c:v>216</c:v>
                </c:pt>
                <c:pt idx="5">
                  <c:v>194</c:v>
                </c:pt>
                <c:pt idx="6">
                  <c:v>139</c:v>
                </c:pt>
                <c:pt idx="7">
                  <c:v>187</c:v>
                </c:pt>
                <c:pt idx="8">
                  <c:v>230</c:v>
                </c:pt>
                <c:pt idx="9">
                  <c:v>165</c:v>
                </c:pt>
                <c:pt idx="10">
                  <c:v>180</c:v>
                </c:pt>
                <c:pt idx="11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BUSEGA-KYENGERA'!$W$9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BUSEGA-KYENGERA'!$W$10:$W$21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8</c:v>
                </c:pt>
                <c:pt idx="5">
                  <c:v>13</c:v>
                </c:pt>
                <c:pt idx="6">
                  <c:v>2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BUSEGA-KYENGERA'!$X$9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BUSEGA-KYENGERA'!$X$10:$X$21</c:f>
              <c:numCache>
                <c:formatCode>0</c:formatCode>
                <c:ptCount val="12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14</c:v>
                </c:pt>
                <c:pt idx="4">
                  <c:v>8</c:v>
                </c:pt>
                <c:pt idx="5">
                  <c:v>9</c:v>
                </c:pt>
                <c:pt idx="6">
                  <c:v>0</c:v>
                </c:pt>
                <c:pt idx="7">
                  <c:v>9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BUSEGA-KYENGERA'!$Y$9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BUSEGA-KYENGERA'!$Y$10:$Y$21</c:f>
              <c:numCache>
                <c:formatCode>0</c:formatCode>
                <c:ptCount val="12"/>
                <c:pt idx="0">
                  <c:v>43</c:v>
                </c:pt>
                <c:pt idx="1">
                  <c:v>40</c:v>
                </c:pt>
                <c:pt idx="2">
                  <c:v>62</c:v>
                </c:pt>
                <c:pt idx="3">
                  <c:v>96</c:v>
                </c:pt>
                <c:pt idx="4">
                  <c:v>63</c:v>
                </c:pt>
                <c:pt idx="5">
                  <c:v>43</c:v>
                </c:pt>
                <c:pt idx="6">
                  <c:v>52</c:v>
                </c:pt>
                <c:pt idx="7">
                  <c:v>54</c:v>
                </c:pt>
                <c:pt idx="8">
                  <c:v>53</c:v>
                </c:pt>
                <c:pt idx="9">
                  <c:v>62</c:v>
                </c:pt>
                <c:pt idx="10">
                  <c:v>29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BUSEGA-KYENGERA'!$Z$9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BUSEGA-KYENGERA'!$Z$10:$Z$21</c:f>
              <c:numCache>
                <c:formatCode>0</c:formatCode>
                <c:ptCount val="12"/>
                <c:pt idx="0">
                  <c:v>26</c:v>
                </c:pt>
                <c:pt idx="1">
                  <c:v>16</c:v>
                </c:pt>
                <c:pt idx="2">
                  <c:v>18</c:v>
                </c:pt>
                <c:pt idx="3">
                  <c:v>33</c:v>
                </c:pt>
                <c:pt idx="4">
                  <c:v>36</c:v>
                </c:pt>
                <c:pt idx="5">
                  <c:v>55</c:v>
                </c:pt>
                <c:pt idx="6">
                  <c:v>48</c:v>
                </c:pt>
                <c:pt idx="7">
                  <c:v>51</c:v>
                </c:pt>
                <c:pt idx="8">
                  <c:v>78</c:v>
                </c:pt>
                <c:pt idx="9">
                  <c:v>87</c:v>
                </c:pt>
                <c:pt idx="10">
                  <c:v>65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BUSEGA-KYENGERA'!$AA$9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BUSEGA-KYENGERA'!$AA$10:$AA$21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6</c:v>
                </c:pt>
                <c:pt idx="7">
                  <c:v>13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BUSEGA-KYENGERA'!$AB$9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BUSEGA-KYENGERA'!$AB$10:$AB$21</c:f>
              <c:numCache>
                <c:formatCode>0</c:formatCode>
                <c:ptCount val="12"/>
                <c:pt idx="0">
                  <c:v>12</c:v>
                </c:pt>
                <c:pt idx="1">
                  <c:v>9</c:v>
                </c:pt>
                <c:pt idx="2">
                  <c:v>15</c:v>
                </c:pt>
                <c:pt idx="3">
                  <c:v>16</c:v>
                </c:pt>
                <c:pt idx="4">
                  <c:v>26</c:v>
                </c:pt>
                <c:pt idx="5">
                  <c:v>21</c:v>
                </c:pt>
                <c:pt idx="6">
                  <c:v>23</c:v>
                </c:pt>
                <c:pt idx="7">
                  <c:v>30</c:v>
                </c:pt>
                <c:pt idx="8">
                  <c:v>23</c:v>
                </c:pt>
                <c:pt idx="9">
                  <c:v>23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BUSEGA-KYENGERA'!$AC$9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BUSEGA-KYENGERA'!$AC$10:$AC$21</c:f>
              <c:numCache>
                <c:formatCode>0</c:formatCode>
                <c:ptCount val="12"/>
                <c:pt idx="0">
                  <c:v>499</c:v>
                </c:pt>
                <c:pt idx="1">
                  <c:v>632</c:v>
                </c:pt>
                <c:pt idx="2">
                  <c:v>711</c:v>
                </c:pt>
                <c:pt idx="3">
                  <c:v>720</c:v>
                </c:pt>
                <c:pt idx="4">
                  <c:v>620</c:v>
                </c:pt>
                <c:pt idx="5">
                  <c:v>385</c:v>
                </c:pt>
                <c:pt idx="6">
                  <c:v>670</c:v>
                </c:pt>
                <c:pt idx="7">
                  <c:v>455</c:v>
                </c:pt>
                <c:pt idx="8">
                  <c:v>485</c:v>
                </c:pt>
                <c:pt idx="9">
                  <c:v>680</c:v>
                </c:pt>
                <c:pt idx="10">
                  <c:v>730</c:v>
                </c:pt>
                <c:pt idx="11">
                  <c:v>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BUSEGA-KYENGERA'!$AD$9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BUSEGA-KYENGERA'!$AD$10:$AD$21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9155184"/>
        <c:axId val="-149151920"/>
      </c:lineChart>
      <c:catAx>
        <c:axId val="-1491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1920"/>
        <c:crosses val="autoZero"/>
        <c:auto val="1"/>
        <c:lblAlgn val="ctr"/>
        <c:lblOffset val="100"/>
        <c:noMultiLvlLbl val="0"/>
      </c:catAx>
      <c:valAx>
        <c:axId val="-1491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BUSEGA-KYENGERA'!$C$60:$N$60</c:f>
              <c:numCache>
                <c:formatCode>0.00%</c:formatCode>
                <c:ptCount val="12"/>
                <c:pt idx="0">
                  <c:v>0.32621951219512196</c:v>
                </c:pt>
                <c:pt idx="1">
                  <c:v>6.66376306620209E-2</c:v>
                </c:pt>
                <c:pt idx="2">
                  <c:v>3.3391405342624858E-2</c:v>
                </c:pt>
                <c:pt idx="3">
                  <c:v>0.33943089430894308</c:v>
                </c:pt>
                <c:pt idx="4">
                  <c:v>1.1614401858304297E-2</c:v>
                </c:pt>
                <c:pt idx="5">
                  <c:v>1.0888501742160279E-2</c:v>
                </c:pt>
                <c:pt idx="6">
                  <c:v>9.0156794425087103E-2</c:v>
                </c:pt>
                <c:pt idx="7">
                  <c:v>7.868757259001162E-2</c:v>
                </c:pt>
                <c:pt idx="8">
                  <c:v>9.8722415795586532E-3</c:v>
                </c:pt>
                <c:pt idx="9">
                  <c:v>3.2810685249709641E-2</c:v>
                </c:pt>
                <c:pt idx="11">
                  <c:v>2.9036004645760743E-4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KYENGERA-BUSEGA'!$AE$9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KYENGERA-BUSEGA'!$AE$10:$AE$21</c:f>
              <c:numCache>
                <c:formatCode>0</c:formatCode>
                <c:ptCount val="12"/>
                <c:pt idx="0">
                  <c:v>589</c:v>
                </c:pt>
                <c:pt idx="1">
                  <c:v>826</c:v>
                </c:pt>
                <c:pt idx="2">
                  <c:v>848</c:v>
                </c:pt>
                <c:pt idx="3">
                  <c:v>723</c:v>
                </c:pt>
                <c:pt idx="4">
                  <c:v>641</c:v>
                </c:pt>
                <c:pt idx="5">
                  <c:v>597</c:v>
                </c:pt>
                <c:pt idx="6">
                  <c:v>535</c:v>
                </c:pt>
                <c:pt idx="7">
                  <c:v>534</c:v>
                </c:pt>
                <c:pt idx="8">
                  <c:v>609</c:v>
                </c:pt>
                <c:pt idx="9">
                  <c:v>631</c:v>
                </c:pt>
                <c:pt idx="10">
                  <c:v>702</c:v>
                </c:pt>
                <c:pt idx="11">
                  <c:v>922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KYENGERA-BUSEGA'!$AF$9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KYENGERA-BUSEGA'!$AF$10:$AF$21</c:f>
              <c:numCache>
                <c:formatCode>0</c:formatCode>
                <c:ptCount val="12"/>
                <c:pt idx="0">
                  <c:v>2234</c:v>
                </c:pt>
                <c:pt idx="1">
                  <c:v>2381</c:v>
                </c:pt>
                <c:pt idx="2">
                  <c:v>2355</c:v>
                </c:pt>
                <c:pt idx="3">
                  <c:v>1834</c:v>
                </c:pt>
                <c:pt idx="4">
                  <c:v>1862</c:v>
                </c:pt>
                <c:pt idx="5">
                  <c:v>1780</c:v>
                </c:pt>
                <c:pt idx="6">
                  <c:v>1554</c:v>
                </c:pt>
                <c:pt idx="7">
                  <c:v>1273</c:v>
                </c:pt>
                <c:pt idx="8">
                  <c:v>1367</c:v>
                </c:pt>
                <c:pt idx="9">
                  <c:v>1343</c:v>
                </c:pt>
                <c:pt idx="10">
                  <c:v>1890</c:v>
                </c:pt>
                <c:pt idx="11">
                  <c:v>2417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150832"/>
        <c:axId val="-149144848"/>
      </c:lineChart>
      <c:catAx>
        <c:axId val="-149150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4848"/>
        <c:crosses val="autoZero"/>
        <c:auto val="1"/>
        <c:lblAlgn val="ctr"/>
        <c:lblOffset val="100"/>
        <c:noMultiLvlLbl val="0"/>
      </c:catAx>
      <c:valAx>
        <c:axId val="-149144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KYENGERA-BUSEGA'!$C$59:$N$59</c:f>
              <c:numCache>
                <c:formatCode>0.0%</c:formatCode>
                <c:ptCount val="12"/>
                <c:pt idx="0">
                  <c:v>0.15948855989232841</c:v>
                </c:pt>
                <c:pt idx="1">
                  <c:v>2.0233288470165995E-2</c:v>
                </c:pt>
                <c:pt idx="2">
                  <c:v>2.386720502467474E-2</c:v>
                </c:pt>
                <c:pt idx="3">
                  <c:v>0.10215343203230148</c:v>
                </c:pt>
                <c:pt idx="4">
                  <c:v>4.0825482279048904E-3</c:v>
                </c:pt>
                <c:pt idx="5">
                  <c:v>3.4993270524899056E-3</c:v>
                </c:pt>
                <c:pt idx="6">
                  <c:v>3.095558546433378E-2</c:v>
                </c:pt>
                <c:pt idx="7">
                  <c:v>1.0946612830865858E-2</c:v>
                </c:pt>
                <c:pt idx="8">
                  <c:v>2.8712427097353074E-3</c:v>
                </c:pt>
                <c:pt idx="9">
                  <c:v>7.8061911170928672E-3</c:v>
                </c:pt>
                <c:pt idx="10">
                  <c:v>0.63405114401076712</c:v>
                </c:pt>
                <c:pt idx="11">
                  <c:v>4.4863167339614178E-5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KYENGERA-BUSEGA'!$S$9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KYENGERA-BUSEGA'!$S$10:$S$21</c:f>
              <c:numCache>
                <c:formatCode>0</c:formatCode>
                <c:ptCount val="12"/>
                <c:pt idx="0">
                  <c:v>238</c:v>
                </c:pt>
                <c:pt idx="1">
                  <c:v>377</c:v>
                </c:pt>
                <c:pt idx="2">
                  <c:v>389</c:v>
                </c:pt>
                <c:pt idx="3">
                  <c:v>330</c:v>
                </c:pt>
                <c:pt idx="4">
                  <c:v>275</c:v>
                </c:pt>
                <c:pt idx="5">
                  <c:v>258</c:v>
                </c:pt>
                <c:pt idx="6">
                  <c:v>215</c:v>
                </c:pt>
                <c:pt idx="7">
                  <c:v>210</c:v>
                </c:pt>
                <c:pt idx="8">
                  <c:v>262</c:v>
                </c:pt>
                <c:pt idx="9">
                  <c:v>256</c:v>
                </c:pt>
                <c:pt idx="10">
                  <c:v>282</c:v>
                </c:pt>
                <c:pt idx="11">
                  <c:v>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KYENGERA-BUSEGA'!$T$9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KYENGERA-BUSEGA'!$T$10:$T$21</c:f>
              <c:numCache>
                <c:formatCode>0</c:formatCode>
                <c:ptCount val="12"/>
                <c:pt idx="0">
                  <c:v>36</c:v>
                </c:pt>
                <c:pt idx="1">
                  <c:v>33</c:v>
                </c:pt>
                <c:pt idx="2">
                  <c:v>46</c:v>
                </c:pt>
                <c:pt idx="3">
                  <c:v>42</c:v>
                </c:pt>
                <c:pt idx="4">
                  <c:v>38</c:v>
                </c:pt>
                <c:pt idx="5">
                  <c:v>29</c:v>
                </c:pt>
                <c:pt idx="6">
                  <c:v>28</c:v>
                </c:pt>
                <c:pt idx="7">
                  <c:v>23</c:v>
                </c:pt>
                <c:pt idx="8">
                  <c:v>36</c:v>
                </c:pt>
                <c:pt idx="9">
                  <c:v>45</c:v>
                </c:pt>
                <c:pt idx="10">
                  <c:v>51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KYENGERA-BUSEGA'!$U$9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KYENGERA-BUSEGA'!$U$10:$U$21</c:f>
              <c:numCache>
                <c:formatCode>0</c:formatCode>
                <c:ptCount val="12"/>
                <c:pt idx="0">
                  <c:v>25</c:v>
                </c:pt>
                <c:pt idx="1">
                  <c:v>46</c:v>
                </c:pt>
                <c:pt idx="2">
                  <c:v>42</c:v>
                </c:pt>
                <c:pt idx="3">
                  <c:v>49</c:v>
                </c:pt>
                <c:pt idx="4">
                  <c:v>47</c:v>
                </c:pt>
                <c:pt idx="5">
                  <c:v>36</c:v>
                </c:pt>
                <c:pt idx="6">
                  <c:v>43</c:v>
                </c:pt>
                <c:pt idx="7">
                  <c:v>50</c:v>
                </c:pt>
                <c:pt idx="8">
                  <c:v>51</c:v>
                </c:pt>
                <c:pt idx="9">
                  <c:v>46</c:v>
                </c:pt>
                <c:pt idx="10">
                  <c:v>57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KYENGERA-BUSEGA'!$V$9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KYENGERA-BUSEGA'!$V$10:$V$21</c:f>
              <c:numCache>
                <c:formatCode>0</c:formatCode>
                <c:ptCount val="12"/>
                <c:pt idx="0">
                  <c:v>167</c:v>
                </c:pt>
                <c:pt idx="1">
                  <c:v>249</c:v>
                </c:pt>
                <c:pt idx="2">
                  <c:v>244</c:v>
                </c:pt>
                <c:pt idx="3">
                  <c:v>202</c:v>
                </c:pt>
                <c:pt idx="4">
                  <c:v>183</c:v>
                </c:pt>
                <c:pt idx="5">
                  <c:v>177</c:v>
                </c:pt>
                <c:pt idx="6">
                  <c:v>164</c:v>
                </c:pt>
                <c:pt idx="7">
                  <c:v>134</c:v>
                </c:pt>
                <c:pt idx="8">
                  <c:v>155</c:v>
                </c:pt>
                <c:pt idx="9">
                  <c:v>177</c:v>
                </c:pt>
                <c:pt idx="10">
                  <c:v>174</c:v>
                </c:pt>
                <c:pt idx="11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KYENGERA-BUSEGA'!$W$9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KYENGERA-BUSEGA'!$W$10:$W$21</c:f>
              <c:numCache>
                <c:formatCode>0</c:formatCode>
                <c:ptCount val="12"/>
                <c:pt idx="0">
                  <c:v>15</c:v>
                </c:pt>
                <c:pt idx="1">
                  <c:v>13</c:v>
                </c:pt>
                <c:pt idx="2">
                  <c:v>15</c:v>
                </c:pt>
                <c:pt idx="3">
                  <c:v>8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6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KYENGERA-BUSEGA'!$X$9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KYENGERA-BUSEGA'!$X$10:$X$21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8</c:v>
                </c:pt>
                <c:pt idx="10">
                  <c:v>29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KYENGERA-BUSEGA'!$Y$9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KYENGERA-BUSEGA'!$Y$10:$Y$21</c:f>
              <c:numCache>
                <c:formatCode>0</c:formatCode>
                <c:ptCount val="12"/>
                <c:pt idx="0">
                  <c:v>49</c:v>
                </c:pt>
                <c:pt idx="1">
                  <c:v>58</c:v>
                </c:pt>
                <c:pt idx="2">
                  <c:v>61</c:v>
                </c:pt>
                <c:pt idx="3">
                  <c:v>56</c:v>
                </c:pt>
                <c:pt idx="4">
                  <c:v>57</c:v>
                </c:pt>
                <c:pt idx="5">
                  <c:v>62</c:v>
                </c:pt>
                <c:pt idx="6">
                  <c:v>40</c:v>
                </c:pt>
                <c:pt idx="7">
                  <c:v>74</c:v>
                </c:pt>
                <c:pt idx="8">
                  <c:v>62</c:v>
                </c:pt>
                <c:pt idx="9">
                  <c:v>61</c:v>
                </c:pt>
                <c:pt idx="10">
                  <c:v>50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KYENGERA-BUSEGA'!$Z$9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KYENGERA-BUSEGA'!$Z$10:$Z$21</c:f>
              <c:numCache>
                <c:formatCode>0</c:formatCode>
                <c:ptCount val="12"/>
                <c:pt idx="0">
                  <c:v>34</c:v>
                </c:pt>
                <c:pt idx="1">
                  <c:v>23</c:v>
                </c:pt>
                <c:pt idx="2">
                  <c:v>23</c:v>
                </c:pt>
                <c:pt idx="3">
                  <c:v>19</c:v>
                </c:pt>
                <c:pt idx="4">
                  <c:v>18</c:v>
                </c:pt>
                <c:pt idx="5">
                  <c:v>19</c:v>
                </c:pt>
                <c:pt idx="6">
                  <c:v>17</c:v>
                </c:pt>
                <c:pt idx="7">
                  <c:v>16</c:v>
                </c:pt>
                <c:pt idx="8">
                  <c:v>21</c:v>
                </c:pt>
                <c:pt idx="9">
                  <c:v>15</c:v>
                </c:pt>
                <c:pt idx="10">
                  <c:v>22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KYENGERA-BUSEGA'!$AA$9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KYENGERA-BUSEGA'!$AA$10:$AA$21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7</c:v>
                </c:pt>
                <c:pt idx="3">
                  <c:v>4</c:v>
                </c:pt>
                <c:pt idx="4">
                  <c:v>9</c:v>
                </c:pt>
                <c:pt idx="5">
                  <c:v>4</c:v>
                </c:pt>
                <c:pt idx="6">
                  <c:v>7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KYENGERA-BUSEGA'!$AB$9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KYENGERA-BUSEGA'!$AB$10:$AB$21</c:f>
              <c:numCache>
                <c:formatCode>0</c:formatCode>
                <c:ptCount val="12"/>
                <c:pt idx="0">
                  <c:v>16</c:v>
                </c:pt>
                <c:pt idx="1">
                  <c:v>21</c:v>
                </c:pt>
                <c:pt idx="2">
                  <c:v>17</c:v>
                </c:pt>
                <c:pt idx="3">
                  <c:v>10</c:v>
                </c:pt>
                <c:pt idx="4">
                  <c:v>9</c:v>
                </c:pt>
                <c:pt idx="5">
                  <c:v>5</c:v>
                </c:pt>
                <c:pt idx="6">
                  <c:v>16</c:v>
                </c:pt>
                <c:pt idx="7">
                  <c:v>15</c:v>
                </c:pt>
                <c:pt idx="8">
                  <c:v>11</c:v>
                </c:pt>
                <c:pt idx="9">
                  <c:v>15</c:v>
                </c:pt>
                <c:pt idx="10">
                  <c:v>22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KYENGERA-BUSEGA'!$AC$9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KYENGERA-BUSEGA'!$AC$10:$AC$21</c:f>
              <c:numCache>
                <c:formatCode>0</c:formatCode>
                <c:ptCount val="12"/>
                <c:pt idx="0">
                  <c:v>1645</c:v>
                </c:pt>
                <c:pt idx="1">
                  <c:v>1555</c:v>
                </c:pt>
                <c:pt idx="2">
                  <c:v>1507</c:v>
                </c:pt>
                <c:pt idx="3">
                  <c:v>1111</c:v>
                </c:pt>
                <c:pt idx="4">
                  <c:v>1221</c:v>
                </c:pt>
                <c:pt idx="5">
                  <c:v>1183</c:v>
                </c:pt>
                <c:pt idx="6">
                  <c:v>1019</c:v>
                </c:pt>
                <c:pt idx="7">
                  <c:v>739</c:v>
                </c:pt>
                <c:pt idx="8">
                  <c:v>758</c:v>
                </c:pt>
                <c:pt idx="9">
                  <c:v>712</c:v>
                </c:pt>
                <c:pt idx="10">
                  <c:v>1188</c:v>
                </c:pt>
                <c:pt idx="11">
                  <c:v>1495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KYENGERA-BUSEGA'!$AD$9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KYENGERA-BUSEGA'!$AD$10:$AD$21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9141584"/>
        <c:axId val="-148279232"/>
      </c:lineChart>
      <c:catAx>
        <c:axId val="-14914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9232"/>
        <c:crosses val="autoZero"/>
        <c:auto val="1"/>
        <c:lblAlgn val="ctr"/>
        <c:lblOffset val="100"/>
        <c:noMultiLvlLbl val="0"/>
      </c:catAx>
      <c:valAx>
        <c:axId val="-14827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914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KYENGERA-BUSEGA'!$C$60:$N$60</c:f>
              <c:numCache>
                <c:formatCode>0.00%</c:formatCode>
                <c:ptCount val="12"/>
                <c:pt idx="0">
                  <c:v>0.43582199337991911</c:v>
                </c:pt>
                <c:pt idx="1">
                  <c:v>5.5289935025131791E-2</c:v>
                </c:pt>
                <c:pt idx="2">
                  <c:v>6.522005639328185E-2</c:v>
                </c:pt>
                <c:pt idx="3">
                  <c:v>0.27914674512688487</c:v>
                </c:pt>
                <c:pt idx="4">
                  <c:v>1.1156062277798209E-2</c:v>
                </c:pt>
                <c:pt idx="5">
                  <c:v>9.5623390952556085E-3</c:v>
                </c:pt>
                <c:pt idx="6">
                  <c:v>8.4589922765722692E-2</c:v>
                </c:pt>
                <c:pt idx="7">
                  <c:v>2.9912958195414983E-2</c:v>
                </c:pt>
                <c:pt idx="8">
                  <c:v>7.846021821748192E-3</c:v>
                </c:pt>
                <c:pt idx="9">
                  <c:v>2.1331371827877896E-2</c:v>
                </c:pt>
                <c:pt idx="11">
                  <c:v>1.225940909648155E-4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BUSEGA-KYENGERA'!$AE$9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BUSEGA-KYENGERA'!$AE$10:$AE$21</c:f>
              <c:numCache>
                <c:formatCode>0</c:formatCode>
                <c:ptCount val="12"/>
                <c:pt idx="0">
                  <c:v>475</c:v>
                </c:pt>
                <c:pt idx="1">
                  <c:v>453</c:v>
                </c:pt>
                <c:pt idx="2">
                  <c:v>524</c:v>
                </c:pt>
                <c:pt idx="3">
                  <c:v>570</c:v>
                </c:pt>
                <c:pt idx="4">
                  <c:v>697</c:v>
                </c:pt>
                <c:pt idx="5">
                  <c:v>584</c:v>
                </c:pt>
                <c:pt idx="6">
                  <c:v>452</c:v>
                </c:pt>
                <c:pt idx="7">
                  <c:v>343</c:v>
                </c:pt>
                <c:pt idx="8">
                  <c:v>567</c:v>
                </c:pt>
                <c:pt idx="9">
                  <c:v>625</c:v>
                </c:pt>
                <c:pt idx="10">
                  <c:v>602</c:v>
                </c:pt>
                <c:pt idx="11">
                  <c:v>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BUSEGA-KYENGERA'!$AF$9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BUSEGA-KYENGERA'!$AF$10:$AF$21</c:f>
              <c:numCache>
                <c:formatCode>0</c:formatCode>
                <c:ptCount val="12"/>
                <c:pt idx="0">
                  <c:v>1085</c:v>
                </c:pt>
                <c:pt idx="1">
                  <c:v>1263</c:v>
                </c:pt>
                <c:pt idx="2">
                  <c:v>1486</c:v>
                </c:pt>
                <c:pt idx="3">
                  <c:v>1457</c:v>
                </c:pt>
                <c:pt idx="4">
                  <c:v>1369</c:v>
                </c:pt>
                <c:pt idx="5">
                  <c:v>1174</c:v>
                </c:pt>
                <c:pt idx="6">
                  <c:v>861</c:v>
                </c:pt>
                <c:pt idx="7">
                  <c:v>993</c:v>
                </c:pt>
                <c:pt idx="8">
                  <c:v>1205</c:v>
                </c:pt>
                <c:pt idx="9">
                  <c:v>1505</c:v>
                </c:pt>
                <c:pt idx="10">
                  <c:v>1591</c:v>
                </c:pt>
                <c:pt idx="11">
                  <c:v>1903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8274336"/>
        <c:axId val="-148284128"/>
      </c:lineChart>
      <c:catAx>
        <c:axId val="-148274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4128"/>
        <c:crosses val="autoZero"/>
        <c:auto val="1"/>
        <c:lblAlgn val="ctr"/>
        <c:lblOffset val="100"/>
        <c:noMultiLvlLbl val="0"/>
      </c:catAx>
      <c:valAx>
        <c:axId val="-148284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BUSEGA-KYENGERA'!$C$59:$N$59</c:f>
              <c:numCache>
                <c:formatCode>0.0%</c:formatCode>
                <c:ptCount val="12"/>
                <c:pt idx="0">
                  <c:v>0.14617417568587968</c:v>
                </c:pt>
                <c:pt idx="1">
                  <c:v>2.0828089604832619E-2</c:v>
                </c:pt>
                <c:pt idx="2">
                  <c:v>1.5982884470173674E-2</c:v>
                </c:pt>
                <c:pt idx="3">
                  <c:v>0.13321167883211679</c:v>
                </c:pt>
                <c:pt idx="4">
                  <c:v>4.8452051346589481E-3</c:v>
                </c:pt>
                <c:pt idx="5">
                  <c:v>4.1530329725648126E-3</c:v>
                </c:pt>
                <c:pt idx="6">
                  <c:v>4.3606846211930533E-2</c:v>
                </c:pt>
                <c:pt idx="7">
                  <c:v>2.454064938333753E-2</c:v>
                </c:pt>
                <c:pt idx="8">
                  <c:v>3.9642587465391396E-3</c:v>
                </c:pt>
                <c:pt idx="9">
                  <c:v>1.5101938082053864E-2</c:v>
                </c:pt>
                <c:pt idx="10">
                  <c:v>0.58752831613390388</c:v>
                </c:pt>
                <c:pt idx="11">
                  <c:v>6.2924742008557769E-5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BUSEGA-KYENGERA'!$C$60:$N$60</c:f>
              <c:numCache>
                <c:formatCode>0.00%</c:formatCode>
                <c:ptCount val="12"/>
                <c:pt idx="0">
                  <c:v>0.35438596491228069</c:v>
                </c:pt>
                <c:pt idx="1">
                  <c:v>5.049580472921434E-2</c:v>
                </c:pt>
                <c:pt idx="2">
                  <c:v>3.8749046529366893E-2</c:v>
                </c:pt>
                <c:pt idx="3">
                  <c:v>0.32295957284515636</c:v>
                </c:pt>
                <c:pt idx="4">
                  <c:v>1.1746758199847445E-2</c:v>
                </c:pt>
                <c:pt idx="5">
                  <c:v>1.0068649885583524E-2</c:v>
                </c:pt>
                <c:pt idx="6">
                  <c:v>0.105720823798627</c:v>
                </c:pt>
                <c:pt idx="7">
                  <c:v>5.9496567505720827E-2</c:v>
                </c:pt>
                <c:pt idx="8">
                  <c:v>9.6109839816933638E-3</c:v>
                </c:pt>
                <c:pt idx="9">
                  <c:v>3.6613272311212815E-2</c:v>
                </c:pt>
                <c:pt idx="11">
                  <c:v>1.5255530129672007E-4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KYENGERA-BUSEGA'!$AE$9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KYENGERA-BUSEGA'!$AE$10:$AE$21</c:f>
              <c:numCache>
                <c:formatCode>0</c:formatCode>
                <c:ptCount val="12"/>
                <c:pt idx="0">
                  <c:v>928</c:v>
                </c:pt>
                <c:pt idx="1">
                  <c:v>894</c:v>
                </c:pt>
                <c:pt idx="2">
                  <c:v>888</c:v>
                </c:pt>
                <c:pt idx="3">
                  <c:v>661</c:v>
                </c:pt>
                <c:pt idx="4">
                  <c:v>708</c:v>
                </c:pt>
                <c:pt idx="5">
                  <c:v>574</c:v>
                </c:pt>
                <c:pt idx="6">
                  <c:v>571</c:v>
                </c:pt>
                <c:pt idx="7">
                  <c:v>557</c:v>
                </c:pt>
                <c:pt idx="8">
                  <c:v>508</c:v>
                </c:pt>
                <c:pt idx="9">
                  <c:v>541</c:v>
                </c:pt>
                <c:pt idx="10">
                  <c:v>650</c:v>
                </c:pt>
                <c:pt idx="11">
                  <c:v>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KYENGERA-BUSEGA'!$AF$9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KYENGERA-BUSEGA'!$AF$10:$AF$21</c:f>
              <c:numCache>
                <c:formatCode>0</c:formatCode>
                <c:ptCount val="12"/>
                <c:pt idx="0">
                  <c:v>3198</c:v>
                </c:pt>
                <c:pt idx="1">
                  <c:v>3547</c:v>
                </c:pt>
                <c:pt idx="2">
                  <c:v>2551</c:v>
                </c:pt>
                <c:pt idx="3">
                  <c:v>1905</c:v>
                </c:pt>
                <c:pt idx="4">
                  <c:v>1563</c:v>
                </c:pt>
                <c:pt idx="5">
                  <c:v>1257</c:v>
                </c:pt>
                <c:pt idx="6">
                  <c:v>1204</c:v>
                </c:pt>
                <c:pt idx="7">
                  <c:v>1158</c:v>
                </c:pt>
                <c:pt idx="8">
                  <c:v>1063</c:v>
                </c:pt>
                <c:pt idx="9">
                  <c:v>1395</c:v>
                </c:pt>
                <c:pt idx="10">
                  <c:v>1594</c:v>
                </c:pt>
                <c:pt idx="11">
                  <c:v>1929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8272160"/>
        <c:axId val="-148275968"/>
      </c:lineChart>
      <c:catAx>
        <c:axId val="-1482721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5968"/>
        <c:crosses val="autoZero"/>
        <c:auto val="1"/>
        <c:lblAlgn val="ctr"/>
        <c:lblOffset val="100"/>
        <c:noMultiLvlLbl val="0"/>
      </c:catAx>
      <c:valAx>
        <c:axId val="-148275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7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KYENGERA-BUSEGA'!$C$59:$N$59</c:f>
              <c:numCache>
                <c:formatCode>0.0%</c:formatCode>
                <c:ptCount val="12"/>
                <c:pt idx="0">
                  <c:v>0.15462350205687711</c:v>
                </c:pt>
                <c:pt idx="1">
                  <c:v>1.9316759077088179E-2</c:v>
                </c:pt>
                <c:pt idx="2">
                  <c:v>2.1954927562153462E-2</c:v>
                </c:pt>
                <c:pt idx="3">
                  <c:v>0.10101055267394025</c:v>
                </c:pt>
                <c:pt idx="4">
                  <c:v>3.75603648721159E-3</c:v>
                </c:pt>
                <c:pt idx="5">
                  <c:v>2.0568771239492041E-3</c:v>
                </c:pt>
                <c:pt idx="6">
                  <c:v>3.2910033983187266E-2</c:v>
                </c:pt>
                <c:pt idx="7">
                  <c:v>1.1133965301377214E-2</c:v>
                </c:pt>
                <c:pt idx="8">
                  <c:v>1.7438740833482383E-3</c:v>
                </c:pt>
                <c:pt idx="9">
                  <c:v>1.1133965301377214E-2</c:v>
                </c:pt>
                <c:pt idx="10">
                  <c:v>0.64031479162940441</c:v>
                </c:pt>
                <c:pt idx="11">
                  <c:v>4.471472008585226E-5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KYENGERA-BUSEGA'!$S$9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KYENGERA-BUSEGA'!$S$10:$S$21</c:f>
              <c:numCache>
                <c:formatCode>0</c:formatCode>
                <c:ptCount val="12"/>
                <c:pt idx="0">
                  <c:v>468</c:v>
                </c:pt>
                <c:pt idx="1">
                  <c:v>440</c:v>
                </c:pt>
                <c:pt idx="2">
                  <c:v>410</c:v>
                </c:pt>
                <c:pt idx="3">
                  <c:v>293</c:v>
                </c:pt>
                <c:pt idx="4">
                  <c:v>307</c:v>
                </c:pt>
                <c:pt idx="5">
                  <c:v>231</c:v>
                </c:pt>
                <c:pt idx="6">
                  <c:v>214</c:v>
                </c:pt>
                <c:pt idx="7">
                  <c:v>213</c:v>
                </c:pt>
                <c:pt idx="8">
                  <c:v>200</c:v>
                </c:pt>
                <c:pt idx="9">
                  <c:v>234</c:v>
                </c:pt>
                <c:pt idx="10">
                  <c:v>272</c:v>
                </c:pt>
                <c:pt idx="11">
                  <c:v>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KYENGERA-BUSEGA'!$T$9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KYENGERA-BUSEGA'!$T$10:$T$21</c:f>
              <c:numCache>
                <c:formatCode>0</c:formatCode>
                <c:ptCount val="12"/>
                <c:pt idx="0">
                  <c:v>44</c:v>
                </c:pt>
                <c:pt idx="1">
                  <c:v>39</c:v>
                </c:pt>
                <c:pt idx="2">
                  <c:v>47</c:v>
                </c:pt>
                <c:pt idx="3">
                  <c:v>27</c:v>
                </c:pt>
                <c:pt idx="4">
                  <c:v>37</c:v>
                </c:pt>
                <c:pt idx="5">
                  <c:v>25</c:v>
                </c:pt>
                <c:pt idx="6">
                  <c:v>37</c:v>
                </c:pt>
                <c:pt idx="7">
                  <c:v>38</c:v>
                </c:pt>
                <c:pt idx="8">
                  <c:v>27</c:v>
                </c:pt>
                <c:pt idx="9">
                  <c:v>39</c:v>
                </c:pt>
                <c:pt idx="10">
                  <c:v>37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KYENGERA-BUSEGA'!$U$9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KYENGERA-BUSEGA'!$U$10:$U$21</c:f>
              <c:numCache>
                <c:formatCode>0</c:formatCode>
                <c:ptCount val="12"/>
                <c:pt idx="0">
                  <c:v>48</c:v>
                </c:pt>
                <c:pt idx="1">
                  <c:v>49</c:v>
                </c:pt>
                <c:pt idx="2">
                  <c:v>59</c:v>
                </c:pt>
                <c:pt idx="3">
                  <c:v>33</c:v>
                </c:pt>
                <c:pt idx="4">
                  <c:v>44</c:v>
                </c:pt>
                <c:pt idx="5">
                  <c:v>33</c:v>
                </c:pt>
                <c:pt idx="6">
                  <c:v>29</c:v>
                </c:pt>
                <c:pt idx="7">
                  <c:v>39</c:v>
                </c:pt>
                <c:pt idx="8">
                  <c:v>32</c:v>
                </c:pt>
                <c:pt idx="9">
                  <c:v>31</c:v>
                </c:pt>
                <c:pt idx="10">
                  <c:v>62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KYENGERA-BUSEGA'!$V$9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KYENGERA-BUSEGA'!$V$10:$V$21</c:f>
              <c:numCache>
                <c:formatCode>0</c:formatCode>
                <c:ptCount val="12"/>
                <c:pt idx="0">
                  <c:v>246</c:v>
                </c:pt>
                <c:pt idx="1">
                  <c:v>259</c:v>
                </c:pt>
                <c:pt idx="2">
                  <c:v>231</c:v>
                </c:pt>
                <c:pt idx="3">
                  <c:v>207</c:v>
                </c:pt>
                <c:pt idx="4">
                  <c:v>212</c:v>
                </c:pt>
                <c:pt idx="5">
                  <c:v>187</c:v>
                </c:pt>
                <c:pt idx="6">
                  <c:v>158</c:v>
                </c:pt>
                <c:pt idx="7">
                  <c:v>156</c:v>
                </c:pt>
                <c:pt idx="8">
                  <c:v>129</c:v>
                </c:pt>
                <c:pt idx="9">
                  <c:v>134</c:v>
                </c:pt>
                <c:pt idx="10">
                  <c:v>143</c:v>
                </c:pt>
                <c:pt idx="11">
                  <c:v>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KYENGERA-BUSEGA'!$W$9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KYENGERA-BUSEGA'!$W$10:$W$21</c:f>
              <c:numCache>
                <c:formatCode>0</c:formatCode>
                <c:ptCount val="12"/>
                <c:pt idx="0">
                  <c:v>15</c:v>
                </c:pt>
                <c:pt idx="1">
                  <c:v>6</c:v>
                </c:pt>
                <c:pt idx="2">
                  <c:v>17</c:v>
                </c:pt>
                <c:pt idx="3">
                  <c:v>4</c:v>
                </c:pt>
                <c:pt idx="4">
                  <c:v>7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9</c:v>
                </c:pt>
                <c:pt idx="9">
                  <c:v>5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KYENGERA-BUSEGA'!$X$9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2</c:v>
                </c:pt>
                <c:pt idx="9">
                  <c:v>9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KYENGERA-BUSEGA'!$Y$9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KYENGERA-BUSEGA'!$Y$10:$Y$21</c:f>
              <c:numCache>
                <c:formatCode>0</c:formatCode>
                <c:ptCount val="12"/>
                <c:pt idx="0">
                  <c:v>62</c:v>
                </c:pt>
                <c:pt idx="1">
                  <c:v>58</c:v>
                </c:pt>
                <c:pt idx="2">
                  <c:v>65</c:v>
                </c:pt>
                <c:pt idx="3">
                  <c:v>65</c:v>
                </c:pt>
                <c:pt idx="4">
                  <c:v>64</c:v>
                </c:pt>
                <c:pt idx="5">
                  <c:v>56</c:v>
                </c:pt>
                <c:pt idx="6">
                  <c:v>70</c:v>
                </c:pt>
                <c:pt idx="7">
                  <c:v>63</c:v>
                </c:pt>
                <c:pt idx="8">
                  <c:v>70</c:v>
                </c:pt>
                <c:pt idx="9">
                  <c:v>39</c:v>
                </c:pt>
                <c:pt idx="10">
                  <c:v>68</c:v>
                </c:pt>
                <c:pt idx="1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KYENGERA-BUSEGA'!$Z$9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KYENGERA-BUSEGA'!$Z$10:$Z$21</c:f>
              <c:numCache>
                <c:formatCode>0</c:formatCode>
                <c:ptCount val="12"/>
                <c:pt idx="0">
                  <c:v>27</c:v>
                </c:pt>
                <c:pt idx="1">
                  <c:v>21</c:v>
                </c:pt>
                <c:pt idx="2">
                  <c:v>25</c:v>
                </c:pt>
                <c:pt idx="3">
                  <c:v>14</c:v>
                </c:pt>
                <c:pt idx="4">
                  <c:v>13</c:v>
                </c:pt>
                <c:pt idx="5">
                  <c:v>20</c:v>
                </c:pt>
                <c:pt idx="6">
                  <c:v>24</c:v>
                </c:pt>
                <c:pt idx="7">
                  <c:v>19</c:v>
                </c:pt>
                <c:pt idx="8">
                  <c:v>20</c:v>
                </c:pt>
                <c:pt idx="9">
                  <c:v>15</c:v>
                </c:pt>
                <c:pt idx="10">
                  <c:v>18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KYENGERA-BUSEGA'!$AA$9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5</c:v>
                </c:pt>
                <c:pt idx="6">
                  <c:v>8</c:v>
                </c:pt>
                <c:pt idx="7">
                  <c:v>3</c:v>
                </c:pt>
                <c:pt idx="8">
                  <c:v>2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KYENGERA-BUSEGA'!$AB$9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KYENGERA-BUSEGA'!$AB$10:$AB$21</c:f>
              <c:numCache>
                <c:formatCode>0</c:formatCode>
                <c:ptCount val="12"/>
                <c:pt idx="0">
                  <c:v>17</c:v>
                </c:pt>
                <c:pt idx="1">
                  <c:v>18</c:v>
                </c:pt>
                <c:pt idx="2">
                  <c:v>24</c:v>
                </c:pt>
                <c:pt idx="3">
                  <c:v>16</c:v>
                </c:pt>
                <c:pt idx="4">
                  <c:v>23</c:v>
                </c:pt>
                <c:pt idx="5">
                  <c:v>12</c:v>
                </c:pt>
                <c:pt idx="6">
                  <c:v>26</c:v>
                </c:pt>
                <c:pt idx="7">
                  <c:v>15</c:v>
                </c:pt>
                <c:pt idx="8">
                  <c:v>17</c:v>
                </c:pt>
                <c:pt idx="9">
                  <c:v>30</c:v>
                </c:pt>
                <c:pt idx="10">
                  <c:v>31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KYENGERA-BUSEGA'!$AC$9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KYENGERA-BUSEGA'!$AC$10:$AC$21</c:f>
              <c:numCache>
                <c:formatCode>0</c:formatCode>
                <c:ptCount val="12"/>
                <c:pt idx="0">
                  <c:v>2270</c:v>
                </c:pt>
                <c:pt idx="1">
                  <c:v>2653</c:v>
                </c:pt>
                <c:pt idx="2">
                  <c:v>1663</c:v>
                </c:pt>
                <c:pt idx="3">
                  <c:v>1244</c:v>
                </c:pt>
                <c:pt idx="4">
                  <c:v>855</c:v>
                </c:pt>
                <c:pt idx="5">
                  <c:v>683</c:v>
                </c:pt>
                <c:pt idx="6">
                  <c:v>633</c:v>
                </c:pt>
                <c:pt idx="7">
                  <c:v>601</c:v>
                </c:pt>
                <c:pt idx="8">
                  <c:v>555</c:v>
                </c:pt>
                <c:pt idx="9">
                  <c:v>854</c:v>
                </c:pt>
                <c:pt idx="10">
                  <c:v>944</c:v>
                </c:pt>
                <c:pt idx="11">
                  <c:v>1365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KYENGERA-BUSEGA'!$AD$9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KYENGERA-BUSEGA'!$AD$10:$AD$21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8287392"/>
        <c:axId val="-148285760"/>
      </c:lineChart>
      <c:catAx>
        <c:axId val="-148287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5760"/>
        <c:crosses val="autoZero"/>
        <c:auto val="1"/>
        <c:lblAlgn val="ctr"/>
        <c:lblOffset val="100"/>
        <c:noMultiLvlLbl val="0"/>
      </c:catAx>
      <c:valAx>
        <c:axId val="-14828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KYENGERA-BUSEGA'!$C$60:$N$60</c:f>
              <c:numCache>
                <c:formatCode>0.00%</c:formatCode>
                <c:ptCount val="12"/>
                <c:pt idx="0">
                  <c:v>0.42988562904027849</c:v>
                </c:pt>
                <c:pt idx="1">
                  <c:v>5.370462456489309E-2</c:v>
                </c:pt>
                <c:pt idx="2">
                  <c:v>6.1039283938339135E-2</c:v>
                </c:pt>
                <c:pt idx="3">
                  <c:v>0.28083043262058677</c:v>
                </c:pt>
                <c:pt idx="4">
                  <c:v>1.04425658876181E-2</c:v>
                </c:pt>
                <c:pt idx="5">
                  <c:v>5.7185479860765789E-3</c:v>
                </c:pt>
                <c:pt idx="6">
                  <c:v>9.1496767777225263E-2</c:v>
                </c:pt>
                <c:pt idx="7">
                  <c:v>3.0954748881153654E-2</c:v>
                </c:pt>
                <c:pt idx="8">
                  <c:v>4.8483341621084041E-3</c:v>
                </c:pt>
                <c:pt idx="9">
                  <c:v>3.0954748881153654E-2</c:v>
                </c:pt>
                <c:pt idx="11">
                  <c:v>1.2431626056688214E-4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BUSEGA-KYENGERA'!$AE$9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BUSEGA-KYENGERA'!$AE$10:$AE$21</c:f>
              <c:numCache>
                <c:formatCode>0</c:formatCode>
                <c:ptCount val="12"/>
                <c:pt idx="0">
                  <c:v>521</c:v>
                </c:pt>
                <c:pt idx="1">
                  <c:v>544</c:v>
                </c:pt>
                <c:pt idx="2">
                  <c:v>636</c:v>
                </c:pt>
                <c:pt idx="3">
                  <c:v>600</c:v>
                </c:pt>
                <c:pt idx="4">
                  <c:v>675</c:v>
                </c:pt>
                <c:pt idx="5">
                  <c:v>563</c:v>
                </c:pt>
                <c:pt idx="6">
                  <c:v>654</c:v>
                </c:pt>
                <c:pt idx="7">
                  <c:v>607</c:v>
                </c:pt>
                <c:pt idx="8">
                  <c:v>711</c:v>
                </c:pt>
                <c:pt idx="9">
                  <c:v>589</c:v>
                </c:pt>
                <c:pt idx="10">
                  <c:v>546</c:v>
                </c:pt>
                <c:pt idx="11">
                  <c:v>503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BUSEGA-KYENGERA'!$AF$9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BUSEGA-KYENGERA'!$AF$10:$AF$21</c:f>
              <c:numCache>
                <c:formatCode>0</c:formatCode>
                <c:ptCount val="12"/>
                <c:pt idx="0">
                  <c:v>1303</c:v>
                </c:pt>
                <c:pt idx="1">
                  <c:v>1334</c:v>
                </c:pt>
                <c:pt idx="2">
                  <c:v>1586</c:v>
                </c:pt>
                <c:pt idx="3">
                  <c:v>1260</c:v>
                </c:pt>
                <c:pt idx="4">
                  <c:v>1070</c:v>
                </c:pt>
                <c:pt idx="5">
                  <c:v>993</c:v>
                </c:pt>
                <c:pt idx="6">
                  <c:v>1371</c:v>
                </c:pt>
                <c:pt idx="7">
                  <c:v>1119</c:v>
                </c:pt>
                <c:pt idx="8">
                  <c:v>1231</c:v>
                </c:pt>
                <c:pt idx="9">
                  <c:v>1294</c:v>
                </c:pt>
                <c:pt idx="10">
                  <c:v>1761</c:v>
                </c:pt>
                <c:pt idx="11">
                  <c:v>1580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8280864"/>
        <c:axId val="-148280320"/>
      </c:lineChart>
      <c:catAx>
        <c:axId val="-1482808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0320"/>
        <c:crosses val="autoZero"/>
        <c:auto val="1"/>
        <c:lblAlgn val="ctr"/>
        <c:lblOffset val="100"/>
        <c:noMultiLvlLbl val="0"/>
      </c:catAx>
      <c:valAx>
        <c:axId val="-148280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828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BUSEGA-KYENGERA'!$C$59:$N$59</c:f>
              <c:numCache>
                <c:formatCode>0.0%</c:formatCode>
                <c:ptCount val="12"/>
                <c:pt idx="0">
                  <c:v>0.16086026914853477</c:v>
                </c:pt>
                <c:pt idx="1">
                  <c:v>2.0123254936485976E-2</c:v>
                </c:pt>
                <c:pt idx="2">
                  <c:v>1.5532637404100113E-2</c:v>
                </c:pt>
                <c:pt idx="3">
                  <c:v>0.15601811092944284</c:v>
                </c:pt>
                <c:pt idx="4">
                  <c:v>4.7792730474154194E-3</c:v>
                </c:pt>
                <c:pt idx="5">
                  <c:v>3.8988806439441579E-3</c:v>
                </c:pt>
                <c:pt idx="6">
                  <c:v>5.1754496289774868E-2</c:v>
                </c:pt>
                <c:pt idx="7">
                  <c:v>1.8362470129543455E-2</c:v>
                </c:pt>
                <c:pt idx="8">
                  <c:v>3.33291409885549E-3</c:v>
                </c:pt>
                <c:pt idx="9">
                  <c:v>1.4715130172305371E-2</c:v>
                </c:pt>
                <c:pt idx="10">
                  <c:v>0.55043390768456801</c:v>
                </c:pt>
                <c:pt idx="11">
                  <c:v>1.8865551502955603E-4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BUSEGA-KYENGERA'!$S$9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BUSEGA-KYENGERA'!$S$10:$S$21</c:f>
              <c:numCache>
                <c:formatCode>0</c:formatCode>
                <c:ptCount val="12"/>
                <c:pt idx="0">
                  <c:v>148</c:v>
                </c:pt>
                <c:pt idx="1">
                  <c:v>197</c:v>
                </c:pt>
                <c:pt idx="2">
                  <c:v>213</c:v>
                </c:pt>
                <c:pt idx="3">
                  <c:v>188</c:v>
                </c:pt>
                <c:pt idx="4">
                  <c:v>233</c:v>
                </c:pt>
                <c:pt idx="5">
                  <c:v>179</c:v>
                </c:pt>
                <c:pt idx="6">
                  <c:v>215</c:v>
                </c:pt>
                <c:pt idx="7">
                  <c:v>235</c:v>
                </c:pt>
                <c:pt idx="8">
                  <c:v>305</c:v>
                </c:pt>
                <c:pt idx="9">
                  <c:v>200</c:v>
                </c:pt>
                <c:pt idx="10">
                  <c:v>235</c:v>
                </c:pt>
                <c:pt idx="11">
                  <c:v>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BUSEGA-KYENGERA'!$T$9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BUSEGA-KYENGERA'!$T$10:$T$21</c:f>
              <c:numCache>
                <c:formatCode>0</c:formatCode>
                <c:ptCount val="12"/>
                <c:pt idx="0">
                  <c:v>46</c:v>
                </c:pt>
                <c:pt idx="1">
                  <c:v>47</c:v>
                </c:pt>
                <c:pt idx="2">
                  <c:v>28</c:v>
                </c:pt>
                <c:pt idx="3">
                  <c:v>35</c:v>
                </c:pt>
                <c:pt idx="4">
                  <c:v>34</c:v>
                </c:pt>
                <c:pt idx="5">
                  <c:v>27</c:v>
                </c:pt>
                <c:pt idx="6">
                  <c:v>13</c:v>
                </c:pt>
                <c:pt idx="7">
                  <c:v>27</c:v>
                </c:pt>
                <c:pt idx="8">
                  <c:v>24</c:v>
                </c:pt>
                <c:pt idx="9">
                  <c:v>15</c:v>
                </c:pt>
                <c:pt idx="10">
                  <c:v>20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BUSEGA-KYENGERA'!$U$9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BUSEGA-KYENGERA'!$U$10:$U$21</c:f>
              <c:numCache>
                <c:formatCode>0</c:formatCode>
                <c:ptCount val="12"/>
                <c:pt idx="0">
                  <c:v>28</c:v>
                </c:pt>
                <c:pt idx="1">
                  <c:v>19</c:v>
                </c:pt>
                <c:pt idx="2">
                  <c:v>33</c:v>
                </c:pt>
                <c:pt idx="3">
                  <c:v>29</c:v>
                </c:pt>
                <c:pt idx="4">
                  <c:v>16</c:v>
                </c:pt>
                <c:pt idx="5">
                  <c:v>12</c:v>
                </c:pt>
                <c:pt idx="6">
                  <c:v>11</c:v>
                </c:pt>
                <c:pt idx="7">
                  <c:v>21</c:v>
                </c:pt>
                <c:pt idx="8">
                  <c:v>31</c:v>
                </c:pt>
                <c:pt idx="9">
                  <c:v>12</c:v>
                </c:pt>
                <c:pt idx="10">
                  <c:v>23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BUSEGA-KYENGERA'!$V$9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BUSEGA-KYENGERA'!$V$10:$V$21</c:f>
              <c:numCache>
                <c:formatCode>0</c:formatCode>
                <c:ptCount val="12"/>
                <c:pt idx="0">
                  <c:v>187</c:v>
                </c:pt>
                <c:pt idx="1">
                  <c:v>200</c:v>
                </c:pt>
                <c:pt idx="2">
                  <c:v>264</c:v>
                </c:pt>
                <c:pt idx="3">
                  <c:v>240</c:v>
                </c:pt>
                <c:pt idx="4">
                  <c:v>227</c:v>
                </c:pt>
                <c:pt idx="5">
                  <c:v>195</c:v>
                </c:pt>
                <c:pt idx="6">
                  <c:v>251</c:v>
                </c:pt>
                <c:pt idx="7">
                  <c:v>182</c:v>
                </c:pt>
                <c:pt idx="8">
                  <c:v>220</c:v>
                </c:pt>
                <c:pt idx="9">
                  <c:v>197</c:v>
                </c:pt>
                <c:pt idx="10">
                  <c:v>153</c:v>
                </c:pt>
                <c:pt idx="11">
                  <c:v>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BUSEGA-KYENGERA'!$W$9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BUSEGA-KYENGERA'!$W$10:$W$21</c:f>
              <c:numCache>
                <c:formatCode>0</c:formatCode>
                <c:ptCount val="12"/>
                <c:pt idx="0">
                  <c:v>12</c:v>
                </c:pt>
                <c:pt idx="1">
                  <c:v>6</c:v>
                </c:pt>
                <c:pt idx="2">
                  <c:v>5</c:v>
                </c:pt>
                <c:pt idx="3">
                  <c:v>3</c:v>
                </c:pt>
                <c:pt idx="4">
                  <c:v>10</c:v>
                </c:pt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12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BUSEGA-KYENGERA'!$X$9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BUSEGA-KYENGERA'!$X$10:$X$21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9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BUSEGA-KYENGERA'!$Y$9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BUSEGA-KYENGERA'!$Y$10:$Y$21</c:f>
              <c:numCache>
                <c:formatCode>0</c:formatCode>
                <c:ptCount val="12"/>
                <c:pt idx="0">
                  <c:v>70</c:v>
                </c:pt>
                <c:pt idx="1">
                  <c:v>43</c:v>
                </c:pt>
                <c:pt idx="2">
                  <c:v>56</c:v>
                </c:pt>
                <c:pt idx="3">
                  <c:v>70</c:v>
                </c:pt>
                <c:pt idx="4">
                  <c:v>101</c:v>
                </c:pt>
                <c:pt idx="5">
                  <c:v>98</c:v>
                </c:pt>
                <c:pt idx="6">
                  <c:v>82</c:v>
                </c:pt>
                <c:pt idx="7">
                  <c:v>60</c:v>
                </c:pt>
                <c:pt idx="8">
                  <c:v>75</c:v>
                </c:pt>
                <c:pt idx="9">
                  <c:v>80</c:v>
                </c:pt>
                <c:pt idx="10">
                  <c:v>52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BUSEGA-KYENGERA'!$Z$9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BUSEGA-KYENGERA'!$Z$10:$Z$21</c:f>
              <c:numCache>
                <c:formatCode>0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13</c:v>
                </c:pt>
                <c:pt idx="3">
                  <c:v>13</c:v>
                </c:pt>
                <c:pt idx="4">
                  <c:v>19</c:v>
                </c:pt>
                <c:pt idx="5">
                  <c:v>22</c:v>
                </c:pt>
                <c:pt idx="6">
                  <c:v>43</c:v>
                </c:pt>
                <c:pt idx="7">
                  <c:v>46</c:v>
                </c:pt>
                <c:pt idx="8">
                  <c:v>18</c:v>
                </c:pt>
                <c:pt idx="9">
                  <c:v>26</c:v>
                </c:pt>
                <c:pt idx="10">
                  <c:v>38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BUSEGA-KYENGERA'!$AA$9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7</c:v>
                </c:pt>
                <c:pt idx="7">
                  <c:v>8</c:v>
                </c:pt>
                <c:pt idx="8">
                  <c:v>4</c:v>
                </c:pt>
                <c:pt idx="9">
                  <c:v>6</c:v>
                </c:pt>
                <c:pt idx="10">
                  <c:v>3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BUSEGA-KYENGERA'!$AB$9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BUSEGA-KYENGERA'!$AB$10:$AB$21</c:f>
              <c:numCache>
                <c:formatCode>0</c:formatCode>
                <c:ptCount val="12"/>
                <c:pt idx="0">
                  <c:v>10</c:v>
                </c:pt>
                <c:pt idx="1">
                  <c:v>15</c:v>
                </c:pt>
                <c:pt idx="2">
                  <c:v>15</c:v>
                </c:pt>
                <c:pt idx="3">
                  <c:v>18</c:v>
                </c:pt>
                <c:pt idx="4">
                  <c:v>25</c:v>
                </c:pt>
                <c:pt idx="5">
                  <c:v>19</c:v>
                </c:pt>
                <c:pt idx="6">
                  <c:v>19</c:v>
                </c:pt>
                <c:pt idx="7">
                  <c:v>18</c:v>
                </c:pt>
                <c:pt idx="8">
                  <c:v>24</c:v>
                </c:pt>
                <c:pt idx="9">
                  <c:v>37</c:v>
                </c:pt>
                <c:pt idx="10">
                  <c:v>14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BUSEGA-KYENGERA'!$AC$9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BUSEGA-KYENGERA'!$AC$10:$AC$21</c:f>
              <c:numCache>
                <c:formatCode>0</c:formatCode>
                <c:ptCount val="12"/>
                <c:pt idx="0">
                  <c:v>782</c:v>
                </c:pt>
                <c:pt idx="1">
                  <c:v>790</c:v>
                </c:pt>
                <c:pt idx="2">
                  <c:v>950</c:v>
                </c:pt>
                <c:pt idx="3">
                  <c:v>660</c:v>
                </c:pt>
                <c:pt idx="4">
                  <c:v>395</c:v>
                </c:pt>
                <c:pt idx="5">
                  <c:v>430</c:v>
                </c:pt>
                <c:pt idx="6">
                  <c:v>717</c:v>
                </c:pt>
                <c:pt idx="7">
                  <c:v>512</c:v>
                </c:pt>
                <c:pt idx="8">
                  <c:v>520</c:v>
                </c:pt>
                <c:pt idx="9">
                  <c:v>705</c:v>
                </c:pt>
                <c:pt idx="10">
                  <c:v>1215</c:v>
                </c:pt>
                <c:pt idx="11">
                  <c:v>1077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BUSEGA-KYENGERA'!$AD$9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BUSEGA-KYENGERA'!$AD$10:$AD$21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5449968"/>
        <c:axId val="-145453776"/>
      </c:lineChart>
      <c:catAx>
        <c:axId val="-145449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3776"/>
        <c:crosses val="autoZero"/>
        <c:auto val="1"/>
        <c:lblAlgn val="ctr"/>
        <c:lblOffset val="100"/>
        <c:noMultiLvlLbl val="0"/>
      </c:catAx>
      <c:valAx>
        <c:axId val="-14545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4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BUSEGA-KYENGERA'!$C$60:$N$60</c:f>
              <c:numCache>
                <c:formatCode>0.00%</c:formatCode>
                <c:ptCount val="12"/>
                <c:pt idx="0">
                  <c:v>0.35781228143796334</c:v>
                </c:pt>
                <c:pt idx="1">
                  <c:v>4.4761505105609174E-2</c:v>
                </c:pt>
                <c:pt idx="2">
                  <c:v>3.4550286753392084E-2</c:v>
                </c:pt>
                <c:pt idx="3">
                  <c:v>0.34704154427192613</c:v>
                </c:pt>
                <c:pt idx="4">
                  <c:v>1.063085746258218E-2</c:v>
                </c:pt>
                <c:pt idx="5">
                  <c:v>8.6725416142117775E-3</c:v>
                </c:pt>
                <c:pt idx="6">
                  <c:v>0.1151209959434886</c:v>
                </c:pt>
                <c:pt idx="7">
                  <c:v>4.0844873408868373E-2</c:v>
                </c:pt>
                <c:pt idx="8">
                  <c:v>7.4136242831165195E-3</c:v>
                </c:pt>
                <c:pt idx="9">
                  <c:v>3.2731850608476713E-2</c:v>
                </c:pt>
                <c:pt idx="11">
                  <c:v>4.1963911036508602E-4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KYENGERA-BUSEGA-24h'!$AE$9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KYENGERA-BUSEGA-24h'!$R$10:$R$33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KYENGERA-BUSEGA-24h'!$AE$10:$AE$33</c:f>
              <c:numCache>
                <c:formatCode>0</c:formatCode>
                <c:ptCount val="24"/>
                <c:pt idx="0">
                  <c:v>692</c:v>
                </c:pt>
                <c:pt idx="1">
                  <c:v>852</c:v>
                </c:pt>
                <c:pt idx="2">
                  <c:v>764</c:v>
                </c:pt>
                <c:pt idx="3">
                  <c:v>563</c:v>
                </c:pt>
                <c:pt idx="4">
                  <c:v>591</c:v>
                </c:pt>
                <c:pt idx="5">
                  <c:v>609</c:v>
                </c:pt>
                <c:pt idx="6">
                  <c:v>525</c:v>
                </c:pt>
                <c:pt idx="7">
                  <c:v>573</c:v>
                </c:pt>
                <c:pt idx="8">
                  <c:v>544</c:v>
                </c:pt>
                <c:pt idx="9">
                  <c:v>557</c:v>
                </c:pt>
                <c:pt idx="10">
                  <c:v>690</c:v>
                </c:pt>
                <c:pt idx="11">
                  <c:v>673</c:v>
                </c:pt>
                <c:pt idx="12">
                  <c:v>600</c:v>
                </c:pt>
                <c:pt idx="13">
                  <c:v>367</c:v>
                </c:pt>
                <c:pt idx="14">
                  <c:v>461</c:v>
                </c:pt>
                <c:pt idx="15">
                  <c:v>427</c:v>
                </c:pt>
                <c:pt idx="16">
                  <c:v>294</c:v>
                </c:pt>
                <c:pt idx="17">
                  <c:v>277</c:v>
                </c:pt>
                <c:pt idx="18">
                  <c:v>191</c:v>
                </c:pt>
                <c:pt idx="19">
                  <c:v>155</c:v>
                </c:pt>
                <c:pt idx="20">
                  <c:v>143</c:v>
                </c:pt>
                <c:pt idx="21">
                  <c:v>146</c:v>
                </c:pt>
                <c:pt idx="22">
                  <c:v>308</c:v>
                </c:pt>
                <c:pt idx="23">
                  <c:v>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KYENGERA-BUSEGA-24h'!$AF$9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KYENGERA-BUSEGA-24h'!$R$10:$R$33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KYENGERA-BUSEGA-24h'!$AF$10:$AF$33</c:f>
              <c:numCache>
                <c:formatCode>0</c:formatCode>
                <c:ptCount val="24"/>
                <c:pt idx="0">
                  <c:v>1747</c:v>
                </c:pt>
                <c:pt idx="1">
                  <c:v>2682</c:v>
                </c:pt>
                <c:pt idx="2">
                  <c:v>2354</c:v>
                </c:pt>
                <c:pt idx="3">
                  <c:v>1618</c:v>
                </c:pt>
                <c:pt idx="4">
                  <c:v>1606</c:v>
                </c:pt>
                <c:pt idx="5">
                  <c:v>1781</c:v>
                </c:pt>
                <c:pt idx="6">
                  <c:v>1657</c:v>
                </c:pt>
                <c:pt idx="7">
                  <c:v>1415</c:v>
                </c:pt>
                <c:pt idx="8">
                  <c:v>1435</c:v>
                </c:pt>
                <c:pt idx="9">
                  <c:v>1508</c:v>
                </c:pt>
                <c:pt idx="10">
                  <c:v>1940</c:v>
                </c:pt>
                <c:pt idx="11">
                  <c:v>1893</c:v>
                </c:pt>
                <c:pt idx="12">
                  <c:v>1875</c:v>
                </c:pt>
                <c:pt idx="13">
                  <c:v>1512</c:v>
                </c:pt>
                <c:pt idx="14">
                  <c:v>1596</c:v>
                </c:pt>
                <c:pt idx="15">
                  <c:v>1063</c:v>
                </c:pt>
                <c:pt idx="16">
                  <c:v>665</c:v>
                </c:pt>
                <c:pt idx="17">
                  <c:v>449</c:v>
                </c:pt>
                <c:pt idx="18">
                  <c:v>326</c:v>
                </c:pt>
                <c:pt idx="19">
                  <c:v>277</c:v>
                </c:pt>
                <c:pt idx="20">
                  <c:v>217</c:v>
                </c:pt>
                <c:pt idx="21">
                  <c:v>228</c:v>
                </c:pt>
                <c:pt idx="22">
                  <c:v>493</c:v>
                </c:pt>
                <c:pt idx="23">
                  <c:v>1011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51600"/>
        <c:axId val="-145456496"/>
      </c:lineChart>
      <c:catAx>
        <c:axId val="-145451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6496"/>
        <c:crosses val="autoZero"/>
        <c:auto val="1"/>
        <c:lblAlgn val="ctr"/>
        <c:lblOffset val="100"/>
        <c:noMultiLvlLbl val="0"/>
      </c:catAx>
      <c:valAx>
        <c:axId val="-145456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KYENGERA-BUSEGA-24h'!$C$9:$N$9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KYENGERA-BUSEGA-24h'!$C$107:$N$107</c:f>
              <c:numCache>
                <c:formatCode>0.0%</c:formatCode>
                <c:ptCount val="12"/>
                <c:pt idx="0">
                  <c:v>0.14906852111777466</c:v>
                </c:pt>
                <c:pt idx="1">
                  <c:v>1.8980477223427331E-2</c:v>
                </c:pt>
                <c:pt idx="2">
                  <c:v>2.2042873548551743E-2</c:v>
                </c:pt>
                <c:pt idx="3">
                  <c:v>9.4168686997575607E-2</c:v>
                </c:pt>
                <c:pt idx="4">
                  <c:v>4.4659946408064314E-3</c:v>
                </c:pt>
                <c:pt idx="5">
                  <c:v>4.1788949853260177E-3</c:v>
                </c:pt>
                <c:pt idx="6">
                  <c:v>3.901365318361618E-2</c:v>
                </c:pt>
                <c:pt idx="7">
                  <c:v>2.0160775807069032E-2</c:v>
                </c:pt>
                <c:pt idx="8">
                  <c:v>3.5089957892050529E-3</c:v>
                </c:pt>
                <c:pt idx="9">
                  <c:v>1.0463187444175067E-2</c:v>
                </c:pt>
                <c:pt idx="10">
                  <c:v>0.63385223937731272</c:v>
                </c:pt>
                <c:pt idx="11">
                  <c:v>9.5699885160137807E-5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KYENGERA-BUSEGA-24h'!$C$9:$N$9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KYENGERA-BUSEGA-24h'!$C$108:$N$108</c:f>
              <c:numCache>
                <c:formatCode>0.00%</c:formatCode>
                <c:ptCount val="12"/>
                <c:pt idx="0">
                  <c:v>0.40712667712144973</c:v>
                </c:pt>
                <c:pt idx="1">
                  <c:v>5.1838299355288379E-2</c:v>
                </c:pt>
                <c:pt idx="2">
                  <c:v>6.0202125805889531E-2</c:v>
                </c:pt>
                <c:pt idx="3">
                  <c:v>0.25718766335598536</c:v>
                </c:pt>
                <c:pt idx="4">
                  <c:v>1.2197246907126678E-2</c:v>
                </c:pt>
                <c:pt idx="5">
                  <c:v>1.141313817738282E-2</c:v>
                </c:pt>
                <c:pt idx="6">
                  <c:v>0.1065516640529709</c:v>
                </c:pt>
                <c:pt idx="7">
                  <c:v>5.5061857466457573E-2</c:v>
                </c:pt>
                <c:pt idx="8">
                  <c:v>9.5835511413138175E-3</c:v>
                </c:pt>
                <c:pt idx="9">
                  <c:v>2.8576407039553928E-2</c:v>
                </c:pt>
                <c:pt idx="11">
                  <c:v>2.6136957658128593E-4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BUSEGA-KYENGERA-24h'!$AE$9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BUSEGA-KYENGERA-24h'!$R$10:$R$33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BUSEGA-KYENGERA-24h'!$AE$10:$AE$33</c:f>
              <c:numCache>
                <c:formatCode>0</c:formatCode>
                <c:ptCount val="24"/>
                <c:pt idx="0">
                  <c:v>512</c:v>
                </c:pt>
                <c:pt idx="1">
                  <c:v>548</c:v>
                </c:pt>
                <c:pt idx="2">
                  <c:v>593</c:v>
                </c:pt>
                <c:pt idx="3">
                  <c:v>644</c:v>
                </c:pt>
                <c:pt idx="4">
                  <c:v>706</c:v>
                </c:pt>
                <c:pt idx="5">
                  <c:v>508</c:v>
                </c:pt>
                <c:pt idx="6">
                  <c:v>629</c:v>
                </c:pt>
                <c:pt idx="7">
                  <c:v>402</c:v>
                </c:pt>
                <c:pt idx="8">
                  <c:v>628</c:v>
                </c:pt>
                <c:pt idx="9">
                  <c:v>799</c:v>
                </c:pt>
                <c:pt idx="10">
                  <c:v>924</c:v>
                </c:pt>
                <c:pt idx="11">
                  <c:v>767</c:v>
                </c:pt>
                <c:pt idx="12">
                  <c:v>680</c:v>
                </c:pt>
                <c:pt idx="13">
                  <c:v>593</c:v>
                </c:pt>
                <c:pt idx="14">
                  <c:v>813</c:v>
                </c:pt>
                <c:pt idx="15">
                  <c:v>809</c:v>
                </c:pt>
                <c:pt idx="16">
                  <c:v>509</c:v>
                </c:pt>
                <c:pt idx="17">
                  <c:v>343</c:v>
                </c:pt>
                <c:pt idx="18">
                  <c:v>152</c:v>
                </c:pt>
                <c:pt idx="19">
                  <c:v>121</c:v>
                </c:pt>
                <c:pt idx="20">
                  <c:v>110</c:v>
                </c:pt>
                <c:pt idx="21">
                  <c:v>139</c:v>
                </c:pt>
                <c:pt idx="22">
                  <c:v>181</c:v>
                </c:pt>
                <c:pt idx="23">
                  <c:v>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BUSEGA-KYENGERA-24h'!$AF$9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BUSEGA-KYENGERA-24h'!$R$10:$R$33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BUSEGA-KYENGERA-24h'!$AF$10:$AF$33</c:f>
              <c:numCache>
                <c:formatCode>0</c:formatCode>
                <c:ptCount val="24"/>
                <c:pt idx="0">
                  <c:v>959</c:v>
                </c:pt>
                <c:pt idx="1">
                  <c:v>1583</c:v>
                </c:pt>
                <c:pt idx="2">
                  <c:v>1813</c:v>
                </c:pt>
                <c:pt idx="3">
                  <c:v>1619</c:v>
                </c:pt>
                <c:pt idx="4">
                  <c:v>1406</c:v>
                </c:pt>
                <c:pt idx="5">
                  <c:v>1113</c:v>
                </c:pt>
                <c:pt idx="6">
                  <c:v>1278</c:v>
                </c:pt>
                <c:pt idx="7">
                  <c:v>1062</c:v>
                </c:pt>
                <c:pt idx="8">
                  <c:v>1548</c:v>
                </c:pt>
                <c:pt idx="9">
                  <c:v>1689</c:v>
                </c:pt>
                <c:pt idx="10">
                  <c:v>2104</c:v>
                </c:pt>
                <c:pt idx="11">
                  <c:v>2167</c:v>
                </c:pt>
                <c:pt idx="12">
                  <c:v>1990</c:v>
                </c:pt>
                <c:pt idx="13">
                  <c:v>1478</c:v>
                </c:pt>
                <c:pt idx="14">
                  <c:v>1283</c:v>
                </c:pt>
                <c:pt idx="15">
                  <c:v>1384</c:v>
                </c:pt>
                <c:pt idx="16">
                  <c:v>1016</c:v>
                </c:pt>
                <c:pt idx="17">
                  <c:v>637</c:v>
                </c:pt>
                <c:pt idx="18">
                  <c:v>320</c:v>
                </c:pt>
                <c:pt idx="19">
                  <c:v>263</c:v>
                </c:pt>
                <c:pt idx="20">
                  <c:v>234</c:v>
                </c:pt>
                <c:pt idx="21">
                  <c:v>260</c:v>
                </c:pt>
                <c:pt idx="22">
                  <c:v>355</c:v>
                </c:pt>
                <c:pt idx="23">
                  <c:v>552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50512"/>
        <c:axId val="-145465200"/>
      </c:lineChart>
      <c:catAx>
        <c:axId val="-145450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65200"/>
        <c:crosses val="autoZero"/>
        <c:auto val="1"/>
        <c:lblAlgn val="ctr"/>
        <c:lblOffset val="100"/>
        <c:noMultiLvlLbl val="0"/>
      </c:catAx>
      <c:valAx>
        <c:axId val="-145465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BUSEGA-KYENGERA-24h'!$C$9:$N$9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BUSEGA-KYENGERA-24h'!$C$107:$N$107</c:f>
              <c:numCache>
                <c:formatCode>0.0%</c:formatCode>
                <c:ptCount val="12"/>
                <c:pt idx="0">
                  <c:v>0.18713762316366095</c:v>
                </c:pt>
                <c:pt idx="1">
                  <c:v>2.9914985949560702E-2</c:v>
                </c:pt>
                <c:pt idx="2">
                  <c:v>1.5010849073382421E-2</c:v>
                </c:pt>
                <c:pt idx="3">
                  <c:v>0.12247003165795184</c:v>
                </c:pt>
                <c:pt idx="4">
                  <c:v>6.0825952406360047E-3</c:v>
                </c:pt>
                <c:pt idx="5">
                  <c:v>5.1221854657987412E-3</c:v>
                </c:pt>
                <c:pt idx="6">
                  <c:v>3.5784156795788426E-2</c:v>
                </c:pt>
                <c:pt idx="7">
                  <c:v>2.671362003343649E-2</c:v>
                </c:pt>
                <c:pt idx="8">
                  <c:v>4.6241952121794183E-3</c:v>
                </c:pt>
                <c:pt idx="9">
                  <c:v>1.1382634368441646E-2</c:v>
                </c:pt>
                <c:pt idx="10">
                  <c:v>0.55479671326432611</c:v>
                </c:pt>
                <c:pt idx="11">
                  <c:v>9.6040977483726386E-4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BUSEGA-KYENGERA-24h'!$C$9:$N$9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BUSEGA-KYENGERA-24h'!$C$108:$N$108</c:f>
              <c:numCache>
                <c:formatCode>0.00%</c:formatCode>
                <c:ptCount val="12"/>
                <c:pt idx="0">
                  <c:v>0.42034196228827103</c:v>
                </c:pt>
                <c:pt idx="1">
                  <c:v>6.7193991690635987E-2</c:v>
                </c:pt>
                <c:pt idx="2">
                  <c:v>3.3716842441674659E-2</c:v>
                </c:pt>
                <c:pt idx="3">
                  <c:v>0.27508788750399488</c:v>
                </c:pt>
                <c:pt idx="4">
                  <c:v>1.3662511984659636E-2</c:v>
                </c:pt>
                <c:pt idx="5">
                  <c:v>1.1505273250239693E-2</c:v>
                </c:pt>
                <c:pt idx="6">
                  <c:v>8.0377117289868974E-2</c:v>
                </c:pt>
                <c:pt idx="7">
                  <c:v>6.0003195909236175E-2</c:v>
                </c:pt>
                <c:pt idx="8">
                  <c:v>1.0386705017577502E-2</c:v>
                </c:pt>
                <c:pt idx="9">
                  <c:v>2.5567273889421541E-2</c:v>
                </c:pt>
                <c:pt idx="11">
                  <c:v>2.1572387344199425E-3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KYENGERA-BUSEGA-24h'!$AE$9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KYENGERA-BUSEGA-24h'!$R$10:$R$33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KYENGERA-BUSEGA-24h'!$AE$10:$AE$33</c:f>
              <c:numCache>
                <c:formatCode>0</c:formatCode>
                <c:ptCount val="24"/>
                <c:pt idx="0">
                  <c:v>859</c:v>
                </c:pt>
                <c:pt idx="1">
                  <c:v>781</c:v>
                </c:pt>
                <c:pt idx="2">
                  <c:v>826</c:v>
                </c:pt>
                <c:pt idx="3">
                  <c:v>872</c:v>
                </c:pt>
                <c:pt idx="4">
                  <c:v>780</c:v>
                </c:pt>
                <c:pt idx="5">
                  <c:v>745</c:v>
                </c:pt>
                <c:pt idx="6">
                  <c:v>569</c:v>
                </c:pt>
                <c:pt idx="7">
                  <c:v>652</c:v>
                </c:pt>
                <c:pt idx="8">
                  <c:v>613</c:v>
                </c:pt>
                <c:pt idx="9">
                  <c:v>752</c:v>
                </c:pt>
                <c:pt idx="10">
                  <c:v>776</c:v>
                </c:pt>
                <c:pt idx="11">
                  <c:v>681</c:v>
                </c:pt>
                <c:pt idx="12">
                  <c:v>722</c:v>
                </c:pt>
                <c:pt idx="13">
                  <c:v>676</c:v>
                </c:pt>
                <c:pt idx="14">
                  <c:v>548</c:v>
                </c:pt>
                <c:pt idx="15">
                  <c:v>383</c:v>
                </c:pt>
                <c:pt idx="16">
                  <c:v>507</c:v>
                </c:pt>
                <c:pt idx="17">
                  <c:v>544</c:v>
                </c:pt>
                <c:pt idx="18">
                  <c:v>242</c:v>
                </c:pt>
                <c:pt idx="19">
                  <c:v>190</c:v>
                </c:pt>
                <c:pt idx="20">
                  <c:v>161</c:v>
                </c:pt>
                <c:pt idx="21">
                  <c:v>165</c:v>
                </c:pt>
                <c:pt idx="22">
                  <c:v>207</c:v>
                </c:pt>
                <c:pt idx="23">
                  <c:v>345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KYENGERA-BUSEGA-24h'!$AF$9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KYENGERA-BUSEGA-24h'!$R$10:$R$33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KYENGERA-BUSEGA-24h'!$AF$10:$AF$33</c:f>
              <c:numCache>
                <c:formatCode>0</c:formatCode>
                <c:ptCount val="24"/>
                <c:pt idx="0">
                  <c:v>1909</c:v>
                </c:pt>
                <c:pt idx="1">
                  <c:v>1896</c:v>
                </c:pt>
                <c:pt idx="2">
                  <c:v>2159</c:v>
                </c:pt>
                <c:pt idx="3">
                  <c:v>1721</c:v>
                </c:pt>
                <c:pt idx="4">
                  <c:v>1371</c:v>
                </c:pt>
                <c:pt idx="5">
                  <c:v>1402</c:v>
                </c:pt>
                <c:pt idx="6">
                  <c:v>1069</c:v>
                </c:pt>
                <c:pt idx="7">
                  <c:v>1120</c:v>
                </c:pt>
                <c:pt idx="8">
                  <c:v>1056</c:v>
                </c:pt>
                <c:pt idx="9">
                  <c:v>1187</c:v>
                </c:pt>
                <c:pt idx="10">
                  <c:v>1206</c:v>
                </c:pt>
                <c:pt idx="11">
                  <c:v>1426</c:v>
                </c:pt>
                <c:pt idx="12">
                  <c:v>2007</c:v>
                </c:pt>
                <c:pt idx="13">
                  <c:v>2021</c:v>
                </c:pt>
                <c:pt idx="14">
                  <c:v>1593</c:v>
                </c:pt>
                <c:pt idx="15">
                  <c:v>1206</c:v>
                </c:pt>
                <c:pt idx="16">
                  <c:v>947</c:v>
                </c:pt>
                <c:pt idx="17">
                  <c:v>741</c:v>
                </c:pt>
                <c:pt idx="18">
                  <c:v>379</c:v>
                </c:pt>
                <c:pt idx="19">
                  <c:v>361</c:v>
                </c:pt>
                <c:pt idx="20">
                  <c:v>298</c:v>
                </c:pt>
                <c:pt idx="21">
                  <c:v>319</c:v>
                </c:pt>
                <c:pt idx="22">
                  <c:v>353</c:v>
                </c:pt>
                <c:pt idx="23">
                  <c:v>879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58672"/>
        <c:axId val="-145458128"/>
      </c:lineChart>
      <c:catAx>
        <c:axId val="-145458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8128"/>
        <c:crosses val="autoZero"/>
        <c:auto val="1"/>
        <c:lblAlgn val="ctr"/>
        <c:lblOffset val="100"/>
        <c:noMultiLvlLbl val="0"/>
      </c:catAx>
      <c:valAx>
        <c:axId val="-145458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KYENGERA-BUSEGA-24h'!$C$9:$N$9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KYENGERA-BUSEGA-24h'!$C$107:$N$107</c:f>
              <c:numCache>
                <c:formatCode>0.0%</c:formatCode>
                <c:ptCount val="12"/>
                <c:pt idx="0">
                  <c:v>0.22325857611961153</c:v>
                </c:pt>
                <c:pt idx="1">
                  <c:v>2.8435687836232796E-2</c:v>
                </c:pt>
                <c:pt idx="2">
                  <c:v>2.4627960595263048E-2</c:v>
                </c:pt>
                <c:pt idx="3">
                  <c:v>0.11681687975965906</c:v>
                </c:pt>
                <c:pt idx="4">
                  <c:v>5.9386571648152031E-3</c:v>
                </c:pt>
                <c:pt idx="5">
                  <c:v>4.9605253964926993E-3</c:v>
                </c:pt>
                <c:pt idx="6">
                  <c:v>3.9754069726821772E-2</c:v>
                </c:pt>
                <c:pt idx="7">
                  <c:v>1.7990637881646055E-2</c:v>
                </c:pt>
                <c:pt idx="8">
                  <c:v>3.3885279116886748E-3</c:v>
                </c:pt>
                <c:pt idx="9">
                  <c:v>9.7813176832250402E-3</c:v>
                </c:pt>
                <c:pt idx="10">
                  <c:v>0.52504715992454409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KYENGERA-BUSEGA-24h'!$C$9:$N$9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KYENGERA-BUSEGA-24h'!$C$108:$N$108</c:f>
              <c:numCache>
                <c:formatCode>0.00%</c:formatCode>
                <c:ptCount val="12"/>
                <c:pt idx="0">
                  <c:v>0.47006472491909385</c:v>
                </c:pt>
                <c:pt idx="1">
                  <c:v>5.9870550161812294E-2</c:v>
                </c:pt>
                <c:pt idx="2">
                  <c:v>5.1853486319505739E-2</c:v>
                </c:pt>
                <c:pt idx="3">
                  <c:v>0.2459546925566343</c:v>
                </c:pt>
                <c:pt idx="4">
                  <c:v>1.2503677552221242E-2</c:v>
                </c:pt>
                <c:pt idx="5">
                  <c:v>1.0444248308325979E-2</c:v>
                </c:pt>
                <c:pt idx="6">
                  <c:v>8.3701088555457492E-2</c:v>
                </c:pt>
                <c:pt idx="7">
                  <c:v>3.787878787878788E-2</c:v>
                </c:pt>
                <c:pt idx="8">
                  <c:v>7.134451309208591E-3</c:v>
                </c:pt>
                <c:pt idx="9">
                  <c:v>2.0594292438952635E-2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BUSEGA-KYENGERA-24h'!$AE$9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BUSEGA-KYENGERA-24h'!$R$10:$R$33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BUSEGA-KYENGERA-24h'!$AE$10:$AE$33</c:f>
              <c:numCache>
                <c:formatCode>0</c:formatCode>
                <c:ptCount val="24"/>
                <c:pt idx="0">
                  <c:v>570</c:v>
                </c:pt>
                <c:pt idx="1">
                  <c:v>784</c:v>
                </c:pt>
                <c:pt idx="2">
                  <c:v>746</c:v>
                </c:pt>
                <c:pt idx="3">
                  <c:v>858</c:v>
                </c:pt>
                <c:pt idx="4">
                  <c:v>842</c:v>
                </c:pt>
                <c:pt idx="5">
                  <c:v>864</c:v>
                </c:pt>
                <c:pt idx="6">
                  <c:v>990</c:v>
                </c:pt>
                <c:pt idx="7">
                  <c:v>959</c:v>
                </c:pt>
                <c:pt idx="8">
                  <c:v>905</c:v>
                </c:pt>
                <c:pt idx="9">
                  <c:v>1004</c:v>
                </c:pt>
                <c:pt idx="10">
                  <c:v>906</c:v>
                </c:pt>
                <c:pt idx="11">
                  <c:v>766</c:v>
                </c:pt>
                <c:pt idx="12">
                  <c:v>673</c:v>
                </c:pt>
                <c:pt idx="13">
                  <c:v>650</c:v>
                </c:pt>
                <c:pt idx="14">
                  <c:v>706</c:v>
                </c:pt>
                <c:pt idx="15">
                  <c:v>679</c:v>
                </c:pt>
                <c:pt idx="16">
                  <c:v>582</c:v>
                </c:pt>
                <c:pt idx="17">
                  <c:v>288</c:v>
                </c:pt>
                <c:pt idx="18">
                  <c:v>200</c:v>
                </c:pt>
                <c:pt idx="19">
                  <c:v>116</c:v>
                </c:pt>
                <c:pt idx="20">
                  <c:v>100</c:v>
                </c:pt>
                <c:pt idx="21">
                  <c:v>109</c:v>
                </c:pt>
                <c:pt idx="22">
                  <c:v>149</c:v>
                </c:pt>
                <c:pt idx="23">
                  <c:v>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BUSEGA-KYENGERA-24h'!$AF$9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BUSEGA-KYENGERA-24h'!$R$10:$R$33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BUSEGA-KYENGERA-24h'!$AF$10:$AF$33</c:f>
              <c:numCache>
                <c:formatCode>0</c:formatCode>
                <c:ptCount val="24"/>
                <c:pt idx="0">
                  <c:v>1220</c:v>
                </c:pt>
                <c:pt idx="1">
                  <c:v>1334</c:v>
                </c:pt>
                <c:pt idx="2">
                  <c:v>1281</c:v>
                </c:pt>
                <c:pt idx="3">
                  <c:v>1148</c:v>
                </c:pt>
                <c:pt idx="4">
                  <c:v>1211</c:v>
                </c:pt>
                <c:pt idx="5">
                  <c:v>1639</c:v>
                </c:pt>
                <c:pt idx="6">
                  <c:v>2056</c:v>
                </c:pt>
                <c:pt idx="7">
                  <c:v>1825</c:v>
                </c:pt>
                <c:pt idx="8">
                  <c:v>1808</c:v>
                </c:pt>
                <c:pt idx="9">
                  <c:v>1837</c:v>
                </c:pt>
                <c:pt idx="10">
                  <c:v>1876</c:v>
                </c:pt>
                <c:pt idx="11">
                  <c:v>1802</c:v>
                </c:pt>
                <c:pt idx="12">
                  <c:v>1900</c:v>
                </c:pt>
                <c:pt idx="13">
                  <c:v>1820</c:v>
                </c:pt>
                <c:pt idx="14">
                  <c:v>1806</c:v>
                </c:pt>
                <c:pt idx="15">
                  <c:v>1781</c:v>
                </c:pt>
                <c:pt idx="16">
                  <c:v>1146</c:v>
                </c:pt>
                <c:pt idx="17">
                  <c:v>599</c:v>
                </c:pt>
                <c:pt idx="18">
                  <c:v>359</c:v>
                </c:pt>
                <c:pt idx="19">
                  <c:v>260</c:v>
                </c:pt>
                <c:pt idx="20">
                  <c:v>287</c:v>
                </c:pt>
                <c:pt idx="21">
                  <c:v>246</c:v>
                </c:pt>
                <c:pt idx="22">
                  <c:v>323</c:v>
                </c:pt>
                <c:pt idx="23">
                  <c:v>535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9584"/>
        <c:axId val="-195589792"/>
      </c:lineChart>
      <c:catAx>
        <c:axId val="-1955995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89792"/>
        <c:crosses val="autoZero"/>
        <c:auto val="1"/>
        <c:lblAlgn val="ctr"/>
        <c:lblOffset val="100"/>
        <c:noMultiLvlLbl val="0"/>
      </c:catAx>
      <c:valAx>
        <c:axId val="-195589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BUSEGA-KYENGERA-24h'!$C$9:$N$9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BUSEGA-KYENGERA-24h'!$C$107:$N$107</c:f>
              <c:numCache>
                <c:formatCode>0.0%</c:formatCode>
                <c:ptCount val="12"/>
                <c:pt idx="0">
                  <c:v>0.23329678726868003</c:v>
                </c:pt>
                <c:pt idx="1">
                  <c:v>2.4186850061463837E-2</c:v>
                </c:pt>
                <c:pt idx="2">
                  <c:v>1.9934217083624042E-2</c:v>
                </c:pt>
                <c:pt idx="3">
                  <c:v>0.12096747400245855</c:v>
                </c:pt>
                <c:pt idx="4">
                  <c:v>5.5151333931359849E-3</c:v>
                </c:pt>
                <c:pt idx="5">
                  <c:v>5.2825675271603711E-3</c:v>
                </c:pt>
                <c:pt idx="6">
                  <c:v>3.2193760590052828E-2</c:v>
                </c:pt>
                <c:pt idx="7">
                  <c:v>3.1728628858101598E-2</c:v>
                </c:pt>
                <c:pt idx="8">
                  <c:v>6.7444101132928007E-3</c:v>
                </c:pt>
                <c:pt idx="9">
                  <c:v>1.0299345493205754E-2</c:v>
                </c:pt>
                <c:pt idx="10">
                  <c:v>0.50981760191368486</c:v>
                </c:pt>
                <c:pt idx="11">
                  <c:v>3.3223695139373401E-5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BUSEGA-KYENGERA-24h'!$C$9:$N$9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BUSEGA-KYENGERA-24h'!$C$108:$N$108</c:f>
              <c:numCache>
                <c:formatCode>0.00%</c:formatCode>
                <c:ptCount val="12"/>
                <c:pt idx="0">
                  <c:v>0.47593872848041208</c:v>
                </c:pt>
                <c:pt idx="1">
                  <c:v>4.9342551172563372E-2</c:v>
                </c:pt>
                <c:pt idx="2">
                  <c:v>4.0666937779585195E-2</c:v>
                </c:pt>
                <c:pt idx="3">
                  <c:v>0.24678053409244952</c:v>
                </c:pt>
                <c:pt idx="4">
                  <c:v>1.1251186119018571E-2</c:v>
                </c:pt>
                <c:pt idx="5">
                  <c:v>1.0776738511590077E-2</c:v>
                </c:pt>
                <c:pt idx="6">
                  <c:v>6.5677104514030096E-2</c:v>
                </c:pt>
                <c:pt idx="7">
                  <c:v>6.4728209299173112E-2</c:v>
                </c:pt>
                <c:pt idx="8">
                  <c:v>1.3758980615426325E-2</c:v>
                </c:pt>
                <c:pt idx="9">
                  <c:v>2.1011251186119018E-2</c:v>
                </c:pt>
                <c:pt idx="11">
                  <c:v>6.777822963264199E-5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KYENGERA-BUSEGA'!$AE$9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KYENGERA-BUSEGA'!$AE$10:$AE$21</c:f>
              <c:numCache>
                <c:formatCode>0</c:formatCode>
                <c:ptCount val="12"/>
                <c:pt idx="0">
                  <c:v>430</c:v>
                </c:pt>
                <c:pt idx="1">
                  <c:v>621</c:v>
                </c:pt>
                <c:pt idx="2">
                  <c:v>759</c:v>
                </c:pt>
                <c:pt idx="3">
                  <c:v>778</c:v>
                </c:pt>
                <c:pt idx="4">
                  <c:v>745</c:v>
                </c:pt>
                <c:pt idx="5">
                  <c:v>590</c:v>
                </c:pt>
                <c:pt idx="6">
                  <c:v>614</c:v>
                </c:pt>
                <c:pt idx="7">
                  <c:v>421</c:v>
                </c:pt>
                <c:pt idx="8">
                  <c:v>564</c:v>
                </c:pt>
                <c:pt idx="9">
                  <c:v>434</c:v>
                </c:pt>
                <c:pt idx="10">
                  <c:v>410</c:v>
                </c:pt>
                <c:pt idx="11">
                  <c:v>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KYENGERA-BUSEGA'!$AF$9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KYENGERA-BUSEGA'!$AF$10:$AF$21</c:f>
              <c:numCache>
                <c:formatCode>0</c:formatCode>
                <c:ptCount val="12"/>
                <c:pt idx="0">
                  <c:v>1700</c:v>
                </c:pt>
                <c:pt idx="1">
                  <c:v>1654</c:v>
                </c:pt>
                <c:pt idx="2">
                  <c:v>1403</c:v>
                </c:pt>
                <c:pt idx="3">
                  <c:v>1368</c:v>
                </c:pt>
                <c:pt idx="4">
                  <c:v>1308</c:v>
                </c:pt>
                <c:pt idx="5">
                  <c:v>1068</c:v>
                </c:pt>
                <c:pt idx="6">
                  <c:v>944</c:v>
                </c:pt>
                <c:pt idx="7">
                  <c:v>641</c:v>
                </c:pt>
                <c:pt idx="8">
                  <c:v>894</c:v>
                </c:pt>
                <c:pt idx="9">
                  <c:v>649</c:v>
                </c:pt>
                <c:pt idx="10">
                  <c:v>620</c:v>
                </c:pt>
                <c:pt idx="11">
                  <c:v>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9040"/>
        <c:axId val="-195600128"/>
      </c:lineChart>
      <c:catAx>
        <c:axId val="-195599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600128"/>
        <c:crosses val="autoZero"/>
        <c:auto val="1"/>
        <c:lblAlgn val="ctr"/>
        <c:lblOffset val="100"/>
        <c:noMultiLvlLbl val="0"/>
      </c:catAx>
      <c:valAx>
        <c:axId val="-195600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KYENGERA-BUSEGA'!$C$59:$N$59</c:f>
              <c:numCache>
                <c:formatCode>0.0%</c:formatCode>
                <c:ptCount val="12"/>
                <c:pt idx="0">
                  <c:v>0.20095657455208016</c:v>
                </c:pt>
                <c:pt idx="1">
                  <c:v>3.7200121469784395E-2</c:v>
                </c:pt>
                <c:pt idx="2">
                  <c:v>1.7916793197692075E-2</c:v>
                </c:pt>
                <c:pt idx="3">
                  <c:v>0.21454600668083815</c:v>
                </c:pt>
                <c:pt idx="4">
                  <c:v>4.4791982994230187E-3</c:v>
                </c:pt>
                <c:pt idx="5">
                  <c:v>4.5551169146674769E-3</c:v>
                </c:pt>
                <c:pt idx="6">
                  <c:v>2.7406620103249318E-2</c:v>
                </c:pt>
                <c:pt idx="7">
                  <c:v>1.3969025204980261E-2</c:v>
                </c:pt>
                <c:pt idx="8">
                  <c:v>2.2775584573337384E-3</c:v>
                </c:pt>
                <c:pt idx="9">
                  <c:v>1.0932280595201944E-2</c:v>
                </c:pt>
                <c:pt idx="10">
                  <c:v>0.46560886729426054</c:v>
                </c:pt>
                <c:pt idx="11">
                  <c:v>1.5183723048891589E-4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KYENGERA-BUSEGA'!$S$9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KYENGERA-BUSEGA'!$S$10:$S$21</c:f>
              <c:numCache>
                <c:formatCode>0</c:formatCode>
                <c:ptCount val="12"/>
                <c:pt idx="0">
                  <c:v>129</c:v>
                </c:pt>
                <c:pt idx="1">
                  <c:v>238</c:v>
                </c:pt>
                <c:pt idx="2">
                  <c:v>337</c:v>
                </c:pt>
                <c:pt idx="3">
                  <c:v>318</c:v>
                </c:pt>
                <c:pt idx="4">
                  <c:v>255</c:v>
                </c:pt>
                <c:pt idx="5">
                  <c:v>182</c:v>
                </c:pt>
                <c:pt idx="6">
                  <c:v>215</c:v>
                </c:pt>
                <c:pt idx="7">
                  <c:v>174</c:v>
                </c:pt>
                <c:pt idx="8">
                  <c:v>209</c:v>
                </c:pt>
                <c:pt idx="9">
                  <c:v>152</c:v>
                </c:pt>
                <c:pt idx="10">
                  <c:v>130</c:v>
                </c:pt>
                <c:pt idx="11">
                  <c:v>308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KYENGERA-BUSEGA'!$T$9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KYENGERA-BUSEGA'!$R$10:$R$21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KYENGERA-BUSEGA'!$T$10:$T$21</c:f>
              <c:numCache>
                <c:formatCode>0</c:formatCode>
                <c:ptCount val="12"/>
                <c:pt idx="0">
                  <c:v>40</c:v>
                </c:pt>
                <c:pt idx="1">
                  <c:v>67</c:v>
                </c:pt>
                <c:pt idx="2">
                  <c:v>57</c:v>
                </c:pt>
                <c:pt idx="3">
                  <c:v>23</c:v>
                </c:pt>
                <c:pt idx="4">
                  <c:v>58</c:v>
                </c:pt>
                <c:pt idx="5">
                  <c:v>29</c:v>
                </c:pt>
                <c:pt idx="6">
                  <c:v>22</c:v>
                </c:pt>
                <c:pt idx="7">
                  <c:v>19</c:v>
                </c:pt>
                <c:pt idx="8">
                  <c:v>59</c:v>
                </c:pt>
                <c:pt idx="9">
                  <c:v>35</c:v>
                </c:pt>
                <c:pt idx="10">
                  <c:v>29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KYENGERA-BUSEGA'!$U$9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KYENGERA-BUSEGA'!$U$10:$U$21</c:f>
              <c:numCache>
                <c:formatCode>0</c:formatCode>
                <c:ptCount val="12"/>
                <c:pt idx="0">
                  <c:v>12</c:v>
                </c:pt>
                <c:pt idx="1">
                  <c:v>9</c:v>
                </c:pt>
                <c:pt idx="2">
                  <c:v>30</c:v>
                </c:pt>
                <c:pt idx="3">
                  <c:v>15</c:v>
                </c:pt>
                <c:pt idx="4">
                  <c:v>13</c:v>
                </c:pt>
                <c:pt idx="5">
                  <c:v>19</c:v>
                </c:pt>
                <c:pt idx="6">
                  <c:v>22</c:v>
                </c:pt>
                <c:pt idx="7">
                  <c:v>16</c:v>
                </c:pt>
                <c:pt idx="8">
                  <c:v>17</c:v>
                </c:pt>
                <c:pt idx="9">
                  <c:v>15</c:v>
                </c:pt>
                <c:pt idx="10">
                  <c:v>27</c:v>
                </c:pt>
                <c:pt idx="1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KYENGERA-BUSEGA'!$V$9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KYENGERA-BUSEGA'!$V$10:$V$21</c:f>
              <c:numCache>
                <c:formatCode>0</c:formatCode>
                <c:ptCount val="12"/>
                <c:pt idx="0">
                  <c:v>167</c:v>
                </c:pt>
                <c:pt idx="1">
                  <c:v>219</c:v>
                </c:pt>
                <c:pt idx="2">
                  <c:v>250</c:v>
                </c:pt>
                <c:pt idx="3">
                  <c:v>365</c:v>
                </c:pt>
                <c:pt idx="4">
                  <c:v>370</c:v>
                </c:pt>
                <c:pt idx="5">
                  <c:v>280</c:v>
                </c:pt>
                <c:pt idx="6">
                  <c:v>265</c:v>
                </c:pt>
                <c:pt idx="7">
                  <c:v>142</c:v>
                </c:pt>
                <c:pt idx="8">
                  <c:v>220</c:v>
                </c:pt>
                <c:pt idx="9">
                  <c:v>155</c:v>
                </c:pt>
                <c:pt idx="10">
                  <c:v>167</c:v>
                </c:pt>
                <c:pt idx="11">
                  <c:v>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KYENGERA-BUSEGA'!$W$9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KYENGERA-BUSEGA'!$W$10:$W$21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2</c:v>
                </c:pt>
                <c:pt idx="4">
                  <c:v>3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KYENGERA-BUSEGA'!$X$9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KYENGERA-BUSEGA'!$X$10:$X$21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8</c:v>
                </c:pt>
                <c:pt idx="7">
                  <c:v>4</c:v>
                </c:pt>
                <c:pt idx="8">
                  <c:v>8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KYENGERA-BUSEGA'!$Y$9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KYENGERA-BUSEGA'!$Y$10:$Y$21</c:f>
              <c:numCache>
                <c:formatCode>0</c:formatCode>
                <c:ptCount val="12"/>
                <c:pt idx="0">
                  <c:v>36</c:v>
                </c:pt>
                <c:pt idx="1">
                  <c:v>50</c:v>
                </c:pt>
                <c:pt idx="2">
                  <c:v>46</c:v>
                </c:pt>
                <c:pt idx="3">
                  <c:v>23</c:v>
                </c:pt>
                <c:pt idx="4">
                  <c:v>22</c:v>
                </c:pt>
                <c:pt idx="5">
                  <c:v>34</c:v>
                </c:pt>
                <c:pt idx="6">
                  <c:v>43</c:v>
                </c:pt>
                <c:pt idx="7">
                  <c:v>41</c:v>
                </c:pt>
                <c:pt idx="8">
                  <c:v>27</c:v>
                </c:pt>
                <c:pt idx="9">
                  <c:v>15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KYENGERA-BUSEGA'!$Z$9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KYENGERA-BUSEGA'!$Z$10:$Z$21</c:f>
              <c:numCache>
                <c:formatCode>0</c:formatCode>
                <c:ptCount val="12"/>
                <c:pt idx="0">
                  <c:v>18</c:v>
                </c:pt>
                <c:pt idx="1">
                  <c:v>16</c:v>
                </c:pt>
                <c:pt idx="2">
                  <c:v>15</c:v>
                </c:pt>
                <c:pt idx="3">
                  <c:v>12</c:v>
                </c:pt>
                <c:pt idx="4">
                  <c:v>8</c:v>
                </c:pt>
                <c:pt idx="5">
                  <c:v>21</c:v>
                </c:pt>
                <c:pt idx="6">
                  <c:v>20</c:v>
                </c:pt>
                <c:pt idx="7">
                  <c:v>11</c:v>
                </c:pt>
                <c:pt idx="8">
                  <c:v>11</c:v>
                </c:pt>
                <c:pt idx="9">
                  <c:v>30</c:v>
                </c:pt>
                <c:pt idx="10">
                  <c:v>11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KYENGERA-BUSEGA'!$AA$9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KYENGERA-BUSEGA'!$AA$10:$AA$21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KYENGERA-BUSEGA'!$AB$9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KYENGERA-BUSEGA'!$AB$10:$AB$21</c:f>
              <c:numCache>
                <c:formatCode>0</c:formatCode>
                <c:ptCount val="12"/>
                <c:pt idx="0">
                  <c:v>11</c:v>
                </c:pt>
                <c:pt idx="1">
                  <c:v>11</c:v>
                </c:pt>
                <c:pt idx="2">
                  <c:v>8</c:v>
                </c:pt>
                <c:pt idx="3">
                  <c:v>12</c:v>
                </c:pt>
                <c:pt idx="4">
                  <c:v>7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20</c:v>
                </c:pt>
                <c:pt idx="10">
                  <c:v>23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KYENGERA-BUSEGA'!$AC$9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KYENGERA-BUSEGA'!$AC$10:$AC$21</c:f>
              <c:numCache>
                <c:formatCode>0</c:formatCode>
                <c:ptCount val="12"/>
                <c:pt idx="0">
                  <c:v>1270</c:v>
                </c:pt>
                <c:pt idx="1">
                  <c:v>1033</c:v>
                </c:pt>
                <c:pt idx="2">
                  <c:v>644</c:v>
                </c:pt>
                <c:pt idx="3">
                  <c:v>590</c:v>
                </c:pt>
                <c:pt idx="4">
                  <c:v>563</c:v>
                </c:pt>
                <c:pt idx="5">
                  <c:v>478</c:v>
                </c:pt>
                <c:pt idx="6">
                  <c:v>330</c:v>
                </c:pt>
                <c:pt idx="7">
                  <c:v>220</c:v>
                </c:pt>
                <c:pt idx="8">
                  <c:v>330</c:v>
                </c:pt>
                <c:pt idx="9">
                  <c:v>215</c:v>
                </c:pt>
                <c:pt idx="10">
                  <c:v>210</c:v>
                </c:pt>
                <c:pt idx="11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KYENGERA-BUSEGA'!$AD$9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KYENGERA-BUSEGA'!$AD$10:$AD$21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91968"/>
        <c:axId val="-195591424"/>
      </c:lineChart>
      <c:catAx>
        <c:axId val="-19559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1424"/>
        <c:crosses val="autoZero"/>
        <c:auto val="1"/>
        <c:lblAlgn val="ctr"/>
        <c:lblOffset val="100"/>
        <c:noMultiLvlLbl val="0"/>
      </c:catAx>
      <c:valAx>
        <c:axId val="-19559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KYENGERA-BUSEGA'!$C$60:$N$60</c:f>
              <c:numCache>
                <c:formatCode>0.00%</c:formatCode>
                <c:ptCount val="12"/>
                <c:pt idx="0">
                  <c:v>0.37604773405313252</c:v>
                </c:pt>
                <c:pt idx="1">
                  <c:v>6.9612160818298061E-2</c:v>
                </c:pt>
                <c:pt idx="2">
                  <c:v>3.3527489700241511E-2</c:v>
                </c:pt>
                <c:pt idx="3">
                  <c:v>0.40147748259695981</c:v>
                </c:pt>
                <c:pt idx="4">
                  <c:v>8.3818724250603778E-3</c:v>
                </c:pt>
                <c:pt idx="5">
                  <c:v>8.5239380593834357E-3</c:v>
                </c:pt>
                <c:pt idx="6">
                  <c:v>5.1285693990623667E-2</c:v>
                </c:pt>
                <c:pt idx="7">
                  <c:v>2.6140076715442533E-2</c:v>
                </c:pt>
                <c:pt idx="8">
                  <c:v>4.2619690296917178E-3</c:v>
                </c:pt>
                <c:pt idx="9">
                  <c:v>2.0457451342520243E-2</c:v>
                </c:pt>
                <c:pt idx="11">
                  <c:v>2.8413126864611449E-4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BUSEGA-KYENGERA'!$AE$9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BUSEGA-KYENGERA'!$AE$10:$AE$21</c:f>
              <c:numCache>
                <c:formatCode>0</c:formatCode>
                <c:ptCount val="12"/>
                <c:pt idx="0">
                  <c:v>455</c:v>
                </c:pt>
                <c:pt idx="1">
                  <c:v>578</c:v>
                </c:pt>
                <c:pt idx="2">
                  <c:v>674</c:v>
                </c:pt>
                <c:pt idx="3">
                  <c:v>580</c:v>
                </c:pt>
                <c:pt idx="4">
                  <c:v>470</c:v>
                </c:pt>
                <c:pt idx="5">
                  <c:v>386</c:v>
                </c:pt>
                <c:pt idx="6">
                  <c:v>521</c:v>
                </c:pt>
                <c:pt idx="7">
                  <c:v>365</c:v>
                </c:pt>
                <c:pt idx="8">
                  <c:v>449</c:v>
                </c:pt>
                <c:pt idx="9">
                  <c:v>390</c:v>
                </c:pt>
                <c:pt idx="10">
                  <c:v>468</c:v>
                </c:pt>
                <c:pt idx="11">
                  <c:v>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BUSEGA-KYENGERA'!$AF$9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BUSEGA-KYENGERA'!$AF$10:$AF$21</c:f>
              <c:numCache>
                <c:formatCode>0</c:formatCode>
                <c:ptCount val="12"/>
                <c:pt idx="0">
                  <c:v>961</c:v>
                </c:pt>
                <c:pt idx="1">
                  <c:v>1148</c:v>
                </c:pt>
                <c:pt idx="2">
                  <c:v>1035</c:v>
                </c:pt>
                <c:pt idx="3">
                  <c:v>970</c:v>
                </c:pt>
                <c:pt idx="4">
                  <c:v>736</c:v>
                </c:pt>
                <c:pt idx="5">
                  <c:v>586</c:v>
                </c:pt>
                <c:pt idx="6">
                  <c:v>756</c:v>
                </c:pt>
                <c:pt idx="7">
                  <c:v>576</c:v>
                </c:pt>
                <c:pt idx="8">
                  <c:v>692</c:v>
                </c:pt>
                <c:pt idx="9">
                  <c:v>615</c:v>
                </c:pt>
                <c:pt idx="10">
                  <c:v>758</c:v>
                </c:pt>
                <c:pt idx="11">
                  <c:v>686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7952"/>
        <c:axId val="-291660352"/>
      </c:lineChart>
      <c:catAx>
        <c:axId val="-195597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0352"/>
        <c:crosses val="autoZero"/>
        <c:auto val="1"/>
        <c:lblAlgn val="ctr"/>
        <c:lblOffset val="100"/>
        <c:noMultiLvlLbl val="0"/>
      </c:catAx>
      <c:valAx>
        <c:axId val="-291660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BUSEGA-KYENGERA'!$C$59:$N$59</c:f>
              <c:numCache>
                <c:formatCode>0.0%</c:formatCode>
                <c:ptCount val="12"/>
                <c:pt idx="0">
                  <c:v>0.27954617081626221</c:v>
                </c:pt>
                <c:pt idx="1">
                  <c:v>3.4247294883916375E-2</c:v>
                </c:pt>
                <c:pt idx="2">
                  <c:v>1.9749973736737054E-2</c:v>
                </c:pt>
                <c:pt idx="3">
                  <c:v>0.18857022796512238</c:v>
                </c:pt>
                <c:pt idx="4">
                  <c:v>7.4587666771719716E-3</c:v>
                </c:pt>
                <c:pt idx="5">
                  <c:v>8.719403298665827E-3</c:v>
                </c:pt>
                <c:pt idx="6">
                  <c:v>4.2756592078999893E-2</c:v>
                </c:pt>
                <c:pt idx="7">
                  <c:v>1.4182161991805862E-2</c:v>
                </c:pt>
                <c:pt idx="8">
                  <c:v>3.4667507091080997E-3</c:v>
                </c:pt>
                <c:pt idx="9">
                  <c:v>1.3131631473894317E-2</c:v>
                </c:pt>
                <c:pt idx="10">
                  <c:v>0.38785586721294252</c:v>
                </c:pt>
                <c:pt idx="11">
                  <c:v>3.1515915537346358E-4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BUSEGA-KYENGERA'!$S$9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BUSEGA-KYENGERA'!$S$10:$S$21</c:f>
              <c:numCache>
                <c:formatCode>0</c:formatCode>
                <c:ptCount val="12"/>
                <c:pt idx="0">
                  <c:v>205</c:v>
                </c:pt>
                <c:pt idx="1">
                  <c:v>263</c:v>
                </c:pt>
                <c:pt idx="2">
                  <c:v>307</c:v>
                </c:pt>
                <c:pt idx="3">
                  <c:v>325</c:v>
                </c:pt>
                <c:pt idx="4">
                  <c:v>234</c:v>
                </c:pt>
                <c:pt idx="5">
                  <c:v>186</c:v>
                </c:pt>
                <c:pt idx="6">
                  <c:v>198</c:v>
                </c:pt>
                <c:pt idx="7">
                  <c:v>153</c:v>
                </c:pt>
                <c:pt idx="8">
                  <c:v>225</c:v>
                </c:pt>
                <c:pt idx="9">
                  <c:v>162</c:v>
                </c:pt>
                <c:pt idx="10">
                  <c:v>202</c:v>
                </c:pt>
                <c:pt idx="11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BUSEGA-KYENGERA'!$T$9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BUSEGA-KYENGERA'!$R$10:$R$21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BUSEGA-KYENGERA'!$T$10:$T$21</c:f>
              <c:numCache>
                <c:formatCode>0</c:formatCode>
                <c:ptCount val="12"/>
                <c:pt idx="0">
                  <c:v>33</c:v>
                </c:pt>
                <c:pt idx="1">
                  <c:v>65</c:v>
                </c:pt>
                <c:pt idx="2">
                  <c:v>56</c:v>
                </c:pt>
                <c:pt idx="3">
                  <c:v>36</c:v>
                </c:pt>
                <c:pt idx="4">
                  <c:v>24</c:v>
                </c:pt>
                <c:pt idx="5">
                  <c:v>16</c:v>
                </c:pt>
                <c:pt idx="6">
                  <c:v>23</c:v>
                </c:pt>
                <c:pt idx="7">
                  <c:v>15</c:v>
                </c:pt>
                <c:pt idx="8">
                  <c:v>17</c:v>
                </c:pt>
                <c:pt idx="9">
                  <c:v>7</c:v>
                </c:pt>
                <c:pt idx="10">
                  <c:v>12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BUSEGA-KYENGERA'!$U$9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BUSEGA-KYENGERA'!$U$10:$U$21</c:f>
              <c:numCache>
                <c:formatCode>0</c:formatCode>
                <c:ptCount val="12"/>
                <c:pt idx="0">
                  <c:v>25</c:v>
                </c:pt>
                <c:pt idx="1">
                  <c:v>22</c:v>
                </c:pt>
                <c:pt idx="2">
                  <c:v>28</c:v>
                </c:pt>
                <c:pt idx="3">
                  <c:v>19</c:v>
                </c:pt>
                <c:pt idx="4">
                  <c:v>14</c:v>
                </c:pt>
                <c:pt idx="5">
                  <c:v>8</c:v>
                </c:pt>
                <c:pt idx="6">
                  <c:v>25</c:v>
                </c:pt>
                <c:pt idx="7">
                  <c:v>6</c:v>
                </c:pt>
                <c:pt idx="8">
                  <c:v>11</c:v>
                </c:pt>
                <c:pt idx="9">
                  <c:v>8</c:v>
                </c:pt>
                <c:pt idx="10">
                  <c:v>6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BUSEGA-KYENGERA'!$V$9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BUSEGA-KYENGERA'!$V$10:$V$21</c:f>
              <c:numCache>
                <c:formatCode>0</c:formatCode>
                <c:ptCount val="12"/>
                <c:pt idx="0">
                  <c:v>141</c:v>
                </c:pt>
                <c:pt idx="1">
                  <c:v>169</c:v>
                </c:pt>
                <c:pt idx="2">
                  <c:v>175</c:v>
                </c:pt>
                <c:pt idx="3">
                  <c:v>142</c:v>
                </c:pt>
                <c:pt idx="4">
                  <c:v>118</c:v>
                </c:pt>
                <c:pt idx="5">
                  <c:v>109</c:v>
                </c:pt>
                <c:pt idx="6">
                  <c:v>189</c:v>
                </c:pt>
                <c:pt idx="7">
                  <c:v>139</c:v>
                </c:pt>
                <c:pt idx="8">
                  <c:v>143</c:v>
                </c:pt>
                <c:pt idx="9">
                  <c:v>140</c:v>
                </c:pt>
                <c:pt idx="10">
                  <c:v>156</c:v>
                </c:pt>
                <c:pt idx="11">
                  <c:v>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BUSEGA-KYENGERA'!$W$9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BUSEGA-KYENGERA'!$W$10:$W$21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9</c:v>
                </c:pt>
                <c:pt idx="3">
                  <c:v>9</c:v>
                </c:pt>
                <c:pt idx="4">
                  <c:v>7</c:v>
                </c:pt>
                <c:pt idx="5">
                  <c:v>8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BUSEGA-KYENGERA'!$X$9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BUSEGA-KYENGERA'!$X$10:$X$21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9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8</c:v>
                </c:pt>
                <c:pt idx="9">
                  <c:v>11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BUSEGA-KYENGERA'!$Y$9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BUSEGA-KYENGERA'!$Y$10:$Y$21</c:f>
              <c:numCache>
                <c:formatCode>0</c:formatCode>
                <c:ptCount val="12"/>
                <c:pt idx="0">
                  <c:v>20</c:v>
                </c:pt>
                <c:pt idx="1">
                  <c:v>25</c:v>
                </c:pt>
                <c:pt idx="2">
                  <c:v>70</c:v>
                </c:pt>
                <c:pt idx="3">
                  <c:v>28</c:v>
                </c:pt>
                <c:pt idx="4">
                  <c:v>36</c:v>
                </c:pt>
                <c:pt idx="5">
                  <c:v>31</c:v>
                </c:pt>
                <c:pt idx="6">
                  <c:v>46</c:v>
                </c:pt>
                <c:pt idx="7">
                  <c:v>21</c:v>
                </c:pt>
                <c:pt idx="8">
                  <c:v>11</c:v>
                </c:pt>
                <c:pt idx="9">
                  <c:v>42</c:v>
                </c:pt>
                <c:pt idx="10">
                  <c:v>44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BUSEGA-KYENGERA'!$Z$9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BUSEGA-KYENGERA'!$Z$10:$Z$21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12</c:v>
                </c:pt>
                <c:pt idx="3">
                  <c:v>2</c:v>
                </c:pt>
                <c:pt idx="4">
                  <c:v>21</c:v>
                </c:pt>
                <c:pt idx="5">
                  <c:v>7</c:v>
                </c:pt>
                <c:pt idx="6">
                  <c:v>12</c:v>
                </c:pt>
                <c:pt idx="7">
                  <c:v>9</c:v>
                </c:pt>
                <c:pt idx="8">
                  <c:v>16</c:v>
                </c:pt>
                <c:pt idx="9">
                  <c:v>6</c:v>
                </c:pt>
                <c:pt idx="10">
                  <c:v>28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BUSEGA-KYENGERA'!$AA$9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BUSEGA-KYENGERA'!$AB$9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BUSEGA-KYENGERA'!$AB$10:$AB$21</c:f>
              <c:numCache>
                <c:formatCode>0</c:formatCode>
                <c:ptCount val="12"/>
                <c:pt idx="0">
                  <c:v>9</c:v>
                </c:pt>
                <c:pt idx="1">
                  <c:v>9</c:v>
                </c:pt>
                <c:pt idx="2">
                  <c:v>8</c:v>
                </c:pt>
                <c:pt idx="3">
                  <c:v>12</c:v>
                </c:pt>
                <c:pt idx="4">
                  <c:v>6</c:v>
                </c:pt>
                <c:pt idx="5">
                  <c:v>13</c:v>
                </c:pt>
                <c:pt idx="6">
                  <c:v>20</c:v>
                </c:pt>
                <c:pt idx="7">
                  <c:v>10</c:v>
                </c:pt>
                <c:pt idx="8">
                  <c:v>10</c:v>
                </c:pt>
                <c:pt idx="9">
                  <c:v>9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BUSEGA-KYENGERA'!$AC$9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BUSEGA-KYENGERA'!$AC$10:$AC$21</c:f>
              <c:numCache>
                <c:formatCode>0</c:formatCode>
                <c:ptCount val="12"/>
                <c:pt idx="0">
                  <c:v>506</c:v>
                </c:pt>
                <c:pt idx="1">
                  <c:v>570</c:v>
                </c:pt>
                <c:pt idx="2">
                  <c:v>361</c:v>
                </c:pt>
                <c:pt idx="3">
                  <c:v>390</c:v>
                </c:pt>
                <c:pt idx="4">
                  <c:v>266</c:v>
                </c:pt>
                <c:pt idx="5">
                  <c:v>200</c:v>
                </c:pt>
                <c:pt idx="6">
                  <c:v>235</c:v>
                </c:pt>
                <c:pt idx="7">
                  <c:v>211</c:v>
                </c:pt>
                <c:pt idx="8">
                  <c:v>243</c:v>
                </c:pt>
                <c:pt idx="9">
                  <c:v>225</c:v>
                </c:pt>
                <c:pt idx="10">
                  <c:v>290</c:v>
                </c:pt>
                <c:pt idx="11">
                  <c:v>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BUSEGA-KYENGERA'!$AD$9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BUSEGA-KYENGERA'!$AD$10:$AD$21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91661440"/>
        <c:axId val="-291661984"/>
      </c:lineChart>
      <c:catAx>
        <c:axId val="-29166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1984"/>
        <c:crosses val="autoZero"/>
        <c:auto val="1"/>
        <c:lblAlgn val="ctr"/>
        <c:lblOffset val="100"/>
        <c:noMultiLvlLbl val="0"/>
      </c:catAx>
      <c:valAx>
        <c:axId val="-29166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BUSEGA-KYENGERA'!$C$60:$N$60</c:f>
              <c:numCache>
                <c:formatCode>0.00%</c:formatCode>
                <c:ptCount val="12"/>
                <c:pt idx="0">
                  <c:v>0.45666723871632059</c:v>
                </c:pt>
                <c:pt idx="1">
                  <c:v>5.5946456152394027E-2</c:v>
                </c:pt>
                <c:pt idx="2">
                  <c:v>3.2263600480521709E-2</c:v>
                </c:pt>
                <c:pt idx="3">
                  <c:v>0.30804873863051313</c:v>
                </c:pt>
                <c:pt idx="4">
                  <c:v>1.2184657628282134E-2</c:v>
                </c:pt>
                <c:pt idx="5">
                  <c:v>1.4244036382357989E-2</c:v>
                </c:pt>
                <c:pt idx="6">
                  <c:v>6.9847262742406047E-2</c:v>
                </c:pt>
                <c:pt idx="7">
                  <c:v>2.3168010983353356E-2</c:v>
                </c:pt>
                <c:pt idx="8">
                  <c:v>5.663291573708598E-3</c:v>
                </c:pt>
                <c:pt idx="9">
                  <c:v>2.1451862021623476E-2</c:v>
                </c:pt>
                <c:pt idx="11">
                  <c:v>5.1484468851896339E-4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KYENGERA-BUSEGA'!$AE$9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KYENGERA-BUSEGA'!$R$10:$R$33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KYENGERA-BUSEGA'!$AE$10:$AE$33</c:f>
              <c:numCache>
                <c:formatCode>0</c:formatCode>
                <c:ptCount val="24"/>
                <c:pt idx="0">
                  <c:v>742.14285714285722</c:v>
                </c:pt>
                <c:pt idx="1">
                  <c:v>822.42857142857156</c:v>
                </c:pt>
                <c:pt idx="2">
                  <c:v>791.28571428571433</c:v>
                </c:pt>
                <c:pt idx="3">
                  <c:v>687.57142857142856</c:v>
                </c:pt>
                <c:pt idx="4">
                  <c:v>662.85714285714289</c:v>
                </c:pt>
                <c:pt idx="5">
                  <c:v>632</c:v>
                </c:pt>
                <c:pt idx="6">
                  <c:v>552</c:v>
                </c:pt>
                <c:pt idx="7">
                  <c:v>535.28571428571422</c:v>
                </c:pt>
                <c:pt idx="8">
                  <c:v>550.14285714285711</c:v>
                </c:pt>
                <c:pt idx="9">
                  <c:v>577.42857142857133</c:v>
                </c:pt>
                <c:pt idx="10">
                  <c:v>657.85714285714289</c:v>
                </c:pt>
                <c:pt idx="11">
                  <c:v>679.71428571428578</c:v>
                </c:pt>
                <c:pt idx="12">
                  <c:v>690</c:v>
                </c:pt>
                <c:pt idx="13">
                  <c:v>622.42857142857144</c:v>
                </c:pt>
                <c:pt idx="14">
                  <c:v>620</c:v>
                </c:pt>
                <c:pt idx="15">
                  <c:v>661</c:v>
                </c:pt>
                <c:pt idx="16">
                  <c:v>622.5</c:v>
                </c:pt>
                <c:pt idx="17">
                  <c:v>610.5</c:v>
                </c:pt>
                <c:pt idx="18">
                  <c:v>576.5</c:v>
                </c:pt>
                <c:pt idx="19">
                  <c:v>521.5</c:v>
                </c:pt>
                <c:pt idx="20">
                  <c:v>492</c:v>
                </c:pt>
                <c:pt idx="21">
                  <c:v>480.5</c:v>
                </c:pt>
                <c:pt idx="22">
                  <c:v>456.5</c:v>
                </c:pt>
                <c:pt idx="23">
                  <c:v>504.5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KYENGERA-BUSEGA'!$AF$9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KYENGERA-BUSEGA'!$R$10:$R$33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KYENGERA-BUSEGA'!$AF$10:$AF$33</c:f>
              <c:numCache>
                <c:formatCode>0</c:formatCode>
                <c:ptCount val="24"/>
                <c:pt idx="0">
                  <c:v>2110.2857142857147</c:v>
                </c:pt>
                <c:pt idx="1">
                  <c:v>2345</c:v>
                </c:pt>
                <c:pt idx="2">
                  <c:v>2059</c:v>
                </c:pt>
                <c:pt idx="3">
                  <c:v>1563.7142857142858</c:v>
                </c:pt>
                <c:pt idx="4">
                  <c:v>1481.4285714285716</c:v>
                </c:pt>
                <c:pt idx="5">
                  <c:v>1418.8571428571427</c:v>
                </c:pt>
                <c:pt idx="6">
                  <c:v>1251.5714285714287</c:v>
                </c:pt>
                <c:pt idx="7">
                  <c:v>1103.5714285714287</c:v>
                </c:pt>
                <c:pt idx="8">
                  <c:v>1105.5714285714284</c:v>
                </c:pt>
                <c:pt idx="9">
                  <c:v>1174.2857142857142</c:v>
                </c:pt>
                <c:pt idx="10">
                  <c:v>1473.4285714285716</c:v>
                </c:pt>
                <c:pt idx="11">
                  <c:v>1760.5714285714284</c:v>
                </c:pt>
                <c:pt idx="12">
                  <c:v>1765.6428571428573</c:v>
                </c:pt>
                <c:pt idx="13">
                  <c:v>1751.3571428571429</c:v>
                </c:pt>
                <c:pt idx="14">
                  <c:v>1839.5714285714284</c:v>
                </c:pt>
                <c:pt idx="15">
                  <c:v>1941</c:v>
                </c:pt>
                <c:pt idx="16">
                  <c:v>1950</c:v>
                </c:pt>
                <c:pt idx="17">
                  <c:v>1927</c:v>
                </c:pt>
                <c:pt idx="18">
                  <c:v>1868</c:v>
                </c:pt>
                <c:pt idx="19">
                  <c:v>1766.5</c:v>
                </c:pt>
                <c:pt idx="20">
                  <c:v>1680.5</c:v>
                </c:pt>
                <c:pt idx="21">
                  <c:v>1630.5</c:v>
                </c:pt>
                <c:pt idx="22">
                  <c:v>1554</c:v>
                </c:pt>
                <c:pt idx="23">
                  <c:v>1594.5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5792"/>
        <c:axId val="-291672320"/>
      </c:lineChart>
      <c:catAx>
        <c:axId val="-29166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72320"/>
        <c:crosses val="autoZero"/>
        <c:auto val="1"/>
        <c:lblAlgn val="ctr"/>
        <c:lblOffset val="100"/>
        <c:noMultiLvlLbl val="0"/>
      </c:catAx>
      <c:valAx>
        <c:axId val="-291672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7950432425455077E-3"/>
          <c:y val="8.8518571100942481E-2"/>
          <c:w val="0.81729515941654829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KYENGERA-BUSEGA'!$C$107:$N$107</c:f>
              <c:numCache>
                <c:formatCode>0.0%</c:formatCode>
                <c:ptCount val="12"/>
                <c:pt idx="0">
                  <c:v>0.17522108336954983</c:v>
                </c:pt>
                <c:pt idx="1">
                  <c:v>2.2667454477090829E-2</c:v>
                </c:pt>
                <c:pt idx="2">
                  <c:v>2.1746985892659193E-2</c:v>
                </c:pt>
                <c:pt idx="3">
                  <c:v>0.11293685634342022</c:v>
                </c:pt>
                <c:pt idx="4">
                  <c:v>4.9563693007856936E-3</c:v>
                </c:pt>
                <c:pt idx="5">
                  <c:v>4.6072260446219726E-3</c:v>
                </c:pt>
                <c:pt idx="6">
                  <c:v>3.910892781280062E-2</c:v>
                </c:pt>
                <c:pt idx="7">
                  <c:v>1.9937789019810827E-2</c:v>
                </c:pt>
                <c:pt idx="8">
                  <c:v>3.7844199094669096E-3</c:v>
                </c:pt>
                <c:pt idx="9">
                  <c:v>1.0571960134188206E-2</c:v>
                </c:pt>
                <c:pt idx="10">
                  <c:v>0.58440965490973562</c:v>
                </c:pt>
                <c:pt idx="11">
                  <c:v>5.1272785870196825E-5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336846111758676E-2"/>
          <c:y val="0.17188801399825018"/>
          <c:w val="0.88708461593358212"/>
          <c:h val="0.819571303587051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KYENGERA-BUSEGA'!$C$9:$N$9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KYENGERA-BUSEGA'!$C$108:$N$108</c:f>
              <c:numCache>
                <c:formatCode>0.00%</c:formatCode>
                <c:ptCount val="12"/>
                <c:pt idx="0">
                  <c:v>0.42161971624122435</c:v>
                </c:pt>
                <c:pt idx="1">
                  <c:v>5.4542784125958345E-2</c:v>
                </c:pt>
                <c:pt idx="2">
                  <c:v>5.2327938195811163E-2</c:v>
                </c:pt>
                <c:pt idx="3">
                  <c:v>0.27175043327556325</c:v>
                </c:pt>
                <c:pt idx="4">
                  <c:v>1.1926093470023205E-2</c:v>
                </c:pt>
                <c:pt idx="5">
                  <c:v>1.1085979496519106E-2</c:v>
                </c:pt>
                <c:pt idx="6">
                  <c:v>9.4104514878242229E-2</c:v>
                </c:pt>
                <c:pt idx="7">
                  <c:v>4.7974620333108127E-2</c:v>
                </c:pt>
                <c:pt idx="8">
                  <c:v>9.1061304820374243E-3</c:v>
                </c:pt>
                <c:pt idx="9">
                  <c:v>2.5438416120788416E-2</c:v>
                </c:pt>
                <c:pt idx="11">
                  <c:v>1.2337338072437797E-4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BUSEGA-KYENGERA'!$AE$9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BUSEGA-KYENGERA'!$R$10:$R$33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BUSEGA-KYENGERA'!$AE$10:$AE$33</c:f>
              <c:numCache>
                <c:formatCode>0</c:formatCode>
                <c:ptCount val="24"/>
                <c:pt idx="0">
                  <c:v>493.57142857142856</c:v>
                </c:pt>
                <c:pt idx="1">
                  <c:v>563.57142857142844</c:v>
                </c:pt>
                <c:pt idx="2">
                  <c:v>603.28571428571422</c:v>
                </c:pt>
                <c:pt idx="3">
                  <c:v>628.57142857142856</c:v>
                </c:pt>
                <c:pt idx="4">
                  <c:v>639.14285714285711</c:v>
                </c:pt>
                <c:pt idx="5">
                  <c:v>547.28571428571422</c:v>
                </c:pt>
                <c:pt idx="6">
                  <c:v>560.14285714285711</c:v>
                </c:pt>
                <c:pt idx="7">
                  <c:v>517.71428571428555</c:v>
                </c:pt>
                <c:pt idx="8">
                  <c:v>603.42857142857144</c:v>
                </c:pt>
                <c:pt idx="9">
                  <c:v>625</c:v>
                </c:pt>
                <c:pt idx="10">
                  <c:v>663.85714285714278</c:v>
                </c:pt>
                <c:pt idx="11">
                  <c:v>604.71428571428567</c:v>
                </c:pt>
                <c:pt idx="12">
                  <c:v>628</c:v>
                </c:pt>
                <c:pt idx="13">
                  <c:v>608.78571428571422</c:v>
                </c:pt>
                <c:pt idx="14">
                  <c:v>633.57142857142856</c:v>
                </c:pt>
                <c:pt idx="15">
                  <c:v>676.5</c:v>
                </c:pt>
                <c:pt idx="16">
                  <c:v>623</c:v>
                </c:pt>
                <c:pt idx="17">
                  <c:v>614.5</c:v>
                </c:pt>
                <c:pt idx="18">
                  <c:v>610.5</c:v>
                </c:pt>
                <c:pt idx="19">
                  <c:v>621.5</c:v>
                </c:pt>
                <c:pt idx="20">
                  <c:v>657.5</c:v>
                </c:pt>
                <c:pt idx="21">
                  <c:v>730.5</c:v>
                </c:pt>
                <c:pt idx="22">
                  <c:v>765.5</c:v>
                </c:pt>
                <c:pt idx="23">
                  <c:v>759.5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BUSEGA-KYENGERA'!$AF$9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BUSEGA-KYENGERA'!$R$10:$R$33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BUSEGA-KYENGERA'!$AF$10:$AF$33</c:f>
              <c:numCache>
                <c:formatCode>0</c:formatCode>
                <c:ptCount val="24"/>
                <c:pt idx="0">
                  <c:v>1071.8571428571429</c:v>
                </c:pt>
                <c:pt idx="1">
                  <c:v>1277.5714285714284</c:v>
                </c:pt>
                <c:pt idx="2">
                  <c:v>1356.7142857142858</c:v>
                </c:pt>
                <c:pt idx="3">
                  <c:v>1263.5714285714287</c:v>
                </c:pt>
                <c:pt idx="4">
                  <c:v>1118.4285714285716</c:v>
                </c:pt>
                <c:pt idx="5">
                  <c:v>999.42857142857144</c:v>
                </c:pt>
                <c:pt idx="6">
                  <c:v>1128.7142857142858</c:v>
                </c:pt>
                <c:pt idx="7">
                  <c:v>1040.5714285714284</c:v>
                </c:pt>
                <c:pt idx="8">
                  <c:v>1158.2857142857142</c:v>
                </c:pt>
                <c:pt idx="9">
                  <c:v>1286.4285714285716</c:v>
                </c:pt>
                <c:pt idx="10">
                  <c:v>1520.1428571428571</c:v>
                </c:pt>
                <c:pt idx="11">
                  <c:v>1512.7142857142858</c:v>
                </c:pt>
                <c:pt idx="12">
                  <c:v>1687.7142857142858</c:v>
                </c:pt>
                <c:pt idx="13">
                  <c:v>1639.8571428571429</c:v>
                </c:pt>
                <c:pt idx="14">
                  <c:v>1775.2857142857142</c:v>
                </c:pt>
                <c:pt idx="15">
                  <c:v>1945</c:v>
                </c:pt>
                <c:pt idx="16">
                  <c:v>1696.5</c:v>
                </c:pt>
                <c:pt idx="17">
                  <c:v>1729.5</c:v>
                </c:pt>
                <c:pt idx="18">
                  <c:v>1713</c:v>
                </c:pt>
                <c:pt idx="19">
                  <c:v>1649</c:v>
                </c:pt>
                <c:pt idx="20">
                  <c:v>1717.5</c:v>
                </c:pt>
                <c:pt idx="21">
                  <c:v>1758</c:v>
                </c:pt>
                <c:pt idx="22">
                  <c:v>1660.5</c:v>
                </c:pt>
                <c:pt idx="23">
                  <c:v>1544.5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5248"/>
        <c:axId val="-291664160"/>
      </c:lineChart>
      <c:catAx>
        <c:axId val="-291665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4160"/>
        <c:crosses val="autoZero"/>
        <c:auto val="1"/>
        <c:lblAlgn val="ctr"/>
        <c:lblOffset val="100"/>
        <c:noMultiLvlLbl val="0"/>
      </c:catAx>
      <c:valAx>
        <c:axId val="-291664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BUSEGA-KYENGERA'!$C$107:$N$107</c:f>
              <c:numCache>
                <c:formatCode>0.0%</c:formatCode>
                <c:ptCount val="12"/>
                <c:pt idx="0">
                  <c:v>0.20160172668408496</c:v>
                </c:pt>
                <c:pt idx="1">
                  <c:v>2.6746563671475636E-2</c:v>
                </c:pt>
                <c:pt idx="2">
                  <c:v>1.6934567760990574E-2</c:v>
                </c:pt>
                <c:pt idx="3">
                  <c:v>0.12702771782346928</c:v>
                </c:pt>
                <c:pt idx="4">
                  <c:v>5.992275360672498E-3</c:v>
                </c:pt>
                <c:pt idx="5">
                  <c:v>5.4952856980574807E-3</c:v>
                </c:pt>
                <c:pt idx="6">
                  <c:v>3.7092468476655677E-2</c:v>
                </c:pt>
                <c:pt idx="7">
                  <c:v>2.8743042144723393E-2</c:v>
                </c:pt>
                <c:pt idx="8">
                  <c:v>5.123253436328524E-3</c:v>
                </c:pt>
                <c:pt idx="9">
                  <c:v>1.2169146881744858E-2</c:v>
                </c:pt>
                <c:pt idx="10">
                  <c:v>0.53250028399409288</c:v>
                </c:pt>
                <c:pt idx="11">
                  <c:v>5.736680677041917E-4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585881761437956E-2"/>
          <c:y val="0.23513385826771654"/>
          <c:w val="0.82101228366016787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BUSEGA-KYENGERA'!$C$9:$N$9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BUSEGA-KYENGERA'!$C$108:$N$108</c:f>
              <c:numCache>
                <c:formatCode>0.00%</c:formatCode>
                <c:ptCount val="12"/>
                <c:pt idx="0">
                  <c:v>0.43123390192933858</c:v>
                </c:pt>
                <c:pt idx="1">
                  <c:v>5.7211935656315313E-2</c:v>
                </c:pt>
                <c:pt idx="2">
                  <c:v>3.6223696360013616E-2</c:v>
                </c:pt>
                <c:pt idx="3">
                  <c:v>0.27171720853379988</c:v>
                </c:pt>
                <c:pt idx="4">
                  <c:v>1.281770909267629E-2</c:v>
                </c:pt>
                <c:pt idx="5">
                  <c:v>1.1754628954658114E-2</c:v>
                </c:pt>
                <c:pt idx="6">
                  <c:v>7.9342226758030793E-2</c:v>
                </c:pt>
                <c:pt idx="7">
                  <c:v>6.1482480439325471E-2</c:v>
                </c:pt>
                <c:pt idx="8">
                  <c:v>1.0958837537055937E-2</c:v>
                </c:pt>
                <c:pt idx="9">
                  <c:v>2.6030276522330757E-2</c:v>
                </c:pt>
                <c:pt idx="11">
                  <c:v>1.2270982164552654E-3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862766740250188E-2"/>
          <c:y val="8.013560502587487E-2"/>
          <c:w val="0.82827446651949965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KYENGERA-BUSEGA-2Dir'!$C$9:$N$9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KYENGERA-BUSEGA-2Dir'!$C$107:$N$107</c:f>
              <c:numCache>
                <c:formatCode>0.0%</c:formatCode>
                <c:ptCount val="12"/>
                <c:pt idx="0">
                  <c:v>0.18741646908075946</c:v>
                </c:pt>
                <c:pt idx="1">
                  <c:v>2.4553167019826863E-2</c:v>
                </c:pt>
                <c:pt idx="2">
                  <c:v>1.9522275349418527E-2</c:v>
                </c:pt>
                <c:pt idx="3">
                  <c:v>0.11945085559292841</c:v>
                </c:pt>
                <c:pt idx="4">
                  <c:v>5.435253527006907E-3</c:v>
                </c:pt>
                <c:pt idx="5">
                  <c:v>5.0177630387005798E-3</c:v>
                </c:pt>
                <c:pt idx="6">
                  <c:v>3.817674814295504E-2</c:v>
                </c:pt>
                <c:pt idx="7">
                  <c:v>2.4008328803955394E-2</c:v>
                </c:pt>
                <c:pt idx="8">
                  <c:v>4.403343074778061E-3</c:v>
                </c:pt>
                <c:pt idx="9">
                  <c:v>1.1310316216223313E-2</c:v>
                </c:pt>
                <c:pt idx="10">
                  <c:v>0.56041271166636464</c:v>
                </c:pt>
                <c:pt idx="11">
                  <c:v>2.9276848708273921E-4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992424222155034E-2"/>
          <c:y val="0.21971518272535775"/>
          <c:w val="0.83261086583830202"/>
          <c:h val="0.7687191634294604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KYENGERA-BUSEGA-2Dir'!$C$9:$N$9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KYENGERA-BUSEGA-2Dir'!$C$108:$N$108</c:f>
              <c:numCache>
                <c:formatCode>0.00%</c:formatCode>
                <c:ptCount val="12"/>
                <c:pt idx="0">
                  <c:v>0.42634642551018276</c:v>
                </c:pt>
                <c:pt idx="1">
                  <c:v>5.5855043290495815E-2</c:v>
                </c:pt>
                <c:pt idx="2">
                  <c:v>4.4410463786208554E-2</c:v>
                </c:pt>
                <c:pt idx="3">
                  <c:v>0.27173409869456538</c:v>
                </c:pt>
                <c:pt idx="4">
                  <c:v>1.2364446541688194E-2</c:v>
                </c:pt>
                <c:pt idx="5">
                  <c:v>1.1414713691384609E-2</c:v>
                </c:pt>
                <c:pt idx="6">
                  <c:v>8.6846797339553375E-2</c:v>
                </c:pt>
                <c:pt idx="7">
                  <c:v>5.4615612055036726E-2</c:v>
                </c:pt>
                <c:pt idx="8">
                  <c:v>1.0016993647541597E-2</c:v>
                </c:pt>
                <c:pt idx="9">
                  <c:v>2.5729397815614445E-2</c:v>
                </c:pt>
                <c:pt idx="11">
                  <c:v>6.6600762772861522E-4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KYENGERA-BUSEGA-2Dir'!$S$9:$AF$9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KYENGERA-BUSEGA-2Dir'!$S$41:$AF$41</c:f>
              <c:numCache>
                <c:formatCode>_(* #,##0_);_(* \(#,##0\);_(* "-"_);_(@_)</c:formatCode>
                <c:ptCount val="14"/>
                <c:pt idx="0">
                  <c:v>10196.714285714286</c:v>
                </c:pt>
                <c:pt idx="1">
                  <c:v>1335.8571428571429</c:v>
                </c:pt>
                <c:pt idx="2">
                  <c:v>1062.1428571428571</c:v>
                </c:pt>
                <c:pt idx="3">
                  <c:v>6498.9285714285716</c:v>
                </c:pt>
                <c:pt idx="4">
                  <c:v>295.71428571428567</c:v>
                </c:pt>
                <c:pt idx="5">
                  <c:v>273</c:v>
                </c:pt>
                <c:pt idx="6">
                  <c:v>2077.0714285714284</c:v>
                </c:pt>
                <c:pt idx="7">
                  <c:v>1306.2142857142858</c:v>
                </c:pt>
                <c:pt idx="8">
                  <c:v>239.57142857142856</c:v>
                </c:pt>
                <c:pt idx="9">
                  <c:v>615.35714285714289</c:v>
                </c:pt>
                <c:pt idx="10">
                  <c:v>30490.214285714283</c:v>
                </c:pt>
                <c:pt idx="11">
                  <c:v>15.928571428571427</c:v>
                </c:pt>
                <c:pt idx="12">
                  <c:v>29728.28571428571</c:v>
                </c:pt>
                <c:pt idx="13">
                  <c:v>75366.64285714287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45289408"/>
        <c:axId val="-15182432"/>
      </c:barChart>
      <c:catAx>
        <c:axId val="-14528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5182432"/>
        <c:crosses val="autoZero"/>
        <c:auto val="1"/>
        <c:lblAlgn val="ctr"/>
        <c:lblOffset val="100"/>
        <c:noMultiLvlLbl val="0"/>
      </c:catAx>
      <c:valAx>
        <c:axId val="-151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8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KYENGERA-BUSEGA-2Dir'!$S$9:$AF$9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KYENGERA-BUSEGA-2Dir'!$S$42:$AF$42</c:f>
              <c:numCache>
                <c:formatCode>0.000</c:formatCode>
                <c:ptCount val="14"/>
                <c:pt idx="0">
                  <c:v>1.6535084671160842</c:v>
                </c:pt>
                <c:pt idx="1">
                  <c:v>1.5718608169440242</c:v>
                </c:pt>
                <c:pt idx="2">
                  <c:v>1.4587011967824211</c:v>
                </c:pt>
                <c:pt idx="3">
                  <c:v>1.4357740255641471</c:v>
                </c:pt>
                <c:pt idx="4">
                  <c:v>1.8286219081272084</c:v>
                </c:pt>
                <c:pt idx="5">
                  <c:v>1.9090909090909094</c:v>
                </c:pt>
                <c:pt idx="6">
                  <c:v>1.6309029725182276</c:v>
                </c:pt>
                <c:pt idx="7">
                  <c:v>2.2037840443480357</c:v>
                </c:pt>
                <c:pt idx="8">
                  <c:v>1.8347921225382933</c:v>
                </c:pt>
                <c:pt idx="9">
                  <c:v>1.6865700861393891</c:v>
                </c:pt>
                <c:pt idx="10">
                  <c:v>1.6356784304709355</c:v>
                </c:pt>
                <c:pt idx="11">
                  <c:v>4.6458333333333339</c:v>
                </c:pt>
                <c:pt idx="12">
                  <c:v>1.9897119144826794</c:v>
                </c:pt>
                <c:pt idx="13">
                  <c:v>2.2442762217533354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5174272"/>
        <c:axId val="-15179712"/>
      </c:barChart>
      <c:catAx>
        <c:axId val="-1517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5179712"/>
        <c:crosses val="autoZero"/>
        <c:auto val="1"/>
        <c:lblAlgn val="ctr"/>
        <c:lblOffset val="100"/>
        <c:noMultiLvlLbl val="0"/>
      </c:catAx>
      <c:valAx>
        <c:axId val="-1517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517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KYENGERA-BUSEGA-2Dir'!$AE$9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KYENGERA-BUSEGA-2Dir'!$R$10:$R$33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KYENGERA-BUSEGA-2Dir'!$AE$10:$AE$33</c:f>
              <c:numCache>
                <c:formatCode>0</c:formatCode>
                <c:ptCount val="24"/>
                <c:pt idx="0">
                  <c:v>1235.7142857142856</c:v>
                </c:pt>
                <c:pt idx="1">
                  <c:v>1386</c:v>
                </c:pt>
                <c:pt idx="2">
                  <c:v>1394.5714285714284</c:v>
                </c:pt>
                <c:pt idx="3">
                  <c:v>1316.1428571428573</c:v>
                </c:pt>
                <c:pt idx="4">
                  <c:v>1302</c:v>
                </c:pt>
                <c:pt idx="5">
                  <c:v>1179.2857142857142</c:v>
                </c:pt>
                <c:pt idx="6">
                  <c:v>1112.1428571428573</c:v>
                </c:pt>
                <c:pt idx="7">
                  <c:v>1053</c:v>
                </c:pt>
                <c:pt idx="8">
                  <c:v>1153.5714285714282</c:v>
                </c:pt>
                <c:pt idx="9">
                  <c:v>1202.4285714285716</c:v>
                </c:pt>
                <c:pt idx="10">
                  <c:v>1321.7142857142858</c:v>
                </c:pt>
                <c:pt idx="11">
                  <c:v>1284.4285714285711</c:v>
                </c:pt>
                <c:pt idx="12">
                  <c:v>1318</c:v>
                </c:pt>
                <c:pt idx="13">
                  <c:v>1231.2142857142858</c:v>
                </c:pt>
                <c:pt idx="14">
                  <c:v>1253.5714285714284</c:v>
                </c:pt>
                <c:pt idx="15">
                  <c:v>1337.5</c:v>
                </c:pt>
                <c:pt idx="16">
                  <c:v>1245.5</c:v>
                </c:pt>
                <c:pt idx="17">
                  <c:v>1225</c:v>
                </c:pt>
                <c:pt idx="18">
                  <c:v>1187</c:v>
                </c:pt>
                <c:pt idx="19">
                  <c:v>1143</c:v>
                </c:pt>
                <c:pt idx="20">
                  <c:v>1149.5</c:v>
                </c:pt>
                <c:pt idx="21">
                  <c:v>1211</c:v>
                </c:pt>
                <c:pt idx="22">
                  <c:v>1222</c:v>
                </c:pt>
                <c:pt idx="23">
                  <c:v>1264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6B9-4323-A200-49973D2DB266}"/>
            </c:ext>
          </c:extLst>
        </c:ser>
        <c:ser>
          <c:idx val="1"/>
          <c:order val="1"/>
          <c:tx>
            <c:strRef>
              <c:f>'Avg Week KYENGERA-BUSEGA-2Dir'!$AF$9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KYENGERA-BUSEGA-2Dir'!$R$10:$R$33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KYENGERA-BUSEGA-2Dir'!$AF$10:$AF$33</c:f>
              <c:numCache>
                <c:formatCode>0</c:formatCode>
                <c:ptCount val="24"/>
                <c:pt idx="0">
                  <c:v>3182.1428571428573</c:v>
                </c:pt>
                <c:pt idx="1">
                  <c:v>3622.5714285714284</c:v>
                </c:pt>
                <c:pt idx="2">
                  <c:v>3415.7142857142858</c:v>
                </c:pt>
                <c:pt idx="3">
                  <c:v>2827.2857142857142</c:v>
                </c:pt>
                <c:pt idx="4">
                  <c:v>2599.8571428571427</c:v>
                </c:pt>
                <c:pt idx="5">
                  <c:v>2418.2857142857142</c:v>
                </c:pt>
                <c:pt idx="6">
                  <c:v>2380.2857142857142</c:v>
                </c:pt>
                <c:pt idx="7">
                  <c:v>2144.1428571428573</c:v>
                </c:pt>
                <c:pt idx="8">
                  <c:v>2263.8571428571427</c:v>
                </c:pt>
                <c:pt idx="9">
                  <c:v>2460.7142857142853</c:v>
                </c:pt>
                <c:pt idx="10">
                  <c:v>2993.5714285714284</c:v>
                </c:pt>
                <c:pt idx="11">
                  <c:v>3273.2857142857138</c:v>
                </c:pt>
                <c:pt idx="12">
                  <c:v>3453.3571428571431</c:v>
                </c:pt>
                <c:pt idx="13">
                  <c:v>3391.2142857142858</c:v>
                </c:pt>
                <c:pt idx="14">
                  <c:v>3614.8571428571431</c:v>
                </c:pt>
                <c:pt idx="15">
                  <c:v>3886</c:v>
                </c:pt>
                <c:pt idx="16">
                  <c:v>3646.5</c:v>
                </c:pt>
                <c:pt idx="17">
                  <c:v>3656.5</c:v>
                </c:pt>
                <c:pt idx="18">
                  <c:v>3581</c:v>
                </c:pt>
                <c:pt idx="19">
                  <c:v>3415.5</c:v>
                </c:pt>
                <c:pt idx="20">
                  <c:v>3398</c:v>
                </c:pt>
                <c:pt idx="21">
                  <c:v>3388.5</c:v>
                </c:pt>
                <c:pt idx="22">
                  <c:v>3214.5</c:v>
                </c:pt>
                <c:pt idx="23">
                  <c:v>3139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6B9-4323-A200-49973D2DB266}"/>
            </c:ext>
          </c:extLst>
        </c:ser>
        <c:ser>
          <c:idx val="5"/>
          <c:order val="2"/>
          <c:tx>
            <c:strRef>
              <c:f>'Avg Week KYENGERA-BUSEGA-2Dir'!$AC$9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KYENGERA-BUSEGA-2Dir'!$R$10:$R$33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KYENGERA-BUSEGA-2Dir'!$AC$10:$AC$33</c:f>
              <c:numCache>
                <c:formatCode>0</c:formatCode>
                <c:ptCount val="24"/>
                <c:pt idx="0">
                  <c:v>1946.4285714285716</c:v>
                </c:pt>
                <c:pt idx="1">
                  <c:v>2236.5714285714284</c:v>
                </c:pt>
                <c:pt idx="2">
                  <c:v>2021.1428571428573</c:v>
                </c:pt>
                <c:pt idx="3">
                  <c:v>1511.1428571428571</c:v>
                </c:pt>
                <c:pt idx="4">
                  <c:v>1297.8571428571429</c:v>
                </c:pt>
                <c:pt idx="5">
                  <c:v>1239</c:v>
                </c:pt>
                <c:pt idx="6">
                  <c:v>1268.1428571428571</c:v>
                </c:pt>
                <c:pt idx="7">
                  <c:v>1091.1428571428571</c:v>
                </c:pt>
                <c:pt idx="8">
                  <c:v>1110.2857142857142</c:v>
                </c:pt>
                <c:pt idx="9">
                  <c:v>1258.2857142857142</c:v>
                </c:pt>
                <c:pt idx="10">
                  <c:v>1671.8571428571427</c:v>
                </c:pt>
                <c:pt idx="11">
                  <c:v>1988.8571428571427</c:v>
                </c:pt>
                <c:pt idx="12">
                  <c:v>2548.5</c:v>
                </c:pt>
                <c:pt idx="13">
                  <c:v>2272.5</c:v>
                </c:pt>
                <c:pt idx="14">
                  <c:v>1875</c:v>
                </c:pt>
                <c:pt idx="15">
                  <c:v>1568</c:v>
                </c:pt>
                <c:pt idx="16">
                  <c:v>941</c:v>
                </c:pt>
                <c:pt idx="17">
                  <c:v>487</c:v>
                </c:pt>
                <c:pt idx="18">
                  <c:v>299.5</c:v>
                </c:pt>
                <c:pt idx="19">
                  <c:v>289.5</c:v>
                </c:pt>
                <c:pt idx="20">
                  <c:v>261</c:v>
                </c:pt>
                <c:pt idx="21">
                  <c:v>247</c:v>
                </c:pt>
                <c:pt idx="22">
                  <c:v>339.5</c:v>
                </c:pt>
                <c:pt idx="23">
                  <c:v>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B9-4323-A200-49973D2DB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289952"/>
        <c:axId val="-1908661088"/>
      </c:lineChart>
      <c:catAx>
        <c:axId val="-1452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8661088"/>
        <c:crosses val="autoZero"/>
        <c:auto val="1"/>
        <c:lblAlgn val="ctr"/>
        <c:lblOffset val="100"/>
        <c:noMultiLvlLbl val="0"/>
      </c:catAx>
      <c:valAx>
        <c:axId val="-1908661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8995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59</xdr:row>
      <xdr:rowOff>279400</xdr:rowOff>
    </xdr:from>
    <xdr:to>
      <xdr:col>31</xdr:col>
      <xdr:colOff>555625</xdr:colOff>
      <xdr:row>76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60</xdr:row>
      <xdr:rowOff>1</xdr:rowOff>
    </xdr:from>
    <xdr:to>
      <xdr:col>24</xdr:col>
      <xdr:colOff>0</xdr:colOff>
      <xdr:row>76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60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60</xdr:row>
      <xdr:rowOff>279401</xdr:rowOff>
    </xdr:from>
    <xdr:to>
      <xdr:col>31</xdr:col>
      <xdr:colOff>523875</xdr:colOff>
      <xdr:row>75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61</xdr:row>
      <xdr:rowOff>1</xdr:rowOff>
    </xdr:from>
    <xdr:to>
      <xdr:col>24</xdr:col>
      <xdr:colOff>0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75</xdr:row>
      <xdr:rowOff>273053</xdr:rowOff>
    </xdr:from>
    <xdr:to>
      <xdr:col>25</xdr:col>
      <xdr:colOff>10600</xdr:colOff>
      <xdr:row>92</xdr:row>
      <xdr:rowOff>9528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6351</xdr:colOff>
      <xdr:row>59</xdr:row>
      <xdr:rowOff>282579</xdr:rowOff>
    </xdr:from>
    <xdr:to>
      <xdr:col>25</xdr:col>
      <xdr:colOff>17463</xdr:colOff>
      <xdr:row>75</xdr:row>
      <xdr:rowOff>279403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708026</xdr:colOff>
      <xdr:row>60</xdr:row>
      <xdr:rowOff>1</xdr:rowOff>
    </xdr:from>
    <xdr:to>
      <xdr:col>31</xdr:col>
      <xdr:colOff>555625</xdr:colOff>
      <xdr:row>76</xdr:row>
      <xdr:rowOff>9529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708026</xdr:colOff>
      <xdr:row>75</xdr:row>
      <xdr:rowOff>280990</xdr:rowOff>
    </xdr:from>
    <xdr:to>
      <xdr:col>31</xdr:col>
      <xdr:colOff>555625</xdr:colOff>
      <xdr:row>92</xdr:row>
      <xdr:rowOff>9528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2263</xdr:colOff>
      <xdr:row>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8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1" t="s">
        <v>96</v>
      </c>
      <c r="C3" s="61" t="s">
        <v>170</v>
      </c>
      <c r="D3" s="62"/>
      <c r="E3" s="62"/>
      <c r="F3" s="62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6" t="s">
        <v>171</v>
      </c>
      <c r="H5" s="57"/>
      <c r="I5" s="14"/>
      <c r="J5" s="2" t="s">
        <v>5</v>
      </c>
      <c r="K5" s="56" t="s">
        <v>174</v>
      </c>
      <c r="L5" s="57"/>
      <c r="M5" s="10"/>
      <c r="N5" s="10"/>
      <c r="O5" s="3"/>
      <c r="P5" s="3"/>
    </row>
    <row r="6" spans="2:32" ht="23.25" customHeight="1" x14ac:dyDescent="0.25">
      <c r="C6" s="2" t="s">
        <v>4</v>
      </c>
      <c r="D6" s="56" t="s">
        <v>171</v>
      </c>
      <c r="E6" s="57"/>
      <c r="F6" s="2" t="s">
        <v>2</v>
      </c>
      <c r="G6" s="56" t="s">
        <v>172</v>
      </c>
      <c r="H6" s="57"/>
      <c r="J6" s="2" t="s">
        <v>21</v>
      </c>
      <c r="K6" s="56" t="s">
        <v>173</v>
      </c>
      <c r="L6" s="5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77</v>
      </c>
      <c r="D10" s="50">
        <v>4</v>
      </c>
      <c r="E10" s="50">
        <v>6</v>
      </c>
      <c r="F10" s="50">
        <v>37</v>
      </c>
      <c r="G10" s="50">
        <v>1</v>
      </c>
      <c r="H10" s="50">
        <v>1</v>
      </c>
      <c r="I10" s="50">
        <v>9</v>
      </c>
      <c r="J10" s="50">
        <v>1</v>
      </c>
      <c r="K10" s="50">
        <v>1</v>
      </c>
      <c r="L10" s="50">
        <v>2</v>
      </c>
      <c r="M10" s="50">
        <v>100</v>
      </c>
      <c r="N10" s="50">
        <v>0</v>
      </c>
      <c r="O10" s="15">
        <f t="shared" ref="O10:O57" si="0">SUM(C10:L10,N10)</f>
        <v>139</v>
      </c>
      <c r="P10" s="15">
        <f t="shared" ref="P10:P57" si="1">SUM(C10:N10)</f>
        <v>239</v>
      </c>
      <c r="R10" s="1" t="s">
        <v>6</v>
      </c>
      <c r="S10" s="17">
        <f t="shared" ref="S10:AF10" si="2">SUM(C10:C13)</f>
        <v>418</v>
      </c>
      <c r="T10" s="17">
        <f t="shared" si="2"/>
        <v>34</v>
      </c>
      <c r="U10" s="17">
        <f t="shared" si="2"/>
        <v>41</v>
      </c>
      <c r="V10" s="17">
        <f t="shared" si="2"/>
        <v>222</v>
      </c>
      <c r="W10" s="17">
        <f t="shared" si="2"/>
        <v>11</v>
      </c>
      <c r="X10" s="17">
        <f t="shared" si="2"/>
        <v>5</v>
      </c>
      <c r="Y10" s="17">
        <f t="shared" si="2"/>
        <v>43</v>
      </c>
      <c r="Z10" s="17">
        <f t="shared" si="2"/>
        <v>10</v>
      </c>
      <c r="AA10" s="17">
        <f t="shared" si="2"/>
        <v>5</v>
      </c>
      <c r="AB10" s="17">
        <f t="shared" si="2"/>
        <v>9</v>
      </c>
      <c r="AC10" s="17">
        <f t="shared" si="2"/>
        <v>863</v>
      </c>
      <c r="AD10" s="17">
        <f t="shared" si="2"/>
        <v>0</v>
      </c>
      <c r="AE10" s="31">
        <f t="shared" si="2"/>
        <v>798</v>
      </c>
      <c r="AF10" s="31">
        <f t="shared" si="2"/>
        <v>1661</v>
      </c>
    </row>
    <row r="11" spans="2:32" s="6" customFormat="1" ht="23.1" customHeight="1" x14ac:dyDescent="0.25">
      <c r="B11" s="23" t="s">
        <v>38</v>
      </c>
      <c r="C11" s="50">
        <v>120</v>
      </c>
      <c r="D11" s="50">
        <v>11</v>
      </c>
      <c r="E11" s="50">
        <v>9</v>
      </c>
      <c r="F11" s="50">
        <v>52</v>
      </c>
      <c r="G11" s="50">
        <v>1</v>
      </c>
      <c r="H11" s="50">
        <v>2</v>
      </c>
      <c r="I11" s="50">
        <v>14</v>
      </c>
      <c r="J11" s="50">
        <v>4</v>
      </c>
      <c r="K11" s="50">
        <v>1</v>
      </c>
      <c r="L11" s="50">
        <v>3</v>
      </c>
      <c r="M11" s="50">
        <v>220</v>
      </c>
      <c r="N11" s="50">
        <v>0</v>
      </c>
      <c r="O11" s="15">
        <f t="shared" si="0"/>
        <v>217</v>
      </c>
      <c r="P11" s="15">
        <f t="shared" si="1"/>
        <v>437</v>
      </c>
      <c r="R11" s="1" t="s">
        <v>7</v>
      </c>
      <c r="S11" s="17">
        <f t="shared" ref="S11:AF11" si="3">SUM(C14:C17)</f>
        <v>378</v>
      </c>
      <c r="T11" s="17">
        <f t="shared" si="3"/>
        <v>49</v>
      </c>
      <c r="U11" s="17">
        <f t="shared" si="3"/>
        <v>38</v>
      </c>
      <c r="V11" s="17">
        <f t="shared" si="3"/>
        <v>260</v>
      </c>
      <c r="W11" s="17">
        <f t="shared" si="3"/>
        <v>10</v>
      </c>
      <c r="X11" s="17">
        <f t="shared" si="3"/>
        <v>1</v>
      </c>
      <c r="Y11" s="17">
        <f t="shared" si="3"/>
        <v>53</v>
      </c>
      <c r="Z11" s="17">
        <f t="shared" si="3"/>
        <v>19</v>
      </c>
      <c r="AA11" s="17">
        <f t="shared" si="3"/>
        <v>13</v>
      </c>
      <c r="AB11" s="17">
        <f t="shared" si="3"/>
        <v>5</v>
      </c>
      <c r="AC11" s="17">
        <f t="shared" si="3"/>
        <v>908</v>
      </c>
      <c r="AD11" s="17">
        <f t="shared" si="3"/>
        <v>0</v>
      </c>
      <c r="AE11" s="31">
        <f t="shared" si="3"/>
        <v>826</v>
      </c>
      <c r="AF11" s="31">
        <f t="shared" si="3"/>
        <v>1734</v>
      </c>
    </row>
    <row r="12" spans="2:32" ht="23.1" customHeight="1" x14ac:dyDescent="0.25">
      <c r="B12" s="23" t="s">
        <v>39</v>
      </c>
      <c r="C12" s="50">
        <v>130</v>
      </c>
      <c r="D12" s="50">
        <v>5</v>
      </c>
      <c r="E12" s="50">
        <v>18</v>
      </c>
      <c r="F12" s="50">
        <v>68</v>
      </c>
      <c r="G12" s="50">
        <v>3</v>
      </c>
      <c r="H12" s="50">
        <v>1</v>
      </c>
      <c r="I12" s="50">
        <v>10</v>
      </c>
      <c r="J12" s="50">
        <v>3</v>
      </c>
      <c r="K12" s="50">
        <v>1</v>
      </c>
      <c r="L12" s="50">
        <v>2</v>
      </c>
      <c r="M12" s="50">
        <v>210</v>
      </c>
      <c r="N12" s="50">
        <v>0</v>
      </c>
      <c r="O12" s="15">
        <f t="shared" si="0"/>
        <v>241</v>
      </c>
      <c r="P12" s="15">
        <f t="shared" si="1"/>
        <v>451</v>
      </c>
      <c r="R12" s="1" t="s">
        <v>8</v>
      </c>
      <c r="S12" s="17">
        <f t="shared" ref="S12:AF12" si="4">SUM(C18:C21)</f>
        <v>341</v>
      </c>
      <c r="T12" s="17">
        <f t="shared" si="4"/>
        <v>25</v>
      </c>
      <c r="U12" s="17">
        <f t="shared" si="4"/>
        <v>37</v>
      </c>
      <c r="V12" s="17">
        <f t="shared" si="4"/>
        <v>203</v>
      </c>
      <c r="W12" s="17">
        <f t="shared" si="4"/>
        <v>5</v>
      </c>
      <c r="X12" s="17">
        <f t="shared" si="4"/>
        <v>7</v>
      </c>
      <c r="Y12" s="17">
        <f t="shared" si="4"/>
        <v>52</v>
      </c>
      <c r="Z12" s="17">
        <f t="shared" si="4"/>
        <v>8</v>
      </c>
      <c r="AA12" s="17">
        <f t="shared" si="4"/>
        <v>8</v>
      </c>
      <c r="AB12" s="17">
        <f t="shared" si="4"/>
        <v>12</v>
      </c>
      <c r="AC12" s="17">
        <f t="shared" si="4"/>
        <v>630</v>
      </c>
      <c r="AD12" s="17">
        <f t="shared" si="4"/>
        <v>0</v>
      </c>
      <c r="AE12" s="31">
        <f t="shared" si="4"/>
        <v>698</v>
      </c>
      <c r="AF12" s="31">
        <f t="shared" si="4"/>
        <v>1328</v>
      </c>
    </row>
    <row r="13" spans="2:32" ht="23.1" customHeight="1" x14ac:dyDescent="0.25">
      <c r="B13" s="23" t="s">
        <v>40</v>
      </c>
      <c r="C13" s="50">
        <v>91</v>
      </c>
      <c r="D13" s="50">
        <v>14</v>
      </c>
      <c r="E13" s="50">
        <v>8</v>
      </c>
      <c r="F13" s="50">
        <v>65</v>
      </c>
      <c r="G13" s="50">
        <v>6</v>
      </c>
      <c r="H13" s="50">
        <v>1</v>
      </c>
      <c r="I13" s="50">
        <v>10</v>
      </c>
      <c r="J13" s="50">
        <v>2</v>
      </c>
      <c r="K13" s="50">
        <v>2</v>
      </c>
      <c r="L13" s="50">
        <v>2</v>
      </c>
      <c r="M13" s="50">
        <v>333</v>
      </c>
      <c r="N13" s="50">
        <v>0</v>
      </c>
      <c r="O13" s="15">
        <f t="shared" si="0"/>
        <v>201</v>
      </c>
      <c r="P13" s="15">
        <f t="shared" si="1"/>
        <v>534</v>
      </c>
      <c r="R13" s="1" t="s">
        <v>9</v>
      </c>
      <c r="S13" s="17">
        <f t="shared" ref="S13:AF13" si="5">SUM(C22:C25)</f>
        <v>287</v>
      </c>
      <c r="T13" s="17">
        <f t="shared" si="5"/>
        <v>28</v>
      </c>
      <c r="U13" s="17">
        <f t="shared" si="5"/>
        <v>19</v>
      </c>
      <c r="V13" s="17">
        <f t="shared" si="5"/>
        <v>115</v>
      </c>
      <c r="W13" s="17">
        <f t="shared" si="5"/>
        <v>4</v>
      </c>
      <c r="X13" s="17">
        <f t="shared" si="5"/>
        <v>4</v>
      </c>
      <c r="Y13" s="17">
        <f t="shared" si="5"/>
        <v>50</v>
      </c>
      <c r="Z13" s="17">
        <f t="shared" si="5"/>
        <v>5</v>
      </c>
      <c r="AA13" s="17">
        <f t="shared" si="5"/>
        <v>3</v>
      </c>
      <c r="AB13" s="17">
        <f t="shared" si="5"/>
        <v>10</v>
      </c>
      <c r="AC13" s="17">
        <f t="shared" si="5"/>
        <v>531</v>
      </c>
      <c r="AD13" s="17">
        <f t="shared" si="5"/>
        <v>0</v>
      </c>
      <c r="AE13" s="31">
        <f t="shared" si="5"/>
        <v>525</v>
      </c>
      <c r="AF13" s="31">
        <f t="shared" si="5"/>
        <v>1056</v>
      </c>
    </row>
    <row r="14" spans="2:32" ht="23.1" customHeight="1" x14ac:dyDescent="0.25">
      <c r="B14" s="23" t="s">
        <v>41</v>
      </c>
      <c r="C14" s="50">
        <v>90</v>
      </c>
      <c r="D14" s="50">
        <v>10</v>
      </c>
      <c r="E14" s="50">
        <v>7</v>
      </c>
      <c r="F14" s="50">
        <v>67</v>
      </c>
      <c r="G14" s="50">
        <v>2</v>
      </c>
      <c r="H14" s="50">
        <v>0</v>
      </c>
      <c r="I14" s="50">
        <v>8</v>
      </c>
      <c r="J14" s="50">
        <v>1</v>
      </c>
      <c r="K14" s="50">
        <v>4</v>
      </c>
      <c r="L14" s="50">
        <v>2</v>
      </c>
      <c r="M14" s="50">
        <v>363</v>
      </c>
      <c r="N14" s="50">
        <v>0</v>
      </c>
      <c r="O14" s="15">
        <f t="shared" si="0"/>
        <v>191</v>
      </c>
      <c r="P14" s="15">
        <f t="shared" si="1"/>
        <v>554</v>
      </c>
      <c r="R14" s="1" t="s">
        <v>10</v>
      </c>
      <c r="S14" s="17">
        <f t="shared" ref="S14:AF14" si="6">SUM(C26:C29)</f>
        <v>227</v>
      </c>
      <c r="T14" s="17">
        <f t="shared" si="6"/>
        <v>26</v>
      </c>
      <c r="U14" s="17">
        <f t="shared" si="6"/>
        <v>27</v>
      </c>
      <c r="V14" s="17">
        <f t="shared" si="6"/>
        <v>137</v>
      </c>
      <c r="W14" s="17">
        <f t="shared" si="6"/>
        <v>3</v>
      </c>
      <c r="X14" s="17">
        <f t="shared" si="6"/>
        <v>2</v>
      </c>
      <c r="Y14" s="17">
        <f t="shared" si="6"/>
        <v>42</v>
      </c>
      <c r="Z14" s="17">
        <f t="shared" si="6"/>
        <v>25</v>
      </c>
      <c r="AA14" s="17">
        <f t="shared" si="6"/>
        <v>7</v>
      </c>
      <c r="AB14" s="17">
        <f t="shared" si="6"/>
        <v>13</v>
      </c>
      <c r="AC14" s="17">
        <f t="shared" si="6"/>
        <v>683</v>
      </c>
      <c r="AD14" s="17">
        <f t="shared" si="6"/>
        <v>0</v>
      </c>
      <c r="AE14" s="31">
        <f t="shared" si="6"/>
        <v>509</v>
      </c>
      <c r="AF14" s="31">
        <f t="shared" si="6"/>
        <v>1192</v>
      </c>
    </row>
    <row r="15" spans="2:32" ht="23.1" customHeight="1" x14ac:dyDescent="0.25">
      <c r="B15" s="23" t="s">
        <v>42</v>
      </c>
      <c r="C15" s="50">
        <v>95</v>
      </c>
      <c r="D15" s="50">
        <v>15</v>
      </c>
      <c r="E15" s="50">
        <v>7</v>
      </c>
      <c r="F15" s="50">
        <v>64</v>
      </c>
      <c r="G15" s="50">
        <v>6</v>
      </c>
      <c r="H15" s="50">
        <v>1</v>
      </c>
      <c r="I15" s="50">
        <v>13</v>
      </c>
      <c r="J15" s="50">
        <v>5</v>
      </c>
      <c r="K15" s="50">
        <v>5</v>
      </c>
      <c r="L15" s="50">
        <v>0</v>
      </c>
      <c r="M15" s="50">
        <v>205</v>
      </c>
      <c r="N15" s="50">
        <v>0</v>
      </c>
      <c r="O15" s="15">
        <f t="shared" si="0"/>
        <v>211</v>
      </c>
      <c r="P15" s="15">
        <f t="shared" si="1"/>
        <v>416</v>
      </c>
      <c r="R15" s="1" t="s">
        <v>11</v>
      </c>
      <c r="S15" s="17">
        <f t="shared" ref="S15:AF15" si="7">SUM(C30:C33)</f>
        <v>264</v>
      </c>
      <c r="T15" s="17">
        <f t="shared" si="7"/>
        <v>35</v>
      </c>
      <c r="U15" s="17">
        <f t="shared" si="7"/>
        <v>43</v>
      </c>
      <c r="V15" s="17">
        <f t="shared" si="7"/>
        <v>207</v>
      </c>
      <c r="W15" s="17">
        <f t="shared" si="7"/>
        <v>3</v>
      </c>
      <c r="X15" s="17">
        <f t="shared" si="7"/>
        <v>6</v>
      </c>
      <c r="Y15" s="17">
        <f t="shared" si="7"/>
        <v>63</v>
      </c>
      <c r="Z15" s="17">
        <f t="shared" si="7"/>
        <v>28</v>
      </c>
      <c r="AA15" s="17">
        <f t="shared" si="7"/>
        <v>4</v>
      </c>
      <c r="AB15" s="17">
        <f t="shared" si="7"/>
        <v>12</v>
      </c>
      <c r="AC15" s="17">
        <f t="shared" si="7"/>
        <v>706</v>
      </c>
      <c r="AD15" s="17">
        <f t="shared" si="7"/>
        <v>0</v>
      </c>
      <c r="AE15" s="31">
        <f t="shared" si="7"/>
        <v>665</v>
      </c>
      <c r="AF15" s="31">
        <f t="shared" si="7"/>
        <v>1371</v>
      </c>
    </row>
    <row r="16" spans="2:32" ht="23.1" customHeight="1" x14ac:dyDescent="0.25">
      <c r="B16" s="23" t="s">
        <v>43</v>
      </c>
      <c r="C16" s="50">
        <v>105</v>
      </c>
      <c r="D16" s="50">
        <v>16</v>
      </c>
      <c r="E16" s="50">
        <v>15</v>
      </c>
      <c r="F16" s="50">
        <v>60</v>
      </c>
      <c r="G16" s="50">
        <v>0</v>
      </c>
      <c r="H16" s="50">
        <v>0</v>
      </c>
      <c r="I16" s="50">
        <v>22</v>
      </c>
      <c r="J16" s="50">
        <v>6</v>
      </c>
      <c r="K16" s="50">
        <v>2</v>
      </c>
      <c r="L16" s="50">
        <v>0</v>
      </c>
      <c r="M16" s="50">
        <v>200</v>
      </c>
      <c r="N16" s="50">
        <v>0</v>
      </c>
      <c r="O16" s="15">
        <f t="shared" si="0"/>
        <v>226</v>
      </c>
      <c r="P16" s="15">
        <f t="shared" si="1"/>
        <v>426</v>
      </c>
      <c r="R16" s="1" t="s">
        <v>12</v>
      </c>
      <c r="S16" s="17">
        <f t="shared" ref="S16:AF16" si="8">SUM(C34:C37)</f>
        <v>206</v>
      </c>
      <c r="T16" s="17">
        <f t="shared" si="8"/>
        <v>19</v>
      </c>
      <c r="U16" s="17">
        <f t="shared" si="8"/>
        <v>29</v>
      </c>
      <c r="V16" s="17">
        <f t="shared" si="8"/>
        <v>166</v>
      </c>
      <c r="W16" s="17">
        <f t="shared" si="8"/>
        <v>3</v>
      </c>
      <c r="X16" s="17">
        <f t="shared" si="8"/>
        <v>4</v>
      </c>
      <c r="Y16" s="17">
        <f t="shared" si="8"/>
        <v>62</v>
      </c>
      <c r="Z16" s="17">
        <f t="shared" si="8"/>
        <v>7</v>
      </c>
      <c r="AA16" s="17">
        <f t="shared" si="8"/>
        <v>9</v>
      </c>
      <c r="AB16" s="17">
        <f t="shared" si="8"/>
        <v>11</v>
      </c>
      <c r="AC16" s="17">
        <f t="shared" si="8"/>
        <v>644</v>
      </c>
      <c r="AD16" s="17">
        <f t="shared" si="8"/>
        <v>0</v>
      </c>
      <c r="AE16" s="31">
        <f t="shared" si="8"/>
        <v>516</v>
      </c>
      <c r="AF16" s="31">
        <f t="shared" si="8"/>
        <v>1160</v>
      </c>
    </row>
    <row r="17" spans="2:32" ht="23.1" customHeight="1" x14ac:dyDescent="0.25">
      <c r="B17" s="23" t="s">
        <v>44</v>
      </c>
      <c r="C17" s="50">
        <v>88</v>
      </c>
      <c r="D17" s="50">
        <v>8</v>
      </c>
      <c r="E17" s="50">
        <v>9</v>
      </c>
      <c r="F17" s="50">
        <v>69</v>
      </c>
      <c r="G17" s="50">
        <v>2</v>
      </c>
      <c r="H17" s="50">
        <v>0</v>
      </c>
      <c r="I17" s="50">
        <v>10</v>
      </c>
      <c r="J17" s="50">
        <v>7</v>
      </c>
      <c r="K17" s="50">
        <v>2</v>
      </c>
      <c r="L17" s="50">
        <v>3</v>
      </c>
      <c r="M17" s="50">
        <v>140</v>
      </c>
      <c r="N17" s="50">
        <v>0</v>
      </c>
      <c r="O17" s="15">
        <f t="shared" si="0"/>
        <v>198</v>
      </c>
      <c r="P17" s="15">
        <f t="shared" si="1"/>
        <v>338</v>
      </c>
      <c r="R17" s="1" t="s">
        <v>13</v>
      </c>
      <c r="S17" s="17">
        <f t="shared" ref="S17:AF17" si="9">SUM(C38:C41)</f>
        <v>217</v>
      </c>
      <c r="T17" s="17">
        <f t="shared" si="9"/>
        <v>27</v>
      </c>
      <c r="U17" s="17">
        <f t="shared" si="9"/>
        <v>37</v>
      </c>
      <c r="V17" s="17">
        <f t="shared" si="9"/>
        <v>144</v>
      </c>
      <c r="W17" s="17">
        <f t="shared" si="9"/>
        <v>6</v>
      </c>
      <c r="X17" s="17">
        <f t="shared" si="9"/>
        <v>9</v>
      </c>
      <c r="Y17" s="17">
        <f t="shared" si="9"/>
        <v>50</v>
      </c>
      <c r="Z17" s="17">
        <f t="shared" si="9"/>
        <v>11</v>
      </c>
      <c r="AA17" s="17">
        <f t="shared" si="9"/>
        <v>13</v>
      </c>
      <c r="AB17" s="17">
        <f t="shared" si="9"/>
        <v>8</v>
      </c>
      <c r="AC17" s="17">
        <f t="shared" si="9"/>
        <v>645</v>
      </c>
      <c r="AD17" s="17">
        <f t="shared" si="9"/>
        <v>0</v>
      </c>
      <c r="AE17" s="31">
        <f t="shared" si="9"/>
        <v>522</v>
      </c>
      <c r="AF17" s="31">
        <f t="shared" si="9"/>
        <v>1167</v>
      </c>
    </row>
    <row r="18" spans="2:32" ht="23.1" customHeight="1" x14ac:dyDescent="0.25">
      <c r="B18" s="23" t="s">
        <v>45</v>
      </c>
      <c r="C18" s="50">
        <v>90</v>
      </c>
      <c r="D18" s="50">
        <v>5</v>
      </c>
      <c r="E18" s="50">
        <v>12</v>
      </c>
      <c r="F18" s="50">
        <v>55</v>
      </c>
      <c r="G18" s="50">
        <v>2</v>
      </c>
      <c r="H18" s="50">
        <v>1</v>
      </c>
      <c r="I18" s="50">
        <v>17</v>
      </c>
      <c r="J18" s="50">
        <v>0</v>
      </c>
      <c r="K18" s="50">
        <v>3</v>
      </c>
      <c r="L18" s="50">
        <v>0</v>
      </c>
      <c r="M18" s="50">
        <v>200</v>
      </c>
      <c r="N18" s="50">
        <v>0</v>
      </c>
      <c r="O18" s="15">
        <f t="shared" si="0"/>
        <v>185</v>
      </c>
      <c r="P18" s="15">
        <f t="shared" si="1"/>
        <v>385</v>
      </c>
      <c r="R18" s="1" t="s">
        <v>14</v>
      </c>
      <c r="S18" s="17">
        <f t="shared" ref="S18:AF18" si="10">SUM(C42:C45)</f>
        <v>195</v>
      </c>
      <c r="T18" s="17">
        <f t="shared" si="10"/>
        <v>25</v>
      </c>
      <c r="U18" s="17">
        <f t="shared" si="10"/>
        <v>41</v>
      </c>
      <c r="V18" s="17">
        <f t="shared" si="10"/>
        <v>142</v>
      </c>
      <c r="W18" s="17">
        <f t="shared" si="10"/>
        <v>5</v>
      </c>
      <c r="X18" s="17">
        <f t="shared" si="10"/>
        <v>4</v>
      </c>
      <c r="Y18" s="17">
        <f t="shared" si="10"/>
        <v>47</v>
      </c>
      <c r="Z18" s="17">
        <f t="shared" si="10"/>
        <v>26</v>
      </c>
      <c r="AA18" s="17">
        <f t="shared" si="10"/>
        <v>4</v>
      </c>
      <c r="AB18" s="17">
        <f t="shared" si="10"/>
        <v>14</v>
      </c>
      <c r="AC18" s="17">
        <f t="shared" si="10"/>
        <v>392</v>
      </c>
      <c r="AD18" s="17">
        <f t="shared" si="10"/>
        <v>0</v>
      </c>
      <c r="AE18" s="31">
        <f t="shared" si="10"/>
        <v>503</v>
      </c>
      <c r="AF18" s="31">
        <f t="shared" si="10"/>
        <v>895</v>
      </c>
    </row>
    <row r="19" spans="2:32" ht="23.1" customHeight="1" x14ac:dyDescent="0.25">
      <c r="B19" s="23" t="s">
        <v>46</v>
      </c>
      <c r="C19" s="50">
        <v>91</v>
      </c>
      <c r="D19" s="50">
        <v>5</v>
      </c>
      <c r="E19" s="50">
        <v>6</v>
      </c>
      <c r="F19" s="50">
        <v>46</v>
      </c>
      <c r="G19" s="50">
        <v>0</v>
      </c>
      <c r="H19" s="50">
        <v>1</v>
      </c>
      <c r="I19" s="50">
        <v>11</v>
      </c>
      <c r="J19" s="50">
        <v>1</v>
      </c>
      <c r="K19" s="50">
        <v>1</v>
      </c>
      <c r="L19" s="50">
        <v>3</v>
      </c>
      <c r="M19" s="50">
        <v>125</v>
      </c>
      <c r="N19" s="50">
        <v>0</v>
      </c>
      <c r="O19" s="15">
        <f t="shared" si="0"/>
        <v>165</v>
      </c>
      <c r="P19" s="15">
        <f t="shared" si="1"/>
        <v>290</v>
      </c>
      <c r="R19" s="1" t="s">
        <v>15</v>
      </c>
      <c r="S19" s="17">
        <f t="shared" ref="S19:AF19" si="11">SUM(C46:C49)</f>
        <v>227</v>
      </c>
      <c r="T19" s="17">
        <f t="shared" si="11"/>
        <v>35</v>
      </c>
      <c r="U19" s="17">
        <f t="shared" si="11"/>
        <v>45</v>
      </c>
      <c r="V19" s="17">
        <f t="shared" si="11"/>
        <v>127</v>
      </c>
      <c r="W19" s="17">
        <f t="shared" si="11"/>
        <v>4</v>
      </c>
      <c r="X19" s="17">
        <f t="shared" si="11"/>
        <v>9</v>
      </c>
      <c r="Y19" s="17">
        <f t="shared" si="11"/>
        <v>33</v>
      </c>
      <c r="Z19" s="17">
        <f t="shared" si="11"/>
        <v>37</v>
      </c>
      <c r="AA19" s="17">
        <f t="shared" si="11"/>
        <v>6</v>
      </c>
      <c r="AB19" s="17">
        <f t="shared" si="11"/>
        <v>9</v>
      </c>
      <c r="AC19" s="17">
        <f t="shared" si="11"/>
        <v>470</v>
      </c>
      <c r="AD19" s="17">
        <f t="shared" si="11"/>
        <v>0</v>
      </c>
      <c r="AE19" s="31">
        <f t="shared" si="11"/>
        <v>532</v>
      </c>
      <c r="AF19" s="31">
        <f t="shared" si="11"/>
        <v>1002</v>
      </c>
    </row>
    <row r="20" spans="2:32" ht="23.1" customHeight="1" x14ac:dyDescent="0.25">
      <c r="B20" s="23" t="s">
        <v>47</v>
      </c>
      <c r="C20" s="50">
        <v>85</v>
      </c>
      <c r="D20" s="50">
        <v>8</v>
      </c>
      <c r="E20" s="50">
        <v>13</v>
      </c>
      <c r="F20" s="50">
        <v>42</v>
      </c>
      <c r="G20" s="50">
        <v>3</v>
      </c>
      <c r="H20" s="50">
        <v>3</v>
      </c>
      <c r="I20" s="50">
        <v>12</v>
      </c>
      <c r="J20" s="50">
        <v>2</v>
      </c>
      <c r="K20" s="50">
        <v>2</v>
      </c>
      <c r="L20" s="50">
        <v>6</v>
      </c>
      <c r="M20" s="50">
        <v>150</v>
      </c>
      <c r="N20" s="50">
        <v>0</v>
      </c>
      <c r="O20" s="15">
        <f t="shared" si="0"/>
        <v>176</v>
      </c>
      <c r="P20" s="15">
        <f t="shared" si="1"/>
        <v>326</v>
      </c>
      <c r="R20" s="1" t="s">
        <v>16</v>
      </c>
      <c r="S20" s="17">
        <f t="shared" ref="S20:AF20" si="12">SUM(C50:C53)</f>
        <v>242</v>
      </c>
      <c r="T20" s="17">
        <f t="shared" si="12"/>
        <v>36</v>
      </c>
      <c r="U20" s="17">
        <f t="shared" si="12"/>
        <v>41</v>
      </c>
      <c r="V20" s="17">
        <f t="shared" si="12"/>
        <v>184</v>
      </c>
      <c r="W20" s="17">
        <f t="shared" si="12"/>
        <v>9</v>
      </c>
      <c r="X20" s="17">
        <f t="shared" si="12"/>
        <v>8</v>
      </c>
      <c r="Y20" s="17">
        <f t="shared" si="12"/>
        <v>82</v>
      </c>
      <c r="Z20" s="17">
        <f t="shared" si="12"/>
        <v>42</v>
      </c>
      <c r="AA20" s="17">
        <f t="shared" si="12"/>
        <v>13</v>
      </c>
      <c r="AB20" s="17">
        <f t="shared" si="12"/>
        <v>13</v>
      </c>
      <c r="AC20" s="17">
        <f t="shared" si="12"/>
        <v>902</v>
      </c>
      <c r="AD20" s="17">
        <f t="shared" si="12"/>
        <v>0</v>
      </c>
      <c r="AE20" s="31">
        <f t="shared" si="12"/>
        <v>670</v>
      </c>
      <c r="AF20" s="31">
        <f t="shared" si="12"/>
        <v>1572</v>
      </c>
    </row>
    <row r="21" spans="2:32" ht="23.1" customHeight="1" x14ac:dyDescent="0.25">
      <c r="B21" s="23" t="s">
        <v>48</v>
      </c>
      <c r="C21" s="50">
        <v>75</v>
      </c>
      <c r="D21" s="50">
        <v>7</v>
      </c>
      <c r="E21" s="50">
        <v>6</v>
      </c>
      <c r="F21" s="50">
        <v>60</v>
      </c>
      <c r="G21" s="50">
        <v>0</v>
      </c>
      <c r="H21" s="50">
        <v>2</v>
      </c>
      <c r="I21" s="50">
        <v>12</v>
      </c>
      <c r="J21" s="50">
        <v>5</v>
      </c>
      <c r="K21" s="50">
        <v>2</v>
      </c>
      <c r="L21" s="50">
        <v>3</v>
      </c>
      <c r="M21" s="50">
        <v>155</v>
      </c>
      <c r="N21" s="50">
        <v>0</v>
      </c>
      <c r="O21" s="15">
        <f t="shared" si="0"/>
        <v>172</v>
      </c>
      <c r="P21" s="15">
        <f t="shared" si="1"/>
        <v>327</v>
      </c>
      <c r="R21" s="36" t="s">
        <v>20</v>
      </c>
      <c r="S21" s="34">
        <f t="shared" ref="S21:AF21" si="13">SUM(C54:C57)</f>
        <v>259</v>
      </c>
      <c r="T21" s="17">
        <f t="shared" si="13"/>
        <v>36</v>
      </c>
      <c r="U21" s="17">
        <f t="shared" si="13"/>
        <v>40</v>
      </c>
      <c r="V21" s="17">
        <f t="shared" si="13"/>
        <v>213</v>
      </c>
      <c r="W21" s="17">
        <f t="shared" si="13"/>
        <v>9</v>
      </c>
      <c r="X21" s="17">
        <f t="shared" si="13"/>
        <v>11</v>
      </c>
      <c r="Y21" s="17">
        <f t="shared" si="13"/>
        <v>65</v>
      </c>
      <c r="Z21" s="17">
        <f t="shared" si="13"/>
        <v>13</v>
      </c>
      <c r="AA21" s="17">
        <f t="shared" si="13"/>
        <v>10</v>
      </c>
      <c r="AB21" s="17">
        <f t="shared" si="13"/>
        <v>15</v>
      </c>
      <c r="AC21" s="17">
        <f t="shared" si="13"/>
        <v>1166</v>
      </c>
      <c r="AD21" s="17">
        <f t="shared" si="13"/>
        <v>0</v>
      </c>
      <c r="AE21" s="31">
        <f t="shared" si="13"/>
        <v>671</v>
      </c>
      <c r="AF21" s="31">
        <f t="shared" si="13"/>
        <v>1837</v>
      </c>
    </row>
    <row r="22" spans="2:32" ht="23.1" customHeight="1" x14ac:dyDescent="0.25">
      <c r="B22" s="23" t="s">
        <v>49</v>
      </c>
      <c r="C22" s="50">
        <v>77</v>
      </c>
      <c r="D22" s="50">
        <v>6</v>
      </c>
      <c r="E22" s="50">
        <v>7</v>
      </c>
      <c r="F22" s="50">
        <v>41</v>
      </c>
      <c r="G22" s="50">
        <v>1</v>
      </c>
      <c r="H22" s="50">
        <v>1</v>
      </c>
      <c r="I22" s="50">
        <v>15</v>
      </c>
      <c r="J22" s="50">
        <v>0</v>
      </c>
      <c r="K22" s="50">
        <v>0</v>
      </c>
      <c r="L22" s="50">
        <v>3</v>
      </c>
      <c r="M22" s="50">
        <v>165</v>
      </c>
      <c r="N22" s="50">
        <v>0</v>
      </c>
      <c r="O22" s="15">
        <f t="shared" si="0"/>
        <v>151</v>
      </c>
      <c r="P22" s="15">
        <f t="shared" si="1"/>
        <v>316</v>
      </c>
      <c r="R22" s="38" t="s">
        <v>90</v>
      </c>
      <c r="S22" s="39">
        <f>MAX(S10:S12)</f>
        <v>418</v>
      </c>
      <c r="T22" s="39">
        <f t="shared" ref="T22:AF22" si="14">MAX(T10:T12)</f>
        <v>49</v>
      </c>
      <c r="U22" s="39">
        <f t="shared" si="14"/>
        <v>41</v>
      </c>
      <c r="V22" s="39">
        <f t="shared" si="14"/>
        <v>260</v>
      </c>
      <c r="W22" s="39">
        <f t="shared" si="14"/>
        <v>11</v>
      </c>
      <c r="X22" s="39">
        <f t="shared" si="14"/>
        <v>7</v>
      </c>
      <c r="Y22" s="39">
        <f t="shared" si="14"/>
        <v>53</v>
      </c>
      <c r="Z22" s="39">
        <f t="shared" si="14"/>
        <v>19</v>
      </c>
      <c r="AA22" s="39">
        <f t="shared" si="14"/>
        <v>13</v>
      </c>
      <c r="AB22" s="39">
        <f t="shared" si="14"/>
        <v>12</v>
      </c>
      <c r="AC22" s="39">
        <f t="shared" si="14"/>
        <v>908</v>
      </c>
      <c r="AD22" s="39">
        <f t="shared" si="14"/>
        <v>0</v>
      </c>
      <c r="AE22" s="40">
        <f t="shared" si="14"/>
        <v>826</v>
      </c>
      <c r="AF22" s="40">
        <f t="shared" si="14"/>
        <v>1734</v>
      </c>
    </row>
    <row r="23" spans="2:32" ht="23.1" customHeight="1" x14ac:dyDescent="0.25">
      <c r="B23" s="23" t="s">
        <v>50</v>
      </c>
      <c r="C23" s="50">
        <v>69</v>
      </c>
      <c r="D23" s="50">
        <v>8</v>
      </c>
      <c r="E23" s="50">
        <v>4</v>
      </c>
      <c r="F23" s="50">
        <v>5</v>
      </c>
      <c r="G23" s="50">
        <v>2</v>
      </c>
      <c r="H23" s="50">
        <v>3</v>
      </c>
      <c r="I23" s="50">
        <v>11</v>
      </c>
      <c r="J23" s="50">
        <v>3</v>
      </c>
      <c r="K23" s="50">
        <v>0</v>
      </c>
      <c r="L23" s="50">
        <v>5</v>
      </c>
      <c r="M23" s="50">
        <v>120</v>
      </c>
      <c r="N23" s="50">
        <v>0</v>
      </c>
      <c r="O23" s="15">
        <f t="shared" si="0"/>
        <v>110</v>
      </c>
      <c r="P23" s="15">
        <f t="shared" si="1"/>
        <v>230</v>
      </c>
      <c r="R23" s="38" t="s">
        <v>91</v>
      </c>
      <c r="S23" s="39">
        <f>MAX(S13:S18)</f>
        <v>287</v>
      </c>
      <c r="T23" s="39">
        <f t="shared" ref="T23:AF23" si="15">MAX(T13:T18)</f>
        <v>35</v>
      </c>
      <c r="U23" s="39">
        <f t="shared" si="15"/>
        <v>43</v>
      </c>
      <c r="V23" s="39">
        <f t="shared" si="15"/>
        <v>207</v>
      </c>
      <c r="W23" s="39">
        <f t="shared" si="15"/>
        <v>6</v>
      </c>
      <c r="X23" s="39">
        <f t="shared" si="15"/>
        <v>9</v>
      </c>
      <c r="Y23" s="39">
        <f t="shared" si="15"/>
        <v>63</v>
      </c>
      <c r="Z23" s="39">
        <f t="shared" si="15"/>
        <v>28</v>
      </c>
      <c r="AA23" s="39">
        <f t="shared" si="15"/>
        <v>13</v>
      </c>
      <c r="AB23" s="39">
        <f t="shared" si="15"/>
        <v>14</v>
      </c>
      <c r="AC23" s="39">
        <f t="shared" si="15"/>
        <v>706</v>
      </c>
      <c r="AD23" s="39">
        <f t="shared" si="15"/>
        <v>0</v>
      </c>
      <c r="AE23" s="40">
        <f t="shared" si="15"/>
        <v>665</v>
      </c>
      <c r="AF23" s="40">
        <f t="shared" si="15"/>
        <v>1371</v>
      </c>
    </row>
    <row r="24" spans="2:32" ht="23.1" customHeight="1" x14ac:dyDescent="0.25">
      <c r="B24" s="23" t="s">
        <v>51</v>
      </c>
      <c r="C24" s="50">
        <v>60</v>
      </c>
      <c r="D24" s="50">
        <v>6</v>
      </c>
      <c r="E24" s="50">
        <v>1</v>
      </c>
      <c r="F24" s="50">
        <v>33</v>
      </c>
      <c r="G24" s="50">
        <v>0</v>
      </c>
      <c r="H24" s="50">
        <v>0</v>
      </c>
      <c r="I24" s="50">
        <v>8</v>
      </c>
      <c r="J24" s="50">
        <v>1</v>
      </c>
      <c r="K24" s="50">
        <v>3</v>
      </c>
      <c r="L24" s="50">
        <v>1</v>
      </c>
      <c r="M24" s="50">
        <v>101</v>
      </c>
      <c r="N24" s="50">
        <v>0</v>
      </c>
      <c r="O24" s="15">
        <f t="shared" si="0"/>
        <v>113</v>
      </c>
      <c r="P24" s="15">
        <f t="shared" si="1"/>
        <v>214</v>
      </c>
      <c r="R24" s="38" t="s">
        <v>92</v>
      </c>
      <c r="S24" s="39">
        <f>MAX(S19:S21)</f>
        <v>259</v>
      </c>
      <c r="T24" s="39">
        <f t="shared" ref="T24:AF24" si="16">MAX(T19:T21)</f>
        <v>36</v>
      </c>
      <c r="U24" s="39">
        <f t="shared" si="16"/>
        <v>45</v>
      </c>
      <c r="V24" s="39">
        <f t="shared" si="16"/>
        <v>213</v>
      </c>
      <c r="W24" s="39">
        <f t="shared" si="16"/>
        <v>9</v>
      </c>
      <c r="X24" s="39">
        <f t="shared" si="16"/>
        <v>11</v>
      </c>
      <c r="Y24" s="39">
        <f t="shared" si="16"/>
        <v>82</v>
      </c>
      <c r="Z24" s="39">
        <f t="shared" si="16"/>
        <v>42</v>
      </c>
      <c r="AA24" s="39">
        <f t="shared" si="16"/>
        <v>13</v>
      </c>
      <c r="AB24" s="39">
        <f t="shared" si="16"/>
        <v>15</v>
      </c>
      <c r="AC24" s="39">
        <f t="shared" si="16"/>
        <v>1166</v>
      </c>
      <c r="AD24" s="39">
        <f t="shared" si="16"/>
        <v>0</v>
      </c>
      <c r="AE24" s="40">
        <f t="shared" si="16"/>
        <v>671</v>
      </c>
      <c r="AF24" s="40">
        <f t="shared" si="16"/>
        <v>1837</v>
      </c>
    </row>
    <row r="25" spans="2:32" ht="23.1" customHeight="1" x14ac:dyDescent="0.25">
      <c r="B25" s="23" t="s">
        <v>52</v>
      </c>
      <c r="C25" s="50">
        <v>81</v>
      </c>
      <c r="D25" s="50">
        <v>8</v>
      </c>
      <c r="E25" s="50">
        <v>7</v>
      </c>
      <c r="F25" s="50">
        <v>36</v>
      </c>
      <c r="G25" s="50">
        <v>1</v>
      </c>
      <c r="H25" s="50">
        <v>0</v>
      </c>
      <c r="I25" s="50">
        <v>16</v>
      </c>
      <c r="J25" s="50">
        <v>1</v>
      </c>
      <c r="K25" s="50">
        <v>0</v>
      </c>
      <c r="L25" s="50">
        <v>1</v>
      </c>
      <c r="M25" s="50">
        <v>145</v>
      </c>
      <c r="N25" s="50">
        <v>0</v>
      </c>
      <c r="O25" s="15">
        <f t="shared" si="0"/>
        <v>151</v>
      </c>
      <c r="P25" s="15">
        <f t="shared" si="1"/>
        <v>296</v>
      </c>
      <c r="R25" s="37" t="s">
        <v>85</v>
      </c>
      <c r="S25" s="35">
        <f t="shared" ref="S25:AF25" si="17">SUM(S10:S12)</f>
        <v>1137</v>
      </c>
      <c r="T25" s="16">
        <f t="shared" si="17"/>
        <v>108</v>
      </c>
      <c r="U25" s="16">
        <f t="shared" si="17"/>
        <v>116</v>
      </c>
      <c r="V25" s="16">
        <f t="shared" si="17"/>
        <v>685</v>
      </c>
      <c r="W25" s="16">
        <f t="shared" si="17"/>
        <v>26</v>
      </c>
      <c r="X25" s="16">
        <f t="shared" si="17"/>
        <v>13</v>
      </c>
      <c r="Y25" s="16">
        <f t="shared" si="17"/>
        <v>148</v>
      </c>
      <c r="Z25" s="16">
        <f t="shared" si="17"/>
        <v>37</v>
      </c>
      <c r="AA25" s="16">
        <f t="shared" si="17"/>
        <v>26</v>
      </c>
      <c r="AB25" s="16">
        <f t="shared" si="17"/>
        <v>26</v>
      </c>
      <c r="AC25" s="16">
        <f t="shared" si="17"/>
        <v>2401</v>
      </c>
      <c r="AD25" s="16">
        <f t="shared" si="17"/>
        <v>0</v>
      </c>
      <c r="AE25" s="32">
        <f t="shared" si="17"/>
        <v>2322</v>
      </c>
      <c r="AF25" s="32">
        <f t="shared" si="17"/>
        <v>4723</v>
      </c>
    </row>
    <row r="26" spans="2:32" ht="23.1" customHeight="1" x14ac:dyDescent="0.25">
      <c r="B26" s="23" t="s">
        <v>53</v>
      </c>
      <c r="C26" s="50">
        <v>51</v>
      </c>
      <c r="D26" s="50">
        <v>3</v>
      </c>
      <c r="E26" s="50">
        <v>6</v>
      </c>
      <c r="F26" s="50">
        <v>33</v>
      </c>
      <c r="G26" s="50">
        <v>0</v>
      </c>
      <c r="H26" s="50">
        <v>1</v>
      </c>
      <c r="I26" s="50">
        <v>14</v>
      </c>
      <c r="J26" s="50">
        <v>0</v>
      </c>
      <c r="K26" s="50">
        <v>1</v>
      </c>
      <c r="L26" s="50">
        <v>1</v>
      </c>
      <c r="M26" s="50">
        <v>150</v>
      </c>
      <c r="N26" s="50">
        <v>0</v>
      </c>
      <c r="O26" s="15">
        <f t="shared" si="0"/>
        <v>110</v>
      </c>
      <c r="P26" s="15">
        <f t="shared" si="1"/>
        <v>260</v>
      </c>
      <c r="R26" s="28" t="s">
        <v>86</v>
      </c>
      <c r="S26" s="16">
        <f t="shared" ref="S26:AF26" si="18">SUM(S13:S18)</f>
        <v>1396</v>
      </c>
      <c r="T26" s="16">
        <f t="shared" si="18"/>
        <v>160</v>
      </c>
      <c r="U26" s="16">
        <f t="shared" si="18"/>
        <v>196</v>
      </c>
      <c r="V26" s="16">
        <f t="shared" si="18"/>
        <v>911</v>
      </c>
      <c r="W26" s="16">
        <f t="shared" si="18"/>
        <v>24</v>
      </c>
      <c r="X26" s="16">
        <f t="shared" si="18"/>
        <v>29</v>
      </c>
      <c r="Y26" s="16">
        <f t="shared" si="18"/>
        <v>314</v>
      </c>
      <c r="Z26" s="16">
        <f t="shared" si="18"/>
        <v>102</v>
      </c>
      <c r="AA26" s="16">
        <f t="shared" si="18"/>
        <v>40</v>
      </c>
      <c r="AB26" s="16">
        <f t="shared" si="18"/>
        <v>68</v>
      </c>
      <c r="AC26" s="16">
        <f t="shared" si="18"/>
        <v>3601</v>
      </c>
      <c r="AD26" s="16">
        <f t="shared" si="18"/>
        <v>0</v>
      </c>
      <c r="AE26" s="32">
        <f t="shared" si="18"/>
        <v>3240</v>
      </c>
      <c r="AF26" s="32">
        <f t="shared" si="18"/>
        <v>6841</v>
      </c>
    </row>
    <row r="27" spans="2:32" ht="23.1" customHeight="1" x14ac:dyDescent="0.25">
      <c r="B27" s="23" t="s">
        <v>54</v>
      </c>
      <c r="C27" s="50">
        <v>66</v>
      </c>
      <c r="D27" s="50">
        <v>10</v>
      </c>
      <c r="E27" s="50">
        <v>8</v>
      </c>
      <c r="F27" s="50">
        <v>48</v>
      </c>
      <c r="G27" s="50">
        <v>2</v>
      </c>
      <c r="H27" s="50">
        <v>1</v>
      </c>
      <c r="I27" s="50">
        <v>2</v>
      </c>
      <c r="J27" s="50">
        <v>14</v>
      </c>
      <c r="K27" s="50">
        <v>2</v>
      </c>
      <c r="L27" s="50">
        <v>6</v>
      </c>
      <c r="M27" s="50">
        <v>172</v>
      </c>
      <c r="N27" s="50">
        <v>0</v>
      </c>
      <c r="O27" s="15">
        <f t="shared" si="0"/>
        <v>159</v>
      </c>
      <c r="P27" s="15">
        <f t="shared" si="1"/>
        <v>331</v>
      </c>
      <c r="R27" s="29" t="s">
        <v>87</v>
      </c>
      <c r="S27" s="16">
        <f t="shared" ref="S27:AF27" si="19">SUM(S19:S21)</f>
        <v>728</v>
      </c>
      <c r="T27" s="16">
        <f t="shared" si="19"/>
        <v>107</v>
      </c>
      <c r="U27" s="16">
        <f t="shared" si="19"/>
        <v>126</v>
      </c>
      <c r="V27" s="16">
        <f t="shared" si="19"/>
        <v>524</v>
      </c>
      <c r="W27" s="16">
        <f t="shared" si="19"/>
        <v>22</v>
      </c>
      <c r="X27" s="16">
        <f t="shared" si="19"/>
        <v>28</v>
      </c>
      <c r="Y27" s="16">
        <f t="shared" si="19"/>
        <v>180</v>
      </c>
      <c r="Z27" s="16">
        <f t="shared" si="19"/>
        <v>92</v>
      </c>
      <c r="AA27" s="16">
        <f t="shared" si="19"/>
        <v>29</v>
      </c>
      <c r="AB27" s="16">
        <f t="shared" si="19"/>
        <v>37</v>
      </c>
      <c r="AC27" s="16">
        <f t="shared" si="19"/>
        <v>2538</v>
      </c>
      <c r="AD27" s="16">
        <f t="shared" si="19"/>
        <v>0</v>
      </c>
      <c r="AE27" s="32">
        <f t="shared" si="19"/>
        <v>1873</v>
      </c>
      <c r="AF27" s="32">
        <f t="shared" si="19"/>
        <v>4411</v>
      </c>
    </row>
    <row r="28" spans="2:32" ht="23.1" customHeight="1" x14ac:dyDescent="0.25">
      <c r="B28" s="23" t="s">
        <v>55</v>
      </c>
      <c r="C28" s="50">
        <v>60</v>
      </c>
      <c r="D28" s="50">
        <v>8</v>
      </c>
      <c r="E28" s="50">
        <v>9</v>
      </c>
      <c r="F28" s="50">
        <v>28</v>
      </c>
      <c r="G28" s="50">
        <v>1</v>
      </c>
      <c r="H28" s="50">
        <v>0</v>
      </c>
      <c r="I28" s="50">
        <v>10</v>
      </c>
      <c r="J28" s="50">
        <v>3</v>
      </c>
      <c r="K28" s="50">
        <v>1</v>
      </c>
      <c r="L28" s="50">
        <v>2</v>
      </c>
      <c r="M28" s="50">
        <v>168</v>
      </c>
      <c r="N28" s="50">
        <v>0</v>
      </c>
      <c r="O28" s="15">
        <f t="shared" si="0"/>
        <v>122</v>
      </c>
      <c r="P28" s="15">
        <f t="shared" si="1"/>
        <v>290</v>
      </c>
      <c r="R28" s="5" t="s">
        <v>17</v>
      </c>
      <c r="S28" s="16">
        <f t="shared" ref="S28:AF28" si="20">SUM(S10:S21)</f>
        <v>3261</v>
      </c>
      <c r="T28" s="16">
        <f t="shared" si="20"/>
        <v>375</v>
      </c>
      <c r="U28" s="16">
        <f t="shared" si="20"/>
        <v>438</v>
      </c>
      <c r="V28" s="16">
        <f t="shared" si="20"/>
        <v>2120</v>
      </c>
      <c r="W28" s="16">
        <f t="shared" si="20"/>
        <v>72</v>
      </c>
      <c r="X28" s="16">
        <f t="shared" si="20"/>
        <v>70</v>
      </c>
      <c r="Y28" s="16">
        <f t="shared" si="20"/>
        <v>642</v>
      </c>
      <c r="Z28" s="16">
        <f t="shared" si="20"/>
        <v>231</v>
      </c>
      <c r="AA28" s="16">
        <f t="shared" si="20"/>
        <v>95</v>
      </c>
      <c r="AB28" s="16">
        <f t="shared" si="20"/>
        <v>131</v>
      </c>
      <c r="AC28" s="16">
        <f t="shared" si="20"/>
        <v>8540</v>
      </c>
      <c r="AD28" s="16">
        <f t="shared" si="20"/>
        <v>0</v>
      </c>
      <c r="AE28" s="32">
        <f t="shared" si="20"/>
        <v>7435</v>
      </c>
      <c r="AF28" s="32">
        <f t="shared" si="20"/>
        <v>15975</v>
      </c>
    </row>
    <row r="29" spans="2:32" ht="23.1" customHeight="1" x14ac:dyDescent="0.25">
      <c r="B29" s="23" t="s">
        <v>56</v>
      </c>
      <c r="C29" s="50">
        <v>50</v>
      </c>
      <c r="D29" s="50">
        <v>5</v>
      </c>
      <c r="E29" s="50">
        <v>4</v>
      </c>
      <c r="F29" s="50">
        <v>28</v>
      </c>
      <c r="G29" s="50">
        <v>0</v>
      </c>
      <c r="H29" s="50">
        <v>0</v>
      </c>
      <c r="I29" s="50">
        <v>16</v>
      </c>
      <c r="J29" s="50">
        <v>8</v>
      </c>
      <c r="K29" s="50">
        <v>3</v>
      </c>
      <c r="L29" s="50">
        <v>4</v>
      </c>
      <c r="M29" s="50">
        <v>193</v>
      </c>
      <c r="N29" s="50">
        <v>0</v>
      </c>
      <c r="O29" s="15">
        <f t="shared" si="0"/>
        <v>118</v>
      </c>
      <c r="P29" s="15">
        <f t="shared" si="1"/>
        <v>311</v>
      </c>
      <c r="R29"/>
      <c r="S29" s="20"/>
      <c r="T29" s="19"/>
    </row>
    <row r="30" spans="2:32" ht="23.1" customHeight="1" x14ac:dyDescent="0.25">
      <c r="B30" s="23" t="s">
        <v>57</v>
      </c>
      <c r="C30" s="50">
        <v>68</v>
      </c>
      <c r="D30" s="50">
        <v>10</v>
      </c>
      <c r="E30" s="50">
        <v>10</v>
      </c>
      <c r="F30" s="50">
        <v>57</v>
      </c>
      <c r="G30" s="50">
        <v>1</v>
      </c>
      <c r="H30" s="50">
        <v>0</v>
      </c>
      <c r="I30" s="50">
        <v>14</v>
      </c>
      <c r="J30" s="50">
        <v>12</v>
      </c>
      <c r="K30" s="50">
        <v>1</v>
      </c>
      <c r="L30" s="50">
        <v>1</v>
      </c>
      <c r="M30" s="50">
        <v>184</v>
      </c>
      <c r="N30" s="50">
        <v>0</v>
      </c>
      <c r="O30" s="15">
        <f t="shared" si="0"/>
        <v>174</v>
      </c>
      <c r="P30" s="15">
        <f t="shared" si="1"/>
        <v>358</v>
      </c>
    </row>
    <row r="31" spans="2:32" ht="23.1" customHeight="1" x14ac:dyDescent="0.25">
      <c r="B31" s="24" t="s">
        <v>58</v>
      </c>
      <c r="C31" s="50">
        <v>74</v>
      </c>
      <c r="D31" s="50">
        <v>6</v>
      </c>
      <c r="E31" s="50">
        <v>7</v>
      </c>
      <c r="F31" s="50">
        <v>51</v>
      </c>
      <c r="G31" s="50">
        <v>1</v>
      </c>
      <c r="H31" s="50">
        <v>2</v>
      </c>
      <c r="I31" s="50">
        <v>11</v>
      </c>
      <c r="J31" s="50">
        <v>6</v>
      </c>
      <c r="K31" s="50">
        <v>1</v>
      </c>
      <c r="L31" s="50">
        <v>4</v>
      </c>
      <c r="M31" s="50">
        <v>190</v>
      </c>
      <c r="N31" s="50">
        <v>0</v>
      </c>
      <c r="O31" s="15">
        <f t="shared" si="0"/>
        <v>163</v>
      </c>
      <c r="P31" s="15">
        <f t="shared" si="1"/>
        <v>353</v>
      </c>
    </row>
    <row r="32" spans="2:32" ht="23.1" customHeight="1" x14ac:dyDescent="0.25">
      <c r="B32" s="24" t="s">
        <v>59</v>
      </c>
      <c r="C32" s="50">
        <v>71</v>
      </c>
      <c r="D32" s="50">
        <v>14</v>
      </c>
      <c r="E32" s="50">
        <v>13</v>
      </c>
      <c r="F32" s="50">
        <v>42</v>
      </c>
      <c r="G32" s="50">
        <v>1</v>
      </c>
      <c r="H32" s="50">
        <v>1</v>
      </c>
      <c r="I32" s="50">
        <v>23</v>
      </c>
      <c r="J32" s="50">
        <v>5</v>
      </c>
      <c r="K32" s="50">
        <v>0</v>
      </c>
      <c r="L32" s="50">
        <v>5</v>
      </c>
      <c r="M32" s="50">
        <v>184</v>
      </c>
      <c r="N32" s="50">
        <v>0</v>
      </c>
      <c r="O32" s="15">
        <f t="shared" si="0"/>
        <v>175</v>
      </c>
      <c r="P32" s="15">
        <f t="shared" si="1"/>
        <v>359</v>
      </c>
    </row>
    <row r="33" spans="2:20" ht="23.1" customHeight="1" x14ac:dyDescent="0.25">
      <c r="B33" s="23" t="s">
        <v>60</v>
      </c>
      <c r="C33" s="50">
        <v>51</v>
      </c>
      <c r="D33" s="50">
        <v>5</v>
      </c>
      <c r="E33" s="50">
        <v>13</v>
      </c>
      <c r="F33" s="50">
        <v>57</v>
      </c>
      <c r="G33" s="50">
        <v>0</v>
      </c>
      <c r="H33" s="50">
        <v>3</v>
      </c>
      <c r="I33" s="50">
        <v>15</v>
      </c>
      <c r="J33" s="50">
        <v>5</v>
      </c>
      <c r="K33" s="50">
        <v>2</v>
      </c>
      <c r="L33" s="50">
        <v>2</v>
      </c>
      <c r="M33" s="50">
        <v>148</v>
      </c>
      <c r="N33" s="50">
        <v>0</v>
      </c>
      <c r="O33" s="15">
        <f t="shared" si="0"/>
        <v>153</v>
      </c>
      <c r="P33" s="15">
        <f t="shared" si="1"/>
        <v>301</v>
      </c>
    </row>
    <row r="34" spans="2:20" ht="23.1" customHeight="1" x14ac:dyDescent="0.25">
      <c r="B34" s="24" t="s">
        <v>61</v>
      </c>
      <c r="C34" s="50">
        <v>62</v>
      </c>
      <c r="D34" s="50">
        <v>6</v>
      </c>
      <c r="E34" s="50">
        <v>6</v>
      </c>
      <c r="F34" s="50">
        <v>58</v>
      </c>
      <c r="G34" s="50">
        <v>0</v>
      </c>
      <c r="H34" s="50">
        <v>0</v>
      </c>
      <c r="I34" s="50">
        <v>21</v>
      </c>
      <c r="J34" s="50">
        <v>0</v>
      </c>
      <c r="K34" s="50">
        <v>4</v>
      </c>
      <c r="L34" s="50">
        <v>2</v>
      </c>
      <c r="M34" s="50">
        <v>157</v>
      </c>
      <c r="N34" s="50">
        <v>0</v>
      </c>
      <c r="O34" s="15">
        <f t="shared" si="0"/>
        <v>159</v>
      </c>
      <c r="P34" s="15">
        <f t="shared" si="1"/>
        <v>316</v>
      </c>
    </row>
    <row r="35" spans="2:20" ht="23.1" customHeight="1" x14ac:dyDescent="0.25">
      <c r="B35" s="24" t="s">
        <v>62</v>
      </c>
      <c r="C35" s="50">
        <v>39</v>
      </c>
      <c r="D35" s="50">
        <v>3</v>
      </c>
      <c r="E35" s="50">
        <v>7</v>
      </c>
      <c r="F35" s="50">
        <v>31</v>
      </c>
      <c r="G35" s="50">
        <v>1</v>
      </c>
      <c r="H35" s="50">
        <v>2</v>
      </c>
      <c r="I35" s="50">
        <v>10</v>
      </c>
      <c r="J35" s="50">
        <v>1</v>
      </c>
      <c r="K35" s="50">
        <v>2</v>
      </c>
      <c r="L35" s="50">
        <v>1</v>
      </c>
      <c r="M35" s="50">
        <v>162</v>
      </c>
      <c r="N35" s="50">
        <v>0</v>
      </c>
      <c r="O35" s="15">
        <f t="shared" si="0"/>
        <v>97</v>
      </c>
      <c r="P35" s="15">
        <f t="shared" si="1"/>
        <v>259</v>
      </c>
    </row>
    <row r="36" spans="2:20" ht="23.1" customHeight="1" x14ac:dyDescent="0.25">
      <c r="B36" s="24" t="s">
        <v>63</v>
      </c>
      <c r="C36" s="50">
        <v>60</v>
      </c>
      <c r="D36" s="50">
        <v>5</v>
      </c>
      <c r="E36" s="50">
        <v>11</v>
      </c>
      <c r="F36" s="50">
        <v>43</v>
      </c>
      <c r="G36" s="50">
        <v>1</v>
      </c>
      <c r="H36" s="50">
        <v>2</v>
      </c>
      <c r="I36" s="50">
        <v>18</v>
      </c>
      <c r="J36" s="50">
        <v>3</v>
      </c>
      <c r="K36" s="50">
        <v>1</v>
      </c>
      <c r="L36" s="50">
        <v>3</v>
      </c>
      <c r="M36" s="50">
        <v>180</v>
      </c>
      <c r="N36" s="50">
        <v>0</v>
      </c>
      <c r="O36" s="15">
        <f t="shared" si="0"/>
        <v>147</v>
      </c>
      <c r="P36" s="15">
        <f t="shared" si="1"/>
        <v>327</v>
      </c>
    </row>
    <row r="37" spans="2:20" ht="23.1" customHeight="1" x14ac:dyDescent="0.25">
      <c r="B37" s="23" t="s">
        <v>64</v>
      </c>
      <c r="C37" s="50">
        <v>45</v>
      </c>
      <c r="D37" s="50">
        <v>5</v>
      </c>
      <c r="E37" s="50">
        <v>5</v>
      </c>
      <c r="F37" s="50">
        <v>34</v>
      </c>
      <c r="G37" s="50">
        <v>1</v>
      </c>
      <c r="H37" s="50">
        <v>0</v>
      </c>
      <c r="I37" s="50">
        <v>13</v>
      </c>
      <c r="J37" s="50">
        <v>3</v>
      </c>
      <c r="K37" s="50">
        <v>2</v>
      </c>
      <c r="L37" s="50">
        <v>5</v>
      </c>
      <c r="M37" s="50">
        <v>145</v>
      </c>
      <c r="N37" s="50">
        <v>0</v>
      </c>
      <c r="O37" s="15">
        <f t="shared" si="0"/>
        <v>113</v>
      </c>
      <c r="P37" s="15">
        <f t="shared" si="1"/>
        <v>258</v>
      </c>
    </row>
    <row r="38" spans="2:20" ht="23.1" customHeight="1" x14ac:dyDescent="0.25">
      <c r="B38" s="24" t="s">
        <v>65</v>
      </c>
      <c r="C38" s="50">
        <v>51</v>
      </c>
      <c r="D38" s="50">
        <v>10</v>
      </c>
      <c r="E38" s="50">
        <v>7</v>
      </c>
      <c r="F38" s="50">
        <v>30</v>
      </c>
      <c r="G38" s="50">
        <v>4</v>
      </c>
      <c r="H38" s="50">
        <v>2</v>
      </c>
      <c r="I38" s="50">
        <v>17</v>
      </c>
      <c r="J38" s="50">
        <v>4</v>
      </c>
      <c r="K38" s="50">
        <v>3</v>
      </c>
      <c r="L38" s="50">
        <v>2</v>
      </c>
      <c r="M38" s="50">
        <v>150</v>
      </c>
      <c r="N38" s="50">
        <v>0</v>
      </c>
      <c r="O38" s="15">
        <f t="shared" si="0"/>
        <v>130</v>
      </c>
      <c r="P38" s="15">
        <f t="shared" si="1"/>
        <v>280</v>
      </c>
    </row>
    <row r="39" spans="2:20" ht="23.1" customHeight="1" x14ac:dyDescent="0.25">
      <c r="B39" s="24" t="s">
        <v>66</v>
      </c>
      <c r="C39" s="50">
        <v>54</v>
      </c>
      <c r="D39" s="50">
        <v>2</v>
      </c>
      <c r="E39" s="50">
        <v>14</v>
      </c>
      <c r="F39" s="50">
        <v>36</v>
      </c>
      <c r="G39" s="50">
        <v>1</v>
      </c>
      <c r="H39" s="50">
        <v>4</v>
      </c>
      <c r="I39" s="50">
        <v>14</v>
      </c>
      <c r="J39" s="50">
        <v>1</v>
      </c>
      <c r="K39" s="50">
        <v>2</v>
      </c>
      <c r="L39" s="50">
        <v>1</v>
      </c>
      <c r="M39" s="50">
        <v>155</v>
      </c>
      <c r="N39" s="50">
        <v>0</v>
      </c>
      <c r="O39" s="15">
        <f t="shared" si="0"/>
        <v>129</v>
      </c>
      <c r="P39" s="15">
        <f t="shared" si="1"/>
        <v>284</v>
      </c>
    </row>
    <row r="40" spans="2:20" ht="23.1" customHeight="1" x14ac:dyDescent="0.25">
      <c r="B40" s="24" t="s">
        <v>67</v>
      </c>
      <c r="C40" s="50">
        <v>56</v>
      </c>
      <c r="D40" s="50">
        <v>7</v>
      </c>
      <c r="E40" s="50">
        <v>9</v>
      </c>
      <c r="F40" s="50">
        <v>29</v>
      </c>
      <c r="G40" s="50">
        <v>0</v>
      </c>
      <c r="H40" s="50">
        <v>0</v>
      </c>
      <c r="I40" s="50">
        <v>8</v>
      </c>
      <c r="J40" s="50">
        <v>5</v>
      </c>
      <c r="K40" s="50">
        <v>3</v>
      </c>
      <c r="L40" s="50">
        <v>3</v>
      </c>
      <c r="M40" s="50">
        <v>220</v>
      </c>
      <c r="N40" s="50">
        <v>0</v>
      </c>
      <c r="O40" s="15">
        <f t="shared" si="0"/>
        <v>120</v>
      </c>
      <c r="P40" s="15">
        <f t="shared" si="1"/>
        <v>340</v>
      </c>
    </row>
    <row r="41" spans="2:20" ht="23.1" customHeight="1" x14ac:dyDescent="0.25">
      <c r="B41" s="23" t="s">
        <v>68</v>
      </c>
      <c r="C41" s="50">
        <v>56</v>
      </c>
      <c r="D41" s="50">
        <v>8</v>
      </c>
      <c r="E41" s="50">
        <v>7</v>
      </c>
      <c r="F41" s="50">
        <v>49</v>
      </c>
      <c r="G41" s="50">
        <v>1</v>
      </c>
      <c r="H41" s="50">
        <v>3</v>
      </c>
      <c r="I41" s="50">
        <v>11</v>
      </c>
      <c r="J41" s="50">
        <v>1</v>
      </c>
      <c r="K41" s="50">
        <v>5</v>
      </c>
      <c r="L41" s="50">
        <v>2</v>
      </c>
      <c r="M41" s="50">
        <v>120</v>
      </c>
      <c r="N41" s="50">
        <v>0</v>
      </c>
      <c r="O41" s="15">
        <f t="shared" si="0"/>
        <v>143</v>
      </c>
      <c r="P41" s="15">
        <f t="shared" si="1"/>
        <v>263</v>
      </c>
    </row>
    <row r="42" spans="2:20" ht="23.1" customHeight="1" x14ac:dyDescent="0.25">
      <c r="B42" s="24" t="s">
        <v>69</v>
      </c>
      <c r="C42" s="50">
        <v>50</v>
      </c>
      <c r="D42" s="50">
        <v>4</v>
      </c>
      <c r="E42" s="50">
        <v>6</v>
      </c>
      <c r="F42" s="50">
        <v>36</v>
      </c>
      <c r="G42" s="50">
        <v>1</v>
      </c>
      <c r="H42" s="50">
        <v>0</v>
      </c>
      <c r="I42" s="50">
        <v>11</v>
      </c>
      <c r="J42" s="50">
        <v>2</v>
      </c>
      <c r="K42" s="50">
        <v>1</v>
      </c>
      <c r="L42" s="50">
        <v>3</v>
      </c>
      <c r="M42" s="50">
        <v>126</v>
      </c>
      <c r="N42" s="50">
        <v>0</v>
      </c>
      <c r="O42" s="15">
        <f t="shared" si="0"/>
        <v>114</v>
      </c>
      <c r="P42" s="15">
        <f t="shared" si="1"/>
        <v>240</v>
      </c>
    </row>
    <row r="43" spans="2:20" ht="23.1" customHeight="1" x14ac:dyDescent="0.25">
      <c r="B43" s="23" t="s">
        <v>70</v>
      </c>
      <c r="C43" s="50">
        <v>38</v>
      </c>
      <c r="D43" s="50">
        <v>7</v>
      </c>
      <c r="E43" s="50">
        <v>11</v>
      </c>
      <c r="F43" s="50">
        <v>35</v>
      </c>
      <c r="G43" s="50">
        <v>2</v>
      </c>
      <c r="H43" s="50">
        <v>1</v>
      </c>
      <c r="I43" s="50">
        <v>9</v>
      </c>
      <c r="J43" s="50">
        <v>2</v>
      </c>
      <c r="K43" s="50">
        <v>1</v>
      </c>
      <c r="L43" s="50">
        <v>2</v>
      </c>
      <c r="M43" s="50">
        <v>120</v>
      </c>
      <c r="N43" s="50">
        <v>0</v>
      </c>
      <c r="O43" s="15">
        <f t="shared" si="0"/>
        <v>108</v>
      </c>
      <c r="P43" s="15">
        <f t="shared" si="1"/>
        <v>228</v>
      </c>
    </row>
    <row r="44" spans="2:20" ht="23.1" customHeight="1" x14ac:dyDescent="0.25">
      <c r="B44" s="25" t="s">
        <v>71</v>
      </c>
      <c r="C44" s="50">
        <v>57</v>
      </c>
      <c r="D44" s="50">
        <v>10</v>
      </c>
      <c r="E44" s="50">
        <v>13</v>
      </c>
      <c r="F44" s="50">
        <v>34</v>
      </c>
      <c r="G44" s="50">
        <v>1</v>
      </c>
      <c r="H44" s="50">
        <v>1</v>
      </c>
      <c r="I44" s="50">
        <v>14</v>
      </c>
      <c r="J44" s="50">
        <v>15</v>
      </c>
      <c r="K44" s="50">
        <v>0</v>
      </c>
      <c r="L44" s="50">
        <v>6</v>
      </c>
      <c r="M44" s="50">
        <v>71</v>
      </c>
      <c r="N44" s="50">
        <v>0</v>
      </c>
      <c r="O44" s="15">
        <f t="shared" si="0"/>
        <v>151</v>
      </c>
      <c r="P44" s="15">
        <f t="shared" si="1"/>
        <v>222</v>
      </c>
    </row>
    <row r="45" spans="2:20" ht="23.1" customHeight="1" x14ac:dyDescent="0.25">
      <c r="B45" s="23" t="s">
        <v>72</v>
      </c>
      <c r="C45" s="50">
        <v>50</v>
      </c>
      <c r="D45" s="50">
        <v>4</v>
      </c>
      <c r="E45" s="50">
        <v>11</v>
      </c>
      <c r="F45" s="50">
        <v>37</v>
      </c>
      <c r="G45" s="50">
        <v>1</v>
      </c>
      <c r="H45" s="50">
        <v>2</v>
      </c>
      <c r="I45" s="50">
        <v>13</v>
      </c>
      <c r="J45" s="50">
        <v>7</v>
      </c>
      <c r="K45" s="50">
        <v>2</v>
      </c>
      <c r="L45" s="50">
        <v>3</v>
      </c>
      <c r="M45" s="50">
        <v>75</v>
      </c>
      <c r="N45" s="50">
        <v>0</v>
      </c>
      <c r="O45" s="15">
        <f t="shared" si="0"/>
        <v>130</v>
      </c>
      <c r="P45" s="15">
        <f t="shared" si="1"/>
        <v>205</v>
      </c>
    </row>
    <row r="46" spans="2:20" ht="23.1" customHeight="1" x14ac:dyDescent="0.25">
      <c r="B46" s="24" t="s">
        <v>73</v>
      </c>
      <c r="C46" s="50">
        <v>62</v>
      </c>
      <c r="D46" s="50">
        <v>11</v>
      </c>
      <c r="E46" s="50">
        <v>13</v>
      </c>
      <c r="F46" s="50">
        <v>35</v>
      </c>
      <c r="G46" s="50">
        <v>2</v>
      </c>
      <c r="H46" s="50">
        <v>3</v>
      </c>
      <c r="I46" s="50">
        <v>8</v>
      </c>
      <c r="J46" s="50">
        <v>4</v>
      </c>
      <c r="K46" s="50">
        <v>5</v>
      </c>
      <c r="L46" s="50">
        <v>1</v>
      </c>
      <c r="M46" s="50">
        <v>105</v>
      </c>
      <c r="N46" s="50">
        <v>0</v>
      </c>
      <c r="O46" s="15">
        <f t="shared" si="0"/>
        <v>144</v>
      </c>
      <c r="P46" s="15">
        <f t="shared" si="1"/>
        <v>249</v>
      </c>
      <c r="R46" s="8"/>
      <c r="T46"/>
    </row>
    <row r="47" spans="2:20" ht="23.1" customHeight="1" x14ac:dyDescent="0.25">
      <c r="B47" s="24" t="s">
        <v>74</v>
      </c>
      <c r="C47" s="50">
        <v>51</v>
      </c>
      <c r="D47" s="50">
        <v>5</v>
      </c>
      <c r="E47" s="50">
        <v>10</v>
      </c>
      <c r="F47" s="50">
        <v>27</v>
      </c>
      <c r="G47" s="50">
        <v>0</v>
      </c>
      <c r="H47" s="50">
        <v>2</v>
      </c>
      <c r="I47" s="50">
        <v>8</v>
      </c>
      <c r="J47" s="50">
        <v>10</v>
      </c>
      <c r="K47" s="50">
        <v>1</v>
      </c>
      <c r="L47" s="50">
        <v>4</v>
      </c>
      <c r="M47" s="50">
        <v>120</v>
      </c>
      <c r="N47" s="50">
        <v>0</v>
      </c>
      <c r="O47" s="15">
        <f t="shared" si="0"/>
        <v>118</v>
      </c>
      <c r="P47" s="15">
        <f t="shared" si="1"/>
        <v>238</v>
      </c>
      <c r="R47" s="8"/>
      <c r="T47"/>
    </row>
    <row r="48" spans="2:20" ht="23.1" customHeight="1" x14ac:dyDescent="0.25">
      <c r="B48" s="24" t="s">
        <v>75</v>
      </c>
      <c r="C48" s="50">
        <v>53</v>
      </c>
      <c r="D48" s="50">
        <v>8</v>
      </c>
      <c r="E48" s="50">
        <v>10</v>
      </c>
      <c r="F48" s="50">
        <v>30</v>
      </c>
      <c r="G48" s="50">
        <v>1</v>
      </c>
      <c r="H48" s="50">
        <v>2</v>
      </c>
      <c r="I48" s="50">
        <v>11</v>
      </c>
      <c r="J48" s="50">
        <v>12</v>
      </c>
      <c r="K48" s="50">
        <v>0</v>
      </c>
      <c r="L48" s="50">
        <v>2</v>
      </c>
      <c r="M48" s="50">
        <v>110</v>
      </c>
      <c r="N48" s="50">
        <v>0</v>
      </c>
      <c r="O48" s="15">
        <f t="shared" si="0"/>
        <v>129</v>
      </c>
      <c r="P48" s="15">
        <f t="shared" si="1"/>
        <v>239</v>
      </c>
      <c r="R48" s="8"/>
      <c r="T48"/>
    </row>
    <row r="49" spans="2:20" ht="23.1" customHeight="1" x14ac:dyDescent="0.25">
      <c r="B49" s="23" t="s">
        <v>76</v>
      </c>
      <c r="C49" s="50">
        <v>61</v>
      </c>
      <c r="D49" s="50">
        <v>11</v>
      </c>
      <c r="E49" s="50">
        <v>12</v>
      </c>
      <c r="F49" s="50">
        <v>35</v>
      </c>
      <c r="G49" s="50">
        <v>1</v>
      </c>
      <c r="H49" s="50">
        <v>2</v>
      </c>
      <c r="I49" s="50">
        <v>6</v>
      </c>
      <c r="J49" s="50">
        <v>11</v>
      </c>
      <c r="K49" s="50">
        <v>0</v>
      </c>
      <c r="L49" s="50">
        <v>2</v>
      </c>
      <c r="M49" s="50">
        <v>135</v>
      </c>
      <c r="N49" s="50">
        <v>0</v>
      </c>
      <c r="O49" s="15">
        <f t="shared" si="0"/>
        <v>141</v>
      </c>
      <c r="P49" s="15">
        <f t="shared" si="1"/>
        <v>276</v>
      </c>
      <c r="R49" s="8"/>
      <c r="T49"/>
    </row>
    <row r="50" spans="2:20" ht="23.1" customHeight="1" x14ac:dyDescent="0.25">
      <c r="B50" s="24" t="s">
        <v>77</v>
      </c>
      <c r="C50" s="50">
        <v>54</v>
      </c>
      <c r="D50" s="50">
        <v>8</v>
      </c>
      <c r="E50" s="50">
        <v>8</v>
      </c>
      <c r="F50" s="50">
        <v>43</v>
      </c>
      <c r="G50" s="50">
        <v>2</v>
      </c>
      <c r="H50" s="50">
        <v>2</v>
      </c>
      <c r="I50" s="50">
        <v>22</v>
      </c>
      <c r="J50" s="50">
        <v>20</v>
      </c>
      <c r="K50" s="50">
        <v>11</v>
      </c>
      <c r="L50" s="50">
        <v>4</v>
      </c>
      <c r="M50" s="50">
        <v>190</v>
      </c>
      <c r="N50" s="50">
        <v>0</v>
      </c>
      <c r="O50" s="15">
        <f t="shared" si="0"/>
        <v>174</v>
      </c>
      <c r="P50" s="15">
        <f t="shared" si="1"/>
        <v>364</v>
      </c>
      <c r="R50" s="8"/>
      <c r="T50"/>
    </row>
    <row r="51" spans="2:20" ht="23.1" customHeight="1" x14ac:dyDescent="0.25">
      <c r="B51" s="24" t="s">
        <v>78</v>
      </c>
      <c r="C51" s="50">
        <v>67</v>
      </c>
      <c r="D51" s="50">
        <v>11</v>
      </c>
      <c r="E51" s="50">
        <v>12</v>
      </c>
      <c r="F51" s="50">
        <v>43</v>
      </c>
      <c r="G51" s="50">
        <v>1</v>
      </c>
      <c r="H51" s="50">
        <v>3</v>
      </c>
      <c r="I51" s="50">
        <v>19</v>
      </c>
      <c r="J51" s="50">
        <v>6</v>
      </c>
      <c r="K51" s="50">
        <v>0</v>
      </c>
      <c r="L51" s="50">
        <v>4</v>
      </c>
      <c r="M51" s="50">
        <v>200</v>
      </c>
      <c r="N51" s="50">
        <v>0</v>
      </c>
      <c r="O51" s="15">
        <f t="shared" si="0"/>
        <v>166</v>
      </c>
      <c r="P51" s="15">
        <f t="shared" si="1"/>
        <v>366</v>
      </c>
      <c r="R51" s="8"/>
      <c r="T51"/>
    </row>
    <row r="52" spans="2:20" ht="23.1" customHeight="1" x14ac:dyDescent="0.25">
      <c r="B52" s="24" t="s">
        <v>79</v>
      </c>
      <c r="C52" s="50">
        <v>59</v>
      </c>
      <c r="D52" s="50">
        <v>5</v>
      </c>
      <c r="E52" s="50">
        <v>12</v>
      </c>
      <c r="F52" s="50">
        <v>57</v>
      </c>
      <c r="G52" s="50">
        <v>1</v>
      </c>
      <c r="H52" s="50">
        <v>2</v>
      </c>
      <c r="I52" s="50">
        <v>21</v>
      </c>
      <c r="J52" s="50">
        <v>8</v>
      </c>
      <c r="K52" s="50">
        <v>0</v>
      </c>
      <c r="L52" s="50">
        <v>2</v>
      </c>
      <c r="M52" s="50">
        <v>255</v>
      </c>
      <c r="N52" s="50">
        <v>0</v>
      </c>
      <c r="O52" s="15">
        <f t="shared" si="0"/>
        <v>167</v>
      </c>
      <c r="P52" s="15">
        <f t="shared" si="1"/>
        <v>422</v>
      </c>
      <c r="R52" s="8"/>
      <c r="T52"/>
    </row>
    <row r="53" spans="2:20" ht="23.1" customHeight="1" x14ac:dyDescent="0.25">
      <c r="B53" s="23" t="s">
        <v>80</v>
      </c>
      <c r="C53" s="50">
        <v>62</v>
      </c>
      <c r="D53" s="50">
        <v>12</v>
      </c>
      <c r="E53" s="50">
        <v>9</v>
      </c>
      <c r="F53" s="50">
        <v>41</v>
      </c>
      <c r="G53" s="50">
        <v>5</v>
      </c>
      <c r="H53" s="50">
        <v>1</v>
      </c>
      <c r="I53" s="50">
        <v>20</v>
      </c>
      <c r="J53" s="50">
        <v>8</v>
      </c>
      <c r="K53" s="50">
        <v>2</v>
      </c>
      <c r="L53" s="50">
        <v>3</v>
      </c>
      <c r="M53" s="50">
        <v>257</v>
      </c>
      <c r="N53" s="50">
        <v>0</v>
      </c>
      <c r="O53" s="15">
        <f t="shared" si="0"/>
        <v>163</v>
      </c>
      <c r="P53" s="15">
        <f t="shared" si="1"/>
        <v>420</v>
      </c>
      <c r="R53" s="8"/>
      <c r="T53"/>
    </row>
    <row r="54" spans="2:20" ht="23.1" customHeight="1" x14ac:dyDescent="0.25">
      <c r="B54" s="23" t="s">
        <v>81</v>
      </c>
      <c r="C54" s="50">
        <v>60</v>
      </c>
      <c r="D54" s="50">
        <v>12</v>
      </c>
      <c r="E54" s="50">
        <v>9</v>
      </c>
      <c r="F54" s="50">
        <v>46</v>
      </c>
      <c r="G54" s="50">
        <v>1</v>
      </c>
      <c r="H54" s="50">
        <v>4</v>
      </c>
      <c r="I54" s="50">
        <v>12</v>
      </c>
      <c r="J54" s="50">
        <v>3</v>
      </c>
      <c r="K54" s="50">
        <v>1</v>
      </c>
      <c r="L54" s="50">
        <v>5</v>
      </c>
      <c r="M54" s="50">
        <v>287</v>
      </c>
      <c r="N54" s="50">
        <v>0</v>
      </c>
      <c r="O54" s="15">
        <f t="shared" si="0"/>
        <v>153</v>
      </c>
      <c r="P54" s="15">
        <f t="shared" si="1"/>
        <v>440</v>
      </c>
      <c r="R54" s="8"/>
      <c r="T54"/>
    </row>
    <row r="55" spans="2:20" ht="23.1" customHeight="1" x14ac:dyDescent="0.25">
      <c r="B55" s="23" t="s">
        <v>82</v>
      </c>
      <c r="C55" s="50">
        <v>77</v>
      </c>
      <c r="D55" s="50">
        <v>7</v>
      </c>
      <c r="E55" s="50">
        <v>8</v>
      </c>
      <c r="F55" s="50">
        <v>74</v>
      </c>
      <c r="G55" s="50">
        <v>3</v>
      </c>
      <c r="H55" s="50">
        <v>1</v>
      </c>
      <c r="I55" s="50">
        <v>20</v>
      </c>
      <c r="J55" s="50">
        <v>4</v>
      </c>
      <c r="K55" s="50">
        <v>1</v>
      </c>
      <c r="L55" s="50">
        <v>4</v>
      </c>
      <c r="M55" s="50">
        <v>271</v>
      </c>
      <c r="N55" s="50">
        <v>0</v>
      </c>
      <c r="O55" s="15">
        <f t="shared" si="0"/>
        <v>199</v>
      </c>
      <c r="P55" s="15">
        <f t="shared" si="1"/>
        <v>470</v>
      </c>
      <c r="R55" s="8"/>
      <c r="T55"/>
    </row>
    <row r="56" spans="2:20" ht="23.1" customHeight="1" x14ac:dyDescent="0.25">
      <c r="B56" s="23" t="s">
        <v>83</v>
      </c>
      <c r="C56" s="50">
        <v>73</v>
      </c>
      <c r="D56" s="50">
        <v>8</v>
      </c>
      <c r="E56" s="50">
        <v>9</v>
      </c>
      <c r="F56" s="50">
        <v>47</v>
      </c>
      <c r="G56" s="50">
        <v>5</v>
      </c>
      <c r="H56" s="50">
        <v>6</v>
      </c>
      <c r="I56" s="50">
        <v>15</v>
      </c>
      <c r="J56" s="50">
        <v>2</v>
      </c>
      <c r="K56" s="50">
        <v>4</v>
      </c>
      <c r="L56" s="50">
        <v>4</v>
      </c>
      <c r="M56" s="50">
        <v>288</v>
      </c>
      <c r="N56" s="50">
        <v>0</v>
      </c>
      <c r="O56" s="15">
        <f t="shared" si="0"/>
        <v>173</v>
      </c>
      <c r="P56" s="15">
        <f t="shared" si="1"/>
        <v>461</v>
      </c>
      <c r="R56" s="8"/>
      <c r="T56"/>
    </row>
    <row r="57" spans="2:20" ht="23.1" customHeight="1" x14ac:dyDescent="0.25">
      <c r="B57" s="23" t="s">
        <v>84</v>
      </c>
      <c r="C57" s="50">
        <v>49</v>
      </c>
      <c r="D57" s="50">
        <v>9</v>
      </c>
      <c r="E57" s="50">
        <v>14</v>
      </c>
      <c r="F57" s="50">
        <v>46</v>
      </c>
      <c r="G57" s="50">
        <v>0</v>
      </c>
      <c r="H57" s="50">
        <v>0</v>
      </c>
      <c r="I57" s="50">
        <v>18</v>
      </c>
      <c r="J57" s="50">
        <v>4</v>
      </c>
      <c r="K57" s="50">
        <v>4</v>
      </c>
      <c r="L57" s="50">
        <v>2</v>
      </c>
      <c r="M57" s="50">
        <v>320</v>
      </c>
      <c r="N57" s="50">
        <v>0</v>
      </c>
      <c r="O57" s="15">
        <f t="shared" si="0"/>
        <v>146</v>
      </c>
      <c r="P57" s="15">
        <f t="shared" si="1"/>
        <v>466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3261</v>
      </c>
      <c r="D58" s="16">
        <f t="shared" si="21"/>
        <v>375</v>
      </c>
      <c r="E58" s="16">
        <f t="shared" si="21"/>
        <v>438</v>
      </c>
      <c r="F58" s="16">
        <f t="shared" si="21"/>
        <v>2120</v>
      </c>
      <c r="G58" s="16">
        <f t="shared" si="21"/>
        <v>72</v>
      </c>
      <c r="H58" s="16">
        <f t="shared" si="21"/>
        <v>70</v>
      </c>
      <c r="I58" s="16">
        <f t="shared" si="21"/>
        <v>642</v>
      </c>
      <c r="J58" s="16">
        <f t="shared" si="21"/>
        <v>231</v>
      </c>
      <c r="K58" s="16">
        <f t="shared" si="21"/>
        <v>95</v>
      </c>
      <c r="L58" s="16">
        <f t="shared" si="21"/>
        <v>131</v>
      </c>
      <c r="M58" s="16">
        <f t="shared" si="21"/>
        <v>8540</v>
      </c>
      <c r="N58" s="16">
        <f t="shared" si="21"/>
        <v>0</v>
      </c>
      <c r="O58" s="16">
        <f t="shared" si="21"/>
        <v>7435</v>
      </c>
      <c r="P58" s="16">
        <f t="shared" si="21"/>
        <v>15975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0.20413145539906102</v>
      </c>
      <c r="D59" s="43">
        <f t="shared" si="22"/>
        <v>2.3474178403755867E-2</v>
      </c>
      <c r="E59" s="43">
        <f t="shared" si="22"/>
        <v>2.7417840375586856E-2</v>
      </c>
      <c r="F59" s="43">
        <f t="shared" si="22"/>
        <v>0.13270735524256652</v>
      </c>
      <c r="G59" s="43">
        <f t="shared" si="22"/>
        <v>4.507042253521127E-3</v>
      </c>
      <c r="H59" s="43">
        <f t="shared" si="22"/>
        <v>4.3818466353677619E-3</v>
      </c>
      <c r="I59" s="43">
        <f t="shared" si="22"/>
        <v>4.0187793427230049E-2</v>
      </c>
      <c r="J59" s="43">
        <f t="shared" si="22"/>
        <v>1.4460093896713615E-2</v>
      </c>
      <c r="K59" s="43">
        <f t="shared" si="22"/>
        <v>5.9467918622848198E-3</v>
      </c>
      <c r="L59" s="43">
        <f t="shared" si="22"/>
        <v>8.2003129890453833E-3</v>
      </c>
      <c r="M59" s="43">
        <f t="shared" si="22"/>
        <v>0.53458528951486695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0.43860121049092132</v>
      </c>
      <c r="D60" s="44">
        <f t="shared" ref="D60:N60" si="23">D58/$O$58</f>
        <v>5.043712172158709E-2</v>
      </c>
      <c r="E60" s="44">
        <f t="shared" si="23"/>
        <v>5.8910558170813719E-2</v>
      </c>
      <c r="F60" s="44">
        <f t="shared" si="23"/>
        <v>0.28513786146603898</v>
      </c>
      <c r="G60" s="44">
        <f t="shared" si="23"/>
        <v>9.6839273705447201E-3</v>
      </c>
      <c r="H60" s="44">
        <f t="shared" si="23"/>
        <v>9.4149293880295901E-3</v>
      </c>
      <c r="I60" s="44">
        <f t="shared" si="23"/>
        <v>8.6348352387357094E-2</v>
      </c>
      <c r="J60" s="44">
        <f t="shared" si="23"/>
        <v>3.1069266980497647E-2</v>
      </c>
      <c r="K60" s="44">
        <f t="shared" si="23"/>
        <v>1.2777404169468728E-2</v>
      </c>
      <c r="L60" s="44">
        <f t="shared" si="23"/>
        <v>1.7619367854741091E-2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KYENGERA-BUSEGA'!D5</f>
        <v>22.07.19</v>
      </c>
      <c r="E5" s="3"/>
      <c r="F5" s="41" t="s">
        <v>1</v>
      </c>
      <c r="G5" s="64" t="str">
        <f>'22.07 KYENGERA-BUSEGA'!G5:H5</f>
        <v>KYENGERA</v>
      </c>
      <c r="H5" s="65"/>
      <c r="I5" s="14"/>
      <c r="J5" s="2" t="s">
        <v>5</v>
      </c>
      <c r="K5" s="64" t="str">
        <f>'22.07 KYENGERA-BUSEGA'!K5:L5</f>
        <v xml:space="preserve">KIRUMIRA FRANK / MUKASA GIBRIEL / NAGAWA JULIET / NALUBEGA RESTY / NAKIRIJJA HADIJAH / MUGANGA SHAFIK / MUGISHA HASSAN / NAKIBIRI BRENDA 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56" t="s">
        <v>172</v>
      </c>
      <c r="E6" s="57"/>
      <c r="F6" s="2" t="s">
        <v>2</v>
      </c>
      <c r="G6" s="56" t="s">
        <v>171</v>
      </c>
      <c r="H6" s="57"/>
      <c r="J6" s="2" t="s">
        <v>21</v>
      </c>
      <c r="K6" s="64" t="str">
        <f>'22.07 KYENGERA-BUSEGA'!K6:L6</f>
        <v>ANDREW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3</v>
      </c>
      <c r="E10" s="50">
        <v>3</v>
      </c>
      <c r="F10" s="50">
        <v>24</v>
      </c>
      <c r="G10" s="50">
        <v>1</v>
      </c>
      <c r="H10" s="50">
        <v>0</v>
      </c>
      <c r="I10" s="50">
        <v>3</v>
      </c>
      <c r="J10" s="50">
        <v>2</v>
      </c>
      <c r="K10" s="50">
        <v>1</v>
      </c>
      <c r="L10" s="50">
        <v>1</v>
      </c>
      <c r="M10" s="50">
        <v>81</v>
      </c>
      <c r="N10" s="50">
        <v>0</v>
      </c>
      <c r="O10" s="15">
        <f t="shared" ref="O10:O57" si="0">SUM(C10:L10,N10)</f>
        <v>54</v>
      </c>
      <c r="P10" s="15">
        <f t="shared" ref="P10:P57" si="1">SUM(C10:N10)</f>
        <v>135</v>
      </c>
      <c r="R10" s="1" t="s">
        <v>6</v>
      </c>
      <c r="S10" s="17">
        <f t="shared" ref="S10:AF10" si="2">SUM(C10:C13)</f>
        <v>129</v>
      </c>
      <c r="T10" s="17">
        <f t="shared" si="2"/>
        <v>36</v>
      </c>
      <c r="U10" s="17">
        <f t="shared" si="2"/>
        <v>18</v>
      </c>
      <c r="V10" s="17">
        <f t="shared" si="2"/>
        <v>176</v>
      </c>
      <c r="W10" s="17">
        <f t="shared" si="2"/>
        <v>7</v>
      </c>
      <c r="X10" s="17">
        <f t="shared" si="2"/>
        <v>7</v>
      </c>
      <c r="Y10" s="17">
        <f t="shared" si="2"/>
        <v>42</v>
      </c>
      <c r="Z10" s="17">
        <f t="shared" si="2"/>
        <v>17</v>
      </c>
      <c r="AA10" s="17">
        <f t="shared" si="2"/>
        <v>3</v>
      </c>
      <c r="AB10" s="17">
        <f t="shared" si="2"/>
        <v>7</v>
      </c>
      <c r="AC10" s="17">
        <f t="shared" si="2"/>
        <v>554</v>
      </c>
      <c r="AD10" s="17">
        <f t="shared" si="2"/>
        <v>0</v>
      </c>
      <c r="AE10" s="31">
        <f t="shared" si="2"/>
        <v>442</v>
      </c>
      <c r="AF10" s="31">
        <f t="shared" si="2"/>
        <v>996</v>
      </c>
    </row>
    <row r="11" spans="2:32" s="6" customFormat="1" ht="23.1" customHeight="1" x14ac:dyDescent="0.25">
      <c r="B11" s="23" t="s">
        <v>38</v>
      </c>
      <c r="C11" s="50">
        <v>36</v>
      </c>
      <c r="D11" s="50">
        <v>5</v>
      </c>
      <c r="E11" s="50">
        <v>1</v>
      </c>
      <c r="F11" s="50">
        <v>55</v>
      </c>
      <c r="G11" s="50">
        <v>3</v>
      </c>
      <c r="H11" s="50">
        <v>4</v>
      </c>
      <c r="I11" s="50">
        <v>19</v>
      </c>
      <c r="J11" s="50">
        <v>4</v>
      </c>
      <c r="K11" s="50">
        <v>0</v>
      </c>
      <c r="L11" s="50">
        <v>2</v>
      </c>
      <c r="M11" s="50">
        <v>138</v>
      </c>
      <c r="N11" s="50">
        <v>0</v>
      </c>
      <c r="O11" s="15">
        <f t="shared" si="0"/>
        <v>129</v>
      </c>
      <c r="P11" s="15">
        <f t="shared" si="1"/>
        <v>267</v>
      </c>
      <c r="R11" s="1" t="s">
        <v>7</v>
      </c>
      <c r="S11" s="17">
        <f t="shared" ref="S11:AF11" si="3">SUM(C14:C17)</f>
        <v>156</v>
      </c>
      <c r="T11" s="17">
        <f t="shared" si="3"/>
        <v>42</v>
      </c>
      <c r="U11" s="17">
        <f t="shared" si="3"/>
        <v>22</v>
      </c>
      <c r="V11" s="17">
        <f t="shared" si="3"/>
        <v>201</v>
      </c>
      <c r="W11" s="17">
        <f t="shared" si="3"/>
        <v>3</v>
      </c>
      <c r="X11" s="17">
        <f t="shared" si="3"/>
        <v>4</v>
      </c>
      <c r="Y11" s="17">
        <f t="shared" si="3"/>
        <v>53</v>
      </c>
      <c r="Z11" s="17">
        <f t="shared" si="3"/>
        <v>26</v>
      </c>
      <c r="AA11" s="17">
        <f t="shared" si="3"/>
        <v>3</v>
      </c>
      <c r="AB11" s="17">
        <f t="shared" si="3"/>
        <v>3</v>
      </c>
      <c r="AC11" s="17">
        <f t="shared" si="3"/>
        <v>611</v>
      </c>
      <c r="AD11" s="17">
        <f t="shared" si="3"/>
        <v>0</v>
      </c>
      <c r="AE11" s="31">
        <f t="shared" si="3"/>
        <v>513</v>
      </c>
      <c r="AF11" s="31">
        <f t="shared" si="3"/>
        <v>1124</v>
      </c>
    </row>
    <row r="12" spans="2:32" ht="23.1" customHeight="1" x14ac:dyDescent="0.25">
      <c r="B12" s="23" t="s">
        <v>39</v>
      </c>
      <c r="C12" s="50">
        <v>38</v>
      </c>
      <c r="D12" s="50">
        <v>10</v>
      </c>
      <c r="E12" s="50">
        <v>3</v>
      </c>
      <c r="F12" s="50">
        <v>46</v>
      </c>
      <c r="G12" s="50">
        <v>0</v>
      </c>
      <c r="H12" s="50">
        <v>0</v>
      </c>
      <c r="I12" s="50">
        <v>13</v>
      </c>
      <c r="J12" s="50">
        <v>4</v>
      </c>
      <c r="K12" s="50">
        <v>2</v>
      </c>
      <c r="L12" s="50">
        <v>1</v>
      </c>
      <c r="M12" s="50">
        <v>165</v>
      </c>
      <c r="N12" s="50">
        <v>0</v>
      </c>
      <c r="O12" s="15">
        <f t="shared" si="0"/>
        <v>117</v>
      </c>
      <c r="P12" s="15">
        <f t="shared" si="1"/>
        <v>282</v>
      </c>
      <c r="R12" s="1" t="s">
        <v>8</v>
      </c>
      <c r="S12" s="17">
        <f t="shared" ref="S12:AF12" si="4">SUM(C18:C21)</f>
        <v>150</v>
      </c>
      <c r="T12" s="17">
        <f t="shared" si="4"/>
        <v>29</v>
      </c>
      <c r="U12" s="17">
        <f t="shared" si="4"/>
        <v>16</v>
      </c>
      <c r="V12" s="17">
        <f t="shared" si="4"/>
        <v>192</v>
      </c>
      <c r="W12" s="17">
        <f t="shared" si="4"/>
        <v>6</v>
      </c>
      <c r="X12" s="17">
        <f t="shared" si="4"/>
        <v>8</v>
      </c>
      <c r="Y12" s="17">
        <f t="shared" si="4"/>
        <v>49</v>
      </c>
      <c r="Z12" s="17">
        <f t="shared" si="4"/>
        <v>20</v>
      </c>
      <c r="AA12" s="17">
        <f t="shared" si="4"/>
        <v>10</v>
      </c>
      <c r="AB12" s="17">
        <f t="shared" si="4"/>
        <v>10</v>
      </c>
      <c r="AC12" s="17">
        <f t="shared" si="4"/>
        <v>535</v>
      </c>
      <c r="AD12" s="17">
        <f t="shared" si="4"/>
        <v>0</v>
      </c>
      <c r="AE12" s="31">
        <f t="shared" si="4"/>
        <v>490</v>
      </c>
      <c r="AF12" s="31">
        <f t="shared" si="4"/>
        <v>1025</v>
      </c>
    </row>
    <row r="13" spans="2:32" ht="23.1" customHeight="1" x14ac:dyDescent="0.25">
      <c r="B13" s="23" t="s">
        <v>40</v>
      </c>
      <c r="C13" s="50">
        <v>39</v>
      </c>
      <c r="D13" s="50">
        <v>18</v>
      </c>
      <c r="E13" s="50">
        <v>11</v>
      </c>
      <c r="F13" s="50">
        <v>51</v>
      </c>
      <c r="G13" s="50">
        <v>3</v>
      </c>
      <c r="H13" s="50">
        <v>3</v>
      </c>
      <c r="I13" s="50">
        <v>7</v>
      </c>
      <c r="J13" s="50">
        <v>7</v>
      </c>
      <c r="K13" s="50">
        <v>0</v>
      </c>
      <c r="L13" s="50">
        <v>3</v>
      </c>
      <c r="M13" s="50">
        <v>170</v>
      </c>
      <c r="N13" s="50">
        <v>0</v>
      </c>
      <c r="O13" s="15">
        <f t="shared" si="0"/>
        <v>142</v>
      </c>
      <c r="P13" s="15">
        <f t="shared" si="1"/>
        <v>312</v>
      </c>
      <c r="R13" s="1" t="s">
        <v>9</v>
      </c>
      <c r="S13" s="17">
        <f t="shared" ref="S13:AF13" si="5">SUM(C22:C25)</f>
        <v>154</v>
      </c>
      <c r="T13" s="17">
        <f t="shared" si="5"/>
        <v>27</v>
      </c>
      <c r="U13" s="17">
        <f t="shared" si="5"/>
        <v>18</v>
      </c>
      <c r="V13" s="17">
        <f t="shared" si="5"/>
        <v>183</v>
      </c>
      <c r="W13" s="17">
        <f t="shared" si="5"/>
        <v>4</v>
      </c>
      <c r="X13" s="17">
        <f t="shared" si="5"/>
        <v>6</v>
      </c>
      <c r="Y13" s="17">
        <f t="shared" si="5"/>
        <v>60</v>
      </c>
      <c r="Z13" s="17">
        <f t="shared" si="5"/>
        <v>17</v>
      </c>
      <c r="AA13" s="17">
        <f t="shared" si="5"/>
        <v>11</v>
      </c>
      <c r="AB13" s="17">
        <f t="shared" si="5"/>
        <v>11</v>
      </c>
      <c r="AC13" s="17">
        <f t="shared" si="5"/>
        <v>523</v>
      </c>
      <c r="AD13" s="17">
        <f t="shared" si="5"/>
        <v>1</v>
      </c>
      <c r="AE13" s="31">
        <f t="shared" si="5"/>
        <v>492</v>
      </c>
      <c r="AF13" s="31">
        <f t="shared" si="5"/>
        <v>1015</v>
      </c>
    </row>
    <row r="14" spans="2:32" ht="23.1" customHeight="1" x14ac:dyDescent="0.25">
      <c r="B14" s="23" t="s">
        <v>41</v>
      </c>
      <c r="C14" s="50">
        <v>38</v>
      </c>
      <c r="D14" s="50">
        <v>13</v>
      </c>
      <c r="E14" s="50">
        <v>7</v>
      </c>
      <c r="F14" s="50">
        <v>54</v>
      </c>
      <c r="G14" s="50">
        <v>1</v>
      </c>
      <c r="H14" s="50">
        <v>1</v>
      </c>
      <c r="I14" s="50">
        <v>9</v>
      </c>
      <c r="J14" s="50">
        <v>9</v>
      </c>
      <c r="K14" s="50">
        <v>0</v>
      </c>
      <c r="L14" s="50">
        <v>0</v>
      </c>
      <c r="M14" s="50">
        <v>137</v>
      </c>
      <c r="N14" s="50">
        <v>0</v>
      </c>
      <c r="O14" s="15">
        <f t="shared" si="0"/>
        <v>132</v>
      </c>
      <c r="P14" s="15">
        <f t="shared" si="1"/>
        <v>269</v>
      </c>
      <c r="R14" s="1" t="s">
        <v>10</v>
      </c>
      <c r="S14" s="17">
        <f t="shared" ref="S14:AF14" si="6">SUM(C26:C29)</f>
        <v>146</v>
      </c>
      <c r="T14" s="17">
        <f t="shared" si="6"/>
        <v>25</v>
      </c>
      <c r="U14" s="17">
        <f t="shared" si="6"/>
        <v>18</v>
      </c>
      <c r="V14" s="17">
        <f t="shared" si="6"/>
        <v>164</v>
      </c>
      <c r="W14" s="17">
        <f t="shared" si="6"/>
        <v>7</v>
      </c>
      <c r="X14" s="17">
        <f t="shared" si="6"/>
        <v>11</v>
      </c>
      <c r="Y14" s="17">
        <f t="shared" si="6"/>
        <v>78</v>
      </c>
      <c r="Z14" s="17">
        <f t="shared" si="6"/>
        <v>7</v>
      </c>
      <c r="AA14" s="17">
        <f t="shared" si="6"/>
        <v>6</v>
      </c>
      <c r="AB14" s="17">
        <f t="shared" si="6"/>
        <v>15</v>
      </c>
      <c r="AC14" s="17">
        <f t="shared" si="6"/>
        <v>333</v>
      </c>
      <c r="AD14" s="17">
        <f t="shared" si="6"/>
        <v>1</v>
      </c>
      <c r="AE14" s="31">
        <f t="shared" si="6"/>
        <v>478</v>
      </c>
      <c r="AF14" s="31">
        <f t="shared" si="6"/>
        <v>811</v>
      </c>
    </row>
    <row r="15" spans="2:32" ht="23.1" customHeight="1" x14ac:dyDescent="0.25">
      <c r="B15" s="23" t="s">
        <v>42</v>
      </c>
      <c r="C15" s="50">
        <v>40</v>
      </c>
      <c r="D15" s="50">
        <v>9</v>
      </c>
      <c r="E15" s="50">
        <v>4</v>
      </c>
      <c r="F15" s="50">
        <v>46</v>
      </c>
      <c r="G15" s="50">
        <v>0</v>
      </c>
      <c r="H15" s="50">
        <v>0</v>
      </c>
      <c r="I15" s="50">
        <v>16</v>
      </c>
      <c r="J15" s="50">
        <v>10</v>
      </c>
      <c r="K15" s="50">
        <v>1</v>
      </c>
      <c r="L15" s="50">
        <v>0</v>
      </c>
      <c r="M15" s="50">
        <v>170</v>
      </c>
      <c r="N15" s="50">
        <v>0</v>
      </c>
      <c r="O15" s="15">
        <f t="shared" si="0"/>
        <v>126</v>
      </c>
      <c r="P15" s="15">
        <f t="shared" si="1"/>
        <v>296</v>
      </c>
      <c r="R15" s="1" t="s">
        <v>11</v>
      </c>
      <c r="S15" s="17">
        <f t="shared" ref="S15:AF15" si="7">SUM(C30:C33)</f>
        <v>85</v>
      </c>
      <c r="T15" s="17">
        <f t="shared" si="7"/>
        <v>23</v>
      </c>
      <c r="U15" s="17">
        <f t="shared" si="7"/>
        <v>14</v>
      </c>
      <c r="V15" s="17">
        <f t="shared" si="7"/>
        <v>162</v>
      </c>
      <c r="W15" s="17">
        <f t="shared" si="7"/>
        <v>12</v>
      </c>
      <c r="X15" s="17">
        <f t="shared" si="7"/>
        <v>8</v>
      </c>
      <c r="Y15" s="17">
        <f t="shared" si="7"/>
        <v>34</v>
      </c>
      <c r="Z15" s="17">
        <f t="shared" si="7"/>
        <v>12</v>
      </c>
      <c r="AA15" s="17">
        <f t="shared" si="7"/>
        <v>6</v>
      </c>
      <c r="AB15" s="17">
        <f t="shared" si="7"/>
        <v>7</v>
      </c>
      <c r="AC15" s="17">
        <f t="shared" si="7"/>
        <v>180</v>
      </c>
      <c r="AD15" s="17">
        <f t="shared" si="7"/>
        <v>0</v>
      </c>
      <c r="AE15" s="31">
        <f t="shared" si="7"/>
        <v>363</v>
      </c>
      <c r="AF15" s="31">
        <f t="shared" si="7"/>
        <v>543</v>
      </c>
    </row>
    <row r="16" spans="2:32" ht="23.1" customHeight="1" x14ac:dyDescent="0.25">
      <c r="B16" s="23" t="s">
        <v>43</v>
      </c>
      <c r="C16" s="50">
        <v>44</v>
      </c>
      <c r="D16" s="50">
        <v>8</v>
      </c>
      <c r="E16" s="50">
        <v>6</v>
      </c>
      <c r="F16" s="50">
        <v>56</v>
      </c>
      <c r="G16" s="50">
        <v>1</v>
      </c>
      <c r="H16" s="50">
        <v>1</v>
      </c>
      <c r="I16" s="50">
        <v>15</v>
      </c>
      <c r="J16" s="50">
        <v>0</v>
      </c>
      <c r="K16" s="50">
        <v>2</v>
      </c>
      <c r="L16" s="50">
        <v>1</v>
      </c>
      <c r="M16" s="50">
        <v>158</v>
      </c>
      <c r="N16" s="50">
        <v>0</v>
      </c>
      <c r="O16" s="15">
        <f t="shared" si="0"/>
        <v>134</v>
      </c>
      <c r="P16" s="15">
        <f t="shared" si="1"/>
        <v>292</v>
      </c>
      <c r="R16" s="1" t="s">
        <v>12</v>
      </c>
      <c r="S16" s="17">
        <f t="shared" ref="S16:AF16" si="8">SUM(C34:C37)</f>
        <v>83</v>
      </c>
      <c r="T16" s="17">
        <f t="shared" si="8"/>
        <v>19</v>
      </c>
      <c r="U16" s="17">
        <f t="shared" si="8"/>
        <v>13</v>
      </c>
      <c r="V16" s="17">
        <f t="shared" si="8"/>
        <v>78</v>
      </c>
      <c r="W16" s="17">
        <f t="shared" si="8"/>
        <v>3</v>
      </c>
      <c r="X16" s="17">
        <f t="shared" si="8"/>
        <v>4</v>
      </c>
      <c r="Y16" s="17">
        <f t="shared" si="8"/>
        <v>14</v>
      </c>
      <c r="Z16" s="17">
        <f t="shared" si="8"/>
        <v>15</v>
      </c>
      <c r="AA16" s="17">
        <f t="shared" si="8"/>
        <v>12</v>
      </c>
      <c r="AB16" s="17">
        <f t="shared" si="8"/>
        <v>13</v>
      </c>
      <c r="AC16" s="17">
        <f t="shared" si="8"/>
        <v>234</v>
      </c>
      <c r="AD16" s="17">
        <f t="shared" si="8"/>
        <v>0</v>
      </c>
      <c r="AE16" s="31">
        <f t="shared" si="8"/>
        <v>254</v>
      </c>
      <c r="AF16" s="31">
        <f t="shared" si="8"/>
        <v>488</v>
      </c>
    </row>
    <row r="17" spans="2:32" ht="23.1" customHeight="1" x14ac:dyDescent="0.25">
      <c r="B17" s="23" t="s">
        <v>44</v>
      </c>
      <c r="C17" s="50">
        <v>34</v>
      </c>
      <c r="D17" s="50">
        <v>12</v>
      </c>
      <c r="E17" s="50">
        <v>5</v>
      </c>
      <c r="F17" s="50">
        <v>45</v>
      </c>
      <c r="G17" s="50">
        <v>1</v>
      </c>
      <c r="H17" s="50">
        <v>2</v>
      </c>
      <c r="I17" s="50">
        <v>13</v>
      </c>
      <c r="J17" s="50">
        <v>7</v>
      </c>
      <c r="K17" s="50">
        <v>0</v>
      </c>
      <c r="L17" s="50">
        <v>2</v>
      </c>
      <c r="M17" s="50">
        <v>146</v>
      </c>
      <c r="N17" s="50">
        <v>0</v>
      </c>
      <c r="O17" s="15">
        <f t="shared" si="0"/>
        <v>121</v>
      </c>
      <c r="P17" s="15">
        <f t="shared" si="1"/>
        <v>267</v>
      </c>
      <c r="R17" s="1" t="s">
        <v>13</v>
      </c>
      <c r="S17" s="17">
        <f t="shared" ref="S17:AF17" si="9">SUM(C38:C41)</f>
        <v>136</v>
      </c>
      <c r="T17" s="17">
        <f t="shared" si="9"/>
        <v>65</v>
      </c>
      <c r="U17" s="17">
        <f t="shared" si="9"/>
        <v>19</v>
      </c>
      <c r="V17" s="17">
        <f t="shared" si="9"/>
        <v>107</v>
      </c>
      <c r="W17" s="17">
        <f t="shared" si="9"/>
        <v>5</v>
      </c>
      <c r="X17" s="17">
        <f t="shared" si="9"/>
        <v>6</v>
      </c>
      <c r="Y17" s="17">
        <f t="shared" si="9"/>
        <v>32</v>
      </c>
      <c r="Z17" s="17">
        <f t="shared" si="9"/>
        <v>18</v>
      </c>
      <c r="AA17" s="17">
        <f t="shared" si="9"/>
        <v>7</v>
      </c>
      <c r="AB17" s="17">
        <f t="shared" si="9"/>
        <v>9</v>
      </c>
      <c r="AC17" s="17">
        <f t="shared" si="9"/>
        <v>306</v>
      </c>
      <c r="AD17" s="17">
        <f t="shared" si="9"/>
        <v>0</v>
      </c>
      <c r="AE17" s="31">
        <f t="shared" si="9"/>
        <v>404</v>
      </c>
      <c r="AF17" s="31">
        <f t="shared" si="9"/>
        <v>710</v>
      </c>
    </row>
    <row r="18" spans="2:32" ht="23.1" customHeight="1" x14ac:dyDescent="0.25">
      <c r="B18" s="23" t="s">
        <v>45</v>
      </c>
      <c r="C18" s="50">
        <v>40</v>
      </c>
      <c r="D18" s="50">
        <v>10</v>
      </c>
      <c r="E18" s="50">
        <v>3</v>
      </c>
      <c r="F18" s="50">
        <v>45</v>
      </c>
      <c r="G18" s="50">
        <v>0</v>
      </c>
      <c r="H18" s="50">
        <v>1</v>
      </c>
      <c r="I18" s="50">
        <v>9</v>
      </c>
      <c r="J18" s="50">
        <v>4</v>
      </c>
      <c r="K18" s="50">
        <v>6</v>
      </c>
      <c r="L18" s="50">
        <v>1</v>
      </c>
      <c r="M18" s="50">
        <v>145</v>
      </c>
      <c r="N18" s="50">
        <v>0</v>
      </c>
      <c r="O18" s="15">
        <f t="shared" si="0"/>
        <v>119</v>
      </c>
      <c r="P18" s="15">
        <f t="shared" si="1"/>
        <v>264</v>
      </c>
      <c r="R18" s="1" t="s">
        <v>14</v>
      </c>
      <c r="S18" s="17">
        <f t="shared" ref="S18:AF18" si="10">SUM(C42:C45)</f>
        <v>131</v>
      </c>
      <c r="T18" s="17">
        <f t="shared" si="10"/>
        <v>8</v>
      </c>
      <c r="U18" s="17">
        <f t="shared" si="10"/>
        <v>28</v>
      </c>
      <c r="V18" s="17">
        <f t="shared" si="10"/>
        <v>90</v>
      </c>
      <c r="W18" s="17">
        <f t="shared" si="10"/>
        <v>3</v>
      </c>
      <c r="X18" s="17">
        <f t="shared" si="10"/>
        <v>7</v>
      </c>
      <c r="Y18" s="17">
        <f t="shared" si="10"/>
        <v>18</v>
      </c>
      <c r="Z18" s="17">
        <f t="shared" si="10"/>
        <v>10</v>
      </c>
      <c r="AA18" s="17">
        <f t="shared" si="10"/>
        <v>3</v>
      </c>
      <c r="AB18" s="17">
        <f t="shared" si="10"/>
        <v>19</v>
      </c>
      <c r="AC18" s="17">
        <f t="shared" si="10"/>
        <v>175</v>
      </c>
      <c r="AD18" s="17">
        <f t="shared" si="10"/>
        <v>2</v>
      </c>
      <c r="AE18" s="31">
        <f t="shared" si="10"/>
        <v>319</v>
      </c>
      <c r="AF18" s="31">
        <f t="shared" si="10"/>
        <v>494</v>
      </c>
    </row>
    <row r="19" spans="2:32" ht="23.1" customHeight="1" x14ac:dyDescent="0.25">
      <c r="B19" s="23" t="s">
        <v>46</v>
      </c>
      <c r="C19" s="50">
        <v>36</v>
      </c>
      <c r="D19" s="50">
        <v>7</v>
      </c>
      <c r="E19" s="50">
        <v>1</v>
      </c>
      <c r="F19" s="50">
        <v>56</v>
      </c>
      <c r="G19" s="50">
        <v>3</v>
      </c>
      <c r="H19" s="50">
        <v>3</v>
      </c>
      <c r="I19" s="50">
        <v>16</v>
      </c>
      <c r="J19" s="50">
        <v>10</v>
      </c>
      <c r="K19" s="50">
        <v>0</v>
      </c>
      <c r="L19" s="50">
        <v>3</v>
      </c>
      <c r="M19" s="50">
        <v>140</v>
      </c>
      <c r="N19" s="50">
        <v>0</v>
      </c>
      <c r="O19" s="15">
        <f t="shared" si="0"/>
        <v>135</v>
      </c>
      <c r="P19" s="15">
        <f t="shared" si="1"/>
        <v>275</v>
      </c>
      <c r="R19" s="1" t="s">
        <v>15</v>
      </c>
      <c r="S19" s="17">
        <f t="shared" ref="S19:AF19" si="11">SUM(C46:C49)</f>
        <v>141</v>
      </c>
      <c r="T19" s="17">
        <f t="shared" si="11"/>
        <v>19</v>
      </c>
      <c r="U19" s="17">
        <f t="shared" si="11"/>
        <v>12</v>
      </c>
      <c r="V19" s="17">
        <f t="shared" si="11"/>
        <v>121</v>
      </c>
      <c r="W19" s="17">
        <f t="shared" si="11"/>
        <v>4</v>
      </c>
      <c r="X19" s="17">
        <f t="shared" si="11"/>
        <v>4</v>
      </c>
      <c r="Y19" s="17">
        <f t="shared" si="11"/>
        <v>27</v>
      </c>
      <c r="Z19" s="17">
        <f t="shared" si="11"/>
        <v>20</v>
      </c>
      <c r="AA19" s="17">
        <f t="shared" si="11"/>
        <v>8</v>
      </c>
      <c r="AB19" s="17">
        <f t="shared" si="11"/>
        <v>15</v>
      </c>
      <c r="AC19" s="17">
        <f t="shared" si="11"/>
        <v>417</v>
      </c>
      <c r="AD19" s="17">
        <f t="shared" si="11"/>
        <v>0</v>
      </c>
      <c r="AE19" s="31">
        <f t="shared" si="11"/>
        <v>371</v>
      </c>
      <c r="AF19" s="31">
        <f t="shared" si="11"/>
        <v>788</v>
      </c>
    </row>
    <row r="20" spans="2:32" ht="23.1" customHeight="1" x14ac:dyDescent="0.25">
      <c r="B20" s="23" t="s">
        <v>47</v>
      </c>
      <c r="C20" s="50">
        <v>33</v>
      </c>
      <c r="D20" s="50">
        <v>5</v>
      </c>
      <c r="E20" s="50">
        <v>5</v>
      </c>
      <c r="F20" s="50">
        <v>40</v>
      </c>
      <c r="G20" s="50">
        <v>3</v>
      </c>
      <c r="H20" s="50">
        <v>2</v>
      </c>
      <c r="I20" s="50">
        <v>13</v>
      </c>
      <c r="J20" s="50">
        <v>6</v>
      </c>
      <c r="K20" s="50">
        <v>3</v>
      </c>
      <c r="L20" s="50">
        <v>4</v>
      </c>
      <c r="M20" s="50">
        <v>140</v>
      </c>
      <c r="N20" s="50">
        <v>0</v>
      </c>
      <c r="O20" s="15">
        <f t="shared" si="0"/>
        <v>114</v>
      </c>
      <c r="P20" s="15">
        <f t="shared" si="1"/>
        <v>254</v>
      </c>
      <c r="R20" s="1" t="s">
        <v>16</v>
      </c>
      <c r="S20" s="17">
        <f t="shared" ref="S20:AF20" si="12">SUM(C50:C53)</f>
        <v>199</v>
      </c>
      <c r="T20" s="17">
        <f t="shared" si="12"/>
        <v>33</v>
      </c>
      <c r="U20" s="17">
        <f t="shared" si="12"/>
        <v>29</v>
      </c>
      <c r="V20" s="17">
        <f t="shared" si="12"/>
        <v>169</v>
      </c>
      <c r="W20" s="17">
        <f t="shared" si="12"/>
        <v>4</v>
      </c>
      <c r="X20" s="17">
        <f t="shared" si="12"/>
        <v>6</v>
      </c>
      <c r="Y20" s="17">
        <f t="shared" si="12"/>
        <v>47</v>
      </c>
      <c r="Z20" s="17">
        <f t="shared" si="12"/>
        <v>29</v>
      </c>
      <c r="AA20" s="17">
        <f t="shared" si="12"/>
        <v>8</v>
      </c>
      <c r="AB20" s="17">
        <f t="shared" si="12"/>
        <v>15</v>
      </c>
      <c r="AC20" s="17">
        <f t="shared" si="12"/>
        <v>620</v>
      </c>
      <c r="AD20" s="17">
        <f t="shared" si="12"/>
        <v>0</v>
      </c>
      <c r="AE20" s="31">
        <f t="shared" si="12"/>
        <v>539</v>
      </c>
      <c r="AF20" s="31">
        <f t="shared" si="12"/>
        <v>1159</v>
      </c>
    </row>
    <row r="21" spans="2:32" ht="23.1" customHeight="1" x14ac:dyDescent="0.25">
      <c r="B21" s="23" t="s">
        <v>48</v>
      </c>
      <c r="C21" s="50">
        <v>41</v>
      </c>
      <c r="D21" s="50">
        <v>7</v>
      </c>
      <c r="E21" s="50">
        <v>7</v>
      </c>
      <c r="F21" s="50">
        <v>51</v>
      </c>
      <c r="G21" s="50">
        <v>0</v>
      </c>
      <c r="H21" s="50">
        <v>2</v>
      </c>
      <c r="I21" s="50">
        <v>11</v>
      </c>
      <c r="J21" s="50">
        <v>0</v>
      </c>
      <c r="K21" s="50">
        <v>1</v>
      </c>
      <c r="L21" s="50">
        <v>2</v>
      </c>
      <c r="M21" s="50">
        <v>110</v>
      </c>
      <c r="N21" s="50">
        <v>0</v>
      </c>
      <c r="O21" s="15">
        <f t="shared" si="0"/>
        <v>122</v>
      </c>
      <c r="P21" s="15">
        <f t="shared" si="1"/>
        <v>232</v>
      </c>
      <c r="R21" s="36" t="s">
        <v>20</v>
      </c>
      <c r="S21" s="34">
        <f t="shared" ref="S21:AF21" si="13">SUM(C54:C57)</f>
        <v>147</v>
      </c>
      <c r="T21" s="17">
        <f t="shared" si="13"/>
        <v>53</v>
      </c>
      <c r="U21" s="17">
        <f t="shared" si="13"/>
        <v>21</v>
      </c>
      <c r="V21" s="17">
        <f t="shared" si="13"/>
        <v>119</v>
      </c>
      <c r="W21" s="17">
        <f t="shared" si="13"/>
        <v>6</v>
      </c>
      <c r="X21" s="17">
        <f t="shared" si="13"/>
        <v>5</v>
      </c>
      <c r="Y21" s="17">
        <f t="shared" si="13"/>
        <v>25</v>
      </c>
      <c r="Z21" s="17">
        <f t="shared" si="13"/>
        <v>17</v>
      </c>
      <c r="AA21" s="17">
        <f t="shared" si="13"/>
        <v>10</v>
      </c>
      <c r="AB21" s="17">
        <f t="shared" si="13"/>
        <v>11</v>
      </c>
      <c r="AC21" s="17">
        <f t="shared" si="13"/>
        <v>423</v>
      </c>
      <c r="AD21" s="17">
        <f t="shared" si="13"/>
        <v>0</v>
      </c>
      <c r="AE21" s="31">
        <f t="shared" si="13"/>
        <v>414</v>
      </c>
      <c r="AF21" s="31">
        <f t="shared" si="13"/>
        <v>837</v>
      </c>
    </row>
    <row r="22" spans="2:32" ht="23.1" customHeight="1" x14ac:dyDescent="0.25">
      <c r="B22" s="23" t="s">
        <v>49</v>
      </c>
      <c r="C22" s="50">
        <v>33</v>
      </c>
      <c r="D22" s="50">
        <v>12</v>
      </c>
      <c r="E22" s="50">
        <v>4</v>
      </c>
      <c r="F22" s="50">
        <v>53</v>
      </c>
      <c r="G22" s="50">
        <v>0</v>
      </c>
      <c r="H22" s="50">
        <v>1</v>
      </c>
      <c r="I22" s="50">
        <v>21</v>
      </c>
      <c r="J22" s="50">
        <v>6</v>
      </c>
      <c r="K22" s="50">
        <v>2</v>
      </c>
      <c r="L22" s="50">
        <v>1</v>
      </c>
      <c r="M22" s="50">
        <v>230</v>
      </c>
      <c r="N22" s="50">
        <v>0</v>
      </c>
      <c r="O22" s="15">
        <f t="shared" si="0"/>
        <v>133</v>
      </c>
      <c r="P22" s="15">
        <f t="shared" si="1"/>
        <v>363</v>
      </c>
      <c r="R22" s="38" t="s">
        <v>90</v>
      </c>
      <c r="S22" s="39">
        <f>MAX(S10:S12)</f>
        <v>156</v>
      </c>
      <c r="T22" s="39">
        <f t="shared" ref="T22:AF22" si="14">MAX(T10:T12)</f>
        <v>42</v>
      </c>
      <c r="U22" s="39">
        <f t="shared" si="14"/>
        <v>22</v>
      </c>
      <c r="V22" s="39">
        <f t="shared" si="14"/>
        <v>201</v>
      </c>
      <c r="W22" s="39">
        <f t="shared" si="14"/>
        <v>7</v>
      </c>
      <c r="X22" s="39">
        <f t="shared" si="14"/>
        <v>8</v>
      </c>
      <c r="Y22" s="39">
        <f t="shared" si="14"/>
        <v>53</v>
      </c>
      <c r="Z22" s="39">
        <f t="shared" si="14"/>
        <v>26</v>
      </c>
      <c r="AA22" s="39">
        <f t="shared" si="14"/>
        <v>10</v>
      </c>
      <c r="AB22" s="39">
        <f t="shared" si="14"/>
        <v>10</v>
      </c>
      <c r="AC22" s="39">
        <f t="shared" si="14"/>
        <v>611</v>
      </c>
      <c r="AD22" s="39">
        <f t="shared" si="14"/>
        <v>0</v>
      </c>
      <c r="AE22" s="40">
        <f t="shared" si="14"/>
        <v>513</v>
      </c>
      <c r="AF22" s="40">
        <f t="shared" si="14"/>
        <v>1124</v>
      </c>
    </row>
    <row r="23" spans="2:32" ht="23.1" customHeight="1" x14ac:dyDescent="0.25">
      <c r="B23" s="23" t="s">
        <v>50</v>
      </c>
      <c r="C23" s="50">
        <v>31</v>
      </c>
      <c r="D23" s="50">
        <v>5</v>
      </c>
      <c r="E23" s="50">
        <v>2</v>
      </c>
      <c r="F23" s="50">
        <v>35</v>
      </c>
      <c r="G23" s="50">
        <v>1</v>
      </c>
      <c r="H23" s="50">
        <v>1</v>
      </c>
      <c r="I23" s="50">
        <v>9</v>
      </c>
      <c r="J23" s="50">
        <v>5</v>
      </c>
      <c r="K23" s="50">
        <v>4</v>
      </c>
      <c r="L23" s="50">
        <v>2</v>
      </c>
      <c r="M23" s="50">
        <v>91</v>
      </c>
      <c r="N23" s="50">
        <v>1</v>
      </c>
      <c r="O23" s="15">
        <f t="shared" si="0"/>
        <v>96</v>
      </c>
      <c r="P23" s="15">
        <f t="shared" si="1"/>
        <v>187</v>
      </c>
      <c r="R23" s="38" t="s">
        <v>91</v>
      </c>
      <c r="S23" s="39">
        <f>MAX(S13:S18)</f>
        <v>154</v>
      </c>
      <c r="T23" s="39">
        <f t="shared" ref="T23:AF23" si="15">MAX(T13:T18)</f>
        <v>65</v>
      </c>
      <c r="U23" s="39">
        <f t="shared" si="15"/>
        <v>28</v>
      </c>
      <c r="V23" s="39">
        <f t="shared" si="15"/>
        <v>183</v>
      </c>
      <c r="W23" s="39">
        <f t="shared" si="15"/>
        <v>12</v>
      </c>
      <c r="X23" s="39">
        <f t="shared" si="15"/>
        <v>11</v>
      </c>
      <c r="Y23" s="39">
        <f t="shared" si="15"/>
        <v>78</v>
      </c>
      <c r="Z23" s="39">
        <f t="shared" si="15"/>
        <v>18</v>
      </c>
      <c r="AA23" s="39">
        <f t="shared" si="15"/>
        <v>12</v>
      </c>
      <c r="AB23" s="39">
        <f t="shared" si="15"/>
        <v>19</v>
      </c>
      <c r="AC23" s="39">
        <f t="shared" si="15"/>
        <v>523</v>
      </c>
      <c r="AD23" s="39">
        <f t="shared" si="15"/>
        <v>2</v>
      </c>
      <c r="AE23" s="40">
        <f t="shared" si="15"/>
        <v>492</v>
      </c>
      <c r="AF23" s="40">
        <f t="shared" si="15"/>
        <v>1015</v>
      </c>
    </row>
    <row r="24" spans="2:32" ht="23.1" customHeight="1" x14ac:dyDescent="0.25">
      <c r="B24" s="23" t="s">
        <v>51</v>
      </c>
      <c r="C24" s="50">
        <v>40</v>
      </c>
      <c r="D24" s="50">
        <v>6</v>
      </c>
      <c r="E24" s="50">
        <v>4</v>
      </c>
      <c r="F24" s="50">
        <v>55</v>
      </c>
      <c r="G24" s="50">
        <v>3</v>
      </c>
      <c r="H24" s="50">
        <v>3</v>
      </c>
      <c r="I24" s="50">
        <v>20</v>
      </c>
      <c r="J24" s="50">
        <v>2</v>
      </c>
      <c r="K24" s="50">
        <v>3</v>
      </c>
      <c r="L24" s="50">
        <v>4</v>
      </c>
      <c r="M24" s="50">
        <v>122</v>
      </c>
      <c r="N24" s="50">
        <v>0</v>
      </c>
      <c r="O24" s="15">
        <f t="shared" si="0"/>
        <v>140</v>
      </c>
      <c r="P24" s="15">
        <f t="shared" si="1"/>
        <v>262</v>
      </c>
      <c r="R24" s="38" t="s">
        <v>92</v>
      </c>
      <c r="S24" s="39">
        <f>MAX(S19:S21)</f>
        <v>199</v>
      </c>
      <c r="T24" s="39">
        <f t="shared" ref="T24:AF24" si="16">MAX(T19:T21)</f>
        <v>53</v>
      </c>
      <c r="U24" s="39">
        <f t="shared" si="16"/>
        <v>29</v>
      </c>
      <c r="V24" s="39">
        <f t="shared" si="16"/>
        <v>169</v>
      </c>
      <c r="W24" s="39">
        <f t="shared" si="16"/>
        <v>6</v>
      </c>
      <c r="X24" s="39">
        <f t="shared" si="16"/>
        <v>6</v>
      </c>
      <c r="Y24" s="39">
        <f t="shared" si="16"/>
        <v>47</v>
      </c>
      <c r="Z24" s="39">
        <f t="shared" si="16"/>
        <v>29</v>
      </c>
      <c r="AA24" s="39">
        <f t="shared" si="16"/>
        <v>10</v>
      </c>
      <c r="AB24" s="39">
        <f t="shared" si="16"/>
        <v>15</v>
      </c>
      <c r="AC24" s="39">
        <f t="shared" si="16"/>
        <v>620</v>
      </c>
      <c r="AD24" s="39">
        <f t="shared" si="16"/>
        <v>0</v>
      </c>
      <c r="AE24" s="40">
        <f t="shared" si="16"/>
        <v>539</v>
      </c>
      <c r="AF24" s="40">
        <f t="shared" si="16"/>
        <v>1159</v>
      </c>
    </row>
    <row r="25" spans="2:32" ht="23.1" customHeight="1" x14ac:dyDescent="0.25">
      <c r="B25" s="23" t="s">
        <v>52</v>
      </c>
      <c r="C25" s="50">
        <v>50</v>
      </c>
      <c r="D25" s="50">
        <v>4</v>
      </c>
      <c r="E25" s="50">
        <v>8</v>
      </c>
      <c r="F25" s="50">
        <v>40</v>
      </c>
      <c r="G25" s="50">
        <v>0</v>
      </c>
      <c r="H25" s="50">
        <v>1</v>
      </c>
      <c r="I25" s="50">
        <v>10</v>
      </c>
      <c r="J25" s="50">
        <v>4</v>
      </c>
      <c r="K25" s="50">
        <v>2</v>
      </c>
      <c r="L25" s="50">
        <v>4</v>
      </c>
      <c r="M25" s="50">
        <v>80</v>
      </c>
      <c r="N25" s="50">
        <v>0</v>
      </c>
      <c r="O25" s="15">
        <f t="shared" si="0"/>
        <v>123</v>
      </c>
      <c r="P25" s="15">
        <f t="shared" si="1"/>
        <v>203</v>
      </c>
      <c r="R25" s="37" t="s">
        <v>85</v>
      </c>
      <c r="S25" s="35">
        <f t="shared" ref="S25:AF25" si="17">SUM(S10:S12)</f>
        <v>435</v>
      </c>
      <c r="T25" s="16">
        <f t="shared" si="17"/>
        <v>107</v>
      </c>
      <c r="U25" s="16">
        <f t="shared" si="17"/>
        <v>56</v>
      </c>
      <c r="V25" s="16">
        <f t="shared" si="17"/>
        <v>569</v>
      </c>
      <c r="W25" s="16">
        <f t="shared" si="17"/>
        <v>16</v>
      </c>
      <c r="X25" s="16">
        <f t="shared" si="17"/>
        <v>19</v>
      </c>
      <c r="Y25" s="16">
        <f t="shared" si="17"/>
        <v>144</v>
      </c>
      <c r="Z25" s="16">
        <f t="shared" si="17"/>
        <v>63</v>
      </c>
      <c r="AA25" s="16">
        <f t="shared" si="17"/>
        <v>16</v>
      </c>
      <c r="AB25" s="16">
        <f t="shared" si="17"/>
        <v>20</v>
      </c>
      <c r="AC25" s="16">
        <f t="shared" si="17"/>
        <v>1700</v>
      </c>
      <c r="AD25" s="16">
        <f t="shared" si="17"/>
        <v>0</v>
      </c>
      <c r="AE25" s="32">
        <f t="shared" si="17"/>
        <v>1445</v>
      </c>
      <c r="AF25" s="32">
        <f t="shared" si="17"/>
        <v>3145</v>
      </c>
    </row>
    <row r="26" spans="2:32" ht="23.1" customHeight="1" x14ac:dyDescent="0.25">
      <c r="B26" s="23" t="s">
        <v>53</v>
      </c>
      <c r="C26" s="50">
        <v>50</v>
      </c>
      <c r="D26" s="50">
        <v>9</v>
      </c>
      <c r="E26" s="50">
        <v>7</v>
      </c>
      <c r="F26" s="50">
        <v>40</v>
      </c>
      <c r="G26" s="50">
        <v>2</v>
      </c>
      <c r="H26" s="50">
        <v>2</v>
      </c>
      <c r="I26" s="50">
        <v>30</v>
      </c>
      <c r="J26" s="50">
        <v>2</v>
      </c>
      <c r="K26" s="50">
        <v>0</v>
      </c>
      <c r="L26" s="50">
        <v>4</v>
      </c>
      <c r="M26" s="50">
        <v>99</v>
      </c>
      <c r="N26" s="50">
        <v>1</v>
      </c>
      <c r="O26" s="15">
        <f t="shared" si="0"/>
        <v>147</v>
      </c>
      <c r="P26" s="15">
        <f t="shared" si="1"/>
        <v>246</v>
      </c>
      <c r="R26" s="28" t="s">
        <v>86</v>
      </c>
      <c r="S26" s="16">
        <f t="shared" ref="S26:AF26" si="18">SUM(S13:S18)</f>
        <v>735</v>
      </c>
      <c r="T26" s="16">
        <f t="shared" si="18"/>
        <v>167</v>
      </c>
      <c r="U26" s="16">
        <f t="shared" si="18"/>
        <v>110</v>
      </c>
      <c r="V26" s="16">
        <f t="shared" si="18"/>
        <v>784</v>
      </c>
      <c r="W26" s="16">
        <f t="shared" si="18"/>
        <v>34</v>
      </c>
      <c r="X26" s="16">
        <f t="shared" si="18"/>
        <v>42</v>
      </c>
      <c r="Y26" s="16">
        <f t="shared" si="18"/>
        <v>236</v>
      </c>
      <c r="Z26" s="16">
        <f t="shared" si="18"/>
        <v>79</v>
      </c>
      <c r="AA26" s="16">
        <f t="shared" si="18"/>
        <v>45</v>
      </c>
      <c r="AB26" s="16">
        <f t="shared" si="18"/>
        <v>74</v>
      </c>
      <c r="AC26" s="16">
        <f t="shared" si="18"/>
        <v>1751</v>
      </c>
      <c r="AD26" s="16">
        <f t="shared" si="18"/>
        <v>4</v>
      </c>
      <c r="AE26" s="32">
        <f t="shared" si="18"/>
        <v>2310</v>
      </c>
      <c r="AF26" s="32">
        <f t="shared" si="18"/>
        <v>4061</v>
      </c>
    </row>
    <row r="27" spans="2:32" ht="23.1" customHeight="1" x14ac:dyDescent="0.25">
      <c r="B27" s="23" t="s">
        <v>54</v>
      </c>
      <c r="C27" s="50">
        <v>22</v>
      </c>
      <c r="D27" s="50">
        <v>7</v>
      </c>
      <c r="E27" s="50">
        <v>4</v>
      </c>
      <c r="F27" s="50">
        <v>35</v>
      </c>
      <c r="G27" s="50">
        <v>0</v>
      </c>
      <c r="H27" s="50">
        <v>4</v>
      </c>
      <c r="I27" s="50">
        <v>12</v>
      </c>
      <c r="J27" s="50">
        <v>0</v>
      </c>
      <c r="K27" s="50">
        <v>1</v>
      </c>
      <c r="L27" s="50">
        <v>4</v>
      </c>
      <c r="M27" s="50">
        <v>75</v>
      </c>
      <c r="N27" s="50">
        <v>0</v>
      </c>
      <c r="O27" s="15">
        <f t="shared" si="0"/>
        <v>89</v>
      </c>
      <c r="P27" s="15">
        <f t="shared" si="1"/>
        <v>164</v>
      </c>
      <c r="R27" s="29" t="s">
        <v>87</v>
      </c>
      <c r="S27" s="16">
        <f t="shared" ref="S27:AF27" si="19">SUM(S19:S21)</f>
        <v>487</v>
      </c>
      <c r="T27" s="16">
        <f t="shared" si="19"/>
        <v>105</v>
      </c>
      <c r="U27" s="16">
        <f t="shared" si="19"/>
        <v>62</v>
      </c>
      <c r="V27" s="16">
        <f t="shared" si="19"/>
        <v>409</v>
      </c>
      <c r="W27" s="16">
        <f t="shared" si="19"/>
        <v>14</v>
      </c>
      <c r="X27" s="16">
        <f t="shared" si="19"/>
        <v>15</v>
      </c>
      <c r="Y27" s="16">
        <f t="shared" si="19"/>
        <v>99</v>
      </c>
      <c r="Z27" s="16">
        <f t="shared" si="19"/>
        <v>66</v>
      </c>
      <c r="AA27" s="16">
        <f t="shared" si="19"/>
        <v>26</v>
      </c>
      <c r="AB27" s="16">
        <f t="shared" si="19"/>
        <v>41</v>
      </c>
      <c r="AC27" s="16">
        <f t="shared" si="19"/>
        <v>1460</v>
      </c>
      <c r="AD27" s="16">
        <f t="shared" si="19"/>
        <v>0</v>
      </c>
      <c r="AE27" s="32">
        <f t="shared" si="19"/>
        <v>1324</v>
      </c>
      <c r="AF27" s="32">
        <f t="shared" si="19"/>
        <v>2784</v>
      </c>
    </row>
    <row r="28" spans="2:32" ht="23.1" customHeight="1" x14ac:dyDescent="0.25">
      <c r="B28" s="23" t="s">
        <v>55</v>
      </c>
      <c r="C28" s="50">
        <v>50</v>
      </c>
      <c r="D28" s="50">
        <v>7</v>
      </c>
      <c r="E28" s="50">
        <v>3</v>
      </c>
      <c r="F28" s="50">
        <v>56</v>
      </c>
      <c r="G28" s="50">
        <v>5</v>
      </c>
      <c r="H28" s="50">
        <v>4</v>
      </c>
      <c r="I28" s="50">
        <v>26</v>
      </c>
      <c r="J28" s="50">
        <v>0</v>
      </c>
      <c r="K28" s="50">
        <v>4</v>
      </c>
      <c r="L28" s="50">
        <v>3</v>
      </c>
      <c r="M28" s="50">
        <v>89</v>
      </c>
      <c r="N28" s="50">
        <v>0</v>
      </c>
      <c r="O28" s="15">
        <f t="shared" si="0"/>
        <v>158</v>
      </c>
      <c r="P28" s="15">
        <f t="shared" si="1"/>
        <v>247</v>
      </c>
      <c r="R28" s="5" t="s">
        <v>17</v>
      </c>
      <c r="S28" s="16">
        <f t="shared" ref="S28:AF28" si="20">SUM(S10:S21)</f>
        <v>1657</v>
      </c>
      <c r="T28" s="16">
        <f t="shared" si="20"/>
        <v>379</v>
      </c>
      <c r="U28" s="16">
        <f t="shared" si="20"/>
        <v>228</v>
      </c>
      <c r="V28" s="16">
        <f t="shared" si="20"/>
        <v>1762</v>
      </c>
      <c r="W28" s="16">
        <f t="shared" si="20"/>
        <v>64</v>
      </c>
      <c r="X28" s="16">
        <f t="shared" si="20"/>
        <v>76</v>
      </c>
      <c r="Y28" s="16">
        <f t="shared" si="20"/>
        <v>479</v>
      </c>
      <c r="Z28" s="16">
        <f t="shared" si="20"/>
        <v>208</v>
      </c>
      <c r="AA28" s="16">
        <f t="shared" si="20"/>
        <v>87</v>
      </c>
      <c r="AB28" s="16">
        <f t="shared" si="20"/>
        <v>135</v>
      </c>
      <c r="AC28" s="16">
        <f t="shared" si="20"/>
        <v>4911</v>
      </c>
      <c r="AD28" s="16">
        <f t="shared" si="20"/>
        <v>4</v>
      </c>
      <c r="AE28" s="32">
        <f t="shared" si="20"/>
        <v>5079</v>
      </c>
      <c r="AF28" s="32">
        <f t="shared" si="20"/>
        <v>9990</v>
      </c>
    </row>
    <row r="29" spans="2:32" ht="23.1" customHeight="1" x14ac:dyDescent="0.25">
      <c r="B29" s="23" t="s">
        <v>56</v>
      </c>
      <c r="C29" s="50">
        <v>24</v>
      </c>
      <c r="D29" s="50">
        <v>2</v>
      </c>
      <c r="E29" s="50">
        <v>4</v>
      </c>
      <c r="F29" s="50">
        <v>33</v>
      </c>
      <c r="G29" s="50">
        <v>0</v>
      </c>
      <c r="H29" s="50">
        <v>1</v>
      </c>
      <c r="I29" s="50">
        <v>10</v>
      </c>
      <c r="J29" s="50">
        <v>5</v>
      </c>
      <c r="K29" s="50">
        <v>1</v>
      </c>
      <c r="L29" s="50">
        <v>4</v>
      </c>
      <c r="M29" s="50">
        <v>70</v>
      </c>
      <c r="N29" s="50">
        <v>0</v>
      </c>
      <c r="O29" s="15">
        <f t="shared" si="0"/>
        <v>84</v>
      </c>
      <c r="P29" s="15">
        <f t="shared" si="1"/>
        <v>154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12</v>
      </c>
      <c r="E30" s="50">
        <v>4</v>
      </c>
      <c r="F30" s="50">
        <v>46</v>
      </c>
      <c r="G30" s="50">
        <v>1</v>
      </c>
      <c r="H30" s="50">
        <v>1</v>
      </c>
      <c r="I30" s="50">
        <v>13</v>
      </c>
      <c r="J30" s="50">
        <v>4</v>
      </c>
      <c r="K30" s="50">
        <v>2</v>
      </c>
      <c r="L30" s="50">
        <v>1</v>
      </c>
      <c r="M30" s="50">
        <v>55</v>
      </c>
      <c r="N30" s="50">
        <v>0</v>
      </c>
      <c r="O30" s="15">
        <f t="shared" si="0"/>
        <v>114</v>
      </c>
      <c r="P30" s="15">
        <f t="shared" si="1"/>
        <v>169</v>
      </c>
    </row>
    <row r="31" spans="2:32" ht="23.1" customHeight="1" x14ac:dyDescent="0.25">
      <c r="B31" s="24" t="s">
        <v>58</v>
      </c>
      <c r="C31" s="50">
        <v>16</v>
      </c>
      <c r="D31" s="50">
        <v>2</v>
      </c>
      <c r="E31" s="50">
        <v>2</v>
      </c>
      <c r="F31" s="50">
        <v>61</v>
      </c>
      <c r="G31" s="50">
        <v>2</v>
      </c>
      <c r="H31" s="50">
        <v>2</v>
      </c>
      <c r="I31" s="50">
        <v>4</v>
      </c>
      <c r="J31" s="50">
        <v>2</v>
      </c>
      <c r="K31" s="50">
        <v>0</v>
      </c>
      <c r="L31" s="50">
        <v>2</v>
      </c>
      <c r="M31" s="50">
        <v>37</v>
      </c>
      <c r="N31" s="50">
        <v>0</v>
      </c>
      <c r="O31" s="15">
        <f t="shared" si="0"/>
        <v>93</v>
      </c>
      <c r="P31" s="15">
        <f t="shared" si="1"/>
        <v>130</v>
      </c>
    </row>
    <row r="32" spans="2:32" ht="23.1" customHeight="1" x14ac:dyDescent="0.25">
      <c r="B32" s="24" t="s">
        <v>59</v>
      </c>
      <c r="C32" s="50">
        <v>25</v>
      </c>
      <c r="D32" s="50">
        <v>6</v>
      </c>
      <c r="E32" s="50">
        <v>4</v>
      </c>
      <c r="F32" s="50">
        <v>40</v>
      </c>
      <c r="G32" s="50">
        <v>6</v>
      </c>
      <c r="H32" s="50">
        <v>2</v>
      </c>
      <c r="I32" s="50">
        <v>10</v>
      </c>
      <c r="J32" s="50">
        <v>4</v>
      </c>
      <c r="K32" s="50">
        <v>2</v>
      </c>
      <c r="L32" s="50">
        <v>2</v>
      </c>
      <c r="M32" s="50">
        <v>58</v>
      </c>
      <c r="N32" s="50">
        <v>0</v>
      </c>
      <c r="O32" s="15">
        <f t="shared" si="0"/>
        <v>101</v>
      </c>
      <c r="P32" s="15">
        <f t="shared" si="1"/>
        <v>159</v>
      </c>
    </row>
    <row r="33" spans="2:20" ht="23.1" customHeight="1" x14ac:dyDescent="0.25">
      <c r="B33" s="23" t="s">
        <v>60</v>
      </c>
      <c r="C33" s="50">
        <v>14</v>
      </c>
      <c r="D33" s="50">
        <v>3</v>
      </c>
      <c r="E33" s="50">
        <v>4</v>
      </c>
      <c r="F33" s="50">
        <v>15</v>
      </c>
      <c r="G33" s="50">
        <v>3</v>
      </c>
      <c r="H33" s="50">
        <v>3</v>
      </c>
      <c r="I33" s="50">
        <v>7</v>
      </c>
      <c r="J33" s="50">
        <v>2</v>
      </c>
      <c r="K33" s="50">
        <v>2</v>
      </c>
      <c r="L33" s="50">
        <v>2</v>
      </c>
      <c r="M33" s="50">
        <v>30</v>
      </c>
      <c r="N33" s="50">
        <v>0</v>
      </c>
      <c r="O33" s="15">
        <f t="shared" si="0"/>
        <v>55</v>
      </c>
      <c r="P33" s="15">
        <f t="shared" si="1"/>
        <v>85</v>
      </c>
    </row>
    <row r="34" spans="2:20" ht="23.1" customHeight="1" x14ac:dyDescent="0.25">
      <c r="B34" s="24" t="s">
        <v>61</v>
      </c>
      <c r="C34" s="50">
        <v>25</v>
      </c>
      <c r="D34" s="50">
        <v>9</v>
      </c>
      <c r="E34" s="50">
        <v>4</v>
      </c>
      <c r="F34" s="50">
        <v>25</v>
      </c>
      <c r="G34" s="50">
        <v>0</v>
      </c>
      <c r="H34" s="50">
        <v>1</v>
      </c>
      <c r="I34" s="50">
        <v>5</v>
      </c>
      <c r="J34" s="50">
        <v>5</v>
      </c>
      <c r="K34" s="50">
        <v>3</v>
      </c>
      <c r="L34" s="50">
        <v>3</v>
      </c>
      <c r="M34" s="50">
        <v>80</v>
      </c>
      <c r="N34" s="50">
        <v>0</v>
      </c>
      <c r="O34" s="15">
        <f t="shared" si="0"/>
        <v>80</v>
      </c>
      <c r="P34" s="15">
        <f t="shared" si="1"/>
        <v>160</v>
      </c>
    </row>
    <row r="35" spans="2:20" ht="23.1" customHeight="1" x14ac:dyDescent="0.25">
      <c r="B35" s="24" t="s">
        <v>62</v>
      </c>
      <c r="C35" s="50">
        <v>15</v>
      </c>
      <c r="D35" s="50">
        <v>3</v>
      </c>
      <c r="E35" s="50">
        <v>2</v>
      </c>
      <c r="F35" s="50">
        <v>21</v>
      </c>
      <c r="G35" s="50">
        <v>0</v>
      </c>
      <c r="H35" s="50">
        <v>2</v>
      </c>
      <c r="I35" s="50">
        <v>3</v>
      </c>
      <c r="J35" s="50">
        <v>5</v>
      </c>
      <c r="K35" s="50">
        <v>6</v>
      </c>
      <c r="L35" s="50">
        <v>5</v>
      </c>
      <c r="M35" s="50">
        <v>43</v>
      </c>
      <c r="N35" s="50">
        <v>0</v>
      </c>
      <c r="O35" s="15">
        <f t="shared" si="0"/>
        <v>62</v>
      </c>
      <c r="P35" s="15">
        <f t="shared" si="1"/>
        <v>105</v>
      </c>
    </row>
    <row r="36" spans="2:20" ht="23.1" customHeight="1" x14ac:dyDescent="0.25">
      <c r="B36" s="24" t="s">
        <v>63</v>
      </c>
      <c r="C36" s="50">
        <v>26</v>
      </c>
      <c r="D36" s="50">
        <v>3</v>
      </c>
      <c r="E36" s="50">
        <v>7</v>
      </c>
      <c r="F36" s="50">
        <v>16</v>
      </c>
      <c r="G36" s="50">
        <v>1</v>
      </c>
      <c r="H36" s="50">
        <v>0</v>
      </c>
      <c r="I36" s="50">
        <v>2</v>
      </c>
      <c r="J36" s="50">
        <v>5</v>
      </c>
      <c r="K36" s="50">
        <v>3</v>
      </c>
      <c r="L36" s="50">
        <v>4</v>
      </c>
      <c r="M36" s="50">
        <v>65</v>
      </c>
      <c r="N36" s="50">
        <v>0</v>
      </c>
      <c r="O36" s="15">
        <f t="shared" si="0"/>
        <v>67</v>
      </c>
      <c r="P36" s="15">
        <f t="shared" si="1"/>
        <v>132</v>
      </c>
    </row>
    <row r="37" spans="2:20" ht="23.1" customHeight="1" x14ac:dyDescent="0.25">
      <c r="B37" s="23" t="s">
        <v>64</v>
      </c>
      <c r="C37" s="50">
        <v>17</v>
      </c>
      <c r="D37" s="50">
        <v>4</v>
      </c>
      <c r="E37" s="50">
        <v>0</v>
      </c>
      <c r="F37" s="50">
        <v>16</v>
      </c>
      <c r="G37" s="50">
        <v>2</v>
      </c>
      <c r="H37" s="50">
        <v>1</v>
      </c>
      <c r="I37" s="50">
        <v>4</v>
      </c>
      <c r="J37" s="50">
        <v>0</v>
      </c>
      <c r="K37" s="50">
        <v>0</v>
      </c>
      <c r="L37" s="50">
        <v>1</v>
      </c>
      <c r="M37" s="50">
        <v>46</v>
      </c>
      <c r="N37" s="50">
        <v>0</v>
      </c>
      <c r="O37" s="15">
        <f t="shared" si="0"/>
        <v>45</v>
      </c>
      <c r="P37" s="15">
        <f t="shared" si="1"/>
        <v>91</v>
      </c>
    </row>
    <row r="38" spans="2:20" ht="23.1" customHeight="1" x14ac:dyDescent="0.25">
      <c r="B38" s="24" t="s">
        <v>65</v>
      </c>
      <c r="C38" s="50">
        <v>35</v>
      </c>
      <c r="D38" s="50">
        <v>40</v>
      </c>
      <c r="E38" s="50">
        <v>1</v>
      </c>
      <c r="F38" s="50">
        <v>32</v>
      </c>
      <c r="G38" s="50">
        <v>1</v>
      </c>
      <c r="H38" s="50">
        <v>1</v>
      </c>
      <c r="I38" s="50">
        <v>5</v>
      </c>
      <c r="J38" s="50">
        <v>6</v>
      </c>
      <c r="K38" s="50">
        <v>0</v>
      </c>
      <c r="L38" s="50">
        <v>1</v>
      </c>
      <c r="M38" s="50">
        <v>45</v>
      </c>
      <c r="N38" s="50">
        <v>0</v>
      </c>
      <c r="O38" s="15">
        <f t="shared" si="0"/>
        <v>122</v>
      </c>
      <c r="P38" s="15">
        <f t="shared" si="1"/>
        <v>167</v>
      </c>
    </row>
    <row r="39" spans="2:20" ht="23.1" customHeight="1" x14ac:dyDescent="0.25">
      <c r="B39" s="24" t="s">
        <v>66</v>
      </c>
      <c r="C39" s="50">
        <v>18</v>
      </c>
      <c r="D39" s="50">
        <v>11</v>
      </c>
      <c r="E39" s="50">
        <v>7</v>
      </c>
      <c r="F39" s="50">
        <v>24</v>
      </c>
      <c r="G39" s="50">
        <v>1</v>
      </c>
      <c r="H39" s="50">
        <v>3</v>
      </c>
      <c r="I39" s="50">
        <v>9</v>
      </c>
      <c r="J39" s="50">
        <v>1</v>
      </c>
      <c r="K39" s="50">
        <v>5</v>
      </c>
      <c r="L39" s="50">
        <v>6</v>
      </c>
      <c r="M39" s="50">
        <v>80</v>
      </c>
      <c r="N39" s="50">
        <v>0</v>
      </c>
      <c r="O39" s="15">
        <f t="shared" si="0"/>
        <v>85</v>
      </c>
      <c r="P39" s="15">
        <f t="shared" si="1"/>
        <v>165</v>
      </c>
    </row>
    <row r="40" spans="2:20" ht="23.1" customHeight="1" x14ac:dyDescent="0.25">
      <c r="B40" s="24" t="s">
        <v>67</v>
      </c>
      <c r="C40" s="50">
        <v>40</v>
      </c>
      <c r="D40" s="50">
        <v>3</v>
      </c>
      <c r="E40" s="50">
        <v>9</v>
      </c>
      <c r="F40" s="50">
        <v>36</v>
      </c>
      <c r="G40" s="50">
        <v>2</v>
      </c>
      <c r="H40" s="50">
        <v>1</v>
      </c>
      <c r="I40" s="50">
        <v>13</v>
      </c>
      <c r="J40" s="50">
        <v>7</v>
      </c>
      <c r="K40" s="50">
        <v>1</v>
      </c>
      <c r="L40" s="50">
        <v>2</v>
      </c>
      <c r="M40" s="50">
        <v>105</v>
      </c>
      <c r="N40" s="50">
        <v>0</v>
      </c>
      <c r="O40" s="15">
        <f t="shared" si="0"/>
        <v>114</v>
      </c>
      <c r="P40" s="15">
        <f t="shared" si="1"/>
        <v>219</v>
      </c>
    </row>
    <row r="41" spans="2:20" ht="23.1" customHeight="1" x14ac:dyDescent="0.25">
      <c r="B41" s="23" t="s">
        <v>68</v>
      </c>
      <c r="C41" s="50">
        <v>43</v>
      </c>
      <c r="D41" s="50">
        <v>11</v>
      </c>
      <c r="E41" s="50">
        <v>2</v>
      </c>
      <c r="F41" s="50">
        <v>15</v>
      </c>
      <c r="G41" s="50">
        <v>1</v>
      </c>
      <c r="H41" s="50">
        <v>1</v>
      </c>
      <c r="I41" s="50">
        <v>5</v>
      </c>
      <c r="J41" s="50">
        <v>4</v>
      </c>
      <c r="K41" s="50">
        <v>1</v>
      </c>
      <c r="L41" s="50">
        <v>0</v>
      </c>
      <c r="M41" s="50">
        <v>76</v>
      </c>
      <c r="N41" s="50">
        <v>0</v>
      </c>
      <c r="O41" s="15">
        <f t="shared" si="0"/>
        <v>83</v>
      </c>
      <c r="P41" s="15">
        <f t="shared" si="1"/>
        <v>159</v>
      </c>
    </row>
    <row r="42" spans="2:20" ht="23.1" customHeight="1" x14ac:dyDescent="0.25">
      <c r="B42" s="24" t="s">
        <v>69</v>
      </c>
      <c r="C42" s="50">
        <v>30</v>
      </c>
      <c r="D42" s="50">
        <v>3</v>
      </c>
      <c r="E42" s="50">
        <v>3</v>
      </c>
      <c r="F42" s="50">
        <v>38</v>
      </c>
      <c r="G42" s="50">
        <v>0</v>
      </c>
      <c r="H42" s="50">
        <v>2</v>
      </c>
      <c r="I42" s="50">
        <v>3</v>
      </c>
      <c r="J42" s="50">
        <v>5</v>
      </c>
      <c r="K42" s="50">
        <v>0</v>
      </c>
      <c r="L42" s="50">
        <v>8</v>
      </c>
      <c r="M42" s="50">
        <v>75</v>
      </c>
      <c r="N42" s="50">
        <v>2</v>
      </c>
      <c r="O42" s="15">
        <f t="shared" si="0"/>
        <v>94</v>
      </c>
      <c r="P42" s="15">
        <f t="shared" si="1"/>
        <v>169</v>
      </c>
    </row>
    <row r="43" spans="2:20" ht="23.1" customHeight="1" x14ac:dyDescent="0.25">
      <c r="B43" s="23" t="s">
        <v>70</v>
      </c>
      <c r="C43" s="50">
        <v>28</v>
      </c>
      <c r="D43" s="50">
        <v>2</v>
      </c>
      <c r="E43" s="50">
        <v>4</v>
      </c>
      <c r="F43" s="50">
        <v>8</v>
      </c>
      <c r="G43" s="50">
        <v>3</v>
      </c>
      <c r="H43" s="50">
        <v>0</v>
      </c>
      <c r="I43" s="50">
        <v>4</v>
      </c>
      <c r="J43" s="50">
        <v>2</v>
      </c>
      <c r="K43" s="50">
        <v>0</v>
      </c>
      <c r="L43" s="50">
        <v>5</v>
      </c>
      <c r="M43" s="50">
        <v>11</v>
      </c>
      <c r="N43" s="50">
        <v>0</v>
      </c>
      <c r="O43" s="15">
        <f t="shared" si="0"/>
        <v>56</v>
      </c>
      <c r="P43" s="15">
        <f t="shared" si="1"/>
        <v>67</v>
      </c>
    </row>
    <row r="44" spans="2:20" ht="23.1" customHeight="1" x14ac:dyDescent="0.25">
      <c r="B44" s="25" t="s">
        <v>71</v>
      </c>
      <c r="C44" s="50">
        <v>38</v>
      </c>
      <c r="D44" s="50">
        <v>2</v>
      </c>
      <c r="E44" s="50">
        <v>20</v>
      </c>
      <c r="F44" s="50">
        <v>24</v>
      </c>
      <c r="G44" s="50">
        <v>0</v>
      </c>
      <c r="H44" s="50">
        <v>3</v>
      </c>
      <c r="I44" s="50">
        <v>10</v>
      </c>
      <c r="J44" s="50">
        <v>1</v>
      </c>
      <c r="K44" s="50">
        <v>2</v>
      </c>
      <c r="L44" s="50">
        <v>4</v>
      </c>
      <c r="M44" s="50">
        <v>46</v>
      </c>
      <c r="N44" s="50">
        <v>0</v>
      </c>
      <c r="O44" s="15">
        <f t="shared" si="0"/>
        <v>104</v>
      </c>
      <c r="P44" s="15">
        <f t="shared" si="1"/>
        <v>150</v>
      </c>
    </row>
    <row r="45" spans="2:20" ht="23.1" customHeight="1" x14ac:dyDescent="0.25">
      <c r="B45" s="23" t="s">
        <v>72</v>
      </c>
      <c r="C45" s="50">
        <v>35</v>
      </c>
      <c r="D45" s="50">
        <v>1</v>
      </c>
      <c r="E45" s="50">
        <v>1</v>
      </c>
      <c r="F45" s="50">
        <v>20</v>
      </c>
      <c r="G45" s="50">
        <v>0</v>
      </c>
      <c r="H45" s="50">
        <v>2</v>
      </c>
      <c r="I45" s="50">
        <v>1</v>
      </c>
      <c r="J45" s="50">
        <v>2</v>
      </c>
      <c r="K45" s="50">
        <v>1</v>
      </c>
      <c r="L45" s="50">
        <v>2</v>
      </c>
      <c r="M45" s="50">
        <v>43</v>
      </c>
      <c r="N45" s="50">
        <v>0</v>
      </c>
      <c r="O45" s="15">
        <f t="shared" si="0"/>
        <v>65</v>
      </c>
      <c r="P45" s="15">
        <f t="shared" si="1"/>
        <v>108</v>
      </c>
    </row>
    <row r="46" spans="2:20" ht="23.1" customHeight="1" x14ac:dyDescent="0.25">
      <c r="B46" s="24" t="s">
        <v>73</v>
      </c>
      <c r="C46" s="50">
        <v>18</v>
      </c>
      <c r="D46" s="50">
        <v>5</v>
      </c>
      <c r="E46" s="50">
        <v>4</v>
      </c>
      <c r="F46" s="50">
        <v>19</v>
      </c>
      <c r="G46" s="50">
        <v>1</v>
      </c>
      <c r="H46" s="50">
        <v>1</v>
      </c>
      <c r="I46" s="50">
        <v>4</v>
      </c>
      <c r="J46" s="50">
        <v>6</v>
      </c>
      <c r="K46" s="50">
        <v>2</v>
      </c>
      <c r="L46" s="50">
        <v>5</v>
      </c>
      <c r="M46" s="50">
        <v>89</v>
      </c>
      <c r="N46" s="50">
        <v>0</v>
      </c>
      <c r="O46" s="15">
        <f t="shared" si="0"/>
        <v>65</v>
      </c>
      <c r="P46" s="15">
        <f t="shared" si="1"/>
        <v>154</v>
      </c>
      <c r="R46" s="8"/>
      <c r="T46"/>
    </row>
    <row r="47" spans="2:20" ht="23.1" customHeight="1" x14ac:dyDescent="0.25">
      <c r="B47" s="24" t="s">
        <v>74</v>
      </c>
      <c r="C47" s="50">
        <v>29</v>
      </c>
      <c r="D47" s="50">
        <v>1</v>
      </c>
      <c r="E47" s="50">
        <v>2</v>
      </c>
      <c r="F47" s="50">
        <v>22</v>
      </c>
      <c r="G47" s="50">
        <v>0</v>
      </c>
      <c r="H47" s="50">
        <v>1</v>
      </c>
      <c r="I47" s="50">
        <v>5</v>
      </c>
      <c r="J47" s="50">
        <v>3</v>
      </c>
      <c r="K47" s="50">
        <v>4</v>
      </c>
      <c r="L47" s="50">
        <v>3</v>
      </c>
      <c r="M47" s="50">
        <v>94</v>
      </c>
      <c r="N47" s="50">
        <v>0</v>
      </c>
      <c r="O47" s="15">
        <f t="shared" si="0"/>
        <v>70</v>
      </c>
      <c r="P47" s="15">
        <f t="shared" si="1"/>
        <v>164</v>
      </c>
      <c r="R47" s="8"/>
      <c r="T47"/>
    </row>
    <row r="48" spans="2:20" ht="23.1" customHeight="1" x14ac:dyDescent="0.25">
      <c r="B48" s="24" t="s">
        <v>75</v>
      </c>
      <c r="C48" s="50">
        <v>33</v>
      </c>
      <c r="D48" s="50">
        <v>5</v>
      </c>
      <c r="E48" s="50">
        <v>3</v>
      </c>
      <c r="F48" s="50">
        <v>42</v>
      </c>
      <c r="G48" s="50">
        <v>2</v>
      </c>
      <c r="H48" s="50">
        <v>2</v>
      </c>
      <c r="I48" s="50">
        <v>7</v>
      </c>
      <c r="J48" s="50">
        <v>4</v>
      </c>
      <c r="K48" s="50">
        <v>0</v>
      </c>
      <c r="L48" s="50">
        <v>5</v>
      </c>
      <c r="M48" s="50">
        <v>120</v>
      </c>
      <c r="N48" s="50">
        <v>0</v>
      </c>
      <c r="O48" s="15">
        <f t="shared" si="0"/>
        <v>103</v>
      </c>
      <c r="P48" s="15">
        <f t="shared" si="1"/>
        <v>223</v>
      </c>
      <c r="R48" s="8"/>
      <c r="T48"/>
    </row>
    <row r="49" spans="2:20" ht="23.1" customHeight="1" x14ac:dyDescent="0.25">
      <c r="B49" s="23" t="s">
        <v>76</v>
      </c>
      <c r="C49" s="50">
        <v>61</v>
      </c>
      <c r="D49" s="50">
        <v>8</v>
      </c>
      <c r="E49" s="50">
        <v>3</v>
      </c>
      <c r="F49" s="50">
        <v>38</v>
      </c>
      <c r="G49" s="50">
        <v>1</v>
      </c>
      <c r="H49" s="50">
        <v>0</v>
      </c>
      <c r="I49" s="50">
        <v>11</v>
      </c>
      <c r="J49" s="50">
        <v>7</v>
      </c>
      <c r="K49" s="50">
        <v>2</v>
      </c>
      <c r="L49" s="50">
        <v>2</v>
      </c>
      <c r="M49" s="50">
        <v>114</v>
      </c>
      <c r="N49" s="50">
        <v>0</v>
      </c>
      <c r="O49" s="15">
        <f t="shared" si="0"/>
        <v>133</v>
      </c>
      <c r="P49" s="15">
        <f t="shared" si="1"/>
        <v>247</v>
      </c>
      <c r="R49" s="8"/>
      <c r="T49"/>
    </row>
    <row r="50" spans="2:20" ht="23.1" customHeight="1" x14ac:dyDescent="0.25">
      <c r="B50" s="24" t="s">
        <v>77</v>
      </c>
      <c r="C50" s="50">
        <v>53</v>
      </c>
      <c r="D50" s="50">
        <v>12</v>
      </c>
      <c r="E50" s="50">
        <v>10</v>
      </c>
      <c r="F50" s="50">
        <v>57</v>
      </c>
      <c r="G50" s="50">
        <v>3</v>
      </c>
      <c r="H50" s="50">
        <v>1</v>
      </c>
      <c r="I50" s="50">
        <v>17</v>
      </c>
      <c r="J50" s="50">
        <v>11</v>
      </c>
      <c r="K50" s="50">
        <v>3</v>
      </c>
      <c r="L50" s="50">
        <v>6</v>
      </c>
      <c r="M50" s="50">
        <v>184</v>
      </c>
      <c r="N50" s="50">
        <v>0</v>
      </c>
      <c r="O50" s="15">
        <f t="shared" si="0"/>
        <v>173</v>
      </c>
      <c r="P50" s="15">
        <f t="shared" si="1"/>
        <v>357</v>
      </c>
      <c r="R50" s="8"/>
      <c r="T50"/>
    </row>
    <row r="51" spans="2:20" ht="23.1" customHeight="1" x14ac:dyDescent="0.25">
      <c r="B51" s="24" t="s">
        <v>78</v>
      </c>
      <c r="C51" s="50">
        <v>51</v>
      </c>
      <c r="D51" s="50">
        <v>5</v>
      </c>
      <c r="E51" s="50">
        <v>4</v>
      </c>
      <c r="F51" s="50">
        <v>18</v>
      </c>
      <c r="G51" s="50">
        <v>0</v>
      </c>
      <c r="H51" s="50">
        <v>3</v>
      </c>
      <c r="I51" s="50">
        <v>5</v>
      </c>
      <c r="J51" s="50">
        <v>7</v>
      </c>
      <c r="K51" s="50">
        <v>2</v>
      </c>
      <c r="L51" s="50">
        <v>1</v>
      </c>
      <c r="M51" s="50">
        <v>121</v>
      </c>
      <c r="N51" s="50">
        <v>0</v>
      </c>
      <c r="O51" s="15">
        <f t="shared" si="0"/>
        <v>96</v>
      </c>
      <c r="P51" s="15">
        <f t="shared" si="1"/>
        <v>217</v>
      </c>
      <c r="R51" s="8"/>
      <c r="T51"/>
    </row>
    <row r="52" spans="2:20" ht="23.1" customHeight="1" x14ac:dyDescent="0.25">
      <c r="B52" s="24" t="s">
        <v>79</v>
      </c>
      <c r="C52" s="50">
        <v>45</v>
      </c>
      <c r="D52" s="50">
        <v>9</v>
      </c>
      <c r="E52" s="50">
        <v>10</v>
      </c>
      <c r="F52" s="50">
        <v>34</v>
      </c>
      <c r="G52" s="50">
        <v>1</v>
      </c>
      <c r="H52" s="50">
        <v>0</v>
      </c>
      <c r="I52" s="50">
        <v>14</v>
      </c>
      <c r="J52" s="50">
        <v>7</v>
      </c>
      <c r="K52" s="50">
        <v>1</v>
      </c>
      <c r="L52" s="50">
        <v>3</v>
      </c>
      <c r="M52" s="50">
        <v>155</v>
      </c>
      <c r="N52" s="50">
        <v>0</v>
      </c>
      <c r="O52" s="15">
        <f t="shared" si="0"/>
        <v>124</v>
      </c>
      <c r="P52" s="15">
        <f t="shared" si="1"/>
        <v>279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7</v>
      </c>
      <c r="E53" s="50">
        <v>5</v>
      </c>
      <c r="F53" s="50">
        <v>60</v>
      </c>
      <c r="G53" s="50">
        <v>0</v>
      </c>
      <c r="H53" s="50">
        <v>2</v>
      </c>
      <c r="I53" s="50">
        <v>11</v>
      </c>
      <c r="J53" s="50">
        <v>4</v>
      </c>
      <c r="K53" s="50">
        <v>2</v>
      </c>
      <c r="L53" s="50">
        <v>5</v>
      </c>
      <c r="M53" s="50">
        <v>160</v>
      </c>
      <c r="N53" s="50">
        <v>0</v>
      </c>
      <c r="O53" s="15">
        <f t="shared" si="0"/>
        <v>146</v>
      </c>
      <c r="P53" s="15">
        <f t="shared" si="1"/>
        <v>306</v>
      </c>
      <c r="R53" s="8"/>
      <c r="T53"/>
    </row>
    <row r="54" spans="2:20" ht="23.1" customHeight="1" x14ac:dyDescent="0.25">
      <c r="B54" s="23" t="s">
        <v>81</v>
      </c>
      <c r="C54" s="50">
        <v>30</v>
      </c>
      <c r="D54" s="50">
        <v>4</v>
      </c>
      <c r="E54" s="50">
        <v>5</v>
      </c>
      <c r="F54" s="50">
        <v>40</v>
      </c>
      <c r="G54" s="50">
        <v>1</v>
      </c>
      <c r="H54" s="50">
        <v>2</v>
      </c>
      <c r="I54" s="50">
        <v>5</v>
      </c>
      <c r="J54" s="50">
        <v>1</v>
      </c>
      <c r="K54" s="50">
        <v>2</v>
      </c>
      <c r="L54" s="50">
        <v>2</v>
      </c>
      <c r="M54" s="50">
        <v>107</v>
      </c>
      <c r="N54" s="50">
        <v>0</v>
      </c>
      <c r="O54" s="15">
        <f t="shared" si="0"/>
        <v>92</v>
      </c>
      <c r="P54" s="15">
        <f t="shared" si="1"/>
        <v>199</v>
      </c>
      <c r="R54" s="8"/>
      <c r="T54"/>
    </row>
    <row r="55" spans="2:20" ht="23.1" customHeight="1" x14ac:dyDescent="0.25">
      <c r="B55" s="23" t="s">
        <v>82</v>
      </c>
      <c r="C55" s="50">
        <v>50</v>
      </c>
      <c r="D55" s="50">
        <v>20</v>
      </c>
      <c r="E55" s="50">
        <v>7</v>
      </c>
      <c r="F55" s="50">
        <v>43</v>
      </c>
      <c r="G55" s="50">
        <v>1</v>
      </c>
      <c r="H55" s="50">
        <v>2</v>
      </c>
      <c r="I55" s="50">
        <v>17</v>
      </c>
      <c r="J55" s="50">
        <v>7</v>
      </c>
      <c r="K55" s="50">
        <v>3</v>
      </c>
      <c r="L55" s="50">
        <v>3</v>
      </c>
      <c r="M55" s="50">
        <v>91</v>
      </c>
      <c r="N55" s="50">
        <v>0</v>
      </c>
      <c r="O55" s="15">
        <f t="shared" si="0"/>
        <v>153</v>
      </c>
      <c r="P55" s="15">
        <f t="shared" si="1"/>
        <v>244</v>
      </c>
      <c r="R55" s="8"/>
      <c r="T55"/>
    </row>
    <row r="56" spans="2:20" ht="23.1" customHeight="1" x14ac:dyDescent="0.25">
      <c r="B56" s="23" t="s">
        <v>83</v>
      </c>
      <c r="C56" s="50">
        <v>27</v>
      </c>
      <c r="D56" s="50">
        <v>26</v>
      </c>
      <c r="E56" s="50">
        <v>3</v>
      </c>
      <c r="F56" s="50">
        <v>20</v>
      </c>
      <c r="G56" s="50">
        <v>2</v>
      </c>
      <c r="H56" s="50">
        <v>0</v>
      </c>
      <c r="I56" s="50">
        <v>0</v>
      </c>
      <c r="J56" s="50">
        <v>2</v>
      </c>
      <c r="K56" s="50">
        <v>3</v>
      </c>
      <c r="L56" s="50">
        <v>5</v>
      </c>
      <c r="M56" s="50">
        <v>75</v>
      </c>
      <c r="N56" s="50">
        <v>0</v>
      </c>
      <c r="O56" s="15">
        <f t="shared" si="0"/>
        <v>88</v>
      </c>
      <c r="P56" s="15">
        <f t="shared" si="1"/>
        <v>163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3</v>
      </c>
      <c r="E57" s="50">
        <v>6</v>
      </c>
      <c r="F57" s="50">
        <v>16</v>
      </c>
      <c r="G57" s="50">
        <v>2</v>
      </c>
      <c r="H57" s="50">
        <v>1</v>
      </c>
      <c r="I57" s="50">
        <v>3</v>
      </c>
      <c r="J57" s="50">
        <v>7</v>
      </c>
      <c r="K57" s="50">
        <v>2</v>
      </c>
      <c r="L57" s="50">
        <v>1</v>
      </c>
      <c r="M57" s="50">
        <v>150</v>
      </c>
      <c r="N57" s="50">
        <v>0</v>
      </c>
      <c r="O57" s="15">
        <f t="shared" si="0"/>
        <v>81</v>
      </c>
      <c r="P57" s="15">
        <f t="shared" si="1"/>
        <v>231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1657</v>
      </c>
      <c r="D58" s="16">
        <f t="shared" si="21"/>
        <v>379</v>
      </c>
      <c r="E58" s="16">
        <f t="shared" si="21"/>
        <v>228</v>
      </c>
      <c r="F58" s="16">
        <f t="shared" si="21"/>
        <v>1762</v>
      </c>
      <c r="G58" s="16">
        <f t="shared" si="21"/>
        <v>64</v>
      </c>
      <c r="H58" s="16">
        <f t="shared" si="21"/>
        <v>76</v>
      </c>
      <c r="I58" s="16">
        <f t="shared" si="21"/>
        <v>479</v>
      </c>
      <c r="J58" s="16">
        <f t="shared" si="21"/>
        <v>208</v>
      </c>
      <c r="K58" s="16">
        <f t="shared" si="21"/>
        <v>87</v>
      </c>
      <c r="L58" s="16">
        <f t="shared" si="21"/>
        <v>135</v>
      </c>
      <c r="M58" s="16">
        <f t="shared" si="21"/>
        <v>4911</v>
      </c>
      <c r="N58" s="16">
        <f t="shared" si="21"/>
        <v>4</v>
      </c>
      <c r="O58" s="16">
        <f t="shared" si="21"/>
        <v>5079</v>
      </c>
      <c r="P58" s="16">
        <f t="shared" si="21"/>
        <v>9990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0.16586586586586585</v>
      </c>
      <c r="D59" s="43">
        <f t="shared" si="22"/>
        <v>3.7937937937937941E-2</v>
      </c>
      <c r="E59" s="43">
        <f t="shared" si="22"/>
        <v>2.2822822822822823E-2</v>
      </c>
      <c r="F59" s="43">
        <f t="shared" si="22"/>
        <v>0.17637637637637638</v>
      </c>
      <c r="G59" s="43">
        <f t="shared" si="22"/>
        <v>6.4064064064064067E-3</v>
      </c>
      <c r="H59" s="43">
        <f t="shared" si="22"/>
        <v>7.6076076076076072E-3</v>
      </c>
      <c r="I59" s="43">
        <f t="shared" si="22"/>
        <v>4.7947947947947947E-2</v>
      </c>
      <c r="J59" s="43">
        <f t="shared" si="22"/>
        <v>2.0820820820820821E-2</v>
      </c>
      <c r="K59" s="43">
        <f t="shared" si="22"/>
        <v>8.7087087087087088E-3</v>
      </c>
      <c r="L59" s="43">
        <f t="shared" si="22"/>
        <v>1.3513513513513514E-2</v>
      </c>
      <c r="M59" s="43">
        <f t="shared" si="22"/>
        <v>0.4915915915915916</v>
      </c>
      <c r="N59" s="43">
        <f t="shared" si="22"/>
        <v>4.0040040040040042E-4</v>
      </c>
      <c r="R59" s="8"/>
      <c r="T59"/>
    </row>
    <row r="60" spans="2:20" ht="23.1" customHeight="1" x14ac:dyDescent="0.25">
      <c r="B60" s="42" t="s">
        <v>94</v>
      </c>
      <c r="C60" s="44">
        <f>C58/$O$58</f>
        <v>0.32624532388265409</v>
      </c>
      <c r="D60" s="44">
        <f t="shared" ref="D60:N60" si="23">D58/$O$58</f>
        <v>7.462098838354006E-2</v>
      </c>
      <c r="E60" s="44">
        <f t="shared" si="23"/>
        <v>4.4890726520968698E-2</v>
      </c>
      <c r="F60" s="44">
        <f t="shared" si="23"/>
        <v>0.34691868478046861</v>
      </c>
      <c r="G60" s="44">
        <f t="shared" si="23"/>
        <v>1.2600905690096476E-2</v>
      </c>
      <c r="H60" s="44">
        <f t="shared" si="23"/>
        <v>1.4963575506989565E-2</v>
      </c>
      <c r="I60" s="44">
        <f t="shared" si="23"/>
        <v>9.4309903524315813E-2</v>
      </c>
      <c r="J60" s="44">
        <f t="shared" si="23"/>
        <v>4.0952943492813546E-2</v>
      </c>
      <c r="K60" s="44">
        <f t="shared" si="23"/>
        <v>1.7129356172474897E-2</v>
      </c>
      <c r="L60" s="44">
        <f t="shared" si="23"/>
        <v>2.6580035440047254E-2</v>
      </c>
      <c r="M60" s="44"/>
      <c r="N60" s="44">
        <f t="shared" si="23"/>
        <v>7.8755660563102972E-4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7" t="str">
        <f>'22.07 KYENGERA-BUSEGA'!G5:H5</f>
        <v>KYENGERA</v>
      </c>
      <c r="H5" s="68"/>
      <c r="I5" s="14"/>
      <c r="J5" s="2" t="s">
        <v>5</v>
      </c>
      <c r="K5" s="67" t="str">
        <f>'22.07 KYENGERA-BUSEGA'!K5:L5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KYENGERA-BUSEGA'!D6:E6</f>
        <v>KYENGERA</v>
      </c>
      <c r="E6" s="68"/>
      <c r="F6" s="2" t="s">
        <v>2</v>
      </c>
      <c r="G6" s="67" t="str">
        <f>'22.07 KYENGERA-BUSEGA'!G6:H6</f>
        <v>BUSEGA</v>
      </c>
      <c r="H6" s="68"/>
      <c r="J6" s="2" t="s">
        <v>21</v>
      </c>
      <c r="K6" s="67" t="str">
        <f>'22.07 KYENGERA-BUSEGA'!K6:L6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135</v>
      </c>
      <c r="D10" s="50">
        <v>14</v>
      </c>
      <c r="E10" s="50">
        <v>7</v>
      </c>
      <c r="F10" s="50">
        <v>55</v>
      </c>
      <c r="G10" s="50">
        <v>3</v>
      </c>
      <c r="H10" s="50">
        <v>2</v>
      </c>
      <c r="I10" s="50">
        <v>20</v>
      </c>
      <c r="J10" s="50">
        <v>8</v>
      </c>
      <c r="K10" s="50">
        <v>2</v>
      </c>
      <c r="L10" s="50">
        <v>2</v>
      </c>
      <c r="M10" s="50">
        <v>259</v>
      </c>
      <c r="N10" s="50">
        <v>0</v>
      </c>
      <c r="O10" s="15">
        <f t="shared" ref="O10:O57" si="0">SUM(C10:L10,N10)</f>
        <v>248</v>
      </c>
      <c r="P10" s="15">
        <f t="shared" ref="P10:P57" si="1">SUM(C10:N10)</f>
        <v>507</v>
      </c>
      <c r="R10" s="1" t="s">
        <v>6</v>
      </c>
      <c r="S10" s="17">
        <f t="shared" ref="S10:AF10" si="2">SUM(C10:C13)</f>
        <v>444</v>
      </c>
      <c r="T10" s="17">
        <f t="shared" si="2"/>
        <v>42</v>
      </c>
      <c r="U10" s="17">
        <f t="shared" si="2"/>
        <v>47</v>
      </c>
      <c r="V10" s="17">
        <f t="shared" si="2"/>
        <v>234</v>
      </c>
      <c r="W10" s="17">
        <f t="shared" si="2"/>
        <v>13</v>
      </c>
      <c r="X10" s="17">
        <f t="shared" si="2"/>
        <v>6</v>
      </c>
      <c r="Y10" s="17">
        <f t="shared" si="2"/>
        <v>66</v>
      </c>
      <c r="Z10" s="17">
        <f t="shared" si="2"/>
        <v>35</v>
      </c>
      <c r="AA10" s="17">
        <f t="shared" si="2"/>
        <v>8</v>
      </c>
      <c r="AB10" s="17">
        <f t="shared" si="2"/>
        <v>4</v>
      </c>
      <c r="AC10" s="17">
        <f t="shared" si="2"/>
        <v>1424</v>
      </c>
      <c r="AD10" s="17">
        <f t="shared" si="2"/>
        <v>0</v>
      </c>
      <c r="AE10" s="31">
        <f t="shared" si="2"/>
        <v>899</v>
      </c>
      <c r="AF10" s="31">
        <f t="shared" si="2"/>
        <v>2323</v>
      </c>
    </row>
    <row r="11" spans="2:32" s="6" customFormat="1" ht="23.1" customHeight="1" x14ac:dyDescent="0.25">
      <c r="B11" s="23" t="s">
        <v>38</v>
      </c>
      <c r="C11" s="50">
        <v>110</v>
      </c>
      <c r="D11" s="50">
        <v>6</v>
      </c>
      <c r="E11" s="50">
        <v>17</v>
      </c>
      <c r="F11" s="50">
        <v>76</v>
      </c>
      <c r="G11" s="50">
        <v>2</v>
      </c>
      <c r="H11" s="50">
        <v>2</v>
      </c>
      <c r="I11" s="50">
        <v>15</v>
      </c>
      <c r="J11" s="50">
        <v>8</v>
      </c>
      <c r="K11" s="50">
        <v>2</v>
      </c>
      <c r="L11" s="50">
        <v>1</v>
      </c>
      <c r="M11" s="50">
        <v>380</v>
      </c>
      <c r="N11" s="50">
        <v>0</v>
      </c>
      <c r="O11" s="15">
        <f t="shared" si="0"/>
        <v>239</v>
      </c>
      <c r="P11" s="15">
        <f t="shared" si="1"/>
        <v>619</v>
      </c>
      <c r="R11" s="1" t="s">
        <v>7</v>
      </c>
      <c r="S11" s="17">
        <f t="shared" ref="S11:AF11" si="3">SUM(C14:C17)</f>
        <v>489</v>
      </c>
      <c r="T11" s="17">
        <f t="shared" si="3"/>
        <v>44</v>
      </c>
      <c r="U11" s="17">
        <f t="shared" si="3"/>
        <v>53</v>
      </c>
      <c r="V11" s="17">
        <f t="shared" si="3"/>
        <v>261</v>
      </c>
      <c r="W11" s="17">
        <f t="shared" si="3"/>
        <v>12</v>
      </c>
      <c r="X11" s="17">
        <f t="shared" si="3"/>
        <v>6</v>
      </c>
      <c r="Y11" s="17">
        <f t="shared" si="3"/>
        <v>52</v>
      </c>
      <c r="Z11" s="17">
        <f t="shared" si="3"/>
        <v>31</v>
      </c>
      <c r="AA11" s="17">
        <f t="shared" si="3"/>
        <v>8</v>
      </c>
      <c r="AB11" s="17">
        <f t="shared" si="3"/>
        <v>1</v>
      </c>
      <c r="AC11" s="17">
        <f t="shared" si="3"/>
        <v>1564</v>
      </c>
      <c r="AD11" s="17">
        <f t="shared" si="3"/>
        <v>0</v>
      </c>
      <c r="AE11" s="31">
        <f t="shared" si="3"/>
        <v>957</v>
      </c>
      <c r="AF11" s="31">
        <f t="shared" si="3"/>
        <v>2521</v>
      </c>
    </row>
    <row r="12" spans="2:32" ht="23.1" customHeight="1" x14ac:dyDescent="0.25">
      <c r="B12" s="23" t="s">
        <v>39</v>
      </c>
      <c r="C12" s="50">
        <v>89</v>
      </c>
      <c r="D12" s="50">
        <v>10</v>
      </c>
      <c r="E12" s="50">
        <v>7</v>
      </c>
      <c r="F12" s="50">
        <v>49</v>
      </c>
      <c r="G12" s="50">
        <v>3</v>
      </c>
      <c r="H12" s="50">
        <v>1</v>
      </c>
      <c r="I12" s="50">
        <v>17</v>
      </c>
      <c r="J12" s="50">
        <v>12</v>
      </c>
      <c r="K12" s="50">
        <v>2</v>
      </c>
      <c r="L12" s="50">
        <v>0</v>
      </c>
      <c r="M12" s="50">
        <v>440</v>
      </c>
      <c r="N12" s="50">
        <v>0</v>
      </c>
      <c r="O12" s="15">
        <f t="shared" si="0"/>
        <v>190</v>
      </c>
      <c r="P12" s="15">
        <f t="shared" si="1"/>
        <v>630</v>
      </c>
      <c r="R12" s="1" t="s">
        <v>8</v>
      </c>
      <c r="S12" s="17">
        <f t="shared" ref="S12:AF12" si="4">SUM(C18:C21)</f>
        <v>360</v>
      </c>
      <c r="T12" s="17">
        <f t="shared" si="4"/>
        <v>37</v>
      </c>
      <c r="U12" s="17">
        <f t="shared" si="4"/>
        <v>52</v>
      </c>
      <c r="V12" s="17">
        <f t="shared" si="4"/>
        <v>211</v>
      </c>
      <c r="W12" s="17">
        <f t="shared" si="4"/>
        <v>11</v>
      </c>
      <c r="X12" s="17">
        <f t="shared" si="4"/>
        <v>1</v>
      </c>
      <c r="Y12" s="17">
        <f t="shared" si="4"/>
        <v>48</v>
      </c>
      <c r="Z12" s="17">
        <f t="shared" si="4"/>
        <v>22</v>
      </c>
      <c r="AA12" s="17">
        <f t="shared" si="4"/>
        <v>6</v>
      </c>
      <c r="AB12" s="17">
        <f t="shared" si="4"/>
        <v>8</v>
      </c>
      <c r="AC12" s="17">
        <f t="shared" si="4"/>
        <v>1507</v>
      </c>
      <c r="AD12" s="17">
        <f t="shared" si="4"/>
        <v>0</v>
      </c>
      <c r="AE12" s="31">
        <f t="shared" si="4"/>
        <v>756</v>
      </c>
      <c r="AF12" s="31">
        <f t="shared" si="4"/>
        <v>2263</v>
      </c>
    </row>
    <row r="13" spans="2:32" ht="23.1" customHeight="1" x14ac:dyDescent="0.25">
      <c r="B13" s="23" t="s">
        <v>40</v>
      </c>
      <c r="C13" s="50">
        <v>110</v>
      </c>
      <c r="D13" s="50">
        <v>12</v>
      </c>
      <c r="E13" s="50">
        <v>16</v>
      </c>
      <c r="F13" s="50">
        <v>54</v>
      </c>
      <c r="G13" s="50">
        <v>5</v>
      </c>
      <c r="H13" s="50">
        <v>1</v>
      </c>
      <c r="I13" s="50">
        <v>14</v>
      </c>
      <c r="J13" s="50">
        <v>7</v>
      </c>
      <c r="K13" s="50">
        <v>2</v>
      </c>
      <c r="L13" s="50">
        <v>1</v>
      </c>
      <c r="M13" s="50">
        <v>345</v>
      </c>
      <c r="N13" s="50">
        <v>0</v>
      </c>
      <c r="O13" s="15">
        <f t="shared" si="0"/>
        <v>222</v>
      </c>
      <c r="P13" s="15">
        <f t="shared" si="1"/>
        <v>567</v>
      </c>
      <c r="R13" s="1" t="s">
        <v>9</v>
      </c>
      <c r="S13" s="17">
        <f t="shared" ref="S13:AF13" si="5">SUM(C22:C25)</f>
        <v>297</v>
      </c>
      <c r="T13" s="17">
        <f t="shared" si="5"/>
        <v>29</v>
      </c>
      <c r="U13" s="17">
        <f t="shared" si="5"/>
        <v>51</v>
      </c>
      <c r="V13" s="17">
        <f t="shared" si="5"/>
        <v>211</v>
      </c>
      <c r="W13" s="17">
        <f t="shared" si="5"/>
        <v>4</v>
      </c>
      <c r="X13" s="17">
        <f t="shared" si="5"/>
        <v>4</v>
      </c>
      <c r="Y13" s="17">
        <f t="shared" si="5"/>
        <v>57</v>
      </c>
      <c r="Z13" s="17">
        <f t="shared" si="5"/>
        <v>20</v>
      </c>
      <c r="AA13" s="17">
        <f t="shared" si="5"/>
        <v>6</v>
      </c>
      <c r="AB13" s="17">
        <f t="shared" si="5"/>
        <v>12</v>
      </c>
      <c r="AC13" s="17">
        <f t="shared" si="5"/>
        <v>753</v>
      </c>
      <c r="AD13" s="17">
        <f t="shared" si="5"/>
        <v>0</v>
      </c>
      <c r="AE13" s="31">
        <f t="shared" si="5"/>
        <v>691</v>
      </c>
      <c r="AF13" s="31">
        <f t="shared" si="5"/>
        <v>1444</v>
      </c>
    </row>
    <row r="14" spans="2:32" ht="23.1" customHeight="1" x14ac:dyDescent="0.25">
      <c r="B14" s="23" t="s">
        <v>41</v>
      </c>
      <c r="C14" s="50">
        <v>137</v>
      </c>
      <c r="D14" s="50">
        <v>9</v>
      </c>
      <c r="E14" s="50">
        <v>17</v>
      </c>
      <c r="F14" s="50">
        <v>66</v>
      </c>
      <c r="G14" s="50">
        <v>4</v>
      </c>
      <c r="H14" s="50">
        <v>1</v>
      </c>
      <c r="I14" s="50">
        <v>14</v>
      </c>
      <c r="J14" s="50">
        <v>6</v>
      </c>
      <c r="K14" s="50">
        <v>0</v>
      </c>
      <c r="L14" s="50">
        <v>1</v>
      </c>
      <c r="M14" s="50">
        <v>495</v>
      </c>
      <c r="N14" s="50">
        <v>0</v>
      </c>
      <c r="O14" s="15">
        <f t="shared" si="0"/>
        <v>255</v>
      </c>
      <c r="P14" s="15">
        <f t="shared" si="1"/>
        <v>750</v>
      </c>
      <c r="R14" s="1" t="s">
        <v>10</v>
      </c>
      <c r="S14" s="17">
        <f t="shared" ref="S14:AF14" si="6">SUM(C26:C29)</f>
        <v>309</v>
      </c>
      <c r="T14" s="17">
        <f t="shared" si="6"/>
        <v>23</v>
      </c>
      <c r="U14" s="17">
        <f t="shared" si="6"/>
        <v>34</v>
      </c>
      <c r="V14" s="17">
        <f t="shared" si="6"/>
        <v>200</v>
      </c>
      <c r="W14" s="17">
        <f t="shared" si="6"/>
        <v>8</v>
      </c>
      <c r="X14" s="17">
        <f t="shared" si="6"/>
        <v>3</v>
      </c>
      <c r="Y14" s="17">
        <f t="shared" si="6"/>
        <v>51</v>
      </c>
      <c r="Z14" s="17">
        <f t="shared" si="6"/>
        <v>16</v>
      </c>
      <c r="AA14" s="17">
        <f t="shared" si="6"/>
        <v>2</v>
      </c>
      <c r="AB14" s="17">
        <f t="shared" si="6"/>
        <v>20</v>
      </c>
      <c r="AC14" s="17">
        <f t="shared" si="6"/>
        <v>802</v>
      </c>
      <c r="AD14" s="17">
        <f t="shared" si="6"/>
        <v>0</v>
      </c>
      <c r="AE14" s="31">
        <f t="shared" si="6"/>
        <v>666</v>
      </c>
      <c r="AF14" s="31">
        <f t="shared" si="6"/>
        <v>1468</v>
      </c>
    </row>
    <row r="15" spans="2:32" ht="23.1" customHeight="1" x14ac:dyDescent="0.25">
      <c r="B15" s="23" t="s">
        <v>42</v>
      </c>
      <c r="C15" s="50">
        <v>127</v>
      </c>
      <c r="D15" s="50">
        <v>18</v>
      </c>
      <c r="E15" s="50">
        <v>19</v>
      </c>
      <c r="F15" s="50">
        <v>65</v>
      </c>
      <c r="G15" s="50">
        <v>3</v>
      </c>
      <c r="H15" s="50">
        <v>0</v>
      </c>
      <c r="I15" s="50">
        <v>12</v>
      </c>
      <c r="J15" s="50">
        <v>8</v>
      </c>
      <c r="K15" s="50">
        <v>3</v>
      </c>
      <c r="L15" s="50">
        <v>0</v>
      </c>
      <c r="M15" s="50">
        <v>377</v>
      </c>
      <c r="N15" s="50">
        <v>0</v>
      </c>
      <c r="O15" s="15">
        <f t="shared" si="0"/>
        <v>255</v>
      </c>
      <c r="P15" s="15">
        <f t="shared" si="1"/>
        <v>632</v>
      </c>
      <c r="R15" s="1" t="s">
        <v>11</v>
      </c>
      <c r="S15" s="17">
        <f t="shared" ref="S15:AF15" si="7">SUM(C30:C33)</f>
        <v>248</v>
      </c>
      <c r="T15" s="17">
        <f t="shared" si="7"/>
        <v>49</v>
      </c>
      <c r="U15" s="17">
        <f t="shared" si="7"/>
        <v>48</v>
      </c>
      <c r="V15" s="17">
        <f t="shared" si="7"/>
        <v>201</v>
      </c>
      <c r="W15" s="17">
        <f t="shared" si="7"/>
        <v>2</v>
      </c>
      <c r="X15" s="17">
        <f t="shared" si="7"/>
        <v>3</v>
      </c>
      <c r="Y15" s="17">
        <f t="shared" si="7"/>
        <v>54</v>
      </c>
      <c r="Z15" s="17">
        <f t="shared" si="7"/>
        <v>23</v>
      </c>
      <c r="AA15" s="17">
        <f t="shared" si="7"/>
        <v>2</v>
      </c>
      <c r="AB15" s="17">
        <f t="shared" si="7"/>
        <v>14</v>
      </c>
      <c r="AC15" s="17">
        <f t="shared" si="7"/>
        <v>629</v>
      </c>
      <c r="AD15" s="17">
        <f t="shared" si="7"/>
        <v>0</v>
      </c>
      <c r="AE15" s="31">
        <f t="shared" si="7"/>
        <v>644</v>
      </c>
      <c r="AF15" s="31">
        <f t="shared" si="7"/>
        <v>1273</v>
      </c>
    </row>
    <row r="16" spans="2:32" ht="23.1" customHeight="1" x14ac:dyDescent="0.25">
      <c r="B16" s="23" t="s">
        <v>43</v>
      </c>
      <c r="C16" s="50">
        <v>130</v>
      </c>
      <c r="D16" s="50">
        <v>13</v>
      </c>
      <c r="E16" s="50">
        <v>7</v>
      </c>
      <c r="F16" s="50">
        <v>61</v>
      </c>
      <c r="G16" s="50">
        <v>3</v>
      </c>
      <c r="H16" s="50">
        <v>4</v>
      </c>
      <c r="I16" s="50">
        <v>16</v>
      </c>
      <c r="J16" s="50">
        <v>3</v>
      </c>
      <c r="K16" s="50">
        <v>1</v>
      </c>
      <c r="L16" s="50">
        <v>0</v>
      </c>
      <c r="M16" s="50">
        <v>317</v>
      </c>
      <c r="N16" s="50">
        <v>0</v>
      </c>
      <c r="O16" s="15">
        <f t="shared" si="0"/>
        <v>238</v>
      </c>
      <c r="P16" s="15">
        <f t="shared" si="1"/>
        <v>555</v>
      </c>
      <c r="R16" s="1" t="s">
        <v>12</v>
      </c>
      <c r="S16" s="17">
        <f t="shared" ref="S16:AF16" si="8">SUM(C34:C37)</f>
        <v>211</v>
      </c>
      <c r="T16" s="17">
        <f t="shared" si="8"/>
        <v>24</v>
      </c>
      <c r="U16" s="17">
        <f t="shared" si="8"/>
        <v>20</v>
      </c>
      <c r="V16" s="17">
        <f t="shared" si="8"/>
        <v>179</v>
      </c>
      <c r="W16" s="17">
        <f t="shared" si="8"/>
        <v>2</v>
      </c>
      <c r="X16" s="17">
        <f t="shared" si="8"/>
        <v>8</v>
      </c>
      <c r="Y16" s="17">
        <f t="shared" si="8"/>
        <v>51</v>
      </c>
      <c r="Z16" s="17">
        <f t="shared" si="8"/>
        <v>19</v>
      </c>
      <c r="AA16" s="17">
        <f t="shared" si="8"/>
        <v>2</v>
      </c>
      <c r="AB16" s="17">
        <f t="shared" si="8"/>
        <v>18</v>
      </c>
      <c r="AC16" s="17">
        <f t="shared" si="8"/>
        <v>639</v>
      </c>
      <c r="AD16" s="17">
        <f t="shared" si="8"/>
        <v>0</v>
      </c>
      <c r="AE16" s="31">
        <f t="shared" si="8"/>
        <v>534</v>
      </c>
      <c r="AF16" s="31">
        <f t="shared" si="8"/>
        <v>1173</v>
      </c>
    </row>
    <row r="17" spans="2:32" ht="23.1" customHeight="1" x14ac:dyDescent="0.25">
      <c r="B17" s="23" t="s">
        <v>44</v>
      </c>
      <c r="C17" s="50">
        <v>95</v>
      </c>
      <c r="D17" s="50">
        <v>4</v>
      </c>
      <c r="E17" s="50">
        <v>10</v>
      </c>
      <c r="F17" s="50">
        <v>69</v>
      </c>
      <c r="G17" s="50">
        <v>2</v>
      </c>
      <c r="H17" s="50">
        <v>1</v>
      </c>
      <c r="I17" s="50">
        <v>10</v>
      </c>
      <c r="J17" s="50">
        <v>14</v>
      </c>
      <c r="K17" s="50">
        <v>4</v>
      </c>
      <c r="L17" s="50">
        <v>0</v>
      </c>
      <c r="M17" s="50">
        <v>375</v>
      </c>
      <c r="N17" s="50">
        <v>0</v>
      </c>
      <c r="O17" s="15">
        <f t="shared" si="0"/>
        <v>209</v>
      </c>
      <c r="P17" s="15">
        <f t="shared" si="1"/>
        <v>584</v>
      </c>
      <c r="R17" s="1" t="s">
        <v>13</v>
      </c>
      <c r="S17" s="17">
        <f t="shared" ref="S17:AF17" si="9">SUM(C38:C41)</f>
        <v>186</v>
      </c>
      <c r="T17" s="17">
        <f t="shared" si="9"/>
        <v>32</v>
      </c>
      <c r="U17" s="17">
        <f t="shared" si="9"/>
        <v>42</v>
      </c>
      <c r="V17" s="17">
        <f t="shared" si="9"/>
        <v>121</v>
      </c>
      <c r="W17" s="17">
        <f t="shared" si="9"/>
        <v>1</v>
      </c>
      <c r="X17" s="17">
        <f t="shared" si="9"/>
        <v>4</v>
      </c>
      <c r="Y17" s="17">
        <f t="shared" si="9"/>
        <v>59</v>
      </c>
      <c r="Z17" s="17">
        <f t="shared" si="9"/>
        <v>19</v>
      </c>
      <c r="AA17" s="17">
        <f t="shared" si="9"/>
        <v>6</v>
      </c>
      <c r="AB17" s="17">
        <f t="shared" si="9"/>
        <v>18</v>
      </c>
      <c r="AC17" s="17">
        <f t="shared" si="9"/>
        <v>463</v>
      </c>
      <c r="AD17" s="17">
        <f t="shared" si="9"/>
        <v>0</v>
      </c>
      <c r="AE17" s="31">
        <f t="shared" si="9"/>
        <v>488</v>
      </c>
      <c r="AF17" s="31">
        <f t="shared" si="9"/>
        <v>951</v>
      </c>
    </row>
    <row r="18" spans="2:32" ht="23.1" customHeight="1" x14ac:dyDescent="0.25">
      <c r="B18" s="23" t="s">
        <v>45</v>
      </c>
      <c r="C18" s="50">
        <v>106</v>
      </c>
      <c r="D18" s="50">
        <v>16</v>
      </c>
      <c r="E18" s="50">
        <v>21</v>
      </c>
      <c r="F18" s="50">
        <v>64</v>
      </c>
      <c r="G18" s="50">
        <v>4</v>
      </c>
      <c r="H18" s="50">
        <v>0</v>
      </c>
      <c r="I18" s="50">
        <v>9</v>
      </c>
      <c r="J18" s="50">
        <v>4</v>
      </c>
      <c r="K18" s="50">
        <v>2</v>
      </c>
      <c r="L18" s="50">
        <v>0</v>
      </c>
      <c r="M18" s="50">
        <v>475</v>
      </c>
      <c r="N18" s="50">
        <v>0</v>
      </c>
      <c r="O18" s="15">
        <f t="shared" si="0"/>
        <v>226</v>
      </c>
      <c r="P18" s="15">
        <f t="shared" si="1"/>
        <v>701</v>
      </c>
      <c r="R18" s="1" t="s">
        <v>14</v>
      </c>
      <c r="S18" s="17">
        <f t="shared" ref="S18:AF18" si="10">SUM(C42:C45)</f>
        <v>191</v>
      </c>
      <c r="T18" s="17">
        <f t="shared" si="10"/>
        <v>27</v>
      </c>
      <c r="U18" s="17">
        <f t="shared" si="10"/>
        <v>35</v>
      </c>
      <c r="V18" s="17">
        <f t="shared" si="10"/>
        <v>131</v>
      </c>
      <c r="W18" s="17">
        <f t="shared" si="10"/>
        <v>5</v>
      </c>
      <c r="X18" s="17">
        <f t="shared" si="10"/>
        <v>11</v>
      </c>
      <c r="Y18" s="17">
        <f t="shared" si="10"/>
        <v>76</v>
      </c>
      <c r="Z18" s="17">
        <f t="shared" si="10"/>
        <v>15</v>
      </c>
      <c r="AA18" s="17">
        <f t="shared" si="10"/>
        <v>4</v>
      </c>
      <c r="AB18" s="17">
        <f t="shared" si="10"/>
        <v>15</v>
      </c>
      <c r="AC18" s="17">
        <f t="shared" si="10"/>
        <v>519</v>
      </c>
      <c r="AD18" s="17">
        <f t="shared" si="10"/>
        <v>0</v>
      </c>
      <c r="AE18" s="31">
        <f t="shared" si="10"/>
        <v>510</v>
      </c>
      <c r="AF18" s="31">
        <f t="shared" si="10"/>
        <v>1029</v>
      </c>
    </row>
    <row r="19" spans="2:32" ht="23.1" customHeight="1" x14ac:dyDescent="0.25">
      <c r="B19" s="23" t="s">
        <v>46</v>
      </c>
      <c r="C19" s="50">
        <v>90</v>
      </c>
      <c r="D19" s="50">
        <v>3</v>
      </c>
      <c r="E19" s="50">
        <v>19</v>
      </c>
      <c r="F19" s="50">
        <v>54</v>
      </c>
      <c r="G19" s="50">
        <v>0</v>
      </c>
      <c r="H19" s="50">
        <v>1</v>
      </c>
      <c r="I19" s="50">
        <v>14</v>
      </c>
      <c r="J19" s="50">
        <v>5</v>
      </c>
      <c r="K19" s="50">
        <v>1</v>
      </c>
      <c r="L19" s="50">
        <v>2</v>
      </c>
      <c r="M19" s="50">
        <v>377</v>
      </c>
      <c r="N19" s="50">
        <v>0</v>
      </c>
      <c r="O19" s="15">
        <f t="shared" si="0"/>
        <v>189</v>
      </c>
      <c r="P19" s="15">
        <f t="shared" si="1"/>
        <v>566</v>
      </c>
      <c r="R19" s="1" t="s">
        <v>15</v>
      </c>
      <c r="S19" s="17">
        <f t="shared" ref="S19:AF19" si="11">SUM(C46:C49)</f>
        <v>222</v>
      </c>
      <c r="T19" s="17">
        <f t="shared" si="11"/>
        <v>25</v>
      </c>
      <c r="U19" s="17">
        <f t="shared" si="11"/>
        <v>43</v>
      </c>
      <c r="V19" s="17">
        <f t="shared" si="11"/>
        <v>172</v>
      </c>
      <c r="W19" s="17">
        <f t="shared" si="11"/>
        <v>5</v>
      </c>
      <c r="X19" s="17">
        <f t="shared" si="11"/>
        <v>7</v>
      </c>
      <c r="Y19" s="17">
        <f t="shared" si="11"/>
        <v>88</v>
      </c>
      <c r="Z19" s="17">
        <f t="shared" si="11"/>
        <v>16</v>
      </c>
      <c r="AA19" s="17">
        <f t="shared" si="11"/>
        <v>5</v>
      </c>
      <c r="AB19" s="17">
        <f t="shared" si="11"/>
        <v>12</v>
      </c>
      <c r="AC19" s="17">
        <f t="shared" si="11"/>
        <v>541</v>
      </c>
      <c r="AD19" s="17">
        <f t="shared" si="11"/>
        <v>0</v>
      </c>
      <c r="AE19" s="31">
        <f t="shared" si="11"/>
        <v>595</v>
      </c>
      <c r="AF19" s="31">
        <f t="shared" si="11"/>
        <v>1136</v>
      </c>
    </row>
    <row r="20" spans="2:32" ht="23.1" customHeight="1" x14ac:dyDescent="0.25">
      <c r="B20" s="23" t="s">
        <v>47</v>
      </c>
      <c r="C20" s="50">
        <v>80</v>
      </c>
      <c r="D20" s="50">
        <v>8</v>
      </c>
      <c r="E20" s="50">
        <v>7</v>
      </c>
      <c r="F20" s="50">
        <v>47</v>
      </c>
      <c r="G20" s="50">
        <v>5</v>
      </c>
      <c r="H20" s="50">
        <v>0</v>
      </c>
      <c r="I20" s="50">
        <v>15</v>
      </c>
      <c r="J20" s="50">
        <v>8</v>
      </c>
      <c r="K20" s="50">
        <v>2</v>
      </c>
      <c r="L20" s="50">
        <v>2</v>
      </c>
      <c r="M20" s="50">
        <v>310</v>
      </c>
      <c r="N20" s="50">
        <v>0</v>
      </c>
      <c r="O20" s="15">
        <f t="shared" si="0"/>
        <v>174</v>
      </c>
      <c r="P20" s="15">
        <f t="shared" si="1"/>
        <v>484</v>
      </c>
      <c r="R20" s="1" t="s">
        <v>16</v>
      </c>
      <c r="S20" s="17">
        <f t="shared" ref="S20:AF20" si="12">SUM(C50:C53)</f>
        <v>326</v>
      </c>
      <c r="T20" s="17">
        <f t="shared" si="12"/>
        <v>18</v>
      </c>
      <c r="U20" s="17">
        <f t="shared" si="12"/>
        <v>42</v>
      </c>
      <c r="V20" s="17">
        <f t="shared" si="12"/>
        <v>184</v>
      </c>
      <c r="W20" s="17">
        <f t="shared" si="12"/>
        <v>8</v>
      </c>
      <c r="X20" s="17">
        <f t="shared" si="12"/>
        <v>11</v>
      </c>
      <c r="Y20" s="17">
        <f t="shared" si="12"/>
        <v>77</v>
      </c>
      <c r="Z20" s="17">
        <f t="shared" si="12"/>
        <v>15</v>
      </c>
      <c r="AA20" s="17">
        <f t="shared" si="12"/>
        <v>5</v>
      </c>
      <c r="AB20" s="17">
        <f t="shared" si="12"/>
        <v>21</v>
      </c>
      <c r="AC20" s="17">
        <f t="shared" si="12"/>
        <v>785</v>
      </c>
      <c r="AD20" s="17">
        <f t="shared" si="12"/>
        <v>0</v>
      </c>
      <c r="AE20" s="31">
        <f t="shared" si="12"/>
        <v>707</v>
      </c>
      <c r="AF20" s="31">
        <f t="shared" si="12"/>
        <v>1492</v>
      </c>
    </row>
    <row r="21" spans="2:32" ht="23.1" customHeight="1" x14ac:dyDescent="0.25">
      <c r="B21" s="23" t="s">
        <v>48</v>
      </c>
      <c r="C21" s="50">
        <v>84</v>
      </c>
      <c r="D21" s="50">
        <v>10</v>
      </c>
      <c r="E21" s="50">
        <v>5</v>
      </c>
      <c r="F21" s="50">
        <v>46</v>
      </c>
      <c r="G21" s="50">
        <v>2</v>
      </c>
      <c r="H21" s="50">
        <v>0</v>
      </c>
      <c r="I21" s="50">
        <v>10</v>
      </c>
      <c r="J21" s="50">
        <v>5</v>
      </c>
      <c r="K21" s="50">
        <v>1</v>
      </c>
      <c r="L21" s="50">
        <v>4</v>
      </c>
      <c r="M21" s="50">
        <v>345</v>
      </c>
      <c r="N21" s="50">
        <v>0</v>
      </c>
      <c r="O21" s="15">
        <f t="shared" si="0"/>
        <v>167</v>
      </c>
      <c r="P21" s="15">
        <f t="shared" si="1"/>
        <v>512</v>
      </c>
      <c r="R21" s="36" t="s">
        <v>20</v>
      </c>
      <c r="S21" s="34">
        <f t="shared" ref="S21:AF21" si="13">SUM(C54:C57)</f>
        <v>230</v>
      </c>
      <c r="T21" s="17">
        <f t="shared" si="13"/>
        <v>30</v>
      </c>
      <c r="U21" s="17">
        <f t="shared" si="13"/>
        <v>36</v>
      </c>
      <c r="V21" s="17">
        <f t="shared" si="13"/>
        <v>170</v>
      </c>
      <c r="W21" s="17">
        <f t="shared" si="13"/>
        <v>8</v>
      </c>
      <c r="X21" s="17">
        <f t="shared" si="13"/>
        <v>5</v>
      </c>
      <c r="Y21" s="17">
        <f t="shared" si="13"/>
        <v>55</v>
      </c>
      <c r="Z21" s="17">
        <f t="shared" si="13"/>
        <v>17</v>
      </c>
      <c r="AA21" s="17">
        <f t="shared" si="13"/>
        <v>6</v>
      </c>
      <c r="AB21" s="17">
        <f t="shared" si="13"/>
        <v>16</v>
      </c>
      <c r="AC21" s="17">
        <f t="shared" si="13"/>
        <v>1325</v>
      </c>
      <c r="AD21" s="17">
        <f t="shared" si="13"/>
        <v>1</v>
      </c>
      <c r="AE21" s="31">
        <f t="shared" si="13"/>
        <v>574</v>
      </c>
      <c r="AF21" s="31">
        <f t="shared" si="13"/>
        <v>1899</v>
      </c>
    </row>
    <row r="22" spans="2:32" ht="23.1" customHeight="1" x14ac:dyDescent="0.25">
      <c r="B22" s="23" t="s">
        <v>49</v>
      </c>
      <c r="C22" s="50">
        <v>90</v>
      </c>
      <c r="D22" s="50">
        <v>9</v>
      </c>
      <c r="E22" s="50">
        <v>17</v>
      </c>
      <c r="F22" s="50">
        <v>57</v>
      </c>
      <c r="G22" s="50">
        <v>3</v>
      </c>
      <c r="H22" s="50">
        <v>3</v>
      </c>
      <c r="I22" s="50">
        <v>17</v>
      </c>
      <c r="J22" s="50">
        <v>7</v>
      </c>
      <c r="K22" s="50">
        <v>1</v>
      </c>
      <c r="L22" s="50">
        <v>2</v>
      </c>
      <c r="M22" s="50">
        <v>156</v>
      </c>
      <c r="N22" s="50">
        <v>0</v>
      </c>
      <c r="O22" s="15">
        <f t="shared" si="0"/>
        <v>206</v>
      </c>
      <c r="P22" s="15">
        <f t="shared" si="1"/>
        <v>362</v>
      </c>
      <c r="R22" s="38" t="s">
        <v>90</v>
      </c>
      <c r="S22" s="39">
        <f>MAX(S10:S12)</f>
        <v>489</v>
      </c>
      <c r="T22" s="39">
        <f t="shared" ref="T22:AF22" si="14">MAX(T10:T12)</f>
        <v>44</v>
      </c>
      <c r="U22" s="39">
        <f t="shared" si="14"/>
        <v>53</v>
      </c>
      <c r="V22" s="39">
        <f t="shared" si="14"/>
        <v>261</v>
      </c>
      <c r="W22" s="39">
        <f t="shared" si="14"/>
        <v>13</v>
      </c>
      <c r="X22" s="39">
        <f t="shared" si="14"/>
        <v>6</v>
      </c>
      <c r="Y22" s="39">
        <f t="shared" si="14"/>
        <v>66</v>
      </c>
      <c r="Z22" s="39">
        <f t="shared" si="14"/>
        <v>35</v>
      </c>
      <c r="AA22" s="39">
        <f t="shared" si="14"/>
        <v>8</v>
      </c>
      <c r="AB22" s="39">
        <f t="shared" si="14"/>
        <v>8</v>
      </c>
      <c r="AC22" s="39">
        <f t="shared" si="14"/>
        <v>1564</v>
      </c>
      <c r="AD22" s="39">
        <f t="shared" si="14"/>
        <v>0</v>
      </c>
      <c r="AE22" s="40">
        <f t="shared" si="14"/>
        <v>957</v>
      </c>
      <c r="AF22" s="40">
        <f t="shared" si="14"/>
        <v>2521</v>
      </c>
    </row>
    <row r="23" spans="2:32" ht="23.1" customHeight="1" x14ac:dyDescent="0.25">
      <c r="B23" s="23" t="s">
        <v>50</v>
      </c>
      <c r="C23" s="50">
        <v>144</v>
      </c>
      <c r="D23" s="50">
        <v>13</v>
      </c>
      <c r="E23" s="50">
        <v>14</v>
      </c>
      <c r="F23" s="50">
        <v>101</v>
      </c>
      <c r="G23" s="50">
        <v>0</v>
      </c>
      <c r="H23" s="50">
        <v>0</v>
      </c>
      <c r="I23" s="50">
        <v>17</v>
      </c>
      <c r="J23" s="50">
        <v>6</v>
      </c>
      <c r="K23" s="50">
        <v>2</v>
      </c>
      <c r="L23" s="50">
        <v>1</v>
      </c>
      <c r="M23" s="50">
        <v>208</v>
      </c>
      <c r="N23" s="50">
        <v>0</v>
      </c>
      <c r="O23" s="15">
        <f t="shared" si="0"/>
        <v>298</v>
      </c>
      <c r="P23" s="15">
        <f t="shared" si="1"/>
        <v>506</v>
      </c>
      <c r="R23" s="38" t="s">
        <v>91</v>
      </c>
      <c r="S23" s="39">
        <f>MAX(S13:S18)</f>
        <v>309</v>
      </c>
      <c r="T23" s="39">
        <f t="shared" ref="T23:AF23" si="15">MAX(T13:T18)</f>
        <v>49</v>
      </c>
      <c r="U23" s="39">
        <f t="shared" si="15"/>
        <v>51</v>
      </c>
      <c r="V23" s="39">
        <f t="shared" si="15"/>
        <v>211</v>
      </c>
      <c r="W23" s="39">
        <f t="shared" si="15"/>
        <v>8</v>
      </c>
      <c r="X23" s="39">
        <f t="shared" si="15"/>
        <v>11</v>
      </c>
      <c r="Y23" s="39">
        <f t="shared" si="15"/>
        <v>76</v>
      </c>
      <c r="Z23" s="39">
        <f t="shared" si="15"/>
        <v>23</v>
      </c>
      <c r="AA23" s="39">
        <f t="shared" si="15"/>
        <v>6</v>
      </c>
      <c r="AB23" s="39">
        <f t="shared" si="15"/>
        <v>20</v>
      </c>
      <c r="AC23" s="39">
        <f t="shared" si="15"/>
        <v>802</v>
      </c>
      <c r="AD23" s="39">
        <f t="shared" si="15"/>
        <v>0</v>
      </c>
      <c r="AE23" s="40">
        <f t="shared" si="15"/>
        <v>691</v>
      </c>
      <c r="AF23" s="40">
        <f t="shared" si="15"/>
        <v>1468</v>
      </c>
    </row>
    <row r="24" spans="2:32" ht="23.1" customHeight="1" x14ac:dyDescent="0.25">
      <c r="B24" s="23" t="s">
        <v>51</v>
      </c>
      <c r="C24" s="50">
        <v>37</v>
      </c>
      <c r="D24" s="50">
        <v>5</v>
      </c>
      <c r="E24" s="50">
        <v>17</v>
      </c>
      <c r="F24" s="50">
        <v>35</v>
      </c>
      <c r="G24" s="50">
        <v>0</v>
      </c>
      <c r="H24" s="50">
        <v>1</v>
      </c>
      <c r="I24" s="50">
        <v>14</v>
      </c>
      <c r="J24" s="50">
        <v>3</v>
      </c>
      <c r="K24" s="50">
        <v>0</v>
      </c>
      <c r="L24" s="50">
        <v>6</v>
      </c>
      <c r="M24" s="50">
        <v>207</v>
      </c>
      <c r="N24" s="50">
        <v>0</v>
      </c>
      <c r="O24" s="15">
        <f t="shared" si="0"/>
        <v>118</v>
      </c>
      <c r="P24" s="15">
        <f t="shared" si="1"/>
        <v>325</v>
      </c>
      <c r="R24" s="38" t="s">
        <v>92</v>
      </c>
      <c r="S24" s="39">
        <f>MAX(S19:S21)</f>
        <v>326</v>
      </c>
      <c r="T24" s="39">
        <f t="shared" ref="T24:AF24" si="16">MAX(T19:T21)</f>
        <v>30</v>
      </c>
      <c r="U24" s="39">
        <f t="shared" si="16"/>
        <v>43</v>
      </c>
      <c r="V24" s="39">
        <f t="shared" si="16"/>
        <v>184</v>
      </c>
      <c r="W24" s="39">
        <f t="shared" si="16"/>
        <v>8</v>
      </c>
      <c r="X24" s="39">
        <f t="shared" si="16"/>
        <v>11</v>
      </c>
      <c r="Y24" s="39">
        <f t="shared" si="16"/>
        <v>88</v>
      </c>
      <c r="Z24" s="39">
        <f t="shared" si="16"/>
        <v>17</v>
      </c>
      <c r="AA24" s="39">
        <f t="shared" si="16"/>
        <v>6</v>
      </c>
      <c r="AB24" s="39">
        <f t="shared" si="16"/>
        <v>21</v>
      </c>
      <c r="AC24" s="39">
        <f t="shared" si="16"/>
        <v>1325</v>
      </c>
      <c r="AD24" s="39">
        <f t="shared" si="16"/>
        <v>1</v>
      </c>
      <c r="AE24" s="40">
        <f t="shared" si="16"/>
        <v>707</v>
      </c>
      <c r="AF24" s="40">
        <f t="shared" si="16"/>
        <v>1899</v>
      </c>
    </row>
    <row r="25" spans="2:32" ht="23.1" customHeight="1" x14ac:dyDescent="0.25">
      <c r="B25" s="23" t="s">
        <v>52</v>
      </c>
      <c r="C25" s="50">
        <v>26</v>
      </c>
      <c r="D25" s="50">
        <v>2</v>
      </c>
      <c r="E25" s="50">
        <v>3</v>
      </c>
      <c r="F25" s="50">
        <v>18</v>
      </c>
      <c r="G25" s="50">
        <v>1</v>
      </c>
      <c r="H25" s="50">
        <v>0</v>
      </c>
      <c r="I25" s="50">
        <v>9</v>
      </c>
      <c r="J25" s="50">
        <v>4</v>
      </c>
      <c r="K25" s="50">
        <v>3</v>
      </c>
      <c r="L25" s="50">
        <v>3</v>
      </c>
      <c r="M25" s="50">
        <v>182</v>
      </c>
      <c r="N25" s="50">
        <v>0</v>
      </c>
      <c r="O25" s="15">
        <f t="shared" si="0"/>
        <v>69</v>
      </c>
      <c r="P25" s="15">
        <f t="shared" si="1"/>
        <v>251</v>
      </c>
      <c r="R25" s="37" t="s">
        <v>85</v>
      </c>
      <c r="S25" s="35">
        <f t="shared" ref="S25:AF25" si="17">SUM(S10:S12)</f>
        <v>1293</v>
      </c>
      <c r="T25" s="16">
        <f t="shared" si="17"/>
        <v>123</v>
      </c>
      <c r="U25" s="16">
        <f t="shared" si="17"/>
        <v>152</v>
      </c>
      <c r="V25" s="16">
        <f t="shared" si="17"/>
        <v>706</v>
      </c>
      <c r="W25" s="16">
        <f t="shared" si="17"/>
        <v>36</v>
      </c>
      <c r="X25" s="16">
        <f t="shared" si="17"/>
        <v>13</v>
      </c>
      <c r="Y25" s="16">
        <f t="shared" si="17"/>
        <v>166</v>
      </c>
      <c r="Z25" s="16">
        <f t="shared" si="17"/>
        <v>88</v>
      </c>
      <c r="AA25" s="16">
        <f t="shared" si="17"/>
        <v>22</v>
      </c>
      <c r="AB25" s="16">
        <f t="shared" si="17"/>
        <v>13</v>
      </c>
      <c r="AC25" s="16">
        <f t="shared" si="17"/>
        <v>4495</v>
      </c>
      <c r="AD25" s="16">
        <f t="shared" si="17"/>
        <v>0</v>
      </c>
      <c r="AE25" s="32">
        <f t="shared" si="17"/>
        <v>2612</v>
      </c>
      <c r="AF25" s="32">
        <f t="shared" si="17"/>
        <v>7107</v>
      </c>
    </row>
    <row r="26" spans="2:32" ht="23.1" customHeight="1" x14ac:dyDescent="0.25">
      <c r="B26" s="23" t="s">
        <v>53</v>
      </c>
      <c r="C26" s="50">
        <v>77</v>
      </c>
      <c r="D26" s="50">
        <v>6</v>
      </c>
      <c r="E26" s="50">
        <v>9</v>
      </c>
      <c r="F26" s="50">
        <v>54</v>
      </c>
      <c r="G26" s="50">
        <v>5</v>
      </c>
      <c r="H26" s="50">
        <v>0</v>
      </c>
      <c r="I26" s="50">
        <v>21</v>
      </c>
      <c r="J26" s="50">
        <v>5</v>
      </c>
      <c r="K26" s="50">
        <v>0</v>
      </c>
      <c r="L26" s="50">
        <v>4</v>
      </c>
      <c r="M26" s="50">
        <v>210</v>
      </c>
      <c r="N26" s="50">
        <v>0</v>
      </c>
      <c r="O26" s="15">
        <f t="shared" si="0"/>
        <v>181</v>
      </c>
      <c r="P26" s="15">
        <f t="shared" si="1"/>
        <v>391</v>
      </c>
      <c r="R26" s="28" t="s">
        <v>86</v>
      </c>
      <c r="S26" s="16">
        <f t="shared" ref="S26:AF26" si="18">SUM(S13:S18)</f>
        <v>1442</v>
      </c>
      <c r="T26" s="16">
        <f t="shared" si="18"/>
        <v>184</v>
      </c>
      <c r="U26" s="16">
        <f t="shared" si="18"/>
        <v>230</v>
      </c>
      <c r="V26" s="16">
        <f t="shared" si="18"/>
        <v>1043</v>
      </c>
      <c r="W26" s="16">
        <f t="shared" si="18"/>
        <v>22</v>
      </c>
      <c r="X26" s="16">
        <f t="shared" si="18"/>
        <v>33</v>
      </c>
      <c r="Y26" s="16">
        <f t="shared" si="18"/>
        <v>348</v>
      </c>
      <c r="Z26" s="16">
        <f t="shared" si="18"/>
        <v>112</v>
      </c>
      <c r="AA26" s="16">
        <f t="shared" si="18"/>
        <v>22</v>
      </c>
      <c r="AB26" s="16">
        <f t="shared" si="18"/>
        <v>97</v>
      </c>
      <c r="AC26" s="16">
        <f t="shared" si="18"/>
        <v>3805</v>
      </c>
      <c r="AD26" s="16">
        <f t="shared" si="18"/>
        <v>0</v>
      </c>
      <c r="AE26" s="32">
        <f t="shared" si="18"/>
        <v>3533</v>
      </c>
      <c r="AF26" s="32">
        <f t="shared" si="18"/>
        <v>7338</v>
      </c>
    </row>
    <row r="27" spans="2:32" ht="23.1" customHeight="1" x14ac:dyDescent="0.25">
      <c r="B27" s="23" t="s">
        <v>54</v>
      </c>
      <c r="C27" s="50">
        <v>89</v>
      </c>
      <c r="D27" s="50">
        <v>5</v>
      </c>
      <c r="E27" s="50">
        <v>11</v>
      </c>
      <c r="F27" s="50">
        <v>50</v>
      </c>
      <c r="G27" s="50">
        <v>2</v>
      </c>
      <c r="H27" s="50">
        <v>3</v>
      </c>
      <c r="I27" s="50">
        <v>7</v>
      </c>
      <c r="J27" s="50">
        <v>2</v>
      </c>
      <c r="K27" s="50">
        <v>0</v>
      </c>
      <c r="L27" s="50">
        <v>4</v>
      </c>
      <c r="M27" s="50">
        <v>238</v>
      </c>
      <c r="N27" s="50">
        <v>0</v>
      </c>
      <c r="O27" s="15">
        <f t="shared" si="0"/>
        <v>173</v>
      </c>
      <c r="P27" s="15">
        <f t="shared" si="1"/>
        <v>411</v>
      </c>
      <c r="R27" s="29" t="s">
        <v>87</v>
      </c>
      <c r="S27" s="16">
        <f t="shared" ref="S27:AF27" si="19">SUM(S19:S21)</f>
        <v>778</v>
      </c>
      <c r="T27" s="16">
        <f t="shared" si="19"/>
        <v>73</v>
      </c>
      <c r="U27" s="16">
        <f t="shared" si="19"/>
        <v>121</v>
      </c>
      <c r="V27" s="16">
        <f t="shared" si="19"/>
        <v>526</v>
      </c>
      <c r="W27" s="16">
        <f t="shared" si="19"/>
        <v>21</v>
      </c>
      <c r="X27" s="16">
        <f t="shared" si="19"/>
        <v>23</v>
      </c>
      <c r="Y27" s="16">
        <f t="shared" si="19"/>
        <v>220</v>
      </c>
      <c r="Z27" s="16">
        <f t="shared" si="19"/>
        <v>48</v>
      </c>
      <c r="AA27" s="16">
        <f t="shared" si="19"/>
        <v>16</v>
      </c>
      <c r="AB27" s="16">
        <f t="shared" si="19"/>
        <v>49</v>
      </c>
      <c r="AC27" s="16">
        <f t="shared" si="19"/>
        <v>2651</v>
      </c>
      <c r="AD27" s="16">
        <f t="shared" si="19"/>
        <v>1</v>
      </c>
      <c r="AE27" s="32">
        <f t="shared" si="19"/>
        <v>1876</v>
      </c>
      <c r="AF27" s="32">
        <f t="shared" si="19"/>
        <v>4527</v>
      </c>
    </row>
    <row r="28" spans="2:32" ht="23.1" customHeight="1" x14ac:dyDescent="0.25">
      <c r="B28" s="23" t="s">
        <v>55</v>
      </c>
      <c r="C28" s="50">
        <v>100</v>
      </c>
      <c r="D28" s="50">
        <v>6</v>
      </c>
      <c r="E28" s="50">
        <v>12</v>
      </c>
      <c r="F28" s="50">
        <v>54</v>
      </c>
      <c r="G28" s="50">
        <v>1</v>
      </c>
      <c r="H28" s="50">
        <v>0</v>
      </c>
      <c r="I28" s="50">
        <v>10</v>
      </c>
      <c r="J28" s="50">
        <v>4</v>
      </c>
      <c r="K28" s="50">
        <v>1</v>
      </c>
      <c r="L28" s="50">
        <v>9</v>
      </c>
      <c r="M28" s="50">
        <v>174</v>
      </c>
      <c r="N28" s="50">
        <v>0</v>
      </c>
      <c r="O28" s="15">
        <f t="shared" si="0"/>
        <v>197</v>
      </c>
      <c r="P28" s="15">
        <f t="shared" si="1"/>
        <v>371</v>
      </c>
      <c r="R28" s="5" t="s">
        <v>17</v>
      </c>
      <c r="S28" s="16">
        <f t="shared" ref="S28:AF28" si="20">SUM(S10:S21)</f>
        <v>3513</v>
      </c>
      <c r="T28" s="16">
        <f t="shared" si="20"/>
        <v>380</v>
      </c>
      <c r="U28" s="16">
        <f t="shared" si="20"/>
        <v>503</v>
      </c>
      <c r="V28" s="16">
        <f t="shared" si="20"/>
        <v>2275</v>
      </c>
      <c r="W28" s="16">
        <f t="shared" si="20"/>
        <v>79</v>
      </c>
      <c r="X28" s="16">
        <f t="shared" si="20"/>
        <v>69</v>
      </c>
      <c r="Y28" s="16">
        <f t="shared" si="20"/>
        <v>734</v>
      </c>
      <c r="Z28" s="16">
        <f t="shared" si="20"/>
        <v>248</v>
      </c>
      <c r="AA28" s="16">
        <f t="shared" si="20"/>
        <v>60</v>
      </c>
      <c r="AB28" s="16">
        <f t="shared" si="20"/>
        <v>159</v>
      </c>
      <c r="AC28" s="16">
        <f t="shared" si="20"/>
        <v>10951</v>
      </c>
      <c r="AD28" s="16">
        <f t="shared" si="20"/>
        <v>1</v>
      </c>
      <c r="AE28" s="32">
        <f t="shared" si="20"/>
        <v>8021</v>
      </c>
      <c r="AF28" s="32">
        <f t="shared" si="20"/>
        <v>18972</v>
      </c>
    </row>
    <row r="29" spans="2:32" ht="23.1" customHeight="1" x14ac:dyDescent="0.25">
      <c r="B29" s="23" t="s">
        <v>56</v>
      </c>
      <c r="C29" s="50">
        <v>43</v>
      </c>
      <c r="D29" s="50">
        <v>6</v>
      </c>
      <c r="E29" s="50">
        <v>2</v>
      </c>
      <c r="F29" s="50">
        <v>42</v>
      </c>
      <c r="G29" s="50">
        <v>0</v>
      </c>
      <c r="H29" s="50">
        <v>0</v>
      </c>
      <c r="I29" s="50">
        <v>13</v>
      </c>
      <c r="J29" s="50">
        <v>5</v>
      </c>
      <c r="K29" s="50">
        <v>1</v>
      </c>
      <c r="L29" s="50">
        <v>3</v>
      </c>
      <c r="M29" s="50">
        <v>180</v>
      </c>
      <c r="N29" s="50">
        <v>0</v>
      </c>
      <c r="O29" s="15">
        <f t="shared" si="0"/>
        <v>115</v>
      </c>
      <c r="P29" s="15">
        <f t="shared" si="1"/>
        <v>295</v>
      </c>
      <c r="R29"/>
      <c r="S29" s="20"/>
      <c r="T29" s="19"/>
    </row>
    <row r="30" spans="2:32" ht="23.1" customHeight="1" x14ac:dyDescent="0.25">
      <c r="B30" s="23" t="s">
        <v>57</v>
      </c>
      <c r="C30" s="50">
        <v>65</v>
      </c>
      <c r="D30" s="50">
        <v>16</v>
      </c>
      <c r="E30" s="50">
        <v>6</v>
      </c>
      <c r="F30" s="50">
        <v>48</v>
      </c>
      <c r="G30" s="50">
        <v>1</v>
      </c>
      <c r="H30" s="50">
        <v>0</v>
      </c>
      <c r="I30" s="50">
        <v>14</v>
      </c>
      <c r="J30" s="50">
        <v>3</v>
      </c>
      <c r="K30" s="50">
        <v>0</v>
      </c>
      <c r="L30" s="50">
        <v>3</v>
      </c>
      <c r="M30" s="50">
        <v>150</v>
      </c>
      <c r="N30" s="50">
        <v>0</v>
      </c>
      <c r="O30" s="15">
        <f t="shared" si="0"/>
        <v>156</v>
      </c>
      <c r="P30" s="15">
        <f t="shared" si="1"/>
        <v>306</v>
      </c>
    </row>
    <row r="31" spans="2:32" ht="23.1" customHeight="1" x14ac:dyDescent="0.25">
      <c r="B31" s="24" t="s">
        <v>58</v>
      </c>
      <c r="C31" s="50">
        <v>75</v>
      </c>
      <c r="D31" s="50">
        <v>13</v>
      </c>
      <c r="E31" s="50">
        <v>24</v>
      </c>
      <c r="F31" s="50">
        <v>60</v>
      </c>
      <c r="G31" s="50">
        <v>0</v>
      </c>
      <c r="H31" s="50">
        <v>2</v>
      </c>
      <c r="I31" s="50">
        <v>15</v>
      </c>
      <c r="J31" s="50">
        <v>11</v>
      </c>
      <c r="K31" s="50">
        <v>1</v>
      </c>
      <c r="L31" s="50">
        <v>1</v>
      </c>
      <c r="M31" s="50">
        <v>149</v>
      </c>
      <c r="N31" s="50">
        <v>0</v>
      </c>
      <c r="O31" s="15">
        <f t="shared" si="0"/>
        <v>202</v>
      </c>
      <c r="P31" s="15">
        <f t="shared" si="1"/>
        <v>351</v>
      </c>
    </row>
    <row r="32" spans="2:32" ht="23.1" customHeight="1" x14ac:dyDescent="0.25">
      <c r="B32" s="24" t="s">
        <v>59</v>
      </c>
      <c r="C32" s="50">
        <v>54</v>
      </c>
      <c r="D32" s="50">
        <v>10</v>
      </c>
      <c r="E32" s="50">
        <v>10</v>
      </c>
      <c r="F32" s="50">
        <v>44</v>
      </c>
      <c r="G32" s="50">
        <v>1</v>
      </c>
      <c r="H32" s="50">
        <v>0</v>
      </c>
      <c r="I32" s="50">
        <v>14</v>
      </c>
      <c r="J32" s="50">
        <v>5</v>
      </c>
      <c r="K32" s="50">
        <v>1</v>
      </c>
      <c r="L32" s="50">
        <v>5</v>
      </c>
      <c r="M32" s="50">
        <v>156</v>
      </c>
      <c r="N32" s="50">
        <v>0</v>
      </c>
      <c r="O32" s="15">
        <f t="shared" si="0"/>
        <v>144</v>
      </c>
      <c r="P32" s="15">
        <f t="shared" si="1"/>
        <v>300</v>
      </c>
    </row>
    <row r="33" spans="2:20" ht="23.1" customHeight="1" x14ac:dyDescent="0.25">
      <c r="B33" s="23" t="s">
        <v>60</v>
      </c>
      <c r="C33" s="50">
        <v>54</v>
      </c>
      <c r="D33" s="50">
        <v>10</v>
      </c>
      <c r="E33" s="50">
        <v>8</v>
      </c>
      <c r="F33" s="50">
        <v>49</v>
      </c>
      <c r="G33" s="50">
        <v>0</v>
      </c>
      <c r="H33" s="50">
        <v>1</v>
      </c>
      <c r="I33" s="50">
        <v>11</v>
      </c>
      <c r="J33" s="50">
        <v>4</v>
      </c>
      <c r="K33" s="50">
        <v>0</v>
      </c>
      <c r="L33" s="50">
        <v>5</v>
      </c>
      <c r="M33" s="50">
        <v>174</v>
      </c>
      <c r="N33" s="50">
        <v>0</v>
      </c>
      <c r="O33" s="15">
        <f t="shared" si="0"/>
        <v>142</v>
      </c>
      <c r="P33" s="15">
        <f t="shared" si="1"/>
        <v>316</v>
      </c>
    </row>
    <row r="34" spans="2:20" ht="23.1" customHeight="1" x14ac:dyDescent="0.25">
      <c r="B34" s="24" t="s">
        <v>61</v>
      </c>
      <c r="C34" s="50">
        <v>51</v>
      </c>
      <c r="D34" s="50">
        <v>8</v>
      </c>
      <c r="E34" s="50">
        <v>4</v>
      </c>
      <c r="F34" s="50">
        <v>40</v>
      </c>
      <c r="G34" s="50">
        <v>1</v>
      </c>
      <c r="H34" s="50">
        <v>0</v>
      </c>
      <c r="I34" s="50">
        <v>15</v>
      </c>
      <c r="J34" s="50">
        <v>5</v>
      </c>
      <c r="K34" s="50">
        <v>1</v>
      </c>
      <c r="L34" s="50">
        <v>7</v>
      </c>
      <c r="M34" s="50">
        <v>170</v>
      </c>
      <c r="N34" s="50">
        <v>0</v>
      </c>
      <c r="O34" s="15">
        <f t="shared" si="0"/>
        <v>132</v>
      </c>
      <c r="P34" s="15">
        <f t="shared" si="1"/>
        <v>302</v>
      </c>
    </row>
    <row r="35" spans="2:20" ht="23.1" customHeight="1" x14ac:dyDescent="0.25">
      <c r="B35" s="24" t="s">
        <v>62</v>
      </c>
      <c r="C35" s="50">
        <v>95</v>
      </c>
      <c r="D35" s="50">
        <v>7</v>
      </c>
      <c r="E35" s="50">
        <v>10</v>
      </c>
      <c r="F35" s="50">
        <v>70</v>
      </c>
      <c r="G35" s="50">
        <v>0</v>
      </c>
      <c r="H35" s="50">
        <v>5</v>
      </c>
      <c r="I35" s="50">
        <v>11</v>
      </c>
      <c r="J35" s="50">
        <v>4</v>
      </c>
      <c r="K35" s="50">
        <v>0</v>
      </c>
      <c r="L35" s="50">
        <v>3</v>
      </c>
      <c r="M35" s="50">
        <v>177</v>
      </c>
      <c r="N35" s="50">
        <v>0</v>
      </c>
      <c r="O35" s="15">
        <f t="shared" si="0"/>
        <v>205</v>
      </c>
      <c r="P35" s="15">
        <f t="shared" si="1"/>
        <v>382</v>
      </c>
    </row>
    <row r="36" spans="2:20" ht="23.1" customHeight="1" x14ac:dyDescent="0.25">
      <c r="B36" s="24" t="s">
        <v>63</v>
      </c>
      <c r="C36" s="50">
        <v>36</v>
      </c>
      <c r="D36" s="50">
        <v>7</v>
      </c>
      <c r="E36" s="50">
        <v>6</v>
      </c>
      <c r="F36" s="50">
        <v>39</v>
      </c>
      <c r="G36" s="50">
        <v>1</v>
      </c>
      <c r="H36" s="50">
        <v>3</v>
      </c>
      <c r="I36" s="50">
        <v>9</v>
      </c>
      <c r="J36" s="50">
        <v>1</v>
      </c>
      <c r="K36" s="50">
        <v>0</v>
      </c>
      <c r="L36" s="50">
        <v>4</v>
      </c>
      <c r="M36" s="50">
        <v>193</v>
      </c>
      <c r="N36" s="50">
        <v>0</v>
      </c>
      <c r="O36" s="15">
        <f t="shared" si="0"/>
        <v>106</v>
      </c>
      <c r="P36" s="15">
        <f t="shared" si="1"/>
        <v>299</v>
      </c>
    </row>
    <row r="37" spans="2:20" ht="23.1" customHeight="1" x14ac:dyDescent="0.25">
      <c r="B37" s="23" t="s">
        <v>64</v>
      </c>
      <c r="C37" s="50">
        <v>29</v>
      </c>
      <c r="D37" s="50">
        <v>2</v>
      </c>
      <c r="E37" s="50">
        <v>0</v>
      </c>
      <c r="F37" s="50">
        <v>30</v>
      </c>
      <c r="G37" s="50">
        <v>0</v>
      </c>
      <c r="H37" s="50">
        <v>0</v>
      </c>
      <c r="I37" s="50">
        <v>16</v>
      </c>
      <c r="J37" s="50">
        <v>9</v>
      </c>
      <c r="K37" s="50">
        <v>1</v>
      </c>
      <c r="L37" s="50">
        <v>4</v>
      </c>
      <c r="M37" s="50">
        <v>99</v>
      </c>
      <c r="N37" s="50">
        <v>0</v>
      </c>
      <c r="O37" s="15">
        <f t="shared" si="0"/>
        <v>91</v>
      </c>
      <c r="P37" s="15">
        <f t="shared" si="1"/>
        <v>190</v>
      </c>
    </row>
    <row r="38" spans="2:20" ht="23.1" customHeight="1" x14ac:dyDescent="0.25">
      <c r="B38" s="24" t="s">
        <v>65</v>
      </c>
      <c r="C38" s="50">
        <v>56</v>
      </c>
      <c r="D38" s="50">
        <v>11</v>
      </c>
      <c r="E38" s="50">
        <v>12</v>
      </c>
      <c r="F38" s="50">
        <v>29</v>
      </c>
      <c r="G38" s="50">
        <v>0</v>
      </c>
      <c r="H38" s="50">
        <v>0</v>
      </c>
      <c r="I38" s="50">
        <v>14</v>
      </c>
      <c r="J38" s="50">
        <v>7</v>
      </c>
      <c r="K38" s="50">
        <v>4</v>
      </c>
      <c r="L38" s="50">
        <v>2</v>
      </c>
      <c r="M38" s="50">
        <v>127</v>
      </c>
      <c r="N38" s="50">
        <v>0</v>
      </c>
      <c r="O38" s="15">
        <f t="shared" si="0"/>
        <v>135</v>
      </c>
      <c r="P38" s="15">
        <f t="shared" si="1"/>
        <v>262</v>
      </c>
    </row>
    <row r="39" spans="2:20" ht="23.1" customHeight="1" x14ac:dyDescent="0.25">
      <c r="B39" s="24" t="s">
        <v>66</v>
      </c>
      <c r="C39" s="50">
        <v>45</v>
      </c>
      <c r="D39" s="50">
        <v>7</v>
      </c>
      <c r="E39" s="50">
        <v>8</v>
      </c>
      <c r="F39" s="50">
        <v>30</v>
      </c>
      <c r="G39" s="50">
        <v>0</v>
      </c>
      <c r="H39" s="50">
        <v>2</v>
      </c>
      <c r="I39" s="50">
        <v>12</v>
      </c>
      <c r="J39" s="50">
        <v>6</v>
      </c>
      <c r="K39" s="50">
        <v>2</v>
      </c>
      <c r="L39" s="50">
        <v>5</v>
      </c>
      <c r="M39" s="50">
        <v>123</v>
      </c>
      <c r="N39" s="50">
        <v>0</v>
      </c>
      <c r="O39" s="15">
        <f t="shared" si="0"/>
        <v>117</v>
      </c>
      <c r="P39" s="15">
        <f t="shared" si="1"/>
        <v>240</v>
      </c>
    </row>
    <row r="40" spans="2:20" ht="23.1" customHeight="1" x14ac:dyDescent="0.25">
      <c r="B40" s="24" t="s">
        <v>67</v>
      </c>
      <c r="C40" s="50">
        <v>57</v>
      </c>
      <c r="D40" s="50">
        <v>3</v>
      </c>
      <c r="E40" s="50">
        <v>18</v>
      </c>
      <c r="F40" s="50">
        <v>30</v>
      </c>
      <c r="G40" s="50">
        <v>1</v>
      </c>
      <c r="H40" s="50">
        <v>1</v>
      </c>
      <c r="I40" s="50">
        <v>16</v>
      </c>
      <c r="J40" s="50">
        <v>3</v>
      </c>
      <c r="K40" s="50">
        <v>0</v>
      </c>
      <c r="L40" s="50">
        <v>8</v>
      </c>
      <c r="M40" s="50">
        <v>94</v>
      </c>
      <c r="N40" s="50">
        <v>0</v>
      </c>
      <c r="O40" s="15">
        <f t="shared" si="0"/>
        <v>137</v>
      </c>
      <c r="P40" s="15">
        <f t="shared" si="1"/>
        <v>231</v>
      </c>
    </row>
    <row r="41" spans="2:20" ht="23.1" customHeight="1" x14ac:dyDescent="0.25">
      <c r="B41" s="23" t="s">
        <v>68</v>
      </c>
      <c r="C41" s="50">
        <v>28</v>
      </c>
      <c r="D41" s="50">
        <v>11</v>
      </c>
      <c r="E41" s="50">
        <v>4</v>
      </c>
      <c r="F41" s="50">
        <v>32</v>
      </c>
      <c r="G41" s="50">
        <v>0</v>
      </c>
      <c r="H41" s="50">
        <v>1</v>
      </c>
      <c r="I41" s="50">
        <v>17</v>
      </c>
      <c r="J41" s="50">
        <v>3</v>
      </c>
      <c r="K41" s="50">
        <v>0</v>
      </c>
      <c r="L41" s="50">
        <v>3</v>
      </c>
      <c r="M41" s="50">
        <v>119</v>
      </c>
      <c r="N41" s="50">
        <v>0</v>
      </c>
      <c r="O41" s="15">
        <f t="shared" si="0"/>
        <v>99</v>
      </c>
      <c r="P41" s="15">
        <f t="shared" si="1"/>
        <v>218</v>
      </c>
    </row>
    <row r="42" spans="2:20" ht="23.1" customHeight="1" x14ac:dyDescent="0.25">
      <c r="B42" s="24" t="s">
        <v>69</v>
      </c>
      <c r="C42" s="50">
        <v>50</v>
      </c>
      <c r="D42" s="50">
        <v>8</v>
      </c>
      <c r="E42" s="50">
        <v>8</v>
      </c>
      <c r="F42" s="50">
        <v>33</v>
      </c>
      <c r="G42" s="50">
        <v>3</v>
      </c>
      <c r="H42" s="50">
        <v>2</v>
      </c>
      <c r="I42" s="50">
        <v>21</v>
      </c>
      <c r="J42" s="50">
        <v>5</v>
      </c>
      <c r="K42" s="50">
        <v>1</v>
      </c>
      <c r="L42" s="50">
        <v>2</v>
      </c>
      <c r="M42" s="50">
        <v>167</v>
      </c>
      <c r="N42" s="50">
        <v>0</v>
      </c>
      <c r="O42" s="15">
        <f t="shared" si="0"/>
        <v>133</v>
      </c>
      <c r="P42" s="15">
        <f t="shared" si="1"/>
        <v>300</v>
      </c>
    </row>
    <row r="43" spans="2:20" ht="23.1" customHeight="1" x14ac:dyDescent="0.25">
      <c r="B43" s="23" t="s">
        <v>70</v>
      </c>
      <c r="C43" s="50">
        <v>46</v>
      </c>
      <c r="D43" s="50">
        <v>9</v>
      </c>
      <c r="E43" s="50">
        <v>11</v>
      </c>
      <c r="F43" s="50">
        <v>42</v>
      </c>
      <c r="G43" s="50">
        <v>1</v>
      </c>
      <c r="H43" s="50">
        <v>2</v>
      </c>
      <c r="I43" s="50">
        <v>13</v>
      </c>
      <c r="J43" s="50">
        <v>5</v>
      </c>
      <c r="K43" s="50">
        <v>3</v>
      </c>
      <c r="L43" s="50">
        <v>4</v>
      </c>
      <c r="M43" s="50">
        <v>160</v>
      </c>
      <c r="N43" s="50">
        <v>0</v>
      </c>
      <c r="O43" s="15">
        <f t="shared" si="0"/>
        <v>136</v>
      </c>
      <c r="P43" s="15">
        <f t="shared" si="1"/>
        <v>296</v>
      </c>
    </row>
    <row r="44" spans="2:20" ht="23.1" customHeight="1" x14ac:dyDescent="0.25">
      <c r="B44" s="25" t="s">
        <v>71</v>
      </c>
      <c r="C44" s="50">
        <v>45</v>
      </c>
      <c r="D44" s="50">
        <v>5</v>
      </c>
      <c r="E44" s="50">
        <v>5</v>
      </c>
      <c r="F44" s="50">
        <v>28</v>
      </c>
      <c r="G44" s="50">
        <v>0</v>
      </c>
      <c r="H44" s="50">
        <v>4</v>
      </c>
      <c r="I44" s="50">
        <v>20</v>
      </c>
      <c r="J44" s="50">
        <v>1</v>
      </c>
      <c r="K44" s="50">
        <v>0</v>
      </c>
      <c r="L44" s="50">
        <v>5</v>
      </c>
      <c r="M44" s="50">
        <v>100</v>
      </c>
      <c r="N44" s="50">
        <v>0</v>
      </c>
      <c r="O44" s="15">
        <f t="shared" si="0"/>
        <v>113</v>
      </c>
      <c r="P44" s="15">
        <f t="shared" si="1"/>
        <v>213</v>
      </c>
    </row>
    <row r="45" spans="2:20" ht="23.1" customHeight="1" x14ac:dyDescent="0.25">
      <c r="B45" s="23" t="s">
        <v>72</v>
      </c>
      <c r="C45" s="50">
        <v>50</v>
      </c>
      <c r="D45" s="50">
        <v>5</v>
      </c>
      <c r="E45" s="50">
        <v>11</v>
      </c>
      <c r="F45" s="50">
        <v>28</v>
      </c>
      <c r="G45" s="50">
        <v>1</v>
      </c>
      <c r="H45" s="50">
        <v>3</v>
      </c>
      <c r="I45" s="50">
        <v>22</v>
      </c>
      <c r="J45" s="50">
        <v>4</v>
      </c>
      <c r="K45" s="50">
        <v>0</v>
      </c>
      <c r="L45" s="50">
        <v>4</v>
      </c>
      <c r="M45" s="50">
        <v>92</v>
      </c>
      <c r="N45" s="50">
        <v>0</v>
      </c>
      <c r="O45" s="15">
        <f t="shared" si="0"/>
        <v>128</v>
      </c>
      <c r="P45" s="15">
        <f t="shared" si="1"/>
        <v>220</v>
      </c>
    </row>
    <row r="46" spans="2:20" ht="23.1" customHeight="1" x14ac:dyDescent="0.25">
      <c r="B46" s="24" t="s">
        <v>73</v>
      </c>
      <c r="C46" s="50">
        <v>60</v>
      </c>
      <c r="D46" s="50">
        <v>2</v>
      </c>
      <c r="E46" s="50">
        <v>6</v>
      </c>
      <c r="F46" s="50">
        <v>49</v>
      </c>
      <c r="G46" s="50">
        <v>0</v>
      </c>
      <c r="H46" s="50">
        <v>2</v>
      </c>
      <c r="I46" s="50">
        <v>18</v>
      </c>
      <c r="J46" s="50">
        <v>7</v>
      </c>
      <c r="K46" s="50">
        <v>3</v>
      </c>
      <c r="L46" s="50">
        <v>3</v>
      </c>
      <c r="M46" s="50">
        <v>160</v>
      </c>
      <c r="N46" s="50">
        <v>0</v>
      </c>
      <c r="O46" s="15">
        <f t="shared" si="0"/>
        <v>150</v>
      </c>
      <c r="P46" s="15">
        <f t="shared" si="1"/>
        <v>310</v>
      </c>
      <c r="R46" s="8"/>
      <c r="T46"/>
    </row>
    <row r="47" spans="2:20" ht="23.1" customHeight="1" x14ac:dyDescent="0.25">
      <c r="B47" s="24" t="s">
        <v>74</v>
      </c>
      <c r="C47" s="50">
        <v>61</v>
      </c>
      <c r="D47" s="50">
        <v>5</v>
      </c>
      <c r="E47" s="50">
        <v>18</v>
      </c>
      <c r="F47" s="50">
        <v>32</v>
      </c>
      <c r="G47" s="50">
        <v>1</v>
      </c>
      <c r="H47" s="50">
        <v>1</v>
      </c>
      <c r="I47" s="50">
        <v>22</v>
      </c>
      <c r="J47" s="50">
        <v>4</v>
      </c>
      <c r="K47" s="50">
        <v>0</v>
      </c>
      <c r="L47" s="50">
        <v>4</v>
      </c>
      <c r="M47" s="50">
        <v>95</v>
      </c>
      <c r="N47" s="50">
        <v>0</v>
      </c>
      <c r="O47" s="15">
        <f t="shared" si="0"/>
        <v>148</v>
      </c>
      <c r="P47" s="15">
        <f t="shared" si="1"/>
        <v>243</v>
      </c>
      <c r="R47" s="8"/>
      <c r="T47"/>
    </row>
    <row r="48" spans="2:20" ht="23.1" customHeight="1" x14ac:dyDescent="0.25">
      <c r="B48" s="24" t="s">
        <v>75</v>
      </c>
      <c r="C48" s="50">
        <v>52</v>
      </c>
      <c r="D48" s="50">
        <v>11</v>
      </c>
      <c r="E48" s="50">
        <v>11</v>
      </c>
      <c r="F48" s="50">
        <v>44</v>
      </c>
      <c r="G48" s="50">
        <v>4</v>
      </c>
      <c r="H48" s="50">
        <v>0</v>
      </c>
      <c r="I48" s="50">
        <v>23</v>
      </c>
      <c r="J48" s="50">
        <v>1</v>
      </c>
      <c r="K48" s="50">
        <v>1</v>
      </c>
      <c r="L48" s="50">
        <v>3</v>
      </c>
      <c r="M48" s="50">
        <v>147</v>
      </c>
      <c r="N48" s="50">
        <v>0</v>
      </c>
      <c r="O48" s="15">
        <f t="shared" si="0"/>
        <v>150</v>
      </c>
      <c r="P48" s="15">
        <f t="shared" si="1"/>
        <v>297</v>
      </c>
      <c r="R48" s="8"/>
      <c r="T48"/>
    </row>
    <row r="49" spans="2:20" ht="23.1" customHeight="1" x14ac:dyDescent="0.25">
      <c r="B49" s="23" t="s">
        <v>76</v>
      </c>
      <c r="C49" s="50">
        <v>49</v>
      </c>
      <c r="D49" s="50">
        <v>7</v>
      </c>
      <c r="E49" s="50">
        <v>8</v>
      </c>
      <c r="F49" s="50">
        <v>47</v>
      </c>
      <c r="G49" s="50">
        <v>0</v>
      </c>
      <c r="H49" s="50">
        <v>4</v>
      </c>
      <c r="I49" s="50">
        <v>25</v>
      </c>
      <c r="J49" s="50">
        <v>4</v>
      </c>
      <c r="K49" s="50">
        <v>1</v>
      </c>
      <c r="L49" s="50">
        <v>2</v>
      </c>
      <c r="M49" s="50">
        <v>139</v>
      </c>
      <c r="N49" s="50">
        <v>0</v>
      </c>
      <c r="O49" s="15">
        <f t="shared" si="0"/>
        <v>147</v>
      </c>
      <c r="P49" s="15">
        <f t="shared" si="1"/>
        <v>286</v>
      </c>
      <c r="R49" s="8"/>
      <c r="T49"/>
    </row>
    <row r="50" spans="2:20" ht="23.1" customHeight="1" x14ac:dyDescent="0.25">
      <c r="B50" s="24" t="s">
        <v>77</v>
      </c>
      <c r="C50" s="50">
        <v>72</v>
      </c>
      <c r="D50" s="50">
        <v>3</v>
      </c>
      <c r="E50" s="50">
        <v>8</v>
      </c>
      <c r="F50" s="50">
        <v>34</v>
      </c>
      <c r="G50" s="50">
        <v>2</v>
      </c>
      <c r="H50" s="50">
        <v>4</v>
      </c>
      <c r="I50" s="50">
        <v>12</v>
      </c>
      <c r="J50" s="50">
        <v>3</v>
      </c>
      <c r="K50" s="50">
        <v>2</v>
      </c>
      <c r="L50" s="50">
        <v>11</v>
      </c>
      <c r="M50" s="50">
        <v>145</v>
      </c>
      <c r="N50" s="50">
        <v>0</v>
      </c>
      <c r="O50" s="15">
        <f t="shared" si="0"/>
        <v>151</v>
      </c>
      <c r="P50" s="15">
        <f t="shared" si="1"/>
        <v>296</v>
      </c>
      <c r="R50" s="8"/>
      <c r="T50"/>
    </row>
    <row r="51" spans="2:20" ht="23.1" customHeight="1" x14ac:dyDescent="0.25">
      <c r="B51" s="24" t="s">
        <v>78</v>
      </c>
      <c r="C51" s="50">
        <v>80</v>
      </c>
      <c r="D51" s="50">
        <v>3</v>
      </c>
      <c r="E51" s="50">
        <v>10</v>
      </c>
      <c r="F51" s="50">
        <v>46</v>
      </c>
      <c r="G51" s="50">
        <v>2</v>
      </c>
      <c r="H51" s="50">
        <v>2</v>
      </c>
      <c r="I51" s="50">
        <v>41</v>
      </c>
      <c r="J51" s="50">
        <v>4</v>
      </c>
      <c r="K51" s="50">
        <v>0</v>
      </c>
      <c r="L51" s="50">
        <v>4</v>
      </c>
      <c r="M51" s="50">
        <v>150</v>
      </c>
      <c r="N51" s="50">
        <v>0</v>
      </c>
      <c r="O51" s="15">
        <f t="shared" si="0"/>
        <v>192</v>
      </c>
      <c r="P51" s="15">
        <f t="shared" si="1"/>
        <v>342</v>
      </c>
      <c r="R51" s="8"/>
      <c r="T51"/>
    </row>
    <row r="52" spans="2:20" ht="23.1" customHeight="1" x14ac:dyDescent="0.25">
      <c r="B52" s="24" t="s">
        <v>79</v>
      </c>
      <c r="C52" s="50">
        <v>83</v>
      </c>
      <c r="D52" s="50">
        <v>8</v>
      </c>
      <c r="E52" s="50">
        <v>17</v>
      </c>
      <c r="F52" s="50">
        <v>54</v>
      </c>
      <c r="G52" s="50">
        <v>2</v>
      </c>
      <c r="H52" s="50">
        <v>2</v>
      </c>
      <c r="I52" s="50">
        <v>12</v>
      </c>
      <c r="J52" s="50">
        <v>2</v>
      </c>
      <c r="K52" s="50">
        <v>1</v>
      </c>
      <c r="L52" s="50">
        <v>1</v>
      </c>
      <c r="M52" s="50">
        <v>230</v>
      </c>
      <c r="N52" s="50">
        <v>0</v>
      </c>
      <c r="O52" s="15">
        <f t="shared" si="0"/>
        <v>182</v>
      </c>
      <c r="P52" s="15">
        <f t="shared" si="1"/>
        <v>412</v>
      </c>
      <c r="R52" s="8"/>
      <c r="T52"/>
    </row>
    <row r="53" spans="2:20" ht="23.1" customHeight="1" x14ac:dyDescent="0.25">
      <c r="B53" s="23" t="s">
        <v>80</v>
      </c>
      <c r="C53" s="50">
        <v>91</v>
      </c>
      <c r="D53" s="50">
        <v>4</v>
      </c>
      <c r="E53" s="50">
        <v>7</v>
      </c>
      <c r="F53" s="50">
        <v>50</v>
      </c>
      <c r="G53" s="50">
        <v>2</v>
      </c>
      <c r="H53" s="50">
        <v>3</v>
      </c>
      <c r="I53" s="50">
        <v>12</v>
      </c>
      <c r="J53" s="50">
        <v>6</v>
      </c>
      <c r="K53" s="50">
        <v>2</v>
      </c>
      <c r="L53" s="50">
        <v>5</v>
      </c>
      <c r="M53" s="50">
        <v>260</v>
      </c>
      <c r="N53" s="50">
        <v>0</v>
      </c>
      <c r="O53" s="15">
        <f t="shared" si="0"/>
        <v>182</v>
      </c>
      <c r="P53" s="15">
        <f t="shared" si="1"/>
        <v>442</v>
      </c>
      <c r="R53" s="8"/>
      <c r="T53"/>
    </row>
    <row r="54" spans="2:20" ht="23.1" customHeight="1" x14ac:dyDescent="0.25">
      <c r="B54" s="23" t="s">
        <v>81</v>
      </c>
      <c r="C54" s="50">
        <v>65</v>
      </c>
      <c r="D54" s="50">
        <v>11</v>
      </c>
      <c r="E54" s="50">
        <v>11</v>
      </c>
      <c r="F54" s="50">
        <v>50</v>
      </c>
      <c r="G54" s="50">
        <v>2</v>
      </c>
      <c r="H54" s="50">
        <v>2</v>
      </c>
      <c r="I54" s="50">
        <v>13</v>
      </c>
      <c r="J54" s="50">
        <v>1</v>
      </c>
      <c r="K54" s="50">
        <v>1</v>
      </c>
      <c r="L54" s="50">
        <v>5</v>
      </c>
      <c r="M54" s="50">
        <v>410</v>
      </c>
      <c r="N54" s="50">
        <v>1</v>
      </c>
      <c r="O54" s="15">
        <f t="shared" si="0"/>
        <v>162</v>
      </c>
      <c r="P54" s="15">
        <f t="shared" si="1"/>
        <v>572</v>
      </c>
      <c r="R54" s="8"/>
      <c r="T54"/>
    </row>
    <row r="55" spans="2:20" ht="23.1" customHeight="1" x14ac:dyDescent="0.25">
      <c r="B55" s="23" t="s">
        <v>82</v>
      </c>
      <c r="C55" s="50">
        <v>72</v>
      </c>
      <c r="D55" s="50">
        <v>12</v>
      </c>
      <c r="E55" s="50">
        <v>14</v>
      </c>
      <c r="F55" s="50">
        <v>57</v>
      </c>
      <c r="G55" s="50">
        <v>4</v>
      </c>
      <c r="H55" s="50">
        <v>2</v>
      </c>
      <c r="I55" s="50">
        <v>14</v>
      </c>
      <c r="J55" s="50">
        <v>9</v>
      </c>
      <c r="K55" s="50">
        <v>3</v>
      </c>
      <c r="L55" s="50">
        <v>6</v>
      </c>
      <c r="M55" s="50">
        <v>335</v>
      </c>
      <c r="N55" s="50">
        <v>0</v>
      </c>
      <c r="O55" s="15">
        <f t="shared" si="0"/>
        <v>193</v>
      </c>
      <c r="P55" s="15">
        <f t="shared" si="1"/>
        <v>528</v>
      </c>
      <c r="R55" s="8"/>
      <c r="T55"/>
    </row>
    <row r="56" spans="2:20" ht="23.1" customHeight="1" x14ac:dyDescent="0.25">
      <c r="B56" s="23" t="s">
        <v>83</v>
      </c>
      <c r="C56" s="50">
        <v>65</v>
      </c>
      <c r="D56" s="50">
        <v>4</v>
      </c>
      <c r="E56" s="50">
        <v>8</v>
      </c>
      <c r="F56" s="50">
        <v>40</v>
      </c>
      <c r="G56" s="50">
        <v>2</v>
      </c>
      <c r="H56" s="50">
        <v>1</v>
      </c>
      <c r="I56" s="50">
        <v>15</v>
      </c>
      <c r="J56" s="50">
        <v>4</v>
      </c>
      <c r="K56" s="50">
        <v>0</v>
      </c>
      <c r="L56" s="50">
        <v>3</v>
      </c>
      <c r="M56" s="50">
        <v>305</v>
      </c>
      <c r="N56" s="50">
        <v>0</v>
      </c>
      <c r="O56" s="15">
        <f t="shared" si="0"/>
        <v>142</v>
      </c>
      <c r="P56" s="15">
        <f t="shared" si="1"/>
        <v>447</v>
      </c>
      <c r="R56" s="8"/>
      <c r="T56"/>
    </row>
    <row r="57" spans="2:20" ht="23.1" customHeight="1" x14ac:dyDescent="0.25">
      <c r="B57" s="23" t="s">
        <v>84</v>
      </c>
      <c r="C57" s="50">
        <v>28</v>
      </c>
      <c r="D57" s="50">
        <v>3</v>
      </c>
      <c r="E57" s="50">
        <v>3</v>
      </c>
      <c r="F57" s="50">
        <v>23</v>
      </c>
      <c r="G57" s="50">
        <v>0</v>
      </c>
      <c r="H57" s="50">
        <v>0</v>
      </c>
      <c r="I57" s="50">
        <v>13</v>
      </c>
      <c r="J57" s="50">
        <v>3</v>
      </c>
      <c r="K57" s="50">
        <v>2</v>
      </c>
      <c r="L57" s="50">
        <v>2</v>
      </c>
      <c r="M57" s="50">
        <v>275</v>
      </c>
      <c r="N57" s="50">
        <v>0</v>
      </c>
      <c r="O57" s="15">
        <f t="shared" si="0"/>
        <v>77</v>
      </c>
      <c r="P57" s="15">
        <f t="shared" si="1"/>
        <v>352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3513</v>
      </c>
      <c r="D58" s="16">
        <f t="shared" si="21"/>
        <v>380</v>
      </c>
      <c r="E58" s="16">
        <f t="shared" si="21"/>
        <v>503</v>
      </c>
      <c r="F58" s="16">
        <f t="shared" si="21"/>
        <v>2275</v>
      </c>
      <c r="G58" s="16">
        <f t="shared" si="21"/>
        <v>79</v>
      </c>
      <c r="H58" s="16">
        <f t="shared" si="21"/>
        <v>69</v>
      </c>
      <c r="I58" s="16">
        <f t="shared" si="21"/>
        <v>734</v>
      </c>
      <c r="J58" s="16">
        <f t="shared" si="21"/>
        <v>248</v>
      </c>
      <c r="K58" s="16">
        <f t="shared" si="21"/>
        <v>60</v>
      </c>
      <c r="L58" s="16">
        <f t="shared" si="21"/>
        <v>159</v>
      </c>
      <c r="M58" s="16">
        <f t="shared" si="21"/>
        <v>10951</v>
      </c>
      <c r="N58" s="16">
        <f t="shared" si="21"/>
        <v>1</v>
      </c>
      <c r="O58" s="16">
        <f t="shared" si="21"/>
        <v>8021</v>
      </c>
      <c r="P58" s="16">
        <f t="shared" si="21"/>
        <v>18972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0.18516761543327009</v>
      </c>
      <c r="D59" s="43">
        <f t="shared" si="22"/>
        <v>2.0029517183217372E-2</v>
      </c>
      <c r="E59" s="43">
        <f t="shared" si="22"/>
        <v>2.6512755639890365E-2</v>
      </c>
      <c r="F59" s="43">
        <f t="shared" si="22"/>
        <v>0.11991355682057769</v>
      </c>
      <c r="G59" s="43">
        <f t="shared" si="22"/>
        <v>4.1640312038794015E-3</v>
      </c>
      <c r="H59" s="43">
        <f t="shared" si="22"/>
        <v>3.6369386464263124E-3</v>
      </c>
      <c r="I59" s="43">
        <f t="shared" si="22"/>
        <v>3.8688593717056713E-2</v>
      </c>
      <c r="J59" s="43">
        <f t="shared" si="22"/>
        <v>1.3071895424836602E-2</v>
      </c>
      <c r="K59" s="43">
        <f t="shared" si="22"/>
        <v>3.1625553447185324E-3</v>
      </c>
      <c r="L59" s="43">
        <f t="shared" si="22"/>
        <v>8.3807716635041114E-3</v>
      </c>
      <c r="M59" s="43">
        <f t="shared" si="22"/>
        <v>0.57721905966687748</v>
      </c>
      <c r="N59" s="43">
        <f t="shared" si="22"/>
        <v>5.2709255745308875E-5</v>
      </c>
      <c r="R59" s="8"/>
      <c r="T59"/>
    </row>
    <row r="60" spans="2:20" ht="23.1" customHeight="1" x14ac:dyDescent="0.25">
      <c r="B60" s="42" t="s">
        <v>94</v>
      </c>
      <c r="C60" s="44">
        <f>C58/$O$58</f>
        <v>0.43797531479865354</v>
      </c>
      <c r="D60" s="44">
        <f t="shared" ref="D60:N60" si="23">D58/$O$58</f>
        <v>4.7375638947762123E-2</v>
      </c>
      <c r="E60" s="44">
        <f t="shared" si="23"/>
        <v>6.2710385238748292E-2</v>
      </c>
      <c r="F60" s="44">
        <f t="shared" si="23"/>
        <v>0.28363047001620745</v>
      </c>
      <c r="G60" s="44">
        <f t="shared" si="23"/>
        <v>9.849145991771599E-3</v>
      </c>
      <c r="H60" s="44">
        <f t="shared" si="23"/>
        <v>8.6024186510410168E-3</v>
      </c>
      <c r="I60" s="44">
        <f t="shared" si="23"/>
        <v>9.1509786809624738E-2</v>
      </c>
      <c r="J60" s="44">
        <f t="shared" si="23"/>
        <v>3.0918838050118438E-2</v>
      </c>
      <c r="K60" s="44">
        <f t="shared" si="23"/>
        <v>7.4803640443834932E-3</v>
      </c>
      <c r="L60" s="44">
        <f t="shared" si="23"/>
        <v>1.9822964717616257E-2</v>
      </c>
      <c r="M60" s="44"/>
      <c r="N60" s="44">
        <f t="shared" si="23"/>
        <v>1.2467273407305821E-4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BUSEGA-KYENGERA'!C3:G3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KYENGERA-BUSEGA'!D5</f>
        <v>23.07.19</v>
      </c>
      <c r="E5" s="3"/>
      <c r="F5" s="41" t="s">
        <v>1</v>
      </c>
      <c r="G5" s="67" t="str">
        <f>'22.07 KYENGERA-BUSEGA'!G5:H5</f>
        <v>KYENGERA</v>
      </c>
      <c r="H5" s="68"/>
      <c r="I5" s="14"/>
      <c r="J5" s="2" t="s">
        <v>5</v>
      </c>
      <c r="K5" s="67" t="str">
        <f>'22.07 KYENGERA-BUSEGA'!K5:L5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BUSEGA-KYENGERA'!D6:E6</f>
        <v>BUSEGA</v>
      </c>
      <c r="E6" s="68"/>
      <c r="F6" s="2" t="s">
        <v>2</v>
      </c>
      <c r="G6" s="67" t="str">
        <f>'22.07 BUSEGA-KYENGERA'!G6:H6</f>
        <v>KYENGERA</v>
      </c>
      <c r="H6" s="68"/>
      <c r="J6" s="2" t="s">
        <v>21</v>
      </c>
      <c r="K6" s="67" t="str">
        <f>'22.07 KYENGERA-BUSEGA'!K6:L6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37</v>
      </c>
      <c r="D10" s="50">
        <v>5</v>
      </c>
      <c r="E10" s="50">
        <v>5</v>
      </c>
      <c r="F10" s="50">
        <v>46</v>
      </c>
      <c r="G10" s="50">
        <v>1</v>
      </c>
      <c r="H10" s="50">
        <v>4</v>
      </c>
      <c r="I10" s="50">
        <v>4</v>
      </c>
      <c r="J10" s="50">
        <v>9</v>
      </c>
      <c r="K10" s="50">
        <v>0</v>
      </c>
      <c r="L10" s="50">
        <v>4</v>
      </c>
      <c r="M10" s="50">
        <v>106</v>
      </c>
      <c r="N10" s="50">
        <v>0</v>
      </c>
      <c r="O10" s="15">
        <f t="shared" ref="O10:O57" si="0">SUM(C10:L10,N10)</f>
        <v>115</v>
      </c>
      <c r="P10" s="15">
        <f t="shared" ref="P10:P57" si="1">SUM(C10:N10)</f>
        <v>221</v>
      </c>
      <c r="R10" s="1" t="s">
        <v>6</v>
      </c>
      <c r="S10" s="17">
        <f t="shared" ref="S10:AF10" si="2">SUM(C10:C13)</f>
        <v>149</v>
      </c>
      <c r="T10" s="17">
        <f t="shared" si="2"/>
        <v>26</v>
      </c>
      <c r="U10" s="17">
        <f t="shared" si="2"/>
        <v>15</v>
      </c>
      <c r="V10" s="17">
        <f t="shared" si="2"/>
        <v>179</v>
      </c>
      <c r="W10" s="17">
        <f t="shared" si="2"/>
        <v>10</v>
      </c>
      <c r="X10" s="17">
        <f t="shared" si="2"/>
        <v>12</v>
      </c>
      <c r="Y10" s="17">
        <f t="shared" si="2"/>
        <v>43</v>
      </c>
      <c r="Z10" s="17">
        <f t="shared" si="2"/>
        <v>26</v>
      </c>
      <c r="AA10" s="17">
        <f t="shared" si="2"/>
        <v>6</v>
      </c>
      <c r="AB10" s="17">
        <f t="shared" si="2"/>
        <v>12</v>
      </c>
      <c r="AC10" s="17">
        <f t="shared" si="2"/>
        <v>499</v>
      </c>
      <c r="AD10" s="17">
        <f t="shared" si="2"/>
        <v>2</v>
      </c>
      <c r="AE10" s="31">
        <f t="shared" si="2"/>
        <v>480</v>
      </c>
      <c r="AF10" s="31">
        <f t="shared" si="2"/>
        <v>979</v>
      </c>
    </row>
    <row r="11" spans="2:32" s="6" customFormat="1" ht="23.1" customHeight="1" x14ac:dyDescent="0.25">
      <c r="B11" s="23" t="s">
        <v>38</v>
      </c>
      <c r="C11" s="50">
        <v>37</v>
      </c>
      <c r="D11" s="50">
        <v>6</v>
      </c>
      <c r="E11" s="50">
        <v>4</v>
      </c>
      <c r="F11" s="50">
        <v>44</v>
      </c>
      <c r="G11" s="50">
        <v>3</v>
      </c>
      <c r="H11" s="50">
        <v>4</v>
      </c>
      <c r="I11" s="50">
        <v>10</v>
      </c>
      <c r="J11" s="50">
        <v>10</v>
      </c>
      <c r="K11" s="50">
        <v>1</v>
      </c>
      <c r="L11" s="50">
        <v>2</v>
      </c>
      <c r="M11" s="50">
        <v>115</v>
      </c>
      <c r="N11" s="50">
        <v>1</v>
      </c>
      <c r="O11" s="15">
        <f t="shared" si="0"/>
        <v>122</v>
      </c>
      <c r="P11" s="15">
        <f t="shared" si="1"/>
        <v>237</v>
      </c>
      <c r="R11" s="1" t="s">
        <v>7</v>
      </c>
      <c r="S11" s="17">
        <f t="shared" ref="S11:AF11" si="3">SUM(C14:C17)</f>
        <v>167</v>
      </c>
      <c r="T11" s="17">
        <f t="shared" si="3"/>
        <v>27</v>
      </c>
      <c r="U11" s="17">
        <f t="shared" si="3"/>
        <v>21</v>
      </c>
      <c r="V11" s="17">
        <f t="shared" si="3"/>
        <v>230</v>
      </c>
      <c r="W11" s="17">
        <f t="shared" si="3"/>
        <v>6</v>
      </c>
      <c r="X11" s="17">
        <f t="shared" si="3"/>
        <v>3</v>
      </c>
      <c r="Y11" s="17">
        <f t="shared" si="3"/>
        <v>40</v>
      </c>
      <c r="Z11" s="17">
        <f t="shared" si="3"/>
        <v>16</v>
      </c>
      <c r="AA11" s="17">
        <f t="shared" si="3"/>
        <v>6</v>
      </c>
      <c r="AB11" s="17">
        <f t="shared" si="3"/>
        <v>9</v>
      </c>
      <c r="AC11" s="17">
        <f t="shared" si="3"/>
        <v>632</v>
      </c>
      <c r="AD11" s="17">
        <f t="shared" si="3"/>
        <v>0</v>
      </c>
      <c r="AE11" s="31">
        <f t="shared" si="3"/>
        <v>525</v>
      </c>
      <c r="AF11" s="31">
        <f t="shared" si="3"/>
        <v>1157</v>
      </c>
    </row>
    <row r="12" spans="2:32" ht="23.1" customHeight="1" x14ac:dyDescent="0.25">
      <c r="B12" s="23" t="s">
        <v>39</v>
      </c>
      <c r="C12" s="50">
        <v>29</v>
      </c>
      <c r="D12" s="50">
        <v>8</v>
      </c>
      <c r="E12" s="50">
        <v>3</v>
      </c>
      <c r="F12" s="50">
        <v>49</v>
      </c>
      <c r="G12" s="50">
        <v>3</v>
      </c>
      <c r="H12" s="50">
        <v>0</v>
      </c>
      <c r="I12" s="50">
        <v>15</v>
      </c>
      <c r="J12" s="50">
        <v>5</v>
      </c>
      <c r="K12" s="50">
        <v>4</v>
      </c>
      <c r="L12" s="50">
        <v>1</v>
      </c>
      <c r="M12" s="50">
        <v>160</v>
      </c>
      <c r="N12" s="50">
        <v>1</v>
      </c>
      <c r="O12" s="15">
        <f t="shared" si="0"/>
        <v>118</v>
      </c>
      <c r="P12" s="15">
        <f t="shared" si="1"/>
        <v>278</v>
      </c>
      <c r="R12" s="1" t="s">
        <v>8</v>
      </c>
      <c r="S12" s="17">
        <f t="shared" ref="S12:AF12" si="4">SUM(C18:C21)</f>
        <v>164</v>
      </c>
      <c r="T12" s="17">
        <f t="shared" si="4"/>
        <v>52</v>
      </c>
      <c r="U12" s="17">
        <f t="shared" si="4"/>
        <v>32</v>
      </c>
      <c r="V12" s="17">
        <f t="shared" si="4"/>
        <v>204</v>
      </c>
      <c r="W12" s="17">
        <f t="shared" si="4"/>
        <v>6</v>
      </c>
      <c r="X12" s="17">
        <f t="shared" si="4"/>
        <v>6</v>
      </c>
      <c r="Y12" s="17">
        <f t="shared" si="4"/>
        <v>62</v>
      </c>
      <c r="Z12" s="17">
        <f t="shared" si="4"/>
        <v>18</v>
      </c>
      <c r="AA12" s="17">
        <f t="shared" si="4"/>
        <v>1</v>
      </c>
      <c r="AB12" s="17">
        <f t="shared" si="4"/>
        <v>15</v>
      </c>
      <c r="AC12" s="17">
        <f t="shared" si="4"/>
        <v>711</v>
      </c>
      <c r="AD12" s="17">
        <f t="shared" si="4"/>
        <v>0</v>
      </c>
      <c r="AE12" s="31">
        <f t="shared" si="4"/>
        <v>560</v>
      </c>
      <c r="AF12" s="31">
        <f t="shared" si="4"/>
        <v>1271</v>
      </c>
    </row>
    <row r="13" spans="2:32" ht="23.1" customHeight="1" x14ac:dyDescent="0.25">
      <c r="B13" s="23" t="s">
        <v>40</v>
      </c>
      <c r="C13" s="50">
        <v>46</v>
      </c>
      <c r="D13" s="50">
        <v>7</v>
      </c>
      <c r="E13" s="50">
        <v>3</v>
      </c>
      <c r="F13" s="50">
        <v>40</v>
      </c>
      <c r="G13" s="50">
        <v>3</v>
      </c>
      <c r="H13" s="50">
        <v>4</v>
      </c>
      <c r="I13" s="50">
        <v>14</v>
      </c>
      <c r="J13" s="50">
        <v>2</v>
      </c>
      <c r="K13" s="50">
        <v>1</v>
      </c>
      <c r="L13" s="50">
        <v>5</v>
      </c>
      <c r="M13" s="50">
        <v>118</v>
      </c>
      <c r="N13" s="50">
        <v>0</v>
      </c>
      <c r="O13" s="15">
        <f t="shared" si="0"/>
        <v>125</v>
      </c>
      <c r="P13" s="15">
        <f t="shared" si="1"/>
        <v>243</v>
      </c>
      <c r="R13" s="1" t="s">
        <v>9</v>
      </c>
      <c r="S13" s="17">
        <f t="shared" ref="S13:AF13" si="5">SUM(C22:C25)</f>
        <v>187</v>
      </c>
      <c r="T13" s="17">
        <f t="shared" si="5"/>
        <v>54</v>
      </c>
      <c r="U13" s="17">
        <f t="shared" si="5"/>
        <v>22</v>
      </c>
      <c r="V13" s="17">
        <f t="shared" si="5"/>
        <v>223</v>
      </c>
      <c r="W13" s="17">
        <f t="shared" si="5"/>
        <v>9</v>
      </c>
      <c r="X13" s="17">
        <f t="shared" si="5"/>
        <v>14</v>
      </c>
      <c r="Y13" s="17">
        <f t="shared" si="5"/>
        <v>96</v>
      </c>
      <c r="Z13" s="17">
        <f t="shared" si="5"/>
        <v>33</v>
      </c>
      <c r="AA13" s="17">
        <f t="shared" si="5"/>
        <v>2</v>
      </c>
      <c r="AB13" s="17">
        <f t="shared" si="5"/>
        <v>16</v>
      </c>
      <c r="AC13" s="17">
        <f t="shared" si="5"/>
        <v>720</v>
      </c>
      <c r="AD13" s="17">
        <f t="shared" si="5"/>
        <v>0</v>
      </c>
      <c r="AE13" s="31">
        <f t="shared" si="5"/>
        <v>656</v>
      </c>
      <c r="AF13" s="31">
        <f t="shared" si="5"/>
        <v>1376</v>
      </c>
    </row>
    <row r="14" spans="2:32" ht="23.1" customHeight="1" x14ac:dyDescent="0.25">
      <c r="B14" s="23" t="s">
        <v>41</v>
      </c>
      <c r="C14" s="50">
        <v>29</v>
      </c>
      <c r="D14" s="50">
        <v>8</v>
      </c>
      <c r="E14" s="50">
        <v>6</v>
      </c>
      <c r="F14" s="50">
        <v>48</v>
      </c>
      <c r="G14" s="50">
        <v>3</v>
      </c>
      <c r="H14" s="50">
        <v>1</v>
      </c>
      <c r="I14" s="50">
        <v>6</v>
      </c>
      <c r="J14" s="50">
        <v>5</v>
      </c>
      <c r="K14" s="50">
        <v>1</v>
      </c>
      <c r="L14" s="50">
        <v>2</v>
      </c>
      <c r="M14" s="50">
        <v>184</v>
      </c>
      <c r="N14" s="50">
        <v>0</v>
      </c>
      <c r="O14" s="15">
        <f t="shared" si="0"/>
        <v>109</v>
      </c>
      <c r="P14" s="15">
        <f t="shared" si="1"/>
        <v>293</v>
      </c>
      <c r="R14" s="1" t="s">
        <v>10</v>
      </c>
      <c r="S14" s="17">
        <f t="shared" ref="S14:AF14" si="6">SUM(C26:C29)</f>
        <v>193</v>
      </c>
      <c r="T14" s="17">
        <f t="shared" si="6"/>
        <v>37</v>
      </c>
      <c r="U14" s="17">
        <f t="shared" si="6"/>
        <v>17</v>
      </c>
      <c r="V14" s="17">
        <f t="shared" si="6"/>
        <v>216</v>
      </c>
      <c r="W14" s="17">
        <f t="shared" si="6"/>
        <v>8</v>
      </c>
      <c r="X14" s="17">
        <f t="shared" si="6"/>
        <v>8</v>
      </c>
      <c r="Y14" s="17">
        <f t="shared" si="6"/>
        <v>63</v>
      </c>
      <c r="Z14" s="17">
        <f t="shared" si="6"/>
        <v>36</v>
      </c>
      <c r="AA14" s="17">
        <f t="shared" si="6"/>
        <v>2</v>
      </c>
      <c r="AB14" s="17">
        <f t="shared" si="6"/>
        <v>26</v>
      </c>
      <c r="AC14" s="17">
        <f t="shared" si="6"/>
        <v>620</v>
      </c>
      <c r="AD14" s="17">
        <f t="shared" si="6"/>
        <v>0</v>
      </c>
      <c r="AE14" s="31">
        <f t="shared" si="6"/>
        <v>606</v>
      </c>
      <c r="AF14" s="31">
        <f t="shared" si="6"/>
        <v>1226</v>
      </c>
    </row>
    <row r="15" spans="2:32" ht="23.1" customHeight="1" x14ac:dyDescent="0.25">
      <c r="B15" s="23" t="s">
        <v>42</v>
      </c>
      <c r="C15" s="50">
        <v>32</v>
      </c>
      <c r="D15" s="50">
        <v>4</v>
      </c>
      <c r="E15" s="50">
        <v>6</v>
      </c>
      <c r="F15" s="50">
        <v>62</v>
      </c>
      <c r="G15" s="50">
        <v>0</v>
      </c>
      <c r="H15" s="50">
        <v>0</v>
      </c>
      <c r="I15" s="50">
        <v>15</v>
      </c>
      <c r="J15" s="50">
        <v>4</v>
      </c>
      <c r="K15" s="50">
        <v>3</v>
      </c>
      <c r="L15" s="50">
        <v>1</v>
      </c>
      <c r="M15" s="50">
        <v>175</v>
      </c>
      <c r="N15" s="50">
        <v>0</v>
      </c>
      <c r="O15" s="15">
        <f t="shared" si="0"/>
        <v>127</v>
      </c>
      <c r="P15" s="15">
        <f t="shared" si="1"/>
        <v>302</v>
      </c>
      <c r="R15" s="1" t="s">
        <v>11</v>
      </c>
      <c r="S15" s="17">
        <f t="shared" ref="S15:AF15" si="7">SUM(C30:C33)</f>
        <v>183</v>
      </c>
      <c r="T15" s="17">
        <f t="shared" si="7"/>
        <v>29</v>
      </c>
      <c r="U15" s="17">
        <f t="shared" si="7"/>
        <v>10</v>
      </c>
      <c r="V15" s="17">
        <f t="shared" si="7"/>
        <v>194</v>
      </c>
      <c r="W15" s="17">
        <f t="shared" si="7"/>
        <v>13</v>
      </c>
      <c r="X15" s="17">
        <f t="shared" si="7"/>
        <v>9</v>
      </c>
      <c r="Y15" s="17">
        <f t="shared" si="7"/>
        <v>43</v>
      </c>
      <c r="Z15" s="17">
        <f t="shared" si="7"/>
        <v>55</v>
      </c>
      <c r="AA15" s="17">
        <f t="shared" si="7"/>
        <v>6</v>
      </c>
      <c r="AB15" s="17">
        <f t="shared" si="7"/>
        <v>21</v>
      </c>
      <c r="AC15" s="17">
        <f t="shared" si="7"/>
        <v>385</v>
      </c>
      <c r="AD15" s="17">
        <f t="shared" si="7"/>
        <v>0</v>
      </c>
      <c r="AE15" s="31">
        <f t="shared" si="7"/>
        <v>563</v>
      </c>
      <c r="AF15" s="31">
        <f t="shared" si="7"/>
        <v>948</v>
      </c>
    </row>
    <row r="16" spans="2:32" ht="23.1" customHeight="1" x14ac:dyDescent="0.25">
      <c r="B16" s="23" t="s">
        <v>43</v>
      </c>
      <c r="C16" s="50">
        <v>60</v>
      </c>
      <c r="D16" s="50">
        <v>5</v>
      </c>
      <c r="E16" s="50">
        <v>4</v>
      </c>
      <c r="F16" s="50">
        <v>67</v>
      </c>
      <c r="G16" s="50">
        <v>0</v>
      </c>
      <c r="H16" s="50">
        <v>1</v>
      </c>
      <c r="I16" s="50">
        <v>8</v>
      </c>
      <c r="J16" s="50">
        <v>2</v>
      </c>
      <c r="K16" s="50">
        <v>2</v>
      </c>
      <c r="L16" s="50">
        <v>3</v>
      </c>
      <c r="M16" s="50">
        <v>145</v>
      </c>
      <c r="N16" s="50">
        <v>0</v>
      </c>
      <c r="O16" s="15">
        <f t="shared" si="0"/>
        <v>152</v>
      </c>
      <c r="P16" s="15">
        <f t="shared" si="1"/>
        <v>297</v>
      </c>
      <c r="R16" s="1" t="s">
        <v>12</v>
      </c>
      <c r="S16" s="17">
        <f t="shared" ref="S16:AF16" si="8">SUM(C34:C37)</f>
        <v>118</v>
      </c>
      <c r="T16" s="17">
        <f t="shared" si="8"/>
        <v>21</v>
      </c>
      <c r="U16" s="17">
        <f t="shared" si="8"/>
        <v>12</v>
      </c>
      <c r="V16" s="17">
        <f t="shared" si="8"/>
        <v>139</v>
      </c>
      <c r="W16" s="17">
        <f t="shared" si="8"/>
        <v>2</v>
      </c>
      <c r="X16" s="17">
        <f t="shared" si="8"/>
        <v>0</v>
      </c>
      <c r="Y16" s="17">
        <f t="shared" si="8"/>
        <v>52</v>
      </c>
      <c r="Z16" s="17">
        <f t="shared" si="8"/>
        <v>48</v>
      </c>
      <c r="AA16" s="17">
        <f t="shared" si="8"/>
        <v>6</v>
      </c>
      <c r="AB16" s="17">
        <f t="shared" si="8"/>
        <v>23</v>
      </c>
      <c r="AC16" s="17">
        <f t="shared" si="8"/>
        <v>670</v>
      </c>
      <c r="AD16" s="17">
        <f t="shared" si="8"/>
        <v>0</v>
      </c>
      <c r="AE16" s="31">
        <f t="shared" si="8"/>
        <v>421</v>
      </c>
      <c r="AF16" s="31">
        <f t="shared" si="8"/>
        <v>1091</v>
      </c>
    </row>
    <row r="17" spans="2:32" ht="23.1" customHeight="1" x14ac:dyDescent="0.25">
      <c r="B17" s="23" t="s">
        <v>44</v>
      </c>
      <c r="C17" s="50">
        <v>46</v>
      </c>
      <c r="D17" s="50">
        <v>10</v>
      </c>
      <c r="E17" s="50">
        <v>5</v>
      </c>
      <c r="F17" s="50">
        <v>53</v>
      </c>
      <c r="G17" s="50">
        <v>3</v>
      </c>
      <c r="H17" s="50">
        <v>1</v>
      </c>
      <c r="I17" s="50">
        <v>11</v>
      </c>
      <c r="J17" s="50">
        <v>5</v>
      </c>
      <c r="K17" s="50">
        <v>0</v>
      </c>
      <c r="L17" s="50">
        <v>3</v>
      </c>
      <c r="M17" s="50">
        <v>128</v>
      </c>
      <c r="N17" s="50">
        <v>0</v>
      </c>
      <c r="O17" s="15">
        <f t="shared" si="0"/>
        <v>137</v>
      </c>
      <c r="P17" s="15">
        <f t="shared" si="1"/>
        <v>265</v>
      </c>
      <c r="R17" s="1" t="s">
        <v>13</v>
      </c>
      <c r="S17" s="17">
        <f t="shared" ref="S17:AF17" si="9">SUM(C38:C41)</f>
        <v>154</v>
      </c>
      <c r="T17" s="17">
        <f t="shared" si="9"/>
        <v>19</v>
      </c>
      <c r="U17" s="17">
        <f t="shared" si="9"/>
        <v>22</v>
      </c>
      <c r="V17" s="17">
        <f t="shared" si="9"/>
        <v>187</v>
      </c>
      <c r="W17" s="17">
        <f t="shared" si="9"/>
        <v>5</v>
      </c>
      <c r="X17" s="17">
        <f t="shared" si="9"/>
        <v>9</v>
      </c>
      <c r="Y17" s="17">
        <f t="shared" si="9"/>
        <v>54</v>
      </c>
      <c r="Z17" s="17">
        <f t="shared" si="9"/>
        <v>51</v>
      </c>
      <c r="AA17" s="17">
        <f t="shared" si="9"/>
        <v>13</v>
      </c>
      <c r="AB17" s="17">
        <f t="shared" si="9"/>
        <v>30</v>
      </c>
      <c r="AC17" s="17">
        <f t="shared" si="9"/>
        <v>455</v>
      </c>
      <c r="AD17" s="17">
        <f t="shared" si="9"/>
        <v>0</v>
      </c>
      <c r="AE17" s="31">
        <f t="shared" si="9"/>
        <v>544</v>
      </c>
      <c r="AF17" s="31">
        <f t="shared" si="9"/>
        <v>999</v>
      </c>
    </row>
    <row r="18" spans="2:32" ht="23.1" customHeight="1" x14ac:dyDescent="0.25">
      <c r="B18" s="23" t="s">
        <v>45</v>
      </c>
      <c r="C18" s="50">
        <v>35</v>
      </c>
      <c r="D18" s="50">
        <v>17</v>
      </c>
      <c r="E18" s="50">
        <v>7</v>
      </c>
      <c r="F18" s="50">
        <v>50</v>
      </c>
      <c r="G18" s="50">
        <v>4</v>
      </c>
      <c r="H18" s="50">
        <v>3</v>
      </c>
      <c r="I18" s="50">
        <v>11</v>
      </c>
      <c r="J18" s="50">
        <v>3</v>
      </c>
      <c r="K18" s="50">
        <v>0</v>
      </c>
      <c r="L18" s="50">
        <v>3</v>
      </c>
      <c r="M18" s="50">
        <v>170</v>
      </c>
      <c r="N18" s="50">
        <v>0</v>
      </c>
      <c r="O18" s="15">
        <f t="shared" si="0"/>
        <v>133</v>
      </c>
      <c r="P18" s="15">
        <f t="shared" si="1"/>
        <v>303</v>
      </c>
      <c r="R18" s="1" t="s">
        <v>14</v>
      </c>
      <c r="S18" s="17">
        <f t="shared" ref="S18:AF18" si="10">SUM(C42:C45)</f>
        <v>151</v>
      </c>
      <c r="T18" s="17">
        <f t="shared" si="10"/>
        <v>85</v>
      </c>
      <c r="U18" s="17">
        <f t="shared" si="10"/>
        <v>10</v>
      </c>
      <c r="V18" s="17">
        <f t="shared" si="10"/>
        <v>230</v>
      </c>
      <c r="W18" s="17">
        <f t="shared" si="10"/>
        <v>3</v>
      </c>
      <c r="X18" s="17">
        <f t="shared" si="10"/>
        <v>4</v>
      </c>
      <c r="Y18" s="17">
        <f t="shared" si="10"/>
        <v>53</v>
      </c>
      <c r="Z18" s="17">
        <f t="shared" si="10"/>
        <v>78</v>
      </c>
      <c r="AA18" s="17">
        <f t="shared" si="10"/>
        <v>8</v>
      </c>
      <c r="AB18" s="17">
        <f t="shared" si="10"/>
        <v>23</v>
      </c>
      <c r="AC18" s="17">
        <f t="shared" si="10"/>
        <v>485</v>
      </c>
      <c r="AD18" s="17">
        <f t="shared" si="10"/>
        <v>0</v>
      </c>
      <c r="AE18" s="31">
        <f t="shared" si="10"/>
        <v>645</v>
      </c>
      <c r="AF18" s="31">
        <f t="shared" si="10"/>
        <v>1130</v>
      </c>
    </row>
    <row r="19" spans="2:32" ht="23.1" customHeight="1" x14ac:dyDescent="0.25">
      <c r="B19" s="23" t="s">
        <v>46</v>
      </c>
      <c r="C19" s="50">
        <v>36</v>
      </c>
      <c r="D19" s="50">
        <v>5</v>
      </c>
      <c r="E19" s="50">
        <v>7</v>
      </c>
      <c r="F19" s="50">
        <v>73</v>
      </c>
      <c r="G19" s="50">
        <v>1</v>
      </c>
      <c r="H19" s="50">
        <v>2</v>
      </c>
      <c r="I19" s="50">
        <v>11</v>
      </c>
      <c r="J19" s="50">
        <v>5</v>
      </c>
      <c r="K19" s="50">
        <v>0</v>
      </c>
      <c r="L19" s="50">
        <v>5</v>
      </c>
      <c r="M19" s="50">
        <v>171</v>
      </c>
      <c r="N19" s="50">
        <v>0</v>
      </c>
      <c r="O19" s="15">
        <f t="shared" si="0"/>
        <v>145</v>
      </c>
      <c r="P19" s="15">
        <f t="shared" si="1"/>
        <v>316</v>
      </c>
      <c r="R19" s="1" t="s">
        <v>15</v>
      </c>
      <c r="S19" s="17">
        <f t="shared" ref="S19:AF19" si="11">SUM(C46:C49)</f>
        <v>185</v>
      </c>
      <c r="T19" s="17">
        <f t="shared" si="11"/>
        <v>39</v>
      </c>
      <c r="U19" s="17">
        <f t="shared" si="11"/>
        <v>21</v>
      </c>
      <c r="V19" s="17">
        <f t="shared" si="11"/>
        <v>165</v>
      </c>
      <c r="W19" s="17">
        <f t="shared" si="11"/>
        <v>4</v>
      </c>
      <c r="X19" s="17">
        <f t="shared" si="11"/>
        <v>3</v>
      </c>
      <c r="Y19" s="17">
        <f t="shared" si="11"/>
        <v>62</v>
      </c>
      <c r="Z19" s="17">
        <f t="shared" si="11"/>
        <v>87</v>
      </c>
      <c r="AA19" s="17">
        <f t="shared" si="11"/>
        <v>8</v>
      </c>
      <c r="AB19" s="17">
        <f t="shared" si="11"/>
        <v>23</v>
      </c>
      <c r="AC19" s="17">
        <f t="shared" si="11"/>
        <v>680</v>
      </c>
      <c r="AD19" s="17">
        <f t="shared" si="11"/>
        <v>0</v>
      </c>
      <c r="AE19" s="31">
        <f t="shared" si="11"/>
        <v>597</v>
      </c>
      <c r="AF19" s="31">
        <f t="shared" si="11"/>
        <v>1277</v>
      </c>
    </row>
    <row r="20" spans="2:32" ht="23.1" customHeight="1" x14ac:dyDescent="0.25">
      <c r="B20" s="23" t="s">
        <v>47</v>
      </c>
      <c r="C20" s="50">
        <v>50</v>
      </c>
      <c r="D20" s="50">
        <v>14</v>
      </c>
      <c r="E20" s="50">
        <v>5</v>
      </c>
      <c r="F20" s="50">
        <v>43</v>
      </c>
      <c r="G20" s="50">
        <v>0</v>
      </c>
      <c r="H20" s="50">
        <v>1</v>
      </c>
      <c r="I20" s="50">
        <v>16</v>
      </c>
      <c r="J20" s="50">
        <v>0</v>
      </c>
      <c r="K20" s="50">
        <v>0</v>
      </c>
      <c r="L20" s="50">
        <v>3</v>
      </c>
      <c r="M20" s="50">
        <v>190</v>
      </c>
      <c r="N20" s="50">
        <v>0</v>
      </c>
      <c r="O20" s="15">
        <f t="shared" si="0"/>
        <v>132</v>
      </c>
      <c r="P20" s="15">
        <f t="shared" si="1"/>
        <v>322</v>
      </c>
      <c r="R20" s="1" t="s">
        <v>16</v>
      </c>
      <c r="S20" s="17">
        <f t="shared" ref="S20:AF20" si="12">SUM(C50:C53)</f>
        <v>300</v>
      </c>
      <c r="T20" s="17">
        <f t="shared" si="12"/>
        <v>32</v>
      </c>
      <c r="U20" s="17">
        <f t="shared" si="12"/>
        <v>21</v>
      </c>
      <c r="V20" s="17">
        <f t="shared" si="12"/>
        <v>180</v>
      </c>
      <c r="W20" s="17">
        <f t="shared" si="12"/>
        <v>7</v>
      </c>
      <c r="X20" s="17">
        <f t="shared" si="12"/>
        <v>6</v>
      </c>
      <c r="Y20" s="17">
        <f t="shared" si="12"/>
        <v>29</v>
      </c>
      <c r="Z20" s="17">
        <f t="shared" si="12"/>
        <v>65</v>
      </c>
      <c r="AA20" s="17">
        <f t="shared" si="12"/>
        <v>8</v>
      </c>
      <c r="AB20" s="17">
        <f t="shared" si="12"/>
        <v>14</v>
      </c>
      <c r="AC20" s="17">
        <f t="shared" si="12"/>
        <v>730</v>
      </c>
      <c r="AD20" s="17">
        <f t="shared" si="12"/>
        <v>0</v>
      </c>
      <c r="AE20" s="31">
        <f t="shared" si="12"/>
        <v>662</v>
      </c>
      <c r="AF20" s="31">
        <f t="shared" si="12"/>
        <v>1392</v>
      </c>
    </row>
    <row r="21" spans="2:32" ht="23.1" customHeight="1" x14ac:dyDescent="0.25">
      <c r="B21" s="23" t="s">
        <v>48</v>
      </c>
      <c r="C21" s="50">
        <v>43</v>
      </c>
      <c r="D21" s="50">
        <v>16</v>
      </c>
      <c r="E21" s="50">
        <v>13</v>
      </c>
      <c r="F21" s="50">
        <v>38</v>
      </c>
      <c r="G21" s="50">
        <v>1</v>
      </c>
      <c r="H21" s="50">
        <v>0</v>
      </c>
      <c r="I21" s="50">
        <v>24</v>
      </c>
      <c r="J21" s="50">
        <v>10</v>
      </c>
      <c r="K21" s="50">
        <v>1</v>
      </c>
      <c r="L21" s="50">
        <v>4</v>
      </c>
      <c r="M21" s="50">
        <v>180</v>
      </c>
      <c r="N21" s="50">
        <v>0</v>
      </c>
      <c r="O21" s="15">
        <f t="shared" si="0"/>
        <v>150</v>
      </c>
      <c r="P21" s="15">
        <f t="shared" si="1"/>
        <v>330</v>
      </c>
      <c r="R21" s="36" t="s">
        <v>20</v>
      </c>
      <c r="S21" s="34">
        <f t="shared" ref="S21:AF21" si="13">SUM(C54:C57)</f>
        <v>296</v>
      </c>
      <c r="T21" s="17">
        <f t="shared" si="13"/>
        <v>38</v>
      </c>
      <c r="U21" s="17">
        <f t="shared" si="13"/>
        <v>27</v>
      </c>
      <c r="V21" s="17">
        <f t="shared" si="13"/>
        <v>191</v>
      </c>
      <c r="W21" s="17">
        <f t="shared" si="13"/>
        <v>7</v>
      </c>
      <c r="X21" s="17">
        <f t="shared" si="13"/>
        <v>1</v>
      </c>
      <c r="Y21" s="17">
        <f t="shared" si="13"/>
        <v>24</v>
      </c>
      <c r="Z21" s="17">
        <f t="shared" si="13"/>
        <v>29</v>
      </c>
      <c r="AA21" s="17">
        <f t="shared" si="13"/>
        <v>2</v>
      </c>
      <c r="AB21" s="17">
        <f t="shared" si="13"/>
        <v>14</v>
      </c>
      <c r="AC21" s="17">
        <f t="shared" si="13"/>
        <v>985</v>
      </c>
      <c r="AD21" s="17">
        <f t="shared" si="13"/>
        <v>0</v>
      </c>
      <c r="AE21" s="31">
        <f t="shared" si="13"/>
        <v>629</v>
      </c>
      <c r="AF21" s="31">
        <f t="shared" si="13"/>
        <v>1614</v>
      </c>
    </row>
    <row r="22" spans="2:32" ht="23.1" customHeight="1" x14ac:dyDescent="0.25">
      <c r="B22" s="23" t="s">
        <v>49</v>
      </c>
      <c r="C22" s="50">
        <v>47</v>
      </c>
      <c r="D22" s="50">
        <v>10</v>
      </c>
      <c r="E22" s="50">
        <v>5</v>
      </c>
      <c r="F22" s="50">
        <v>61</v>
      </c>
      <c r="G22" s="50">
        <v>2</v>
      </c>
      <c r="H22" s="50">
        <v>7</v>
      </c>
      <c r="I22" s="50">
        <v>34</v>
      </c>
      <c r="J22" s="50">
        <v>6</v>
      </c>
      <c r="K22" s="50">
        <v>0</v>
      </c>
      <c r="L22" s="50">
        <v>5</v>
      </c>
      <c r="M22" s="50">
        <v>200</v>
      </c>
      <c r="N22" s="50">
        <v>0</v>
      </c>
      <c r="O22" s="15">
        <f t="shared" si="0"/>
        <v>177</v>
      </c>
      <c r="P22" s="15">
        <f t="shared" si="1"/>
        <v>377</v>
      </c>
      <c r="R22" s="38" t="s">
        <v>90</v>
      </c>
      <c r="S22" s="39">
        <f>MAX(S10:S12)</f>
        <v>167</v>
      </c>
      <c r="T22" s="39">
        <f t="shared" ref="T22:AF22" si="14">MAX(T10:T12)</f>
        <v>52</v>
      </c>
      <c r="U22" s="39">
        <f t="shared" si="14"/>
        <v>32</v>
      </c>
      <c r="V22" s="39">
        <f t="shared" si="14"/>
        <v>230</v>
      </c>
      <c r="W22" s="39">
        <f t="shared" si="14"/>
        <v>10</v>
      </c>
      <c r="X22" s="39">
        <f t="shared" si="14"/>
        <v>12</v>
      </c>
      <c r="Y22" s="39">
        <f t="shared" si="14"/>
        <v>62</v>
      </c>
      <c r="Z22" s="39">
        <f t="shared" si="14"/>
        <v>26</v>
      </c>
      <c r="AA22" s="39">
        <f t="shared" si="14"/>
        <v>6</v>
      </c>
      <c r="AB22" s="39">
        <f t="shared" si="14"/>
        <v>15</v>
      </c>
      <c r="AC22" s="39">
        <f t="shared" si="14"/>
        <v>711</v>
      </c>
      <c r="AD22" s="39">
        <f t="shared" si="14"/>
        <v>2</v>
      </c>
      <c r="AE22" s="40">
        <f t="shared" si="14"/>
        <v>560</v>
      </c>
      <c r="AF22" s="40">
        <f t="shared" si="14"/>
        <v>1271</v>
      </c>
    </row>
    <row r="23" spans="2:32" ht="23.1" customHeight="1" x14ac:dyDescent="0.25">
      <c r="B23" s="23" t="s">
        <v>50</v>
      </c>
      <c r="C23" s="50">
        <v>35</v>
      </c>
      <c r="D23" s="50">
        <v>16</v>
      </c>
      <c r="E23" s="50">
        <v>8</v>
      </c>
      <c r="F23" s="50">
        <v>58</v>
      </c>
      <c r="G23" s="50">
        <v>4</v>
      </c>
      <c r="H23" s="50">
        <v>2</v>
      </c>
      <c r="I23" s="50">
        <v>10</v>
      </c>
      <c r="J23" s="50">
        <v>8</v>
      </c>
      <c r="K23" s="50">
        <v>0</v>
      </c>
      <c r="L23" s="50">
        <v>0</v>
      </c>
      <c r="M23" s="50">
        <v>170</v>
      </c>
      <c r="N23" s="50">
        <v>0</v>
      </c>
      <c r="O23" s="15">
        <f t="shared" si="0"/>
        <v>141</v>
      </c>
      <c r="P23" s="15">
        <f t="shared" si="1"/>
        <v>311</v>
      </c>
      <c r="R23" s="38" t="s">
        <v>91</v>
      </c>
      <c r="S23" s="39">
        <f>MAX(S13:S18)</f>
        <v>193</v>
      </c>
      <c r="T23" s="39">
        <f t="shared" ref="T23:AF23" si="15">MAX(T13:T18)</f>
        <v>85</v>
      </c>
      <c r="U23" s="39">
        <f t="shared" si="15"/>
        <v>22</v>
      </c>
      <c r="V23" s="39">
        <f t="shared" si="15"/>
        <v>230</v>
      </c>
      <c r="W23" s="39">
        <f t="shared" si="15"/>
        <v>13</v>
      </c>
      <c r="X23" s="39">
        <f t="shared" si="15"/>
        <v>14</v>
      </c>
      <c r="Y23" s="39">
        <f t="shared" si="15"/>
        <v>96</v>
      </c>
      <c r="Z23" s="39">
        <f t="shared" si="15"/>
        <v>78</v>
      </c>
      <c r="AA23" s="39">
        <f t="shared" si="15"/>
        <v>13</v>
      </c>
      <c r="AB23" s="39">
        <f t="shared" si="15"/>
        <v>30</v>
      </c>
      <c r="AC23" s="39">
        <f t="shared" si="15"/>
        <v>720</v>
      </c>
      <c r="AD23" s="39">
        <f t="shared" si="15"/>
        <v>0</v>
      </c>
      <c r="AE23" s="40">
        <f t="shared" si="15"/>
        <v>656</v>
      </c>
      <c r="AF23" s="40">
        <f t="shared" si="15"/>
        <v>1376</v>
      </c>
    </row>
    <row r="24" spans="2:32" ht="23.1" customHeight="1" x14ac:dyDescent="0.25">
      <c r="B24" s="23" t="s">
        <v>51</v>
      </c>
      <c r="C24" s="50">
        <v>55</v>
      </c>
      <c r="D24" s="50">
        <v>18</v>
      </c>
      <c r="E24" s="50">
        <v>5</v>
      </c>
      <c r="F24" s="50">
        <v>51</v>
      </c>
      <c r="G24" s="50">
        <v>1</v>
      </c>
      <c r="H24" s="50">
        <v>2</v>
      </c>
      <c r="I24" s="50">
        <v>29</v>
      </c>
      <c r="J24" s="50">
        <v>12</v>
      </c>
      <c r="K24" s="50">
        <v>0</v>
      </c>
      <c r="L24" s="50">
        <v>4</v>
      </c>
      <c r="M24" s="50">
        <v>130</v>
      </c>
      <c r="N24" s="50">
        <v>0</v>
      </c>
      <c r="O24" s="15">
        <f t="shared" si="0"/>
        <v>177</v>
      </c>
      <c r="P24" s="15">
        <f t="shared" si="1"/>
        <v>307</v>
      </c>
      <c r="R24" s="38" t="s">
        <v>92</v>
      </c>
      <c r="S24" s="39">
        <f>MAX(S19:S21)</f>
        <v>300</v>
      </c>
      <c r="T24" s="39">
        <f t="shared" ref="T24:AF24" si="16">MAX(T19:T21)</f>
        <v>39</v>
      </c>
      <c r="U24" s="39">
        <f t="shared" si="16"/>
        <v>27</v>
      </c>
      <c r="V24" s="39">
        <f t="shared" si="16"/>
        <v>191</v>
      </c>
      <c r="W24" s="39">
        <f t="shared" si="16"/>
        <v>7</v>
      </c>
      <c r="X24" s="39">
        <f t="shared" si="16"/>
        <v>6</v>
      </c>
      <c r="Y24" s="39">
        <f t="shared" si="16"/>
        <v>62</v>
      </c>
      <c r="Z24" s="39">
        <f t="shared" si="16"/>
        <v>87</v>
      </c>
      <c r="AA24" s="39">
        <f t="shared" si="16"/>
        <v>8</v>
      </c>
      <c r="AB24" s="39">
        <f t="shared" si="16"/>
        <v>23</v>
      </c>
      <c r="AC24" s="39">
        <f t="shared" si="16"/>
        <v>985</v>
      </c>
      <c r="AD24" s="39">
        <f t="shared" si="16"/>
        <v>0</v>
      </c>
      <c r="AE24" s="40">
        <f t="shared" si="16"/>
        <v>662</v>
      </c>
      <c r="AF24" s="40">
        <f t="shared" si="16"/>
        <v>1614</v>
      </c>
    </row>
    <row r="25" spans="2:32" ht="23.1" customHeight="1" x14ac:dyDescent="0.25">
      <c r="B25" s="23" t="s">
        <v>52</v>
      </c>
      <c r="C25" s="50">
        <v>50</v>
      </c>
      <c r="D25" s="50">
        <v>10</v>
      </c>
      <c r="E25" s="50">
        <v>4</v>
      </c>
      <c r="F25" s="50">
        <v>53</v>
      </c>
      <c r="G25" s="50">
        <v>2</v>
      </c>
      <c r="H25" s="50">
        <v>3</v>
      </c>
      <c r="I25" s="50">
        <v>23</v>
      </c>
      <c r="J25" s="50">
        <v>7</v>
      </c>
      <c r="K25" s="50">
        <v>2</v>
      </c>
      <c r="L25" s="50">
        <v>7</v>
      </c>
      <c r="M25" s="50">
        <v>220</v>
      </c>
      <c r="N25" s="50">
        <v>0</v>
      </c>
      <c r="O25" s="15">
        <f t="shared" si="0"/>
        <v>161</v>
      </c>
      <c r="P25" s="15">
        <f t="shared" si="1"/>
        <v>381</v>
      </c>
      <c r="R25" s="37" t="s">
        <v>85</v>
      </c>
      <c r="S25" s="35">
        <f t="shared" ref="S25:AF25" si="17">SUM(S10:S12)</f>
        <v>480</v>
      </c>
      <c r="T25" s="16">
        <f t="shared" si="17"/>
        <v>105</v>
      </c>
      <c r="U25" s="16">
        <f t="shared" si="17"/>
        <v>68</v>
      </c>
      <c r="V25" s="16">
        <f t="shared" si="17"/>
        <v>613</v>
      </c>
      <c r="W25" s="16">
        <f t="shared" si="17"/>
        <v>22</v>
      </c>
      <c r="X25" s="16">
        <f t="shared" si="17"/>
        <v>21</v>
      </c>
      <c r="Y25" s="16">
        <f t="shared" si="17"/>
        <v>145</v>
      </c>
      <c r="Z25" s="16">
        <f t="shared" si="17"/>
        <v>60</v>
      </c>
      <c r="AA25" s="16">
        <f t="shared" si="17"/>
        <v>13</v>
      </c>
      <c r="AB25" s="16">
        <f t="shared" si="17"/>
        <v>36</v>
      </c>
      <c r="AC25" s="16">
        <f t="shared" si="17"/>
        <v>1842</v>
      </c>
      <c r="AD25" s="16">
        <f t="shared" si="17"/>
        <v>2</v>
      </c>
      <c r="AE25" s="32">
        <f t="shared" si="17"/>
        <v>1565</v>
      </c>
      <c r="AF25" s="32">
        <f t="shared" si="17"/>
        <v>3407</v>
      </c>
    </row>
    <row r="26" spans="2:32" ht="23.1" customHeight="1" x14ac:dyDescent="0.25">
      <c r="B26" s="23" t="s">
        <v>53</v>
      </c>
      <c r="C26" s="50">
        <v>56</v>
      </c>
      <c r="D26" s="50">
        <v>14</v>
      </c>
      <c r="E26" s="50">
        <v>4</v>
      </c>
      <c r="F26" s="50">
        <v>47</v>
      </c>
      <c r="G26" s="50">
        <v>0</v>
      </c>
      <c r="H26" s="50">
        <v>2</v>
      </c>
      <c r="I26" s="50">
        <v>12</v>
      </c>
      <c r="J26" s="50">
        <v>8</v>
      </c>
      <c r="K26" s="50">
        <v>1</v>
      </c>
      <c r="L26" s="50">
        <v>7</v>
      </c>
      <c r="M26" s="50">
        <v>125</v>
      </c>
      <c r="N26" s="50">
        <v>0</v>
      </c>
      <c r="O26" s="15">
        <f t="shared" si="0"/>
        <v>151</v>
      </c>
      <c r="P26" s="15">
        <f t="shared" si="1"/>
        <v>276</v>
      </c>
      <c r="R26" s="28" t="s">
        <v>86</v>
      </c>
      <c r="S26" s="16">
        <f t="shared" ref="S26:AF26" si="18">SUM(S13:S18)</f>
        <v>986</v>
      </c>
      <c r="T26" s="16">
        <f t="shared" si="18"/>
        <v>245</v>
      </c>
      <c r="U26" s="16">
        <f t="shared" si="18"/>
        <v>93</v>
      </c>
      <c r="V26" s="16">
        <f t="shared" si="18"/>
        <v>1189</v>
      </c>
      <c r="W26" s="16">
        <f t="shared" si="18"/>
        <v>40</v>
      </c>
      <c r="X26" s="16">
        <f t="shared" si="18"/>
        <v>44</v>
      </c>
      <c r="Y26" s="16">
        <f t="shared" si="18"/>
        <v>361</v>
      </c>
      <c r="Z26" s="16">
        <f t="shared" si="18"/>
        <v>301</v>
      </c>
      <c r="AA26" s="16">
        <f t="shared" si="18"/>
        <v>37</v>
      </c>
      <c r="AB26" s="16">
        <f t="shared" si="18"/>
        <v>139</v>
      </c>
      <c r="AC26" s="16">
        <f t="shared" si="18"/>
        <v>3335</v>
      </c>
      <c r="AD26" s="16">
        <f t="shared" si="18"/>
        <v>0</v>
      </c>
      <c r="AE26" s="32">
        <f t="shared" si="18"/>
        <v>3435</v>
      </c>
      <c r="AF26" s="32">
        <f t="shared" si="18"/>
        <v>6770</v>
      </c>
    </row>
    <row r="27" spans="2:32" ht="23.1" customHeight="1" x14ac:dyDescent="0.25">
      <c r="B27" s="23" t="s">
        <v>54</v>
      </c>
      <c r="C27" s="50">
        <v>35</v>
      </c>
      <c r="D27" s="50">
        <v>9</v>
      </c>
      <c r="E27" s="50">
        <v>4</v>
      </c>
      <c r="F27" s="50">
        <v>48</v>
      </c>
      <c r="G27" s="50">
        <v>2</v>
      </c>
      <c r="H27" s="50">
        <v>3</v>
      </c>
      <c r="I27" s="50">
        <v>28</v>
      </c>
      <c r="J27" s="50">
        <v>5</v>
      </c>
      <c r="K27" s="50">
        <v>0</v>
      </c>
      <c r="L27" s="50">
        <v>6</v>
      </c>
      <c r="M27" s="50">
        <v>210</v>
      </c>
      <c r="N27" s="50">
        <v>0</v>
      </c>
      <c r="O27" s="15">
        <f t="shared" si="0"/>
        <v>140</v>
      </c>
      <c r="P27" s="15">
        <f t="shared" si="1"/>
        <v>350</v>
      </c>
      <c r="R27" s="29" t="s">
        <v>87</v>
      </c>
      <c r="S27" s="16">
        <f t="shared" ref="S27:AF27" si="19">SUM(S19:S21)</f>
        <v>781</v>
      </c>
      <c r="T27" s="16">
        <f t="shared" si="19"/>
        <v>109</v>
      </c>
      <c r="U27" s="16">
        <f t="shared" si="19"/>
        <v>69</v>
      </c>
      <c r="V27" s="16">
        <f t="shared" si="19"/>
        <v>536</v>
      </c>
      <c r="W27" s="16">
        <f t="shared" si="19"/>
        <v>18</v>
      </c>
      <c r="X27" s="16">
        <f t="shared" si="19"/>
        <v>10</v>
      </c>
      <c r="Y27" s="16">
        <f t="shared" si="19"/>
        <v>115</v>
      </c>
      <c r="Z27" s="16">
        <f t="shared" si="19"/>
        <v>181</v>
      </c>
      <c r="AA27" s="16">
        <f t="shared" si="19"/>
        <v>18</v>
      </c>
      <c r="AB27" s="16">
        <f t="shared" si="19"/>
        <v>51</v>
      </c>
      <c r="AC27" s="16">
        <f t="shared" si="19"/>
        <v>2395</v>
      </c>
      <c r="AD27" s="16">
        <f t="shared" si="19"/>
        <v>0</v>
      </c>
      <c r="AE27" s="32">
        <f t="shared" si="19"/>
        <v>1888</v>
      </c>
      <c r="AF27" s="32">
        <f t="shared" si="19"/>
        <v>4283</v>
      </c>
    </row>
    <row r="28" spans="2:32" ht="23.1" customHeight="1" x14ac:dyDescent="0.25">
      <c r="B28" s="23" t="s">
        <v>55</v>
      </c>
      <c r="C28" s="50">
        <v>58</v>
      </c>
      <c r="D28" s="50">
        <v>9</v>
      </c>
      <c r="E28" s="50">
        <v>5</v>
      </c>
      <c r="F28" s="50">
        <v>66</v>
      </c>
      <c r="G28" s="50">
        <v>3</v>
      </c>
      <c r="H28" s="50">
        <v>2</v>
      </c>
      <c r="I28" s="50">
        <v>11</v>
      </c>
      <c r="J28" s="50">
        <v>12</v>
      </c>
      <c r="K28" s="50">
        <v>0</v>
      </c>
      <c r="L28" s="50">
        <v>10</v>
      </c>
      <c r="M28" s="50">
        <v>150</v>
      </c>
      <c r="N28" s="50">
        <v>0</v>
      </c>
      <c r="O28" s="15">
        <f t="shared" si="0"/>
        <v>176</v>
      </c>
      <c r="P28" s="15">
        <f t="shared" si="1"/>
        <v>326</v>
      </c>
      <c r="R28" s="5" t="s">
        <v>17</v>
      </c>
      <c r="S28" s="16">
        <f t="shared" ref="S28:AF28" si="20">SUM(S10:S21)</f>
        <v>2247</v>
      </c>
      <c r="T28" s="16">
        <f t="shared" si="20"/>
        <v>459</v>
      </c>
      <c r="U28" s="16">
        <f t="shared" si="20"/>
        <v>230</v>
      </c>
      <c r="V28" s="16">
        <f t="shared" si="20"/>
        <v>2338</v>
      </c>
      <c r="W28" s="16">
        <f t="shared" si="20"/>
        <v>80</v>
      </c>
      <c r="X28" s="16">
        <f t="shared" si="20"/>
        <v>75</v>
      </c>
      <c r="Y28" s="16">
        <f t="shared" si="20"/>
        <v>621</v>
      </c>
      <c r="Z28" s="16">
        <f t="shared" si="20"/>
        <v>542</v>
      </c>
      <c r="AA28" s="16">
        <f t="shared" si="20"/>
        <v>68</v>
      </c>
      <c r="AB28" s="16">
        <f t="shared" si="20"/>
        <v>226</v>
      </c>
      <c r="AC28" s="16">
        <f t="shared" si="20"/>
        <v>7572</v>
      </c>
      <c r="AD28" s="16">
        <f t="shared" si="20"/>
        <v>2</v>
      </c>
      <c r="AE28" s="32">
        <f t="shared" si="20"/>
        <v>6888</v>
      </c>
      <c r="AF28" s="32">
        <f t="shared" si="20"/>
        <v>14460</v>
      </c>
    </row>
    <row r="29" spans="2:32" ht="23.1" customHeight="1" x14ac:dyDescent="0.25">
      <c r="B29" s="23" t="s">
        <v>56</v>
      </c>
      <c r="C29" s="50">
        <v>44</v>
      </c>
      <c r="D29" s="50">
        <v>5</v>
      </c>
      <c r="E29" s="50">
        <v>4</v>
      </c>
      <c r="F29" s="50">
        <v>55</v>
      </c>
      <c r="G29" s="50">
        <v>3</v>
      </c>
      <c r="H29" s="50">
        <v>1</v>
      </c>
      <c r="I29" s="50">
        <v>12</v>
      </c>
      <c r="J29" s="50">
        <v>11</v>
      </c>
      <c r="K29" s="50">
        <v>1</v>
      </c>
      <c r="L29" s="50">
        <v>3</v>
      </c>
      <c r="M29" s="50">
        <v>135</v>
      </c>
      <c r="N29" s="50">
        <v>0</v>
      </c>
      <c r="O29" s="15">
        <f t="shared" si="0"/>
        <v>139</v>
      </c>
      <c r="P29" s="15">
        <f t="shared" si="1"/>
        <v>274</v>
      </c>
      <c r="R29"/>
      <c r="S29" s="20"/>
      <c r="T29" s="19"/>
    </row>
    <row r="30" spans="2:32" ht="23.1" customHeight="1" x14ac:dyDescent="0.25">
      <c r="B30" s="23" t="s">
        <v>57</v>
      </c>
      <c r="C30" s="50">
        <v>23</v>
      </c>
      <c r="D30" s="50">
        <v>9</v>
      </c>
      <c r="E30" s="50">
        <v>3</v>
      </c>
      <c r="F30" s="50">
        <v>32</v>
      </c>
      <c r="G30" s="50">
        <v>0</v>
      </c>
      <c r="H30" s="50">
        <v>3</v>
      </c>
      <c r="I30" s="50">
        <v>6</v>
      </c>
      <c r="J30" s="50">
        <v>7</v>
      </c>
      <c r="K30" s="50">
        <v>4</v>
      </c>
      <c r="L30" s="50">
        <v>2</v>
      </c>
      <c r="M30" s="50">
        <v>65</v>
      </c>
      <c r="N30" s="50">
        <v>0</v>
      </c>
      <c r="O30" s="15">
        <f t="shared" si="0"/>
        <v>89</v>
      </c>
      <c r="P30" s="15">
        <f t="shared" si="1"/>
        <v>154</v>
      </c>
    </row>
    <row r="31" spans="2:32" ht="23.1" customHeight="1" x14ac:dyDescent="0.25">
      <c r="B31" s="24" t="s">
        <v>58</v>
      </c>
      <c r="C31" s="50">
        <v>44</v>
      </c>
      <c r="D31" s="50">
        <v>14</v>
      </c>
      <c r="E31" s="50">
        <v>4</v>
      </c>
      <c r="F31" s="50">
        <v>41</v>
      </c>
      <c r="G31" s="50">
        <v>6</v>
      </c>
      <c r="H31" s="50">
        <v>3</v>
      </c>
      <c r="I31" s="50">
        <v>13</v>
      </c>
      <c r="J31" s="50">
        <v>15</v>
      </c>
      <c r="K31" s="50">
        <v>2</v>
      </c>
      <c r="L31" s="50">
        <v>2</v>
      </c>
      <c r="M31" s="50">
        <v>95</v>
      </c>
      <c r="N31" s="50">
        <v>0</v>
      </c>
      <c r="O31" s="15">
        <f t="shared" si="0"/>
        <v>144</v>
      </c>
      <c r="P31" s="15">
        <f t="shared" si="1"/>
        <v>239</v>
      </c>
    </row>
    <row r="32" spans="2:32" ht="23.1" customHeight="1" x14ac:dyDescent="0.25">
      <c r="B32" s="24" t="s">
        <v>59</v>
      </c>
      <c r="C32" s="50">
        <v>55</v>
      </c>
      <c r="D32" s="50">
        <v>5</v>
      </c>
      <c r="E32" s="50">
        <v>1</v>
      </c>
      <c r="F32" s="50">
        <v>60</v>
      </c>
      <c r="G32" s="50">
        <v>5</v>
      </c>
      <c r="H32" s="50">
        <v>2</v>
      </c>
      <c r="I32" s="50">
        <v>14</v>
      </c>
      <c r="J32" s="50">
        <v>18</v>
      </c>
      <c r="K32" s="50">
        <v>0</v>
      </c>
      <c r="L32" s="50">
        <v>10</v>
      </c>
      <c r="M32" s="50">
        <v>100</v>
      </c>
      <c r="N32" s="50">
        <v>0</v>
      </c>
      <c r="O32" s="15">
        <f t="shared" si="0"/>
        <v>170</v>
      </c>
      <c r="P32" s="15">
        <f t="shared" si="1"/>
        <v>270</v>
      </c>
    </row>
    <row r="33" spans="2:20" ht="23.1" customHeight="1" x14ac:dyDescent="0.25">
      <c r="B33" s="23" t="s">
        <v>60</v>
      </c>
      <c r="C33" s="50">
        <v>61</v>
      </c>
      <c r="D33" s="50">
        <v>1</v>
      </c>
      <c r="E33" s="50">
        <v>2</v>
      </c>
      <c r="F33" s="50">
        <v>61</v>
      </c>
      <c r="G33" s="50">
        <v>2</v>
      </c>
      <c r="H33" s="50">
        <v>1</v>
      </c>
      <c r="I33" s="50">
        <v>10</v>
      </c>
      <c r="J33" s="50">
        <v>15</v>
      </c>
      <c r="K33" s="50">
        <v>0</v>
      </c>
      <c r="L33" s="50">
        <v>7</v>
      </c>
      <c r="M33" s="50">
        <v>125</v>
      </c>
      <c r="N33" s="50">
        <v>0</v>
      </c>
      <c r="O33" s="15">
        <f t="shared" si="0"/>
        <v>160</v>
      </c>
      <c r="P33" s="15">
        <f t="shared" si="1"/>
        <v>285</v>
      </c>
    </row>
    <row r="34" spans="2:20" ht="23.1" customHeight="1" x14ac:dyDescent="0.25">
      <c r="B34" s="24" t="s">
        <v>61</v>
      </c>
      <c r="C34" s="50">
        <v>27</v>
      </c>
      <c r="D34" s="50">
        <v>4</v>
      </c>
      <c r="E34" s="50">
        <v>3</v>
      </c>
      <c r="F34" s="50">
        <v>36</v>
      </c>
      <c r="G34" s="50">
        <v>1</v>
      </c>
      <c r="H34" s="50">
        <v>0</v>
      </c>
      <c r="I34" s="50">
        <v>11</v>
      </c>
      <c r="J34" s="50">
        <v>11</v>
      </c>
      <c r="K34" s="50">
        <v>2</v>
      </c>
      <c r="L34" s="50">
        <v>9</v>
      </c>
      <c r="M34" s="50">
        <v>155</v>
      </c>
      <c r="N34" s="50">
        <v>0</v>
      </c>
      <c r="O34" s="15">
        <f t="shared" si="0"/>
        <v>104</v>
      </c>
      <c r="P34" s="15">
        <f t="shared" si="1"/>
        <v>259</v>
      </c>
    </row>
    <row r="35" spans="2:20" ht="23.1" customHeight="1" x14ac:dyDescent="0.25">
      <c r="B35" s="24" t="s">
        <v>62</v>
      </c>
      <c r="C35" s="50">
        <v>40</v>
      </c>
      <c r="D35" s="50">
        <v>3</v>
      </c>
      <c r="E35" s="50">
        <v>6</v>
      </c>
      <c r="F35" s="50">
        <v>45</v>
      </c>
      <c r="G35" s="50">
        <v>0</v>
      </c>
      <c r="H35" s="50">
        <v>0</v>
      </c>
      <c r="I35" s="50">
        <v>6</v>
      </c>
      <c r="J35" s="50">
        <v>12</v>
      </c>
      <c r="K35" s="50">
        <v>0</v>
      </c>
      <c r="L35" s="50">
        <v>5</v>
      </c>
      <c r="M35" s="50">
        <v>195</v>
      </c>
      <c r="N35" s="50">
        <v>0</v>
      </c>
      <c r="O35" s="15">
        <f t="shared" si="0"/>
        <v>117</v>
      </c>
      <c r="P35" s="15">
        <f t="shared" si="1"/>
        <v>312</v>
      </c>
    </row>
    <row r="36" spans="2:20" ht="23.1" customHeight="1" x14ac:dyDescent="0.25">
      <c r="B36" s="24" t="s">
        <v>63</v>
      </c>
      <c r="C36" s="50">
        <v>19</v>
      </c>
      <c r="D36" s="50">
        <v>3</v>
      </c>
      <c r="E36" s="50">
        <v>1</v>
      </c>
      <c r="F36" s="50">
        <v>26</v>
      </c>
      <c r="G36" s="50">
        <v>0</v>
      </c>
      <c r="H36" s="50">
        <v>0</v>
      </c>
      <c r="I36" s="50">
        <v>23</v>
      </c>
      <c r="J36" s="50">
        <v>14</v>
      </c>
      <c r="K36" s="50">
        <v>2</v>
      </c>
      <c r="L36" s="50">
        <v>5</v>
      </c>
      <c r="M36" s="50">
        <v>140</v>
      </c>
      <c r="N36" s="50">
        <v>0</v>
      </c>
      <c r="O36" s="15">
        <f t="shared" si="0"/>
        <v>93</v>
      </c>
      <c r="P36" s="15">
        <f t="shared" si="1"/>
        <v>233</v>
      </c>
    </row>
    <row r="37" spans="2:20" ht="23.1" customHeight="1" x14ac:dyDescent="0.25">
      <c r="B37" s="23" t="s">
        <v>64</v>
      </c>
      <c r="C37" s="50">
        <v>32</v>
      </c>
      <c r="D37" s="50">
        <v>11</v>
      </c>
      <c r="E37" s="50">
        <v>2</v>
      </c>
      <c r="F37" s="50">
        <v>32</v>
      </c>
      <c r="G37" s="50">
        <v>1</v>
      </c>
      <c r="H37" s="50">
        <v>0</v>
      </c>
      <c r="I37" s="50">
        <v>12</v>
      </c>
      <c r="J37" s="50">
        <v>11</v>
      </c>
      <c r="K37" s="50">
        <v>2</v>
      </c>
      <c r="L37" s="50">
        <v>4</v>
      </c>
      <c r="M37" s="50">
        <v>180</v>
      </c>
      <c r="N37" s="50">
        <v>0</v>
      </c>
      <c r="O37" s="15">
        <f t="shared" si="0"/>
        <v>107</v>
      </c>
      <c r="P37" s="15">
        <f t="shared" si="1"/>
        <v>287</v>
      </c>
    </row>
    <row r="38" spans="2:20" ht="23.1" customHeight="1" x14ac:dyDescent="0.25">
      <c r="B38" s="24" t="s">
        <v>65</v>
      </c>
      <c r="C38" s="50">
        <v>15</v>
      </c>
      <c r="D38" s="50">
        <v>9</v>
      </c>
      <c r="E38" s="50">
        <v>6</v>
      </c>
      <c r="F38" s="50">
        <v>39</v>
      </c>
      <c r="G38" s="50">
        <v>1</v>
      </c>
      <c r="H38" s="50">
        <v>1</v>
      </c>
      <c r="I38" s="50">
        <v>12</v>
      </c>
      <c r="J38" s="50">
        <v>13</v>
      </c>
      <c r="K38" s="50">
        <v>2</v>
      </c>
      <c r="L38" s="50">
        <v>4</v>
      </c>
      <c r="M38" s="50">
        <v>85</v>
      </c>
      <c r="N38" s="50">
        <v>0</v>
      </c>
      <c r="O38" s="15">
        <f t="shared" si="0"/>
        <v>102</v>
      </c>
      <c r="P38" s="15">
        <f t="shared" si="1"/>
        <v>187</v>
      </c>
    </row>
    <row r="39" spans="2:20" ht="23.1" customHeight="1" x14ac:dyDescent="0.25">
      <c r="B39" s="24" t="s">
        <v>66</v>
      </c>
      <c r="C39" s="50">
        <v>57</v>
      </c>
      <c r="D39" s="50">
        <v>3</v>
      </c>
      <c r="E39" s="50">
        <v>5</v>
      </c>
      <c r="F39" s="50">
        <v>60</v>
      </c>
      <c r="G39" s="50">
        <v>1</v>
      </c>
      <c r="H39" s="50">
        <v>2</v>
      </c>
      <c r="I39" s="50">
        <v>13</v>
      </c>
      <c r="J39" s="50">
        <v>15</v>
      </c>
      <c r="K39" s="50">
        <v>6</v>
      </c>
      <c r="L39" s="50">
        <v>6</v>
      </c>
      <c r="M39" s="50">
        <v>195</v>
      </c>
      <c r="N39" s="50">
        <v>0</v>
      </c>
      <c r="O39" s="15">
        <f t="shared" si="0"/>
        <v>168</v>
      </c>
      <c r="P39" s="15">
        <f t="shared" si="1"/>
        <v>363</v>
      </c>
    </row>
    <row r="40" spans="2:20" ht="23.1" customHeight="1" x14ac:dyDescent="0.25">
      <c r="B40" s="24" t="s">
        <v>67</v>
      </c>
      <c r="C40" s="50">
        <v>42</v>
      </c>
      <c r="D40" s="50">
        <v>1</v>
      </c>
      <c r="E40" s="50">
        <v>8</v>
      </c>
      <c r="F40" s="50">
        <v>38</v>
      </c>
      <c r="G40" s="50">
        <v>1</v>
      </c>
      <c r="H40" s="50">
        <v>3</v>
      </c>
      <c r="I40" s="50">
        <v>16</v>
      </c>
      <c r="J40" s="50">
        <v>8</v>
      </c>
      <c r="K40" s="50">
        <v>4</v>
      </c>
      <c r="L40" s="50">
        <v>4</v>
      </c>
      <c r="M40" s="50">
        <v>95</v>
      </c>
      <c r="N40" s="50">
        <v>0</v>
      </c>
      <c r="O40" s="15">
        <f t="shared" si="0"/>
        <v>125</v>
      </c>
      <c r="P40" s="15">
        <f t="shared" si="1"/>
        <v>220</v>
      </c>
    </row>
    <row r="41" spans="2:20" ht="23.1" customHeight="1" x14ac:dyDescent="0.25">
      <c r="B41" s="23" t="s">
        <v>68</v>
      </c>
      <c r="C41" s="50">
        <v>40</v>
      </c>
      <c r="D41" s="50">
        <v>6</v>
      </c>
      <c r="E41" s="50">
        <v>3</v>
      </c>
      <c r="F41" s="50">
        <v>50</v>
      </c>
      <c r="G41" s="50">
        <v>2</v>
      </c>
      <c r="H41" s="50">
        <v>3</v>
      </c>
      <c r="I41" s="50">
        <v>13</v>
      </c>
      <c r="J41" s="50">
        <v>15</v>
      </c>
      <c r="K41" s="50">
        <v>1</v>
      </c>
      <c r="L41" s="50">
        <v>16</v>
      </c>
      <c r="M41" s="50">
        <v>80</v>
      </c>
      <c r="N41" s="50">
        <v>0</v>
      </c>
      <c r="O41" s="15">
        <f t="shared" si="0"/>
        <v>149</v>
      </c>
      <c r="P41" s="15">
        <f t="shared" si="1"/>
        <v>229</v>
      </c>
    </row>
    <row r="42" spans="2:20" ht="23.1" customHeight="1" x14ac:dyDescent="0.25">
      <c r="B42" s="24" t="s">
        <v>69</v>
      </c>
      <c r="C42" s="50">
        <v>43</v>
      </c>
      <c r="D42" s="50">
        <v>1</v>
      </c>
      <c r="E42" s="50">
        <v>6</v>
      </c>
      <c r="F42" s="50">
        <v>45</v>
      </c>
      <c r="G42" s="50">
        <v>1</v>
      </c>
      <c r="H42" s="50">
        <v>2</v>
      </c>
      <c r="I42" s="50">
        <v>25</v>
      </c>
      <c r="J42" s="50">
        <v>28</v>
      </c>
      <c r="K42" s="50">
        <v>3</v>
      </c>
      <c r="L42" s="50">
        <v>6</v>
      </c>
      <c r="M42" s="50">
        <v>90</v>
      </c>
      <c r="N42" s="50">
        <v>0</v>
      </c>
      <c r="O42" s="15">
        <f t="shared" si="0"/>
        <v>160</v>
      </c>
      <c r="P42" s="15">
        <f t="shared" si="1"/>
        <v>250</v>
      </c>
    </row>
    <row r="43" spans="2:20" ht="23.1" customHeight="1" x14ac:dyDescent="0.25">
      <c r="B43" s="23" t="s">
        <v>70</v>
      </c>
      <c r="C43" s="50">
        <v>55</v>
      </c>
      <c r="D43" s="50">
        <v>80</v>
      </c>
      <c r="E43" s="50">
        <v>0</v>
      </c>
      <c r="F43" s="50">
        <v>100</v>
      </c>
      <c r="G43" s="50">
        <v>1</v>
      </c>
      <c r="H43" s="50">
        <v>0</v>
      </c>
      <c r="I43" s="50">
        <v>3</v>
      </c>
      <c r="J43" s="50">
        <v>21</v>
      </c>
      <c r="K43" s="50">
        <v>0</v>
      </c>
      <c r="L43" s="50">
        <v>7</v>
      </c>
      <c r="M43" s="50">
        <v>105</v>
      </c>
      <c r="N43" s="50">
        <v>0</v>
      </c>
      <c r="O43" s="15">
        <f t="shared" si="0"/>
        <v>267</v>
      </c>
      <c r="P43" s="15">
        <f t="shared" si="1"/>
        <v>372</v>
      </c>
    </row>
    <row r="44" spans="2:20" ht="23.1" customHeight="1" x14ac:dyDescent="0.25">
      <c r="B44" s="25" t="s">
        <v>71</v>
      </c>
      <c r="C44" s="50">
        <v>35</v>
      </c>
      <c r="D44" s="50">
        <v>0</v>
      </c>
      <c r="E44" s="50">
        <v>1</v>
      </c>
      <c r="F44" s="50">
        <v>60</v>
      </c>
      <c r="G44" s="50">
        <v>0</v>
      </c>
      <c r="H44" s="50">
        <v>0</v>
      </c>
      <c r="I44" s="50">
        <v>13</v>
      </c>
      <c r="J44" s="50">
        <v>17</v>
      </c>
      <c r="K44" s="50">
        <v>4</v>
      </c>
      <c r="L44" s="50">
        <v>3</v>
      </c>
      <c r="M44" s="50">
        <v>110</v>
      </c>
      <c r="N44" s="50">
        <v>0</v>
      </c>
      <c r="O44" s="15">
        <f t="shared" si="0"/>
        <v>133</v>
      </c>
      <c r="P44" s="15">
        <f t="shared" si="1"/>
        <v>243</v>
      </c>
    </row>
    <row r="45" spans="2:20" ht="23.1" customHeight="1" x14ac:dyDescent="0.25">
      <c r="B45" s="23" t="s">
        <v>72</v>
      </c>
      <c r="C45" s="50">
        <v>18</v>
      </c>
      <c r="D45" s="50">
        <v>4</v>
      </c>
      <c r="E45" s="50">
        <v>3</v>
      </c>
      <c r="F45" s="50">
        <v>25</v>
      </c>
      <c r="G45" s="50">
        <v>1</v>
      </c>
      <c r="H45" s="50">
        <v>2</v>
      </c>
      <c r="I45" s="50">
        <v>12</v>
      </c>
      <c r="J45" s="50">
        <v>12</v>
      </c>
      <c r="K45" s="50">
        <v>1</v>
      </c>
      <c r="L45" s="50">
        <v>7</v>
      </c>
      <c r="M45" s="50">
        <v>180</v>
      </c>
      <c r="N45" s="50">
        <v>0</v>
      </c>
      <c r="O45" s="15">
        <f t="shared" si="0"/>
        <v>85</v>
      </c>
      <c r="P45" s="15">
        <f t="shared" si="1"/>
        <v>265</v>
      </c>
    </row>
    <row r="46" spans="2:20" ht="23.1" customHeight="1" x14ac:dyDescent="0.25">
      <c r="B46" s="24" t="s">
        <v>73</v>
      </c>
      <c r="C46" s="50">
        <v>29</v>
      </c>
      <c r="D46" s="50">
        <v>4</v>
      </c>
      <c r="E46" s="50">
        <v>4</v>
      </c>
      <c r="F46" s="50">
        <v>27</v>
      </c>
      <c r="G46" s="50">
        <v>1</v>
      </c>
      <c r="H46" s="50">
        <v>0</v>
      </c>
      <c r="I46" s="50">
        <v>17</v>
      </c>
      <c r="J46" s="50">
        <v>27</v>
      </c>
      <c r="K46" s="50">
        <v>2</v>
      </c>
      <c r="L46" s="50">
        <v>7</v>
      </c>
      <c r="M46" s="50">
        <v>215</v>
      </c>
      <c r="N46" s="50">
        <v>0</v>
      </c>
      <c r="O46" s="15">
        <f t="shared" si="0"/>
        <v>118</v>
      </c>
      <c r="P46" s="15">
        <f t="shared" si="1"/>
        <v>333</v>
      </c>
      <c r="R46" s="8"/>
      <c r="T46"/>
    </row>
    <row r="47" spans="2:20" ht="23.1" customHeight="1" x14ac:dyDescent="0.25">
      <c r="B47" s="24" t="s">
        <v>74</v>
      </c>
      <c r="C47" s="50">
        <v>47</v>
      </c>
      <c r="D47" s="50">
        <v>6</v>
      </c>
      <c r="E47" s="50">
        <v>6</v>
      </c>
      <c r="F47" s="50">
        <v>46</v>
      </c>
      <c r="G47" s="50">
        <v>2</v>
      </c>
      <c r="H47" s="50">
        <v>0</v>
      </c>
      <c r="I47" s="50">
        <v>11</v>
      </c>
      <c r="J47" s="50">
        <v>22</v>
      </c>
      <c r="K47" s="50">
        <v>1</v>
      </c>
      <c r="L47" s="50">
        <v>8</v>
      </c>
      <c r="M47" s="50">
        <v>155</v>
      </c>
      <c r="N47" s="50">
        <v>0</v>
      </c>
      <c r="O47" s="15">
        <f t="shared" si="0"/>
        <v>149</v>
      </c>
      <c r="P47" s="15">
        <f t="shared" si="1"/>
        <v>304</v>
      </c>
      <c r="R47" s="8"/>
      <c r="T47"/>
    </row>
    <row r="48" spans="2:20" ht="23.1" customHeight="1" x14ac:dyDescent="0.25">
      <c r="B48" s="24" t="s">
        <v>75</v>
      </c>
      <c r="C48" s="50">
        <v>54</v>
      </c>
      <c r="D48" s="50">
        <v>15</v>
      </c>
      <c r="E48" s="50">
        <v>9</v>
      </c>
      <c r="F48" s="50">
        <v>41</v>
      </c>
      <c r="G48" s="50">
        <v>0</v>
      </c>
      <c r="H48" s="50">
        <v>2</v>
      </c>
      <c r="I48" s="50">
        <v>17</v>
      </c>
      <c r="J48" s="50">
        <v>18</v>
      </c>
      <c r="K48" s="50">
        <v>3</v>
      </c>
      <c r="L48" s="50">
        <v>3</v>
      </c>
      <c r="M48" s="50">
        <v>135</v>
      </c>
      <c r="N48" s="50">
        <v>0</v>
      </c>
      <c r="O48" s="15">
        <f t="shared" si="0"/>
        <v>162</v>
      </c>
      <c r="P48" s="15">
        <f t="shared" si="1"/>
        <v>297</v>
      </c>
      <c r="R48" s="8"/>
      <c r="T48"/>
    </row>
    <row r="49" spans="2:20" ht="23.1" customHeight="1" x14ac:dyDescent="0.25">
      <c r="B49" s="23" t="s">
        <v>76</v>
      </c>
      <c r="C49" s="50">
        <v>55</v>
      </c>
      <c r="D49" s="50">
        <v>14</v>
      </c>
      <c r="E49" s="50">
        <v>2</v>
      </c>
      <c r="F49" s="50">
        <v>51</v>
      </c>
      <c r="G49" s="50">
        <v>1</v>
      </c>
      <c r="H49" s="50">
        <v>1</v>
      </c>
      <c r="I49" s="50">
        <v>17</v>
      </c>
      <c r="J49" s="50">
        <v>20</v>
      </c>
      <c r="K49" s="50">
        <v>2</v>
      </c>
      <c r="L49" s="50">
        <v>5</v>
      </c>
      <c r="M49" s="50">
        <v>175</v>
      </c>
      <c r="N49" s="50">
        <v>0</v>
      </c>
      <c r="O49" s="15">
        <f t="shared" si="0"/>
        <v>168</v>
      </c>
      <c r="P49" s="15">
        <f t="shared" si="1"/>
        <v>343</v>
      </c>
      <c r="R49" s="8"/>
      <c r="T49"/>
    </row>
    <row r="50" spans="2:20" ht="23.1" customHeight="1" x14ac:dyDescent="0.25">
      <c r="B50" s="24" t="s">
        <v>77</v>
      </c>
      <c r="C50" s="50">
        <v>65</v>
      </c>
      <c r="D50" s="50">
        <v>12</v>
      </c>
      <c r="E50" s="50">
        <v>9</v>
      </c>
      <c r="F50" s="50">
        <v>5</v>
      </c>
      <c r="G50" s="50">
        <v>5</v>
      </c>
      <c r="H50" s="50">
        <v>2</v>
      </c>
      <c r="I50" s="50">
        <v>12</v>
      </c>
      <c r="J50" s="50">
        <v>21</v>
      </c>
      <c r="K50" s="50">
        <v>0</v>
      </c>
      <c r="L50" s="50">
        <v>5</v>
      </c>
      <c r="M50" s="50">
        <v>285</v>
      </c>
      <c r="N50" s="50">
        <v>0</v>
      </c>
      <c r="O50" s="15">
        <f t="shared" si="0"/>
        <v>136</v>
      </c>
      <c r="P50" s="15">
        <f t="shared" si="1"/>
        <v>421</v>
      </c>
      <c r="R50" s="8"/>
      <c r="T50"/>
    </row>
    <row r="51" spans="2:20" ht="23.1" customHeight="1" x14ac:dyDescent="0.25">
      <c r="B51" s="24" t="s">
        <v>78</v>
      </c>
      <c r="C51" s="50">
        <v>75</v>
      </c>
      <c r="D51" s="50">
        <v>9</v>
      </c>
      <c r="E51" s="50">
        <v>4</v>
      </c>
      <c r="F51" s="50">
        <v>62</v>
      </c>
      <c r="G51" s="50">
        <v>0</v>
      </c>
      <c r="H51" s="50">
        <v>1</v>
      </c>
      <c r="I51" s="50">
        <v>5</v>
      </c>
      <c r="J51" s="50">
        <v>13</v>
      </c>
      <c r="K51" s="50">
        <v>0</v>
      </c>
      <c r="L51" s="50">
        <v>1</v>
      </c>
      <c r="M51" s="50">
        <v>120</v>
      </c>
      <c r="N51" s="50">
        <v>0</v>
      </c>
      <c r="O51" s="15">
        <f t="shared" si="0"/>
        <v>170</v>
      </c>
      <c r="P51" s="15">
        <f t="shared" si="1"/>
        <v>290</v>
      </c>
      <c r="R51" s="8"/>
      <c r="T51"/>
    </row>
    <row r="52" spans="2:20" ht="23.1" customHeight="1" x14ac:dyDescent="0.25">
      <c r="B52" s="24" t="s">
        <v>79</v>
      </c>
      <c r="C52" s="50">
        <v>70</v>
      </c>
      <c r="D52" s="50">
        <v>8</v>
      </c>
      <c r="E52" s="50">
        <v>7</v>
      </c>
      <c r="F52" s="50">
        <v>45</v>
      </c>
      <c r="G52" s="50">
        <v>2</v>
      </c>
      <c r="H52" s="50">
        <v>2</v>
      </c>
      <c r="I52" s="50">
        <v>2</v>
      </c>
      <c r="J52" s="50">
        <v>19</v>
      </c>
      <c r="K52" s="50">
        <v>7</v>
      </c>
      <c r="L52" s="50">
        <v>2</v>
      </c>
      <c r="M52" s="50">
        <v>165</v>
      </c>
      <c r="N52" s="50">
        <v>0</v>
      </c>
      <c r="O52" s="15">
        <f t="shared" si="0"/>
        <v>164</v>
      </c>
      <c r="P52" s="15">
        <f t="shared" si="1"/>
        <v>329</v>
      </c>
      <c r="R52" s="8"/>
      <c r="T52"/>
    </row>
    <row r="53" spans="2:20" ht="23.1" customHeight="1" x14ac:dyDescent="0.25">
      <c r="B53" s="23" t="s">
        <v>80</v>
      </c>
      <c r="C53" s="50">
        <v>90</v>
      </c>
      <c r="D53" s="50">
        <v>3</v>
      </c>
      <c r="E53" s="50">
        <v>1</v>
      </c>
      <c r="F53" s="50">
        <v>68</v>
      </c>
      <c r="G53" s="50">
        <v>0</v>
      </c>
      <c r="H53" s="50">
        <v>1</v>
      </c>
      <c r="I53" s="50">
        <v>10</v>
      </c>
      <c r="J53" s="50">
        <v>12</v>
      </c>
      <c r="K53" s="50">
        <v>1</v>
      </c>
      <c r="L53" s="50">
        <v>6</v>
      </c>
      <c r="M53" s="50">
        <v>160</v>
      </c>
      <c r="N53" s="50">
        <v>0</v>
      </c>
      <c r="O53" s="15">
        <f t="shared" si="0"/>
        <v>192</v>
      </c>
      <c r="P53" s="15">
        <f t="shared" si="1"/>
        <v>352</v>
      </c>
      <c r="R53" s="8"/>
      <c r="T53"/>
    </row>
    <row r="54" spans="2:20" ht="23.1" customHeight="1" x14ac:dyDescent="0.25">
      <c r="B54" s="23" t="s">
        <v>81</v>
      </c>
      <c r="C54" s="50">
        <v>95</v>
      </c>
      <c r="D54" s="50">
        <v>9</v>
      </c>
      <c r="E54" s="50">
        <v>3</v>
      </c>
      <c r="F54" s="50">
        <v>61</v>
      </c>
      <c r="G54" s="50">
        <v>3</v>
      </c>
      <c r="H54" s="50">
        <v>0</v>
      </c>
      <c r="I54" s="50">
        <v>12</v>
      </c>
      <c r="J54" s="50">
        <v>5</v>
      </c>
      <c r="K54" s="50">
        <v>0</v>
      </c>
      <c r="L54" s="50">
        <v>4</v>
      </c>
      <c r="M54" s="50">
        <v>280</v>
      </c>
      <c r="N54" s="50">
        <v>0</v>
      </c>
      <c r="O54" s="15">
        <f t="shared" si="0"/>
        <v>192</v>
      </c>
      <c r="P54" s="15">
        <f t="shared" si="1"/>
        <v>472</v>
      </c>
      <c r="R54" s="8"/>
      <c r="T54"/>
    </row>
    <row r="55" spans="2:20" ht="23.1" customHeight="1" x14ac:dyDescent="0.25">
      <c r="B55" s="23" t="s">
        <v>82</v>
      </c>
      <c r="C55" s="50">
        <v>100</v>
      </c>
      <c r="D55" s="50">
        <v>11</v>
      </c>
      <c r="E55" s="50">
        <v>7</v>
      </c>
      <c r="F55" s="50">
        <v>60</v>
      </c>
      <c r="G55" s="50">
        <v>3</v>
      </c>
      <c r="H55" s="50">
        <v>0</v>
      </c>
      <c r="I55" s="50">
        <v>7</v>
      </c>
      <c r="J55" s="50">
        <v>12</v>
      </c>
      <c r="K55" s="50">
        <v>1</v>
      </c>
      <c r="L55" s="50">
        <v>3</v>
      </c>
      <c r="M55" s="50">
        <v>325</v>
      </c>
      <c r="N55" s="50">
        <v>0</v>
      </c>
      <c r="O55" s="15">
        <f t="shared" si="0"/>
        <v>204</v>
      </c>
      <c r="P55" s="15">
        <f t="shared" si="1"/>
        <v>529</v>
      </c>
      <c r="R55" s="8"/>
      <c r="T55"/>
    </row>
    <row r="56" spans="2:20" ht="23.1" customHeight="1" x14ac:dyDescent="0.25">
      <c r="B56" s="23" t="s">
        <v>83</v>
      </c>
      <c r="C56" s="50">
        <v>61</v>
      </c>
      <c r="D56" s="50">
        <v>8</v>
      </c>
      <c r="E56" s="50">
        <v>9</v>
      </c>
      <c r="F56" s="50">
        <v>40</v>
      </c>
      <c r="G56" s="50">
        <v>1</v>
      </c>
      <c r="H56" s="50">
        <v>1</v>
      </c>
      <c r="I56" s="50">
        <v>2</v>
      </c>
      <c r="J56" s="50">
        <v>7</v>
      </c>
      <c r="K56" s="50">
        <v>0</v>
      </c>
      <c r="L56" s="50">
        <v>4</v>
      </c>
      <c r="M56" s="50">
        <v>210</v>
      </c>
      <c r="N56" s="50">
        <v>0</v>
      </c>
      <c r="O56" s="15">
        <f t="shared" si="0"/>
        <v>133</v>
      </c>
      <c r="P56" s="15">
        <f t="shared" si="1"/>
        <v>343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10</v>
      </c>
      <c r="E57" s="50">
        <v>8</v>
      </c>
      <c r="F57" s="50">
        <v>30</v>
      </c>
      <c r="G57" s="50">
        <v>0</v>
      </c>
      <c r="H57" s="50">
        <v>0</v>
      </c>
      <c r="I57" s="50">
        <v>3</v>
      </c>
      <c r="J57" s="50">
        <v>5</v>
      </c>
      <c r="K57" s="50">
        <v>1</v>
      </c>
      <c r="L57" s="50">
        <v>3</v>
      </c>
      <c r="M57" s="50">
        <v>170</v>
      </c>
      <c r="N57" s="50">
        <v>0</v>
      </c>
      <c r="O57" s="15">
        <f t="shared" si="0"/>
        <v>100</v>
      </c>
      <c r="P57" s="15">
        <f t="shared" si="1"/>
        <v>270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2247</v>
      </c>
      <c r="D58" s="16">
        <f t="shared" si="21"/>
        <v>459</v>
      </c>
      <c r="E58" s="16">
        <f t="shared" si="21"/>
        <v>230</v>
      </c>
      <c r="F58" s="16">
        <f t="shared" si="21"/>
        <v>2338</v>
      </c>
      <c r="G58" s="16">
        <f t="shared" si="21"/>
        <v>80</v>
      </c>
      <c r="H58" s="16">
        <f t="shared" si="21"/>
        <v>75</v>
      </c>
      <c r="I58" s="16">
        <f t="shared" si="21"/>
        <v>621</v>
      </c>
      <c r="J58" s="16">
        <f t="shared" si="21"/>
        <v>542</v>
      </c>
      <c r="K58" s="16">
        <f t="shared" si="21"/>
        <v>68</v>
      </c>
      <c r="L58" s="16">
        <f t="shared" si="21"/>
        <v>226</v>
      </c>
      <c r="M58" s="16">
        <f t="shared" si="21"/>
        <v>7572</v>
      </c>
      <c r="N58" s="16">
        <f t="shared" si="21"/>
        <v>2</v>
      </c>
      <c r="O58" s="16">
        <f t="shared" si="21"/>
        <v>6888</v>
      </c>
      <c r="P58" s="16">
        <f t="shared" si="21"/>
        <v>14460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0.1553941908713693</v>
      </c>
      <c r="D59" s="43">
        <f t="shared" si="22"/>
        <v>3.1742738589211617E-2</v>
      </c>
      <c r="E59" s="43">
        <f t="shared" si="22"/>
        <v>1.590594744121715E-2</v>
      </c>
      <c r="F59" s="43">
        <f t="shared" si="22"/>
        <v>0.16168741355463348</v>
      </c>
      <c r="G59" s="43">
        <f t="shared" si="22"/>
        <v>5.5325034578146614E-3</v>
      </c>
      <c r="H59" s="43">
        <f t="shared" si="22"/>
        <v>5.1867219917012446E-3</v>
      </c>
      <c r="I59" s="43">
        <f t="shared" si="22"/>
        <v>4.2946058091286307E-2</v>
      </c>
      <c r="J59" s="43">
        <f t="shared" si="22"/>
        <v>3.7482710926694328E-2</v>
      </c>
      <c r="K59" s="43">
        <f t="shared" si="22"/>
        <v>4.7026279391424617E-3</v>
      </c>
      <c r="L59" s="43">
        <f t="shared" si="22"/>
        <v>1.5629322268326418E-2</v>
      </c>
      <c r="M59" s="43">
        <f t="shared" si="22"/>
        <v>0.5236514522821577</v>
      </c>
      <c r="N59" s="43">
        <f t="shared" si="22"/>
        <v>1.3831258644536652E-4</v>
      </c>
      <c r="R59" s="8"/>
      <c r="T59"/>
    </row>
    <row r="60" spans="2:20" ht="23.1" customHeight="1" x14ac:dyDescent="0.25">
      <c r="B60" s="42" t="s">
        <v>94</v>
      </c>
      <c r="C60" s="44">
        <f>C58/$O$58</f>
        <v>0.32621951219512196</v>
      </c>
      <c r="D60" s="44">
        <f t="shared" ref="D60:N60" si="23">D58/$O$58</f>
        <v>6.66376306620209E-2</v>
      </c>
      <c r="E60" s="44">
        <f t="shared" si="23"/>
        <v>3.3391405342624858E-2</v>
      </c>
      <c r="F60" s="44">
        <f t="shared" si="23"/>
        <v>0.33943089430894308</v>
      </c>
      <c r="G60" s="44">
        <f t="shared" si="23"/>
        <v>1.1614401858304297E-2</v>
      </c>
      <c r="H60" s="44">
        <f t="shared" si="23"/>
        <v>1.0888501742160279E-2</v>
      </c>
      <c r="I60" s="44">
        <f t="shared" si="23"/>
        <v>9.0156794425087103E-2</v>
      </c>
      <c r="J60" s="44">
        <f t="shared" si="23"/>
        <v>7.868757259001162E-2</v>
      </c>
      <c r="K60" s="44">
        <f t="shared" si="23"/>
        <v>9.8722415795586532E-3</v>
      </c>
      <c r="L60" s="44">
        <f t="shared" si="23"/>
        <v>3.2810685249709641E-2</v>
      </c>
      <c r="M60" s="44"/>
      <c r="N60" s="44">
        <f t="shared" si="23"/>
        <v>2.9036004645760743E-4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7" t="str">
        <f>'22.07 KYENGERA-BUSEGA'!G5:H5</f>
        <v>KYENGERA</v>
      </c>
      <c r="H5" s="68"/>
      <c r="I5" s="14"/>
      <c r="J5" s="2" t="s">
        <v>5</v>
      </c>
      <c r="K5" s="67" t="str">
        <f>'22.07 KYENGERA-BUSEGA'!K5:L5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KYENGERA-BUSEGA'!D6:E6</f>
        <v>KYENGERA</v>
      </c>
      <c r="E6" s="68"/>
      <c r="F6" s="2" t="s">
        <v>2</v>
      </c>
      <c r="G6" s="67" t="str">
        <f>'22.07 KYENGERA-BUSEGA'!G6:H6</f>
        <v>BUSEGA</v>
      </c>
      <c r="H6" s="68"/>
      <c r="J6" s="2" t="s">
        <v>21</v>
      </c>
      <c r="K6" s="67" t="str">
        <f>'22.07 KYENGERA-BUSEGA'!K6:L6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2</v>
      </c>
      <c r="E10" s="50">
        <v>1</v>
      </c>
      <c r="F10" s="50">
        <v>15</v>
      </c>
      <c r="G10" s="50">
        <v>0</v>
      </c>
      <c r="H10" s="50">
        <v>1</v>
      </c>
      <c r="I10" s="50">
        <v>13</v>
      </c>
      <c r="J10" s="50">
        <v>13</v>
      </c>
      <c r="K10" s="50">
        <v>3</v>
      </c>
      <c r="L10" s="50">
        <v>2</v>
      </c>
      <c r="M10" s="50">
        <v>355</v>
      </c>
      <c r="N10" s="50">
        <v>0</v>
      </c>
      <c r="O10" s="15">
        <f t="shared" ref="O10:O57" si="0">SUM(C10:L10,N10)</f>
        <v>73</v>
      </c>
      <c r="P10" s="15">
        <f t="shared" ref="P10:P57" si="1">SUM(C10:N10)</f>
        <v>428</v>
      </c>
      <c r="R10" s="1" t="s">
        <v>6</v>
      </c>
      <c r="S10" s="17">
        <f t="shared" ref="S10:AF10" si="2">SUM(C10:C13)</f>
        <v>238</v>
      </c>
      <c r="T10" s="17">
        <f t="shared" si="2"/>
        <v>36</v>
      </c>
      <c r="U10" s="17">
        <f t="shared" si="2"/>
        <v>25</v>
      </c>
      <c r="V10" s="17">
        <f t="shared" si="2"/>
        <v>167</v>
      </c>
      <c r="W10" s="17">
        <f t="shared" si="2"/>
        <v>15</v>
      </c>
      <c r="X10" s="17">
        <f t="shared" si="2"/>
        <v>5</v>
      </c>
      <c r="Y10" s="17">
        <f t="shared" si="2"/>
        <v>49</v>
      </c>
      <c r="Z10" s="17">
        <f t="shared" si="2"/>
        <v>34</v>
      </c>
      <c r="AA10" s="17">
        <f t="shared" si="2"/>
        <v>4</v>
      </c>
      <c r="AB10" s="17">
        <f t="shared" si="2"/>
        <v>16</v>
      </c>
      <c r="AC10" s="17">
        <f t="shared" si="2"/>
        <v>1645</v>
      </c>
      <c r="AD10" s="17">
        <f t="shared" si="2"/>
        <v>0</v>
      </c>
      <c r="AE10" s="31">
        <f t="shared" si="2"/>
        <v>589</v>
      </c>
      <c r="AF10" s="31">
        <f t="shared" si="2"/>
        <v>2234</v>
      </c>
    </row>
    <row r="11" spans="2:32" s="6" customFormat="1" ht="23.1" customHeight="1" x14ac:dyDescent="0.25">
      <c r="B11" s="23" t="s">
        <v>38</v>
      </c>
      <c r="C11" s="50">
        <v>85</v>
      </c>
      <c r="D11" s="50">
        <v>9</v>
      </c>
      <c r="E11" s="50">
        <v>5</v>
      </c>
      <c r="F11" s="50">
        <v>59</v>
      </c>
      <c r="G11" s="50">
        <v>2</v>
      </c>
      <c r="H11" s="50">
        <v>2</v>
      </c>
      <c r="I11" s="50">
        <v>12</v>
      </c>
      <c r="J11" s="50">
        <v>6</v>
      </c>
      <c r="K11" s="50">
        <v>0</v>
      </c>
      <c r="L11" s="50">
        <v>6</v>
      </c>
      <c r="M11" s="50">
        <v>375</v>
      </c>
      <c r="N11" s="50">
        <v>0</v>
      </c>
      <c r="O11" s="15">
        <f t="shared" si="0"/>
        <v>186</v>
      </c>
      <c r="P11" s="15">
        <f t="shared" si="1"/>
        <v>561</v>
      </c>
      <c r="R11" s="1" t="s">
        <v>7</v>
      </c>
      <c r="S11" s="17">
        <f t="shared" ref="S11:AF11" si="3">SUM(C14:C17)</f>
        <v>377</v>
      </c>
      <c r="T11" s="17">
        <f t="shared" si="3"/>
        <v>33</v>
      </c>
      <c r="U11" s="17">
        <f t="shared" si="3"/>
        <v>46</v>
      </c>
      <c r="V11" s="17">
        <f t="shared" si="3"/>
        <v>249</v>
      </c>
      <c r="W11" s="17">
        <f t="shared" si="3"/>
        <v>13</v>
      </c>
      <c r="X11" s="17">
        <f t="shared" si="3"/>
        <v>2</v>
      </c>
      <c r="Y11" s="17">
        <f t="shared" si="3"/>
        <v>58</v>
      </c>
      <c r="Z11" s="17">
        <f t="shared" si="3"/>
        <v>23</v>
      </c>
      <c r="AA11" s="17">
        <f t="shared" si="3"/>
        <v>4</v>
      </c>
      <c r="AB11" s="17">
        <f t="shared" si="3"/>
        <v>21</v>
      </c>
      <c r="AC11" s="17">
        <f t="shared" si="3"/>
        <v>1555</v>
      </c>
      <c r="AD11" s="17">
        <f t="shared" si="3"/>
        <v>0</v>
      </c>
      <c r="AE11" s="31">
        <f t="shared" si="3"/>
        <v>826</v>
      </c>
      <c r="AF11" s="31">
        <f t="shared" si="3"/>
        <v>2381</v>
      </c>
    </row>
    <row r="12" spans="2:32" ht="23.1" customHeight="1" x14ac:dyDescent="0.25">
      <c r="B12" s="23" t="s">
        <v>39</v>
      </c>
      <c r="C12" s="50">
        <v>71</v>
      </c>
      <c r="D12" s="50">
        <v>15</v>
      </c>
      <c r="E12" s="50">
        <v>8</v>
      </c>
      <c r="F12" s="50">
        <v>61</v>
      </c>
      <c r="G12" s="50">
        <v>9</v>
      </c>
      <c r="H12" s="50">
        <v>0</v>
      </c>
      <c r="I12" s="50">
        <v>14</v>
      </c>
      <c r="J12" s="50">
        <v>6</v>
      </c>
      <c r="K12" s="50">
        <v>1</v>
      </c>
      <c r="L12" s="50">
        <v>5</v>
      </c>
      <c r="M12" s="50">
        <v>465</v>
      </c>
      <c r="N12" s="50">
        <v>0</v>
      </c>
      <c r="O12" s="15">
        <f t="shared" si="0"/>
        <v>190</v>
      </c>
      <c r="P12" s="15">
        <f t="shared" si="1"/>
        <v>655</v>
      </c>
      <c r="R12" s="1" t="s">
        <v>8</v>
      </c>
      <c r="S12" s="17">
        <f t="shared" ref="S12:AF12" si="4">SUM(C18:C21)</f>
        <v>389</v>
      </c>
      <c r="T12" s="17">
        <f t="shared" si="4"/>
        <v>46</v>
      </c>
      <c r="U12" s="17">
        <f t="shared" si="4"/>
        <v>42</v>
      </c>
      <c r="V12" s="17">
        <f t="shared" si="4"/>
        <v>244</v>
      </c>
      <c r="W12" s="17">
        <f t="shared" si="4"/>
        <v>15</v>
      </c>
      <c r="X12" s="17">
        <f t="shared" si="4"/>
        <v>4</v>
      </c>
      <c r="Y12" s="17">
        <f t="shared" si="4"/>
        <v>61</v>
      </c>
      <c r="Z12" s="17">
        <f t="shared" si="4"/>
        <v>23</v>
      </c>
      <c r="AA12" s="17">
        <f t="shared" si="4"/>
        <v>7</v>
      </c>
      <c r="AB12" s="17">
        <f t="shared" si="4"/>
        <v>17</v>
      </c>
      <c r="AC12" s="17">
        <f t="shared" si="4"/>
        <v>1507</v>
      </c>
      <c r="AD12" s="17">
        <f t="shared" si="4"/>
        <v>0</v>
      </c>
      <c r="AE12" s="31">
        <f t="shared" si="4"/>
        <v>848</v>
      </c>
      <c r="AF12" s="31">
        <f t="shared" si="4"/>
        <v>2355</v>
      </c>
    </row>
    <row r="13" spans="2:32" ht="23.1" customHeight="1" x14ac:dyDescent="0.25">
      <c r="B13" s="23" t="s">
        <v>40</v>
      </c>
      <c r="C13" s="50">
        <v>59</v>
      </c>
      <c r="D13" s="50">
        <v>10</v>
      </c>
      <c r="E13" s="50">
        <v>11</v>
      </c>
      <c r="F13" s="50">
        <v>32</v>
      </c>
      <c r="G13" s="50">
        <v>4</v>
      </c>
      <c r="H13" s="50">
        <v>2</v>
      </c>
      <c r="I13" s="50">
        <v>10</v>
      </c>
      <c r="J13" s="50">
        <v>9</v>
      </c>
      <c r="K13" s="50">
        <v>0</v>
      </c>
      <c r="L13" s="50">
        <v>3</v>
      </c>
      <c r="M13" s="50">
        <v>450</v>
      </c>
      <c r="N13" s="50">
        <v>0</v>
      </c>
      <c r="O13" s="15">
        <f t="shared" si="0"/>
        <v>140</v>
      </c>
      <c r="P13" s="15">
        <f t="shared" si="1"/>
        <v>590</v>
      </c>
      <c r="R13" s="1" t="s">
        <v>9</v>
      </c>
      <c r="S13" s="17">
        <f t="shared" ref="S13:AF13" si="5">SUM(C22:C25)</f>
        <v>330</v>
      </c>
      <c r="T13" s="17">
        <f t="shared" si="5"/>
        <v>42</v>
      </c>
      <c r="U13" s="17">
        <f t="shared" si="5"/>
        <v>49</v>
      </c>
      <c r="V13" s="17">
        <f t="shared" si="5"/>
        <v>202</v>
      </c>
      <c r="W13" s="17">
        <f t="shared" si="5"/>
        <v>8</v>
      </c>
      <c r="X13" s="17">
        <f t="shared" si="5"/>
        <v>3</v>
      </c>
      <c r="Y13" s="17">
        <f t="shared" si="5"/>
        <v>56</v>
      </c>
      <c r="Z13" s="17">
        <f t="shared" si="5"/>
        <v>19</v>
      </c>
      <c r="AA13" s="17">
        <f t="shared" si="5"/>
        <v>4</v>
      </c>
      <c r="AB13" s="17">
        <f t="shared" si="5"/>
        <v>10</v>
      </c>
      <c r="AC13" s="17">
        <f t="shared" si="5"/>
        <v>1111</v>
      </c>
      <c r="AD13" s="17">
        <f t="shared" si="5"/>
        <v>0</v>
      </c>
      <c r="AE13" s="31">
        <f t="shared" si="5"/>
        <v>723</v>
      </c>
      <c r="AF13" s="31">
        <f t="shared" si="5"/>
        <v>1834</v>
      </c>
    </row>
    <row r="14" spans="2:32" ht="23.1" customHeight="1" x14ac:dyDescent="0.25">
      <c r="B14" s="23" t="s">
        <v>41</v>
      </c>
      <c r="C14" s="50">
        <v>89</v>
      </c>
      <c r="D14" s="50">
        <v>6</v>
      </c>
      <c r="E14" s="50">
        <v>12</v>
      </c>
      <c r="F14" s="50">
        <v>71</v>
      </c>
      <c r="G14" s="50">
        <v>3</v>
      </c>
      <c r="H14" s="50">
        <v>1</v>
      </c>
      <c r="I14" s="50">
        <v>10</v>
      </c>
      <c r="J14" s="50">
        <v>3</v>
      </c>
      <c r="K14" s="50">
        <v>0</v>
      </c>
      <c r="L14" s="50">
        <v>8</v>
      </c>
      <c r="M14" s="50">
        <v>450</v>
      </c>
      <c r="N14" s="50">
        <v>0</v>
      </c>
      <c r="O14" s="15">
        <f t="shared" si="0"/>
        <v>203</v>
      </c>
      <c r="P14" s="15">
        <f t="shared" si="1"/>
        <v>653</v>
      </c>
      <c r="R14" s="1" t="s">
        <v>10</v>
      </c>
      <c r="S14" s="17">
        <f t="shared" ref="S14:AF14" si="6">SUM(C26:C29)</f>
        <v>275</v>
      </c>
      <c r="T14" s="17">
        <f t="shared" si="6"/>
        <v>38</v>
      </c>
      <c r="U14" s="17">
        <f t="shared" si="6"/>
        <v>47</v>
      </c>
      <c r="V14" s="17">
        <f t="shared" si="6"/>
        <v>183</v>
      </c>
      <c r="W14" s="17">
        <f t="shared" si="6"/>
        <v>2</v>
      </c>
      <c r="X14" s="17">
        <f t="shared" si="6"/>
        <v>3</v>
      </c>
      <c r="Y14" s="17">
        <f t="shared" si="6"/>
        <v>57</v>
      </c>
      <c r="Z14" s="17">
        <f t="shared" si="6"/>
        <v>18</v>
      </c>
      <c r="AA14" s="17">
        <f t="shared" si="6"/>
        <v>9</v>
      </c>
      <c r="AB14" s="17">
        <f t="shared" si="6"/>
        <v>9</v>
      </c>
      <c r="AC14" s="17">
        <f t="shared" si="6"/>
        <v>1221</v>
      </c>
      <c r="AD14" s="17">
        <f t="shared" si="6"/>
        <v>0</v>
      </c>
      <c r="AE14" s="31">
        <f t="shared" si="6"/>
        <v>641</v>
      </c>
      <c r="AF14" s="31">
        <f t="shared" si="6"/>
        <v>1862</v>
      </c>
    </row>
    <row r="15" spans="2:32" ht="23.1" customHeight="1" x14ac:dyDescent="0.25">
      <c r="B15" s="23" t="s">
        <v>42</v>
      </c>
      <c r="C15" s="50">
        <v>106</v>
      </c>
      <c r="D15" s="50">
        <v>9</v>
      </c>
      <c r="E15" s="50">
        <v>12</v>
      </c>
      <c r="F15" s="50">
        <v>51</v>
      </c>
      <c r="G15" s="50">
        <v>6</v>
      </c>
      <c r="H15" s="50">
        <v>1</v>
      </c>
      <c r="I15" s="50">
        <v>15</v>
      </c>
      <c r="J15" s="50">
        <v>8</v>
      </c>
      <c r="K15" s="50">
        <v>2</v>
      </c>
      <c r="L15" s="50">
        <v>3</v>
      </c>
      <c r="M15" s="50">
        <v>410</v>
      </c>
      <c r="N15" s="50">
        <v>0</v>
      </c>
      <c r="O15" s="15">
        <f t="shared" si="0"/>
        <v>213</v>
      </c>
      <c r="P15" s="15">
        <f t="shared" si="1"/>
        <v>623</v>
      </c>
      <c r="R15" s="1" t="s">
        <v>11</v>
      </c>
      <c r="S15" s="17">
        <f t="shared" ref="S15:AF15" si="7">SUM(C30:C33)</f>
        <v>258</v>
      </c>
      <c r="T15" s="17">
        <f t="shared" si="7"/>
        <v>29</v>
      </c>
      <c r="U15" s="17">
        <f t="shared" si="7"/>
        <v>36</v>
      </c>
      <c r="V15" s="17">
        <f t="shared" si="7"/>
        <v>177</v>
      </c>
      <c r="W15" s="17">
        <f t="shared" si="7"/>
        <v>3</v>
      </c>
      <c r="X15" s="17">
        <f t="shared" si="7"/>
        <v>4</v>
      </c>
      <c r="Y15" s="17">
        <f t="shared" si="7"/>
        <v>62</v>
      </c>
      <c r="Z15" s="17">
        <f t="shared" si="7"/>
        <v>19</v>
      </c>
      <c r="AA15" s="17">
        <f t="shared" si="7"/>
        <v>4</v>
      </c>
      <c r="AB15" s="17">
        <f t="shared" si="7"/>
        <v>5</v>
      </c>
      <c r="AC15" s="17">
        <f t="shared" si="7"/>
        <v>1183</v>
      </c>
      <c r="AD15" s="17">
        <f t="shared" si="7"/>
        <v>0</v>
      </c>
      <c r="AE15" s="31">
        <f t="shared" si="7"/>
        <v>597</v>
      </c>
      <c r="AF15" s="31">
        <f t="shared" si="7"/>
        <v>1780</v>
      </c>
    </row>
    <row r="16" spans="2:32" ht="23.1" customHeight="1" x14ac:dyDescent="0.25">
      <c r="B16" s="23" t="s">
        <v>43</v>
      </c>
      <c r="C16" s="50">
        <v>92</v>
      </c>
      <c r="D16" s="50">
        <v>7</v>
      </c>
      <c r="E16" s="50">
        <v>13</v>
      </c>
      <c r="F16" s="50">
        <v>62</v>
      </c>
      <c r="G16" s="50">
        <v>0</v>
      </c>
      <c r="H16" s="50">
        <v>0</v>
      </c>
      <c r="I16" s="50">
        <v>13</v>
      </c>
      <c r="J16" s="50">
        <v>6</v>
      </c>
      <c r="K16" s="50">
        <v>2</v>
      </c>
      <c r="L16" s="50">
        <v>7</v>
      </c>
      <c r="M16" s="50">
        <v>375</v>
      </c>
      <c r="N16" s="50">
        <v>0</v>
      </c>
      <c r="O16" s="15">
        <f t="shared" si="0"/>
        <v>202</v>
      </c>
      <c r="P16" s="15">
        <f t="shared" si="1"/>
        <v>577</v>
      </c>
      <c r="R16" s="1" t="s">
        <v>12</v>
      </c>
      <c r="S16" s="17">
        <f t="shared" ref="S16:AF16" si="8">SUM(C34:C37)</f>
        <v>215</v>
      </c>
      <c r="T16" s="17">
        <f t="shared" si="8"/>
        <v>28</v>
      </c>
      <c r="U16" s="17">
        <f t="shared" si="8"/>
        <v>43</v>
      </c>
      <c r="V16" s="17">
        <f t="shared" si="8"/>
        <v>164</v>
      </c>
      <c r="W16" s="17">
        <f t="shared" si="8"/>
        <v>1</v>
      </c>
      <c r="X16" s="17">
        <f t="shared" si="8"/>
        <v>4</v>
      </c>
      <c r="Y16" s="17">
        <f t="shared" si="8"/>
        <v>40</v>
      </c>
      <c r="Z16" s="17">
        <f t="shared" si="8"/>
        <v>17</v>
      </c>
      <c r="AA16" s="17">
        <f t="shared" si="8"/>
        <v>7</v>
      </c>
      <c r="AB16" s="17">
        <f t="shared" si="8"/>
        <v>16</v>
      </c>
      <c r="AC16" s="17">
        <f t="shared" si="8"/>
        <v>1019</v>
      </c>
      <c r="AD16" s="17">
        <f t="shared" si="8"/>
        <v>0</v>
      </c>
      <c r="AE16" s="31">
        <f t="shared" si="8"/>
        <v>535</v>
      </c>
      <c r="AF16" s="31">
        <f t="shared" si="8"/>
        <v>1554</v>
      </c>
    </row>
    <row r="17" spans="2:32" ht="23.1" customHeight="1" x14ac:dyDescent="0.25">
      <c r="B17" s="23" t="s">
        <v>44</v>
      </c>
      <c r="C17" s="50">
        <v>90</v>
      </c>
      <c r="D17" s="50">
        <v>11</v>
      </c>
      <c r="E17" s="50">
        <v>9</v>
      </c>
      <c r="F17" s="50">
        <v>65</v>
      </c>
      <c r="G17" s="50">
        <v>4</v>
      </c>
      <c r="H17" s="50">
        <v>0</v>
      </c>
      <c r="I17" s="50">
        <v>20</v>
      </c>
      <c r="J17" s="50">
        <v>6</v>
      </c>
      <c r="K17" s="50">
        <v>0</v>
      </c>
      <c r="L17" s="50">
        <v>3</v>
      </c>
      <c r="M17" s="50">
        <v>320</v>
      </c>
      <c r="N17" s="50">
        <v>0</v>
      </c>
      <c r="O17" s="15">
        <f t="shared" si="0"/>
        <v>208</v>
      </c>
      <c r="P17" s="15">
        <f t="shared" si="1"/>
        <v>528</v>
      </c>
      <c r="R17" s="1" t="s">
        <v>13</v>
      </c>
      <c r="S17" s="17">
        <f t="shared" ref="S17:AF17" si="9">SUM(C38:C41)</f>
        <v>210</v>
      </c>
      <c r="T17" s="17">
        <f t="shared" si="9"/>
        <v>23</v>
      </c>
      <c r="U17" s="17">
        <f t="shared" si="9"/>
        <v>50</v>
      </c>
      <c r="V17" s="17">
        <f t="shared" si="9"/>
        <v>134</v>
      </c>
      <c r="W17" s="17">
        <f t="shared" si="9"/>
        <v>1</v>
      </c>
      <c r="X17" s="17">
        <f t="shared" si="9"/>
        <v>6</v>
      </c>
      <c r="Y17" s="17">
        <f t="shared" si="9"/>
        <v>74</v>
      </c>
      <c r="Z17" s="17">
        <f t="shared" si="9"/>
        <v>16</v>
      </c>
      <c r="AA17" s="17">
        <f t="shared" si="9"/>
        <v>4</v>
      </c>
      <c r="AB17" s="17">
        <f t="shared" si="9"/>
        <v>15</v>
      </c>
      <c r="AC17" s="17">
        <f t="shared" si="9"/>
        <v>739</v>
      </c>
      <c r="AD17" s="17">
        <f t="shared" si="9"/>
        <v>1</v>
      </c>
      <c r="AE17" s="31">
        <f t="shared" si="9"/>
        <v>534</v>
      </c>
      <c r="AF17" s="31">
        <f t="shared" si="9"/>
        <v>1273</v>
      </c>
    </row>
    <row r="18" spans="2:32" ht="23.1" customHeight="1" x14ac:dyDescent="0.25">
      <c r="B18" s="23" t="s">
        <v>45</v>
      </c>
      <c r="C18" s="50">
        <v>127</v>
      </c>
      <c r="D18" s="50">
        <v>12</v>
      </c>
      <c r="E18" s="50">
        <v>12</v>
      </c>
      <c r="F18" s="50">
        <v>64</v>
      </c>
      <c r="G18" s="50">
        <v>2</v>
      </c>
      <c r="H18" s="50">
        <v>1</v>
      </c>
      <c r="I18" s="50">
        <v>13</v>
      </c>
      <c r="J18" s="50">
        <v>8</v>
      </c>
      <c r="K18" s="50">
        <v>2</v>
      </c>
      <c r="L18" s="50">
        <v>2</v>
      </c>
      <c r="M18" s="50">
        <v>545</v>
      </c>
      <c r="N18" s="50">
        <v>0</v>
      </c>
      <c r="O18" s="15">
        <f t="shared" si="0"/>
        <v>243</v>
      </c>
      <c r="P18" s="15">
        <f t="shared" si="1"/>
        <v>788</v>
      </c>
      <c r="R18" s="1" t="s">
        <v>14</v>
      </c>
      <c r="S18" s="17">
        <f t="shared" ref="S18:AF18" si="10">SUM(C42:C45)</f>
        <v>262</v>
      </c>
      <c r="T18" s="17">
        <f t="shared" si="10"/>
        <v>36</v>
      </c>
      <c r="U18" s="17">
        <f t="shared" si="10"/>
        <v>51</v>
      </c>
      <c r="V18" s="17">
        <f t="shared" si="10"/>
        <v>155</v>
      </c>
      <c r="W18" s="17">
        <f t="shared" si="10"/>
        <v>3</v>
      </c>
      <c r="X18" s="17">
        <f t="shared" si="10"/>
        <v>6</v>
      </c>
      <c r="Y18" s="17">
        <f t="shared" si="10"/>
        <v>62</v>
      </c>
      <c r="Z18" s="17">
        <f t="shared" si="10"/>
        <v>21</v>
      </c>
      <c r="AA18" s="17">
        <f t="shared" si="10"/>
        <v>2</v>
      </c>
      <c r="AB18" s="17">
        <f t="shared" si="10"/>
        <v>11</v>
      </c>
      <c r="AC18" s="17">
        <f t="shared" si="10"/>
        <v>758</v>
      </c>
      <c r="AD18" s="17">
        <f t="shared" si="10"/>
        <v>0</v>
      </c>
      <c r="AE18" s="31">
        <f t="shared" si="10"/>
        <v>609</v>
      </c>
      <c r="AF18" s="31">
        <f t="shared" si="10"/>
        <v>1367</v>
      </c>
    </row>
    <row r="19" spans="2:32" ht="23.1" customHeight="1" x14ac:dyDescent="0.25">
      <c r="B19" s="23" t="s">
        <v>46</v>
      </c>
      <c r="C19" s="50">
        <v>85</v>
      </c>
      <c r="D19" s="50">
        <v>15</v>
      </c>
      <c r="E19" s="50">
        <v>6</v>
      </c>
      <c r="F19" s="50">
        <v>62</v>
      </c>
      <c r="G19" s="50">
        <v>7</v>
      </c>
      <c r="H19" s="50">
        <v>1</v>
      </c>
      <c r="I19" s="50">
        <v>17</v>
      </c>
      <c r="J19" s="50">
        <v>2</v>
      </c>
      <c r="K19" s="50">
        <v>3</v>
      </c>
      <c r="L19" s="50">
        <v>5</v>
      </c>
      <c r="M19" s="50">
        <v>400</v>
      </c>
      <c r="N19" s="50">
        <v>0</v>
      </c>
      <c r="O19" s="15">
        <f t="shared" si="0"/>
        <v>203</v>
      </c>
      <c r="P19" s="15">
        <f t="shared" si="1"/>
        <v>603</v>
      </c>
      <c r="R19" s="1" t="s">
        <v>15</v>
      </c>
      <c r="S19" s="17">
        <f t="shared" ref="S19:AF19" si="11">SUM(C46:C49)</f>
        <v>256</v>
      </c>
      <c r="T19" s="17">
        <f t="shared" si="11"/>
        <v>45</v>
      </c>
      <c r="U19" s="17">
        <f t="shared" si="11"/>
        <v>46</v>
      </c>
      <c r="V19" s="17">
        <f t="shared" si="11"/>
        <v>177</v>
      </c>
      <c r="W19" s="17">
        <f t="shared" si="11"/>
        <v>4</v>
      </c>
      <c r="X19" s="17">
        <f t="shared" si="11"/>
        <v>8</v>
      </c>
      <c r="Y19" s="17">
        <f t="shared" si="11"/>
        <v>61</v>
      </c>
      <c r="Z19" s="17">
        <f t="shared" si="11"/>
        <v>15</v>
      </c>
      <c r="AA19" s="17">
        <f t="shared" si="11"/>
        <v>4</v>
      </c>
      <c r="AB19" s="17">
        <f t="shared" si="11"/>
        <v>15</v>
      </c>
      <c r="AC19" s="17">
        <f t="shared" si="11"/>
        <v>712</v>
      </c>
      <c r="AD19" s="17">
        <f t="shared" si="11"/>
        <v>0</v>
      </c>
      <c r="AE19" s="31">
        <f t="shared" si="11"/>
        <v>631</v>
      </c>
      <c r="AF19" s="31">
        <f t="shared" si="11"/>
        <v>1343</v>
      </c>
    </row>
    <row r="20" spans="2:32" ht="23.1" customHeight="1" x14ac:dyDescent="0.25">
      <c r="B20" s="23" t="s">
        <v>47</v>
      </c>
      <c r="C20" s="50">
        <v>93</v>
      </c>
      <c r="D20" s="50">
        <v>9</v>
      </c>
      <c r="E20" s="50">
        <v>14</v>
      </c>
      <c r="F20" s="50">
        <v>66</v>
      </c>
      <c r="G20" s="50">
        <v>2</v>
      </c>
      <c r="H20" s="50">
        <v>2</v>
      </c>
      <c r="I20" s="50">
        <v>13</v>
      </c>
      <c r="J20" s="50">
        <v>6</v>
      </c>
      <c r="K20" s="50">
        <v>2</v>
      </c>
      <c r="L20" s="50">
        <v>5</v>
      </c>
      <c r="M20" s="50">
        <v>277</v>
      </c>
      <c r="N20" s="50">
        <v>0</v>
      </c>
      <c r="O20" s="15">
        <f t="shared" si="0"/>
        <v>212</v>
      </c>
      <c r="P20" s="15">
        <f t="shared" si="1"/>
        <v>489</v>
      </c>
      <c r="R20" s="1" t="s">
        <v>16</v>
      </c>
      <c r="S20" s="17">
        <f t="shared" ref="S20:AF20" si="12">SUM(C50:C53)</f>
        <v>282</v>
      </c>
      <c r="T20" s="17">
        <f t="shared" si="12"/>
        <v>51</v>
      </c>
      <c r="U20" s="17">
        <f t="shared" si="12"/>
        <v>57</v>
      </c>
      <c r="V20" s="17">
        <f t="shared" si="12"/>
        <v>174</v>
      </c>
      <c r="W20" s="17">
        <f t="shared" si="12"/>
        <v>6</v>
      </c>
      <c r="X20" s="17">
        <f t="shared" si="12"/>
        <v>29</v>
      </c>
      <c r="Y20" s="17">
        <f t="shared" si="12"/>
        <v>50</v>
      </c>
      <c r="Z20" s="17">
        <f t="shared" si="12"/>
        <v>22</v>
      </c>
      <c r="AA20" s="17">
        <f t="shared" si="12"/>
        <v>9</v>
      </c>
      <c r="AB20" s="17">
        <f t="shared" si="12"/>
        <v>22</v>
      </c>
      <c r="AC20" s="17">
        <f t="shared" si="12"/>
        <v>1188</v>
      </c>
      <c r="AD20" s="17">
        <f t="shared" si="12"/>
        <v>0</v>
      </c>
      <c r="AE20" s="31">
        <f t="shared" si="12"/>
        <v>702</v>
      </c>
      <c r="AF20" s="31">
        <f t="shared" si="12"/>
        <v>1890</v>
      </c>
    </row>
    <row r="21" spans="2:32" ht="23.1" customHeight="1" x14ac:dyDescent="0.25">
      <c r="B21" s="23" t="s">
        <v>48</v>
      </c>
      <c r="C21" s="50">
        <v>84</v>
      </c>
      <c r="D21" s="50">
        <v>10</v>
      </c>
      <c r="E21" s="50">
        <v>10</v>
      </c>
      <c r="F21" s="50">
        <v>52</v>
      </c>
      <c r="G21" s="50">
        <v>4</v>
      </c>
      <c r="H21" s="50">
        <v>0</v>
      </c>
      <c r="I21" s="50">
        <v>18</v>
      </c>
      <c r="J21" s="50">
        <v>7</v>
      </c>
      <c r="K21" s="50">
        <v>0</v>
      </c>
      <c r="L21" s="50">
        <v>5</v>
      </c>
      <c r="M21" s="50">
        <v>285</v>
      </c>
      <c r="N21" s="50">
        <v>0</v>
      </c>
      <c r="O21" s="15">
        <f t="shared" si="0"/>
        <v>190</v>
      </c>
      <c r="P21" s="15">
        <f t="shared" si="1"/>
        <v>475</v>
      </c>
      <c r="R21" s="36" t="s">
        <v>20</v>
      </c>
      <c r="S21" s="34">
        <f t="shared" ref="S21:AF21" si="13">SUM(C54:C57)</f>
        <v>463</v>
      </c>
      <c r="T21" s="17">
        <f t="shared" si="13"/>
        <v>44</v>
      </c>
      <c r="U21" s="17">
        <f t="shared" si="13"/>
        <v>40</v>
      </c>
      <c r="V21" s="17">
        <f t="shared" si="13"/>
        <v>251</v>
      </c>
      <c r="W21" s="17">
        <f t="shared" si="13"/>
        <v>20</v>
      </c>
      <c r="X21" s="17">
        <f t="shared" si="13"/>
        <v>4</v>
      </c>
      <c r="Y21" s="17">
        <f t="shared" si="13"/>
        <v>60</v>
      </c>
      <c r="Z21" s="17">
        <f t="shared" si="13"/>
        <v>17</v>
      </c>
      <c r="AA21" s="17">
        <f t="shared" si="13"/>
        <v>6</v>
      </c>
      <c r="AB21" s="17">
        <f t="shared" si="13"/>
        <v>17</v>
      </c>
      <c r="AC21" s="17">
        <f t="shared" si="13"/>
        <v>1495</v>
      </c>
      <c r="AD21" s="17">
        <f t="shared" si="13"/>
        <v>0</v>
      </c>
      <c r="AE21" s="31">
        <f t="shared" si="13"/>
        <v>922</v>
      </c>
      <c r="AF21" s="31">
        <f t="shared" si="13"/>
        <v>2417</v>
      </c>
    </row>
    <row r="22" spans="2:32" ht="23.1" customHeight="1" x14ac:dyDescent="0.25">
      <c r="B22" s="23" t="s">
        <v>49</v>
      </c>
      <c r="C22" s="50">
        <v>84</v>
      </c>
      <c r="D22" s="50">
        <v>8</v>
      </c>
      <c r="E22" s="50">
        <v>9</v>
      </c>
      <c r="F22" s="50">
        <v>67</v>
      </c>
      <c r="G22" s="50">
        <v>2</v>
      </c>
      <c r="H22" s="50">
        <v>1</v>
      </c>
      <c r="I22" s="50">
        <v>9</v>
      </c>
      <c r="J22" s="50">
        <v>9</v>
      </c>
      <c r="K22" s="50">
        <v>0</v>
      </c>
      <c r="L22" s="50">
        <v>4</v>
      </c>
      <c r="M22" s="50">
        <v>303</v>
      </c>
      <c r="N22" s="50">
        <v>0</v>
      </c>
      <c r="O22" s="15">
        <f t="shared" si="0"/>
        <v>193</v>
      </c>
      <c r="P22" s="15">
        <f t="shared" si="1"/>
        <v>496</v>
      </c>
      <c r="R22" s="38" t="s">
        <v>90</v>
      </c>
      <c r="S22" s="39">
        <f>MAX(S10:S12)</f>
        <v>389</v>
      </c>
      <c r="T22" s="39">
        <f t="shared" ref="T22:AF22" si="14">MAX(T10:T12)</f>
        <v>46</v>
      </c>
      <c r="U22" s="39">
        <f t="shared" si="14"/>
        <v>46</v>
      </c>
      <c r="V22" s="39">
        <f t="shared" si="14"/>
        <v>249</v>
      </c>
      <c r="W22" s="39">
        <f t="shared" si="14"/>
        <v>15</v>
      </c>
      <c r="X22" s="39">
        <f t="shared" si="14"/>
        <v>5</v>
      </c>
      <c r="Y22" s="39">
        <f t="shared" si="14"/>
        <v>61</v>
      </c>
      <c r="Z22" s="39">
        <f t="shared" si="14"/>
        <v>34</v>
      </c>
      <c r="AA22" s="39">
        <f t="shared" si="14"/>
        <v>7</v>
      </c>
      <c r="AB22" s="39">
        <f t="shared" si="14"/>
        <v>21</v>
      </c>
      <c r="AC22" s="39">
        <f t="shared" si="14"/>
        <v>1645</v>
      </c>
      <c r="AD22" s="39">
        <f t="shared" si="14"/>
        <v>0</v>
      </c>
      <c r="AE22" s="40">
        <f t="shared" si="14"/>
        <v>848</v>
      </c>
      <c r="AF22" s="40">
        <f t="shared" si="14"/>
        <v>2381</v>
      </c>
    </row>
    <row r="23" spans="2:32" ht="23.1" customHeight="1" x14ac:dyDescent="0.25">
      <c r="B23" s="23" t="s">
        <v>50</v>
      </c>
      <c r="C23" s="50">
        <v>87</v>
      </c>
      <c r="D23" s="50">
        <v>12</v>
      </c>
      <c r="E23" s="50">
        <v>14</v>
      </c>
      <c r="F23" s="50">
        <v>46</v>
      </c>
      <c r="G23" s="50">
        <v>6</v>
      </c>
      <c r="H23" s="50">
        <v>1</v>
      </c>
      <c r="I23" s="50">
        <v>14</v>
      </c>
      <c r="J23" s="50">
        <v>4</v>
      </c>
      <c r="K23" s="50">
        <v>3</v>
      </c>
      <c r="L23" s="50">
        <v>2</v>
      </c>
      <c r="M23" s="50">
        <v>322</v>
      </c>
      <c r="N23" s="50">
        <v>0</v>
      </c>
      <c r="O23" s="15">
        <f t="shared" si="0"/>
        <v>189</v>
      </c>
      <c r="P23" s="15">
        <f t="shared" si="1"/>
        <v>511</v>
      </c>
      <c r="R23" s="38" t="s">
        <v>91</v>
      </c>
      <c r="S23" s="39">
        <f>MAX(S13:S18)</f>
        <v>330</v>
      </c>
      <c r="T23" s="39">
        <f t="shared" ref="T23:AF23" si="15">MAX(T13:T18)</f>
        <v>42</v>
      </c>
      <c r="U23" s="39">
        <f t="shared" si="15"/>
        <v>51</v>
      </c>
      <c r="V23" s="39">
        <f t="shared" si="15"/>
        <v>202</v>
      </c>
      <c r="W23" s="39">
        <f t="shared" si="15"/>
        <v>8</v>
      </c>
      <c r="X23" s="39">
        <f t="shared" si="15"/>
        <v>6</v>
      </c>
      <c r="Y23" s="39">
        <f t="shared" si="15"/>
        <v>74</v>
      </c>
      <c r="Z23" s="39">
        <f t="shared" si="15"/>
        <v>21</v>
      </c>
      <c r="AA23" s="39">
        <f t="shared" si="15"/>
        <v>9</v>
      </c>
      <c r="AB23" s="39">
        <f t="shared" si="15"/>
        <v>16</v>
      </c>
      <c r="AC23" s="39">
        <f t="shared" si="15"/>
        <v>1221</v>
      </c>
      <c r="AD23" s="39">
        <f t="shared" si="15"/>
        <v>1</v>
      </c>
      <c r="AE23" s="40">
        <f t="shared" si="15"/>
        <v>723</v>
      </c>
      <c r="AF23" s="40">
        <f t="shared" si="15"/>
        <v>1862</v>
      </c>
    </row>
    <row r="24" spans="2:32" ht="23.1" customHeight="1" x14ac:dyDescent="0.25">
      <c r="B24" s="23" t="s">
        <v>51</v>
      </c>
      <c r="C24" s="50">
        <v>86</v>
      </c>
      <c r="D24" s="50">
        <v>6</v>
      </c>
      <c r="E24" s="50">
        <v>17</v>
      </c>
      <c r="F24" s="50">
        <v>58</v>
      </c>
      <c r="G24" s="50">
        <v>0</v>
      </c>
      <c r="H24" s="50">
        <v>1</v>
      </c>
      <c r="I24" s="50">
        <v>15</v>
      </c>
      <c r="J24" s="50">
        <v>4</v>
      </c>
      <c r="K24" s="50">
        <v>0</v>
      </c>
      <c r="L24" s="50">
        <v>2</v>
      </c>
      <c r="M24" s="50">
        <v>263</v>
      </c>
      <c r="N24" s="50">
        <v>0</v>
      </c>
      <c r="O24" s="15">
        <f t="shared" si="0"/>
        <v>189</v>
      </c>
      <c r="P24" s="15">
        <f t="shared" si="1"/>
        <v>452</v>
      </c>
      <c r="R24" s="38" t="s">
        <v>92</v>
      </c>
      <c r="S24" s="39">
        <f>MAX(S19:S21)</f>
        <v>463</v>
      </c>
      <c r="T24" s="39">
        <f t="shared" ref="T24:AF24" si="16">MAX(T19:T21)</f>
        <v>51</v>
      </c>
      <c r="U24" s="39">
        <f t="shared" si="16"/>
        <v>57</v>
      </c>
      <c r="V24" s="39">
        <f t="shared" si="16"/>
        <v>251</v>
      </c>
      <c r="W24" s="39">
        <f t="shared" si="16"/>
        <v>20</v>
      </c>
      <c r="X24" s="39">
        <f t="shared" si="16"/>
        <v>29</v>
      </c>
      <c r="Y24" s="39">
        <f t="shared" si="16"/>
        <v>61</v>
      </c>
      <c r="Z24" s="39">
        <f t="shared" si="16"/>
        <v>22</v>
      </c>
      <c r="AA24" s="39">
        <f t="shared" si="16"/>
        <v>9</v>
      </c>
      <c r="AB24" s="39">
        <f t="shared" si="16"/>
        <v>22</v>
      </c>
      <c r="AC24" s="39">
        <f t="shared" si="16"/>
        <v>1495</v>
      </c>
      <c r="AD24" s="39">
        <f t="shared" si="16"/>
        <v>0</v>
      </c>
      <c r="AE24" s="40">
        <f t="shared" si="16"/>
        <v>922</v>
      </c>
      <c r="AF24" s="40">
        <f t="shared" si="16"/>
        <v>2417</v>
      </c>
    </row>
    <row r="25" spans="2:32" ht="23.1" customHeight="1" x14ac:dyDescent="0.25">
      <c r="B25" s="23" t="s">
        <v>52</v>
      </c>
      <c r="C25" s="50">
        <v>73</v>
      </c>
      <c r="D25" s="50">
        <v>16</v>
      </c>
      <c r="E25" s="50">
        <v>9</v>
      </c>
      <c r="F25" s="50">
        <v>31</v>
      </c>
      <c r="G25" s="50">
        <v>0</v>
      </c>
      <c r="H25" s="50">
        <v>0</v>
      </c>
      <c r="I25" s="50">
        <v>18</v>
      </c>
      <c r="J25" s="50">
        <v>2</v>
      </c>
      <c r="K25" s="50">
        <v>1</v>
      </c>
      <c r="L25" s="50">
        <v>2</v>
      </c>
      <c r="M25" s="50">
        <v>223</v>
      </c>
      <c r="N25" s="50">
        <v>0</v>
      </c>
      <c r="O25" s="15">
        <f t="shared" si="0"/>
        <v>152</v>
      </c>
      <c r="P25" s="15">
        <f t="shared" si="1"/>
        <v>375</v>
      </c>
      <c r="R25" s="37" t="s">
        <v>85</v>
      </c>
      <c r="S25" s="35">
        <f t="shared" ref="S25:AF25" si="17">SUM(S10:S12)</f>
        <v>1004</v>
      </c>
      <c r="T25" s="16">
        <f t="shared" si="17"/>
        <v>115</v>
      </c>
      <c r="U25" s="16">
        <f t="shared" si="17"/>
        <v>113</v>
      </c>
      <c r="V25" s="16">
        <f t="shared" si="17"/>
        <v>660</v>
      </c>
      <c r="W25" s="16">
        <f t="shared" si="17"/>
        <v>43</v>
      </c>
      <c r="X25" s="16">
        <f t="shared" si="17"/>
        <v>11</v>
      </c>
      <c r="Y25" s="16">
        <f t="shared" si="17"/>
        <v>168</v>
      </c>
      <c r="Z25" s="16">
        <f t="shared" si="17"/>
        <v>80</v>
      </c>
      <c r="AA25" s="16">
        <f t="shared" si="17"/>
        <v>15</v>
      </c>
      <c r="AB25" s="16">
        <f t="shared" si="17"/>
        <v>54</v>
      </c>
      <c r="AC25" s="16">
        <f t="shared" si="17"/>
        <v>4707</v>
      </c>
      <c r="AD25" s="16">
        <f t="shared" si="17"/>
        <v>0</v>
      </c>
      <c r="AE25" s="32">
        <f t="shared" si="17"/>
        <v>2263</v>
      </c>
      <c r="AF25" s="32">
        <f t="shared" si="17"/>
        <v>6970</v>
      </c>
    </row>
    <row r="26" spans="2:32" ht="23.1" customHeight="1" x14ac:dyDescent="0.25">
      <c r="B26" s="23" t="s">
        <v>53</v>
      </c>
      <c r="C26" s="50">
        <v>75</v>
      </c>
      <c r="D26" s="50">
        <v>9</v>
      </c>
      <c r="E26" s="50">
        <v>9</v>
      </c>
      <c r="F26" s="50">
        <v>45</v>
      </c>
      <c r="G26" s="50">
        <v>1</v>
      </c>
      <c r="H26" s="50">
        <v>1</v>
      </c>
      <c r="I26" s="50">
        <v>12</v>
      </c>
      <c r="J26" s="50">
        <v>4</v>
      </c>
      <c r="K26" s="50">
        <v>1</v>
      </c>
      <c r="L26" s="50">
        <v>3</v>
      </c>
      <c r="M26" s="50">
        <v>289</v>
      </c>
      <c r="N26" s="50">
        <v>0</v>
      </c>
      <c r="O26" s="15">
        <f t="shared" si="0"/>
        <v>160</v>
      </c>
      <c r="P26" s="15">
        <f t="shared" si="1"/>
        <v>449</v>
      </c>
      <c r="R26" s="28" t="s">
        <v>86</v>
      </c>
      <c r="S26" s="16">
        <f t="shared" ref="S26:AF26" si="18">SUM(S13:S18)</f>
        <v>1550</v>
      </c>
      <c r="T26" s="16">
        <f t="shared" si="18"/>
        <v>196</v>
      </c>
      <c r="U26" s="16">
        <f t="shared" si="18"/>
        <v>276</v>
      </c>
      <c r="V26" s="16">
        <f t="shared" si="18"/>
        <v>1015</v>
      </c>
      <c r="W26" s="16">
        <f t="shared" si="18"/>
        <v>18</v>
      </c>
      <c r="X26" s="16">
        <f t="shared" si="18"/>
        <v>26</v>
      </c>
      <c r="Y26" s="16">
        <f t="shared" si="18"/>
        <v>351</v>
      </c>
      <c r="Z26" s="16">
        <f t="shared" si="18"/>
        <v>110</v>
      </c>
      <c r="AA26" s="16">
        <f t="shared" si="18"/>
        <v>30</v>
      </c>
      <c r="AB26" s="16">
        <f t="shared" si="18"/>
        <v>66</v>
      </c>
      <c r="AC26" s="16">
        <f t="shared" si="18"/>
        <v>6031</v>
      </c>
      <c r="AD26" s="16">
        <f t="shared" si="18"/>
        <v>1</v>
      </c>
      <c r="AE26" s="32">
        <f t="shared" si="18"/>
        <v>3639</v>
      </c>
      <c r="AF26" s="32">
        <f t="shared" si="18"/>
        <v>9670</v>
      </c>
    </row>
    <row r="27" spans="2:32" ht="23.1" customHeight="1" x14ac:dyDescent="0.25">
      <c r="B27" s="23" t="s">
        <v>54</v>
      </c>
      <c r="C27" s="50">
        <v>65</v>
      </c>
      <c r="D27" s="50">
        <v>13</v>
      </c>
      <c r="E27" s="50">
        <v>14</v>
      </c>
      <c r="F27" s="50">
        <v>36</v>
      </c>
      <c r="G27" s="50">
        <v>0</v>
      </c>
      <c r="H27" s="50">
        <v>1</v>
      </c>
      <c r="I27" s="50">
        <v>9</v>
      </c>
      <c r="J27" s="50">
        <v>2</v>
      </c>
      <c r="K27" s="50">
        <v>3</v>
      </c>
      <c r="L27" s="50">
        <v>1</v>
      </c>
      <c r="M27" s="50">
        <v>294</v>
      </c>
      <c r="N27" s="50">
        <v>0</v>
      </c>
      <c r="O27" s="15">
        <f t="shared" si="0"/>
        <v>144</v>
      </c>
      <c r="P27" s="15">
        <f t="shared" si="1"/>
        <v>438</v>
      </c>
      <c r="R27" s="29" t="s">
        <v>87</v>
      </c>
      <c r="S27" s="16">
        <f t="shared" ref="S27:AF27" si="19">SUM(S19:S21)</f>
        <v>1001</v>
      </c>
      <c r="T27" s="16">
        <f t="shared" si="19"/>
        <v>140</v>
      </c>
      <c r="U27" s="16">
        <f t="shared" si="19"/>
        <v>143</v>
      </c>
      <c r="V27" s="16">
        <f t="shared" si="19"/>
        <v>602</v>
      </c>
      <c r="W27" s="16">
        <f t="shared" si="19"/>
        <v>30</v>
      </c>
      <c r="X27" s="16">
        <f t="shared" si="19"/>
        <v>41</v>
      </c>
      <c r="Y27" s="16">
        <f t="shared" si="19"/>
        <v>171</v>
      </c>
      <c r="Z27" s="16">
        <f t="shared" si="19"/>
        <v>54</v>
      </c>
      <c r="AA27" s="16">
        <f t="shared" si="19"/>
        <v>19</v>
      </c>
      <c r="AB27" s="16">
        <f t="shared" si="19"/>
        <v>54</v>
      </c>
      <c r="AC27" s="16">
        <f t="shared" si="19"/>
        <v>3395</v>
      </c>
      <c r="AD27" s="16">
        <f t="shared" si="19"/>
        <v>0</v>
      </c>
      <c r="AE27" s="32">
        <f t="shared" si="19"/>
        <v>2255</v>
      </c>
      <c r="AF27" s="32">
        <f t="shared" si="19"/>
        <v>5650</v>
      </c>
    </row>
    <row r="28" spans="2:32" ht="23.1" customHeight="1" x14ac:dyDescent="0.25">
      <c r="B28" s="23" t="s">
        <v>55</v>
      </c>
      <c r="C28" s="50">
        <v>65</v>
      </c>
      <c r="D28" s="50">
        <v>7</v>
      </c>
      <c r="E28" s="50">
        <v>13</v>
      </c>
      <c r="F28" s="50">
        <v>44</v>
      </c>
      <c r="G28" s="50">
        <v>0</v>
      </c>
      <c r="H28" s="50">
        <v>0</v>
      </c>
      <c r="I28" s="50">
        <v>20</v>
      </c>
      <c r="J28" s="50">
        <v>6</v>
      </c>
      <c r="K28" s="50">
        <v>3</v>
      </c>
      <c r="L28" s="50">
        <v>1</v>
      </c>
      <c r="M28" s="50">
        <v>315</v>
      </c>
      <c r="N28" s="50">
        <v>0</v>
      </c>
      <c r="O28" s="15">
        <f t="shared" si="0"/>
        <v>159</v>
      </c>
      <c r="P28" s="15">
        <f t="shared" si="1"/>
        <v>474</v>
      </c>
      <c r="R28" s="5" t="s">
        <v>17</v>
      </c>
      <c r="S28" s="16">
        <f t="shared" ref="S28:AF28" si="20">SUM(S10:S21)</f>
        <v>3555</v>
      </c>
      <c r="T28" s="16">
        <f t="shared" si="20"/>
        <v>451</v>
      </c>
      <c r="U28" s="16">
        <f t="shared" si="20"/>
        <v>532</v>
      </c>
      <c r="V28" s="16">
        <f t="shared" si="20"/>
        <v>2277</v>
      </c>
      <c r="W28" s="16">
        <f t="shared" si="20"/>
        <v>91</v>
      </c>
      <c r="X28" s="16">
        <f t="shared" si="20"/>
        <v>78</v>
      </c>
      <c r="Y28" s="16">
        <f t="shared" si="20"/>
        <v>690</v>
      </c>
      <c r="Z28" s="16">
        <f t="shared" si="20"/>
        <v>244</v>
      </c>
      <c r="AA28" s="16">
        <f t="shared" si="20"/>
        <v>64</v>
      </c>
      <c r="AB28" s="16">
        <f t="shared" si="20"/>
        <v>174</v>
      </c>
      <c r="AC28" s="16">
        <f t="shared" si="20"/>
        <v>14133</v>
      </c>
      <c r="AD28" s="16">
        <f t="shared" si="20"/>
        <v>1</v>
      </c>
      <c r="AE28" s="32">
        <f t="shared" si="20"/>
        <v>8157</v>
      </c>
      <c r="AF28" s="32">
        <f t="shared" si="20"/>
        <v>22290</v>
      </c>
    </row>
    <row r="29" spans="2:32" ht="23.1" customHeight="1" x14ac:dyDescent="0.25">
      <c r="B29" s="23" t="s">
        <v>56</v>
      </c>
      <c r="C29" s="50">
        <v>70</v>
      </c>
      <c r="D29" s="50">
        <v>9</v>
      </c>
      <c r="E29" s="50">
        <v>11</v>
      </c>
      <c r="F29" s="50">
        <v>58</v>
      </c>
      <c r="G29" s="50">
        <v>1</v>
      </c>
      <c r="H29" s="50">
        <v>1</v>
      </c>
      <c r="I29" s="50">
        <v>16</v>
      </c>
      <c r="J29" s="50">
        <v>6</v>
      </c>
      <c r="K29" s="50">
        <v>2</v>
      </c>
      <c r="L29" s="50">
        <v>4</v>
      </c>
      <c r="M29" s="50">
        <v>323</v>
      </c>
      <c r="N29" s="50">
        <v>0</v>
      </c>
      <c r="O29" s="15">
        <f t="shared" si="0"/>
        <v>178</v>
      </c>
      <c r="P29" s="15">
        <f t="shared" si="1"/>
        <v>501</v>
      </c>
      <c r="R29"/>
      <c r="S29" s="20"/>
      <c r="T29" s="19"/>
    </row>
    <row r="30" spans="2:32" ht="23.1" customHeight="1" x14ac:dyDescent="0.25">
      <c r="B30" s="23" t="s">
        <v>57</v>
      </c>
      <c r="C30" s="50">
        <v>59</v>
      </c>
      <c r="D30" s="50">
        <v>5</v>
      </c>
      <c r="E30" s="50">
        <v>11</v>
      </c>
      <c r="F30" s="50">
        <v>36</v>
      </c>
      <c r="G30" s="50">
        <v>0</v>
      </c>
      <c r="H30" s="50">
        <v>0</v>
      </c>
      <c r="I30" s="50">
        <v>19</v>
      </c>
      <c r="J30" s="50">
        <v>6</v>
      </c>
      <c r="K30" s="50">
        <v>0</v>
      </c>
      <c r="L30" s="50">
        <v>2</v>
      </c>
      <c r="M30" s="50">
        <v>410</v>
      </c>
      <c r="N30" s="50">
        <v>0</v>
      </c>
      <c r="O30" s="15">
        <f t="shared" si="0"/>
        <v>138</v>
      </c>
      <c r="P30" s="15">
        <f t="shared" si="1"/>
        <v>548</v>
      </c>
    </row>
    <row r="31" spans="2:32" ht="23.1" customHeight="1" x14ac:dyDescent="0.25">
      <c r="B31" s="24" t="s">
        <v>58</v>
      </c>
      <c r="C31" s="50">
        <v>39</v>
      </c>
      <c r="D31" s="50">
        <v>10</v>
      </c>
      <c r="E31" s="50">
        <v>9</v>
      </c>
      <c r="F31" s="50">
        <v>50</v>
      </c>
      <c r="G31" s="50">
        <v>1</v>
      </c>
      <c r="H31" s="50">
        <v>0</v>
      </c>
      <c r="I31" s="50">
        <v>10</v>
      </c>
      <c r="J31" s="50">
        <v>3</v>
      </c>
      <c r="K31" s="50">
        <v>1</v>
      </c>
      <c r="L31" s="50">
        <v>0</v>
      </c>
      <c r="M31" s="50">
        <v>285</v>
      </c>
      <c r="N31" s="50">
        <v>0</v>
      </c>
      <c r="O31" s="15">
        <f t="shared" si="0"/>
        <v>123</v>
      </c>
      <c r="P31" s="15">
        <f t="shared" si="1"/>
        <v>408</v>
      </c>
    </row>
    <row r="32" spans="2:32" ht="23.1" customHeight="1" x14ac:dyDescent="0.25">
      <c r="B32" s="24" t="s">
        <v>59</v>
      </c>
      <c r="C32" s="50">
        <v>78</v>
      </c>
      <c r="D32" s="50">
        <v>7</v>
      </c>
      <c r="E32" s="50">
        <v>8</v>
      </c>
      <c r="F32" s="50">
        <v>46</v>
      </c>
      <c r="G32" s="50">
        <v>1</v>
      </c>
      <c r="H32" s="50">
        <v>2</v>
      </c>
      <c r="I32" s="50">
        <v>18</v>
      </c>
      <c r="J32" s="50">
        <v>5</v>
      </c>
      <c r="K32" s="50">
        <v>2</v>
      </c>
      <c r="L32" s="50">
        <v>2</v>
      </c>
      <c r="M32" s="50">
        <v>274</v>
      </c>
      <c r="N32" s="50">
        <v>0</v>
      </c>
      <c r="O32" s="15">
        <f t="shared" si="0"/>
        <v>169</v>
      </c>
      <c r="P32" s="15">
        <f t="shared" si="1"/>
        <v>443</v>
      </c>
    </row>
    <row r="33" spans="2:20" ht="23.1" customHeight="1" x14ac:dyDescent="0.25">
      <c r="B33" s="23" t="s">
        <v>60</v>
      </c>
      <c r="C33" s="50">
        <v>82</v>
      </c>
      <c r="D33" s="50">
        <v>7</v>
      </c>
      <c r="E33" s="50">
        <v>8</v>
      </c>
      <c r="F33" s="50">
        <v>45</v>
      </c>
      <c r="G33" s="50">
        <v>1</v>
      </c>
      <c r="H33" s="50">
        <v>2</v>
      </c>
      <c r="I33" s="50">
        <v>15</v>
      </c>
      <c r="J33" s="50">
        <v>5</v>
      </c>
      <c r="K33" s="50">
        <v>1</v>
      </c>
      <c r="L33" s="50">
        <v>1</v>
      </c>
      <c r="M33" s="50">
        <v>214</v>
      </c>
      <c r="N33" s="50">
        <v>0</v>
      </c>
      <c r="O33" s="15">
        <f t="shared" si="0"/>
        <v>167</v>
      </c>
      <c r="P33" s="15">
        <f t="shared" si="1"/>
        <v>381</v>
      </c>
    </row>
    <row r="34" spans="2:20" ht="23.1" customHeight="1" x14ac:dyDescent="0.25">
      <c r="B34" s="24" t="s">
        <v>61</v>
      </c>
      <c r="C34" s="50">
        <v>45</v>
      </c>
      <c r="D34" s="50">
        <v>6</v>
      </c>
      <c r="E34" s="50">
        <v>7</v>
      </c>
      <c r="F34" s="50">
        <v>35</v>
      </c>
      <c r="G34" s="50">
        <v>0</v>
      </c>
      <c r="H34" s="50">
        <v>1</v>
      </c>
      <c r="I34" s="50">
        <v>12</v>
      </c>
      <c r="J34" s="50">
        <v>6</v>
      </c>
      <c r="K34" s="50">
        <v>0</v>
      </c>
      <c r="L34" s="50">
        <v>2</v>
      </c>
      <c r="M34" s="50">
        <v>299</v>
      </c>
      <c r="N34" s="50">
        <v>0</v>
      </c>
      <c r="O34" s="15">
        <f t="shared" si="0"/>
        <v>114</v>
      </c>
      <c r="P34" s="15">
        <f t="shared" si="1"/>
        <v>413</v>
      </c>
    </row>
    <row r="35" spans="2:20" ht="23.1" customHeight="1" x14ac:dyDescent="0.25">
      <c r="B35" s="24" t="s">
        <v>62</v>
      </c>
      <c r="C35" s="50">
        <v>55</v>
      </c>
      <c r="D35" s="50">
        <v>7</v>
      </c>
      <c r="E35" s="50">
        <v>11</v>
      </c>
      <c r="F35" s="50">
        <v>46</v>
      </c>
      <c r="G35" s="50">
        <v>0</v>
      </c>
      <c r="H35" s="50">
        <v>1</v>
      </c>
      <c r="I35" s="50">
        <v>13</v>
      </c>
      <c r="J35" s="50">
        <v>5</v>
      </c>
      <c r="K35" s="50">
        <v>3</v>
      </c>
      <c r="L35" s="50">
        <v>8</v>
      </c>
      <c r="M35" s="50">
        <v>305</v>
      </c>
      <c r="N35" s="50">
        <v>0</v>
      </c>
      <c r="O35" s="15">
        <f t="shared" si="0"/>
        <v>149</v>
      </c>
      <c r="P35" s="15">
        <f t="shared" si="1"/>
        <v>454</v>
      </c>
    </row>
    <row r="36" spans="2:20" ht="23.1" customHeight="1" x14ac:dyDescent="0.25">
      <c r="B36" s="24" t="s">
        <v>63</v>
      </c>
      <c r="C36" s="50">
        <v>40</v>
      </c>
      <c r="D36" s="50">
        <v>5</v>
      </c>
      <c r="E36" s="50">
        <v>5</v>
      </c>
      <c r="F36" s="50">
        <v>35</v>
      </c>
      <c r="G36" s="50">
        <v>1</v>
      </c>
      <c r="H36" s="50">
        <v>2</v>
      </c>
      <c r="I36" s="50">
        <v>7</v>
      </c>
      <c r="J36" s="50">
        <v>3</v>
      </c>
      <c r="K36" s="50">
        <v>1</v>
      </c>
      <c r="L36" s="50">
        <v>2</v>
      </c>
      <c r="M36" s="50">
        <v>250</v>
      </c>
      <c r="N36" s="50">
        <v>0</v>
      </c>
      <c r="O36" s="15">
        <f t="shared" si="0"/>
        <v>101</v>
      </c>
      <c r="P36" s="15">
        <f t="shared" si="1"/>
        <v>351</v>
      </c>
    </row>
    <row r="37" spans="2:20" ht="23.1" customHeight="1" x14ac:dyDescent="0.25">
      <c r="B37" s="23" t="s">
        <v>64</v>
      </c>
      <c r="C37" s="50">
        <v>75</v>
      </c>
      <c r="D37" s="50">
        <v>10</v>
      </c>
      <c r="E37" s="50">
        <v>20</v>
      </c>
      <c r="F37" s="50">
        <v>48</v>
      </c>
      <c r="G37" s="50">
        <v>0</v>
      </c>
      <c r="H37" s="50">
        <v>0</v>
      </c>
      <c r="I37" s="50">
        <v>8</v>
      </c>
      <c r="J37" s="50">
        <v>3</v>
      </c>
      <c r="K37" s="50">
        <v>3</v>
      </c>
      <c r="L37" s="50">
        <v>4</v>
      </c>
      <c r="M37" s="50">
        <v>165</v>
      </c>
      <c r="N37" s="50">
        <v>0</v>
      </c>
      <c r="O37" s="15">
        <f t="shared" si="0"/>
        <v>171</v>
      </c>
      <c r="P37" s="15">
        <f t="shared" si="1"/>
        <v>336</v>
      </c>
    </row>
    <row r="38" spans="2:20" ht="23.1" customHeight="1" x14ac:dyDescent="0.25">
      <c r="B38" s="24" t="s">
        <v>65</v>
      </c>
      <c r="C38" s="50">
        <v>41</v>
      </c>
      <c r="D38" s="50">
        <v>3</v>
      </c>
      <c r="E38" s="50">
        <v>11</v>
      </c>
      <c r="F38" s="50">
        <v>29</v>
      </c>
      <c r="G38" s="50">
        <v>0</v>
      </c>
      <c r="H38" s="50">
        <v>2</v>
      </c>
      <c r="I38" s="50">
        <v>14</v>
      </c>
      <c r="J38" s="50">
        <v>1</v>
      </c>
      <c r="K38" s="50">
        <v>1</v>
      </c>
      <c r="L38" s="50">
        <v>2</v>
      </c>
      <c r="M38" s="50">
        <v>174</v>
      </c>
      <c r="N38" s="50">
        <v>0</v>
      </c>
      <c r="O38" s="15">
        <f t="shared" si="0"/>
        <v>104</v>
      </c>
      <c r="P38" s="15">
        <f t="shared" si="1"/>
        <v>278</v>
      </c>
    </row>
    <row r="39" spans="2:20" ht="23.1" customHeight="1" x14ac:dyDescent="0.25">
      <c r="B39" s="24" t="s">
        <v>66</v>
      </c>
      <c r="C39" s="50">
        <v>77</v>
      </c>
      <c r="D39" s="50">
        <v>8</v>
      </c>
      <c r="E39" s="50">
        <v>16</v>
      </c>
      <c r="F39" s="50">
        <v>47</v>
      </c>
      <c r="G39" s="50">
        <v>0</v>
      </c>
      <c r="H39" s="50">
        <v>1</v>
      </c>
      <c r="I39" s="50">
        <v>25</v>
      </c>
      <c r="J39" s="50">
        <v>6</v>
      </c>
      <c r="K39" s="50">
        <v>0</v>
      </c>
      <c r="L39" s="50">
        <v>4</v>
      </c>
      <c r="M39" s="50">
        <v>192</v>
      </c>
      <c r="N39" s="50">
        <v>0</v>
      </c>
      <c r="O39" s="15">
        <f t="shared" si="0"/>
        <v>184</v>
      </c>
      <c r="P39" s="15">
        <f t="shared" si="1"/>
        <v>376</v>
      </c>
    </row>
    <row r="40" spans="2:20" ht="23.1" customHeight="1" x14ac:dyDescent="0.25">
      <c r="B40" s="24" t="s">
        <v>67</v>
      </c>
      <c r="C40" s="50">
        <v>53</v>
      </c>
      <c r="D40" s="50">
        <v>10</v>
      </c>
      <c r="E40" s="50">
        <v>8</v>
      </c>
      <c r="F40" s="50">
        <v>37</v>
      </c>
      <c r="G40" s="50">
        <v>0</v>
      </c>
      <c r="H40" s="50">
        <v>1</v>
      </c>
      <c r="I40" s="50">
        <v>12</v>
      </c>
      <c r="J40" s="50">
        <v>5</v>
      </c>
      <c r="K40" s="50">
        <v>0</v>
      </c>
      <c r="L40" s="50">
        <v>4</v>
      </c>
      <c r="M40" s="50">
        <v>185</v>
      </c>
      <c r="N40" s="50">
        <v>0</v>
      </c>
      <c r="O40" s="15">
        <f t="shared" si="0"/>
        <v>130</v>
      </c>
      <c r="P40" s="15">
        <f t="shared" si="1"/>
        <v>315</v>
      </c>
    </row>
    <row r="41" spans="2:20" ht="23.1" customHeight="1" x14ac:dyDescent="0.25">
      <c r="B41" s="23" t="s">
        <v>68</v>
      </c>
      <c r="C41" s="50">
        <v>39</v>
      </c>
      <c r="D41" s="50">
        <v>2</v>
      </c>
      <c r="E41" s="50">
        <v>15</v>
      </c>
      <c r="F41" s="50">
        <v>21</v>
      </c>
      <c r="G41" s="50">
        <v>1</v>
      </c>
      <c r="H41" s="50">
        <v>2</v>
      </c>
      <c r="I41" s="50">
        <v>23</v>
      </c>
      <c r="J41" s="50">
        <v>4</v>
      </c>
      <c r="K41" s="50">
        <v>3</v>
      </c>
      <c r="L41" s="50">
        <v>5</v>
      </c>
      <c r="M41" s="50">
        <v>188</v>
      </c>
      <c r="N41" s="50">
        <v>1</v>
      </c>
      <c r="O41" s="15">
        <f t="shared" si="0"/>
        <v>116</v>
      </c>
      <c r="P41" s="15">
        <f t="shared" si="1"/>
        <v>304</v>
      </c>
    </row>
    <row r="42" spans="2:20" ht="23.1" customHeight="1" x14ac:dyDescent="0.25">
      <c r="B42" s="24" t="s">
        <v>69</v>
      </c>
      <c r="C42" s="50">
        <v>52</v>
      </c>
      <c r="D42" s="50">
        <v>2</v>
      </c>
      <c r="E42" s="50">
        <v>4</v>
      </c>
      <c r="F42" s="50">
        <v>27</v>
      </c>
      <c r="G42" s="50">
        <v>1</v>
      </c>
      <c r="H42" s="50">
        <v>2</v>
      </c>
      <c r="I42" s="50">
        <v>17</v>
      </c>
      <c r="J42" s="50">
        <v>2</v>
      </c>
      <c r="K42" s="50">
        <v>0</v>
      </c>
      <c r="L42" s="50">
        <v>4</v>
      </c>
      <c r="M42" s="50">
        <v>190</v>
      </c>
      <c r="N42" s="50">
        <v>0</v>
      </c>
      <c r="O42" s="15">
        <f t="shared" si="0"/>
        <v>111</v>
      </c>
      <c r="P42" s="15">
        <f t="shared" si="1"/>
        <v>301</v>
      </c>
    </row>
    <row r="43" spans="2:20" ht="23.1" customHeight="1" x14ac:dyDescent="0.25">
      <c r="B43" s="23" t="s">
        <v>70</v>
      </c>
      <c r="C43" s="50">
        <v>77</v>
      </c>
      <c r="D43" s="50">
        <v>16</v>
      </c>
      <c r="E43" s="50">
        <v>15</v>
      </c>
      <c r="F43" s="50">
        <v>44</v>
      </c>
      <c r="G43" s="50">
        <v>0</v>
      </c>
      <c r="H43" s="50">
        <v>1</v>
      </c>
      <c r="I43" s="50">
        <v>18</v>
      </c>
      <c r="J43" s="50">
        <v>5</v>
      </c>
      <c r="K43" s="50">
        <v>2</v>
      </c>
      <c r="L43" s="50">
        <v>3</v>
      </c>
      <c r="M43" s="50">
        <v>195</v>
      </c>
      <c r="N43" s="50">
        <v>0</v>
      </c>
      <c r="O43" s="15">
        <f t="shared" si="0"/>
        <v>181</v>
      </c>
      <c r="P43" s="15">
        <f t="shared" si="1"/>
        <v>376</v>
      </c>
    </row>
    <row r="44" spans="2:20" ht="23.1" customHeight="1" x14ac:dyDescent="0.25">
      <c r="B44" s="25" t="s">
        <v>71</v>
      </c>
      <c r="C44" s="50">
        <v>75</v>
      </c>
      <c r="D44" s="50">
        <v>11</v>
      </c>
      <c r="E44" s="50">
        <v>20</v>
      </c>
      <c r="F44" s="50">
        <v>45</v>
      </c>
      <c r="G44" s="50">
        <v>1</v>
      </c>
      <c r="H44" s="50">
        <v>0</v>
      </c>
      <c r="I44" s="50">
        <v>13</v>
      </c>
      <c r="J44" s="50">
        <v>5</v>
      </c>
      <c r="K44" s="50">
        <v>0</v>
      </c>
      <c r="L44" s="50">
        <v>2</v>
      </c>
      <c r="M44" s="50">
        <v>194</v>
      </c>
      <c r="N44" s="50">
        <v>0</v>
      </c>
      <c r="O44" s="15">
        <f t="shared" si="0"/>
        <v>172</v>
      </c>
      <c r="P44" s="15">
        <f t="shared" si="1"/>
        <v>366</v>
      </c>
    </row>
    <row r="45" spans="2:20" ht="23.1" customHeight="1" x14ac:dyDescent="0.25">
      <c r="B45" s="23" t="s">
        <v>72</v>
      </c>
      <c r="C45" s="50">
        <v>58</v>
      </c>
      <c r="D45" s="50">
        <v>7</v>
      </c>
      <c r="E45" s="50">
        <v>12</v>
      </c>
      <c r="F45" s="50">
        <v>39</v>
      </c>
      <c r="G45" s="50">
        <v>1</v>
      </c>
      <c r="H45" s="50">
        <v>3</v>
      </c>
      <c r="I45" s="50">
        <v>14</v>
      </c>
      <c r="J45" s="50">
        <v>9</v>
      </c>
      <c r="K45" s="50">
        <v>0</v>
      </c>
      <c r="L45" s="50">
        <v>2</v>
      </c>
      <c r="M45" s="50">
        <v>179</v>
      </c>
      <c r="N45" s="50">
        <v>0</v>
      </c>
      <c r="O45" s="15">
        <f t="shared" si="0"/>
        <v>145</v>
      </c>
      <c r="P45" s="15">
        <f t="shared" si="1"/>
        <v>324</v>
      </c>
    </row>
    <row r="46" spans="2:20" ht="23.1" customHeight="1" x14ac:dyDescent="0.25">
      <c r="B46" s="24" t="s">
        <v>73</v>
      </c>
      <c r="C46" s="50">
        <v>63</v>
      </c>
      <c r="D46" s="50">
        <v>13</v>
      </c>
      <c r="E46" s="50">
        <v>8</v>
      </c>
      <c r="F46" s="50">
        <v>51</v>
      </c>
      <c r="G46" s="50">
        <v>1</v>
      </c>
      <c r="H46" s="50">
        <v>3</v>
      </c>
      <c r="I46" s="50">
        <v>17</v>
      </c>
      <c r="J46" s="50">
        <v>3</v>
      </c>
      <c r="K46" s="50">
        <v>2</v>
      </c>
      <c r="L46" s="50">
        <v>2</v>
      </c>
      <c r="M46" s="50">
        <v>116</v>
      </c>
      <c r="N46" s="50">
        <v>0</v>
      </c>
      <c r="O46" s="15">
        <f t="shared" si="0"/>
        <v>163</v>
      </c>
      <c r="P46" s="15">
        <f t="shared" si="1"/>
        <v>279</v>
      </c>
      <c r="R46" s="8"/>
      <c r="T46"/>
    </row>
    <row r="47" spans="2:20" ht="23.1" customHeight="1" x14ac:dyDescent="0.25">
      <c r="B47" s="24" t="s">
        <v>74</v>
      </c>
      <c r="C47" s="50">
        <v>57</v>
      </c>
      <c r="D47" s="50">
        <v>12</v>
      </c>
      <c r="E47" s="50">
        <v>15</v>
      </c>
      <c r="F47" s="50">
        <v>28</v>
      </c>
      <c r="G47" s="50">
        <v>1</v>
      </c>
      <c r="H47" s="50">
        <v>0</v>
      </c>
      <c r="I47" s="50">
        <v>14</v>
      </c>
      <c r="J47" s="50">
        <v>6</v>
      </c>
      <c r="K47" s="50">
        <v>0</v>
      </c>
      <c r="L47" s="50">
        <v>4</v>
      </c>
      <c r="M47" s="50">
        <v>222</v>
      </c>
      <c r="N47" s="50">
        <v>0</v>
      </c>
      <c r="O47" s="15">
        <f t="shared" si="0"/>
        <v>137</v>
      </c>
      <c r="P47" s="15">
        <f t="shared" si="1"/>
        <v>359</v>
      </c>
      <c r="R47" s="8"/>
      <c r="T47"/>
    </row>
    <row r="48" spans="2:20" ht="23.1" customHeight="1" x14ac:dyDescent="0.25">
      <c r="B48" s="24" t="s">
        <v>75</v>
      </c>
      <c r="C48" s="50">
        <v>60</v>
      </c>
      <c r="D48" s="50">
        <v>9</v>
      </c>
      <c r="E48" s="50">
        <v>12</v>
      </c>
      <c r="F48" s="50">
        <v>42</v>
      </c>
      <c r="G48" s="50">
        <v>0</v>
      </c>
      <c r="H48" s="50">
        <v>4</v>
      </c>
      <c r="I48" s="50">
        <v>18</v>
      </c>
      <c r="J48" s="50">
        <v>5</v>
      </c>
      <c r="K48" s="50">
        <v>2</v>
      </c>
      <c r="L48" s="50">
        <v>6</v>
      </c>
      <c r="M48" s="50">
        <v>185</v>
      </c>
      <c r="N48" s="50">
        <v>0</v>
      </c>
      <c r="O48" s="15">
        <f t="shared" si="0"/>
        <v>158</v>
      </c>
      <c r="P48" s="15">
        <f t="shared" si="1"/>
        <v>343</v>
      </c>
      <c r="R48" s="8"/>
      <c r="T48"/>
    </row>
    <row r="49" spans="2:20" ht="23.1" customHeight="1" x14ac:dyDescent="0.25">
      <c r="B49" s="23" t="s">
        <v>76</v>
      </c>
      <c r="C49" s="50">
        <v>76</v>
      </c>
      <c r="D49" s="50">
        <v>11</v>
      </c>
      <c r="E49" s="50">
        <v>11</v>
      </c>
      <c r="F49" s="50">
        <v>56</v>
      </c>
      <c r="G49" s="50">
        <v>2</v>
      </c>
      <c r="H49" s="50">
        <v>1</v>
      </c>
      <c r="I49" s="50">
        <v>12</v>
      </c>
      <c r="J49" s="50">
        <v>1</v>
      </c>
      <c r="K49" s="50">
        <v>0</v>
      </c>
      <c r="L49" s="50">
        <v>3</v>
      </c>
      <c r="M49" s="50">
        <v>189</v>
      </c>
      <c r="N49" s="50">
        <v>0</v>
      </c>
      <c r="O49" s="15">
        <f t="shared" si="0"/>
        <v>173</v>
      </c>
      <c r="P49" s="15">
        <f t="shared" si="1"/>
        <v>362</v>
      </c>
      <c r="R49" s="8"/>
      <c r="T49"/>
    </row>
    <row r="50" spans="2:20" ht="23.1" customHeight="1" x14ac:dyDescent="0.25">
      <c r="B50" s="24" t="s">
        <v>77</v>
      </c>
      <c r="C50" s="50">
        <v>70</v>
      </c>
      <c r="D50" s="50">
        <v>12</v>
      </c>
      <c r="E50" s="50">
        <v>10</v>
      </c>
      <c r="F50" s="50">
        <v>23</v>
      </c>
      <c r="G50" s="50">
        <v>3</v>
      </c>
      <c r="H50" s="50">
        <v>5</v>
      </c>
      <c r="I50" s="50">
        <v>11</v>
      </c>
      <c r="J50" s="50">
        <v>3</v>
      </c>
      <c r="K50" s="50">
        <v>1</v>
      </c>
      <c r="L50" s="50">
        <v>8</v>
      </c>
      <c r="M50" s="50">
        <v>245</v>
      </c>
      <c r="N50" s="50">
        <v>0</v>
      </c>
      <c r="O50" s="15">
        <f t="shared" si="0"/>
        <v>146</v>
      </c>
      <c r="P50" s="15">
        <f t="shared" si="1"/>
        <v>391</v>
      </c>
      <c r="R50" s="8"/>
      <c r="T50"/>
    </row>
    <row r="51" spans="2:20" ht="23.1" customHeight="1" x14ac:dyDescent="0.25">
      <c r="B51" s="24" t="s">
        <v>78</v>
      </c>
      <c r="C51" s="50">
        <v>71</v>
      </c>
      <c r="D51" s="50">
        <v>12</v>
      </c>
      <c r="E51" s="50">
        <v>10</v>
      </c>
      <c r="F51" s="50">
        <v>47</v>
      </c>
      <c r="G51" s="50">
        <v>1</v>
      </c>
      <c r="H51" s="50">
        <v>6</v>
      </c>
      <c r="I51" s="50">
        <v>17</v>
      </c>
      <c r="J51" s="50">
        <v>8</v>
      </c>
      <c r="K51" s="50">
        <v>3</v>
      </c>
      <c r="L51" s="50">
        <v>5</v>
      </c>
      <c r="M51" s="50">
        <v>260</v>
      </c>
      <c r="N51" s="50">
        <v>0</v>
      </c>
      <c r="O51" s="15">
        <f t="shared" si="0"/>
        <v>180</v>
      </c>
      <c r="P51" s="15">
        <f t="shared" si="1"/>
        <v>440</v>
      </c>
      <c r="R51" s="8"/>
      <c r="T51"/>
    </row>
    <row r="52" spans="2:20" ht="23.1" customHeight="1" x14ac:dyDescent="0.25">
      <c r="B52" s="24" t="s">
        <v>79</v>
      </c>
      <c r="C52" s="50">
        <v>74</v>
      </c>
      <c r="D52" s="50">
        <v>15</v>
      </c>
      <c r="E52" s="50">
        <v>16</v>
      </c>
      <c r="F52" s="50">
        <v>49</v>
      </c>
      <c r="G52" s="50">
        <v>1</v>
      </c>
      <c r="H52" s="50">
        <v>1</v>
      </c>
      <c r="I52" s="50">
        <v>18</v>
      </c>
      <c r="J52" s="50">
        <v>7</v>
      </c>
      <c r="K52" s="50">
        <v>1</v>
      </c>
      <c r="L52" s="50">
        <v>5</v>
      </c>
      <c r="M52" s="50">
        <v>338</v>
      </c>
      <c r="N52" s="50">
        <v>0</v>
      </c>
      <c r="O52" s="15">
        <f t="shared" si="0"/>
        <v>187</v>
      </c>
      <c r="P52" s="15">
        <f t="shared" si="1"/>
        <v>525</v>
      </c>
      <c r="R52" s="8"/>
      <c r="T52"/>
    </row>
    <row r="53" spans="2:20" ht="23.1" customHeight="1" x14ac:dyDescent="0.25">
      <c r="B53" s="23" t="s">
        <v>80</v>
      </c>
      <c r="C53" s="50">
        <v>67</v>
      </c>
      <c r="D53" s="50">
        <v>12</v>
      </c>
      <c r="E53" s="50">
        <v>21</v>
      </c>
      <c r="F53" s="50">
        <v>55</v>
      </c>
      <c r="G53" s="50">
        <v>1</v>
      </c>
      <c r="H53" s="50">
        <v>17</v>
      </c>
      <c r="I53" s="50">
        <v>4</v>
      </c>
      <c r="J53" s="50">
        <v>4</v>
      </c>
      <c r="K53" s="50">
        <v>4</v>
      </c>
      <c r="L53" s="50">
        <v>4</v>
      </c>
      <c r="M53" s="50">
        <v>345</v>
      </c>
      <c r="N53" s="50">
        <v>0</v>
      </c>
      <c r="O53" s="15">
        <f t="shared" si="0"/>
        <v>189</v>
      </c>
      <c r="P53" s="15">
        <f t="shared" si="1"/>
        <v>534</v>
      </c>
      <c r="R53" s="8"/>
      <c r="T53"/>
    </row>
    <row r="54" spans="2:20" ht="23.1" customHeight="1" x14ac:dyDescent="0.25">
      <c r="B54" s="23" t="s">
        <v>81</v>
      </c>
      <c r="C54" s="50">
        <v>134</v>
      </c>
      <c r="D54" s="50">
        <v>13</v>
      </c>
      <c r="E54" s="50">
        <v>5</v>
      </c>
      <c r="F54" s="50">
        <v>66</v>
      </c>
      <c r="G54" s="50">
        <v>5</v>
      </c>
      <c r="H54" s="50">
        <v>2</v>
      </c>
      <c r="I54" s="50">
        <v>11</v>
      </c>
      <c r="J54" s="50">
        <v>5</v>
      </c>
      <c r="K54" s="50">
        <v>1</v>
      </c>
      <c r="L54" s="50">
        <v>3</v>
      </c>
      <c r="M54" s="50">
        <v>380</v>
      </c>
      <c r="N54" s="50">
        <v>0</v>
      </c>
      <c r="O54" s="15">
        <f t="shared" si="0"/>
        <v>245</v>
      </c>
      <c r="P54" s="15">
        <f t="shared" si="1"/>
        <v>625</v>
      </c>
      <c r="R54" s="8"/>
      <c r="T54"/>
    </row>
    <row r="55" spans="2:20" ht="23.1" customHeight="1" x14ac:dyDescent="0.25">
      <c r="B55" s="23" t="s">
        <v>82</v>
      </c>
      <c r="C55" s="50">
        <v>105</v>
      </c>
      <c r="D55" s="50">
        <v>20</v>
      </c>
      <c r="E55" s="50">
        <v>9</v>
      </c>
      <c r="F55" s="50">
        <v>61</v>
      </c>
      <c r="G55" s="50">
        <v>2</v>
      </c>
      <c r="H55" s="50">
        <v>0</v>
      </c>
      <c r="I55" s="50">
        <v>24</v>
      </c>
      <c r="J55" s="50">
        <v>8</v>
      </c>
      <c r="K55" s="50">
        <v>1</v>
      </c>
      <c r="L55" s="50">
        <v>3</v>
      </c>
      <c r="M55" s="50">
        <v>395</v>
      </c>
      <c r="N55" s="50">
        <v>0</v>
      </c>
      <c r="O55" s="15">
        <f t="shared" si="0"/>
        <v>233</v>
      </c>
      <c r="P55" s="15">
        <f t="shared" si="1"/>
        <v>628</v>
      </c>
      <c r="R55" s="8"/>
      <c r="T55"/>
    </row>
    <row r="56" spans="2:20" ht="23.1" customHeight="1" x14ac:dyDescent="0.25">
      <c r="B56" s="23" t="s">
        <v>83</v>
      </c>
      <c r="C56" s="50">
        <v>119</v>
      </c>
      <c r="D56" s="50">
        <v>6</v>
      </c>
      <c r="E56" s="50">
        <v>15</v>
      </c>
      <c r="F56" s="50">
        <v>59</v>
      </c>
      <c r="G56" s="50">
        <v>8</v>
      </c>
      <c r="H56" s="50">
        <v>0</v>
      </c>
      <c r="I56" s="50">
        <v>15</v>
      </c>
      <c r="J56" s="50">
        <v>2</v>
      </c>
      <c r="K56" s="50">
        <v>1</v>
      </c>
      <c r="L56" s="50">
        <v>10</v>
      </c>
      <c r="M56" s="50">
        <v>335</v>
      </c>
      <c r="N56" s="50">
        <v>0</v>
      </c>
      <c r="O56" s="15">
        <f t="shared" si="0"/>
        <v>235</v>
      </c>
      <c r="P56" s="15">
        <f t="shared" si="1"/>
        <v>570</v>
      </c>
      <c r="R56" s="8"/>
      <c r="T56"/>
    </row>
    <row r="57" spans="2:20" ht="23.1" customHeight="1" x14ac:dyDescent="0.25">
      <c r="B57" s="23" t="s">
        <v>84</v>
      </c>
      <c r="C57" s="50">
        <v>105</v>
      </c>
      <c r="D57" s="50">
        <v>5</v>
      </c>
      <c r="E57" s="50">
        <v>11</v>
      </c>
      <c r="F57" s="50">
        <v>65</v>
      </c>
      <c r="G57" s="50">
        <v>5</v>
      </c>
      <c r="H57" s="50">
        <v>2</v>
      </c>
      <c r="I57" s="50">
        <v>10</v>
      </c>
      <c r="J57" s="50">
        <v>2</v>
      </c>
      <c r="K57" s="50">
        <v>3</v>
      </c>
      <c r="L57" s="50">
        <v>1</v>
      </c>
      <c r="M57" s="50">
        <v>385</v>
      </c>
      <c r="N57" s="50">
        <v>0</v>
      </c>
      <c r="O57" s="15">
        <f t="shared" si="0"/>
        <v>209</v>
      </c>
      <c r="P57" s="15">
        <f t="shared" si="1"/>
        <v>594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3555</v>
      </c>
      <c r="D58" s="16">
        <f t="shared" si="21"/>
        <v>451</v>
      </c>
      <c r="E58" s="16">
        <f t="shared" si="21"/>
        <v>532</v>
      </c>
      <c r="F58" s="16">
        <f t="shared" si="21"/>
        <v>2277</v>
      </c>
      <c r="G58" s="16">
        <f t="shared" si="21"/>
        <v>91</v>
      </c>
      <c r="H58" s="16">
        <f t="shared" si="21"/>
        <v>78</v>
      </c>
      <c r="I58" s="16">
        <f t="shared" si="21"/>
        <v>690</v>
      </c>
      <c r="J58" s="16">
        <f t="shared" si="21"/>
        <v>244</v>
      </c>
      <c r="K58" s="16">
        <f t="shared" si="21"/>
        <v>64</v>
      </c>
      <c r="L58" s="16">
        <f t="shared" si="21"/>
        <v>174</v>
      </c>
      <c r="M58" s="16">
        <f t="shared" si="21"/>
        <v>14133</v>
      </c>
      <c r="N58" s="16">
        <f t="shared" si="21"/>
        <v>1</v>
      </c>
      <c r="O58" s="16">
        <f t="shared" si="21"/>
        <v>8157</v>
      </c>
      <c r="P58" s="16">
        <f t="shared" si="21"/>
        <v>22290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0.15948855989232841</v>
      </c>
      <c r="D59" s="43">
        <f t="shared" si="22"/>
        <v>2.0233288470165995E-2</v>
      </c>
      <c r="E59" s="43">
        <f t="shared" si="22"/>
        <v>2.386720502467474E-2</v>
      </c>
      <c r="F59" s="43">
        <f t="shared" si="22"/>
        <v>0.10215343203230148</v>
      </c>
      <c r="G59" s="43">
        <f t="shared" si="22"/>
        <v>4.0825482279048904E-3</v>
      </c>
      <c r="H59" s="43">
        <f t="shared" si="22"/>
        <v>3.4993270524899056E-3</v>
      </c>
      <c r="I59" s="43">
        <f t="shared" si="22"/>
        <v>3.095558546433378E-2</v>
      </c>
      <c r="J59" s="43">
        <f t="shared" si="22"/>
        <v>1.0946612830865858E-2</v>
      </c>
      <c r="K59" s="43">
        <f t="shared" si="22"/>
        <v>2.8712427097353074E-3</v>
      </c>
      <c r="L59" s="43">
        <f t="shared" si="22"/>
        <v>7.8061911170928672E-3</v>
      </c>
      <c r="M59" s="43">
        <f t="shared" si="22"/>
        <v>0.63405114401076712</v>
      </c>
      <c r="N59" s="43">
        <f t="shared" si="22"/>
        <v>4.4863167339614178E-5</v>
      </c>
      <c r="R59" s="8"/>
      <c r="T59"/>
    </row>
    <row r="60" spans="2:20" ht="23.1" customHeight="1" x14ac:dyDescent="0.25">
      <c r="B60" s="42" t="s">
        <v>94</v>
      </c>
      <c r="C60" s="44">
        <f>C58/$O$58</f>
        <v>0.43582199337991911</v>
      </c>
      <c r="D60" s="44">
        <f t="shared" ref="D60:N60" si="23">D58/$O$58</f>
        <v>5.5289935025131791E-2</v>
      </c>
      <c r="E60" s="44">
        <f t="shared" si="23"/>
        <v>6.522005639328185E-2</v>
      </c>
      <c r="F60" s="44">
        <f t="shared" si="23"/>
        <v>0.27914674512688487</v>
      </c>
      <c r="G60" s="44">
        <f t="shared" si="23"/>
        <v>1.1156062277798209E-2</v>
      </c>
      <c r="H60" s="44">
        <f t="shared" si="23"/>
        <v>9.5623390952556085E-3</v>
      </c>
      <c r="I60" s="44">
        <f t="shared" si="23"/>
        <v>8.4589922765722692E-2</v>
      </c>
      <c r="J60" s="44">
        <f t="shared" si="23"/>
        <v>2.9912958195414983E-2</v>
      </c>
      <c r="K60" s="44">
        <f t="shared" si="23"/>
        <v>7.846021821748192E-3</v>
      </c>
      <c r="L60" s="44">
        <f t="shared" si="23"/>
        <v>2.1331371827877896E-2</v>
      </c>
      <c r="M60" s="44"/>
      <c r="N60" s="44">
        <f t="shared" si="23"/>
        <v>1.225940909648155E-4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BUSEGA-KYENGERA'!C3:G3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KYENGERA-BUSEGA'!D5</f>
        <v>24.07.19</v>
      </c>
      <c r="E5" s="3"/>
      <c r="F5" s="41" t="s">
        <v>1</v>
      </c>
      <c r="G5" s="67" t="str">
        <f>'22.07 KYENGERA-BUSEGA'!G5:H5</f>
        <v>KYENGERA</v>
      </c>
      <c r="H5" s="68"/>
      <c r="I5" s="14"/>
      <c r="J5" s="2" t="s">
        <v>5</v>
      </c>
      <c r="K5" s="67" t="str">
        <f>'22.07 KYENGERA-BUSEGA'!K5:L5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BUSEGA-KYENGERA'!D6:E6</f>
        <v>BUSEGA</v>
      </c>
      <c r="E6" s="68"/>
      <c r="F6" s="2" t="s">
        <v>2</v>
      </c>
      <c r="G6" s="67" t="str">
        <f>'22.07 BUSEGA-KYENGERA'!G6:H6</f>
        <v>KYENGERA</v>
      </c>
      <c r="H6" s="68"/>
      <c r="J6" s="2" t="s">
        <v>21</v>
      </c>
      <c r="K6" s="67" t="str">
        <f>'22.07 KYENGERA-BUSEGA'!K6:L6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43</v>
      </c>
      <c r="D10" s="50">
        <v>10</v>
      </c>
      <c r="E10" s="50">
        <v>4</v>
      </c>
      <c r="F10" s="50">
        <v>50</v>
      </c>
      <c r="G10" s="50">
        <v>1</v>
      </c>
      <c r="H10" s="50">
        <v>1</v>
      </c>
      <c r="I10" s="50">
        <v>2</v>
      </c>
      <c r="J10" s="50">
        <v>2</v>
      </c>
      <c r="K10" s="50">
        <v>1</v>
      </c>
      <c r="L10" s="50">
        <v>0</v>
      </c>
      <c r="M10" s="50">
        <v>114</v>
      </c>
      <c r="N10" s="50">
        <v>0</v>
      </c>
      <c r="O10" s="15">
        <f t="shared" ref="O10:O57" si="0">SUM(C10:L10,N10)</f>
        <v>114</v>
      </c>
      <c r="P10" s="15">
        <f t="shared" ref="P10:P57" si="1">SUM(C10:N10)</f>
        <v>228</v>
      </c>
      <c r="R10" s="1" t="s">
        <v>6</v>
      </c>
      <c r="S10" s="17">
        <f t="shared" ref="S10:AF10" si="2">SUM(C10:C13)</f>
        <v>170</v>
      </c>
      <c r="T10" s="17">
        <f t="shared" si="2"/>
        <v>40</v>
      </c>
      <c r="U10" s="17">
        <f t="shared" si="2"/>
        <v>20</v>
      </c>
      <c r="V10" s="17">
        <f t="shared" si="2"/>
        <v>181</v>
      </c>
      <c r="W10" s="17">
        <f t="shared" si="2"/>
        <v>15</v>
      </c>
      <c r="X10" s="17">
        <f t="shared" si="2"/>
        <v>4</v>
      </c>
      <c r="Y10" s="17">
        <f t="shared" si="2"/>
        <v>16</v>
      </c>
      <c r="Z10" s="17">
        <f t="shared" si="2"/>
        <v>22</v>
      </c>
      <c r="AA10" s="17">
        <f t="shared" si="2"/>
        <v>4</v>
      </c>
      <c r="AB10" s="17">
        <f t="shared" si="2"/>
        <v>3</v>
      </c>
      <c r="AC10" s="17">
        <f t="shared" si="2"/>
        <v>610</v>
      </c>
      <c r="AD10" s="17">
        <f t="shared" si="2"/>
        <v>0</v>
      </c>
      <c r="AE10" s="31">
        <f t="shared" si="2"/>
        <v>475</v>
      </c>
      <c r="AF10" s="31">
        <f t="shared" si="2"/>
        <v>1085</v>
      </c>
    </row>
    <row r="11" spans="2:32" s="6" customFormat="1" ht="23.1" customHeight="1" x14ac:dyDescent="0.25">
      <c r="B11" s="23" t="s">
        <v>38</v>
      </c>
      <c r="C11" s="50">
        <v>41</v>
      </c>
      <c r="D11" s="50">
        <v>5</v>
      </c>
      <c r="E11" s="50">
        <v>5</v>
      </c>
      <c r="F11" s="50">
        <v>43</v>
      </c>
      <c r="G11" s="50">
        <v>3</v>
      </c>
      <c r="H11" s="50">
        <v>2</v>
      </c>
      <c r="I11" s="50">
        <v>6</v>
      </c>
      <c r="J11" s="50">
        <v>7</v>
      </c>
      <c r="K11" s="50">
        <v>1</v>
      </c>
      <c r="L11" s="50">
        <v>0</v>
      </c>
      <c r="M11" s="50">
        <v>145</v>
      </c>
      <c r="N11" s="50">
        <v>0</v>
      </c>
      <c r="O11" s="15">
        <f t="shared" si="0"/>
        <v>113</v>
      </c>
      <c r="P11" s="15">
        <f t="shared" si="1"/>
        <v>258</v>
      </c>
      <c r="R11" s="1" t="s">
        <v>7</v>
      </c>
      <c r="S11" s="17">
        <f t="shared" ref="S11:AF11" si="3">SUM(C14:C17)</f>
        <v>136</v>
      </c>
      <c r="T11" s="17">
        <f t="shared" si="3"/>
        <v>31</v>
      </c>
      <c r="U11" s="17">
        <f t="shared" si="3"/>
        <v>28</v>
      </c>
      <c r="V11" s="17">
        <f t="shared" si="3"/>
        <v>177</v>
      </c>
      <c r="W11" s="17">
        <f t="shared" si="3"/>
        <v>7</v>
      </c>
      <c r="X11" s="17">
        <f t="shared" si="3"/>
        <v>4</v>
      </c>
      <c r="Y11" s="17">
        <f t="shared" si="3"/>
        <v>23</v>
      </c>
      <c r="Z11" s="17">
        <f t="shared" si="3"/>
        <v>27</v>
      </c>
      <c r="AA11" s="17">
        <f t="shared" si="3"/>
        <v>8</v>
      </c>
      <c r="AB11" s="17">
        <f t="shared" si="3"/>
        <v>12</v>
      </c>
      <c r="AC11" s="17">
        <f t="shared" si="3"/>
        <v>810</v>
      </c>
      <c r="AD11" s="17">
        <f t="shared" si="3"/>
        <v>0</v>
      </c>
      <c r="AE11" s="31">
        <f t="shared" si="3"/>
        <v>453</v>
      </c>
      <c r="AF11" s="31">
        <f t="shared" si="3"/>
        <v>1263</v>
      </c>
    </row>
    <row r="12" spans="2:32" ht="23.1" customHeight="1" x14ac:dyDescent="0.25">
      <c r="B12" s="23" t="s">
        <v>39</v>
      </c>
      <c r="C12" s="50">
        <v>44</v>
      </c>
      <c r="D12" s="50">
        <v>16</v>
      </c>
      <c r="E12" s="50">
        <v>7</v>
      </c>
      <c r="F12" s="50">
        <v>46</v>
      </c>
      <c r="G12" s="50">
        <v>4</v>
      </c>
      <c r="H12" s="50">
        <v>1</v>
      </c>
      <c r="I12" s="50">
        <v>3</v>
      </c>
      <c r="J12" s="50">
        <v>4</v>
      </c>
      <c r="K12" s="50">
        <v>0</v>
      </c>
      <c r="L12" s="50">
        <v>2</v>
      </c>
      <c r="M12" s="50">
        <v>166</v>
      </c>
      <c r="N12" s="50">
        <v>0</v>
      </c>
      <c r="O12" s="15">
        <f t="shared" si="0"/>
        <v>127</v>
      </c>
      <c r="P12" s="15">
        <f t="shared" si="1"/>
        <v>293</v>
      </c>
      <c r="R12" s="1" t="s">
        <v>8</v>
      </c>
      <c r="S12" s="17">
        <f t="shared" ref="S12:AF12" si="4">SUM(C18:C21)</f>
        <v>154</v>
      </c>
      <c r="T12" s="17">
        <f t="shared" si="4"/>
        <v>49</v>
      </c>
      <c r="U12" s="17">
        <f t="shared" si="4"/>
        <v>38</v>
      </c>
      <c r="V12" s="17">
        <f t="shared" si="4"/>
        <v>191</v>
      </c>
      <c r="W12" s="17">
        <f t="shared" si="4"/>
        <v>6</v>
      </c>
      <c r="X12" s="17">
        <f t="shared" si="4"/>
        <v>7</v>
      </c>
      <c r="Y12" s="17">
        <f t="shared" si="4"/>
        <v>27</v>
      </c>
      <c r="Z12" s="17">
        <f t="shared" si="4"/>
        <v>39</v>
      </c>
      <c r="AA12" s="17">
        <f t="shared" si="4"/>
        <v>2</v>
      </c>
      <c r="AB12" s="17">
        <f t="shared" si="4"/>
        <v>11</v>
      </c>
      <c r="AC12" s="17">
        <f t="shared" si="4"/>
        <v>962</v>
      </c>
      <c r="AD12" s="17">
        <f t="shared" si="4"/>
        <v>0</v>
      </c>
      <c r="AE12" s="31">
        <f t="shared" si="4"/>
        <v>524</v>
      </c>
      <c r="AF12" s="31">
        <f t="shared" si="4"/>
        <v>1486</v>
      </c>
    </row>
    <row r="13" spans="2:32" ht="23.1" customHeight="1" x14ac:dyDescent="0.25">
      <c r="B13" s="23" t="s">
        <v>40</v>
      </c>
      <c r="C13" s="50">
        <v>42</v>
      </c>
      <c r="D13" s="50">
        <v>9</v>
      </c>
      <c r="E13" s="50">
        <v>4</v>
      </c>
      <c r="F13" s="50">
        <v>42</v>
      </c>
      <c r="G13" s="50">
        <v>7</v>
      </c>
      <c r="H13" s="50">
        <v>0</v>
      </c>
      <c r="I13" s="50">
        <v>5</v>
      </c>
      <c r="J13" s="50">
        <v>9</v>
      </c>
      <c r="K13" s="50">
        <v>2</v>
      </c>
      <c r="L13" s="50">
        <v>1</v>
      </c>
      <c r="M13" s="50">
        <v>185</v>
      </c>
      <c r="N13" s="50">
        <v>0</v>
      </c>
      <c r="O13" s="15">
        <f t="shared" si="0"/>
        <v>121</v>
      </c>
      <c r="P13" s="15">
        <f t="shared" si="1"/>
        <v>306</v>
      </c>
      <c r="R13" s="1" t="s">
        <v>9</v>
      </c>
      <c r="S13" s="17">
        <f t="shared" ref="S13:AF13" si="5">SUM(C22:C25)</f>
        <v>205</v>
      </c>
      <c r="T13" s="17">
        <f t="shared" si="5"/>
        <v>29</v>
      </c>
      <c r="U13" s="17">
        <f t="shared" si="5"/>
        <v>24</v>
      </c>
      <c r="V13" s="17">
        <f t="shared" si="5"/>
        <v>196</v>
      </c>
      <c r="W13" s="17">
        <f t="shared" si="5"/>
        <v>10</v>
      </c>
      <c r="X13" s="17">
        <f t="shared" si="5"/>
        <v>7</v>
      </c>
      <c r="Y13" s="17">
        <f t="shared" si="5"/>
        <v>52</v>
      </c>
      <c r="Z13" s="17">
        <f t="shared" si="5"/>
        <v>28</v>
      </c>
      <c r="AA13" s="17">
        <f t="shared" si="5"/>
        <v>7</v>
      </c>
      <c r="AB13" s="17">
        <f t="shared" si="5"/>
        <v>12</v>
      </c>
      <c r="AC13" s="17">
        <f t="shared" si="5"/>
        <v>887</v>
      </c>
      <c r="AD13" s="17">
        <f t="shared" si="5"/>
        <v>0</v>
      </c>
      <c r="AE13" s="31">
        <f t="shared" si="5"/>
        <v>570</v>
      </c>
      <c r="AF13" s="31">
        <f t="shared" si="5"/>
        <v>1457</v>
      </c>
    </row>
    <row r="14" spans="2:32" ht="23.1" customHeight="1" x14ac:dyDescent="0.25">
      <c r="B14" s="23" t="s">
        <v>41</v>
      </c>
      <c r="C14" s="50">
        <v>43</v>
      </c>
      <c r="D14" s="50">
        <v>11</v>
      </c>
      <c r="E14" s="50">
        <v>9</v>
      </c>
      <c r="F14" s="50">
        <v>42</v>
      </c>
      <c r="G14" s="50">
        <v>4</v>
      </c>
      <c r="H14" s="50">
        <v>1</v>
      </c>
      <c r="I14" s="50">
        <v>7</v>
      </c>
      <c r="J14" s="50">
        <v>13</v>
      </c>
      <c r="K14" s="50">
        <v>2</v>
      </c>
      <c r="L14" s="50">
        <v>1</v>
      </c>
      <c r="M14" s="50">
        <v>175</v>
      </c>
      <c r="N14" s="50">
        <v>0</v>
      </c>
      <c r="O14" s="15">
        <f t="shared" si="0"/>
        <v>133</v>
      </c>
      <c r="P14" s="15">
        <f t="shared" si="1"/>
        <v>308</v>
      </c>
      <c r="R14" s="1" t="s">
        <v>10</v>
      </c>
      <c r="S14" s="17">
        <f t="shared" ref="S14:AF14" si="6">SUM(C26:C29)</f>
        <v>228</v>
      </c>
      <c r="T14" s="17">
        <f t="shared" si="6"/>
        <v>54</v>
      </c>
      <c r="U14" s="17">
        <f t="shared" si="6"/>
        <v>30</v>
      </c>
      <c r="V14" s="17">
        <f t="shared" si="6"/>
        <v>228</v>
      </c>
      <c r="W14" s="17">
        <f t="shared" si="6"/>
        <v>6</v>
      </c>
      <c r="X14" s="17">
        <f t="shared" si="6"/>
        <v>11</v>
      </c>
      <c r="Y14" s="17">
        <f t="shared" si="6"/>
        <v>76</v>
      </c>
      <c r="Z14" s="17">
        <f t="shared" si="6"/>
        <v>34</v>
      </c>
      <c r="AA14" s="17">
        <f t="shared" si="6"/>
        <v>4</v>
      </c>
      <c r="AB14" s="17">
        <f t="shared" si="6"/>
        <v>25</v>
      </c>
      <c r="AC14" s="17">
        <f t="shared" si="6"/>
        <v>672</v>
      </c>
      <c r="AD14" s="17">
        <f t="shared" si="6"/>
        <v>1</v>
      </c>
      <c r="AE14" s="31">
        <f t="shared" si="6"/>
        <v>697</v>
      </c>
      <c r="AF14" s="31">
        <f t="shared" si="6"/>
        <v>1369</v>
      </c>
    </row>
    <row r="15" spans="2:32" ht="23.1" customHeight="1" x14ac:dyDescent="0.25">
      <c r="B15" s="23" t="s">
        <v>42</v>
      </c>
      <c r="C15" s="50">
        <v>33</v>
      </c>
      <c r="D15" s="50">
        <v>9</v>
      </c>
      <c r="E15" s="50">
        <v>5</v>
      </c>
      <c r="F15" s="50">
        <v>48</v>
      </c>
      <c r="G15" s="50">
        <v>1</v>
      </c>
      <c r="H15" s="50">
        <v>3</v>
      </c>
      <c r="I15" s="50">
        <v>9</v>
      </c>
      <c r="J15" s="50">
        <v>4</v>
      </c>
      <c r="K15" s="50">
        <v>5</v>
      </c>
      <c r="L15" s="50">
        <v>4</v>
      </c>
      <c r="M15" s="50">
        <v>205</v>
      </c>
      <c r="N15" s="50">
        <v>0</v>
      </c>
      <c r="O15" s="15">
        <f t="shared" si="0"/>
        <v>121</v>
      </c>
      <c r="P15" s="15">
        <f t="shared" si="1"/>
        <v>326</v>
      </c>
      <c r="R15" s="1" t="s">
        <v>11</v>
      </c>
      <c r="S15" s="17">
        <f t="shared" ref="S15:AF15" si="7">SUM(C30:C33)</f>
        <v>194</v>
      </c>
      <c r="T15" s="17">
        <f t="shared" si="7"/>
        <v>24</v>
      </c>
      <c r="U15" s="17">
        <f t="shared" si="7"/>
        <v>23</v>
      </c>
      <c r="V15" s="17">
        <f t="shared" si="7"/>
        <v>200</v>
      </c>
      <c r="W15" s="17">
        <f t="shared" si="7"/>
        <v>5</v>
      </c>
      <c r="X15" s="17">
        <f t="shared" si="7"/>
        <v>4</v>
      </c>
      <c r="Y15" s="17">
        <f t="shared" si="7"/>
        <v>74</v>
      </c>
      <c r="Z15" s="17">
        <f t="shared" si="7"/>
        <v>36</v>
      </c>
      <c r="AA15" s="17">
        <f t="shared" si="7"/>
        <v>3</v>
      </c>
      <c r="AB15" s="17">
        <f t="shared" si="7"/>
        <v>21</v>
      </c>
      <c r="AC15" s="17">
        <f t="shared" si="7"/>
        <v>590</v>
      </c>
      <c r="AD15" s="17">
        <f t="shared" si="7"/>
        <v>0</v>
      </c>
      <c r="AE15" s="31">
        <f t="shared" si="7"/>
        <v>584</v>
      </c>
      <c r="AF15" s="31">
        <f t="shared" si="7"/>
        <v>1174</v>
      </c>
    </row>
    <row r="16" spans="2:32" ht="23.1" customHeight="1" x14ac:dyDescent="0.25">
      <c r="B16" s="23" t="s">
        <v>43</v>
      </c>
      <c r="C16" s="50">
        <v>30</v>
      </c>
      <c r="D16" s="50">
        <v>8</v>
      </c>
      <c r="E16" s="50">
        <v>8</v>
      </c>
      <c r="F16" s="50">
        <v>57</v>
      </c>
      <c r="G16" s="50">
        <v>2</v>
      </c>
      <c r="H16" s="50">
        <v>0</v>
      </c>
      <c r="I16" s="50">
        <v>6</v>
      </c>
      <c r="J16" s="50">
        <v>7</v>
      </c>
      <c r="K16" s="50">
        <v>0</v>
      </c>
      <c r="L16" s="50">
        <v>3</v>
      </c>
      <c r="M16" s="50">
        <v>205</v>
      </c>
      <c r="N16" s="50">
        <v>0</v>
      </c>
      <c r="O16" s="15">
        <f t="shared" si="0"/>
        <v>121</v>
      </c>
      <c r="P16" s="15">
        <f t="shared" si="1"/>
        <v>326</v>
      </c>
      <c r="R16" s="1" t="s">
        <v>12</v>
      </c>
      <c r="S16" s="17">
        <f t="shared" ref="S16:AF16" si="8">SUM(C34:C37)</f>
        <v>164</v>
      </c>
      <c r="T16" s="17">
        <f t="shared" si="8"/>
        <v>14</v>
      </c>
      <c r="U16" s="17">
        <f t="shared" si="8"/>
        <v>7</v>
      </c>
      <c r="V16" s="17">
        <f t="shared" si="8"/>
        <v>146</v>
      </c>
      <c r="W16" s="17">
        <f t="shared" si="8"/>
        <v>4</v>
      </c>
      <c r="X16" s="17">
        <f t="shared" si="8"/>
        <v>2</v>
      </c>
      <c r="Y16" s="17">
        <f t="shared" si="8"/>
        <v>46</v>
      </c>
      <c r="Z16" s="17">
        <f t="shared" si="8"/>
        <v>41</v>
      </c>
      <c r="AA16" s="17">
        <f t="shared" si="8"/>
        <v>2</v>
      </c>
      <c r="AB16" s="17">
        <f t="shared" si="8"/>
        <v>26</v>
      </c>
      <c r="AC16" s="17">
        <f t="shared" si="8"/>
        <v>409</v>
      </c>
      <c r="AD16" s="17">
        <f t="shared" si="8"/>
        <v>0</v>
      </c>
      <c r="AE16" s="31">
        <f t="shared" si="8"/>
        <v>452</v>
      </c>
      <c r="AF16" s="31">
        <f t="shared" si="8"/>
        <v>861</v>
      </c>
    </row>
    <row r="17" spans="2:32" ht="23.1" customHeight="1" x14ac:dyDescent="0.25">
      <c r="B17" s="23" t="s">
        <v>44</v>
      </c>
      <c r="C17" s="50">
        <v>30</v>
      </c>
      <c r="D17" s="50">
        <v>3</v>
      </c>
      <c r="E17" s="50">
        <v>6</v>
      </c>
      <c r="F17" s="50">
        <v>30</v>
      </c>
      <c r="G17" s="50">
        <v>0</v>
      </c>
      <c r="H17" s="50">
        <v>0</v>
      </c>
      <c r="I17" s="50">
        <v>1</v>
      </c>
      <c r="J17" s="50">
        <v>3</v>
      </c>
      <c r="K17" s="50">
        <v>1</v>
      </c>
      <c r="L17" s="50">
        <v>4</v>
      </c>
      <c r="M17" s="50">
        <v>225</v>
      </c>
      <c r="N17" s="50">
        <v>0</v>
      </c>
      <c r="O17" s="15">
        <f>SUM(C17:L17,N17)</f>
        <v>78</v>
      </c>
      <c r="P17" s="15">
        <f t="shared" si="1"/>
        <v>303</v>
      </c>
      <c r="R17" s="1" t="s">
        <v>13</v>
      </c>
      <c r="S17" s="17">
        <f t="shared" ref="S17:AF17" si="9">SUM(C38:C41)</f>
        <v>66</v>
      </c>
      <c r="T17" s="17">
        <f t="shared" si="9"/>
        <v>8</v>
      </c>
      <c r="U17" s="17">
        <f t="shared" si="9"/>
        <v>5</v>
      </c>
      <c r="V17" s="17">
        <f t="shared" si="9"/>
        <v>98</v>
      </c>
      <c r="W17" s="17">
        <f t="shared" si="9"/>
        <v>1</v>
      </c>
      <c r="X17" s="17">
        <f t="shared" si="9"/>
        <v>4</v>
      </c>
      <c r="Y17" s="17">
        <f t="shared" si="9"/>
        <v>85</v>
      </c>
      <c r="Z17" s="17">
        <f t="shared" si="9"/>
        <v>40</v>
      </c>
      <c r="AA17" s="17">
        <f t="shared" si="9"/>
        <v>7</v>
      </c>
      <c r="AB17" s="17">
        <f t="shared" si="9"/>
        <v>29</v>
      </c>
      <c r="AC17" s="17">
        <f t="shared" si="9"/>
        <v>650</v>
      </c>
      <c r="AD17" s="17">
        <f t="shared" si="9"/>
        <v>0</v>
      </c>
      <c r="AE17" s="31">
        <f t="shared" si="9"/>
        <v>343</v>
      </c>
      <c r="AF17" s="31">
        <f t="shared" si="9"/>
        <v>993</v>
      </c>
    </row>
    <row r="18" spans="2:32" ht="23.1" customHeight="1" x14ac:dyDescent="0.25">
      <c r="B18" s="23" t="s">
        <v>45</v>
      </c>
      <c r="C18" s="50">
        <v>41</v>
      </c>
      <c r="D18" s="50">
        <v>12</v>
      </c>
      <c r="E18" s="50">
        <v>6</v>
      </c>
      <c r="F18" s="50">
        <v>55</v>
      </c>
      <c r="G18" s="50">
        <v>1</v>
      </c>
      <c r="H18" s="50">
        <v>2</v>
      </c>
      <c r="I18" s="50">
        <v>7</v>
      </c>
      <c r="J18" s="50">
        <v>9</v>
      </c>
      <c r="K18" s="50">
        <v>0</v>
      </c>
      <c r="L18" s="50">
        <v>3</v>
      </c>
      <c r="M18" s="50">
        <v>225</v>
      </c>
      <c r="N18" s="50">
        <v>0</v>
      </c>
      <c r="O18" s="15">
        <f t="shared" si="0"/>
        <v>136</v>
      </c>
      <c r="P18" s="15">
        <f t="shared" si="1"/>
        <v>361</v>
      </c>
      <c r="R18" s="1" t="s">
        <v>14</v>
      </c>
      <c r="S18" s="17">
        <f t="shared" ref="S18:AF18" si="10">SUM(C42:C45)</f>
        <v>188</v>
      </c>
      <c r="T18" s="17">
        <f t="shared" si="10"/>
        <v>22</v>
      </c>
      <c r="U18" s="17">
        <f t="shared" si="10"/>
        <v>30</v>
      </c>
      <c r="V18" s="17">
        <f t="shared" si="10"/>
        <v>167</v>
      </c>
      <c r="W18" s="17">
        <f t="shared" si="10"/>
        <v>4</v>
      </c>
      <c r="X18" s="17">
        <f t="shared" si="10"/>
        <v>6</v>
      </c>
      <c r="Y18" s="17">
        <f t="shared" si="10"/>
        <v>96</v>
      </c>
      <c r="Z18" s="17">
        <f t="shared" si="10"/>
        <v>26</v>
      </c>
      <c r="AA18" s="17">
        <f t="shared" si="10"/>
        <v>8</v>
      </c>
      <c r="AB18" s="17">
        <f t="shared" si="10"/>
        <v>20</v>
      </c>
      <c r="AC18" s="17">
        <f t="shared" si="10"/>
        <v>638</v>
      </c>
      <c r="AD18" s="17">
        <f t="shared" si="10"/>
        <v>0</v>
      </c>
      <c r="AE18" s="31">
        <f t="shared" si="10"/>
        <v>567</v>
      </c>
      <c r="AF18" s="31">
        <f t="shared" si="10"/>
        <v>1205</v>
      </c>
    </row>
    <row r="19" spans="2:32" ht="23.1" customHeight="1" x14ac:dyDescent="0.25">
      <c r="B19" s="23" t="s">
        <v>46</v>
      </c>
      <c r="C19" s="50">
        <v>36</v>
      </c>
      <c r="D19" s="50">
        <v>11</v>
      </c>
      <c r="E19" s="50">
        <v>14</v>
      </c>
      <c r="F19" s="50">
        <v>38</v>
      </c>
      <c r="G19" s="50">
        <v>1</v>
      </c>
      <c r="H19" s="50">
        <v>3</v>
      </c>
      <c r="I19" s="50">
        <v>4</v>
      </c>
      <c r="J19" s="50">
        <v>8</v>
      </c>
      <c r="K19" s="50">
        <v>0</v>
      </c>
      <c r="L19" s="50">
        <v>2</v>
      </c>
      <c r="M19" s="50">
        <v>270</v>
      </c>
      <c r="N19" s="50">
        <v>0</v>
      </c>
      <c r="O19" s="15">
        <f t="shared" si="0"/>
        <v>117</v>
      </c>
      <c r="P19" s="15">
        <f t="shared" si="1"/>
        <v>387</v>
      </c>
      <c r="R19" s="1" t="s">
        <v>15</v>
      </c>
      <c r="S19" s="17">
        <f t="shared" ref="S19:AF19" si="11">SUM(C46:C49)</f>
        <v>263</v>
      </c>
      <c r="T19" s="17">
        <f t="shared" si="11"/>
        <v>26</v>
      </c>
      <c r="U19" s="17">
        <f t="shared" si="11"/>
        <v>19</v>
      </c>
      <c r="V19" s="17">
        <f t="shared" si="11"/>
        <v>164</v>
      </c>
      <c r="W19" s="17">
        <f t="shared" si="11"/>
        <v>2</v>
      </c>
      <c r="X19" s="17">
        <f t="shared" si="11"/>
        <v>5</v>
      </c>
      <c r="Y19" s="17">
        <f t="shared" si="11"/>
        <v>75</v>
      </c>
      <c r="Z19" s="17">
        <f t="shared" si="11"/>
        <v>32</v>
      </c>
      <c r="AA19" s="17">
        <f t="shared" si="11"/>
        <v>6</v>
      </c>
      <c r="AB19" s="17">
        <f t="shared" si="11"/>
        <v>33</v>
      </c>
      <c r="AC19" s="17">
        <f t="shared" si="11"/>
        <v>880</v>
      </c>
      <c r="AD19" s="17">
        <f t="shared" si="11"/>
        <v>0</v>
      </c>
      <c r="AE19" s="31">
        <f t="shared" si="11"/>
        <v>625</v>
      </c>
      <c r="AF19" s="31">
        <f t="shared" si="11"/>
        <v>1505</v>
      </c>
    </row>
    <row r="20" spans="2:32" ht="23.1" customHeight="1" x14ac:dyDescent="0.25">
      <c r="B20" s="23" t="s">
        <v>47</v>
      </c>
      <c r="C20" s="50">
        <v>37</v>
      </c>
      <c r="D20" s="50">
        <v>18</v>
      </c>
      <c r="E20" s="50">
        <v>9</v>
      </c>
      <c r="F20" s="50">
        <v>49</v>
      </c>
      <c r="G20" s="50">
        <v>2</v>
      </c>
      <c r="H20" s="50">
        <v>2</v>
      </c>
      <c r="I20" s="50">
        <v>10</v>
      </c>
      <c r="J20" s="50">
        <v>9</v>
      </c>
      <c r="K20" s="50">
        <v>2</v>
      </c>
      <c r="L20" s="50">
        <v>3</v>
      </c>
      <c r="M20" s="50">
        <v>262</v>
      </c>
      <c r="N20" s="50">
        <v>0</v>
      </c>
      <c r="O20" s="15">
        <f t="shared" si="0"/>
        <v>141</v>
      </c>
      <c r="P20" s="15">
        <f t="shared" si="1"/>
        <v>403</v>
      </c>
      <c r="R20" s="1" t="s">
        <v>16</v>
      </c>
      <c r="S20" s="17">
        <f t="shared" ref="S20:AF20" si="12">SUM(C50:C53)</f>
        <v>260</v>
      </c>
      <c r="T20" s="17">
        <f t="shared" si="12"/>
        <v>18</v>
      </c>
      <c r="U20" s="17">
        <f t="shared" si="12"/>
        <v>16</v>
      </c>
      <c r="V20" s="17">
        <f t="shared" si="12"/>
        <v>167</v>
      </c>
      <c r="W20" s="17">
        <f t="shared" si="12"/>
        <v>12</v>
      </c>
      <c r="X20" s="17">
        <f t="shared" si="12"/>
        <v>9</v>
      </c>
      <c r="Y20" s="17">
        <f t="shared" si="12"/>
        <v>62</v>
      </c>
      <c r="Z20" s="17">
        <f t="shared" si="12"/>
        <v>27</v>
      </c>
      <c r="AA20" s="17">
        <f t="shared" si="12"/>
        <v>7</v>
      </c>
      <c r="AB20" s="17">
        <f t="shared" si="12"/>
        <v>24</v>
      </c>
      <c r="AC20" s="17">
        <f t="shared" si="12"/>
        <v>989</v>
      </c>
      <c r="AD20" s="17">
        <f t="shared" si="12"/>
        <v>0</v>
      </c>
      <c r="AE20" s="31">
        <f t="shared" si="12"/>
        <v>602</v>
      </c>
      <c r="AF20" s="31">
        <f t="shared" si="12"/>
        <v>1591</v>
      </c>
    </row>
    <row r="21" spans="2:32" ht="23.1" customHeight="1" x14ac:dyDescent="0.25">
      <c r="B21" s="23" t="s">
        <v>48</v>
      </c>
      <c r="C21" s="50">
        <v>40</v>
      </c>
      <c r="D21" s="50">
        <v>8</v>
      </c>
      <c r="E21" s="50">
        <v>9</v>
      </c>
      <c r="F21" s="50">
        <v>49</v>
      </c>
      <c r="G21" s="50">
        <v>2</v>
      </c>
      <c r="H21" s="50">
        <v>0</v>
      </c>
      <c r="I21" s="50">
        <v>6</v>
      </c>
      <c r="J21" s="50">
        <v>13</v>
      </c>
      <c r="K21" s="50">
        <v>0</v>
      </c>
      <c r="L21" s="50">
        <v>3</v>
      </c>
      <c r="M21" s="50">
        <v>205</v>
      </c>
      <c r="N21" s="50">
        <v>0</v>
      </c>
      <c r="O21" s="15">
        <f t="shared" si="0"/>
        <v>130</v>
      </c>
      <c r="P21" s="15">
        <f t="shared" si="1"/>
        <v>335</v>
      </c>
      <c r="R21" s="36" t="s">
        <v>20</v>
      </c>
      <c r="S21" s="34">
        <f t="shared" ref="S21:AF21" si="13">SUM(C54:C57)</f>
        <v>295</v>
      </c>
      <c r="T21" s="17">
        <f t="shared" si="13"/>
        <v>16</v>
      </c>
      <c r="U21" s="17">
        <f t="shared" si="13"/>
        <v>14</v>
      </c>
      <c r="V21" s="17">
        <f t="shared" si="13"/>
        <v>202</v>
      </c>
      <c r="W21" s="17">
        <f t="shared" si="13"/>
        <v>5</v>
      </c>
      <c r="X21" s="17">
        <f t="shared" si="13"/>
        <v>3</v>
      </c>
      <c r="Y21" s="17">
        <f t="shared" si="13"/>
        <v>61</v>
      </c>
      <c r="Z21" s="17">
        <f t="shared" si="13"/>
        <v>38</v>
      </c>
      <c r="AA21" s="17">
        <f t="shared" si="13"/>
        <v>5</v>
      </c>
      <c r="AB21" s="17">
        <f t="shared" si="13"/>
        <v>24</v>
      </c>
      <c r="AC21" s="17">
        <f t="shared" si="13"/>
        <v>1240</v>
      </c>
      <c r="AD21" s="17">
        <f t="shared" si="13"/>
        <v>0</v>
      </c>
      <c r="AE21" s="31">
        <f t="shared" si="13"/>
        <v>663</v>
      </c>
      <c r="AF21" s="31">
        <f t="shared" si="13"/>
        <v>1903</v>
      </c>
    </row>
    <row r="22" spans="2:32" ht="23.1" customHeight="1" x14ac:dyDescent="0.25">
      <c r="B22" s="23" t="s">
        <v>49</v>
      </c>
      <c r="C22" s="50">
        <v>50</v>
      </c>
      <c r="D22" s="50">
        <v>8</v>
      </c>
      <c r="E22" s="50">
        <v>4</v>
      </c>
      <c r="F22" s="50">
        <v>40</v>
      </c>
      <c r="G22" s="50">
        <v>0</v>
      </c>
      <c r="H22" s="50">
        <v>2</v>
      </c>
      <c r="I22" s="50">
        <v>8</v>
      </c>
      <c r="J22" s="50">
        <v>9</v>
      </c>
      <c r="K22" s="50">
        <v>2</v>
      </c>
      <c r="L22" s="50">
        <v>3</v>
      </c>
      <c r="M22" s="50">
        <v>170</v>
      </c>
      <c r="N22" s="50">
        <v>0</v>
      </c>
      <c r="O22" s="15">
        <f t="shared" si="0"/>
        <v>126</v>
      </c>
      <c r="P22" s="15">
        <f t="shared" si="1"/>
        <v>296</v>
      </c>
      <c r="R22" s="38" t="s">
        <v>90</v>
      </c>
      <c r="S22" s="39">
        <f>MAX(S10:S12)</f>
        <v>170</v>
      </c>
      <c r="T22" s="39">
        <f t="shared" ref="T22:AF22" si="14">MAX(T10:T12)</f>
        <v>49</v>
      </c>
      <c r="U22" s="39">
        <f t="shared" si="14"/>
        <v>38</v>
      </c>
      <c r="V22" s="39">
        <f t="shared" si="14"/>
        <v>191</v>
      </c>
      <c r="W22" s="39">
        <f t="shared" si="14"/>
        <v>15</v>
      </c>
      <c r="X22" s="39">
        <f t="shared" si="14"/>
        <v>7</v>
      </c>
      <c r="Y22" s="39">
        <f t="shared" si="14"/>
        <v>27</v>
      </c>
      <c r="Z22" s="39">
        <f t="shared" si="14"/>
        <v>39</v>
      </c>
      <c r="AA22" s="39">
        <f t="shared" si="14"/>
        <v>8</v>
      </c>
      <c r="AB22" s="39">
        <f t="shared" si="14"/>
        <v>12</v>
      </c>
      <c r="AC22" s="39">
        <f t="shared" si="14"/>
        <v>962</v>
      </c>
      <c r="AD22" s="39">
        <f t="shared" si="14"/>
        <v>0</v>
      </c>
      <c r="AE22" s="40">
        <f t="shared" si="14"/>
        <v>524</v>
      </c>
      <c r="AF22" s="40">
        <f t="shared" si="14"/>
        <v>1486</v>
      </c>
    </row>
    <row r="23" spans="2:32" ht="23.1" customHeight="1" x14ac:dyDescent="0.25">
      <c r="B23" s="23" t="s">
        <v>50</v>
      </c>
      <c r="C23" s="50">
        <v>51</v>
      </c>
      <c r="D23" s="50">
        <v>9</v>
      </c>
      <c r="E23" s="50">
        <v>7</v>
      </c>
      <c r="F23" s="50">
        <v>53</v>
      </c>
      <c r="G23" s="50">
        <v>2</v>
      </c>
      <c r="H23" s="50">
        <v>1</v>
      </c>
      <c r="I23" s="50">
        <v>19</v>
      </c>
      <c r="J23" s="50">
        <v>9</v>
      </c>
      <c r="K23" s="50">
        <v>2</v>
      </c>
      <c r="L23" s="50">
        <v>3</v>
      </c>
      <c r="M23" s="50">
        <v>233</v>
      </c>
      <c r="N23" s="50">
        <v>0</v>
      </c>
      <c r="O23" s="15">
        <f t="shared" si="0"/>
        <v>156</v>
      </c>
      <c r="P23" s="15">
        <f t="shared" si="1"/>
        <v>389</v>
      </c>
      <c r="R23" s="38" t="s">
        <v>91</v>
      </c>
      <c r="S23" s="39">
        <f>MAX(S13:S18)</f>
        <v>228</v>
      </c>
      <c r="T23" s="39">
        <f t="shared" ref="T23:AF23" si="15">MAX(T13:T18)</f>
        <v>54</v>
      </c>
      <c r="U23" s="39">
        <f t="shared" si="15"/>
        <v>30</v>
      </c>
      <c r="V23" s="39">
        <f t="shared" si="15"/>
        <v>228</v>
      </c>
      <c r="W23" s="39">
        <f t="shared" si="15"/>
        <v>10</v>
      </c>
      <c r="X23" s="39">
        <f t="shared" si="15"/>
        <v>11</v>
      </c>
      <c r="Y23" s="39">
        <f t="shared" si="15"/>
        <v>96</v>
      </c>
      <c r="Z23" s="39">
        <f t="shared" si="15"/>
        <v>41</v>
      </c>
      <c r="AA23" s="39">
        <f t="shared" si="15"/>
        <v>8</v>
      </c>
      <c r="AB23" s="39">
        <f t="shared" si="15"/>
        <v>29</v>
      </c>
      <c r="AC23" s="39">
        <f t="shared" si="15"/>
        <v>887</v>
      </c>
      <c r="AD23" s="39">
        <f t="shared" si="15"/>
        <v>1</v>
      </c>
      <c r="AE23" s="40">
        <f t="shared" si="15"/>
        <v>697</v>
      </c>
      <c r="AF23" s="40">
        <f t="shared" si="15"/>
        <v>1457</v>
      </c>
    </row>
    <row r="24" spans="2:32" ht="23.1" customHeight="1" x14ac:dyDescent="0.25">
      <c r="B24" s="23" t="s">
        <v>51</v>
      </c>
      <c r="C24" s="50">
        <v>48</v>
      </c>
      <c r="D24" s="50">
        <v>5</v>
      </c>
      <c r="E24" s="50">
        <v>8</v>
      </c>
      <c r="F24" s="50">
        <v>56</v>
      </c>
      <c r="G24" s="50">
        <v>6</v>
      </c>
      <c r="H24" s="50">
        <v>0</v>
      </c>
      <c r="I24" s="50">
        <v>15</v>
      </c>
      <c r="J24" s="50">
        <v>4</v>
      </c>
      <c r="K24" s="50">
        <v>1</v>
      </c>
      <c r="L24" s="50">
        <v>4</v>
      </c>
      <c r="M24" s="50">
        <v>229</v>
      </c>
      <c r="N24" s="50">
        <v>0</v>
      </c>
      <c r="O24" s="15">
        <f t="shared" si="0"/>
        <v>147</v>
      </c>
      <c r="P24" s="15">
        <f t="shared" si="1"/>
        <v>376</v>
      </c>
      <c r="R24" s="38" t="s">
        <v>92</v>
      </c>
      <c r="S24" s="39">
        <f>MAX(S19:S21)</f>
        <v>295</v>
      </c>
      <c r="T24" s="39">
        <f t="shared" ref="T24:AF24" si="16">MAX(T19:T21)</f>
        <v>26</v>
      </c>
      <c r="U24" s="39">
        <f t="shared" si="16"/>
        <v>19</v>
      </c>
      <c r="V24" s="39">
        <f t="shared" si="16"/>
        <v>202</v>
      </c>
      <c r="W24" s="39">
        <f t="shared" si="16"/>
        <v>12</v>
      </c>
      <c r="X24" s="39">
        <f t="shared" si="16"/>
        <v>9</v>
      </c>
      <c r="Y24" s="39">
        <f t="shared" si="16"/>
        <v>75</v>
      </c>
      <c r="Z24" s="39">
        <f t="shared" si="16"/>
        <v>38</v>
      </c>
      <c r="AA24" s="39">
        <f t="shared" si="16"/>
        <v>7</v>
      </c>
      <c r="AB24" s="39">
        <f t="shared" si="16"/>
        <v>33</v>
      </c>
      <c r="AC24" s="39">
        <f t="shared" si="16"/>
        <v>1240</v>
      </c>
      <c r="AD24" s="39">
        <f t="shared" si="16"/>
        <v>0</v>
      </c>
      <c r="AE24" s="40">
        <f t="shared" si="16"/>
        <v>663</v>
      </c>
      <c r="AF24" s="40">
        <f t="shared" si="16"/>
        <v>1903</v>
      </c>
    </row>
    <row r="25" spans="2:32" ht="23.1" customHeight="1" x14ac:dyDescent="0.25">
      <c r="B25" s="23" t="s">
        <v>52</v>
      </c>
      <c r="C25" s="50">
        <v>56</v>
      </c>
      <c r="D25" s="50">
        <v>7</v>
      </c>
      <c r="E25" s="50">
        <v>5</v>
      </c>
      <c r="F25" s="50">
        <v>47</v>
      </c>
      <c r="G25" s="50">
        <v>2</v>
      </c>
      <c r="H25" s="50">
        <v>4</v>
      </c>
      <c r="I25" s="50">
        <v>10</v>
      </c>
      <c r="J25" s="50">
        <v>6</v>
      </c>
      <c r="K25" s="50">
        <v>2</v>
      </c>
      <c r="L25" s="50">
        <v>2</v>
      </c>
      <c r="M25" s="50">
        <v>255</v>
      </c>
      <c r="N25" s="50">
        <v>0</v>
      </c>
      <c r="O25" s="15">
        <f t="shared" si="0"/>
        <v>141</v>
      </c>
      <c r="P25" s="15">
        <f t="shared" si="1"/>
        <v>396</v>
      </c>
      <c r="R25" s="37" t="s">
        <v>85</v>
      </c>
      <c r="S25" s="35">
        <f t="shared" ref="S25:AF25" si="17">SUM(S10:S12)</f>
        <v>460</v>
      </c>
      <c r="T25" s="16">
        <f t="shared" si="17"/>
        <v>120</v>
      </c>
      <c r="U25" s="16">
        <f t="shared" si="17"/>
        <v>86</v>
      </c>
      <c r="V25" s="16">
        <f t="shared" si="17"/>
        <v>549</v>
      </c>
      <c r="W25" s="16">
        <f t="shared" si="17"/>
        <v>28</v>
      </c>
      <c r="X25" s="16">
        <f t="shared" si="17"/>
        <v>15</v>
      </c>
      <c r="Y25" s="16">
        <f t="shared" si="17"/>
        <v>66</v>
      </c>
      <c r="Z25" s="16">
        <f t="shared" si="17"/>
        <v>88</v>
      </c>
      <c r="AA25" s="16">
        <f t="shared" si="17"/>
        <v>14</v>
      </c>
      <c r="AB25" s="16">
        <f t="shared" si="17"/>
        <v>26</v>
      </c>
      <c r="AC25" s="16">
        <f t="shared" si="17"/>
        <v>2382</v>
      </c>
      <c r="AD25" s="16">
        <f t="shared" si="17"/>
        <v>0</v>
      </c>
      <c r="AE25" s="32">
        <f t="shared" si="17"/>
        <v>1452</v>
      </c>
      <c r="AF25" s="32">
        <f t="shared" si="17"/>
        <v>3834</v>
      </c>
    </row>
    <row r="26" spans="2:32" ht="23.1" customHeight="1" x14ac:dyDescent="0.25">
      <c r="B26" s="23" t="s">
        <v>53</v>
      </c>
      <c r="C26" s="50">
        <v>56</v>
      </c>
      <c r="D26" s="50">
        <v>18</v>
      </c>
      <c r="E26" s="50">
        <v>9</v>
      </c>
      <c r="F26" s="50">
        <v>63</v>
      </c>
      <c r="G26" s="50">
        <v>3</v>
      </c>
      <c r="H26" s="50">
        <v>2</v>
      </c>
      <c r="I26" s="50">
        <v>23</v>
      </c>
      <c r="J26" s="50">
        <v>11</v>
      </c>
      <c r="K26" s="50">
        <v>1</v>
      </c>
      <c r="L26" s="50">
        <v>9</v>
      </c>
      <c r="M26" s="50">
        <v>247</v>
      </c>
      <c r="N26" s="50">
        <v>0</v>
      </c>
      <c r="O26" s="15">
        <f t="shared" si="0"/>
        <v>195</v>
      </c>
      <c r="P26" s="15">
        <f t="shared" si="1"/>
        <v>442</v>
      </c>
      <c r="R26" s="28" t="s">
        <v>86</v>
      </c>
      <c r="S26" s="16">
        <f t="shared" ref="S26:AF26" si="18">SUM(S13:S18)</f>
        <v>1045</v>
      </c>
      <c r="T26" s="16">
        <f t="shared" si="18"/>
        <v>151</v>
      </c>
      <c r="U26" s="16">
        <f t="shared" si="18"/>
        <v>119</v>
      </c>
      <c r="V26" s="16">
        <f t="shared" si="18"/>
        <v>1035</v>
      </c>
      <c r="W26" s="16">
        <f t="shared" si="18"/>
        <v>30</v>
      </c>
      <c r="X26" s="16">
        <f t="shared" si="18"/>
        <v>34</v>
      </c>
      <c r="Y26" s="16">
        <f t="shared" si="18"/>
        <v>429</v>
      </c>
      <c r="Z26" s="16">
        <f t="shared" si="18"/>
        <v>205</v>
      </c>
      <c r="AA26" s="16">
        <f t="shared" si="18"/>
        <v>31</v>
      </c>
      <c r="AB26" s="16">
        <f t="shared" si="18"/>
        <v>133</v>
      </c>
      <c r="AC26" s="16">
        <f t="shared" si="18"/>
        <v>3846</v>
      </c>
      <c r="AD26" s="16">
        <f t="shared" si="18"/>
        <v>1</v>
      </c>
      <c r="AE26" s="32">
        <f t="shared" si="18"/>
        <v>3213</v>
      </c>
      <c r="AF26" s="32">
        <f t="shared" si="18"/>
        <v>7059</v>
      </c>
    </row>
    <row r="27" spans="2:32" ht="23.1" customHeight="1" x14ac:dyDescent="0.25">
      <c r="B27" s="23" t="s">
        <v>54</v>
      </c>
      <c r="C27" s="50">
        <v>65</v>
      </c>
      <c r="D27" s="50">
        <v>13</v>
      </c>
      <c r="E27" s="50">
        <v>5</v>
      </c>
      <c r="F27" s="50">
        <v>62</v>
      </c>
      <c r="G27" s="50">
        <v>0</v>
      </c>
      <c r="H27" s="50">
        <v>1</v>
      </c>
      <c r="I27" s="50">
        <v>14</v>
      </c>
      <c r="J27" s="50">
        <v>7</v>
      </c>
      <c r="K27" s="50">
        <v>0</v>
      </c>
      <c r="L27" s="50">
        <v>7</v>
      </c>
      <c r="M27" s="50">
        <v>110</v>
      </c>
      <c r="N27" s="50">
        <v>1</v>
      </c>
      <c r="O27" s="15">
        <f t="shared" si="0"/>
        <v>175</v>
      </c>
      <c r="P27" s="15">
        <f t="shared" si="1"/>
        <v>285</v>
      </c>
      <c r="R27" s="29" t="s">
        <v>87</v>
      </c>
      <c r="S27" s="16">
        <f t="shared" ref="S27:AF27" si="19">SUM(S19:S21)</f>
        <v>818</v>
      </c>
      <c r="T27" s="16">
        <f t="shared" si="19"/>
        <v>60</v>
      </c>
      <c r="U27" s="16">
        <f t="shared" si="19"/>
        <v>49</v>
      </c>
      <c r="V27" s="16">
        <f t="shared" si="19"/>
        <v>533</v>
      </c>
      <c r="W27" s="16">
        <f t="shared" si="19"/>
        <v>19</v>
      </c>
      <c r="X27" s="16">
        <f t="shared" si="19"/>
        <v>17</v>
      </c>
      <c r="Y27" s="16">
        <f t="shared" si="19"/>
        <v>198</v>
      </c>
      <c r="Z27" s="16">
        <f t="shared" si="19"/>
        <v>97</v>
      </c>
      <c r="AA27" s="16">
        <f t="shared" si="19"/>
        <v>18</v>
      </c>
      <c r="AB27" s="16">
        <f t="shared" si="19"/>
        <v>81</v>
      </c>
      <c r="AC27" s="16">
        <f t="shared" si="19"/>
        <v>3109</v>
      </c>
      <c r="AD27" s="16">
        <f t="shared" si="19"/>
        <v>0</v>
      </c>
      <c r="AE27" s="32">
        <f t="shared" si="19"/>
        <v>1890</v>
      </c>
      <c r="AF27" s="32">
        <f t="shared" si="19"/>
        <v>4999</v>
      </c>
    </row>
    <row r="28" spans="2:32" ht="23.1" customHeight="1" x14ac:dyDescent="0.25">
      <c r="B28" s="23" t="s">
        <v>55</v>
      </c>
      <c r="C28" s="50">
        <v>46</v>
      </c>
      <c r="D28" s="50">
        <v>10</v>
      </c>
      <c r="E28" s="50">
        <v>8</v>
      </c>
      <c r="F28" s="50">
        <v>53</v>
      </c>
      <c r="G28" s="50">
        <v>1</v>
      </c>
      <c r="H28" s="50">
        <v>3</v>
      </c>
      <c r="I28" s="50">
        <v>14</v>
      </c>
      <c r="J28" s="50">
        <v>7</v>
      </c>
      <c r="K28" s="50">
        <v>1</v>
      </c>
      <c r="L28" s="50">
        <v>4</v>
      </c>
      <c r="M28" s="50">
        <v>145</v>
      </c>
      <c r="N28" s="50">
        <v>0</v>
      </c>
      <c r="O28" s="15">
        <f t="shared" si="0"/>
        <v>147</v>
      </c>
      <c r="P28" s="15">
        <f t="shared" si="1"/>
        <v>292</v>
      </c>
      <c r="R28" s="5" t="s">
        <v>17</v>
      </c>
      <c r="S28" s="16">
        <f t="shared" ref="S28:AF28" si="20">SUM(S10:S21)</f>
        <v>2323</v>
      </c>
      <c r="T28" s="16">
        <f t="shared" si="20"/>
        <v>331</v>
      </c>
      <c r="U28" s="16">
        <f t="shared" si="20"/>
        <v>254</v>
      </c>
      <c r="V28" s="16">
        <f t="shared" si="20"/>
        <v>2117</v>
      </c>
      <c r="W28" s="16">
        <f t="shared" si="20"/>
        <v>77</v>
      </c>
      <c r="X28" s="16">
        <f t="shared" si="20"/>
        <v>66</v>
      </c>
      <c r="Y28" s="16">
        <f t="shared" si="20"/>
        <v>693</v>
      </c>
      <c r="Z28" s="16">
        <f t="shared" si="20"/>
        <v>390</v>
      </c>
      <c r="AA28" s="16">
        <f t="shared" si="20"/>
        <v>63</v>
      </c>
      <c r="AB28" s="16">
        <f t="shared" si="20"/>
        <v>240</v>
      </c>
      <c r="AC28" s="16">
        <f t="shared" si="20"/>
        <v>9337</v>
      </c>
      <c r="AD28" s="16">
        <f t="shared" si="20"/>
        <v>1</v>
      </c>
      <c r="AE28" s="32">
        <f t="shared" si="20"/>
        <v>6555</v>
      </c>
      <c r="AF28" s="32">
        <f t="shared" si="20"/>
        <v>15892</v>
      </c>
    </row>
    <row r="29" spans="2:32" ht="23.1" customHeight="1" x14ac:dyDescent="0.25">
      <c r="B29" s="23" t="s">
        <v>56</v>
      </c>
      <c r="C29" s="50">
        <v>61</v>
      </c>
      <c r="D29" s="50">
        <v>13</v>
      </c>
      <c r="E29" s="50">
        <v>8</v>
      </c>
      <c r="F29" s="50">
        <v>50</v>
      </c>
      <c r="G29" s="50">
        <v>2</v>
      </c>
      <c r="H29" s="50">
        <v>5</v>
      </c>
      <c r="I29" s="50">
        <v>25</v>
      </c>
      <c r="J29" s="50">
        <v>9</v>
      </c>
      <c r="K29" s="50">
        <v>2</v>
      </c>
      <c r="L29" s="50">
        <v>5</v>
      </c>
      <c r="M29" s="50">
        <v>170</v>
      </c>
      <c r="N29" s="50">
        <v>0</v>
      </c>
      <c r="O29" s="15">
        <f t="shared" si="0"/>
        <v>180</v>
      </c>
      <c r="P29" s="15">
        <f t="shared" si="1"/>
        <v>350</v>
      </c>
      <c r="R29"/>
      <c r="S29" s="20"/>
      <c r="T29" s="19"/>
    </row>
    <row r="30" spans="2:32" ht="23.1" customHeight="1" x14ac:dyDescent="0.25">
      <c r="B30" s="23" t="s">
        <v>57</v>
      </c>
      <c r="C30" s="50">
        <v>40</v>
      </c>
      <c r="D30" s="50">
        <v>7</v>
      </c>
      <c r="E30" s="50">
        <v>3</v>
      </c>
      <c r="F30" s="50">
        <v>60</v>
      </c>
      <c r="G30" s="50">
        <v>2</v>
      </c>
      <c r="H30" s="50">
        <v>1</v>
      </c>
      <c r="I30" s="50">
        <v>17</v>
      </c>
      <c r="J30" s="50">
        <v>12</v>
      </c>
      <c r="K30" s="50">
        <v>0</v>
      </c>
      <c r="L30" s="50">
        <v>6</v>
      </c>
      <c r="M30" s="50">
        <v>140</v>
      </c>
      <c r="N30" s="50">
        <v>0</v>
      </c>
      <c r="O30" s="15">
        <f t="shared" si="0"/>
        <v>148</v>
      </c>
      <c r="P30" s="15">
        <f t="shared" si="1"/>
        <v>288</v>
      </c>
    </row>
    <row r="31" spans="2:32" ht="23.1" customHeight="1" x14ac:dyDescent="0.25">
      <c r="B31" s="24" t="s">
        <v>58</v>
      </c>
      <c r="C31" s="50">
        <v>45</v>
      </c>
      <c r="D31" s="50">
        <v>3</v>
      </c>
      <c r="E31" s="50">
        <v>4</v>
      </c>
      <c r="F31" s="50">
        <v>45</v>
      </c>
      <c r="G31" s="50">
        <v>1</v>
      </c>
      <c r="H31" s="50">
        <v>1</v>
      </c>
      <c r="I31" s="50">
        <v>25</v>
      </c>
      <c r="J31" s="50">
        <v>8</v>
      </c>
      <c r="K31" s="50">
        <v>1</v>
      </c>
      <c r="L31" s="50">
        <v>4</v>
      </c>
      <c r="M31" s="50">
        <v>165</v>
      </c>
      <c r="N31" s="50">
        <v>0</v>
      </c>
      <c r="O31" s="15">
        <f t="shared" si="0"/>
        <v>137</v>
      </c>
      <c r="P31" s="15">
        <f t="shared" si="1"/>
        <v>302</v>
      </c>
    </row>
    <row r="32" spans="2:32" ht="23.1" customHeight="1" x14ac:dyDescent="0.25">
      <c r="B32" s="24" t="s">
        <v>59</v>
      </c>
      <c r="C32" s="50">
        <v>55</v>
      </c>
      <c r="D32" s="50">
        <v>10</v>
      </c>
      <c r="E32" s="50">
        <v>13</v>
      </c>
      <c r="F32" s="50">
        <v>65</v>
      </c>
      <c r="G32" s="50">
        <v>2</v>
      </c>
      <c r="H32" s="50">
        <v>2</v>
      </c>
      <c r="I32" s="50">
        <v>15</v>
      </c>
      <c r="J32" s="50">
        <v>7</v>
      </c>
      <c r="K32" s="50">
        <v>1</v>
      </c>
      <c r="L32" s="50">
        <v>5</v>
      </c>
      <c r="M32" s="50">
        <v>160</v>
      </c>
      <c r="N32" s="50">
        <v>0</v>
      </c>
      <c r="O32" s="15">
        <f t="shared" si="0"/>
        <v>175</v>
      </c>
      <c r="P32" s="15">
        <f t="shared" si="1"/>
        <v>335</v>
      </c>
    </row>
    <row r="33" spans="2:20" ht="23.1" customHeight="1" x14ac:dyDescent="0.25">
      <c r="B33" s="23" t="s">
        <v>60</v>
      </c>
      <c r="C33" s="50">
        <v>54</v>
      </c>
      <c r="D33" s="50">
        <v>4</v>
      </c>
      <c r="E33" s="50">
        <v>3</v>
      </c>
      <c r="F33" s="50">
        <v>30</v>
      </c>
      <c r="G33" s="50">
        <v>0</v>
      </c>
      <c r="H33" s="50">
        <v>0</v>
      </c>
      <c r="I33" s="50">
        <v>17</v>
      </c>
      <c r="J33" s="50">
        <v>9</v>
      </c>
      <c r="K33" s="50">
        <v>1</v>
      </c>
      <c r="L33" s="50">
        <v>6</v>
      </c>
      <c r="M33" s="50">
        <v>125</v>
      </c>
      <c r="N33" s="50">
        <v>0</v>
      </c>
      <c r="O33" s="15">
        <f t="shared" si="0"/>
        <v>124</v>
      </c>
      <c r="P33" s="15">
        <f t="shared" si="1"/>
        <v>249</v>
      </c>
    </row>
    <row r="34" spans="2:20" ht="23.1" customHeight="1" x14ac:dyDescent="0.25">
      <c r="B34" s="24" t="s">
        <v>61</v>
      </c>
      <c r="C34" s="50">
        <v>33</v>
      </c>
      <c r="D34" s="50">
        <v>4</v>
      </c>
      <c r="E34" s="50">
        <v>1</v>
      </c>
      <c r="F34" s="50">
        <v>46</v>
      </c>
      <c r="G34" s="50">
        <v>1</v>
      </c>
      <c r="H34" s="50">
        <v>0</v>
      </c>
      <c r="I34" s="50">
        <v>12</v>
      </c>
      <c r="J34" s="50">
        <v>15</v>
      </c>
      <c r="K34" s="50">
        <v>0</v>
      </c>
      <c r="L34" s="50">
        <v>8</v>
      </c>
      <c r="M34" s="50">
        <v>145</v>
      </c>
      <c r="N34" s="50">
        <v>0</v>
      </c>
      <c r="O34" s="15">
        <f t="shared" si="0"/>
        <v>120</v>
      </c>
      <c r="P34" s="15">
        <f t="shared" si="1"/>
        <v>265</v>
      </c>
    </row>
    <row r="35" spans="2:20" ht="23.1" customHeight="1" x14ac:dyDescent="0.25">
      <c r="B35" s="24" t="s">
        <v>62</v>
      </c>
      <c r="C35" s="50">
        <v>45</v>
      </c>
      <c r="D35" s="50">
        <v>2</v>
      </c>
      <c r="E35" s="50">
        <v>1</v>
      </c>
      <c r="F35" s="50">
        <v>25</v>
      </c>
      <c r="G35" s="50">
        <v>0</v>
      </c>
      <c r="H35" s="50">
        <v>1</v>
      </c>
      <c r="I35" s="50">
        <v>9</v>
      </c>
      <c r="J35" s="50">
        <v>7</v>
      </c>
      <c r="K35" s="50">
        <v>1</v>
      </c>
      <c r="L35" s="50">
        <v>1</v>
      </c>
      <c r="M35" s="50">
        <v>100</v>
      </c>
      <c r="N35" s="50">
        <v>0</v>
      </c>
      <c r="O35" s="15">
        <f t="shared" si="0"/>
        <v>92</v>
      </c>
      <c r="P35" s="15">
        <f t="shared" si="1"/>
        <v>192</v>
      </c>
    </row>
    <row r="36" spans="2:20" ht="23.1" customHeight="1" x14ac:dyDescent="0.25">
      <c r="B36" s="24" t="s">
        <v>63</v>
      </c>
      <c r="C36" s="50">
        <v>40</v>
      </c>
      <c r="D36" s="50">
        <v>2</v>
      </c>
      <c r="E36" s="50">
        <v>3</v>
      </c>
      <c r="F36" s="50">
        <v>31</v>
      </c>
      <c r="G36" s="50">
        <v>1</v>
      </c>
      <c r="H36" s="50">
        <v>0</v>
      </c>
      <c r="I36" s="50">
        <v>12</v>
      </c>
      <c r="J36" s="50">
        <v>8</v>
      </c>
      <c r="K36" s="50">
        <v>1</v>
      </c>
      <c r="L36" s="50">
        <v>4</v>
      </c>
      <c r="M36" s="50">
        <v>90</v>
      </c>
      <c r="N36" s="50">
        <v>0</v>
      </c>
      <c r="O36" s="15">
        <f t="shared" si="0"/>
        <v>102</v>
      </c>
      <c r="P36" s="15">
        <f t="shared" si="1"/>
        <v>192</v>
      </c>
    </row>
    <row r="37" spans="2:20" ht="23.1" customHeight="1" x14ac:dyDescent="0.25">
      <c r="B37" s="23" t="s">
        <v>64</v>
      </c>
      <c r="C37" s="50">
        <v>46</v>
      </c>
      <c r="D37" s="50">
        <v>6</v>
      </c>
      <c r="E37" s="50">
        <v>2</v>
      </c>
      <c r="F37" s="50">
        <v>44</v>
      </c>
      <c r="G37" s="50">
        <v>2</v>
      </c>
      <c r="H37" s="50">
        <v>1</v>
      </c>
      <c r="I37" s="50">
        <v>13</v>
      </c>
      <c r="J37" s="50">
        <v>11</v>
      </c>
      <c r="K37" s="50">
        <v>0</v>
      </c>
      <c r="L37" s="50">
        <v>13</v>
      </c>
      <c r="M37" s="50">
        <v>74</v>
      </c>
      <c r="N37" s="50">
        <v>0</v>
      </c>
      <c r="O37" s="15">
        <f t="shared" si="0"/>
        <v>138</v>
      </c>
      <c r="P37" s="15">
        <f t="shared" si="1"/>
        <v>212</v>
      </c>
    </row>
    <row r="38" spans="2:20" ht="23.1" customHeight="1" x14ac:dyDescent="0.25">
      <c r="B38" s="24" t="s">
        <v>65</v>
      </c>
      <c r="C38" s="50">
        <v>30</v>
      </c>
      <c r="D38" s="50">
        <v>3</v>
      </c>
      <c r="E38" s="50">
        <v>1</v>
      </c>
      <c r="F38" s="50">
        <v>20</v>
      </c>
      <c r="G38" s="50">
        <v>0</v>
      </c>
      <c r="H38" s="50">
        <v>2</v>
      </c>
      <c r="I38" s="50">
        <v>32</v>
      </c>
      <c r="J38" s="50">
        <v>8</v>
      </c>
      <c r="K38" s="50">
        <v>3</v>
      </c>
      <c r="L38" s="50">
        <v>5</v>
      </c>
      <c r="M38" s="50">
        <v>200</v>
      </c>
      <c r="N38" s="50">
        <v>0</v>
      </c>
      <c r="O38" s="15">
        <f t="shared" si="0"/>
        <v>104</v>
      </c>
      <c r="P38" s="15">
        <f t="shared" si="1"/>
        <v>304</v>
      </c>
    </row>
    <row r="39" spans="2:20" ht="23.1" customHeight="1" x14ac:dyDescent="0.25">
      <c r="B39" s="24" t="s">
        <v>66</v>
      </c>
      <c r="C39" s="50">
        <v>4</v>
      </c>
      <c r="D39" s="50">
        <v>3</v>
      </c>
      <c r="E39" s="50">
        <v>0</v>
      </c>
      <c r="F39" s="50">
        <v>32</v>
      </c>
      <c r="G39" s="50">
        <v>0</v>
      </c>
      <c r="H39" s="50">
        <v>1</v>
      </c>
      <c r="I39" s="50">
        <v>20</v>
      </c>
      <c r="J39" s="50">
        <v>7</v>
      </c>
      <c r="K39" s="50">
        <v>2</v>
      </c>
      <c r="L39" s="50">
        <v>3</v>
      </c>
      <c r="M39" s="50">
        <v>160</v>
      </c>
      <c r="N39" s="50">
        <v>0</v>
      </c>
      <c r="O39" s="15">
        <f t="shared" si="0"/>
        <v>72</v>
      </c>
      <c r="P39" s="15">
        <f t="shared" si="1"/>
        <v>232</v>
      </c>
    </row>
    <row r="40" spans="2:20" ht="23.1" customHeight="1" x14ac:dyDescent="0.25">
      <c r="B40" s="24" t="s">
        <v>67</v>
      </c>
      <c r="C40" s="50">
        <v>17</v>
      </c>
      <c r="D40" s="50">
        <v>0</v>
      </c>
      <c r="E40" s="50">
        <v>2</v>
      </c>
      <c r="F40" s="50">
        <v>30</v>
      </c>
      <c r="G40" s="50">
        <v>1</v>
      </c>
      <c r="H40" s="50">
        <v>0</v>
      </c>
      <c r="I40" s="50">
        <v>13</v>
      </c>
      <c r="J40" s="50">
        <v>7</v>
      </c>
      <c r="K40" s="50">
        <v>1</v>
      </c>
      <c r="L40" s="50">
        <v>9</v>
      </c>
      <c r="M40" s="50">
        <v>110</v>
      </c>
      <c r="N40" s="50">
        <v>0</v>
      </c>
      <c r="O40" s="15">
        <f t="shared" si="0"/>
        <v>80</v>
      </c>
      <c r="P40" s="15">
        <f t="shared" si="1"/>
        <v>190</v>
      </c>
    </row>
    <row r="41" spans="2:20" ht="23.1" customHeight="1" x14ac:dyDescent="0.25">
      <c r="B41" s="23" t="s">
        <v>68</v>
      </c>
      <c r="C41" s="50">
        <v>15</v>
      </c>
      <c r="D41" s="50">
        <v>2</v>
      </c>
      <c r="E41" s="50">
        <v>2</v>
      </c>
      <c r="F41" s="50">
        <v>16</v>
      </c>
      <c r="G41" s="50">
        <v>0</v>
      </c>
      <c r="H41" s="50">
        <v>1</v>
      </c>
      <c r="I41" s="50">
        <v>20</v>
      </c>
      <c r="J41" s="50">
        <v>18</v>
      </c>
      <c r="K41" s="50">
        <v>1</v>
      </c>
      <c r="L41" s="50">
        <v>12</v>
      </c>
      <c r="M41" s="50">
        <v>180</v>
      </c>
      <c r="N41" s="50">
        <v>0</v>
      </c>
      <c r="O41" s="15">
        <f t="shared" si="0"/>
        <v>87</v>
      </c>
      <c r="P41" s="15">
        <f t="shared" si="1"/>
        <v>267</v>
      </c>
    </row>
    <row r="42" spans="2:20" ht="23.1" customHeight="1" x14ac:dyDescent="0.25">
      <c r="B42" s="24" t="s">
        <v>69</v>
      </c>
      <c r="C42" s="50">
        <v>35</v>
      </c>
      <c r="D42" s="50">
        <v>6</v>
      </c>
      <c r="E42" s="50">
        <v>15</v>
      </c>
      <c r="F42" s="50">
        <v>45</v>
      </c>
      <c r="G42" s="50">
        <v>0</v>
      </c>
      <c r="H42" s="50">
        <v>1</v>
      </c>
      <c r="I42" s="50">
        <v>18</v>
      </c>
      <c r="J42" s="50">
        <v>4</v>
      </c>
      <c r="K42" s="50">
        <v>2</v>
      </c>
      <c r="L42" s="50">
        <v>4</v>
      </c>
      <c r="M42" s="50">
        <v>165</v>
      </c>
      <c r="N42" s="50">
        <v>0</v>
      </c>
      <c r="O42" s="15">
        <f t="shared" si="0"/>
        <v>130</v>
      </c>
      <c r="P42" s="15">
        <f t="shared" si="1"/>
        <v>295</v>
      </c>
    </row>
    <row r="43" spans="2:20" ht="23.1" customHeight="1" x14ac:dyDescent="0.25">
      <c r="B43" s="23" t="s">
        <v>70</v>
      </c>
      <c r="C43" s="50">
        <v>51</v>
      </c>
      <c r="D43" s="50">
        <v>1</v>
      </c>
      <c r="E43" s="50">
        <v>7</v>
      </c>
      <c r="F43" s="50">
        <v>32</v>
      </c>
      <c r="G43" s="50">
        <v>1</v>
      </c>
      <c r="H43" s="50">
        <v>2</v>
      </c>
      <c r="I43" s="50">
        <v>41</v>
      </c>
      <c r="J43" s="50">
        <v>10</v>
      </c>
      <c r="K43" s="50">
        <v>2</v>
      </c>
      <c r="L43" s="50">
        <v>3</v>
      </c>
      <c r="M43" s="50">
        <v>165</v>
      </c>
      <c r="N43" s="50">
        <v>0</v>
      </c>
      <c r="O43" s="15">
        <f t="shared" si="0"/>
        <v>150</v>
      </c>
      <c r="P43" s="15">
        <f t="shared" si="1"/>
        <v>315</v>
      </c>
    </row>
    <row r="44" spans="2:20" ht="23.1" customHeight="1" x14ac:dyDescent="0.25">
      <c r="B44" s="25" t="s">
        <v>71</v>
      </c>
      <c r="C44" s="50">
        <v>50</v>
      </c>
      <c r="D44" s="50">
        <v>11</v>
      </c>
      <c r="E44" s="50">
        <v>5</v>
      </c>
      <c r="F44" s="50">
        <v>47</v>
      </c>
      <c r="G44" s="50">
        <v>1</v>
      </c>
      <c r="H44" s="50">
        <v>1</v>
      </c>
      <c r="I44" s="50">
        <v>15</v>
      </c>
      <c r="J44" s="50">
        <v>4</v>
      </c>
      <c r="K44" s="50">
        <v>2</v>
      </c>
      <c r="L44" s="50">
        <v>3</v>
      </c>
      <c r="M44" s="50">
        <v>180</v>
      </c>
      <c r="N44" s="50">
        <v>0</v>
      </c>
      <c r="O44" s="15">
        <f t="shared" si="0"/>
        <v>139</v>
      </c>
      <c r="P44" s="15">
        <f t="shared" si="1"/>
        <v>319</v>
      </c>
    </row>
    <row r="45" spans="2:20" ht="23.1" customHeight="1" x14ac:dyDescent="0.25">
      <c r="B45" s="23" t="s">
        <v>72</v>
      </c>
      <c r="C45" s="50">
        <v>52</v>
      </c>
      <c r="D45" s="50">
        <v>4</v>
      </c>
      <c r="E45" s="50">
        <v>3</v>
      </c>
      <c r="F45" s="50">
        <v>43</v>
      </c>
      <c r="G45" s="50">
        <v>2</v>
      </c>
      <c r="H45" s="50">
        <v>2</v>
      </c>
      <c r="I45" s="50">
        <v>22</v>
      </c>
      <c r="J45" s="50">
        <v>8</v>
      </c>
      <c r="K45" s="50">
        <v>2</v>
      </c>
      <c r="L45" s="50">
        <v>10</v>
      </c>
      <c r="M45" s="50">
        <v>128</v>
      </c>
      <c r="N45" s="50">
        <v>0</v>
      </c>
      <c r="O45" s="15">
        <f t="shared" si="0"/>
        <v>148</v>
      </c>
      <c r="P45" s="15">
        <f t="shared" si="1"/>
        <v>276</v>
      </c>
    </row>
    <row r="46" spans="2:20" ht="23.1" customHeight="1" x14ac:dyDescent="0.25">
      <c r="B46" s="24" t="s">
        <v>73</v>
      </c>
      <c r="C46" s="50">
        <v>70</v>
      </c>
      <c r="D46" s="50">
        <v>5</v>
      </c>
      <c r="E46" s="50">
        <v>4</v>
      </c>
      <c r="F46" s="50">
        <v>51</v>
      </c>
      <c r="G46" s="50">
        <v>0</v>
      </c>
      <c r="H46" s="50">
        <v>1</v>
      </c>
      <c r="I46" s="50">
        <v>15</v>
      </c>
      <c r="J46" s="50">
        <v>6</v>
      </c>
      <c r="K46" s="50">
        <v>1</v>
      </c>
      <c r="L46" s="50">
        <v>10</v>
      </c>
      <c r="M46" s="50">
        <v>225</v>
      </c>
      <c r="N46" s="50">
        <v>0</v>
      </c>
      <c r="O46" s="15">
        <f t="shared" si="0"/>
        <v>163</v>
      </c>
      <c r="P46" s="15">
        <f t="shared" si="1"/>
        <v>388</v>
      </c>
      <c r="R46" s="8"/>
      <c r="T46"/>
    </row>
    <row r="47" spans="2:20" ht="23.1" customHeight="1" x14ac:dyDescent="0.25">
      <c r="B47" s="24" t="s">
        <v>74</v>
      </c>
      <c r="C47" s="50">
        <v>49</v>
      </c>
      <c r="D47" s="50">
        <v>3</v>
      </c>
      <c r="E47" s="50">
        <v>2</v>
      </c>
      <c r="F47" s="50">
        <v>34</v>
      </c>
      <c r="G47" s="50">
        <v>2</v>
      </c>
      <c r="H47" s="50">
        <v>2</v>
      </c>
      <c r="I47" s="50">
        <v>20</v>
      </c>
      <c r="J47" s="50">
        <v>6</v>
      </c>
      <c r="K47" s="50">
        <v>2</v>
      </c>
      <c r="L47" s="50">
        <v>6</v>
      </c>
      <c r="M47" s="50">
        <v>165</v>
      </c>
      <c r="N47" s="50">
        <v>0</v>
      </c>
      <c r="O47" s="15">
        <f t="shared" si="0"/>
        <v>126</v>
      </c>
      <c r="P47" s="15">
        <f t="shared" si="1"/>
        <v>291</v>
      </c>
      <c r="R47" s="8"/>
      <c r="T47"/>
    </row>
    <row r="48" spans="2:20" ht="23.1" customHeight="1" x14ac:dyDescent="0.25">
      <c r="B48" s="24" t="s">
        <v>75</v>
      </c>
      <c r="C48" s="50">
        <v>70</v>
      </c>
      <c r="D48" s="50">
        <v>8</v>
      </c>
      <c r="E48" s="50">
        <v>5</v>
      </c>
      <c r="F48" s="50">
        <v>47</v>
      </c>
      <c r="G48" s="50">
        <v>0</v>
      </c>
      <c r="H48" s="50">
        <v>2</v>
      </c>
      <c r="I48" s="50">
        <v>24</v>
      </c>
      <c r="J48" s="50">
        <v>11</v>
      </c>
      <c r="K48" s="50">
        <v>0</v>
      </c>
      <c r="L48" s="50">
        <v>10</v>
      </c>
      <c r="M48" s="50">
        <v>235</v>
      </c>
      <c r="N48" s="50">
        <v>0</v>
      </c>
      <c r="O48" s="15">
        <f t="shared" si="0"/>
        <v>177</v>
      </c>
      <c r="P48" s="15">
        <f t="shared" si="1"/>
        <v>412</v>
      </c>
      <c r="R48" s="8"/>
      <c r="T48"/>
    </row>
    <row r="49" spans="2:20" ht="23.1" customHeight="1" x14ac:dyDescent="0.25">
      <c r="B49" s="23" t="s">
        <v>76</v>
      </c>
      <c r="C49" s="50">
        <v>74</v>
      </c>
      <c r="D49" s="50">
        <v>10</v>
      </c>
      <c r="E49" s="50">
        <v>8</v>
      </c>
      <c r="F49" s="50">
        <v>32</v>
      </c>
      <c r="G49" s="50">
        <v>0</v>
      </c>
      <c r="H49" s="50">
        <v>0</v>
      </c>
      <c r="I49" s="50">
        <v>16</v>
      </c>
      <c r="J49" s="50">
        <v>9</v>
      </c>
      <c r="K49" s="50">
        <v>3</v>
      </c>
      <c r="L49" s="50">
        <v>7</v>
      </c>
      <c r="M49" s="50">
        <v>255</v>
      </c>
      <c r="N49" s="50">
        <v>0</v>
      </c>
      <c r="O49" s="15">
        <f t="shared" si="0"/>
        <v>159</v>
      </c>
      <c r="P49" s="15">
        <f t="shared" si="1"/>
        <v>414</v>
      </c>
      <c r="R49" s="8"/>
      <c r="T49"/>
    </row>
    <row r="50" spans="2:20" ht="23.1" customHeight="1" x14ac:dyDescent="0.25">
      <c r="B50" s="24" t="s">
        <v>77</v>
      </c>
      <c r="C50" s="50">
        <v>81</v>
      </c>
      <c r="D50" s="50">
        <v>7</v>
      </c>
      <c r="E50" s="50">
        <v>4</v>
      </c>
      <c r="F50" s="50">
        <v>54</v>
      </c>
      <c r="G50" s="50">
        <v>3</v>
      </c>
      <c r="H50" s="50">
        <v>1</v>
      </c>
      <c r="I50" s="50">
        <v>22</v>
      </c>
      <c r="J50" s="50">
        <v>5</v>
      </c>
      <c r="K50" s="50">
        <v>2</v>
      </c>
      <c r="L50" s="50">
        <v>2</v>
      </c>
      <c r="M50" s="50">
        <v>225</v>
      </c>
      <c r="N50" s="50">
        <v>0</v>
      </c>
      <c r="O50" s="15">
        <f t="shared" si="0"/>
        <v>181</v>
      </c>
      <c r="P50" s="15">
        <f t="shared" si="1"/>
        <v>406</v>
      </c>
      <c r="R50" s="8"/>
      <c r="T50"/>
    </row>
    <row r="51" spans="2:20" ht="23.1" customHeight="1" x14ac:dyDescent="0.25">
      <c r="B51" s="24" t="s">
        <v>78</v>
      </c>
      <c r="C51" s="50">
        <v>23</v>
      </c>
      <c r="D51" s="50">
        <v>3</v>
      </c>
      <c r="E51" s="50">
        <v>1</v>
      </c>
      <c r="F51" s="50">
        <v>33</v>
      </c>
      <c r="G51" s="50">
        <v>3</v>
      </c>
      <c r="H51" s="50">
        <v>3</v>
      </c>
      <c r="I51" s="50">
        <v>18</v>
      </c>
      <c r="J51" s="50">
        <v>10</v>
      </c>
      <c r="K51" s="50">
        <v>2</v>
      </c>
      <c r="L51" s="50">
        <v>5</v>
      </c>
      <c r="M51" s="50">
        <v>220</v>
      </c>
      <c r="N51" s="50">
        <v>0</v>
      </c>
      <c r="O51" s="15">
        <f t="shared" si="0"/>
        <v>101</v>
      </c>
      <c r="P51" s="15">
        <f t="shared" si="1"/>
        <v>321</v>
      </c>
      <c r="R51" s="8"/>
      <c r="T51"/>
    </row>
    <row r="52" spans="2:20" ht="23.1" customHeight="1" x14ac:dyDescent="0.25">
      <c r="B52" s="24" t="s">
        <v>79</v>
      </c>
      <c r="C52" s="50">
        <v>76</v>
      </c>
      <c r="D52" s="50">
        <v>6</v>
      </c>
      <c r="E52" s="50">
        <v>5</v>
      </c>
      <c r="F52" s="50">
        <v>50</v>
      </c>
      <c r="G52" s="50">
        <v>2</v>
      </c>
      <c r="H52" s="50">
        <v>3</v>
      </c>
      <c r="I52" s="50">
        <v>11</v>
      </c>
      <c r="J52" s="50">
        <v>4</v>
      </c>
      <c r="K52" s="50">
        <v>1</v>
      </c>
      <c r="L52" s="50">
        <v>8</v>
      </c>
      <c r="M52" s="50">
        <v>224</v>
      </c>
      <c r="N52" s="50">
        <v>0</v>
      </c>
      <c r="O52" s="15">
        <f t="shared" si="0"/>
        <v>166</v>
      </c>
      <c r="P52" s="15">
        <f t="shared" si="1"/>
        <v>390</v>
      </c>
      <c r="R52" s="8"/>
      <c r="T52"/>
    </row>
    <row r="53" spans="2:20" ht="23.1" customHeight="1" x14ac:dyDescent="0.25">
      <c r="B53" s="23" t="s">
        <v>80</v>
      </c>
      <c r="C53" s="50">
        <v>80</v>
      </c>
      <c r="D53" s="50">
        <v>2</v>
      </c>
      <c r="E53" s="50">
        <v>6</v>
      </c>
      <c r="F53" s="50">
        <v>30</v>
      </c>
      <c r="G53" s="50">
        <v>4</v>
      </c>
      <c r="H53" s="50">
        <v>2</v>
      </c>
      <c r="I53" s="50">
        <v>11</v>
      </c>
      <c r="J53" s="50">
        <v>8</v>
      </c>
      <c r="K53" s="50">
        <v>2</v>
      </c>
      <c r="L53" s="50">
        <v>9</v>
      </c>
      <c r="M53" s="50">
        <v>320</v>
      </c>
      <c r="N53" s="50">
        <v>0</v>
      </c>
      <c r="O53" s="15">
        <f t="shared" si="0"/>
        <v>154</v>
      </c>
      <c r="P53" s="15">
        <f t="shared" si="1"/>
        <v>474</v>
      </c>
      <c r="R53" s="8"/>
      <c r="T53"/>
    </row>
    <row r="54" spans="2:20" ht="23.1" customHeight="1" x14ac:dyDescent="0.25">
      <c r="B54" s="23" t="s">
        <v>81</v>
      </c>
      <c r="C54" s="50">
        <v>90</v>
      </c>
      <c r="D54" s="50">
        <v>7</v>
      </c>
      <c r="E54" s="50">
        <v>4</v>
      </c>
      <c r="F54" s="50">
        <v>55</v>
      </c>
      <c r="G54" s="50">
        <v>2</v>
      </c>
      <c r="H54" s="50">
        <v>1</v>
      </c>
      <c r="I54" s="50">
        <v>19</v>
      </c>
      <c r="J54" s="50">
        <v>10</v>
      </c>
      <c r="K54" s="50">
        <v>3</v>
      </c>
      <c r="L54" s="50">
        <v>8</v>
      </c>
      <c r="M54" s="50">
        <v>355</v>
      </c>
      <c r="N54" s="50">
        <v>0</v>
      </c>
      <c r="O54" s="15">
        <f t="shared" si="0"/>
        <v>199</v>
      </c>
      <c r="P54" s="15">
        <f t="shared" si="1"/>
        <v>554</v>
      </c>
      <c r="R54" s="8"/>
      <c r="T54"/>
    </row>
    <row r="55" spans="2:20" ht="23.1" customHeight="1" x14ac:dyDescent="0.25">
      <c r="B55" s="23" t="s">
        <v>82</v>
      </c>
      <c r="C55" s="50">
        <v>75</v>
      </c>
      <c r="D55" s="50">
        <v>6</v>
      </c>
      <c r="E55" s="50">
        <v>6</v>
      </c>
      <c r="F55" s="50">
        <v>46</v>
      </c>
      <c r="G55" s="50">
        <v>1</v>
      </c>
      <c r="H55" s="50">
        <v>0</v>
      </c>
      <c r="I55" s="50">
        <v>11</v>
      </c>
      <c r="J55" s="50">
        <v>11</v>
      </c>
      <c r="K55" s="50">
        <v>1</v>
      </c>
      <c r="L55" s="50">
        <v>5</v>
      </c>
      <c r="M55" s="50">
        <v>360</v>
      </c>
      <c r="N55" s="50">
        <v>0</v>
      </c>
      <c r="O55" s="15">
        <f t="shared" si="0"/>
        <v>162</v>
      </c>
      <c r="P55" s="15">
        <f t="shared" si="1"/>
        <v>522</v>
      </c>
      <c r="R55" s="8"/>
      <c r="T55"/>
    </row>
    <row r="56" spans="2:20" ht="23.1" customHeight="1" x14ac:dyDescent="0.25">
      <c r="B56" s="23" t="s">
        <v>83</v>
      </c>
      <c r="C56" s="50">
        <v>55</v>
      </c>
      <c r="D56" s="50">
        <v>1</v>
      </c>
      <c r="E56" s="50">
        <v>1</v>
      </c>
      <c r="F56" s="50">
        <v>66</v>
      </c>
      <c r="G56" s="50">
        <v>1</v>
      </c>
      <c r="H56" s="50">
        <v>2</v>
      </c>
      <c r="I56" s="50">
        <v>21</v>
      </c>
      <c r="J56" s="50">
        <v>10</v>
      </c>
      <c r="K56" s="50">
        <v>0</v>
      </c>
      <c r="L56" s="50">
        <v>6</v>
      </c>
      <c r="M56" s="50">
        <v>255</v>
      </c>
      <c r="N56" s="50">
        <v>0</v>
      </c>
      <c r="O56" s="15">
        <f t="shared" si="0"/>
        <v>163</v>
      </c>
      <c r="P56" s="15">
        <f t="shared" si="1"/>
        <v>418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2</v>
      </c>
      <c r="E57" s="50">
        <v>3</v>
      </c>
      <c r="F57" s="50">
        <v>35</v>
      </c>
      <c r="G57" s="50">
        <v>1</v>
      </c>
      <c r="H57" s="50">
        <v>0</v>
      </c>
      <c r="I57" s="50">
        <v>10</v>
      </c>
      <c r="J57" s="50">
        <v>7</v>
      </c>
      <c r="K57" s="50">
        <v>1</v>
      </c>
      <c r="L57" s="50">
        <v>5</v>
      </c>
      <c r="M57" s="50">
        <v>270</v>
      </c>
      <c r="N57" s="50">
        <v>0</v>
      </c>
      <c r="O57" s="15">
        <f t="shared" si="0"/>
        <v>139</v>
      </c>
      <c r="P57" s="15">
        <f t="shared" si="1"/>
        <v>409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2323</v>
      </c>
      <c r="D58" s="16">
        <f t="shared" si="21"/>
        <v>331</v>
      </c>
      <c r="E58" s="16">
        <f t="shared" si="21"/>
        <v>254</v>
      </c>
      <c r="F58" s="16">
        <f t="shared" si="21"/>
        <v>2117</v>
      </c>
      <c r="G58" s="16">
        <f t="shared" si="21"/>
        <v>77</v>
      </c>
      <c r="H58" s="16">
        <f t="shared" si="21"/>
        <v>66</v>
      </c>
      <c r="I58" s="16">
        <f t="shared" si="21"/>
        <v>693</v>
      </c>
      <c r="J58" s="16">
        <f t="shared" si="21"/>
        <v>390</v>
      </c>
      <c r="K58" s="16">
        <f t="shared" si="21"/>
        <v>63</v>
      </c>
      <c r="L58" s="16">
        <f t="shared" si="21"/>
        <v>240</v>
      </c>
      <c r="M58" s="16">
        <f t="shared" si="21"/>
        <v>9337</v>
      </c>
      <c r="N58" s="16">
        <f t="shared" si="21"/>
        <v>1</v>
      </c>
      <c r="O58" s="16">
        <f t="shared" si="21"/>
        <v>6555</v>
      </c>
      <c r="P58" s="16">
        <f t="shared" si="21"/>
        <v>15892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0.14617417568587968</v>
      </c>
      <c r="D59" s="43">
        <f t="shared" si="22"/>
        <v>2.0828089604832619E-2</v>
      </c>
      <c r="E59" s="43">
        <f t="shared" si="22"/>
        <v>1.5982884470173674E-2</v>
      </c>
      <c r="F59" s="43">
        <f t="shared" si="22"/>
        <v>0.13321167883211679</v>
      </c>
      <c r="G59" s="43">
        <f t="shared" si="22"/>
        <v>4.8452051346589481E-3</v>
      </c>
      <c r="H59" s="43">
        <f t="shared" si="22"/>
        <v>4.1530329725648126E-3</v>
      </c>
      <c r="I59" s="43">
        <f t="shared" si="22"/>
        <v>4.3606846211930533E-2</v>
      </c>
      <c r="J59" s="43">
        <f t="shared" si="22"/>
        <v>2.454064938333753E-2</v>
      </c>
      <c r="K59" s="43">
        <f t="shared" si="22"/>
        <v>3.9642587465391396E-3</v>
      </c>
      <c r="L59" s="43">
        <f t="shared" si="22"/>
        <v>1.5101938082053864E-2</v>
      </c>
      <c r="M59" s="43">
        <f t="shared" si="22"/>
        <v>0.58752831613390388</v>
      </c>
      <c r="N59" s="43">
        <f t="shared" si="22"/>
        <v>6.2924742008557769E-5</v>
      </c>
      <c r="R59" s="8"/>
      <c r="T59"/>
    </row>
    <row r="60" spans="2:20" ht="23.1" customHeight="1" x14ac:dyDescent="0.25">
      <c r="B60" s="42" t="s">
        <v>94</v>
      </c>
      <c r="C60" s="44">
        <f>C58/$O$58</f>
        <v>0.35438596491228069</v>
      </c>
      <c r="D60" s="44">
        <f t="shared" ref="D60:N60" si="23">D58/$O$58</f>
        <v>5.049580472921434E-2</v>
      </c>
      <c r="E60" s="44">
        <f t="shared" si="23"/>
        <v>3.8749046529366893E-2</v>
      </c>
      <c r="F60" s="44">
        <f t="shared" si="23"/>
        <v>0.32295957284515636</v>
      </c>
      <c r="G60" s="44">
        <f t="shared" si="23"/>
        <v>1.1746758199847445E-2</v>
      </c>
      <c r="H60" s="44">
        <f t="shared" si="23"/>
        <v>1.0068649885583524E-2</v>
      </c>
      <c r="I60" s="44">
        <f t="shared" si="23"/>
        <v>0.105720823798627</v>
      </c>
      <c r="J60" s="44">
        <f t="shared" si="23"/>
        <v>5.9496567505720827E-2</v>
      </c>
      <c r="K60" s="44">
        <f t="shared" si="23"/>
        <v>9.6109839816933638E-3</v>
      </c>
      <c r="L60" s="44">
        <f t="shared" si="23"/>
        <v>3.6613272311212815E-2</v>
      </c>
      <c r="M60" s="44"/>
      <c r="N60" s="44">
        <f t="shared" si="23"/>
        <v>1.5255530129672007E-4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7" t="str">
        <f>'24.07 BUSEGA-KYENGERA'!G5:H5</f>
        <v>KYENGERA</v>
      </c>
      <c r="H5" s="68"/>
      <c r="I5" s="14"/>
      <c r="J5" s="2" t="s">
        <v>5</v>
      </c>
      <c r="K5" s="67" t="str">
        <f>'24.07 BUSEGA-KYENGERA'!K5:L5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KYENGERA-BUSEGA'!D6:E6</f>
        <v>KYENGERA</v>
      </c>
      <c r="E6" s="68"/>
      <c r="F6" s="2" t="s">
        <v>2</v>
      </c>
      <c r="G6" s="67" t="str">
        <f>'22.07 KYENGERA-BUSEGA'!G6:H6</f>
        <v>BUSEGA</v>
      </c>
      <c r="H6" s="68"/>
      <c r="J6" s="2" t="s">
        <v>21</v>
      </c>
      <c r="K6" s="67" t="str">
        <f>'24.07 BUSEGA-KYENGERA'!K6:L6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130</v>
      </c>
      <c r="D10" s="50">
        <v>17</v>
      </c>
      <c r="E10" s="50">
        <v>12</v>
      </c>
      <c r="F10" s="50">
        <v>71</v>
      </c>
      <c r="G10" s="50">
        <v>4</v>
      </c>
      <c r="H10" s="50">
        <v>0</v>
      </c>
      <c r="I10" s="50">
        <v>15</v>
      </c>
      <c r="J10" s="50">
        <v>7</v>
      </c>
      <c r="K10" s="50">
        <v>0</v>
      </c>
      <c r="L10" s="50">
        <v>5</v>
      </c>
      <c r="M10" s="50">
        <v>455</v>
      </c>
      <c r="N10" s="50">
        <v>0</v>
      </c>
      <c r="O10" s="15">
        <f t="shared" ref="O10:O57" si="0">SUM(C10:L10,N10)</f>
        <v>261</v>
      </c>
      <c r="P10" s="15">
        <f t="shared" ref="P10:P57" si="1">SUM(C10:N10)</f>
        <v>716</v>
      </c>
      <c r="R10" s="1" t="s">
        <v>6</v>
      </c>
      <c r="S10" s="17">
        <f t="shared" ref="S10:AF10" si="2">SUM(C10:C13)</f>
        <v>468</v>
      </c>
      <c r="T10" s="17">
        <f t="shared" si="2"/>
        <v>44</v>
      </c>
      <c r="U10" s="17">
        <f t="shared" si="2"/>
        <v>48</v>
      </c>
      <c r="V10" s="17">
        <f t="shared" si="2"/>
        <v>246</v>
      </c>
      <c r="W10" s="17">
        <f t="shared" si="2"/>
        <v>15</v>
      </c>
      <c r="X10" s="17">
        <f t="shared" si="2"/>
        <v>1</v>
      </c>
      <c r="Y10" s="17">
        <f t="shared" si="2"/>
        <v>62</v>
      </c>
      <c r="Z10" s="17">
        <f t="shared" si="2"/>
        <v>27</v>
      </c>
      <c r="AA10" s="17">
        <f t="shared" si="2"/>
        <v>0</v>
      </c>
      <c r="AB10" s="17">
        <f t="shared" si="2"/>
        <v>17</v>
      </c>
      <c r="AC10" s="17">
        <f t="shared" si="2"/>
        <v>2270</v>
      </c>
      <c r="AD10" s="17">
        <f t="shared" si="2"/>
        <v>0</v>
      </c>
      <c r="AE10" s="31">
        <f t="shared" si="2"/>
        <v>928</v>
      </c>
      <c r="AF10" s="31">
        <f t="shared" si="2"/>
        <v>3198</v>
      </c>
    </row>
    <row r="11" spans="2:32" s="6" customFormat="1" ht="23.1" customHeight="1" x14ac:dyDescent="0.25">
      <c r="B11" s="23" t="s">
        <v>38</v>
      </c>
      <c r="C11" s="50">
        <v>124</v>
      </c>
      <c r="D11" s="50">
        <v>10</v>
      </c>
      <c r="E11" s="50">
        <v>14</v>
      </c>
      <c r="F11" s="50">
        <v>51</v>
      </c>
      <c r="G11" s="50">
        <v>3</v>
      </c>
      <c r="H11" s="50">
        <v>0</v>
      </c>
      <c r="I11" s="50">
        <v>20</v>
      </c>
      <c r="J11" s="50">
        <v>6</v>
      </c>
      <c r="K11" s="50">
        <v>0</v>
      </c>
      <c r="L11" s="50">
        <v>4</v>
      </c>
      <c r="M11" s="50">
        <v>610</v>
      </c>
      <c r="N11" s="50">
        <v>0</v>
      </c>
      <c r="O11" s="15">
        <f t="shared" si="0"/>
        <v>232</v>
      </c>
      <c r="P11" s="15">
        <f t="shared" si="1"/>
        <v>842</v>
      </c>
      <c r="R11" s="1" t="s">
        <v>7</v>
      </c>
      <c r="S11" s="17">
        <f t="shared" ref="S11:AF11" si="3">SUM(C14:C17)</f>
        <v>440</v>
      </c>
      <c r="T11" s="17">
        <f t="shared" si="3"/>
        <v>39</v>
      </c>
      <c r="U11" s="17">
        <f t="shared" si="3"/>
        <v>49</v>
      </c>
      <c r="V11" s="17">
        <f t="shared" si="3"/>
        <v>259</v>
      </c>
      <c r="W11" s="17">
        <f t="shared" si="3"/>
        <v>6</v>
      </c>
      <c r="X11" s="17">
        <f t="shared" si="3"/>
        <v>2</v>
      </c>
      <c r="Y11" s="17">
        <f t="shared" si="3"/>
        <v>58</v>
      </c>
      <c r="Z11" s="17">
        <f t="shared" si="3"/>
        <v>21</v>
      </c>
      <c r="AA11" s="17">
        <f t="shared" si="3"/>
        <v>2</v>
      </c>
      <c r="AB11" s="17">
        <f t="shared" si="3"/>
        <v>18</v>
      </c>
      <c r="AC11" s="17">
        <f t="shared" si="3"/>
        <v>2653</v>
      </c>
      <c r="AD11" s="17">
        <f t="shared" si="3"/>
        <v>0</v>
      </c>
      <c r="AE11" s="31">
        <f t="shared" si="3"/>
        <v>894</v>
      </c>
      <c r="AF11" s="31">
        <f t="shared" si="3"/>
        <v>3547</v>
      </c>
    </row>
    <row r="12" spans="2:32" ht="23.1" customHeight="1" x14ac:dyDescent="0.25">
      <c r="B12" s="23" t="s">
        <v>39</v>
      </c>
      <c r="C12" s="50">
        <v>112</v>
      </c>
      <c r="D12" s="50">
        <v>10</v>
      </c>
      <c r="E12" s="50">
        <v>8</v>
      </c>
      <c r="F12" s="50">
        <v>65</v>
      </c>
      <c r="G12" s="50">
        <v>4</v>
      </c>
      <c r="H12" s="50">
        <v>0</v>
      </c>
      <c r="I12" s="50">
        <v>10</v>
      </c>
      <c r="J12" s="50">
        <v>8</v>
      </c>
      <c r="K12" s="50">
        <v>0</v>
      </c>
      <c r="L12" s="50">
        <v>3</v>
      </c>
      <c r="M12" s="50">
        <v>625</v>
      </c>
      <c r="N12" s="50">
        <v>0</v>
      </c>
      <c r="O12" s="15">
        <f t="shared" si="0"/>
        <v>220</v>
      </c>
      <c r="P12" s="15">
        <f t="shared" si="1"/>
        <v>845</v>
      </c>
      <c r="R12" s="1" t="s">
        <v>8</v>
      </c>
      <c r="S12" s="17">
        <f t="shared" ref="S12:AF12" si="4">SUM(C18:C21)</f>
        <v>410</v>
      </c>
      <c r="T12" s="17">
        <f t="shared" si="4"/>
        <v>47</v>
      </c>
      <c r="U12" s="17">
        <f t="shared" si="4"/>
        <v>59</v>
      </c>
      <c r="V12" s="17">
        <f t="shared" si="4"/>
        <v>231</v>
      </c>
      <c r="W12" s="17">
        <f t="shared" si="4"/>
        <v>17</v>
      </c>
      <c r="X12" s="17">
        <f t="shared" si="4"/>
        <v>6</v>
      </c>
      <c r="Y12" s="17">
        <f t="shared" si="4"/>
        <v>65</v>
      </c>
      <c r="Z12" s="17">
        <f t="shared" si="4"/>
        <v>25</v>
      </c>
      <c r="AA12" s="17">
        <f t="shared" si="4"/>
        <v>4</v>
      </c>
      <c r="AB12" s="17">
        <f t="shared" si="4"/>
        <v>24</v>
      </c>
      <c r="AC12" s="17">
        <f t="shared" si="4"/>
        <v>1663</v>
      </c>
      <c r="AD12" s="17">
        <f t="shared" si="4"/>
        <v>0</v>
      </c>
      <c r="AE12" s="31">
        <f t="shared" si="4"/>
        <v>888</v>
      </c>
      <c r="AF12" s="31">
        <f t="shared" si="4"/>
        <v>2551</v>
      </c>
    </row>
    <row r="13" spans="2:32" ht="23.1" customHeight="1" x14ac:dyDescent="0.25">
      <c r="B13" s="23" t="s">
        <v>40</v>
      </c>
      <c r="C13" s="50">
        <v>102</v>
      </c>
      <c r="D13" s="50">
        <v>7</v>
      </c>
      <c r="E13" s="50">
        <v>14</v>
      </c>
      <c r="F13" s="50">
        <v>59</v>
      </c>
      <c r="G13" s="50">
        <v>4</v>
      </c>
      <c r="H13" s="50">
        <v>1</v>
      </c>
      <c r="I13" s="50">
        <v>17</v>
      </c>
      <c r="J13" s="50">
        <v>6</v>
      </c>
      <c r="K13" s="50">
        <v>0</v>
      </c>
      <c r="L13" s="50">
        <v>5</v>
      </c>
      <c r="M13" s="50">
        <v>580</v>
      </c>
      <c r="N13" s="50">
        <v>0</v>
      </c>
      <c r="O13" s="15">
        <f t="shared" si="0"/>
        <v>215</v>
      </c>
      <c r="P13" s="15">
        <f t="shared" si="1"/>
        <v>795</v>
      </c>
      <c r="R13" s="1" t="s">
        <v>9</v>
      </c>
      <c r="S13" s="17">
        <f t="shared" ref="S13:AF13" si="5">SUM(C22:C25)</f>
        <v>293</v>
      </c>
      <c r="T13" s="17">
        <f t="shared" si="5"/>
        <v>27</v>
      </c>
      <c r="U13" s="17">
        <f t="shared" si="5"/>
        <v>33</v>
      </c>
      <c r="V13" s="17">
        <f t="shared" si="5"/>
        <v>207</v>
      </c>
      <c r="W13" s="17">
        <f t="shared" si="5"/>
        <v>4</v>
      </c>
      <c r="X13" s="17">
        <f t="shared" si="5"/>
        <v>0</v>
      </c>
      <c r="Y13" s="17">
        <f t="shared" si="5"/>
        <v>65</v>
      </c>
      <c r="Z13" s="17">
        <f t="shared" si="5"/>
        <v>14</v>
      </c>
      <c r="AA13" s="17">
        <f t="shared" si="5"/>
        <v>2</v>
      </c>
      <c r="AB13" s="17">
        <f t="shared" si="5"/>
        <v>16</v>
      </c>
      <c r="AC13" s="17">
        <f t="shared" si="5"/>
        <v>1244</v>
      </c>
      <c r="AD13" s="17">
        <f t="shared" si="5"/>
        <v>0</v>
      </c>
      <c r="AE13" s="31">
        <f t="shared" si="5"/>
        <v>661</v>
      </c>
      <c r="AF13" s="31">
        <f t="shared" si="5"/>
        <v>1905</v>
      </c>
    </row>
    <row r="14" spans="2:32" ht="23.1" customHeight="1" x14ac:dyDescent="0.25">
      <c r="B14" s="23" t="s">
        <v>41</v>
      </c>
      <c r="C14" s="50">
        <v>113</v>
      </c>
      <c r="D14" s="50">
        <v>5</v>
      </c>
      <c r="E14" s="50">
        <v>11</v>
      </c>
      <c r="F14" s="50">
        <v>82</v>
      </c>
      <c r="G14" s="50">
        <v>3</v>
      </c>
      <c r="H14" s="50">
        <v>2</v>
      </c>
      <c r="I14" s="50">
        <v>17</v>
      </c>
      <c r="J14" s="50">
        <v>6</v>
      </c>
      <c r="K14" s="50">
        <v>1</v>
      </c>
      <c r="L14" s="50">
        <v>8</v>
      </c>
      <c r="M14" s="50">
        <v>595</v>
      </c>
      <c r="N14" s="50">
        <v>0</v>
      </c>
      <c r="O14" s="15">
        <f t="shared" si="0"/>
        <v>248</v>
      </c>
      <c r="P14" s="15">
        <f t="shared" si="1"/>
        <v>843</v>
      </c>
      <c r="R14" s="1" t="s">
        <v>10</v>
      </c>
      <c r="S14" s="17">
        <f t="shared" ref="S14:AF14" si="6">SUM(C26:C29)</f>
        <v>307</v>
      </c>
      <c r="T14" s="17">
        <f t="shared" si="6"/>
        <v>37</v>
      </c>
      <c r="U14" s="17">
        <f t="shared" si="6"/>
        <v>44</v>
      </c>
      <c r="V14" s="17">
        <f t="shared" si="6"/>
        <v>212</v>
      </c>
      <c r="W14" s="17">
        <f t="shared" si="6"/>
        <v>7</v>
      </c>
      <c r="X14" s="17">
        <f t="shared" si="6"/>
        <v>1</v>
      </c>
      <c r="Y14" s="17">
        <f t="shared" si="6"/>
        <v>64</v>
      </c>
      <c r="Z14" s="17">
        <f t="shared" si="6"/>
        <v>13</v>
      </c>
      <c r="AA14" s="17">
        <f t="shared" si="6"/>
        <v>0</v>
      </c>
      <c r="AB14" s="17">
        <f t="shared" si="6"/>
        <v>23</v>
      </c>
      <c r="AC14" s="17">
        <f t="shared" si="6"/>
        <v>855</v>
      </c>
      <c r="AD14" s="17">
        <f t="shared" si="6"/>
        <v>0</v>
      </c>
      <c r="AE14" s="31">
        <f t="shared" si="6"/>
        <v>708</v>
      </c>
      <c r="AF14" s="31">
        <f t="shared" si="6"/>
        <v>1563</v>
      </c>
    </row>
    <row r="15" spans="2:32" ht="23.1" customHeight="1" x14ac:dyDescent="0.25">
      <c r="B15" s="23" t="s">
        <v>42</v>
      </c>
      <c r="C15" s="50">
        <v>105</v>
      </c>
      <c r="D15" s="50">
        <v>12</v>
      </c>
      <c r="E15" s="50">
        <v>12</v>
      </c>
      <c r="F15" s="50">
        <v>64</v>
      </c>
      <c r="G15" s="50">
        <v>2</v>
      </c>
      <c r="H15" s="50">
        <v>0</v>
      </c>
      <c r="I15" s="50">
        <v>13</v>
      </c>
      <c r="J15" s="50">
        <v>3</v>
      </c>
      <c r="K15" s="50">
        <v>1</v>
      </c>
      <c r="L15" s="50">
        <v>3</v>
      </c>
      <c r="M15" s="50">
        <v>635</v>
      </c>
      <c r="N15" s="50">
        <v>0</v>
      </c>
      <c r="O15" s="15">
        <f t="shared" si="0"/>
        <v>215</v>
      </c>
      <c r="P15" s="15">
        <f t="shared" si="1"/>
        <v>850</v>
      </c>
      <c r="R15" s="1" t="s">
        <v>11</v>
      </c>
      <c r="S15" s="17">
        <f t="shared" ref="S15:AF15" si="7">SUM(C30:C33)</f>
        <v>231</v>
      </c>
      <c r="T15" s="17">
        <f t="shared" si="7"/>
        <v>25</v>
      </c>
      <c r="U15" s="17">
        <f t="shared" si="7"/>
        <v>33</v>
      </c>
      <c r="V15" s="17">
        <f t="shared" si="7"/>
        <v>187</v>
      </c>
      <c r="W15" s="17">
        <f t="shared" si="7"/>
        <v>2</v>
      </c>
      <c r="X15" s="17">
        <f t="shared" si="7"/>
        <v>3</v>
      </c>
      <c r="Y15" s="17">
        <f t="shared" si="7"/>
        <v>56</v>
      </c>
      <c r="Z15" s="17">
        <f t="shared" si="7"/>
        <v>20</v>
      </c>
      <c r="AA15" s="17">
        <f t="shared" si="7"/>
        <v>5</v>
      </c>
      <c r="AB15" s="17">
        <f t="shared" si="7"/>
        <v>12</v>
      </c>
      <c r="AC15" s="17">
        <f t="shared" si="7"/>
        <v>683</v>
      </c>
      <c r="AD15" s="17">
        <f t="shared" si="7"/>
        <v>0</v>
      </c>
      <c r="AE15" s="31">
        <f t="shared" si="7"/>
        <v>574</v>
      </c>
      <c r="AF15" s="31">
        <f t="shared" si="7"/>
        <v>1257</v>
      </c>
    </row>
    <row r="16" spans="2:32" ht="23.1" customHeight="1" x14ac:dyDescent="0.25">
      <c r="B16" s="23" t="s">
        <v>43</v>
      </c>
      <c r="C16" s="50">
        <v>102</v>
      </c>
      <c r="D16" s="50">
        <v>8</v>
      </c>
      <c r="E16" s="50">
        <v>8</v>
      </c>
      <c r="F16" s="50">
        <v>58</v>
      </c>
      <c r="G16" s="50">
        <v>0</v>
      </c>
      <c r="H16" s="50">
        <v>0</v>
      </c>
      <c r="I16" s="50">
        <v>12</v>
      </c>
      <c r="J16" s="50">
        <v>4</v>
      </c>
      <c r="K16" s="50">
        <v>0</v>
      </c>
      <c r="L16" s="50">
        <v>4</v>
      </c>
      <c r="M16" s="50">
        <v>705</v>
      </c>
      <c r="N16" s="50">
        <v>0</v>
      </c>
      <c r="O16" s="15">
        <f t="shared" si="0"/>
        <v>196</v>
      </c>
      <c r="P16" s="15">
        <f t="shared" si="1"/>
        <v>901</v>
      </c>
      <c r="R16" s="1" t="s">
        <v>12</v>
      </c>
      <c r="S16" s="17">
        <f t="shared" ref="S16:AF16" si="8">SUM(C34:C37)</f>
        <v>214</v>
      </c>
      <c r="T16" s="17">
        <f t="shared" si="8"/>
        <v>37</v>
      </c>
      <c r="U16" s="17">
        <f t="shared" si="8"/>
        <v>29</v>
      </c>
      <c r="V16" s="17">
        <f t="shared" si="8"/>
        <v>158</v>
      </c>
      <c r="W16" s="17">
        <f t="shared" si="8"/>
        <v>2</v>
      </c>
      <c r="X16" s="17">
        <f t="shared" si="8"/>
        <v>2</v>
      </c>
      <c r="Y16" s="17">
        <f t="shared" si="8"/>
        <v>70</v>
      </c>
      <c r="Z16" s="17">
        <f t="shared" si="8"/>
        <v>24</v>
      </c>
      <c r="AA16" s="17">
        <f t="shared" si="8"/>
        <v>8</v>
      </c>
      <c r="AB16" s="17">
        <f t="shared" si="8"/>
        <v>26</v>
      </c>
      <c r="AC16" s="17">
        <f t="shared" si="8"/>
        <v>633</v>
      </c>
      <c r="AD16" s="17">
        <f t="shared" si="8"/>
        <v>1</v>
      </c>
      <c r="AE16" s="31">
        <f t="shared" si="8"/>
        <v>571</v>
      </c>
      <c r="AF16" s="31">
        <f t="shared" si="8"/>
        <v>1204</v>
      </c>
    </row>
    <row r="17" spans="2:32" ht="23.1" customHeight="1" x14ac:dyDescent="0.25">
      <c r="B17" s="23" t="s">
        <v>44</v>
      </c>
      <c r="C17" s="50">
        <v>120</v>
      </c>
      <c r="D17" s="50">
        <v>14</v>
      </c>
      <c r="E17" s="50">
        <v>18</v>
      </c>
      <c r="F17" s="50">
        <v>55</v>
      </c>
      <c r="G17" s="50">
        <v>1</v>
      </c>
      <c r="H17" s="50">
        <v>0</v>
      </c>
      <c r="I17" s="50">
        <v>16</v>
      </c>
      <c r="J17" s="50">
        <v>8</v>
      </c>
      <c r="K17" s="50">
        <v>0</v>
      </c>
      <c r="L17" s="50">
        <v>3</v>
      </c>
      <c r="M17" s="50">
        <v>718</v>
      </c>
      <c r="N17" s="50">
        <v>0</v>
      </c>
      <c r="O17" s="15">
        <f t="shared" si="0"/>
        <v>235</v>
      </c>
      <c r="P17" s="15">
        <f t="shared" si="1"/>
        <v>953</v>
      </c>
      <c r="R17" s="1" t="s">
        <v>13</v>
      </c>
      <c r="S17" s="17">
        <f t="shared" ref="S17:AF17" si="9">SUM(C38:C41)</f>
        <v>213</v>
      </c>
      <c r="T17" s="17">
        <f t="shared" si="9"/>
        <v>38</v>
      </c>
      <c r="U17" s="17">
        <f t="shared" si="9"/>
        <v>39</v>
      </c>
      <c r="V17" s="17">
        <f t="shared" si="9"/>
        <v>156</v>
      </c>
      <c r="W17" s="17">
        <f t="shared" si="9"/>
        <v>5</v>
      </c>
      <c r="X17" s="17">
        <f t="shared" si="9"/>
        <v>6</v>
      </c>
      <c r="Y17" s="17">
        <f t="shared" si="9"/>
        <v>63</v>
      </c>
      <c r="Z17" s="17">
        <f t="shared" si="9"/>
        <v>19</v>
      </c>
      <c r="AA17" s="17">
        <f t="shared" si="9"/>
        <v>3</v>
      </c>
      <c r="AB17" s="17">
        <f t="shared" si="9"/>
        <v>15</v>
      </c>
      <c r="AC17" s="17">
        <f t="shared" si="9"/>
        <v>601</v>
      </c>
      <c r="AD17" s="17">
        <f t="shared" si="9"/>
        <v>0</v>
      </c>
      <c r="AE17" s="31">
        <f t="shared" si="9"/>
        <v>557</v>
      </c>
      <c r="AF17" s="31">
        <f t="shared" si="9"/>
        <v>1158</v>
      </c>
    </row>
    <row r="18" spans="2:32" ht="23.1" customHeight="1" x14ac:dyDescent="0.25">
      <c r="B18" s="23" t="s">
        <v>45</v>
      </c>
      <c r="C18" s="50">
        <v>109</v>
      </c>
      <c r="D18" s="50">
        <v>14</v>
      </c>
      <c r="E18" s="50">
        <v>13</v>
      </c>
      <c r="F18" s="50">
        <v>55</v>
      </c>
      <c r="G18" s="50">
        <v>4</v>
      </c>
      <c r="H18" s="50">
        <v>3</v>
      </c>
      <c r="I18" s="50">
        <v>16</v>
      </c>
      <c r="J18" s="50">
        <v>8</v>
      </c>
      <c r="K18" s="50">
        <v>2</v>
      </c>
      <c r="L18" s="50">
        <v>10</v>
      </c>
      <c r="M18" s="50">
        <v>540</v>
      </c>
      <c r="N18" s="50">
        <v>0</v>
      </c>
      <c r="O18" s="15">
        <f t="shared" si="0"/>
        <v>234</v>
      </c>
      <c r="P18" s="15">
        <f t="shared" si="1"/>
        <v>774</v>
      </c>
      <c r="R18" s="1" t="s">
        <v>14</v>
      </c>
      <c r="S18" s="17">
        <f t="shared" ref="S18:AF18" si="10">SUM(C42:C45)</f>
        <v>200</v>
      </c>
      <c r="T18" s="17">
        <f t="shared" si="10"/>
        <v>27</v>
      </c>
      <c r="U18" s="17">
        <f t="shared" si="10"/>
        <v>32</v>
      </c>
      <c r="V18" s="17">
        <f t="shared" si="10"/>
        <v>129</v>
      </c>
      <c r="W18" s="17">
        <f t="shared" si="10"/>
        <v>9</v>
      </c>
      <c r="X18" s="17">
        <f t="shared" si="10"/>
        <v>2</v>
      </c>
      <c r="Y18" s="17">
        <f t="shared" si="10"/>
        <v>70</v>
      </c>
      <c r="Z18" s="17">
        <f t="shared" si="10"/>
        <v>20</v>
      </c>
      <c r="AA18" s="17">
        <f t="shared" si="10"/>
        <v>2</v>
      </c>
      <c r="AB18" s="17">
        <f t="shared" si="10"/>
        <v>17</v>
      </c>
      <c r="AC18" s="17">
        <f t="shared" si="10"/>
        <v>555</v>
      </c>
      <c r="AD18" s="17">
        <f t="shared" si="10"/>
        <v>0</v>
      </c>
      <c r="AE18" s="31">
        <f t="shared" si="10"/>
        <v>508</v>
      </c>
      <c r="AF18" s="31">
        <f t="shared" si="10"/>
        <v>1063</v>
      </c>
    </row>
    <row r="19" spans="2:32" ht="23.1" customHeight="1" x14ac:dyDescent="0.25">
      <c r="B19" s="23" t="s">
        <v>46</v>
      </c>
      <c r="C19" s="50">
        <v>95</v>
      </c>
      <c r="D19" s="50">
        <v>12</v>
      </c>
      <c r="E19" s="50">
        <v>20</v>
      </c>
      <c r="F19" s="50">
        <v>63</v>
      </c>
      <c r="G19" s="50">
        <v>4</v>
      </c>
      <c r="H19" s="50">
        <v>0</v>
      </c>
      <c r="I19" s="50">
        <v>20</v>
      </c>
      <c r="J19" s="50">
        <v>6</v>
      </c>
      <c r="K19" s="50">
        <v>1</v>
      </c>
      <c r="L19" s="50">
        <v>6</v>
      </c>
      <c r="M19" s="50">
        <v>418</v>
      </c>
      <c r="N19" s="50">
        <v>0</v>
      </c>
      <c r="O19" s="15">
        <f t="shared" si="0"/>
        <v>227</v>
      </c>
      <c r="P19" s="15">
        <f t="shared" si="1"/>
        <v>645</v>
      </c>
      <c r="R19" s="1" t="s">
        <v>15</v>
      </c>
      <c r="S19" s="17">
        <f t="shared" ref="S19:AF19" si="11">SUM(C46:C49)</f>
        <v>234</v>
      </c>
      <c r="T19" s="17">
        <f t="shared" si="11"/>
        <v>39</v>
      </c>
      <c r="U19" s="17">
        <f t="shared" si="11"/>
        <v>31</v>
      </c>
      <c r="V19" s="17">
        <f t="shared" si="11"/>
        <v>134</v>
      </c>
      <c r="W19" s="17">
        <f t="shared" si="11"/>
        <v>5</v>
      </c>
      <c r="X19" s="17">
        <f t="shared" si="11"/>
        <v>9</v>
      </c>
      <c r="Y19" s="17">
        <f t="shared" si="11"/>
        <v>39</v>
      </c>
      <c r="Z19" s="17">
        <f t="shared" si="11"/>
        <v>15</v>
      </c>
      <c r="AA19" s="17">
        <f t="shared" si="11"/>
        <v>5</v>
      </c>
      <c r="AB19" s="17">
        <f t="shared" si="11"/>
        <v>30</v>
      </c>
      <c r="AC19" s="17">
        <f t="shared" si="11"/>
        <v>854</v>
      </c>
      <c r="AD19" s="17">
        <f t="shared" si="11"/>
        <v>0</v>
      </c>
      <c r="AE19" s="31">
        <f t="shared" si="11"/>
        <v>541</v>
      </c>
      <c r="AF19" s="31">
        <f t="shared" si="11"/>
        <v>1395</v>
      </c>
    </row>
    <row r="20" spans="2:32" ht="23.1" customHeight="1" x14ac:dyDescent="0.25">
      <c r="B20" s="23" t="s">
        <v>47</v>
      </c>
      <c r="C20" s="50">
        <v>120</v>
      </c>
      <c r="D20" s="50">
        <v>9</v>
      </c>
      <c r="E20" s="50">
        <v>12</v>
      </c>
      <c r="F20" s="50">
        <v>66</v>
      </c>
      <c r="G20" s="50">
        <v>3</v>
      </c>
      <c r="H20" s="50">
        <v>1</v>
      </c>
      <c r="I20" s="50">
        <v>13</v>
      </c>
      <c r="J20" s="50">
        <v>7</v>
      </c>
      <c r="K20" s="50">
        <v>1</v>
      </c>
      <c r="L20" s="50">
        <v>5</v>
      </c>
      <c r="M20" s="50">
        <v>315</v>
      </c>
      <c r="N20" s="50">
        <v>0</v>
      </c>
      <c r="O20" s="15">
        <f t="shared" si="0"/>
        <v>237</v>
      </c>
      <c r="P20" s="15">
        <f t="shared" si="1"/>
        <v>552</v>
      </c>
      <c r="R20" s="1" t="s">
        <v>16</v>
      </c>
      <c r="S20" s="17">
        <f t="shared" ref="S20:AF20" si="12">SUM(C50:C53)</f>
        <v>272</v>
      </c>
      <c r="T20" s="17">
        <f t="shared" si="12"/>
        <v>37</v>
      </c>
      <c r="U20" s="17">
        <f t="shared" si="12"/>
        <v>62</v>
      </c>
      <c r="V20" s="17">
        <f t="shared" si="12"/>
        <v>143</v>
      </c>
      <c r="W20" s="17">
        <f t="shared" si="12"/>
        <v>8</v>
      </c>
      <c r="X20" s="17">
        <f t="shared" si="12"/>
        <v>7</v>
      </c>
      <c r="Y20" s="17">
        <f t="shared" si="12"/>
        <v>68</v>
      </c>
      <c r="Z20" s="17">
        <f t="shared" si="12"/>
        <v>18</v>
      </c>
      <c r="AA20" s="17">
        <f t="shared" si="12"/>
        <v>4</v>
      </c>
      <c r="AB20" s="17">
        <f t="shared" si="12"/>
        <v>31</v>
      </c>
      <c r="AC20" s="17">
        <f t="shared" si="12"/>
        <v>944</v>
      </c>
      <c r="AD20" s="17">
        <f t="shared" si="12"/>
        <v>0</v>
      </c>
      <c r="AE20" s="31">
        <f t="shared" si="12"/>
        <v>650</v>
      </c>
      <c r="AF20" s="31">
        <f t="shared" si="12"/>
        <v>1594</v>
      </c>
    </row>
    <row r="21" spans="2:32" ht="23.1" customHeight="1" x14ac:dyDescent="0.25">
      <c r="B21" s="23" t="s">
        <v>48</v>
      </c>
      <c r="C21" s="50">
        <v>86</v>
      </c>
      <c r="D21" s="50">
        <v>12</v>
      </c>
      <c r="E21" s="50">
        <v>14</v>
      </c>
      <c r="F21" s="50">
        <v>47</v>
      </c>
      <c r="G21" s="50">
        <v>6</v>
      </c>
      <c r="H21" s="50">
        <v>2</v>
      </c>
      <c r="I21" s="50">
        <v>16</v>
      </c>
      <c r="J21" s="50">
        <v>4</v>
      </c>
      <c r="K21" s="50">
        <v>0</v>
      </c>
      <c r="L21" s="50">
        <v>3</v>
      </c>
      <c r="M21" s="50">
        <v>390</v>
      </c>
      <c r="N21" s="50">
        <v>0</v>
      </c>
      <c r="O21" s="15">
        <f t="shared" si="0"/>
        <v>190</v>
      </c>
      <c r="P21" s="15">
        <f t="shared" si="1"/>
        <v>580</v>
      </c>
      <c r="R21" s="36" t="s">
        <v>20</v>
      </c>
      <c r="S21" s="34">
        <f t="shared" ref="S21:AF21" si="13">SUM(C54:C57)</f>
        <v>176</v>
      </c>
      <c r="T21" s="17">
        <f t="shared" si="13"/>
        <v>35</v>
      </c>
      <c r="U21" s="17">
        <f t="shared" si="13"/>
        <v>32</v>
      </c>
      <c r="V21" s="17">
        <f t="shared" si="13"/>
        <v>197</v>
      </c>
      <c r="W21" s="17">
        <f t="shared" si="13"/>
        <v>4</v>
      </c>
      <c r="X21" s="17">
        <f t="shared" si="13"/>
        <v>7</v>
      </c>
      <c r="Y21" s="17">
        <f t="shared" si="13"/>
        <v>56</v>
      </c>
      <c r="Z21" s="17">
        <f t="shared" si="13"/>
        <v>33</v>
      </c>
      <c r="AA21" s="17">
        <f t="shared" si="13"/>
        <v>4</v>
      </c>
      <c r="AB21" s="17">
        <f t="shared" si="13"/>
        <v>20</v>
      </c>
      <c r="AC21" s="17">
        <f t="shared" si="13"/>
        <v>1365</v>
      </c>
      <c r="AD21" s="17">
        <f t="shared" si="13"/>
        <v>0</v>
      </c>
      <c r="AE21" s="31">
        <f t="shared" si="13"/>
        <v>564</v>
      </c>
      <c r="AF21" s="31">
        <f t="shared" si="13"/>
        <v>1929</v>
      </c>
    </row>
    <row r="22" spans="2:32" ht="23.1" customHeight="1" x14ac:dyDescent="0.25">
      <c r="B22" s="23" t="s">
        <v>49</v>
      </c>
      <c r="C22" s="50">
        <v>75</v>
      </c>
      <c r="D22" s="50">
        <v>5</v>
      </c>
      <c r="E22" s="50">
        <v>8</v>
      </c>
      <c r="F22" s="50">
        <v>51</v>
      </c>
      <c r="G22" s="50">
        <v>2</v>
      </c>
      <c r="H22" s="50">
        <v>0</v>
      </c>
      <c r="I22" s="50">
        <v>18</v>
      </c>
      <c r="J22" s="50">
        <v>6</v>
      </c>
      <c r="K22" s="50">
        <v>0</v>
      </c>
      <c r="L22" s="50">
        <v>6</v>
      </c>
      <c r="M22" s="50">
        <v>335</v>
      </c>
      <c r="N22" s="50">
        <v>0</v>
      </c>
      <c r="O22" s="15">
        <f t="shared" si="0"/>
        <v>171</v>
      </c>
      <c r="P22" s="15">
        <f t="shared" si="1"/>
        <v>506</v>
      </c>
      <c r="R22" s="38" t="s">
        <v>90</v>
      </c>
      <c r="S22" s="39">
        <f>MAX(S10:S12)</f>
        <v>468</v>
      </c>
      <c r="T22" s="39">
        <f t="shared" ref="T22:AF22" si="14">MAX(T10:T12)</f>
        <v>47</v>
      </c>
      <c r="U22" s="39">
        <f t="shared" si="14"/>
        <v>59</v>
      </c>
      <c r="V22" s="39">
        <f t="shared" si="14"/>
        <v>259</v>
      </c>
      <c r="W22" s="39">
        <f t="shared" si="14"/>
        <v>17</v>
      </c>
      <c r="X22" s="39">
        <f t="shared" si="14"/>
        <v>6</v>
      </c>
      <c r="Y22" s="39">
        <f t="shared" si="14"/>
        <v>65</v>
      </c>
      <c r="Z22" s="39">
        <f t="shared" si="14"/>
        <v>27</v>
      </c>
      <c r="AA22" s="39">
        <f t="shared" si="14"/>
        <v>4</v>
      </c>
      <c r="AB22" s="39">
        <f t="shared" si="14"/>
        <v>24</v>
      </c>
      <c r="AC22" s="39">
        <f t="shared" si="14"/>
        <v>2653</v>
      </c>
      <c r="AD22" s="39">
        <f t="shared" si="14"/>
        <v>0</v>
      </c>
      <c r="AE22" s="40">
        <f t="shared" si="14"/>
        <v>928</v>
      </c>
      <c r="AF22" s="40">
        <f t="shared" si="14"/>
        <v>3547</v>
      </c>
    </row>
    <row r="23" spans="2:32" ht="23.1" customHeight="1" x14ac:dyDescent="0.25">
      <c r="B23" s="23" t="s">
        <v>50</v>
      </c>
      <c r="C23" s="50">
        <v>75</v>
      </c>
      <c r="D23" s="50">
        <v>11</v>
      </c>
      <c r="E23" s="50">
        <v>7</v>
      </c>
      <c r="F23" s="50">
        <v>47</v>
      </c>
      <c r="G23" s="50">
        <v>0</v>
      </c>
      <c r="H23" s="50">
        <v>0</v>
      </c>
      <c r="I23" s="50">
        <v>14</v>
      </c>
      <c r="J23" s="50">
        <v>3</v>
      </c>
      <c r="K23" s="50">
        <v>2</v>
      </c>
      <c r="L23" s="50">
        <v>5</v>
      </c>
      <c r="M23" s="50">
        <v>325</v>
      </c>
      <c r="N23" s="50">
        <v>0</v>
      </c>
      <c r="O23" s="15">
        <f t="shared" si="0"/>
        <v>164</v>
      </c>
      <c r="P23" s="15">
        <f t="shared" si="1"/>
        <v>489</v>
      </c>
      <c r="R23" s="38" t="s">
        <v>91</v>
      </c>
      <c r="S23" s="39">
        <f>MAX(S13:S18)</f>
        <v>307</v>
      </c>
      <c r="T23" s="39">
        <f t="shared" ref="T23:AF23" si="15">MAX(T13:T18)</f>
        <v>38</v>
      </c>
      <c r="U23" s="39">
        <f t="shared" si="15"/>
        <v>44</v>
      </c>
      <c r="V23" s="39">
        <f t="shared" si="15"/>
        <v>212</v>
      </c>
      <c r="W23" s="39">
        <f t="shared" si="15"/>
        <v>9</v>
      </c>
      <c r="X23" s="39">
        <f t="shared" si="15"/>
        <v>6</v>
      </c>
      <c r="Y23" s="39">
        <f t="shared" si="15"/>
        <v>70</v>
      </c>
      <c r="Z23" s="39">
        <f t="shared" si="15"/>
        <v>24</v>
      </c>
      <c r="AA23" s="39">
        <f t="shared" si="15"/>
        <v>8</v>
      </c>
      <c r="AB23" s="39">
        <f t="shared" si="15"/>
        <v>26</v>
      </c>
      <c r="AC23" s="39">
        <f t="shared" si="15"/>
        <v>1244</v>
      </c>
      <c r="AD23" s="39">
        <f t="shared" si="15"/>
        <v>1</v>
      </c>
      <c r="AE23" s="40">
        <f t="shared" si="15"/>
        <v>708</v>
      </c>
      <c r="AF23" s="40">
        <f t="shared" si="15"/>
        <v>1905</v>
      </c>
    </row>
    <row r="24" spans="2:32" ht="23.1" customHeight="1" x14ac:dyDescent="0.25">
      <c r="B24" s="23" t="s">
        <v>51</v>
      </c>
      <c r="C24" s="50">
        <v>72</v>
      </c>
      <c r="D24" s="50">
        <v>5</v>
      </c>
      <c r="E24" s="50">
        <v>8</v>
      </c>
      <c r="F24" s="50">
        <v>51</v>
      </c>
      <c r="G24" s="50">
        <v>1</v>
      </c>
      <c r="H24" s="50">
        <v>0</v>
      </c>
      <c r="I24" s="50">
        <v>22</v>
      </c>
      <c r="J24" s="50">
        <v>2</v>
      </c>
      <c r="K24" s="50">
        <v>0</v>
      </c>
      <c r="L24" s="50">
        <v>0</v>
      </c>
      <c r="M24" s="50">
        <v>350</v>
      </c>
      <c r="N24" s="50">
        <v>0</v>
      </c>
      <c r="O24" s="15">
        <f t="shared" si="0"/>
        <v>161</v>
      </c>
      <c r="P24" s="15">
        <f t="shared" si="1"/>
        <v>511</v>
      </c>
      <c r="R24" s="38" t="s">
        <v>92</v>
      </c>
      <c r="S24" s="39">
        <f>MAX(S19:S21)</f>
        <v>272</v>
      </c>
      <c r="T24" s="39">
        <f t="shared" ref="T24:AF24" si="16">MAX(T19:T21)</f>
        <v>39</v>
      </c>
      <c r="U24" s="39">
        <f t="shared" si="16"/>
        <v>62</v>
      </c>
      <c r="V24" s="39">
        <f t="shared" si="16"/>
        <v>197</v>
      </c>
      <c r="W24" s="39">
        <f t="shared" si="16"/>
        <v>8</v>
      </c>
      <c r="X24" s="39">
        <f t="shared" si="16"/>
        <v>9</v>
      </c>
      <c r="Y24" s="39">
        <f t="shared" si="16"/>
        <v>68</v>
      </c>
      <c r="Z24" s="39">
        <f t="shared" si="16"/>
        <v>33</v>
      </c>
      <c r="AA24" s="39">
        <f t="shared" si="16"/>
        <v>5</v>
      </c>
      <c r="AB24" s="39">
        <f t="shared" si="16"/>
        <v>31</v>
      </c>
      <c r="AC24" s="39">
        <f t="shared" si="16"/>
        <v>1365</v>
      </c>
      <c r="AD24" s="39">
        <f t="shared" si="16"/>
        <v>0</v>
      </c>
      <c r="AE24" s="40">
        <f t="shared" si="16"/>
        <v>650</v>
      </c>
      <c r="AF24" s="40">
        <f t="shared" si="16"/>
        <v>1929</v>
      </c>
    </row>
    <row r="25" spans="2:32" ht="23.1" customHeight="1" x14ac:dyDescent="0.25">
      <c r="B25" s="23" t="s">
        <v>52</v>
      </c>
      <c r="C25" s="50">
        <v>71</v>
      </c>
      <c r="D25" s="50">
        <v>6</v>
      </c>
      <c r="E25" s="50">
        <v>10</v>
      </c>
      <c r="F25" s="50">
        <v>58</v>
      </c>
      <c r="G25" s="50">
        <v>1</v>
      </c>
      <c r="H25" s="50">
        <v>0</v>
      </c>
      <c r="I25" s="50">
        <v>11</v>
      </c>
      <c r="J25" s="50">
        <v>3</v>
      </c>
      <c r="K25" s="50">
        <v>0</v>
      </c>
      <c r="L25" s="50">
        <v>5</v>
      </c>
      <c r="M25" s="50">
        <v>234</v>
      </c>
      <c r="N25" s="50">
        <v>0</v>
      </c>
      <c r="O25" s="15">
        <f t="shared" si="0"/>
        <v>165</v>
      </c>
      <c r="P25" s="15">
        <f t="shared" si="1"/>
        <v>399</v>
      </c>
      <c r="R25" s="37" t="s">
        <v>85</v>
      </c>
      <c r="S25" s="35">
        <f t="shared" ref="S25:AF25" si="17">SUM(S10:S12)</f>
        <v>1318</v>
      </c>
      <c r="T25" s="16">
        <f t="shared" si="17"/>
        <v>130</v>
      </c>
      <c r="U25" s="16">
        <f t="shared" si="17"/>
        <v>156</v>
      </c>
      <c r="V25" s="16">
        <f t="shared" si="17"/>
        <v>736</v>
      </c>
      <c r="W25" s="16">
        <f t="shared" si="17"/>
        <v>38</v>
      </c>
      <c r="X25" s="16">
        <f t="shared" si="17"/>
        <v>9</v>
      </c>
      <c r="Y25" s="16">
        <f t="shared" si="17"/>
        <v>185</v>
      </c>
      <c r="Z25" s="16">
        <f t="shared" si="17"/>
        <v>73</v>
      </c>
      <c r="AA25" s="16">
        <f t="shared" si="17"/>
        <v>6</v>
      </c>
      <c r="AB25" s="16">
        <f t="shared" si="17"/>
        <v>59</v>
      </c>
      <c r="AC25" s="16">
        <f t="shared" si="17"/>
        <v>6586</v>
      </c>
      <c r="AD25" s="16">
        <f t="shared" si="17"/>
        <v>0</v>
      </c>
      <c r="AE25" s="32">
        <f t="shared" si="17"/>
        <v>2710</v>
      </c>
      <c r="AF25" s="32">
        <f t="shared" si="17"/>
        <v>9296</v>
      </c>
    </row>
    <row r="26" spans="2:32" ht="23.1" customHeight="1" x14ac:dyDescent="0.25">
      <c r="B26" s="23" t="s">
        <v>53</v>
      </c>
      <c r="C26" s="50">
        <v>92</v>
      </c>
      <c r="D26" s="50">
        <v>10</v>
      </c>
      <c r="E26" s="50">
        <v>14</v>
      </c>
      <c r="F26" s="50">
        <v>60</v>
      </c>
      <c r="G26" s="50">
        <v>1</v>
      </c>
      <c r="H26" s="50">
        <v>1</v>
      </c>
      <c r="I26" s="50">
        <v>17</v>
      </c>
      <c r="J26" s="50">
        <v>2</v>
      </c>
      <c r="K26" s="50">
        <v>0</v>
      </c>
      <c r="L26" s="50">
        <v>8</v>
      </c>
      <c r="M26" s="50">
        <v>213</v>
      </c>
      <c r="N26" s="50">
        <v>0</v>
      </c>
      <c r="O26" s="15">
        <f t="shared" si="0"/>
        <v>205</v>
      </c>
      <c r="P26" s="15">
        <f t="shared" si="1"/>
        <v>418</v>
      </c>
      <c r="R26" s="28" t="s">
        <v>86</v>
      </c>
      <c r="S26" s="16">
        <f t="shared" ref="S26:AF26" si="18">SUM(S13:S18)</f>
        <v>1458</v>
      </c>
      <c r="T26" s="16">
        <f t="shared" si="18"/>
        <v>191</v>
      </c>
      <c r="U26" s="16">
        <f t="shared" si="18"/>
        <v>210</v>
      </c>
      <c r="V26" s="16">
        <f t="shared" si="18"/>
        <v>1049</v>
      </c>
      <c r="W26" s="16">
        <f t="shared" si="18"/>
        <v>29</v>
      </c>
      <c r="X26" s="16">
        <f t="shared" si="18"/>
        <v>14</v>
      </c>
      <c r="Y26" s="16">
        <f t="shared" si="18"/>
        <v>388</v>
      </c>
      <c r="Z26" s="16">
        <f t="shared" si="18"/>
        <v>110</v>
      </c>
      <c r="AA26" s="16">
        <f t="shared" si="18"/>
        <v>20</v>
      </c>
      <c r="AB26" s="16">
        <f t="shared" si="18"/>
        <v>109</v>
      </c>
      <c r="AC26" s="16">
        <f t="shared" si="18"/>
        <v>4571</v>
      </c>
      <c r="AD26" s="16">
        <f t="shared" si="18"/>
        <v>1</v>
      </c>
      <c r="AE26" s="32">
        <f t="shared" si="18"/>
        <v>3579</v>
      </c>
      <c r="AF26" s="32">
        <f t="shared" si="18"/>
        <v>8150</v>
      </c>
    </row>
    <row r="27" spans="2:32" ht="23.1" customHeight="1" x14ac:dyDescent="0.25">
      <c r="B27" s="23" t="s">
        <v>54</v>
      </c>
      <c r="C27" s="50">
        <v>66</v>
      </c>
      <c r="D27" s="50">
        <v>7</v>
      </c>
      <c r="E27" s="50">
        <v>9</v>
      </c>
      <c r="F27" s="50">
        <v>54</v>
      </c>
      <c r="G27" s="50">
        <v>2</v>
      </c>
      <c r="H27" s="50">
        <v>0</v>
      </c>
      <c r="I27" s="50">
        <v>12</v>
      </c>
      <c r="J27" s="50">
        <v>3</v>
      </c>
      <c r="K27" s="50">
        <v>0</v>
      </c>
      <c r="L27" s="50">
        <v>4</v>
      </c>
      <c r="M27" s="50">
        <v>203</v>
      </c>
      <c r="N27" s="50">
        <v>0</v>
      </c>
      <c r="O27" s="15">
        <f t="shared" si="0"/>
        <v>157</v>
      </c>
      <c r="P27" s="15">
        <f t="shared" si="1"/>
        <v>360</v>
      </c>
      <c r="R27" s="29" t="s">
        <v>87</v>
      </c>
      <c r="S27" s="16">
        <f t="shared" ref="S27:AF27" si="19">SUM(S19:S21)</f>
        <v>682</v>
      </c>
      <c r="T27" s="16">
        <f t="shared" si="19"/>
        <v>111</v>
      </c>
      <c r="U27" s="16">
        <f t="shared" si="19"/>
        <v>125</v>
      </c>
      <c r="V27" s="16">
        <f t="shared" si="19"/>
        <v>474</v>
      </c>
      <c r="W27" s="16">
        <f t="shared" si="19"/>
        <v>17</v>
      </c>
      <c r="X27" s="16">
        <f t="shared" si="19"/>
        <v>23</v>
      </c>
      <c r="Y27" s="16">
        <f t="shared" si="19"/>
        <v>163</v>
      </c>
      <c r="Z27" s="16">
        <f t="shared" si="19"/>
        <v>66</v>
      </c>
      <c r="AA27" s="16">
        <f t="shared" si="19"/>
        <v>13</v>
      </c>
      <c r="AB27" s="16">
        <f t="shared" si="19"/>
        <v>81</v>
      </c>
      <c r="AC27" s="16">
        <f t="shared" si="19"/>
        <v>3163</v>
      </c>
      <c r="AD27" s="16">
        <f t="shared" si="19"/>
        <v>0</v>
      </c>
      <c r="AE27" s="32">
        <f t="shared" si="19"/>
        <v>1755</v>
      </c>
      <c r="AF27" s="32">
        <f t="shared" si="19"/>
        <v>4918</v>
      </c>
    </row>
    <row r="28" spans="2:32" ht="23.1" customHeight="1" x14ac:dyDescent="0.25">
      <c r="B28" s="23" t="s">
        <v>55</v>
      </c>
      <c r="C28" s="50">
        <v>82</v>
      </c>
      <c r="D28" s="50">
        <v>10</v>
      </c>
      <c r="E28" s="50">
        <v>13</v>
      </c>
      <c r="F28" s="50">
        <v>50</v>
      </c>
      <c r="G28" s="50">
        <v>4</v>
      </c>
      <c r="H28" s="50">
        <v>0</v>
      </c>
      <c r="I28" s="50">
        <v>21</v>
      </c>
      <c r="J28" s="50">
        <v>5</v>
      </c>
      <c r="K28" s="50">
        <v>0</v>
      </c>
      <c r="L28" s="50">
        <v>7</v>
      </c>
      <c r="M28" s="50">
        <v>244</v>
      </c>
      <c r="N28" s="50">
        <v>0</v>
      </c>
      <c r="O28" s="15">
        <f t="shared" si="0"/>
        <v>192</v>
      </c>
      <c r="P28" s="15">
        <f t="shared" si="1"/>
        <v>436</v>
      </c>
      <c r="R28" s="5" t="s">
        <v>17</v>
      </c>
      <c r="S28" s="16">
        <f t="shared" ref="S28:AF28" si="20">SUM(S10:S21)</f>
        <v>3458</v>
      </c>
      <c r="T28" s="16">
        <f t="shared" si="20"/>
        <v>432</v>
      </c>
      <c r="U28" s="16">
        <f t="shared" si="20"/>
        <v>491</v>
      </c>
      <c r="V28" s="16">
        <f t="shared" si="20"/>
        <v>2259</v>
      </c>
      <c r="W28" s="16">
        <f t="shared" si="20"/>
        <v>84</v>
      </c>
      <c r="X28" s="16">
        <f t="shared" si="20"/>
        <v>46</v>
      </c>
      <c r="Y28" s="16">
        <f t="shared" si="20"/>
        <v>736</v>
      </c>
      <c r="Z28" s="16">
        <f t="shared" si="20"/>
        <v>249</v>
      </c>
      <c r="AA28" s="16">
        <f t="shared" si="20"/>
        <v>39</v>
      </c>
      <c r="AB28" s="16">
        <f t="shared" si="20"/>
        <v>249</v>
      </c>
      <c r="AC28" s="16">
        <f t="shared" si="20"/>
        <v>14320</v>
      </c>
      <c r="AD28" s="16">
        <f t="shared" si="20"/>
        <v>1</v>
      </c>
      <c r="AE28" s="32">
        <f t="shared" si="20"/>
        <v>8044</v>
      </c>
      <c r="AF28" s="32">
        <f t="shared" si="20"/>
        <v>22364</v>
      </c>
    </row>
    <row r="29" spans="2:32" ht="23.1" customHeight="1" x14ac:dyDescent="0.25">
      <c r="B29" s="23" t="s">
        <v>56</v>
      </c>
      <c r="C29" s="50">
        <v>67</v>
      </c>
      <c r="D29" s="50">
        <v>10</v>
      </c>
      <c r="E29" s="50">
        <v>8</v>
      </c>
      <c r="F29" s="50">
        <v>48</v>
      </c>
      <c r="G29" s="50">
        <v>0</v>
      </c>
      <c r="H29" s="50">
        <v>0</v>
      </c>
      <c r="I29" s="50">
        <v>14</v>
      </c>
      <c r="J29" s="50">
        <v>3</v>
      </c>
      <c r="K29" s="50">
        <v>0</v>
      </c>
      <c r="L29" s="50">
        <v>4</v>
      </c>
      <c r="M29" s="50">
        <v>195</v>
      </c>
      <c r="N29" s="50">
        <v>0</v>
      </c>
      <c r="O29" s="15">
        <f t="shared" si="0"/>
        <v>154</v>
      </c>
      <c r="P29" s="15">
        <f t="shared" si="1"/>
        <v>349</v>
      </c>
      <c r="R29"/>
      <c r="S29" s="20"/>
      <c r="T29" s="19"/>
    </row>
    <row r="30" spans="2:32" ht="23.1" customHeight="1" x14ac:dyDescent="0.25">
      <c r="B30" s="23" t="s">
        <v>57</v>
      </c>
      <c r="C30" s="50">
        <v>51</v>
      </c>
      <c r="D30" s="50">
        <v>9</v>
      </c>
      <c r="E30" s="50">
        <v>10</v>
      </c>
      <c r="F30" s="50">
        <v>48</v>
      </c>
      <c r="G30" s="50">
        <v>0</v>
      </c>
      <c r="H30" s="50">
        <v>1</v>
      </c>
      <c r="I30" s="50">
        <v>15</v>
      </c>
      <c r="J30" s="50">
        <v>5</v>
      </c>
      <c r="K30" s="50">
        <v>3</v>
      </c>
      <c r="L30" s="50">
        <v>3</v>
      </c>
      <c r="M30" s="50">
        <v>218</v>
      </c>
      <c r="N30" s="50">
        <v>0</v>
      </c>
      <c r="O30" s="15">
        <f t="shared" si="0"/>
        <v>145</v>
      </c>
      <c r="P30" s="15">
        <f t="shared" si="1"/>
        <v>363</v>
      </c>
    </row>
    <row r="31" spans="2:32" ht="23.1" customHeight="1" x14ac:dyDescent="0.25">
      <c r="B31" s="24" t="s">
        <v>58</v>
      </c>
      <c r="C31" s="50">
        <v>69</v>
      </c>
      <c r="D31" s="50">
        <v>10</v>
      </c>
      <c r="E31" s="50">
        <v>8</v>
      </c>
      <c r="F31" s="50">
        <v>53</v>
      </c>
      <c r="G31" s="50">
        <v>0</v>
      </c>
      <c r="H31" s="50">
        <v>0</v>
      </c>
      <c r="I31" s="50">
        <v>15</v>
      </c>
      <c r="J31" s="50">
        <v>3</v>
      </c>
      <c r="K31" s="50">
        <v>1</v>
      </c>
      <c r="L31" s="50">
        <v>5</v>
      </c>
      <c r="M31" s="50">
        <v>104</v>
      </c>
      <c r="N31" s="50">
        <v>0</v>
      </c>
      <c r="O31" s="15">
        <f t="shared" si="0"/>
        <v>164</v>
      </c>
      <c r="P31" s="15">
        <f t="shared" si="1"/>
        <v>268</v>
      </c>
    </row>
    <row r="32" spans="2:32" ht="23.1" customHeight="1" x14ac:dyDescent="0.25">
      <c r="B32" s="24" t="s">
        <v>59</v>
      </c>
      <c r="C32" s="50">
        <v>50</v>
      </c>
      <c r="D32" s="50">
        <v>3</v>
      </c>
      <c r="E32" s="50">
        <v>7</v>
      </c>
      <c r="F32" s="50">
        <v>36</v>
      </c>
      <c r="G32" s="50">
        <v>2</v>
      </c>
      <c r="H32" s="50">
        <v>1</v>
      </c>
      <c r="I32" s="50">
        <v>13</v>
      </c>
      <c r="J32" s="50">
        <v>7</v>
      </c>
      <c r="K32" s="50">
        <v>1</v>
      </c>
      <c r="L32" s="50">
        <v>1</v>
      </c>
      <c r="M32" s="50">
        <v>192</v>
      </c>
      <c r="N32" s="50">
        <v>0</v>
      </c>
      <c r="O32" s="15">
        <f t="shared" si="0"/>
        <v>121</v>
      </c>
      <c r="P32" s="15">
        <f t="shared" si="1"/>
        <v>313</v>
      </c>
    </row>
    <row r="33" spans="2:20" ht="23.1" customHeight="1" x14ac:dyDescent="0.25">
      <c r="B33" s="23" t="s">
        <v>60</v>
      </c>
      <c r="C33" s="50">
        <v>61</v>
      </c>
      <c r="D33" s="50">
        <v>3</v>
      </c>
      <c r="E33" s="50">
        <v>8</v>
      </c>
      <c r="F33" s="50">
        <v>50</v>
      </c>
      <c r="G33" s="50">
        <v>0</v>
      </c>
      <c r="H33" s="50">
        <v>1</v>
      </c>
      <c r="I33" s="50">
        <v>13</v>
      </c>
      <c r="J33" s="50">
        <v>5</v>
      </c>
      <c r="K33" s="50">
        <v>0</v>
      </c>
      <c r="L33" s="50">
        <v>3</v>
      </c>
      <c r="M33" s="50">
        <v>169</v>
      </c>
      <c r="N33" s="50">
        <v>0</v>
      </c>
      <c r="O33" s="15">
        <f t="shared" si="0"/>
        <v>144</v>
      </c>
      <c r="P33" s="15">
        <f t="shared" si="1"/>
        <v>313</v>
      </c>
    </row>
    <row r="34" spans="2:20" ht="23.1" customHeight="1" x14ac:dyDescent="0.25">
      <c r="B34" s="24" t="s">
        <v>61</v>
      </c>
      <c r="C34" s="50">
        <v>56</v>
      </c>
      <c r="D34" s="50">
        <v>8</v>
      </c>
      <c r="E34" s="50">
        <v>10</v>
      </c>
      <c r="F34" s="50">
        <v>49</v>
      </c>
      <c r="G34" s="50">
        <v>0</v>
      </c>
      <c r="H34" s="50">
        <v>0</v>
      </c>
      <c r="I34" s="50">
        <v>19</v>
      </c>
      <c r="J34" s="50">
        <v>2</v>
      </c>
      <c r="K34" s="50">
        <v>2</v>
      </c>
      <c r="L34" s="50">
        <v>9</v>
      </c>
      <c r="M34" s="50">
        <v>182</v>
      </c>
      <c r="N34" s="50">
        <v>0</v>
      </c>
      <c r="O34" s="15">
        <f t="shared" si="0"/>
        <v>155</v>
      </c>
      <c r="P34" s="15">
        <f t="shared" si="1"/>
        <v>337</v>
      </c>
    </row>
    <row r="35" spans="2:20" ht="23.1" customHeight="1" x14ac:dyDescent="0.25">
      <c r="B35" s="24" t="s">
        <v>62</v>
      </c>
      <c r="C35" s="50">
        <v>59</v>
      </c>
      <c r="D35" s="50">
        <v>13</v>
      </c>
      <c r="E35" s="50">
        <v>6</v>
      </c>
      <c r="F35" s="50">
        <v>42</v>
      </c>
      <c r="G35" s="50">
        <v>2</v>
      </c>
      <c r="H35" s="50">
        <v>2</v>
      </c>
      <c r="I35" s="50">
        <v>12</v>
      </c>
      <c r="J35" s="50">
        <v>7</v>
      </c>
      <c r="K35" s="50">
        <v>2</v>
      </c>
      <c r="L35" s="50">
        <v>5</v>
      </c>
      <c r="M35" s="50">
        <v>154</v>
      </c>
      <c r="N35" s="50">
        <v>1</v>
      </c>
      <c r="O35" s="15">
        <f t="shared" si="0"/>
        <v>151</v>
      </c>
      <c r="P35" s="15">
        <f t="shared" si="1"/>
        <v>305</v>
      </c>
    </row>
    <row r="36" spans="2:20" ht="23.1" customHeight="1" x14ac:dyDescent="0.25">
      <c r="B36" s="24" t="s">
        <v>63</v>
      </c>
      <c r="C36" s="50">
        <v>45</v>
      </c>
      <c r="D36" s="50">
        <v>10</v>
      </c>
      <c r="E36" s="50">
        <v>7</v>
      </c>
      <c r="F36" s="50">
        <v>35</v>
      </c>
      <c r="G36" s="50">
        <v>0</v>
      </c>
      <c r="H36" s="50">
        <v>0</v>
      </c>
      <c r="I36" s="50">
        <v>20</v>
      </c>
      <c r="J36" s="50">
        <v>3</v>
      </c>
      <c r="K36" s="50">
        <v>0</v>
      </c>
      <c r="L36" s="50">
        <v>4</v>
      </c>
      <c r="M36" s="50">
        <v>153</v>
      </c>
      <c r="N36" s="50">
        <v>0</v>
      </c>
      <c r="O36" s="15">
        <f t="shared" si="0"/>
        <v>124</v>
      </c>
      <c r="P36" s="15">
        <f t="shared" si="1"/>
        <v>277</v>
      </c>
    </row>
    <row r="37" spans="2:20" ht="23.1" customHeight="1" x14ac:dyDescent="0.25">
      <c r="B37" s="23" t="s">
        <v>64</v>
      </c>
      <c r="C37" s="50">
        <v>54</v>
      </c>
      <c r="D37" s="50">
        <v>6</v>
      </c>
      <c r="E37" s="50">
        <v>6</v>
      </c>
      <c r="F37" s="50">
        <v>32</v>
      </c>
      <c r="G37" s="50">
        <v>0</v>
      </c>
      <c r="H37" s="50">
        <v>0</v>
      </c>
      <c r="I37" s="50">
        <v>19</v>
      </c>
      <c r="J37" s="50">
        <v>12</v>
      </c>
      <c r="K37" s="50">
        <v>4</v>
      </c>
      <c r="L37" s="50">
        <v>8</v>
      </c>
      <c r="M37" s="50">
        <v>144</v>
      </c>
      <c r="N37" s="50">
        <v>0</v>
      </c>
      <c r="O37" s="15">
        <f t="shared" si="0"/>
        <v>141</v>
      </c>
      <c r="P37" s="15">
        <f t="shared" si="1"/>
        <v>285</v>
      </c>
    </row>
    <row r="38" spans="2:20" ht="23.1" customHeight="1" x14ac:dyDescent="0.25">
      <c r="B38" s="24" t="s">
        <v>65</v>
      </c>
      <c r="C38" s="50">
        <v>45</v>
      </c>
      <c r="D38" s="50">
        <v>12</v>
      </c>
      <c r="E38" s="50">
        <v>11</v>
      </c>
      <c r="F38" s="50">
        <v>42</v>
      </c>
      <c r="G38" s="50">
        <v>2</v>
      </c>
      <c r="H38" s="50">
        <v>2</v>
      </c>
      <c r="I38" s="50">
        <v>15</v>
      </c>
      <c r="J38" s="50">
        <v>8</v>
      </c>
      <c r="K38" s="50">
        <v>0</v>
      </c>
      <c r="L38" s="50">
        <v>3</v>
      </c>
      <c r="M38" s="50">
        <v>132</v>
      </c>
      <c r="N38" s="50">
        <v>0</v>
      </c>
      <c r="O38" s="15">
        <f t="shared" si="0"/>
        <v>140</v>
      </c>
      <c r="P38" s="15">
        <f t="shared" si="1"/>
        <v>272</v>
      </c>
    </row>
    <row r="39" spans="2:20" ht="23.1" customHeight="1" x14ac:dyDescent="0.25">
      <c r="B39" s="24" t="s">
        <v>66</v>
      </c>
      <c r="C39" s="50">
        <v>50</v>
      </c>
      <c r="D39" s="50">
        <v>7</v>
      </c>
      <c r="E39" s="50">
        <v>9</v>
      </c>
      <c r="F39" s="50">
        <v>37</v>
      </c>
      <c r="G39" s="50">
        <v>0</v>
      </c>
      <c r="H39" s="50">
        <v>1</v>
      </c>
      <c r="I39" s="50">
        <v>23</v>
      </c>
      <c r="J39" s="50">
        <v>3</v>
      </c>
      <c r="K39" s="50">
        <v>1</v>
      </c>
      <c r="L39" s="50">
        <v>7</v>
      </c>
      <c r="M39" s="50">
        <v>125</v>
      </c>
      <c r="N39" s="50">
        <v>0</v>
      </c>
      <c r="O39" s="15">
        <f t="shared" si="0"/>
        <v>138</v>
      </c>
      <c r="P39" s="15">
        <f t="shared" si="1"/>
        <v>263</v>
      </c>
    </row>
    <row r="40" spans="2:20" ht="23.1" customHeight="1" x14ac:dyDescent="0.25">
      <c r="B40" s="24" t="s">
        <v>67</v>
      </c>
      <c r="C40" s="50">
        <v>61</v>
      </c>
      <c r="D40" s="50">
        <v>9</v>
      </c>
      <c r="E40" s="50">
        <v>10</v>
      </c>
      <c r="F40" s="50">
        <v>40</v>
      </c>
      <c r="G40" s="50">
        <v>3</v>
      </c>
      <c r="H40" s="50">
        <v>2</v>
      </c>
      <c r="I40" s="50">
        <v>10</v>
      </c>
      <c r="J40" s="50">
        <v>5</v>
      </c>
      <c r="K40" s="50">
        <v>2</v>
      </c>
      <c r="L40" s="50">
        <v>3</v>
      </c>
      <c r="M40" s="50">
        <v>165</v>
      </c>
      <c r="N40" s="50">
        <v>0</v>
      </c>
      <c r="O40" s="15">
        <f t="shared" si="0"/>
        <v>145</v>
      </c>
      <c r="P40" s="15">
        <f t="shared" si="1"/>
        <v>310</v>
      </c>
    </row>
    <row r="41" spans="2:20" ht="23.1" customHeight="1" x14ac:dyDescent="0.25">
      <c r="B41" s="23" t="s">
        <v>68</v>
      </c>
      <c r="C41" s="50">
        <v>57</v>
      </c>
      <c r="D41" s="50">
        <v>10</v>
      </c>
      <c r="E41" s="50">
        <v>9</v>
      </c>
      <c r="F41" s="50">
        <v>37</v>
      </c>
      <c r="G41" s="50">
        <v>0</v>
      </c>
      <c r="H41" s="50">
        <v>1</v>
      </c>
      <c r="I41" s="50">
        <v>15</v>
      </c>
      <c r="J41" s="50">
        <v>3</v>
      </c>
      <c r="K41" s="50">
        <v>0</v>
      </c>
      <c r="L41" s="50">
        <v>2</v>
      </c>
      <c r="M41" s="50">
        <v>179</v>
      </c>
      <c r="N41" s="50">
        <v>0</v>
      </c>
      <c r="O41" s="15">
        <f t="shared" si="0"/>
        <v>134</v>
      </c>
      <c r="P41" s="15">
        <f t="shared" si="1"/>
        <v>313</v>
      </c>
    </row>
    <row r="42" spans="2:20" ht="23.1" customHeight="1" x14ac:dyDescent="0.25">
      <c r="B42" s="24" t="s">
        <v>69</v>
      </c>
      <c r="C42" s="50">
        <v>53</v>
      </c>
      <c r="D42" s="50">
        <v>7</v>
      </c>
      <c r="E42" s="50">
        <v>10</v>
      </c>
      <c r="F42" s="50">
        <v>37</v>
      </c>
      <c r="G42" s="50">
        <v>2</v>
      </c>
      <c r="H42" s="50">
        <v>0</v>
      </c>
      <c r="I42" s="50">
        <v>15</v>
      </c>
      <c r="J42" s="50">
        <v>4</v>
      </c>
      <c r="K42" s="50">
        <v>0</v>
      </c>
      <c r="L42" s="50">
        <v>1</v>
      </c>
      <c r="M42" s="50">
        <v>164</v>
      </c>
      <c r="N42" s="50">
        <v>0</v>
      </c>
      <c r="O42" s="15">
        <f t="shared" si="0"/>
        <v>129</v>
      </c>
      <c r="P42" s="15">
        <f t="shared" si="1"/>
        <v>293</v>
      </c>
    </row>
    <row r="43" spans="2:20" ht="23.1" customHeight="1" x14ac:dyDescent="0.25">
      <c r="B43" s="23" t="s">
        <v>70</v>
      </c>
      <c r="C43" s="50">
        <v>56</v>
      </c>
      <c r="D43" s="50">
        <v>3</v>
      </c>
      <c r="E43" s="50">
        <v>6</v>
      </c>
      <c r="F43" s="50">
        <v>16</v>
      </c>
      <c r="G43" s="50">
        <v>1</v>
      </c>
      <c r="H43" s="50">
        <v>2</v>
      </c>
      <c r="I43" s="50">
        <v>19</v>
      </c>
      <c r="J43" s="50">
        <v>5</v>
      </c>
      <c r="K43" s="50">
        <v>0</v>
      </c>
      <c r="L43" s="50">
        <v>4</v>
      </c>
      <c r="M43" s="50">
        <v>158</v>
      </c>
      <c r="N43" s="50">
        <v>0</v>
      </c>
      <c r="O43" s="15">
        <f t="shared" si="0"/>
        <v>112</v>
      </c>
      <c r="P43" s="15">
        <f t="shared" si="1"/>
        <v>270</v>
      </c>
    </row>
    <row r="44" spans="2:20" ht="23.1" customHeight="1" x14ac:dyDescent="0.25">
      <c r="B44" s="25" t="s">
        <v>71</v>
      </c>
      <c r="C44" s="50">
        <v>47</v>
      </c>
      <c r="D44" s="50">
        <v>6</v>
      </c>
      <c r="E44" s="50">
        <v>10</v>
      </c>
      <c r="F44" s="50">
        <v>39</v>
      </c>
      <c r="G44" s="50">
        <v>4</v>
      </c>
      <c r="H44" s="50">
        <v>0</v>
      </c>
      <c r="I44" s="50">
        <v>18</v>
      </c>
      <c r="J44" s="50">
        <v>8</v>
      </c>
      <c r="K44" s="50">
        <v>1</v>
      </c>
      <c r="L44" s="50">
        <v>6</v>
      </c>
      <c r="M44" s="50">
        <v>138</v>
      </c>
      <c r="N44" s="50">
        <v>0</v>
      </c>
      <c r="O44" s="15">
        <f t="shared" si="0"/>
        <v>139</v>
      </c>
      <c r="P44" s="15">
        <f t="shared" si="1"/>
        <v>277</v>
      </c>
    </row>
    <row r="45" spans="2:20" ht="23.1" customHeight="1" x14ac:dyDescent="0.25">
      <c r="B45" s="23" t="s">
        <v>72</v>
      </c>
      <c r="C45" s="50">
        <v>44</v>
      </c>
      <c r="D45" s="50">
        <v>11</v>
      </c>
      <c r="E45" s="50">
        <v>6</v>
      </c>
      <c r="F45" s="50">
        <v>37</v>
      </c>
      <c r="G45" s="50">
        <v>2</v>
      </c>
      <c r="H45" s="50">
        <v>0</v>
      </c>
      <c r="I45" s="50">
        <v>18</v>
      </c>
      <c r="J45" s="50">
        <v>3</v>
      </c>
      <c r="K45" s="50">
        <v>1</v>
      </c>
      <c r="L45" s="50">
        <v>6</v>
      </c>
      <c r="M45" s="50">
        <v>95</v>
      </c>
      <c r="N45" s="50">
        <v>0</v>
      </c>
      <c r="O45" s="15">
        <f t="shared" si="0"/>
        <v>128</v>
      </c>
      <c r="P45" s="15">
        <f t="shared" si="1"/>
        <v>223</v>
      </c>
    </row>
    <row r="46" spans="2:20" ht="23.1" customHeight="1" x14ac:dyDescent="0.25">
      <c r="B46" s="24" t="s">
        <v>73</v>
      </c>
      <c r="C46" s="50">
        <v>65</v>
      </c>
      <c r="D46" s="50">
        <v>16</v>
      </c>
      <c r="E46" s="50">
        <v>7</v>
      </c>
      <c r="F46" s="50">
        <v>49</v>
      </c>
      <c r="G46" s="50">
        <v>1</v>
      </c>
      <c r="H46" s="50">
        <v>2</v>
      </c>
      <c r="I46" s="50">
        <v>10</v>
      </c>
      <c r="J46" s="50">
        <v>4</v>
      </c>
      <c r="K46" s="50">
        <v>1</v>
      </c>
      <c r="L46" s="50">
        <v>7</v>
      </c>
      <c r="M46" s="50">
        <v>193</v>
      </c>
      <c r="N46" s="50">
        <v>0</v>
      </c>
      <c r="O46" s="15">
        <f t="shared" si="0"/>
        <v>162</v>
      </c>
      <c r="P46" s="15">
        <f t="shared" si="1"/>
        <v>355</v>
      </c>
      <c r="R46" s="8"/>
      <c r="T46"/>
    </row>
    <row r="47" spans="2:20" ht="23.1" customHeight="1" x14ac:dyDescent="0.25">
      <c r="B47" s="24" t="s">
        <v>74</v>
      </c>
      <c r="C47" s="50">
        <v>51</v>
      </c>
      <c r="D47" s="50">
        <v>11</v>
      </c>
      <c r="E47" s="50">
        <v>5</v>
      </c>
      <c r="F47" s="50">
        <v>25</v>
      </c>
      <c r="G47" s="50">
        <v>0</v>
      </c>
      <c r="H47" s="50">
        <v>3</v>
      </c>
      <c r="I47" s="50">
        <v>11</v>
      </c>
      <c r="J47" s="50">
        <v>3</v>
      </c>
      <c r="K47" s="50">
        <v>2</v>
      </c>
      <c r="L47" s="50">
        <v>10</v>
      </c>
      <c r="M47" s="50">
        <v>234</v>
      </c>
      <c r="N47" s="50">
        <v>0</v>
      </c>
      <c r="O47" s="15">
        <f t="shared" si="0"/>
        <v>121</v>
      </c>
      <c r="P47" s="15">
        <f t="shared" si="1"/>
        <v>355</v>
      </c>
      <c r="R47" s="8"/>
      <c r="T47"/>
    </row>
    <row r="48" spans="2:20" ht="23.1" customHeight="1" x14ac:dyDescent="0.25">
      <c r="B48" s="24" t="s">
        <v>75</v>
      </c>
      <c r="C48" s="50">
        <v>50</v>
      </c>
      <c r="D48" s="50">
        <v>6</v>
      </c>
      <c r="E48" s="50">
        <v>10</v>
      </c>
      <c r="F48" s="50">
        <v>31</v>
      </c>
      <c r="G48" s="50">
        <v>1</v>
      </c>
      <c r="H48" s="50">
        <v>2</v>
      </c>
      <c r="I48" s="50">
        <v>12</v>
      </c>
      <c r="J48" s="50">
        <v>7</v>
      </c>
      <c r="K48" s="50">
        <v>2</v>
      </c>
      <c r="L48" s="50">
        <v>8</v>
      </c>
      <c r="M48" s="50">
        <v>229</v>
      </c>
      <c r="N48" s="50">
        <v>0</v>
      </c>
      <c r="O48" s="15">
        <f t="shared" si="0"/>
        <v>129</v>
      </c>
      <c r="P48" s="15">
        <f t="shared" si="1"/>
        <v>358</v>
      </c>
      <c r="R48" s="8"/>
      <c r="T48"/>
    </row>
    <row r="49" spans="2:20" ht="23.1" customHeight="1" x14ac:dyDescent="0.25">
      <c r="B49" s="23" t="s">
        <v>76</v>
      </c>
      <c r="C49" s="50">
        <v>68</v>
      </c>
      <c r="D49" s="50">
        <v>6</v>
      </c>
      <c r="E49" s="50">
        <v>9</v>
      </c>
      <c r="F49" s="50">
        <v>29</v>
      </c>
      <c r="G49" s="50">
        <v>3</v>
      </c>
      <c r="H49" s="50">
        <v>2</v>
      </c>
      <c r="I49" s="50">
        <v>6</v>
      </c>
      <c r="J49" s="50">
        <v>1</v>
      </c>
      <c r="K49" s="50">
        <v>0</v>
      </c>
      <c r="L49" s="50">
        <v>5</v>
      </c>
      <c r="M49" s="50">
        <v>198</v>
      </c>
      <c r="N49" s="50">
        <v>0</v>
      </c>
      <c r="O49" s="15">
        <f t="shared" si="0"/>
        <v>129</v>
      </c>
      <c r="P49" s="15">
        <f t="shared" si="1"/>
        <v>327</v>
      </c>
      <c r="R49" s="8"/>
      <c r="T49"/>
    </row>
    <row r="50" spans="2:20" ht="23.1" customHeight="1" x14ac:dyDescent="0.25">
      <c r="B50" s="24" t="s">
        <v>77</v>
      </c>
      <c r="C50" s="50">
        <v>45</v>
      </c>
      <c r="D50" s="50">
        <v>12</v>
      </c>
      <c r="E50" s="50">
        <v>7</v>
      </c>
      <c r="F50" s="50">
        <v>31</v>
      </c>
      <c r="G50" s="50">
        <v>3</v>
      </c>
      <c r="H50" s="50">
        <v>0</v>
      </c>
      <c r="I50" s="50">
        <v>17</v>
      </c>
      <c r="J50" s="50">
        <v>4</v>
      </c>
      <c r="K50" s="50">
        <v>1</v>
      </c>
      <c r="L50" s="50">
        <v>10</v>
      </c>
      <c r="M50" s="50">
        <v>179</v>
      </c>
      <c r="N50" s="50">
        <v>0</v>
      </c>
      <c r="O50" s="15">
        <f t="shared" si="0"/>
        <v>130</v>
      </c>
      <c r="P50" s="15">
        <f t="shared" si="1"/>
        <v>309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6</v>
      </c>
      <c r="E51" s="50">
        <v>20</v>
      </c>
      <c r="F51" s="50">
        <v>39</v>
      </c>
      <c r="G51" s="50">
        <v>2</v>
      </c>
      <c r="H51" s="50">
        <v>3</v>
      </c>
      <c r="I51" s="50">
        <v>16</v>
      </c>
      <c r="J51" s="50">
        <v>7</v>
      </c>
      <c r="K51" s="50">
        <v>0</v>
      </c>
      <c r="L51" s="50">
        <v>7</v>
      </c>
      <c r="M51" s="50">
        <v>230</v>
      </c>
      <c r="N51" s="50">
        <v>0</v>
      </c>
      <c r="O51" s="15">
        <f t="shared" si="0"/>
        <v>170</v>
      </c>
      <c r="P51" s="15">
        <f t="shared" si="1"/>
        <v>400</v>
      </c>
      <c r="R51" s="8"/>
      <c r="T51"/>
    </row>
    <row r="52" spans="2:20" ht="23.1" customHeight="1" x14ac:dyDescent="0.25">
      <c r="B52" s="24" t="s">
        <v>79</v>
      </c>
      <c r="C52" s="50">
        <v>86</v>
      </c>
      <c r="D52" s="50">
        <v>8</v>
      </c>
      <c r="E52" s="50">
        <v>18</v>
      </c>
      <c r="F52" s="50">
        <v>38</v>
      </c>
      <c r="G52" s="50">
        <v>2</v>
      </c>
      <c r="H52" s="50">
        <v>0</v>
      </c>
      <c r="I52" s="50">
        <v>20</v>
      </c>
      <c r="J52" s="50">
        <v>4</v>
      </c>
      <c r="K52" s="50">
        <v>2</v>
      </c>
      <c r="L52" s="50">
        <v>8</v>
      </c>
      <c r="M52" s="50">
        <v>290</v>
      </c>
      <c r="N52" s="50">
        <v>0</v>
      </c>
      <c r="O52" s="15">
        <f t="shared" si="0"/>
        <v>186</v>
      </c>
      <c r="P52" s="15">
        <f t="shared" si="1"/>
        <v>476</v>
      </c>
      <c r="R52" s="8"/>
      <c r="T52"/>
    </row>
    <row r="53" spans="2:20" ht="23.1" customHeight="1" x14ac:dyDescent="0.25">
      <c r="B53" s="23" t="s">
        <v>80</v>
      </c>
      <c r="C53" s="50">
        <v>71</v>
      </c>
      <c r="D53" s="50">
        <v>11</v>
      </c>
      <c r="E53" s="50">
        <v>17</v>
      </c>
      <c r="F53" s="50">
        <v>35</v>
      </c>
      <c r="G53" s="50">
        <v>1</v>
      </c>
      <c r="H53" s="50">
        <v>4</v>
      </c>
      <c r="I53" s="50">
        <v>15</v>
      </c>
      <c r="J53" s="50">
        <v>3</v>
      </c>
      <c r="K53" s="50">
        <v>1</v>
      </c>
      <c r="L53" s="50">
        <v>6</v>
      </c>
      <c r="M53" s="50">
        <v>245</v>
      </c>
      <c r="N53" s="50">
        <v>0</v>
      </c>
      <c r="O53" s="15">
        <f t="shared" si="0"/>
        <v>164</v>
      </c>
      <c r="P53" s="15">
        <f t="shared" si="1"/>
        <v>409</v>
      </c>
      <c r="R53" s="8"/>
      <c r="T53"/>
    </row>
    <row r="54" spans="2:20" ht="23.1" customHeight="1" x14ac:dyDescent="0.25">
      <c r="B54" s="23" t="s">
        <v>81</v>
      </c>
      <c r="C54" s="50">
        <v>33</v>
      </c>
      <c r="D54" s="50">
        <v>7</v>
      </c>
      <c r="E54" s="50">
        <v>7</v>
      </c>
      <c r="F54" s="50">
        <v>57</v>
      </c>
      <c r="G54" s="50">
        <v>0</v>
      </c>
      <c r="H54" s="50">
        <v>3</v>
      </c>
      <c r="I54" s="50">
        <v>16</v>
      </c>
      <c r="J54" s="50">
        <v>13</v>
      </c>
      <c r="K54" s="50">
        <v>0</v>
      </c>
      <c r="L54" s="50">
        <v>2</v>
      </c>
      <c r="M54" s="50">
        <v>375</v>
      </c>
      <c r="N54" s="50">
        <v>0</v>
      </c>
      <c r="O54" s="15">
        <f t="shared" si="0"/>
        <v>138</v>
      </c>
      <c r="P54" s="15">
        <f t="shared" si="1"/>
        <v>513</v>
      </c>
      <c r="R54" s="8"/>
      <c r="T54"/>
    </row>
    <row r="55" spans="2:20" ht="23.1" customHeight="1" x14ac:dyDescent="0.25">
      <c r="B55" s="23" t="s">
        <v>82</v>
      </c>
      <c r="C55" s="50">
        <v>68</v>
      </c>
      <c r="D55" s="50">
        <v>13</v>
      </c>
      <c r="E55" s="50">
        <v>13</v>
      </c>
      <c r="F55" s="50">
        <v>51</v>
      </c>
      <c r="G55" s="50">
        <v>0</v>
      </c>
      <c r="H55" s="50">
        <v>4</v>
      </c>
      <c r="I55" s="50">
        <v>23</v>
      </c>
      <c r="J55" s="50">
        <v>11</v>
      </c>
      <c r="K55" s="50">
        <v>3</v>
      </c>
      <c r="L55" s="50">
        <v>6</v>
      </c>
      <c r="M55" s="50">
        <v>335</v>
      </c>
      <c r="N55" s="50">
        <v>0</v>
      </c>
      <c r="O55" s="15">
        <f t="shared" si="0"/>
        <v>192</v>
      </c>
      <c r="P55" s="15">
        <f t="shared" si="1"/>
        <v>527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10</v>
      </c>
      <c r="E56" s="50">
        <v>8</v>
      </c>
      <c r="F56" s="50">
        <v>59</v>
      </c>
      <c r="G56" s="50">
        <v>4</v>
      </c>
      <c r="H56" s="50">
        <v>0</v>
      </c>
      <c r="I56" s="50">
        <v>8</v>
      </c>
      <c r="J56" s="50">
        <v>5</v>
      </c>
      <c r="K56" s="50">
        <v>0</v>
      </c>
      <c r="L56" s="50">
        <v>6</v>
      </c>
      <c r="M56" s="50">
        <v>315</v>
      </c>
      <c r="N56" s="50">
        <v>0</v>
      </c>
      <c r="O56" s="15">
        <f t="shared" si="0"/>
        <v>135</v>
      </c>
      <c r="P56" s="15">
        <f t="shared" si="1"/>
        <v>450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5</v>
      </c>
      <c r="E57" s="50">
        <v>4</v>
      </c>
      <c r="F57" s="50">
        <v>30</v>
      </c>
      <c r="G57" s="50">
        <v>0</v>
      </c>
      <c r="H57" s="50">
        <v>0</v>
      </c>
      <c r="I57" s="50">
        <v>9</v>
      </c>
      <c r="J57" s="50">
        <v>4</v>
      </c>
      <c r="K57" s="50">
        <v>1</v>
      </c>
      <c r="L57" s="50">
        <v>6</v>
      </c>
      <c r="M57" s="50">
        <v>340</v>
      </c>
      <c r="N57" s="50">
        <v>0</v>
      </c>
      <c r="O57" s="15">
        <f t="shared" si="0"/>
        <v>99</v>
      </c>
      <c r="P57" s="15">
        <f t="shared" si="1"/>
        <v>439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3458</v>
      </c>
      <c r="D58" s="16">
        <f t="shared" si="21"/>
        <v>432</v>
      </c>
      <c r="E58" s="16">
        <f t="shared" si="21"/>
        <v>491</v>
      </c>
      <c r="F58" s="16">
        <f t="shared" si="21"/>
        <v>2259</v>
      </c>
      <c r="G58" s="16">
        <f t="shared" si="21"/>
        <v>84</v>
      </c>
      <c r="H58" s="16">
        <f t="shared" si="21"/>
        <v>46</v>
      </c>
      <c r="I58" s="16">
        <f t="shared" si="21"/>
        <v>736</v>
      </c>
      <c r="J58" s="16">
        <f t="shared" si="21"/>
        <v>249</v>
      </c>
      <c r="K58" s="16">
        <f t="shared" si="21"/>
        <v>39</v>
      </c>
      <c r="L58" s="16">
        <f t="shared" si="21"/>
        <v>249</v>
      </c>
      <c r="M58" s="16">
        <f t="shared" si="21"/>
        <v>14320</v>
      </c>
      <c r="N58" s="16">
        <f t="shared" si="21"/>
        <v>1</v>
      </c>
      <c r="O58" s="16">
        <f t="shared" si="21"/>
        <v>8044</v>
      </c>
      <c r="P58" s="16">
        <f t="shared" si="21"/>
        <v>22364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0.15462350205687711</v>
      </c>
      <c r="D59" s="43">
        <f t="shared" si="22"/>
        <v>1.9316759077088179E-2</v>
      </c>
      <c r="E59" s="43">
        <f t="shared" si="22"/>
        <v>2.1954927562153462E-2</v>
      </c>
      <c r="F59" s="43">
        <f t="shared" si="22"/>
        <v>0.10101055267394025</v>
      </c>
      <c r="G59" s="43">
        <f t="shared" si="22"/>
        <v>3.75603648721159E-3</v>
      </c>
      <c r="H59" s="43">
        <f t="shared" si="22"/>
        <v>2.0568771239492041E-3</v>
      </c>
      <c r="I59" s="43">
        <f t="shared" si="22"/>
        <v>3.2910033983187266E-2</v>
      </c>
      <c r="J59" s="43">
        <f t="shared" si="22"/>
        <v>1.1133965301377214E-2</v>
      </c>
      <c r="K59" s="43">
        <f t="shared" si="22"/>
        <v>1.7438740833482383E-3</v>
      </c>
      <c r="L59" s="43">
        <f t="shared" si="22"/>
        <v>1.1133965301377214E-2</v>
      </c>
      <c r="M59" s="43">
        <f t="shared" si="22"/>
        <v>0.64031479162940441</v>
      </c>
      <c r="N59" s="43">
        <f t="shared" si="22"/>
        <v>4.471472008585226E-5</v>
      </c>
      <c r="R59" s="8"/>
      <c r="T59"/>
    </row>
    <row r="60" spans="2:20" ht="23.1" customHeight="1" x14ac:dyDescent="0.25">
      <c r="B60" s="42" t="s">
        <v>94</v>
      </c>
      <c r="C60" s="44">
        <f>C58/$O$58</f>
        <v>0.42988562904027849</v>
      </c>
      <c r="D60" s="44">
        <f t="shared" ref="D60:N60" si="23">D58/$O$58</f>
        <v>5.370462456489309E-2</v>
      </c>
      <c r="E60" s="44">
        <f t="shared" si="23"/>
        <v>6.1039283938339135E-2</v>
      </c>
      <c r="F60" s="44">
        <f t="shared" si="23"/>
        <v>0.28083043262058677</v>
      </c>
      <c r="G60" s="44">
        <f t="shared" si="23"/>
        <v>1.04425658876181E-2</v>
      </c>
      <c r="H60" s="44">
        <f t="shared" si="23"/>
        <v>5.7185479860765789E-3</v>
      </c>
      <c r="I60" s="44">
        <f t="shared" si="23"/>
        <v>9.1496767777225263E-2</v>
      </c>
      <c r="J60" s="44">
        <f t="shared" si="23"/>
        <v>3.0954748881153654E-2</v>
      </c>
      <c r="K60" s="44">
        <f t="shared" si="23"/>
        <v>4.8483341621084041E-3</v>
      </c>
      <c r="L60" s="44">
        <f t="shared" si="23"/>
        <v>3.0954748881153654E-2</v>
      </c>
      <c r="M60" s="44"/>
      <c r="N60" s="44">
        <f t="shared" si="23"/>
        <v>1.2431626056688214E-4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BUSEGA-KYENGERA'!C3:G3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KYENGERA-BUSEGA'!D5</f>
        <v>25.07.19</v>
      </c>
      <c r="E5" s="3"/>
      <c r="F5" s="41" t="s">
        <v>1</v>
      </c>
      <c r="G5" s="67" t="str">
        <f>'25.07 KYENGERA-BUSEGA'!G5:H5</f>
        <v>KYENGERA</v>
      </c>
      <c r="H5" s="68"/>
      <c r="I5" s="14"/>
      <c r="J5" s="2" t="s">
        <v>5</v>
      </c>
      <c r="K5" s="67" t="str">
        <f>'25.07 KYENGERA-BUSEGA'!K5:L5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BUSEGA-KYENGERA'!D6:E6</f>
        <v>BUSEGA</v>
      </c>
      <c r="E6" s="68"/>
      <c r="F6" s="2" t="s">
        <v>2</v>
      </c>
      <c r="G6" s="67" t="str">
        <f>'22.07 BUSEGA-KYENGERA'!G6:H6</f>
        <v>KYENGERA</v>
      </c>
      <c r="H6" s="68"/>
      <c r="J6" s="2" t="s">
        <v>21</v>
      </c>
      <c r="K6" s="67" t="str">
        <f>'25.07 KYENGERA-BUSEGA'!K6:L6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35</v>
      </c>
      <c r="D10" s="50">
        <v>15</v>
      </c>
      <c r="E10" s="50">
        <v>4</v>
      </c>
      <c r="F10" s="50">
        <v>53</v>
      </c>
      <c r="G10" s="50">
        <v>2</v>
      </c>
      <c r="H10" s="50">
        <v>0</v>
      </c>
      <c r="I10" s="50">
        <v>15</v>
      </c>
      <c r="J10" s="50">
        <v>3</v>
      </c>
      <c r="K10" s="50">
        <v>0</v>
      </c>
      <c r="L10" s="50">
        <v>3</v>
      </c>
      <c r="M10" s="50">
        <v>140</v>
      </c>
      <c r="N10" s="50">
        <v>0</v>
      </c>
      <c r="O10" s="15">
        <f t="shared" ref="O10:O57" si="0">SUM(C10:L10,N10)</f>
        <v>130</v>
      </c>
      <c r="P10" s="15">
        <f t="shared" ref="P10:P57" si="1">SUM(C10:N10)</f>
        <v>270</v>
      </c>
      <c r="R10" s="1" t="s">
        <v>6</v>
      </c>
      <c r="S10" s="17">
        <f t="shared" ref="S10:AF10" si="2">SUM(C10:C13)</f>
        <v>148</v>
      </c>
      <c r="T10" s="17">
        <f t="shared" si="2"/>
        <v>46</v>
      </c>
      <c r="U10" s="17">
        <f t="shared" si="2"/>
        <v>28</v>
      </c>
      <c r="V10" s="17">
        <f t="shared" si="2"/>
        <v>187</v>
      </c>
      <c r="W10" s="17">
        <f t="shared" si="2"/>
        <v>12</v>
      </c>
      <c r="X10" s="17">
        <f t="shared" si="2"/>
        <v>6</v>
      </c>
      <c r="Y10" s="17">
        <f t="shared" si="2"/>
        <v>70</v>
      </c>
      <c r="Z10" s="17">
        <f t="shared" si="2"/>
        <v>12</v>
      </c>
      <c r="AA10" s="17">
        <f t="shared" si="2"/>
        <v>2</v>
      </c>
      <c r="AB10" s="17">
        <f t="shared" si="2"/>
        <v>10</v>
      </c>
      <c r="AC10" s="17">
        <f t="shared" si="2"/>
        <v>782</v>
      </c>
      <c r="AD10" s="17">
        <f t="shared" si="2"/>
        <v>0</v>
      </c>
      <c r="AE10" s="31">
        <f t="shared" si="2"/>
        <v>521</v>
      </c>
      <c r="AF10" s="31">
        <f t="shared" si="2"/>
        <v>1303</v>
      </c>
    </row>
    <row r="11" spans="2:32" s="6" customFormat="1" ht="23.1" customHeight="1" x14ac:dyDescent="0.25">
      <c r="B11" s="23" t="s">
        <v>38</v>
      </c>
      <c r="C11" s="50">
        <v>35</v>
      </c>
      <c r="D11" s="50">
        <v>9</v>
      </c>
      <c r="E11" s="50">
        <v>10</v>
      </c>
      <c r="F11" s="50">
        <v>37</v>
      </c>
      <c r="G11" s="50">
        <v>2</v>
      </c>
      <c r="H11" s="50">
        <v>2</v>
      </c>
      <c r="I11" s="50">
        <v>20</v>
      </c>
      <c r="J11" s="50">
        <v>1</v>
      </c>
      <c r="K11" s="50">
        <v>2</v>
      </c>
      <c r="L11" s="50">
        <v>0</v>
      </c>
      <c r="M11" s="50">
        <v>160</v>
      </c>
      <c r="N11" s="50">
        <v>0</v>
      </c>
      <c r="O11" s="15">
        <f t="shared" si="0"/>
        <v>118</v>
      </c>
      <c r="P11" s="15">
        <f t="shared" si="1"/>
        <v>278</v>
      </c>
      <c r="R11" s="1" t="s">
        <v>7</v>
      </c>
      <c r="S11" s="17">
        <f t="shared" ref="S11:AF11" si="3">SUM(C14:C17)</f>
        <v>197</v>
      </c>
      <c r="T11" s="17">
        <f t="shared" si="3"/>
        <v>47</v>
      </c>
      <c r="U11" s="17">
        <f t="shared" si="3"/>
        <v>19</v>
      </c>
      <c r="V11" s="17">
        <f t="shared" si="3"/>
        <v>200</v>
      </c>
      <c r="W11" s="17">
        <f t="shared" si="3"/>
        <v>6</v>
      </c>
      <c r="X11" s="17">
        <f t="shared" si="3"/>
        <v>4</v>
      </c>
      <c r="Y11" s="17">
        <f t="shared" si="3"/>
        <v>43</v>
      </c>
      <c r="Z11" s="17">
        <f t="shared" si="3"/>
        <v>11</v>
      </c>
      <c r="AA11" s="17">
        <f t="shared" si="3"/>
        <v>1</v>
      </c>
      <c r="AB11" s="17">
        <f t="shared" si="3"/>
        <v>15</v>
      </c>
      <c r="AC11" s="17">
        <f t="shared" si="3"/>
        <v>790</v>
      </c>
      <c r="AD11" s="17">
        <f t="shared" si="3"/>
        <v>1</v>
      </c>
      <c r="AE11" s="31">
        <f t="shared" si="3"/>
        <v>544</v>
      </c>
      <c r="AF11" s="31">
        <f t="shared" si="3"/>
        <v>1334</v>
      </c>
    </row>
    <row r="12" spans="2:32" ht="23.1" customHeight="1" x14ac:dyDescent="0.25">
      <c r="B12" s="23" t="s">
        <v>39</v>
      </c>
      <c r="C12" s="50">
        <v>43</v>
      </c>
      <c r="D12" s="50">
        <v>13</v>
      </c>
      <c r="E12" s="50">
        <v>7</v>
      </c>
      <c r="F12" s="50">
        <v>52</v>
      </c>
      <c r="G12" s="50">
        <v>4</v>
      </c>
      <c r="H12" s="50">
        <v>2</v>
      </c>
      <c r="I12" s="50">
        <v>17</v>
      </c>
      <c r="J12" s="50">
        <v>2</v>
      </c>
      <c r="K12" s="50">
        <v>0</v>
      </c>
      <c r="L12" s="50">
        <v>5</v>
      </c>
      <c r="M12" s="50">
        <v>217</v>
      </c>
      <c r="N12" s="50">
        <v>0</v>
      </c>
      <c r="O12" s="15">
        <f t="shared" si="0"/>
        <v>145</v>
      </c>
      <c r="P12" s="15">
        <f t="shared" si="1"/>
        <v>362</v>
      </c>
      <c r="R12" s="1" t="s">
        <v>8</v>
      </c>
      <c r="S12" s="17">
        <f t="shared" ref="S12:AF12" si="4">SUM(C18:C21)</f>
        <v>213</v>
      </c>
      <c r="T12" s="17">
        <f t="shared" si="4"/>
        <v>28</v>
      </c>
      <c r="U12" s="17">
        <f t="shared" si="4"/>
        <v>33</v>
      </c>
      <c r="V12" s="17">
        <f t="shared" si="4"/>
        <v>264</v>
      </c>
      <c r="W12" s="17">
        <f t="shared" si="4"/>
        <v>5</v>
      </c>
      <c r="X12" s="17">
        <f t="shared" si="4"/>
        <v>6</v>
      </c>
      <c r="Y12" s="17">
        <f t="shared" si="4"/>
        <v>56</v>
      </c>
      <c r="Z12" s="17">
        <f t="shared" si="4"/>
        <v>13</v>
      </c>
      <c r="AA12" s="17">
        <f t="shared" si="4"/>
        <v>3</v>
      </c>
      <c r="AB12" s="17">
        <f t="shared" si="4"/>
        <v>15</v>
      </c>
      <c r="AC12" s="17">
        <f t="shared" si="4"/>
        <v>950</v>
      </c>
      <c r="AD12" s="17">
        <f t="shared" si="4"/>
        <v>0</v>
      </c>
      <c r="AE12" s="31">
        <f t="shared" si="4"/>
        <v>636</v>
      </c>
      <c r="AF12" s="31">
        <f t="shared" si="4"/>
        <v>1586</v>
      </c>
    </row>
    <row r="13" spans="2:32" ht="23.1" customHeight="1" x14ac:dyDescent="0.25">
      <c r="B13" s="23" t="s">
        <v>40</v>
      </c>
      <c r="C13" s="50">
        <v>35</v>
      </c>
      <c r="D13" s="50">
        <v>9</v>
      </c>
      <c r="E13" s="50">
        <v>7</v>
      </c>
      <c r="F13" s="50">
        <v>45</v>
      </c>
      <c r="G13" s="50">
        <v>4</v>
      </c>
      <c r="H13" s="50">
        <v>2</v>
      </c>
      <c r="I13" s="50">
        <v>18</v>
      </c>
      <c r="J13" s="50">
        <v>6</v>
      </c>
      <c r="K13" s="50">
        <v>0</v>
      </c>
      <c r="L13" s="50">
        <v>2</v>
      </c>
      <c r="M13" s="50">
        <v>265</v>
      </c>
      <c r="N13" s="50">
        <v>0</v>
      </c>
      <c r="O13" s="15">
        <f t="shared" si="0"/>
        <v>128</v>
      </c>
      <c r="P13" s="15">
        <f t="shared" si="1"/>
        <v>393</v>
      </c>
      <c r="R13" s="1" t="s">
        <v>9</v>
      </c>
      <c r="S13" s="17">
        <f t="shared" ref="S13:AF13" si="5">SUM(C22:C25)</f>
        <v>188</v>
      </c>
      <c r="T13" s="17">
        <f t="shared" si="5"/>
        <v>35</v>
      </c>
      <c r="U13" s="17">
        <f t="shared" si="5"/>
        <v>29</v>
      </c>
      <c r="V13" s="17">
        <f t="shared" si="5"/>
        <v>240</v>
      </c>
      <c r="W13" s="17">
        <f t="shared" si="5"/>
        <v>3</v>
      </c>
      <c r="X13" s="17">
        <f t="shared" si="5"/>
        <v>2</v>
      </c>
      <c r="Y13" s="17">
        <f t="shared" si="5"/>
        <v>70</v>
      </c>
      <c r="Z13" s="17">
        <f t="shared" si="5"/>
        <v>13</v>
      </c>
      <c r="AA13" s="17">
        <f t="shared" si="5"/>
        <v>2</v>
      </c>
      <c r="AB13" s="17">
        <f t="shared" si="5"/>
        <v>18</v>
      </c>
      <c r="AC13" s="17">
        <f t="shared" si="5"/>
        <v>660</v>
      </c>
      <c r="AD13" s="17">
        <f t="shared" si="5"/>
        <v>0</v>
      </c>
      <c r="AE13" s="31">
        <f t="shared" si="5"/>
        <v>600</v>
      </c>
      <c r="AF13" s="31">
        <f t="shared" si="5"/>
        <v>1260</v>
      </c>
    </row>
    <row r="14" spans="2:32" ht="23.1" customHeight="1" x14ac:dyDescent="0.25">
      <c r="B14" s="23" t="s">
        <v>41</v>
      </c>
      <c r="C14" s="50">
        <v>64</v>
      </c>
      <c r="D14" s="50">
        <v>14</v>
      </c>
      <c r="E14" s="50">
        <v>8</v>
      </c>
      <c r="F14" s="50">
        <v>46</v>
      </c>
      <c r="G14" s="50">
        <v>3</v>
      </c>
      <c r="H14" s="50">
        <v>1</v>
      </c>
      <c r="I14" s="50">
        <v>13</v>
      </c>
      <c r="J14" s="50">
        <v>6</v>
      </c>
      <c r="K14" s="50">
        <v>0</v>
      </c>
      <c r="L14" s="50">
        <v>4</v>
      </c>
      <c r="M14" s="50">
        <v>185</v>
      </c>
      <c r="N14" s="50">
        <v>0</v>
      </c>
      <c r="O14" s="15">
        <f t="shared" si="0"/>
        <v>159</v>
      </c>
      <c r="P14" s="15">
        <f t="shared" si="1"/>
        <v>344</v>
      </c>
      <c r="R14" s="1" t="s">
        <v>10</v>
      </c>
      <c r="S14" s="17">
        <f t="shared" ref="S14:AF14" si="6">SUM(C26:C29)</f>
        <v>233</v>
      </c>
      <c r="T14" s="17">
        <f t="shared" si="6"/>
        <v>34</v>
      </c>
      <c r="U14" s="17">
        <f t="shared" si="6"/>
        <v>16</v>
      </c>
      <c r="V14" s="17">
        <f t="shared" si="6"/>
        <v>227</v>
      </c>
      <c r="W14" s="17">
        <f t="shared" si="6"/>
        <v>10</v>
      </c>
      <c r="X14" s="17">
        <f t="shared" si="6"/>
        <v>9</v>
      </c>
      <c r="Y14" s="17">
        <f t="shared" si="6"/>
        <v>101</v>
      </c>
      <c r="Z14" s="17">
        <f t="shared" si="6"/>
        <v>19</v>
      </c>
      <c r="AA14" s="17">
        <f t="shared" si="6"/>
        <v>1</v>
      </c>
      <c r="AB14" s="17">
        <f t="shared" si="6"/>
        <v>25</v>
      </c>
      <c r="AC14" s="17">
        <f t="shared" si="6"/>
        <v>395</v>
      </c>
      <c r="AD14" s="17">
        <f t="shared" si="6"/>
        <v>0</v>
      </c>
      <c r="AE14" s="31">
        <f t="shared" si="6"/>
        <v>675</v>
      </c>
      <c r="AF14" s="31">
        <f t="shared" si="6"/>
        <v>1070</v>
      </c>
    </row>
    <row r="15" spans="2:32" ht="23.1" customHeight="1" x14ac:dyDescent="0.25">
      <c r="B15" s="23" t="s">
        <v>42</v>
      </c>
      <c r="C15" s="50">
        <v>58</v>
      </c>
      <c r="D15" s="50">
        <v>8</v>
      </c>
      <c r="E15" s="50">
        <v>2</v>
      </c>
      <c r="F15" s="50">
        <v>47</v>
      </c>
      <c r="G15" s="50">
        <v>2</v>
      </c>
      <c r="H15" s="50">
        <v>2</v>
      </c>
      <c r="I15" s="50">
        <v>8</v>
      </c>
      <c r="J15" s="50">
        <v>1</v>
      </c>
      <c r="K15" s="50">
        <v>0</v>
      </c>
      <c r="L15" s="50">
        <v>4</v>
      </c>
      <c r="M15" s="50">
        <v>240</v>
      </c>
      <c r="N15" s="50">
        <v>1</v>
      </c>
      <c r="O15" s="15">
        <f t="shared" si="0"/>
        <v>133</v>
      </c>
      <c r="P15" s="15">
        <f t="shared" si="1"/>
        <v>373</v>
      </c>
      <c r="R15" s="1" t="s">
        <v>11</v>
      </c>
      <c r="S15" s="17">
        <f t="shared" ref="S15:AF15" si="7">SUM(C30:C33)</f>
        <v>179</v>
      </c>
      <c r="T15" s="17">
        <f t="shared" si="7"/>
        <v>27</v>
      </c>
      <c r="U15" s="17">
        <f t="shared" si="7"/>
        <v>12</v>
      </c>
      <c r="V15" s="17">
        <f t="shared" si="7"/>
        <v>195</v>
      </c>
      <c r="W15" s="17">
        <f t="shared" si="7"/>
        <v>1</v>
      </c>
      <c r="X15" s="17">
        <f t="shared" si="7"/>
        <v>7</v>
      </c>
      <c r="Y15" s="17">
        <f t="shared" si="7"/>
        <v>98</v>
      </c>
      <c r="Z15" s="17">
        <f t="shared" si="7"/>
        <v>22</v>
      </c>
      <c r="AA15" s="17">
        <f t="shared" si="7"/>
        <v>2</v>
      </c>
      <c r="AB15" s="17">
        <f t="shared" si="7"/>
        <v>19</v>
      </c>
      <c r="AC15" s="17">
        <f t="shared" si="7"/>
        <v>430</v>
      </c>
      <c r="AD15" s="17">
        <f t="shared" si="7"/>
        <v>1</v>
      </c>
      <c r="AE15" s="31">
        <f t="shared" si="7"/>
        <v>563</v>
      </c>
      <c r="AF15" s="31">
        <f t="shared" si="7"/>
        <v>993</v>
      </c>
    </row>
    <row r="16" spans="2:32" ht="23.1" customHeight="1" x14ac:dyDescent="0.25">
      <c r="B16" s="23" t="s">
        <v>43</v>
      </c>
      <c r="C16" s="50">
        <v>35</v>
      </c>
      <c r="D16" s="50">
        <v>10</v>
      </c>
      <c r="E16" s="50">
        <v>5</v>
      </c>
      <c r="F16" s="50">
        <v>60</v>
      </c>
      <c r="G16" s="50">
        <v>0</v>
      </c>
      <c r="H16" s="50">
        <v>1</v>
      </c>
      <c r="I16" s="50">
        <v>9</v>
      </c>
      <c r="J16" s="50">
        <v>2</v>
      </c>
      <c r="K16" s="50">
        <v>1</v>
      </c>
      <c r="L16" s="50">
        <v>0</v>
      </c>
      <c r="M16" s="50">
        <v>165</v>
      </c>
      <c r="N16" s="50">
        <v>0</v>
      </c>
      <c r="O16" s="15">
        <f t="shared" si="0"/>
        <v>123</v>
      </c>
      <c r="P16" s="15">
        <f t="shared" si="1"/>
        <v>288</v>
      </c>
      <c r="R16" s="1" t="s">
        <v>12</v>
      </c>
      <c r="S16" s="17">
        <f t="shared" ref="S16:AF16" si="8">SUM(C34:C37)</f>
        <v>215</v>
      </c>
      <c r="T16" s="17">
        <f t="shared" si="8"/>
        <v>13</v>
      </c>
      <c r="U16" s="17">
        <f t="shared" si="8"/>
        <v>11</v>
      </c>
      <c r="V16" s="17">
        <f t="shared" si="8"/>
        <v>251</v>
      </c>
      <c r="W16" s="17">
        <f t="shared" si="8"/>
        <v>5</v>
      </c>
      <c r="X16" s="17">
        <f t="shared" si="8"/>
        <v>7</v>
      </c>
      <c r="Y16" s="17">
        <f t="shared" si="8"/>
        <v>82</v>
      </c>
      <c r="Z16" s="17">
        <f t="shared" si="8"/>
        <v>43</v>
      </c>
      <c r="AA16" s="17">
        <f t="shared" si="8"/>
        <v>7</v>
      </c>
      <c r="AB16" s="17">
        <f t="shared" si="8"/>
        <v>19</v>
      </c>
      <c r="AC16" s="17">
        <f t="shared" si="8"/>
        <v>717</v>
      </c>
      <c r="AD16" s="17">
        <f t="shared" si="8"/>
        <v>1</v>
      </c>
      <c r="AE16" s="31">
        <f t="shared" si="8"/>
        <v>654</v>
      </c>
      <c r="AF16" s="31">
        <f t="shared" si="8"/>
        <v>1371</v>
      </c>
    </row>
    <row r="17" spans="2:32" ht="23.1" customHeight="1" x14ac:dyDescent="0.25">
      <c r="B17" s="23" t="s">
        <v>44</v>
      </c>
      <c r="C17" s="50">
        <v>40</v>
      </c>
      <c r="D17" s="50">
        <v>15</v>
      </c>
      <c r="E17" s="50">
        <v>4</v>
      </c>
      <c r="F17" s="50">
        <v>47</v>
      </c>
      <c r="G17" s="50">
        <v>1</v>
      </c>
      <c r="H17" s="50">
        <v>0</v>
      </c>
      <c r="I17" s="50">
        <v>13</v>
      </c>
      <c r="J17" s="50">
        <v>2</v>
      </c>
      <c r="K17" s="50">
        <v>0</v>
      </c>
      <c r="L17" s="50">
        <v>7</v>
      </c>
      <c r="M17" s="50">
        <v>200</v>
      </c>
      <c r="N17" s="50">
        <v>0</v>
      </c>
      <c r="O17" s="15">
        <f t="shared" si="0"/>
        <v>129</v>
      </c>
      <c r="P17" s="15">
        <f t="shared" si="1"/>
        <v>329</v>
      </c>
      <c r="R17" s="1" t="s">
        <v>13</v>
      </c>
      <c r="S17" s="17">
        <f t="shared" ref="S17:AF17" si="9">SUM(C38:C41)</f>
        <v>235</v>
      </c>
      <c r="T17" s="17">
        <f t="shared" si="9"/>
        <v>27</v>
      </c>
      <c r="U17" s="17">
        <f t="shared" si="9"/>
        <v>21</v>
      </c>
      <c r="V17" s="17">
        <f t="shared" si="9"/>
        <v>182</v>
      </c>
      <c r="W17" s="17">
        <f t="shared" si="9"/>
        <v>4</v>
      </c>
      <c r="X17" s="17">
        <f t="shared" si="9"/>
        <v>6</v>
      </c>
      <c r="Y17" s="17">
        <f t="shared" si="9"/>
        <v>60</v>
      </c>
      <c r="Z17" s="17">
        <f t="shared" si="9"/>
        <v>46</v>
      </c>
      <c r="AA17" s="17">
        <f t="shared" si="9"/>
        <v>8</v>
      </c>
      <c r="AB17" s="17">
        <f t="shared" si="9"/>
        <v>18</v>
      </c>
      <c r="AC17" s="17">
        <f t="shared" si="9"/>
        <v>512</v>
      </c>
      <c r="AD17" s="17">
        <f t="shared" si="9"/>
        <v>0</v>
      </c>
      <c r="AE17" s="31">
        <f t="shared" si="9"/>
        <v>607</v>
      </c>
      <c r="AF17" s="31">
        <f t="shared" si="9"/>
        <v>1119</v>
      </c>
    </row>
    <row r="18" spans="2:32" ht="23.1" customHeight="1" x14ac:dyDescent="0.25">
      <c r="B18" s="23" t="s">
        <v>45</v>
      </c>
      <c r="C18" s="50">
        <v>56</v>
      </c>
      <c r="D18" s="50">
        <v>7</v>
      </c>
      <c r="E18" s="50">
        <v>6</v>
      </c>
      <c r="F18" s="50">
        <v>51</v>
      </c>
      <c r="G18" s="50">
        <v>1</v>
      </c>
      <c r="H18" s="50">
        <v>0</v>
      </c>
      <c r="I18" s="50">
        <v>13</v>
      </c>
      <c r="J18" s="50">
        <v>2</v>
      </c>
      <c r="K18" s="50">
        <v>2</v>
      </c>
      <c r="L18" s="50">
        <v>5</v>
      </c>
      <c r="M18" s="50">
        <v>210</v>
      </c>
      <c r="N18" s="50">
        <v>0</v>
      </c>
      <c r="O18" s="15">
        <f t="shared" si="0"/>
        <v>143</v>
      </c>
      <c r="P18" s="15">
        <f t="shared" si="1"/>
        <v>353</v>
      </c>
      <c r="R18" s="1" t="s">
        <v>14</v>
      </c>
      <c r="S18" s="17">
        <f t="shared" ref="S18:AF18" si="10">SUM(C42:C45)</f>
        <v>305</v>
      </c>
      <c r="T18" s="17">
        <f t="shared" si="10"/>
        <v>24</v>
      </c>
      <c r="U18" s="17">
        <f t="shared" si="10"/>
        <v>31</v>
      </c>
      <c r="V18" s="17">
        <f t="shared" si="10"/>
        <v>220</v>
      </c>
      <c r="W18" s="17">
        <f t="shared" si="10"/>
        <v>5</v>
      </c>
      <c r="X18" s="17">
        <f t="shared" si="10"/>
        <v>5</v>
      </c>
      <c r="Y18" s="17">
        <f t="shared" si="10"/>
        <v>75</v>
      </c>
      <c r="Z18" s="17">
        <f t="shared" si="10"/>
        <v>18</v>
      </c>
      <c r="AA18" s="17">
        <f t="shared" si="10"/>
        <v>4</v>
      </c>
      <c r="AB18" s="17">
        <f t="shared" si="10"/>
        <v>24</v>
      </c>
      <c r="AC18" s="17">
        <f t="shared" si="10"/>
        <v>520</v>
      </c>
      <c r="AD18" s="17">
        <f t="shared" si="10"/>
        <v>0</v>
      </c>
      <c r="AE18" s="31">
        <f t="shared" si="10"/>
        <v>711</v>
      </c>
      <c r="AF18" s="31">
        <f t="shared" si="10"/>
        <v>1231</v>
      </c>
    </row>
    <row r="19" spans="2:32" ht="23.1" customHeight="1" x14ac:dyDescent="0.25">
      <c r="B19" s="23" t="s">
        <v>46</v>
      </c>
      <c r="C19" s="50">
        <v>52</v>
      </c>
      <c r="D19" s="50">
        <v>14</v>
      </c>
      <c r="E19" s="50">
        <v>8</v>
      </c>
      <c r="F19" s="50">
        <v>49</v>
      </c>
      <c r="G19" s="50">
        <v>4</v>
      </c>
      <c r="H19" s="50">
        <v>2</v>
      </c>
      <c r="I19" s="50">
        <v>24</v>
      </c>
      <c r="J19" s="50">
        <v>3</v>
      </c>
      <c r="K19" s="50">
        <v>0</v>
      </c>
      <c r="L19" s="50">
        <v>2</v>
      </c>
      <c r="M19" s="50">
        <v>225</v>
      </c>
      <c r="N19" s="50">
        <v>0</v>
      </c>
      <c r="O19" s="15">
        <f t="shared" si="0"/>
        <v>158</v>
      </c>
      <c r="P19" s="15">
        <f t="shared" si="1"/>
        <v>383</v>
      </c>
      <c r="R19" s="1" t="s">
        <v>15</v>
      </c>
      <c r="S19" s="17">
        <f t="shared" ref="S19:AF19" si="11">SUM(C46:C49)</f>
        <v>200</v>
      </c>
      <c r="T19" s="17">
        <f t="shared" si="11"/>
        <v>15</v>
      </c>
      <c r="U19" s="17">
        <f t="shared" si="11"/>
        <v>12</v>
      </c>
      <c r="V19" s="17">
        <f t="shared" si="11"/>
        <v>197</v>
      </c>
      <c r="W19" s="17">
        <f t="shared" si="11"/>
        <v>12</v>
      </c>
      <c r="X19" s="17">
        <f t="shared" si="11"/>
        <v>4</v>
      </c>
      <c r="Y19" s="17">
        <f t="shared" si="11"/>
        <v>80</v>
      </c>
      <c r="Z19" s="17">
        <f t="shared" si="11"/>
        <v>26</v>
      </c>
      <c r="AA19" s="17">
        <f t="shared" si="11"/>
        <v>6</v>
      </c>
      <c r="AB19" s="17">
        <f t="shared" si="11"/>
        <v>37</v>
      </c>
      <c r="AC19" s="17">
        <f t="shared" si="11"/>
        <v>705</v>
      </c>
      <c r="AD19" s="17">
        <f t="shared" si="11"/>
        <v>0</v>
      </c>
      <c r="AE19" s="31">
        <f t="shared" si="11"/>
        <v>589</v>
      </c>
      <c r="AF19" s="31">
        <f t="shared" si="11"/>
        <v>1294</v>
      </c>
    </row>
    <row r="20" spans="2:32" ht="23.1" customHeight="1" x14ac:dyDescent="0.25">
      <c r="B20" s="23" t="s">
        <v>47</v>
      </c>
      <c r="C20" s="50">
        <v>40</v>
      </c>
      <c r="D20" s="50">
        <v>4</v>
      </c>
      <c r="E20" s="50">
        <v>15</v>
      </c>
      <c r="F20" s="50">
        <v>54</v>
      </c>
      <c r="G20" s="50">
        <v>0</v>
      </c>
      <c r="H20" s="50">
        <v>2</v>
      </c>
      <c r="I20" s="50">
        <v>11</v>
      </c>
      <c r="J20" s="50">
        <v>3</v>
      </c>
      <c r="K20" s="50">
        <v>1</v>
      </c>
      <c r="L20" s="50">
        <v>5</v>
      </c>
      <c r="M20" s="50">
        <v>245</v>
      </c>
      <c r="N20" s="50">
        <v>0</v>
      </c>
      <c r="O20" s="15">
        <f t="shared" si="0"/>
        <v>135</v>
      </c>
      <c r="P20" s="15">
        <f t="shared" si="1"/>
        <v>380</v>
      </c>
      <c r="R20" s="1" t="s">
        <v>16</v>
      </c>
      <c r="S20" s="17">
        <f t="shared" ref="S20:AF20" si="12">SUM(C50:C53)</f>
        <v>235</v>
      </c>
      <c r="T20" s="17">
        <f t="shared" si="12"/>
        <v>20</v>
      </c>
      <c r="U20" s="17">
        <f t="shared" si="12"/>
        <v>23</v>
      </c>
      <c r="V20" s="17">
        <f t="shared" si="12"/>
        <v>153</v>
      </c>
      <c r="W20" s="17">
        <f t="shared" si="12"/>
        <v>5</v>
      </c>
      <c r="X20" s="17">
        <f t="shared" si="12"/>
        <v>3</v>
      </c>
      <c r="Y20" s="17">
        <f t="shared" si="12"/>
        <v>52</v>
      </c>
      <c r="Z20" s="17">
        <f t="shared" si="12"/>
        <v>38</v>
      </c>
      <c r="AA20" s="17">
        <f t="shared" si="12"/>
        <v>3</v>
      </c>
      <c r="AB20" s="17">
        <f t="shared" si="12"/>
        <v>14</v>
      </c>
      <c r="AC20" s="17">
        <f t="shared" si="12"/>
        <v>1215</v>
      </c>
      <c r="AD20" s="17">
        <f t="shared" si="12"/>
        <v>0</v>
      </c>
      <c r="AE20" s="31">
        <f t="shared" si="12"/>
        <v>546</v>
      </c>
      <c r="AF20" s="31">
        <f t="shared" si="12"/>
        <v>1761</v>
      </c>
    </row>
    <row r="21" spans="2:32" ht="23.1" customHeight="1" x14ac:dyDescent="0.25">
      <c r="B21" s="23" t="s">
        <v>48</v>
      </c>
      <c r="C21" s="50">
        <v>65</v>
      </c>
      <c r="D21" s="50">
        <v>3</v>
      </c>
      <c r="E21" s="50">
        <v>4</v>
      </c>
      <c r="F21" s="50">
        <v>110</v>
      </c>
      <c r="G21" s="50">
        <v>0</v>
      </c>
      <c r="H21" s="50">
        <v>2</v>
      </c>
      <c r="I21" s="50">
        <v>8</v>
      </c>
      <c r="J21" s="50">
        <v>5</v>
      </c>
      <c r="K21" s="50">
        <v>0</v>
      </c>
      <c r="L21" s="50">
        <v>3</v>
      </c>
      <c r="M21" s="50">
        <v>270</v>
      </c>
      <c r="N21" s="50">
        <v>0</v>
      </c>
      <c r="O21" s="15">
        <f t="shared" si="0"/>
        <v>200</v>
      </c>
      <c r="P21" s="15">
        <f t="shared" si="1"/>
        <v>470</v>
      </c>
      <c r="R21" s="36" t="s">
        <v>20</v>
      </c>
      <c r="S21" s="34">
        <f t="shared" ref="S21:AF21" si="13">SUM(C54:C57)</f>
        <v>210</v>
      </c>
      <c r="T21" s="17">
        <f t="shared" si="13"/>
        <v>4</v>
      </c>
      <c r="U21" s="17">
        <f t="shared" si="13"/>
        <v>12</v>
      </c>
      <c r="V21" s="17">
        <f t="shared" si="13"/>
        <v>165</v>
      </c>
      <c r="W21" s="17">
        <f t="shared" si="13"/>
        <v>8</v>
      </c>
      <c r="X21" s="17">
        <f t="shared" si="13"/>
        <v>3</v>
      </c>
      <c r="Y21" s="17">
        <f t="shared" si="13"/>
        <v>36</v>
      </c>
      <c r="Z21" s="17">
        <f t="shared" si="13"/>
        <v>31</v>
      </c>
      <c r="AA21" s="17">
        <f t="shared" si="13"/>
        <v>14</v>
      </c>
      <c r="AB21" s="17">
        <f t="shared" si="13"/>
        <v>20</v>
      </c>
      <c r="AC21" s="17">
        <f t="shared" si="13"/>
        <v>1077</v>
      </c>
      <c r="AD21" s="17">
        <f t="shared" si="13"/>
        <v>0</v>
      </c>
      <c r="AE21" s="31">
        <f t="shared" si="13"/>
        <v>503</v>
      </c>
      <c r="AF21" s="31">
        <f t="shared" si="13"/>
        <v>1580</v>
      </c>
    </row>
    <row r="22" spans="2:32" ht="23.1" customHeight="1" x14ac:dyDescent="0.25">
      <c r="B22" s="23" t="s">
        <v>49</v>
      </c>
      <c r="C22" s="50">
        <v>41</v>
      </c>
      <c r="D22" s="50">
        <v>6</v>
      </c>
      <c r="E22" s="50">
        <v>4</v>
      </c>
      <c r="F22" s="50">
        <v>60</v>
      </c>
      <c r="G22" s="50">
        <v>2</v>
      </c>
      <c r="H22" s="50">
        <v>1</v>
      </c>
      <c r="I22" s="50">
        <v>15</v>
      </c>
      <c r="J22" s="50">
        <v>1</v>
      </c>
      <c r="K22" s="50">
        <v>0</v>
      </c>
      <c r="L22" s="50">
        <v>4</v>
      </c>
      <c r="M22" s="50">
        <v>180</v>
      </c>
      <c r="N22" s="50">
        <v>0</v>
      </c>
      <c r="O22" s="15">
        <f t="shared" si="0"/>
        <v>134</v>
      </c>
      <c r="P22" s="15">
        <f t="shared" si="1"/>
        <v>314</v>
      </c>
      <c r="R22" s="38" t="s">
        <v>90</v>
      </c>
      <c r="S22" s="39">
        <f>MAX(S10:S12)</f>
        <v>213</v>
      </c>
      <c r="T22" s="39">
        <f t="shared" ref="T22:AF22" si="14">MAX(T10:T12)</f>
        <v>47</v>
      </c>
      <c r="U22" s="39">
        <f t="shared" si="14"/>
        <v>33</v>
      </c>
      <c r="V22" s="39">
        <f t="shared" si="14"/>
        <v>264</v>
      </c>
      <c r="W22" s="39">
        <f t="shared" si="14"/>
        <v>12</v>
      </c>
      <c r="X22" s="39">
        <f t="shared" si="14"/>
        <v>6</v>
      </c>
      <c r="Y22" s="39">
        <f t="shared" si="14"/>
        <v>70</v>
      </c>
      <c r="Z22" s="39">
        <f t="shared" si="14"/>
        <v>13</v>
      </c>
      <c r="AA22" s="39">
        <f t="shared" si="14"/>
        <v>3</v>
      </c>
      <c r="AB22" s="39">
        <f t="shared" si="14"/>
        <v>15</v>
      </c>
      <c r="AC22" s="39">
        <f t="shared" si="14"/>
        <v>950</v>
      </c>
      <c r="AD22" s="39">
        <f t="shared" si="14"/>
        <v>1</v>
      </c>
      <c r="AE22" s="40">
        <f t="shared" si="14"/>
        <v>636</v>
      </c>
      <c r="AF22" s="40">
        <f t="shared" si="14"/>
        <v>1586</v>
      </c>
    </row>
    <row r="23" spans="2:32" ht="23.1" customHeight="1" x14ac:dyDescent="0.25">
      <c r="B23" s="23" t="s">
        <v>50</v>
      </c>
      <c r="C23" s="50">
        <v>45</v>
      </c>
      <c r="D23" s="50">
        <v>12</v>
      </c>
      <c r="E23" s="50">
        <v>5</v>
      </c>
      <c r="F23" s="50">
        <v>65</v>
      </c>
      <c r="G23" s="50">
        <v>0</v>
      </c>
      <c r="H23" s="50">
        <v>0</v>
      </c>
      <c r="I23" s="50">
        <v>25</v>
      </c>
      <c r="J23" s="50">
        <v>4</v>
      </c>
      <c r="K23" s="50">
        <v>1</v>
      </c>
      <c r="L23" s="50">
        <v>7</v>
      </c>
      <c r="M23" s="50">
        <v>170</v>
      </c>
      <c r="N23" s="50">
        <v>0</v>
      </c>
      <c r="O23" s="15">
        <f t="shared" si="0"/>
        <v>164</v>
      </c>
      <c r="P23" s="15">
        <f t="shared" si="1"/>
        <v>334</v>
      </c>
      <c r="R23" s="38" t="s">
        <v>91</v>
      </c>
      <c r="S23" s="39">
        <f>MAX(S13:S18)</f>
        <v>305</v>
      </c>
      <c r="T23" s="39">
        <f t="shared" ref="T23:AF23" si="15">MAX(T13:T18)</f>
        <v>35</v>
      </c>
      <c r="U23" s="39">
        <f t="shared" si="15"/>
        <v>31</v>
      </c>
      <c r="V23" s="39">
        <f t="shared" si="15"/>
        <v>251</v>
      </c>
      <c r="W23" s="39">
        <f t="shared" si="15"/>
        <v>10</v>
      </c>
      <c r="X23" s="39">
        <f t="shared" si="15"/>
        <v>9</v>
      </c>
      <c r="Y23" s="39">
        <f t="shared" si="15"/>
        <v>101</v>
      </c>
      <c r="Z23" s="39">
        <f t="shared" si="15"/>
        <v>46</v>
      </c>
      <c r="AA23" s="39">
        <f t="shared" si="15"/>
        <v>8</v>
      </c>
      <c r="AB23" s="39">
        <f t="shared" si="15"/>
        <v>25</v>
      </c>
      <c r="AC23" s="39">
        <f t="shared" si="15"/>
        <v>717</v>
      </c>
      <c r="AD23" s="39">
        <f t="shared" si="15"/>
        <v>1</v>
      </c>
      <c r="AE23" s="40">
        <f t="shared" si="15"/>
        <v>711</v>
      </c>
      <c r="AF23" s="40">
        <f t="shared" si="15"/>
        <v>1371</v>
      </c>
    </row>
    <row r="24" spans="2:32" ht="23.1" customHeight="1" x14ac:dyDescent="0.25">
      <c r="B24" s="23" t="s">
        <v>51</v>
      </c>
      <c r="C24" s="50">
        <v>67</v>
      </c>
      <c r="D24" s="50">
        <v>13</v>
      </c>
      <c r="E24" s="50">
        <v>9</v>
      </c>
      <c r="F24" s="50">
        <v>75</v>
      </c>
      <c r="G24" s="50">
        <v>1</v>
      </c>
      <c r="H24" s="50">
        <v>1</v>
      </c>
      <c r="I24" s="50">
        <v>22</v>
      </c>
      <c r="J24" s="50">
        <v>6</v>
      </c>
      <c r="K24" s="50">
        <v>1</v>
      </c>
      <c r="L24" s="50">
        <v>5</v>
      </c>
      <c r="M24" s="50">
        <v>150</v>
      </c>
      <c r="N24" s="50">
        <v>0</v>
      </c>
      <c r="O24" s="15">
        <f t="shared" si="0"/>
        <v>200</v>
      </c>
      <c r="P24" s="15">
        <f t="shared" si="1"/>
        <v>350</v>
      </c>
      <c r="R24" s="38" t="s">
        <v>92</v>
      </c>
      <c r="S24" s="39">
        <f>MAX(S19:S21)</f>
        <v>235</v>
      </c>
      <c r="T24" s="39">
        <f t="shared" ref="T24:AF24" si="16">MAX(T19:T21)</f>
        <v>20</v>
      </c>
      <c r="U24" s="39">
        <f t="shared" si="16"/>
        <v>23</v>
      </c>
      <c r="V24" s="39">
        <f t="shared" si="16"/>
        <v>197</v>
      </c>
      <c r="W24" s="39">
        <f t="shared" si="16"/>
        <v>12</v>
      </c>
      <c r="X24" s="39">
        <f t="shared" si="16"/>
        <v>4</v>
      </c>
      <c r="Y24" s="39">
        <f t="shared" si="16"/>
        <v>80</v>
      </c>
      <c r="Z24" s="39">
        <f t="shared" si="16"/>
        <v>38</v>
      </c>
      <c r="AA24" s="39">
        <f t="shared" si="16"/>
        <v>14</v>
      </c>
      <c r="AB24" s="39">
        <f t="shared" si="16"/>
        <v>37</v>
      </c>
      <c r="AC24" s="39">
        <f t="shared" si="16"/>
        <v>1215</v>
      </c>
      <c r="AD24" s="39">
        <f t="shared" si="16"/>
        <v>0</v>
      </c>
      <c r="AE24" s="40">
        <f t="shared" si="16"/>
        <v>589</v>
      </c>
      <c r="AF24" s="40">
        <f t="shared" si="16"/>
        <v>1761</v>
      </c>
    </row>
    <row r="25" spans="2:32" ht="23.1" customHeight="1" x14ac:dyDescent="0.25">
      <c r="B25" s="23" t="s">
        <v>52</v>
      </c>
      <c r="C25" s="50">
        <v>35</v>
      </c>
      <c r="D25" s="50">
        <v>4</v>
      </c>
      <c r="E25" s="50">
        <v>11</v>
      </c>
      <c r="F25" s="50">
        <v>40</v>
      </c>
      <c r="G25" s="50">
        <v>0</v>
      </c>
      <c r="H25" s="50">
        <v>0</v>
      </c>
      <c r="I25" s="50">
        <v>8</v>
      </c>
      <c r="J25" s="50">
        <v>2</v>
      </c>
      <c r="K25" s="50">
        <v>0</v>
      </c>
      <c r="L25" s="50">
        <v>2</v>
      </c>
      <c r="M25" s="50">
        <v>160</v>
      </c>
      <c r="N25" s="50">
        <v>0</v>
      </c>
      <c r="O25" s="15">
        <f t="shared" si="0"/>
        <v>102</v>
      </c>
      <c r="P25" s="15">
        <f t="shared" si="1"/>
        <v>262</v>
      </c>
      <c r="R25" s="37" t="s">
        <v>85</v>
      </c>
      <c r="S25" s="35">
        <f t="shared" ref="S25:AF25" si="17">SUM(S10:S12)</f>
        <v>558</v>
      </c>
      <c r="T25" s="16">
        <f t="shared" si="17"/>
        <v>121</v>
      </c>
      <c r="U25" s="16">
        <f t="shared" si="17"/>
        <v>80</v>
      </c>
      <c r="V25" s="16">
        <f t="shared" si="17"/>
        <v>651</v>
      </c>
      <c r="W25" s="16">
        <f t="shared" si="17"/>
        <v>23</v>
      </c>
      <c r="X25" s="16">
        <f t="shared" si="17"/>
        <v>16</v>
      </c>
      <c r="Y25" s="16">
        <f t="shared" si="17"/>
        <v>169</v>
      </c>
      <c r="Z25" s="16">
        <f t="shared" si="17"/>
        <v>36</v>
      </c>
      <c r="AA25" s="16">
        <f t="shared" si="17"/>
        <v>6</v>
      </c>
      <c r="AB25" s="16">
        <f t="shared" si="17"/>
        <v>40</v>
      </c>
      <c r="AC25" s="16">
        <f t="shared" si="17"/>
        <v>2522</v>
      </c>
      <c r="AD25" s="16">
        <f t="shared" si="17"/>
        <v>1</v>
      </c>
      <c r="AE25" s="32">
        <f t="shared" si="17"/>
        <v>1701</v>
      </c>
      <c r="AF25" s="32">
        <f t="shared" si="17"/>
        <v>4223</v>
      </c>
    </row>
    <row r="26" spans="2:32" ht="23.1" customHeight="1" x14ac:dyDescent="0.25">
      <c r="B26" s="23" t="s">
        <v>53</v>
      </c>
      <c r="C26" s="50">
        <v>43</v>
      </c>
      <c r="D26" s="50">
        <v>10</v>
      </c>
      <c r="E26" s="50">
        <v>1</v>
      </c>
      <c r="F26" s="50">
        <v>55</v>
      </c>
      <c r="G26" s="50">
        <v>2</v>
      </c>
      <c r="H26" s="50">
        <v>2</v>
      </c>
      <c r="I26" s="50">
        <v>11</v>
      </c>
      <c r="J26" s="50">
        <v>2</v>
      </c>
      <c r="K26" s="50">
        <v>0</v>
      </c>
      <c r="L26" s="50">
        <v>10</v>
      </c>
      <c r="M26" s="50">
        <v>100</v>
      </c>
      <c r="N26" s="50">
        <v>0</v>
      </c>
      <c r="O26" s="15">
        <f t="shared" si="0"/>
        <v>136</v>
      </c>
      <c r="P26" s="15">
        <f t="shared" si="1"/>
        <v>236</v>
      </c>
      <c r="R26" s="28" t="s">
        <v>86</v>
      </c>
      <c r="S26" s="16">
        <f t="shared" ref="S26:AF26" si="18">SUM(S13:S18)</f>
        <v>1355</v>
      </c>
      <c r="T26" s="16">
        <f t="shared" si="18"/>
        <v>160</v>
      </c>
      <c r="U26" s="16">
        <f t="shared" si="18"/>
        <v>120</v>
      </c>
      <c r="V26" s="16">
        <f t="shared" si="18"/>
        <v>1315</v>
      </c>
      <c r="W26" s="16">
        <f t="shared" si="18"/>
        <v>28</v>
      </c>
      <c r="X26" s="16">
        <f t="shared" si="18"/>
        <v>36</v>
      </c>
      <c r="Y26" s="16">
        <f t="shared" si="18"/>
        <v>486</v>
      </c>
      <c r="Z26" s="16">
        <f t="shared" si="18"/>
        <v>161</v>
      </c>
      <c r="AA26" s="16">
        <f t="shared" si="18"/>
        <v>24</v>
      </c>
      <c r="AB26" s="16">
        <f t="shared" si="18"/>
        <v>123</v>
      </c>
      <c r="AC26" s="16">
        <f t="shared" si="18"/>
        <v>3234</v>
      </c>
      <c r="AD26" s="16">
        <f t="shared" si="18"/>
        <v>2</v>
      </c>
      <c r="AE26" s="32">
        <f t="shared" si="18"/>
        <v>3810</v>
      </c>
      <c r="AF26" s="32">
        <f t="shared" si="18"/>
        <v>7044</v>
      </c>
    </row>
    <row r="27" spans="2:32" ht="23.1" customHeight="1" x14ac:dyDescent="0.25">
      <c r="B27" s="23" t="s">
        <v>54</v>
      </c>
      <c r="C27" s="50">
        <v>60</v>
      </c>
      <c r="D27" s="50">
        <v>11</v>
      </c>
      <c r="E27" s="50">
        <v>6</v>
      </c>
      <c r="F27" s="50">
        <v>50</v>
      </c>
      <c r="G27" s="50">
        <v>4</v>
      </c>
      <c r="H27" s="50">
        <v>3</v>
      </c>
      <c r="I27" s="50">
        <v>36</v>
      </c>
      <c r="J27" s="50">
        <v>5</v>
      </c>
      <c r="K27" s="50">
        <v>1</v>
      </c>
      <c r="L27" s="50">
        <v>2</v>
      </c>
      <c r="M27" s="50">
        <v>110</v>
      </c>
      <c r="N27" s="50">
        <v>0</v>
      </c>
      <c r="O27" s="15">
        <f t="shared" si="0"/>
        <v>178</v>
      </c>
      <c r="P27" s="15">
        <f t="shared" si="1"/>
        <v>288</v>
      </c>
      <c r="R27" s="29" t="s">
        <v>87</v>
      </c>
      <c r="S27" s="16">
        <f t="shared" ref="S27:AF27" si="19">SUM(S19:S21)</f>
        <v>645</v>
      </c>
      <c r="T27" s="16">
        <f t="shared" si="19"/>
        <v>39</v>
      </c>
      <c r="U27" s="16">
        <f t="shared" si="19"/>
        <v>47</v>
      </c>
      <c r="V27" s="16">
        <f t="shared" si="19"/>
        <v>515</v>
      </c>
      <c r="W27" s="16">
        <f t="shared" si="19"/>
        <v>25</v>
      </c>
      <c r="X27" s="16">
        <f t="shared" si="19"/>
        <v>10</v>
      </c>
      <c r="Y27" s="16">
        <f t="shared" si="19"/>
        <v>168</v>
      </c>
      <c r="Z27" s="16">
        <f t="shared" si="19"/>
        <v>95</v>
      </c>
      <c r="AA27" s="16">
        <f t="shared" si="19"/>
        <v>23</v>
      </c>
      <c r="AB27" s="16">
        <f t="shared" si="19"/>
        <v>71</v>
      </c>
      <c r="AC27" s="16">
        <f t="shared" si="19"/>
        <v>2997</v>
      </c>
      <c r="AD27" s="16">
        <f t="shared" si="19"/>
        <v>0</v>
      </c>
      <c r="AE27" s="32">
        <f t="shared" si="19"/>
        <v>1638</v>
      </c>
      <c r="AF27" s="32">
        <f t="shared" si="19"/>
        <v>4635</v>
      </c>
    </row>
    <row r="28" spans="2:32" ht="23.1" customHeight="1" x14ac:dyDescent="0.25">
      <c r="B28" s="23" t="s">
        <v>55</v>
      </c>
      <c r="C28" s="50">
        <v>65</v>
      </c>
      <c r="D28" s="50">
        <v>6</v>
      </c>
      <c r="E28" s="50">
        <v>3</v>
      </c>
      <c r="F28" s="50">
        <v>80</v>
      </c>
      <c r="G28" s="50">
        <v>2</v>
      </c>
      <c r="H28" s="50">
        <v>1</v>
      </c>
      <c r="I28" s="50">
        <v>32</v>
      </c>
      <c r="J28" s="50">
        <v>7</v>
      </c>
      <c r="K28" s="50">
        <v>0</v>
      </c>
      <c r="L28" s="50">
        <v>8</v>
      </c>
      <c r="M28" s="50">
        <v>135</v>
      </c>
      <c r="N28" s="50">
        <v>0</v>
      </c>
      <c r="O28" s="15">
        <f t="shared" si="0"/>
        <v>204</v>
      </c>
      <c r="P28" s="15">
        <f t="shared" si="1"/>
        <v>339</v>
      </c>
      <c r="R28" s="5" t="s">
        <v>17</v>
      </c>
      <c r="S28" s="16">
        <f t="shared" ref="S28:AF28" si="20">SUM(S10:S21)</f>
        <v>2558</v>
      </c>
      <c r="T28" s="16">
        <f t="shared" si="20"/>
        <v>320</v>
      </c>
      <c r="U28" s="16">
        <f t="shared" si="20"/>
        <v>247</v>
      </c>
      <c r="V28" s="16">
        <f t="shared" si="20"/>
        <v>2481</v>
      </c>
      <c r="W28" s="16">
        <f t="shared" si="20"/>
        <v>76</v>
      </c>
      <c r="X28" s="16">
        <f t="shared" si="20"/>
        <v>62</v>
      </c>
      <c r="Y28" s="16">
        <f t="shared" si="20"/>
        <v>823</v>
      </c>
      <c r="Z28" s="16">
        <f t="shared" si="20"/>
        <v>292</v>
      </c>
      <c r="AA28" s="16">
        <f t="shared" si="20"/>
        <v>53</v>
      </c>
      <c r="AB28" s="16">
        <f t="shared" si="20"/>
        <v>234</v>
      </c>
      <c r="AC28" s="16">
        <f t="shared" si="20"/>
        <v>8753</v>
      </c>
      <c r="AD28" s="16">
        <f t="shared" si="20"/>
        <v>3</v>
      </c>
      <c r="AE28" s="32">
        <f t="shared" si="20"/>
        <v>7149</v>
      </c>
      <c r="AF28" s="32">
        <f t="shared" si="20"/>
        <v>15902</v>
      </c>
    </row>
    <row r="29" spans="2:32" ht="23.1" customHeight="1" x14ac:dyDescent="0.25">
      <c r="B29" s="23" t="s">
        <v>56</v>
      </c>
      <c r="C29" s="50">
        <v>65</v>
      </c>
      <c r="D29" s="50">
        <v>7</v>
      </c>
      <c r="E29" s="50">
        <v>6</v>
      </c>
      <c r="F29" s="50">
        <v>42</v>
      </c>
      <c r="G29" s="50">
        <v>2</v>
      </c>
      <c r="H29" s="50">
        <v>3</v>
      </c>
      <c r="I29" s="50">
        <v>22</v>
      </c>
      <c r="J29" s="50">
        <v>5</v>
      </c>
      <c r="K29" s="50">
        <v>0</v>
      </c>
      <c r="L29" s="50">
        <v>5</v>
      </c>
      <c r="M29" s="50">
        <v>50</v>
      </c>
      <c r="N29" s="50">
        <v>0</v>
      </c>
      <c r="O29" s="15">
        <f t="shared" si="0"/>
        <v>157</v>
      </c>
      <c r="P29" s="15">
        <f t="shared" si="1"/>
        <v>207</v>
      </c>
      <c r="R29"/>
      <c r="S29" s="20"/>
      <c r="T29" s="19"/>
    </row>
    <row r="30" spans="2:32" ht="23.1" customHeight="1" x14ac:dyDescent="0.25">
      <c r="B30" s="23" t="s">
        <v>57</v>
      </c>
      <c r="C30" s="50">
        <v>51</v>
      </c>
      <c r="D30" s="50">
        <v>1</v>
      </c>
      <c r="E30" s="50">
        <v>0</v>
      </c>
      <c r="F30" s="50">
        <v>65</v>
      </c>
      <c r="G30" s="50">
        <v>1</v>
      </c>
      <c r="H30" s="50">
        <v>3</v>
      </c>
      <c r="I30" s="50">
        <v>30</v>
      </c>
      <c r="J30" s="50">
        <v>4</v>
      </c>
      <c r="K30" s="50">
        <v>2</v>
      </c>
      <c r="L30" s="50">
        <v>7</v>
      </c>
      <c r="M30" s="50">
        <v>110</v>
      </c>
      <c r="N30" s="50">
        <v>0</v>
      </c>
      <c r="O30" s="15">
        <f t="shared" si="0"/>
        <v>164</v>
      </c>
      <c r="P30" s="15">
        <f t="shared" si="1"/>
        <v>274</v>
      </c>
    </row>
    <row r="31" spans="2:32" ht="23.1" customHeight="1" x14ac:dyDescent="0.25">
      <c r="B31" s="24" t="s">
        <v>58</v>
      </c>
      <c r="C31" s="50">
        <v>48</v>
      </c>
      <c r="D31" s="50">
        <v>5</v>
      </c>
      <c r="E31" s="50">
        <v>3</v>
      </c>
      <c r="F31" s="50">
        <v>50</v>
      </c>
      <c r="G31" s="50">
        <v>0</v>
      </c>
      <c r="H31" s="50">
        <v>2</v>
      </c>
      <c r="I31" s="50">
        <v>30</v>
      </c>
      <c r="J31" s="50">
        <v>10</v>
      </c>
      <c r="K31" s="50">
        <v>0</v>
      </c>
      <c r="L31" s="50">
        <v>5</v>
      </c>
      <c r="M31" s="50">
        <v>95</v>
      </c>
      <c r="N31" s="50">
        <v>0</v>
      </c>
      <c r="O31" s="15">
        <f t="shared" si="0"/>
        <v>153</v>
      </c>
      <c r="P31" s="15">
        <f t="shared" si="1"/>
        <v>248</v>
      </c>
    </row>
    <row r="32" spans="2:32" ht="23.1" customHeight="1" x14ac:dyDescent="0.25">
      <c r="B32" s="24" t="s">
        <v>59</v>
      </c>
      <c r="C32" s="50">
        <v>30</v>
      </c>
      <c r="D32" s="50">
        <v>11</v>
      </c>
      <c r="E32" s="50">
        <v>4</v>
      </c>
      <c r="F32" s="50">
        <v>30</v>
      </c>
      <c r="G32" s="50">
        <v>0</v>
      </c>
      <c r="H32" s="50">
        <v>2</v>
      </c>
      <c r="I32" s="50">
        <v>3</v>
      </c>
      <c r="J32" s="50">
        <v>1</v>
      </c>
      <c r="K32" s="50">
        <v>0</v>
      </c>
      <c r="L32" s="50">
        <v>3</v>
      </c>
      <c r="M32" s="50">
        <v>150</v>
      </c>
      <c r="N32" s="50">
        <v>1</v>
      </c>
      <c r="O32" s="15">
        <f t="shared" si="0"/>
        <v>85</v>
      </c>
      <c r="P32" s="15">
        <f t="shared" si="1"/>
        <v>235</v>
      </c>
    </row>
    <row r="33" spans="2:20" ht="23.1" customHeight="1" x14ac:dyDescent="0.25">
      <c r="B33" s="23" t="s">
        <v>60</v>
      </c>
      <c r="C33" s="50">
        <v>50</v>
      </c>
      <c r="D33" s="50">
        <v>10</v>
      </c>
      <c r="E33" s="50">
        <v>5</v>
      </c>
      <c r="F33" s="50">
        <v>50</v>
      </c>
      <c r="G33" s="50">
        <v>0</v>
      </c>
      <c r="H33" s="50">
        <v>0</v>
      </c>
      <c r="I33" s="50">
        <v>35</v>
      </c>
      <c r="J33" s="50">
        <v>7</v>
      </c>
      <c r="K33" s="50">
        <v>0</v>
      </c>
      <c r="L33" s="50">
        <v>4</v>
      </c>
      <c r="M33" s="50">
        <v>75</v>
      </c>
      <c r="N33" s="50">
        <v>0</v>
      </c>
      <c r="O33" s="15">
        <f t="shared" si="0"/>
        <v>161</v>
      </c>
      <c r="P33" s="15">
        <f t="shared" si="1"/>
        <v>236</v>
      </c>
    </row>
    <row r="34" spans="2:20" ht="23.1" customHeight="1" x14ac:dyDescent="0.25">
      <c r="B34" s="24" t="s">
        <v>61</v>
      </c>
      <c r="C34" s="50">
        <v>60</v>
      </c>
      <c r="D34" s="50">
        <v>4</v>
      </c>
      <c r="E34" s="50">
        <v>3</v>
      </c>
      <c r="F34" s="50">
        <v>70</v>
      </c>
      <c r="G34" s="50">
        <v>0</v>
      </c>
      <c r="H34" s="50">
        <v>1</v>
      </c>
      <c r="I34" s="50">
        <v>26</v>
      </c>
      <c r="J34" s="50">
        <v>6</v>
      </c>
      <c r="K34" s="50">
        <v>0</v>
      </c>
      <c r="L34" s="50">
        <v>5</v>
      </c>
      <c r="M34" s="50">
        <v>105</v>
      </c>
      <c r="N34" s="50">
        <v>0</v>
      </c>
      <c r="O34" s="15">
        <f t="shared" si="0"/>
        <v>175</v>
      </c>
      <c r="P34" s="15">
        <f t="shared" si="1"/>
        <v>280</v>
      </c>
    </row>
    <row r="35" spans="2:20" ht="23.1" customHeight="1" x14ac:dyDescent="0.25">
      <c r="B35" s="24" t="s">
        <v>62</v>
      </c>
      <c r="C35" s="50">
        <v>30</v>
      </c>
      <c r="D35" s="50">
        <v>1</v>
      </c>
      <c r="E35" s="50">
        <v>2</v>
      </c>
      <c r="F35" s="50">
        <v>60</v>
      </c>
      <c r="G35" s="50">
        <v>4</v>
      </c>
      <c r="H35" s="50">
        <v>3</v>
      </c>
      <c r="I35" s="50">
        <v>20</v>
      </c>
      <c r="J35" s="50">
        <v>8</v>
      </c>
      <c r="K35" s="50">
        <v>1</v>
      </c>
      <c r="L35" s="50">
        <v>4</v>
      </c>
      <c r="M35" s="50">
        <v>220</v>
      </c>
      <c r="N35" s="50">
        <v>0</v>
      </c>
      <c r="O35" s="15">
        <f t="shared" si="0"/>
        <v>133</v>
      </c>
      <c r="P35" s="15">
        <f t="shared" si="1"/>
        <v>353</v>
      </c>
    </row>
    <row r="36" spans="2:20" ht="23.1" customHeight="1" x14ac:dyDescent="0.25">
      <c r="B36" s="24" t="s">
        <v>63</v>
      </c>
      <c r="C36" s="50">
        <v>45</v>
      </c>
      <c r="D36" s="50">
        <v>1</v>
      </c>
      <c r="E36" s="50">
        <v>2</v>
      </c>
      <c r="F36" s="50">
        <v>60</v>
      </c>
      <c r="G36" s="50">
        <v>1</v>
      </c>
      <c r="H36" s="50">
        <v>1</v>
      </c>
      <c r="I36" s="50">
        <v>11</v>
      </c>
      <c r="J36" s="50">
        <v>14</v>
      </c>
      <c r="K36" s="50">
        <v>4</v>
      </c>
      <c r="L36" s="50">
        <v>2</v>
      </c>
      <c r="M36" s="50">
        <v>255</v>
      </c>
      <c r="N36" s="50">
        <v>0</v>
      </c>
      <c r="O36" s="15">
        <f t="shared" si="0"/>
        <v>141</v>
      </c>
      <c r="P36" s="15">
        <f t="shared" si="1"/>
        <v>396</v>
      </c>
    </row>
    <row r="37" spans="2:20" ht="23.1" customHeight="1" x14ac:dyDescent="0.25">
      <c r="B37" s="23" t="s">
        <v>64</v>
      </c>
      <c r="C37" s="50">
        <v>80</v>
      </c>
      <c r="D37" s="50">
        <v>7</v>
      </c>
      <c r="E37" s="50">
        <v>4</v>
      </c>
      <c r="F37" s="50">
        <v>61</v>
      </c>
      <c r="G37" s="50">
        <v>0</v>
      </c>
      <c r="H37" s="50">
        <v>2</v>
      </c>
      <c r="I37" s="50">
        <v>25</v>
      </c>
      <c r="J37" s="50">
        <v>15</v>
      </c>
      <c r="K37" s="50">
        <v>2</v>
      </c>
      <c r="L37" s="50">
        <v>8</v>
      </c>
      <c r="M37" s="50">
        <v>137</v>
      </c>
      <c r="N37" s="50">
        <v>1</v>
      </c>
      <c r="O37" s="15">
        <f t="shared" si="0"/>
        <v>205</v>
      </c>
      <c r="P37" s="15">
        <f t="shared" si="1"/>
        <v>342</v>
      </c>
    </row>
    <row r="38" spans="2:20" ht="23.1" customHeight="1" x14ac:dyDescent="0.25">
      <c r="B38" s="24" t="s">
        <v>65</v>
      </c>
      <c r="C38" s="50">
        <v>57</v>
      </c>
      <c r="D38" s="50">
        <v>6</v>
      </c>
      <c r="E38" s="50">
        <v>6</v>
      </c>
      <c r="F38" s="50">
        <v>45</v>
      </c>
      <c r="G38" s="50">
        <v>0</v>
      </c>
      <c r="H38" s="50">
        <v>1</v>
      </c>
      <c r="I38" s="50">
        <v>13</v>
      </c>
      <c r="J38" s="50">
        <v>12</v>
      </c>
      <c r="K38" s="50">
        <v>2</v>
      </c>
      <c r="L38" s="50">
        <v>3</v>
      </c>
      <c r="M38" s="50">
        <v>160</v>
      </c>
      <c r="N38" s="50">
        <v>0</v>
      </c>
      <c r="O38" s="15">
        <f t="shared" si="0"/>
        <v>145</v>
      </c>
      <c r="P38" s="15">
        <f t="shared" si="1"/>
        <v>305</v>
      </c>
    </row>
    <row r="39" spans="2:20" ht="23.1" customHeight="1" x14ac:dyDescent="0.25">
      <c r="B39" s="24" t="s">
        <v>66</v>
      </c>
      <c r="C39" s="50">
        <v>63</v>
      </c>
      <c r="D39" s="50">
        <v>17</v>
      </c>
      <c r="E39" s="50">
        <v>9</v>
      </c>
      <c r="F39" s="50">
        <v>52</v>
      </c>
      <c r="G39" s="50">
        <v>4</v>
      </c>
      <c r="H39" s="50">
        <v>3</v>
      </c>
      <c r="I39" s="50">
        <v>21</v>
      </c>
      <c r="J39" s="50">
        <v>12</v>
      </c>
      <c r="K39" s="50">
        <v>5</v>
      </c>
      <c r="L39" s="50">
        <v>3</v>
      </c>
      <c r="M39" s="50">
        <v>140</v>
      </c>
      <c r="N39" s="50">
        <v>0</v>
      </c>
      <c r="O39" s="15">
        <f t="shared" si="0"/>
        <v>189</v>
      </c>
      <c r="P39" s="15">
        <f t="shared" si="1"/>
        <v>329</v>
      </c>
    </row>
    <row r="40" spans="2:20" ht="23.1" customHeight="1" x14ac:dyDescent="0.25">
      <c r="B40" s="24" t="s">
        <v>67</v>
      </c>
      <c r="C40" s="50">
        <v>70</v>
      </c>
      <c r="D40" s="50">
        <v>4</v>
      </c>
      <c r="E40" s="50">
        <v>4</v>
      </c>
      <c r="F40" s="50">
        <v>55</v>
      </c>
      <c r="G40" s="50">
        <v>0</v>
      </c>
      <c r="H40" s="50">
        <v>1</v>
      </c>
      <c r="I40" s="50">
        <v>11</v>
      </c>
      <c r="J40" s="50">
        <v>9</v>
      </c>
      <c r="K40" s="50">
        <v>1</v>
      </c>
      <c r="L40" s="50">
        <v>7</v>
      </c>
      <c r="M40" s="50">
        <v>120</v>
      </c>
      <c r="N40" s="50">
        <v>0</v>
      </c>
      <c r="O40" s="15">
        <f t="shared" si="0"/>
        <v>162</v>
      </c>
      <c r="P40" s="15">
        <f t="shared" si="1"/>
        <v>282</v>
      </c>
    </row>
    <row r="41" spans="2:20" ht="23.1" customHeight="1" x14ac:dyDescent="0.25">
      <c r="B41" s="23" t="s">
        <v>68</v>
      </c>
      <c r="C41" s="50">
        <v>45</v>
      </c>
      <c r="D41" s="50">
        <v>0</v>
      </c>
      <c r="E41" s="50">
        <v>2</v>
      </c>
      <c r="F41" s="50">
        <v>30</v>
      </c>
      <c r="G41" s="50">
        <v>0</v>
      </c>
      <c r="H41" s="50">
        <v>1</v>
      </c>
      <c r="I41" s="50">
        <v>15</v>
      </c>
      <c r="J41" s="50">
        <v>13</v>
      </c>
      <c r="K41" s="50">
        <v>0</v>
      </c>
      <c r="L41" s="50">
        <v>5</v>
      </c>
      <c r="M41" s="50">
        <v>92</v>
      </c>
      <c r="N41" s="50">
        <v>0</v>
      </c>
      <c r="O41" s="15">
        <f t="shared" si="0"/>
        <v>111</v>
      </c>
      <c r="P41" s="15">
        <f t="shared" si="1"/>
        <v>203</v>
      </c>
    </row>
    <row r="42" spans="2:20" ht="23.1" customHeight="1" x14ac:dyDescent="0.25">
      <c r="B42" s="24" t="s">
        <v>69</v>
      </c>
      <c r="C42" s="50">
        <v>60</v>
      </c>
      <c r="D42" s="50">
        <v>4</v>
      </c>
      <c r="E42" s="50">
        <v>2</v>
      </c>
      <c r="F42" s="50">
        <v>45</v>
      </c>
      <c r="G42" s="50">
        <v>1</v>
      </c>
      <c r="H42" s="50">
        <v>1</v>
      </c>
      <c r="I42" s="50">
        <v>27</v>
      </c>
      <c r="J42" s="50">
        <v>3</v>
      </c>
      <c r="K42" s="50">
        <v>0</v>
      </c>
      <c r="L42" s="50">
        <v>5</v>
      </c>
      <c r="M42" s="50">
        <v>170</v>
      </c>
      <c r="N42" s="50">
        <v>0</v>
      </c>
      <c r="O42" s="15">
        <f t="shared" si="0"/>
        <v>148</v>
      </c>
      <c r="P42" s="15">
        <f t="shared" si="1"/>
        <v>318</v>
      </c>
    </row>
    <row r="43" spans="2:20" ht="23.1" customHeight="1" x14ac:dyDescent="0.25">
      <c r="B43" s="23" t="s">
        <v>70</v>
      </c>
      <c r="C43" s="50">
        <v>75</v>
      </c>
      <c r="D43" s="50">
        <v>1</v>
      </c>
      <c r="E43" s="50">
        <v>7</v>
      </c>
      <c r="F43" s="50">
        <v>55</v>
      </c>
      <c r="G43" s="50">
        <v>1</v>
      </c>
      <c r="H43" s="50">
        <v>2</v>
      </c>
      <c r="I43" s="50">
        <v>15</v>
      </c>
      <c r="J43" s="50">
        <v>5</v>
      </c>
      <c r="K43" s="50">
        <v>1</v>
      </c>
      <c r="L43" s="50">
        <v>10</v>
      </c>
      <c r="M43" s="50">
        <v>115</v>
      </c>
      <c r="N43" s="50">
        <v>0</v>
      </c>
      <c r="O43" s="15">
        <f t="shared" si="0"/>
        <v>172</v>
      </c>
      <c r="P43" s="15">
        <f t="shared" si="1"/>
        <v>287</v>
      </c>
    </row>
    <row r="44" spans="2:20" ht="23.1" customHeight="1" x14ac:dyDescent="0.25">
      <c r="B44" s="25" t="s">
        <v>71</v>
      </c>
      <c r="C44" s="50">
        <v>95</v>
      </c>
      <c r="D44" s="50">
        <v>10</v>
      </c>
      <c r="E44" s="50">
        <v>15</v>
      </c>
      <c r="F44" s="50">
        <v>60</v>
      </c>
      <c r="G44" s="50">
        <v>0</v>
      </c>
      <c r="H44" s="50">
        <v>1</v>
      </c>
      <c r="I44" s="50">
        <v>14</v>
      </c>
      <c r="J44" s="50">
        <v>3</v>
      </c>
      <c r="K44" s="50">
        <v>2</v>
      </c>
      <c r="L44" s="50">
        <v>5</v>
      </c>
      <c r="M44" s="50">
        <v>130</v>
      </c>
      <c r="N44" s="50">
        <v>0</v>
      </c>
      <c r="O44" s="15">
        <f t="shared" si="0"/>
        <v>205</v>
      </c>
      <c r="P44" s="15">
        <f t="shared" si="1"/>
        <v>335</v>
      </c>
    </row>
    <row r="45" spans="2:20" ht="23.1" customHeight="1" x14ac:dyDescent="0.25">
      <c r="B45" s="23" t="s">
        <v>72</v>
      </c>
      <c r="C45" s="50">
        <v>75</v>
      </c>
      <c r="D45" s="50">
        <v>9</v>
      </c>
      <c r="E45" s="50">
        <v>7</v>
      </c>
      <c r="F45" s="50">
        <v>60</v>
      </c>
      <c r="G45" s="50">
        <v>3</v>
      </c>
      <c r="H45" s="50">
        <v>1</v>
      </c>
      <c r="I45" s="50">
        <v>19</v>
      </c>
      <c r="J45" s="50">
        <v>7</v>
      </c>
      <c r="K45" s="50">
        <v>1</v>
      </c>
      <c r="L45" s="50">
        <v>4</v>
      </c>
      <c r="M45" s="50">
        <v>105</v>
      </c>
      <c r="N45" s="50">
        <v>0</v>
      </c>
      <c r="O45" s="15">
        <f t="shared" si="0"/>
        <v>186</v>
      </c>
      <c r="P45" s="15">
        <f t="shared" si="1"/>
        <v>291</v>
      </c>
    </row>
    <row r="46" spans="2:20" ht="23.1" customHeight="1" x14ac:dyDescent="0.25">
      <c r="B46" s="24" t="s">
        <v>73</v>
      </c>
      <c r="C46" s="50">
        <v>70</v>
      </c>
      <c r="D46" s="50">
        <v>9</v>
      </c>
      <c r="E46" s="50">
        <v>4</v>
      </c>
      <c r="F46" s="50">
        <v>95</v>
      </c>
      <c r="G46" s="50">
        <v>8</v>
      </c>
      <c r="H46" s="50">
        <v>1</v>
      </c>
      <c r="I46" s="50">
        <v>18</v>
      </c>
      <c r="J46" s="50">
        <v>6</v>
      </c>
      <c r="K46" s="50">
        <v>0</v>
      </c>
      <c r="L46" s="50">
        <v>7</v>
      </c>
      <c r="M46" s="50">
        <v>120</v>
      </c>
      <c r="N46" s="50">
        <v>0</v>
      </c>
      <c r="O46" s="15">
        <f t="shared" si="0"/>
        <v>218</v>
      </c>
      <c r="P46" s="15">
        <f t="shared" si="1"/>
        <v>338</v>
      </c>
      <c r="R46" s="8"/>
      <c r="T46"/>
    </row>
    <row r="47" spans="2:20" ht="23.1" customHeight="1" x14ac:dyDescent="0.25">
      <c r="B47" s="24" t="s">
        <v>74</v>
      </c>
      <c r="C47" s="50">
        <v>50</v>
      </c>
      <c r="D47" s="50">
        <v>2</v>
      </c>
      <c r="E47" s="50">
        <v>2</v>
      </c>
      <c r="F47" s="50">
        <v>35</v>
      </c>
      <c r="G47" s="50">
        <v>0</v>
      </c>
      <c r="H47" s="50">
        <v>1</v>
      </c>
      <c r="I47" s="50">
        <v>18</v>
      </c>
      <c r="J47" s="50">
        <v>13</v>
      </c>
      <c r="K47" s="50">
        <v>2</v>
      </c>
      <c r="L47" s="50">
        <v>10</v>
      </c>
      <c r="M47" s="50">
        <v>130</v>
      </c>
      <c r="N47" s="50">
        <v>0</v>
      </c>
      <c r="O47" s="15">
        <f t="shared" si="0"/>
        <v>133</v>
      </c>
      <c r="P47" s="15">
        <f t="shared" si="1"/>
        <v>263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4</v>
      </c>
      <c r="E48" s="50">
        <v>3</v>
      </c>
      <c r="F48" s="50">
        <v>30</v>
      </c>
      <c r="G48" s="50">
        <v>1</v>
      </c>
      <c r="H48" s="50">
        <v>2</v>
      </c>
      <c r="I48" s="50">
        <v>20</v>
      </c>
      <c r="J48" s="50">
        <v>2</v>
      </c>
      <c r="K48" s="50">
        <v>1</v>
      </c>
      <c r="L48" s="50">
        <v>11</v>
      </c>
      <c r="M48" s="50">
        <v>215</v>
      </c>
      <c r="N48" s="50">
        <v>0</v>
      </c>
      <c r="O48" s="15">
        <f t="shared" si="0"/>
        <v>109</v>
      </c>
      <c r="P48" s="15">
        <f t="shared" si="1"/>
        <v>324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0</v>
      </c>
      <c r="E49" s="50">
        <v>3</v>
      </c>
      <c r="F49" s="50">
        <v>37</v>
      </c>
      <c r="G49" s="50">
        <v>3</v>
      </c>
      <c r="H49" s="50">
        <v>0</v>
      </c>
      <c r="I49" s="50">
        <v>24</v>
      </c>
      <c r="J49" s="50">
        <v>5</v>
      </c>
      <c r="K49" s="50">
        <v>3</v>
      </c>
      <c r="L49" s="50">
        <v>9</v>
      </c>
      <c r="M49" s="50">
        <v>240</v>
      </c>
      <c r="N49" s="50">
        <v>0</v>
      </c>
      <c r="O49" s="15">
        <f t="shared" si="0"/>
        <v>129</v>
      </c>
      <c r="P49" s="15">
        <f t="shared" si="1"/>
        <v>369</v>
      </c>
      <c r="R49" s="8"/>
      <c r="T49"/>
    </row>
    <row r="50" spans="2:20" ht="23.1" customHeight="1" x14ac:dyDescent="0.25">
      <c r="B50" s="24" t="s">
        <v>77</v>
      </c>
      <c r="C50" s="50">
        <v>35</v>
      </c>
      <c r="D50" s="50">
        <v>1</v>
      </c>
      <c r="E50" s="50">
        <v>3</v>
      </c>
      <c r="F50" s="50">
        <v>30</v>
      </c>
      <c r="G50" s="50">
        <v>1</v>
      </c>
      <c r="H50" s="50">
        <v>0</v>
      </c>
      <c r="I50" s="50">
        <v>22</v>
      </c>
      <c r="J50" s="50">
        <v>8</v>
      </c>
      <c r="K50" s="50">
        <v>1</v>
      </c>
      <c r="L50" s="50">
        <v>3</v>
      </c>
      <c r="M50" s="50">
        <v>265</v>
      </c>
      <c r="N50" s="50">
        <v>0</v>
      </c>
      <c r="O50" s="15">
        <f t="shared" si="0"/>
        <v>104</v>
      </c>
      <c r="P50" s="15">
        <f t="shared" si="1"/>
        <v>369</v>
      </c>
      <c r="R50" s="8"/>
      <c r="T50"/>
    </row>
    <row r="51" spans="2:20" ht="23.1" customHeight="1" x14ac:dyDescent="0.25">
      <c r="B51" s="24" t="s">
        <v>78</v>
      </c>
      <c r="C51" s="50">
        <v>66</v>
      </c>
      <c r="D51" s="50">
        <v>4</v>
      </c>
      <c r="E51" s="50">
        <v>10</v>
      </c>
      <c r="F51" s="50">
        <v>33</v>
      </c>
      <c r="G51" s="50">
        <v>0</v>
      </c>
      <c r="H51" s="50">
        <v>0</v>
      </c>
      <c r="I51" s="50">
        <v>14</v>
      </c>
      <c r="J51" s="50">
        <v>8</v>
      </c>
      <c r="K51" s="50">
        <v>1</v>
      </c>
      <c r="L51" s="50">
        <v>2</v>
      </c>
      <c r="M51" s="50">
        <v>280</v>
      </c>
      <c r="N51" s="50">
        <v>0</v>
      </c>
      <c r="O51" s="15">
        <f t="shared" si="0"/>
        <v>138</v>
      </c>
      <c r="P51" s="15">
        <f t="shared" si="1"/>
        <v>418</v>
      </c>
      <c r="R51" s="8"/>
      <c r="T51"/>
    </row>
    <row r="52" spans="2:20" ht="23.1" customHeight="1" x14ac:dyDescent="0.25">
      <c r="B52" s="24" t="s">
        <v>79</v>
      </c>
      <c r="C52" s="50">
        <v>84</v>
      </c>
      <c r="D52" s="50">
        <v>11</v>
      </c>
      <c r="E52" s="50">
        <v>8</v>
      </c>
      <c r="F52" s="50">
        <v>40</v>
      </c>
      <c r="G52" s="50">
        <v>1</v>
      </c>
      <c r="H52" s="50">
        <v>0</v>
      </c>
      <c r="I52" s="50">
        <v>6</v>
      </c>
      <c r="J52" s="50">
        <v>9</v>
      </c>
      <c r="K52" s="50">
        <v>0</v>
      </c>
      <c r="L52" s="50">
        <v>6</v>
      </c>
      <c r="M52" s="50">
        <v>310</v>
      </c>
      <c r="N52" s="50">
        <v>0</v>
      </c>
      <c r="O52" s="15">
        <f t="shared" si="0"/>
        <v>165</v>
      </c>
      <c r="P52" s="15">
        <f t="shared" si="1"/>
        <v>475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4</v>
      </c>
      <c r="E53" s="50">
        <v>2</v>
      </c>
      <c r="F53" s="50">
        <v>50</v>
      </c>
      <c r="G53" s="50">
        <v>3</v>
      </c>
      <c r="H53" s="50">
        <v>3</v>
      </c>
      <c r="I53" s="50">
        <v>10</v>
      </c>
      <c r="J53" s="50">
        <v>13</v>
      </c>
      <c r="K53" s="50">
        <v>1</v>
      </c>
      <c r="L53" s="50">
        <v>3</v>
      </c>
      <c r="M53" s="50">
        <v>360</v>
      </c>
      <c r="N53" s="50">
        <v>0</v>
      </c>
      <c r="O53" s="15">
        <f t="shared" si="0"/>
        <v>139</v>
      </c>
      <c r="P53" s="15">
        <f t="shared" si="1"/>
        <v>499</v>
      </c>
      <c r="R53" s="8"/>
      <c r="T53"/>
    </row>
    <row r="54" spans="2:20" ht="23.1" customHeight="1" x14ac:dyDescent="0.25">
      <c r="B54" s="23" t="s">
        <v>81</v>
      </c>
      <c r="C54" s="50">
        <v>60</v>
      </c>
      <c r="D54" s="50">
        <v>2</v>
      </c>
      <c r="E54" s="50">
        <v>6</v>
      </c>
      <c r="F54" s="50">
        <v>40</v>
      </c>
      <c r="G54" s="50">
        <v>1</v>
      </c>
      <c r="H54" s="50">
        <v>1</v>
      </c>
      <c r="I54" s="50">
        <v>13</v>
      </c>
      <c r="J54" s="50">
        <v>10</v>
      </c>
      <c r="K54" s="50">
        <v>3</v>
      </c>
      <c r="L54" s="50">
        <v>4</v>
      </c>
      <c r="M54" s="50">
        <v>430</v>
      </c>
      <c r="N54" s="50">
        <v>0</v>
      </c>
      <c r="O54" s="15">
        <f t="shared" si="0"/>
        <v>140</v>
      </c>
      <c r="P54" s="15">
        <f t="shared" si="1"/>
        <v>570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0</v>
      </c>
      <c r="E55" s="50">
        <v>2</v>
      </c>
      <c r="F55" s="50">
        <v>30</v>
      </c>
      <c r="G55" s="50">
        <v>1</v>
      </c>
      <c r="H55" s="50">
        <v>0</v>
      </c>
      <c r="I55" s="50">
        <v>8</v>
      </c>
      <c r="J55" s="50">
        <v>12</v>
      </c>
      <c r="K55" s="50">
        <v>2</v>
      </c>
      <c r="L55" s="50">
        <v>3</v>
      </c>
      <c r="M55" s="50">
        <v>272</v>
      </c>
      <c r="N55" s="50">
        <v>0</v>
      </c>
      <c r="O55" s="15">
        <f t="shared" si="0"/>
        <v>118</v>
      </c>
      <c r="P55" s="15">
        <f t="shared" si="1"/>
        <v>390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0</v>
      </c>
      <c r="E56" s="50">
        <v>1</v>
      </c>
      <c r="F56" s="50">
        <v>35</v>
      </c>
      <c r="G56" s="50">
        <v>4</v>
      </c>
      <c r="H56" s="50">
        <v>1</v>
      </c>
      <c r="I56" s="50">
        <v>5</v>
      </c>
      <c r="J56" s="50">
        <v>2</v>
      </c>
      <c r="K56" s="50">
        <v>6</v>
      </c>
      <c r="L56" s="50">
        <v>5</v>
      </c>
      <c r="M56" s="50">
        <v>195</v>
      </c>
      <c r="N56" s="50">
        <v>0</v>
      </c>
      <c r="O56" s="15">
        <f t="shared" si="0"/>
        <v>94</v>
      </c>
      <c r="P56" s="15">
        <f t="shared" si="1"/>
        <v>289</v>
      </c>
      <c r="R56" s="8"/>
      <c r="T56"/>
    </row>
    <row r="57" spans="2:20" ht="23.1" customHeight="1" x14ac:dyDescent="0.25">
      <c r="B57" s="23" t="s">
        <v>84</v>
      </c>
      <c r="C57" s="50">
        <v>55</v>
      </c>
      <c r="D57" s="50">
        <v>2</v>
      </c>
      <c r="E57" s="50">
        <v>3</v>
      </c>
      <c r="F57" s="50">
        <v>60</v>
      </c>
      <c r="G57" s="50">
        <v>2</v>
      </c>
      <c r="H57" s="50">
        <v>1</v>
      </c>
      <c r="I57" s="50">
        <v>10</v>
      </c>
      <c r="J57" s="50">
        <v>7</v>
      </c>
      <c r="K57" s="50">
        <v>3</v>
      </c>
      <c r="L57" s="50">
        <v>8</v>
      </c>
      <c r="M57" s="50">
        <v>180</v>
      </c>
      <c r="N57" s="50">
        <v>0</v>
      </c>
      <c r="O57" s="15">
        <f t="shared" si="0"/>
        <v>151</v>
      </c>
      <c r="P57" s="15">
        <f t="shared" si="1"/>
        <v>331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2558</v>
      </c>
      <c r="D58" s="16">
        <f t="shared" si="21"/>
        <v>320</v>
      </c>
      <c r="E58" s="16">
        <f t="shared" si="21"/>
        <v>247</v>
      </c>
      <c r="F58" s="16">
        <f t="shared" si="21"/>
        <v>2481</v>
      </c>
      <c r="G58" s="16">
        <f t="shared" si="21"/>
        <v>76</v>
      </c>
      <c r="H58" s="16">
        <f t="shared" si="21"/>
        <v>62</v>
      </c>
      <c r="I58" s="16">
        <f t="shared" si="21"/>
        <v>823</v>
      </c>
      <c r="J58" s="16">
        <f t="shared" si="21"/>
        <v>292</v>
      </c>
      <c r="K58" s="16">
        <f t="shared" si="21"/>
        <v>53</v>
      </c>
      <c r="L58" s="16">
        <f t="shared" si="21"/>
        <v>234</v>
      </c>
      <c r="M58" s="16">
        <f t="shared" si="21"/>
        <v>8753</v>
      </c>
      <c r="N58" s="16">
        <f t="shared" si="21"/>
        <v>3</v>
      </c>
      <c r="O58" s="16">
        <f t="shared" si="21"/>
        <v>7149</v>
      </c>
      <c r="P58" s="16">
        <f t="shared" si="21"/>
        <v>15902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0.16086026914853477</v>
      </c>
      <c r="D59" s="43">
        <f t="shared" si="22"/>
        <v>2.0123254936485976E-2</v>
      </c>
      <c r="E59" s="43">
        <f t="shared" si="22"/>
        <v>1.5532637404100113E-2</v>
      </c>
      <c r="F59" s="43">
        <f t="shared" si="22"/>
        <v>0.15601811092944284</v>
      </c>
      <c r="G59" s="43">
        <f t="shared" si="22"/>
        <v>4.7792730474154194E-3</v>
      </c>
      <c r="H59" s="43">
        <f t="shared" si="22"/>
        <v>3.8988806439441579E-3</v>
      </c>
      <c r="I59" s="43">
        <f t="shared" si="22"/>
        <v>5.1754496289774868E-2</v>
      </c>
      <c r="J59" s="43">
        <f t="shared" si="22"/>
        <v>1.8362470129543455E-2</v>
      </c>
      <c r="K59" s="43">
        <f t="shared" si="22"/>
        <v>3.33291409885549E-3</v>
      </c>
      <c r="L59" s="43">
        <f t="shared" si="22"/>
        <v>1.4715130172305371E-2</v>
      </c>
      <c r="M59" s="43">
        <f t="shared" si="22"/>
        <v>0.55043390768456801</v>
      </c>
      <c r="N59" s="43">
        <f t="shared" si="22"/>
        <v>1.8865551502955603E-4</v>
      </c>
      <c r="R59" s="8"/>
      <c r="T59"/>
    </row>
    <row r="60" spans="2:20" ht="23.1" customHeight="1" x14ac:dyDescent="0.25">
      <c r="B60" s="42" t="s">
        <v>94</v>
      </c>
      <c r="C60" s="44">
        <f>C58/$O$58</f>
        <v>0.35781228143796334</v>
      </c>
      <c r="D60" s="44">
        <f t="shared" ref="D60:N60" si="23">D58/$O$58</f>
        <v>4.4761505105609174E-2</v>
      </c>
      <c r="E60" s="44">
        <f t="shared" si="23"/>
        <v>3.4550286753392084E-2</v>
      </c>
      <c r="F60" s="44">
        <f t="shared" si="23"/>
        <v>0.34704154427192613</v>
      </c>
      <c r="G60" s="44">
        <f t="shared" si="23"/>
        <v>1.063085746258218E-2</v>
      </c>
      <c r="H60" s="44">
        <f t="shared" si="23"/>
        <v>8.6725416142117775E-3</v>
      </c>
      <c r="I60" s="44">
        <f t="shared" si="23"/>
        <v>0.1151209959434886</v>
      </c>
      <c r="J60" s="44">
        <f t="shared" si="23"/>
        <v>4.0844873408868373E-2</v>
      </c>
      <c r="K60" s="44">
        <f t="shared" si="23"/>
        <v>7.4136242831165195E-3</v>
      </c>
      <c r="L60" s="44">
        <f t="shared" si="23"/>
        <v>3.2731850608476713E-2</v>
      </c>
      <c r="M60" s="44"/>
      <c r="N60" s="44">
        <f t="shared" si="23"/>
        <v>4.1963911036508602E-4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M102" sqref="M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7" t="str">
        <f>'25.07 BUSEGA-KYENGERA'!G5:H5</f>
        <v>KYENGERA</v>
      </c>
      <c r="H5" s="68"/>
      <c r="I5" s="14"/>
      <c r="J5" s="2" t="s">
        <v>5</v>
      </c>
      <c r="K5" s="67" t="str">
        <f>'25.07 BUSEGA-KYENGERA'!K5:L5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KYENGERA-BUSEGA'!D6:E6</f>
        <v>KYENGERA</v>
      </c>
      <c r="E6" s="68"/>
      <c r="F6" s="2" t="s">
        <v>2</v>
      </c>
      <c r="G6" s="67" t="str">
        <f>'22.07 KYENGERA-BUSEGA'!G6:H6</f>
        <v>BUSEGA</v>
      </c>
      <c r="H6" s="68"/>
      <c r="J6" s="2" t="s">
        <v>21</v>
      </c>
      <c r="K6" s="67" t="str">
        <f>'25.07 BUSEGA-KYENGERA'!K6:L6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125</v>
      </c>
      <c r="D10" s="50">
        <v>2</v>
      </c>
      <c r="E10" s="50">
        <v>10</v>
      </c>
      <c r="F10" s="50">
        <v>52</v>
      </c>
      <c r="G10" s="50">
        <v>6</v>
      </c>
      <c r="H10" s="50">
        <v>6</v>
      </c>
      <c r="I10" s="50">
        <v>5</v>
      </c>
      <c r="J10" s="50">
        <v>7</v>
      </c>
      <c r="K10" s="50">
        <v>2</v>
      </c>
      <c r="L10" s="50">
        <v>6</v>
      </c>
      <c r="M10" s="50">
        <v>120</v>
      </c>
      <c r="N10" s="50">
        <v>0</v>
      </c>
      <c r="O10" s="15">
        <f t="shared" ref="O10:O57" si="0">SUM(C10:L10,N10)</f>
        <v>221</v>
      </c>
      <c r="P10" s="15">
        <f t="shared" ref="P10:P57" si="1">SUM(C10:N10)</f>
        <v>341</v>
      </c>
      <c r="R10" s="1" t="s">
        <v>6</v>
      </c>
      <c r="S10" s="17">
        <f t="shared" ref="S10:AF10" si="2">SUM(C10:C13)</f>
        <v>337</v>
      </c>
      <c r="T10" s="17">
        <f t="shared" si="2"/>
        <v>24</v>
      </c>
      <c r="U10" s="17">
        <f t="shared" si="2"/>
        <v>38</v>
      </c>
      <c r="V10" s="17">
        <f t="shared" si="2"/>
        <v>183</v>
      </c>
      <c r="W10" s="17">
        <f t="shared" si="2"/>
        <v>13</v>
      </c>
      <c r="X10" s="17">
        <f t="shared" si="2"/>
        <v>13</v>
      </c>
      <c r="Y10" s="17">
        <f t="shared" si="2"/>
        <v>39</v>
      </c>
      <c r="Z10" s="17">
        <f t="shared" si="2"/>
        <v>24</v>
      </c>
      <c r="AA10" s="17">
        <f t="shared" si="2"/>
        <v>4</v>
      </c>
      <c r="AB10" s="17">
        <f t="shared" si="2"/>
        <v>17</v>
      </c>
      <c r="AC10" s="17">
        <f t="shared" si="2"/>
        <v>1055</v>
      </c>
      <c r="AD10" s="17">
        <f t="shared" si="2"/>
        <v>0</v>
      </c>
      <c r="AE10" s="31">
        <f t="shared" si="2"/>
        <v>692</v>
      </c>
      <c r="AF10" s="31">
        <f t="shared" si="2"/>
        <v>1747</v>
      </c>
    </row>
    <row r="11" spans="2:32" s="6" customFormat="1" ht="23.1" customHeight="1" x14ac:dyDescent="0.25">
      <c r="B11" s="45" t="s">
        <v>38</v>
      </c>
      <c r="C11" s="50">
        <v>80</v>
      </c>
      <c r="D11" s="50">
        <v>8</v>
      </c>
      <c r="E11" s="50">
        <v>11</v>
      </c>
      <c r="F11" s="50">
        <v>65</v>
      </c>
      <c r="G11" s="50">
        <v>0</v>
      </c>
      <c r="H11" s="50">
        <v>5</v>
      </c>
      <c r="I11" s="50">
        <v>15</v>
      </c>
      <c r="J11" s="50">
        <v>6</v>
      </c>
      <c r="K11" s="50">
        <v>0</v>
      </c>
      <c r="L11" s="50">
        <v>2</v>
      </c>
      <c r="M11" s="50">
        <v>255</v>
      </c>
      <c r="N11" s="50">
        <v>0</v>
      </c>
      <c r="O11" s="15">
        <f t="shared" si="0"/>
        <v>192</v>
      </c>
      <c r="P11" s="15">
        <f t="shared" si="1"/>
        <v>447</v>
      </c>
      <c r="R11" s="1" t="s">
        <v>7</v>
      </c>
      <c r="S11" s="17">
        <f t="shared" ref="S11:AF11" si="3">SUM(C14:C17)</f>
        <v>395</v>
      </c>
      <c r="T11" s="17">
        <f t="shared" si="3"/>
        <v>41</v>
      </c>
      <c r="U11" s="17">
        <f t="shared" si="3"/>
        <v>53</v>
      </c>
      <c r="V11" s="17">
        <f t="shared" si="3"/>
        <v>227</v>
      </c>
      <c r="W11" s="17">
        <f t="shared" si="3"/>
        <v>12</v>
      </c>
      <c r="X11" s="17">
        <f t="shared" si="3"/>
        <v>7</v>
      </c>
      <c r="Y11" s="17">
        <f t="shared" si="3"/>
        <v>65</v>
      </c>
      <c r="Z11" s="17">
        <f t="shared" si="3"/>
        <v>26</v>
      </c>
      <c r="AA11" s="17">
        <f t="shared" si="3"/>
        <v>2</v>
      </c>
      <c r="AB11" s="17">
        <f t="shared" si="3"/>
        <v>23</v>
      </c>
      <c r="AC11" s="17">
        <f t="shared" si="3"/>
        <v>1830</v>
      </c>
      <c r="AD11" s="17">
        <f t="shared" si="3"/>
        <v>1</v>
      </c>
      <c r="AE11" s="31">
        <f t="shared" si="3"/>
        <v>852</v>
      </c>
      <c r="AF11" s="31">
        <f t="shared" si="3"/>
        <v>2682</v>
      </c>
    </row>
    <row r="12" spans="2:32" ht="23.1" customHeight="1" x14ac:dyDescent="0.25">
      <c r="B12" s="45" t="s">
        <v>39</v>
      </c>
      <c r="C12" s="50">
        <v>36</v>
      </c>
      <c r="D12" s="50">
        <v>2</v>
      </c>
      <c r="E12" s="50">
        <v>2</v>
      </c>
      <c r="F12" s="50">
        <v>3</v>
      </c>
      <c r="G12" s="50">
        <v>1</v>
      </c>
      <c r="H12" s="50">
        <v>0</v>
      </c>
      <c r="I12" s="50">
        <v>3</v>
      </c>
      <c r="J12" s="50">
        <v>5</v>
      </c>
      <c r="K12" s="50">
        <v>2</v>
      </c>
      <c r="L12" s="50">
        <v>5</v>
      </c>
      <c r="M12" s="50">
        <v>305</v>
      </c>
      <c r="N12" s="50">
        <v>0</v>
      </c>
      <c r="O12" s="15">
        <f t="shared" si="0"/>
        <v>59</v>
      </c>
      <c r="P12" s="15">
        <f t="shared" si="1"/>
        <v>364</v>
      </c>
      <c r="R12" s="1" t="s">
        <v>8</v>
      </c>
      <c r="S12" s="17">
        <f t="shared" ref="S12:AF12" si="4">SUM(C18:C21)</f>
        <v>347</v>
      </c>
      <c r="T12" s="17">
        <f t="shared" si="4"/>
        <v>39</v>
      </c>
      <c r="U12" s="17">
        <f t="shared" si="4"/>
        <v>57</v>
      </c>
      <c r="V12" s="17">
        <f t="shared" si="4"/>
        <v>218</v>
      </c>
      <c r="W12" s="17">
        <f t="shared" si="4"/>
        <v>10</v>
      </c>
      <c r="X12" s="17">
        <f t="shared" si="4"/>
        <v>5</v>
      </c>
      <c r="Y12" s="17">
        <f t="shared" si="4"/>
        <v>51</v>
      </c>
      <c r="Z12" s="17">
        <f t="shared" si="4"/>
        <v>14</v>
      </c>
      <c r="AA12" s="17">
        <f t="shared" si="4"/>
        <v>5</v>
      </c>
      <c r="AB12" s="17">
        <f t="shared" si="4"/>
        <v>18</v>
      </c>
      <c r="AC12" s="17">
        <f t="shared" si="4"/>
        <v>1590</v>
      </c>
      <c r="AD12" s="17">
        <f t="shared" si="4"/>
        <v>0</v>
      </c>
      <c r="AE12" s="31">
        <f t="shared" si="4"/>
        <v>764</v>
      </c>
      <c r="AF12" s="31">
        <f t="shared" si="4"/>
        <v>2354</v>
      </c>
    </row>
    <row r="13" spans="2:32" ht="23.1" customHeight="1" x14ac:dyDescent="0.25">
      <c r="B13" s="45" t="s">
        <v>40</v>
      </c>
      <c r="C13" s="50">
        <v>96</v>
      </c>
      <c r="D13" s="50">
        <v>12</v>
      </c>
      <c r="E13" s="50">
        <v>15</v>
      </c>
      <c r="F13" s="50">
        <v>63</v>
      </c>
      <c r="G13" s="50">
        <v>6</v>
      </c>
      <c r="H13" s="50">
        <v>2</v>
      </c>
      <c r="I13" s="50">
        <v>16</v>
      </c>
      <c r="J13" s="50">
        <v>6</v>
      </c>
      <c r="K13" s="50">
        <v>0</v>
      </c>
      <c r="L13" s="50">
        <v>4</v>
      </c>
      <c r="M13" s="50">
        <v>375</v>
      </c>
      <c r="N13" s="50">
        <v>0</v>
      </c>
      <c r="O13" s="15">
        <f t="shared" si="0"/>
        <v>220</v>
      </c>
      <c r="P13" s="15">
        <f t="shared" si="1"/>
        <v>595</v>
      </c>
      <c r="R13" s="1" t="s">
        <v>9</v>
      </c>
      <c r="S13" s="17">
        <f t="shared" ref="S13:AF13" si="5">SUM(C22:C25)</f>
        <v>254</v>
      </c>
      <c r="T13" s="17">
        <f t="shared" si="5"/>
        <v>28</v>
      </c>
      <c r="U13" s="17">
        <f t="shared" si="5"/>
        <v>29</v>
      </c>
      <c r="V13" s="17">
        <f t="shared" si="5"/>
        <v>167</v>
      </c>
      <c r="W13" s="17">
        <f t="shared" si="5"/>
        <v>8</v>
      </c>
      <c r="X13" s="17">
        <f t="shared" si="5"/>
        <v>2</v>
      </c>
      <c r="Y13" s="17">
        <f t="shared" si="5"/>
        <v>49</v>
      </c>
      <c r="Z13" s="17">
        <f t="shared" si="5"/>
        <v>14</v>
      </c>
      <c r="AA13" s="17">
        <f t="shared" si="5"/>
        <v>2</v>
      </c>
      <c r="AB13" s="17">
        <f t="shared" si="5"/>
        <v>10</v>
      </c>
      <c r="AC13" s="17">
        <f t="shared" si="5"/>
        <v>1055</v>
      </c>
      <c r="AD13" s="17">
        <f t="shared" si="5"/>
        <v>0</v>
      </c>
      <c r="AE13" s="31">
        <f t="shared" si="5"/>
        <v>563</v>
      </c>
      <c r="AF13" s="31">
        <f t="shared" si="5"/>
        <v>1618</v>
      </c>
    </row>
    <row r="14" spans="2:32" ht="23.1" customHeight="1" x14ac:dyDescent="0.25">
      <c r="B14" s="45" t="s">
        <v>41</v>
      </c>
      <c r="C14" s="50">
        <v>96</v>
      </c>
      <c r="D14" s="50">
        <v>10</v>
      </c>
      <c r="E14" s="50">
        <v>16</v>
      </c>
      <c r="F14" s="50">
        <v>68</v>
      </c>
      <c r="G14" s="50">
        <v>3</v>
      </c>
      <c r="H14" s="50">
        <v>4</v>
      </c>
      <c r="I14" s="50">
        <v>12</v>
      </c>
      <c r="J14" s="50">
        <v>6</v>
      </c>
      <c r="K14" s="50">
        <v>0</v>
      </c>
      <c r="L14" s="50">
        <v>2</v>
      </c>
      <c r="M14" s="50">
        <v>435</v>
      </c>
      <c r="N14" s="50">
        <v>0</v>
      </c>
      <c r="O14" s="15">
        <f t="shared" si="0"/>
        <v>217</v>
      </c>
      <c r="P14" s="15">
        <f t="shared" si="1"/>
        <v>652</v>
      </c>
      <c r="R14" s="1" t="s">
        <v>10</v>
      </c>
      <c r="S14" s="17">
        <f t="shared" ref="S14:AF14" si="6">SUM(C26:C29)</f>
        <v>253</v>
      </c>
      <c r="T14" s="17">
        <f t="shared" si="6"/>
        <v>24</v>
      </c>
      <c r="U14" s="17">
        <f t="shared" si="6"/>
        <v>36</v>
      </c>
      <c r="V14" s="17">
        <f t="shared" si="6"/>
        <v>178</v>
      </c>
      <c r="W14" s="17">
        <f t="shared" si="6"/>
        <v>4</v>
      </c>
      <c r="X14" s="17">
        <f t="shared" si="6"/>
        <v>2</v>
      </c>
      <c r="Y14" s="17">
        <f t="shared" si="6"/>
        <v>70</v>
      </c>
      <c r="Z14" s="17">
        <f t="shared" si="6"/>
        <v>9</v>
      </c>
      <c r="AA14" s="17">
        <f t="shared" si="6"/>
        <v>3</v>
      </c>
      <c r="AB14" s="17">
        <f t="shared" si="6"/>
        <v>12</v>
      </c>
      <c r="AC14" s="17">
        <f t="shared" si="6"/>
        <v>1015</v>
      </c>
      <c r="AD14" s="17">
        <f t="shared" si="6"/>
        <v>0</v>
      </c>
      <c r="AE14" s="31">
        <f t="shared" si="6"/>
        <v>591</v>
      </c>
      <c r="AF14" s="31">
        <f t="shared" si="6"/>
        <v>1606</v>
      </c>
    </row>
    <row r="15" spans="2:32" ht="23.1" customHeight="1" x14ac:dyDescent="0.25">
      <c r="B15" s="45" t="s">
        <v>42</v>
      </c>
      <c r="C15" s="50">
        <v>118</v>
      </c>
      <c r="D15" s="50">
        <v>9</v>
      </c>
      <c r="E15" s="50">
        <v>14</v>
      </c>
      <c r="F15" s="50">
        <v>48</v>
      </c>
      <c r="G15" s="50">
        <v>3</v>
      </c>
      <c r="H15" s="50">
        <v>0</v>
      </c>
      <c r="I15" s="50">
        <v>21</v>
      </c>
      <c r="J15" s="50">
        <v>4</v>
      </c>
      <c r="K15" s="50">
        <v>0</v>
      </c>
      <c r="L15" s="50">
        <v>7</v>
      </c>
      <c r="M15" s="50">
        <v>550</v>
      </c>
      <c r="N15" s="50">
        <v>0</v>
      </c>
      <c r="O15" s="15">
        <f t="shared" si="0"/>
        <v>224</v>
      </c>
      <c r="P15" s="15">
        <f t="shared" si="1"/>
        <v>774</v>
      </c>
      <c r="R15" s="1" t="s">
        <v>11</v>
      </c>
      <c r="S15" s="17">
        <f t="shared" ref="S15:AF15" si="7">SUM(C30:C33)</f>
        <v>236</v>
      </c>
      <c r="T15" s="17">
        <f t="shared" si="7"/>
        <v>45</v>
      </c>
      <c r="U15" s="17">
        <f t="shared" si="7"/>
        <v>38</v>
      </c>
      <c r="V15" s="17">
        <f t="shared" si="7"/>
        <v>182</v>
      </c>
      <c r="W15" s="17">
        <f t="shared" si="7"/>
        <v>8</v>
      </c>
      <c r="X15" s="17">
        <f t="shared" si="7"/>
        <v>3</v>
      </c>
      <c r="Y15" s="17">
        <f t="shared" si="7"/>
        <v>53</v>
      </c>
      <c r="Z15" s="17">
        <f t="shared" si="7"/>
        <v>23</v>
      </c>
      <c r="AA15" s="17">
        <f t="shared" si="7"/>
        <v>2</v>
      </c>
      <c r="AB15" s="17">
        <f t="shared" si="7"/>
        <v>19</v>
      </c>
      <c r="AC15" s="17">
        <f t="shared" si="7"/>
        <v>1172</v>
      </c>
      <c r="AD15" s="17">
        <f t="shared" si="7"/>
        <v>0</v>
      </c>
      <c r="AE15" s="31">
        <f t="shared" si="7"/>
        <v>609</v>
      </c>
      <c r="AF15" s="31">
        <f t="shared" si="7"/>
        <v>1781</v>
      </c>
    </row>
    <row r="16" spans="2:32" ht="23.1" customHeight="1" x14ac:dyDescent="0.25">
      <c r="B16" s="45" t="s">
        <v>43</v>
      </c>
      <c r="C16" s="50">
        <v>84</v>
      </c>
      <c r="D16" s="50">
        <v>12</v>
      </c>
      <c r="E16" s="50">
        <v>14</v>
      </c>
      <c r="F16" s="50">
        <v>58</v>
      </c>
      <c r="G16" s="50">
        <v>3</v>
      </c>
      <c r="H16" s="50">
        <v>1</v>
      </c>
      <c r="I16" s="50">
        <v>15</v>
      </c>
      <c r="J16" s="50">
        <v>11</v>
      </c>
      <c r="K16" s="50">
        <v>1</v>
      </c>
      <c r="L16" s="50">
        <v>5</v>
      </c>
      <c r="M16" s="50">
        <v>390</v>
      </c>
      <c r="N16" s="50">
        <v>1</v>
      </c>
      <c r="O16" s="15">
        <f t="shared" si="0"/>
        <v>205</v>
      </c>
      <c r="P16" s="15">
        <f t="shared" si="1"/>
        <v>595</v>
      </c>
      <c r="R16" s="1" t="s">
        <v>12</v>
      </c>
      <c r="S16" s="17">
        <f t="shared" ref="S16:AF16" si="8">SUM(C34:C37)</f>
        <v>214</v>
      </c>
      <c r="T16" s="17">
        <f t="shared" si="8"/>
        <v>34</v>
      </c>
      <c r="U16" s="17">
        <f t="shared" si="8"/>
        <v>32</v>
      </c>
      <c r="V16" s="17">
        <f t="shared" si="8"/>
        <v>147</v>
      </c>
      <c r="W16" s="17">
        <f t="shared" si="8"/>
        <v>3</v>
      </c>
      <c r="X16" s="17">
        <f t="shared" si="8"/>
        <v>3</v>
      </c>
      <c r="Y16" s="17">
        <f t="shared" si="8"/>
        <v>55</v>
      </c>
      <c r="Z16" s="17">
        <f t="shared" si="8"/>
        <v>16</v>
      </c>
      <c r="AA16" s="17">
        <f t="shared" si="8"/>
        <v>3</v>
      </c>
      <c r="AB16" s="17">
        <f t="shared" si="8"/>
        <v>18</v>
      </c>
      <c r="AC16" s="17">
        <f t="shared" si="8"/>
        <v>1132</v>
      </c>
      <c r="AD16" s="17">
        <f t="shared" si="8"/>
        <v>0</v>
      </c>
      <c r="AE16" s="31">
        <f t="shared" si="8"/>
        <v>525</v>
      </c>
      <c r="AF16" s="31">
        <f t="shared" si="8"/>
        <v>1657</v>
      </c>
    </row>
    <row r="17" spans="2:32" ht="23.1" customHeight="1" x14ac:dyDescent="0.25">
      <c r="B17" s="45" t="s">
        <v>44</v>
      </c>
      <c r="C17" s="50">
        <v>97</v>
      </c>
      <c r="D17" s="50">
        <v>10</v>
      </c>
      <c r="E17" s="50">
        <v>9</v>
      </c>
      <c r="F17" s="50">
        <v>53</v>
      </c>
      <c r="G17" s="50">
        <v>3</v>
      </c>
      <c r="H17" s="50">
        <v>2</v>
      </c>
      <c r="I17" s="50">
        <v>17</v>
      </c>
      <c r="J17" s="50">
        <v>5</v>
      </c>
      <c r="K17" s="50">
        <v>1</v>
      </c>
      <c r="L17" s="50">
        <v>9</v>
      </c>
      <c r="M17" s="50">
        <v>455</v>
      </c>
      <c r="N17" s="50">
        <v>0</v>
      </c>
      <c r="O17" s="15">
        <f t="shared" si="0"/>
        <v>206</v>
      </c>
      <c r="P17" s="15">
        <f t="shared" si="1"/>
        <v>661</v>
      </c>
      <c r="R17" s="1" t="s">
        <v>13</v>
      </c>
      <c r="S17" s="17">
        <f t="shared" ref="S17:AF17" si="9">SUM(C38:C41)</f>
        <v>217</v>
      </c>
      <c r="T17" s="17">
        <f t="shared" si="9"/>
        <v>44</v>
      </c>
      <c r="U17" s="17">
        <f t="shared" si="9"/>
        <v>68</v>
      </c>
      <c r="V17" s="17">
        <f t="shared" si="9"/>
        <v>150</v>
      </c>
      <c r="W17" s="17">
        <f t="shared" si="9"/>
        <v>2</v>
      </c>
      <c r="X17" s="17">
        <f t="shared" si="9"/>
        <v>7</v>
      </c>
      <c r="Y17" s="17">
        <f t="shared" si="9"/>
        <v>48</v>
      </c>
      <c r="Z17" s="17">
        <f t="shared" si="9"/>
        <v>18</v>
      </c>
      <c r="AA17" s="17">
        <f t="shared" si="9"/>
        <v>6</v>
      </c>
      <c r="AB17" s="17">
        <f t="shared" si="9"/>
        <v>13</v>
      </c>
      <c r="AC17" s="17">
        <f t="shared" si="9"/>
        <v>842</v>
      </c>
      <c r="AD17" s="17">
        <f t="shared" si="9"/>
        <v>0</v>
      </c>
      <c r="AE17" s="31">
        <f t="shared" si="9"/>
        <v>573</v>
      </c>
      <c r="AF17" s="31">
        <f t="shared" si="9"/>
        <v>1415</v>
      </c>
    </row>
    <row r="18" spans="2:32" ht="23.1" customHeight="1" x14ac:dyDescent="0.25">
      <c r="B18" s="45" t="s">
        <v>45</v>
      </c>
      <c r="C18" s="50">
        <v>88</v>
      </c>
      <c r="D18" s="50">
        <v>10</v>
      </c>
      <c r="E18" s="50">
        <v>15</v>
      </c>
      <c r="F18" s="50">
        <v>49</v>
      </c>
      <c r="G18" s="50">
        <v>7</v>
      </c>
      <c r="H18" s="50">
        <v>1</v>
      </c>
      <c r="I18" s="50">
        <v>10</v>
      </c>
      <c r="J18" s="50">
        <v>4</v>
      </c>
      <c r="K18" s="50">
        <v>2</v>
      </c>
      <c r="L18" s="50">
        <v>5</v>
      </c>
      <c r="M18" s="50">
        <v>410</v>
      </c>
      <c r="N18" s="50">
        <v>0</v>
      </c>
      <c r="O18" s="15">
        <f t="shared" si="0"/>
        <v>191</v>
      </c>
      <c r="P18" s="15">
        <f t="shared" si="1"/>
        <v>601</v>
      </c>
      <c r="R18" s="1" t="s">
        <v>14</v>
      </c>
      <c r="S18" s="17">
        <f t="shared" ref="S18:AF18" si="10">SUM(C42:C45)</f>
        <v>232</v>
      </c>
      <c r="T18" s="17">
        <f t="shared" si="10"/>
        <v>49</v>
      </c>
      <c r="U18" s="17">
        <f t="shared" si="10"/>
        <v>44</v>
      </c>
      <c r="V18" s="17">
        <f t="shared" si="10"/>
        <v>129</v>
      </c>
      <c r="W18" s="17">
        <f t="shared" si="10"/>
        <v>4</v>
      </c>
      <c r="X18" s="17">
        <f t="shared" si="10"/>
        <v>4</v>
      </c>
      <c r="Y18" s="17">
        <f t="shared" si="10"/>
        <v>58</v>
      </c>
      <c r="Z18" s="17">
        <f t="shared" si="10"/>
        <v>15</v>
      </c>
      <c r="AA18" s="17">
        <f t="shared" si="10"/>
        <v>1</v>
      </c>
      <c r="AB18" s="17">
        <f t="shared" si="10"/>
        <v>8</v>
      </c>
      <c r="AC18" s="17">
        <f t="shared" si="10"/>
        <v>891</v>
      </c>
      <c r="AD18" s="17">
        <f t="shared" si="10"/>
        <v>0</v>
      </c>
      <c r="AE18" s="31">
        <f t="shared" si="10"/>
        <v>544</v>
      </c>
      <c r="AF18" s="31">
        <f t="shared" si="10"/>
        <v>1435</v>
      </c>
    </row>
    <row r="19" spans="2:32" ht="23.1" customHeight="1" x14ac:dyDescent="0.25">
      <c r="B19" s="45" t="s">
        <v>46</v>
      </c>
      <c r="C19" s="50">
        <v>83</v>
      </c>
      <c r="D19" s="50">
        <v>11</v>
      </c>
      <c r="E19" s="50">
        <v>10</v>
      </c>
      <c r="F19" s="50">
        <v>54</v>
      </c>
      <c r="G19" s="50">
        <v>1</v>
      </c>
      <c r="H19" s="50">
        <v>3</v>
      </c>
      <c r="I19" s="50">
        <v>10</v>
      </c>
      <c r="J19" s="50">
        <v>3</v>
      </c>
      <c r="K19" s="50">
        <v>1</v>
      </c>
      <c r="L19" s="50">
        <v>3</v>
      </c>
      <c r="M19" s="50">
        <v>460</v>
      </c>
      <c r="N19" s="50">
        <v>0</v>
      </c>
      <c r="O19" s="15">
        <f t="shared" si="0"/>
        <v>179</v>
      </c>
      <c r="P19" s="15">
        <f t="shared" si="1"/>
        <v>639</v>
      </c>
      <c r="R19" s="1" t="s">
        <v>15</v>
      </c>
      <c r="S19" s="17">
        <f t="shared" ref="S19:AF19" si="11">SUM(C46:C49)</f>
        <v>219</v>
      </c>
      <c r="T19" s="17">
        <f t="shared" si="11"/>
        <v>29</v>
      </c>
      <c r="U19" s="17">
        <f t="shared" si="11"/>
        <v>40</v>
      </c>
      <c r="V19" s="17">
        <f t="shared" si="11"/>
        <v>129</v>
      </c>
      <c r="W19" s="17">
        <f t="shared" si="11"/>
        <v>7</v>
      </c>
      <c r="X19" s="17">
        <f t="shared" si="11"/>
        <v>12</v>
      </c>
      <c r="Y19" s="17">
        <f t="shared" si="11"/>
        <v>62</v>
      </c>
      <c r="Z19" s="17">
        <f t="shared" si="11"/>
        <v>35</v>
      </c>
      <c r="AA19" s="17">
        <f t="shared" si="11"/>
        <v>10</v>
      </c>
      <c r="AB19" s="17">
        <f t="shared" si="11"/>
        <v>13</v>
      </c>
      <c r="AC19" s="17">
        <f t="shared" si="11"/>
        <v>951</v>
      </c>
      <c r="AD19" s="17">
        <f t="shared" si="11"/>
        <v>1</v>
      </c>
      <c r="AE19" s="31">
        <f t="shared" si="11"/>
        <v>557</v>
      </c>
      <c r="AF19" s="31">
        <f t="shared" si="11"/>
        <v>1508</v>
      </c>
    </row>
    <row r="20" spans="2:32" ht="23.1" customHeight="1" x14ac:dyDescent="0.25">
      <c r="B20" s="45" t="s">
        <v>47</v>
      </c>
      <c r="C20" s="50">
        <v>100</v>
      </c>
      <c r="D20" s="50">
        <v>6</v>
      </c>
      <c r="E20" s="50">
        <v>17</v>
      </c>
      <c r="F20" s="50">
        <v>56</v>
      </c>
      <c r="G20" s="50">
        <v>1</v>
      </c>
      <c r="H20" s="50">
        <v>0</v>
      </c>
      <c r="I20" s="50">
        <v>18</v>
      </c>
      <c r="J20" s="50">
        <v>5</v>
      </c>
      <c r="K20" s="50">
        <v>2</v>
      </c>
      <c r="L20" s="50">
        <v>9</v>
      </c>
      <c r="M20" s="50">
        <v>370</v>
      </c>
      <c r="N20" s="50">
        <v>0</v>
      </c>
      <c r="O20" s="15">
        <f t="shared" si="0"/>
        <v>214</v>
      </c>
      <c r="P20" s="15">
        <f t="shared" si="1"/>
        <v>584</v>
      </c>
      <c r="R20" s="1" t="s">
        <v>16</v>
      </c>
      <c r="S20" s="17">
        <f t="shared" ref="S20:AF20" si="12">SUM(C50:C53)</f>
        <v>319</v>
      </c>
      <c r="T20" s="17">
        <f t="shared" si="12"/>
        <v>50</v>
      </c>
      <c r="U20" s="17">
        <f t="shared" si="12"/>
        <v>41</v>
      </c>
      <c r="V20" s="17">
        <f t="shared" si="12"/>
        <v>181</v>
      </c>
      <c r="W20" s="17">
        <f t="shared" si="12"/>
        <v>8</v>
      </c>
      <c r="X20" s="17">
        <f t="shared" si="12"/>
        <v>5</v>
      </c>
      <c r="Y20" s="17">
        <f t="shared" si="12"/>
        <v>54</v>
      </c>
      <c r="Z20" s="17">
        <f t="shared" si="12"/>
        <v>20</v>
      </c>
      <c r="AA20" s="17">
        <f t="shared" si="12"/>
        <v>3</v>
      </c>
      <c r="AB20" s="17">
        <f t="shared" si="12"/>
        <v>9</v>
      </c>
      <c r="AC20" s="17">
        <f t="shared" si="12"/>
        <v>1250</v>
      </c>
      <c r="AD20" s="17">
        <f t="shared" si="12"/>
        <v>0</v>
      </c>
      <c r="AE20" s="31">
        <f t="shared" si="12"/>
        <v>690</v>
      </c>
      <c r="AF20" s="31">
        <f t="shared" si="12"/>
        <v>1940</v>
      </c>
    </row>
    <row r="21" spans="2:32" ht="23.1" customHeight="1" x14ac:dyDescent="0.25">
      <c r="B21" s="45" t="s">
        <v>48</v>
      </c>
      <c r="C21" s="50">
        <v>76</v>
      </c>
      <c r="D21" s="50">
        <v>12</v>
      </c>
      <c r="E21" s="50">
        <v>15</v>
      </c>
      <c r="F21" s="50">
        <v>59</v>
      </c>
      <c r="G21" s="50">
        <v>1</v>
      </c>
      <c r="H21" s="50">
        <v>1</v>
      </c>
      <c r="I21" s="50">
        <v>13</v>
      </c>
      <c r="J21" s="50">
        <v>2</v>
      </c>
      <c r="K21" s="50">
        <v>0</v>
      </c>
      <c r="L21" s="50">
        <v>1</v>
      </c>
      <c r="M21" s="50">
        <v>350</v>
      </c>
      <c r="N21" s="50">
        <v>0</v>
      </c>
      <c r="O21" s="15">
        <f t="shared" si="0"/>
        <v>180</v>
      </c>
      <c r="P21" s="15">
        <f t="shared" si="1"/>
        <v>530</v>
      </c>
      <c r="R21" s="36" t="s">
        <v>20</v>
      </c>
      <c r="S21" s="34">
        <f t="shared" ref="S21:AF21" si="13">SUM(C54:C57)</f>
        <v>288</v>
      </c>
      <c r="T21" s="17">
        <f t="shared" si="13"/>
        <v>36</v>
      </c>
      <c r="U21" s="17">
        <f t="shared" si="13"/>
        <v>43</v>
      </c>
      <c r="V21" s="17">
        <f t="shared" si="13"/>
        <v>198</v>
      </c>
      <c r="W21" s="17">
        <f t="shared" si="13"/>
        <v>12</v>
      </c>
      <c r="X21" s="17">
        <f t="shared" si="13"/>
        <v>5</v>
      </c>
      <c r="Y21" s="17">
        <f t="shared" si="13"/>
        <v>48</v>
      </c>
      <c r="Z21" s="17">
        <f t="shared" si="13"/>
        <v>26</v>
      </c>
      <c r="AA21" s="17">
        <f t="shared" si="13"/>
        <v>4</v>
      </c>
      <c r="AB21" s="17">
        <f t="shared" si="13"/>
        <v>13</v>
      </c>
      <c r="AC21" s="17">
        <f t="shared" si="13"/>
        <v>1220</v>
      </c>
      <c r="AD21" s="17">
        <f t="shared" si="13"/>
        <v>0</v>
      </c>
      <c r="AE21" s="31">
        <f t="shared" si="13"/>
        <v>673</v>
      </c>
      <c r="AF21" s="31">
        <f t="shared" si="13"/>
        <v>1893</v>
      </c>
    </row>
    <row r="22" spans="2:32" ht="23.1" customHeight="1" x14ac:dyDescent="0.25">
      <c r="B22" s="45" t="s">
        <v>49</v>
      </c>
      <c r="C22" s="50">
        <v>50</v>
      </c>
      <c r="D22" s="50">
        <v>8</v>
      </c>
      <c r="E22" s="50">
        <v>5</v>
      </c>
      <c r="F22" s="50">
        <v>40</v>
      </c>
      <c r="G22" s="50">
        <v>3</v>
      </c>
      <c r="H22" s="50">
        <v>1</v>
      </c>
      <c r="I22" s="50">
        <v>12</v>
      </c>
      <c r="J22" s="50">
        <v>1</v>
      </c>
      <c r="K22" s="50">
        <v>1</v>
      </c>
      <c r="L22" s="50">
        <v>2</v>
      </c>
      <c r="M22" s="50">
        <v>360</v>
      </c>
      <c r="N22" s="50">
        <v>0</v>
      </c>
      <c r="O22" s="15">
        <f t="shared" si="0"/>
        <v>123</v>
      </c>
      <c r="P22" s="15">
        <f t="shared" si="1"/>
        <v>483</v>
      </c>
      <c r="R22" s="36" t="s">
        <v>146</v>
      </c>
      <c r="S22" s="34">
        <f>SUM(C58:C61)</f>
        <v>288</v>
      </c>
      <c r="T22" s="34">
        <f t="shared" ref="T22:AF22" si="14">SUM(D58:D61)</f>
        <v>30</v>
      </c>
      <c r="U22" s="34">
        <f t="shared" si="14"/>
        <v>30</v>
      </c>
      <c r="V22" s="34">
        <f t="shared" si="14"/>
        <v>155</v>
      </c>
      <c r="W22" s="34">
        <f t="shared" si="14"/>
        <v>7</v>
      </c>
      <c r="X22" s="34">
        <f t="shared" si="14"/>
        <v>10</v>
      </c>
      <c r="Y22" s="34">
        <f t="shared" si="14"/>
        <v>49</v>
      </c>
      <c r="Z22" s="34">
        <f t="shared" si="14"/>
        <v>17</v>
      </c>
      <c r="AA22" s="34">
        <f t="shared" si="14"/>
        <v>4</v>
      </c>
      <c r="AB22" s="34">
        <f t="shared" si="14"/>
        <v>9</v>
      </c>
      <c r="AC22" s="34">
        <f t="shared" si="14"/>
        <v>1275</v>
      </c>
      <c r="AD22" s="34">
        <f t="shared" si="14"/>
        <v>1</v>
      </c>
      <c r="AE22" s="31">
        <f t="shared" si="14"/>
        <v>600</v>
      </c>
      <c r="AF22" s="31">
        <f t="shared" si="14"/>
        <v>1875</v>
      </c>
    </row>
    <row r="23" spans="2:32" ht="23.1" customHeight="1" x14ac:dyDescent="0.25">
      <c r="B23" s="45" t="s">
        <v>50</v>
      </c>
      <c r="C23" s="50">
        <v>74</v>
      </c>
      <c r="D23" s="50">
        <v>6</v>
      </c>
      <c r="E23" s="50">
        <v>10</v>
      </c>
      <c r="F23" s="50">
        <v>53</v>
      </c>
      <c r="G23" s="50">
        <v>3</v>
      </c>
      <c r="H23" s="50">
        <v>1</v>
      </c>
      <c r="I23" s="50">
        <v>9</v>
      </c>
      <c r="J23" s="50">
        <v>4</v>
      </c>
      <c r="K23" s="50">
        <v>1</v>
      </c>
      <c r="L23" s="50">
        <v>1</v>
      </c>
      <c r="M23" s="50">
        <v>280</v>
      </c>
      <c r="N23" s="50">
        <v>0</v>
      </c>
      <c r="O23" s="15">
        <f t="shared" si="0"/>
        <v>162</v>
      </c>
      <c r="P23" s="15">
        <f t="shared" si="1"/>
        <v>442</v>
      </c>
      <c r="R23" s="36" t="s">
        <v>147</v>
      </c>
      <c r="S23" s="34">
        <f>SUM(C62:C65)</f>
        <v>156</v>
      </c>
      <c r="T23" s="34">
        <f t="shared" ref="T23:AF23" si="15">SUM(D62:D65)</f>
        <v>15</v>
      </c>
      <c r="U23" s="34">
        <f t="shared" si="15"/>
        <v>19</v>
      </c>
      <c r="V23" s="34">
        <f t="shared" si="15"/>
        <v>88</v>
      </c>
      <c r="W23" s="34">
        <f t="shared" si="15"/>
        <v>6</v>
      </c>
      <c r="X23" s="34">
        <f t="shared" si="15"/>
        <v>8</v>
      </c>
      <c r="Y23" s="34">
        <f t="shared" si="15"/>
        <v>42</v>
      </c>
      <c r="Z23" s="34">
        <f t="shared" si="15"/>
        <v>21</v>
      </c>
      <c r="AA23" s="34">
        <f t="shared" si="15"/>
        <v>7</v>
      </c>
      <c r="AB23" s="34">
        <f t="shared" si="15"/>
        <v>5</v>
      </c>
      <c r="AC23" s="34">
        <f t="shared" si="15"/>
        <v>1145</v>
      </c>
      <c r="AD23" s="34">
        <f t="shared" si="15"/>
        <v>0</v>
      </c>
      <c r="AE23" s="31">
        <f t="shared" si="15"/>
        <v>367</v>
      </c>
      <c r="AF23" s="31">
        <f t="shared" si="15"/>
        <v>1512</v>
      </c>
    </row>
    <row r="24" spans="2:32" ht="23.1" customHeight="1" x14ac:dyDescent="0.25">
      <c r="B24" s="45" t="s">
        <v>51</v>
      </c>
      <c r="C24" s="50">
        <v>78</v>
      </c>
      <c r="D24" s="50">
        <v>9</v>
      </c>
      <c r="E24" s="50">
        <v>8</v>
      </c>
      <c r="F24" s="50">
        <v>40</v>
      </c>
      <c r="G24" s="50">
        <v>1</v>
      </c>
      <c r="H24" s="50">
        <v>0</v>
      </c>
      <c r="I24" s="50">
        <v>17</v>
      </c>
      <c r="J24" s="50">
        <v>6</v>
      </c>
      <c r="K24" s="50">
        <v>0</v>
      </c>
      <c r="L24" s="50">
        <v>4</v>
      </c>
      <c r="M24" s="50">
        <v>175</v>
      </c>
      <c r="N24" s="50">
        <v>0</v>
      </c>
      <c r="O24" s="15">
        <f t="shared" si="0"/>
        <v>163</v>
      </c>
      <c r="P24" s="15">
        <f t="shared" si="1"/>
        <v>338</v>
      </c>
      <c r="R24" s="36" t="s">
        <v>148</v>
      </c>
      <c r="S24" s="34">
        <f>SUM(C66:C69)</f>
        <v>189</v>
      </c>
      <c r="T24" s="34">
        <f t="shared" ref="T24:AF24" si="16">SUM(D66:D69)</f>
        <v>36</v>
      </c>
      <c r="U24" s="34">
        <f t="shared" si="16"/>
        <v>43</v>
      </c>
      <c r="V24" s="34">
        <f t="shared" si="16"/>
        <v>92</v>
      </c>
      <c r="W24" s="34">
        <f t="shared" si="16"/>
        <v>9</v>
      </c>
      <c r="X24" s="34">
        <f t="shared" si="16"/>
        <v>5</v>
      </c>
      <c r="Y24" s="34">
        <f t="shared" si="16"/>
        <v>48</v>
      </c>
      <c r="Z24" s="34">
        <f t="shared" si="16"/>
        <v>19</v>
      </c>
      <c r="AA24" s="34">
        <f t="shared" si="16"/>
        <v>7</v>
      </c>
      <c r="AB24" s="34">
        <f t="shared" si="16"/>
        <v>13</v>
      </c>
      <c r="AC24" s="34">
        <f t="shared" si="16"/>
        <v>1135</v>
      </c>
      <c r="AD24" s="34">
        <f t="shared" si="16"/>
        <v>0</v>
      </c>
      <c r="AE24" s="31">
        <f t="shared" si="16"/>
        <v>461</v>
      </c>
      <c r="AF24" s="31">
        <f t="shared" si="16"/>
        <v>1596</v>
      </c>
    </row>
    <row r="25" spans="2:32" ht="23.1" customHeight="1" x14ac:dyDescent="0.25">
      <c r="B25" s="45" t="s">
        <v>52</v>
      </c>
      <c r="C25" s="50">
        <v>52</v>
      </c>
      <c r="D25" s="50">
        <v>5</v>
      </c>
      <c r="E25" s="50">
        <v>6</v>
      </c>
      <c r="F25" s="50">
        <v>34</v>
      </c>
      <c r="G25" s="50">
        <v>1</v>
      </c>
      <c r="H25" s="50">
        <v>0</v>
      </c>
      <c r="I25" s="50">
        <v>11</v>
      </c>
      <c r="J25" s="50">
        <v>3</v>
      </c>
      <c r="K25" s="50">
        <v>0</v>
      </c>
      <c r="L25" s="50">
        <v>3</v>
      </c>
      <c r="M25" s="50">
        <v>240</v>
      </c>
      <c r="N25" s="50">
        <v>0</v>
      </c>
      <c r="O25" s="15">
        <f t="shared" si="0"/>
        <v>115</v>
      </c>
      <c r="P25" s="15">
        <f t="shared" si="1"/>
        <v>355</v>
      </c>
      <c r="R25" s="36" t="s">
        <v>149</v>
      </c>
      <c r="S25" s="34">
        <f>SUM(C70:C73)</f>
        <v>161</v>
      </c>
      <c r="T25" s="34">
        <f t="shared" ref="T25:AF25" si="17">SUM(D70:D73)</f>
        <v>26</v>
      </c>
      <c r="U25" s="34">
        <f t="shared" si="17"/>
        <v>24</v>
      </c>
      <c r="V25" s="34">
        <f t="shared" si="17"/>
        <v>99</v>
      </c>
      <c r="W25" s="34">
        <f t="shared" si="17"/>
        <v>5</v>
      </c>
      <c r="X25" s="34">
        <f t="shared" si="17"/>
        <v>2</v>
      </c>
      <c r="Y25" s="34">
        <f t="shared" si="17"/>
        <v>63</v>
      </c>
      <c r="Z25" s="34">
        <f t="shared" si="17"/>
        <v>23</v>
      </c>
      <c r="AA25" s="34">
        <f t="shared" si="17"/>
        <v>6</v>
      </c>
      <c r="AB25" s="34">
        <f t="shared" si="17"/>
        <v>18</v>
      </c>
      <c r="AC25" s="34">
        <f t="shared" si="17"/>
        <v>636</v>
      </c>
      <c r="AD25" s="34">
        <f t="shared" si="17"/>
        <v>0</v>
      </c>
      <c r="AE25" s="31">
        <f t="shared" si="17"/>
        <v>427</v>
      </c>
      <c r="AF25" s="31">
        <f t="shared" si="17"/>
        <v>1063</v>
      </c>
    </row>
    <row r="26" spans="2:32" ht="23.1" customHeight="1" x14ac:dyDescent="0.25">
      <c r="B26" s="45" t="s">
        <v>53</v>
      </c>
      <c r="C26" s="50">
        <v>52</v>
      </c>
      <c r="D26" s="50">
        <v>4</v>
      </c>
      <c r="E26" s="50">
        <v>5</v>
      </c>
      <c r="F26" s="50">
        <v>48</v>
      </c>
      <c r="G26" s="50">
        <v>2</v>
      </c>
      <c r="H26" s="50">
        <v>1</v>
      </c>
      <c r="I26" s="50">
        <v>16</v>
      </c>
      <c r="J26" s="50">
        <v>3</v>
      </c>
      <c r="K26" s="50">
        <v>3</v>
      </c>
      <c r="L26" s="50">
        <v>5</v>
      </c>
      <c r="M26" s="50">
        <v>245</v>
      </c>
      <c r="N26" s="50">
        <v>0</v>
      </c>
      <c r="O26" s="15">
        <f t="shared" si="0"/>
        <v>139</v>
      </c>
      <c r="P26" s="15">
        <f t="shared" si="1"/>
        <v>384</v>
      </c>
      <c r="R26" s="36" t="s">
        <v>150</v>
      </c>
      <c r="S26" s="34">
        <f>SUM(C74:C77)</f>
        <v>129</v>
      </c>
      <c r="T26" s="34">
        <f t="shared" ref="T26:AF26" si="18">SUM(D74:D77)</f>
        <v>13</v>
      </c>
      <c r="U26" s="34">
        <f t="shared" si="18"/>
        <v>14</v>
      </c>
      <c r="V26" s="34">
        <f t="shared" si="18"/>
        <v>48</v>
      </c>
      <c r="W26" s="34">
        <f t="shared" si="18"/>
        <v>3</v>
      </c>
      <c r="X26" s="34">
        <f t="shared" si="18"/>
        <v>3</v>
      </c>
      <c r="Y26" s="34">
        <f t="shared" si="18"/>
        <v>54</v>
      </c>
      <c r="Z26" s="34">
        <f t="shared" si="18"/>
        <v>17</v>
      </c>
      <c r="AA26" s="34">
        <f t="shared" si="18"/>
        <v>5</v>
      </c>
      <c r="AB26" s="34">
        <f t="shared" si="18"/>
        <v>8</v>
      </c>
      <c r="AC26" s="34">
        <f t="shared" si="18"/>
        <v>371</v>
      </c>
      <c r="AD26" s="34">
        <f t="shared" si="18"/>
        <v>0</v>
      </c>
      <c r="AE26" s="31">
        <f t="shared" si="18"/>
        <v>294</v>
      </c>
      <c r="AF26" s="31">
        <f t="shared" si="18"/>
        <v>665</v>
      </c>
    </row>
    <row r="27" spans="2:32" ht="23.1" customHeight="1" x14ac:dyDescent="0.25">
      <c r="B27" s="45" t="s">
        <v>54</v>
      </c>
      <c r="C27" s="50">
        <v>73</v>
      </c>
      <c r="D27" s="50">
        <v>12</v>
      </c>
      <c r="E27" s="50">
        <v>10</v>
      </c>
      <c r="F27" s="50">
        <v>43</v>
      </c>
      <c r="G27" s="50">
        <v>1</v>
      </c>
      <c r="H27" s="50">
        <v>0</v>
      </c>
      <c r="I27" s="50">
        <v>11</v>
      </c>
      <c r="J27" s="50">
        <v>3</v>
      </c>
      <c r="K27" s="50">
        <v>0</v>
      </c>
      <c r="L27" s="50">
        <v>3</v>
      </c>
      <c r="M27" s="50">
        <v>234</v>
      </c>
      <c r="N27" s="50">
        <v>0</v>
      </c>
      <c r="O27" s="15">
        <f t="shared" si="0"/>
        <v>156</v>
      </c>
      <c r="P27" s="15">
        <f t="shared" si="1"/>
        <v>390</v>
      </c>
      <c r="R27" s="36" t="s">
        <v>151</v>
      </c>
      <c r="S27" s="34">
        <f>SUM(C78:C81)</f>
        <v>86</v>
      </c>
      <c r="T27" s="34">
        <f t="shared" ref="T27:AF27" si="19">SUM(D78:D81)</f>
        <v>13</v>
      </c>
      <c r="U27" s="34">
        <f t="shared" si="19"/>
        <v>11</v>
      </c>
      <c r="V27" s="34">
        <f t="shared" si="19"/>
        <v>52</v>
      </c>
      <c r="W27" s="34">
        <f t="shared" si="19"/>
        <v>1</v>
      </c>
      <c r="X27" s="34">
        <f t="shared" si="19"/>
        <v>4</v>
      </c>
      <c r="Y27" s="34">
        <f t="shared" si="19"/>
        <v>60</v>
      </c>
      <c r="Z27" s="34">
        <f t="shared" si="19"/>
        <v>28</v>
      </c>
      <c r="AA27" s="34">
        <f t="shared" si="19"/>
        <v>3</v>
      </c>
      <c r="AB27" s="34">
        <f t="shared" si="19"/>
        <v>19</v>
      </c>
      <c r="AC27" s="34">
        <f t="shared" si="19"/>
        <v>172</v>
      </c>
      <c r="AD27" s="34">
        <f t="shared" si="19"/>
        <v>0</v>
      </c>
      <c r="AE27" s="31">
        <f t="shared" si="19"/>
        <v>277</v>
      </c>
      <c r="AF27" s="31">
        <f t="shared" si="19"/>
        <v>449</v>
      </c>
    </row>
    <row r="28" spans="2:32" ht="23.1" customHeight="1" x14ac:dyDescent="0.25">
      <c r="B28" s="45" t="s">
        <v>55</v>
      </c>
      <c r="C28" s="50">
        <v>68</v>
      </c>
      <c r="D28" s="50">
        <v>6</v>
      </c>
      <c r="E28" s="50">
        <v>13</v>
      </c>
      <c r="F28" s="50">
        <v>50</v>
      </c>
      <c r="G28" s="50">
        <v>1</v>
      </c>
      <c r="H28" s="50">
        <v>1</v>
      </c>
      <c r="I28" s="50">
        <v>21</v>
      </c>
      <c r="J28" s="50">
        <v>2</v>
      </c>
      <c r="K28" s="50">
        <v>0</v>
      </c>
      <c r="L28" s="50">
        <v>2</v>
      </c>
      <c r="M28" s="50">
        <v>243</v>
      </c>
      <c r="N28" s="50">
        <v>0</v>
      </c>
      <c r="O28" s="15">
        <f t="shared" si="0"/>
        <v>164</v>
      </c>
      <c r="P28" s="15">
        <f t="shared" si="1"/>
        <v>407</v>
      </c>
      <c r="R28" s="36" t="s">
        <v>152</v>
      </c>
      <c r="S28" s="34">
        <f>SUM(C82:C85)</f>
        <v>53</v>
      </c>
      <c r="T28" s="34">
        <f t="shared" ref="T28:AF28" si="20">SUM(D82:D85)</f>
        <v>8</v>
      </c>
      <c r="U28" s="34">
        <f t="shared" si="20"/>
        <v>7</v>
      </c>
      <c r="V28" s="34">
        <f t="shared" si="20"/>
        <v>17</v>
      </c>
      <c r="W28" s="34">
        <f t="shared" si="20"/>
        <v>0</v>
      </c>
      <c r="X28" s="34">
        <f t="shared" si="20"/>
        <v>1</v>
      </c>
      <c r="Y28" s="34">
        <f t="shared" si="20"/>
        <v>42</v>
      </c>
      <c r="Z28" s="34">
        <f t="shared" si="20"/>
        <v>38</v>
      </c>
      <c r="AA28" s="34">
        <f t="shared" si="20"/>
        <v>8</v>
      </c>
      <c r="AB28" s="34">
        <f t="shared" si="20"/>
        <v>17</v>
      </c>
      <c r="AC28" s="34">
        <f t="shared" si="20"/>
        <v>135</v>
      </c>
      <c r="AD28" s="34">
        <f t="shared" si="20"/>
        <v>0</v>
      </c>
      <c r="AE28" s="31">
        <f t="shared" si="20"/>
        <v>191</v>
      </c>
      <c r="AF28" s="31">
        <f t="shared" si="20"/>
        <v>326</v>
      </c>
    </row>
    <row r="29" spans="2:32" ht="23.1" customHeight="1" x14ac:dyDescent="0.25">
      <c r="B29" s="45" t="s">
        <v>56</v>
      </c>
      <c r="C29" s="50">
        <v>60</v>
      </c>
      <c r="D29" s="50">
        <v>2</v>
      </c>
      <c r="E29" s="50">
        <v>8</v>
      </c>
      <c r="F29" s="50">
        <v>37</v>
      </c>
      <c r="G29" s="50">
        <v>0</v>
      </c>
      <c r="H29" s="50">
        <v>0</v>
      </c>
      <c r="I29" s="50">
        <v>22</v>
      </c>
      <c r="J29" s="50">
        <v>1</v>
      </c>
      <c r="K29" s="50">
        <v>0</v>
      </c>
      <c r="L29" s="50">
        <v>2</v>
      </c>
      <c r="M29" s="50">
        <v>293</v>
      </c>
      <c r="N29" s="50">
        <v>0</v>
      </c>
      <c r="O29" s="15">
        <f t="shared" si="0"/>
        <v>132</v>
      </c>
      <c r="P29" s="15">
        <f t="shared" si="1"/>
        <v>425</v>
      </c>
      <c r="R29" s="36" t="s">
        <v>153</v>
      </c>
      <c r="S29" s="34">
        <f>SUM(C86:C89)</f>
        <v>26</v>
      </c>
      <c r="T29" s="34">
        <f t="shared" ref="T29:AF29" si="21">SUM(D86:D89)</f>
        <v>1</v>
      </c>
      <c r="U29" s="34">
        <f t="shared" si="21"/>
        <v>3</v>
      </c>
      <c r="V29" s="34">
        <f t="shared" si="21"/>
        <v>15</v>
      </c>
      <c r="W29" s="34">
        <f t="shared" si="21"/>
        <v>0</v>
      </c>
      <c r="X29" s="34">
        <f t="shared" si="21"/>
        <v>2</v>
      </c>
      <c r="Y29" s="34">
        <f t="shared" si="21"/>
        <v>46</v>
      </c>
      <c r="Z29" s="34">
        <f t="shared" si="21"/>
        <v>46</v>
      </c>
      <c r="AA29" s="34">
        <f t="shared" si="21"/>
        <v>3</v>
      </c>
      <c r="AB29" s="34">
        <f t="shared" si="21"/>
        <v>13</v>
      </c>
      <c r="AC29" s="34">
        <f t="shared" si="21"/>
        <v>122</v>
      </c>
      <c r="AD29" s="34">
        <f t="shared" si="21"/>
        <v>0</v>
      </c>
      <c r="AE29" s="31">
        <f t="shared" si="21"/>
        <v>155</v>
      </c>
      <c r="AF29" s="31">
        <f t="shared" si="21"/>
        <v>277</v>
      </c>
    </row>
    <row r="30" spans="2:32" ht="23.1" customHeight="1" x14ac:dyDescent="0.25">
      <c r="B30" s="45" t="s">
        <v>57</v>
      </c>
      <c r="C30" s="50">
        <v>62</v>
      </c>
      <c r="D30" s="50">
        <v>6</v>
      </c>
      <c r="E30" s="50">
        <v>9</v>
      </c>
      <c r="F30" s="50">
        <v>49</v>
      </c>
      <c r="G30" s="50">
        <v>2</v>
      </c>
      <c r="H30" s="50">
        <v>0</v>
      </c>
      <c r="I30" s="50">
        <v>17</v>
      </c>
      <c r="J30" s="50">
        <v>8</v>
      </c>
      <c r="K30" s="50">
        <v>0</v>
      </c>
      <c r="L30" s="50">
        <v>7</v>
      </c>
      <c r="M30" s="50">
        <v>313</v>
      </c>
      <c r="N30" s="50">
        <v>0</v>
      </c>
      <c r="O30" s="15">
        <f t="shared" si="0"/>
        <v>160</v>
      </c>
      <c r="P30" s="15">
        <f t="shared" si="1"/>
        <v>473</v>
      </c>
      <c r="R30" s="36" t="s">
        <v>154</v>
      </c>
      <c r="S30" s="34">
        <f>SUM(C90:C93)</f>
        <v>26</v>
      </c>
      <c r="T30" s="34">
        <f t="shared" ref="T30:AF30" si="22">SUM(D90:D93)</f>
        <v>1</v>
      </c>
      <c r="U30" s="34">
        <f t="shared" si="22"/>
        <v>2</v>
      </c>
      <c r="V30" s="34">
        <f t="shared" si="22"/>
        <v>8</v>
      </c>
      <c r="W30" s="34">
        <f t="shared" si="22"/>
        <v>2</v>
      </c>
      <c r="X30" s="34">
        <f t="shared" si="22"/>
        <v>8</v>
      </c>
      <c r="Y30" s="34">
        <f t="shared" si="22"/>
        <v>36</v>
      </c>
      <c r="Z30" s="34">
        <f t="shared" si="22"/>
        <v>47</v>
      </c>
      <c r="AA30" s="34">
        <f t="shared" si="22"/>
        <v>3</v>
      </c>
      <c r="AB30" s="34">
        <f t="shared" si="22"/>
        <v>10</v>
      </c>
      <c r="AC30" s="34">
        <f t="shared" si="22"/>
        <v>74</v>
      </c>
      <c r="AD30" s="34">
        <f t="shared" si="22"/>
        <v>0</v>
      </c>
      <c r="AE30" s="31">
        <f t="shared" si="22"/>
        <v>143</v>
      </c>
      <c r="AF30" s="31">
        <f t="shared" si="22"/>
        <v>217</v>
      </c>
    </row>
    <row r="31" spans="2:32" ht="23.1" customHeight="1" x14ac:dyDescent="0.25">
      <c r="B31" s="46" t="s">
        <v>58</v>
      </c>
      <c r="C31" s="50">
        <v>57</v>
      </c>
      <c r="D31" s="50">
        <v>10</v>
      </c>
      <c r="E31" s="50">
        <v>7</v>
      </c>
      <c r="F31" s="50">
        <v>48</v>
      </c>
      <c r="G31" s="50">
        <v>2</v>
      </c>
      <c r="H31" s="50">
        <v>1</v>
      </c>
      <c r="I31" s="50">
        <v>8</v>
      </c>
      <c r="J31" s="50">
        <v>4</v>
      </c>
      <c r="K31" s="50">
        <v>0</v>
      </c>
      <c r="L31" s="50">
        <v>3</v>
      </c>
      <c r="M31" s="50">
        <v>309</v>
      </c>
      <c r="N31" s="50">
        <v>0</v>
      </c>
      <c r="O31" s="15">
        <f t="shared" si="0"/>
        <v>140</v>
      </c>
      <c r="P31" s="15">
        <f t="shared" si="1"/>
        <v>449</v>
      </c>
      <c r="R31" s="36" t="s">
        <v>155</v>
      </c>
      <c r="S31" s="34">
        <f>SUM(C94:C97)</f>
        <v>28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5</v>
      </c>
      <c r="W31" s="34">
        <f t="shared" si="23"/>
        <v>7</v>
      </c>
      <c r="X31" s="34">
        <f t="shared" si="23"/>
        <v>9</v>
      </c>
      <c r="Y31" s="34">
        <f t="shared" si="23"/>
        <v>33</v>
      </c>
      <c r="Z31" s="34">
        <f t="shared" si="23"/>
        <v>43</v>
      </c>
      <c r="AA31" s="34">
        <f t="shared" si="23"/>
        <v>4</v>
      </c>
      <c r="AB31" s="34">
        <f t="shared" si="23"/>
        <v>15</v>
      </c>
      <c r="AC31" s="34">
        <f t="shared" si="23"/>
        <v>82</v>
      </c>
      <c r="AD31" s="34">
        <f t="shared" si="23"/>
        <v>0</v>
      </c>
      <c r="AE31" s="31">
        <f t="shared" si="23"/>
        <v>146</v>
      </c>
      <c r="AF31" s="31">
        <f t="shared" si="23"/>
        <v>228</v>
      </c>
    </row>
    <row r="32" spans="2:32" ht="23.1" customHeight="1" x14ac:dyDescent="0.25">
      <c r="B32" s="46" t="s">
        <v>59</v>
      </c>
      <c r="C32" s="50">
        <v>55</v>
      </c>
      <c r="D32" s="50">
        <v>10</v>
      </c>
      <c r="E32" s="50">
        <v>7</v>
      </c>
      <c r="F32" s="50">
        <v>52</v>
      </c>
      <c r="G32" s="50">
        <v>2</v>
      </c>
      <c r="H32" s="50">
        <v>1</v>
      </c>
      <c r="I32" s="50">
        <v>20</v>
      </c>
      <c r="J32" s="50">
        <v>5</v>
      </c>
      <c r="K32" s="50">
        <v>2</v>
      </c>
      <c r="L32" s="50">
        <v>6</v>
      </c>
      <c r="M32" s="50">
        <v>272</v>
      </c>
      <c r="N32" s="50">
        <v>0</v>
      </c>
      <c r="O32" s="15">
        <f t="shared" si="0"/>
        <v>160</v>
      </c>
      <c r="P32" s="15">
        <f t="shared" si="1"/>
        <v>432</v>
      </c>
      <c r="R32" s="33" t="s">
        <v>156</v>
      </c>
      <c r="S32" s="34">
        <f>SUM(C98:C101)</f>
        <v>60</v>
      </c>
      <c r="T32" s="34">
        <f t="shared" ref="T32:AF32" si="24">SUM(D98:D101)</f>
        <v>3</v>
      </c>
      <c r="U32" s="34">
        <f t="shared" si="24"/>
        <v>5</v>
      </c>
      <c r="V32" s="34">
        <f t="shared" si="24"/>
        <v>114</v>
      </c>
      <c r="W32" s="34">
        <f t="shared" si="24"/>
        <v>3</v>
      </c>
      <c r="X32" s="34">
        <f t="shared" si="24"/>
        <v>7</v>
      </c>
      <c r="Y32" s="34">
        <f t="shared" si="24"/>
        <v>49</v>
      </c>
      <c r="Z32" s="34">
        <f t="shared" si="24"/>
        <v>47</v>
      </c>
      <c r="AA32" s="34">
        <f t="shared" si="24"/>
        <v>10</v>
      </c>
      <c r="AB32" s="34">
        <f t="shared" si="24"/>
        <v>10</v>
      </c>
      <c r="AC32" s="34">
        <f t="shared" si="24"/>
        <v>185</v>
      </c>
      <c r="AD32" s="34">
        <f t="shared" si="24"/>
        <v>0</v>
      </c>
      <c r="AE32" s="31">
        <f t="shared" si="24"/>
        <v>308</v>
      </c>
      <c r="AF32" s="31">
        <f t="shared" si="24"/>
        <v>493</v>
      </c>
    </row>
    <row r="33" spans="2:32" ht="23.1" customHeight="1" x14ac:dyDescent="0.25">
      <c r="B33" s="45" t="s">
        <v>60</v>
      </c>
      <c r="C33" s="50">
        <v>62</v>
      </c>
      <c r="D33" s="50">
        <v>19</v>
      </c>
      <c r="E33" s="50">
        <v>15</v>
      </c>
      <c r="F33" s="50">
        <v>33</v>
      </c>
      <c r="G33" s="50">
        <v>2</v>
      </c>
      <c r="H33" s="50">
        <v>1</v>
      </c>
      <c r="I33" s="50">
        <v>8</v>
      </c>
      <c r="J33" s="50">
        <v>6</v>
      </c>
      <c r="K33" s="50">
        <v>0</v>
      </c>
      <c r="L33" s="50">
        <v>3</v>
      </c>
      <c r="M33" s="50">
        <v>278</v>
      </c>
      <c r="N33" s="50">
        <v>0</v>
      </c>
      <c r="O33" s="15">
        <f t="shared" si="0"/>
        <v>149</v>
      </c>
      <c r="P33" s="15">
        <f t="shared" si="1"/>
        <v>427</v>
      </c>
      <c r="R33" s="33" t="s">
        <v>157</v>
      </c>
      <c r="S33" s="34">
        <f>SUM(C102:C105)</f>
        <v>160</v>
      </c>
      <c r="T33" s="34">
        <f t="shared" ref="T33:AF33" si="25">SUM(D102:D105)</f>
        <v>5</v>
      </c>
      <c r="U33" s="34">
        <f t="shared" si="25"/>
        <v>13</v>
      </c>
      <c r="V33" s="34">
        <f t="shared" si="25"/>
        <v>170</v>
      </c>
      <c r="W33" s="34">
        <f t="shared" si="25"/>
        <v>6</v>
      </c>
      <c r="X33" s="34">
        <f t="shared" si="25"/>
        <v>4</v>
      </c>
      <c r="Y33" s="34">
        <f t="shared" si="25"/>
        <v>49</v>
      </c>
      <c r="Z33" s="34">
        <f t="shared" si="25"/>
        <v>46</v>
      </c>
      <c r="AA33" s="34">
        <f t="shared" si="25"/>
        <v>5</v>
      </c>
      <c r="AB33" s="34">
        <f t="shared" si="25"/>
        <v>18</v>
      </c>
      <c r="AC33" s="34">
        <f t="shared" si="25"/>
        <v>535</v>
      </c>
      <c r="AD33" s="34">
        <f t="shared" si="25"/>
        <v>0</v>
      </c>
      <c r="AE33" s="31">
        <f t="shared" si="25"/>
        <v>476</v>
      </c>
      <c r="AF33" s="31">
        <f t="shared" si="25"/>
        <v>1011</v>
      </c>
    </row>
    <row r="34" spans="2:32" ht="23.1" customHeight="1" x14ac:dyDescent="0.25">
      <c r="B34" s="46" t="s">
        <v>61</v>
      </c>
      <c r="C34" s="50">
        <v>48</v>
      </c>
      <c r="D34" s="50">
        <v>2</v>
      </c>
      <c r="E34" s="50">
        <v>9</v>
      </c>
      <c r="F34" s="50">
        <v>35</v>
      </c>
      <c r="G34" s="50">
        <v>1</v>
      </c>
      <c r="H34" s="50">
        <v>0</v>
      </c>
      <c r="I34" s="50">
        <v>11</v>
      </c>
      <c r="J34" s="50">
        <v>3</v>
      </c>
      <c r="K34" s="50">
        <v>1</v>
      </c>
      <c r="L34" s="50">
        <v>4</v>
      </c>
      <c r="M34" s="50">
        <v>335</v>
      </c>
      <c r="N34" s="50">
        <v>0</v>
      </c>
      <c r="O34" s="15">
        <f t="shared" si="0"/>
        <v>114</v>
      </c>
      <c r="P34" s="15">
        <f t="shared" si="1"/>
        <v>449</v>
      </c>
      <c r="R34" s="38" t="s">
        <v>90</v>
      </c>
      <c r="S34" s="39">
        <f t="shared" ref="S34:AF34" si="26">MAX(S10:S12)</f>
        <v>395</v>
      </c>
      <c r="T34" s="39">
        <f t="shared" si="26"/>
        <v>41</v>
      </c>
      <c r="U34" s="39">
        <f t="shared" si="26"/>
        <v>57</v>
      </c>
      <c r="V34" s="39">
        <f t="shared" si="26"/>
        <v>227</v>
      </c>
      <c r="W34" s="39">
        <f t="shared" si="26"/>
        <v>13</v>
      </c>
      <c r="X34" s="39">
        <f t="shared" si="26"/>
        <v>13</v>
      </c>
      <c r="Y34" s="39">
        <f t="shared" si="26"/>
        <v>65</v>
      </c>
      <c r="Z34" s="39">
        <f t="shared" si="26"/>
        <v>26</v>
      </c>
      <c r="AA34" s="39">
        <f t="shared" si="26"/>
        <v>5</v>
      </c>
      <c r="AB34" s="39">
        <f t="shared" si="26"/>
        <v>23</v>
      </c>
      <c r="AC34" s="39">
        <f t="shared" si="26"/>
        <v>1830</v>
      </c>
      <c r="AD34" s="39">
        <f t="shared" si="26"/>
        <v>1</v>
      </c>
      <c r="AE34" s="40">
        <f t="shared" si="26"/>
        <v>852</v>
      </c>
      <c r="AF34" s="40">
        <f t="shared" si="26"/>
        <v>2682</v>
      </c>
    </row>
    <row r="35" spans="2:32" ht="23.1" customHeight="1" x14ac:dyDescent="0.25">
      <c r="B35" s="46" t="s">
        <v>62</v>
      </c>
      <c r="C35" s="50">
        <v>51</v>
      </c>
      <c r="D35" s="50">
        <v>5</v>
      </c>
      <c r="E35" s="50">
        <v>7</v>
      </c>
      <c r="F35" s="50">
        <v>29</v>
      </c>
      <c r="G35" s="50">
        <v>1</v>
      </c>
      <c r="H35" s="50">
        <v>1</v>
      </c>
      <c r="I35" s="50">
        <v>22</v>
      </c>
      <c r="J35" s="50">
        <v>7</v>
      </c>
      <c r="K35" s="50">
        <v>0</v>
      </c>
      <c r="L35" s="50">
        <v>3</v>
      </c>
      <c r="M35" s="50">
        <v>279</v>
      </c>
      <c r="N35" s="50">
        <v>0</v>
      </c>
      <c r="O35" s="15">
        <f t="shared" si="0"/>
        <v>126</v>
      </c>
      <c r="P35" s="15">
        <f t="shared" si="1"/>
        <v>405</v>
      </c>
      <c r="R35" s="38" t="s">
        <v>91</v>
      </c>
      <c r="S35" s="39">
        <f t="shared" ref="S35:AF35" si="27">MAX(S13:S18)</f>
        <v>254</v>
      </c>
      <c r="T35" s="39">
        <f t="shared" si="27"/>
        <v>49</v>
      </c>
      <c r="U35" s="39">
        <f t="shared" si="27"/>
        <v>68</v>
      </c>
      <c r="V35" s="39">
        <f t="shared" si="27"/>
        <v>182</v>
      </c>
      <c r="W35" s="39">
        <f t="shared" si="27"/>
        <v>8</v>
      </c>
      <c r="X35" s="39">
        <f t="shared" si="27"/>
        <v>7</v>
      </c>
      <c r="Y35" s="39">
        <f t="shared" si="27"/>
        <v>70</v>
      </c>
      <c r="Z35" s="39">
        <f t="shared" si="27"/>
        <v>23</v>
      </c>
      <c r="AA35" s="39">
        <f t="shared" si="27"/>
        <v>6</v>
      </c>
      <c r="AB35" s="39">
        <f t="shared" si="27"/>
        <v>19</v>
      </c>
      <c r="AC35" s="39">
        <f t="shared" si="27"/>
        <v>1172</v>
      </c>
      <c r="AD35" s="39">
        <f t="shared" si="27"/>
        <v>0</v>
      </c>
      <c r="AE35" s="40">
        <f t="shared" si="27"/>
        <v>609</v>
      </c>
      <c r="AF35" s="40">
        <f t="shared" si="27"/>
        <v>1781</v>
      </c>
    </row>
    <row r="36" spans="2:32" ht="23.1" customHeight="1" x14ac:dyDescent="0.25">
      <c r="B36" s="46" t="s">
        <v>63</v>
      </c>
      <c r="C36" s="50">
        <v>59</v>
      </c>
      <c r="D36" s="50">
        <v>12</v>
      </c>
      <c r="E36" s="50">
        <v>11</v>
      </c>
      <c r="F36" s="50">
        <v>39</v>
      </c>
      <c r="G36" s="50">
        <v>1</v>
      </c>
      <c r="H36" s="50">
        <v>1</v>
      </c>
      <c r="I36" s="50">
        <v>12</v>
      </c>
      <c r="J36" s="50">
        <v>4</v>
      </c>
      <c r="K36" s="50">
        <v>1</v>
      </c>
      <c r="L36" s="50">
        <v>6</v>
      </c>
      <c r="M36" s="50">
        <v>295</v>
      </c>
      <c r="N36" s="50">
        <v>0</v>
      </c>
      <c r="O36" s="15">
        <f t="shared" si="0"/>
        <v>146</v>
      </c>
      <c r="P36" s="15">
        <f t="shared" si="1"/>
        <v>441</v>
      </c>
      <c r="R36" s="38" t="s">
        <v>92</v>
      </c>
      <c r="S36" s="39">
        <f t="shared" ref="S36:AF36" si="28">MAX(S19:S21)</f>
        <v>319</v>
      </c>
      <c r="T36" s="39">
        <f t="shared" si="28"/>
        <v>50</v>
      </c>
      <c r="U36" s="39">
        <f t="shared" si="28"/>
        <v>43</v>
      </c>
      <c r="V36" s="39">
        <f t="shared" si="28"/>
        <v>198</v>
      </c>
      <c r="W36" s="39">
        <f t="shared" si="28"/>
        <v>12</v>
      </c>
      <c r="X36" s="39">
        <f t="shared" si="28"/>
        <v>12</v>
      </c>
      <c r="Y36" s="39">
        <f t="shared" si="28"/>
        <v>62</v>
      </c>
      <c r="Z36" s="39">
        <f t="shared" si="28"/>
        <v>35</v>
      </c>
      <c r="AA36" s="39">
        <f t="shared" si="28"/>
        <v>10</v>
      </c>
      <c r="AB36" s="39">
        <f t="shared" si="28"/>
        <v>13</v>
      </c>
      <c r="AC36" s="39">
        <f t="shared" si="28"/>
        <v>1250</v>
      </c>
      <c r="AD36" s="39">
        <f t="shared" si="28"/>
        <v>1</v>
      </c>
      <c r="AE36" s="40">
        <f t="shared" si="28"/>
        <v>690</v>
      </c>
      <c r="AF36" s="40">
        <f t="shared" si="28"/>
        <v>1940</v>
      </c>
    </row>
    <row r="37" spans="2:32" ht="23.1" customHeight="1" x14ac:dyDescent="0.25">
      <c r="B37" s="45" t="s">
        <v>64</v>
      </c>
      <c r="C37" s="50">
        <v>56</v>
      </c>
      <c r="D37" s="50">
        <v>15</v>
      </c>
      <c r="E37" s="50">
        <v>5</v>
      </c>
      <c r="F37" s="50">
        <v>44</v>
      </c>
      <c r="G37" s="50">
        <v>0</v>
      </c>
      <c r="H37" s="50">
        <v>1</v>
      </c>
      <c r="I37" s="50">
        <v>10</v>
      </c>
      <c r="J37" s="50">
        <v>2</v>
      </c>
      <c r="K37" s="50">
        <v>1</v>
      </c>
      <c r="L37" s="50">
        <v>5</v>
      </c>
      <c r="M37" s="50">
        <v>223</v>
      </c>
      <c r="N37" s="50">
        <v>0</v>
      </c>
      <c r="O37" s="15">
        <f t="shared" si="0"/>
        <v>139</v>
      </c>
      <c r="P37" s="15">
        <f t="shared" si="1"/>
        <v>362</v>
      </c>
      <c r="R37" s="37" t="s">
        <v>85</v>
      </c>
      <c r="S37" s="35">
        <f t="shared" ref="S37:AF37" si="29">SUM(S10:S12)</f>
        <v>1079</v>
      </c>
      <c r="T37" s="16">
        <f t="shared" si="29"/>
        <v>104</v>
      </c>
      <c r="U37" s="16">
        <f t="shared" si="29"/>
        <v>148</v>
      </c>
      <c r="V37" s="16">
        <f t="shared" si="29"/>
        <v>628</v>
      </c>
      <c r="W37" s="16">
        <f t="shared" si="29"/>
        <v>35</v>
      </c>
      <c r="X37" s="16">
        <f t="shared" si="29"/>
        <v>25</v>
      </c>
      <c r="Y37" s="16">
        <f t="shared" si="29"/>
        <v>155</v>
      </c>
      <c r="Z37" s="16">
        <f t="shared" si="29"/>
        <v>64</v>
      </c>
      <c r="AA37" s="16">
        <f t="shared" si="29"/>
        <v>11</v>
      </c>
      <c r="AB37" s="16">
        <f t="shared" si="29"/>
        <v>58</v>
      </c>
      <c r="AC37" s="16">
        <f t="shared" si="29"/>
        <v>4475</v>
      </c>
      <c r="AD37" s="16">
        <f t="shared" si="29"/>
        <v>1</v>
      </c>
      <c r="AE37" s="32">
        <f t="shared" si="29"/>
        <v>2308</v>
      </c>
      <c r="AF37" s="32">
        <f t="shared" si="29"/>
        <v>6783</v>
      </c>
    </row>
    <row r="38" spans="2:32" ht="23.1" customHeight="1" x14ac:dyDescent="0.25">
      <c r="B38" s="46" t="s">
        <v>65</v>
      </c>
      <c r="C38" s="50">
        <v>58</v>
      </c>
      <c r="D38" s="50">
        <v>6</v>
      </c>
      <c r="E38" s="50">
        <v>12</v>
      </c>
      <c r="F38" s="50">
        <v>34</v>
      </c>
      <c r="G38" s="50">
        <v>1</v>
      </c>
      <c r="H38" s="50">
        <v>1</v>
      </c>
      <c r="I38" s="50">
        <v>9</v>
      </c>
      <c r="J38" s="50">
        <v>3</v>
      </c>
      <c r="K38" s="50">
        <v>1</v>
      </c>
      <c r="L38" s="50">
        <v>5</v>
      </c>
      <c r="M38" s="50">
        <v>229</v>
      </c>
      <c r="N38" s="50">
        <v>0</v>
      </c>
      <c r="O38" s="15">
        <f t="shared" si="0"/>
        <v>130</v>
      </c>
      <c r="P38" s="15">
        <f t="shared" si="1"/>
        <v>359</v>
      </c>
      <c r="R38" s="28" t="s">
        <v>86</v>
      </c>
      <c r="S38" s="16">
        <f t="shared" ref="S38:AF38" si="30">SUM(S13:S18)</f>
        <v>1406</v>
      </c>
      <c r="T38" s="16">
        <f t="shared" si="30"/>
        <v>224</v>
      </c>
      <c r="U38" s="16">
        <f t="shared" si="30"/>
        <v>247</v>
      </c>
      <c r="V38" s="16">
        <f t="shared" si="30"/>
        <v>953</v>
      </c>
      <c r="W38" s="16">
        <f t="shared" si="30"/>
        <v>29</v>
      </c>
      <c r="X38" s="16">
        <f t="shared" si="30"/>
        <v>21</v>
      </c>
      <c r="Y38" s="16">
        <f t="shared" si="30"/>
        <v>333</v>
      </c>
      <c r="Z38" s="16">
        <f t="shared" si="30"/>
        <v>95</v>
      </c>
      <c r="AA38" s="16">
        <f t="shared" si="30"/>
        <v>17</v>
      </c>
      <c r="AB38" s="16">
        <f t="shared" si="30"/>
        <v>80</v>
      </c>
      <c r="AC38" s="16">
        <f t="shared" si="30"/>
        <v>6107</v>
      </c>
      <c r="AD38" s="16">
        <f t="shared" si="30"/>
        <v>0</v>
      </c>
      <c r="AE38" s="32">
        <f t="shared" si="30"/>
        <v>3405</v>
      </c>
      <c r="AF38" s="32">
        <f t="shared" si="30"/>
        <v>9512</v>
      </c>
    </row>
    <row r="39" spans="2:32" ht="23.1" customHeight="1" x14ac:dyDescent="0.25">
      <c r="B39" s="46" t="s">
        <v>66</v>
      </c>
      <c r="C39" s="50">
        <v>46</v>
      </c>
      <c r="D39" s="50">
        <v>16</v>
      </c>
      <c r="E39" s="50">
        <v>21</v>
      </c>
      <c r="F39" s="50">
        <v>31</v>
      </c>
      <c r="G39" s="50">
        <v>1</v>
      </c>
      <c r="H39" s="50">
        <v>2</v>
      </c>
      <c r="I39" s="50">
        <v>16</v>
      </c>
      <c r="J39" s="50">
        <v>6</v>
      </c>
      <c r="K39" s="50">
        <v>1</v>
      </c>
      <c r="L39" s="50">
        <v>4</v>
      </c>
      <c r="M39" s="50">
        <v>230</v>
      </c>
      <c r="N39" s="50">
        <v>0</v>
      </c>
      <c r="O39" s="15">
        <f t="shared" si="0"/>
        <v>144</v>
      </c>
      <c r="P39" s="15">
        <f t="shared" si="1"/>
        <v>374</v>
      </c>
      <c r="R39" s="29" t="s">
        <v>87</v>
      </c>
      <c r="S39" s="16">
        <f t="shared" ref="S39:AF39" si="31">SUM(S19:S21)</f>
        <v>826</v>
      </c>
      <c r="T39" s="16">
        <f t="shared" si="31"/>
        <v>115</v>
      </c>
      <c r="U39" s="16">
        <f t="shared" si="31"/>
        <v>124</v>
      </c>
      <c r="V39" s="16">
        <f t="shared" si="31"/>
        <v>508</v>
      </c>
      <c r="W39" s="16">
        <f t="shared" si="31"/>
        <v>27</v>
      </c>
      <c r="X39" s="16">
        <f t="shared" si="31"/>
        <v>22</v>
      </c>
      <c r="Y39" s="16">
        <f t="shared" si="31"/>
        <v>164</v>
      </c>
      <c r="Z39" s="16">
        <f t="shared" si="31"/>
        <v>81</v>
      </c>
      <c r="AA39" s="16">
        <f t="shared" si="31"/>
        <v>17</v>
      </c>
      <c r="AB39" s="16">
        <f t="shared" si="31"/>
        <v>35</v>
      </c>
      <c r="AC39" s="16">
        <f t="shared" si="31"/>
        <v>3421</v>
      </c>
      <c r="AD39" s="16">
        <f t="shared" si="31"/>
        <v>1</v>
      </c>
      <c r="AE39" s="32">
        <f t="shared" si="31"/>
        <v>1920</v>
      </c>
      <c r="AF39" s="32">
        <f t="shared" si="31"/>
        <v>5341</v>
      </c>
    </row>
    <row r="40" spans="2:32" ht="23.1" customHeight="1" x14ac:dyDescent="0.25">
      <c r="B40" s="46" t="s">
        <v>67</v>
      </c>
      <c r="C40" s="50">
        <v>57</v>
      </c>
      <c r="D40" s="50">
        <v>11</v>
      </c>
      <c r="E40" s="50">
        <v>16</v>
      </c>
      <c r="F40" s="50">
        <v>48</v>
      </c>
      <c r="G40" s="50">
        <v>0</v>
      </c>
      <c r="H40" s="50">
        <v>4</v>
      </c>
      <c r="I40" s="50">
        <v>11</v>
      </c>
      <c r="J40" s="50">
        <v>2</v>
      </c>
      <c r="K40" s="50">
        <v>3</v>
      </c>
      <c r="L40" s="50">
        <v>2</v>
      </c>
      <c r="M40" s="50">
        <v>200</v>
      </c>
      <c r="N40" s="50">
        <v>0</v>
      </c>
      <c r="O40" s="15">
        <f t="shared" si="0"/>
        <v>154</v>
      </c>
      <c r="P40" s="15">
        <f t="shared" si="1"/>
        <v>354</v>
      </c>
      <c r="R40" s="5" t="s">
        <v>17</v>
      </c>
      <c r="S40" s="16">
        <f t="shared" ref="S40:AF40" si="32">SUM(S10:S21)</f>
        <v>3311</v>
      </c>
      <c r="T40" s="16">
        <f t="shared" si="32"/>
        <v>443</v>
      </c>
      <c r="U40" s="16">
        <f t="shared" si="32"/>
        <v>519</v>
      </c>
      <c r="V40" s="16">
        <f t="shared" si="32"/>
        <v>2089</v>
      </c>
      <c r="W40" s="16">
        <f t="shared" si="32"/>
        <v>91</v>
      </c>
      <c r="X40" s="16">
        <f t="shared" si="32"/>
        <v>68</v>
      </c>
      <c r="Y40" s="16">
        <f t="shared" si="32"/>
        <v>652</v>
      </c>
      <c r="Z40" s="16">
        <f t="shared" si="32"/>
        <v>240</v>
      </c>
      <c r="AA40" s="16">
        <f t="shared" si="32"/>
        <v>45</v>
      </c>
      <c r="AB40" s="16">
        <f t="shared" si="32"/>
        <v>173</v>
      </c>
      <c r="AC40" s="16">
        <f t="shared" si="32"/>
        <v>14003</v>
      </c>
      <c r="AD40" s="16">
        <f t="shared" si="32"/>
        <v>2</v>
      </c>
      <c r="AE40" s="32">
        <f t="shared" si="32"/>
        <v>7633</v>
      </c>
      <c r="AF40" s="32">
        <f t="shared" si="32"/>
        <v>21636</v>
      </c>
    </row>
    <row r="41" spans="2:32" ht="23.1" customHeight="1" x14ac:dyDescent="0.25">
      <c r="B41" s="45" t="s">
        <v>68</v>
      </c>
      <c r="C41" s="50">
        <v>56</v>
      </c>
      <c r="D41" s="50">
        <v>11</v>
      </c>
      <c r="E41" s="50">
        <v>19</v>
      </c>
      <c r="F41" s="50">
        <v>37</v>
      </c>
      <c r="G41" s="50">
        <v>0</v>
      </c>
      <c r="H41" s="50">
        <v>0</v>
      </c>
      <c r="I41" s="50">
        <v>12</v>
      </c>
      <c r="J41" s="50">
        <v>7</v>
      </c>
      <c r="K41" s="50">
        <v>1</v>
      </c>
      <c r="L41" s="50">
        <v>2</v>
      </c>
      <c r="M41" s="50">
        <v>183</v>
      </c>
      <c r="N41" s="50">
        <v>0</v>
      </c>
      <c r="O41" s="15">
        <f t="shared" si="0"/>
        <v>145</v>
      </c>
      <c r="P41" s="15">
        <f t="shared" si="1"/>
        <v>328</v>
      </c>
      <c r="R41" s="5" t="s">
        <v>159</v>
      </c>
      <c r="S41" s="16">
        <f>SUM(S10:S33)</f>
        <v>4673</v>
      </c>
      <c r="T41" s="16">
        <f t="shared" ref="T41:AF41" si="33">SUM(T10:T33)</f>
        <v>595</v>
      </c>
      <c r="U41" s="16">
        <f t="shared" si="33"/>
        <v>691</v>
      </c>
      <c r="V41" s="16">
        <f t="shared" si="33"/>
        <v>2952</v>
      </c>
      <c r="W41" s="16">
        <f t="shared" si="33"/>
        <v>140</v>
      </c>
      <c r="X41" s="16">
        <f t="shared" si="33"/>
        <v>131</v>
      </c>
      <c r="Y41" s="16">
        <f t="shared" si="33"/>
        <v>1223</v>
      </c>
      <c r="Z41" s="16">
        <f t="shared" si="33"/>
        <v>632</v>
      </c>
      <c r="AA41" s="16">
        <f t="shared" si="33"/>
        <v>110</v>
      </c>
      <c r="AB41" s="16">
        <f t="shared" si="33"/>
        <v>328</v>
      </c>
      <c r="AC41" s="16">
        <f t="shared" si="33"/>
        <v>19870</v>
      </c>
      <c r="AD41" s="16">
        <f t="shared" si="33"/>
        <v>3</v>
      </c>
      <c r="AE41" s="32">
        <f t="shared" si="33"/>
        <v>11478</v>
      </c>
      <c r="AF41" s="32">
        <f t="shared" si="33"/>
        <v>31348</v>
      </c>
    </row>
    <row r="42" spans="2:32" ht="23.1" customHeight="1" x14ac:dyDescent="0.25">
      <c r="B42" s="46" t="s">
        <v>69</v>
      </c>
      <c r="C42" s="50">
        <v>55</v>
      </c>
      <c r="D42" s="50">
        <v>7</v>
      </c>
      <c r="E42" s="50">
        <v>15</v>
      </c>
      <c r="F42" s="50">
        <v>36</v>
      </c>
      <c r="G42" s="50">
        <v>0</v>
      </c>
      <c r="H42" s="50">
        <v>1</v>
      </c>
      <c r="I42" s="50">
        <v>15</v>
      </c>
      <c r="J42" s="50">
        <v>2</v>
      </c>
      <c r="K42" s="50">
        <v>0</v>
      </c>
      <c r="L42" s="50">
        <v>2</v>
      </c>
      <c r="M42" s="50">
        <v>199</v>
      </c>
      <c r="N42" s="50">
        <v>0</v>
      </c>
      <c r="O42" s="15">
        <f t="shared" si="0"/>
        <v>133</v>
      </c>
      <c r="P42" s="15">
        <f t="shared" si="1"/>
        <v>332</v>
      </c>
      <c r="R42" s="5" t="s">
        <v>160</v>
      </c>
      <c r="S42" s="48">
        <f>S41/S40</f>
        <v>1.4113560857746905</v>
      </c>
      <c r="T42" s="48">
        <f t="shared" ref="T42:AF42" si="34">T41/T40</f>
        <v>1.3431151241534989</v>
      </c>
      <c r="U42" s="48">
        <f t="shared" si="34"/>
        <v>1.3314065510597302</v>
      </c>
      <c r="V42" s="48">
        <f t="shared" si="34"/>
        <v>1.4131163235998085</v>
      </c>
      <c r="W42" s="48">
        <f t="shared" si="34"/>
        <v>1.5384615384615385</v>
      </c>
      <c r="X42" s="48">
        <f t="shared" si="34"/>
        <v>1.9264705882352942</v>
      </c>
      <c r="Y42" s="48">
        <f t="shared" si="34"/>
        <v>1.8757668711656441</v>
      </c>
      <c r="Z42" s="48">
        <f t="shared" si="34"/>
        <v>2.6333333333333333</v>
      </c>
      <c r="AA42" s="48">
        <f t="shared" si="34"/>
        <v>2.4444444444444446</v>
      </c>
      <c r="AB42" s="48">
        <f t="shared" si="34"/>
        <v>1.8959537572254335</v>
      </c>
      <c r="AC42" s="48">
        <f t="shared" si="34"/>
        <v>1.4189816467899736</v>
      </c>
      <c r="AD42" s="48">
        <f t="shared" si="34"/>
        <v>1.5</v>
      </c>
      <c r="AE42" s="48">
        <f t="shared" si="34"/>
        <v>1.5037337875016377</v>
      </c>
      <c r="AF42" s="48">
        <f t="shared" si="34"/>
        <v>1.4488814938066186</v>
      </c>
    </row>
    <row r="43" spans="2:32" ht="23.1" customHeight="1" x14ac:dyDescent="0.25">
      <c r="B43" s="45" t="s">
        <v>70</v>
      </c>
      <c r="C43" s="50">
        <v>55</v>
      </c>
      <c r="D43" s="50">
        <v>15</v>
      </c>
      <c r="E43" s="50">
        <v>4</v>
      </c>
      <c r="F43" s="50">
        <v>26</v>
      </c>
      <c r="G43" s="50">
        <v>0</v>
      </c>
      <c r="H43" s="50">
        <v>1</v>
      </c>
      <c r="I43" s="50">
        <v>16</v>
      </c>
      <c r="J43" s="50">
        <v>4</v>
      </c>
      <c r="K43" s="50">
        <v>0</v>
      </c>
      <c r="L43" s="50">
        <v>1</v>
      </c>
      <c r="M43" s="50">
        <v>219</v>
      </c>
      <c r="N43" s="50">
        <v>0</v>
      </c>
      <c r="O43" s="15">
        <f t="shared" si="0"/>
        <v>122</v>
      </c>
      <c r="P43" s="15">
        <f t="shared" si="1"/>
        <v>341</v>
      </c>
    </row>
    <row r="44" spans="2:32" ht="23.1" customHeight="1" x14ac:dyDescent="0.25">
      <c r="B44" s="47" t="s">
        <v>71</v>
      </c>
      <c r="C44" s="50">
        <v>58</v>
      </c>
      <c r="D44" s="50">
        <v>17</v>
      </c>
      <c r="E44" s="50">
        <v>11</v>
      </c>
      <c r="F44" s="50">
        <v>34</v>
      </c>
      <c r="G44" s="50">
        <v>1</v>
      </c>
      <c r="H44" s="50">
        <v>1</v>
      </c>
      <c r="I44" s="50">
        <v>16</v>
      </c>
      <c r="J44" s="50">
        <v>8</v>
      </c>
      <c r="K44" s="50">
        <v>1</v>
      </c>
      <c r="L44" s="50">
        <v>3</v>
      </c>
      <c r="M44" s="50">
        <v>189</v>
      </c>
      <c r="N44" s="50">
        <v>0</v>
      </c>
      <c r="O44" s="15">
        <f t="shared" si="0"/>
        <v>150</v>
      </c>
      <c r="P44" s="15">
        <f t="shared" si="1"/>
        <v>339</v>
      </c>
    </row>
    <row r="45" spans="2:32" ht="23.1" customHeight="1" x14ac:dyDescent="0.25">
      <c r="B45" s="45" t="s">
        <v>72</v>
      </c>
      <c r="C45" s="50">
        <v>64</v>
      </c>
      <c r="D45" s="50">
        <v>10</v>
      </c>
      <c r="E45" s="50">
        <v>14</v>
      </c>
      <c r="F45" s="50">
        <v>33</v>
      </c>
      <c r="G45" s="50">
        <v>3</v>
      </c>
      <c r="H45" s="50">
        <v>1</v>
      </c>
      <c r="I45" s="50">
        <v>11</v>
      </c>
      <c r="J45" s="50">
        <v>1</v>
      </c>
      <c r="K45" s="50">
        <v>0</v>
      </c>
      <c r="L45" s="50">
        <v>2</v>
      </c>
      <c r="M45" s="50">
        <v>284</v>
      </c>
      <c r="N45" s="50">
        <v>0</v>
      </c>
      <c r="O45" s="15">
        <f t="shared" si="0"/>
        <v>139</v>
      </c>
      <c r="P45" s="15">
        <f t="shared" si="1"/>
        <v>423</v>
      </c>
    </row>
    <row r="46" spans="2:32" ht="23.1" customHeight="1" x14ac:dyDescent="0.25">
      <c r="B46" s="46" t="s">
        <v>73</v>
      </c>
      <c r="C46" s="50">
        <v>50</v>
      </c>
      <c r="D46" s="50">
        <v>4</v>
      </c>
      <c r="E46" s="50">
        <v>7</v>
      </c>
      <c r="F46" s="50">
        <v>17</v>
      </c>
      <c r="G46" s="50">
        <v>1</v>
      </c>
      <c r="H46" s="50">
        <v>4</v>
      </c>
      <c r="I46" s="50">
        <v>12</v>
      </c>
      <c r="J46" s="50">
        <v>9</v>
      </c>
      <c r="K46" s="50">
        <v>1</v>
      </c>
      <c r="L46" s="50">
        <v>5</v>
      </c>
      <c r="M46" s="50">
        <v>279</v>
      </c>
      <c r="N46" s="50">
        <v>0</v>
      </c>
      <c r="O46" s="15">
        <f t="shared" si="0"/>
        <v>110</v>
      </c>
      <c r="P46" s="15">
        <f t="shared" si="1"/>
        <v>389</v>
      </c>
      <c r="R46" s="8"/>
      <c r="T46"/>
    </row>
    <row r="47" spans="2:32" ht="23.1" customHeight="1" x14ac:dyDescent="0.25">
      <c r="B47" s="46" t="s">
        <v>74</v>
      </c>
      <c r="C47" s="50">
        <v>56</v>
      </c>
      <c r="D47" s="50">
        <v>9</v>
      </c>
      <c r="E47" s="50">
        <v>15</v>
      </c>
      <c r="F47" s="50">
        <v>37</v>
      </c>
      <c r="G47" s="50">
        <v>0</v>
      </c>
      <c r="H47" s="50">
        <v>3</v>
      </c>
      <c r="I47" s="50">
        <v>12</v>
      </c>
      <c r="J47" s="50">
        <v>9</v>
      </c>
      <c r="K47" s="50">
        <v>4</v>
      </c>
      <c r="L47" s="50">
        <v>3</v>
      </c>
      <c r="M47" s="50">
        <v>239</v>
      </c>
      <c r="N47" s="50">
        <v>0</v>
      </c>
      <c r="O47" s="15">
        <f t="shared" si="0"/>
        <v>148</v>
      </c>
      <c r="P47" s="15">
        <f t="shared" si="1"/>
        <v>387</v>
      </c>
      <c r="R47" s="8"/>
      <c r="T47"/>
    </row>
    <row r="48" spans="2:32" ht="23.1" customHeight="1" x14ac:dyDescent="0.25">
      <c r="B48" s="46" t="s">
        <v>75</v>
      </c>
      <c r="C48" s="50">
        <v>45</v>
      </c>
      <c r="D48" s="50">
        <v>8</v>
      </c>
      <c r="E48" s="50">
        <v>11</v>
      </c>
      <c r="F48" s="50">
        <v>29</v>
      </c>
      <c r="G48" s="50">
        <v>5</v>
      </c>
      <c r="H48" s="50">
        <v>3</v>
      </c>
      <c r="I48" s="50">
        <v>15</v>
      </c>
      <c r="J48" s="50">
        <v>11</v>
      </c>
      <c r="K48" s="50">
        <v>2</v>
      </c>
      <c r="L48" s="50">
        <v>5</v>
      </c>
      <c r="M48" s="50">
        <v>213</v>
      </c>
      <c r="N48" s="50">
        <v>1</v>
      </c>
      <c r="O48" s="15">
        <f t="shared" si="0"/>
        <v>135</v>
      </c>
      <c r="P48" s="15">
        <f t="shared" si="1"/>
        <v>348</v>
      </c>
      <c r="R48" s="8"/>
      <c r="T48"/>
    </row>
    <row r="49" spans="2:20" ht="23.1" customHeight="1" x14ac:dyDescent="0.25">
      <c r="B49" s="45" t="s">
        <v>76</v>
      </c>
      <c r="C49" s="50">
        <v>68</v>
      </c>
      <c r="D49" s="50">
        <v>8</v>
      </c>
      <c r="E49" s="50">
        <v>7</v>
      </c>
      <c r="F49" s="50">
        <v>46</v>
      </c>
      <c r="G49" s="50">
        <v>1</v>
      </c>
      <c r="H49" s="50">
        <v>2</v>
      </c>
      <c r="I49" s="50">
        <v>23</v>
      </c>
      <c r="J49" s="50">
        <v>6</v>
      </c>
      <c r="K49" s="50">
        <v>3</v>
      </c>
      <c r="L49" s="50">
        <v>0</v>
      </c>
      <c r="M49" s="50">
        <v>220</v>
      </c>
      <c r="N49" s="50">
        <v>0</v>
      </c>
      <c r="O49" s="15">
        <f t="shared" si="0"/>
        <v>164</v>
      </c>
      <c r="P49" s="15">
        <f t="shared" si="1"/>
        <v>384</v>
      </c>
      <c r="R49" s="8"/>
      <c r="T49"/>
    </row>
    <row r="50" spans="2:20" ht="23.1" customHeight="1" x14ac:dyDescent="0.25">
      <c r="B50" s="46" t="s">
        <v>77</v>
      </c>
      <c r="C50" s="50">
        <v>86</v>
      </c>
      <c r="D50" s="50">
        <v>14</v>
      </c>
      <c r="E50" s="50">
        <v>5</v>
      </c>
      <c r="F50" s="50">
        <v>36</v>
      </c>
      <c r="G50" s="50">
        <v>5</v>
      </c>
      <c r="H50" s="50">
        <v>0</v>
      </c>
      <c r="I50" s="50">
        <v>19</v>
      </c>
      <c r="J50" s="50">
        <v>7</v>
      </c>
      <c r="K50" s="50">
        <v>0</v>
      </c>
      <c r="L50" s="50">
        <v>1</v>
      </c>
      <c r="M50" s="50">
        <v>320</v>
      </c>
      <c r="N50" s="50">
        <v>0</v>
      </c>
      <c r="O50" s="15">
        <f t="shared" si="0"/>
        <v>173</v>
      </c>
      <c r="P50" s="15">
        <f t="shared" si="1"/>
        <v>493</v>
      </c>
      <c r="R50" s="8"/>
      <c r="T50"/>
    </row>
    <row r="51" spans="2:20" ht="23.1" customHeight="1" x14ac:dyDescent="0.25">
      <c r="B51" s="46" t="s">
        <v>78</v>
      </c>
      <c r="C51" s="50">
        <v>72</v>
      </c>
      <c r="D51" s="50">
        <v>16</v>
      </c>
      <c r="E51" s="50">
        <v>18</v>
      </c>
      <c r="F51" s="50">
        <v>48</v>
      </c>
      <c r="G51" s="50">
        <v>2</v>
      </c>
      <c r="H51" s="50">
        <v>1</v>
      </c>
      <c r="I51" s="50">
        <v>11</v>
      </c>
      <c r="J51" s="50">
        <v>6</v>
      </c>
      <c r="K51" s="50">
        <v>0</v>
      </c>
      <c r="L51" s="50">
        <v>5</v>
      </c>
      <c r="M51" s="50">
        <v>355</v>
      </c>
      <c r="N51" s="50">
        <v>0</v>
      </c>
      <c r="O51" s="15">
        <f t="shared" si="0"/>
        <v>179</v>
      </c>
      <c r="P51" s="15">
        <f t="shared" si="1"/>
        <v>534</v>
      </c>
      <c r="R51" s="8"/>
      <c r="T51"/>
    </row>
    <row r="52" spans="2:20" ht="23.1" customHeight="1" x14ac:dyDescent="0.25">
      <c r="B52" s="46" t="s">
        <v>79</v>
      </c>
      <c r="C52" s="50">
        <v>96</v>
      </c>
      <c r="D52" s="50">
        <v>13</v>
      </c>
      <c r="E52" s="50">
        <v>9</v>
      </c>
      <c r="F52" s="50">
        <v>60</v>
      </c>
      <c r="G52" s="50">
        <v>0</v>
      </c>
      <c r="H52" s="50">
        <v>2</v>
      </c>
      <c r="I52" s="50">
        <v>15</v>
      </c>
      <c r="J52" s="50">
        <v>2</v>
      </c>
      <c r="K52" s="50">
        <v>0</v>
      </c>
      <c r="L52" s="50">
        <v>3</v>
      </c>
      <c r="M52" s="50">
        <v>275</v>
      </c>
      <c r="N52" s="50">
        <v>0</v>
      </c>
      <c r="O52" s="15">
        <f t="shared" si="0"/>
        <v>200</v>
      </c>
      <c r="P52" s="15">
        <f t="shared" si="1"/>
        <v>475</v>
      </c>
      <c r="R52" s="8"/>
      <c r="T52"/>
    </row>
    <row r="53" spans="2:20" ht="23.1" customHeight="1" x14ac:dyDescent="0.25">
      <c r="B53" s="45" t="s">
        <v>80</v>
      </c>
      <c r="C53" s="50">
        <v>65</v>
      </c>
      <c r="D53" s="50">
        <v>7</v>
      </c>
      <c r="E53" s="50">
        <v>9</v>
      </c>
      <c r="F53" s="50">
        <v>37</v>
      </c>
      <c r="G53" s="50">
        <v>1</v>
      </c>
      <c r="H53" s="50">
        <v>2</v>
      </c>
      <c r="I53" s="50">
        <v>9</v>
      </c>
      <c r="J53" s="50">
        <v>5</v>
      </c>
      <c r="K53" s="50">
        <v>3</v>
      </c>
      <c r="L53" s="50">
        <v>0</v>
      </c>
      <c r="M53" s="50">
        <v>300</v>
      </c>
      <c r="N53" s="50">
        <v>0</v>
      </c>
      <c r="O53" s="15">
        <f t="shared" si="0"/>
        <v>138</v>
      </c>
      <c r="P53" s="15">
        <f t="shared" si="1"/>
        <v>438</v>
      </c>
      <c r="R53" s="8"/>
      <c r="T53"/>
    </row>
    <row r="54" spans="2:20" ht="23.1" customHeight="1" x14ac:dyDescent="0.25">
      <c r="B54" s="45" t="s">
        <v>81</v>
      </c>
      <c r="C54" s="50">
        <v>67</v>
      </c>
      <c r="D54" s="50">
        <v>7</v>
      </c>
      <c r="E54" s="50">
        <v>9</v>
      </c>
      <c r="F54" s="50">
        <v>57</v>
      </c>
      <c r="G54" s="50">
        <v>3</v>
      </c>
      <c r="H54" s="50">
        <v>0</v>
      </c>
      <c r="I54" s="50">
        <v>9</v>
      </c>
      <c r="J54" s="50">
        <v>3</v>
      </c>
      <c r="K54" s="50">
        <v>3</v>
      </c>
      <c r="L54" s="50">
        <v>4</v>
      </c>
      <c r="M54" s="50">
        <v>255</v>
      </c>
      <c r="N54" s="50">
        <v>0</v>
      </c>
      <c r="O54" s="15">
        <f t="shared" si="0"/>
        <v>162</v>
      </c>
      <c r="P54" s="15">
        <f t="shared" si="1"/>
        <v>417</v>
      </c>
      <c r="R54" s="8"/>
      <c r="T54"/>
    </row>
    <row r="55" spans="2:20" ht="23.1" customHeight="1" x14ac:dyDescent="0.25">
      <c r="B55" s="45" t="s">
        <v>82</v>
      </c>
      <c r="C55" s="50">
        <v>76</v>
      </c>
      <c r="D55" s="50">
        <v>13</v>
      </c>
      <c r="E55" s="50">
        <v>14</v>
      </c>
      <c r="F55" s="50">
        <v>53</v>
      </c>
      <c r="G55" s="50">
        <v>0</v>
      </c>
      <c r="H55" s="50">
        <v>2</v>
      </c>
      <c r="I55" s="50">
        <v>15</v>
      </c>
      <c r="J55" s="50">
        <v>7</v>
      </c>
      <c r="K55" s="50">
        <v>1</v>
      </c>
      <c r="L55" s="50">
        <v>3</v>
      </c>
      <c r="M55" s="50">
        <v>315</v>
      </c>
      <c r="N55" s="50">
        <v>0</v>
      </c>
      <c r="O55" s="15">
        <f t="shared" si="0"/>
        <v>184</v>
      </c>
      <c r="P55" s="15">
        <f t="shared" si="1"/>
        <v>499</v>
      </c>
      <c r="R55" s="8"/>
      <c r="T55"/>
    </row>
    <row r="56" spans="2:20" ht="23.1" customHeight="1" x14ac:dyDescent="0.25">
      <c r="B56" s="45" t="s">
        <v>83</v>
      </c>
      <c r="C56" s="50">
        <v>90</v>
      </c>
      <c r="D56" s="50">
        <v>8</v>
      </c>
      <c r="E56" s="50">
        <v>13</v>
      </c>
      <c r="F56" s="50">
        <v>53</v>
      </c>
      <c r="G56" s="50">
        <v>9</v>
      </c>
      <c r="H56" s="50">
        <v>3</v>
      </c>
      <c r="I56" s="50">
        <v>12</v>
      </c>
      <c r="J56" s="50">
        <v>9</v>
      </c>
      <c r="K56" s="50">
        <v>0</v>
      </c>
      <c r="L56" s="50">
        <v>4</v>
      </c>
      <c r="M56" s="50">
        <v>290</v>
      </c>
      <c r="N56" s="50">
        <v>0</v>
      </c>
      <c r="O56" s="15">
        <f t="shared" si="0"/>
        <v>201</v>
      </c>
      <c r="P56" s="15">
        <f t="shared" si="1"/>
        <v>491</v>
      </c>
      <c r="R56" s="8"/>
      <c r="T56"/>
    </row>
    <row r="57" spans="2:20" ht="23.1" customHeight="1" x14ac:dyDescent="0.25">
      <c r="B57" s="45" t="s">
        <v>84</v>
      </c>
      <c r="C57" s="50">
        <v>55</v>
      </c>
      <c r="D57" s="50">
        <v>8</v>
      </c>
      <c r="E57" s="50">
        <v>7</v>
      </c>
      <c r="F57" s="50">
        <v>35</v>
      </c>
      <c r="G57" s="50">
        <v>0</v>
      </c>
      <c r="H57" s="50">
        <v>0</v>
      </c>
      <c r="I57" s="50">
        <v>12</v>
      </c>
      <c r="J57" s="50">
        <v>7</v>
      </c>
      <c r="K57" s="50">
        <v>0</v>
      </c>
      <c r="L57" s="50">
        <v>2</v>
      </c>
      <c r="M57" s="50">
        <v>360</v>
      </c>
      <c r="N57" s="50">
        <v>0</v>
      </c>
      <c r="O57" s="15">
        <f t="shared" si="0"/>
        <v>126</v>
      </c>
      <c r="P57" s="15">
        <f t="shared" si="1"/>
        <v>486</v>
      </c>
      <c r="R57" s="8"/>
      <c r="T57"/>
    </row>
    <row r="58" spans="2:20" ht="23.1" customHeight="1" x14ac:dyDescent="0.25">
      <c r="B58" s="45" t="s">
        <v>99</v>
      </c>
      <c r="C58" s="50">
        <v>75</v>
      </c>
      <c r="D58" s="50">
        <v>6</v>
      </c>
      <c r="E58" s="50">
        <v>11</v>
      </c>
      <c r="F58" s="50">
        <v>35</v>
      </c>
      <c r="G58" s="50">
        <v>1</v>
      </c>
      <c r="H58" s="50">
        <v>1</v>
      </c>
      <c r="I58" s="50">
        <v>8</v>
      </c>
      <c r="J58" s="50">
        <v>4</v>
      </c>
      <c r="K58" s="50">
        <v>3</v>
      </c>
      <c r="L58" s="50">
        <v>6</v>
      </c>
      <c r="M58" s="50">
        <v>210</v>
      </c>
      <c r="N58" s="50">
        <v>0</v>
      </c>
      <c r="O58" s="15">
        <f t="shared" ref="O58:O105" si="35">SUM(C58:L58,N58)</f>
        <v>150</v>
      </c>
      <c r="P58" s="15">
        <f t="shared" ref="P58:P105" si="36">SUM(C58:N58)</f>
        <v>360</v>
      </c>
      <c r="R58" s="8"/>
      <c r="T58"/>
    </row>
    <row r="59" spans="2:20" ht="23.1" customHeight="1" x14ac:dyDescent="0.25">
      <c r="B59" s="45" t="s">
        <v>100</v>
      </c>
      <c r="C59" s="50">
        <v>63</v>
      </c>
      <c r="D59" s="50">
        <v>6</v>
      </c>
      <c r="E59" s="50">
        <v>6</v>
      </c>
      <c r="F59" s="50">
        <v>30</v>
      </c>
      <c r="G59" s="50">
        <v>0</v>
      </c>
      <c r="H59" s="50">
        <v>4</v>
      </c>
      <c r="I59" s="50">
        <v>18</v>
      </c>
      <c r="J59" s="50">
        <v>3</v>
      </c>
      <c r="K59" s="50">
        <v>0</v>
      </c>
      <c r="L59" s="50">
        <v>2</v>
      </c>
      <c r="M59" s="50">
        <v>355</v>
      </c>
      <c r="N59" s="50">
        <v>1</v>
      </c>
      <c r="O59" s="15">
        <f t="shared" si="35"/>
        <v>133</v>
      </c>
      <c r="P59" s="15">
        <f t="shared" si="36"/>
        <v>488</v>
      </c>
      <c r="R59" s="8"/>
      <c r="T59"/>
    </row>
    <row r="60" spans="2:20" ht="23.1" customHeight="1" x14ac:dyDescent="0.25">
      <c r="B60" s="45" t="s">
        <v>101</v>
      </c>
      <c r="C60" s="50">
        <v>85</v>
      </c>
      <c r="D60" s="50">
        <v>8</v>
      </c>
      <c r="E60" s="50">
        <v>8</v>
      </c>
      <c r="F60" s="50">
        <v>42</v>
      </c>
      <c r="G60" s="50">
        <v>6</v>
      </c>
      <c r="H60" s="50">
        <v>1</v>
      </c>
      <c r="I60" s="50">
        <v>12</v>
      </c>
      <c r="J60" s="50">
        <v>6</v>
      </c>
      <c r="K60" s="50">
        <v>0</v>
      </c>
      <c r="L60" s="50">
        <v>1</v>
      </c>
      <c r="M60" s="50">
        <v>370</v>
      </c>
      <c r="N60" s="50">
        <v>0</v>
      </c>
      <c r="O60" s="15">
        <f t="shared" si="35"/>
        <v>169</v>
      </c>
      <c r="P60" s="15">
        <f t="shared" si="36"/>
        <v>539</v>
      </c>
      <c r="R60" s="8"/>
      <c r="T60"/>
    </row>
    <row r="61" spans="2:20" ht="23.1" customHeight="1" x14ac:dyDescent="0.25">
      <c r="B61" s="45" t="s">
        <v>102</v>
      </c>
      <c r="C61" s="50">
        <v>65</v>
      </c>
      <c r="D61" s="50">
        <v>10</v>
      </c>
      <c r="E61" s="50">
        <v>5</v>
      </c>
      <c r="F61" s="50">
        <v>48</v>
      </c>
      <c r="G61" s="50">
        <v>0</v>
      </c>
      <c r="H61" s="50">
        <v>4</v>
      </c>
      <c r="I61" s="50">
        <v>11</v>
      </c>
      <c r="J61" s="50">
        <v>4</v>
      </c>
      <c r="K61" s="50">
        <v>1</v>
      </c>
      <c r="L61" s="50">
        <v>0</v>
      </c>
      <c r="M61" s="50">
        <v>340</v>
      </c>
      <c r="N61" s="50">
        <v>0</v>
      </c>
      <c r="O61" s="15">
        <f t="shared" si="35"/>
        <v>148</v>
      </c>
      <c r="P61" s="15">
        <f t="shared" si="36"/>
        <v>488</v>
      </c>
      <c r="R61" s="8"/>
      <c r="T61"/>
    </row>
    <row r="62" spans="2:20" ht="23.1" customHeight="1" x14ac:dyDescent="0.25">
      <c r="B62" s="45" t="s">
        <v>107</v>
      </c>
      <c r="C62" s="50">
        <v>42</v>
      </c>
      <c r="D62" s="50">
        <v>1</v>
      </c>
      <c r="E62" s="50">
        <v>5</v>
      </c>
      <c r="F62" s="50">
        <v>40</v>
      </c>
      <c r="G62" s="50">
        <v>0</v>
      </c>
      <c r="H62" s="50">
        <v>2</v>
      </c>
      <c r="I62" s="50">
        <v>11</v>
      </c>
      <c r="J62" s="50">
        <v>8</v>
      </c>
      <c r="K62" s="50">
        <v>3</v>
      </c>
      <c r="L62" s="50">
        <v>0</v>
      </c>
      <c r="M62" s="50">
        <v>250</v>
      </c>
      <c r="N62" s="50">
        <v>0</v>
      </c>
      <c r="O62" s="15">
        <f t="shared" si="35"/>
        <v>112</v>
      </c>
      <c r="P62" s="15">
        <f t="shared" si="36"/>
        <v>362</v>
      </c>
      <c r="R62" s="8"/>
      <c r="T62"/>
    </row>
    <row r="63" spans="2:20" ht="23.1" customHeight="1" x14ac:dyDescent="0.25">
      <c r="B63" s="45" t="s">
        <v>108</v>
      </c>
      <c r="C63" s="50">
        <v>20</v>
      </c>
      <c r="D63" s="50">
        <v>0</v>
      </c>
      <c r="E63" s="50">
        <v>4</v>
      </c>
      <c r="F63" s="50">
        <v>3</v>
      </c>
      <c r="G63" s="50">
        <v>0</v>
      </c>
      <c r="H63" s="50">
        <v>1</v>
      </c>
      <c r="I63" s="50">
        <v>13</v>
      </c>
      <c r="J63" s="50">
        <v>6</v>
      </c>
      <c r="K63" s="50">
        <v>1</v>
      </c>
      <c r="L63" s="50">
        <v>2</v>
      </c>
      <c r="M63" s="50">
        <v>290</v>
      </c>
      <c r="N63" s="50">
        <v>0</v>
      </c>
      <c r="O63" s="15">
        <f t="shared" si="35"/>
        <v>50</v>
      </c>
      <c r="P63" s="15">
        <f t="shared" si="36"/>
        <v>340</v>
      </c>
      <c r="R63" s="8"/>
      <c r="T63"/>
    </row>
    <row r="64" spans="2:20" ht="23.1" customHeight="1" x14ac:dyDescent="0.25">
      <c r="B64" s="45" t="s">
        <v>109</v>
      </c>
      <c r="C64" s="50">
        <v>51</v>
      </c>
      <c r="D64" s="50">
        <v>5</v>
      </c>
      <c r="E64" s="50">
        <v>5</v>
      </c>
      <c r="F64" s="50">
        <v>6</v>
      </c>
      <c r="G64" s="50">
        <v>1</v>
      </c>
      <c r="H64" s="50">
        <v>5</v>
      </c>
      <c r="I64" s="50">
        <v>10</v>
      </c>
      <c r="J64" s="50">
        <v>4</v>
      </c>
      <c r="K64" s="50">
        <v>2</v>
      </c>
      <c r="L64" s="50">
        <v>3</v>
      </c>
      <c r="M64" s="50">
        <v>320</v>
      </c>
      <c r="N64" s="50">
        <v>0</v>
      </c>
      <c r="O64" s="15">
        <f t="shared" si="35"/>
        <v>92</v>
      </c>
      <c r="P64" s="15">
        <f t="shared" si="36"/>
        <v>412</v>
      </c>
      <c r="R64" s="8"/>
      <c r="T64"/>
    </row>
    <row r="65" spans="2:20" ht="23.1" customHeight="1" x14ac:dyDescent="0.25">
      <c r="B65" s="45" t="s">
        <v>158</v>
      </c>
      <c r="C65" s="50">
        <v>43</v>
      </c>
      <c r="D65" s="50">
        <v>9</v>
      </c>
      <c r="E65" s="50">
        <v>5</v>
      </c>
      <c r="F65" s="50">
        <v>39</v>
      </c>
      <c r="G65" s="50">
        <v>5</v>
      </c>
      <c r="H65" s="50">
        <v>0</v>
      </c>
      <c r="I65" s="50">
        <v>8</v>
      </c>
      <c r="J65" s="50">
        <v>3</v>
      </c>
      <c r="K65" s="50">
        <v>1</v>
      </c>
      <c r="L65" s="50">
        <v>0</v>
      </c>
      <c r="M65" s="50">
        <v>285</v>
      </c>
      <c r="N65" s="50">
        <v>0</v>
      </c>
      <c r="O65" s="15">
        <f t="shared" si="35"/>
        <v>113</v>
      </c>
      <c r="P65" s="15">
        <f t="shared" si="36"/>
        <v>398</v>
      </c>
      <c r="R65" s="8"/>
      <c r="T65"/>
    </row>
    <row r="66" spans="2:20" ht="23.1" customHeight="1" x14ac:dyDescent="0.25">
      <c r="B66" s="45" t="s">
        <v>103</v>
      </c>
      <c r="C66" s="50">
        <v>38</v>
      </c>
      <c r="D66" s="50">
        <v>6</v>
      </c>
      <c r="E66" s="50">
        <v>6</v>
      </c>
      <c r="F66" s="50">
        <v>24</v>
      </c>
      <c r="G66" s="50">
        <v>6</v>
      </c>
      <c r="H66" s="50">
        <v>0</v>
      </c>
      <c r="I66" s="50">
        <v>13</v>
      </c>
      <c r="J66" s="50">
        <v>8</v>
      </c>
      <c r="K66" s="50">
        <v>2</v>
      </c>
      <c r="L66" s="50">
        <v>4</v>
      </c>
      <c r="M66" s="50">
        <v>315</v>
      </c>
      <c r="N66" s="50">
        <v>0</v>
      </c>
      <c r="O66" s="15">
        <f t="shared" si="35"/>
        <v>107</v>
      </c>
      <c r="P66" s="15">
        <f t="shared" si="36"/>
        <v>422</v>
      </c>
      <c r="R66" s="8"/>
      <c r="T66"/>
    </row>
    <row r="67" spans="2:20" ht="23.1" customHeight="1" x14ac:dyDescent="0.25">
      <c r="B67" s="45" t="s">
        <v>104</v>
      </c>
      <c r="C67" s="50">
        <v>50</v>
      </c>
      <c r="D67" s="50">
        <v>8</v>
      </c>
      <c r="E67" s="50">
        <v>6</v>
      </c>
      <c r="F67" s="50">
        <v>21</v>
      </c>
      <c r="G67" s="50">
        <v>2</v>
      </c>
      <c r="H67" s="50">
        <v>3</v>
      </c>
      <c r="I67" s="50">
        <v>8</v>
      </c>
      <c r="J67" s="50">
        <v>3</v>
      </c>
      <c r="K67" s="50">
        <v>3</v>
      </c>
      <c r="L67" s="50">
        <v>4</v>
      </c>
      <c r="M67" s="50">
        <v>265</v>
      </c>
      <c r="N67" s="50">
        <v>0</v>
      </c>
      <c r="O67" s="15">
        <f t="shared" si="35"/>
        <v>108</v>
      </c>
      <c r="P67" s="15">
        <f t="shared" si="36"/>
        <v>373</v>
      </c>
      <c r="R67" s="8"/>
      <c r="T67"/>
    </row>
    <row r="68" spans="2:20" ht="23.1" customHeight="1" x14ac:dyDescent="0.25">
      <c r="B68" s="45" t="s">
        <v>105</v>
      </c>
      <c r="C68" s="50">
        <v>60</v>
      </c>
      <c r="D68" s="50">
        <v>13</v>
      </c>
      <c r="E68" s="50">
        <v>9</v>
      </c>
      <c r="F68" s="50">
        <v>26</v>
      </c>
      <c r="G68" s="50">
        <v>1</v>
      </c>
      <c r="H68" s="50">
        <v>1</v>
      </c>
      <c r="I68" s="50">
        <v>13</v>
      </c>
      <c r="J68" s="50">
        <v>2</v>
      </c>
      <c r="K68" s="50">
        <v>1</v>
      </c>
      <c r="L68" s="50">
        <v>2</v>
      </c>
      <c r="M68" s="50">
        <v>245</v>
      </c>
      <c r="N68" s="50">
        <v>0</v>
      </c>
      <c r="O68" s="15">
        <f t="shared" si="35"/>
        <v>128</v>
      </c>
      <c r="P68" s="15">
        <f t="shared" si="36"/>
        <v>373</v>
      </c>
      <c r="R68" s="8"/>
      <c r="T68"/>
    </row>
    <row r="69" spans="2:20" ht="23.1" customHeight="1" x14ac:dyDescent="0.25">
      <c r="B69" s="45" t="s">
        <v>106</v>
      </c>
      <c r="C69" s="50">
        <v>41</v>
      </c>
      <c r="D69" s="50">
        <v>9</v>
      </c>
      <c r="E69" s="50">
        <v>22</v>
      </c>
      <c r="F69" s="50">
        <v>21</v>
      </c>
      <c r="G69" s="50">
        <v>0</v>
      </c>
      <c r="H69" s="50">
        <v>1</v>
      </c>
      <c r="I69" s="50">
        <v>14</v>
      </c>
      <c r="J69" s="50">
        <v>6</v>
      </c>
      <c r="K69" s="50">
        <v>1</v>
      </c>
      <c r="L69" s="50">
        <v>3</v>
      </c>
      <c r="M69" s="50">
        <v>310</v>
      </c>
      <c r="N69" s="50">
        <v>0</v>
      </c>
      <c r="O69" s="15">
        <f t="shared" si="35"/>
        <v>118</v>
      </c>
      <c r="P69" s="15">
        <f t="shared" si="36"/>
        <v>428</v>
      </c>
      <c r="R69" s="8"/>
      <c r="T69"/>
    </row>
    <row r="70" spans="2:20" ht="23.1" customHeight="1" x14ac:dyDescent="0.25">
      <c r="B70" s="45" t="s">
        <v>110</v>
      </c>
      <c r="C70" s="50">
        <v>55</v>
      </c>
      <c r="D70" s="50">
        <v>9</v>
      </c>
      <c r="E70" s="50">
        <v>5</v>
      </c>
      <c r="F70" s="50">
        <v>16</v>
      </c>
      <c r="G70" s="50">
        <v>4</v>
      </c>
      <c r="H70" s="50">
        <v>1</v>
      </c>
      <c r="I70" s="50">
        <v>26</v>
      </c>
      <c r="J70" s="50">
        <v>6</v>
      </c>
      <c r="K70" s="50">
        <v>1</v>
      </c>
      <c r="L70" s="50">
        <v>1</v>
      </c>
      <c r="M70" s="50">
        <v>220</v>
      </c>
      <c r="N70" s="50">
        <v>0</v>
      </c>
      <c r="O70" s="15">
        <f t="shared" si="35"/>
        <v>124</v>
      </c>
      <c r="P70" s="15">
        <f t="shared" si="36"/>
        <v>344</v>
      </c>
      <c r="R70" s="8"/>
      <c r="T70"/>
    </row>
    <row r="71" spans="2:20" ht="23.1" customHeight="1" x14ac:dyDescent="0.25">
      <c r="B71" s="45" t="s">
        <v>111</v>
      </c>
      <c r="C71" s="50">
        <v>45</v>
      </c>
      <c r="D71" s="50">
        <v>9</v>
      </c>
      <c r="E71" s="50">
        <v>8</v>
      </c>
      <c r="F71" s="50">
        <v>26</v>
      </c>
      <c r="G71" s="50">
        <v>0</v>
      </c>
      <c r="H71" s="50">
        <v>0</v>
      </c>
      <c r="I71" s="50">
        <v>13</v>
      </c>
      <c r="J71" s="50">
        <v>3</v>
      </c>
      <c r="K71" s="50">
        <v>0</v>
      </c>
      <c r="L71" s="50">
        <v>5</v>
      </c>
      <c r="M71" s="50">
        <v>129</v>
      </c>
      <c r="N71" s="50">
        <v>0</v>
      </c>
      <c r="O71" s="15">
        <f t="shared" si="35"/>
        <v>109</v>
      </c>
      <c r="P71" s="15">
        <f t="shared" si="36"/>
        <v>238</v>
      </c>
      <c r="R71" s="8"/>
      <c r="T71"/>
    </row>
    <row r="72" spans="2:20" ht="23.1" customHeight="1" x14ac:dyDescent="0.25">
      <c r="B72" s="45" t="s">
        <v>112</v>
      </c>
      <c r="C72" s="50">
        <v>25</v>
      </c>
      <c r="D72" s="50">
        <v>5</v>
      </c>
      <c r="E72" s="50">
        <v>7</v>
      </c>
      <c r="F72" s="50">
        <v>23</v>
      </c>
      <c r="G72" s="50">
        <v>1</v>
      </c>
      <c r="H72" s="50">
        <v>0</v>
      </c>
      <c r="I72" s="50">
        <v>16</v>
      </c>
      <c r="J72" s="50">
        <v>8</v>
      </c>
      <c r="K72" s="50">
        <v>3</v>
      </c>
      <c r="L72" s="50">
        <v>8</v>
      </c>
      <c r="M72" s="50">
        <v>128</v>
      </c>
      <c r="N72" s="50">
        <v>0</v>
      </c>
      <c r="O72" s="15">
        <f t="shared" si="35"/>
        <v>96</v>
      </c>
      <c r="P72" s="15">
        <f t="shared" si="36"/>
        <v>224</v>
      </c>
      <c r="R72" s="8"/>
      <c r="T72"/>
    </row>
    <row r="73" spans="2:20" ht="23.1" customHeight="1" x14ac:dyDescent="0.25">
      <c r="B73" s="45" t="s">
        <v>113</v>
      </c>
      <c r="C73" s="50">
        <v>36</v>
      </c>
      <c r="D73" s="50">
        <v>3</v>
      </c>
      <c r="E73" s="50">
        <v>4</v>
      </c>
      <c r="F73" s="50">
        <v>34</v>
      </c>
      <c r="G73" s="50">
        <v>0</v>
      </c>
      <c r="H73" s="50">
        <v>1</v>
      </c>
      <c r="I73" s="50">
        <v>8</v>
      </c>
      <c r="J73" s="50">
        <v>6</v>
      </c>
      <c r="K73" s="50">
        <v>2</v>
      </c>
      <c r="L73" s="50">
        <v>4</v>
      </c>
      <c r="M73" s="50">
        <v>159</v>
      </c>
      <c r="N73" s="50">
        <v>0</v>
      </c>
      <c r="O73" s="15">
        <f t="shared" si="35"/>
        <v>98</v>
      </c>
      <c r="P73" s="15">
        <f t="shared" si="36"/>
        <v>257</v>
      </c>
      <c r="R73" s="8"/>
      <c r="T73"/>
    </row>
    <row r="74" spans="2:20" ht="23.1" customHeight="1" x14ac:dyDescent="0.25">
      <c r="B74" s="45" t="s">
        <v>114</v>
      </c>
      <c r="C74" s="50">
        <v>43</v>
      </c>
      <c r="D74" s="50">
        <v>2</v>
      </c>
      <c r="E74" s="50">
        <v>3</v>
      </c>
      <c r="F74" s="50">
        <v>16</v>
      </c>
      <c r="G74" s="50">
        <v>3</v>
      </c>
      <c r="H74" s="50">
        <v>1</v>
      </c>
      <c r="I74" s="50">
        <v>17</v>
      </c>
      <c r="J74" s="50">
        <v>8</v>
      </c>
      <c r="K74" s="50">
        <v>1</v>
      </c>
      <c r="L74" s="50">
        <v>4</v>
      </c>
      <c r="M74" s="50">
        <v>138</v>
      </c>
      <c r="N74" s="50">
        <v>0</v>
      </c>
      <c r="O74" s="15">
        <f t="shared" si="35"/>
        <v>98</v>
      </c>
      <c r="P74" s="15">
        <f t="shared" si="36"/>
        <v>236</v>
      </c>
      <c r="R74" s="8"/>
      <c r="T74"/>
    </row>
    <row r="75" spans="2:20" ht="23.1" customHeight="1" x14ac:dyDescent="0.25">
      <c r="B75" s="45" t="s">
        <v>115</v>
      </c>
      <c r="C75" s="50">
        <v>31</v>
      </c>
      <c r="D75" s="50">
        <v>3</v>
      </c>
      <c r="E75" s="50">
        <v>5</v>
      </c>
      <c r="F75" s="50">
        <v>18</v>
      </c>
      <c r="G75" s="50">
        <v>0</v>
      </c>
      <c r="H75" s="50">
        <v>1</v>
      </c>
      <c r="I75" s="50">
        <v>9</v>
      </c>
      <c r="J75" s="50">
        <v>1</v>
      </c>
      <c r="K75" s="50">
        <v>1</v>
      </c>
      <c r="L75" s="50">
        <v>0</v>
      </c>
      <c r="M75" s="50">
        <v>90</v>
      </c>
      <c r="N75" s="50">
        <v>0</v>
      </c>
      <c r="O75" s="15">
        <f t="shared" si="35"/>
        <v>69</v>
      </c>
      <c r="P75" s="15">
        <f t="shared" si="36"/>
        <v>159</v>
      </c>
      <c r="R75" s="8"/>
      <c r="T75"/>
    </row>
    <row r="76" spans="2:20" ht="23.1" customHeight="1" x14ac:dyDescent="0.25">
      <c r="B76" s="45" t="s">
        <v>116</v>
      </c>
      <c r="C76" s="50">
        <v>23</v>
      </c>
      <c r="D76" s="50">
        <v>5</v>
      </c>
      <c r="E76" s="50">
        <v>5</v>
      </c>
      <c r="F76" s="50">
        <v>9</v>
      </c>
      <c r="G76" s="50">
        <v>0</v>
      </c>
      <c r="H76" s="50">
        <v>0</v>
      </c>
      <c r="I76" s="50">
        <v>18</v>
      </c>
      <c r="J76" s="50">
        <v>4</v>
      </c>
      <c r="K76" s="50">
        <v>1</v>
      </c>
      <c r="L76" s="50">
        <v>2</v>
      </c>
      <c r="M76" s="50">
        <v>69</v>
      </c>
      <c r="N76" s="50">
        <v>0</v>
      </c>
      <c r="O76" s="15">
        <f t="shared" si="35"/>
        <v>67</v>
      </c>
      <c r="P76" s="15">
        <f t="shared" si="36"/>
        <v>136</v>
      </c>
      <c r="R76" s="8"/>
      <c r="T76"/>
    </row>
    <row r="77" spans="2:20" ht="23.1" customHeight="1" x14ac:dyDescent="0.25">
      <c r="B77" s="45" t="s">
        <v>117</v>
      </c>
      <c r="C77" s="50">
        <v>32</v>
      </c>
      <c r="D77" s="50">
        <v>3</v>
      </c>
      <c r="E77" s="50">
        <v>1</v>
      </c>
      <c r="F77" s="50">
        <v>5</v>
      </c>
      <c r="G77" s="50">
        <v>0</v>
      </c>
      <c r="H77" s="50">
        <v>1</v>
      </c>
      <c r="I77" s="50">
        <v>10</v>
      </c>
      <c r="J77" s="50">
        <v>4</v>
      </c>
      <c r="K77" s="50">
        <v>2</v>
      </c>
      <c r="L77" s="50">
        <v>2</v>
      </c>
      <c r="M77" s="50">
        <v>74</v>
      </c>
      <c r="N77" s="50">
        <v>0</v>
      </c>
      <c r="O77" s="15">
        <f t="shared" si="35"/>
        <v>60</v>
      </c>
      <c r="P77" s="15">
        <f t="shared" si="36"/>
        <v>134</v>
      </c>
      <c r="R77" s="8"/>
      <c r="T77"/>
    </row>
    <row r="78" spans="2:20" ht="23.1" customHeight="1" x14ac:dyDescent="0.25">
      <c r="B78" s="46" t="s">
        <v>118</v>
      </c>
      <c r="C78" s="50">
        <v>27</v>
      </c>
      <c r="D78" s="50">
        <v>6</v>
      </c>
      <c r="E78" s="50">
        <v>3</v>
      </c>
      <c r="F78" s="50">
        <v>19</v>
      </c>
      <c r="G78" s="50">
        <v>1</v>
      </c>
      <c r="H78" s="50">
        <v>2</v>
      </c>
      <c r="I78" s="50">
        <v>15</v>
      </c>
      <c r="J78" s="50">
        <v>3</v>
      </c>
      <c r="K78" s="50">
        <v>0</v>
      </c>
      <c r="L78" s="50">
        <v>7</v>
      </c>
      <c r="M78" s="50">
        <v>69</v>
      </c>
      <c r="N78" s="50">
        <v>0</v>
      </c>
      <c r="O78" s="15">
        <f t="shared" si="35"/>
        <v>83</v>
      </c>
      <c r="P78" s="15">
        <f t="shared" si="36"/>
        <v>152</v>
      </c>
      <c r="R78" s="8"/>
      <c r="T78"/>
    </row>
    <row r="79" spans="2:20" ht="23.1" customHeight="1" x14ac:dyDescent="0.25">
      <c r="B79" s="45" t="s">
        <v>119</v>
      </c>
      <c r="C79" s="50">
        <v>20</v>
      </c>
      <c r="D79" s="50">
        <v>2</v>
      </c>
      <c r="E79" s="50">
        <v>3</v>
      </c>
      <c r="F79" s="50">
        <v>12</v>
      </c>
      <c r="G79" s="50">
        <v>0</v>
      </c>
      <c r="H79" s="50">
        <v>1</v>
      </c>
      <c r="I79" s="50">
        <v>15</v>
      </c>
      <c r="J79" s="50">
        <v>8</v>
      </c>
      <c r="K79" s="50">
        <v>2</v>
      </c>
      <c r="L79" s="50">
        <v>3</v>
      </c>
      <c r="M79" s="50">
        <v>50</v>
      </c>
      <c r="N79" s="50">
        <v>0</v>
      </c>
      <c r="O79" s="15">
        <f t="shared" si="35"/>
        <v>66</v>
      </c>
      <c r="P79" s="15">
        <f t="shared" si="36"/>
        <v>116</v>
      </c>
      <c r="R79" s="8"/>
      <c r="T79"/>
    </row>
    <row r="80" spans="2:20" ht="23.1" customHeight="1" x14ac:dyDescent="0.25">
      <c r="B80" s="47" t="s">
        <v>120</v>
      </c>
      <c r="C80" s="50">
        <v>24</v>
      </c>
      <c r="D80" s="50">
        <v>4</v>
      </c>
      <c r="E80" s="50">
        <v>4</v>
      </c>
      <c r="F80" s="50">
        <v>11</v>
      </c>
      <c r="G80" s="50">
        <v>0</v>
      </c>
      <c r="H80" s="50">
        <v>0</v>
      </c>
      <c r="I80" s="50">
        <v>10</v>
      </c>
      <c r="J80" s="50">
        <v>11</v>
      </c>
      <c r="K80" s="50">
        <v>0</v>
      </c>
      <c r="L80" s="50">
        <v>6</v>
      </c>
      <c r="M80" s="50">
        <v>33</v>
      </c>
      <c r="N80" s="50">
        <v>0</v>
      </c>
      <c r="O80" s="15">
        <f t="shared" si="35"/>
        <v>70</v>
      </c>
      <c r="P80" s="15">
        <f t="shared" si="36"/>
        <v>103</v>
      </c>
      <c r="R80" s="8"/>
      <c r="T80"/>
    </row>
    <row r="81" spans="2:20" ht="23.1" customHeight="1" x14ac:dyDescent="0.25">
      <c r="B81" s="45" t="s">
        <v>121</v>
      </c>
      <c r="C81" s="50">
        <v>15</v>
      </c>
      <c r="D81" s="50">
        <v>1</v>
      </c>
      <c r="E81" s="50">
        <v>1</v>
      </c>
      <c r="F81" s="50">
        <v>10</v>
      </c>
      <c r="G81" s="50">
        <v>0</v>
      </c>
      <c r="H81" s="50">
        <v>1</v>
      </c>
      <c r="I81" s="50">
        <v>20</v>
      </c>
      <c r="J81" s="50">
        <v>6</v>
      </c>
      <c r="K81" s="50">
        <v>1</v>
      </c>
      <c r="L81" s="50">
        <v>3</v>
      </c>
      <c r="M81" s="50">
        <v>20</v>
      </c>
      <c r="N81" s="50">
        <v>0</v>
      </c>
      <c r="O81" s="15">
        <f t="shared" si="35"/>
        <v>58</v>
      </c>
      <c r="P81" s="15">
        <f t="shared" si="36"/>
        <v>78</v>
      </c>
      <c r="R81" s="8"/>
      <c r="T81"/>
    </row>
    <row r="82" spans="2:20" ht="23.1" customHeight="1" x14ac:dyDescent="0.25">
      <c r="B82" s="46" t="s">
        <v>122</v>
      </c>
      <c r="C82" s="50">
        <v>15</v>
      </c>
      <c r="D82" s="50">
        <v>3</v>
      </c>
      <c r="E82" s="50">
        <v>2</v>
      </c>
      <c r="F82" s="50">
        <v>3</v>
      </c>
      <c r="G82" s="50">
        <v>0</v>
      </c>
      <c r="H82" s="50">
        <v>0</v>
      </c>
      <c r="I82" s="50">
        <v>10</v>
      </c>
      <c r="J82" s="50">
        <v>12</v>
      </c>
      <c r="K82" s="50">
        <v>0</v>
      </c>
      <c r="L82" s="50">
        <v>4</v>
      </c>
      <c r="M82" s="50">
        <v>43</v>
      </c>
      <c r="N82" s="50">
        <v>0</v>
      </c>
      <c r="O82" s="15">
        <f t="shared" si="35"/>
        <v>49</v>
      </c>
      <c r="P82" s="15">
        <f t="shared" si="36"/>
        <v>92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0</v>
      </c>
      <c r="E83" s="50">
        <v>1</v>
      </c>
      <c r="F83" s="50">
        <v>7</v>
      </c>
      <c r="G83" s="50">
        <v>0</v>
      </c>
      <c r="H83" s="50">
        <v>0</v>
      </c>
      <c r="I83" s="50">
        <v>11</v>
      </c>
      <c r="J83" s="50">
        <v>11</v>
      </c>
      <c r="K83" s="50">
        <v>0</v>
      </c>
      <c r="L83" s="50">
        <v>5</v>
      </c>
      <c r="M83" s="50">
        <v>28</v>
      </c>
      <c r="N83" s="50">
        <v>0</v>
      </c>
      <c r="O83" s="15">
        <f t="shared" si="35"/>
        <v>47</v>
      </c>
      <c r="P83" s="15">
        <f t="shared" si="36"/>
        <v>75</v>
      </c>
      <c r="R83" s="8"/>
      <c r="T83"/>
    </row>
    <row r="84" spans="2:20" ht="23.1" customHeight="1" x14ac:dyDescent="0.25">
      <c r="B84" s="47" t="s">
        <v>124</v>
      </c>
      <c r="C84" s="50">
        <v>17</v>
      </c>
      <c r="D84" s="50">
        <v>1</v>
      </c>
      <c r="E84" s="50">
        <v>2</v>
      </c>
      <c r="F84" s="50">
        <v>5</v>
      </c>
      <c r="G84" s="50">
        <v>0</v>
      </c>
      <c r="H84" s="50">
        <v>1</v>
      </c>
      <c r="I84" s="50">
        <v>8</v>
      </c>
      <c r="J84" s="50">
        <v>8</v>
      </c>
      <c r="K84" s="50">
        <v>1</v>
      </c>
      <c r="L84" s="50">
        <v>3</v>
      </c>
      <c r="M84" s="50">
        <v>34</v>
      </c>
      <c r="N84" s="50">
        <v>0</v>
      </c>
      <c r="O84" s="15">
        <f t="shared" si="35"/>
        <v>46</v>
      </c>
      <c r="P84" s="15">
        <f t="shared" si="36"/>
        <v>80</v>
      </c>
      <c r="R84" s="8"/>
      <c r="T84"/>
    </row>
    <row r="85" spans="2:20" ht="23.1" customHeight="1" x14ac:dyDescent="0.25">
      <c r="B85" s="45" t="s">
        <v>125</v>
      </c>
      <c r="C85" s="50">
        <v>9</v>
      </c>
      <c r="D85" s="50">
        <v>4</v>
      </c>
      <c r="E85" s="50">
        <v>2</v>
      </c>
      <c r="F85" s="50">
        <v>2</v>
      </c>
      <c r="G85" s="50">
        <v>0</v>
      </c>
      <c r="H85" s="50">
        <v>0</v>
      </c>
      <c r="I85" s="50">
        <v>13</v>
      </c>
      <c r="J85" s="50">
        <v>7</v>
      </c>
      <c r="K85" s="50">
        <v>7</v>
      </c>
      <c r="L85" s="50">
        <v>5</v>
      </c>
      <c r="M85" s="50">
        <v>30</v>
      </c>
      <c r="N85" s="50">
        <v>0</v>
      </c>
      <c r="O85" s="15">
        <f t="shared" si="35"/>
        <v>49</v>
      </c>
      <c r="P85" s="15">
        <f t="shared" si="36"/>
        <v>79</v>
      </c>
      <c r="R85" s="8"/>
      <c r="T85"/>
    </row>
    <row r="86" spans="2:20" ht="23.1" customHeight="1" x14ac:dyDescent="0.25">
      <c r="B86" s="46" t="s">
        <v>126</v>
      </c>
      <c r="C86" s="50">
        <v>9</v>
      </c>
      <c r="D86" s="50">
        <v>1</v>
      </c>
      <c r="E86" s="50">
        <v>2</v>
      </c>
      <c r="F86" s="50">
        <v>2</v>
      </c>
      <c r="G86" s="50">
        <v>0</v>
      </c>
      <c r="H86" s="50">
        <v>1</v>
      </c>
      <c r="I86" s="50">
        <v>15</v>
      </c>
      <c r="J86" s="50">
        <v>20</v>
      </c>
      <c r="K86" s="50">
        <v>0</v>
      </c>
      <c r="L86" s="50">
        <v>1</v>
      </c>
      <c r="M86" s="50">
        <v>49</v>
      </c>
      <c r="N86" s="50">
        <v>0</v>
      </c>
      <c r="O86" s="15">
        <f t="shared" si="35"/>
        <v>51</v>
      </c>
      <c r="P86" s="15">
        <f t="shared" si="36"/>
        <v>100</v>
      </c>
      <c r="R86" s="8"/>
      <c r="T86"/>
    </row>
    <row r="87" spans="2:20" ht="23.1" customHeight="1" x14ac:dyDescent="0.25">
      <c r="B87" s="45" t="s">
        <v>127</v>
      </c>
      <c r="C87" s="50">
        <v>6</v>
      </c>
      <c r="D87" s="50">
        <v>0</v>
      </c>
      <c r="E87" s="50">
        <v>0</v>
      </c>
      <c r="F87" s="50">
        <v>4</v>
      </c>
      <c r="G87" s="50">
        <v>0</v>
      </c>
      <c r="H87" s="50">
        <v>0</v>
      </c>
      <c r="I87" s="50">
        <v>11</v>
      </c>
      <c r="J87" s="50">
        <v>5</v>
      </c>
      <c r="K87" s="50">
        <v>2</v>
      </c>
      <c r="L87" s="50">
        <v>4</v>
      </c>
      <c r="M87" s="50">
        <v>23</v>
      </c>
      <c r="N87" s="50">
        <v>0</v>
      </c>
      <c r="O87" s="15">
        <f t="shared" si="35"/>
        <v>32</v>
      </c>
      <c r="P87" s="15">
        <f t="shared" si="36"/>
        <v>55</v>
      </c>
      <c r="R87" s="8"/>
      <c r="T87"/>
    </row>
    <row r="88" spans="2:20" ht="23.1" customHeight="1" x14ac:dyDescent="0.25">
      <c r="B88" s="47" t="s">
        <v>128</v>
      </c>
      <c r="C88" s="50">
        <v>7</v>
      </c>
      <c r="D88" s="50">
        <v>0</v>
      </c>
      <c r="E88" s="50">
        <v>1</v>
      </c>
      <c r="F88" s="50">
        <v>3</v>
      </c>
      <c r="G88" s="50">
        <v>0</v>
      </c>
      <c r="H88" s="50">
        <v>0</v>
      </c>
      <c r="I88" s="50">
        <v>8</v>
      </c>
      <c r="J88" s="50">
        <v>6</v>
      </c>
      <c r="K88" s="50">
        <v>1</v>
      </c>
      <c r="L88" s="50">
        <v>5</v>
      </c>
      <c r="M88" s="50">
        <v>33</v>
      </c>
      <c r="N88" s="50">
        <v>0</v>
      </c>
      <c r="O88" s="15">
        <f t="shared" si="35"/>
        <v>31</v>
      </c>
      <c r="P88" s="15">
        <f t="shared" si="36"/>
        <v>64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0</v>
      </c>
      <c r="E89" s="50">
        <v>0</v>
      </c>
      <c r="F89" s="50">
        <v>6</v>
      </c>
      <c r="G89" s="50">
        <v>0</v>
      </c>
      <c r="H89" s="50">
        <v>1</v>
      </c>
      <c r="I89" s="50">
        <v>12</v>
      </c>
      <c r="J89" s="50">
        <v>15</v>
      </c>
      <c r="K89" s="50">
        <v>0</v>
      </c>
      <c r="L89" s="50">
        <v>3</v>
      </c>
      <c r="M89" s="50">
        <v>17</v>
      </c>
      <c r="N89" s="50">
        <v>0</v>
      </c>
      <c r="O89" s="15">
        <f t="shared" si="35"/>
        <v>41</v>
      </c>
      <c r="P89" s="15">
        <f t="shared" si="36"/>
        <v>58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0</v>
      </c>
      <c r="F90" s="50">
        <v>2</v>
      </c>
      <c r="G90" s="50">
        <v>0</v>
      </c>
      <c r="H90" s="50">
        <v>1</v>
      </c>
      <c r="I90" s="50">
        <v>8</v>
      </c>
      <c r="J90" s="50">
        <v>11</v>
      </c>
      <c r="K90" s="50">
        <v>2</v>
      </c>
      <c r="L90" s="50">
        <v>4</v>
      </c>
      <c r="M90" s="50">
        <v>21</v>
      </c>
      <c r="N90" s="50">
        <v>0</v>
      </c>
      <c r="O90" s="15">
        <f t="shared" si="35"/>
        <v>31</v>
      </c>
      <c r="P90" s="15">
        <f t="shared" si="36"/>
        <v>52</v>
      </c>
      <c r="R90" s="8"/>
      <c r="T90"/>
    </row>
    <row r="91" spans="2:20" ht="23.1" customHeight="1" x14ac:dyDescent="0.25">
      <c r="B91" s="45" t="s">
        <v>131</v>
      </c>
      <c r="C91" s="50">
        <v>7</v>
      </c>
      <c r="D91" s="50">
        <v>0</v>
      </c>
      <c r="E91" s="50">
        <v>1</v>
      </c>
      <c r="F91" s="50">
        <v>3</v>
      </c>
      <c r="G91" s="50">
        <v>0</v>
      </c>
      <c r="H91" s="50">
        <v>1</v>
      </c>
      <c r="I91" s="50">
        <v>10</v>
      </c>
      <c r="J91" s="50">
        <v>15</v>
      </c>
      <c r="K91" s="50">
        <v>0</v>
      </c>
      <c r="L91" s="50">
        <v>3</v>
      </c>
      <c r="M91" s="50">
        <v>17</v>
      </c>
      <c r="N91" s="50">
        <v>0</v>
      </c>
      <c r="O91" s="15">
        <f t="shared" si="35"/>
        <v>40</v>
      </c>
      <c r="P91" s="15">
        <f t="shared" si="36"/>
        <v>57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1</v>
      </c>
      <c r="E92" s="50">
        <v>0</v>
      </c>
      <c r="F92" s="50">
        <v>1</v>
      </c>
      <c r="G92" s="50">
        <v>2</v>
      </c>
      <c r="H92" s="50">
        <v>4</v>
      </c>
      <c r="I92" s="50">
        <v>11</v>
      </c>
      <c r="J92" s="50">
        <v>1</v>
      </c>
      <c r="K92" s="50">
        <v>1</v>
      </c>
      <c r="L92" s="50">
        <v>3</v>
      </c>
      <c r="M92" s="50">
        <v>16</v>
      </c>
      <c r="N92" s="50">
        <v>0</v>
      </c>
      <c r="O92" s="15">
        <f t="shared" si="35"/>
        <v>31</v>
      </c>
      <c r="P92" s="15">
        <f t="shared" si="36"/>
        <v>47</v>
      </c>
      <c r="R92" s="8"/>
      <c r="T92"/>
    </row>
    <row r="93" spans="2:20" ht="23.1" customHeight="1" x14ac:dyDescent="0.25">
      <c r="B93" s="45" t="s">
        <v>133</v>
      </c>
      <c r="C93" s="50">
        <v>9</v>
      </c>
      <c r="D93" s="50">
        <v>0</v>
      </c>
      <c r="E93" s="50">
        <v>1</v>
      </c>
      <c r="F93" s="50">
        <v>2</v>
      </c>
      <c r="G93" s="50">
        <v>0</v>
      </c>
      <c r="H93" s="50">
        <v>2</v>
      </c>
      <c r="I93" s="50">
        <v>7</v>
      </c>
      <c r="J93" s="50">
        <v>20</v>
      </c>
      <c r="K93" s="50">
        <v>0</v>
      </c>
      <c r="L93" s="50">
        <v>0</v>
      </c>
      <c r="M93" s="50">
        <v>20</v>
      </c>
      <c r="N93" s="50">
        <v>0</v>
      </c>
      <c r="O93" s="15">
        <f t="shared" si="35"/>
        <v>41</v>
      </c>
      <c r="P93" s="15">
        <f t="shared" si="36"/>
        <v>61</v>
      </c>
      <c r="R93" s="8"/>
      <c r="T93"/>
    </row>
    <row r="94" spans="2:20" ht="23.1" customHeight="1" x14ac:dyDescent="0.25">
      <c r="B94" s="46" t="s">
        <v>134</v>
      </c>
      <c r="C94" s="50">
        <v>16</v>
      </c>
      <c r="D94" s="50">
        <v>1</v>
      </c>
      <c r="E94" s="50">
        <v>0</v>
      </c>
      <c r="F94" s="50">
        <v>3</v>
      </c>
      <c r="G94" s="50">
        <v>0</v>
      </c>
      <c r="H94" s="50">
        <v>4</v>
      </c>
      <c r="I94" s="50">
        <v>6</v>
      </c>
      <c r="J94" s="50">
        <v>8</v>
      </c>
      <c r="K94" s="50">
        <v>0</v>
      </c>
      <c r="L94" s="50">
        <v>3</v>
      </c>
      <c r="M94" s="50">
        <v>18</v>
      </c>
      <c r="N94" s="50">
        <v>0</v>
      </c>
      <c r="O94" s="15">
        <f t="shared" si="35"/>
        <v>41</v>
      </c>
      <c r="P94" s="15">
        <f t="shared" si="36"/>
        <v>59</v>
      </c>
      <c r="R94" s="8"/>
      <c r="T94"/>
    </row>
    <row r="95" spans="2:20" ht="23.1" customHeight="1" x14ac:dyDescent="0.25">
      <c r="B95" s="45" t="s">
        <v>135</v>
      </c>
      <c r="C95" s="50">
        <v>7</v>
      </c>
      <c r="D95" s="50">
        <v>0</v>
      </c>
      <c r="E95" s="50">
        <v>0</v>
      </c>
      <c r="F95" s="50">
        <v>1</v>
      </c>
      <c r="G95" s="50">
        <v>1</v>
      </c>
      <c r="H95" s="50">
        <v>0</v>
      </c>
      <c r="I95" s="50">
        <v>9</v>
      </c>
      <c r="J95" s="50">
        <v>12</v>
      </c>
      <c r="K95" s="50">
        <v>1</v>
      </c>
      <c r="L95" s="50">
        <v>4</v>
      </c>
      <c r="M95" s="50">
        <v>19</v>
      </c>
      <c r="N95" s="50">
        <v>0</v>
      </c>
      <c r="O95" s="15">
        <f t="shared" si="35"/>
        <v>35</v>
      </c>
      <c r="P95" s="15">
        <f t="shared" si="36"/>
        <v>54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0</v>
      </c>
      <c r="E96" s="50">
        <v>1</v>
      </c>
      <c r="F96" s="50">
        <v>0</v>
      </c>
      <c r="G96" s="50">
        <v>5</v>
      </c>
      <c r="H96" s="50">
        <v>3</v>
      </c>
      <c r="I96" s="50">
        <v>6</v>
      </c>
      <c r="J96" s="50">
        <v>14</v>
      </c>
      <c r="K96" s="50">
        <v>0</v>
      </c>
      <c r="L96" s="50">
        <v>2</v>
      </c>
      <c r="M96" s="50">
        <v>21</v>
      </c>
      <c r="N96" s="50">
        <v>0</v>
      </c>
      <c r="O96" s="15">
        <f t="shared" si="35"/>
        <v>35</v>
      </c>
      <c r="P96" s="15">
        <f t="shared" si="36"/>
        <v>56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1</v>
      </c>
      <c r="G97" s="50">
        <v>1</v>
      </c>
      <c r="H97" s="50">
        <v>2</v>
      </c>
      <c r="I97" s="50">
        <v>12</v>
      </c>
      <c r="J97" s="50">
        <v>9</v>
      </c>
      <c r="K97" s="50">
        <v>3</v>
      </c>
      <c r="L97" s="50">
        <v>6</v>
      </c>
      <c r="M97" s="50">
        <v>24</v>
      </c>
      <c r="N97" s="50">
        <v>0</v>
      </c>
      <c r="O97" s="15">
        <f t="shared" si="35"/>
        <v>35</v>
      </c>
      <c r="P97" s="15">
        <f t="shared" si="36"/>
        <v>59</v>
      </c>
      <c r="R97" s="8"/>
      <c r="T97"/>
    </row>
    <row r="98" spans="2:20" ht="23.1" customHeight="1" x14ac:dyDescent="0.25">
      <c r="B98" s="46" t="s">
        <v>138</v>
      </c>
      <c r="C98" s="50">
        <v>15</v>
      </c>
      <c r="D98" s="50">
        <v>1</v>
      </c>
      <c r="E98" s="50">
        <v>0</v>
      </c>
      <c r="F98" s="50">
        <v>17</v>
      </c>
      <c r="G98" s="50">
        <v>0</v>
      </c>
      <c r="H98" s="50">
        <v>1</v>
      </c>
      <c r="I98" s="50">
        <v>9</v>
      </c>
      <c r="J98" s="50">
        <v>12</v>
      </c>
      <c r="K98" s="50">
        <v>2</v>
      </c>
      <c r="L98" s="50">
        <v>3</v>
      </c>
      <c r="M98" s="50">
        <v>26</v>
      </c>
      <c r="N98" s="50">
        <v>0</v>
      </c>
      <c r="O98" s="15">
        <f t="shared" si="35"/>
        <v>60</v>
      </c>
      <c r="P98" s="15">
        <f t="shared" si="36"/>
        <v>86</v>
      </c>
      <c r="R98" s="8"/>
      <c r="T98"/>
    </row>
    <row r="99" spans="2:20" ht="23.1" customHeight="1" x14ac:dyDescent="0.25">
      <c r="B99" s="45" t="s">
        <v>139</v>
      </c>
      <c r="C99" s="50">
        <v>12</v>
      </c>
      <c r="D99" s="50">
        <v>1</v>
      </c>
      <c r="E99" s="50">
        <v>1</v>
      </c>
      <c r="F99" s="50">
        <v>15</v>
      </c>
      <c r="G99" s="50">
        <v>1</v>
      </c>
      <c r="H99" s="50">
        <v>2</v>
      </c>
      <c r="I99" s="50">
        <v>7</v>
      </c>
      <c r="J99" s="50">
        <v>10</v>
      </c>
      <c r="K99" s="50">
        <v>3</v>
      </c>
      <c r="L99" s="50">
        <v>0</v>
      </c>
      <c r="M99" s="50">
        <v>31</v>
      </c>
      <c r="N99" s="50">
        <v>0</v>
      </c>
      <c r="O99" s="15">
        <f t="shared" si="35"/>
        <v>52</v>
      </c>
      <c r="P99" s="15">
        <f t="shared" si="36"/>
        <v>83</v>
      </c>
      <c r="R99" s="8"/>
      <c r="T99"/>
    </row>
    <row r="100" spans="2:20" ht="23.1" customHeight="1" x14ac:dyDescent="0.25">
      <c r="B100" s="47" t="s">
        <v>140</v>
      </c>
      <c r="C100" s="50">
        <v>18</v>
      </c>
      <c r="D100" s="50">
        <v>1</v>
      </c>
      <c r="E100" s="50">
        <v>1</v>
      </c>
      <c r="F100" s="50">
        <v>40</v>
      </c>
      <c r="G100" s="50">
        <v>2</v>
      </c>
      <c r="H100" s="50">
        <v>3</v>
      </c>
      <c r="I100" s="50">
        <v>14</v>
      </c>
      <c r="J100" s="50">
        <v>17</v>
      </c>
      <c r="K100" s="50">
        <v>0</v>
      </c>
      <c r="L100" s="50">
        <v>4</v>
      </c>
      <c r="M100" s="50">
        <v>44</v>
      </c>
      <c r="N100" s="50">
        <v>0</v>
      </c>
      <c r="O100" s="15">
        <f t="shared" si="35"/>
        <v>100</v>
      </c>
      <c r="P100" s="15">
        <f t="shared" si="36"/>
        <v>144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0</v>
      </c>
      <c r="E101" s="50">
        <v>3</v>
      </c>
      <c r="F101" s="50">
        <v>42</v>
      </c>
      <c r="G101" s="50">
        <v>0</v>
      </c>
      <c r="H101" s="50">
        <v>1</v>
      </c>
      <c r="I101" s="50">
        <v>19</v>
      </c>
      <c r="J101" s="50">
        <v>8</v>
      </c>
      <c r="K101" s="50">
        <v>5</v>
      </c>
      <c r="L101" s="50">
        <v>3</v>
      </c>
      <c r="M101" s="50">
        <v>84</v>
      </c>
      <c r="N101" s="50">
        <v>0</v>
      </c>
      <c r="O101" s="15">
        <f t="shared" si="35"/>
        <v>96</v>
      </c>
      <c r="P101" s="15">
        <f t="shared" si="36"/>
        <v>180</v>
      </c>
      <c r="R101" s="8"/>
      <c r="T101"/>
    </row>
    <row r="102" spans="2:20" ht="23.1" customHeight="1" x14ac:dyDescent="0.25">
      <c r="B102" s="46" t="s">
        <v>142</v>
      </c>
      <c r="C102" s="50">
        <v>45</v>
      </c>
      <c r="D102" s="50">
        <v>0</v>
      </c>
      <c r="E102" s="50">
        <v>2</v>
      </c>
      <c r="F102" s="50">
        <v>43</v>
      </c>
      <c r="G102" s="50">
        <v>2</v>
      </c>
      <c r="H102" s="50">
        <v>2</v>
      </c>
      <c r="I102" s="50">
        <v>16</v>
      </c>
      <c r="J102" s="50">
        <v>8</v>
      </c>
      <c r="K102" s="50">
        <v>0</v>
      </c>
      <c r="L102" s="50">
        <v>1</v>
      </c>
      <c r="M102" s="50">
        <v>180</v>
      </c>
      <c r="N102" s="50">
        <v>0</v>
      </c>
      <c r="O102" s="15">
        <f t="shared" si="35"/>
        <v>119</v>
      </c>
      <c r="P102" s="15">
        <f t="shared" si="36"/>
        <v>299</v>
      </c>
      <c r="R102" s="8"/>
      <c r="T102"/>
    </row>
    <row r="103" spans="2:20" ht="23.1" customHeight="1" x14ac:dyDescent="0.25">
      <c r="B103" s="45" t="s">
        <v>143</v>
      </c>
      <c r="C103" s="50">
        <v>45</v>
      </c>
      <c r="D103" s="50">
        <v>5</v>
      </c>
      <c r="E103" s="50">
        <v>2</v>
      </c>
      <c r="F103" s="50">
        <v>42</v>
      </c>
      <c r="G103" s="50">
        <v>0</v>
      </c>
      <c r="H103" s="50">
        <v>2</v>
      </c>
      <c r="I103" s="50">
        <v>14</v>
      </c>
      <c r="J103" s="50">
        <v>12</v>
      </c>
      <c r="K103" s="50">
        <v>0</v>
      </c>
      <c r="L103" s="50">
        <v>3</v>
      </c>
      <c r="M103" s="50">
        <v>90</v>
      </c>
      <c r="N103" s="50">
        <v>0</v>
      </c>
      <c r="O103" s="15">
        <f t="shared" si="35"/>
        <v>125</v>
      </c>
      <c r="P103" s="15">
        <f t="shared" si="36"/>
        <v>215</v>
      </c>
      <c r="R103" s="8"/>
      <c r="T103"/>
    </row>
    <row r="104" spans="2:20" ht="23.1" customHeight="1" x14ac:dyDescent="0.25">
      <c r="B104" s="47" t="s">
        <v>144</v>
      </c>
      <c r="C104" s="50">
        <v>35</v>
      </c>
      <c r="D104" s="50">
        <v>0</v>
      </c>
      <c r="E104" s="50">
        <v>1</v>
      </c>
      <c r="F104" s="50">
        <v>50</v>
      </c>
      <c r="G104" s="50">
        <v>3</v>
      </c>
      <c r="H104" s="50">
        <v>0</v>
      </c>
      <c r="I104" s="50">
        <v>13</v>
      </c>
      <c r="J104" s="50">
        <v>17</v>
      </c>
      <c r="K104" s="50">
        <v>3</v>
      </c>
      <c r="L104" s="50">
        <v>10</v>
      </c>
      <c r="M104" s="50">
        <v>120</v>
      </c>
      <c r="N104" s="50">
        <v>0</v>
      </c>
      <c r="O104" s="15">
        <f t="shared" si="35"/>
        <v>132</v>
      </c>
      <c r="P104" s="15">
        <f t="shared" si="36"/>
        <v>252</v>
      </c>
      <c r="R104" s="8"/>
      <c r="T104"/>
    </row>
    <row r="105" spans="2:20" ht="23.1" customHeight="1" x14ac:dyDescent="0.25">
      <c r="B105" s="45" t="s">
        <v>145</v>
      </c>
      <c r="C105" s="50">
        <v>35</v>
      </c>
      <c r="D105" s="50">
        <v>0</v>
      </c>
      <c r="E105" s="50">
        <v>8</v>
      </c>
      <c r="F105" s="50">
        <v>35</v>
      </c>
      <c r="G105" s="50">
        <v>1</v>
      </c>
      <c r="H105" s="50">
        <v>0</v>
      </c>
      <c r="I105" s="50">
        <v>6</v>
      </c>
      <c r="J105" s="50">
        <v>9</v>
      </c>
      <c r="K105" s="50">
        <v>2</v>
      </c>
      <c r="L105" s="50">
        <v>4</v>
      </c>
      <c r="M105" s="50">
        <v>145</v>
      </c>
      <c r="N105" s="50">
        <v>0</v>
      </c>
      <c r="O105" s="15">
        <f t="shared" si="35"/>
        <v>100</v>
      </c>
      <c r="P105" s="15">
        <f t="shared" si="36"/>
        <v>245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4673</v>
      </c>
      <c r="D106" s="16">
        <f t="shared" ref="D106:P106" si="37">SUM(D10:D105)</f>
        <v>595</v>
      </c>
      <c r="E106" s="16">
        <f t="shared" si="37"/>
        <v>691</v>
      </c>
      <c r="F106" s="16">
        <f t="shared" si="37"/>
        <v>2952</v>
      </c>
      <c r="G106" s="16">
        <f t="shared" si="37"/>
        <v>140</v>
      </c>
      <c r="H106" s="16">
        <f t="shared" si="37"/>
        <v>131</v>
      </c>
      <c r="I106" s="16">
        <f t="shared" si="37"/>
        <v>1223</v>
      </c>
      <c r="J106" s="16">
        <f t="shared" si="37"/>
        <v>632</v>
      </c>
      <c r="K106" s="16">
        <f t="shared" si="37"/>
        <v>110</v>
      </c>
      <c r="L106" s="16">
        <f t="shared" si="37"/>
        <v>328</v>
      </c>
      <c r="M106" s="16">
        <f t="shared" si="37"/>
        <v>19870</v>
      </c>
      <c r="N106" s="16">
        <f t="shared" si="37"/>
        <v>3</v>
      </c>
      <c r="O106" s="16">
        <f t="shared" si="37"/>
        <v>11478</v>
      </c>
      <c r="P106" s="16">
        <f t="shared" si="37"/>
        <v>31348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0.14906852111777466</v>
      </c>
      <c r="D107" s="43">
        <f t="shared" si="38"/>
        <v>1.8980477223427331E-2</v>
      </c>
      <c r="E107" s="43">
        <f t="shared" si="38"/>
        <v>2.2042873548551743E-2</v>
      </c>
      <c r="F107" s="43">
        <f t="shared" si="38"/>
        <v>9.4168686997575607E-2</v>
      </c>
      <c r="G107" s="43">
        <f t="shared" si="38"/>
        <v>4.4659946408064314E-3</v>
      </c>
      <c r="H107" s="43">
        <f t="shared" si="38"/>
        <v>4.1788949853260177E-3</v>
      </c>
      <c r="I107" s="43">
        <f t="shared" si="38"/>
        <v>3.901365318361618E-2</v>
      </c>
      <c r="J107" s="43">
        <f t="shared" si="38"/>
        <v>2.0160775807069032E-2</v>
      </c>
      <c r="K107" s="43">
        <f t="shared" si="38"/>
        <v>3.5089957892050529E-3</v>
      </c>
      <c r="L107" s="43">
        <f t="shared" si="38"/>
        <v>1.0463187444175067E-2</v>
      </c>
      <c r="M107" s="43">
        <f t="shared" si="38"/>
        <v>0.63385223937731272</v>
      </c>
      <c r="N107" s="43">
        <f t="shared" si="38"/>
        <v>9.5699885160137807E-5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0.40712667712144973</v>
      </c>
      <c r="D108" s="44">
        <f t="shared" ref="D108:N108" si="39">D106/$O$106</f>
        <v>5.1838299355288379E-2</v>
      </c>
      <c r="E108" s="44">
        <f t="shared" si="39"/>
        <v>6.0202125805889531E-2</v>
      </c>
      <c r="F108" s="44">
        <f t="shared" si="39"/>
        <v>0.25718766335598536</v>
      </c>
      <c r="G108" s="44">
        <f t="shared" si="39"/>
        <v>1.2197246907126678E-2</v>
      </c>
      <c r="H108" s="44">
        <f t="shared" si="39"/>
        <v>1.141313817738282E-2</v>
      </c>
      <c r="I108" s="44">
        <f t="shared" si="39"/>
        <v>0.1065516640529709</v>
      </c>
      <c r="J108" s="44">
        <f t="shared" si="39"/>
        <v>5.5061857466457573E-2</v>
      </c>
      <c r="K108" s="44">
        <f t="shared" si="39"/>
        <v>9.5835511413138175E-3</v>
      </c>
      <c r="L108" s="44">
        <f t="shared" si="39"/>
        <v>2.8576407039553928E-2</v>
      </c>
      <c r="M108" s="44"/>
      <c r="N108" s="44">
        <f t="shared" si="39"/>
        <v>2.6136957658128593E-4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R94" sqref="R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KYENGERA-BUSEGA-24h'!D5</f>
        <v>26.07.19</v>
      </c>
      <c r="E5" s="3"/>
      <c r="F5" s="41" t="s">
        <v>1</v>
      </c>
      <c r="G5" s="67" t="str">
        <f>'26.07 KYENGERA-BUSEGA-24h'!G5:H5</f>
        <v>KYENGERA</v>
      </c>
      <c r="H5" s="68"/>
      <c r="I5" s="14"/>
      <c r="J5" s="2" t="s">
        <v>5</v>
      </c>
      <c r="K5" s="67" t="str">
        <f>'26.07 KYENGERA-BUSEGA-24h'!K5:L5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BUSEGA-KYENGERA'!D6:E6</f>
        <v>BUSEGA</v>
      </c>
      <c r="E6" s="68"/>
      <c r="F6" s="2" t="s">
        <v>2</v>
      </c>
      <c r="G6" s="67" t="str">
        <f>'23.07 BUSEGA-KYENGERA'!G6:H6</f>
        <v>KYENGERA</v>
      </c>
      <c r="H6" s="68"/>
      <c r="J6" s="2" t="s">
        <v>21</v>
      </c>
      <c r="K6" s="67" t="str">
        <f>'26.07 KYENGERA-BUSEGA-24h'!K6:L6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35</v>
      </c>
      <c r="D10" s="50">
        <v>6</v>
      </c>
      <c r="E10" s="50">
        <v>1</v>
      </c>
      <c r="F10" s="50">
        <v>50</v>
      </c>
      <c r="G10" s="50">
        <v>0</v>
      </c>
      <c r="H10" s="50">
        <v>2</v>
      </c>
      <c r="I10" s="50">
        <v>9</v>
      </c>
      <c r="J10" s="50">
        <v>6</v>
      </c>
      <c r="K10" s="50">
        <v>2</v>
      </c>
      <c r="L10" s="50">
        <v>1</v>
      </c>
      <c r="M10" s="50">
        <v>107</v>
      </c>
      <c r="N10" s="50">
        <v>0</v>
      </c>
      <c r="O10" s="15">
        <f t="shared" ref="O10:O73" si="0">SUM(C10:L10,N10)</f>
        <v>112</v>
      </c>
      <c r="P10" s="15">
        <f t="shared" ref="P10:P73" si="1">SUM(C10:N10)</f>
        <v>219</v>
      </c>
      <c r="R10" s="1" t="s">
        <v>6</v>
      </c>
      <c r="S10" s="17">
        <f t="shared" ref="S10:AF10" si="2">SUM(C10:C13)</f>
        <v>199</v>
      </c>
      <c r="T10" s="17">
        <f t="shared" si="2"/>
        <v>30</v>
      </c>
      <c r="U10" s="17">
        <f t="shared" si="2"/>
        <v>11</v>
      </c>
      <c r="V10" s="17">
        <f t="shared" si="2"/>
        <v>177</v>
      </c>
      <c r="W10" s="17">
        <f t="shared" si="2"/>
        <v>9</v>
      </c>
      <c r="X10" s="17">
        <f t="shared" si="2"/>
        <v>8</v>
      </c>
      <c r="Y10" s="17">
        <f t="shared" si="2"/>
        <v>34</v>
      </c>
      <c r="Z10" s="17">
        <f t="shared" si="2"/>
        <v>19</v>
      </c>
      <c r="AA10" s="17">
        <f t="shared" si="2"/>
        <v>7</v>
      </c>
      <c r="AB10" s="17">
        <f t="shared" si="2"/>
        <v>18</v>
      </c>
      <c r="AC10" s="17">
        <f t="shared" si="2"/>
        <v>447</v>
      </c>
      <c r="AD10" s="17">
        <f t="shared" si="2"/>
        <v>0</v>
      </c>
      <c r="AE10" s="31">
        <f t="shared" si="2"/>
        <v>512</v>
      </c>
      <c r="AF10" s="31">
        <f t="shared" si="2"/>
        <v>959</v>
      </c>
    </row>
    <row r="11" spans="2:32" s="6" customFormat="1" ht="23.1" customHeight="1" x14ac:dyDescent="0.25">
      <c r="B11" s="45" t="s">
        <v>38</v>
      </c>
      <c r="C11" s="50">
        <v>62</v>
      </c>
      <c r="D11" s="50">
        <v>10</v>
      </c>
      <c r="E11" s="50">
        <v>1</v>
      </c>
      <c r="F11" s="50">
        <v>50</v>
      </c>
      <c r="G11" s="50">
        <v>0</v>
      </c>
      <c r="H11" s="50">
        <v>2</v>
      </c>
      <c r="I11" s="50">
        <v>14</v>
      </c>
      <c r="J11" s="50">
        <v>6</v>
      </c>
      <c r="K11" s="50">
        <v>1</v>
      </c>
      <c r="L11" s="50">
        <v>6</v>
      </c>
      <c r="M11" s="50">
        <v>185</v>
      </c>
      <c r="N11" s="50">
        <v>0</v>
      </c>
      <c r="O11" s="15">
        <f t="shared" si="0"/>
        <v>152</v>
      </c>
      <c r="P11" s="15">
        <f t="shared" si="1"/>
        <v>337</v>
      </c>
      <c r="R11" s="1" t="s">
        <v>7</v>
      </c>
      <c r="S11" s="17">
        <f t="shared" ref="S11:AF11" si="3">SUM(C14:C17)</f>
        <v>189</v>
      </c>
      <c r="T11" s="17">
        <f t="shared" si="3"/>
        <v>41</v>
      </c>
      <c r="U11" s="17">
        <f t="shared" si="3"/>
        <v>17</v>
      </c>
      <c r="V11" s="17">
        <f t="shared" si="3"/>
        <v>212</v>
      </c>
      <c r="W11" s="17">
        <f t="shared" si="3"/>
        <v>5</v>
      </c>
      <c r="X11" s="17">
        <f t="shared" si="3"/>
        <v>5</v>
      </c>
      <c r="Y11" s="17">
        <f t="shared" si="3"/>
        <v>59</v>
      </c>
      <c r="Z11" s="17">
        <f t="shared" si="3"/>
        <v>10</v>
      </c>
      <c r="AA11" s="17">
        <f t="shared" si="3"/>
        <v>2</v>
      </c>
      <c r="AB11" s="17">
        <f t="shared" si="3"/>
        <v>8</v>
      </c>
      <c r="AC11" s="17">
        <f t="shared" si="3"/>
        <v>1035</v>
      </c>
      <c r="AD11" s="17">
        <f t="shared" si="3"/>
        <v>0</v>
      </c>
      <c r="AE11" s="31">
        <f t="shared" si="3"/>
        <v>548</v>
      </c>
      <c r="AF11" s="31">
        <f t="shared" si="3"/>
        <v>1583</v>
      </c>
    </row>
    <row r="12" spans="2:32" ht="23.1" customHeight="1" x14ac:dyDescent="0.25">
      <c r="B12" s="45" t="s">
        <v>39</v>
      </c>
      <c r="C12" s="50">
        <v>26</v>
      </c>
      <c r="D12" s="50">
        <v>4</v>
      </c>
      <c r="E12" s="50">
        <v>5</v>
      </c>
      <c r="F12" s="50">
        <v>17</v>
      </c>
      <c r="G12" s="50">
        <v>5</v>
      </c>
      <c r="H12" s="50">
        <v>2</v>
      </c>
      <c r="I12" s="50">
        <v>2</v>
      </c>
      <c r="J12" s="50">
        <v>4</v>
      </c>
      <c r="K12" s="50">
        <v>3</v>
      </c>
      <c r="L12" s="50">
        <v>6</v>
      </c>
      <c r="M12" s="50">
        <v>75</v>
      </c>
      <c r="N12" s="50">
        <v>0</v>
      </c>
      <c r="O12" s="15">
        <f t="shared" si="0"/>
        <v>74</v>
      </c>
      <c r="P12" s="15">
        <f t="shared" si="1"/>
        <v>149</v>
      </c>
      <c r="R12" s="1" t="s">
        <v>8</v>
      </c>
      <c r="S12" s="17">
        <f t="shared" ref="S12:AF12" si="4">SUM(C18:C21)</f>
        <v>211</v>
      </c>
      <c r="T12" s="17">
        <f t="shared" si="4"/>
        <v>27</v>
      </c>
      <c r="U12" s="17">
        <f t="shared" si="4"/>
        <v>15</v>
      </c>
      <c r="V12" s="17">
        <f t="shared" si="4"/>
        <v>207</v>
      </c>
      <c r="W12" s="17">
        <f t="shared" si="4"/>
        <v>5</v>
      </c>
      <c r="X12" s="17">
        <f t="shared" si="4"/>
        <v>7</v>
      </c>
      <c r="Y12" s="17">
        <f t="shared" si="4"/>
        <v>70</v>
      </c>
      <c r="Z12" s="17">
        <f t="shared" si="4"/>
        <v>26</v>
      </c>
      <c r="AA12" s="17">
        <f t="shared" si="4"/>
        <v>4</v>
      </c>
      <c r="AB12" s="17">
        <f t="shared" si="4"/>
        <v>21</v>
      </c>
      <c r="AC12" s="17">
        <f t="shared" si="4"/>
        <v>1220</v>
      </c>
      <c r="AD12" s="17">
        <f t="shared" si="4"/>
        <v>0</v>
      </c>
      <c r="AE12" s="31">
        <f t="shared" si="4"/>
        <v>593</v>
      </c>
      <c r="AF12" s="31">
        <f t="shared" si="4"/>
        <v>1813</v>
      </c>
    </row>
    <row r="13" spans="2:32" ht="23.1" customHeight="1" x14ac:dyDescent="0.25">
      <c r="B13" s="45" t="s">
        <v>40</v>
      </c>
      <c r="C13" s="50">
        <v>76</v>
      </c>
      <c r="D13" s="50">
        <v>10</v>
      </c>
      <c r="E13" s="50">
        <v>4</v>
      </c>
      <c r="F13" s="50">
        <v>60</v>
      </c>
      <c r="G13" s="50">
        <v>4</v>
      </c>
      <c r="H13" s="50">
        <v>2</v>
      </c>
      <c r="I13" s="50">
        <v>9</v>
      </c>
      <c r="J13" s="50">
        <v>3</v>
      </c>
      <c r="K13" s="50">
        <v>1</v>
      </c>
      <c r="L13" s="50">
        <v>5</v>
      </c>
      <c r="M13" s="50">
        <v>80</v>
      </c>
      <c r="N13" s="50">
        <v>0</v>
      </c>
      <c r="O13" s="15">
        <f t="shared" si="0"/>
        <v>174</v>
      </c>
      <c r="P13" s="15">
        <f t="shared" si="1"/>
        <v>254</v>
      </c>
      <c r="R13" s="1" t="s">
        <v>9</v>
      </c>
      <c r="S13" s="17">
        <f t="shared" ref="S13:AF13" si="5">SUM(C22:C25)</f>
        <v>231</v>
      </c>
      <c r="T13" s="17">
        <f t="shared" si="5"/>
        <v>40</v>
      </c>
      <c r="U13" s="17">
        <f t="shared" si="5"/>
        <v>22</v>
      </c>
      <c r="V13" s="17">
        <f t="shared" si="5"/>
        <v>259</v>
      </c>
      <c r="W13" s="17">
        <f t="shared" si="5"/>
        <v>9</v>
      </c>
      <c r="X13" s="17">
        <f t="shared" si="5"/>
        <v>3</v>
      </c>
      <c r="Y13" s="17">
        <f t="shared" si="5"/>
        <v>49</v>
      </c>
      <c r="Z13" s="17">
        <f t="shared" si="5"/>
        <v>16</v>
      </c>
      <c r="AA13" s="17">
        <f t="shared" si="5"/>
        <v>3</v>
      </c>
      <c r="AB13" s="17">
        <f t="shared" si="5"/>
        <v>12</v>
      </c>
      <c r="AC13" s="17">
        <f t="shared" si="5"/>
        <v>975</v>
      </c>
      <c r="AD13" s="17">
        <f t="shared" si="5"/>
        <v>0</v>
      </c>
      <c r="AE13" s="31">
        <f t="shared" si="5"/>
        <v>644</v>
      </c>
      <c r="AF13" s="31">
        <f t="shared" si="5"/>
        <v>1619</v>
      </c>
    </row>
    <row r="14" spans="2:32" ht="23.1" customHeight="1" x14ac:dyDescent="0.25">
      <c r="B14" s="45" t="s">
        <v>41</v>
      </c>
      <c r="C14" s="50">
        <v>60</v>
      </c>
      <c r="D14" s="50">
        <v>7</v>
      </c>
      <c r="E14" s="50">
        <v>3</v>
      </c>
      <c r="F14" s="50">
        <v>55</v>
      </c>
      <c r="G14" s="50">
        <v>0</v>
      </c>
      <c r="H14" s="50">
        <v>3</v>
      </c>
      <c r="I14" s="50">
        <v>13</v>
      </c>
      <c r="J14" s="50">
        <v>3</v>
      </c>
      <c r="K14" s="50">
        <v>0</v>
      </c>
      <c r="L14" s="50">
        <v>2</v>
      </c>
      <c r="M14" s="50">
        <v>115</v>
      </c>
      <c r="N14" s="50">
        <v>0</v>
      </c>
      <c r="O14" s="15">
        <f t="shared" si="0"/>
        <v>146</v>
      </c>
      <c r="P14" s="15">
        <f t="shared" si="1"/>
        <v>261</v>
      </c>
      <c r="R14" s="1" t="s">
        <v>10</v>
      </c>
      <c r="S14" s="17">
        <f t="shared" ref="S14:AF14" si="6">SUM(C26:C29)</f>
        <v>290</v>
      </c>
      <c r="T14" s="17">
        <f t="shared" si="6"/>
        <v>32</v>
      </c>
      <c r="U14" s="17">
        <f t="shared" si="6"/>
        <v>30</v>
      </c>
      <c r="V14" s="17">
        <f t="shared" si="6"/>
        <v>214</v>
      </c>
      <c r="W14" s="17">
        <f t="shared" si="6"/>
        <v>8</v>
      </c>
      <c r="X14" s="17">
        <f t="shared" si="6"/>
        <v>13</v>
      </c>
      <c r="Y14" s="17">
        <f t="shared" si="6"/>
        <v>61</v>
      </c>
      <c r="Z14" s="17">
        <f t="shared" si="6"/>
        <v>30</v>
      </c>
      <c r="AA14" s="17">
        <f t="shared" si="6"/>
        <v>9</v>
      </c>
      <c r="AB14" s="17">
        <f t="shared" si="6"/>
        <v>18</v>
      </c>
      <c r="AC14" s="17">
        <f t="shared" si="6"/>
        <v>700</v>
      </c>
      <c r="AD14" s="17">
        <f t="shared" si="6"/>
        <v>1</v>
      </c>
      <c r="AE14" s="31">
        <f t="shared" si="6"/>
        <v>706</v>
      </c>
      <c r="AF14" s="31">
        <f t="shared" si="6"/>
        <v>1406</v>
      </c>
    </row>
    <row r="15" spans="2:32" ht="23.1" customHeight="1" x14ac:dyDescent="0.25">
      <c r="B15" s="45" t="s">
        <v>42</v>
      </c>
      <c r="C15" s="50">
        <v>36</v>
      </c>
      <c r="D15" s="50">
        <v>10</v>
      </c>
      <c r="E15" s="50">
        <v>7</v>
      </c>
      <c r="F15" s="50">
        <v>58</v>
      </c>
      <c r="G15" s="50">
        <v>3</v>
      </c>
      <c r="H15" s="50">
        <v>0</v>
      </c>
      <c r="I15" s="50">
        <v>8</v>
      </c>
      <c r="J15" s="50">
        <v>5</v>
      </c>
      <c r="K15" s="50">
        <v>0</v>
      </c>
      <c r="L15" s="50">
        <v>1</v>
      </c>
      <c r="M15" s="50">
        <v>240</v>
      </c>
      <c r="N15" s="50">
        <v>0</v>
      </c>
      <c r="O15" s="15">
        <f t="shared" si="0"/>
        <v>128</v>
      </c>
      <c r="P15" s="15">
        <f t="shared" si="1"/>
        <v>368</v>
      </c>
      <c r="R15" s="1" t="s">
        <v>11</v>
      </c>
      <c r="S15" s="17">
        <f t="shared" ref="S15:AF15" si="7">SUM(C30:C33)</f>
        <v>170</v>
      </c>
      <c r="T15" s="17">
        <f t="shared" si="7"/>
        <v>20</v>
      </c>
      <c r="U15" s="17">
        <f t="shared" si="7"/>
        <v>13</v>
      </c>
      <c r="V15" s="17">
        <f t="shared" si="7"/>
        <v>184</v>
      </c>
      <c r="W15" s="17">
        <f t="shared" si="7"/>
        <v>7</v>
      </c>
      <c r="X15" s="17">
        <f t="shared" si="7"/>
        <v>8</v>
      </c>
      <c r="Y15" s="17">
        <f t="shared" si="7"/>
        <v>61</v>
      </c>
      <c r="Z15" s="17">
        <f t="shared" si="7"/>
        <v>24</v>
      </c>
      <c r="AA15" s="17">
        <f t="shared" si="7"/>
        <v>5</v>
      </c>
      <c r="AB15" s="17">
        <f t="shared" si="7"/>
        <v>14</v>
      </c>
      <c r="AC15" s="17">
        <f t="shared" si="7"/>
        <v>605</v>
      </c>
      <c r="AD15" s="17">
        <f t="shared" si="7"/>
        <v>2</v>
      </c>
      <c r="AE15" s="31">
        <f t="shared" si="7"/>
        <v>508</v>
      </c>
      <c r="AF15" s="31">
        <f t="shared" si="7"/>
        <v>1113</v>
      </c>
    </row>
    <row r="16" spans="2:32" ht="23.1" customHeight="1" x14ac:dyDescent="0.25">
      <c r="B16" s="45" t="s">
        <v>43</v>
      </c>
      <c r="C16" s="50">
        <v>44</v>
      </c>
      <c r="D16" s="50">
        <v>8</v>
      </c>
      <c r="E16" s="50">
        <v>3</v>
      </c>
      <c r="F16" s="50">
        <v>50</v>
      </c>
      <c r="G16" s="50">
        <v>1</v>
      </c>
      <c r="H16" s="50">
        <v>1</v>
      </c>
      <c r="I16" s="50">
        <v>19</v>
      </c>
      <c r="J16" s="50">
        <v>1</v>
      </c>
      <c r="K16" s="50">
        <v>1</v>
      </c>
      <c r="L16" s="50">
        <v>4</v>
      </c>
      <c r="M16" s="50">
        <v>290</v>
      </c>
      <c r="N16" s="50">
        <v>0</v>
      </c>
      <c r="O16" s="15">
        <f t="shared" si="0"/>
        <v>132</v>
      </c>
      <c r="P16" s="15">
        <f t="shared" si="1"/>
        <v>422</v>
      </c>
      <c r="R16" s="1" t="s">
        <v>12</v>
      </c>
      <c r="S16" s="17">
        <f t="shared" ref="S16:AF16" si="8">SUM(C34:C37)</f>
        <v>191</v>
      </c>
      <c r="T16" s="17">
        <f t="shared" si="8"/>
        <v>60</v>
      </c>
      <c r="U16" s="17">
        <f t="shared" si="8"/>
        <v>22</v>
      </c>
      <c r="V16" s="17">
        <f t="shared" si="8"/>
        <v>202</v>
      </c>
      <c r="W16" s="17">
        <f t="shared" si="8"/>
        <v>7</v>
      </c>
      <c r="X16" s="17">
        <f t="shared" si="8"/>
        <v>8</v>
      </c>
      <c r="Y16" s="17">
        <f t="shared" si="8"/>
        <v>51</v>
      </c>
      <c r="Z16" s="17">
        <f t="shared" si="8"/>
        <v>61</v>
      </c>
      <c r="AA16" s="17">
        <f t="shared" si="8"/>
        <v>2</v>
      </c>
      <c r="AB16" s="17">
        <f t="shared" si="8"/>
        <v>25</v>
      </c>
      <c r="AC16" s="17">
        <f t="shared" si="8"/>
        <v>649</v>
      </c>
      <c r="AD16" s="17">
        <f t="shared" si="8"/>
        <v>0</v>
      </c>
      <c r="AE16" s="31">
        <f t="shared" si="8"/>
        <v>629</v>
      </c>
      <c r="AF16" s="31">
        <f t="shared" si="8"/>
        <v>1278</v>
      </c>
    </row>
    <row r="17" spans="2:32" ht="23.1" customHeight="1" x14ac:dyDescent="0.25">
      <c r="B17" s="45" t="s">
        <v>44</v>
      </c>
      <c r="C17" s="50">
        <v>49</v>
      </c>
      <c r="D17" s="50">
        <v>16</v>
      </c>
      <c r="E17" s="50">
        <v>4</v>
      </c>
      <c r="F17" s="50">
        <v>49</v>
      </c>
      <c r="G17" s="50">
        <v>1</v>
      </c>
      <c r="H17" s="50">
        <v>1</v>
      </c>
      <c r="I17" s="50">
        <v>19</v>
      </c>
      <c r="J17" s="50">
        <v>1</v>
      </c>
      <c r="K17" s="50">
        <v>1</v>
      </c>
      <c r="L17" s="50">
        <v>1</v>
      </c>
      <c r="M17" s="50">
        <v>390</v>
      </c>
      <c r="N17" s="50">
        <v>0</v>
      </c>
      <c r="O17" s="15">
        <f t="shared" si="0"/>
        <v>142</v>
      </c>
      <c r="P17" s="15">
        <f t="shared" si="1"/>
        <v>532</v>
      </c>
      <c r="R17" s="1" t="s">
        <v>13</v>
      </c>
      <c r="S17" s="17">
        <f t="shared" ref="S17:AF17" si="9">SUM(C38:C41)</f>
        <v>133</v>
      </c>
      <c r="T17" s="17">
        <f t="shared" si="9"/>
        <v>24</v>
      </c>
      <c r="U17" s="17">
        <f t="shared" si="9"/>
        <v>24</v>
      </c>
      <c r="V17" s="17">
        <f t="shared" si="9"/>
        <v>125</v>
      </c>
      <c r="W17" s="17">
        <f t="shared" si="9"/>
        <v>2</v>
      </c>
      <c r="X17" s="17">
        <f t="shared" si="9"/>
        <v>6</v>
      </c>
      <c r="Y17" s="17">
        <f t="shared" si="9"/>
        <v>40</v>
      </c>
      <c r="Z17" s="17">
        <f t="shared" si="9"/>
        <v>21</v>
      </c>
      <c r="AA17" s="17">
        <f t="shared" si="9"/>
        <v>6</v>
      </c>
      <c r="AB17" s="17">
        <f t="shared" si="9"/>
        <v>21</v>
      </c>
      <c r="AC17" s="17">
        <f t="shared" si="9"/>
        <v>660</v>
      </c>
      <c r="AD17" s="17">
        <f t="shared" si="9"/>
        <v>0</v>
      </c>
      <c r="AE17" s="31">
        <f t="shared" si="9"/>
        <v>402</v>
      </c>
      <c r="AF17" s="31">
        <f t="shared" si="9"/>
        <v>1062</v>
      </c>
    </row>
    <row r="18" spans="2:32" ht="23.1" customHeight="1" x14ac:dyDescent="0.25">
      <c r="B18" s="45" t="s">
        <v>45</v>
      </c>
      <c r="C18" s="50">
        <v>44</v>
      </c>
      <c r="D18" s="50">
        <v>8</v>
      </c>
      <c r="E18" s="50">
        <v>5</v>
      </c>
      <c r="F18" s="50">
        <v>62</v>
      </c>
      <c r="G18" s="50">
        <v>1</v>
      </c>
      <c r="H18" s="50">
        <v>3</v>
      </c>
      <c r="I18" s="50">
        <v>18</v>
      </c>
      <c r="J18" s="50">
        <v>4</v>
      </c>
      <c r="K18" s="50">
        <v>0</v>
      </c>
      <c r="L18" s="50">
        <v>5</v>
      </c>
      <c r="M18" s="50">
        <v>220</v>
      </c>
      <c r="N18" s="50">
        <v>0</v>
      </c>
      <c r="O18" s="15">
        <f t="shared" si="0"/>
        <v>150</v>
      </c>
      <c r="P18" s="15">
        <f t="shared" si="1"/>
        <v>370</v>
      </c>
      <c r="R18" s="1" t="s">
        <v>14</v>
      </c>
      <c r="S18" s="17">
        <f t="shared" ref="S18:AF18" si="10">SUM(C42:C45)</f>
        <v>230</v>
      </c>
      <c r="T18" s="17">
        <f t="shared" si="10"/>
        <v>35</v>
      </c>
      <c r="U18" s="17">
        <f t="shared" si="10"/>
        <v>20</v>
      </c>
      <c r="V18" s="17">
        <f t="shared" si="10"/>
        <v>179</v>
      </c>
      <c r="W18" s="17">
        <f t="shared" si="10"/>
        <v>3</v>
      </c>
      <c r="X18" s="17">
        <f t="shared" si="10"/>
        <v>6</v>
      </c>
      <c r="Y18" s="17">
        <f t="shared" si="10"/>
        <v>87</v>
      </c>
      <c r="Z18" s="17">
        <f t="shared" si="10"/>
        <v>44</v>
      </c>
      <c r="AA18" s="17">
        <f t="shared" si="10"/>
        <v>5</v>
      </c>
      <c r="AB18" s="17">
        <f t="shared" si="10"/>
        <v>19</v>
      </c>
      <c r="AC18" s="17">
        <f t="shared" si="10"/>
        <v>920</v>
      </c>
      <c r="AD18" s="17">
        <f t="shared" si="10"/>
        <v>0</v>
      </c>
      <c r="AE18" s="31">
        <f t="shared" si="10"/>
        <v>628</v>
      </c>
      <c r="AF18" s="31">
        <f t="shared" si="10"/>
        <v>1548</v>
      </c>
    </row>
    <row r="19" spans="2:32" ht="23.1" customHeight="1" x14ac:dyDescent="0.25">
      <c r="B19" s="45" t="s">
        <v>46</v>
      </c>
      <c r="C19" s="50">
        <v>47</v>
      </c>
      <c r="D19" s="50">
        <v>8</v>
      </c>
      <c r="E19" s="50">
        <v>4</v>
      </c>
      <c r="F19" s="50">
        <v>43</v>
      </c>
      <c r="G19" s="50">
        <v>2</v>
      </c>
      <c r="H19" s="50">
        <v>1</v>
      </c>
      <c r="I19" s="50">
        <v>11</v>
      </c>
      <c r="J19" s="50">
        <v>5</v>
      </c>
      <c r="K19" s="50">
        <v>1</v>
      </c>
      <c r="L19" s="50">
        <v>5</v>
      </c>
      <c r="M19" s="50">
        <v>325</v>
      </c>
      <c r="N19" s="50">
        <v>0</v>
      </c>
      <c r="O19" s="15">
        <f t="shared" si="0"/>
        <v>127</v>
      </c>
      <c r="P19" s="15">
        <f t="shared" si="1"/>
        <v>452</v>
      </c>
      <c r="R19" s="1" t="s">
        <v>15</v>
      </c>
      <c r="S19" s="17">
        <f t="shared" ref="S19:AF19" si="11">SUM(C46:C49)</f>
        <v>305</v>
      </c>
      <c r="T19" s="17">
        <f t="shared" si="11"/>
        <v>54</v>
      </c>
      <c r="U19" s="17">
        <f t="shared" si="11"/>
        <v>33</v>
      </c>
      <c r="V19" s="17">
        <f t="shared" si="11"/>
        <v>245</v>
      </c>
      <c r="W19" s="17">
        <f t="shared" si="11"/>
        <v>10</v>
      </c>
      <c r="X19" s="17">
        <f t="shared" si="11"/>
        <v>7</v>
      </c>
      <c r="Y19" s="17">
        <f t="shared" si="11"/>
        <v>65</v>
      </c>
      <c r="Z19" s="17">
        <f t="shared" si="11"/>
        <v>54</v>
      </c>
      <c r="AA19" s="17">
        <f t="shared" si="11"/>
        <v>6</v>
      </c>
      <c r="AB19" s="17">
        <f t="shared" si="11"/>
        <v>20</v>
      </c>
      <c r="AC19" s="17">
        <f t="shared" si="11"/>
        <v>890</v>
      </c>
      <c r="AD19" s="17">
        <f t="shared" si="11"/>
        <v>0</v>
      </c>
      <c r="AE19" s="31">
        <f t="shared" si="11"/>
        <v>799</v>
      </c>
      <c r="AF19" s="31">
        <f t="shared" si="11"/>
        <v>1689</v>
      </c>
    </row>
    <row r="20" spans="2:32" ht="23.1" customHeight="1" x14ac:dyDescent="0.25">
      <c r="B20" s="45" t="s">
        <v>47</v>
      </c>
      <c r="C20" s="50">
        <v>70</v>
      </c>
      <c r="D20" s="50">
        <v>7</v>
      </c>
      <c r="E20" s="50">
        <v>1</v>
      </c>
      <c r="F20" s="50">
        <v>52</v>
      </c>
      <c r="G20" s="50">
        <v>1</v>
      </c>
      <c r="H20" s="50">
        <v>1</v>
      </c>
      <c r="I20" s="50">
        <v>24</v>
      </c>
      <c r="J20" s="50">
        <v>4</v>
      </c>
      <c r="K20" s="50">
        <v>1</v>
      </c>
      <c r="L20" s="50">
        <v>4</v>
      </c>
      <c r="M20" s="50">
        <v>315</v>
      </c>
      <c r="N20" s="50">
        <v>0</v>
      </c>
      <c r="O20" s="15">
        <f t="shared" si="0"/>
        <v>165</v>
      </c>
      <c r="P20" s="15">
        <f t="shared" si="1"/>
        <v>480</v>
      </c>
      <c r="R20" s="1" t="s">
        <v>16</v>
      </c>
      <c r="S20" s="17">
        <f t="shared" ref="S20:AF20" si="12">SUM(C50:C53)</f>
        <v>395</v>
      </c>
      <c r="T20" s="17">
        <f t="shared" si="12"/>
        <v>73</v>
      </c>
      <c r="U20" s="17">
        <f t="shared" si="12"/>
        <v>22</v>
      </c>
      <c r="V20" s="17">
        <f t="shared" si="12"/>
        <v>255</v>
      </c>
      <c r="W20" s="17">
        <f t="shared" si="12"/>
        <v>15</v>
      </c>
      <c r="X20" s="17">
        <f t="shared" si="12"/>
        <v>6</v>
      </c>
      <c r="Y20" s="17">
        <f t="shared" si="12"/>
        <v>79</v>
      </c>
      <c r="Z20" s="17">
        <f t="shared" si="12"/>
        <v>42</v>
      </c>
      <c r="AA20" s="17">
        <f t="shared" si="12"/>
        <v>4</v>
      </c>
      <c r="AB20" s="17">
        <f t="shared" si="12"/>
        <v>33</v>
      </c>
      <c r="AC20" s="17">
        <f t="shared" si="12"/>
        <v>1180</v>
      </c>
      <c r="AD20" s="17">
        <f t="shared" si="12"/>
        <v>0</v>
      </c>
      <c r="AE20" s="31">
        <f t="shared" si="12"/>
        <v>924</v>
      </c>
      <c r="AF20" s="31">
        <f t="shared" si="12"/>
        <v>2104</v>
      </c>
    </row>
    <row r="21" spans="2:32" ht="23.1" customHeight="1" x14ac:dyDescent="0.25">
      <c r="B21" s="45" t="s">
        <v>48</v>
      </c>
      <c r="C21" s="50">
        <v>50</v>
      </c>
      <c r="D21" s="50">
        <v>4</v>
      </c>
      <c r="E21" s="50">
        <v>5</v>
      </c>
      <c r="F21" s="50">
        <v>50</v>
      </c>
      <c r="G21" s="50">
        <v>1</v>
      </c>
      <c r="H21" s="50">
        <v>2</v>
      </c>
      <c r="I21" s="50">
        <v>17</v>
      </c>
      <c r="J21" s="50">
        <v>13</v>
      </c>
      <c r="K21" s="50">
        <v>2</v>
      </c>
      <c r="L21" s="50">
        <v>7</v>
      </c>
      <c r="M21" s="50">
        <v>360</v>
      </c>
      <c r="N21" s="50">
        <v>0</v>
      </c>
      <c r="O21" s="15">
        <f t="shared" si="0"/>
        <v>151</v>
      </c>
      <c r="P21" s="15">
        <f t="shared" si="1"/>
        <v>511</v>
      </c>
      <c r="R21" s="36" t="s">
        <v>20</v>
      </c>
      <c r="S21" s="34">
        <f t="shared" ref="S21:AF21" si="13">SUM(C54:C57)</f>
        <v>300</v>
      </c>
      <c r="T21" s="17">
        <f t="shared" si="13"/>
        <v>73</v>
      </c>
      <c r="U21" s="17">
        <f t="shared" si="13"/>
        <v>16</v>
      </c>
      <c r="V21" s="17">
        <f t="shared" si="13"/>
        <v>255</v>
      </c>
      <c r="W21" s="17">
        <f t="shared" si="13"/>
        <v>8</v>
      </c>
      <c r="X21" s="17">
        <f t="shared" si="13"/>
        <v>4</v>
      </c>
      <c r="Y21" s="17">
        <f t="shared" si="13"/>
        <v>52</v>
      </c>
      <c r="Z21" s="17">
        <f t="shared" si="13"/>
        <v>35</v>
      </c>
      <c r="AA21" s="17">
        <f t="shared" si="13"/>
        <v>6</v>
      </c>
      <c r="AB21" s="17">
        <f t="shared" si="13"/>
        <v>18</v>
      </c>
      <c r="AC21" s="17">
        <f t="shared" si="13"/>
        <v>1400</v>
      </c>
      <c r="AD21" s="17">
        <f t="shared" si="13"/>
        <v>0</v>
      </c>
      <c r="AE21" s="31">
        <f t="shared" si="13"/>
        <v>767</v>
      </c>
      <c r="AF21" s="31">
        <f t="shared" si="13"/>
        <v>2167</v>
      </c>
    </row>
    <row r="22" spans="2:32" ht="23.1" customHeight="1" x14ac:dyDescent="0.25">
      <c r="B22" s="45" t="s">
        <v>49</v>
      </c>
      <c r="C22" s="50">
        <v>81</v>
      </c>
      <c r="D22" s="50">
        <v>15</v>
      </c>
      <c r="E22" s="50">
        <v>11</v>
      </c>
      <c r="F22" s="50">
        <v>94</v>
      </c>
      <c r="G22" s="50">
        <v>1</v>
      </c>
      <c r="H22" s="50">
        <v>1</v>
      </c>
      <c r="I22" s="50">
        <v>6</v>
      </c>
      <c r="J22" s="50">
        <v>2</v>
      </c>
      <c r="K22" s="50">
        <v>1</v>
      </c>
      <c r="L22" s="50">
        <v>6</v>
      </c>
      <c r="M22" s="50">
        <v>240</v>
      </c>
      <c r="N22" s="50">
        <v>0</v>
      </c>
      <c r="O22" s="15">
        <f t="shared" si="0"/>
        <v>218</v>
      </c>
      <c r="P22" s="15">
        <f t="shared" si="1"/>
        <v>458</v>
      </c>
      <c r="R22" s="36" t="s">
        <v>146</v>
      </c>
      <c r="S22" s="34">
        <f>SUM(C58:C61)</f>
        <v>321</v>
      </c>
      <c r="T22" s="34">
        <f t="shared" ref="T22:AF22" si="14">SUM(D58:D61)</f>
        <v>47</v>
      </c>
      <c r="U22" s="34">
        <f t="shared" si="14"/>
        <v>20</v>
      </c>
      <c r="V22" s="34">
        <f t="shared" si="14"/>
        <v>152</v>
      </c>
      <c r="W22" s="34">
        <f t="shared" si="14"/>
        <v>9</v>
      </c>
      <c r="X22" s="34">
        <f t="shared" si="14"/>
        <v>5</v>
      </c>
      <c r="Y22" s="34">
        <f t="shared" si="14"/>
        <v>44</v>
      </c>
      <c r="Z22" s="34">
        <f t="shared" si="14"/>
        <v>58</v>
      </c>
      <c r="AA22" s="34">
        <f t="shared" si="14"/>
        <v>10</v>
      </c>
      <c r="AB22" s="34">
        <f t="shared" si="14"/>
        <v>14</v>
      </c>
      <c r="AC22" s="34">
        <f t="shared" si="14"/>
        <v>1310</v>
      </c>
      <c r="AD22" s="34">
        <f t="shared" si="14"/>
        <v>0</v>
      </c>
      <c r="AE22" s="31">
        <f t="shared" si="14"/>
        <v>680</v>
      </c>
      <c r="AF22" s="31">
        <f t="shared" si="14"/>
        <v>1990</v>
      </c>
    </row>
    <row r="23" spans="2:32" ht="23.1" customHeight="1" x14ac:dyDescent="0.25">
      <c r="B23" s="45" t="s">
        <v>50</v>
      </c>
      <c r="C23" s="50">
        <v>55</v>
      </c>
      <c r="D23" s="50">
        <v>6</v>
      </c>
      <c r="E23" s="50">
        <v>2</v>
      </c>
      <c r="F23" s="50">
        <v>50</v>
      </c>
      <c r="G23" s="50">
        <v>1</v>
      </c>
      <c r="H23" s="50">
        <v>0</v>
      </c>
      <c r="I23" s="50">
        <v>12</v>
      </c>
      <c r="J23" s="50">
        <v>5</v>
      </c>
      <c r="K23" s="50">
        <v>1</v>
      </c>
      <c r="L23" s="50">
        <v>0</v>
      </c>
      <c r="M23" s="50">
        <v>265</v>
      </c>
      <c r="N23" s="50">
        <v>0</v>
      </c>
      <c r="O23" s="15">
        <f t="shared" si="0"/>
        <v>132</v>
      </c>
      <c r="P23" s="15">
        <f t="shared" si="1"/>
        <v>397</v>
      </c>
      <c r="R23" s="36" t="s">
        <v>147</v>
      </c>
      <c r="S23" s="34">
        <f>SUM(C62:C65)</f>
        <v>314</v>
      </c>
      <c r="T23" s="34">
        <f t="shared" ref="T23:AF23" si="15">SUM(D62:D65)</f>
        <v>44</v>
      </c>
      <c r="U23" s="34">
        <f t="shared" si="15"/>
        <v>18</v>
      </c>
      <c r="V23" s="34">
        <f t="shared" si="15"/>
        <v>149</v>
      </c>
      <c r="W23" s="34">
        <f t="shared" si="15"/>
        <v>10</v>
      </c>
      <c r="X23" s="34">
        <f t="shared" si="15"/>
        <v>5</v>
      </c>
      <c r="Y23" s="34">
        <f t="shared" si="15"/>
        <v>19</v>
      </c>
      <c r="Z23" s="34">
        <f t="shared" si="15"/>
        <v>24</v>
      </c>
      <c r="AA23" s="34">
        <f t="shared" si="15"/>
        <v>9</v>
      </c>
      <c r="AB23" s="34">
        <f t="shared" si="15"/>
        <v>1</v>
      </c>
      <c r="AC23" s="34">
        <f t="shared" si="15"/>
        <v>885</v>
      </c>
      <c r="AD23" s="34">
        <f t="shared" si="15"/>
        <v>0</v>
      </c>
      <c r="AE23" s="31">
        <f t="shared" si="15"/>
        <v>593</v>
      </c>
      <c r="AF23" s="31">
        <f t="shared" si="15"/>
        <v>1478</v>
      </c>
    </row>
    <row r="24" spans="2:32" ht="23.1" customHeight="1" x14ac:dyDescent="0.25">
      <c r="B24" s="45" t="s">
        <v>51</v>
      </c>
      <c r="C24" s="50">
        <v>50</v>
      </c>
      <c r="D24" s="50">
        <v>4</v>
      </c>
      <c r="E24" s="50">
        <v>3</v>
      </c>
      <c r="F24" s="50">
        <v>60</v>
      </c>
      <c r="G24" s="50">
        <v>3</v>
      </c>
      <c r="H24" s="50">
        <v>2</v>
      </c>
      <c r="I24" s="50">
        <v>15</v>
      </c>
      <c r="J24" s="50">
        <v>2</v>
      </c>
      <c r="K24" s="50">
        <v>1</v>
      </c>
      <c r="L24" s="50">
        <v>0</v>
      </c>
      <c r="M24" s="50">
        <v>240</v>
      </c>
      <c r="N24" s="50">
        <v>0</v>
      </c>
      <c r="O24" s="15">
        <f t="shared" si="0"/>
        <v>140</v>
      </c>
      <c r="P24" s="15">
        <f t="shared" si="1"/>
        <v>380</v>
      </c>
      <c r="R24" s="36" t="s">
        <v>148</v>
      </c>
      <c r="S24" s="34">
        <f>SUM(C66:C69)</f>
        <v>409</v>
      </c>
      <c r="T24" s="34">
        <f t="shared" ref="T24:AF24" si="16">SUM(D66:D69)</f>
        <v>56</v>
      </c>
      <c r="U24" s="34">
        <f t="shared" si="16"/>
        <v>22</v>
      </c>
      <c r="V24" s="34">
        <f t="shared" si="16"/>
        <v>157</v>
      </c>
      <c r="W24" s="34">
        <f t="shared" si="16"/>
        <v>10</v>
      </c>
      <c r="X24" s="34">
        <f t="shared" si="16"/>
        <v>16</v>
      </c>
      <c r="Y24" s="34">
        <f t="shared" si="16"/>
        <v>57</v>
      </c>
      <c r="Z24" s="34">
        <f t="shared" si="16"/>
        <v>54</v>
      </c>
      <c r="AA24" s="34">
        <f t="shared" si="16"/>
        <v>18</v>
      </c>
      <c r="AB24" s="34">
        <f t="shared" si="16"/>
        <v>14</v>
      </c>
      <c r="AC24" s="34">
        <f t="shared" si="16"/>
        <v>470</v>
      </c>
      <c r="AD24" s="34">
        <f t="shared" si="16"/>
        <v>0</v>
      </c>
      <c r="AE24" s="31">
        <f t="shared" si="16"/>
        <v>813</v>
      </c>
      <c r="AF24" s="31">
        <f t="shared" si="16"/>
        <v>1283</v>
      </c>
    </row>
    <row r="25" spans="2:32" ht="23.1" customHeight="1" x14ac:dyDescent="0.25">
      <c r="B25" s="45" t="s">
        <v>52</v>
      </c>
      <c r="C25" s="50">
        <v>45</v>
      </c>
      <c r="D25" s="50">
        <v>15</v>
      </c>
      <c r="E25" s="50">
        <v>6</v>
      </c>
      <c r="F25" s="50">
        <v>55</v>
      </c>
      <c r="G25" s="50">
        <v>4</v>
      </c>
      <c r="H25" s="50">
        <v>0</v>
      </c>
      <c r="I25" s="50">
        <v>16</v>
      </c>
      <c r="J25" s="50">
        <v>7</v>
      </c>
      <c r="K25" s="50">
        <v>0</v>
      </c>
      <c r="L25" s="50">
        <v>6</v>
      </c>
      <c r="M25" s="50">
        <v>230</v>
      </c>
      <c r="N25" s="50">
        <v>0</v>
      </c>
      <c r="O25" s="15">
        <f t="shared" si="0"/>
        <v>154</v>
      </c>
      <c r="P25" s="15">
        <f t="shared" si="1"/>
        <v>384</v>
      </c>
      <c r="R25" s="36" t="s">
        <v>149</v>
      </c>
      <c r="S25" s="34">
        <f>SUM(C70:C73)</f>
        <v>441</v>
      </c>
      <c r="T25" s="34">
        <f t="shared" ref="T25:AF25" si="17">SUM(D70:D73)</f>
        <v>70</v>
      </c>
      <c r="U25" s="34">
        <f t="shared" si="17"/>
        <v>28</v>
      </c>
      <c r="V25" s="34">
        <f t="shared" si="17"/>
        <v>149</v>
      </c>
      <c r="W25" s="34">
        <f t="shared" si="17"/>
        <v>9</v>
      </c>
      <c r="X25" s="34">
        <f t="shared" si="17"/>
        <v>8</v>
      </c>
      <c r="Y25" s="34">
        <f t="shared" si="17"/>
        <v>50</v>
      </c>
      <c r="Z25" s="34">
        <f t="shared" si="17"/>
        <v>38</v>
      </c>
      <c r="AA25" s="34">
        <f t="shared" si="17"/>
        <v>6</v>
      </c>
      <c r="AB25" s="34">
        <f t="shared" si="17"/>
        <v>10</v>
      </c>
      <c r="AC25" s="34">
        <f t="shared" si="17"/>
        <v>575</v>
      </c>
      <c r="AD25" s="34">
        <f t="shared" si="17"/>
        <v>0</v>
      </c>
      <c r="AE25" s="31">
        <f t="shared" si="17"/>
        <v>809</v>
      </c>
      <c r="AF25" s="31">
        <f t="shared" si="17"/>
        <v>1384</v>
      </c>
    </row>
    <row r="26" spans="2:32" ht="23.1" customHeight="1" x14ac:dyDescent="0.25">
      <c r="B26" s="45" t="s">
        <v>53</v>
      </c>
      <c r="C26" s="50">
        <v>80</v>
      </c>
      <c r="D26" s="50">
        <v>7</v>
      </c>
      <c r="E26" s="50">
        <v>7</v>
      </c>
      <c r="F26" s="50">
        <v>60</v>
      </c>
      <c r="G26" s="50">
        <v>1</v>
      </c>
      <c r="H26" s="50">
        <v>3</v>
      </c>
      <c r="I26" s="50">
        <v>13</v>
      </c>
      <c r="J26" s="50">
        <v>6</v>
      </c>
      <c r="K26" s="50">
        <v>1</v>
      </c>
      <c r="L26" s="50">
        <v>5</v>
      </c>
      <c r="M26" s="50">
        <v>175</v>
      </c>
      <c r="N26" s="50">
        <v>0</v>
      </c>
      <c r="O26" s="15">
        <f t="shared" si="0"/>
        <v>183</v>
      </c>
      <c r="P26" s="15">
        <f t="shared" si="1"/>
        <v>358</v>
      </c>
      <c r="R26" s="36" t="s">
        <v>150</v>
      </c>
      <c r="S26" s="34">
        <f>SUM(C74:C77)</f>
        <v>273</v>
      </c>
      <c r="T26" s="34">
        <f t="shared" ref="T26:AF26" si="18">SUM(D74:D77)</f>
        <v>29</v>
      </c>
      <c r="U26" s="34">
        <f t="shared" si="18"/>
        <v>23</v>
      </c>
      <c r="V26" s="34">
        <f t="shared" si="18"/>
        <v>112</v>
      </c>
      <c r="W26" s="34">
        <f t="shared" si="18"/>
        <v>2</v>
      </c>
      <c r="X26" s="34">
        <f t="shared" si="18"/>
        <v>8</v>
      </c>
      <c r="Y26" s="34">
        <f t="shared" si="18"/>
        <v>17</v>
      </c>
      <c r="Z26" s="34">
        <f t="shared" si="18"/>
        <v>37</v>
      </c>
      <c r="AA26" s="34">
        <f t="shared" si="18"/>
        <v>1</v>
      </c>
      <c r="AB26" s="34">
        <f t="shared" si="18"/>
        <v>7</v>
      </c>
      <c r="AC26" s="34">
        <f t="shared" si="18"/>
        <v>507</v>
      </c>
      <c r="AD26" s="34">
        <f t="shared" si="18"/>
        <v>0</v>
      </c>
      <c r="AE26" s="31">
        <f t="shared" si="18"/>
        <v>509</v>
      </c>
      <c r="AF26" s="31">
        <f t="shared" si="18"/>
        <v>1016</v>
      </c>
    </row>
    <row r="27" spans="2:32" ht="23.1" customHeight="1" x14ac:dyDescent="0.25">
      <c r="B27" s="45" t="s">
        <v>54</v>
      </c>
      <c r="C27" s="50">
        <v>80</v>
      </c>
      <c r="D27" s="50">
        <v>11</v>
      </c>
      <c r="E27" s="50">
        <v>12</v>
      </c>
      <c r="F27" s="50">
        <v>64</v>
      </c>
      <c r="G27" s="50">
        <v>2</v>
      </c>
      <c r="H27" s="50">
        <v>2</v>
      </c>
      <c r="I27" s="50">
        <v>20</v>
      </c>
      <c r="J27" s="50">
        <v>12</v>
      </c>
      <c r="K27" s="50">
        <v>4</v>
      </c>
      <c r="L27" s="50">
        <v>8</v>
      </c>
      <c r="M27" s="50">
        <v>245</v>
      </c>
      <c r="N27" s="50">
        <v>0</v>
      </c>
      <c r="O27" s="15">
        <f t="shared" si="0"/>
        <v>215</v>
      </c>
      <c r="P27" s="15">
        <f t="shared" si="1"/>
        <v>460</v>
      </c>
      <c r="R27" s="36" t="s">
        <v>151</v>
      </c>
      <c r="S27" s="34">
        <f>SUM(C78:C81)</f>
        <v>181</v>
      </c>
      <c r="T27" s="34">
        <f t="shared" ref="T27:AF27" si="19">SUM(D78:D81)</f>
        <v>11</v>
      </c>
      <c r="U27" s="34">
        <f t="shared" si="19"/>
        <v>17</v>
      </c>
      <c r="V27" s="34">
        <f t="shared" si="19"/>
        <v>53</v>
      </c>
      <c r="W27" s="34">
        <f t="shared" si="19"/>
        <v>4</v>
      </c>
      <c r="X27" s="34">
        <f t="shared" si="19"/>
        <v>8</v>
      </c>
      <c r="Y27" s="34">
        <f t="shared" si="19"/>
        <v>20</v>
      </c>
      <c r="Z27" s="34">
        <f t="shared" si="19"/>
        <v>32</v>
      </c>
      <c r="AA27" s="34">
        <f t="shared" si="19"/>
        <v>4</v>
      </c>
      <c r="AB27" s="34">
        <f t="shared" si="19"/>
        <v>13</v>
      </c>
      <c r="AC27" s="34">
        <f t="shared" si="19"/>
        <v>294</v>
      </c>
      <c r="AD27" s="34">
        <f t="shared" si="19"/>
        <v>0</v>
      </c>
      <c r="AE27" s="31">
        <f t="shared" si="19"/>
        <v>343</v>
      </c>
      <c r="AF27" s="31">
        <f t="shared" si="19"/>
        <v>637</v>
      </c>
    </row>
    <row r="28" spans="2:32" ht="23.1" customHeight="1" x14ac:dyDescent="0.25">
      <c r="B28" s="45" t="s">
        <v>55</v>
      </c>
      <c r="C28" s="50">
        <v>60</v>
      </c>
      <c r="D28" s="50">
        <v>7</v>
      </c>
      <c r="E28" s="50">
        <v>5</v>
      </c>
      <c r="F28" s="50">
        <v>40</v>
      </c>
      <c r="G28" s="50">
        <v>0</v>
      </c>
      <c r="H28" s="50">
        <v>3</v>
      </c>
      <c r="I28" s="50">
        <v>13</v>
      </c>
      <c r="J28" s="50">
        <v>8</v>
      </c>
      <c r="K28" s="50">
        <v>3</v>
      </c>
      <c r="L28" s="50">
        <v>3</v>
      </c>
      <c r="M28" s="50">
        <v>160</v>
      </c>
      <c r="N28" s="50">
        <v>0</v>
      </c>
      <c r="O28" s="15">
        <f t="shared" si="0"/>
        <v>142</v>
      </c>
      <c r="P28" s="15">
        <f t="shared" si="1"/>
        <v>302</v>
      </c>
      <c r="R28" s="36" t="s">
        <v>152</v>
      </c>
      <c r="S28" s="34">
        <f>SUM(C82:C85)</f>
        <v>80</v>
      </c>
      <c r="T28" s="34">
        <f t="shared" ref="T28:AF28" si="20">SUM(D82:D85)</f>
        <v>9</v>
      </c>
      <c r="U28" s="34">
        <f t="shared" si="20"/>
        <v>4</v>
      </c>
      <c r="V28" s="34">
        <f t="shared" si="20"/>
        <v>22</v>
      </c>
      <c r="W28" s="34">
        <f t="shared" si="20"/>
        <v>1</v>
      </c>
      <c r="X28" s="34">
        <f t="shared" si="20"/>
        <v>2</v>
      </c>
      <c r="Y28" s="34">
        <f t="shared" si="20"/>
        <v>5</v>
      </c>
      <c r="Z28" s="34">
        <f t="shared" si="20"/>
        <v>14</v>
      </c>
      <c r="AA28" s="34">
        <f t="shared" si="20"/>
        <v>10</v>
      </c>
      <c r="AB28" s="34">
        <f t="shared" si="20"/>
        <v>5</v>
      </c>
      <c r="AC28" s="34">
        <f t="shared" si="20"/>
        <v>168</v>
      </c>
      <c r="AD28" s="34">
        <f t="shared" si="20"/>
        <v>0</v>
      </c>
      <c r="AE28" s="31">
        <f t="shared" si="20"/>
        <v>152</v>
      </c>
      <c r="AF28" s="31">
        <f t="shared" si="20"/>
        <v>320</v>
      </c>
    </row>
    <row r="29" spans="2:32" ht="23.1" customHeight="1" x14ac:dyDescent="0.25">
      <c r="B29" s="45" t="s">
        <v>56</v>
      </c>
      <c r="C29" s="50">
        <v>70</v>
      </c>
      <c r="D29" s="50">
        <v>7</v>
      </c>
      <c r="E29" s="50">
        <v>6</v>
      </c>
      <c r="F29" s="50">
        <v>50</v>
      </c>
      <c r="G29" s="50">
        <v>5</v>
      </c>
      <c r="H29" s="50">
        <v>5</v>
      </c>
      <c r="I29" s="50">
        <v>15</v>
      </c>
      <c r="J29" s="50">
        <v>4</v>
      </c>
      <c r="K29" s="50">
        <v>1</v>
      </c>
      <c r="L29" s="50">
        <v>2</v>
      </c>
      <c r="M29" s="50">
        <v>120</v>
      </c>
      <c r="N29" s="50">
        <v>1</v>
      </c>
      <c r="O29" s="15">
        <f t="shared" si="0"/>
        <v>166</v>
      </c>
      <c r="P29" s="15">
        <f t="shared" si="1"/>
        <v>286</v>
      </c>
      <c r="R29" s="36" t="s">
        <v>153</v>
      </c>
      <c r="S29" s="34">
        <f>SUM(C86:C89)</f>
        <v>64</v>
      </c>
      <c r="T29" s="34">
        <f t="shared" ref="T29:AF29" si="21">SUM(D86:D89)</f>
        <v>5</v>
      </c>
      <c r="U29" s="34">
        <f t="shared" si="21"/>
        <v>4</v>
      </c>
      <c r="V29" s="34">
        <f t="shared" si="21"/>
        <v>11</v>
      </c>
      <c r="W29" s="34">
        <f t="shared" si="21"/>
        <v>0</v>
      </c>
      <c r="X29" s="34">
        <f t="shared" si="21"/>
        <v>1</v>
      </c>
      <c r="Y29" s="34">
        <f t="shared" si="21"/>
        <v>9</v>
      </c>
      <c r="Z29" s="34">
        <f t="shared" si="21"/>
        <v>22</v>
      </c>
      <c r="AA29" s="34">
        <f t="shared" si="21"/>
        <v>2</v>
      </c>
      <c r="AB29" s="34">
        <f t="shared" si="21"/>
        <v>3</v>
      </c>
      <c r="AC29" s="34">
        <f t="shared" si="21"/>
        <v>142</v>
      </c>
      <c r="AD29" s="34">
        <f t="shared" si="21"/>
        <v>0</v>
      </c>
      <c r="AE29" s="31">
        <f t="shared" si="21"/>
        <v>121</v>
      </c>
      <c r="AF29" s="31">
        <f t="shared" si="21"/>
        <v>263</v>
      </c>
    </row>
    <row r="30" spans="2:32" ht="23.1" customHeight="1" x14ac:dyDescent="0.25">
      <c r="B30" s="45" t="s">
        <v>57</v>
      </c>
      <c r="C30" s="50">
        <v>75</v>
      </c>
      <c r="D30" s="50">
        <v>14</v>
      </c>
      <c r="E30" s="50">
        <v>7</v>
      </c>
      <c r="F30" s="50">
        <v>47</v>
      </c>
      <c r="G30" s="50">
        <v>6</v>
      </c>
      <c r="H30" s="50">
        <v>2</v>
      </c>
      <c r="I30" s="50">
        <v>24</v>
      </c>
      <c r="J30" s="50">
        <v>3</v>
      </c>
      <c r="K30" s="50">
        <v>0</v>
      </c>
      <c r="L30" s="50">
        <v>6</v>
      </c>
      <c r="M30" s="50">
        <v>180</v>
      </c>
      <c r="N30" s="50">
        <v>0</v>
      </c>
      <c r="O30" s="15">
        <f t="shared" si="0"/>
        <v>184</v>
      </c>
      <c r="P30" s="15">
        <f t="shared" si="1"/>
        <v>364</v>
      </c>
      <c r="R30" s="36" t="s">
        <v>154</v>
      </c>
      <c r="S30" s="34">
        <f>SUM(C90:C93)</f>
        <v>39</v>
      </c>
      <c r="T30" s="34">
        <f t="shared" ref="T30:AF30" si="22">SUM(D90:D93)</f>
        <v>9</v>
      </c>
      <c r="U30" s="34">
        <f t="shared" si="22"/>
        <v>5</v>
      </c>
      <c r="V30" s="34">
        <f t="shared" si="22"/>
        <v>10</v>
      </c>
      <c r="W30" s="34">
        <f t="shared" si="22"/>
        <v>0</v>
      </c>
      <c r="X30" s="34">
        <f t="shared" si="22"/>
        <v>2</v>
      </c>
      <c r="Y30" s="34">
        <f t="shared" si="22"/>
        <v>18</v>
      </c>
      <c r="Z30" s="34">
        <f t="shared" si="22"/>
        <v>20</v>
      </c>
      <c r="AA30" s="34">
        <f t="shared" si="22"/>
        <v>3</v>
      </c>
      <c r="AB30" s="34">
        <f t="shared" si="22"/>
        <v>4</v>
      </c>
      <c r="AC30" s="34">
        <f t="shared" si="22"/>
        <v>124</v>
      </c>
      <c r="AD30" s="34">
        <f t="shared" si="22"/>
        <v>0</v>
      </c>
      <c r="AE30" s="31">
        <f t="shared" si="22"/>
        <v>110</v>
      </c>
      <c r="AF30" s="31">
        <f t="shared" si="22"/>
        <v>234</v>
      </c>
    </row>
    <row r="31" spans="2:32" ht="23.1" customHeight="1" x14ac:dyDescent="0.25">
      <c r="B31" s="46" t="s">
        <v>58</v>
      </c>
      <c r="C31" s="50">
        <v>50</v>
      </c>
      <c r="D31" s="50">
        <v>3</v>
      </c>
      <c r="E31" s="50">
        <v>5</v>
      </c>
      <c r="F31" s="50">
        <v>42</v>
      </c>
      <c r="G31" s="50">
        <v>0</v>
      </c>
      <c r="H31" s="50">
        <v>1</v>
      </c>
      <c r="I31" s="50">
        <v>9</v>
      </c>
      <c r="J31" s="50">
        <v>5</v>
      </c>
      <c r="K31" s="50">
        <v>2</v>
      </c>
      <c r="L31" s="50">
        <v>5</v>
      </c>
      <c r="M31" s="50">
        <v>125</v>
      </c>
      <c r="N31" s="50">
        <v>1</v>
      </c>
      <c r="O31" s="15">
        <f t="shared" si="0"/>
        <v>123</v>
      </c>
      <c r="P31" s="15">
        <f t="shared" si="1"/>
        <v>248</v>
      </c>
      <c r="R31" s="36" t="s">
        <v>155</v>
      </c>
      <c r="S31" s="34">
        <f>SUM(C94:C97)</f>
        <v>61</v>
      </c>
      <c r="T31" s="34">
        <f t="shared" ref="T31:AF31" si="23">SUM(D94:D97)</f>
        <v>8</v>
      </c>
      <c r="U31" s="34">
        <f t="shared" si="23"/>
        <v>9</v>
      </c>
      <c r="V31" s="34">
        <f t="shared" si="23"/>
        <v>12</v>
      </c>
      <c r="W31" s="34">
        <f t="shared" si="23"/>
        <v>0</v>
      </c>
      <c r="X31" s="34">
        <f t="shared" si="23"/>
        <v>2</v>
      </c>
      <c r="Y31" s="34">
        <f t="shared" si="23"/>
        <v>20</v>
      </c>
      <c r="Z31" s="34">
        <f t="shared" si="23"/>
        <v>19</v>
      </c>
      <c r="AA31" s="34">
        <f t="shared" si="23"/>
        <v>0</v>
      </c>
      <c r="AB31" s="34">
        <f t="shared" si="23"/>
        <v>8</v>
      </c>
      <c r="AC31" s="34">
        <f t="shared" si="23"/>
        <v>121</v>
      </c>
      <c r="AD31" s="34">
        <f t="shared" si="23"/>
        <v>0</v>
      </c>
      <c r="AE31" s="31">
        <f t="shared" si="23"/>
        <v>139</v>
      </c>
      <c r="AF31" s="31">
        <f t="shared" si="23"/>
        <v>260</v>
      </c>
    </row>
    <row r="32" spans="2:32" ht="23.1" customHeight="1" x14ac:dyDescent="0.25">
      <c r="B32" s="46" t="s">
        <v>59</v>
      </c>
      <c r="C32" s="50">
        <v>20</v>
      </c>
      <c r="D32" s="50">
        <v>2</v>
      </c>
      <c r="E32" s="50">
        <v>1</v>
      </c>
      <c r="F32" s="50">
        <v>50</v>
      </c>
      <c r="G32" s="50">
        <v>1</v>
      </c>
      <c r="H32" s="50">
        <v>3</v>
      </c>
      <c r="I32" s="50">
        <v>14</v>
      </c>
      <c r="J32" s="50">
        <v>10</v>
      </c>
      <c r="K32" s="50">
        <v>2</v>
      </c>
      <c r="L32" s="50">
        <v>0</v>
      </c>
      <c r="M32" s="50">
        <v>150</v>
      </c>
      <c r="N32" s="50">
        <v>0</v>
      </c>
      <c r="O32" s="15">
        <f t="shared" si="0"/>
        <v>103</v>
      </c>
      <c r="P32" s="15">
        <f t="shared" si="1"/>
        <v>253</v>
      </c>
      <c r="R32" s="33" t="s">
        <v>156</v>
      </c>
      <c r="S32" s="34">
        <f>SUM(C98:C101)</f>
        <v>64</v>
      </c>
      <c r="T32" s="34">
        <f t="shared" ref="T32:AF32" si="24">SUM(D98:D101)</f>
        <v>12</v>
      </c>
      <c r="U32" s="34">
        <f t="shared" si="24"/>
        <v>11</v>
      </c>
      <c r="V32" s="34">
        <f t="shared" si="24"/>
        <v>36</v>
      </c>
      <c r="W32" s="34">
        <f t="shared" si="24"/>
        <v>0</v>
      </c>
      <c r="X32" s="34">
        <f t="shared" si="24"/>
        <v>2</v>
      </c>
      <c r="Y32" s="34">
        <f t="shared" si="24"/>
        <v>24</v>
      </c>
      <c r="Z32" s="34">
        <f t="shared" si="24"/>
        <v>21</v>
      </c>
      <c r="AA32" s="34">
        <f t="shared" si="24"/>
        <v>3</v>
      </c>
      <c r="AB32" s="34">
        <f t="shared" si="24"/>
        <v>8</v>
      </c>
      <c r="AC32" s="34">
        <f t="shared" si="24"/>
        <v>174</v>
      </c>
      <c r="AD32" s="34">
        <f t="shared" si="24"/>
        <v>0</v>
      </c>
      <c r="AE32" s="31">
        <f t="shared" si="24"/>
        <v>181</v>
      </c>
      <c r="AF32" s="31">
        <f t="shared" si="24"/>
        <v>355</v>
      </c>
    </row>
    <row r="33" spans="2:32" ht="23.1" customHeight="1" x14ac:dyDescent="0.25">
      <c r="B33" s="45" t="s">
        <v>60</v>
      </c>
      <c r="C33" s="50">
        <v>25</v>
      </c>
      <c r="D33" s="50">
        <v>1</v>
      </c>
      <c r="E33" s="50">
        <v>0</v>
      </c>
      <c r="F33" s="50">
        <v>45</v>
      </c>
      <c r="G33" s="50">
        <v>0</v>
      </c>
      <c r="H33" s="50">
        <v>2</v>
      </c>
      <c r="I33" s="50">
        <v>14</v>
      </c>
      <c r="J33" s="50">
        <v>6</v>
      </c>
      <c r="K33" s="50">
        <v>1</v>
      </c>
      <c r="L33" s="50">
        <v>3</v>
      </c>
      <c r="M33" s="50">
        <v>150</v>
      </c>
      <c r="N33" s="50">
        <v>1</v>
      </c>
      <c r="O33" s="15">
        <f t="shared" si="0"/>
        <v>98</v>
      </c>
      <c r="P33" s="15">
        <f t="shared" si="1"/>
        <v>248</v>
      </c>
      <c r="R33" s="33" t="s">
        <v>157</v>
      </c>
      <c r="S33" s="34">
        <f>SUM(C102:C105)</f>
        <v>170</v>
      </c>
      <c r="T33" s="34">
        <f t="shared" ref="T33:AF33" si="25">SUM(D102:D105)</f>
        <v>32</v>
      </c>
      <c r="U33" s="34">
        <f t="shared" si="25"/>
        <v>16</v>
      </c>
      <c r="V33" s="34">
        <f t="shared" si="25"/>
        <v>66</v>
      </c>
      <c r="W33" s="34">
        <f t="shared" si="25"/>
        <v>38</v>
      </c>
      <c r="X33" s="34">
        <f t="shared" si="25"/>
        <v>4</v>
      </c>
      <c r="Y33" s="34">
        <f t="shared" si="25"/>
        <v>15</v>
      </c>
      <c r="Z33" s="34">
        <f t="shared" si="25"/>
        <v>30</v>
      </c>
      <c r="AA33" s="34">
        <f t="shared" si="25"/>
        <v>5</v>
      </c>
      <c r="AB33" s="34">
        <f t="shared" si="25"/>
        <v>6</v>
      </c>
      <c r="AC33" s="34">
        <f t="shared" si="25"/>
        <v>146</v>
      </c>
      <c r="AD33" s="34">
        <f t="shared" si="25"/>
        <v>24</v>
      </c>
      <c r="AE33" s="31">
        <f t="shared" si="25"/>
        <v>406</v>
      </c>
      <c r="AF33" s="31">
        <f t="shared" si="25"/>
        <v>552</v>
      </c>
    </row>
    <row r="34" spans="2:32" ht="23.1" customHeight="1" x14ac:dyDescent="0.25">
      <c r="B34" s="46" t="s">
        <v>61</v>
      </c>
      <c r="C34" s="50">
        <v>31</v>
      </c>
      <c r="D34" s="50">
        <v>14</v>
      </c>
      <c r="E34" s="50">
        <v>7</v>
      </c>
      <c r="F34" s="50">
        <v>37</v>
      </c>
      <c r="G34" s="50">
        <v>5</v>
      </c>
      <c r="H34" s="50">
        <v>1</v>
      </c>
      <c r="I34" s="50">
        <v>17</v>
      </c>
      <c r="J34" s="50">
        <v>7</v>
      </c>
      <c r="K34" s="50">
        <v>1</v>
      </c>
      <c r="L34" s="50">
        <v>6</v>
      </c>
      <c r="M34" s="50">
        <v>180</v>
      </c>
      <c r="N34" s="50">
        <v>0</v>
      </c>
      <c r="O34" s="15">
        <f t="shared" si="0"/>
        <v>126</v>
      </c>
      <c r="P34" s="15">
        <f t="shared" si="1"/>
        <v>306</v>
      </c>
      <c r="R34" s="38" t="s">
        <v>90</v>
      </c>
      <c r="S34" s="39">
        <f t="shared" ref="S34:AF34" si="26">MAX(S10:S12)</f>
        <v>211</v>
      </c>
      <c r="T34" s="39">
        <f t="shared" si="26"/>
        <v>41</v>
      </c>
      <c r="U34" s="39">
        <f t="shared" si="26"/>
        <v>17</v>
      </c>
      <c r="V34" s="39">
        <f t="shared" si="26"/>
        <v>212</v>
      </c>
      <c r="W34" s="39">
        <f t="shared" si="26"/>
        <v>9</v>
      </c>
      <c r="X34" s="39">
        <f t="shared" si="26"/>
        <v>8</v>
      </c>
      <c r="Y34" s="39">
        <f t="shared" si="26"/>
        <v>70</v>
      </c>
      <c r="Z34" s="39">
        <f t="shared" si="26"/>
        <v>26</v>
      </c>
      <c r="AA34" s="39">
        <f t="shared" si="26"/>
        <v>7</v>
      </c>
      <c r="AB34" s="39">
        <f t="shared" si="26"/>
        <v>21</v>
      </c>
      <c r="AC34" s="39">
        <f t="shared" si="26"/>
        <v>1220</v>
      </c>
      <c r="AD34" s="39">
        <f t="shared" si="26"/>
        <v>0</v>
      </c>
      <c r="AE34" s="40">
        <f t="shared" si="26"/>
        <v>593</v>
      </c>
      <c r="AF34" s="40">
        <f t="shared" si="26"/>
        <v>1813</v>
      </c>
    </row>
    <row r="35" spans="2:32" ht="23.1" customHeight="1" x14ac:dyDescent="0.25">
      <c r="B35" s="46" t="s">
        <v>62</v>
      </c>
      <c r="C35" s="50">
        <v>63</v>
      </c>
      <c r="D35" s="50">
        <v>5</v>
      </c>
      <c r="E35" s="50">
        <v>4</v>
      </c>
      <c r="F35" s="50">
        <v>54</v>
      </c>
      <c r="G35" s="50">
        <v>0</v>
      </c>
      <c r="H35" s="50">
        <v>2</v>
      </c>
      <c r="I35" s="50">
        <v>15</v>
      </c>
      <c r="J35" s="50">
        <v>8</v>
      </c>
      <c r="K35" s="50">
        <v>0</v>
      </c>
      <c r="L35" s="50">
        <v>8</v>
      </c>
      <c r="M35" s="50">
        <v>205</v>
      </c>
      <c r="N35" s="50">
        <v>0</v>
      </c>
      <c r="O35" s="15">
        <f t="shared" si="0"/>
        <v>159</v>
      </c>
      <c r="P35" s="15">
        <f t="shared" si="1"/>
        <v>364</v>
      </c>
      <c r="R35" s="38" t="s">
        <v>91</v>
      </c>
      <c r="S35" s="39">
        <f t="shared" ref="S35:AF35" si="27">MAX(S13:S18)</f>
        <v>290</v>
      </c>
      <c r="T35" s="39">
        <f t="shared" si="27"/>
        <v>60</v>
      </c>
      <c r="U35" s="39">
        <f t="shared" si="27"/>
        <v>30</v>
      </c>
      <c r="V35" s="39">
        <f t="shared" si="27"/>
        <v>259</v>
      </c>
      <c r="W35" s="39">
        <f t="shared" si="27"/>
        <v>9</v>
      </c>
      <c r="X35" s="39">
        <f t="shared" si="27"/>
        <v>13</v>
      </c>
      <c r="Y35" s="39">
        <f t="shared" si="27"/>
        <v>87</v>
      </c>
      <c r="Z35" s="39">
        <f t="shared" si="27"/>
        <v>61</v>
      </c>
      <c r="AA35" s="39">
        <f t="shared" si="27"/>
        <v>9</v>
      </c>
      <c r="AB35" s="39">
        <f t="shared" si="27"/>
        <v>25</v>
      </c>
      <c r="AC35" s="39">
        <f t="shared" si="27"/>
        <v>975</v>
      </c>
      <c r="AD35" s="39">
        <f t="shared" si="27"/>
        <v>2</v>
      </c>
      <c r="AE35" s="40">
        <f t="shared" si="27"/>
        <v>706</v>
      </c>
      <c r="AF35" s="40">
        <f t="shared" si="27"/>
        <v>1619</v>
      </c>
    </row>
    <row r="36" spans="2:32" ht="23.1" customHeight="1" x14ac:dyDescent="0.25">
      <c r="B36" s="46" t="s">
        <v>63</v>
      </c>
      <c r="C36" s="50">
        <v>65</v>
      </c>
      <c r="D36" s="50">
        <v>28</v>
      </c>
      <c r="E36" s="50">
        <v>5</v>
      </c>
      <c r="F36" s="50">
        <v>66</v>
      </c>
      <c r="G36" s="50">
        <v>2</v>
      </c>
      <c r="H36" s="50">
        <v>4</v>
      </c>
      <c r="I36" s="50">
        <v>12</v>
      </c>
      <c r="J36" s="50">
        <v>40</v>
      </c>
      <c r="K36" s="50">
        <v>1</v>
      </c>
      <c r="L36" s="50">
        <v>9</v>
      </c>
      <c r="M36" s="50">
        <v>164</v>
      </c>
      <c r="N36" s="50">
        <v>0</v>
      </c>
      <c r="O36" s="15">
        <f t="shared" si="0"/>
        <v>232</v>
      </c>
      <c r="P36" s="15">
        <f t="shared" si="1"/>
        <v>396</v>
      </c>
      <c r="R36" s="38" t="s">
        <v>92</v>
      </c>
      <c r="S36" s="39">
        <f t="shared" ref="S36:AF36" si="28">MAX(S19:S21)</f>
        <v>395</v>
      </c>
      <c r="T36" s="39">
        <f t="shared" si="28"/>
        <v>73</v>
      </c>
      <c r="U36" s="39">
        <f t="shared" si="28"/>
        <v>33</v>
      </c>
      <c r="V36" s="39">
        <f t="shared" si="28"/>
        <v>255</v>
      </c>
      <c r="W36" s="39">
        <f t="shared" si="28"/>
        <v>15</v>
      </c>
      <c r="X36" s="39">
        <f t="shared" si="28"/>
        <v>7</v>
      </c>
      <c r="Y36" s="39">
        <f t="shared" si="28"/>
        <v>79</v>
      </c>
      <c r="Z36" s="39">
        <f t="shared" si="28"/>
        <v>54</v>
      </c>
      <c r="AA36" s="39">
        <f t="shared" si="28"/>
        <v>6</v>
      </c>
      <c r="AB36" s="39">
        <f t="shared" si="28"/>
        <v>33</v>
      </c>
      <c r="AC36" s="39">
        <f t="shared" si="28"/>
        <v>1400</v>
      </c>
      <c r="AD36" s="39">
        <f t="shared" si="28"/>
        <v>0</v>
      </c>
      <c r="AE36" s="40">
        <f t="shared" si="28"/>
        <v>924</v>
      </c>
      <c r="AF36" s="40">
        <f t="shared" si="28"/>
        <v>2167</v>
      </c>
    </row>
    <row r="37" spans="2:32" ht="23.1" customHeight="1" x14ac:dyDescent="0.25">
      <c r="B37" s="45" t="s">
        <v>64</v>
      </c>
      <c r="C37" s="50">
        <v>32</v>
      </c>
      <c r="D37" s="50">
        <v>13</v>
      </c>
      <c r="E37" s="50">
        <v>6</v>
      </c>
      <c r="F37" s="50">
        <v>45</v>
      </c>
      <c r="G37" s="50">
        <v>0</v>
      </c>
      <c r="H37" s="50">
        <v>1</v>
      </c>
      <c r="I37" s="50">
        <v>7</v>
      </c>
      <c r="J37" s="50">
        <v>6</v>
      </c>
      <c r="K37" s="50">
        <v>0</v>
      </c>
      <c r="L37" s="50">
        <v>2</v>
      </c>
      <c r="M37" s="50">
        <v>100</v>
      </c>
      <c r="N37" s="50">
        <v>0</v>
      </c>
      <c r="O37" s="15">
        <f t="shared" si="0"/>
        <v>112</v>
      </c>
      <c r="P37" s="15">
        <f t="shared" si="1"/>
        <v>212</v>
      </c>
      <c r="R37" s="37" t="s">
        <v>85</v>
      </c>
      <c r="S37" s="35">
        <f t="shared" ref="S37:AF37" si="29">SUM(S10:S12)</f>
        <v>599</v>
      </c>
      <c r="T37" s="16">
        <f t="shared" si="29"/>
        <v>98</v>
      </c>
      <c r="U37" s="16">
        <f t="shared" si="29"/>
        <v>43</v>
      </c>
      <c r="V37" s="16">
        <f t="shared" si="29"/>
        <v>596</v>
      </c>
      <c r="W37" s="16">
        <f t="shared" si="29"/>
        <v>19</v>
      </c>
      <c r="X37" s="16">
        <f t="shared" si="29"/>
        <v>20</v>
      </c>
      <c r="Y37" s="16">
        <f t="shared" si="29"/>
        <v>163</v>
      </c>
      <c r="Z37" s="16">
        <f t="shared" si="29"/>
        <v>55</v>
      </c>
      <c r="AA37" s="16">
        <f t="shared" si="29"/>
        <v>13</v>
      </c>
      <c r="AB37" s="16">
        <f t="shared" si="29"/>
        <v>47</v>
      </c>
      <c r="AC37" s="16">
        <f t="shared" si="29"/>
        <v>2702</v>
      </c>
      <c r="AD37" s="16">
        <f t="shared" si="29"/>
        <v>0</v>
      </c>
      <c r="AE37" s="32">
        <f t="shared" si="29"/>
        <v>1653</v>
      </c>
      <c r="AF37" s="32">
        <f t="shared" si="29"/>
        <v>4355</v>
      </c>
    </row>
    <row r="38" spans="2:32" ht="23.1" customHeight="1" x14ac:dyDescent="0.25">
      <c r="B38" s="46" t="s">
        <v>65</v>
      </c>
      <c r="C38" s="50">
        <v>18</v>
      </c>
      <c r="D38" s="50">
        <v>2</v>
      </c>
      <c r="E38" s="50">
        <v>2</v>
      </c>
      <c r="F38" s="50">
        <v>15</v>
      </c>
      <c r="G38" s="50">
        <v>0</v>
      </c>
      <c r="H38" s="50">
        <v>2</v>
      </c>
      <c r="I38" s="50">
        <v>18</v>
      </c>
      <c r="J38" s="50">
        <v>5</v>
      </c>
      <c r="K38" s="50">
        <v>1</v>
      </c>
      <c r="L38" s="50">
        <v>4</v>
      </c>
      <c r="M38" s="50">
        <v>125</v>
      </c>
      <c r="N38" s="50">
        <v>0</v>
      </c>
      <c r="O38" s="15">
        <f t="shared" si="0"/>
        <v>67</v>
      </c>
      <c r="P38" s="15">
        <f t="shared" si="1"/>
        <v>192</v>
      </c>
      <c r="R38" s="28" t="s">
        <v>86</v>
      </c>
      <c r="S38" s="16">
        <f t="shared" ref="S38:AF38" si="30">SUM(S13:S18)</f>
        <v>1245</v>
      </c>
      <c r="T38" s="16">
        <f t="shared" si="30"/>
        <v>211</v>
      </c>
      <c r="U38" s="16">
        <f t="shared" si="30"/>
        <v>131</v>
      </c>
      <c r="V38" s="16">
        <f t="shared" si="30"/>
        <v>1163</v>
      </c>
      <c r="W38" s="16">
        <f t="shared" si="30"/>
        <v>36</v>
      </c>
      <c r="X38" s="16">
        <f t="shared" si="30"/>
        <v>44</v>
      </c>
      <c r="Y38" s="16">
        <f t="shared" si="30"/>
        <v>349</v>
      </c>
      <c r="Z38" s="16">
        <f t="shared" si="30"/>
        <v>196</v>
      </c>
      <c r="AA38" s="16">
        <f t="shared" si="30"/>
        <v>30</v>
      </c>
      <c r="AB38" s="16">
        <f t="shared" si="30"/>
        <v>109</v>
      </c>
      <c r="AC38" s="16">
        <f t="shared" si="30"/>
        <v>4509</v>
      </c>
      <c r="AD38" s="16">
        <f t="shared" si="30"/>
        <v>3</v>
      </c>
      <c r="AE38" s="32">
        <f t="shared" si="30"/>
        <v>3517</v>
      </c>
      <c r="AF38" s="32">
        <f t="shared" si="30"/>
        <v>8026</v>
      </c>
    </row>
    <row r="39" spans="2:32" ht="23.1" customHeight="1" x14ac:dyDescent="0.25">
      <c r="B39" s="46" t="s">
        <v>66</v>
      </c>
      <c r="C39" s="50">
        <v>35</v>
      </c>
      <c r="D39" s="50">
        <v>5</v>
      </c>
      <c r="E39" s="50">
        <v>4</v>
      </c>
      <c r="F39" s="50">
        <v>30</v>
      </c>
      <c r="G39" s="50">
        <v>2</v>
      </c>
      <c r="H39" s="50">
        <v>3</v>
      </c>
      <c r="I39" s="50">
        <v>7</v>
      </c>
      <c r="J39" s="50">
        <v>4</v>
      </c>
      <c r="K39" s="50">
        <v>0</v>
      </c>
      <c r="L39" s="50">
        <v>6</v>
      </c>
      <c r="M39" s="50">
        <v>150</v>
      </c>
      <c r="N39" s="50">
        <v>0</v>
      </c>
      <c r="O39" s="15">
        <f t="shared" si="0"/>
        <v>96</v>
      </c>
      <c r="P39" s="15">
        <f t="shared" si="1"/>
        <v>246</v>
      </c>
      <c r="R39" s="29" t="s">
        <v>87</v>
      </c>
      <c r="S39" s="16">
        <f t="shared" ref="S39:AF39" si="31">SUM(S19:S21)</f>
        <v>1000</v>
      </c>
      <c r="T39" s="16">
        <f t="shared" si="31"/>
        <v>200</v>
      </c>
      <c r="U39" s="16">
        <f t="shared" si="31"/>
        <v>71</v>
      </c>
      <c r="V39" s="16">
        <f t="shared" si="31"/>
        <v>755</v>
      </c>
      <c r="W39" s="16">
        <f t="shared" si="31"/>
        <v>33</v>
      </c>
      <c r="X39" s="16">
        <f t="shared" si="31"/>
        <v>17</v>
      </c>
      <c r="Y39" s="16">
        <f t="shared" si="31"/>
        <v>196</v>
      </c>
      <c r="Z39" s="16">
        <f t="shared" si="31"/>
        <v>131</v>
      </c>
      <c r="AA39" s="16">
        <f t="shared" si="31"/>
        <v>16</v>
      </c>
      <c r="AB39" s="16">
        <f t="shared" si="31"/>
        <v>71</v>
      </c>
      <c r="AC39" s="16">
        <f t="shared" si="31"/>
        <v>3470</v>
      </c>
      <c r="AD39" s="16">
        <f t="shared" si="31"/>
        <v>0</v>
      </c>
      <c r="AE39" s="32">
        <f t="shared" si="31"/>
        <v>2490</v>
      </c>
      <c r="AF39" s="32">
        <f t="shared" si="31"/>
        <v>5960</v>
      </c>
    </row>
    <row r="40" spans="2:32" ht="23.1" customHeight="1" x14ac:dyDescent="0.25">
      <c r="B40" s="46" t="s">
        <v>67</v>
      </c>
      <c r="C40" s="50">
        <v>25</v>
      </c>
      <c r="D40" s="50">
        <v>11</v>
      </c>
      <c r="E40" s="50">
        <v>8</v>
      </c>
      <c r="F40" s="50">
        <v>35</v>
      </c>
      <c r="G40" s="50">
        <v>0</v>
      </c>
      <c r="H40" s="50">
        <v>0</v>
      </c>
      <c r="I40" s="50">
        <v>7</v>
      </c>
      <c r="J40" s="50">
        <v>9</v>
      </c>
      <c r="K40" s="50">
        <v>4</v>
      </c>
      <c r="L40" s="50">
        <v>8</v>
      </c>
      <c r="M40" s="50">
        <v>185</v>
      </c>
      <c r="N40" s="50">
        <v>0</v>
      </c>
      <c r="O40" s="15">
        <f t="shared" si="0"/>
        <v>107</v>
      </c>
      <c r="P40" s="15">
        <f t="shared" si="1"/>
        <v>292</v>
      </c>
      <c r="R40" s="5" t="s">
        <v>17</v>
      </c>
      <c r="S40" s="16">
        <f t="shared" ref="S40:AF40" si="32">SUM(S10:S21)</f>
        <v>2844</v>
      </c>
      <c r="T40" s="16">
        <f t="shared" si="32"/>
        <v>509</v>
      </c>
      <c r="U40" s="16">
        <f t="shared" si="32"/>
        <v>245</v>
      </c>
      <c r="V40" s="16">
        <f t="shared" si="32"/>
        <v>2514</v>
      </c>
      <c r="W40" s="16">
        <f t="shared" si="32"/>
        <v>88</v>
      </c>
      <c r="X40" s="16">
        <f t="shared" si="32"/>
        <v>81</v>
      </c>
      <c r="Y40" s="16">
        <f t="shared" si="32"/>
        <v>708</v>
      </c>
      <c r="Z40" s="16">
        <f t="shared" si="32"/>
        <v>382</v>
      </c>
      <c r="AA40" s="16">
        <f t="shared" si="32"/>
        <v>59</v>
      </c>
      <c r="AB40" s="16">
        <f t="shared" si="32"/>
        <v>227</v>
      </c>
      <c r="AC40" s="16">
        <f t="shared" si="32"/>
        <v>10681</v>
      </c>
      <c r="AD40" s="16">
        <f t="shared" si="32"/>
        <v>3</v>
      </c>
      <c r="AE40" s="32">
        <f t="shared" si="32"/>
        <v>7660</v>
      </c>
      <c r="AF40" s="32">
        <f t="shared" si="32"/>
        <v>18341</v>
      </c>
    </row>
    <row r="41" spans="2:32" ht="23.1" customHeight="1" x14ac:dyDescent="0.25">
      <c r="B41" s="45" t="s">
        <v>68</v>
      </c>
      <c r="C41" s="50">
        <v>55</v>
      </c>
      <c r="D41" s="50">
        <v>6</v>
      </c>
      <c r="E41" s="50">
        <v>10</v>
      </c>
      <c r="F41" s="50">
        <v>45</v>
      </c>
      <c r="G41" s="50">
        <v>0</v>
      </c>
      <c r="H41" s="50">
        <v>1</v>
      </c>
      <c r="I41" s="50">
        <v>8</v>
      </c>
      <c r="J41" s="50">
        <v>3</v>
      </c>
      <c r="K41" s="50">
        <v>1</v>
      </c>
      <c r="L41" s="50">
        <v>3</v>
      </c>
      <c r="M41" s="50">
        <v>200</v>
      </c>
      <c r="N41" s="50">
        <v>0</v>
      </c>
      <c r="O41" s="15">
        <f t="shared" si="0"/>
        <v>132</v>
      </c>
      <c r="P41" s="15">
        <f t="shared" si="1"/>
        <v>332</v>
      </c>
      <c r="R41" s="5" t="s">
        <v>159</v>
      </c>
      <c r="S41" s="16">
        <f>SUM(S10:S33)</f>
        <v>5261</v>
      </c>
      <c r="T41" s="16">
        <f t="shared" ref="T41:AF41" si="33">SUM(T10:T33)</f>
        <v>841</v>
      </c>
      <c r="U41" s="16">
        <f t="shared" si="33"/>
        <v>422</v>
      </c>
      <c r="V41" s="16">
        <f t="shared" si="33"/>
        <v>3443</v>
      </c>
      <c r="W41" s="16">
        <f t="shared" si="33"/>
        <v>171</v>
      </c>
      <c r="X41" s="16">
        <f t="shared" si="33"/>
        <v>144</v>
      </c>
      <c r="Y41" s="16">
        <f t="shared" si="33"/>
        <v>1006</v>
      </c>
      <c r="Z41" s="16">
        <f t="shared" si="33"/>
        <v>751</v>
      </c>
      <c r="AA41" s="16">
        <f t="shared" si="33"/>
        <v>130</v>
      </c>
      <c r="AB41" s="16">
        <f t="shared" si="33"/>
        <v>320</v>
      </c>
      <c r="AC41" s="16">
        <f t="shared" si="33"/>
        <v>15597</v>
      </c>
      <c r="AD41" s="16">
        <f t="shared" si="33"/>
        <v>27</v>
      </c>
      <c r="AE41" s="32">
        <f t="shared" si="33"/>
        <v>12516</v>
      </c>
      <c r="AF41" s="32">
        <f t="shared" si="33"/>
        <v>28113</v>
      </c>
    </row>
    <row r="42" spans="2:32" ht="23.1" customHeight="1" x14ac:dyDescent="0.25">
      <c r="B42" s="46" t="s">
        <v>69</v>
      </c>
      <c r="C42" s="50">
        <v>80</v>
      </c>
      <c r="D42" s="50">
        <v>10</v>
      </c>
      <c r="E42" s="50">
        <v>5</v>
      </c>
      <c r="F42" s="50">
        <v>54</v>
      </c>
      <c r="G42" s="50">
        <v>1</v>
      </c>
      <c r="H42" s="50">
        <v>2</v>
      </c>
      <c r="I42" s="50">
        <v>20</v>
      </c>
      <c r="J42" s="50">
        <v>12</v>
      </c>
      <c r="K42" s="50">
        <v>1</v>
      </c>
      <c r="L42" s="50">
        <v>8</v>
      </c>
      <c r="M42" s="50">
        <v>215</v>
      </c>
      <c r="N42" s="50">
        <v>0</v>
      </c>
      <c r="O42" s="15">
        <f t="shared" si="0"/>
        <v>193</v>
      </c>
      <c r="P42" s="15">
        <f t="shared" si="1"/>
        <v>408</v>
      </c>
      <c r="R42" s="5" t="s">
        <v>160</v>
      </c>
      <c r="S42" s="48">
        <f>S41/S40</f>
        <v>1.84985935302391</v>
      </c>
      <c r="T42" s="48">
        <f t="shared" ref="T42:AF42" si="34">T41/T40</f>
        <v>1.6522593320235757</v>
      </c>
      <c r="U42" s="48">
        <f t="shared" si="34"/>
        <v>1.7224489795918367</v>
      </c>
      <c r="V42" s="48">
        <f t="shared" si="34"/>
        <v>1.3695306284805091</v>
      </c>
      <c r="W42" s="48">
        <f t="shared" si="34"/>
        <v>1.9431818181818181</v>
      </c>
      <c r="X42" s="48">
        <f t="shared" si="34"/>
        <v>1.7777777777777777</v>
      </c>
      <c r="Y42" s="48">
        <f t="shared" si="34"/>
        <v>1.4209039548022599</v>
      </c>
      <c r="Z42" s="48">
        <f t="shared" si="34"/>
        <v>1.9659685863874345</v>
      </c>
      <c r="AA42" s="48">
        <f t="shared" si="34"/>
        <v>2.2033898305084745</v>
      </c>
      <c r="AB42" s="48">
        <f t="shared" si="34"/>
        <v>1.4096916299559472</v>
      </c>
      <c r="AC42" s="48">
        <f t="shared" si="34"/>
        <v>1.4602565302874262</v>
      </c>
      <c r="AD42" s="48">
        <f t="shared" si="34"/>
        <v>9</v>
      </c>
      <c r="AE42" s="48">
        <f t="shared" si="34"/>
        <v>1.6339425587467362</v>
      </c>
      <c r="AF42" s="48">
        <f t="shared" si="34"/>
        <v>1.5327953764789271</v>
      </c>
    </row>
    <row r="43" spans="2:32" ht="23.1" customHeight="1" x14ac:dyDescent="0.25">
      <c r="B43" s="45" t="s">
        <v>70</v>
      </c>
      <c r="C43" s="50">
        <v>50</v>
      </c>
      <c r="D43" s="50">
        <v>6</v>
      </c>
      <c r="E43" s="50">
        <v>7</v>
      </c>
      <c r="F43" s="50">
        <v>30</v>
      </c>
      <c r="G43" s="50">
        <v>1</v>
      </c>
      <c r="H43" s="50">
        <v>3</v>
      </c>
      <c r="I43" s="50">
        <v>14</v>
      </c>
      <c r="J43" s="50">
        <v>10</v>
      </c>
      <c r="K43" s="50">
        <v>1</v>
      </c>
      <c r="L43" s="50">
        <v>1</v>
      </c>
      <c r="M43" s="50">
        <v>245</v>
      </c>
      <c r="N43" s="50">
        <v>0</v>
      </c>
      <c r="O43" s="15">
        <f t="shared" si="0"/>
        <v>123</v>
      </c>
      <c r="P43" s="15">
        <f t="shared" si="1"/>
        <v>368</v>
      </c>
    </row>
    <row r="44" spans="2:32" ht="23.1" customHeight="1" x14ac:dyDescent="0.25">
      <c r="B44" s="47" t="s">
        <v>71</v>
      </c>
      <c r="C44" s="50">
        <v>60</v>
      </c>
      <c r="D44" s="50">
        <v>14</v>
      </c>
      <c r="E44" s="50">
        <v>4</v>
      </c>
      <c r="F44" s="50">
        <v>75</v>
      </c>
      <c r="G44" s="50">
        <v>0</v>
      </c>
      <c r="H44" s="50">
        <v>0</v>
      </c>
      <c r="I44" s="50">
        <v>30</v>
      </c>
      <c r="J44" s="50">
        <v>8</v>
      </c>
      <c r="K44" s="50">
        <v>1</v>
      </c>
      <c r="L44" s="50">
        <v>8</v>
      </c>
      <c r="M44" s="50">
        <v>220</v>
      </c>
      <c r="N44" s="50">
        <v>0</v>
      </c>
      <c r="O44" s="15">
        <f t="shared" si="0"/>
        <v>200</v>
      </c>
      <c r="P44" s="15">
        <f t="shared" si="1"/>
        <v>420</v>
      </c>
    </row>
    <row r="45" spans="2:32" ht="23.1" customHeight="1" x14ac:dyDescent="0.25">
      <c r="B45" s="45" t="s">
        <v>72</v>
      </c>
      <c r="C45" s="50">
        <v>40</v>
      </c>
      <c r="D45" s="50">
        <v>5</v>
      </c>
      <c r="E45" s="50">
        <v>4</v>
      </c>
      <c r="F45" s="50">
        <v>20</v>
      </c>
      <c r="G45" s="50">
        <v>1</v>
      </c>
      <c r="H45" s="50">
        <v>1</v>
      </c>
      <c r="I45" s="50">
        <v>23</v>
      </c>
      <c r="J45" s="50">
        <v>14</v>
      </c>
      <c r="K45" s="50">
        <v>2</v>
      </c>
      <c r="L45" s="50">
        <v>2</v>
      </c>
      <c r="M45" s="50">
        <v>240</v>
      </c>
      <c r="N45" s="50">
        <v>0</v>
      </c>
      <c r="O45" s="15">
        <f t="shared" si="0"/>
        <v>112</v>
      </c>
      <c r="P45" s="15">
        <f t="shared" si="1"/>
        <v>352</v>
      </c>
    </row>
    <row r="46" spans="2:32" ht="23.1" customHeight="1" x14ac:dyDescent="0.25">
      <c r="B46" s="46" t="s">
        <v>73</v>
      </c>
      <c r="C46" s="50">
        <v>80</v>
      </c>
      <c r="D46" s="50">
        <v>22</v>
      </c>
      <c r="E46" s="50">
        <v>16</v>
      </c>
      <c r="F46" s="50">
        <v>40</v>
      </c>
      <c r="G46" s="50">
        <v>1</v>
      </c>
      <c r="H46" s="50">
        <v>2</v>
      </c>
      <c r="I46" s="50">
        <v>27</v>
      </c>
      <c r="J46" s="50">
        <v>14</v>
      </c>
      <c r="K46" s="50">
        <v>1</v>
      </c>
      <c r="L46" s="50">
        <v>9</v>
      </c>
      <c r="M46" s="50">
        <v>225</v>
      </c>
      <c r="N46" s="50">
        <v>0</v>
      </c>
      <c r="O46" s="15">
        <f t="shared" si="0"/>
        <v>212</v>
      </c>
      <c r="P46" s="15">
        <f t="shared" si="1"/>
        <v>437</v>
      </c>
      <c r="R46" s="8"/>
      <c r="T46"/>
    </row>
    <row r="47" spans="2:32" ht="23.1" customHeight="1" x14ac:dyDescent="0.25">
      <c r="B47" s="46" t="s">
        <v>74</v>
      </c>
      <c r="C47" s="50">
        <v>65</v>
      </c>
      <c r="D47" s="50">
        <v>15</v>
      </c>
      <c r="E47" s="50">
        <v>8</v>
      </c>
      <c r="F47" s="50">
        <v>55</v>
      </c>
      <c r="G47" s="50">
        <v>3</v>
      </c>
      <c r="H47" s="50">
        <v>1</v>
      </c>
      <c r="I47" s="50">
        <v>11</v>
      </c>
      <c r="J47" s="50">
        <v>7</v>
      </c>
      <c r="K47" s="50">
        <v>1</v>
      </c>
      <c r="L47" s="50">
        <v>1</v>
      </c>
      <c r="M47" s="50">
        <v>210</v>
      </c>
      <c r="N47" s="50">
        <v>0</v>
      </c>
      <c r="O47" s="15">
        <f t="shared" si="0"/>
        <v>167</v>
      </c>
      <c r="P47" s="15">
        <f t="shared" si="1"/>
        <v>377</v>
      </c>
      <c r="R47" s="8"/>
      <c r="T47"/>
    </row>
    <row r="48" spans="2:32" ht="23.1" customHeight="1" x14ac:dyDescent="0.25">
      <c r="B48" s="46" t="s">
        <v>75</v>
      </c>
      <c r="C48" s="50">
        <v>70</v>
      </c>
      <c r="D48" s="50">
        <v>4</v>
      </c>
      <c r="E48" s="50">
        <v>3</v>
      </c>
      <c r="F48" s="50">
        <v>65</v>
      </c>
      <c r="G48" s="50">
        <v>1</v>
      </c>
      <c r="H48" s="50">
        <v>2</v>
      </c>
      <c r="I48" s="50">
        <v>7</v>
      </c>
      <c r="J48" s="50">
        <v>11</v>
      </c>
      <c r="K48" s="50">
        <v>2</v>
      </c>
      <c r="L48" s="50">
        <v>3</v>
      </c>
      <c r="M48" s="50">
        <v>200</v>
      </c>
      <c r="N48" s="50">
        <v>0</v>
      </c>
      <c r="O48" s="15">
        <f t="shared" si="0"/>
        <v>168</v>
      </c>
      <c r="P48" s="15">
        <f t="shared" si="1"/>
        <v>368</v>
      </c>
      <c r="R48" s="8"/>
      <c r="T48"/>
    </row>
    <row r="49" spans="2:20" ht="23.1" customHeight="1" x14ac:dyDescent="0.25">
      <c r="B49" s="45" t="s">
        <v>76</v>
      </c>
      <c r="C49" s="50">
        <v>90</v>
      </c>
      <c r="D49" s="50">
        <v>13</v>
      </c>
      <c r="E49" s="50">
        <v>6</v>
      </c>
      <c r="F49" s="50">
        <v>85</v>
      </c>
      <c r="G49" s="50">
        <v>5</v>
      </c>
      <c r="H49" s="50">
        <v>2</v>
      </c>
      <c r="I49" s="50">
        <v>20</v>
      </c>
      <c r="J49" s="50">
        <v>22</v>
      </c>
      <c r="K49" s="50">
        <v>2</v>
      </c>
      <c r="L49" s="50">
        <v>7</v>
      </c>
      <c r="M49" s="50">
        <v>255</v>
      </c>
      <c r="N49" s="50">
        <v>0</v>
      </c>
      <c r="O49" s="15">
        <f t="shared" si="0"/>
        <v>252</v>
      </c>
      <c r="P49" s="15">
        <f t="shared" si="1"/>
        <v>507</v>
      </c>
      <c r="R49" s="8"/>
      <c r="T49"/>
    </row>
    <row r="50" spans="2:20" ht="23.1" customHeight="1" x14ac:dyDescent="0.25">
      <c r="B50" s="46" t="s">
        <v>77</v>
      </c>
      <c r="C50" s="50">
        <v>110</v>
      </c>
      <c r="D50" s="50">
        <v>25</v>
      </c>
      <c r="E50" s="50">
        <v>5</v>
      </c>
      <c r="F50" s="50">
        <v>80</v>
      </c>
      <c r="G50" s="50">
        <v>8</v>
      </c>
      <c r="H50" s="50">
        <v>2</v>
      </c>
      <c r="I50" s="50">
        <v>25</v>
      </c>
      <c r="J50" s="50">
        <v>18</v>
      </c>
      <c r="K50" s="50">
        <v>1</v>
      </c>
      <c r="L50" s="50">
        <v>7</v>
      </c>
      <c r="M50" s="50">
        <v>310</v>
      </c>
      <c r="N50" s="50">
        <v>0</v>
      </c>
      <c r="O50" s="15">
        <f t="shared" si="0"/>
        <v>281</v>
      </c>
      <c r="P50" s="15">
        <f t="shared" si="1"/>
        <v>591</v>
      </c>
      <c r="R50" s="8"/>
      <c r="T50"/>
    </row>
    <row r="51" spans="2:20" ht="23.1" customHeight="1" x14ac:dyDescent="0.25">
      <c r="B51" s="46" t="s">
        <v>78</v>
      </c>
      <c r="C51" s="50">
        <v>100</v>
      </c>
      <c r="D51" s="50">
        <v>7</v>
      </c>
      <c r="E51" s="50">
        <v>12</v>
      </c>
      <c r="F51" s="50">
        <v>50</v>
      </c>
      <c r="G51" s="50">
        <v>2</v>
      </c>
      <c r="H51" s="50">
        <v>2</v>
      </c>
      <c r="I51" s="50">
        <v>13</v>
      </c>
      <c r="J51" s="50">
        <v>9</v>
      </c>
      <c r="K51" s="50">
        <v>2</v>
      </c>
      <c r="L51" s="50">
        <v>1</v>
      </c>
      <c r="M51" s="50">
        <v>325</v>
      </c>
      <c r="N51" s="50">
        <v>0</v>
      </c>
      <c r="O51" s="15">
        <f t="shared" si="0"/>
        <v>198</v>
      </c>
      <c r="P51" s="15">
        <f t="shared" si="1"/>
        <v>523</v>
      </c>
      <c r="R51" s="8"/>
      <c r="T51"/>
    </row>
    <row r="52" spans="2:20" ht="23.1" customHeight="1" x14ac:dyDescent="0.25">
      <c r="B52" s="46" t="s">
        <v>79</v>
      </c>
      <c r="C52" s="50">
        <v>85</v>
      </c>
      <c r="D52" s="50">
        <v>30</v>
      </c>
      <c r="E52" s="50">
        <v>1</v>
      </c>
      <c r="F52" s="50">
        <v>50</v>
      </c>
      <c r="G52" s="50">
        <v>1</v>
      </c>
      <c r="H52" s="50">
        <v>0</v>
      </c>
      <c r="I52" s="50">
        <v>24</v>
      </c>
      <c r="J52" s="50">
        <v>10</v>
      </c>
      <c r="K52" s="50">
        <v>0</v>
      </c>
      <c r="L52" s="50">
        <v>9</v>
      </c>
      <c r="M52" s="50">
        <v>325</v>
      </c>
      <c r="N52" s="50">
        <v>0</v>
      </c>
      <c r="O52" s="15">
        <f t="shared" si="0"/>
        <v>210</v>
      </c>
      <c r="P52" s="15">
        <f t="shared" si="1"/>
        <v>535</v>
      </c>
      <c r="R52" s="8"/>
      <c r="T52"/>
    </row>
    <row r="53" spans="2:20" ht="23.1" customHeight="1" x14ac:dyDescent="0.25">
      <c r="B53" s="45" t="s">
        <v>80</v>
      </c>
      <c r="C53" s="50">
        <v>100</v>
      </c>
      <c r="D53" s="50">
        <v>11</v>
      </c>
      <c r="E53" s="50">
        <v>4</v>
      </c>
      <c r="F53" s="50">
        <v>75</v>
      </c>
      <c r="G53" s="50">
        <v>4</v>
      </c>
      <c r="H53" s="50">
        <v>2</v>
      </c>
      <c r="I53" s="50">
        <v>17</v>
      </c>
      <c r="J53" s="50">
        <v>5</v>
      </c>
      <c r="K53" s="50">
        <v>1</v>
      </c>
      <c r="L53" s="50">
        <v>16</v>
      </c>
      <c r="M53" s="50">
        <v>220</v>
      </c>
      <c r="N53" s="50">
        <v>0</v>
      </c>
      <c r="O53" s="15">
        <f t="shared" si="0"/>
        <v>235</v>
      </c>
      <c r="P53" s="15">
        <f t="shared" si="1"/>
        <v>455</v>
      </c>
      <c r="R53" s="8"/>
      <c r="T53"/>
    </row>
    <row r="54" spans="2:20" ht="23.1" customHeight="1" x14ac:dyDescent="0.25">
      <c r="B54" s="45" t="s">
        <v>81</v>
      </c>
      <c r="C54" s="50">
        <v>70</v>
      </c>
      <c r="D54" s="50">
        <v>20</v>
      </c>
      <c r="E54" s="50">
        <v>13</v>
      </c>
      <c r="F54" s="50">
        <v>75</v>
      </c>
      <c r="G54" s="50">
        <v>3</v>
      </c>
      <c r="H54" s="50">
        <v>2</v>
      </c>
      <c r="I54" s="50">
        <v>9</v>
      </c>
      <c r="J54" s="50">
        <v>19</v>
      </c>
      <c r="K54" s="50">
        <v>1</v>
      </c>
      <c r="L54" s="50">
        <v>3</v>
      </c>
      <c r="M54" s="50">
        <v>380</v>
      </c>
      <c r="N54" s="50">
        <v>0</v>
      </c>
      <c r="O54" s="15">
        <f t="shared" si="0"/>
        <v>215</v>
      </c>
      <c r="P54" s="15">
        <f t="shared" si="1"/>
        <v>595</v>
      </c>
      <c r="R54" s="8"/>
      <c r="T54"/>
    </row>
    <row r="55" spans="2:20" ht="23.1" customHeight="1" x14ac:dyDescent="0.25">
      <c r="B55" s="45" t="s">
        <v>82</v>
      </c>
      <c r="C55" s="50">
        <v>75</v>
      </c>
      <c r="D55" s="50">
        <v>35</v>
      </c>
      <c r="E55" s="50">
        <v>0</v>
      </c>
      <c r="F55" s="50">
        <v>80</v>
      </c>
      <c r="G55" s="50">
        <v>2</v>
      </c>
      <c r="H55" s="50">
        <v>1</v>
      </c>
      <c r="I55" s="50">
        <v>15</v>
      </c>
      <c r="J55" s="50">
        <v>9</v>
      </c>
      <c r="K55" s="50">
        <v>3</v>
      </c>
      <c r="L55" s="50">
        <v>6</v>
      </c>
      <c r="M55" s="50">
        <v>350</v>
      </c>
      <c r="N55" s="50">
        <v>0</v>
      </c>
      <c r="O55" s="15">
        <f t="shared" si="0"/>
        <v>226</v>
      </c>
      <c r="P55" s="15">
        <f t="shared" si="1"/>
        <v>576</v>
      </c>
      <c r="R55" s="8"/>
      <c r="T55"/>
    </row>
    <row r="56" spans="2:20" ht="23.1" customHeight="1" x14ac:dyDescent="0.25">
      <c r="B56" s="45" t="s">
        <v>83</v>
      </c>
      <c r="C56" s="50">
        <v>95</v>
      </c>
      <c r="D56" s="50">
        <v>14</v>
      </c>
      <c r="E56" s="50">
        <v>0</v>
      </c>
      <c r="F56" s="50">
        <v>60</v>
      </c>
      <c r="G56" s="50">
        <v>3</v>
      </c>
      <c r="H56" s="50">
        <v>0</v>
      </c>
      <c r="I56" s="50">
        <v>5</v>
      </c>
      <c r="J56" s="50">
        <v>3</v>
      </c>
      <c r="K56" s="50">
        <v>2</v>
      </c>
      <c r="L56" s="50">
        <v>5</v>
      </c>
      <c r="M56" s="50">
        <v>300</v>
      </c>
      <c r="N56" s="50">
        <v>0</v>
      </c>
      <c r="O56" s="15">
        <f t="shared" si="0"/>
        <v>187</v>
      </c>
      <c r="P56" s="15">
        <f t="shared" si="1"/>
        <v>487</v>
      </c>
      <c r="R56" s="8"/>
      <c r="T56"/>
    </row>
    <row r="57" spans="2:20" ht="23.1" customHeight="1" x14ac:dyDescent="0.25">
      <c r="B57" s="45" t="s">
        <v>84</v>
      </c>
      <c r="C57" s="50">
        <v>60</v>
      </c>
      <c r="D57" s="50">
        <v>4</v>
      </c>
      <c r="E57" s="50">
        <v>3</v>
      </c>
      <c r="F57" s="50">
        <v>40</v>
      </c>
      <c r="G57" s="50">
        <v>0</v>
      </c>
      <c r="H57" s="50">
        <v>1</v>
      </c>
      <c r="I57" s="50">
        <v>23</v>
      </c>
      <c r="J57" s="50">
        <v>4</v>
      </c>
      <c r="K57" s="50">
        <v>0</v>
      </c>
      <c r="L57" s="50">
        <v>4</v>
      </c>
      <c r="M57" s="50">
        <v>370</v>
      </c>
      <c r="N57" s="50">
        <v>0</v>
      </c>
      <c r="O57" s="15">
        <f t="shared" si="0"/>
        <v>139</v>
      </c>
      <c r="P57" s="15">
        <f t="shared" si="1"/>
        <v>509</v>
      </c>
      <c r="R57" s="8"/>
      <c r="T57"/>
    </row>
    <row r="58" spans="2:20" ht="23.1" customHeight="1" x14ac:dyDescent="0.25">
      <c r="B58" s="45" t="s">
        <v>99</v>
      </c>
      <c r="C58" s="50">
        <v>100</v>
      </c>
      <c r="D58" s="50">
        <v>13</v>
      </c>
      <c r="E58" s="50">
        <v>5</v>
      </c>
      <c r="F58" s="50">
        <v>51</v>
      </c>
      <c r="G58" s="50">
        <v>3</v>
      </c>
      <c r="H58" s="50">
        <v>1</v>
      </c>
      <c r="I58" s="50">
        <v>10</v>
      </c>
      <c r="J58" s="50">
        <v>5</v>
      </c>
      <c r="K58" s="50">
        <v>5</v>
      </c>
      <c r="L58" s="50">
        <v>7</v>
      </c>
      <c r="M58" s="50">
        <v>455</v>
      </c>
      <c r="N58" s="50">
        <v>0</v>
      </c>
      <c r="O58" s="15">
        <f t="shared" si="0"/>
        <v>200</v>
      </c>
      <c r="P58" s="15">
        <f t="shared" si="1"/>
        <v>655</v>
      </c>
      <c r="R58" s="8"/>
      <c r="T58"/>
    </row>
    <row r="59" spans="2:20" ht="23.1" customHeight="1" x14ac:dyDescent="0.25">
      <c r="B59" s="45" t="s">
        <v>100</v>
      </c>
      <c r="C59" s="50">
        <v>75</v>
      </c>
      <c r="D59" s="50">
        <v>13</v>
      </c>
      <c r="E59" s="50">
        <v>5</v>
      </c>
      <c r="F59" s="50">
        <v>36</v>
      </c>
      <c r="G59" s="50">
        <v>2</v>
      </c>
      <c r="H59" s="50">
        <v>3</v>
      </c>
      <c r="I59" s="50">
        <v>8</v>
      </c>
      <c r="J59" s="50">
        <v>13</v>
      </c>
      <c r="K59" s="50">
        <v>1</v>
      </c>
      <c r="L59" s="50">
        <v>2</v>
      </c>
      <c r="M59" s="50">
        <v>210</v>
      </c>
      <c r="N59" s="50">
        <v>0</v>
      </c>
      <c r="O59" s="15">
        <f t="shared" si="0"/>
        <v>158</v>
      </c>
      <c r="P59" s="15">
        <f t="shared" si="1"/>
        <v>368</v>
      </c>
      <c r="R59" s="8"/>
      <c r="T59"/>
    </row>
    <row r="60" spans="2:20" ht="23.1" customHeight="1" x14ac:dyDescent="0.25">
      <c r="B60" s="45" t="s">
        <v>101</v>
      </c>
      <c r="C60" s="50">
        <v>71</v>
      </c>
      <c r="D60" s="50">
        <v>11</v>
      </c>
      <c r="E60" s="50">
        <v>6</v>
      </c>
      <c r="F60" s="50">
        <v>35</v>
      </c>
      <c r="G60" s="50">
        <v>2</v>
      </c>
      <c r="H60" s="50">
        <v>0</v>
      </c>
      <c r="I60" s="50">
        <v>12</v>
      </c>
      <c r="J60" s="50">
        <v>20</v>
      </c>
      <c r="K60" s="50">
        <v>0</v>
      </c>
      <c r="L60" s="50">
        <v>2</v>
      </c>
      <c r="M60" s="50">
        <v>290</v>
      </c>
      <c r="N60" s="50">
        <v>0</v>
      </c>
      <c r="O60" s="15">
        <f t="shared" si="0"/>
        <v>159</v>
      </c>
      <c r="P60" s="15">
        <f t="shared" si="1"/>
        <v>449</v>
      </c>
      <c r="R60" s="8"/>
      <c r="T60"/>
    </row>
    <row r="61" spans="2:20" ht="23.1" customHeight="1" x14ac:dyDescent="0.25">
      <c r="B61" s="45" t="s">
        <v>102</v>
      </c>
      <c r="C61" s="50">
        <v>75</v>
      </c>
      <c r="D61" s="50">
        <v>10</v>
      </c>
      <c r="E61" s="50">
        <v>4</v>
      </c>
      <c r="F61" s="50">
        <v>30</v>
      </c>
      <c r="G61" s="50">
        <v>2</v>
      </c>
      <c r="H61" s="50">
        <v>1</v>
      </c>
      <c r="I61" s="50">
        <v>14</v>
      </c>
      <c r="J61" s="50">
        <v>20</v>
      </c>
      <c r="K61" s="50">
        <v>4</v>
      </c>
      <c r="L61" s="50">
        <v>3</v>
      </c>
      <c r="M61" s="50">
        <v>355</v>
      </c>
      <c r="N61" s="50">
        <v>0</v>
      </c>
      <c r="O61" s="15">
        <f t="shared" si="0"/>
        <v>163</v>
      </c>
      <c r="P61" s="15">
        <f t="shared" si="1"/>
        <v>518</v>
      </c>
      <c r="R61" s="8"/>
      <c r="T61"/>
    </row>
    <row r="62" spans="2:20" ht="23.1" customHeight="1" x14ac:dyDescent="0.25">
      <c r="B62" s="45" t="s">
        <v>107</v>
      </c>
      <c r="C62" s="50">
        <v>49</v>
      </c>
      <c r="D62" s="50">
        <v>10</v>
      </c>
      <c r="E62" s="50">
        <v>6</v>
      </c>
      <c r="F62" s="50">
        <v>38</v>
      </c>
      <c r="G62" s="50">
        <v>2</v>
      </c>
      <c r="H62" s="50">
        <v>2</v>
      </c>
      <c r="I62" s="50">
        <v>0</v>
      </c>
      <c r="J62" s="50">
        <v>1</v>
      </c>
      <c r="K62" s="50">
        <v>2</v>
      </c>
      <c r="L62" s="50">
        <v>0</v>
      </c>
      <c r="M62" s="50">
        <v>215</v>
      </c>
      <c r="N62" s="50">
        <v>0</v>
      </c>
      <c r="O62" s="15">
        <f t="shared" si="0"/>
        <v>110</v>
      </c>
      <c r="P62" s="15">
        <f t="shared" si="1"/>
        <v>325</v>
      </c>
      <c r="R62" s="8"/>
      <c r="T62"/>
    </row>
    <row r="63" spans="2:20" ht="23.1" customHeight="1" x14ac:dyDescent="0.25">
      <c r="B63" s="45" t="s">
        <v>108</v>
      </c>
      <c r="C63" s="50">
        <v>80</v>
      </c>
      <c r="D63" s="50">
        <v>12</v>
      </c>
      <c r="E63" s="50">
        <v>2</v>
      </c>
      <c r="F63" s="50">
        <v>33</v>
      </c>
      <c r="G63" s="50">
        <v>3</v>
      </c>
      <c r="H63" s="50">
        <v>1</v>
      </c>
      <c r="I63" s="50">
        <v>2</v>
      </c>
      <c r="J63" s="50">
        <v>2</v>
      </c>
      <c r="K63" s="50">
        <v>0</v>
      </c>
      <c r="L63" s="50">
        <v>0</v>
      </c>
      <c r="M63" s="50">
        <v>225</v>
      </c>
      <c r="N63" s="50">
        <v>0</v>
      </c>
      <c r="O63" s="15">
        <f t="shared" si="0"/>
        <v>135</v>
      </c>
      <c r="P63" s="15">
        <f t="shared" si="1"/>
        <v>360</v>
      </c>
      <c r="R63" s="8"/>
      <c r="T63"/>
    </row>
    <row r="64" spans="2:20" ht="23.1" customHeight="1" x14ac:dyDescent="0.25">
      <c r="B64" s="45" t="s">
        <v>109</v>
      </c>
      <c r="C64" s="50">
        <v>89</v>
      </c>
      <c r="D64" s="50">
        <v>10</v>
      </c>
      <c r="E64" s="50">
        <v>6</v>
      </c>
      <c r="F64" s="50">
        <v>39</v>
      </c>
      <c r="G64" s="50">
        <v>1</v>
      </c>
      <c r="H64" s="50">
        <v>2</v>
      </c>
      <c r="I64" s="50">
        <v>3</v>
      </c>
      <c r="J64" s="50">
        <v>9</v>
      </c>
      <c r="K64" s="50">
        <v>3</v>
      </c>
      <c r="L64" s="50">
        <v>1</v>
      </c>
      <c r="M64" s="50">
        <v>230</v>
      </c>
      <c r="N64" s="50">
        <v>0</v>
      </c>
      <c r="O64" s="15">
        <f t="shared" si="0"/>
        <v>163</v>
      </c>
      <c r="P64" s="15">
        <f t="shared" si="1"/>
        <v>393</v>
      </c>
      <c r="R64" s="8"/>
      <c r="T64"/>
    </row>
    <row r="65" spans="2:20" ht="23.1" customHeight="1" x14ac:dyDescent="0.25">
      <c r="B65" s="45" t="s">
        <v>158</v>
      </c>
      <c r="C65" s="50">
        <v>96</v>
      </c>
      <c r="D65" s="50">
        <v>12</v>
      </c>
      <c r="E65" s="50">
        <v>4</v>
      </c>
      <c r="F65" s="50">
        <v>39</v>
      </c>
      <c r="G65" s="50">
        <v>4</v>
      </c>
      <c r="H65" s="50">
        <v>0</v>
      </c>
      <c r="I65" s="50">
        <v>14</v>
      </c>
      <c r="J65" s="50">
        <v>12</v>
      </c>
      <c r="K65" s="50">
        <v>4</v>
      </c>
      <c r="L65" s="50">
        <v>0</v>
      </c>
      <c r="M65" s="50">
        <v>215</v>
      </c>
      <c r="N65" s="50">
        <v>0</v>
      </c>
      <c r="O65" s="15">
        <f t="shared" si="0"/>
        <v>185</v>
      </c>
      <c r="P65" s="15">
        <f t="shared" si="1"/>
        <v>400</v>
      </c>
      <c r="R65" s="8"/>
      <c r="T65"/>
    </row>
    <row r="66" spans="2:20" ht="23.1" customHeight="1" x14ac:dyDescent="0.25">
      <c r="B66" s="45" t="s">
        <v>103</v>
      </c>
      <c r="C66" s="50">
        <v>106</v>
      </c>
      <c r="D66" s="50">
        <v>9</v>
      </c>
      <c r="E66" s="50">
        <v>4</v>
      </c>
      <c r="F66" s="50">
        <v>31</v>
      </c>
      <c r="G66" s="50">
        <v>2</v>
      </c>
      <c r="H66" s="50">
        <v>3</v>
      </c>
      <c r="I66" s="50">
        <v>10</v>
      </c>
      <c r="J66" s="50">
        <v>12</v>
      </c>
      <c r="K66" s="50">
        <v>4</v>
      </c>
      <c r="L66" s="50">
        <v>5</v>
      </c>
      <c r="M66" s="50">
        <v>110</v>
      </c>
      <c r="N66" s="50">
        <v>0</v>
      </c>
      <c r="O66" s="15">
        <f t="shared" si="0"/>
        <v>186</v>
      </c>
      <c r="P66" s="15">
        <f t="shared" si="1"/>
        <v>296</v>
      </c>
      <c r="R66" s="8"/>
      <c r="T66"/>
    </row>
    <row r="67" spans="2:20" ht="23.1" customHeight="1" x14ac:dyDescent="0.25">
      <c r="B67" s="45" t="s">
        <v>104</v>
      </c>
      <c r="C67" s="50">
        <v>96</v>
      </c>
      <c r="D67" s="50">
        <v>17</v>
      </c>
      <c r="E67" s="50">
        <v>5</v>
      </c>
      <c r="F67" s="50">
        <v>43</v>
      </c>
      <c r="G67" s="50">
        <v>4</v>
      </c>
      <c r="H67" s="50">
        <v>3</v>
      </c>
      <c r="I67" s="50">
        <v>17</v>
      </c>
      <c r="J67" s="50">
        <v>18</v>
      </c>
      <c r="K67" s="50">
        <v>5</v>
      </c>
      <c r="L67" s="50">
        <v>1</v>
      </c>
      <c r="M67" s="50">
        <v>130</v>
      </c>
      <c r="N67" s="50">
        <v>0</v>
      </c>
      <c r="O67" s="15">
        <f t="shared" si="0"/>
        <v>209</v>
      </c>
      <c r="P67" s="15">
        <f t="shared" si="1"/>
        <v>339</v>
      </c>
      <c r="R67" s="8"/>
      <c r="T67"/>
    </row>
    <row r="68" spans="2:20" ht="23.1" customHeight="1" x14ac:dyDescent="0.25">
      <c r="B68" s="45" t="s">
        <v>105</v>
      </c>
      <c r="C68" s="50">
        <v>101</v>
      </c>
      <c r="D68" s="50">
        <v>15</v>
      </c>
      <c r="E68" s="50">
        <v>5</v>
      </c>
      <c r="F68" s="50">
        <v>36</v>
      </c>
      <c r="G68" s="50">
        <v>0</v>
      </c>
      <c r="H68" s="50">
        <v>2</v>
      </c>
      <c r="I68" s="50">
        <v>20</v>
      </c>
      <c r="J68" s="50">
        <v>9</v>
      </c>
      <c r="K68" s="50">
        <v>5</v>
      </c>
      <c r="L68" s="50">
        <v>3</v>
      </c>
      <c r="M68" s="50">
        <v>100</v>
      </c>
      <c r="N68" s="50">
        <v>0</v>
      </c>
      <c r="O68" s="15">
        <f t="shared" si="0"/>
        <v>196</v>
      </c>
      <c r="P68" s="15">
        <f t="shared" si="1"/>
        <v>296</v>
      </c>
      <c r="R68" s="8"/>
      <c r="T68"/>
    </row>
    <row r="69" spans="2:20" ht="23.1" customHeight="1" x14ac:dyDescent="0.25">
      <c r="B69" s="45" t="s">
        <v>106</v>
      </c>
      <c r="C69" s="50">
        <v>106</v>
      </c>
      <c r="D69" s="50">
        <v>15</v>
      </c>
      <c r="E69" s="50">
        <v>8</v>
      </c>
      <c r="F69" s="50">
        <v>47</v>
      </c>
      <c r="G69" s="50">
        <v>4</v>
      </c>
      <c r="H69" s="50">
        <v>8</v>
      </c>
      <c r="I69" s="50">
        <v>10</v>
      </c>
      <c r="J69" s="50">
        <v>15</v>
      </c>
      <c r="K69" s="50">
        <v>4</v>
      </c>
      <c r="L69" s="50">
        <v>5</v>
      </c>
      <c r="M69" s="50">
        <v>130</v>
      </c>
      <c r="N69" s="50">
        <v>0</v>
      </c>
      <c r="O69" s="15">
        <f t="shared" si="0"/>
        <v>222</v>
      </c>
      <c r="P69" s="15">
        <f t="shared" si="1"/>
        <v>352</v>
      </c>
      <c r="R69" s="8"/>
      <c r="T69"/>
    </row>
    <row r="70" spans="2:20" ht="23.1" customHeight="1" x14ac:dyDescent="0.25">
      <c r="B70" s="45" t="s">
        <v>110</v>
      </c>
      <c r="C70" s="50">
        <v>92</v>
      </c>
      <c r="D70" s="50">
        <v>22</v>
      </c>
      <c r="E70" s="50">
        <v>9</v>
      </c>
      <c r="F70" s="50">
        <v>31</v>
      </c>
      <c r="G70" s="50">
        <v>3</v>
      </c>
      <c r="H70" s="50">
        <v>0</v>
      </c>
      <c r="I70" s="50">
        <v>15</v>
      </c>
      <c r="J70" s="50">
        <v>6</v>
      </c>
      <c r="K70" s="50">
        <v>2</v>
      </c>
      <c r="L70" s="50">
        <v>1</v>
      </c>
      <c r="M70" s="50">
        <v>30</v>
      </c>
      <c r="N70" s="50">
        <v>0</v>
      </c>
      <c r="O70" s="15">
        <f t="shared" si="0"/>
        <v>181</v>
      </c>
      <c r="P70" s="15">
        <f t="shared" si="1"/>
        <v>211</v>
      </c>
      <c r="R70" s="8"/>
      <c r="T70"/>
    </row>
    <row r="71" spans="2:20" ht="23.1" customHeight="1" x14ac:dyDescent="0.25">
      <c r="B71" s="45" t="s">
        <v>111</v>
      </c>
      <c r="C71" s="50">
        <v>108</v>
      </c>
      <c r="D71" s="50">
        <v>17</v>
      </c>
      <c r="E71" s="50">
        <v>9</v>
      </c>
      <c r="F71" s="50">
        <v>44</v>
      </c>
      <c r="G71" s="50">
        <v>4</v>
      </c>
      <c r="H71" s="50">
        <v>3</v>
      </c>
      <c r="I71" s="50">
        <v>16</v>
      </c>
      <c r="J71" s="50">
        <v>9</v>
      </c>
      <c r="K71" s="50">
        <v>3</v>
      </c>
      <c r="L71" s="50">
        <v>1</v>
      </c>
      <c r="M71" s="50">
        <v>215</v>
      </c>
      <c r="N71" s="50">
        <v>0</v>
      </c>
      <c r="O71" s="15">
        <f t="shared" si="0"/>
        <v>214</v>
      </c>
      <c r="P71" s="15">
        <f t="shared" si="1"/>
        <v>429</v>
      </c>
      <c r="R71" s="8"/>
      <c r="T71"/>
    </row>
    <row r="72" spans="2:20" ht="23.1" customHeight="1" x14ac:dyDescent="0.25">
      <c r="B72" s="45" t="s">
        <v>112</v>
      </c>
      <c r="C72" s="50">
        <v>122</v>
      </c>
      <c r="D72" s="50">
        <v>14</v>
      </c>
      <c r="E72" s="50">
        <v>3</v>
      </c>
      <c r="F72" s="50">
        <v>40</v>
      </c>
      <c r="G72" s="50">
        <v>0</v>
      </c>
      <c r="H72" s="50">
        <v>1</v>
      </c>
      <c r="I72" s="50">
        <v>3</v>
      </c>
      <c r="J72" s="50">
        <v>7</v>
      </c>
      <c r="K72" s="50">
        <v>1</v>
      </c>
      <c r="L72" s="50">
        <v>4</v>
      </c>
      <c r="M72" s="50">
        <v>130</v>
      </c>
      <c r="N72" s="50">
        <v>0</v>
      </c>
      <c r="O72" s="15">
        <f t="shared" si="0"/>
        <v>195</v>
      </c>
      <c r="P72" s="15">
        <f t="shared" si="1"/>
        <v>325</v>
      </c>
      <c r="R72" s="8"/>
      <c r="T72"/>
    </row>
    <row r="73" spans="2:20" ht="23.1" customHeight="1" x14ac:dyDescent="0.25">
      <c r="B73" s="45" t="s">
        <v>113</v>
      </c>
      <c r="C73" s="50">
        <v>119</v>
      </c>
      <c r="D73" s="50">
        <v>17</v>
      </c>
      <c r="E73" s="50">
        <v>7</v>
      </c>
      <c r="F73" s="50">
        <v>34</v>
      </c>
      <c r="G73" s="50">
        <v>2</v>
      </c>
      <c r="H73" s="50">
        <v>4</v>
      </c>
      <c r="I73" s="50">
        <v>16</v>
      </c>
      <c r="J73" s="50">
        <v>16</v>
      </c>
      <c r="K73" s="50">
        <v>0</v>
      </c>
      <c r="L73" s="50">
        <v>4</v>
      </c>
      <c r="M73" s="50">
        <v>200</v>
      </c>
      <c r="N73" s="50">
        <v>0</v>
      </c>
      <c r="O73" s="15">
        <f t="shared" si="0"/>
        <v>219</v>
      </c>
      <c r="P73" s="15">
        <f t="shared" si="1"/>
        <v>419</v>
      </c>
      <c r="R73" s="8"/>
      <c r="T73"/>
    </row>
    <row r="74" spans="2:20" ht="23.1" customHeight="1" x14ac:dyDescent="0.25">
      <c r="B74" s="45" t="s">
        <v>114</v>
      </c>
      <c r="C74" s="50">
        <v>106</v>
      </c>
      <c r="D74" s="50">
        <v>14</v>
      </c>
      <c r="E74" s="50">
        <v>9</v>
      </c>
      <c r="F74" s="50">
        <v>39</v>
      </c>
      <c r="G74" s="50">
        <v>0</v>
      </c>
      <c r="H74" s="50">
        <v>1</v>
      </c>
      <c r="I74" s="50">
        <v>9</v>
      </c>
      <c r="J74" s="50">
        <v>10</v>
      </c>
      <c r="K74" s="50">
        <v>0</v>
      </c>
      <c r="L74" s="50">
        <v>1</v>
      </c>
      <c r="M74" s="50">
        <v>177</v>
      </c>
      <c r="N74" s="50">
        <v>0</v>
      </c>
      <c r="O74" s="15">
        <f t="shared" ref="O74:O105" si="35">SUM(C74:L74,N74)</f>
        <v>189</v>
      </c>
      <c r="P74" s="15">
        <f t="shared" ref="P74:P105" si="36">SUM(C74:N74)</f>
        <v>366</v>
      </c>
      <c r="R74" s="8"/>
      <c r="T74"/>
    </row>
    <row r="75" spans="2:20" ht="23.1" customHeight="1" x14ac:dyDescent="0.25">
      <c r="B75" s="45" t="s">
        <v>115</v>
      </c>
      <c r="C75" s="50">
        <v>62</v>
      </c>
      <c r="D75" s="50">
        <v>4</v>
      </c>
      <c r="E75" s="50">
        <v>4</v>
      </c>
      <c r="F75" s="50">
        <v>29</v>
      </c>
      <c r="G75" s="50">
        <v>2</v>
      </c>
      <c r="H75" s="50">
        <v>4</v>
      </c>
      <c r="I75" s="50">
        <v>2</v>
      </c>
      <c r="J75" s="50">
        <v>5</v>
      </c>
      <c r="K75" s="50">
        <v>1</v>
      </c>
      <c r="L75" s="50">
        <v>2</v>
      </c>
      <c r="M75" s="50">
        <v>70</v>
      </c>
      <c r="N75" s="50">
        <v>0</v>
      </c>
      <c r="O75" s="15">
        <f t="shared" si="35"/>
        <v>115</v>
      </c>
      <c r="P75" s="15">
        <f t="shared" si="36"/>
        <v>185</v>
      </c>
      <c r="R75" s="8"/>
      <c r="T75"/>
    </row>
    <row r="76" spans="2:20" ht="23.1" customHeight="1" x14ac:dyDescent="0.25">
      <c r="B76" s="45" t="s">
        <v>116</v>
      </c>
      <c r="C76" s="50">
        <v>72</v>
      </c>
      <c r="D76" s="50">
        <v>5</v>
      </c>
      <c r="E76" s="50">
        <v>4</v>
      </c>
      <c r="F76" s="50">
        <v>26</v>
      </c>
      <c r="G76" s="50">
        <v>0</v>
      </c>
      <c r="H76" s="50">
        <v>3</v>
      </c>
      <c r="I76" s="50">
        <v>4</v>
      </c>
      <c r="J76" s="50">
        <v>12</v>
      </c>
      <c r="K76" s="50">
        <v>0</v>
      </c>
      <c r="L76" s="50">
        <v>3</v>
      </c>
      <c r="M76" s="50">
        <v>145</v>
      </c>
      <c r="N76" s="50">
        <v>0</v>
      </c>
      <c r="O76" s="15">
        <f t="shared" si="35"/>
        <v>129</v>
      </c>
      <c r="P76" s="15">
        <f t="shared" si="36"/>
        <v>274</v>
      </c>
      <c r="R76" s="8"/>
      <c r="T76"/>
    </row>
    <row r="77" spans="2:20" ht="23.1" customHeight="1" x14ac:dyDescent="0.25">
      <c r="B77" s="45" t="s">
        <v>117</v>
      </c>
      <c r="C77" s="50">
        <v>33</v>
      </c>
      <c r="D77" s="50">
        <v>6</v>
      </c>
      <c r="E77" s="50">
        <v>6</v>
      </c>
      <c r="F77" s="50">
        <v>18</v>
      </c>
      <c r="G77" s="50">
        <v>0</v>
      </c>
      <c r="H77" s="50">
        <v>0</v>
      </c>
      <c r="I77" s="50">
        <v>2</v>
      </c>
      <c r="J77" s="50">
        <v>10</v>
      </c>
      <c r="K77" s="50">
        <v>0</v>
      </c>
      <c r="L77" s="50">
        <v>1</v>
      </c>
      <c r="M77" s="50">
        <v>115</v>
      </c>
      <c r="N77" s="50">
        <v>0</v>
      </c>
      <c r="O77" s="15">
        <f t="shared" si="35"/>
        <v>76</v>
      </c>
      <c r="P77" s="15">
        <f t="shared" si="36"/>
        <v>191</v>
      </c>
      <c r="R77" s="8"/>
      <c r="T77"/>
    </row>
    <row r="78" spans="2:20" ht="23.1" customHeight="1" x14ac:dyDescent="0.25">
      <c r="B78" s="46" t="s">
        <v>118</v>
      </c>
      <c r="C78" s="50">
        <v>59</v>
      </c>
      <c r="D78" s="50">
        <v>3</v>
      </c>
      <c r="E78" s="50">
        <v>1</v>
      </c>
      <c r="F78" s="50">
        <v>12</v>
      </c>
      <c r="G78" s="50">
        <v>1</v>
      </c>
      <c r="H78" s="50">
        <v>3</v>
      </c>
      <c r="I78" s="50">
        <v>5</v>
      </c>
      <c r="J78" s="50">
        <v>10</v>
      </c>
      <c r="K78" s="50">
        <v>2</v>
      </c>
      <c r="L78" s="50">
        <v>6</v>
      </c>
      <c r="M78" s="50">
        <v>66</v>
      </c>
      <c r="N78" s="50">
        <v>0</v>
      </c>
      <c r="O78" s="15">
        <f t="shared" si="35"/>
        <v>102</v>
      </c>
      <c r="P78" s="15">
        <f t="shared" si="36"/>
        <v>168</v>
      </c>
      <c r="R78" s="8"/>
      <c r="T78"/>
    </row>
    <row r="79" spans="2:20" ht="23.1" customHeight="1" x14ac:dyDescent="0.25">
      <c r="B79" s="45" t="s">
        <v>119</v>
      </c>
      <c r="C79" s="50">
        <v>43</v>
      </c>
      <c r="D79" s="50">
        <v>3</v>
      </c>
      <c r="E79" s="50">
        <v>8</v>
      </c>
      <c r="F79" s="50">
        <v>13</v>
      </c>
      <c r="G79" s="50">
        <v>2</v>
      </c>
      <c r="H79" s="50">
        <v>3</v>
      </c>
      <c r="I79" s="50">
        <v>9</v>
      </c>
      <c r="J79" s="50">
        <v>5</v>
      </c>
      <c r="K79" s="50">
        <v>1</v>
      </c>
      <c r="L79" s="50">
        <v>5</v>
      </c>
      <c r="M79" s="50">
        <v>95</v>
      </c>
      <c r="N79" s="50">
        <v>0</v>
      </c>
      <c r="O79" s="15">
        <f t="shared" si="35"/>
        <v>92</v>
      </c>
      <c r="P79" s="15">
        <f t="shared" si="36"/>
        <v>187</v>
      </c>
      <c r="R79" s="8"/>
      <c r="T79"/>
    </row>
    <row r="80" spans="2:20" ht="23.1" customHeight="1" x14ac:dyDescent="0.25">
      <c r="B80" s="47" t="s">
        <v>120</v>
      </c>
      <c r="C80" s="50">
        <v>37</v>
      </c>
      <c r="D80" s="50">
        <v>4</v>
      </c>
      <c r="E80" s="50">
        <v>6</v>
      </c>
      <c r="F80" s="50">
        <v>13</v>
      </c>
      <c r="G80" s="50">
        <v>0</v>
      </c>
      <c r="H80" s="50">
        <v>0</v>
      </c>
      <c r="I80" s="50">
        <v>3</v>
      </c>
      <c r="J80" s="50">
        <v>6</v>
      </c>
      <c r="K80" s="50">
        <v>0</v>
      </c>
      <c r="L80" s="50">
        <v>2</v>
      </c>
      <c r="M80" s="50">
        <v>69</v>
      </c>
      <c r="N80" s="50">
        <v>0</v>
      </c>
      <c r="O80" s="15">
        <f t="shared" si="35"/>
        <v>71</v>
      </c>
      <c r="P80" s="15">
        <f t="shared" si="36"/>
        <v>140</v>
      </c>
      <c r="R80" s="8"/>
      <c r="T80"/>
    </row>
    <row r="81" spans="2:20" ht="23.1" customHeight="1" x14ac:dyDescent="0.25">
      <c r="B81" s="45" t="s">
        <v>121</v>
      </c>
      <c r="C81" s="50">
        <v>42</v>
      </c>
      <c r="D81" s="50">
        <v>1</v>
      </c>
      <c r="E81" s="50">
        <v>2</v>
      </c>
      <c r="F81" s="50">
        <v>15</v>
      </c>
      <c r="G81" s="50">
        <v>1</v>
      </c>
      <c r="H81" s="50">
        <v>2</v>
      </c>
      <c r="I81" s="50">
        <v>3</v>
      </c>
      <c r="J81" s="50">
        <v>11</v>
      </c>
      <c r="K81" s="50">
        <v>1</v>
      </c>
      <c r="L81" s="50">
        <v>0</v>
      </c>
      <c r="M81" s="50">
        <v>64</v>
      </c>
      <c r="N81" s="50">
        <v>0</v>
      </c>
      <c r="O81" s="15">
        <f t="shared" si="35"/>
        <v>78</v>
      </c>
      <c r="P81" s="15">
        <f t="shared" si="36"/>
        <v>142</v>
      </c>
      <c r="R81" s="8"/>
      <c r="T81"/>
    </row>
    <row r="82" spans="2:20" ht="23.1" customHeight="1" x14ac:dyDescent="0.25">
      <c r="B82" s="46" t="s">
        <v>122</v>
      </c>
      <c r="C82" s="50">
        <v>26</v>
      </c>
      <c r="D82" s="50">
        <v>3</v>
      </c>
      <c r="E82" s="50">
        <v>0</v>
      </c>
      <c r="F82" s="50">
        <v>10</v>
      </c>
      <c r="G82" s="50">
        <v>0</v>
      </c>
      <c r="H82" s="50">
        <v>0</v>
      </c>
      <c r="I82" s="50">
        <v>5</v>
      </c>
      <c r="J82" s="50">
        <v>5</v>
      </c>
      <c r="K82" s="50">
        <v>3</v>
      </c>
      <c r="L82" s="50">
        <v>1</v>
      </c>
      <c r="M82" s="50">
        <v>63</v>
      </c>
      <c r="N82" s="50">
        <v>0</v>
      </c>
      <c r="O82" s="15">
        <f t="shared" si="35"/>
        <v>53</v>
      </c>
      <c r="P82" s="15">
        <f t="shared" si="36"/>
        <v>116</v>
      </c>
      <c r="R82" s="8"/>
      <c r="T82"/>
    </row>
    <row r="83" spans="2:20" ht="23.1" customHeight="1" x14ac:dyDescent="0.25">
      <c r="B83" s="45" t="s">
        <v>123</v>
      </c>
      <c r="C83" s="50">
        <v>19</v>
      </c>
      <c r="D83" s="50">
        <v>4</v>
      </c>
      <c r="E83" s="50">
        <v>2</v>
      </c>
      <c r="F83" s="50">
        <v>3</v>
      </c>
      <c r="G83" s="50">
        <v>1</v>
      </c>
      <c r="H83" s="50">
        <v>1</v>
      </c>
      <c r="I83" s="50">
        <v>0</v>
      </c>
      <c r="J83" s="50">
        <v>1</v>
      </c>
      <c r="K83" s="50">
        <v>0</v>
      </c>
      <c r="L83" s="50">
        <v>1</v>
      </c>
      <c r="M83" s="50">
        <v>25</v>
      </c>
      <c r="N83" s="50">
        <v>0</v>
      </c>
      <c r="O83" s="15">
        <f t="shared" si="35"/>
        <v>32</v>
      </c>
      <c r="P83" s="15">
        <f t="shared" si="36"/>
        <v>57</v>
      </c>
      <c r="R83" s="8"/>
      <c r="T83"/>
    </row>
    <row r="84" spans="2:20" ht="23.1" customHeight="1" x14ac:dyDescent="0.25">
      <c r="B84" s="47" t="s">
        <v>124</v>
      </c>
      <c r="C84" s="50">
        <v>20</v>
      </c>
      <c r="D84" s="50">
        <v>1</v>
      </c>
      <c r="E84" s="50">
        <v>0</v>
      </c>
      <c r="F84" s="50">
        <v>4</v>
      </c>
      <c r="G84" s="50">
        <v>0</v>
      </c>
      <c r="H84" s="50">
        <v>1</v>
      </c>
      <c r="I84" s="50">
        <v>0</v>
      </c>
      <c r="J84" s="50">
        <v>7</v>
      </c>
      <c r="K84" s="50">
        <v>1</v>
      </c>
      <c r="L84" s="50">
        <v>2</v>
      </c>
      <c r="M84" s="50">
        <v>44</v>
      </c>
      <c r="N84" s="50">
        <v>0</v>
      </c>
      <c r="O84" s="15">
        <f t="shared" si="35"/>
        <v>36</v>
      </c>
      <c r="P84" s="15">
        <f t="shared" si="36"/>
        <v>80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1</v>
      </c>
      <c r="E85" s="50">
        <v>2</v>
      </c>
      <c r="F85" s="50">
        <v>5</v>
      </c>
      <c r="G85" s="50">
        <v>0</v>
      </c>
      <c r="H85" s="50">
        <v>0</v>
      </c>
      <c r="I85" s="50">
        <v>0</v>
      </c>
      <c r="J85" s="50">
        <v>1</v>
      </c>
      <c r="K85" s="50">
        <v>6</v>
      </c>
      <c r="L85" s="50">
        <v>1</v>
      </c>
      <c r="M85" s="50">
        <v>36</v>
      </c>
      <c r="N85" s="50">
        <v>0</v>
      </c>
      <c r="O85" s="15">
        <f t="shared" si="35"/>
        <v>31</v>
      </c>
      <c r="P85" s="15">
        <f t="shared" si="36"/>
        <v>67</v>
      </c>
      <c r="R85" s="8"/>
      <c r="T85"/>
    </row>
    <row r="86" spans="2:20" ht="23.1" customHeight="1" x14ac:dyDescent="0.25">
      <c r="B86" s="46" t="s">
        <v>126</v>
      </c>
      <c r="C86" s="50">
        <v>17</v>
      </c>
      <c r="D86" s="50">
        <v>1</v>
      </c>
      <c r="E86" s="50">
        <v>3</v>
      </c>
      <c r="F86" s="50">
        <v>3</v>
      </c>
      <c r="G86" s="50">
        <v>0</v>
      </c>
      <c r="H86" s="50">
        <v>0</v>
      </c>
      <c r="I86" s="50">
        <v>0</v>
      </c>
      <c r="J86" s="50">
        <v>6</v>
      </c>
      <c r="K86" s="50">
        <v>0</v>
      </c>
      <c r="L86" s="50">
        <v>1</v>
      </c>
      <c r="M86" s="50">
        <v>32</v>
      </c>
      <c r="N86" s="50">
        <v>0</v>
      </c>
      <c r="O86" s="15">
        <f t="shared" si="35"/>
        <v>31</v>
      </c>
      <c r="P86" s="15">
        <f t="shared" si="36"/>
        <v>63</v>
      </c>
      <c r="R86" s="8"/>
      <c r="T86"/>
    </row>
    <row r="87" spans="2:20" ht="23.1" customHeight="1" x14ac:dyDescent="0.25">
      <c r="B87" s="45" t="s">
        <v>127</v>
      </c>
      <c r="C87" s="50">
        <v>19</v>
      </c>
      <c r="D87" s="50">
        <v>1</v>
      </c>
      <c r="E87" s="50">
        <v>0</v>
      </c>
      <c r="F87" s="50">
        <v>3</v>
      </c>
      <c r="G87" s="50">
        <v>0</v>
      </c>
      <c r="H87" s="50">
        <v>0</v>
      </c>
      <c r="I87" s="50">
        <v>1</v>
      </c>
      <c r="J87" s="50">
        <v>7</v>
      </c>
      <c r="K87" s="50">
        <v>1</v>
      </c>
      <c r="L87" s="50">
        <v>1</v>
      </c>
      <c r="M87" s="50">
        <v>41</v>
      </c>
      <c r="N87" s="50">
        <v>0</v>
      </c>
      <c r="O87" s="15">
        <f t="shared" si="35"/>
        <v>33</v>
      </c>
      <c r="P87" s="15">
        <f t="shared" si="36"/>
        <v>74</v>
      </c>
      <c r="R87" s="8"/>
      <c r="T87"/>
    </row>
    <row r="88" spans="2:20" ht="23.1" customHeight="1" x14ac:dyDescent="0.25">
      <c r="B88" s="47" t="s">
        <v>128</v>
      </c>
      <c r="C88" s="50">
        <v>14</v>
      </c>
      <c r="D88" s="50">
        <v>0</v>
      </c>
      <c r="E88" s="50">
        <v>0</v>
      </c>
      <c r="F88" s="50">
        <v>3</v>
      </c>
      <c r="G88" s="50">
        <v>0</v>
      </c>
      <c r="H88" s="50">
        <v>1</v>
      </c>
      <c r="I88" s="50">
        <v>7</v>
      </c>
      <c r="J88" s="50">
        <v>3</v>
      </c>
      <c r="K88" s="50">
        <v>0</v>
      </c>
      <c r="L88" s="50">
        <v>0</v>
      </c>
      <c r="M88" s="50">
        <v>42</v>
      </c>
      <c r="N88" s="50">
        <v>0</v>
      </c>
      <c r="O88" s="15">
        <f t="shared" si="35"/>
        <v>28</v>
      </c>
      <c r="P88" s="15">
        <f t="shared" si="36"/>
        <v>70</v>
      </c>
      <c r="R88" s="8"/>
      <c r="T88"/>
    </row>
    <row r="89" spans="2:20" ht="23.1" customHeight="1" x14ac:dyDescent="0.25">
      <c r="B89" s="45" t="s">
        <v>129</v>
      </c>
      <c r="C89" s="50">
        <v>14</v>
      </c>
      <c r="D89" s="50">
        <v>3</v>
      </c>
      <c r="E89" s="50">
        <v>1</v>
      </c>
      <c r="F89" s="50">
        <v>2</v>
      </c>
      <c r="G89" s="50">
        <v>0</v>
      </c>
      <c r="H89" s="50">
        <v>0</v>
      </c>
      <c r="I89" s="50">
        <v>1</v>
      </c>
      <c r="J89" s="50">
        <v>6</v>
      </c>
      <c r="K89" s="50">
        <v>1</v>
      </c>
      <c r="L89" s="50">
        <v>1</v>
      </c>
      <c r="M89" s="50">
        <v>27</v>
      </c>
      <c r="N89" s="50">
        <v>0</v>
      </c>
      <c r="O89" s="15">
        <f t="shared" si="35"/>
        <v>29</v>
      </c>
      <c r="P89" s="15">
        <f t="shared" si="36"/>
        <v>56</v>
      </c>
      <c r="R89" s="8"/>
      <c r="T89"/>
    </row>
    <row r="90" spans="2:20" ht="23.1" customHeight="1" x14ac:dyDescent="0.25">
      <c r="B90" s="46" t="s">
        <v>130</v>
      </c>
      <c r="C90" s="50">
        <v>10</v>
      </c>
      <c r="D90" s="50">
        <v>1</v>
      </c>
      <c r="E90" s="50">
        <v>1</v>
      </c>
      <c r="F90" s="50">
        <v>5</v>
      </c>
      <c r="G90" s="50">
        <v>0</v>
      </c>
      <c r="H90" s="50">
        <v>0</v>
      </c>
      <c r="I90" s="50">
        <v>5</v>
      </c>
      <c r="J90" s="50">
        <v>5</v>
      </c>
      <c r="K90" s="50">
        <v>0</v>
      </c>
      <c r="L90" s="50">
        <v>1</v>
      </c>
      <c r="M90" s="50">
        <v>25</v>
      </c>
      <c r="N90" s="50">
        <v>0</v>
      </c>
      <c r="O90" s="15">
        <f t="shared" si="35"/>
        <v>28</v>
      </c>
      <c r="P90" s="15">
        <f t="shared" si="36"/>
        <v>53</v>
      </c>
      <c r="R90" s="8"/>
      <c r="T90"/>
    </row>
    <row r="91" spans="2:20" ht="23.1" customHeight="1" x14ac:dyDescent="0.25">
      <c r="B91" s="45" t="s">
        <v>131</v>
      </c>
      <c r="C91" s="50">
        <v>7</v>
      </c>
      <c r="D91" s="50">
        <v>4</v>
      </c>
      <c r="E91" s="50">
        <v>1</v>
      </c>
      <c r="F91" s="50">
        <v>2</v>
      </c>
      <c r="G91" s="50">
        <v>0</v>
      </c>
      <c r="H91" s="50">
        <v>1</v>
      </c>
      <c r="I91" s="50">
        <v>5</v>
      </c>
      <c r="J91" s="50">
        <v>8</v>
      </c>
      <c r="K91" s="50">
        <v>3</v>
      </c>
      <c r="L91" s="50">
        <v>2</v>
      </c>
      <c r="M91" s="50">
        <v>31</v>
      </c>
      <c r="N91" s="50">
        <v>0</v>
      </c>
      <c r="O91" s="15">
        <f t="shared" si="35"/>
        <v>33</v>
      </c>
      <c r="P91" s="15">
        <f t="shared" si="36"/>
        <v>64</v>
      </c>
      <c r="R91" s="8"/>
      <c r="T91"/>
    </row>
    <row r="92" spans="2:20" ht="23.1" customHeight="1" x14ac:dyDescent="0.25">
      <c r="B92" s="47" t="s">
        <v>132</v>
      </c>
      <c r="C92" s="50">
        <v>14</v>
      </c>
      <c r="D92" s="50">
        <v>2</v>
      </c>
      <c r="E92" s="50">
        <v>0</v>
      </c>
      <c r="F92" s="50">
        <v>1</v>
      </c>
      <c r="G92" s="50">
        <v>0</v>
      </c>
      <c r="H92" s="50">
        <v>1</v>
      </c>
      <c r="I92" s="50">
        <v>3</v>
      </c>
      <c r="J92" s="50">
        <v>3</v>
      </c>
      <c r="K92" s="50">
        <v>0</v>
      </c>
      <c r="L92" s="50">
        <v>0</v>
      </c>
      <c r="M92" s="50">
        <v>44</v>
      </c>
      <c r="N92" s="50">
        <v>0</v>
      </c>
      <c r="O92" s="15">
        <f t="shared" si="35"/>
        <v>24</v>
      </c>
      <c r="P92" s="15">
        <f t="shared" si="36"/>
        <v>68</v>
      </c>
      <c r="R92" s="8"/>
      <c r="T92"/>
    </row>
    <row r="93" spans="2:20" ht="23.1" customHeight="1" x14ac:dyDescent="0.25">
      <c r="B93" s="45" t="s">
        <v>133</v>
      </c>
      <c r="C93" s="50">
        <v>8</v>
      </c>
      <c r="D93" s="50">
        <v>2</v>
      </c>
      <c r="E93" s="50">
        <v>3</v>
      </c>
      <c r="F93" s="50">
        <v>2</v>
      </c>
      <c r="G93" s="50">
        <v>0</v>
      </c>
      <c r="H93" s="50">
        <v>0</v>
      </c>
      <c r="I93" s="50">
        <v>5</v>
      </c>
      <c r="J93" s="50">
        <v>4</v>
      </c>
      <c r="K93" s="50">
        <v>0</v>
      </c>
      <c r="L93" s="50">
        <v>1</v>
      </c>
      <c r="M93" s="50">
        <v>24</v>
      </c>
      <c r="N93" s="50">
        <v>0</v>
      </c>
      <c r="O93" s="15">
        <f t="shared" si="35"/>
        <v>25</v>
      </c>
      <c r="P93" s="15">
        <f t="shared" si="36"/>
        <v>49</v>
      </c>
      <c r="R93" s="8"/>
      <c r="T93"/>
    </row>
    <row r="94" spans="2:20" ht="23.1" customHeight="1" x14ac:dyDescent="0.25">
      <c r="B94" s="46" t="s">
        <v>134</v>
      </c>
      <c r="C94" s="50">
        <v>15</v>
      </c>
      <c r="D94" s="50">
        <v>0</v>
      </c>
      <c r="E94" s="50">
        <v>1</v>
      </c>
      <c r="F94" s="50">
        <v>1</v>
      </c>
      <c r="G94" s="50">
        <v>0</v>
      </c>
      <c r="H94" s="50">
        <v>1</v>
      </c>
      <c r="I94" s="50">
        <v>3</v>
      </c>
      <c r="J94" s="50">
        <v>5</v>
      </c>
      <c r="K94" s="50">
        <v>0</v>
      </c>
      <c r="L94" s="50">
        <v>2</v>
      </c>
      <c r="M94" s="50">
        <v>38</v>
      </c>
      <c r="N94" s="50">
        <v>0</v>
      </c>
      <c r="O94" s="15">
        <f t="shared" si="35"/>
        <v>28</v>
      </c>
      <c r="P94" s="15">
        <f t="shared" si="36"/>
        <v>66</v>
      </c>
      <c r="R94" s="8"/>
      <c r="T94"/>
    </row>
    <row r="95" spans="2:20" ht="23.1" customHeight="1" x14ac:dyDescent="0.25">
      <c r="B95" s="45" t="s">
        <v>135</v>
      </c>
      <c r="C95" s="50">
        <v>17</v>
      </c>
      <c r="D95" s="50">
        <v>3</v>
      </c>
      <c r="E95" s="50">
        <v>1</v>
      </c>
      <c r="F95" s="50">
        <v>4</v>
      </c>
      <c r="G95" s="50">
        <v>0</v>
      </c>
      <c r="H95" s="50">
        <v>0</v>
      </c>
      <c r="I95" s="50">
        <v>6</v>
      </c>
      <c r="J95" s="50">
        <v>3</v>
      </c>
      <c r="K95" s="50">
        <v>0</v>
      </c>
      <c r="L95" s="50">
        <v>1</v>
      </c>
      <c r="M95" s="50">
        <v>24</v>
      </c>
      <c r="N95" s="50">
        <v>0</v>
      </c>
      <c r="O95" s="15">
        <f t="shared" si="35"/>
        <v>35</v>
      </c>
      <c r="P95" s="15">
        <f t="shared" si="36"/>
        <v>59</v>
      </c>
      <c r="R95" s="8"/>
      <c r="T95"/>
    </row>
    <row r="96" spans="2:20" ht="23.1" customHeight="1" x14ac:dyDescent="0.25">
      <c r="B96" s="47" t="s">
        <v>136</v>
      </c>
      <c r="C96" s="50">
        <v>15</v>
      </c>
      <c r="D96" s="50">
        <v>1</v>
      </c>
      <c r="E96" s="50">
        <v>5</v>
      </c>
      <c r="F96" s="50">
        <v>2</v>
      </c>
      <c r="G96" s="50">
        <v>0</v>
      </c>
      <c r="H96" s="50">
        <v>1</v>
      </c>
      <c r="I96" s="50">
        <v>6</v>
      </c>
      <c r="J96" s="50">
        <v>6</v>
      </c>
      <c r="K96" s="50">
        <v>0</v>
      </c>
      <c r="L96" s="50">
        <v>1</v>
      </c>
      <c r="M96" s="50">
        <v>32</v>
      </c>
      <c r="N96" s="50">
        <v>0</v>
      </c>
      <c r="O96" s="15">
        <f t="shared" si="35"/>
        <v>37</v>
      </c>
      <c r="P96" s="15">
        <f t="shared" si="36"/>
        <v>69</v>
      </c>
      <c r="R96" s="8"/>
      <c r="T96"/>
    </row>
    <row r="97" spans="2:20" ht="23.1" customHeight="1" x14ac:dyDescent="0.25">
      <c r="B97" s="45" t="s">
        <v>137</v>
      </c>
      <c r="C97" s="50">
        <v>14</v>
      </c>
      <c r="D97" s="50">
        <v>4</v>
      </c>
      <c r="E97" s="50">
        <v>2</v>
      </c>
      <c r="F97" s="50">
        <v>5</v>
      </c>
      <c r="G97" s="50">
        <v>0</v>
      </c>
      <c r="H97" s="50">
        <v>0</v>
      </c>
      <c r="I97" s="50">
        <v>5</v>
      </c>
      <c r="J97" s="50">
        <v>5</v>
      </c>
      <c r="K97" s="50">
        <v>0</v>
      </c>
      <c r="L97" s="50">
        <v>4</v>
      </c>
      <c r="M97" s="50">
        <v>27</v>
      </c>
      <c r="N97" s="50">
        <v>0</v>
      </c>
      <c r="O97" s="15">
        <f t="shared" si="35"/>
        <v>39</v>
      </c>
      <c r="P97" s="15">
        <f t="shared" si="36"/>
        <v>66</v>
      </c>
      <c r="R97" s="8"/>
      <c r="T97"/>
    </row>
    <row r="98" spans="2:20" ht="23.1" customHeight="1" x14ac:dyDescent="0.25">
      <c r="B98" s="46" t="s">
        <v>138</v>
      </c>
      <c r="C98" s="50">
        <v>13</v>
      </c>
      <c r="D98" s="50">
        <v>2</v>
      </c>
      <c r="E98" s="50">
        <v>0</v>
      </c>
      <c r="F98" s="50">
        <v>3</v>
      </c>
      <c r="G98" s="50">
        <v>0</v>
      </c>
      <c r="H98" s="50">
        <v>1</v>
      </c>
      <c r="I98" s="50">
        <v>7</v>
      </c>
      <c r="J98" s="50">
        <v>7</v>
      </c>
      <c r="K98" s="50">
        <v>1</v>
      </c>
      <c r="L98" s="50">
        <v>2</v>
      </c>
      <c r="M98" s="50">
        <v>44</v>
      </c>
      <c r="N98" s="50">
        <v>0</v>
      </c>
      <c r="O98" s="15">
        <f t="shared" si="35"/>
        <v>36</v>
      </c>
      <c r="P98" s="15">
        <f t="shared" si="36"/>
        <v>80</v>
      </c>
      <c r="R98" s="8"/>
      <c r="T98"/>
    </row>
    <row r="99" spans="2:20" ht="23.1" customHeight="1" x14ac:dyDescent="0.25">
      <c r="B99" s="45" t="s">
        <v>139</v>
      </c>
      <c r="C99" s="50">
        <v>19</v>
      </c>
      <c r="D99" s="50">
        <v>3</v>
      </c>
      <c r="E99" s="50">
        <v>3</v>
      </c>
      <c r="F99" s="50">
        <v>11</v>
      </c>
      <c r="G99" s="50">
        <v>0</v>
      </c>
      <c r="H99" s="50">
        <v>0</v>
      </c>
      <c r="I99" s="50">
        <v>5</v>
      </c>
      <c r="J99" s="50">
        <v>5</v>
      </c>
      <c r="K99" s="50">
        <v>2</v>
      </c>
      <c r="L99" s="50">
        <v>3</v>
      </c>
      <c r="M99" s="50">
        <v>48</v>
      </c>
      <c r="N99" s="50">
        <v>0</v>
      </c>
      <c r="O99" s="15">
        <f t="shared" si="35"/>
        <v>51</v>
      </c>
      <c r="P99" s="15">
        <f t="shared" si="36"/>
        <v>99</v>
      </c>
      <c r="R99" s="8"/>
      <c r="T99"/>
    </row>
    <row r="100" spans="2:20" ht="23.1" customHeight="1" x14ac:dyDescent="0.25">
      <c r="B100" s="47" t="s">
        <v>140</v>
      </c>
      <c r="C100" s="50">
        <v>15</v>
      </c>
      <c r="D100" s="50">
        <v>1</v>
      </c>
      <c r="E100" s="50">
        <v>1</v>
      </c>
      <c r="F100" s="50">
        <v>12</v>
      </c>
      <c r="G100" s="50">
        <v>0</v>
      </c>
      <c r="H100" s="50">
        <v>1</v>
      </c>
      <c r="I100" s="50">
        <v>6</v>
      </c>
      <c r="J100" s="50">
        <v>3</v>
      </c>
      <c r="K100" s="50">
        <v>0</v>
      </c>
      <c r="L100" s="50">
        <v>1</v>
      </c>
      <c r="M100" s="50">
        <v>56</v>
      </c>
      <c r="N100" s="50">
        <v>0</v>
      </c>
      <c r="O100" s="15">
        <f t="shared" si="35"/>
        <v>40</v>
      </c>
      <c r="P100" s="15">
        <f t="shared" si="36"/>
        <v>96</v>
      </c>
      <c r="R100" s="8"/>
      <c r="T100"/>
    </row>
    <row r="101" spans="2:20" ht="23.1" customHeight="1" x14ac:dyDescent="0.25">
      <c r="B101" s="45" t="s">
        <v>141</v>
      </c>
      <c r="C101" s="50">
        <v>17</v>
      </c>
      <c r="D101" s="50">
        <v>6</v>
      </c>
      <c r="E101" s="50">
        <v>7</v>
      </c>
      <c r="F101" s="50">
        <v>10</v>
      </c>
      <c r="G101" s="50">
        <v>0</v>
      </c>
      <c r="H101" s="50">
        <v>0</v>
      </c>
      <c r="I101" s="50">
        <v>6</v>
      </c>
      <c r="J101" s="50">
        <v>6</v>
      </c>
      <c r="K101" s="50">
        <v>0</v>
      </c>
      <c r="L101" s="50">
        <v>2</v>
      </c>
      <c r="M101" s="50">
        <v>26</v>
      </c>
      <c r="N101" s="50">
        <v>0</v>
      </c>
      <c r="O101" s="15">
        <f t="shared" si="35"/>
        <v>54</v>
      </c>
      <c r="P101" s="15">
        <f t="shared" si="36"/>
        <v>80</v>
      </c>
      <c r="R101" s="8"/>
      <c r="T101"/>
    </row>
    <row r="102" spans="2:20" ht="23.1" customHeight="1" x14ac:dyDescent="0.25">
      <c r="B102" s="46" t="s">
        <v>142</v>
      </c>
      <c r="C102" s="50">
        <v>17</v>
      </c>
      <c r="D102" s="50">
        <v>4</v>
      </c>
      <c r="E102" s="50">
        <v>3</v>
      </c>
      <c r="F102" s="50">
        <v>5</v>
      </c>
      <c r="G102" s="50">
        <v>0</v>
      </c>
      <c r="H102" s="50">
        <v>2</v>
      </c>
      <c r="I102" s="50">
        <v>3</v>
      </c>
      <c r="J102" s="50">
        <v>8</v>
      </c>
      <c r="K102" s="50">
        <v>0</v>
      </c>
      <c r="L102" s="50">
        <v>1</v>
      </c>
      <c r="M102" s="50">
        <v>46</v>
      </c>
      <c r="N102" s="50">
        <v>0</v>
      </c>
      <c r="O102" s="15">
        <f t="shared" si="35"/>
        <v>43</v>
      </c>
      <c r="P102" s="15">
        <f t="shared" si="36"/>
        <v>89</v>
      </c>
      <c r="R102" s="8"/>
      <c r="T102"/>
    </row>
    <row r="103" spans="2:20" ht="23.1" customHeight="1" x14ac:dyDescent="0.25">
      <c r="B103" s="45" t="s">
        <v>143</v>
      </c>
      <c r="C103" s="50">
        <v>24</v>
      </c>
      <c r="D103" s="50">
        <v>5</v>
      </c>
      <c r="E103" s="50">
        <v>3</v>
      </c>
      <c r="F103" s="50">
        <v>18</v>
      </c>
      <c r="G103" s="50">
        <v>1</v>
      </c>
      <c r="H103" s="50">
        <v>0</v>
      </c>
      <c r="I103" s="50">
        <v>6</v>
      </c>
      <c r="J103" s="50">
        <v>15</v>
      </c>
      <c r="K103" s="50">
        <v>0</v>
      </c>
      <c r="L103" s="50">
        <v>3</v>
      </c>
      <c r="M103" s="50">
        <v>65</v>
      </c>
      <c r="N103" s="50">
        <v>0</v>
      </c>
      <c r="O103" s="15">
        <f t="shared" si="35"/>
        <v>75</v>
      </c>
      <c r="P103" s="15">
        <f t="shared" si="36"/>
        <v>140</v>
      </c>
      <c r="R103" s="8"/>
      <c r="T103"/>
    </row>
    <row r="104" spans="2:20" ht="23.1" customHeight="1" x14ac:dyDescent="0.25">
      <c r="B104" s="47" t="s">
        <v>144</v>
      </c>
      <c r="C104" s="50">
        <v>51</v>
      </c>
      <c r="D104" s="50">
        <v>11</v>
      </c>
      <c r="E104" s="50">
        <v>10</v>
      </c>
      <c r="F104" s="50">
        <v>31</v>
      </c>
      <c r="G104" s="50">
        <v>3</v>
      </c>
      <c r="H104" s="50">
        <v>1</v>
      </c>
      <c r="I104" s="50">
        <v>4</v>
      </c>
      <c r="J104" s="50">
        <v>4</v>
      </c>
      <c r="K104" s="50">
        <v>0</v>
      </c>
      <c r="L104" s="50">
        <v>0</v>
      </c>
      <c r="M104" s="50">
        <v>35</v>
      </c>
      <c r="N104" s="50">
        <v>0</v>
      </c>
      <c r="O104" s="15">
        <f t="shared" si="35"/>
        <v>115</v>
      </c>
      <c r="P104" s="15">
        <f t="shared" si="36"/>
        <v>150</v>
      </c>
      <c r="R104" s="8"/>
      <c r="T104"/>
    </row>
    <row r="105" spans="2:20" ht="23.1" customHeight="1" x14ac:dyDescent="0.25">
      <c r="B105" s="45" t="s">
        <v>145</v>
      </c>
      <c r="C105" s="50">
        <v>78</v>
      </c>
      <c r="D105" s="50">
        <v>12</v>
      </c>
      <c r="E105" s="50">
        <v>0</v>
      </c>
      <c r="F105" s="50">
        <v>12</v>
      </c>
      <c r="G105" s="50">
        <v>34</v>
      </c>
      <c r="H105" s="50">
        <v>1</v>
      </c>
      <c r="I105" s="50">
        <v>2</v>
      </c>
      <c r="J105" s="50">
        <v>3</v>
      </c>
      <c r="K105" s="50">
        <v>5</v>
      </c>
      <c r="L105" s="50">
        <v>2</v>
      </c>
      <c r="M105" s="50">
        <v>0</v>
      </c>
      <c r="N105" s="50">
        <v>24</v>
      </c>
      <c r="O105" s="15">
        <f t="shared" si="35"/>
        <v>173</v>
      </c>
      <c r="P105" s="15">
        <f t="shared" si="36"/>
        <v>173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5261</v>
      </c>
      <c r="D106" s="16">
        <f t="shared" ref="D106:P106" si="37">SUM(D10:D105)</f>
        <v>841</v>
      </c>
      <c r="E106" s="16">
        <f t="shared" si="37"/>
        <v>422</v>
      </c>
      <c r="F106" s="16">
        <f t="shared" si="37"/>
        <v>3443</v>
      </c>
      <c r="G106" s="16">
        <f t="shared" si="37"/>
        <v>171</v>
      </c>
      <c r="H106" s="16">
        <f t="shared" si="37"/>
        <v>144</v>
      </c>
      <c r="I106" s="16">
        <f t="shared" si="37"/>
        <v>1006</v>
      </c>
      <c r="J106" s="16">
        <f t="shared" si="37"/>
        <v>751</v>
      </c>
      <c r="K106" s="16">
        <f t="shared" si="37"/>
        <v>130</v>
      </c>
      <c r="L106" s="16">
        <f t="shared" si="37"/>
        <v>320</v>
      </c>
      <c r="M106" s="16">
        <f t="shared" si="37"/>
        <v>15597</v>
      </c>
      <c r="N106" s="16">
        <f t="shared" si="37"/>
        <v>27</v>
      </c>
      <c r="O106" s="16">
        <f t="shared" si="37"/>
        <v>12516</v>
      </c>
      <c r="P106" s="16">
        <f t="shared" si="37"/>
        <v>28113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0.18713762316366095</v>
      </c>
      <c r="D107" s="43">
        <f t="shared" si="38"/>
        <v>2.9914985949560702E-2</v>
      </c>
      <c r="E107" s="43">
        <f t="shared" si="38"/>
        <v>1.5010849073382421E-2</v>
      </c>
      <c r="F107" s="43">
        <f t="shared" si="38"/>
        <v>0.12247003165795184</v>
      </c>
      <c r="G107" s="43">
        <f t="shared" si="38"/>
        <v>6.0825952406360047E-3</v>
      </c>
      <c r="H107" s="43">
        <f t="shared" si="38"/>
        <v>5.1221854657987412E-3</v>
      </c>
      <c r="I107" s="43">
        <f t="shared" si="38"/>
        <v>3.5784156795788426E-2</v>
      </c>
      <c r="J107" s="43">
        <f t="shared" si="38"/>
        <v>2.671362003343649E-2</v>
      </c>
      <c r="K107" s="43">
        <f t="shared" si="38"/>
        <v>4.6241952121794183E-3</v>
      </c>
      <c r="L107" s="43">
        <f t="shared" si="38"/>
        <v>1.1382634368441646E-2</v>
      </c>
      <c r="M107" s="43">
        <f t="shared" si="38"/>
        <v>0.55479671326432611</v>
      </c>
      <c r="N107" s="43">
        <f t="shared" si="38"/>
        <v>9.6040977483726386E-4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0.42034196228827103</v>
      </c>
      <c r="D108" s="44">
        <f t="shared" ref="D108:N108" si="39">D106/$O$106</f>
        <v>6.7193991690635987E-2</v>
      </c>
      <c r="E108" s="44">
        <f t="shared" si="39"/>
        <v>3.3716842441674659E-2</v>
      </c>
      <c r="F108" s="44">
        <f t="shared" si="39"/>
        <v>0.27508788750399488</v>
      </c>
      <c r="G108" s="44">
        <f t="shared" si="39"/>
        <v>1.3662511984659636E-2</v>
      </c>
      <c r="H108" s="44">
        <f t="shared" si="39"/>
        <v>1.1505273250239693E-2</v>
      </c>
      <c r="I108" s="44">
        <f t="shared" si="39"/>
        <v>8.0377117289868974E-2</v>
      </c>
      <c r="J108" s="44">
        <f t="shared" si="39"/>
        <v>6.0003195909236175E-2</v>
      </c>
      <c r="K108" s="44">
        <f t="shared" si="39"/>
        <v>1.0386705017577502E-2</v>
      </c>
      <c r="L108" s="44">
        <f t="shared" si="39"/>
        <v>2.5567273889421541E-2</v>
      </c>
      <c r="M108" s="44"/>
      <c r="N108" s="44">
        <f t="shared" si="39"/>
        <v>2.1572387344199425E-3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K106" sqref="K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7" t="str">
        <f>'26.07 BUSEGA-KYENGERA-24h'!G5:H5</f>
        <v>KYENGERA</v>
      </c>
      <c r="H5" s="68"/>
      <c r="I5" s="14"/>
      <c r="J5" s="2" t="s">
        <v>5</v>
      </c>
      <c r="K5" s="67" t="str">
        <f>'26.07 BUSEGA-KYENGERA-24h'!K5:L5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KYENGERA-BUSEGA'!D6:E6</f>
        <v>KYENGERA</v>
      </c>
      <c r="E6" s="68"/>
      <c r="F6" s="2" t="s">
        <v>2</v>
      </c>
      <c r="G6" s="67" t="str">
        <f>'22.07 KYENGERA-BUSEGA'!G6:H6</f>
        <v>BUSEGA</v>
      </c>
      <c r="H6" s="68"/>
      <c r="J6" s="2" t="s">
        <v>21</v>
      </c>
      <c r="K6" s="67" t="str">
        <f>'26.07 BUSEGA-KYENGERA-24h'!K6:L6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105</v>
      </c>
      <c r="D10" s="50">
        <v>7</v>
      </c>
      <c r="E10" s="50">
        <v>8</v>
      </c>
      <c r="F10" s="50">
        <v>70</v>
      </c>
      <c r="G10" s="50">
        <v>3</v>
      </c>
      <c r="H10" s="50">
        <v>1</v>
      </c>
      <c r="I10" s="50">
        <v>8</v>
      </c>
      <c r="J10" s="50">
        <v>7</v>
      </c>
      <c r="K10" s="50">
        <v>0</v>
      </c>
      <c r="L10" s="50">
        <v>2</v>
      </c>
      <c r="M10" s="50">
        <v>250</v>
      </c>
      <c r="N10" s="50">
        <v>0</v>
      </c>
      <c r="O10" s="15">
        <f t="shared" ref="O10:O73" si="0">SUM(C10:L10,N10)</f>
        <v>211</v>
      </c>
      <c r="P10" s="15">
        <f t="shared" ref="P10:P73" si="1">SUM(C10:N10)</f>
        <v>461</v>
      </c>
      <c r="R10" s="1" t="s">
        <v>6</v>
      </c>
      <c r="S10" s="17">
        <f t="shared" ref="S10:AF10" si="2">SUM(C10:C13)</f>
        <v>418</v>
      </c>
      <c r="T10" s="17">
        <f t="shared" si="2"/>
        <v>29</v>
      </c>
      <c r="U10" s="17">
        <f t="shared" si="2"/>
        <v>33</v>
      </c>
      <c r="V10" s="17">
        <f t="shared" si="2"/>
        <v>268</v>
      </c>
      <c r="W10" s="17">
        <f t="shared" si="2"/>
        <v>11</v>
      </c>
      <c r="X10" s="17">
        <f t="shared" si="2"/>
        <v>7</v>
      </c>
      <c r="Y10" s="17">
        <f t="shared" si="2"/>
        <v>62</v>
      </c>
      <c r="Z10" s="17">
        <f t="shared" si="2"/>
        <v>16</v>
      </c>
      <c r="AA10" s="17">
        <f t="shared" si="2"/>
        <v>4</v>
      </c>
      <c r="AB10" s="17">
        <f t="shared" si="2"/>
        <v>11</v>
      </c>
      <c r="AC10" s="17">
        <f t="shared" si="2"/>
        <v>1050</v>
      </c>
      <c r="AD10" s="17">
        <f t="shared" si="2"/>
        <v>0</v>
      </c>
      <c r="AE10" s="31">
        <f t="shared" si="2"/>
        <v>859</v>
      </c>
      <c r="AF10" s="31">
        <f t="shared" si="2"/>
        <v>1909</v>
      </c>
    </row>
    <row r="11" spans="2:32" s="6" customFormat="1" ht="23.1" customHeight="1" x14ac:dyDescent="0.25">
      <c r="B11" s="45" t="s">
        <v>38</v>
      </c>
      <c r="C11" s="50">
        <v>88</v>
      </c>
      <c r="D11" s="50">
        <v>9</v>
      </c>
      <c r="E11" s="50">
        <v>4</v>
      </c>
      <c r="F11" s="50">
        <v>46</v>
      </c>
      <c r="G11" s="50">
        <v>2</v>
      </c>
      <c r="H11" s="50">
        <v>3</v>
      </c>
      <c r="I11" s="50">
        <v>7</v>
      </c>
      <c r="J11" s="50">
        <v>6</v>
      </c>
      <c r="K11" s="50">
        <v>2</v>
      </c>
      <c r="L11" s="50">
        <v>6</v>
      </c>
      <c r="M11" s="50">
        <v>290</v>
      </c>
      <c r="N11" s="50">
        <v>0</v>
      </c>
      <c r="O11" s="15">
        <f t="shared" si="0"/>
        <v>173</v>
      </c>
      <c r="P11" s="15">
        <f t="shared" si="1"/>
        <v>463</v>
      </c>
      <c r="R11" s="1" t="s">
        <v>7</v>
      </c>
      <c r="S11" s="17">
        <f t="shared" ref="S11:AF11" si="3">SUM(C14:C17)</f>
        <v>396</v>
      </c>
      <c r="T11" s="17">
        <f t="shared" si="3"/>
        <v>31</v>
      </c>
      <c r="U11" s="17">
        <f t="shared" si="3"/>
        <v>35</v>
      </c>
      <c r="V11" s="17">
        <f t="shared" si="3"/>
        <v>200</v>
      </c>
      <c r="W11" s="17">
        <f t="shared" si="3"/>
        <v>17</v>
      </c>
      <c r="X11" s="17">
        <f t="shared" si="3"/>
        <v>3</v>
      </c>
      <c r="Y11" s="17">
        <f t="shared" si="3"/>
        <v>71</v>
      </c>
      <c r="Z11" s="17">
        <f t="shared" si="3"/>
        <v>23</v>
      </c>
      <c r="AA11" s="17">
        <f t="shared" si="3"/>
        <v>3</v>
      </c>
      <c r="AB11" s="17">
        <f t="shared" si="3"/>
        <v>2</v>
      </c>
      <c r="AC11" s="17">
        <f t="shared" si="3"/>
        <v>1115</v>
      </c>
      <c r="AD11" s="17">
        <f t="shared" si="3"/>
        <v>0</v>
      </c>
      <c r="AE11" s="31">
        <f t="shared" si="3"/>
        <v>781</v>
      </c>
      <c r="AF11" s="31">
        <f t="shared" si="3"/>
        <v>1896</v>
      </c>
    </row>
    <row r="12" spans="2:32" ht="23.1" customHeight="1" x14ac:dyDescent="0.25">
      <c r="B12" s="45" t="s">
        <v>39</v>
      </c>
      <c r="C12" s="50">
        <v>105</v>
      </c>
      <c r="D12" s="50">
        <v>9</v>
      </c>
      <c r="E12" s="50">
        <v>13</v>
      </c>
      <c r="F12" s="50">
        <v>89</v>
      </c>
      <c r="G12" s="50">
        <v>3</v>
      </c>
      <c r="H12" s="50">
        <v>1</v>
      </c>
      <c r="I12" s="50">
        <v>17</v>
      </c>
      <c r="J12" s="50">
        <v>3</v>
      </c>
      <c r="K12" s="50">
        <v>0</v>
      </c>
      <c r="L12" s="50">
        <v>2</v>
      </c>
      <c r="M12" s="50">
        <v>195</v>
      </c>
      <c r="N12" s="50">
        <v>0</v>
      </c>
      <c r="O12" s="15">
        <f t="shared" si="0"/>
        <v>242</v>
      </c>
      <c r="P12" s="15">
        <f t="shared" si="1"/>
        <v>437</v>
      </c>
      <c r="R12" s="1" t="s">
        <v>8</v>
      </c>
      <c r="S12" s="17">
        <f t="shared" ref="S12:AF12" si="4">SUM(C18:C21)</f>
        <v>408</v>
      </c>
      <c r="T12" s="17">
        <f t="shared" si="4"/>
        <v>37</v>
      </c>
      <c r="U12" s="17">
        <f t="shared" si="4"/>
        <v>42</v>
      </c>
      <c r="V12" s="17">
        <f t="shared" si="4"/>
        <v>220</v>
      </c>
      <c r="W12" s="17">
        <f t="shared" si="4"/>
        <v>9</v>
      </c>
      <c r="X12" s="17">
        <f t="shared" si="4"/>
        <v>8</v>
      </c>
      <c r="Y12" s="17">
        <f t="shared" si="4"/>
        <v>64</v>
      </c>
      <c r="Z12" s="17">
        <f t="shared" si="4"/>
        <v>24</v>
      </c>
      <c r="AA12" s="17">
        <f t="shared" si="4"/>
        <v>4</v>
      </c>
      <c r="AB12" s="17">
        <f t="shared" si="4"/>
        <v>10</v>
      </c>
      <c r="AC12" s="17">
        <f t="shared" si="4"/>
        <v>1333</v>
      </c>
      <c r="AD12" s="17">
        <f t="shared" si="4"/>
        <v>0</v>
      </c>
      <c r="AE12" s="31">
        <f t="shared" si="4"/>
        <v>826</v>
      </c>
      <c r="AF12" s="31">
        <f t="shared" si="4"/>
        <v>2159</v>
      </c>
    </row>
    <row r="13" spans="2:32" ht="23.1" customHeight="1" x14ac:dyDescent="0.25">
      <c r="B13" s="45" t="s">
        <v>40</v>
      </c>
      <c r="C13" s="50">
        <v>120</v>
      </c>
      <c r="D13" s="50">
        <v>4</v>
      </c>
      <c r="E13" s="50">
        <v>8</v>
      </c>
      <c r="F13" s="50">
        <v>63</v>
      </c>
      <c r="G13" s="50">
        <v>3</v>
      </c>
      <c r="H13" s="50">
        <v>2</v>
      </c>
      <c r="I13" s="50">
        <v>30</v>
      </c>
      <c r="J13" s="50">
        <v>0</v>
      </c>
      <c r="K13" s="50">
        <v>2</v>
      </c>
      <c r="L13" s="50">
        <v>1</v>
      </c>
      <c r="M13" s="50">
        <v>315</v>
      </c>
      <c r="N13" s="50">
        <v>0</v>
      </c>
      <c r="O13" s="15">
        <f t="shared" si="0"/>
        <v>233</v>
      </c>
      <c r="P13" s="15">
        <f t="shared" si="1"/>
        <v>548</v>
      </c>
      <c r="R13" s="1" t="s">
        <v>9</v>
      </c>
      <c r="S13" s="17">
        <f t="shared" ref="S13:AF13" si="5">SUM(C22:C25)</f>
        <v>451</v>
      </c>
      <c r="T13" s="17">
        <f t="shared" si="5"/>
        <v>50</v>
      </c>
      <c r="U13" s="17">
        <f t="shared" si="5"/>
        <v>45</v>
      </c>
      <c r="V13" s="17">
        <f t="shared" si="5"/>
        <v>206</v>
      </c>
      <c r="W13" s="17">
        <f t="shared" si="5"/>
        <v>11</v>
      </c>
      <c r="X13" s="17">
        <f t="shared" si="5"/>
        <v>2</v>
      </c>
      <c r="Y13" s="17">
        <f t="shared" si="5"/>
        <v>77</v>
      </c>
      <c r="Z13" s="17">
        <f t="shared" si="5"/>
        <v>15</v>
      </c>
      <c r="AA13" s="17">
        <f t="shared" si="5"/>
        <v>2</v>
      </c>
      <c r="AB13" s="17">
        <f t="shared" si="5"/>
        <v>13</v>
      </c>
      <c r="AC13" s="17">
        <f t="shared" si="5"/>
        <v>849</v>
      </c>
      <c r="AD13" s="17">
        <f t="shared" si="5"/>
        <v>0</v>
      </c>
      <c r="AE13" s="31">
        <f t="shared" si="5"/>
        <v>872</v>
      </c>
      <c r="AF13" s="31">
        <f t="shared" si="5"/>
        <v>1721</v>
      </c>
    </row>
    <row r="14" spans="2:32" ht="23.1" customHeight="1" x14ac:dyDescent="0.25">
      <c r="B14" s="45" t="s">
        <v>41</v>
      </c>
      <c r="C14" s="50">
        <v>96</v>
      </c>
      <c r="D14" s="50">
        <v>6</v>
      </c>
      <c r="E14" s="50">
        <v>5</v>
      </c>
      <c r="F14" s="50">
        <v>3</v>
      </c>
      <c r="G14" s="50">
        <v>2</v>
      </c>
      <c r="H14" s="50">
        <v>2</v>
      </c>
      <c r="I14" s="50">
        <v>17</v>
      </c>
      <c r="J14" s="50">
        <v>6</v>
      </c>
      <c r="K14" s="50">
        <v>0</v>
      </c>
      <c r="L14" s="50">
        <v>1</v>
      </c>
      <c r="M14" s="50">
        <v>180</v>
      </c>
      <c r="N14" s="50">
        <v>0</v>
      </c>
      <c r="O14" s="15">
        <f t="shared" si="0"/>
        <v>138</v>
      </c>
      <c r="P14" s="15">
        <f t="shared" si="1"/>
        <v>318</v>
      </c>
      <c r="R14" s="1" t="s">
        <v>10</v>
      </c>
      <c r="S14" s="17">
        <f t="shared" ref="S14:AF14" si="6">SUM(C26:C29)</f>
        <v>375</v>
      </c>
      <c r="T14" s="17">
        <f t="shared" si="6"/>
        <v>59</v>
      </c>
      <c r="U14" s="17">
        <f t="shared" si="6"/>
        <v>51</v>
      </c>
      <c r="V14" s="17">
        <f t="shared" si="6"/>
        <v>193</v>
      </c>
      <c r="W14" s="17">
        <f t="shared" si="6"/>
        <v>5</v>
      </c>
      <c r="X14" s="17">
        <f t="shared" si="6"/>
        <v>4</v>
      </c>
      <c r="Y14" s="17">
        <f t="shared" si="6"/>
        <v>70</v>
      </c>
      <c r="Z14" s="17">
        <f t="shared" si="6"/>
        <v>6</v>
      </c>
      <c r="AA14" s="17">
        <f t="shared" si="6"/>
        <v>2</v>
      </c>
      <c r="AB14" s="17">
        <f t="shared" si="6"/>
        <v>15</v>
      </c>
      <c r="AC14" s="17">
        <f t="shared" si="6"/>
        <v>591</v>
      </c>
      <c r="AD14" s="17">
        <f t="shared" si="6"/>
        <v>0</v>
      </c>
      <c r="AE14" s="31">
        <f t="shared" si="6"/>
        <v>780</v>
      </c>
      <c r="AF14" s="31">
        <f t="shared" si="6"/>
        <v>1371</v>
      </c>
    </row>
    <row r="15" spans="2:32" ht="23.1" customHeight="1" x14ac:dyDescent="0.25">
      <c r="B15" s="45" t="s">
        <v>42</v>
      </c>
      <c r="C15" s="50">
        <v>97</v>
      </c>
      <c r="D15" s="50">
        <v>8</v>
      </c>
      <c r="E15" s="50">
        <v>11</v>
      </c>
      <c r="F15" s="50">
        <v>63</v>
      </c>
      <c r="G15" s="50">
        <v>2</v>
      </c>
      <c r="H15" s="50">
        <v>0</v>
      </c>
      <c r="I15" s="50">
        <v>20</v>
      </c>
      <c r="J15" s="50">
        <v>6</v>
      </c>
      <c r="K15" s="50">
        <v>0</v>
      </c>
      <c r="L15" s="50">
        <v>1</v>
      </c>
      <c r="M15" s="50">
        <v>255</v>
      </c>
      <c r="N15" s="50">
        <v>0</v>
      </c>
      <c r="O15" s="15">
        <f t="shared" si="0"/>
        <v>208</v>
      </c>
      <c r="P15" s="15">
        <f t="shared" si="1"/>
        <v>463</v>
      </c>
      <c r="R15" s="1" t="s">
        <v>11</v>
      </c>
      <c r="S15" s="17">
        <f t="shared" ref="S15:AF15" si="7">SUM(C30:C33)</f>
        <v>363</v>
      </c>
      <c r="T15" s="17">
        <f t="shared" si="7"/>
        <v>47</v>
      </c>
      <c r="U15" s="17">
        <f t="shared" si="7"/>
        <v>51</v>
      </c>
      <c r="V15" s="17">
        <f t="shared" si="7"/>
        <v>187</v>
      </c>
      <c r="W15" s="17">
        <f t="shared" si="7"/>
        <v>4</v>
      </c>
      <c r="X15" s="17">
        <f t="shared" si="7"/>
        <v>5</v>
      </c>
      <c r="Y15" s="17">
        <f t="shared" si="7"/>
        <v>44</v>
      </c>
      <c r="Z15" s="17">
        <f t="shared" si="7"/>
        <v>16</v>
      </c>
      <c r="AA15" s="17">
        <f t="shared" si="7"/>
        <v>12</v>
      </c>
      <c r="AB15" s="17">
        <f t="shared" si="7"/>
        <v>16</v>
      </c>
      <c r="AC15" s="17">
        <f t="shared" si="7"/>
        <v>657</v>
      </c>
      <c r="AD15" s="17">
        <f t="shared" si="7"/>
        <v>0</v>
      </c>
      <c r="AE15" s="31">
        <f t="shared" si="7"/>
        <v>745</v>
      </c>
      <c r="AF15" s="31">
        <f t="shared" si="7"/>
        <v>1402</v>
      </c>
    </row>
    <row r="16" spans="2:32" ht="23.1" customHeight="1" x14ac:dyDescent="0.25">
      <c r="B16" s="45" t="s">
        <v>43</v>
      </c>
      <c r="C16" s="50">
        <v>109</v>
      </c>
      <c r="D16" s="50">
        <v>9</v>
      </c>
      <c r="E16" s="50">
        <v>8</v>
      </c>
      <c r="F16" s="50">
        <v>64</v>
      </c>
      <c r="G16" s="50">
        <v>7</v>
      </c>
      <c r="H16" s="50">
        <v>0</v>
      </c>
      <c r="I16" s="50">
        <v>16</v>
      </c>
      <c r="J16" s="50">
        <v>6</v>
      </c>
      <c r="K16" s="50">
        <v>3</v>
      </c>
      <c r="L16" s="50">
        <v>0</v>
      </c>
      <c r="M16" s="50">
        <v>375</v>
      </c>
      <c r="N16" s="50">
        <v>0</v>
      </c>
      <c r="O16" s="15">
        <f t="shared" si="0"/>
        <v>222</v>
      </c>
      <c r="P16" s="15">
        <f t="shared" si="1"/>
        <v>597</v>
      </c>
      <c r="R16" s="1" t="s">
        <v>12</v>
      </c>
      <c r="S16" s="17">
        <f t="shared" ref="S16:AF16" si="8">SUM(C34:C37)</f>
        <v>249</v>
      </c>
      <c r="T16" s="17">
        <f t="shared" si="8"/>
        <v>28</v>
      </c>
      <c r="U16" s="17">
        <f t="shared" si="8"/>
        <v>49</v>
      </c>
      <c r="V16" s="17">
        <f t="shared" si="8"/>
        <v>141</v>
      </c>
      <c r="W16" s="17">
        <f t="shared" si="8"/>
        <v>8</v>
      </c>
      <c r="X16" s="17">
        <f t="shared" si="8"/>
        <v>6</v>
      </c>
      <c r="Y16" s="17">
        <f t="shared" si="8"/>
        <v>58</v>
      </c>
      <c r="Z16" s="17">
        <f t="shared" si="8"/>
        <v>13</v>
      </c>
      <c r="AA16" s="17">
        <f t="shared" si="8"/>
        <v>2</v>
      </c>
      <c r="AB16" s="17">
        <f t="shared" si="8"/>
        <v>15</v>
      </c>
      <c r="AC16" s="17">
        <f t="shared" si="8"/>
        <v>500</v>
      </c>
      <c r="AD16" s="17">
        <f t="shared" si="8"/>
        <v>0</v>
      </c>
      <c r="AE16" s="31">
        <f t="shared" si="8"/>
        <v>569</v>
      </c>
      <c r="AF16" s="31">
        <f t="shared" si="8"/>
        <v>1069</v>
      </c>
    </row>
    <row r="17" spans="2:32" ht="23.1" customHeight="1" x14ac:dyDescent="0.25">
      <c r="B17" s="45" t="s">
        <v>44</v>
      </c>
      <c r="C17" s="50">
        <v>94</v>
      </c>
      <c r="D17" s="50">
        <v>8</v>
      </c>
      <c r="E17" s="50">
        <v>11</v>
      </c>
      <c r="F17" s="50">
        <v>70</v>
      </c>
      <c r="G17" s="50">
        <v>6</v>
      </c>
      <c r="H17" s="50">
        <v>1</v>
      </c>
      <c r="I17" s="50">
        <v>18</v>
      </c>
      <c r="J17" s="50">
        <v>5</v>
      </c>
      <c r="K17" s="50">
        <v>0</v>
      </c>
      <c r="L17" s="50">
        <v>0</v>
      </c>
      <c r="M17" s="50">
        <v>305</v>
      </c>
      <c r="N17" s="50">
        <v>0</v>
      </c>
      <c r="O17" s="15">
        <f t="shared" si="0"/>
        <v>213</v>
      </c>
      <c r="P17" s="15">
        <f t="shared" si="1"/>
        <v>518</v>
      </c>
      <c r="R17" s="1" t="s">
        <v>13</v>
      </c>
      <c r="S17" s="17">
        <f t="shared" ref="S17:AF17" si="9">SUM(C38:C41)</f>
        <v>318</v>
      </c>
      <c r="T17" s="17">
        <f t="shared" si="9"/>
        <v>39</v>
      </c>
      <c r="U17" s="17">
        <f t="shared" si="9"/>
        <v>44</v>
      </c>
      <c r="V17" s="17">
        <f t="shared" si="9"/>
        <v>144</v>
      </c>
      <c r="W17" s="17">
        <f t="shared" si="9"/>
        <v>5</v>
      </c>
      <c r="X17" s="17">
        <f t="shared" si="9"/>
        <v>4</v>
      </c>
      <c r="Y17" s="17">
        <f t="shared" si="9"/>
        <v>60</v>
      </c>
      <c r="Z17" s="17">
        <f t="shared" si="9"/>
        <v>20</v>
      </c>
      <c r="AA17" s="17">
        <f t="shared" si="9"/>
        <v>4</v>
      </c>
      <c r="AB17" s="17">
        <f t="shared" si="9"/>
        <v>14</v>
      </c>
      <c r="AC17" s="17">
        <f t="shared" si="9"/>
        <v>468</v>
      </c>
      <c r="AD17" s="17">
        <f t="shared" si="9"/>
        <v>0</v>
      </c>
      <c r="AE17" s="31">
        <f t="shared" si="9"/>
        <v>652</v>
      </c>
      <c r="AF17" s="31">
        <f t="shared" si="9"/>
        <v>1120</v>
      </c>
    </row>
    <row r="18" spans="2:32" ht="23.1" customHeight="1" x14ac:dyDescent="0.25">
      <c r="B18" s="45" t="s">
        <v>45</v>
      </c>
      <c r="C18" s="50">
        <v>115</v>
      </c>
      <c r="D18" s="50">
        <v>6</v>
      </c>
      <c r="E18" s="50">
        <v>12</v>
      </c>
      <c r="F18" s="50">
        <v>55</v>
      </c>
      <c r="G18" s="50">
        <v>2</v>
      </c>
      <c r="H18" s="50">
        <v>2</v>
      </c>
      <c r="I18" s="50">
        <v>12</v>
      </c>
      <c r="J18" s="50">
        <v>8</v>
      </c>
      <c r="K18" s="50">
        <v>2</v>
      </c>
      <c r="L18" s="50">
        <v>3</v>
      </c>
      <c r="M18" s="50">
        <v>320</v>
      </c>
      <c r="N18" s="50">
        <v>0</v>
      </c>
      <c r="O18" s="15">
        <f t="shared" si="0"/>
        <v>217</v>
      </c>
      <c r="P18" s="15">
        <f t="shared" si="1"/>
        <v>537</v>
      </c>
      <c r="R18" s="1" t="s">
        <v>14</v>
      </c>
      <c r="S18" s="17">
        <f t="shared" ref="S18:AF18" si="10">SUM(C42:C45)</f>
        <v>292</v>
      </c>
      <c r="T18" s="17">
        <f t="shared" si="10"/>
        <v>42</v>
      </c>
      <c r="U18" s="17">
        <f t="shared" si="10"/>
        <v>50</v>
      </c>
      <c r="V18" s="17">
        <f t="shared" si="10"/>
        <v>146</v>
      </c>
      <c r="W18" s="17">
        <f t="shared" si="10"/>
        <v>1</v>
      </c>
      <c r="X18" s="17">
        <f t="shared" si="10"/>
        <v>5</v>
      </c>
      <c r="Y18" s="17">
        <f t="shared" si="10"/>
        <v>48</v>
      </c>
      <c r="Z18" s="17">
        <f t="shared" si="10"/>
        <v>10</v>
      </c>
      <c r="AA18" s="17">
        <f t="shared" si="10"/>
        <v>6</v>
      </c>
      <c r="AB18" s="17">
        <f t="shared" si="10"/>
        <v>13</v>
      </c>
      <c r="AC18" s="17">
        <f t="shared" si="10"/>
        <v>443</v>
      </c>
      <c r="AD18" s="17">
        <f t="shared" si="10"/>
        <v>0</v>
      </c>
      <c r="AE18" s="31">
        <f t="shared" si="10"/>
        <v>613</v>
      </c>
      <c r="AF18" s="31">
        <f t="shared" si="10"/>
        <v>1056</v>
      </c>
    </row>
    <row r="19" spans="2:32" ht="23.1" customHeight="1" x14ac:dyDescent="0.25">
      <c r="B19" s="45" t="s">
        <v>46</v>
      </c>
      <c r="C19" s="50">
        <v>100</v>
      </c>
      <c r="D19" s="50">
        <v>8</v>
      </c>
      <c r="E19" s="50">
        <v>9</v>
      </c>
      <c r="F19" s="50">
        <v>62</v>
      </c>
      <c r="G19" s="50">
        <v>4</v>
      </c>
      <c r="H19" s="50">
        <v>3</v>
      </c>
      <c r="I19" s="50">
        <v>11</v>
      </c>
      <c r="J19" s="50">
        <v>6</v>
      </c>
      <c r="K19" s="50">
        <v>0</v>
      </c>
      <c r="L19" s="50">
        <v>3</v>
      </c>
      <c r="M19" s="50">
        <v>395</v>
      </c>
      <c r="N19" s="50">
        <v>0</v>
      </c>
      <c r="O19" s="15">
        <f t="shared" si="0"/>
        <v>206</v>
      </c>
      <c r="P19" s="15">
        <f t="shared" si="1"/>
        <v>601</v>
      </c>
      <c r="R19" s="1" t="s">
        <v>15</v>
      </c>
      <c r="S19" s="17">
        <f t="shared" ref="S19:AF19" si="11">SUM(C46:C49)</f>
        <v>357</v>
      </c>
      <c r="T19" s="17">
        <f t="shared" si="11"/>
        <v>46</v>
      </c>
      <c r="U19" s="17">
        <f t="shared" si="11"/>
        <v>54</v>
      </c>
      <c r="V19" s="17">
        <f t="shared" si="11"/>
        <v>173</v>
      </c>
      <c r="W19" s="17">
        <f t="shared" si="11"/>
        <v>5</v>
      </c>
      <c r="X19" s="17">
        <f t="shared" si="11"/>
        <v>9</v>
      </c>
      <c r="Y19" s="17">
        <f t="shared" si="11"/>
        <v>64</v>
      </c>
      <c r="Z19" s="17">
        <f t="shared" si="11"/>
        <v>19</v>
      </c>
      <c r="AA19" s="17">
        <f t="shared" si="11"/>
        <v>6</v>
      </c>
      <c r="AB19" s="17">
        <f t="shared" si="11"/>
        <v>19</v>
      </c>
      <c r="AC19" s="17">
        <f t="shared" si="11"/>
        <v>435</v>
      </c>
      <c r="AD19" s="17">
        <f t="shared" si="11"/>
        <v>0</v>
      </c>
      <c r="AE19" s="31">
        <f t="shared" si="11"/>
        <v>752</v>
      </c>
      <c r="AF19" s="31">
        <f t="shared" si="11"/>
        <v>1187</v>
      </c>
    </row>
    <row r="20" spans="2:32" ht="23.1" customHeight="1" x14ac:dyDescent="0.25">
      <c r="B20" s="45" t="s">
        <v>47</v>
      </c>
      <c r="C20" s="50">
        <v>92</v>
      </c>
      <c r="D20" s="50">
        <v>10</v>
      </c>
      <c r="E20" s="50">
        <v>6</v>
      </c>
      <c r="F20" s="50">
        <v>38</v>
      </c>
      <c r="G20" s="50">
        <v>1</v>
      </c>
      <c r="H20" s="50">
        <v>0</v>
      </c>
      <c r="I20" s="50">
        <v>18</v>
      </c>
      <c r="J20" s="50">
        <v>5</v>
      </c>
      <c r="K20" s="50">
        <v>1</v>
      </c>
      <c r="L20" s="50">
        <v>1</v>
      </c>
      <c r="M20" s="50">
        <v>320</v>
      </c>
      <c r="N20" s="50">
        <v>0</v>
      </c>
      <c r="O20" s="15">
        <f t="shared" si="0"/>
        <v>172</v>
      </c>
      <c r="P20" s="15">
        <f t="shared" si="1"/>
        <v>492</v>
      </c>
      <c r="R20" s="1" t="s">
        <v>16</v>
      </c>
      <c r="S20" s="17">
        <f t="shared" ref="S20:AF20" si="12">SUM(C50:C53)</f>
        <v>400</v>
      </c>
      <c r="T20" s="17">
        <f t="shared" si="12"/>
        <v>79</v>
      </c>
      <c r="U20" s="17">
        <f t="shared" si="12"/>
        <v>55</v>
      </c>
      <c r="V20" s="17">
        <f t="shared" si="12"/>
        <v>150</v>
      </c>
      <c r="W20" s="17">
        <f t="shared" si="12"/>
        <v>6</v>
      </c>
      <c r="X20" s="17">
        <f t="shared" si="12"/>
        <v>8</v>
      </c>
      <c r="Y20" s="17">
        <f t="shared" si="12"/>
        <v>43</v>
      </c>
      <c r="Z20" s="17">
        <f t="shared" si="12"/>
        <v>22</v>
      </c>
      <c r="AA20" s="17">
        <f t="shared" si="12"/>
        <v>3</v>
      </c>
      <c r="AB20" s="17">
        <f t="shared" si="12"/>
        <v>10</v>
      </c>
      <c r="AC20" s="17">
        <f t="shared" si="12"/>
        <v>430</v>
      </c>
      <c r="AD20" s="17">
        <f t="shared" si="12"/>
        <v>0</v>
      </c>
      <c r="AE20" s="31">
        <f t="shared" si="12"/>
        <v>776</v>
      </c>
      <c r="AF20" s="31">
        <f t="shared" si="12"/>
        <v>1206</v>
      </c>
    </row>
    <row r="21" spans="2:32" ht="23.1" customHeight="1" x14ac:dyDescent="0.25">
      <c r="B21" s="45" t="s">
        <v>48</v>
      </c>
      <c r="C21" s="50">
        <v>101</v>
      </c>
      <c r="D21" s="50">
        <v>13</v>
      </c>
      <c r="E21" s="50">
        <v>15</v>
      </c>
      <c r="F21" s="50">
        <v>65</v>
      </c>
      <c r="G21" s="50">
        <v>2</v>
      </c>
      <c r="H21" s="50">
        <v>3</v>
      </c>
      <c r="I21" s="50">
        <v>23</v>
      </c>
      <c r="J21" s="50">
        <v>5</v>
      </c>
      <c r="K21" s="50">
        <v>1</v>
      </c>
      <c r="L21" s="50">
        <v>3</v>
      </c>
      <c r="M21" s="50">
        <v>298</v>
      </c>
      <c r="N21" s="50">
        <v>0</v>
      </c>
      <c r="O21" s="15">
        <f t="shared" si="0"/>
        <v>231</v>
      </c>
      <c r="P21" s="15">
        <f t="shared" si="1"/>
        <v>529</v>
      </c>
      <c r="R21" s="36" t="s">
        <v>20</v>
      </c>
      <c r="S21" s="34">
        <f t="shared" ref="S21:AF21" si="13">SUM(C54:C57)</f>
        <v>372</v>
      </c>
      <c r="T21" s="17">
        <f t="shared" si="13"/>
        <v>37</v>
      </c>
      <c r="U21" s="17">
        <f t="shared" si="13"/>
        <v>25</v>
      </c>
      <c r="V21" s="17">
        <f t="shared" si="13"/>
        <v>149</v>
      </c>
      <c r="W21" s="17">
        <f t="shared" si="13"/>
        <v>9</v>
      </c>
      <c r="X21" s="17">
        <f t="shared" si="13"/>
        <v>5</v>
      </c>
      <c r="Y21" s="17">
        <f t="shared" si="13"/>
        <v>54</v>
      </c>
      <c r="Z21" s="17">
        <f t="shared" si="13"/>
        <v>11</v>
      </c>
      <c r="AA21" s="17">
        <f t="shared" si="13"/>
        <v>2</v>
      </c>
      <c r="AB21" s="17">
        <f t="shared" si="13"/>
        <v>17</v>
      </c>
      <c r="AC21" s="17">
        <f t="shared" si="13"/>
        <v>745</v>
      </c>
      <c r="AD21" s="17">
        <f t="shared" si="13"/>
        <v>0</v>
      </c>
      <c r="AE21" s="31">
        <f t="shared" si="13"/>
        <v>681</v>
      </c>
      <c r="AF21" s="31">
        <f t="shared" si="13"/>
        <v>1426</v>
      </c>
    </row>
    <row r="22" spans="2:32" ht="23.1" customHeight="1" x14ac:dyDescent="0.25">
      <c r="B22" s="45" t="s">
        <v>49</v>
      </c>
      <c r="C22" s="50">
        <v>120</v>
      </c>
      <c r="D22" s="50">
        <v>12</v>
      </c>
      <c r="E22" s="50">
        <v>13</v>
      </c>
      <c r="F22" s="50">
        <v>50</v>
      </c>
      <c r="G22" s="50">
        <v>2</v>
      </c>
      <c r="H22" s="50">
        <v>0</v>
      </c>
      <c r="I22" s="50">
        <v>17</v>
      </c>
      <c r="J22" s="50">
        <v>3</v>
      </c>
      <c r="K22" s="50">
        <v>0</v>
      </c>
      <c r="L22" s="50">
        <v>3</v>
      </c>
      <c r="M22" s="50">
        <v>268</v>
      </c>
      <c r="N22" s="50">
        <v>0</v>
      </c>
      <c r="O22" s="15">
        <f t="shared" si="0"/>
        <v>220</v>
      </c>
      <c r="P22" s="15">
        <f t="shared" si="1"/>
        <v>488</v>
      </c>
      <c r="R22" s="36" t="s">
        <v>146</v>
      </c>
      <c r="S22" s="34">
        <f>SUM(C58:C61)</f>
        <v>323</v>
      </c>
      <c r="T22" s="34">
        <f t="shared" ref="T22:AF22" si="14">SUM(D58:D61)</f>
        <v>31</v>
      </c>
      <c r="U22" s="34">
        <f t="shared" si="14"/>
        <v>28</v>
      </c>
      <c r="V22" s="34">
        <f t="shared" si="14"/>
        <v>230</v>
      </c>
      <c r="W22" s="34">
        <f t="shared" si="14"/>
        <v>13</v>
      </c>
      <c r="X22" s="34">
        <f t="shared" si="14"/>
        <v>8</v>
      </c>
      <c r="Y22" s="34">
        <f t="shared" si="14"/>
        <v>54</v>
      </c>
      <c r="Z22" s="34">
        <f t="shared" si="14"/>
        <v>22</v>
      </c>
      <c r="AA22" s="34">
        <f t="shared" si="14"/>
        <v>6</v>
      </c>
      <c r="AB22" s="34">
        <f t="shared" si="14"/>
        <v>7</v>
      </c>
      <c r="AC22" s="34">
        <f t="shared" si="14"/>
        <v>1285</v>
      </c>
      <c r="AD22" s="34">
        <f t="shared" si="14"/>
        <v>0</v>
      </c>
      <c r="AE22" s="31">
        <f t="shared" si="14"/>
        <v>722</v>
      </c>
      <c r="AF22" s="31">
        <f t="shared" si="14"/>
        <v>2007</v>
      </c>
    </row>
    <row r="23" spans="2:32" ht="23.1" customHeight="1" x14ac:dyDescent="0.25">
      <c r="B23" s="45" t="s">
        <v>50</v>
      </c>
      <c r="C23" s="50">
        <v>100</v>
      </c>
      <c r="D23" s="50">
        <v>13</v>
      </c>
      <c r="E23" s="50">
        <v>12</v>
      </c>
      <c r="F23" s="50">
        <v>55</v>
      </c>
      <c r="G23" s="50">
        <v>3</v>
      </c>
      <c r="H23" s="50">
        <v>1</v>
      </c>
      <c r="I23" s="50">
        <v>22</v>
      </c>
      <c r="J23" s="50">
        <v>7</v>
      </c>
      <c r="K23" s="50">
        <v>1</v>
      </c>
      <c r="L23" s="50">
        <v>4</v>
      </c>
      <c r="M23" s="50">
        <v>258</v>
      </c>
      <c r="N23" s="50">
        <v>0</v>
      </c>
      <c r="O23" s="15">
        <f t="shared" si="0"/>
        <v>218</v>
      </c>
      <c r="P23" s="15">
        <f t="shared" si="1"/>
        <v>476</v>
      </c>
      <c r="R23" s="36" t="s">
        <v>147</v>
      </c>
      <c r="S23" s="34">
        <f>SUM(C62:C65)</f>
        <v>308</v>
      </c>
      <c r="T23" s="34">
        <f t="shared" ref="T23:AF23" si="15">SUM(D62:D65)</f>
        <v>54</v>
      </c>
      <c r="U23" s="34">
        <f t="shared" si="15"/>
        <v>25</v>
      </c>
      <c r="V23" s="34">
        <f t="shared" si="15"/>
        <v>187</v>
      </c>
      <c r="W23" s="34">
        <f t="shared" si="15"/>
        <v>14</v>
      </c>
      <c r="X23" s="34">
        <f t="shared" si="15"/>
        <v>6</v>
      </c>
      <c r="Y23" s="34">
        <f t="shared" si="15"/>
        <v>46</v>
      </c>
      <c r="Z23" s="34">
        <f t="shared" si="15"/>
        <v>14</v>
      </c>
      <c r="AA23" s="34">
        <f t="shared" si="15"/>
        <v>7</v>
      </c>
      <c r="AB23" s="34">
        <f t="shared" si="15"/>
        <v>15</v>
      </c>
      <c r="AC23" s="34">
        <f t="shared" si="15"/>
        <v>1345</v>
      </c>
      <c r="AD23" s="34">
        <f t="shared" si="15"/>
        <v>0</v>
      </c>
      <c r="AE23" s="31">
        <f t="shared" si="15"/>
        <v>676</v>
      </c>
      <c r="AF23" s="31">
        <f t="shared" si="15"/>
        <v>2021</v>
      </c>
    </row>
    <row r="24" spans="2:32" ht="23.1" customHeight="1" x14ac:dyDescent="0.25">
      <c r="B24" s="45" t="s">
        <v>51</v>
      </c>
      <c r="C24" s="50">
        <v>96</v>
      </c>
      <c r="D24" s="50">
        <v>14</v>
      </c>
      <c r="E24" s="50">
        <v>9</v>
      </c>
      <c r="F24" s="50">
        <v>51</v>
      </c>
      <c r="G24" s="50">
        <v>4</v>
      </c>
      <c r="H24" s="50">
        <v>1</v>
      </c>
      <c r="I24" s="50">
        <v>18</v>
      </c>
      <c r="J24" s="50">
        <v>3</v>
      </c>
      <c r="K24" s="50">
        <v>0</v>
      </c>
      <c r="L24" s="50">
        <v>4</v>
      </c>
      <c r="M24" s="50">
        <v>124</v>
      </c>
      <c r="N24" s="50">
        <v>0</v>
      </c>
      <c r="O24" s="15">
        <f t="shared" si="0"/>
        <v>200</v>
      </c>
      <c r="P24" s="15">
        <f t="shared" si="1"/>
        <v>324</v>
      </c>
      <c r="R24" s="36" t="s">
        <v>148</v>
      </c>
      <c r="S24" s="34">
        <f>SUM(C66:C69)</f>
        <v>264</v>
      </c>
      <c r="T24" s="34">
        <f t="shared" ref="T24:AF24" si="16">SUM(D66:D69)</f>
        <v>47</v>
      </c>
      <c r="U24" s="34">
        <f t="shared" si="16"/>
        <v>28</v>
      </c>
      <c r="V24" s="34">
        <f t="shared" si="16"/>
        <v>146</v>
      </c>
      <c r="W24" s="34">
        <f t="shared" si="16"/>
        <v>13</v>
      </c>
      <c r="X24" s="34">
        <f t="shared" si="16"/>
        <v>4</v>
      </c>
      <c r="Y24" s="34">
        <f t="shared" si="16"/>
        <v>33</v>
      </c>
      <c r="Z24" s="34">
        <f t="shared" si="16"/>
        <v>11</v>
      </c>
      <c r="AA24" s="34">
        <f t="shared" si="16"/>
        <v>1</v>
      </c>
      <c r="AB24" s="34">
        <f t="shared" si="16"/>
        <v>1</v>
      </c>
      <c r="AC24" s="34">
        <f t="shared" si="16"/>
        <v>1045</v>
      </c>
      <c r="AD24" s="34">
        <f t="shared" si="16"/>
        <v>0</v>
      </c>
      <c r="AE24" s="31">
        <f t="shared" si="16"/>
        <v>548</v>
      </c>
      <c r="AF24" s="31">
        <f t="shared" si="16"/>
        <v>1593</v>
      </c>
    </row>
    <row r="25" spans="2:32" ht="23.1" customHeight="1" x14ac:dyDescent="0.25">
      <c r="B25" s="45" t="s">
        <v>52</v>
      </c>
      <c r="C25" s="50">
        <v>135</v>
      </c>
      <c r="D25" s="50">
        <v>11</v>
      </c>
      <c r="E25" s="50">
        <v>11</v>
      </c>
      <c r="F25" s="50">
        <v>50</v>
      </c>
      <c r="G25" s="50">
        <v>2</v>
      </c>
      <c r="H25" s="50">
        <v>0</v>
      </c>
      <c r="I25" s="50">
        <v>20</v>
      </c>
      <c r="J25" s="50">
        <v>2</v>
      </c>
      <c r="K25" s="50">
        <v>1</v>
      </c>
      <c r="L25" s="50">
        <v>2</v>
      </c>
      <c r="M25" s="50">
        <v>199</v>
      </c>
      <c r="N25" s="50">
        <v>0</v>
      </c>
      <c r="O25" s="15">
        <f t="shared" si="0"/>
        <v>234</v>
      </c>
      <c r="P25" s="15">
        <f t="shared" si="1"/>
        <v>433</v>
      </c>
      <c r="R25" s="36" t="s">
        <v>149</v>
      </c>
      <c r="S25" s="34">
        <f>SUM(C70:C73)</f>
        <v>200</v>
      </c>
      <c r="T25" s="34">
        <f t="shared" ref="T25:AF25" si="17">SUM(D70:D73)</f>
        <v>34</v>
      </c>
      <c r="U25" s="34">
        <f t="shared" si="17"/>
        <v>15</v>
      </c>
      <c r="V25" s="34">
        <f t="shared" si="17"/>
        <v>67</v>
      </c>
      <c r="W25" s="34">
        <f t="shared" si="17"/>
        <v>8</v>
      </c>
      <c r="X25" s="34">
        <f t="shared" si="17"/>
        <v>2</v>
      </c>
      <c r="Y25" s="34">
        <f t="shared" si="17"/>
        <v>31</v>
      </c>
      <c r="Z25" s="34">
        <f t="shared" si="17"/>
        <v>10</v>
      </c>
      <c r="AA25" s="34">
        <f t="shared" si="17"/>
        <v>1</v>
      </c>
      <c r="AB25" s="34">
        <f t="shared" si="17"/>
        <v>15</v>
      </c>
      <c r="AC25" s="34">
        <f t="shared" si="17"/>
        <v>823</v>
      </c>
      <c r="AD25" s="34">
        <f t="shared" si="17"/>
        <v>0</v>
      </c>
      <c r="AE25" s="31">
        <f t="shared" si="17"/>
        <v>383</v>
      </c>
      <c r="AF25" s="31">
        <f t="shared" si="17"/>
        <v>1206</v>
      </c>
    </row>
    <row r="26" spans="2:32" ht="23.1" customHeight="1" x14ac:dyDescent="0.25">
      <c r="B26" s="45" t="s">
        <v>53</v>
      </c>
      <c r="C26" s="50">
        <v>120</v>
      </c>
      <c r="D26" s="50">
        <v>20</v>
      </c>
      <c r="E26" s="50">
        <v>18</v>
      </c>
      <c r="F26" s="50">
        <v>47</v>
      </c>
      <c r="G26" s="50">
        <v>1</v>
      </c>
      <c r="H26" s="50">
        <v>1</v>
      </c>
      <c r="I26" s="50">
        <v>21</v>
      </c>
      <c r="J26" s="50">
        <v>0</v>
      </c>
      <c r="K26" s="50">
        <v>0</v>
      </c>
      <c r="L26" s="50">
        <v>1</v>
      </c>
      <c r="M26" s="50">
        <v>168</v>
      </c>
      <c r="N26" s="50">
        <v>0</v>
      </c>
      <c r="O26" s="15">
        <f t="shared" si="0"/>
        <v>229</v>
      </c>
      <c r="P26" s="15">
        <f t="shared" si="1"/>
        <v>397</v>
      </c>
      <c r="R26" s="36" t="s">
        <v>150</v>
      </c>
      <c r="S26" s="34">
        <f>SUM(C74:C77)</f>
        <v>272</v>
      </c>
      <c r="T26" s="34">
        <f t="shared" ref="T26:AF26" si="18">SUM(D74:D77)</f>
        <v>39</v>
      </c>
      <c r="U26" s="34">
        <f t="shared" si="18"/>
        <v>20</v>
      </c>
      <c r="V26" s="34">
        <f t="shared" si="18"/>
        <v>120</v>
      </c>
      <c r="W26" s="34">
        <f t="shared" si="18"/>
        <v>4</v>
      </c>
      <c r="X26" s="34">
        <f t="shared" si="18"/>
        <v>4</v>
      </c>
      <c r="Y26" s="34">
        <f t="shared" si="18"/>
        <v>32</v>
      </c>
      <c r="Z26" s="34">
        <f t="shared" si="18"/>
        <v>8</v>
      </c>
      <c r="AA26" s="34">
        <f t="shared" si="18"/>
        <v>2</v>
      </c>
      <c r="AB26" s="34">
        <f t="shared" si="18"/>
        <v>6</v>
      </c>
      <c r="AC26" s="34">
        <f t="shared" si="18"/>
        <v>440</v>
      </c>
      <c r="AD26" s="34">
        <f t="shared" si="18"/>
        <v>0</v>
      </c>
      <c r="AE26" s="31">
        <f t="shared" si="18"/>
        <v>507</v>
      </c>
      <c r="AF26" s="31">
        <f t="shared" si="18"/>
        <v>947</v>
      </c>
    </row>
    <row r="27" spans="2:32" ht="23.1" customHeight="1" x14ac:dyDescent="0.25">
      <c r="B27" s="45" t="s">
        <v>54</v>
      </c>
      <c r="C27" s="50">
        <v>90</v>
      </c>
      <c r="D27" s="50">
        <v>11</v>
      </c>
      <c r="E27" s="50">
        <v>10</v>
      </c>
      <c r="F27" s="50">
        <v>48</v>
      </c>
      <c r="G27" s="50">
        <v>1</v>
      </c>
      <c r="H27" s="50">
        <v>0</v>
      </c>
      <c r="I27" s="50">
        <v>14</v>
      </c>
      <c r="J27" s="50">
        <v>1</v>
      </c>
      <c r="K27" s="50">
        <v>0</v>
      </c>
      <c r="L27" s="50">
        <v>7</v>
      </c>
      <c r="M27" s="50">
        <v>126</v>
      </c>
      <c r="N27" s="50">
        <v>0</v>
      </c>
      <c r="O27" s="15">
        <f t="shared" si="0"/>
        <v>182</v>
      </c>
      <c r="P27" s="15">
        <f t="shared" si="1"/>
        <v>308</v>
      </c>
      <c r="R27" s="36" t="s">
        <v>151</v>
      </c>
      <c r="S27" s="34">
        <f>SUM(C78:C81)</f>
        <v>247</v>
      </c>
      <c r="T27" s="34">
        <f t="shared" ref="T27:AF27" si="19">SUM(D78:D81)</f>
        <v>39</v>
      </c>
      <c r="U27" s="34">
        <f t="shared" si="19"/>
        <v>33</v>
      </c>
      <c r="V27" s="34">
        <f t="shared" si="19"/>
        <v>103</v>
      </c>
      <c r="W27" s="34">
        <f t="shared" si="19"/>
        <v>8</v>
      </c>
      <c r="X27" s="34">
        <f t="shared" si="19"/>
        <v>11</v>
      </c>
      <c r="Y27" s="34">
        <f t="shared" si="19"/>
        <v>56</v>
      </c>
      <c r="Z27" s="34">
        <f t="shared" si="19"/>
        <v>25</v>
      </c>
      <c r="AA27" s="34">
        <f t="shared" si="19"/>
        <v>5</v>
      </c>
      <c r="AB27" s="34">
        <f t="shared" si="19"/>
        <v>17</v>
      </c>
      <c r="AC27" s="34">
        <f t="shared" si="19"/>
        <v>197</v>
      </c>
      <c r="AD27" s="34">
        <f t="shared" si="19"/>
        <v>0</v>
      </c>
      <c r="AE27" s="31">
        <f t="shared" si="19"/>
        <v>544</v>
      </c>
      <c r="AF27" s="31">
        <f t="shared" si="19"/>
        <v>741</v>
      </c>
    </row>
    <row r="28" spans="2:32" ht="23.1" customHeight="1" x14ac:dyDescent="0.25">
      <c r="B28" s="45" t="s">
        <v>55</v>
      </c>
      <c r="C28" s="50">
        <v>91</v>
      </c>
      <c r="D28" s="50">
        <v>18</v>
      </c>
      <c r="E28" s="50">
        <v>11</v>
      </c>
      <c r="F28" s="50">
        <v>56</v>
      </c>
      <c r="G28" s="50">
        <v>1</v>
      </c>
      <c r="H28" s="50">
        <v>1</v>
      </c>
      <c r="I28" s="50">
        <v>17</v>
      </c>
      <c r="J28" s="50">
        <v>2</v>
      </c>
      <c r="K28" s="50">
        <v>0</v>
      </c>
      <c r="L28" s="50">
        <v>3</v>
      </c>
      <c r="M28" s="50">
        <v>119</v>
      </c>
      <c r="N28" s="50">
        <v>0</v>
      </c>
      <c r="O28" s="15">
        <f t="shared" si="0"/>
        <v>200</v>
      </c>
      <c r="P28" s="15">
        <f t="shared" si="1"/>
        <v>319</v>
      </c>
      <c r="R28" s="36" t="s">
        <v>152</v>
      </c>
      <c r="S28" s="34">
        <f>SUM(C82:C85)</f>
        <v>81</v>
      </c>
      <c r="T28" s="34">
        <f t="shared" ref="T28:AF28" si="20">SUM(D82:D85)</f>
        <v>11</v>
      </c>
      <c r="U28" s="34">
        <f t="shared" si="20"/>
        <v>4</v>
      </c>
      <c r="V28" s="34">
        <f t="shared" si="20"/>
        <v>41</v>
      </c>
      <c r="W28" s="34">
        <f t="shared" si="20"/>
        <v>3</v>
      </c>
      <c r="X28" s="34">
        <f t="shared" si="20"/>
        <v>2</v>
      </c>
      <c r="Y28" s="34">
        <f t="shared" si="20"/>
        <v>34</v>
      </c>
      <c r="Z28" s="34">
        <f t="shared" si="20"/>
        <v>41</v>
      </c>
      <c r="AA28" s="34">
        <f t="shared" si="20"/>
        <v>7</v>
      </c>
      <c r="AB28" s="34">
        <f t="shared" si="20"/>
        <v>18</v>
      </c>
      <c r="AC28" s="34">
        <f t="shared" si="20"/>
        <v>137</v>
      </c>
      <c r="AD28" s="34">
        <f t="shared" si="20"/>
        <v>0</v>
      </c>
      <c r="AE28" s="31">
        <f t="shared" si="20"/>
        <v>242</v>
      </c>
      <c r="AF28" s="31">
        <f t="shared" si="20"/>
        <v>379</v>
      </c>
    </row>
    <row r="29" spans="2:32" ht="23.1" customHeight="1" x14ac:dyDescent="0.25">
      <c r="B29" s="45" t="s">
        <v>56</v>
      </c>
      <c r="C29" s="50">
        <v>74</v>
      </c>
      <c r="D29" s="50">
        <v>10</v>
      </c>
      <c r="E29" s="50">
        <v>12</v>
      </c>
      <c r="F29" s="50">
        <v>42</v>
      </c>
      <c r="G29" s="50">
        <v>2</v>
      </c>
      <c r="H29" s="50">
        <v>2</v>
      </c>
      <c r="I29" s="50">
        <v>18</v>
      </c>
      <c r="J29" s="50">
        <v>3</v>
      </c>
      <c r="K29" s="50">
        <v>2</v>
      </c>
      <c r="L29" s="50">
        <v>4</v>
      </c>
      <c r="M29" s="50">
        <v>178</v>
      </c>
      <c r="N29" s="50">
        <v>0</v>
      </c>
      <c r="O29" s="15">
        <f t="shared" si="0"/>
        <v>169</v>
      </c>
      <c r="P29" s="15">
        <f t="shared" si="1"/>
        <v>347</v>
      </c>
      <c r="R29" s="36" t="s">
        <v>153</v>
      </c>
      <c r="S29" s="34">
        <f>SUM(C86:C89)</f>
        <v>70</v>
      </c>
      <c r="T29" s="34">
        <f t="shared" ref="T29:AF29" si="21">SUM(D86:D89)</f>
        <v>12</v>
      </c>
      <c r="U29" s="34">
        <f t="shared" si="21"/>
        <v>3</v>
      </c>
      <c r="V29" s="34">
        <f t="shared" si="21"/>
        <v>18</v>
      </c>
      <c r="W29" s="34">
        <f t="shared" si="21"/>
        <v>1</v>
      </c>
      <c r="X29" s="34">
        <f t="shared" si="21"/>
        <v>4</v>
      </c>
      <c r="Y29" s="34">
        <f t="shared" si="21"/>
        <v>29</v>
      </c>
      <c r="Z29" s="34">
        <f t="shared" si="21"/>
        <v>43</v>
      </c>
      <c r="AA29" s="34">
        <f t="shared" si="21"/>
        <v>3</v>
      </c>
      <c r="AB29" s="34">
        <f t="shared" si="21"/>
        <v>7</v>
      </c>
      <c r="AC29" s="34">
        <f t="shared" si="21"/>
        <v>171</v>
      </c>
      <c r="AD29" s="34">
        <f t="shared" si="21"/>
        <v>0</v>
      </c>
      <c r="AE29" s="31">
        <f t="shared" si="21"/>
        <v>190</v>
      </c>
      <c r="AF29" s="31">
        <f t="shared" si="21"/>
        <v>361</v>
      </c>
    </row>
    <row r="30" spans="2:32" ht="23.1" customHeight="1" x14ac:dyDescent="0.25">
      <c r="B30" s="45" t="s">
        <v>57</v>
      </c>
      <c r="C30" s="50">
        <v>105</v>
      </c>
      <c r="D30" s="50">
        <v>15</v>
      </c>
      <c r="E30" s="50">
        <v>10</v>
      </c>
      <c r="F30" s="50">
        <v>50</v>
      </c>
      <c r="G30" s="50">
        <v>0</v>
      </c>
      <c r="H30" s="50">
        <v>2</v>
      </c>
      <c r="I30" s="50">
        <v>11</v>
      </c>
      <c r="J30" s="50">
        <v>6</v>
      </c>
      <c r="K30" s="50">
        <v>1</v>
      </c>
      <c r="L30" s="50">
        <v>3</v>
      </c>
      <c r="M30" s="50">
        <v>168</v>
      </c>
      <c r="N30" s="50">
        <v>0</v>
      </c>
      <c r="O30" s="15">
        <f t="shared" si="0"/>
        <v>203</v>
      </c>
      <c r="P30" s="15">
        <f t="shared" si="1"/>
        <v>371</v>
      </c>
      <c r="R30" s="36" t="s">
        <v>154</v>
      </c>
      <c r="S30" s="34">
        <f>SUM(C90:C93)</f>
        <v>46</v>
      </c>
      <c r="T30" s="34">
        <f t="shared" ref="T30:AF30" si="22">SUM(D90:D93)</f>
        <v>7</v>
      </c>
      <c r="U30" s="34">
        <f t="shared" si="22"/>
        <v>6</v>
      </c>
      <c r="V30" s="34">
        <f t="shared" si="22"/>
        <v>10</v>
      </c>
      <c r="W30" s="34">
        <f t="shared" si="22"/>
        <v>3</v>
      </c>
      <c r="X30" s="34">
        <f t="shared" si="22"/>
        <v>6</v>
      </c>
      <c r="Y30" s="34">
        <f t="shared" si="22"/>
        <v>27</v>
      </c>
      <c r="Z30" s="34">
        <f t="shared" si="22"/>
        <v>40</v>
      </c>
      <c r="AA30" s="34">
        <f t="shared" si="22"/>
        <v>5</v>
      </c>
      <c r="AB30" s="34">
        <f t="shared" si="22"/>
        <v>11</v>
      </c>
      <c r="AC30" s="34">
        <f t="shared" si="22"/>
        <v>137</v>
      </c>
      <c r="AD30" s="34">
        <f t="shared" si="22"/>
        <v>0</v>
      </c>
      <c r="AE30" s="31">
        <f t="shared" si="22"/>
        <v>161</v>
      </c>
      <c r="AF30" s="31">
        <f t="shared" si="22"/>
        <v>298</v>
      </c>
    </row>
    <row r="31" spans="2:32" ht="23.1" customHeight="1" x14ac:dyDescent="0.25">
      <c r="B31" s="46" t="s">
        <v>58</v>
      </c>
      <c r="C31" s="50">
        <v>100</v>
      </c>
      <c r="D31" s="50">
        <v>8</v>
      </c>
      <c r="E31" s="50">
        <v>12</v>
      </c>
      <c r="F31" s="50">
        <v>47</v>
      </c>
      <c r="G31" s="50">
        <v>2</v>
      </c>
      <c r="H31" s="50">
        <v>0</v>
      </c>
      <c r="I31" s="50">
        <v>8</v>
      </c>
      <c r="J31" s="50">
        <v>5</v>
      </c>
      <c r="K31" s="50">
        <v>6</v>
      </c>
      <c r="L31" s="50">
        <v>5</v>
      </c>
      <c r="M31" s="50">
        <v>173</v>
      </c>
      <c r="N31" s="50">
        <v>0</v>
      </c>
      <c r="O31" s="15">
        <f t="shared" si="0"/>
        <v>193</v>
      </c>
      <c r="P31" s="15">
        <f t="shared" si="1"/>
        <v>366</v>
      </c>
      <c r="R31" s="36" t="s">
        <v>155</v>
      </c>
      <c r="S31" s="34">
        <f>SUM(C94:C97)</f>
        <v>45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25</v>
      </c>
      <c r="W31" s="34">
        <f t="shared" si="23"/>
        <v>3</v>
      </c>
      <c r="X31" s="34">
        <f t="shared" si="23"/>
        <v>14</v>
      </c>
      <c r="Y31" s="34">
        <f t="shared" si="23"/>
        <v>21</v>
      </c>
      <c r="Z31" s="34">
        <f t="shared" si="23"/>
        <v>44</v>
      </c>
      <c r="AA31" s="34">
        <f t="shared" si="23"/>
        <v>5</v>
      </c>
      <c r="AB31" s="34">
        <f t="shared" si="23"/>
        <v>6</v>
      </c>
      <c r="AC31" s="34">
        <f t="shared" si="23"/>
        <v>154</v>
      </c>
      <c r="AD31" s="34">
        <f t="shared" si="23"/>
        <v>0</v>
      </c>
      <c r="AE31" s="31">
        <f t="shared" si="23"/>
        <v>165</v>
      </c>
      <c r="AF31" s="31">
        <f t="shared" si="23"/>
        <v>319</v>
      </c>
    </row>
    <row r="32" spans="2:32" ht="23.1" customHeight="1" x14ac:dyDescent="0.25">
      <c r="B32" s="46" t="s">
        <v>59</v>
      </c>
      <c r="C32" s="50">
        <v>84</v>
      </c>
      <c r="D32" s="50">
        <v>8</v>
      </c>
      <c r="E32" s="50">
        <v>14</v>
      </c>
      <c r="F32" s="50">
        <v>53</v>
      </c>
      <c r="G32" s="50">
        <v>1</v>
      </c>
      <c r="H32" s="50">
        <v>2</v>
      </c>
      <c r="I32" s="50">
        <v>13</v>
      </c>
      <c r="J32" s="50">
        <v>1</v>
      </c>
      <c r="K32" s="50">
        <v>2</v>
      </c>
      <c r="L32" s="50">
        <v>8</v>
      </c>
      <c r="M32" s="50">
        <v>162</v>
      </c>
      <c r="N32" s="50">
        <v>0</v>
      </c>
      <c r="O32" s="15">
        <f t="shared" si="0"/>
        <v>186</v>
      </c>
      <c r="P32" s="15">
        <f t="shared" si="1"/>
        <v>348</v>
      </c>
      <c r="R32" s="33" t="s">
        <v>156</v>
      </c>
      <c r="S32" s="34">
        <f>SUM(C98:C101)</f>
        <v>37</v>
      </c>
      <c r="T32" s="34">
        <f t="shared" ref="T32:AF32" si="24">SUM(D98:D101)</f>
        <v>5</v>
      </c>
      <c r="U32" s="34">
        <f t="shared" si="24"/>
        <v>3</v>
      </c>
      <c r="V32" s="34">
        <f t="shared" si="24"/>
        <v>75</v>
      </c>
      <c r="W32" s="34">
        <f t="shared" si="24"/>
        <v>6</v>
      </c>
      <c r="X32" s="34">
        <f t="shared" si="24"/>
        <v>10</v>
      </c>
      <c r="Y32" s="34">
        <f t="shared" si="24"/>
        <v>23</v>
      </c>
      <c r="Z32" s="34">
        <f t="shared" si="24"/>
        <v>34</v>
      </c>
      <c r="AA32" s="34">
        <f t="shared" si="24"/>
        <v>2</v>
      </c>
      <c r="AB32" s="34">
        <f t="shared" si="24"/>
        <v>12</v>
      </c>
      <c r="AC32" s="34">
        <f t="shared" si="24"/>
        <v>146</v>
      </c>
      <c r="AD32" s="34">
        <f t="shared" si="24"/>
        <v>0</v>
      </c>
      <c r="AE32" s="31">
        <f t="shared" si="24"/>
        <v>207</v>
      </c>
      <c r="AF32" s="31">
        <f t="shared" si="24"/>
        <v>353</v>
      </c>
    </row>
    <row r="33" spans="2:32" ht="23.1" customHeight="1" x14ac:dyDescent="0.25">
      <c r="B33" s="45" t="s">
        <v>60</v>
      </c>
      <c r="C33" s="50">
        <v>74</v>
      </c>
      <c r="D33" s="50">
        <v>16</v>
      </c>
      <c r="E33" s="50">
        <v>15</v>
      </c>
      <c r="F33" s="50">
        <v>37</v>
      </c>
      <c r="G33" s="50">
        <v>1</v>
      </c>
      <c r="H33" s="50">
        <v>1</v>
      </c>
      <c r="I33" s="50">
        <v>12</v>
      </c>
      <c r="J33" s="50">
        <v>4</v>
      </c>
      <c r="K33" s="50">
        <v>3</v>
      </c>
      <c r="L33" s="50">
        <v>0</v>
      </c>
      <c r="M33" s="50">
        <v>154</v>
      </c>
      <c r="N33" s="50">
        <v>0</v>
      </c>
      <c r="O33" s="15">
        <f t="shared" si="0"/>
        <v>163</v>
      </c>
      <c r="P33" s="15">
        <f t="shared" si="1"/>
        <v>317</v>
      </c>
      <c r="R33" s="33" t="s">
        <v>157</v>
      </c>
      <c r="S33" s="34">
        <f>SUM(C102:C105)</f>
        <v>99</v>
      </c>
      <c r="T33" s="34">
        <f t="shared" ref="T33:AF33" si="25">SUM(D102:D105)</f>
        <v>10</v>
      </c>
      <c r="U33" s="34">
        <f t="shared" si="25"/>
        <v>5</v>
      </c>
      <c r="V33" s="34">
        <f t="shared" si="25"/>
        <v>145</v>
      </c>
      <c r="W33" s="34">
        <f t="shared" si="25"/>
        <v>3</v>
      </c>
      <c r="X33" s="34">
        <f t="shared" si="25"/>
        <v>5</v>
      </c>
      <c r="Y33" s="34">
        <f t="shared" si="25"/>
        <v>37</v>
      </c>
      <c r="Z33" s="34">
        <f t="shared" si="25"/>
        <v>28</v>
      </c>
      <c r="AA33" s="34">
        <f t="shared" si="25"/>
        <v>3</v>
      </c>
      <c r="AB33" s="34">
        <f t="shared" si="25"/>
        <v>10</v>
      </c>
      <c r="AC33" s="34">
        <f t="shared" si="25"/>
        <v>534</v>
      </c>
      <c r="AD33" s="34">
        <f t="shared" si="25"/>
        <v>0</v>
      </c>
      <c r="AE33" s="31">
        <f t="shared" si="25"/>
        <v>345</v>
      </c>
      <c r="AF33" s="31">
        <f t="shared" si="25"/>
        <v>879</v>
      </c>
    </row>
    <row r="34" spans="2:32" ht="23.1" customHeight="1" x14ac:dyDescent="0.25">
      <c r="B34" s="46" t="s">
        <v>61</v>
      </c>
      <c r="C34" s="50">
        <v>65</v>
      </c>
      <c r="D34" s="50">
        <v>1</v>
      </c>
      <c r="E34" s="50">
        <v>11</v>
      </c>
      <c r="F34" s="50">
        <v>40</v>
      </c>
      <c r="G34" s="50">
        <v>0</v>
      </c>
      <c r="H34" s="50">
        <v>1</v>
      </c>
      <c r="I34" s="50">
        <v>15</v>
      </c>
      <c r="J34" s="50">
        <v>3</v>
      </c>
      <c r="K34" s="50">
        <v>0</v>
      </c>
      <c r="L34" s="50">
        <v>4</v>
      </c>
      <c r="M34" s="50">
        <v>92</v>
      </c>
      <c r="N34" s="50">
        <v>0</v>
      </c>
      <c r="O34" s="15">
        <f t="shared" si="0"/>
        <v>140</v>
      </c>
      <c r="P34" s="15">
        <f t="shared" si="1"/>
        <v>232</v>
      </c>
      <c r="R34" s="38" t="s">
        <v>90</v>
      </c>
      <c r="S34" s="39">
        <f t="shared" ref="S34:AF34" si="26">MAX(S10:S12)</f>
        <v>418</v>
      </c>
      <c r="T34" s="39">
        <f t="shared" si="26"/>
        <v>37</v>
      </c>
      <c r="U34" s="39">
        <f t="shared" si="26"/>
        <v>42</v>
      </c>
      <c r="V34" s="39">
        <f t="shared" si="26"/>
        <v>268</v>
      </c>
      <c r="W34" s="39">
        <f t="shared" si="26"/>
        <v>17</v>
      </c>
      <c r="X34" s="39">
        <f t="shared" si="26"/>
        <v>8</v>
      </c>
      <c r="Y34" s="39">
        <f t="shared" si="26"/>
        <v>71</v>
      </c>
      <c r="Z34" s="39">
        <f t="shared" si="26"/>
        <v>24</v>
      </c>
      <c r="AA34" s="39">
        <f t="shared" si="26"/>
        <v>4</v>
      </c>
      <c r="AB34" s="39">
        <f t="shared" si="26"/>
        <v>11</v>
      </c>
      <c r="AC34" s="39">
        <f t="shared" si="26"/>
        <v>1333</v>
      </c>
      <c r="AD34" s="39">
        <f t="shared" si="26"/>
        <v>0</v>
      </c>
      <c r="AE34" s="40">
        <f t="shared" si="26"/>
        <v>859</v>
      </c>
      <c r="AF34" s="40">
        <f t="shared" si="26"/>
        <v>2159</v>
      </c>
    </row>
    <row r="35" spans="2:32" ht="23.1" customHeight="1" x14ac:dyDescent="0.25">
      <c r="B35" s="46" t="s">
        <v>62</v>
      </c>
      <c r="C35" s="50">
        <v>70</v>
      </c>
      <c r="D35" s="50">
        <v>9</v>
      </c>
      <c r="E35" s="50">
        <v>13</v>
      </c>
      <c r="F35" s="50">
        <v>28</v>
      </c>
      <c r="G35" s="50">
        <v>2</v>
      </c>
      <c r="H35" s="50">
        <v>1</v>
      </c>
      <c r="I35" s="50">
        <v>23</v>
      </c>
      <c r="J35" s="50">
        <v>1</v>
      </c>
      <c r="K35" s="50">
        <v>0</v>
      </c>
      <c r="L35" s="50">
        <v>4</v>
      </c>
      <c r="M35" s="50">
        <v>102</v>
      </c>
      <c r="N35" s="50">
        <v>0</v>
      </c>
      <c r="O35" s="15">
        <f t="shared" si="0"/>
        <v>151</v>
      </c>
      <c r="P35" s="15">
        <f t="shared" si="1"/>
        <v>253</v>
      </c>
      <c r="R35" s="38" t="s">
        <v>91</v>
      </c>
      <c r="S35" s="39">
        <f t="shared" ref="S35:AF35" si="27">MAX(S13:S18)</f>
        <v>451</v>
      </c>
      <c r="T35" s="39">
        <f t="shared" si="27"/>
        <v>59</v>
      </c>
      <c r="U35" s="39">
        <f t="shared" si="27"/>
        <v>51</v>
      </c>
      <c r="V35" s="39">
        <f t="shared" si="27"/>
        <v>206</v>
      </c>
      <c r="W35" s="39">
        <f t="shared" si="27"/>
        <v>11</v>
      </c>
      <c r="X35" s="39">
        <f t="shared" si="27"/>
        <v>6</v>
      </c>
      <c r="Y35" s="39">
        <f t="shared" si="27"/>
        <v>77</v>
      </c>
      <c r="Z35" s="39">
        <f t="shared" si="27"/>
        <v>20</v>
      </c>
      <c r="AA35" s="39">
        <f t="shared" si="27"/>
        <v>12</v>
      </c>
      <c r="AB35" s="39">
        <f t="shared" si="27"/>
        <v>16</v>
      </c>
      <c r="AC35" s="39">
        <f t="shared" si="27"/>
        <v>849</v>
      </c>
      <c r="AD35" s="39">
        <f t="shared" si="27"/>
        <v>0</v>
      </c>
      <c r="AE35" s="40">
        <f t="shared" si="27"/>
        <v>872</v>
      </c>
      <c r="AF35" s="40">
        <f t="shared" si="27"/>
        <v>1721</v>
      </c>
    </row>
    <row r="36" spans="2:32" ht="23.1" customHeight="1" x14ac:dyDescent="0.25">
      <c r="B36" s="46" t="s">
        <v>63</v>
      </c>
      <c r="C36" s="50">
        <v>63</v>
      </c>
      <c r="D36" s="50">
        <v>7</v>
      </c>
      <c r="E36" s="50">
        <v>13</v>
      </c>
      <c r="F36" s="50">
        <v>47</v>
      </c>
      <c r="G36" s="50">
        <v>5</v>
      </c>
      <c r="H36" s="50">
        <v>2</v>
      </c>
      <c r="I36" s="50">
        <v>11</v>
      </c>
      <c r="J36" s="50">
        <v>8</v>
      </c>
      <c r="K36" s="50">
        <v>2</v>
      </c>
      <c r="L36" s="50">
        <v>5</v>
      </c>
      <c r="M36" s="50">
        <v>152</v>
      </c>
      <c r="N36" s="50">
        <v>0</v>
      </c>
      <c r="O36" s="15">
        <f t="shared" si="0"/>
        <v>163</v>
      </c>
      <c r="P36" s="15">
        <f t="shared" si="1"/>
        <v>315</v>
      </c>
      <c r="R36" s="38" t="s">
        <v>92</v>
      </c>
      <c r="S36" s="39">
        <f t="shared" ref="S36:AF36" si="28">MAX(S19:S21)</f>
        <v>400</v>
      </c>
      <c r="T36" s="39">
        <f t="shared" si="28"/>
        <v>79</v>
      </c>
      <c r="U36" s="39">
        <f t="shared" si="28"/>
        <v>55</v>
      </c>
      <c r="V36" s="39">
        <f t="shared" si="28"/>
        <v>173</v>
      </c>
      <c r="W36" s="39">
        <f t="shared" si="28"/>
        <v>9</v>
      </c>
      <c r="X36" s="39">
        <f t="shared" si="28"/>
        <v>9</v>
      </c>
      <c r="Y36" s="39">
        <f t="shared" si="28"/>
        <v>64</v>
      </c>
      <c r="Z36" s="39">
        <f t="shared" si="28"/>
        <v>22</v>
      </c>
      <c r="AA36" s="39">
        <f t="shared" si="28"/>
        <v>6</v>
      </c>
      <c r="AB36" s="39">
        <f t="shared" si="28"/>
        <v>19</v>
      </c>
      <c r="AC36" s="39">
        <f t="shared" si="28"/>
        <v>745</v>
      </c>
      <c r="AD36" s="39">
        <f t="shared" si="28"/>
        <v>0</v>
      </c>
      <c r="AE36" s="40">
        <f t="shared" si="28"/>
        <v>776</v>
      </c>
      <c r="AF36" s="40">
        <f t="shared" si="28"/>
        <v>1426</v>
      </c>
    </row>
    <row r="37" spans="2:32" ht="23.1" customHeight="1" x14ac:dyDescent="0.25">
      <c r="B37" s="45" t="s">
        <v>64</v>
      </c>
      <c r="C37" s="50">
        <v>51</v>
      </c>
      <c r="D37" s="50">
        <v>11</v>
      </c>
      <c r="E37" s="50">
        <v>12</v>
      </c>
      <c r="F37" s="50">
        <v>26</v>
      </c>
      <c r="G37" s="50">
        <v>1</v>
      </c>
      <c r="H37" s="50">
        <v>2</v>
      </c>
      <c r="I37" s="50">
        <v>9</v>
      </c>
      <c r="J37" s="50">
        <v>1</v>
      </c>
      <c r="K37" s="50">
        <v>0</v>
      </c>
      <c r="L37" s="50">
        <v>2</v>
      </c>
      <c r="M37" s="50">
        <v>154</v>
      </c>
      <c r="N37" s="50">
        <v>0</v>
      </c>
      <c r="O37" s="15">
        <f t="shared" si="0"/>
        <v>115</v>
      </c>
      <c r="P37" s="15">
        <f t="shared" si="1"/>
        <v>269</v>
      </c>
      <c r="R37" s="37" t="s">
        <v>85</v>
      </c>
      <c r="S37" s="35">
        <f t="shared" ref="S37:AF37" si="29">SUM(S10:S12)</f>
        <v>1222</v>
      </c>
      <c r="T37" s="16">
        <f t="shared" si="29"/>
        <v>97</v>
      </c>
      <c r="U37" s="16">
        <f t="shared" si="29"/>
        <v>110</v>
      </c>
      <c r="V37" s="16">
        <f t="shared" si="29"/>
        <v>688</v>
      </c>
      <c r="W37" s="16">
        <f t="shared" si="29"/>
        <v>37</v>
      </c>
      <c r="X37" s="16">
        <f t="shared" si="29"/>
        <v>18</v>
      </c>
      <c r="Y37" s="16">
        <f t="shared" si="29"/>
        <v>197</v>
      </c>
      <c r="Z37" s="16">
        <f t="shared" si="29"/>
        <v>63</v>
      </c>
      <c r="AA37" s="16">
        <f t="shared" si="29"/>
        <v>11</v>
      </c>
      <c r="AB37" s="16">
        <f t="shared" si="29"/>
        <v>23</v>
      </c>
      <c r="AC37" s="16">
        <f t="shared" si="29"/>
        <v>3498</v>
      </c>
      <c r="AD37" s="16">
        <f t="shared" si="29"/>
        <v>0</v>
      </c>
      <c r="AE37" s="32">
        <f t="shared" si="29"/>
        <v>2466</v>
      </c>
      <c r="AF37" s="32">
        <f t="shared" si="29"/>
        <v>5964</v>
      </c>
    </row>
    <row r="38" spans="2:32" ht="23.1" customHeight="1" x14ac:dyDescent="0.25">
      <c r="B38" s="46" t="s">
        <v>65</v>
      </c>
      <c r="C38" s="50">
        <v>66</v>
      </c>
      <c r="D38" s="50">
        <v>11</v>
      </c>
      <c r="E38" s="50">
        <v>9</v>
      </c>
      <c r="F38" s="50">
        <v>30</v>
      </c>
      <c r="G38" s="50">
        <v>2</v>
      </c>
      <c r="H38" s="50">
        <v>0</v>
      </c>
      <c r="I38" s="50">
        <v>21</v>
      </c>
      <c r="J38" s="50">
        <v>2</v>
      </c>
      <c r="K38" s="50">
        <v>1</v>
      </c>
      <c r="L38" s="50">
        <v>3</v>
      </c>
      <c r="M38" s="50">
        <v>144</v>
      </c>
      <c r="N38" s="50">
        <v>0</v>
      </c>
      <c r="O38" s="15">
        <f t="shared" si="0"/>
        <v>145</v>
      </c>
      <c r="P38" s="15">
        <f t="shared" si="1"/>
        <v>289</v>
      </c>
      <c r="R38" s="28" t="s">
        <v>86</v>
      </c>
      <c r="S38" s="16">
        <f t="shared" ref="S38:AF38" si="30">SUM(S13:S18)</f>
        <v>2048</v>
      </c>
      <c r="T38" s="16">
        <f t="shared" si="30"/>
        <v>265</v>
      </c>
      <c r="U38" s="16">
        <f t="shared" si="30"/>
        <v>290</v>
      </c>
      <c r="V38" s="16">
        <f t="shared" si="30"/>
        <v>1017</v>
      </c>
      <c r="W38" s="16">
        <f t="shared" si="30"/>
        <v>34</v>
      </c>
      <c r="X38" s="16">
        <f t="shared" si="30"/>
        <v>26</v>
      </c>
      <c r="Y38" s="16">
        <f t="shared" si="30"/>
        <v>357</v>
      </c>
      <c r="Z38" s="16">
        <f t="shared" si="30"/>
        <v>80</v>
      </c>
      <c r="AA38" s="16">
        <f t="shared" si="30"/>
        <v>28</v>
      </c>
      <c r="AB38" s="16">
        <f t="shared" si="30"/>
        <v>86</v>
      </c>
      <c r="AC38" s="16">
        <f t="shared" si="30"/>
        <v>3508</v>
      </c>
      <c r="AD38" s="16">
        <f t="shared" si="30"/>
        <v>0</v>
      </c>
      <c r="AE38" s="32">
        <f t="shared" si="30"/>
        <v>4231</v>
      </c>
      <c r="AF38" s="32">
        <f t="shared" si="30"/>
        <v>7739</v>
      </c>
    </row>
    <row r="39" spans="2:32" ht="23.1" customHeight="1" x14ac:dyDescent="0.25">
      <c r="B39" s="46" t="s">
        <v>66</v>
      </c>
      <c r="C39" s="50">
        <v>73</v>
      </c>
      <c r="D39" s="50">
        <v>11</v>
      </c>
      <c r="E39" s="50">
        <v>14</v>
      </c>
      <c r="F39" s="50">
        <v>35</v>
      </c>
      <c r="G39" s="50">
        <v>0</v>
      </c>
      <c r="H39" s="50">
        <v>2</v>
      </c>
      <c r="I39" s="50">
        <v>14</v>
      </c>
      <c r="J39" s="50">
        <v>6</v>
      </c>
      <c r="K39" s="50">
        <v>0</v>
      </c>
      <c r="L39" s="50">
        <v>5</v>
      </c>
      <c r="M39" s="50">
        <v>96</v>
      </c>
      <c r="N39" s="50">
        <v>0</v>
      </c>
      <c r="O39" s="15">
        <f t="shared" si="0"/>
        <v>160</v>
      </c>
      <c r="P39" s="15">
        <f t="shared" si="1"/>
        <v>256</v>
      </c>
      <c r="R39" s="29" t="s">
        <v>87</v>
      </c>
      <c r="S39" s="16">
        <f t="shared" ref="S39:AF39" si="31">SUM(S19:S21)</f>
        <v>1129</v>
      </c>
      <c r="T39" s="16">
        <f t="shared" si="31"/>
        <v>162</v>
      </c>
      <c r="U39" s="16">
        <f t="shared" si="31"/>
        <v>134</v>
      </c>
      <c r="V39" s="16">
        <f t="shared" si="31"/>
        <v>472</v>
      </c>
      <c r="W39" s="16">
        <f t="shared" si="31"/>
        <v>20</v>
      </c>
      <c r="X39" s="16">
        <f t="shared" si="31"/>
        <v>22</v>
      </c>
      <c r="Y39" s="16">
        <f t="shared" si="31"/>
        <v>161</v>
      </c>
      <c r="Z39" s="16">
        <f t="shared" si="31"/>
        <v>52</v>
      </c>
      <c r="AA39" s="16">
        <f t="shared" si="31"/>
        <v>11</v>
      </c>
      <c r="AB39" s="16">
        <f t="shared" si="31"/>
        <v>46</v>
      </c>
      <c r="AC39" s="16">
        <f t="shared" si="31"/>
        <v>1610</v>
      </c>
      <c r="AD39" s="16">
        <f t="shared" si="31"/>
        <v>0</v>
      </c>
      <c r="AE39" s="32">
        <f t="shared" si="31"/>
        <v>2209</v>
      </c>
      <c r="AF39" s="32">
        <f t="shared" si="31"/>
        <v>3819</v>
      </c>
    </row>
    <row r="40" spans="2:32" ht="23.1" customHeight="1" x14ac:dyDescent="0.25">
      <c r="B40" s="46" t="s">
        <v>67</v>
      </c>
      <c r="C40" s="50">
        <v>98</v>
      </c>
      <c r="D40" s="50">
        <v>10</v>
      </c>
      <c r="E40" s="50">
        <v>12</v>
      </c>
      <c r="F40" s="50">
        <v>51</v>
      </c>
      <c r="G40" s="50">
        <v>1</v>
      </c>
      <c r="H40" s="50">
        <v>2</v>
      </c>
      <c r="I40" s="50">
        <v>10</v>
      </c>
      <c r="J40" s="50">
        <v>6</v>
      </c>
      <c r="K40" s="50">
        <v>2</v>
      </c>
      <c r="L40" s="50">
        <v>4</v>
      </c>
      <c r="M40" s="50">
        <v>114</v>
      </c>
      <c r="N40" s="50">
        <v>0</v>
      </c>
      <c r="O40" s="15">
        <f t="shared" si="0"/>
        <v>196</v>
      </c>
      <c r="P40" s="15">
        <f t="shared" si="1"/>
        <v>310</v>
      </c>
      <c r="R40" s="5" t="s">
        <v>17</v>
      </c>
      <c r="S40" s="16">
        <f t="shared" ref="S40:AF40" si="32">SUM(S10:S21)</f>
        <v>4399</v>
      </c>
      <c r="T40" s="16">
        <f t="shared" si="32"/>
        <v>524</v>
      </c>
      <c r="U40" s="16">
        <f t="shared" si="32"/>
        <v>534</v>
      </c>
      <c r="V40" s="16">
        <f t="shared" si="32"/>
        <v>2177</v>
      </c>
      <c r="W40" s="16">
        <f t="shared" si="32"/>
        <v>91</v>
      </c>
      <c r="X40" s="16">
        <f t="shared" si="32"/>
        <v>66</v>
      </c>
      <c r="Y40" s="16">
        <f t="shared" si="32"/>
        <v>715</v>
      </c>
      <c r="Z40" s="16">
        <f t="shared" si="32"/>
        <v>195</v>
      </c>
      <c r="AA40" s="16">
        <f t="shared" si="32"/>
        <v>50</v>
      </c>
      <c r="AB40" s="16">
        <f t="shared" si="32"/>
        <v>155</v>
      </c>
      <c r="AC40" s="16">
        <f t="shared" si="32"/>
        <v>8616</v>
      </c>
      <c r="AD40" s="16">
        <f t="shared" si="32"/>
        <v>0</v>
      </c>
      <c r="AE40" s="32">
        <f t="shared" si="32"/>
        <v>8906</v>
      </c>
      <c r="AF40" s="32">
        <f t="shared" si="32"/>
        <v>17522</v>
      </c>
    </row>
    <row r="41" spans="2:32" ht="23.1" customHeight="1" x14ac:dyDescent="0.25">
      <c r="B41" s="45" t="s">
        <v>68</v>
      </c>
      <c r="C41" s="50">
        <v>81</v>
      </c>
      <c r="D41" s="50">
        <v>7</v>
      </c>
      <c r="E41" s="50">
        <v>9</v>
      </c>
      <c r="F41" s="50">
        <v>28</v>
      </c>
      <c r="G41" s="50">
        <v>2</v>
      </c>
      <c r="H41" s="50">
        <v>0</v>
      </c>
      <c r="I41" s="50">
        <v>15</v>
      </c>
      <c r="J41" s="50">
        <v>6</v>
      </c>
      <c r="K41" s="50">
        <v>1</v>
      </c>
      <c r="L41" s="50">
        <v>2</v>
      </c>
      <c r="M41" s="50">
        <v>114</v>
      </c>
      <c r="N41" s="50">
        <v>0</v>
      </c>
      <c r="O41" s="15">
        <f t="shared" si="0"/>
        <v>151</v>
      </c>
      <c r="P41" s="15">
        <f t="shared" si="1"/>
        <v>265</v>
      </c>
      <c r="R41" s="5" t="s">
        <v>159</v>
      </c>
      <c r="S41" s="16">
        <f>SUM(S10:S33)</f>
        <v>6391</v>
      </c>
      <c r="T41" s="16">
        <f t="shared" ref="T41:AF41" si="33">SUM(T10:T33)</f>
        <v>814</v>
      </c>
      <c r="U41" s="16">
        <f t="shared" si="33"/>
        <v>705</v>
      </c>
      <c r="V41" s="16">
        <f t="shared" si="33"/>
        <v>3344</v>
      </c>
      <c r="W41" s="16">
        <f t="shared" si="33"/>
        <v>170</v>
      </c>
      <c r="X41" s="16">
        <f t="shared" si="33"/>
        <v>142</v>
      </c>
      <c r="Y41" s="16">
        <f t="shared" si="33"/>
        <v>1138</v>
      </c>
      <c r="Z41" s="16">
        <f t="shared" si="33"/>
        <v>515</v>
      </c>
      <c r="AA41" s="16">
        <f t="shared" si="33"/>
        <v>97</v>
      </c>
      <c r="AB41" s="16">
        <f t="shared" si="33"/>
        <v>280</v>
      </c>
      <c r="AC41" s="16">
        <f t="shared" si="33"/>
        <v>15030</v>
      </c>
      <c r="AD41" s="16">
        <f t="shared" si="33"/>
        <v>0</v>
      </c>
      <c r="AE41" s="32">
        <f t="shared" si="33"/>
        <v>13596</v>
      </c>
      <c r="AF41" s="32">
        <f t="shared" si="33"/>
        <v>28626</v>
      </c>
    </row>
    <row r="42" spans="2:32" ht="23.1" customHeight="1" x14ac:dyDescent="0.25">
      <c r="B42" s="46" t="s">
        <v>69</v>
      </c>
      <c r="C42" s="50">
        <v>61</v>
      </c>
      <c r="D42" s="50">
        <v>11</v>
      </c>
      <c r="E42" s="50">
        <v>13</v>
      </c>
      <c r="F42" s="50">
        <v>29</v>
      </c>
      <c r="G42" s="50">
        <v>0</v>
      </c>
      <c r="H42" s="50">
        <v>0</v>
      </c>
      <c r="I42" s="50">
        <v>23</v>
      </c>
      <c r="J42" s="50">
        <v>3</v>
      </c>
      <c r="K42" s="50">
        <v>2</v>
      </c>
      <c r="L42" s="50">
        <v>3</v>
      </c>
      <c r="M42" s="50">
        <v>140</v>
      </c>
      <c r="N42" s="50">
        <v>0</v>
      </c>
      <c r="O42" s="15">
        <f t="shared" si="0"/>
        <v>145</v>
      </c>
      <c r="P42" s="15">
        <f t="shared" si="1"/>
        <v>285</v>
      </c>
      <c r="R42" s="5" t="s">
        <v>160</v>
      </c>
      <c r="S42" s="48">
        <f>S41/S40</f>
        <v>1.4528301886792452</v>
      </c>
      <c r="T42" s="48">
        <f t="shared" ref="T42:AF42" si="34">T41/T40</f>
        <v>1.5534351145038168</v>
      </c>
      <c r="U42" s="48">
        <f t="shared" si="34"/>
        <v>1.3202247191011236</v>
      </c>
      <c r="V42" s="48">
        <f t="shared" si="34"/>
        <v>1.5360587965089574</v>
      </c>
      <c r="W42" s="48">
        <f t="shared" si="34"/>
        <v>1.8681318681318682</v>
      </c>
      <c r="X42" s="48">
        <f t="shared" si="34"/>
        <v>2.1515151515151514</v>
      </c>
      <c r="Y42" s="48">
        <f t="shared" si="34"/>
        <v>1.5916083916083916</v>
      </c>
      <c r="Z42" s="48">
        <f t="shared" si="34"/>
        <v>2.641025641025641</v>
      </c>
      <c r="AA42" s="48">
        <f t="shared" si="34"/>
        <v>1.94</v>
      </c>
      <c r="AB42" s="48">
        <f t="shared" si="34"/>
        <v>1.8064516129032258</v>
      </c>
      <c r="AC42" s="48">
        <f t="shared" si="34"/>
        <v>1.7444289693593316</v>
      </c>
      <c r="AD42" s="48" t="e">
        <f t="shared" si="34"/>
        <v>#DIV/0!</v>
      </c>
      <c r="AE42" s="48">
        <f t="shared" si="34"/>
        <v>1.5266112732988997</v>
      </c>
      <c r="AF42" s="48">
        <f t="shared" si="34"/>
        <v>1.6337176121447323</v>
      </c>
    </row>
    <row r="43" spans="2:32" ht="23.1" customHeight="1" x14ac:dyDescent="0.25">
      <c r="B43" s="45" t="s">
        <v>70</v>
      </c>
      <c r="C43" s="50">
        <v>76</v>
      </c>
      <c r="D43" s="50">
        <v>9</v>
      </c>
      <c r="E43" s="50">
        <v>15</v>
      </c>
      <c r="F43" s="50">
        <v>37</v>
      </c>
      <c r="G43" s="50">
        <v>0</v>
      </c>
      <c r="H43" s="50">
        <v>1</v>
      </c>
      <c r="I43" s="50">
        <v>3</v>
      </c>
      <c r="J43" s="50">
        <v>3</v>
      </c>
      <c r="K43" s="50">
        <v>2</v>
      </c>
      <c r="L43" s="50">
        <v>1</v>
      </c>
      <c r="M43" s="50">
        <v>88</v>
      </c>
      <c r="N43" s="50">
        <v>0</v>
      </c>
      <c r="O43" s="15">
        <f t="shared" si="0"/>
        <v>147</v>
      </c>
      <c r="P43" s="15">
        <f t="shared" si="1"/>
        <v>235</v>
      </c>
    </row>
    <row r="44" spans="2:32" ht="23.1" customHeight="1" x14ac:dyDescent="0.25">
      <c r="B44" s="47" t="s">
        <v>71</v>
      </c>
      <c r="C44" s="50">
        <v>83</v>
      </c>
      <c r="D44" s="50">
        <v>12</v>
      </c>
      <c r="E44" s="50">
        <v>13</v>
      </c>
      <c r="F44" s="50">
        <v>42</v>
      </c>
      <c r="G44" s="50">
        <v>0</v>
      </c>
      <c r="H44" s="50">
        <v>0</v>
      </c>
      <c r="I44" s="50">
        <v>11</v>
      </c>
      <c r="J44" s="50">
        <v>2</v>
      </c>
      <c r="K44" s="50">
        <v>1</v>
      </c>
      <c r="L44" s="50">
        <v>5</v>
      </c>
      <c r="M44" s="50">
        <v>125</v>
      </c>
      <c r="N44" s="50">
        <v>0</v>
      </c>
      <c r="O44" s="15">
        <f t="shared" si="0"/>
        <v>169</v>
      </c>
      <c r="P44" s="15">
        <f t="shared" si="1"/>
        <v>294</v>
      </c>
    </row>
    <row r="45" spans="2:32" ht="23.1" customHeight="1" x14ac:dyDescent="0.25">
      <c r="B45" s="45" t="s">
        <v>72</v>
      </c>
      <c r="C45" s="50">
        <v>72</v>
      </c>
      <c r="D45" s="50">
        <v>10</v>
      </c>
      <c r="E45" s="50">
        <v>9</v>
      </c>
      <c r="F45" s="50">
        <v>38</v>
      </c>
      <c r="G45" s="50">
        <v>1</v>
      </c>
      <c r="H45" s="50">
        <v>4</v>
      </c>
      <c r="I45" s="50">
        <v>11</v>
      </c>
      <c r="J45" s="50">
        <v>2</v>
      </c>
      <c r="K45" s="50">
        <v>1</v>
      </c>
      <c r="L45" s="50">
        <v>4</v>
      </c>
      <c r="M45" s="50">
        <v>90</v>
      </c>
      <c r="N45" s="50">
        <v>0</v>
      </c>
      <c r="O45" s="15">
        <f t="shared" si="0"/>
        <v>152</v>
      </c>
      <c r="P45" s="15">
        <f t="shared" si="1"/>
        <v>242</v>
      </c>
    </row>
    <row r="46" spans="2:32" ht="23.1" customHeight="1" x14ac:dyDescent="0.25">
      <c r="B46" s="46" t="s">
        <v>73</v>
      </c>
      <c r="C46" s="50">
        <v>71</v>
      </c>
      <c r="D46" s="50">
        <v>8</v>
      </c>
      <c r="E46" s="50">
        <v>13</v>
      </c>
      <c r="F46" s="50">
        <v>35</v>
      </c>
      <c r="G46" s="50">
        <v>1</v>
      </c>
      <c r="H46" s="50">
        <v>5</v>
      </c>
      <c r="I46" s="50">
        <v>23</v>
      </c>
      <c r="J46" s="50">
        <v>5</v>
      </c>
      <c r="K46" s="50">
        <v>3</v>
      </c>
      <c r="L46" s="50">
        <v>8</v>
      </c>
      <c r="M46" s="50">
        <v>95</v>
      </c>
      <c r="N46" s="50">
        <v>0</v>
      </c>
      <c r="O46" s="15">
        <f t="shared" si="0"/>
        <v>172</v>
      </c>
      <c r="P46" s="15">
        <f t="shared" si="1"/>
        <v>267</v>
      </c>
      <c r="R46" s="8"/>
      <c r="T46"/>
    </row>
    <row r="47" spans="2:32" ht="23.1" customHeight="1" x14ac:dyDescent="0.25">
      <c r="B47" s="46" t="s">
        <v>74</v>
      </c>
      <c r="C47" s="50">
        <v>95</v>
      </c>
      <c r="D47" s="50">
        <v>13</v>
      </c>
      <c r="E47" s="50">
        <v>12</v>
      </c>
      <c r="F47" s="50">
        <v>40</v>
      </c>
      <c r="G47" s="50">
        <v>4</v>
      </c>
      <c r="H47" s="50">
        <v>1</v>
      </c>
      <c r="I47" s="50">
        <v>16</v>
      </c>
      <c r="J47" s="50">
        <v>4</v>
      </c>
      <c r="K47" s="50">
        <v>1</v>
      </c>
      <c r="L47" s="50">
        <v>3</v>
      </c>
      <c r="M47" s="50">
        <v>110</v>
      </c>
      <c r="N47" s="50">
        <v>0</v>
      </c>
      <c r="O47" s="15">
        <f t="shared" si="0"/>
        <v>189</v>
      </c>
      <c r="P47" s="15">
        <f t="shared" si="1"/>
        <v>299</v>
      </c>
      <c r="R47" s="8"/>
      <c r="T47"/>
    </row>
    <row r="48" spans="2:32" ht="23.1" customHeight="1" x14ac:dyDescent="0.25">
      <c r="B48" s="46" t="s">
        <v>75</v>
      </c>
      <c r="C48" s="50">
        <v>91</v>
      </c>
      <c r="D48" s="50">
        <v>11</v>
      </c>
      <c r="E48" s="50">
        <v>17</v>
      </c>
      <c r="F48" s="50">
        <v>38</v>
      </c>
      <c r="G48" s="50">
        <v>0</v>
      </c>
      <c r="H48" s="50">
        <v>2</v>
      </c>
      <c r="I48" s="50">
        <v>14</v>
      </c>
      <c r="J48" s="50">
        <v>6</v>
      </c>
      <c r="K48" s="50">
        <v>1</v>
      </c>
      <c r="L48" s="50">
        <v>4</v>
      </c>
      <c r="M48" s="50">
        <v>115</v>
      </c>
      <c r="N48" s="50">
        <v>0</v>
      </c>
      <c r="O48" s="15">
        <f t="shared" si="0"/>
        <v>184</v>
      </c>
      <c r="P48" s="15">
        <f t="shared" si="1"/>
        <v>299</v>
      </c>
      <c r="R48" s="8"/>
      <c r="T48"/>
    </row>
    <row r="49" spans="2:20" ht="23.1" customHeight="1" x14ac:dyDescent="0.25">
      <c r="B49" s="45" t="s">
        <v>76</v>
      </c>
      <c r="C49" s="50">
        <v>100</v>
      </c>
      <c r="D49" s="50">
        <v>14</v>
      </c>
      <c r="E49" s="50">
        <v>12</v>
      </c>
      <c r="F49" s="50">
        <v>60</v>
      </c>
      <c r="G49" s="50">
        <v>0</v>
      </c>
      <c r="H49" s="50">
        <v>1</v>
      </c>
      <c r="I49" s="50">
        <v>11</v>
      </c>
      <c r="J49" s="50">
        <v>4</v>
      </c>
      <c r="K49" s="50">
        <v>1</v>
      </c>
      <c r="L49" s="50">
        <v>4</v>
      </c>
      <c r="M49" s="50">
        <v>115</v>
      </c>
      <c r="N49" s="50">
        <v>0</v>
      </c>
      <c r="O49" s="15">
        <f t="shared" si="0"/>
        <v>207</v>
      </c>
      <c r="P49" s="15">
        <f t="shared" si="1"/>
        <v>322</v>
      </c>
      <c r="R49" s="8"/>
      <c r="T49"/>
    </row>
    <row r="50" spans="2:20" ht="23.1" customHeight="1" x14ac:dyDescent="0.25">
      <c r="B50" s="46" t="s">
        <v>77</v>
      </c>
      <c r="C50" s="50">
        <v>102</v>
      </c>
      <c r="D50" s="50">
        <v>24</v>
      </c>
      <c r="E50" s="50">
        <v>20</v>
      </c>
      <c r="F50" s="50">
        <v>45</v>
      </c>
      <c r="G50" s="50">
        <v>1</v>
      </c>
      <c r="H50" s="50">
        <v>0</v>
      </c>
      <c r="I50" s="50">
        <v>10</v>
      </c>
      <c r="J50" s="50">
        <v>4</v>
      </c>
      <c r="K50" s="50">
        <v>2</v>
      </c>
      <c r="L50" s="50">
        <v>1</v>
      </c>
      <c r="M50" s="50">
        <v>110</v>
      </c>
      <c r="N50" s="50">
        <v>0</v>
      </c>
      <c r="O50" s="15">
        <f t="shared" si="0"/>
        <v>209</v>
      </c>
      <c r="P50" s="15">
        <f t="shared" si="1"/>
        <v>319</v>
      </c>
      <c r="R50" s="8"/>
      <c r="T50"/>
    </row>
    <row r="51" spans="2:20" ht="23.1" customHeight="1" x14ac:dyDescent="0.25">
      <c r="B51" s="46" t="s">
        <v>78</v>
      </c>
      <c r="C51" s="50">
        <v>71</v>
      </c>
      <c r="D51" s="50">
        <v>12</v>
      </c>
      <c r="E51" s="50">
        <v>12</v>
      </c>
      <c r="F51" s="50">
        <v>22</v>
      </c>
      <c r="G51" s="50">
        <v>1</v>
      </c>
      <c r="H51" s="50">
        <v>2</v>
      </c>
      <c r="I51" s="50">
        <v>14</v>
      </c>
      <c r="J51" s="50">
        <v>8</v>
      </c>
      <c r="K51" s="50">
        <v>0</v>
      </c>
      <c r="L51" s="50">
        <v>3</v>
      </c>
      <c r="M51" s="50">
        <v>105</v>
      </c>
      <c r="N51" s="50">
        <v>0</v>
      </c>
      <c r="O51" s="15">
        <f t="shared" si="0"/>
        <v>145</v>
      </c>
      <c r="P51" s="15">
        <f t="shared" si="1"/>
        <v>250</v>
      </c>
      <c r="R51" s="8"/>
      <c r="T51"/>
    </row>
    <row r="52" spans="2:20" ht="23.1" customHeight="1" x14ac:dyDescent="0.25">
      <c r="B52" s="46" t="s">
        <v>79</v>
      </c>
      <c r="C52" s="50">
        <v>125</v>
      </c>
      <c r="D52" s="50">
        <v>31</v>
      </c>
      <c r="E52" s="50">
        <v>10</v>
      </c>
      <c r="F52" s="50">
        <v>48</v>
      </c>
      <c r="G52" s="50">
        <v>3</v>
      </c>
      <c r="H52" s="50">
        <v>5</v>
      </c>
      <c r="I52" s="50">
        <v>11</v>
      </c>
      <c r="J52" s="50">
        <v>7</v>
      </c>
      <c r="K52" s="50">
        <v>1</v>
      </c>
      <c r="L52" s="50">
        <v>4</v>
      </c>
      <c r="M52" s="50">
        <v>80</v>
      </c>
      <c r="N52" s="50">
        <v>0</v>
      </c>
      <c r="O52" s="15">
        <f t="shared" si="0"/>
        <v>245</v>
      </c>
      <c r="P52" s="15">
        <f t="shared" si="1"/>
        <v>325</v>
      </c>
      <c r="R52" s="8"/>
      <c r="T52"/>
    </row>
    <row r="53" spans="2:20" ht="23.1" customHeight="1" x14ac:dyDescent="0.25">
      <c r="B53" s="45" t="s">
        <v>80</v>
      </c>
      <c r="C53" s="50">
        <v>102</v>
      </c>
      <c r="D53" s="50">
        <v>12</v>
      </c>
      <c r="E53" s="50">
        <v>13</v>
      </c>
      <c r="F53" s="50">
        <v>35</v>
      </c>
      <c r="G53" s="50">
        <v>1</v>
      </c>
      <c r="H53" s="50">
        <v>1</v>
      </c>
      <c r="I53" s="50">
        <v>8</v>
      </c>
      <c r="J53" s="50">
        <v>3</v>
      </c>
      <c r="K53" s="50">
        <v>0</v>
      </c>
      <c r="L53" s="50">
        <v>2</v>
      </c>
      <c r="M53" s="50">
        <v>135</v>
      </c>
      <c r="N53" s="50">
        <v>0</v>
      </c>
      <c r="O53" s="15">
        <f t="shared" si="0"/>
        <v>177</v>
      </c>
      <c r="P53" s="15">
        <f t="shared" si="1"/>
        <v>312</v>
      </c>
      <c r="R53" s="8"/>
      <c r="T53"/>
    </row>
    <row r="54" spans="2:20" ht="23.1" customHeight="1" x14ac:dyDescent="0.25">
      <c r="B54" s="45" t="s">
        <v>81</v>
      </c>
      <c r="C54" s="50">
        <v>88</v>
      </c>
      <c r="D54" s="50">
        <v>14</v>
      </c>
      <c r="E54" s="50">
        <v>8</v>
      </c>
      <c r="F54" s="50">
        <v>46</v>
      </c>
      <c r="G54" s="50">
        <v>3</v>
      </c>
      <c r="H54" s="50">
        <v>0</v>
      </c>
      <c r="I54" s="50">
        <v>12</v>
      </c>
      <c r="J54" s="50">
        <v>8</v>
      </c>
      <c r="K54" s="50">
        <v>2</v>
      </c>
      <c r="L54" s="50">
        <v>2</v>
      </c>
      <c r="M54" s="50">
        <v>105</v>
      </c>
      <c r="N54" s="50">
        <v>0</v>
      </c>
      <c r="O54" s="15">
        <f t="shared" si="0"/>
        <v>183</v>
      </c>
      <c r="P54" s="15">
        <f t="shared" si="1"/>
        <v>288</v>
      </c>
      <c r="R54" s="8"/>
      <c r="T54"/>
    </row>
    <row r="55" spans="2:20" ht="23.1" customHeight="1" x14ac:dyDescent="0.25">
      <c r="B55" s="45" t="s">
        <v>82</v>
      </c>
      <c r="C55" s="50">
        <v>94</v>
      </c>
      <c r="D55" s="50">
        <v>15</v>
      </c>
      <c r="E55" s="50">
        <v>9</v>
      </c>
      <c r="F55" s="50">
        <v>33</v>
      </c>
      <c r="G55" s="50">
        <v>0</v>
      </c>
      <c r="H55" s="50">
        <v>2</v>
      </c>
      <c r="I55" s="50">
        <v>10</v>
      </c>
      <c r="J55" s="50">
        <v>0</v>
      </c>
      <c r="K55" s="50">
        <v>0</v>
      </c>
      <c r="L55" s="50">
        <v>7</v>
      </c>
      <c r="M55" s="50">
        <v>175</v>
      </c>
      <c r="N55" s="50">
        <v>0</v>
      </c>
      <c r="O55" s="15">
        <f t="shared" si="0"/>
        <v>170</v>
      </c>
      <c r="P55" s="15">
        <f t="shared" si="1"/>
        <v>345</v>
      </c>
      <c r="R55" s="8"/>
      <c r="T55"/>
    </row>
    <row r="56" spans="2:20" ht="23.1" customHeight="1" x14ac:dyDescent="0.25">
      <c r="B56" s="45" t="s">
        <v>83</v>
      </c>
      <c r="C56" s="50">
        <v>90</v>
      </c>
      <c r="D56" s="50">
        <v>3</v>
      </c>
      <c r="E56" s="50">
        <v>4</v>
      </c>
      <c r="F56" s="50">
        <v>30</v>
      </c>
      <c r="G56" s="50">
        <v>5</v>
      </c>
      <c r="H56" s="50">
        <v>0</v>
      </c>
      <c r="I56" s="50">
        <v>16</v>
      </c>
      <c r="J56" s="50">
        <v>2</v>
      </c>
      <c r="K56" s="50">
        <v>0</v>
      </c>
      <c r="L56" s="50">
        <v>4</v>
      </c>
      <c r="M56" s="50">
        <v>240</v>
      </c>
      <c r="N56" s="50">
        <v>0</v>
      </c>
      <c r="O56" s="15">
        <f t="shared" si="0"/>
        <v>154</v>
      </c>
      <c r="P56" s="15">
        <f t="shared" si="1"/>
        <v>394</v>
      </c>
      <c r="R56" s="8"/>
      <c r="T56"/>
    </row>
    <row r="57" spans="2:20" ht="23.1" customHeight="1" x14ac:dyDescent="0.25">
      <c r="B57" s="45" t="s">
        <v>84</v>
      </c>
      <c r="C57" s="50">
        <v>100</v>
      </c>
      <c r="D57" s="50">
        <v>5</v>
      </c>
      <c r="E57" s="50">
        <v>4</v>
      </c>
      <c r="F57" s="50">
        <v>40</v>
      </c>
      <c r="G57" s="50">
        <v>1</v>
      </c>
      <c r="H57" s="50">
        <v>3</v>
      </c>
      <c r="I57" s="50">
        <v>16</v>
      </c>
      <c r="J57" s="50">
        <v>1</v>
      </c>
      <c r="K57" s="50">
        <v>0</v>
      </c>
      <c r="L57" s="50">
        <v>4</v>
      </c>
      <c r="M57" s="50">
        <v>225</v>
      </c>
      <c r="N57" s="50">
        <v>0</v>
      </c>
      <c r="O57" s="15">
        <f t="shared" si="0"/>
        <v>174</v>
      </c>
      <c r="P57" s="15">
        <f t="shared" si="1"/>
        <v>399</v>
      </c>
      <c r="R57" s="8"/>
      <c r="T57"/>
    </row>
    <row r="58" spans="2:20" ht="23.1" customHeight="1" x14ac:dyDescent="0.25">
      <c r="B58" s="45" t="s">
        <v>99</v>
      </c>
      <c r="C58" s="50">
        <v>102</v>
      </c>
      <c r="D58" s="50">
        <v>6</v>
      </c>
      <c r="E58" s="50">
        <v>10</v>
      </c>
      <c r="F58" s="50">
        <v>73</v>
      </c>
      <c r="G58" s="50">
        <v>3</v>
      </c>
      <c r="H58" s="50">
        <v>2</v>
      </c>
      <c r="I58" s="50">
        <v>20</v>
      </c>
      <c r="J58" s="50">
        <v>5</v>
      </c>
      <c r="K58" s="50">
        <v>2</v>
      </c>
      <c r="L58" s="50">
        <v>3</v>
      </c>
      <c r="M58" s="50">
        <v>323</v>
      </c>
      <c r="N58" s="50">
        <v>0</v>
      </c>
      <c r="O58" s="15">
        <f t="shared" si="0"/>
        <v>226</v>
      </c>
      <c r="P58" s="15">
        <f t="shared" si="1"/>
        <v>549</v>
      </c>
      <c r="R58" s="8"/>
      <c r="T58"/>
    </row>
    <row r="59" spans="2:20" ht="23.1" customHeight="1" x14ac:dyDescent="0.25">
      <c r="B59" s="45" t="s">
        <v>100</v>
      </c>
      <c r="C59" s="50">
        <v>58</v>
      </c>
      <c r="D59" s="50">
        <v>8</v>
      </c>
      <c r="E59" s="50">
        <v>3</v>
      </c>
      <c r="F59" s="50">
        <v>41</v>
      </c>
      <c r="G59" s="50">
        <v>2</v>
      </c>
      <c r="H59" s="50">
        <v>3</v>
      </c>
      <c r="I59" s="50">
        <v>7</v>
      </c>
      <c r="J59" s="50">
        <v>3</v>
      </c>
      <c r="K59" s="50">
        <v>0</v>
      </c>
      <c r="L59" s="50">
        <v>2</v>
      </c>
      <c r="M59" s="50">
        <v>289</v>
      </c>
      <c r="N59" s="50">
        <v>0</v>
      </c>
      <c r="O59" s="15">
        <f t="shared" si="0"/>
        <v>127</v>
      </c>
      <c r="P59" s="15">
        <f t="shared" si="1"/>
        <v>416</v>
      </c>
      <c r="R59" s="8"/>
      <c r="T59"/>
    </row>
    <row r="60" spans="2:20" ht="23.1" customHeight="1" x14ac:dyDescent="0.25">
      <c r="B60" s="45" t="s">
        <v>101</v>
      </c>
      <c r="C60" s="50">
        <v>74</v>
      </c>
      <c r="D60" s="50">
        <v>11</v>
      </c>
      <c r="E60" s="50">
        <v>4</v>
      </c>
      <c r="F60" s="50">
        <v>45</v>
      </c>
      <c r="G60" s="50">
        <v>3</v>
      </c>
      <c r="H60" s="50">
        <v>2</v>
      </c>
      <c r="I60" s="50">
        <v>13</v>
      </c>
      <c r="J60" s="50">
        <v>8</v>
      </c>
      <c r="K60" s="50">
        <v>3</v>
      </c>
      <c r="L60" s="50">
        <v>2</v>
      </c>
      <c r="M60" s="50">
        <v>335</v>
      </c>
      <c r="N60" s="50">
        <v>0</v>
      </c>
      <c r="O60" s="15">
        <f t="shared" si="0"/>
        <v>165</v>
      </c>
      <c r="P60" s="15">
        <f t="shared" si="1"/>
        <v>500</v>
      </c>
      <c r="R60" s="8"/>
      <c r="T60"/>
    </row>
    <row r="61" spans="2:20" ht="23.1" customHeight="1" x14ac:dyDescent="0.25">
      <c r="B61" s="45" t="s">
        <v>102</v>
      </c>
      <c r="C61" s="50">
        <v>89</v>
      </c>
      <c r="D61" s="50">
        <v>6</v>
      </c>
      <c r="E61" s="50">
        <v>11</v>
      </c>
      <c r="F61" s="50">
        <v>71</v>
      </c>
      <c r="G61" s="50">
        <v>5</v>
      </c>
      <c r="H61" s="50">
        <v>1</v>
      </c>
      <c r="I61" s="50">
        <v>14</v>
      </c>
      <c r="J61" s="50">
        <v>6</v>
      </c>
      <c r="K61" s="50">
        <v>1</v>
      </c>
      <c r="L61" s="50">
        <v>0</v>
      </c>
      <c r="M61" s="50">
        <v>338</v>
      </c>
      <c r="N61" s="50">
        <v>0</v>
      </c>
      <c r="O61" s="15">
        <f t="shared" si="0"/>
        <v>204</v>
      </c>
      <c r="P61" s="15">
        <f t="shared" si="1"/>
        <v>542</v>
      </c>
      <c r="R61" s="8"/>
      <c r="T61"/>
    </row>
    <row r="62" spans="2:20" ht="23.1" customHeight="1" x14ac:dyDescent="0.25">
      <c r="B62" s="45" t="s">
        <v>107</v>
      </c>
      <c r="C62" s="50">
        <v>84</v>
      </c>
      <c r="D62" s="50">
        <v>8</v>
      </c>
      <c r="E62" s="50">
        <v>7</v>
      </c>
      <c r="F62" s="50">
        <v>63</v>
      </c>
      <c r="G62" s="50">
        <v>3</v>
      </c>
      <c r="H62" s="50">
        <v>2</v>
      </c>
      <c r="I62" s="50">
        <v>11</v>
      </c>
      <c r="J62" s="50">
        <v>5</v>
      </c>
      <c r="K62" s="50">
        <v>1</v>
      </c>
      <c r="L62" s="50">
        <v>3</v>
      </c>
      <c r="M62" s="50">
        <v>378</v>
      </c>
      <c r="N62" s="50">
        <v>0</v>
      </c>
      <c r="O62" s="15">
        <f t="shared" si="0"/>
        <v>187</v>
      </c>
      <c r="P62" s="15">
        <f t="shared" si="1"/>
        <v>565</v>
      </c>
      <c r="R62" s="8"/>
      <c r="T62"/>
    </row>
    <row r="63" spans="2:20" ht="23.1" customHeight="1" x14ac:dyDescent="0.25">
      <c r="B63" s="45" t="s">
        <v>108</v>
      </c>
      <c r="C63" s="50">
        <v>93</v>
      </c>
      <c r="D63" s="50">
        <v>18</v>
      </c>
      <c r="E63" s="50">
        <v>8</v>
      </c>
      <c r="F63" s="50">
        <v>45</v>
      </c>
      <c r="G63" s="50">
        <v>6</v>
      </c>
      <c r="H63" s="50">
        <v>0</v>
      </c>
      <c r="I63" s="50">
        <v>8</v>
      </c>
      <c r="J63" s="50">
        <v>2</v>
      </c>
      <c r="K63" s="50">
        <v>1</v>
      </c>
      <c r="L63" s="50">
        <v>5</v>
      </c>
      <c r="M63" s="50">
        <v>332</v>
      </c>
      <c r="N63" s="50">
        <v>0</v>
      </c>
      <c r="O63" s="15">
        <f t="shared" si="0"/>
        <v>186</v>
      </c>
      <c r="P63" s="15">
        <f t="shared" si="1"/>
        <v>518</v>
      </c>
      <c r="R63" s="8"/>
      <c r="T63"/>
    </row>
    <row r="64" spans="2:20" ht="23.1" customHeight="1" x14ac:dyDescent="0.25">
      <c r="B64" s="45" t="s">
        <v>109</v>
      </c>
      <c r="C64" s="50">
        <v>78</v>
      </c>
      <c r="D64" s="50">
        <v>16</v>
      </c>
      <c r="E64" s="50">
        <v>8</v>
      </c>
      <c r="F64" s="50">
        <v>44</v>
      </c>
      <c r="G64" s="50">
        <v>3</v>
      </c>
      <c r="H64" s="50">
        <v>2</v>
      </c>
      <c r="I64" s="50">
        <v>14</v>
      </c>
      <c r="J64" s="50">
        <v>4</v>
      </c>
      <c r="K64" s="50">
        <v>2</v>
      </c>
      <c r="L64" s="50">
        <v>3</v>
      </c>
      <c r="M64" s="50">
        <v>335</v>
      </c>
      <c r="N64" s="50">
        <v>0</v>
      </c>
      <c r="O64" s="15">
        <f t="shared" si="0"/>
        <v>174</v>
      </c>
      <c r="P64" s="15">
        <f t="shared" si="1"/>
        <v>509</v>
      </c>
      <c r="R64" s="8"/>
      <c r="T64"/>
    </row>
    <row r="65" spans="2:20" ht="23.1" customHeight="1" x14ac:dyDescent="0.25">
      <c r="B65" s="45" t="s">
        <v>158</v>
      </c>
      <c r="C65" s="50">
        <v>53</v>
      </c>
      <c r="D65" s="50">
        <v>12</v>
      </c>
      <c r="E65" s="50">
        <v>2</v>
      </c>
      <c r="F65" s="50">
        <v>35</v>
      </c>
      <c r="G65" s="50">
        <v>2</v>
      </c>
      <c r="H65" s="50">
        <v>2</v>
      </c>
      <c r="I65" s="50">
        <v>13</v>
      </c>
      <c r="J65" s="50">
        <v>3</v>
      </c>
      <c r="K65" s="50">
        <v>3</v>
      </c>
      <c r="L65" s="50">
        <v>4</v>
      </c>
      <c r="M65" s="50">
        <v>300</v>
      </c>
      <c r="N65" s="50">
        <v>0</v>
      </c>
      <c r="O65" s="15">
        <f t="shared" si="0"/>
        <v>129</v>
      </c>
      <c r="P65" s="15">
        <f t="shared" si="1"/>
        <v>429</v>
      </c>
      <c r="R65" s="8"/>
      <c r="T65"/>
    </row>
    <row r="66" spans="2:20" ht="23.1" customHeight="1" x14ac:dyDescent="0.25">
      <c r="B66" s="45" t="s">
        <v>103</v>
      </c>
      <c r="C66" s="50">
        <v>55</v>
      </c>
      <c r="D66" s="50">
        <v>13</v>
      </c>
      <c r="E66" s="50">
        <v>8</v>
      </c>
      <c r="F66" s="50">
        <v>35</v>
      </c>
      <c r="G66" s="50">
        <v>5</v>
      </c>
      <c r="H66" s="50">
        <v>1</v>
      </c>
      <c r="I66" s="50">
        <v>11</v>
      </c>
      <c r="J66" s="50">
        <v>5</v>
      </c>
      <c r="K66" s="50">
        <v>0</v>
      </c>
      <c r="L66" s="50">
        <v>0</v>
      </c>
      <c r="M66" s="50">
        <v>200</v>
      </c>
      <c r="N66" s="50">
        <v>0</v>
      </c>
      <c r="O66" s="15">
        <f t="shared" si="0"/>
        <v>133</v>
      </c>
      <c r="P66" s="15">
        <f t="shared" si="1"/>
        <v>333</v>
      </c>
      <c r="R66" s="8"/>
      <c r="T66"/>
    </row>
    <row r="67" spans="2:20" ht="23.1" customHeight="1" x14ac:dyDescent="0.25">
      <c r="B67" s="45" t="s">
        <v>104</v>
      </c>
      <c r="C67" s="50">
        <v>57</v>
      </c>
      <c r="D67" s="50">
        <v>5</v>
      </c>
      <c r="E67" s="50">
        <v>7</v>
      </c>
      <c r="F67" s="50">
        <v>26</v>
      </c>
      <c r="G67" s="50">
        <v>0</v>
      </c>
      <c r="H67" s="50">
        <v>0</v>
      </c>
      <c r="I67" s="50">
        <v>9</v>
      </c>
      <c r="J67" s="50">
        <v>0</v>
      </c>
      <c r="K67" s="50">
        <v>1</v>
      </c>
      <c r="L67" s="50">
        <v>0</v>
      </c>
      <c r="M67" s="50">
        <v>280</v>
      </c>
      <c r="N67" s="50">
        <v>0</v>
      </c>
      <c r="O67" s="15">
        <f t="shared" si="0"/>
        <v>105</v>
      </c>
      <c r="P67" s="15">
        <f t="shared" si="1"/>
        <v>385</v>
      </c>
      <c r="R67" s="8"/>
      <c r="T67"/>
    </row>
    <row r="68" spans="2:20" ht="23.1" customHeight="1" x14ac:dyDescent="0.25">
      <c r="B68" s="45" t="s">
        <v>105</v>
      </c>
      <c r="C68" s="50">
        <v>46</v>
      </c>
      <c r="D68" s="50">
        <v>5</v>
      </c>
      <c r="E68" s="50">
        <v>6</v>
      </c>
      <c r="F68" s="50">
        <v>22</v>
      </c>
      <c r="G68" s="50">
        <v>1</v>
      </c>
      <c r="H68" s="50">
        <v>0</v>
      </c>
      <c r="I68" s="50">
        <v>6</v>
      </c>
      <c r="J68" s="50">
        <v>4</v>
      </c>
      <c r="K68" s="50">
        <v>0</v>
      </c>
      <c r="L68" s="50">
        <v>0</v>
      </c>
      <c r="M68" s="50">
        <v>305</v>
      </c>
      <c r="N68" s="50">
        <v>0</v>
      </c>
      <c r="O68" s="15">
        <f t="shared" si="0"/>
        <v>90</v>
      </c>
      <c r="P68" s="15">
        <f t="shared" si="1"/>
        <v>395</v>
      </c>
      <c r="R68" s="8"/>
      <c r="T68"/>
    </row>
    <row r="69" spans="2:20" ht="23.1" customHeight="1" x14ac:dyDescent="0.25">
      <c r="B69" s="45" t="s">
        <v>106</v>
      </c>
      <c r="C69" s="50">
        <v>106</v>
      </c>
      <c r="D69" s="50">
        <v>24</v>
      </c>
      <c r="E69" s="50">
        <v>7</v>
      </c>
      <c r="F69" s="50">
        <v>63</v>
      </c>
      <c r="G69" s="50">
        <v>7</v>
      </c>
      <c r="H69" s="50">
        <v>3</v>
      </c>
      <c r="I69" s="50">
        <v>7</v>
      </c>
      <c r="J69" s="50">
        <v>2</v>
      </c>
      <c r="K69" s="50">
        <v>0</v>
      </c>
      <c r="L69" s="50">
        <v>1</v>
      </c>
      <c r="M69" s="50">
        <v>260</v>
      </c>
      <c r="N69" s="50">
        <v>0</v>
      </c>
      <c r="O69" s="15">
        <f t="shared" si="0"/>
        <v>220</v>
      </c>
      <c r="P69" s="15">
        <f t="shared" si="1"/>
        <v>480</v>
      </c>
      <c r="R69" s="8"/>
      <c r="T69"/>
    </row>
    <row r="70" spans="2:20" ht="23.1" customHeight="1" x14ac:dyDescent="0.25">
      <c r="B70" s="45" t="s">
        <v>110</v>
      </c>
      <c r="C70" s="50">
        <v>51</v>
      </c>
      <c r="D70" s="50">
        <v>10</v>
      </c>
      <c r="E70" s="50">
        <v>3</v>
      </c>
      <c r="F70" s="50">
        <v>18</v>
      </c>
      <c r="G70" s="50">
        <v>2</v>
      </c>
      <c r="H70" s="50">
        <v>0</v>
      </c>
      <c r="I70" s="50">
        <v>2</v>
      </c>
      <c r="J70" s="50">
        <v>2</v>
      </c>
      <c r="K70" s="50">
        <v>0</v>
      </c>
      <c r="L70" s="50">
        <v>3</v>
      </c>
      <c r="M70" s="50">
        <v>231</v>
      </c>
      <c r="N70" s="50">
        <v>0</v>
      </c>
      <c r="O70" s="15">
        <f t="shared" si="0"/>
        <v>91</v>
      </c>
      <c r="P70" s="15">
        <f t="shared" si="1"/>
        <v>322</v>
      </c>
      <c r="R70" s="8"/>
      <c r="T70"/>
    </row>
    <row r="71" spans="2:20" ht="23.1" customHeight="1" x14ac:dyDescent="0.25">
      <c r="B71" s="45" t="s">
        <v>111</v>
      </c>
      <c r="C71" s="50">
        <v>61</v>
      </c>
      <c r="D71" s="50">
        <v>10</v>
      </c>
      <c r="E71" s="50">
        <v>2</v>
      </c>
      <c r="F71" s="50">
        <v>22</v>
      </c>
      <c r="G71" s="50">
        <v>5</v>
      </c>
      <c r="H71" s="50">
        <v>1</v>
      </c>
      <c r="I71" s="50">
        <v>10</v>
      </c>
      <c r="J71" s="50">
        <v>4</v>
      </c>
      <c r="K71" s="50">
        <v>0</v>
      </c>
      <c r="L71" s="50">
        <v>5</v>
      </c>
      <c r="M71" s="50">
        <v>212</v>
      </c>
      <c r="N71" s="50">
        <v>0</v>
      </c>
      <c r="O71" s="15">
        <f t="shared" si="0"/>
        <v>120</v>
      </c>
      <c r="P71" s="15">
        <f t="shared" si="1"/>
        <v>332</v>
      </c>
      <c r="R71" s="8"/>
      <c r="T71"/>
    </row>
    <row r="72" spans="2:20" ht="23.1" customHeight="1" x14ac:dyDescent="0.25">
      <c r="B72" s="45" t="s">
        <v>112</v>
      </c>
      <c r="C72" s="50">
        <v>43</v>
      </c>
      <c r="D72" s="50">
        <v>8</v>
      </c>
      <c r="E72" s="50">
        <v>6</v>
      </c>
      <c r="F72" s="50">
        <v>15</v>
      </c>
      <c r="G72" s="50">
        <v>0</v>
      </c>
      <c r="H72" s="50">
        <v>1</v>
      </c>
      <c r="I72" s="50">
        <v>11</v>
      </c>
      <c r="J72" s="50">
        <v>3</v>
      </c>
      <c r="K72" s="50">
        <v>0</v>
      </c>
      <c r="L72" s="50">
        <v>7</v>
      </c>
      <c r="M72" s="50">
        <v>205</v>
      </c>
      <c r="N72" s="50">
        <v>0</v>
      </c>
      <c r="O72" s="15">
        <f t="shared" si="0"/>
        <v>94</v>
      </c>
      <c r="P72" s="15">
        <f t="shared" si="1"/>
        <v>299</v>
      </c>
      <c r="R72" s="8"/>
      <c r="T72"/>
    </row>
    <row r="73" spans="2:20" ht="23.1" customHeight="1" x14ac:dyDescent="0.25">
      <c r="B73" s="45" t="s">
        <v>113</v>
      </c>
      <c r="C73" s="50">
        <v>45</v>
      </c>
      <c r="D73" s="50">
        <v>6</v>
      </c>
      <c r="E73" s="50">
        <v>4</v>
      </c>
      <c r="F73" s="50">
        <v>12</v>
      </c>
      <c r="G73" s="50">
        <v>1</v>
      </c>
      <c r="H73" s="50">
        <v>0</v>
      </c>
      <c r="I73" s="50">
        <v>8</v>
      </c>
      <c r="J73" s="50">
        <v>1</v>
      </c>
      <c r="K73" s="50">
        <v>1</v>
      </c>
      <c r="L73" s="50">
        <v>0</v>
      </c>
      <c r="M73" s="50">
        <v>175</v>
      </c>
      <c r="N73" s="50">
        <v>0</v>
      </c>
      <c r="O73" s="15">
        <f t="shared" si="0"/>
        <v>78</v>
      </c>
      <c r="P73" s="15">
        <f t="shared" si="1"/>
        <v>253</v>
      </c>
      <c r="R73" s="8"/>
      <c r="T73"/>
    </row>
    <row r="74" spans="2:20" ht="23.1" customHeight="1" x14ac:dyDescent="0.25">
      <c r="B74" s="45" t="s">
        <v>114</v>
      </c>
      <c r="C74" s="50">
        <v>63</v>
      </c>
      <c r="D74" s="50">
        <v>11</v>
      </c>
      <c r="E74" s="50">
        <v>3</v>
      </c>
      <c r="F74" s="50">
        <v>29</v>
      </c>
      <c r="G74" s="50">
        <v>0</v>
      </c>
      <c r="H74" s="50">
        <v>0</v>
      </c>
      <c r="I74" s="50">
        <v>4</v>
      </c>
      <c r="J74" s="50">
        <v>3</v>
      </c>
      <c r="K74" s="50">
        <v>0</v>
      </c>
      <c r="L74" s="50">
        <v>1</v>
      </c>
      <c r="M74" s="50">
        <v>155</v>
      </c>
      <c r="N74" s="50">
        <v>0</v>
      </c>
      <c r="O74" s="15">
        <f t="shared" ref="O74:O105" si="35">SUM(C74:L74,N74)</f>
        <v>114</v>
      </c>
      <c r="P74" s="15">
        <f t="shared" ref="P74:P105" si="36">SUM(C74:N74)</f>
        <v>269</v>
      </c>
      <c r="R74" s="8"/>
      <c r="T74"/>
    </row>
    <row r="75" spans="2:20" ht="23.1" customHeight="1" x14ac:dyDescent="0.25">
      <c r="B75" s="45" t="s">
        <v>115</v>
      </c>
      <c r="C75" s="50">
        <v>95</v>
      </c>
      <c r="D75" s="50">
        <v>15</v>
      </c>
      <c r="E75" s="50">
        <v>4</v>
      </c>
      <c r="F75" s="50">
        <v>41</v>
      </c>
      <c r="G75" s="50">
        <v>1</v>
      </c>
      <c r="H75" s="50">
        <v>1</v>
      </c>
      <c r="I75" s="50">
        <v>5</v>
      </c>
      <c r="J75" s="50">
        <v>0</v>
      </c>
      <c r="K75" s="50">
        <v>0</v>
      </c>
      <c r="L75" s="50">
        <v>2</v>
      </c>
      <c r="M75" s="50">
        <v>120</v>
      </c>
      <c r="N75" s="50">
        <v>0</v>
      </c>
      <c r="O75" s="15">
        <f t="shared" si="35"/>
        <v>164</v>
      </c>
      <c r="P75" s="15">
        <f t="shared" si="36"/>
        <v>284</v>
      </c>
      <c r="R75" s="8"/>
      <c r="T75"/>
    </row>
    <row r="76" spans="2:20" ht="23.1" customHeight="1" x14ac:dyDescent="0.25">
      <c r="B76" s="45" t="s">
        <v>116</v>
      </c>
      <c r="C76" s="50">
        <v>48</v>
      </c>
      <c r="D76" s="50">
        <v>5</v>
      </c>
      <c r="E76" s="50">
        <v>5</v>
      </c>
      <c r="F76" s="50">
        <v>17</v>
      </c>
      <c r="G76" s="50">
        <v>1</v>
      </c>
      <c r="H76" s="50">
        <v>0</v>
      </c>
      <c r="I76" s="50">
        <v>13</v>
      </c>
      <c r="J76" s="50">
        <v>3</v>
      </c>
      <c r="K76" s="50">
        <v>1</v>
      </c>
      <c r="L76" s="50">
        <v>1</v>
      </c>
      <c r="M76" s="50">
        <v>92</v>
      </c>
      <c r="N76" s="50">
        <v>0</v>
      </c>
      <c r="O76" s="15">
        <f t="shared" si="35"/>
        <v>94</v>
      </c>
      <c r="P76" s="15">
        <f t="shared" si="36"/>
        <v>186</v>
      </c>
      <c r="R76" s="8"/>
      <c r="T76"/>
    </row>
    <row r="77" spans="2:20" ht="23.1" customHeight="1" x14ac:dyDescent="0.25">
      <c r="B77" s="45" t="s">
        <v>117</v>
      </c>
      <c r="C77" s="50">
        <v>66</v>
      </c>
      <c r="D77" s="50">
        <v>8</v>
      </c>
      <c r="E77" s="50">
        <v>8</v>
      </c>
      <c r="F77" s="50">
        <v>33</v>
      </c>
      <c r="G77" s="50">
        <v>2</v>
      </c>
      <c r="H77" s="50">
        <v>3</v>
      </c>
      <c r="I77" s="50">
        <v>10</v>
      </c>
      <c r="J77" s="50">
        <v>2</v>
      </c>
      <c r="K77" s="50">
        <v>1</v>
      </c>
      <c r="L77" s="50">
        <v>2</v>
      </c>
      <c r="M77" s="50">
        <v>73</v>
      </c>
      <c r="N77" s="50">
        <v>0</v>
      </c>
      <c r="O77" s="15">
        <f t="shared" si="35"/>
        <v>135</v>
      </c>
      <c r="P77" s="15">
        <f t="shared" si="36"/>
        <v>208</v>
      </c>
      <c r="R77" s="8"/>
      <c r="T77"/>
    </row>
    <row r="78" spans="2:20" ht="23.1" customHeight="1" x14ac:dyDescent="0.25">
      <c r="B78" s="46" t="s">
        <v>118</v>
      </c>
      <c r="C78" s="50">
        <v>68</v>
      </c>
      <c r="D78" s="50">
        <v>9</v>
      </c>
      <c r="E78" s="50">
        <v>10</v>
      </c>
      <c r="F78" s="50">
        <v>33</v>
      </c>
      <c r="G78" s="50">
        <v>0</v>
      </c>
      <c r="H78" s="50">
        <v>1</v>
      </c>
      <c r="I78" s="50">
        <v>19</v>
      </c>
      <c r="J78" s="50">
        <v>2</v>
      </c>
      <c r="K78" s="50">
        <v>1</v>
      </c>
      <c r="L78" s="50">
        <v>4</v>
      </c>
      <c r="M78" s="50">
        <v>58</v>
      </c>
      <c r="N78" s="50">
        <v>0</v>
      </c>
      <c r="O78" s="15">
        <f t="shared" si="35"/>
        <v>147</v>
      </c>
      <c r="P78" s="15">
        <f t="shared" si="36"/>
        <v>205</v>
      </c>
      <c r="R78" s="8"/>
      <c r="T78"/>
    </row>
    <row r="79" spans="2:20" ht="23.1" customHeight="1" x14ac:dyDescent="0.25">
      <c r="B79" s="45" t="s">
        <v>119</v>
      </c>
      <c r="C79" s="50">
        <v>82</v>
      </c>
      <c r="D79" s="50">
        <v>15</v>
      </c>
      <c r="E79" s="50">
        <v>8</v>
      </c>
      <c r="F79" s="50">
        <v>28</v>
      </c>
      <c r="G79" s="50">
        <v>5</v>
      </c>
      <c r="H79" s="50">
        <v>2</v>
      </c>
      <c r="I79" s="50">
        <v>16</v>
      </c>
      <c r="J79" s="50">
        <v>7</v>
      </c>
      <c r="K79" s="50">
        <v>3</v>
      </c>
      <c r="L79" s="50">
        <v>5</v>
      </c>
      <c r="M79" s="50">
        <v>43</v>
      </c>
      <c r="N79" s="50">
        <v>0</v>
      </c>
      <c r="O79" s="15">
        <f t="shared" si="35"/>
        <v>171</v>
      </c>
      <c r="P79" s="15">
        <f t="shared" si="36"/>
        <v>214</v>
      </c>
      <c r="R79" s="8"/>
      <c r="T79"/>
    </row>
    <row r="80" spans="2:20" ht="23.1" customHeight="1" x14ac:dyDescent="0.25">
      <c r="B80" s="47" t="s">
        <v>120</v>
      </c>
      <c r="C80" s="50">
        <v>62</v>
      </c>
      <c r="D80" s="50">
        <v>10</v>
      </c>
      <c r="E80" s="50">
        <v>6</v>
      </c>
      <c r="F80" s="50">
        <v>24</v>
      </c>
      <c r="G80" s="50">
        <v>1</v>
      </c>
      <c r="H80" s="50">
        <v>6</v>
      </c>
      <c r="I80" s="50">
        <v>10</v>
      </c>
      <c r="J80" s="50">
        <v>5</v>
      </c>
      <c r="K80" s="50">
        <v>1</v>
      </c>
      <c r="L80" s="50">
        <v>2</v>
      </c>
      <c r="M80" s="50">
        <v>40</v>
      </c>
      <c r="N80" s="50">
        <v>0</v>
      </c>
      <c r="O80" s="15">
        <f t="shared" si="35"/>
        <v>127</v>
      </c>
      <c r="P80" s="15">
        <f t="shared" si="36"/>
        <v>167</v>
      </c>
      <c r="R80" s="8"/>
      <c r="T80"/>
    </row>
    <row r="81" spans="2:20" ht="23.1" customHeight="1" x14ac:dyDescent="0.25">
      <c r="B81" s="45" t="s">
        <v>121</v>
      </c>
      <c r="C81" s="50">
        <v>35</v>
      </c>
      <c r="D81" s="50">
        <v>5</v>
      </c>
      <c r="E81" s="50">
        <v>9</v>
      </c>
      <c r="F81" s="50">
        <v>18</v>
      </c>
      <c r="G81" s="50">
        <v>2</v>
      </c>
      <c r="H81" s="50">
        <v>2</v>
      </c>
      <c r="I81" s="50">
        <v>11</v>
      </c>
      <c r="J81" s="50">
        <v>11</v>
      </c>
      <c r="K81" s="50">
        <v>0</v>
      </c>
      <c r="L81" s="50">
        <v>6</v>
      </c>
      <c r="M81" s="50">
        <v>56</v>
      </c>
      <c r="N81" s="50">
        <v>0</v>
      </c>
      <c r="O81" s="15">
        <f t="shared" si="35"/>
        <v>99</v>
      </c>
      <c r="P81" s="15">
        <f t="shared" si="36"/>
        <v>155</v>
      </c>
      <c r="R81" s="8"/>
      <c r="T81"/>
    </row>
    <row r="82" spans="2:20" ht="23.1" customHeight="1" x14ac:dyDescent="0.25">
      <c r="B82" s="46" t="s">
        <v>122</v>
      </c>
      <c r="C82" s="50">
        <v>18</v>
      </c>
      <c r="D82" s="50">
        <v>2</v>
      </c>
      <c r="E82" s="50">
        <v>2</v>
      </c>
      <c r="F82" s="50">
        <v>14</v>
      </c>
      <c r="G82" s="50">
        <v>2</v>
      </c>
      <c r="H82" s="50">
        <v>2</v>
      </c>
      <c r="I82" s="50">
        <v>13</v>
      </c>
      <c r="J82" s="50">
        <v>13</v>
      </c>
      <c r="K82" s="50">
        <v>4</v>
      </c>
      <c r="L82" s="50">
        <v>7</v>
      </c>
      <c r="M82" s="50">
        <v>32</v>
      </c>
      <c r="N82" s="50">
        <v>0</v>
      </c>
      <c r="O82" s="15">
        <f t="shared" si="35"/>
        <v>77</v>
      </c>
      <c r="P82" s="15">
        <f t="shared" si="36"/>
        <v>109</v>
      </c>
      <c r="R82" s="8"/>
      <c r="T82"/>
    </row>
    <row r="83" spans="2:20" ht="23.1" customHeight="1" x14ac:dyDescent="0.25">
      <c r="B83" s="45" t="s">
        <v>123</v>
      </c>
      <c r="C83" s="50">
        <v>25</v>
      </c>
      <c r="D83" s="50">
        <v>2</v>
      </c>
      <c r="E83" s="50">
        <v>1</v>
      </c>
      <c r="F83" s="50">
        <v>10</v>
      </c>
      <c r="G83" s="50">
        <v>0</v>
      </c>
      <c r="H83" s="50">
        <v>0</v>
      </c>
      <c r="I83" s="50">
        <v>5</v>
      </c>
      <c r="J83" s="50">
        <v>9</v>
      </c>
      <c r="K83" s="50">
        <v>1</v>
      </c>
      <c r="L83" s="50">
        <v>3</v>
      </c>
      <c r="M83" s="50">
        <v>38</v>
      </c>
      <c r="N83" s="50">
        <v>0</v>
      </c>
      <c r="O83" s="15">
        <f t="shared" si="35"/>
        <v>56</v>
      </c>
      <c r="P83" s="15">
        <f t="shared" si="36"/>
        <v>94</v>
      </c>
      <c r="R83" s="8"/>
      <c r="T83"/>
    </row>
    <row r="84" spans="2:20" ht="23.1" customHeight="1" x14ac:dyDescent="0.25">
      <c r="B84" s="47" t="s">
        <v>124</v>
      </c>
      <c r="C84" s="50">
        <v>18</v>
      </c>
      <c r="D84" s="50">
        <v>3</v>
      </c>
      <c r="E84" s="50">
        <v>0</v>
      </c>
      <c r="F84" s="50">
        <v>10</v>
      </c>
      <c r="G84" s="50">
        <v>0</v>
      </c>
      <c r="H84" s="50">
        <v>0</v>
      </c>
      <c r="I84" s="50">
        <v>8</v>
      </c>
      <c r="J84" s="50">
        <v>12</v>
      </c>
      <c r="K84" s="50">
        <v>0</v>
      </c>
      <c r="L84" s="50">
        <v>4</v>
      </c>
      <c r="M84" s="50">
        <v>40</v>
      </c>
      <c r="N84" s="50">
        <v>0</v>
      </c>
      <c r="O84" s="15">
        <f t="shared" si="35"/>
        <v>55</v>
      </c>
      <c r="P84" s="15">
        <f t="shared" si="36"/>
        <v>95</v>
      </c>
      <c r="R84" s="8"/>
      <c r="T84"/>
    </row>
    <row r="85" spans="2:20" ht="23.1" customHeight="1" x14ac:dyDescent="0.25">
      <c r="B85" s="45" t="s">
        <v>125</v>
      </c>
      <c r="C85" s="50">
        <v>20</v>
      </c>
      <c r="D85" s="50">
        <v>4</v>
      </c>
      <c r="E85" s="50">
        <v>1</v>
      </c>
      <c r="F85" s="50">
        <v>7</v>
      </c>
      <c r="G85" s="50">
        <v>1</v>
      </c>
      <c r="H85" s="50">
        <v>0</v>
      </c>
      <c r="I85" s="50">
        <v>8</v>
      </c>
      <c r="J85" s="50">
        <v>7</v>
      </c>
      <c r="K85" s="50">
        <v>2</v>
      </c>
      <c r="L85" s="50">
        <v>4</v>
      </c>
      <c r="M85" s="50">
        <v>27</v>
      </c>
      <c r="N85" s="50">
        <v>0</v>
      </c>
      <c r="O85" s="15">
        <f t="shared" si="35"/>
        <v>54</v>
      </c>
      <c r="P85" s="15">
        <f t="shared" si="36"/>
        <v>81</v>
      </c>
      <c r="R85" s="8"/>
      <c r="T85"/>
    </row>
    <row r="86" spans="2:20" ht="23.1" customHeight="1" x14ac:dyDescent="0.25">
      <c r="B86" s="46" t="s">
        <v>126</v>
      </c>
      <c r="C86" s="50">
        <v>19</v>
      </c>
      <c r="D86" s="50">
        <v>5</v>
      </c>
      <c r="E86" s="50">
        <v>1</v>
      </c>
      <c r="F86" s="50">
        <v>3</v>
      </c>
      <c r="G86" s="50">
        <v>0</v>
      </c>
      <c r="H86" s="50">
        <v>2</v>
      </c>
      <c r="I86" s="50">
        <v>4</v>
      </c>
      <c r="J86" s="50">
        <v>5</v>
      </c>
      <c r="K86" s="50">
        <v>1</v>
      </c>
      <c r="L86" s="50">
        <v>3</v>
      </c>
      <c r="M86" s="50">
        <v>26</v>
      </c>
      <c r="N86" s="50">
        <v>0</v>
      </c>
      <c r="O86" s="15">
        <f t="shared" si="35"/>
        <v>43</v>
      </c>
      <c r="P86" s="15">
        <f t="shared" si="36"/>
        <v>69</v>
      </c>
      <c r="R86" s="8"/>
      <c r="T86"/>
    </row>
    <row r="87" spans="2:20" ht="23.1" customHeight="1" x14ac:dyDescent="0.25">
      <c r="B87" s="45" t="s">
        <v>127</v>
      </c>
      <c r="C87" s="50">
        <v>24</v>
      </c>
      <c r="D87" s="50">
        <v>1</v>
      </c>
      <c r="E87" s="50">
        <v>1</v>
      </c>
      <c r="F87" s="50">
        <v>5</v>
      </c>
      <c r="G87" s="50">
        <v>0</v>
      </c>
      <c r="H87" s="50">
        <v>1</v>
      </c>
      <c r="I87" s="50">
        <v>9</v>
      </c>
      <c r="J87" s="50">
        <v>16</v>
      </c>
      <c r="K87" s="50">
        <v>0</v>
      </c>
      <c r="L87" s="50">
        <v>0</v>
      </c>
      <c r="M87" s="50">
        <v>53</v>
      </c>
      <c r="N87" s="50">
        <v>0</v>
      </c>
      <c r="O87" s="15">
        <f t="shared" si="35"/>
        <v>57</v>
      </c>
      <c r="P87" s="15">
        <f t="shared" si="36"/>
        <v>110</v>
      </c>
      <c r="R87" s="8"/>
      <c r="T87"/>
    </row>
    <row r="88" spans="2:20" ht="23.1" customHeight="1" x14ac:dyDescent="0.25">
      <c r="B88" s="47" t="s">
        <v>128</v>
      </c>
      <c r="C88" s="50">
        <v>11</v>
      </c>
      <c r="D88" s="50">
        <v>4</v>
      </c>
      <c r="E88" s="50">
        <v>0</v>
      </c>
      <c r="F88" s="50">
        <v>4</v>
      </c>
      <c r="G88" s="50">
        <v>1</v>
      </c>
      <c r="H88" s="50">
        <v>1</v>
      </c>
      <c r="I88" s="50">
        <v>6</v>
      </c>
      <c r="J88" s="50">
        <v>7</v>
      </c>
      <c r="K88" s="50">
        <v>2</v>
      </c>
      <c r="L88" s="50">
        <v>2</v>
      </c>
      <c r="M88" s="50">
        <v>58</v>
      </c>
      <c r="N88" s="50">
        <v>0</v>
      </c>
      <c r="O88" s="15">
        <f t="shared" si="35"/>
        <v>38</v>
      </c>
      <c r="P88" s="15">
        <f t="shared" si="36"/>
        <v>96</v>
      </c>
      <c r="R88" s="8"/>
      <c r="T88"/>
    </row>
    <row r="89" spans="2:20" ht="23.1" customHeight="1" x14ac:dyDescent="0.25">
      <c r="B89" s="45" t="s">
        <v>129</v>
      </c>
      <c r="C89" s="50">
        <v>16</v>
      </c>
      <c r="D89" s="50">
        <v>2</v>
      </c>
      <c r="E89" s="50">
        <v>1</v>
      </c>
      <c r="F89" s="50">
        <v>6</v>
      </c>
      <c r="G89" s="50">
        <v>0</v>
      </c>
      <c r="H89" s="50">
        <v>0</v>
      </c>
      <c r="I89" s="50">
        <v>10</v>
      </c>
      <c r="J89" s="50">
        <v>15</v>
      </c>
      <c r="K89" s="50">
        <v>0</v>
      </c>
      <c r="L89" s="50">
        <v>2</v>
      </c>
      <c r="M89" s="50">
        <v>34</v>
      </c>
      <c r="N89" s="50">
        <v>0</v>
      </c>
      <c r="O89" s="15">
        <f t="shared" si="35"/>
        <v>52</v>
      </c>
      <c r="P89" s="15">
        <f t="shared" si="36"/>
        <v>86</v>
      </c>
      <c r="R89" s="8"/>
      <c r="T89"/>
    </row>
    <row r="90" spans="2:20" ht="23.1" customHeight="1" x14ac:dyDescent="0.25">
      <c r="B90" s="46" t="s">
        <v>130</v>
      </c>
      <c r="C90" s="50">
        <v>9</v>
      </c>
      <c r="D90" s="50">
        <v>2</v>
      </c>
      <c r="E90" s="50">
        <v>1</v>
      </c>
      <c r="F90" s="50">
        <v>2</v>
      </c>
      <c r="G90" s="50">
        <v>0</v>
      </c>
      <c r="H90" s="50">
        <v>1</v>
      </c>
      <c r="I90" s="50">
        <v>8</v>
      </c>
      <c r="J90" s="50">
        <v>10</v>
      </c>
      <c r="K90" s="50">
        <v>3</v>
      </c>
      <c r="L90" s="50">
        <v>2</v>
      </c>
      <c r="M90" s="50">
        <v>48</v>
      </c>
      <c r="N90" s="50">
        <v>0</v>
      </c>
      <c r="O90" s="15">
        <f t="shared" si="35"/>
        <v>38</v>
      </c>
      <c r="P90" s="15">
        <f t="shared" si="36"/>
        <v>86</v>
      </c>
      <c r="R90" s="8"/>
      <c r="T90"/>
    </row>
    <row r="91" spans="2:20" ht="23.1" customHeight="1" x14ac:dyDescent="0.25">
      <c r="B91" s="45" t="s">
        <v>131</v>
      </c>
      <c r="C91" s="50">
        <v>15</v>
      </c>
      <c r="D91" s="50">
        <v>3</v>
      </c>
      <c r="E91" s="50">
        <v>1</v>
      </c>
      <c r="F91" s="50">
        <v>1</v>
      </c>
      <c r="G91" s="50">
        <v>1</v>
      </c>
      <c r="H91" s="50">
        <v>5</v>
      </c>
      <c r="I91" s="50">
        <v>9</v>
      </c>
      <c r="J91" s="50">
        <v>13</v>
      </c>
      <c r="K91" s="50">
        <v>1</v>
      </c>
      <c r="L91" s="50">
        <v>2</v>
      </c>
      <c r="M91" s="50">
        <v>29</v>
      </c>
      <c r="N91" s="50">
        <v>0</v>
      </c>
      <c r="O91" s="15">
        <f t="shared" si="35"/>
        <v>51</v>
      </c>
      <c r="P91" s="15">
        <f t="shared" si="36"/>
        <v>80</v>
      </c>
      <c r="R91" s="8"/>
      <c r="T91"/>
    </row>
    <row r="92" spans="2:20" ht="23.1" customHeight="1" x14ac:dyDescent="0.25">
      <c r="B92" s="47" t="s">
        <v>132</v>
      </c>
      <c r="C92" s="50">
        <v>11</v>
      </c>
      <c r="D92" s="50">
        <v>1</v>
      </c>
      <c r="E92" s="50">
        <v>3</v>
      </c>
      <c r="F92" s="50">
        <v>3</v>
      </c>
      <c r="G92" s="50">
        <v>1</v>
      </c>
      <c r="H92" s="50">
        <v>0</v>
      </c>
      <c r="I92" s="50">
        <v>5</v>
      </c>
      <c r="J92" s="50">
        <v>7</v>
      </c>
      <c r="K92" s="50">
        <v>1</v>
      </c>
      <c r="L92" s="50">
        <v>5</v>
      </c>
      <c r="M92" s="50">
        <v>28</v>
      </c>
      <c r="N92" s="50">
        <v>0</v>
      </c>
      <c r="O92" s="15">
        <f t="shared" si="35"/>
        <v>37</v>
      </c>
      <c r="P92" s="15">
        <f t="shared" si="36"/>
        <v>65</v>
      </c>
      <c r="R92" s="8"/>
      <c r="T92"/>
    </row>
    <row r="93" spans="2:20" ht="23.1" customHeight="1" x14ac:dyDescent="0.25">
      <c r="B93" s="45" t="s">
        <v>133</v>
      </c>
      <c r="C93" s="50">
        <v>11</v>
      </c>
      <c r="D93" s="50">
        <v>1</v>
      </c>
      <c r="E93" s="50">
        <v>1</v>
      </c>
      <c r="F93" s="50">
        <v>4</v>
      </c>
      <c r="G93" s="50">
        <v>1</v>
      </c>
      <c r="H93" s="50">
        <v>0</v>
      </c>
      <c r="I93" s="50">
        <v>5</v>
      </c>
      <c r="J93" s="50">
        <v>10</v>
      </c>
      <c r="K93" s="50">
        <v>0</v>
      </c>
      <c r="L93" s="50">
        <v>2</v>
      </c>
      <c r="M93" s="50">
        <v>32</v>
      </c>
      <c r="N93" s="50">
        <v>0</v>
      </c>
      <c r="O93" s="15">
        <f t="shared" si="35"/>
        <v>35</v>
      </c>
      <c r="P93" s="15">
        <f t="shared" si="36"/>
        <v>67</v>
      </c>
      <c r="R93" s="8"/>
      <c r="T93"/>
    </row>
    <row r="94" spans="2:20" ht="23.1" customHeight="1" x14ac:dyDescent="0.25">
      <c r="B94" s="46" t="s">
        <v>134</v>
      </c>
      <c r="C94" s="50">
        <v>13</v>
      </c>
      <c r="D94" s="50">
        <v>0</v>
      </c>
      <c r="E94" s="50">
        <v>0</v>
      </c>
      <c r="F94" s="50">
        <v>3</v>
      </c>
      <c r="G94" s="50">
        <v>1</v>
      </c>
      <c r="H94" s="50">
        <v>3</v>
      </c>
      <c r="I94" s="50">
        <v>4</v>
      </c>
      <c r="J94" s="50">
        <v>9</v>
      </c>
      <c r="K94" s="50">
        <v>1</v>
      </c>
      <c r="L94" s="50">
        <v>3</v>
      </c>
      <c r="M94" s="50">
        <v>55</v>
      </c>
      <c r="N94" s="50">
        <v>0</v>
      </c>
      <c r="O94" s="15">
        <f t="shared" si="35"/>
        <v>37</v>
      </c>
      <c r="P94" s="15">
        <f t="shared" si="36"/>
        <v>92</v>
      </c>
      <c r="R94" s="8"/>
      <c r="T94"/>
    </row>
    <row r="95" spans="2:20" ht="23.1" customHeight="1" x14ac:dyDescent="0.25">
      <c r="B95" s="45" t="s">
        <v>135</v>
      </c>
      <c r="C95" s="50">
        <v>12</v>
      </c>
      <c r="D95" s="50">
        <v>0</v>
      </c>
      <c r="E95" s="50">
        <v>1</v>
      </c>
      <c r="F95" s="50">
        <v>3</v>
      </c>
      <c r="G95" s="50">
        <v>1</v>
      </c>
      <c r="H95" s="50">
        <v>8</v>
      </c>
      <c r="I95" s="50">
        <v>4</v>
      </c>
      <c r="J95" s="50">
        <v>19</v>
      </c>
      <c r="K95" s="50">
        <v>1</v>
      </c>
      <c r="L95" s="50">
        <v>1</v>
      </c>
      <c r="M95" s="50">
        <v>26</v>
      </c>
      <c r="N95" s="50">
        <v>0</v>
      </c>
      <c r="O95" s="15">
        <f t="shared" si="35"/>
        <v>50</v>
      </c>
      <c r="P95" s="15">
        <f t="shared" si="36"/>
        <v>76</v>
      </c>
      <c r="R95" s="8"/>
      <c r="T95"/>
    </row>
    <row r="96" spans="2:20" ht="23.1" customHeight="1" x14ac:dyDescent="0.25">
      <c r="B96" s="47" t="s">
        <v>136</v>
      </c>
      <c r="C96" s="50">
        <v>10</v>
      </c>
      <c r="D96" s="50">
        <v>1</v>
      </c>
      <c r="E96" s="50">
        <v>0</v>
      </c>
      <c r="F96" s="50">
        <v>9</v>
      </c>
      <c r="G96" s="50">
        <v>0</v>
      </c>
      <c r="H96" s="50">
        <v>0</v>
      </c>
      <c r="I96" s="50">
        <v>7</v>
      </c>
      <c r="J96" s="50">
        <v>9</v>
      </c>
      <c r="K96" s="50">
        <v>2</v>
      </c>
      <c r="L96" s="50">
        <v>1</v>
      </c>
      <c r="M96" s="50">
        <v>36</v>
      </c>
      <c r="N96" s="50">
        <v>0</v>
      </c>
      <c r="O96" s="15">
        <f t="shared" si="35"/>
        <v>39</v>
      </c>
      <c r="P96" s="15">
        <f t="shared" si="36"/>
        <v>75</v>
      </c>
      <c r="R96" s="8"/>
      <c r="T96"/>
    </row>
    <row r="97" spans="2:20" ht="23.1" customHeight="1" x14ac:dyDescent="0.25">
      <c r="B97" s="45" t="s">
        <v>137</v>
      </c>
      <c r="C97" s="50">
        <v>10</v>
      </c>
      <c r="D97" s="50">
        <v>0</v>
      </c>
      <c r="E97" s="50">
        <v>0</v>
      </c>
      <c r="F97" s="50">
        <v>10</v>
      </c>
      <c r="G97" s="50">
        <v>1</v>
      </c>
      <c r="H97" s="50">
        <v>3</v>
      </c>
      <c r="I97" s="50">
        <v>6</v>
      </c>
      <c r="J97" s="50">
        <v>7</v>
      </c>
      <c r="K97" s="50">
        <v>1</v>
      </c>
      <c r="L97" s="50">
        <v>1</v>
      </c>
      <c r="M97" s="50">
        <v>37</v>
      </c>
      <c r="N97" s="50">
        <v>0</v>
      </c>
      <c r="O97" s="15">
        <f t="shared" si="35"/>
        <v>39</v>
      </c>
      <c r="P97" s="15">
        <f t="shared" si="36"/>
        <v>76</v>
      </c>
      <c r="R97" s="8"/>
      <c r="T97"/>
    </row>
    <row r="98" spans="2:20" ht="23.1" customHeight="1" x14ac:dyDescent="0.25">
      <c r="B98" s="46" t="s">
        <v>138</v>
      </c>
      <c r="C98" s="50">
        <v>9</v>
      </c>
      <c r="D98" s="50">
        <v>0</v>
      </c>
      <c r="E98" s="50">
        <v>0</v>
      </c>
      <c r="F98" s="50">
        <v>8</v>
      </c>
      <c r="G98" s="50">
        <v>3</v>
      </c>
      <c r="H98" s="50">
        <v>3</v>
      </c>
      <c r="I98" s="50">
        <v>5</v>
      </c>
      <c r="J98" s="50">
        <v>7</v>
      </c>
      <c r="K98" s="50">
        <v>1</v>
      </c>
      <c r="L98" s="50">
        <v>4</v>
      </c>
      <c r="M98" s="50">
        <v>36</v>
      </c>
      <c r="N98" s="50">
        <v>0</v>
      </c>
      <c r="O98" s="15">
        <f t="shared" si="35"/>
        <v>40</v>
      </c>
      <c r="P98" s="15">
        <f t="shared" si="36"/>
        <v>76</v>
      </c>
      <c r="R98" s="8"/>
      <c r="T98"/>
    </row>
    <row r="99" spans="2:20" ht="23.1" customHeight="1" x14ac:dyDescent="0.25">
      <c r="B99" s="45" t="s">
        <v>139</v>
      </c>
      <c r="C99" s="50">
        <v>8</v>
      </c>
      <c r="D99" s="50">
        <v>0</v>
      </c>
      <c r="E99" s="50">
        <v>0</v>
      </c>
      <c r="F99" s="50">
        <v>24</v>
      </c>
      <c r="G99" s="50">
        <v>0</v>
      </c>
      <c r="H99" s="50">
        <v>2</v>
      </c>
      <c r="I99" s="50">
        <v>8</v>
      </c>
      <c r="J99" s="50">
        <v>10</v>
      </c>
      <c r="K99" s="50">
        <v>0</v>
      </c>
      <c r="L99" s="50">
        <v>1</v>
      </c>
      <c r="M99" s="50">
        <v>42</v>
      </c>
      <c r="N99" s="50">
        <v>0</v>
      </c>
      <c r="O99" s="15">
        <f t="shared" si="35"/>
        <v>53</v>
      </c>
      <c r="P99" s="15">
        <f t="shared" si="36"/>
        <v>95</v>
      </c>
      <c r="R99" s="8"/>
      <c r="T99"/>
    </row>
    <row r="100" spans="2:20" ht="23.1" customHeight="1" x14ac:dyDescent="0.25">
      <c r="B100" s="47" t="s">
        <v>140</v>
      </c>
      <c r="C100" s="50">
        <v>9</v>
      </c>
      <c r="D100" s="50">
        <v>3</v>
      </c>
      <c r="E100" s="50">
        <v>1</v>
      </c>
      <c r="F100" s="50">
        <v>20</v>
      </c>
      <c r="G100" s="50">
        <v>1</v>
      </c>
      <c r="H100" s="50">
        <v>4</v>
      </c>
      <c r="I100" s="50">
        <v>3</v>
      </c>
      <c r="J100" s="50">
        <v>9</v>
      </c>
      <c r="K100" s="50">
        <v>0</v>
      </c>
      <c r="L100" s="50">
        <v>4</v>
      </c>
      <c r="M100" s="50">
        <v>28</v>
      </c>
      <c r="N100" s="50">
        <v>0</v>
      </c>
      <c r="O100" s="15">
        <f t="shared" si="35"/>
        <v>54</v>
      </c>
      <c r="P100" s="15">
        <f t="shared" si="36"/>
        <v>82</v>
      </c>
      <c r="R100" s="8"/>
      <c r="T100"/>
    </row>
    <row r="101" spans="2:20" ht="23.1" customHeight="1" x14ac:dyDescent="0.25">
      <c r="B101" s="45" t="s">
        <v>141</v>
      </c>
      <c r="C101" s="50">
        <v>11</v>
      </c>
      <c r="D101" s="50">
        <v>2</v>
      </c>
      <c r="E101" s="50">
        <v>2</v>
      </c>
      <c r="F101" s="50">
        <v>23</v>
      </c>
      <c r="G101" s="50">
        <v>2</v>
      </c>
      <c r="H101" s="50">
        <v>1</v>
      </c>
      <c r="I101" s="50">
        <v>7</v>
      </c>
      <c r="J101" s="50">
        <v>8</v>
      </c>
      <c r="K101" s="50">
        <v>1</v>
      </c>
      <c r="L101" s="50">
        <v>3</v>
      </c>
      <c r="M101" s="50">
        <v>40</v>
      </c>
      <c r="N101" s="50">
        <v>0</v>
      </c>
      <c r="O101" s="15">
        <f t="shared" si="35"/>
        <v>60</v>
      </c>
      <c r="P101" s="15">
        <f t="shared" si="36"/>
        <v>100</v>
      </c>
      <c r="R101" s="8"/>
      <c r="T101"/>
    </row>
    <row r="102" spans="2:20" ht="23.1" customHeight="1" x14ac:dyDescent="0.25">
      <c r="B102" s="46" t="s">
        <v>142</v>
      </c>
      <c r="C102" s="50">
        <v>18</v>
      </c>
      <c r="D102" s="50">
        <v>2</v>
      </c>
      <c r="E102" s="50">
        <v>0</v>
      </c>
      <c r="F102" s="50">
        <v>38</v>
      </c>
      <c r="G102" s="50">
        <v>0</v>
      </c>
      <c r="H102" s="50">
        <v>1</v>
      </c>
      <c r="I102" s="50">
        <v>5</v>
      </c>
      <c r="J102" s="50">
        <v>12</v>
      </c>
      <c r="K102" s="50">
        <v>1</v>
      </c>
      <c r="L102" s="50">
        <v>1</v>
      </c>
      <c r="M102" s="50">
        <v>96</v>
      </c>
      <c r="N102" s="50">
        <v>0</v>
      </c>
      <c r="O102" s="15">
        <f t="shared" si="35"/>
        <v>78</v>
      </c>
      <c r="P102" s="15">
        <f t="shared" si="36"/>
        <v>174</v>
      </c>
      <c r="R102" s="8"/>
      <c r="T102"/>
    </row>
    <row r="103" spans="2:20" ht="23.1" customHeight="1" x14ac:dyDescent="0.25">
      <c r="B103" s="45" t="s">
        <v>143</v>
      </c>
      <c r="C103" s="50">
        <v>17</v>
      </c>
      <c r="D103" s="50">
        <v>1</v>
      </c>
      <c r="E103" s="50">
        <v>0</v>
      </c>
      <c r="F103" s="50">
        <v>33</v>
      </c>
      <c r="G103" s="50">
        <v>1</v>
      </c>
      <c r="H103" s="50">
        <v>1</v>
      </c>
      <c r="I103" s="50">
        <v>7</v>
      </c>
      <c r="J103" s="50">
        <v>8</v>
      </c>
      <c r="K103" s="50">
        <v>2</v>
      </c>
      <c r="L103" s="50">
        <v>1</v>
      </c>
      <c r="M103" s="50">
        <v>93</v>
      </c>
      <c r="N103" s="50">
        <v>0</v>
      </c>
      <c r="O103" s="15">
        <f t="shared" si="35"/>
        <v>71</v>
      </c>
      <c r="P103" s="15">
        <f t="shared" si="36"/>
        <v>164</v>
      </c>
      <c r="R103" s="8"/>
      <c r="T103"/>
    </row>
    <row r="104" spans="2:20" ht="23.1" customHeight="1" x14ac:dyDescent="0.25">
      <c r="B104" s="47" t="s">
        <v>144</v>
      </c>
      <c r="C104" s="50">
        <v>22</v>
      </c>
      <c r="D104" s="50">
        <v>1</v>
      </c>
      <c r="E104" s="50">
        <v>2</v>
      </c>
      <c r="F104" s="50">
        <v>30</v>
      </c>
      <c r="G104" s="50">
        <v>2</v>
      </c>
      <c r="H104" s="50">
        <v>1</v>
      </c>
      <c r="I104" s="50">
        <v>11</v>
      </c>
      <c r="J104" s="50">
        <v>7</v>
      </c>
      <c r="K104" s="50">
        <v>0</v>
      </c>
      <c r="L104" s="50">
        <v>2</v>
      </c>
      <c r="M104" s="50">
        <v>200</v>
      </c>
      <c r="N104" s="50">
        <v>0</v>
      </c>
      <c r="O104" s="15">
        <f t="shared" si="35"/>
        <v>78</v>
      </c>
      <c r="P104" s="15">
        <f t="shared" si="36"/>
        <v>278</v>
      </c>
      <c r="R104" s="8"/>
      <c r="T104"/>
    </row>
    <row r="105" spans="2:20" ht="23.1" customHeight="1" x14ac:dyDescent="0.25">
      <c r="B105" s="45" t="s">
        <v>145</v>
      </c>
      <c r="C105" s="50">
        <v>42</v>
      </c>
      <c r="D105" s="50">
        <v>6</v>
      </c>
      <c r="E105" s="50">
        <v>3</v>
      </c>
      <c r="F105" s="50">
        <v>44</v>
      </c>
      <c r="G105" s="50">
        <v>0</v>
      </c>
      <c r="H105" s="50">
        <v>2</v>
      </c>
      <c r="I105" s="50">
        <v>14</v>
      </c>
      <c r="J105" s="50">
        <v>1</v>
      </c>
      <c r="K105" s="50">
        <v>0</v>
      </c>
      <c r="L105" s="50">
        <v>6</v>
      </c>
      <c r="M105" s="50">
        <v>145</v>
      </c>
      <c r="N105" s="50">
        <v>0</v>
      </c>
      <c r="O105" s="15">
        <f t="shared" si="35"/>
        <v>118</v>
      </c>
      <c r="P105" s="15">
        <f t="shared" si="36"/>
        <v>263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6391</v>
      </c>
      <c r="D106" s="16">
        <f t="shared" ref="D106:P106" si="37">SUM(D10:D105)</f>
        <v>814</v>
      </c>
      <c r="E106" s="16">
        <f t="shared" si="37"/>
        <v>705</v>
      </c>
      <c r="F106" s="16">
        <f t="shared" si="37"/>
        <v>3344</v>
      </c>
      <c r="G106" s="16">
        <f t="shared" si="37"/>
        <v>170</v>
      </c>
      <c r="H106" s="16">
        <f t="shared" si="37"/>
        <v>142</v>
      </c>
      <c r="I106" s="16">
        <f t="shared" si="37"/>
        <v>1138</v>
      </c>
      <c r="J106" s="16">
        <f t="shared" si="37"/>
        <v>515</v>
      </c>
      <c r="K106" s="16">
        <f t="shared" si="37"/>
        <v>97</v>
      </c>
      <c r="L106" s="16">
        <f t="shared" si="37"/>
        <v>280</v>
      </c>
      <c r="M106" s="16">
        <f t="shared" si="37"/>
        <v>15030</v>
      </c>
      <c r="N106" s="16">
        <f t="shared" si="37"/>
        <v>0</v>
      </c>
      <c r="O106" s="16">
        <f t="shared" si="37"/>
        <v>13596</v>
      </c>
      <c r="P106" s="16">
        <f t="shared" si="37"/>
        <v>28626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0.22325857611961153</v>
      </c>
      <c r="D107" s="43">
        <f t="shared" si="38"/>
        <v>2.8435687836232796E-2</v>
      </c>
      <c r="E107" s="43">
        <f t="shared" si="38"/>
        <v>2.4627960595263048E-2</v>
      </c>
      <c r="F107" s="43">
        <f t="shared" si="38"/>
        <v>0.11681687975965906</v>
      </c>
      <c r="G107" s="43">
        <f t="shared" si="38"/>
        <v>5.9386571648152031E-3</v>
      </c>
      <c r="H107" s="43">
        <f t="shared" si="38"/>
        <v>4.9605253964926993E-3</v>
      </c>
      <c r="I107" s="43">
        <f t="shared" si="38"/>
        <v>3.9754069726821772E-2</v>
      </c>
      <c r="J107" s="43">
        <f t="shared" si="38"/>
        <v>1.7990637881646055E-2</v>
      </c>
      <c r="K107" s="43">
        <f t="shared" si="38"/>
        <v>3.3885279116886748E-3</v>
      </c>
      <c r="L107" s="43">
        <f t="shared" si="38"/>
        <v>9.7813176832250402E-3</v>
      </c>
      <c r="M107" s="43">
        <f t="shared" si="38"/>
        <v>0.52504715992454409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0.47006472491909385</v>
      </c>
      <c r="D108" s="44">
        <f t="shared" ref="D108:N108" si="39">D106/$O$106</f>
        <v>5.9870550161812294E-2</v>
      </c>
      <c r="E108" s="44">
        <f t="shared" si="39"/>
        <v>5.1853486319505739E-2</v>
      </c>
      <c r="F108" s="44">
        <f t="shared" si="39"/>
        <v>0.2459546925566343</v>
      </c>
      <c r="G108" s="44">
        <f t="shared" si="39"/>
        <v>1.2503677552221242E-2</v>
      </c>
      <c r="H108" s="44">
        <f t="shared" si="39"/>
        <v>1.0444248308325979E-2</v>
      </c>
      <c r="I108" s="44">
        <f t="shared" si="39"/>
        <v>8.3701088555457492E-2</v>
      </c>
      <c r="J108" s="44">
        <f t="shared" si="39"/>
        <v>3.787878787878788E-2</v>
      </c>
      <c r="K108" s="44">
        <f t="shared" si="39"/>
        <v>7.134451309208591E-3</v>
      </c>
      <c r="L108" s="44">
        <f t="shared" si="39"/>
        <v>2.0594292438952635E-2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KYENGERA-BUSEGA-24h'!D5</f>
        <v>27.07.19</v>
      </c>
      <c r="E5" s="3"/>
      <c r="F5" s="41" t="s">
        <v>1</v>
      </c>
      <c r="G5" s="67" t="str">
        <f>'27.07 KYENGERA-BUSEGA-24h'!G5:H5</f>
        <v>KYENGERA</v>
      </c>
      <c r="H5" s="68"/>
      <c r="I5" s="14"/>
      <c r="J5" s="2" t="s">
        <v>5</v>
      </c>
      <c r="K5" s="67" t="str">
        <f>'27.07 KYENGERA-BUSEGA-24h'!K5:L5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BUSEGA-KYENGERA'!D6:E6</f>
        <v>BUSEGA</v>
      </c>
      <c r="E6" s="68"/>
      <c r="F6" s="2" t="s">
        <v>2</v>
      </c>
      <c r="G6" s="67" t="str">
        <f>'22.07 BUSEGA-KYENGERA'!G6:H6</f>
        <v>KYENGERA</v>
      </c>
      <c r="H6" s="68"/>
      <c r="J6" s="2" t="s">
        <v>21</v>
      </c>
      <c r="K6" s="67" t="str">
        <f>'27.07 KYENGERA-BUSEGA-24h'!K6:L6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63</v>
      </c>
      <c r="D10" s="50">
        <v>6</v>
      </c>
      <c r="E10" s="50">
        <v>3</v>
      </c>
      <c r="F10" s="50">
        <v>74</v>
      </c>
      <c r="G10" s="50">
        <v>3</v>
      </c>
      <c r="H10" s="50">
        <v>2</v>
      </c>
      <c r="I10" s="50">
        <v>2</v>
      </c>
      <c r="J10" s="50">
        <v>2</v>
      </c>
      <c r="K10" s="50">
        <v>2</v>
      </c>
      <c r="L10" s="50">
        <v>1</v>
      </c>
      <c r="M10" s="50">
        <v>120</v>
      </c>
      <c r="N10" s="50">
        <v>0</v>
      </c>
      <c r="O10" s="15">
        <f t="shared" ref="O10:O73" si="0">SUM(C10:L10,N10)</f>
        <v>158</v>
      </c>
      <c r="P10" s="15">
        <f t="shared" ref="P10:P73" si="1">SUM(C10:N10)</f>
        <v>278</v>
      </c>
      <c r="R10" s="1" t="s">
        <v>6</v>
      </c>
      <c r="S10" s="17">
        <f t="shared" ref="S10:AF10" si="2">SUM(C10:C13)</f>
        <v>213</v>
      </c>
      <c r="T10" s="17">
        <f t="shared" si="2"/>
        <v>20</v>
      </c>
      <c r="U10" s="17">
        <f t="shared" si="2"/>
        <v>36</v>
      </c>
      <c r="V10" s="17">
        <f t="shared" si="2"/>
        <v>222</v>
      </c>
      <c r="W10" s="17">
        <f t="shared" si="2"/>
        <v>9</v>
      </c>
      <c r="X10" s="17">
        <f t="shared" si="2"/>
        <v>7</v>
      </c>
      <c r="Y10" s="17">
        <f t="shared" si="2"/>
        <v>29</v>
      </c>
      <c r="Z10" s="17">
        <f t="shared" si="2"/>
        <v>17</v>
      </c>
      <c r="AA10" s="17">
        <f t="shared" si="2"/>
        <v>5</v>
      </c>
      <c r="AB10" s="17">
        <f t="shared" si="2"/>
        <v>12</v>
      </c>
      <c r="AC10" s="17">
        <f t="shared" si="2"/>
        <v>650</v>
      </c>
      <c r="AD10" s="17">
        <f t="shared" si="2"/>
        <v>0</v>
      </c>
      <c r="AE10" s="31">
        <f t="shared" si="2"/>
        <v>570</v>
      </c>
      <c r="AF10" s="31">
        <f t="shared" si="2"/>
        <v>1220</v>
      </c>
    </row>
    <row r="11" spans="2:32" s="6" customFormat="1" ht="23.1" customHeight="1" x14ac:dyDescent="0.25">
      <c r="B11" s="45" t="s">
        <v>38</v>
      </c>
      <c r="C11" s="50">
        <v>44</v>
      </c>
      <c r="D11" s="50">
        <v>8</v>
      </c>
      <c r="E11" s="50">
        <v>12</v>
      </c>
      <c r="F11" s="50">
        <v>43</v>
      </c>
      <c r="G11" s="50">
        <v>1</v>
      </c>
      <c r="H11" s="50">
        <v>0</v>
      </c>
      <c r="I11" s="50">
        <v>7</v>
      </c>
      <c r="J11" s="50">
        <v>2</v>
      </c>
      <c r="K11" s="50">
        <v>1</v>
      </c>
      <c r="L11" s="50">
        <v>6</v>
      </c>
      <c r="M11" s="50">
        <v>130</v>
      </c>
      <c r="N11" s="50">
        <v>0</v>
      </c>
      <c r="O11" s="15">
        <f t="shared" si="0"/>
        <v>124</v>
      </c>
      <c r="P11" s="15">
        <f t="shared" si="1"/>
        <v>254</v>
      </c>
      <c r="R11" s="1" t="s">
        <v>7</v>
      </c>
      <c r="S11" s="17">
        <f t="shared" ref="S11:AF11" si="3">SUM(C14:C17)</f>
        <v>389</v>
      </c>
      <c r="T11" s="17">
        <f t="shared" si="3"/>
        <v>41</v>
      </c>
      <c r="U11" s="17">
        <f t="shared" si="3"/>
        <v>34</v>
      </c>
      <c r="V11" s="17">
        <f t="shared" si="3"/>
        <v>228</v>
      </c>
      <c r="W11" s="17">
        <f t="shared" si="3"/>
        <v>10</v>
      </c>
      <c r="X11" s="17">
        <f t="shared" si="3"/>
        <v>12</v>
      </c>
      <c r="Y11" s="17">
        <f t="shared" si="3"/>
        <v>38</v>
      </c>
      <c r="Z11" s="17">
        <f t="shared" si="3"/>
        <v>12</v>
      </c>
      <c r="AA11" s="17">
        <f t="shared" si="3"/>
        <v>4</v>
      </c>
      <c r="AB11" s="17">
        <f t="shared" si="3"/>
        <v>16</v>
      </c>
      <c r="AC11" s="17">
        <f t="shared" si="3"/>
        <v>550</v>
      </c>
      <c r="AD11" s="17">
        <f t="shared" si="3"/>
        <v>0</v>
      </c>
      <c r="AE11" s="31">
        <f t="shared" si="3"/>
        <v>784</v>
      </c>
      <c r="AF11" s="31">
        <f t="shared" si="3"/>
        <v>1334</v>
      </c>
    </row>
    <row r="12" spans="2:32" ht="23.1" customHeight="1" x14ac:dyDescent="0.25">
      <c r="B12" s="45" t="s">
        <v>39</v>
      </c>
      <c r="C12" s="50">
        <v>66</v>
      </c>
      <c r="D12" s="50">
        <v>2</v>
      </c>
      <c r="E12" s="50">
        <v>6</v>
      </c>
      <c r="F12" s="50">
        <v>45</v>
      </c>
      <c r="G12" s="50">
        <v>5</v>
      </c>
      <c r="H12" s="50">
        <v>1</v>
      </c>
      <c r="I12" s="50">
        <v>12</v>
      </c>
      <c r="J12" s="50">
        <v>4</v>
      </c>
      <c r="K12" s="50">
        <v>0</v>
      </c>
      <c r="L12" s="50">
        <v>4</v>
      </c>
      <c r="M12" s="50">
        <v>180</v>
      </c>
      <c r="N12" s="50">
        <v>0</v>
      </c>
      <c r="O12" s="15">
        <f t="shared" si="0"/>
        <v>145</v>
      </c>
      <c r="P12" s="15">
        <f t="shared" si="1"/>
        <v>325</v>
      </c>
      <c r="R12" s="1" t="s">
        <v>8</v>
      </c>
      <c r="S12" s="17">
        <f t="shared" ref="S12:AF12" si="4">SUM(C18:C21)</f>
        <v>365</v>
      </c>
      <c r="T12" s="17">
        <f t="shared" si="4"/>
        <v>62</v>
      </c>
      <c r="U12" s="17">
        <f t="shared" si="4"/>
        <v>33</v>
      </c>
      <c r="V12" s="17">
        <f t="shared" si="4"/>
        <v>207</v>
      </c>
      <c r="W12" s="17">
        <f t="shared" si="4"/>
        <v>7</v>
      </c>
      <c r="X12" s="17">
        <f t="shared" si="4"/>
        <v>5</v>
      </c>
      <c r="Y12" s="17">
        <f t="shared" si="4"/>
        <v>37</v>
      </c>
      <c r="Z12" s="17">
        <f t="shared" si="4"/>
        <v>15</v>
      </c>
      <c r="AA12" s="17">
        <f t="shared" si="4"/>
        <v>4</v>
      </c>
      <c r="AB12" s="17">
        <f t="shared" si="4"/>
        <v>11</v>
      </c>
      <c r="AC12" s="17">
        <f t="shared" si="4"/>
        <v>535</v>
      </c>
      <c r="AD12" s="17">
        <f t="shared" si="4"/>
        <v>0</v>
      </c>
      <c r="AE12" s="31">
        <f t="shared" si="4"/>
        <v>746</v>
      </c>
      <c r="AF12" s="31">
        <f t="shared" si="4"/>
        <v>1281</v>
      </c>
    </row>
    <row r="13" spans="2:32" ht="23.1" customHeight="1" x14ac:dyDescent="0.25">
      <c r="B13" s="45" t="s">
        <v>40</v>
      </c>
      <c r="C13" s="50">
        <v>40</v>
      </c>
      <c r="D13" s="50">
        <v>4</v>
      </c>
      <c r="E13" s="50">
        <v>15</v>
      </c>
      <c r="F13" s="50">
        <v>60</v>
      </c>
      <c r="G13" s="50">
        <v>0</v>
      </c>
      <c r="H13" s="50">
        <v>4</v>
      </c>
      <c r="I13" s="50">
        <v>8</v>
      </c>
      <c r="J13" s="50">
        <v>9</v>
      </c>
      <c r="K13" s="50">
        <v>2</v>
      </c>
      <c r="L13" s="50">
        <v>1</v>
      </c>
      <c r="M13" s="50">
        <v>220</v>
      </c>
      <c r="N13" s="50">
        <v>0</v>
      </c>
      <c r="O13" s="15">
        <f t="shared" si="0"/>
        <v>143</v>
      </c>
      <c r="P13" s="15">
        <f t="shared" si="1"/>
        <v>363</v>
      </c>
      <c r="R13" s="1" t="s">
        <v>9</v>
      </c>
      <c r="S13" s="17">
        <f t="shared" ref="S13:AF13" si="5">SUM(C22:C25)</f>
        <v>407</v>
      </c>
      <c r="T13" s="17">
        <f t="shared" si="5"/>
        <v>45</v>
      </c>
      <c r="U13" s="17">
        <f t="shared" si="5"/>
        <v>46</v>
      </c>
      <c r="V13" s="17">
        <f t="shared" si="5"/>
        <v>236</v>
      </c>
      <c r="W13" s="17">
        <f t="shared" si="5"/>
        <v>17</v>
      </c>
      <c r="X13" s="17">
        <f t="shared" si="5"/>
        <v>5</v>
      </c>
      <c r="Y13" s="17">
        <f t="shared" si="5"/>
        <v>70</v>
      </c>
      <c r="Z13" s="17">
        <f t="shared" si="5"/>
        <v>22</v>
      </c>
      <c r="AA13" s="17">
        <f t="shared" si="5"/>
        <v>0</v>
      </c>
      <c r="AB13" s="17">
        <f t="shared" si="5"/>
        <v>9</v>
      </c>
      <c r="AC13" s="17">
        <f t="shared" si="5"/>
        <v>290</v>
      </c>
      <c r="AD13" s="17">
        <f t="shared" si="5"/>
        <v>1</v>
      </c>
      <c r="AE13" s="31">
        <f t="shared" si="5"/>
        <v>858</v>
      </c>
      <c r="AF13" s="31">
        <f t="shared" si="5"/>
        <v>1148</v>
      </c>
    </row>
    <row r="14" spans="2:32" ht="23.1" customHeight="1" x14ac:dyDescent="0.25">
      <c r="B14" s="45" t="s">
        <v>41</v>
      </c>
      <c r="C14" s="50">
        <v>88</v>
      </c>
      <c r="D14" s="50">
        <v>12</v>
      </c>
      <c r="E14" s="50">
        <v>3</v>
      </c>
      <c r="F14" s="50">
        <v>50</v>
      </c>
      <c r="G14" s="50">
        <v>1</v>
      </c>
      <c r="H14" s="50">
        <v>5</v>
      </c>
      <c r="I14" s="50">
        <v>14</v>
      </c>
      <c r="J14" s="50">
        <v>5</v>
      </c>
      <c r="K14" s="50">
        <v>1</v>
      </c>
      <c r="L14" s="50">
        <v>6</v>
      </c>
      <c r="M14" s="50">
        <v>165</v>
      </c>
      <c r="N14" s="50">
        <v>0</v>
      </c>
      <c r="O14" s="15">
        <f t="shared" si="0"/>
        <v>185</v>
      </c>
      <c r="P14" s="15">
        <f t="shared" si="1"/>
        <v>350</v>
      </c>
      <c r="R14" s="1" t="s">
        <v>10</v>
      </c>
      <c r="S14" s="17">
        <f t="shared" ref="S14:AF14" si="6">SUM(C26:C29)</f>
        <v>419</v>
      </c>
      <c r="T14" s="17">
        <f t="shared" si="6"/>
        <v>54</v>
      </c>
      <c r="U14" s="17">
        <f t="shared" si="6"/>
        <v>33</v>
      </c>
      <c r="V14" s="17">
        <f t="shared" si="6"/>
        <v>221</v>
      </c>
      <c r="W14" s="17">
        <f t="shared" si="6"/>
        <v>7</v>
      </c>
      <c r="X14" s="17">
        <f t="shared" si="6"/>
        <v>13</v>
      </c>
      <c r="Y14" s="17">
        <f t="shared" si="6"/>
        <v>37</v>
      </c>
      <c r="Z14" s="17">
        <f t="shared" si="6"/>
        <v>45</v>
      </c>
      <c r="AA14" s="17">
        <f t="shared" si="6"/>
        <v>1</v>
      </c>
      <c r="AB14" s="17">
        <f t="shared" si="6"/>
        <v>12</v>
      </c>
      <c r="AC14" s="17">
        <f t="shared" si="6"/>
        <v>369</v>
      </c>
      <c r="AD14" s="17">
        <f t="shared" si="6"/>
        <v>0</v>
      </c>
      <c r="AE14" s="31">
        <f t="shared" si="6"/>
        <v>842</v>
      </c>
      <c r="AF14" s="31">
        <f t="shared" si="6"/>
        <v>1211</v>
      </c>
    </row>
    <row r="15" spans="2:32" ht="23.1" customHeight="1" x14ac:dyDescent="0.25">
      <c r="B15" s="45" t="s">
        <v>42</v>
      </c>
      <c r="C15" s="50">
        <v>81</v>
      </c>
      <c r="D15" s="50">
        <v>12</v>
      </c>
      <c r="E15" s="50">
        <v>10</v>
      </c>
      <c r="F15" s="50">
        <v>59</v>
      </c>
      <c r="G15" s="50">
        <v>3</v>
      </c>
      <c r="H15" s="50">
        <v>2</v>
      </c>
      <c r="I15" s="50">
        <v>10</v>
      </c>
      <c r="J15" s="50">
        <v>4</v>
      </c>
      <c r="K15" s="50">
        <v>0</v>
      </c>
      <c r="L15" s="50">
        <v>5</v>
      </c>
      <c r="M15" s="50">
        <v>120</v>
      </c>
      <c r="N15" s="50">
        <v>0</v>
      </c>
      <c r="O15" s="15">
        <f t="shared" si="0"/>
        <v>186</v>
      </c>
      <c r="P15" s="15">
        <f t="shared" si="1"/>
        <v>306</v>
      </c>
      <c r="R15" s="1" t="s">
        <v>11</v>
      </c>
      <c r="S15" s="17">
        <f t="shared" ref="S15:AF15" si="7">SUM(C30:C33)</f>
        <v>421</v>
      </c>
      <c r="T15" s="17">
        <f t="shared" si="7"/>
        <v>51</v>
      </c>
      <c r="U15" s="17">
        <f t="shared" si="7"/>
        <v>40</v>
      </c>
      <c r="V15" s="17">
        <f t="shared" si="7"/>
        <v>214</v>
      </c>
      <c r="W15" s="17">
        <f t="shared" si="7"/>
        <v>7</v>
      </c>
      <c r="X15" s="17">
        <f t="shared" si="7"/>
        <v>7</v>
      </c>
      <c r="Y15" s="17">
        <f t="shared" si="7"/>
        <v>45</v>
      </c>
      <c r="Z15" s="17">
        <f t="shared" si="7"/>
        <v>60</v>
      </c>
      <c r="AA15" s="17">
        <f t="shared" si="7"/>
        <v>6</v>
      </c>
      <c r="AB15" s="17">
        <f t="shared" si="7"/>
        <v>13</v>
      </c>
      <c r="AC15" s="17">
        <f t="shared" si="7"/>
        <v>775</v>
      </c>
      <c r="AD15" s="17">
        <f t="shared" si="7"/>
        <v>0</v>
      </c>
      <c r="AE15" s="31">
        <f t="shared" si="7"/>
        <v>864</v>
      </c>
      <c r="AF15" s="31">
        <f t="shared" si="7"/>
        <v>1639</v>
      </c>
    </row>
    <row r="16" spans="2:32" ht="23.1" customHeight="1" x14ac:dyDescent="0.25">
      <c r="B16" s="45" t="s">
        <v>43</v>
      </c>
      <c r="C16" s="50">
        <v>118</v>
      </c>
      <c r="D16" s="50">
        <v>6</v>
      </c>
      <c r="E16" s="50">
        <v>12</v>
      </c>
      <c r="F16" s="50">
        <v>65</v>
      </c>
      <c r="G16" s="50">
        <v>4</v>
      </c>
      <c r="H16" s="50">
        <v>1</v>
      </c>
      <c r="I16" s="50">
        <v>7</v>
      </c>
      <c r="J16" s="50">
        <v>2</v>
      </c>
      <c r="K16" s="50">
        <v>1</v>
      </c>
      <c r="L16" s="50">
        <v>1</v>
      </c>
      <c r="M16" s="50">
        <v>80</v>
      </c>
      <c r="N16" s="50">
        <v>0</v>
      </c>
      <c r="O16" s="15">
        <f t="shared" si="0"/>
        <v>217</v>
      </c>
      <c r="P16" s="15">
        <f t="shared" si="1"/>
        <v>297</v>
      </c>
      <c r="R16" s="1" t="s">
        <v>12</v>
      </c>
      <c r="S16" s="17">
        <f t="shared" ref="S16:AF16" si="8">SUM(C34:C37)</f>
        <v>485</v>
      </c>
      <c r="T16" s="17">
        <f t="shared" si="8"/>
        <v>57</v>
      </c>
      <c r="U16" s="17">
        <f t="shared" si="8"/>
        <v>37</v>
      </c>
      <c r="V16" s="17">
        <f t="shared" si="8"/>
        <v>249</v>
      </c>
      <c r="W16" s="17">
        <f t="shared" si="8"/>
        <v>8</v>
      </c>
      <c r="X16" s="17">
        <f t="shared" si="8"/>
        <v>8</v>
      </c>
      <c r="Y16" s="17">
        <f t="shared" si="8"/>
        <v>42</v>
      </c>
      <c r="Z16" s="17">
        <f t="shared" si="8"/>
        <v>69</v>
      </c>
      <c r="AA16" s="17">
        <f t="shared" si="8"/>
        <v>22</v>
      </c>
      <c r="AB16" s="17">
        <f t="shared" si="8"/>
        <v>13</v>
      </c>
      <c r="AC16" s="17">
        <f t="shared" si="8"/>
        <v>1066</v>
      </c>
      <c r="AD16" s="17">
        <f t="shared" si="8"/>
        <v>0</v>
      </c>
      <c r="AE16" s="31">
        <f t="shared" si="8"/>
        <v>990</v>
      </c>
      <c r="AF16" s="31">
        <f t="shared" si="8"/>
        <v>2056</v>
      </c>
    </row>
    <row r="17" spans="2:32" ht="23.1" customHeight="1" x14ac:dyDescent="0.25">
      <c r="B17" s="45" t="s">
        <v>44</v>
      </c>
      <c r="C17" s="50">
        <v>102</v>
      </c>
      <c r="D17" s="50">
        <v>11</v>
      </c>
      <c r="E17" s="50">
        <v>9</v>
      </c>
      <c r="F17" s="50">
        <v>54</v>
      </c>
      <c r="G17" s="50">
        <v>2</v>
      </c>
      <c r="H17" s="50">
        <v>4</v>
      </c>
      <c r="I17" s="50">
        <v>7</v>
      </c>
      <c r="J17" s="50">
        <v>1</v>
      </c>
      <c r="K17" s="50">
        <v>2</v>
      </c>
      <c r="L17" s="50">
        <v>4</v>
      </c>
      <c r="M17" s="50">
        <v>185</v>
      </c>
      <c r="N17" s="50">
        <v>0</v>
      </c>
      <c r="O17" s="15">
        <f t="shared" si="0"/>
        <v>196</v>
      </c>
      <c r="P17" s="15">
        <f t="shared" si="1"/>
        <v>381</v>
      </c>
      <c r="R17" s="1" t="s">
        <v>13</v>
      </c>
      <c r="S17" s="17">
        <f t="shared" ref="S17:AF17" si="9">SUM(C38:C41)</f>
        <v>449</v>
      </c>
      <c r="T17" s="17">
        <f t="shared" si="9"/>
        <v>55</v>
      </c>
      <c r="U17" s="17">
        <f t="shared" si="9"/>
        <v>55</v>
      </c>
      <c r="V17" s="17">
        <f t="shared" si="9"/>
        <v>208</v>
      </c>
      <c r="W17" s="17">
        <f t="shared" si="9"/>
        <v>5</v>
      </c>
      <c r="X17" s="17">
        <f t="shared" si="9"/>
        <v>7</v>
      </c>
      <c r="Y17" s="17">
        <f t="shared" si="9"/>
        <v>62</v>
      </c>
      <c r="Z17" s="17">
        <f t="shared" si="9"/>
        <v>55</v>
      </c>
      <c r="AA17" s="17">
        <f t="shared" si="9"/>
        <v>45</v>
      </c>
      <c r="AB17" s="17">
        <f t="shared" si="9"/>
        <v>18</v>
      </c>
      <c r="AC17" s="17">
        <f t="shared" si="9"/>
        <v>866</v>
      </c>
      <c r="AD17" s="17">
        <f t="shared" si="9"/>
        <v>0</v>
      </c>
      <c r="AE17" s="31">
        <f t="shared" si="9"/>
        <v>959</v>
      </c>
      <c r="AF17" s="31">
        <f t="shared" si="9"/>
        <v>1825</v>
      </c>
    </row>
    <row r="18" spans="2:32" ht="23.1" customHeight="1" x14ac:dyDescent="0.25">
      <c r="B18" s="45" t="s">
        <v>45</v>
      </c>
      <c r="C18" s="50">
        <v>80</v>
      </c>
      <c r="D18" s="50">
        <v>5</v>
      </c>
      <c r="E18" s="50">
        <v>12</v>
      </c>
      <c r="F18" s="50">
        <v>59</v>
      </c>
      <c r="G18" s="50">
        <v>1</v>
      </c>
      <c r="H18" s="50">
        <v>0</v>
      </c>
      <c r="I18" s="50">
        <v>6</v>
      </c>
      <c r="J18" s="50">
        <v>12</v>
      </c>
      <c r="K18" s="50">
        <v>1</v>
      </c>
      <c r="L18" s="50">
        <v>1</v>
      </c>
      <c r="M18" s="50">
        <v>105</v>
      </c>
      <c r="N18" s="50">
        <v>0</v>
      </c>
      <c r="O18" s="15">
        <f t="shared" si="0"/>
        <v>177</v>
      </c>
      <c r="P18" s="15">
        <f t="shared" si="1"/>
        <v>282</v>
      </c>
      <c r="R18" s="1" t="s">
        <v>14</v>
      </c>
      <c r="S18" s="17">
        <f t="shared" ref="S18:AF18" si="10">SUM(C42:C45)</f>
        <v>438</v>
      </c>
      <c r="T18" s="17">
        <f t="shared" si="10"/>
        <v>40</v>
      </c>
      <c r="U18" s="17">
        <f t="shared" si="10"/>
        <v>37</v>
      </c>
      <c r="V18" s="17">
        <f t="shared" si="10"/>
        <v>202</v>
      </c>
      <c r="W18" s="17">
        <f t="shared" si="10"/>
        <v>6</v>
      </c>
      <c r="X18" s="17">
        <f t="shared" si="10"/>
        <v>12</v>
      </c>
      <c r="Y18" s="17">
        <f t="shared" si="10"/>
        <v>71</v>
      </c>
      <c r="Z18" s="17">
        <f t="shared" si="10"/>
        <v>66</v>
      </c>
      <c r="AA18" s="17">
        <f t="shared" si="10"/>
        <v>13</v>
      </c>
      <c r="AB18" s="17">
        <f t="shared" si="10"/>
        <v>20</v>
      </c>
      <c r="AC18" s="17">
        <f t="shared" si="10"/>
        <v>903</v>
      </c>
      <c r="AD18" s="17">
        <f t="shared" si="10"/>
        <v>0</v>
      </c>
      <c r="AE18" s="31">
        <f t="shared" si="10"/>
        <v>905</v>
      </c>
      <c r="AF18" s="31">
        <f t="shared" si="10"/>
        <v>1808</v>
      </c>
    </row>
    <row r="19" spans="2:32" ht="23.1" customHeight="1" x14ac:dyDescent="0.25">
      <c r="B19" s="45" t="s">
        <v>46</v>
      </c>
      <c r="C19" s="50">
        <v>99</v>
      </c>
      <c r="D19" s="50">
        <v>19</v>
      </c>
      <c r="E19" s="50">
        <v>8</v>
      </c>
      <c r="F19" s="50">
        <v>60</v>
      </c>
      <c r="G19" s="50">
        <v>1</v>
      </c>
      <c r="H19" s="50">
        <v>1</v>
      </c>
      <c r="I19" s="50">
        <v>7</v>
      </c>
      <c r="J19" s="50">
        <v>0</v>
      </c>
      <c r="K19" s="50">
        <v>1</v>
      </c>
      <c r="L19" s="50">
        <v>3</v>
      </c>
      <c r="M19" s="50">
        <v>165</v>
      </c>
      <c r="N19" s="50">
        <v>0</v>
      </c>
      <c r="O19" s="15">
        <f t="shared" si="0"/>
        <v>199</v>
      </c>
      <c r="P19" s="15">
        <f t="shared" si="1"/>
        <v>364</v>
      </c>
      <c r="R19" s="1" t="s">
        <v>15</v>
      </c>
      <c r="S19" s="17">
        <f t="shared" ref="S19:AF19" si="11">SUM(C46:C49)</f>
        <v>413</v>
      </c>
      <c r="T19" s="17">
        <f t="shared" si="11"/>
        <v>38</v>
      </c>
      <c r="U19" s="17">
        <f t="shared" si="11"/>
        <v>45</v>
      </c>
      <c r="V19" s="17">
        <f t="shared" si="11"/>
        <v>247</v>
      </c>
      <c r="W19" s="17">
        <f t="shared" si="11"/>
        <v>7</v>
      </c>
      <c r="X19" s="17">
        <f t="shared" si="11"/>
        <v>13</v>
      </c>
      <c r="Y19" s="17">
        <f t="shared" si="11"/>
        <v>95</v>
      </c>
      <c r="Z19" s="17">
        <f t="shared" si="11"/>
        <v>103</v>
      </c>
      <c r="AA19" s="17">
        <f t="shared" si="11"/>
        <v>29</v>
      </c>
      <c r="AB19" s="17">
        <f t="shared" si="11"/>
        <v>14</v>
      </c>
      <c r="AC19" s="17">
        <f t="shared" si="11"/>
        <v>833</v>
      </c>
      <c r="AD19" s="17">
        <f t="shared" si="11"/>
        <v>0</v>
      </c>
      <c r="AE19" s="31">
        <f t="shared" si="11"/>
        <v>1004</v>
      </c>
      <c r="AF19" s="31">
        <f t="shared" si="11"/>
        <v>1837</v>
      </c>
    </row>
    <row r="20" spans="2:32" ht="23.1" customHeight="1" x14ac:dyDescent="0.25">
      <c r="B20" s="45" t="s">
        <v>47</v>
      </c>
      <c r="C20" s="50">
        <v>80</v>
      </c>
      <c r="D20" s="50">
        <v>18</v>
      </c>
      <c r="E20" s="50">
        <v>5</v>
      </c>
      <c r="F20" s="50">
        <v>41</v>
      </c>
      <c r="G20" s="50">
        <v>2</v>
      </c>
      <c r="H20" s="50">
        <v>1</v>
      </c>
      <c r="I20" s="50">
        <v>5</v>
      </c>
      <c r="J20" s="50">
        <v>0</v>
      </c>
      <c r="K20" s="50">
        <v>1</v>
      </c>
      <c r="L20" s="50">
        <v>3</v>
      </c>
      <c r="M20" s="50">
        <v>200</v>
      </c>
      <c r="N20" s="50">
        <v>0</v>
      </c>
      <c r="O20" s="15">
        <f t="shared" si="0"/>
        <v>156</v>
      </c>
      <c r="P20" s="15">
        <f t="shared" si="1"/>
        <v>356</v>
      </c>
      <c r="R20" s="1" t="s">
        <v>16</v>
      </c>
      <c r="S20" s="17">
        <f t="shared" ref="S20:AF20" si="12">SUM(C50:C53)</f>
        <v>390</v>
      </c>
      <c r="T20" s="17">
        <f t="shared" si="12"/>
        <v>46</v>
      </c>
      <c r="U20" s="17">
        <f t="shared" si="12"/>
        <v>33</v>
      </c>
      <c r="V20" s="17">
        <f t="shared" si="12"/>
        <v>227</v>
      </c>
      <c r="W20" s="17">
        <f t="shared" si="12"/>
        <v>15</v>
      </c>
      <c r="X20" s="17">
        <f t="shared" si="12"/>
        <v>6</v>
      </c>
      <c r="Y20" s="17">
        <f t="shared" si="12"/>
        <v>63</v>
      </c>
      <c r="Z20" s="17">
        <f t="shared" si="12"/>
        <v>81</v>
      </c>
      <c r="AA20" s="17">
        <f t="shared" si="12"/>
        <v>19</v>
      </c>
      <c r="AB20" s="17">
        <f t="shared" si="12"/>
        <v>26</v>
      </c>
      <c r="AC20" s="17">
        <f t="shared" si="12"/>
        <v>970</v>
      </c>
      <c r="AD20" s="17">
        <f t="shared" si="12"/>
        <v>0</v>
      </c>
      <c r="AE20" s="31">
        <f t="shared" si="12"/>
        <v>906</v>
      </c>
      <c r="AF20" s="31">
        <f t="shared" si="12"/>
        <v>1876</v>
      </c>
    </row>
    <row r="21" spans="2:32" ht="23.1" customHeight="1" x14ac:dyDescent="0.25">
      <c r="B21" s="45" t="s">
        <v>48</v>
      </c>
      <c r="C21" s="50">
        <v>106</v>
      </c>
      <c r="D21" s="50">
        <v>20</v>
      </c>
      <c r="E21" s="50">
        <v>8</v>
      </c>
      <c r="F21" s="50">
        <v>47</v>
      </c>
      <c r="G21" s="50">
        <v>3</v>
      </c>
      <c r="H21" s="50">
        <v>3</v>
      </c>
      <c r="I21" s="50">
        <v>19</v>
      </c>
      <c r="J21" s="50">
        <v>3</v>
      </c>
      <c r="K21" s="50">
        <v>1</v>
      </c>
      <c r="L21" s="50">
        <v>4</v>
      </c>
      <c r="M21" s="50">
        <v>65</v>
      </c>
      <c r="N21" s="50">
        <v>0</v>
      </c>
      <c r="O21" s="15">
        <f t="shared" si="0"/>
        <v>214</v>
      </c>
      <c r="P21" s="15">
        <f t="shared" si="1"/>
        <v>279</v>
      </c>
      <c r="R21" s="36" t="s">
        <v>20</v>
      </c>
      <c r="S21" s="34">
        <f t="shared" ref="S21:AF21" si="13">SUM(C54:C57)</f>
        <v>344</v>
      </c>
      <c r="T21" s="17">
        <f t="shared" si="13"/>
        <v>21</v>
      </c>
      <c r="U21" s="17">
        <f t="shared" si="13"/>
        <v>23</v>
      </c>
      <c r="V21" s="17">
        <f t="shared" si="13"/>
        <v>194</v>
      </c>
      <c r="W21" s="17">
        <f t="shared" si="13"/>
        <v>11</v>
      </c>
      <c r="X21" s="17">
        <f t="shared" si="13"/>
        <v>6</v>
      </c>
      <c r="Y21" s="17">
        <f t="shared" si="13"/>
        <v>65</v>
      </c>
      <c r="Z21" s="17">
        <f t="shared" si="13"/>
        <v>64</v>
      </c>
      <c r="AA21" s="17">
        <f t="shared" si="13"/>
        <v>20</v>
      </c>
      <c r="AB21" s="17">
        <f t="shared" si="13"/>
        <v>18</v>
      </c>
      <c r="AC21" s="17">
        <f t="shared" si="13"/>
        <v>1036</v>
      </c>
      <c r="AD21" s="17">
        <f t="shared" si="13"/>
        <v>0</v>
      </c>
      <c r="AE21" s="31">
        <f t="shared" si="13"/>
        <v>766</v>
      </c>
      <c r="AF21" s="31">
        <f t="shared" si="13"/>
        <v>1802</v>
      </c>
    </row>
    <row r="22" spans="2:32" ht="23.1" customHeight="1" x14ac:dyDescent="0.25">
      <c r="B22" s="45" t="s">
        <v>49</v>
      </c>
      <c r="C22" s="50">
        <v>97</v>
      </c>
      <c r="D22" s="50">
        <v>6</v>
      </c>
      <c r="E22" s="50">
        <v>14</v>
      </c>
      <c r="F22" s="50">
        <v>62</v>
      </c>
      <c r="G22" s="50">
        <v>3</v>
      </c>
      <c r="H22" s="50">
        <v>1</v>
      </c>
      <c r="I22" s="50">
        <v>10</v>
      </c>
      <c r="J22" s="50">
        <v>2</v>
      </c>
      <c r="K22" s="50">
        <v>0</v>
      </c>
      <c r="L22" s="50">
        <v>2</v>
      </c>
      <c r="M22" s="50">
        <v>95</v>
      </c>
      <c r="N22" s="50">
        <v>0</v>
      </c>
      <c r="O22" s="15">
        <f t="shared" si="0"/>
        <v>197</v>
      </c>
      <c r="P22" s="15">
        <f t="shared" si="1"/>
        <v>292</v>
      </c>
      <c r="R22" s="36" t="s">
        <v>146</v>
      </c>
      <c r="S22" s="34">
        <f>SUM(C58:C61)</f>
        <v>323</v>
      </c>
      <c r="T22" s="34">
        <f t="shared" ref="T22:AF22" si="14">SUM(D58:D61)</f>
        <v>13</v>
      </c>
      <c r="U22" s="34">
        <f t="shared" si="14"/>
        <v>18</v>
      </c>
      <c r="V22" s="34">
        <f t="shared" si="14"/>
        <v>181</v>
      </c>
      <c r="W22" s="34">
        <f t="shared" si="14"/>
        <v>6</v>
      </c>
      <c r="X22" s="34">
        <f t="shared" si="14"/>
        <v>12</v>
      </c>
      <c r="Y22" s="34">
        <f t="shared" si="14"/>
        <v>65</v>
      </c>
      <c r="Z22" s="34">
        <f t="shared" si="14"/>
        <v>41</v>
      </c>
      <c r="AA22" s="34">
        <f t="shared" si="14"/>
        <v>3</v>
      </c>
      <c r="AB22" s="34">
        <f t="shared" si="14"/>
        <v>11</v>
      </c>
      <c r="AC22" s="34">
        <f t="shared" si="14"/>
        <v>1227</v>
      </c>
      <c r="AD22" s="34">
        <f t="shared" si="14"/>
        <v>0</v>
      </c>
      <c r="AE22" s="31">
        <f t="shared" si="14"/>
        <v>673</v>
      </c>
      <c r="AF22" s="31">
        <f t="shared" si="14"/>
        <v>1900</v>
      </c>
    </row>
    <row r="23" spans="2:32" ht="23.1" customHeight="1" x14ac:dyDescent="0.25">
      <c r="B23" s="45" t="s">
        <v>50</v>
      </c>
      <c r="C23" s="50">
        <v>95</v>
      </c>
      <c r="D23" s="50">
        <v>12</v>
      </c>
      <c r="E23" s="50">
        <v>10</v>
      </c>
      <c r="F23" s="50">
        <v>64</v>
      </c>
      <c r="G23" s="50">
        <v>7</v>
      </c>
      <c r="H23" s="50">
        <v>2</v>
      </c>
      <c r="I23" s="50">
        <v>40</v>
      </c>
      <c r="J23" s="50">
        <v>19</v>
      </c>
      <c r="K23" s="50">
        <v>0</v>
      </c>
      <c r="L23" s="50">
        <v>3</v>
      </c>
      <c r="M23" s="50">
        <v>55</v>
      </c>
      <c r="N23" s="50">
        <v>0</v>
      </c>
      <c r="O23" s="15">
        <f t="shared" si="0"/>
        <v>252</v>
      </c>
      <c r="P23" s="15">
        <f t="shared" si="1"/>
        <v>307</v>
      </c>
      <c r="R23" s="36" t="s">
        <v>147</v>
      </c>
      <c r="S23" s="34">
        <f>SUM(C62:C65)</f>
        <v>339</v>
      </c>
      <c r="T23" s="34">
        <f t="shared" ref="T23:AF23" si="15">SUM(D62:D65)</f>
        <v>22</v>
      </c>
      <c r="U23" s="34">
        <f t="shared" si="15"/>
        <v>19</v>
      </c>
      <c r="V23" s="34">
        <f t="shared" si="15"/>
        <v>164</v>
      </c>
      <c r="W23" s="34">
        <f t="shared" si="15"/>
        <v>8</v>
      </c>
      <c r="X23" s="34">
        <f t="shared" si="15"/>
        <v>5</v>
      </c>
      <c r="Y23" s="34">
        <f t="shared" si="15"/>
        <v>40</v>
      </c>
      <c r="Z23" s="34">
        <f t="shared" si="15"/>
        <v>40</v>
      </c>
      <c r="AA23" s="34">
        <f t="shared" si="15"/>
        <v>3</v>
      </c>
      <c r="AB23" s="34">
        <f t="shared" si="15"/>
        <v>10</v>
      </c>
      <c r="AC23" s="34">
        <f t="shared" si="15"/>
        <v>1170</v>
      </c>
      <c r="AD23" s="34">
        <f t="shared" si="15"/>
        <v>0</v>
      </c>
      <c r="AE23" s="31">
        <f t="shared" si="15"/>
        <v>650</v>
      </c>
      <c r="AF23" s="31">
        <f t="shared" si="15"/>
        <v>1820</v>
      </c>
    </row>
    <row r="24" spans="2:32" ht="23.1" customHeight="1" x14ac:dyDescent="0.25">
      <c r="B24" s="45" t="s">
        <v>51</v>
      </c>
      <c r="C24" s="50">
        <v>115</v>
      </c>
      <c r="D24" s="50">
        <v>14</v>
      </c>
      <c r="E24" s="50">
        <v>11</v>
      </c>
      <c r="F24" s="50">
        <v>58</v>
      </c>
      <c r="G24" s="50">
        <v>1</v>
      </c>
      <c r="H24" s="50">
        <v>0</v>
      </c>
      <c r="I24" s="50">
        <v>13</v>
      </c>
      <c r="J24" s="50">
        <v>0</v>
      </c>
      <c r="K24" s="50">
        <v>0</v>
      </c>
      <c r="L24" s="50">
        <v>1</v>
      </c>
      <c r="M24" s="50">
        <v>60</v>
      </c>
      <c r="N24" s="50">
        <v>0</v>
      </c>
      <c r="O24" s="15">
        <f t="shared" si="0"/>
        <v>213</v>
      </c>
      <c r="P24" s="15">
        <f t="shared" si="1"/>
        <v>273</v>
      </c>
      <c r="R24" s="36" t="s">
        <v>148</v>
      </c>
      <c r="S24" s="34">
        <f>SUM(C66:C69)</f>
        <v>372</v>
      </c>
      <c r="T24" s="34">
        <f t="shared" ref="T24:AF24" si="16">SUM(D66:D69)</f>
        <v>16</v>
      </c>
      <c r="U24" s="34">
        <f t="shared" si="16"/>
        <v>13</v>
      </c>
      <c r="V24" s="34">
        <f t="shared" si="16"/>
        <v>199</v>
      </c>
      <c r="W24" s="34">
        <f t="shared" si="16"/>
        <v>12</v>
      </c>
      <c r="X24" s="34">
        <f t="shared" si="16"/>
        <v>8</v>
      </c>
      <c r="Y24" s="34">
        <f t="shared" si="16"/>
        <v>28</v>
      </c>
      <c r="Z24" s="34">
        <f t="shared" si="16"/>
        <v>43</v>
      </c>
      <c r="AA24" s="34">
        <f t="shared" si="16"/>
        <v>3</v>
      </c>
      <c r="AB24" s="34">
        <f t="shared" si="16"/>
        <v>12</v>
      </c>
      <c r="AC24" s="34">
        <f t="shared" si="16"/>
        <v>1100</v>
      </c>
      <c r="AD24" s="34">
        <f t="shared" si="16"/>
        <v>0</v>
      </c>
      <c r="AE24" s="31">
        <f t="shared" si="16"/>
        <v>706</v>
      </c>
      <c r="AF24" s="31">
        <f t="shared" si="16"/>
        <v>1806</v>
      </c>
    </row>
    <row r="25" spans="2:32" ht="23.1" customHeight="1" x14ac:dyDescent="0.25">
      <c r="B25" s="45" t="s">
        <v>52</v>
      </c>
      <c r="C25" s="50">
        <v>100</v>
      </c>
      <c r="D25" s="50">
        <v>13</v>
      </c>
      <c r="E25" s="50">
        <v>11</v>
      </c>
      <c r="F25" s="50">
        <v>52</v>
      </c>
      <c r="G25" s="50">
        <v>6</v>
      </c>
      <c r="H25" s="50">
        <v>2</v>
      </c>
      <c r="I25" s="50">
        <v>7</v>
      </c>
      <c r="J25" s="50">
        <v>1</v>
      </c>
      <c r="K25" s="50">
        <v>0</v>
      </c>
      <c r="L25" s="50">
        <v>3</v>
      </c>
      <c r="M25" s="50">
        <v>80</v>
      </c>
      <c r="N25" s="50">
        <v>1</v>
      </c>
      <c r="O25" s="15">
        <f t="shared" si="0"/>
        <v>196</v>
      </c>
      <c r="P25" s="15">
        <f t="shared" si="1"/>
        <v>276</v>
      </c>
      <c r="R25" s="36" t="s">
        <v>149</v>
      </c>
      <c r="S25" s="34">
        <f>SUM(C70:C73)</f>
        <v>339</v>
      </c>
      <c r="T25" s="34">
        <f t="shared" ref="T25:AF25" si="17">SUM(D70:D73)</f>
        <v>45</v>
      </c>
      <c r="U25" s="34">
        <f t="shared" si="17"/>
        <v>28</v>
      </c>
      <c r="V25" s="34">
        <f t="shared" si="17"/>
        <v>148</v>
      </c>
      <c r="W25" s="34">
        <f t="shared" si="17"/>
        <v>13</v>
      </c>
      <c r="X25" s="34">
        <f t="shared" si="17"/>
        <v>4</v>
      </c>
      <c r="Y25" s="34">
        <f t="shared" si="17"/>
        <v>37</v>
      </c>
      <c r="Z25" s="34">
        <f t="shared" si="17"/>
        <v>51</v>
      </c>
      <c r="AA25" s="34">
        <f t="shared" si="17"/>
        <v>3</v>
      </c>
      <c r="AB25" s="34">
        <f t="shared" si="17"/>
        <v>11</v>
      </c>
      <c r="AC25" s="34">
        <f t="shared" si="17"/>
        <v>1102</v>
      </c>
      <c r="AD25" s="34">
        <f t="shared" si="17"/>
        <v>0</v>
      </c>
      <c r="AE25" s="31">
        <f t="shared" si="17"/>
        <v>679</v>
      </c>
      <c r="AF25" s="31">
        <f t="shared" si="17"/>
        <v>1781</v>
      </c>
    </row>
    <row r="26" spans="2:32" ht="23.1" customHeight="1" x14ac:dyDescent="0.25">
      <c r="B26" s="45" t="s">
        <v>53</v>
      </c>
      <c r="C26" s="50">
        <v>120</v>
      </c>
      <c r="D26" s="50">
        <v>8</v>
      </c>
      <c r="E26" s="50">
        <v>3</v>
      </c>
      <c r="F26" s="50">
        <v>63</v>
      </c>
      <c r="G26" s="50">
        <v>3</v>
      </c>
      <c r="H26" s="50">
        <v>4</v>
      </c>
      <c r="I26" s="50">
        <v>8</v>
      </c>
      <c r="J26" s="50">
        <v>8</v>
      </c>
      <c r="K26" s="50">
        <v>0</v>
      </c>
      <c r="L26" s="50">
        <v>3</v>
      </c>
      <c r="M26" s="50">
        <v>80</v>
      </c>
      <c r="N26" s="50">
        <v>0</v>
      </c>
      <c r="O26" s="15">
        <f t="shared" si="0"/>
        <v>220</v>
      </c>
      <c r="P26" s="15">
        <f t="shared" si="1"/>
        <v>300</v>
      </c>
      <c r="R26" s="36" t="s">
        <v>150</v>
      </c>
      <c r="S26" s="34">
        <f>SUM(C74:C77)</f>
        <v>312</v>
      </c>
      <c r="T26" s="34">
        <f t="shared" ref="T26:AF26" si="18">SUM(D74:D77)</f>
        <v>28</v>
      </c>
      <c r="U26" s="34">
        <f t="shared" si="18"/>
        <v>18</v>
      </c>
      <c r="V26" s="34">
        <f t="shared" si="18"/>
        <v>111</v>
      </c>
      <c r="W26" s="34">
        <f t="shared" si="18"/>
        <v>11</v>
      </c>
      <c r="X26" s="34">
        <f t="shared" si="18"/>
        <v>12</v>
      </c>
      <c r="Y26" s="34">
        <f t="shared" si="18"/>
        <v>31</v>
      </c>
      <c r="Z26" s="34">
        <f t="shared" si="18"/>
        <v>42</v>
      </c>
      <c r="AA26" s="34">
        <f t="shared" si="18"/>
        <v>1</v>
      </c>
      <c r="AB26" s="34">
        <f t="shared" si="18"/>
        <v>16</v>
      </c>
      <c r="AC26" s="34">
        <f t="shared" si="18"/>
        <v>564</v>
      </c>
      <c r="AD26" s="34">
        <f t="shared" si="18"/>
        <v>0</v>
      </c>
      <c r="AE26" s="31">
        <f t="shared" si="18"/>
        <v>582</v>
      </c>
      <c r="AF26" s="31">
        <f t="shared" si="18"/>
        <v>1146</v>
      </c>
    </row>
    <row r="27" spans="2:32" ht="23.1" customHeight="1" x14ac:dyDescent="0.25">
      <c r="B27" s="45" t="s">
        <v>54</v>
      </c>
      <c r="C27" s="50">
        <v>95</v>
      </c>
      <c r="D27" s="50">
        <v>14</v>
      </c>
      <c r="E27" s="50">
        <v>11</v>
      </c>
      <c r="F27" s="50">
        <v>44</v>
      </c>
      <c r="G27" s="50">
        <v>1</v>
      </c>
      <c r="H27" s="50">
        <v>4</v>
      </c>
      <c r="I27" s="50">
        <v>10</v>
      </c>
      <c r="J27" s="50">
        <v>8</v>
      </c>
      <c r="K27" s="50">
        <v>0</v>
      </c>
      <c r="L27" s="50">
        <v>3</v>
      </c>
      <c r="M27" s="50">
        <v>77</v>
      </c>
      <c r="N27" s="50">
        <v>0</v>
      </c>
      <c r="O27" s="15">
        <f t="shared" si="0"/>
        <v>190</v>
      </c>
      <c r="P27" s="15">
        <f t="shared" si="1"/>
        <v>267</v>
      </c>
      <c r="R27" s="36" t="s">
        <v>151</v>
      </c>
      <c r="S27" s="34">
        <f>SUM(C78:C81)</f>
        <v>157</v>
      </c>
      <c r="T27" s="34">
        <f t="shared" ref="T27:AF27" si="19">SUM(D78:D81)</f>
        <v>13</v>
      </c>
      <c r="U27" s="34">
        <f t="shared" si="19"/>
        <v>13</v>
      </c>
      <c r="V27" s="34">
        <f t="shared" si="19"/>
        <v>56</v>
      </c>
      <c r="W27" s="34">
        <f t="shared" si="19"/>
        <v>3</v>
      </c>
      <c r="X27" s="34">
        <f t="shared" si="19"/>
        <v>4</v>
      </c>
      <c r="Y27" s="34">
        <f t="shared" si="19"/>
        <v>13</v>
      </c>
      <c r="Z27" s="34">
        <f t="shared" si="19"/>
        <v>19</v>
      </c>
      <c r="AA27" s="34">
        <f t="shared" si="19"/>
        <v>4</v>
      </c>
      <c r="AB27" s="34">
        <f t="shared" si="19"/>
        <v>6</v>
      </c>
      <c r="AC27" s="34">
        <f t="shared" si="19"/>
        <v>311</v>
      </c>
      <c r="AD27" s="34">
        <f t="shared" si="19"/>
        <v>0</v>
      </c>
      <c r="AE27" s="31">
        <f t="shared" si="19"/>
        <v>288</v>
      </c>
      <c r="AF27" s="31">
        <f t="shared" si="19"/>
        <v>599</v>
      </c>
    </row>
    <row r="28" spans="2:32" ht="23.1" customHeight="1" x14ac:dyDescent="0.25">
      <c r="B28" s="45" t="s">
        <v>55</v>
      </c>
      <c r="C28" s="50">
        <v>101</v>
      </c>
      <c r="D28" s="50">
        <v>18</v>
      </c>
      <c r="E28" s="50">
        <v>13</v>
      </c>
      <c r="F28" s="50">
        <v>64</v>
      </c>
      <c r="G28" s="50">
        <v>3</v>
      </c>
      <c r="H28" s="50">
        <v>5</v>
      </c>
      <c r="I28" s="50">
        <v>10</v>
      </c>
      <c r="J28" s="50">
        <v>20</v>
      </c>
      <c r="K28" s="50">
        <v>1</v>
      </c>
      <c r="L28" s="50">
        <v>4</v>
      </c>
      <c r="M28" s="50">
        <v>107</v>
      </c>
      <c r="N28" s="50">
        <v>0</v>
      </c>
      <c r="O28" s="15">
        <f t="shared" si="0"/>
        <v>239</v>
      </c>
      <c r="P28" s="15">
        <f t="shared" si="1"/>
        <v>346</v>
      </c>
      <c r="R28" s="36" t="s">
        <v>152</v>
      </c>
      <c r="S28" s="34">
        <f>SUM(C82:C85)</f>
        <v>98</v>
      </c>
      <c r="T28" s="34">
        <f t="shared" ref="T28:AF28" si="20">SUM(D82:D85)</f>
        <v>11</v>
      </c>
      <c r="U28" s="34">
        <f t="shared" si="20"/>
        <v>6</v>
      </c>
      <c r="V28" s="34">
        <f t="shared" si="20"/>
        <v>27</v>
      </c>
      <c r="W28" s="34">
        <f t="shared" si="20"/>
        <v>0</v>
      </c>
      <c r="X28" s="34">
        <f t="shared" si="20"/>
        <v>4</v>
      </c>
      <c r="Y28" s="34">
        <f t="shared" si="20"/>
        <v>15</v>
      </c>
      <c r="Z28" s="34">
        <f t="shared" si="20"/>
        <v>17</v>
      </c>
      <c r="AA28" s="34">
        <f t="shared" si="20"/>
        <v>8</v>
      </c>
      <c r="AB28" s="34">
        <f t="shared" si="20"/>
        <v>14</v>
      </c>
      <c r="AC28" s="34">
        <f t="shared" si="20"/>
        <v>159</v>
      </c>
      <c r="AD28" s="34">
        <f t="shared" si="20"/>
        <v>0</v>
      </c>
      <c r="AE28" s="31">
        <f t="shared" si="20"/>
        <v>200</v>
      </c>
      <c r="AF28" s="31">
        <f t="shared" si="20"/>
        <v>359</v>
      </c>
    </row>
    <row r="29" spans="2:32" ht="23.1" customHeight="1" x14ac:dyDescent="0.25">
      <c r="B29" s="45" t="s">
        <v>56</v>
      </c>
      <c r="C29" s="50">
        <v>103</v>
      </c>
      <c r="D29" s="50">
        <v>14</v>
      </c>
      <c r="E29" s="50">
        <v>6</v>
      </c>
      <c r="F29" s="50">
        <v>50</v>
      </c>
      <c r="G29" s="50">
        <v>0</v>
      </c>
      <c r="H29" s="50">
        <v>0</v>
      </c>
      <c r="I29" s="50">
        <v>9</v>
      </c>
      <c r="J29" s="50">
        <v>9</v>
      </c>
      <c r="K29" s="50">
        <v>0</v>
      </c>
      <c r="L29" s="50">
        <v>2</v>
      </c>
      <c r="M29" s="50">
        <v>105</v>
      </c>
      <c r="N29" s="50">
        <v>0</v>
      </c>
      <c r="O29" s="15">
        <f t="shared" si="0"/>
        <v>193</v>
      </c>
      <c r="P29" s="15">
        <f t="shared" si="1"/>
        <v>298</v>
      </c>
      <c r="R29" s="36" t="s">
        <v>153</v>
      </c>
      <c r="S29" s="34">
        <f>SUM(C86:C89)</f>
        <v>57</v>
      </c>
      <c r="T29" s="34">
        <f t="shared" ref="T29:AF29" si="21">SUM(D86:D89)</f>
        <v>5</v>
      </c>
      <c r="U29" s="34">
        <f t="shared" si="21"/>
        <v>5</v>
      </c>
      <c r="V29" s="34">
        <f t="shared" si="21"/>
        <v>9</v>
      </c>
      <c r="W29" s="34">
        <f t="shared" si="21"/>
        <v>1</v>
      </c>
      <c r="X29" s="34">
        <f t="shared" si="21"/>
        <v>3</v>
      </c>
      <c r="Y29" s="34">
        <f t="shared" si="21"/>
        <v>12</v>
      </c>
      <c r="Z29" s="34">
        <f t="shared" si="21"/>
        <v>18</v>
      </c>
      <c r="AA29" s="34">
        <f t="shared" si="21"/>
        <v>1</v>
      </c>
      <c r="AB29" s="34">
        <f t="shared" si="21"/>
        <v>5</v>
      </c>
      <c r="AC29" s="34">
        <f t="shared" si="21"/>
        <v>144</v>
      </c>
      <c r="AD29" s="34">
        <f t="shared" si="21"/>
        <v>0</v>
      </c>
      <c r="AE29" s="31">
        <f t="shared" si="21"/>
        <v>116</v>
      </c>
      <c r="AF29" s="31">
        <f t="shared" si="21"/>
        <v>260</v>
      </c>
    </row>
    <row r="30" spans="2:32" ht="23.1" customHeight="1" x14ac:dyDescent="0.25">
      <c r="B30" s="45" t="s">
        <v>57</v>
      </c>
      <c r="C30" s="50">
        <v>83</v>
      </c>
      <c r="D30" s="50">
        <v>13</v>
      </c>
      <c r="E30" s="50">
        <v>8</v>
      </c>
      <c r="F30" s="50">
        <v>39</v>
      </c>
      <c r="G30" s="50">
        <v>1</v>
      </c>
      <c r="H30" s="50">
        <v>0</v>
      </c>
      <c r="I30" s="50">
        <v>15</v>
      </c>
      <c r="J30" s="50">
        <v>13</v>
      </c>
      <c r="K30" s="50">
        <v>1</v>
      </c>
      <c r="L30" s="50">
        <v>2</v>
      </c>
      <c r="M30" s="50">
        <v>220</v>
      </c>
      <c r="N30" s="50">
        <v>0</v>
      </c>
      <c r="O30" s="15">
        <f t="shared" si="0"/>
        <v>175</v>
      </c>
      <c r="P30" s="15">
        <f t="shared" si="1"/>
        <v>395</v>
      </c>
      <c r="R30" s="36" t="s">
        <v>154</v>
      </c>
      <c r="S30" s="34">
        <f>SUM(C90:C93)</f>
        <v>41</v>
      </c>
      <c r="T30" s="34">
        <f t="shared" ref="T30:AF30" si="22">SUM(D90:D93)</f>
        <v>8</v>
      </c>
      <c r="U30" s="34">
        <f t="shared" si="22"/>
        <v>2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18</v>
      </c>
      <c r="Z30" s="34">
        <f t="shared" si="22"/>
        <v>22</v>
      </c>
      <c r="AA30" s="34">
        <f t="shared" si="22"/>
        <v>2</v>
      </c>
      <c r="AB30" s="34">
        <f t="shared" si="22"/>
        <v>6</v>
      </c>
      <c r="AC30" s="34">
        <f t="shared" si="22"/>
        <v>187</v>
      </c>
      <c r="AD30" s="34">
        <f t="shared" si="22"/>
        <v>0</v>
      </c>
      <c r="AE30" s="31">
        <f t="shared" si="22"/>
        <v>100</v>
      </c>
      <c r="AF30" s="31">
        <f t="shared" si="22"/>
        <v>287</v>
      </c>
    </row>
    <row r="31" spans="2:32" ht="23.1" customHeight="1" x14ac:dyDescent="0.25">
      <c r="B31" s="46" t="s">
        <v>58</v>
      </c>
      <c r="C31" s="50">
        <v>92</v>
      </c>
      <c r="D31" s="50">
        <v>8</v>
      </c>
      <c r="E31" s="50">
        <v>12</v>
      </c>
      <c r="F31" s="50">
        <v>55</v>
      </c>
      <c r="G31" s="50">
        <v>3</v>
      </c>
      <c r="H31" s="50">
        <v>3</v>
      </c>
      <c r="I31" s="50">
        <v>13</v>
      </c>
      <c r="J31" s="50">
        <v>19</v>
      </c>
      <c r="K31" s="50">
        <v>0</v>
      </c>
      <c r="L31" s="50">
        <v>4</v>
      </c>
      <c r="M31" s="50">
        <v>155</v>
      </c>
      <c r="N31" s="50">
        <v>0</v>
      </c>
      <c r="O31" s="15">
        <f t="shared" si="0"/>
        <v>209</v>
      </c>
      <c r="P31" s="15">
        <f t="shared" si="1"/>
        <v>364</v>
      </c>
      <c r="R31" s="36" t="s">
        <v>155</v>
      </c>
      <c r="S31" s="34">
        <f>SUM(C94:C97)</f>
        <v>62</v>
      </c>
      <c r="T31" s="34">
        <f t="shared" ref="T31:AF31" si="23">SUM(D94:D97)</f>
        <v>6</v>
      </c>
      <c r="U31" s="34">
        <f t="shared" si="23"/>
        <v>2</v>
      </c>
      <c r="V31" s="34">
        <f t="shared" si="23"/>
        <v>10</v>
      </c>
      <c r="W31" s="34">
        <f t="shared" si="23"/>
        <v>0</v>
      </c>
      <c r="X31" s="34">
        <f t="shared" si="23"/>
        <v>1</v>
      </c>
      <c r="Y31" s="34">
        <f t="shared" si="23"/>
        <v>9</v>
      </c>
      <c r="Z31" s="34">
        <f t="shared" si="23"/>
        <v>15</v>
      </c>
      <c r="AA31" s="34">
        <f t="shared" si="23"/>
        <v>1</v>
      </c>
      <c r="AB31" s="34">
        <f t="shared" si="23"/>
        <v>3</v>
      </c>
      <c r="AC31" s="34">
        <f t="shared" si="23"/>
        <v>137</v>
      </c>
      <c r="AD31" s="34">
        <f t="shared" si="23"/>
        <v>0</v>
      </c>
      <c r="AE31" s="31">
        <f t="shared" si="23"/>
        <v>109</v>
      </c>
      <c r="AF31" s="31">
        <f t="shared" si="23"/>
        <v>246</v>
      </c>
    </row>
    <row r="32" spans="2:32" ht="23.1" customHeight="1" x14ac:dyDescent="0.25">
      <c r="B32" s="46" t="s">
        <v>59</v>
      </c>
      <c r="C32" s="50">
        <v>120</v>
      </c>
      <c r="D32" s="50">
        <v>17</v>
      </c>
      <c r="E32" s="50">
        <v>9</v>
      </c>
      <c r="F32" s="50">
        <v>60</v>
      </c>
      <c r="G32" s="50">
        <v>3</v>
      </c>
      <c r="H32" s="50">
        <v>2</v>
      </c>
      <c r="I32" s="50">
        <v>11</v>
      </c>
      <c r="J32" s="50">
        <v>17</v>
      </c>
      <c r="K32" s="50">
        <v>2</v>
      </c>
      <c r="L32" s="50">
        <v>5</v>
      </c>
      <c r="M32" s="50">
        <v>240</v>
      </c>
      <c r="N32" s="50">
        <v>0</v>
      </c>
      <c r="O32" s="15">
        <f t="shared" si="0"/>
        <v>246</v>
      </c>
      <c r="P32" s="15">
        <f t="shared" si="1"/>
        <v>486</v>
      </c>
      <c r="R32" s="33" t="s">
        <v>156</v>
      </c>
      <c r="S32" s="34">
        <f>SUM(C98:C101)</f>
        <v>57</v>
      </c>
      <c r="T32" s="34">
        <f t="shared" ref="T32:AF32" si="24">SUM(D98:D101)</f>
        <v>12</v>
      </c>
      <c r="U32" s="34">
        <f t="shared" si="24"/>
        <v>8</v>
      </c>
      <c r="V32" s="34">
        <f t="shared" si="24"/>
        <v>16</v>
      </c>
      <c r="W32" s="34">
        <f t="shared" si="24"/>
        <v>1</v>
      </c>
      <c r="X32" s="34">
        <f t="shared" si="24"/>
        <v>1</v>
      </c>
      <c r="Y32" s="34">
        <f t="shared" si="24"/>
        <v>22</v>
      </c>
      <c r="Z32" s="34">
        <f t="shared" si="24"/>
        <v>15</v>
      </c>
      <c r="AA32" s="34">
        <f t="shared" si="24"/>
        <v>2</v>
      </c>
      <c r="AB32" s="34">
        <f t="shared" si="24"/>
        <v>15</v>
      </c>
      <c r="AC32" s="34">
        <f t="shared" si="24"/>
        <v>174</v>
      </c>
      <c r="AD32" s="34">
        <f t="shared" si="24"/>
        <v>0</v>
      </c>
      <c r="AE32" s="31">
        <f t="shared" si="24"/>
        <v>149</v>
      </c>
      <c r="AF32" s="31">
        <f t="shared" si="24"/>
        <v>323</v>
      </c>
    </row>
    <row r="33" spans="2:32" ht="23.1" customHeight="1" x14ac:dyDescent="0.25">
      <c r="B33" s="45" t="s">
        <v>60</v>
      </c>
      <c r="C33" s="50">
        <v>126</v>
      </c>
      <c r="D33" s="50">
        <v>13</v>
      </c>
      <c r="E33" s="50">
        <v>11</v>
      </c>
      <c r="F33" s="50">
        <v>60</v>
      </c>
      <c r="G33" s="50">
        <v>0</v>
      </c>
      <c r="H33" s="50">
        <v>2</v>
      </c>
      <c r="I33" s="50">
        <v>6</v>
      </c>
      <c r="J33" s="50">
        <v>11</v>
      </c>
      <c r="K33" s="50">
        <v>3</v>
      </c>
      <c r="L33" s="50">
        <v>2</v>
      </c>
      <c r="M33" s="50">
        <v>160</v>
      </c>
      <c r="N33" s="50">
        <v>0</v>
      </c>
      <c r="O33" s="15">
        <f t="shared" si="0"/>
        <v>234</v>
      </c>
      <c r="P33" s="15">
        <f t="shared" si="1"/>
        <v>394</v>
      </c>
      <c r="R33" s="33" t="s">
        <v>157</v>
      </c>
      <c r="S33" s="34">
        <f>SUM(C102:C105)</f>
        <v>132</v>
      </c>
      <c r="T33" s="34">
        <f t="shared" ref="T33:AF33" si="25">SUM(D102:D105)</f>
        <v>19</v>
      </c>
      <c r="U33" s="34">
        <f t="shared" si="25"/>
        <v>16</v>
      </c>
      <c r="V33" s="34">
        <f t="shared" si="25"/>
        <v>64</v>
      </c>
      <c r="W33" s="34">
        <f t="shared" si="25"/>
        <v>2</v>
      </c>
      <c r="X33" s="34">
        <f t="shared" si="25"/>
        <v>4</v>
      </c>
      <c r="Y33" s="34">
        <f t="shared" si="25"/>
        <v>25</v>
      </c>
      <c r="Z33" s="34">
        <f t="shared" si="25"/>
        <v>23</v>
      </c>
      <c r="AA33" s="34">
        <f t="shared" si="25"/>
        <v>4</v>
      </c>
      <c r="AB33" s="34">
        <f t="shared" si="25"/>
        <v>19</v>
      </c>
      <c r="AC33" s="34">
        <f t="shared" si="25"/>
        <v>227</v>
      </c>
      <c r="AD33" s="34">
        <f t="shared" si="25"/>
        <v>0</v>
      </c>
      <c r="AE33" s="31">
        <f t="shared" si="25"/>
        <v>308</v>
      </c>
      <c r="AF33" s="31">
        <f t="shared" si="25"/>
        <v>535</v>
      </c>
    </row>
    <row r="34" spans="2:32" ht="23.1" customHeight="1" x14ac:dyDescent="0.25">
      <c r="B34" s="46" t="s">
        <v>61</v>
      </c>
      <c r="C34" s="50">
        <v>120</v>
      </c>
      <c r="D34" s="50">
        <v>13</v>
      </c>
      <c r="E34" s="50">
        <v>14</v>
      </c>
      <c r="F34" s="50">
        <v>49</v>
      </c>
      <c r="G34" s="50">
        <v>3</v>
      </c>
      <c r="H34" s="50">
        <v>2</v>
      </c>
      <c r="I34" s="50">
        <v>10</v>
      </c>
      <c r="J34" s="50">
        <v>8</v>
      </c>
      <c r="K34" s="50">
        <v>16</v>
      </c>
      <c r="L34" s="50">
        <v>1</v>
      </c>
      <c r="M34" s="50">
        <v>211</v>
      </c>
      <c r="N34" s="50">
        <v>0</v>
      </c>
      <c r="O34" s="15">
        <f t="shared" si="0"/>
        <v>236</v>
      </c>
      <c r="P34" s="15">
        <f t="shared" si="1"/>
        <v>447</v>
      </c>
      <c r="R34" s="38" t="s">
        <v>90</v>
      </c>
      <c r="S34" s="39">
        <f t="shared" ref="S34:AF34" si="26">MAX(S10:S12)</f>
        <v>389</v>
      </c>
      <c r="T34" s="39">
        <f t="shared" si="26"/>
        <v>62</v>
      </c>
      <c r="U34" s="39">
        <f t="shared" si="26"/>
        <v>36</v>
      </c>
      <c r="V34" s="39">
        <f t="shared" si="26"/>
        <v>228</v>
      </c>
      <c r="W34" s="39">
        <f t="shared" si="26"/>
        <v>10</v>
      </c>
      <c r="X34" s="39">
        <f t="shared" si="26"/>
        <v>12</v>
      </c>
      <c r="Y34" s="39">
        <f t="shared" si="26"/>
        <v>38</v>
      </c>
      <c r="Z34" s="39">
        <f t="shared" si="26"/>
        <v>17</v>
      </c>
      <c r="AA34" s="39">
        <f t="shared" si="26"/>
        <v>5</v>
      </c>
      <c r="AB34" s="39">
        <f t="shared" si="26"/>
        <v>16</v>
      </c>
      <c r="AC34" s="39">
        <f t="shared" si="26"/>
        <v>650</v>
      </c>
      <c r="AD34" s="39">
        <f t="shared" si="26"/>
        <v>0</v>
      </c>
      <c r="AE34" s="40">
        <f t="shared" si="26"/>
        <v>784</v>
      </c>
      <c r="AF34" s="40">
        <f t="shared" si="26"/>
        <v>1334</v>
      </c>
    </row>
    <row r="35" spans="2:32" ht="23.1" customHeight="1" x14ac:dyDescent="0.25">
      <c r="B35" s="46" t="s">
        <v>62</v>
      </c>
      <c r="C35" s="50">
        <v>103</v>
      </c>
      <c r="D35" s="50">
        <v>23</v>
      </c>
      <c r="E35" s="50">
        <v>8</v>
      </c>
      <c r="F35" s="50">
        <v>68</v>
      </c>
      <c r="G35" s="50">
        <v>0</v>
      </c>
      <c r="H35" s="50">
        <v>5</v>
      </c>
      <c r="I35" s="50">
        <v>8</v>
      </c>
      <c r="J35" s="50">
        <v>16</v>
      </c>
      <c r="K35" s="50">
        <v>4</v>
      </c>
      <c r="L35" s="50">
        <v>4</v>
      </c>
      <c r="M35" s="50">
        <v>282</v>
      </c>
      <c r="N35" s="50">
        <v>0</v>
      </c>
      <c r="O35" s="15">
        <f t="shared" si="0"/>
        <v>239</v>
      </c>
      <c r="P35" s="15">
        <f t="shared" si="1"/>
        <v>521</v>
      </c>
      <c r="R35" s="38" t="s">
        <v>91</v>
      </c>
      <c r="S35" s="39">
        <f t="shared" ref="S35:AF35" si="27">MAX(S13:S18)</f>
        <v>485</v>
      </c>
      <c r="T35" s="39">
        <f t="shared" si="27"/>
        <v>57</v>
      </c>
      <c r="U35" s="39">
        <f t="shared" si="27"/>
        <v>55</v>
      </c>
      <c r="V35" s="39">
        <f t="shared" si="27"/>
        <v>249</v>
      </c>
      <c r="W35" s="39">
        <f t="shared" si="27"/>
        <v>17</v>
      </c>
      <c r="X35" s="39">
        <f t="shared" si="27"/>
        <v>13</v>
      </c>
      <c r="Y35" s="39">
        <f t="shared" si="27"/>
        <v>71</v>
      </c>
      <c r="Z35" s="39">
        <f t="shared" si="27"/>
        <v>69</v>
      </c>
      <c r="AA35" s="39">
        <f t="shared" si="27"/>
        <v>45</v>
      </c>
      <c r="AB35" s="39">
        <f t="shared" si="27"/>
        <v>20</v>
      </c>
      <c r="AC35" s="39">
        <f t="shared" si="27"/>
        <v>1066</v>
      </c>
      <c r="AD35" s="39">
        <f t="shared" si="27"/>
        <v>1</v>
      </c>
      <c r="AE35" s="40">
        <f t="shared" si="27"/>
        <v>990</v>
      </c>
      <c r="AF35" s="40">
        <f t="shared" si="27"/>
        <v>2056</v>
      </c>
    </row>
    <row r="36" spans="2:32" ht="23.1" customHeight="1" x14ac:dyDescent="0.25">
      <c r="B36" s="46" t="s">
        <v>63</v>
      </c>
      <c r="C36" s="50">
        <v>125</v>
      </c>
      <c r="D36" s="50">
        <v>9</v>
      </c>
      <c r="E36" s="50">
        <v>7</v>
      </c>
      <c r="F36" s="50">
        <v>58</v>
      </c>
      <c r="G36" s="50">
        <v>2</v>
      </c>
      <c r="H36" s="50">
        <v>0</v>
      </c>
      <c r="I36" s="50">
        <v>6</v>
      </c>
      <c r="J36" s="50">
        <v>26</v>
      </c>
      <c r="K36" s="50">
        <v>1</v>
      </c>
      <c r="L36" s="50">
        <v>4</v>
      </c>
      <c r="M36" s="50">
        <v>228</v>
      </c>
      <c r="N36" s="50">
        <v>0</v>
      </c>
      <c r="O36" s="15">
        <f t="shared" si="0"/>
        <v>238</v>
      </c>
      <c r="P36" s="15">
        <f t="shared" si="1"/>
        <v>466</v>
      </c>
      <c r="R36" s="38" t="s">
        <v>92</v>
      </c>
      <c r="S36" s="39">
        <f t="shared" ref="S36:AF36" si="28">MAX(S19:S21)</f>
        <v>413</v>
      </c>
      <c r="T36" s="39">
        <f t="shared" si="28"/>
        <v>46</v>
      </c>
      <c r="U36" s="39">
        <f t="shared" si="28"/>
        <v>45</v>
      </c>
      <c r="V36" s="39">
        <f t="shared" si="28"/>
        <v>247</v>
      </c>
      <c r="W36" s="39">
        <f t="shared" si="28"/>
        <v>15</v>
      </c>
      <c r="X36" s="39">
        <f t="shared" si="28"/>
        <v>13</v>
      </c>
      <c r="Y36" s="39">
        <f t="shared" si="28"/>
        <v>95</v>
      </c>
      <c r="Z36" s="39">
        <f t="shared" si="28"/>
        <v>103</v>
      </c>
      <c r="AA36" s="39">
        <f t="shared" si="28"/>
        <v>29</v>
      </c>
      <c r="AB36" s="39">
        <f t="shared" si="28"/>
        <v>26</v>
      </c>
      <c r="AC36" s="39">
        <f t="shared" si="28"/>
        <v>1036</v>
      </c>
      <c r="AD36" s="39">
        <f t="shared" si="28"/>
        <v>0</v>
      </c>
      <c r="AE36" s="40">
        <f t="shared" si="28"/>
        <v>1004</v>
      </c>
      <c r="AF36" s="40">
        <f t="shared" si="28"/>
        <v>1876</v>
      </c>
    </row>
    <row r="37" spans="2:32" ht="23.1" customHeight="1" x14ac:dyDescent="0.25">
      <c r="B37" s="45" t="s">
        <v>64</v>
      </c>
      <c r="C37" s="50">
        <v>137</v>
      </c>
      <c r="D37" s="50">
        <v>12</v>
      </c>
      <c r="E37" s="50">
        <v>8</v>
      </c>
      <c r="F37" s="50">
        <v>74</v>
      </c>
      <c r="G37" s="50">
        <v>3</v>
      </c>
      <c r="H37" s="50">
        <v>1</v>
      </c>
      <c r="I37" s="50">
        <v>18</v>
      </c>
      <c r="J37" s="50">
        <v>19</v>
      </c>
      <c r="K37" s="50">
        <v>1</v>
      </c>
      <c r="L37" s="50">
        <v>4</v>
      </c>
      <c r="M37" s="50">
        <v>345</v>
      </c>
      <c r="N37" s="50">
        <v>0</v>
      </c>
      <c r="O37" s="15">
        <f t="shared" si="0"/>
        <v>277</v>
      </c>
      <c r="P37" s="15">
        <f t="shared" si="1"/>
        <v>622</v>
      </c>
      <c r="R37" s="37" t="s">
        <v>85</v>
      </c>
      <c r="S37" s="35">
        <f t="shared" ref="S37:AF37" si="29">SUM(S10:S12)</f>
        <v>967</v>
      </c>
      <c r="T37" s="16">
        <f t="shared" si="29"/>
        <v>123</v>
      </c>
      <c r="U37" s="16">
        <f t="shared" si="29"/>
        <v>103</v>
      </c>
      <c r="V37" s="16">
        <f t="shared" si="29"/>
        <v>657</v>
      </c>
      <c r="W37" s="16">
        <f t="shared" si="29"/>
        <v>26</v>
      </c>
      <c r="X37" s="16">
        <f t="shared" si="29"/>
        <v>24</v>
      </c>
      <c r="Y37" s="16">
        <f t="shared" si="29"/>
        <v>104</v>
      </c>
      <c r="Z37" s="16">
        <f t="shared" si="29"/>
        <v>44</v>
      </c>
      <c r="AA37" s="16">
        <f t="shared" si="29"/>
        <v>13</v>
      </c>
      <c r="AB37" s="16">
        <f t="shared" si="29"/>
        <v>39</v>
      </c>
      <c r="AC37" s="16">
        <f t="shared" si="29"/>
        <v>1735</v>
      </c>
      <c r="AD37" s="16">
        <f t="shared" si="29"/>
        <v>0</v>
      </c>
      <c r="AE37" s="32">
        <f t="shared" si="29"/>
        <v>2100</v>
      </c>
      <c r="AF37" s="32">
        <f t="shared" si="29"/>
        <v>3835</v>
      </c>
    </row>
    <row r="38" spans="2:32" ht="23.1" customHeight="1" x14ac:dyDescent="0.25">
      <c r="B38" s="46" t="s">
        <v>65</v>
      </c>
      <c r="C38" s="50">
        <v>125</v>
      </c>
      <c r="D38" s="50">
        <v>21</v>
      </c>
      <c r="E38" s="50">
        <v>15</v>
      </c>
      <c r="F38" s="50">
        <v>49</v>
      </c>
      <c r="G38" s="50">
        <v>1</v>
      </c>
      <c r="H38" s="50">
        <v>0</v>
      </c>
      <c r="I38" s="50">
        <v>14</v>
      </c>
      <c r="J38" s="50">
        <v>14</v>
      </c>
      <c r="K38" s="50">
        <v>6</v>
      </c>
      <c r="L38" s="50">
        <v>5</v>
      </c>
      <c r="M38" s="50">
        <v>175</v>
      </c>
      <c r="N38" s="50">
        <v>0</v>
      </c>
      <c r="O38" s="15">
        <f t="shared" si="0"/>
        <v>250</v>
      </c>
      <c r="P38" s="15">
        <f t="shared" si="1"/>
        <v>425</v>
      </c>
      <c r="R38" s="28" t="s">
        <v>86</v>
      </c>
      <c r="S38" s="16">
        <f t="shared" ref="S38:AF38" si="30">SUM(S13:S18)</f>
        <v>2619</v>
      </c>
      <c r="T38" s="16">
        <f t="shared" si="30"/>
        <v>302</v>
      </c>
      <c r="U38" s="16">
        <f t="shared" si="30"/>
        <v>248</v>
      </c>
      <c r="V38" s="16">
        <f t="shared" si="30"/>
        <v>1330</v>
      </c>
      <c r="W38" s="16">
        <f t="shared" si="30"/>
        <v>50</v>
      </c>
      <c r="X38" s="16">
        <f t="shared" si="30"/>
        <v>52</v>
      </c>
      <c r="Y38" s="16">
        <f t="shared" si="30"/>
        <v>327</v>
      </c>
      <c r="Z38" s="16">
        <f t="shared" si="30"/>
        <v>317</v>
      </c>
      <c r="AA38" s="16">
        <f t="shared" si="30"/>
        <v>87</v>
      </c>
      <c r="AB38" s="16">
        <f t="shared" si="30"/>
        <v>85</v>
      </c>
      <c r="AC38" s="16">
        <f t="shared" si="30"/>
        <v>4269</v>
      </c>
      <c r="AD38" s="16">
        <f t="shared" si="30"/>
        <v>1</v>
      </c>
      <c r="AE38" s="32">
        <f t="shared" si="30"/>
        <v>5418</v>
      </c>
      <c r="AF38" s="32">
        <f t="shared" si="30"/>
        <v>9687</v>
      </c>
    </row>
    <row r="39" spans="2:32" ht="23.1" customHeight="1" x14ac:dyDescent="0.25">
      <c r="B39" s="46" t="s">
        <v>66</v>
      </c>
      <c r="C39" s="50">
        <v>107</v>
      </c>
      <c r="D39" s="50">
        <v>18</v>
      </c>
      <c r="E39" s="50">
        <v>9</v>
      </c>
      <c r="F39" s="50">
        <v>59</v>
      </c>
      <c r="G39" s="50">
        <v>2</v>
      </c>
      <c r="H39" s="50">
        <v>3</v>
      </c>
      <c r="I39" s="50">
        <v>17</v>
      </c>
      <c r="J39" s="50">
        <v>11</v>
      </c>
      <c r="K39" s="50">
        <v>8</v>
      </c>
      <c r="L39" s="50">
        <v>1</v>
      </c>
      <c r="M39" s="50">
        <v>225</v>
      </c>
      <c r="N39" s="50">
        <v>0</v>
      </c>
      <c r="O39" s="15">
        <f t="shared" si="0"/>
        <v>235</v>
      </c>
      <c r="P39" s="15">
        <f t="shared" si="1"/>
        <v>460</v>
      </c>
      <c r="R39" s="29" t="s">
        <v>87</v>
      </c>
      <c r="S39" s="16">
        <f t="shared" ref="S39:AF39" si="31">SUM(S19:S21)</f>
        <v>1147</v>
      </c>
      <c r="T39" s="16">
        <f t="shared" si="31"/>
        <v>105</v>
      </c>
      <c r="U39" s="16">
        <f t="shared" si="31"/>
        <v>101</v>
      </c>
      <c r="V39" s="16">
        <f t="shared" si="31"/>
        <v>668</v>
      </c>
      <c r="W39" s="16">
        <f t="shared" si="31"/>
        <v>33</v>
      </c>
      <c r="X39" s="16">
        <f t="shared" si="31"/>
        <v>25</v>
      </c>
      <c r="Y39" s="16">
        <f t="shared" si="31"/>
        <v>223</v>
      </c>
      <c r="Z39" s="16">
        <f t="shared" si="31"/>
        <v>248</v>
      </c>
      <c r="AA39" s="16">
        <f t="shared" si="31"/>
        <v>68</v>
      </c>
      <c r="AB39" s="16">
        <f t="shared" si="31"/>
        <v>58</v>
      </c>
      <c r="AC39" s="16">
        <f t="shared" si="31"/>
        <v>2839</v>
      </c>
      <c r="AD39" s="16">
        <f t="shared" si="31"/>
        <v>0</v>
      </c>
      <c r="AE39" s="32">
        <f t="shared" si="31"/>
        <v>2676</v>
      </c>
      <c r="AF39" s="32">
        <f t="shared" si="31"/>
        <v>5515</v>
      </c>
    </row>
    <row r="40" spans="2:32" ht="23.1" customHeight="1" x14ac:dyDescent="0.25">
      <c r="B40" s="46" t="s">
        <v>67</v>
      </c>
      <c r="C40" s="50">
        <v>101</v>
      </c>
      <c r="D40" s="50">
        <v>6</v>
      </c>
      <c r="E40" s="50">
        <v>12</v>
      </c>
      <c r="F40" s="50">
        <v>34</v>
      </c>
      <c r="G40" s="50">
        <v>1</v>
      </c>
      <c r="H40" s="50">
        <v>1</v>
      </c>
      <c r="I40" s="50">
        <v>16</v>
      </c>
      <c r="J40" s="50">
        <v>10</v>
      </c>
      <c r="K40" s="50">
        <v>15</v>
      </c>
      <c r="L40" s="50">
        <v>6</v>
      </c>
      <c r="M40" s="50">
        <v>200</v>
      </c>
      <c r="N40" s="50">
        <v>0</v>
      </c>
      <c r="O40" s="15">
        <f t="shared" si="0"/>
        <v>202</v>
      </c>
      <c r="P40" s="15">
        <f t="shared" si="1"/>
        <v>402</v>
      </c>
      <c r="R40" s="5" t="s">
        <v>17</v>
      </c>
      <c r="S40" s="16">
        <f t="shared" ref="S40:AF40" si="32">SUM(S10:S21)</f>
        <v>4733</v>
      </c>
      <c r="T40" s="16">
        <f t="shared" si="32"/>
        <v>530</v>
      </c>
      <c r="U40" s="16">
        <f t="shared" si="32"/>
        <v>452</v>
      </c>
      <c r="V40" s="16">
        <f t="shared" si="32"/>
        <v>2655</v>
      </c>
      <c r="W40" s="16">
        <f t="shared" si="32"/>
        <v>109</v>
      </c>
      <c r="X40" s="16">
        <f t="shared" si="32"/>
        <v>101</v>
      </c>
      <c r="Y40" s="16">
        <f t="shared" si="32"/>
        <v>654</v>
      </c>
      <c r="Z40" s="16">
        <f t="shared" si="32"/>
        <v>609</v>
      </c>
      <c r="AA40" s="16">
        <f t="shared" si="32"/>
        <v>168</v>
      </c>
      <c r="AB40" s="16">
        <f t="shared" si="32"/>
        <v>182</v>
      </c>
      <c r="AC40" s="16">
        <f t="shared" si="32"/>
        <v>8843</v>
      </c>
      <c r="AD40" s="16">
        <f t="shared" si="32"/>
        <v>1</v>
      </c>
      <c r="AE40" s="32">
        <f t="shared" si="32"/>
        <v>10194</v>
      </c>
      <c r="AF40" s="32">
        <f t="shared" si="32"/>
        <v>19037</v>
      </c>
    </row>
    <row r="41" spans="2:32" ht="23.1" customHeight="1" x14ac:dyDescent="0.25">
      <c r="B41" s="45" t="s">
        <v>68</v>
      </c>
      <c r="C41" s="50">
        <v>116</v>
      </c>
      <c r="D41" s="50">
        <v>10</v>
      </c>
      <c r="E41" s="50">
        <v>19</v>
      </c>
      <c r="F41" s="50">
        <v>66</v>
      </c>
      <c r="G41" s="50">
        <v>1</v>
      </c>
      <c r="H41" s="50">
        <v>3</v>
      </c>
      <c r="I41" s="50">
        <v>15</v>
      </c>
      <c r="J41" s="50">
        <v>20</v>
      </c>
      <c r="K41" s="50">
        <v>16</v>
      </c>
      <c r="L41" s="50">
        <v>6</v>
      </c>
      <c r="M41" s="50">
        <v>266</v>
      </c>
      <c r="N41" s="50">
        <v>0</v>
      </c>
      <c r="O41" s="15">
        <f t="shared" si="0"/>
        <v>272</v>
      </c>
      <c r="P41" s="15">
        <f t="shared" si="1"/>
        <v>538</v>
      </c>
      <c r="R41" s="5" t="s">
        <v>159</v>
      </c>
      <c r="S41" s="16">
        <f>SUM(S10:S33)</f>
        <v>7022</v>
      </c>
      <c r="T41" s="16">
        <f t="shared" ref="T41:AF41" si="33">SUM(T10:T33)</f>
        <v>728</v>
      </c>
      <c r="U41" s="16">
        <f t="shared" si="33"/>
        <v>600</v>
      </c>
      <c r="V41" s="16">
        <f t="shared" si="33"/>
        <v>3641</v>
      </c>
      <c r="W41" s="16">
        <f t="shared" si="33"/>
        <v>166</v>
      </c>
      <c r="X41" s="16">
        <f t="shared" si="33"/>
        <v>159</v>
      </c>
      <c r="Y41" s="16">
        <f t="shared" si="33"/>
        <v>969</v>
      </c>
      <c r="Z41" s="16">
        <f t="shared" si="33"/>
        <v>955</v>
      </c>
      <c r="AA41" s="16">
        <f t="shared" si="33"/>
        <v>203</v>
      </c>
      <c r="AB41" s="16">
        <f t="shared" si="33"/>
        <v>310</v>
      </c>
      <c r="AC41" s="16">
        <f t="shared" si="33"/>
        <v>15345</v>
      </c>
      <c r="AD41" s="16">
        <f t="shared" si="33"/>
        <v>1</v>
      </c>
      <c r="AE41" s="32">
        <f t="shared" si="33"/>
        <v>14754</v>
      </c>
      <c r="AF41" s="32">
        <f t="shared" si="33"/>
        <v>30099</v>
      </c>
    </row>
    <row r="42" spans="2:32" ht="23.1" customHeight="1" x14ac:dyDescent="0.25">
      <c r="B42" s="46" t="s">
        <v>69</v>
      </c>
      <c r="C42" s="50">
        <v>117</v>
      </c>
      <c r="D42" s="50">
        <v>7</v>
      </c>
      <c r="E42" s="50">
        <v>11</v>
      </c>
      <c r="F42" s="50">
        <v>64</v>
      </c>
      <c r="G42" s="50">
        <v>0</v>
      </c>
      <c r="H42" s="50">
        <v>1</v>
      </c>
      <c r="I42" s="50">
        <v>16</v>
      </c>
      <c r="J42" s="50">
        <v>19</v>
      </c>
      <c r="K42" s="50">
        <v>2</v>
      </c>
      <c r="L42" s="50">
        <v>6</v>
      </c>
      <c r="M42" s="50">
        <v>186</v>
      </c>
      <c r="N42" s="50">
        <v>0</v>
      </c>
      <c r="O42" s="15">
        <f t="shared" si="0"/>
        <v>243</v>
      </c>
      <c r="P42" s="15">
        <f t="shared" si="1"/>
        <v>429</v>
      </c>
      <c r="R42" s="5" t="s">
        <v>160</v>
      </c>
      <c r="S42" s="48">
        <f>S41/S40</f>
        <v>1.4836256074371434</v>
      </c>
      <c r="T42" s="48">
        <f t="shared" ref="T42:AF42" si="34">T41/T40</f>
        <v>1.3735849056603773</v>
      </c>
      <c r="U42" s="48">
        <f t="shared" si="34"/>
        <v>1.3274336283185841</v>
      </c>
      <c r="V42" s="48">
        <f t="shared" si="34"/>
        <v>1.3713747645951035</v>
      </c>
      <c r="W42" s="48">
        <f t="shared" si="34"/>
        <v>1.5229357798165137</v>
      </c>
      <c r="X42" s="48">
        <f t="shared" si="34"/>
        <v>1.5742574257425743</v>
      </c>
      <c r="Y42" s="48">
        <f t="shared" si="34"/>
        <v>1.4816513761467891</v>
      </c>
      <c r="Z42" s="48">
        <f t="shared" si="34"/>
        <v>1.5681444991789819</v>
      </c>
      <c r="AA42" s="48">
        <f t="shared" si="34"/>
        <v>1.2083333333333333</v>
      </c>
      <c r="AB42" s="48">
        <f t="shared" si="34"/>
        <v>1.7032967032967032</v>
      </c>
      <c r="AC42" s="48">
        <f t="shared" si="34"/>
        <v>1.7352708356892457</v>
      </c>
      <c r="AD42" s="48">
        <f t="shared" si="34"/>
        <v>1</v>
      </c>
      <c r="AE42" s="48">
        <f t="shared" si="34"/>
        <v>1.4473219540906415</v>
      </c>
      <c r="AF42" s="48">
        <f t="shared" si="34"/>
        <v>1.58107895151547</v>
      </c>
    </row>
    <row r="43" spans="2:32" ht="23.1" customHeight="1" x14ac:dyDescent="0.25">
      <c r="B43" s="45" t="s">
        <v>70</v>
      </c>
      <c r="C43" s="50">
        <v>118</v>
      </c>
      <c r="D43" s="50">
        <v>9</v>
      </c>
      <c r="E43" s="50">
        <v>12</v>
      </c>
      <c r="F43" s="50">
        <v>44</v>
      </c>
      <c r="G43" s="50">
        <v>0</v>
      </c>
      <c r="H43" s="50">
        <v>2</v>
      </c>
      <c r="I43" s="50">
        <v>25</v>
      </c>
      <c r="J43" s="50">
        <v>24</v>
      </c>
      <c r="K43" s="50">
        <v>6</v>
      </c>
      <c r="L43" s="50">
        <v>4</v>
      </c>
      <c r="M43" s="50">
        <v>235</v>
      </c>
      <c r="N43" s="50">
        <v>0</v>
      </c>
      <c r="O43" s="15">
        <f t="shared" si="0"/>
        <v>244</v>
      </c>
      <c r="P43" s="15">
        <f t="shared" si="1"/>
        <v>479</v>
      </c>
    </row>
    <row r="44" spans="2:32" ht="23.1" customHeight="1" x14ac:dyDescent="0.25">
      <c r="B44" s="47" t="s">
        <v>71</v>
      </c>
      <c r="C44" s="50">
        <v>103</v>
      </c>
      <c r="D44" s="50">
        <v>13</v>
      </c>
      <c r="E44" s="50">
        <v>11</v>
      </c>
      <c r="F44" s="50">
        <v>49</v>
      </c>
      <c r="G44" s="50">
        <v>1</v>
      </c>
      <c r="H44" s="50">
        <v>3</v>
      </c>
      <c r="I44" s="50">
        <v>13</v>
      </c>
      <c r="J44" s="50">
        <v>2</v>
      </c>
      <c r="K44" s="50">
        <v>3</v>
      </c>
      <c r="L44" s="50">
        <v>6</v>
      </c>
      <c r="M44" s="50">
        <v>259</v>
      </c>
      <c r="N44" s="50">
        <v>0</v>
      </c>
      <c r="O44" s="15">
        <f t="shared" si="0"/>
        <v>204</v>
      </c>
      <c r="P44" s="15">
        <f t="shared" si="1"/>
        <v>463</v>
      </c>
    </row>
    <row r="45" spans="2:32" ht="23.1" customHeight="1" x14ac:dyDescent="0.25">
      <c r="B45" s="45" t="s">
        <v>72</v>
      </c>
      <c r="C45" s="50">
        <v>100</v>
      </c>
      <c r="D45" s="50">
        <v>11</v>
      </c>
      <c r="E45" s="50">
        <v>3</v>
      </c>
      <c r="F45" s="50">
        <v>45</v>
      </c>
      <c r="G45" s="50">
        <v>5</v>
      </c>
      <c r="H45" s="50">
        <v>6</v>
      </c>
      <c r="I45" s="50">
        <v>17</v>
      </c>
      <c r="J45" s="50">
        <v>21</v>
      </c>
      <c r="K45" s="50">
        <v>2</v>
      </c>
      <c r="L45" s="50">
        <v>4</v>
      </c>
      <c r="M45" s="50">
        <v>223</v>
      </c>
      <c r="N45" s="50">
        <v>0</v>
      </c>
      <c r="O45" s="15">
        <f t="shared" si="0"/>
        <v>214</v>
      </c>
      <c r="P45" s="15">
        <f t="shared" si="1"/>
        <v>437</v>
      </c>
    </row>
    <row r="46" spans="2:32" ht="23.1" customHeight="1" x14ac:dyDescent="0.25">
      <c r="B46" s="46" t="s">
        <v>73</v>
      </c>
      <c r="C46" s="50">
        <v>109</v>
      </c>
      <c r="D46" s="50">
        <v>8</v>
      </c>
      <c r="E46" s="50">
        <v>6</v>
      </c>
      <c r="F46" s="50">
        <v>75</v>
      </c>
      <c r="G46" s="50">
        <v>3</v>
      </c>
      <c r="H46" s="50">
        <v>2</v>
      </c>
      <c r="I46" s="50">
        <v>18</v>
      </c>
      <c r="J46" s="50">
        <v>26</v>
      </c>
      <c r="K46" s="50">
        <v>6</v>
      </c>
      <c r="L46" s="50">
        <v>4</v>
      </c>
      <c r="M46" s="50">
        <v>250</v>
      </c>
      <c r="N46" s="50">
        <v>0</v>
      </c>
      <c r="O46" s="15">
        <f t="shared" si="0"/>
        <v>257</v>
      </c>
      <c r="P46" s="15">
        <f t="shared" si="1"/>
        <v>507</v>
      </c>
      <c r="R46" s="8"/>
      <c r="T46"/>
    </row>
    <row r="47" spans="2:32" ht="23.1" customHeight="1" x14ac:dyDescent="0.25">
      <c r="B47" s="46" t="s">
        <v>74</v>
      </c>
      <c r="C47" s="50">
        <v>108</v>
      </c>
      <c r="D47" s="50">
        <v>10</v>
      </c>
      <c r="E47" s="50">
        <v>14</v>
      </c>
      <c r="F47" s="50">
        <v>54</v>
      </c>
      <c r="G47" s="50">
        <v>1</v>
      </c>
      <c r="H47" s="50">
        <v>5</v>
      </c>
      <c r="I47" s="50">
        <v>38</v>
      </c>
      <c r="J47" s="50">
        <v>17</v>
      </c>
      <c r="K47" s="50">
        <v>7</v>
      </c>
      <c r="L47" s="50">
        <v>3</v>
      </c>
      <c r="M47" s="50">
        <v>140</v>
      </c>
      <c r="N47" s="50">
        <v>0</v>
      </c>
      <c r="O47" s="15">
        <f t="shared" si="0"/>
        <v>257</v>
      </c>
      <c r="P47" s="15">
        <f t="shared" si="1"/>
        <v>397</v>
      </c>
      <c r="R47" s="8"/>
      <c r="T47"/>
    </row>
    <row r="48" spans="2:32" ht="23.1" customHeight="1" x14ac:dyDescent="0.25">
      <c r="B48" s="46" t="s">
        <v>75</v>
      </c>
      <c r="C48" s="50">
        <v>102</v>
      </c>
      <c r="D48" s="50">
        <v>14</v>
      </c>
      <c r="E48" s="50">
        <v>14</v>
      </c>
      <c r="F48" s="50">
        <v>73</v>
      </c>
      <c r="G48" s="50">
        <v>3</v>
      </c>
      <c r="H48" s="50">
        <v>3</v>
      </c>
      <c r="I48" s="50">
        <v>23</v>
      </c>
      <c r="J48" s="50">
        <v>32</v>
      </c>
      <c r="K48" s="50">
        <v>13</v>
      </c>
      <c r="L48" s="50">
        <v>3</v>
      </c>
      <c r="M48" s="50">
        <v>228</v>
      </c>
      <c r="N48" s="50">
        <v>0</v>
      </c>
      <c r="O48" s="15">
        <f t="shared" si="0"/>
        <v>280</v>
      </c>
      <c r="P48" s="15">
        <f t="shared" si="1"/>
        <v>508</v>
      </c>
      <c r="R48" s="8"/>
      <c r="T48"/>
    </row>
    <row r="49" spans="2:20" ht="23.1" customHeight="1" x14ac:dyDescent="0.25">
      <c r="B49" s="45" t="s">
        <v>76</v>
      </c>
      <c r="C49" s="50">
        <v>94</v>
      </c>
      <c r="D49" s="50">
        <v>6</v>
      </c>
      <c r="E49" s="50">
        <v>11</v>
      </c>
      <c r="F49" s="50">
        <v>45</v>
      </c>
      <c r="G49" s="50">
        <v>0</v>
      </c>
      <c r="H49" s="50">
        <v>3</v>
      </c>
      <c r="I49" s="50">
        <v>16</v>
      </c>
      <c r="J49" s="50">
        <v>28</v>
      </c>
      <c r="K49" s="50">
        <v>3</v>
      </c>
      <c r="L49" s="50">
        <v>4</v>
      </c>
      <c r="M49" s="50">
        <v>215</v>
      </c>
      <c r="N49" s="50">
        <v>0</v>
      </c>
      <c r="O49" s="15">
        <f t="shared" si="0"/>
        <v>210</v>
      </c>
      <c r="P49" s="15">
        <f t="shared" si="1"/>
        <v>425</v>
      </c>
      <c r="R49" s="8"/>
      <c r="T49"/>
    </row>
    <row r="50" spans="2:20" ht="23.1" customHeight="1" x14ac:dyDescent="0.25">
      <c r="B50" s="46" t="s">
        <v>77</v>
      </c>
      <c r="C50" s="50">
        <v>110</v>
      </c>
      <c r="D50" s="50">
        <v>13</v>
      </c>
      <c r="E50" s="50">
        <v>13</v>
      </c>
      <c r="F50" s="50">
        <v>62</v>
      </c>
      <c r="G50" s="50">
        <v>4</v>
      </c>
      <c r="H50" s="50">
        <v>0</v>
      </c>
      <c r="I50" s="50">
        <v>18</v>
      </c>
      <c r="J50" s="50">
        <v>16</v>
      </c>
      <c r="K50" s="50">
        <v>3</v>
      </c>
      <c r="L50" s="50">
        <v>9</v>
      </c>
      <c r="M50" s="50">
        <v>235</v>
      </c>
      <c r="N50" s="50">
        <v>0</v>
      </c>
      <c r="O50" s="15">
        <f t="shared" si="0"/>
        <v>248</v>
      </c>
      <c r="P50" s="15">
        <f t="shared" si="1"/>
        <v>483</v>
      </c>
      <c r="R50" s="8"/>
      <c r="T50"/>
    </row>
    <row r="51" spans="2:20" ht="23.1" customHeight="1" x14ac:dyDescent="0.25">
      <c r="B51" s="46" t="s">
        <v>78</v>
      </c>
      <c r="C51" s="50">
        <v>98</v>
      </c>
      <c r="D51" s="50">
        <v>11</v>
      </c>
      <c r="E51" s="50">
        <v>7</v>
      </c>
      <c r="F51" s="50">
        <v>59</v>
      </c>
      <c r="G51" s="50">
        <v>2</v>
      </c>
      <c r="H51" s="50">
        <v>1</v>
      </c>
      <c r="I51" s="50">
        <v>21</v>
      </c>
      <c r="J51" s="50">
        <v>14</v>
      </c>
      <c r="K51" s="50">
        <v>6</v>
      </c>
      <c r="L51" s="50">
        <v>3</v>
      </c>
      <c r="M51" s="50">
        <v>260</v>
      </c>
      <c r="N51" s="50">
        <v>0</v>
      </c>
      <c r="O51" s="15">
        <f t="shared" si="0"/>
        <v>222</v>
      </c>
      <c r="P51" s="15">
        <f t="shared" si="1"/>
        <v>482</v>
      </c>
      <c r="R51" s="8"/>
      <c r="T51"/>
    </row>
    <row r="52" spans="2:20" ht="23.1" customHeight="1" x14ac:dyDescent="0.25">
      <c r="B52" s="46" t="s">
        <v>79</v>
      </c>
      <c r="C52" s="50">
        <v>106</v>
      </c>
      <c r="D52" s="50">
        <v>10</v>
      </c>
      <c r="E52" s="50">
        <v>7</v>
      </c>
      <c r="F52" s="50">
        <v>47</v>
      </c>
      <c r="G52" s="50">
        <v>6</v>
      </c>
      <c r="H52" s="50">
        <v>3</v>
      </c>
      <c r="I52" s="50">
        <v>13</v>
      </c>
      <c r="J52" s="50">
        <v>26</v>
      </c>
      <c r="K52" s="50">
        <v>6</v>
      </c>
      <c r="L52" s="50">
        <v>7</v>
      </c>
      <c r="M52" s="50">
        <v>290</v>
      </c>
      <c r="N52" s="50">
        <v>0</v>
      </c>
      <c r="O52" s="15">
        <f t="shared" si="0"/>
        <v>231</v>
      </c>
      <c r="P52" s="15">
        <f t="shared" si="1"/>
        <v>521</v>
      </c>
      <c r="R52" s="8"/>
      <c r="T52"/>
    </row>
    <row r="53" spans="2:20" ht="23.1" customHeight="1" x14ac:dyDescent="0.25">
      <c r="B53" s="45" t="s">
        <v>80</v>
      </c>
      <c r="C53" s="50">
        <v>76</v>
      </c>
      <c r="D53" s="50">
        <v>12</v>
      </c>
      <c r="E53" s="50">
        <v>6</v>
      </c>
      <c r="F53" s="50">
        <v>59</v>
      </c>
      <c r="G53" s="50">
        <v>3</v>
      </c>
      <c r="H53" s="50">
        <v>2</v>
      </c>
      <c r="I53" s="50">
        <v>11</v>
      </c>
      <c r="J53" s="50">
        <v>25</v>
      </c>
      <c r="K53" s="50">
        <v>4</v>
      </c>
      <c r="L53" s="50">
        <v>7</v>
      </c>
      <c r="M53" s="50">
        <v>185</v>
      </c>
      <c r="N53" s="50">
        <v>0</v>
      </c>
      <c r="O53" s="15">
        <f t="shared" si="0"/>
        <v>205</v>
      </c>
      <c r="P53" s="15">
        <f t="shared" si="1"/>
        <v>390</v>
      </c>
      <c r="R53" s="8"/>
      <c r="T53"/>
    </row>
    <row r="54" spans="2:20" ht="23.1" customHeight="1" x14ac:dyDescent="0.25">
      <c r="B54" s="45" t="s">
        <v>81</v>
      </c>
      <c r="C54" s="50">
        <v>93</v>
      </c>
      <c r="D54" s="50">
        <v>5</v>
      </c>
      <c r="E54" s="50">
        <v>3</v>
      </c>
      <c r="F54" s="50">
        <v>58</v>
      </c>
      <c r="G54" s="50">
        <v>1</v>
      </c>
      <c r="H54" s="50">
        <v>1</v>
      </c>
      <c r="I54" s="50">
        <v>29</v>
      </c>
      <c r="J54" s="50">
        <v>15</v>
      </c>
      <c r="K54" s="50">
        <v>1</v>
      </c>
      <c r="L54" s="50">
        <v>6</v>
      </c>
      <c r="M54" s="50">
        <v>196</v>
      </c>
      <c r="N54" s="50">
        <v>0</v>
      </c>
      <c r="O54" s="15">
        <f t="shared" si="0"/>
        <v>212</v>
      </c>
      <c r="P54" s="15">
        <f t="shared" si="1"/>
        <v>408</v>
      </c>
      <c r="R54" s="8"/>
      <c r="T54"/>
    </row>
    <row r="55" spans="2:20" ht="23.1" customHeight="1" x14ac:dyDescent="0.25">
      <c r="B55" s="45" t="s">
        <v>82</v>
      </c>
      <c r="C55" s="50">
        <v>82</v>
      </c>
      <c r="D55" s="50">
        <v>10</v>
      </c>
      <c r="E55" s="50">
        <v>3</v>
      </c>
      <c r="F55" s="50">
        <v>52</v>
      </c>
      <c r="G55" s="50">
        <v>3</v>
      </c>
      <c r="H55" s="50">
        <v>2</v>
      </c>
      <c r="I55" s="50">
        <v>10</v>
      </c>
      <c r="J55" s="50">
        <v>15</v>
      </c>
      <c r="K55" s="50">
        <v>3</v>
      </c>
      <c r="L55" s="50">
        <v>1</v>
      </c>
      <c r="M55" s="50">
        <v>227</v>
      </c>
      <c r="N55" s="50">
        <v>0</v>
      </c>
      <c r="O55" s="15">
        <f t="shared" si="0"/>
        <v>181</v>
      </c>
      <c r="P55" s="15">
        <f t="shared" si="1"/>
        <v>408</v>
      </c>
      <c r="R55" s="8"/>
      <c r="T55"/>
    </row>
    <row r="56" spans="2:20" ht="23.1" customHeight="1" x14ac:dyDescent="0.25">
      <c r="B56" s="45" t="s">
        <v>83</v>
      </c>
      <c r="C56" s="50">
        <v>94</v>
      </c>
      <c r="D56" s="50">
        <v>3</v>
      </c>
      <c r="E56" s="50">
        <v>12</v>
      </c>
      <c r="F56" s="50">
        <v>50</v>
      </c>
      <c r="G56" s="50">
        <v>2</v>
      </c>
      <c r="H56" s="50">
        <v>2</v>
      </c>
      <c r="I56" s="50">
        <v>14</v>
      </c>
      <c r="J56" s="50">
        <v>18</v>
      </c>
      <c r="K56" s="50">
        <v>8</v>
      </c>
      <c r="L56" s="50">
        <v>10</v>
      </c>
      <c r="M56" s="50">
        <v>288</v>
      </c>
      <c r="N56" s="50">
        <v>0</v>
      </c>
      <c r="O56" s="15">
        <f t="shared" si="0"/>
        <v>213</v>
      </c>
      <c r="P56" s="15">
        <f t="shared" si="1"/>
        <v>501</v>
      </c>
      <c r="R56" s="8"/>
      <c r="T56"/>
    </row>
    <row r="57" spans="2:20" ht="23.1" customHeight="1" x14ac:dyDescent="0.25">
      <c r="B57" s="45" t="s">
        <v>84</v>
      </c>
      <c r="C57" s="50">
        <v>75</v>
      </c>
      <c r="D57" s="50">
        <v>3</v>
      </c>
      <c r="E57" s="50">
        <v>5</v>
      </c>
      <c r="F57" s="50">
        <v>34</v>
      </c>
      <c r="G57" s="50">
        <v>5</v>
      </c>
      <c r="H57" s="50">
        <v>1</v>
      </c>
      <c r="I57" s="50">
        <v>12</v>
      </c>
      <c r="J57" s="50">
        <v>16</v>
      </c>
      <c r="K57" s="50">
        <v>8</v>
      </c>
      <c r="L57" s="50">
        <v>1</v>
      </c>
      <c r="M57" s="50">
        <v>325</v>
      </c>
      <c r="N57" s="50">
        <v>0</v>
      </c>
      <c r="O57" s="15">
        <f t="shared" si="0"/>
        <v>160</v>
      </c>
      <c r="P57" s="15">
        <f t="shared" si="1"/>
        <v>485</v>
      </c>
      <c r="R57" s="8"/>
      <c r="T57"/>
    </row>
    <row r="58" spans="2:20" ht="23.1" customHeight="1" x14ac:dyDescent="0.25">
      <c r="B58" s="45" t="s">
        <v>99</v>
      </c>
      <c r="C58" s="50">
        <v>80</v>
      </c>
      <c r="D58" s="50">
        <v>4</v>
      </c>
      <c r="E58" s="50">
        <v>2</v>
      </c>
      <c r="F58" s="50">
        <v>55</v>
      </c>
      <c r="G58" s="50">
        <v>4</v>
      </c>
      <c r="H58" s="50">
        <v>3</v>
      </c>
      <c r="I58" s="50">
        <v>30</v>
      </c>
      <c r="J58" s="50">
        <v>9</v>
      </c>
      <c r="K58" s="50">
        <v>2</v>
      </c>
      <c r="L58" s="50">
        <v>3</v>
      </c>
      <c r="M58" s="50">
        <v>365</v>
      </c>
      <c r="N58" s="50">
        <v>0</v>
      </c>
      <c r="O58" s="15">
        <f t="shared" si="0"/>
        <v>192</v>
      </c>
      <c r="P58" s="15">
        <f t="shared" si="1"/>
        <v>557</v>
      </c>
      <c r="R58" s="8"/>
      <c r="T58"/>
    </row>
    <row r="59" spans="2:20" ht="23.1" customHeight="1" x14ac:dyDescent="0.25">
      <c r="B59" s="45" t="s">
        <v>100</v>
      </c>
      <c r="C59" s="50">
        <v>67</v>
      </c>
      <c r="D59" s="50">
        <v>3</v>
      </c>
      <c r="E59" s="50">
        <v>4</v>
      </c>
      <c r="F59" s="50">
        <v>36</v>
      </c>
      <c r="G59" s="50">
        <v>0</v>
      </c>
      <c r="H59" s="50">
        <v>1</v>
      </c>
      <c r="I59" s="50">
        <v>9</v>
      </c>
      <c r="J59" s="50">
        <v>11</v>
      </c>
      <c r="K59" s="50">
        <v>0</v>
      </c>
      <c r="L59" s="50">
        <v>0</v>
      </c>
      <c r="M59" s="50">
        <v>207</v>
      </c>
      <c r="N59" s="50">
        <v>0</v>
      </c>
      <c r="O59" s="15">
        <f t="shared" si="0"/>
        <v>131</v>
      </c>
      <c r="P59" s="15">
        <f t="shared" si="1"/>
        <v>338</v>
      </c>
      <c r="R59" s="8"/>
      <c r="T59"/>
    </row>
    <row r="60" spans="2:20" ht="23.1" customHeight="1" x14ac:dyDescent="0.25">
      <c r="B60" s="45" t="s">
        <v>101</v>
      </c>
      <c r="C60" s="50">
        <v>89</v>
      </c>
      <c r="D60" s="50">
        <v>4</v>
      </c>
      <c r="E60" s="50">
        <v>7</v>
      </c>
      <c r="F60" s="50">
        <v>48</v>
      </c>
      <c r="G60" s="50">
        <v>1</v>
      </c>
      <c r="H60" s="50">
        <v>3</v>
      </c>
      <c r="I60" s="50">
        <v>12</v>
      </c>
      <c r="J60" s="50">
        <v>14</v>
      </c>
      <c r="K60" s="50">
        <v>0</v>
      </c>
      <c r="L60" s="50">
        <v>2</v>
      </c>
      <c r="M60" s="50">
        <v>325</v>
      </c>
      <c r="N60" s="50">
        <v>0</v>
      </c>
      <c r="O60" s="15">
        <f t="shared" si="0"/>
        <v>180</v>
      </c>
      <c r="P60" s="15">
        <f t="shared" si="1"/>
        <v>505</v>
      </c>
      <c r="R60" s="8"/>
      <c r="T60"/>
    </row>
    <row r="61" spans="2:20" ht="23.1" customHeight="1" x14ac:dyDescent="0.25">
      <c r="B61" s="45" t="s">
        <v>102</v>
      </c>
      <c r="C61" s="50">
        <v>87</v>
      </c>
      <c r="D61" s="50">
        <v>2</v>
      </c>
      <c r="E61" s="50">
        <v>5</v>
      </c>
      <c r="F61" s="50">
        <v>42</v>
      </c>
      <c r="G61" s="50">
        <v>1</v>
      </c>
      <c r="H61" s="50">
        <v>5</v>
      </c>
      <c r="I61" s="50">
        <v>14</v>
      </c>
      <c r="J61" s="50">
        <v>7</v>
      </c>
      <c r="K61" s="50">
        <v>1</v>
      </c>
      <c r="L61" s="50">
        <v>6</v>
      </c>
      <c r="M61" s="50">
        <v>330</v>
      </c>
      <c r="N61" s="50">
        <v>0</v>
      </c>
      <c r="O61" s="15">
        <f t="shared" si="0"/>
        <v>170</v>
      </c>
      <c r="P61" s="15">
        <f t="shared" si="1"/>
        <v>500</v>
      </c>
      <c r="R61" s="8"/>
      <c r="T61"/>
    </row>
    <row r="62" spans="2:20" ht="23.1" customHeight="1" x14ac:dyDescent="0.25">
      <c r="B62" s="45" t="s">
        <v>107</v>
      </c>
      <c r="C62" s="50">
        <v>87</v>
      </c>
      <c r="D62" s="50">
        <v>5</v>
      </c>
      <c r="E62" s="50">
        <v>2</v>
      </c>
      <c r="F62" s="50">
        <v>44</v>
      </c>
      <c r="G62" s="50">
        <v>4</v>
      </c>
      <c r="H62" s="50">
        <v>1</v>
      </c>
      <c r="I62" s="50">
        <v>8</v>
      </c>
      <c r="J62" s="50">
        <v>18</v>
      </c>
      <c r="K62" s="50">
        <v>3</v>
      </c>
      <c r="L62" s="50">
        <v>3</v>
      </c>
      <c r="M62" s="50">
        <v>215</v>
      </c>
      <c r="N62" s="50">
        <v>0</v>
      </c>
      <c r="O62" s="15">
        <f t="shared" si="0"/>
        <v>175</v>
      </c>
      <c r="P62" s="15">
        <f t="shared" si="1"/>
        <v>390</v>
      </c>
      <c r="R62" s="8"/>
      <c r="T62"/>
    </row>
    <row r="63" spans="2:20" ht="23.1" customHeight="1" x14ac:dyDescent="0.25">
      <c r="B63" s="45" t="s">
        <v>108</v>
      </c>
      <c r="C63" s="50">
        <v>66</v>
      </c>
      <c r="D63" s="50">
        <v>3</v>
      </c>
      <c r="E63" s="50">
        <v>5</v>
      </c>
      <c r="F63" s="50">
        <v>41</v>
      </c>
      <c r="G63" s="50">
        <v>2</v>
      </c>
      <c r="H63" s="50">
        <v>0</v>
      </c>
      <c r="I63" s="50">
        <v>10</v>
      </c>
      <c r="J63" s="50">
        <v>7</v>
      </c>
      <c r="K63" s="50">
        <v>0</v>
      </c>
      <c r="L63" s="50">
        <v>3</v>
      </c>
      <c r="M63" s="50">
        <v>275</v>
      </c>
      <c r="N63" s="50">
        <v>0</v>
      </c>
      <c r="O63" s="15">
        <f t="shared" si="0"/>
        <v>137</v>
      </c>
      <c r="P63" s="15">
        <f t="shared" si="1"/>
        <v>412</v>
      </c>
      <c r="R63" s="8"/>
      <c r="T63"/>
    </row>
    <row r="64" spans="2:20" ht="23.1" customHeight="1" x14ac:dyDescent="0.25">
      <c r="B64" s="45" t="s">
        <v>109</v>
      </c>
      <c r="C64" s="50">
        <v>88</v>
      </c>
      <c r="D64" s="50">
        <v>7</v>
      </c>
      <c r="E64" s="50">
        <v>7</v>
      </c>
      <c r="F64" s="50">
        <v>45</v>
      </c>
      <c r="G64" s="50">
        <v>0</v>
      </c>
      <c r="H64" s="50">
        <v>1</v>
      </c>
      <c r="I64" s="50">
        <v>11</v>
      </c>
      <c r="J64" s="50">
        <v>7</v>
      </c>
      <c r="K64" s="50">
        <v>0</v>
      </c>
      <c r="L64" s="50">
        <v>2</v>
      </c>
      <c r="M64" s="50">
        <v>360</v>
      </c>
      <c r="N64" s="50">
        <v>0</v>
      </c>
      <c r="O64" s="15">
        <f t="shared" si="0"/>
        <v>168</v>
      </c>
      <c r="P64" s="15">
        <f t="shared" si="1"/>
        <v>528</v>
      </c>
      <c r="R64" s="8"/>
      <c r="T64"/>
    </row>
    <row r="65" spans="2:20" ht="23.1" customHeight="1" x14ac:dyDescent="0.25">
      <c r="B65" s="45" t="s">
        <v>158</v>
      </c>
      <c r="C65" s="50">
        <v>98</v>
      </c>
      <c r="D65" s="50">
        <v>7</v>
      </c>
      <c r="E65" s="50">
        <v>5</v>
      </c>
      <c r="F65" s="50">
        <v>34</v>
      </c>
      <c r="G65" s="50">
        <v>2</v>
      </c>
      <c r="H65" s="50">
        <v>3</v>
      </c>
      <c r="I65" s="50">
        <v>11</v>
      </c>
      <c r="J65" s="50">
        <v>8</v>
      </c>
      <c r="K65" s="50">
        <v>0</v>
      </c>
      <c r="L65" s="50">
        <v>2</v>
      </c>
      <c r="M65" s="50">
        <v>320</v>
      </c>
      <c r="N65" s="50">
        <v>0</v>
      </c>
      <c r="O65" s="15">
        <f t="shared" si="0"/>
        <v>170</v>
      </c>
      <c r="P65" s="15">
        <f t="shared" si="1"/>
        <v>490</v>
      </c>
      <c r="R65" s="8"/>
      <c r="T65"/>
    </row>
    <row r="66" spans="2:20" ht="23.1" customHeight="1" x14ac:dyDescent="0.25">
      <c r="B66" s="45" t="s">
        <v>103</v>
      </c>
      <c r="C66" s="50">
        <v>96</v>
      </c>
      <c r="D66" s="50">
        <v>2</v>
      </c>
      <c r="E66" s="50">
        <v>4</v>
      </c>
      <c r="F66" s="50">
        <v>38</v>
      </c>
      <c r="G66" s="50">
        <v>6</v>
      </c>
      <c r="H66" s="50">
        <v>0</v>
      </c>
      <c r="I66" s="50">
        <v>8</v>
      </c>
      <c r="J66" s="50">
        <v>13</v>
      </c>
      <c r="K66" s="50">
        <v>1</v>
      </c>
      <c r="L66" s="50">
        <v>3</v>
      </c>
      <c r="M66" s="50">
        <v>385</v>
      </c>
      <c r="N66" s="50">
        <v>0</v>
      </c>
      <c r="O66" s="15">
        <f t="shared" si="0"/>
        <v>171</v>
      </c>
      <c r="P66" s="15">
        <f t="shared" si="1"/>
        <v>556</v>
      </c>
      <c r="R66" s="8"/>
      <c r="T66"/>
    </row>
    <row r="67" spans="2:20" ht="23.1" customHeight="1" x14ac:dyDescent="0.25">
      <c r="B67" s="45" t="s">
        <v>104</v>
      </c>
      <c r="C67" s="50">
        <v>105</v>
      </c>
      <c r="D67" s="50">
        <v>0</v>
      </c>
      <c r="E67" s="50">
        <v>2</v>
      </c>
      <c r="F67" s="50">
        <v>73</v>
      </c>
      <c r="G67" s="50">
        <v>3</v>
      </c>
      <c r="H67" s="50">
        <v>0</v>
      </c>
      <c r="I67" s="50">
        <v>7</v>
      </c>
      <c r="J67" s="50">
        <v>15</v>
      </c>
      <c r="K67" s="50">
        <v>0</v>
      </c>
      <c r="L67" s="50">
        <v>4</v>
      </c>
      <c r="M67" s="50">
        <v>305</v>
      </c>
      <c r="N67" s="50">
        <v>0</v>
      </c>
      <c r="O67" s="15">
        <f t="shared" si="0"/>
        <v>209</v>
      </c>
      <c r="P67" s="15">
        <f t="shared" si="1"/>
        <v>514</v>
      </c>
      <c r="R67" s="8"/>
      <c r="T67"/>
    </row>
    <row r="68" spans="2:20" ht="23.1" customHeight="1" x14ac:dyDescent="0.25">
      <c r="B68" s="45" t="s">
        <v>105</v>
      </c>
      <c r="C68" s="50">
        <v>111</v>
      </c>
      <c r="D68" s="50">
        <v>10</v>
      </c>
      <c r="E68" s="50">
        <v>5</v>
      </c>
      <c r="F68" s="50">
        <v>53</v>
      </c>
      <c r="G68" s="50">
        <v>2</v>
      </c>
      <c r="H68" s="50">
        <v>3</v>
      </c>
      <c r="I68" s="50">
        <v>8</v>
      </c>
      <c r="J68" s="50">
        <v>8</v>
      </c>
      <c r="K68" s="50">
        <v>2</v>
      </c>
      <c r="L68" s="50">
        <v>3</v>
      </c>
      <c r="M68" s="50">
        <v>225</v>
      </c>
      <c r="N68" s="50">
        <v>0</v>
      </c>
      <c r="O68" s="15">
        <f t="shared" si="0"/>
        <v>205</v>
      </c>
      <c r="P68" s="15">
        <f t="shared" si="1"/>
        <v>430</v>
      </c>
      <c r="R68" s="8"/>
      <c r="T68"/>
    </row>
    <row r="69" spans="2:20" ht="23.1" customHeight="1" x14ac:dyDescent="0.25">
      <c r="B69" s="45" t="s">
        <v>106</v>
      </c>
      <c r="C69" s="50">
        <v>60</v>
      </c>
      <c r="D69" s="50">
        <v>4</v>
      </c>
      <c r="E69" s="50">
        <v>2</v>
      </c>
      <c r="F69" s="50">
        <v>35</v>
      </c>
      <c r="G69" s="50">
        <v>1</v>
      </c>
      <c r="H69" s="50">
        <v>5</v>
      </c>
      <c r="I69" s="50">
        <v>5</v>
      </c>
      <c r="J69" s="50">
        <v>7</v>
      </c>
      <c r="K69" s="50">
        <v>0</v>
      </c>
      <c r="L69" s="50">
        <v>2</v>
      </c>
      <c r="M69" s="50">
        <v>185</v>
      </c>
      <c r="N69" s="50">
        <v>0</v>
      </c>
      <c r="O69" s="15">
        <f t="shared" si="0"/>
        <v>121</v>
      </c>
      <c r="P69" s="15">
        <f t="shared" si="1"/>
        <v>306</v>
      </c>
      <c r="R69" s="8"/>
      <c r="T69"/>
    </row>
    <row r="70" spans="2:20" ht="23.1" customHeight="1" x14ac:dyDescent="0.25">
      <c r="B70" s="45" t="s">
        <v>110</v>
      </c>
      <c r="C70" s="50">
        <v>57</v>
      </c>
      <c r="D70" s="50">
        <v>3</v>
      </c>
      <c r="E70" s="50">
        <v>4</v>
      </c>
      <c r="F70" s="50">
        <v>39</v>
      </c>
      <c r="G70" s="50">
        <v>2</v>
      </c>
      <c r="H70" s="50">
        <v>0</v>
      </c>
      <c r="I70" s="50">
        <v>8</v>
      </c>
      <c r="J70" s="50">
        <v>12</v>
      </c>
      <c r="K70" s="50">
        <v>1</v>
      </c>
      <c r="L70" s="50">
        <v>0</v>
      </c>
      <c r="M70" s="50">
        <v>245</v>
      </c>
      <c r="N70" s="50">
        <v>0</v>
      </c>
      <c r="O70" s="15">
        <f t="shared" si="0"/>
        <v>126</v>
      </c>
      <c r="P70" s="15">
        <f t="shared" si="1"/>
        <v>371</v>
      </c>
      <c r="R70" s="8"/>
      <c r="T70"/>
    </row>
    <row r="71" spans="2:20" ht="23.1" customHeight="1" x14ac:dyDescent="0.25">
      <c r="B71" s="45" t="s">
        <v>111</v>
      </c>
      <c r="C71" s="50">
        <v>79</v>
      </c>
      <c r="D71" s="50">
        <v>10</v>
      </c>
      <c r="E71" s="50">
        <v>1</v>
      </c>
      <c r="F71" s="50">
        <v>36</v>
      </c>
      <c r="G71" s="50">
        <v>7</v>
      </c>
      <c r="H71" s="50">
        <v>0</v>
      </c>
      <c r="I71" s="50">
        <v>16</v>
      </c>
      <c r="J71" s="50">
        <v>11</v>
      </c>
      <c r="K71" s="50">
        <v>0</v>
      </c>
      <c r="L71" s="50">
        <v>4</v>
      </c>
      <c r="M71" s="50">
        <v>302</v>
      </c>
      <c r="N71" s="50">
        <v>0</v>
      </c>
      <c r="O71" s="15">
        <f t="shared" si="0"/>
        <v>164</v>
      </c>
      <c r="P71" s="15">
        <f t="shared" si="1"/>
        <v>466</v>
      </c>
      <c r="R71" s="8"/>
      <c r="T71"/>
    </row>
    <row r="72" spans="2:20" ht="23.1" customHeight="1" x14ac:dyDescent="0.25">
      <c r="B72" s="45" t="s">
        <v>112</v>
      </c>
      <c r="C72" s="50">
        <v>101</v>
      </c>
      <c r="D72" s="50">
        <v>23</v>
      </c>
      <c r="E72" s="50">
        <v>12</v>
      </c>
      <c r="F72" s="50">
        <v>38</v>
      </c>
      <c r="G72" s="50">
        <v>1</v>
      </c>
      <c r="H72" s="50">
        <v>1</v>
      </c>
      <c r="I72" s="50">
        <v>3</v>
      </c>
      <c r="J72" s="50">
        <v>13</v>
      </c>
      <c r="K72" s="50">
        <v>0</v>
      </c>
      <c r="L72" s="50">
        <v>3</v>
      </c>
      <c r="M72" s="50">
        <v>205</v>
      </c>
      <c r="N72" s="50">
        <v>0</v>
      </c>
      <c r="O72" s="15">
        <f t="shared" si="0"/>
        <v>195</v>
      </c>
      <c r="P72" s="15">
        <f t="shared" si="1"/>
        <v>400</v>
      </c>
      <c r="R72" s="8"/>
      <c r="T72"/>
    </row>
    <row r="73" spans="2:20" ht="23.1" customHeight="1" x14ac:dyDescent="0.25">
      <c r="B73" s="45" t="s">
        <v>113</v>
      </c>
      <c r="C73" s="50">
        <v>102</v>
      </c>
      <c r="D73" s="50">
        <v>9</v>
      </c>
      <c r="E73" s="50">
        <v>11</v>
      </c>
      <c r="F73" s="50">
        <v>35</v>
      </c>
      <c r="G73" s="50">
        <v>3</v>
      </c>
      <c r="H73" s="50">
        <v>3</v>
      </c>
      <c r="I73" s="50">
        <v>10</v>
      </c>
      <c r="J73" s="50">
        <v>15</v>
      </c>
      <c r="K73" s="50">
        <v>2</v>
      </c>
      <c r="L73" s="50">
        <v>4</v>
      </c>
      <c r="M73" s="50">
        <v>350</v>
      </c>
      <c r="N73" s="50">
        <v>0</v>
      </c>
      <c r="O73" s="15">
        <f t="shared" si="0"/>
        <v>194</v>
      </c>
      <c r="P73" s="15">
        <f t="shared" si="1"/>
        <v>544</v>
      </c>
      <c r="R73" s="8"/>
      <c r="T73"/>
    </row>
    <row r="74" spans="2:20" ht="23.1" customHeight="1" x14ac:dyDescent="0.25">
      <c r="B74" s="45" t="s">
        <v>114</v>
      </c>
      <c r="C74" s="50">
        <v>96</v>
      </c>
      <c r="D74" s="50">
        <v>5</v>
      </c>
      <c r="E74" s="50">
        <v>7</v>
      </c>
      <c r="F74" s="50">
        <v>35</v>
      </c>
      <c r="G74" s="50">
        <v>5</v>
      </c>
      <c r="H74" s="50">
        <v>4</v>
      </c>
      <c r="I74" s="50">
        <v>7</v>
      </c>
      <c r="J74" s="50">
        <v>20</v>
      </c>
      <c r="K74" s="50">
        <v>0</v>
      </c>
      <c r="L74" s="50">
        <v>2</v>
      </c>
      <c r="M74" s="50">
        <v>169</v>
      </c>
      <c r="N74" s="50">
        <v>0</v>
      </c>
      <c r="O74" s="15">
        <f t="shared" ref="O74:O105" si="35">SUM(C74:L74,N74)</f>
        <v>181</v>
      </c>
      <c r="P74" s="15">
        <f t="shared" ref="P74:P105" si="36">SUM(C74:N74)</f>
        <v>350</v>
      </c>
      <c r="R74" s="8"/>
      <c r="T74"/>
    </row>
    <row r="75" spans="2:20" ht="23.1" customHeight="1" x14ac:dyDescent="0.25">
      <c r="B75" s="45" t="s">
        <v>115</v>
      </c>
      <c r="C75" s="50">
        <v>93</v>
      </c>
      <c r="D75" s="50">
        <v>15</v>
      </c>
      <c r="E75" s="50">
        <v>3</v>
      </c>
      <c r="F75" s="50">
        <v>29</v>
      </c>
      <c r="G75" s="50">
        <v>1</v>
      </c>
      <c r="H75" s="50">
        <v>2</v>
      </c>
      <c r="I75" s="50">
        <v>10</v>
      </c>
      <c r="J75" s="50">
        <v>4</v>
      </c>
      <c r="K75" s="50">
        <v>0</v>
      </c>
      <c r="L75" s="50">
        <v>5</v>
      </c>
      <c r="M75" s="50">
        <v>145</v>
      </c>
      <c r="N75" s="50">
        <v>0</v>
      </c>
      <c r="O75" s="15">
        <f t="shared" si="35"/>
        <v>162</v>
      </c>
      <c r="P75" s="15">
        <f t="shared" si="36"/>
        <v>307</v>
      </c>
      <c r="R75" s="8"/>
      <c r="T75"/>
    </row>
    <row r="76" spans="2:20" ht="23.1" customHeight="1" x14ac:dyDescent="0.25">
      <c r="B76" s="45" t="s">
        <v>116</v>
      </c>
      <c r="C76" s="50">
        <v>77</v>
      </c>
      <c r="D76" s="50">
        <v>5</v>
      </c>
      <c r="E76" s="50">
        <v>4</v>
      </c>
      <c r="F76" s="50">
        <v>28</v>
      </c>
      <c r="G76" s="50">
        <v>4</v>
      </c>
      <c r="H76" s="50">
        <v>4</v>
      </c>
      <c r="I76" s="50">
        <v>5</v>
      </c>
      <c r="J76" s="50">
        <v>12</v>
      </c>
      <c r="K76" s="50">
        <v>1</v>
      </c>
      <c r="L76" s="50">
        <v>2</v>
      </c>
      <c r="M76" s="50">
        <v>160</v>
      </c>
      <c r="N76" s="50">
        <v>0</v>
      </c>
      <c r="O76" s="15">
        <f t="shared" si="35"/>
        <v>142</v>
      </c>
      <c r="P76" s="15">
        <f t="shared" si="36"/>
        <v>302</v>
      </c>
      <c r="R76" s="8"/>
      <c r="T76"/>
    </row>
    <row r="77" spans="2:20" ht="23.1" customHeight="1" x14ac:dyDescent="0.25">
      <c r="B77" s="45" t="s">
        <v>117</v>
      </c>
      <c r="C77" s="50">
        <v>46</v>
      </c>
      <c r="D77" s="50">
        <v>3</v>
      </c>
      <c r="E77" s="50">
        <v>4</v>
      </c>
      <c r="F77" s="50">
        <v>19</v>
      </c>
      <c r="G77" s="50">
        <v>1</v>
      </c>
      <c r="H77" s="50">
        <v>2</v>
      </c>
      <c r="I77" s="50">
        <v>9</v>
      </c>
      <c r="J77" s="50">
        <v>6</v>
      </c>
      <c r="K77" s="50">
        <v>0</v>
      </c>
      <c r="L77" s="50">
        <v>7</v>
      </c>
      <c r="M77" s="50">
        <v>90</v>
      </c>
      <c r="N77" s="50">
        <v>0</v>
      </c>
      <c r="O77" s="15">
        <f t="shared" si="35"/>
        <v>97</v>
      </c>
      <c r="P77" s="15">
        <f t="shared" si="36"/>
        <v>187</v>
      </c>
      <c r="R77" s="8"/>
      <c r="T77"/>
    </row>
    <row r="78" spans="2:20" ht="23.1" customHeight="1" x14ac:dyDescent="0.25">
      <c r="B78" s="46" t="s">
        <v>118</v>
      </c>
      <c r="C78" s="50">
        <v>50</v>
      </c>
      <c r="D78" s="50">
        <v>2</v>
      </c>
      <c r="E78" s="50">
        <v>3</v>
      </c>
      <c r="F78" s="50">
        <v>24</v>
      </c>
      <c r="G78" s="50">
        <v>0</v>
      </c>
      <c r="H78" s="50">
        <v>1</v>
      </c>
      <c r="I78" s="50">
        <v>3</v>
      </c>
      <c r="J78" s="50">
        <v>10</v>
      </c>
      <c r="K78" s="50">
        <v>1</v>
      </c>
      <c r="L78" s="50">
        <v>0</v>
      </c>
      <c r="M78" s="50">
        <v>103</v>
      </c>
      <c r="N78" s="50">
        <v>0</v>
      </c>
      <c r="O78" s="15">
        <f t="shared" si="35"/>
        <v>94</v>
      </c>
      <c r="P78" s="15">
        <f t="shared" si="36"/>
        <v>197</v>
      </c>
      <c r="R78" s="8"/>
      <c r="T78"/>
    </row>
    <row r="79" spans="2:20" ht="23.1" customHeight="1" x14ac:dyDescent="0.25">
      <c r="B79" s="45" t="s">
        <v>119</v>
      </c>
      <c r="C79" s="50">
        <v>36</v>
      </c>
      <c r="D79" s="50">
        <v>3</v>
      </c>
      <c r="E79" s="50">
        <v>4</v>
      </c>
      <c r="F79" s="50">
        <v>11</v>
      </c>
      <c r="G79" s="50">
        <v>1</v>
      </c>
      <c r="H79" s="50">
        <v>0</v>
      </c>
      <c r="I79" s="50">
        <v>4</v>
      </c>
      <c r="J79" s="50">
        <v>5</v>
      </c>
      <c r="K79" s="50">
        <v>1</v>
      </c>
      <c r="L79" s="50">
        <v>2</v>
      </c>
      <c r="M79" s="50">
        <v>77</v>
      </c>
      <c r="N79" s="50">
        <v>0</v>
      </c>
      <c r="O79" s="15">
        <f t="shared" si="35"/>
        <v>67</v>
      </c>
      <c r="P79" s="15">
        <f t="shared" si="36"/>
        <v>144</v>
      </c>
      <c r="R79" s="8"/>
      <c r="T79"/>
    </row>
    <row r="80" spans="2:20" ht="23.1" customHeight="1" x14ac:dyDescent="0.25">
      <c r="B80" s="47" t="s">
        <v>120</v>
      </c>
      <c r="C80" s="50">
        <v>49</v>
      </c>
      <c r="D80" s="50">
        <v>3</v>
      </c>
      <c r="E80" s="50">
        <v>4</v>
      </c>
      <c r="F80" s="50">
        <v>17</v>
      </c>
      <c r="G80" s="50">
        <v>0</v>
      </c>
      <c r="H80" s="50">
        <v>3</v>
      </c>
      <c r="I80" s="50">
        <v>1</v>
      </c>
      <c r="J80" s="50">
        <v>1</v>
      </c>
      <c r="K80" s="50">
        <v>1</v>
      </c>
      <c r="L80" s="50">
        <v>0</v>
      </c>
      <c r="M80" s="50">
        <v>71</v>
      </c>
      <c r="N80" s="50">
        <v>0</v>
      </c>
      <c r="O80" s="15">
        <f t="shared" si="35"/>
        <v>79</v>
      </c>
      <c r="P80" s="15">
        <f t="shared" si="36"/>
        <v>150</v>
      </c>
      <c r="R80" s="8"/>
      <c r="T80"/>
    </row>
    <row r="81" spans="2:20" ht="23.1" customHeight="1" x14ac:dyDescent="0.25">
      <c r="B81" s="45" t="s">
        <v>121</v>
      </c>
      <c r="C81" s="50">
        <v>22</v>
      </c>
      <c r="D81" s="50">
        <v>5</v>
      </c>
      <c r="E81" s="50">
        <v>2</v>
      </c>
      <c r="F81" s="50">
        <v>4</v>
      </c>
      <c r="G81" s="50">
        <v>2</v>
      </c>
      <c r="H81" s="50">
        <v>0</v>
      </c>
      <c r="I81" s="50">
        <v>5</v>
      </c>
      <c r="J81" s="50">
        <v>3</v>
      </c>
      <c r="K81" s="50">
        <v>1</v>
      </c>
      <c r="L81" s="50">
        <v>4</v>
      </c>
      <c r="M81" s="50">
        <v>60</v>
      </c>
      <c r="N81" s="50">
        <v>0</v>
      </c>
      <c r="O81" s="15">
        <f t="shared" si="35"/>
        <v>48</v>
      </c>
      <c r="P81" s="15">
        <f t="shared" si="36"/>
        <v>108</v>
      </c>
      <c r="R81" s="8"/>
      <c r="T81"/>
    </row>
    <row r="82" spans="2:20" ht="23.1" customHeight="1" x14ac:dyDescent="0.25">
      <c r="B82" s="46" t="s">
        <v>122</v>
      </c>
      <c r="C82" s="50">
        <v>28</v>
      </c>
      <c r="D82" s="50">
        <v>4</v>
      </c>
      <c r="E82" s="50">
        <v>2</v>
      </c>
      <c r="F82" s="50">
        <v>10</v>
      </c>
      <c r="G82" s="50">
        <v>0</v>
      </c>
      <c r="H82" s="50">
        <v>1</v>
      </c>
      <c r="I82" s="50">
        <v>4</v>
      </c>
      <c r="J82" s="50">
        <v>6</v>
      </c>
      <c r="K82" s="50">
        <v>7</v>
      </c>
      <c r="L82" s="50">
        <v>2</v>
      </c>
      <c r="M82" s="50">
        <v>37</v>
      </c>
      <c r="N82" s="50">
        <v>0</v>
      </c>
      <c r="O82" s="15">
        <f t="shared" si="35"/>
        <v>64</v>
      </c>
      <c r="P82" s="15">
        <f t="shared" si="36"/>
        <v>101</v>
      </c>
      <c r="R82" s="8"/>
      <c r="T82"/>
    </row>
    <row r="83" spans="2:20" ht="23.1" customHeight="1" x14ac:dyDescent="0.25">
      <c r="B83" s="45" t="s">
        <v>123</v>
      </c>
      <c r="C83" s="50">
        <v>26</v>
      </c>
      <c r="D83" s="50">
        <v>6</v>
      </c>
      <c r="E83" s="50">
        <v>1</v>
      </c>
      <c r="F83" s="50">
        <v>7</v>
      </c>
      <c r="G83" s="50">
        <v>0</v>
      </c>
      <c r="H83" s="50">
        <v>1</v>
      </c>
      <c r="I83" s="50">
        <v>4</v>
      </c>
      <c r="J83" s="50">
        <v>5</v>
      </c>
      <c r="K83" s="50">
        <v>0</v>
      </c>
      <c r="L83" s="50">
        <v>3</v>
      </c>
      <c r="M83" s="50">
        <v>48</v>
      </c>
      <c r="N83" s="50">
        <v>0</v>
      </c>
      <c r="O83" s="15">
        <f t="shared" si="35"/>
        <v>53</v>
      </c>
      <c r="P83" s="15">
        <f t="shared" si="36"/>
        <v>101</v>
      </c>
      <c r="R83" s="8"/>
      <c r="T83"/>
    </row>
    <row r="84" spans="2:20" ht="23.1" customHeight="1" x14ac:dyDescent="0.25">
      <c r="B84" s="47" t="s">
        <v>124</v>
      </c>
      <c r="C84" s="50">
        <v>28</v>
      </c>
      <c r="D84" s="50">
        <v>0</v>
      </c>
      <c r="E84" s="50">
        <v>2</v>
      </c>
      <c r="F84" s="50">
        <v>9</v>
      </c>
      <c r="G84" s="50">
        <v>0</v>
      </c>
      <c r="H84" s="50">
        <v>2</v>
      </c>
      <c r="I84" s="50">
        <v>3</v>
      </c>
      <c r="J84" s="50">
        <v>4</v>
      </c>
      <c r="K84" s="50">
        <v>1</v>
      </c>
      <c r="L84" s="50">
        <v>5</v>
      </c>
      <c r="M84" s="50">
        <v>36</v>
      </c>
      <c r="N84" s="50">
        <v>0</v>
      </c>
      <c r="O84" s="15">
        <f t="shared" si="35"/>
        <v>54</v>
      </c>
      <c r="P84" s="15">
        <f t="shared" si="36"/>
        <v>90</v>
      </c>
      <c r="R84" s="8"/>
      <c r="T84"/>
    </row>
    <row r="85" spans="2:20" ht="23.1" customHeight="1" x14ac:dyDescent="0.25">
      <c r="B85" s="45" t="s">
        <v>125</v>
      </c>
      <c r="C85" s="50">
        <v>16</v>
      </c>
      <c r="D85" s="50">
        <v>1</v>
      </c>
      <c r="E85" s="50">
        <v>1</v>
      </c>
      <c r="F85" s="50">
        <v>1</v>
      </c>
      <c r="G85" s="50">
        <v>0</v>
      </c>
      <c r="H85" s="50">
        <v>0</v>
      </c>
      <c r="I85" s="50">
        <v>4</v>
      </c>
      <c r="J85" s="50">
        <v>2</v>
      </c>
      <c r="K85" s="50">
        <v>0</v>
      </c>
      <c r="L85" s="50">
        <v>4</v>
      </c>
      <c r="M85" s="50">
        <v>38</v>
      </c>
      <c r="N85" s="50">
        <v>0</v>
      </c>
      <c r="O85" s="15">
        <f t="shared" si="35"/>
        <v>29</v>
      </c>
      <c r="P85" s="15">
        <f t="shared" si="36"/>
        <v>67</v>
      </c>
      <c r="R85" s="8"/>
      <c r="T85"/>
    </row>
    <row r="86" spans="2:20" ht="23.1" customHeight="1" x14ac:dyDescent="0.25">
      <c r="B86" s="46" t="s">
        <v>126</v>
      </c>
      <c r="C86" s="50">
        <v>21</v>
      </c>
      <c r="D86" s="50">
        <v>2</v>
      </c>
      <c r="E86" s="50">
        <v>1</v>
      </c>
      <c r="F86" s="50">
        <v>4</v>
      </c>
      <c r="G86" s="50">
        <v>1</v>
      </c>
      <c r="H86" s="50">
        <v>2</v>
      </c>
      <c r="I86" s="50">
        <v>1</v>
      </c>
      <c r="J86" s="50">
        <v>3</v>
      </c>
      <c r="K86" s="50">
        <v>0</v>
      </c>
      <c r="L86" s="50">
        <v>3</v>
      </c>
      <c r="M86" s="50">
        <v>30</v>
      </c>
      <c r="N86" s="50">
        <v>0</v>
      </c>
      <c r="O86" s="15">
        <f t="shared" si="35"/>
        <v>38</v>
      </c>
      <c r="P86" s="15">
        <f t="shared" si="36"/>
        <v>68</v>
      </c>
      <c r="R86" s="8"/>
      <c r="T86"/>
    </row>
    <row r="87" spans="2:20" ht="23.1" customHeight="1" x14ac:dyDescent="0.25">
      <c r="B87" s="45" t="s">
        <v>127</v>
      </c>
      <c r="C87" s="50">
        <v>15</v>
      </c>
      <c r="D87" s="50">
        <v>2</v>
      </c>
      <c r="E87" s="50">
        <v>1</v>
      </c>
      <c r="F87" s="50">
        <v>3</v>
      </c>
      <c r="G87" s="50">
        <v>0</v>
      </c>
      <c r="H87" s="50">
        <v>0</v>
      </c>
      <c r="I87" s="50">
        <v>5</v>
      </c>
      <c r="J87" s="50">
        <v>4</v>
      </c>
      <c r="K87" s="50">
        <v>0</v>
      </c>
      <c r="L87" s="50">
        <v>0</v>
      </c>
      <c r="M87" s="50">
        <v>28</v>
      </c>
      <c r="N87" s="50">
        <v>0</v>
      </c>
      <c r="O87" s="15">
        <f t="shared" si="35"/>
        <v>30</v>
      </c>
      <c r="P87" s="15">
        <f t="shared" si="36"/>
        <v>58</v>
      </c>
      <c r="R87" s="8"/>
      <c r="T87"/>
    </row>
    <row r="88" spans="2:20" ht="23.1" customHeight="1" x14ac:dyDescent="0.25">
      <c r="B88" s="47" t="s">
        <v>128</v>
      </c>
      <c r="C88" s="50">
        <v>8</v>
      </c>
      <c r="D88" s="50">
        <v>1</v>
      </c>
      <c r="E88" s="50">
        <v>2</v>
      </c>
      <c r="F88" s="50">
        <v>0</v>
      </c>
      <c r="G88" s="50">
        <v>0</v>
      </c>
      <c r="H88" s="50">
        <v>1</v>
      </c>
      <c r="I88" s="50">
        <v>4</v>
      </c>
      <c r="J88" s="50">
        <v>5</v>
      </c>
      <c r="K88" s="50">
        <v>1</v>
      </c>
      <c r="L88" s="50">
        <v>1</v>
      </c>
      <c r="M88" s="50">
        <v>44</v>
      </c>
      <c r="N88" s="50">
        <v>0</v>
      </c>
      <c r="O88" s="15">
        <f t="shared" si="35"/>
        <v>23</v>
      </c>
      <c r="P88" s="15">
        <f t="shared" si="36"/>
        <v>67</v>
      </c>
      <c r="R88" s="8"/>
      <c r="T88"/>
    </row>
    <row r="89" spans="2:20" ht="23.1" customHeight="1" x14ac:dyDescent="0.25">
      <c r="B89" s="45" t="s">
        <v>129</v>
      </c>
      <c r="C89" s="50">
        <v>13</v>
      </c>
      <c r="D89" s="50">
        <v>0</v>
      </c>
      <c r="E89" s="50">
        <v>1</v>
      </c>
      <c r="F89" s="50">
        <v>2</v>
      </c>
      <c r="G89" s="50">
        <v>0</v>
      </c>
      <c r="H89" s="50">
        <v>0</v>
      </c>
      <c r="I89" s="50">
        <v>2</v>
      </c>
      <c r="J89" s="50">
        <v>6</v>
      </c>
      <c r="K89" s="50">
        <v>0</v>
      </c>
      <c r="L89" s="50">
        <v>1</v>
      </c>
      <c r="M89" s="50">
        <v>42</v>
      </c>
      <c r="N89" s="50">
        <v>0</v>
      </c>
      <c r="O89" s="15">
        <f t="shared" si="35"/>
        <v>25</v>
      </c>
      <c r="P89" s="15">
        <f t="shared" si="36"/>
        <v>67</v>
      </c>
      <c r="R89" s="8"/>
      <c r="T89"/>
    </row>
    <row r="90" spans="2:20" ht="23.1" customHeight="1" x14ac:dyDescent="0.25">
      <c r="B90" s="46" t="s">
        <v>130</v>
      </c>
      <c r="C90" s="50">
        <v>7</v>
      </c>
      <c r="D90" s="50">
        <v>2</v>
      </c>
      <c r="E90" s="50">
        <v>1</v>
      </c>
      <c r="F90" s="50">
        <v>0</v>
      </c>
      <c r="G90" s="50">
        <v>0</v>
      </c>
      <c r="H90" s="50">
        <v>0</v>
      </c>
      <c r="I90" s="50">
        <v>8</v>
      </c>
      <c r="J90" s="50">
        <v>5</v>
      </c>
      <c r="K90" s="50">
        <v>2</v>
      </c>
      <c r="L90" s="50">
        <v>2</v>
      </c>
      <c r="M90" s="50">
        <v>53</v>
      </c>
      <c r="N90" s="50">
        <v>0</v>
      </c>
      <c r="O90" s="15">
        <f t="shared" si="35"/>
        <v>27</v>
      </c>
      <c r="P90" s="15">
        <f t="shared" si="36"/>
        <v>80</v>
      </c>
      <c r="R90" s="8"/>
      <c r="T90"/>
    </row>
    <row r="91" spans="2:20" ht="23.1" customHeight="1" x14ac:dyDescent="0.25">
      <c r="B91" s="45" t="s">
        <v>131</v>
      </c>
      <c r="C91" s="50">
        <v>6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4</v>
      </c>
      <c r="J91" s="50">
        <v>2</v>
      </c>
      <c r="K91" s="50">
        <v>0</v>
      </c>
      <c r="L91" s="50">
        <v>2</v>
      </c>
      <c r="M91" s="50">
        <v>38</v>
      </c>
      <c r="N91" s="50">
        <v>0</v>
      </c>
      <c r="O91" s="15">
        <f t="shared" si="35"/>
        <v>15</v>
      </c>
      <c r="P91" s="15">
        <f t="shared" si="36"/>
        <v>53</v>
      </c>
      <c r="R91" s="8"/>
      <c r="T91"/>
    </row>
    <row r="92" spans="2:20" ht="23.1" customHeight="1" x14ac:dyDescent="0.25">
      <c r="B92" s="47" t="s">
        <v>132</v>
      </c>
      <c r="C92" s="50">
        <v>19</v>
      </c>
      <c r="D92" s="50">
        <v>4</v>
      </c>
      <c r="E92" s="50">
        <v>0</v>
      </c>
      <c r="F92" s="50">
        <v>1</v>
      </c>
      <c r="G92" s="50">
        <v>0</v>
      </c>
      <c r="H92" s="50">
        <v>0</v>
      </c>
      <c r="I92" s="50">
        <v>2</v>
      </c>
      <c r="J92" s="50">
        <v>8</v>
      </c>
      <c r="K92" s="50">
        <v>0</v>
      </c>
      <c r="L92" s="50">
        <v>0</v>
      </c>
      <c r="M92" s="50">
        <v>44</v>
      </c>
      <c r="N92" s="50">
        <v>0</v>
      </c>
      <c r="O92" s="15">
        <f t="shared" si="35"/>
        <v>34</v>
      </c>
      <c r="P92" s="15">
        <f t="shared" si="36"/>
        <v>78</v>
      </c>
      <c r="R92" s="8"/>
      <c r="T92"/>
    </row>
    <row r="93" spans="2:20" ht="23.1" customHeight="1" x14ac:dyDescent="0.25">
      <c r="B93" s="45" t="s">
        <v>133</v>
      </c>
      <c r="C93" s="50">
        <v>9</v>
      </c>
      <c r="D93" s="50">
        <v>1</v>
      </c>
      <c r="E93" s="50">
        <v>1</v>
      </c>
      <c r="F93" s="50">
        <v>0</v>
      </c>
      <c r="G93" s="50">
        <v>0</v>
      </c>
      <c r="H93" s="50">
        <v>0</v>
      </c>
      <c r="I93" s="50">
        <v>4</v>
      </c>
      <c r="J93" s="50">
        <v>7</v>
      </c>
      <c r="K93" s="50">
        <v>0</v>
      </c>
      <c r="L93" s="50">
        <v>2</v>
      </c>
      <c r="M93" s="50">
        <v>52</v>
      </c>
      <c r="N93" s="50">
        <v>0</v>
      </c>
      <c r="O93" s="15">
        <f t="shared" si="35"/>
        <v>24</v>
      </c>
      <c r="P93" s="15">
        <f t="shared" si="36"/>
        <v>76</v>
      </c>
      <c r="R93" s="8"/>
      <c r="T93"/>
    </row>
    <row r="94" spans="2:20" ht="23.1" customHeight="1" x14ac:dyDescent="0.25">
      <c r="B94" s="46" t="s">
        <v>134</v>
      </c>
      <c r="C94" s="50">
        <v>12</v>
      </c>
      <c r="D94" s="50">
        <v>0</v>
      </c>
      <c r="E94" s="50">
        <v>1</v>
      </c>
      <c r="F94" s="50">
        <v>2</v>
      </c>
      <c r="G94" s="50">
        <v>0</v>
      </c>
      <c r="H94" s="50">
        <v>0</v>
      </c>
      <c r="I94" s="50">
        <v>1</v>
      </c>
      <c r="J94" s="50">
        <v>4</v>
      </c>
      <c r="K94" s="50">
        <v>0</v>
      </c>
      <c r="L94" s="50">
        <v>0</v>
      </c>
      <c r="M94" s="50">
        <v>39</v>
      </c>
      <c r="N94" s="50">
        <v>0</v>
      </c>
      <c r="O94" s="15">
        <f t="shared" si="35"/>
        <v>20</v>
      </c>
      <c r="P94" s="15">
        <f t="shared" si="36"/>
        <v>59</v>
      </c>
      <c r="R94" s="8"/>
      <c r="T94"/>
    </row>
    <row r="95" spans="2:20" ht="23.1" customHeight="1" x14ac:dyDescent="0.25">
      <c r="B95" s="45" t="s">
        <v>135</v>
      </c>
      <c r="C95" s="50">
        <v>14</v>
      </c>
      <c r="D95" s="50">
        <v>1</v>
      </c>
      <c r="E95" s="50">
        <v>1</v>
      </c>
      <c r="F95" s="50">
        <v>2</v>
      </c>
      <c r="G95" s="50">
        <v>0</v>
      </c>
      <c r="H95" s="50">
        <v>1</v>
      </c>
      <c r="I95" s="50">
        <v>4</v>
      </c>
      <c r="J95" s="50">
        <v>5</v>
      </c>
      <c r="K95" s="50">
        <v>0</v>
      </c>
      <c r="L95" s="50">
        <v>0</v>
      </c>
      <c r="M95" s="50">
        <v>30</v>
      </c>
      <c r="N95" s="50">
        <v>0</v>
      </c>
      <c r="O95" s="15">
        <f t="shared" si="35"/>
        <v>28</v>
      </c>
      <c r="P95" s="15">
        <f t="shared" si="36"/>
        <v>58</v>
      </c>
      <c r="R95" s="8"/>
      <c r="T95"/>
    </row>
    <row r="96" spans="2:20" ht="23.1" customHeight="1" x14ac:dyDescent="0.25">
      <c r="B96" s="47" t="s">
        <v>136</v>
      </c>
      <c r="C96" s="50">
        <v>19</v>
      </c>
      <c r="D96" s="50">
        <v>5</v>
      </c>
      <c r="E96" s="50">
        <v>0</v>
      </c>
      <c r="F96" s="50">
        <v>1</v>
      </c>
      <c r="G96" s="50">
        <v>0</v>
      </c>
      <c r="H96" s="50">
        <v>0</v>
      </c>
      <c r="I96" s="50">
        <v>2</v>
      </c>
      <c r="J96" s="50">
        <v>4</v>
      </c>
      <c r="K96" s="50">
        <v>0</v>
      </c>
      <c r="L96" s="50">
        <v>2</v>
      </c>
      <c r="M96" s="50">
        <v>41</v>
      </c>
      <c r="N96" s="50">
        <v>0</v>
      </c>
      <c r="O96" s="15">
        <f t="shared" si="35"/>
        <v>33</v>
      </c>
      <c r="P96" s="15">
        <f t="shared" si="36"/>
        <v>74</v>
      </c>
      <c r="R96" s="8"/>
      <c r="T96"/>
    </row>
    <row r="97" spans="2:20" ht="23.1" customHeight="1" x14ac:dyDescent="0.25">
      <c r="B97" s="45" t="s">
        <v>137</v>
      </c>
      <c r="C97" s="50">
        <v>17</v>
      </c>
      <c r="D97" s="50">
        <v>0</v>
      </c>
      <c r="E97" s="50">
        <v>0</v>
      </c>
      <c r="F97" s="50">
        <v>5</v>
      </c>
      <c r="G97" s="50">
        <v>0</v>
      </c>
      <c r="H97" s="50">
        <v>0</v>
      </c>
      <c r="I97" s="50">
        <v>2</v>
      </c>
      <c r="J97" s="50">
        <v>2</v>
      </c>
      <c r="K97" s="50">
        <v>1</v>
      </c>
      <c r="L97" s="50">
        <v>1</v>
      </c>
      <c r="M97" s="50">
        <v>27</v>
      </c>
      <c r="N97" s="50">
        <v>0</v>
      </c>
      <c r="O97" s="15">
        <f t="shared" si="35"/>
        <v>28</v>
      </c>
      <c r="P97" s="15">
        <f t="shared" si="36"/>
        <v>55</v>
      </c>
      <c r="R97" s="8"/>
      <c r="T97"/>
    </row>
    <row r="98" spans="2:20" ht="23.1" customHeight="1" x14ac:dyDescent="0.25">
      <c r="B98" s="46" t="s">
        <v>138</v>
      </c>
      <c r="C98" s="50">
        <v>10</v>
      </c>
      <c r="D98" s="50">
        <v>2</v>
      </c>
      <c r="E98" s="50">
        <v>0</v>
      </c>
      <c r="F98" s="50">
        <v>2</v>
      </c>
      <c r="G98" s="50">
        <v>1</v>
      </c>
      <c r="H98" s="50">
        <v>0</v>
      </c>
      <c r="I98" s="50">
        <v>4</v>
      </c>
      <c r="J98" s="50">
        <v>9</v>
      </c>
      <c r="K98" s="50">
        <v>0</v>
      </c>
      <c r="L98" s="50">
        <v>2</v>
      </c>
      <c r="M98" s="50">
        <v>43</v>
      </c>
      <c r="N98" s="50">
        <v>0</v>
      </c>
      <c r="O98" s="15">
        <f t="shared" si="35"/>
        <v>30</v>
      </c>
      <c r="P98" s="15">
        <f t="shared" si="36"/>
        <v>73</v>
      </c>
      <c r="R98" s="8"/>
      <c r="T98"/>
    </row>
    <row r="99" spans="2:20" ht="23.1" customHeight="1" x14ac:dyDescent="0.25">
      <c r="B99" s="45" t="s">
        <v>139</v>
      </c>
      <c r="C99" s="50">
        <v>13</v>
      </c>
      <c r="D99" s="50">
        <v>3</v>
      </c>
      <c r="E99" s="50">
        <v>4</v>
      </c>
      <c r="F99" s="50">
        <v>3</v>
      </c>
      <c r="G99" s="50">
        <v>0</v>
      </c>
      <c r="H99" s="50">
        <v>0</v>
      </c>
      <c r="I99" s="50">
        <v>9</v>
      </c>
      <c r="J99" s="50">
        <v>1</v>
      </c>
      <c r="K99" s="50">
        <v>0</v>
      </c>
      <c r="L99" s="50">
        <v>3</v>
      </c>
      <c r="M99" s="50">
        <v>49</v>
      </c>
      <c r="N99" s="50">
        <v>0</v>
      </c>
      <c r="O99" s="15">
        <f t="shared" si="35"/>
        <v>36</v>
      </c>
      <c r="P99" s="15">
        <f t="shared" si="36"/>
        <v>85</v>
      </c>
      <c r="R99" s="8"/>
      <c r="T99"/>
    </row>
    <row r="100" spans="2:20" ht="23.1" customHeight="1" x14ac:dyDescent="0.25">
      <c r="B100" s="47" t="s">
        <v>140</v>
      </c>
      <c r="C100" s="50">
        <v>21</v>
      </c>
      <c r="D100" s="50">
        <v>7</v>
      </c>
      <c r="E100" s="50">
        <v>2</v>
      </c>
      <c r="F100" s="50">
        <v>8</v>
      </c>
      <c r="G100" s="50">
        <v>0</v>
      </c>
      <c r="H100" s="50">
        <v>0</v>
      </c>
      <c r="I100" s="50">
        <v>4</v>
      </c>
      <c r="J100" s="50">
        <v>5</v>
      </c>
      <c r="K100" s="50">
        <v>1</v>
      </c>
      <c r="L100" s="50">
        <v>3</v>
      </c>
      <c r="M100" s="50">
        <v>40</v>
      </c>
      <c r="N100" s="50">
        <v>0</v>
      </c>
      <c r="O100" s="15">
        <f t="shared" si="35"/>
        <v>51</v>
      </c>
      <c r="P100" s="15">
        <f t="shared" si="36"/>
        <v>91</v>
      </c>
      <c r="R100" s="8"/>
      <c r="T100"/>
    </row>
    <row r="101" spans="2:20" ht="23.1" customHeight="1" x14ac:dyDescent="0.25">
      <c r="B101" s="45" t="s">
        <v>141</v>
      </c>
      <c r="C101" s="50">
        <v>13</v>
      </c>
      <c r="D101" s="50">
        <v>0</v>
      </c>
      <c r="E101" s="50">
        <v>2</v>
      </c>
      <c r="F101" s="50">
        <v>3</v>
      </c>
      <c r="G101" s="50">
        <v>0</v>
      </c>
      <c r="H101" s="50">
        <v>1</v>
      </c>
      <c r="I101" s="50">
        <v>5</v>
      </c>
      <c r="J101" s="50">
        <v>0</v>
      </c>
      <c r="K101" s="50">
        <v>1</v>
      </c>
      <c r="L101" s="50">
        <v>7</v>
      </c>
      <c r="M101" s="50">
        <v>42</v>
      </c>
      <c r="N101" s="50">
        <v>0</v>
      </c>
      <c r="O101" s="15">
        <f t="shared" si="35"/>
        <v>32</v>
      </c>
      <c r="P101" s="15">
        <f t="shared" si="36"/>
        <v>74</v>
      </c>
      <c r="R101" s="8"/>
      <c r="T101"/>
    </row>
    <row r="102" spans="2:20" ht="23.1" customHeight="1" x14ac:dyDescent="0.25">
      <c r="B102" s="46" t="s">
        <v>142</v>
      </c>
      <c r="C102" s="50">
        <v>26</v>
      </c>
      <c r="D102" s="50">
        <v>5</v>
      </c>
      <c r="E102" s="50">
        <v>5</v>
      </c>
      <c r="F102" s="50">
        <v>11</v>
      </c>
      <c r="G102" s="50">
        <v>0</v>
      </c>
      <c r="H102" s="50">
        <v>0</v>
      </c>
      <c r="I102" s="50">
        <v>8</v>
      </c>
      <c r="J102" s="50">
        <v>7</v>
      </c>
      <c r="K102" s="50">
        <v>2</v>
      </c>
      <c r="L102" s="50">
        <v>2</v>
      </c>
      <c r="M102" s="50">
        <v>50</v>
      </c>
      <c r="N102" s="50">
        <v>0</v>
      </c>
      <c r="O102" s="15">
        <f t="shared" si="35"/>
        <v>66</v>
      </c>
      <c r="P102" s="15">
        <f t="shared" si="36"/>
        <v>116</v>
      </c>
      <c r="R102" s="8"/>
      <c r="T102"/>
    </row>
    <row r="103" spans="2:20" ht="23.1" customHeight="1" x14ac:dyDescent="0.25">
      <c r="B103" s="45" t="s">
        <v>143</v>
      </c>
      <c r="C103" s="50">
        <v>19</v>
      </c>
      <c r="D103" s="50">
        <v>1</v>
      </c>
      <c r="E103" s="50">
        <v>2</v>
      </c>
      <c r="F103" s="50">
        <v>15</v>
      </c>
      <c r="G103" s="50">
        <v>1</v>
      </c>
      <c r="H103" s="50">
        <v>0</v>
      </c>
      <c r="I103" s="50">
        <v>8</v>
      </c>
      <c r="J103" s="50">
        <v>5</v>
      </c>
      <c r="K103" s="50">
        <v>1</v>
      </c>
      <c r="L103" s="50">
        <v>10</v>
      </c>
      <c r="M103" s="50">
        <v>55</v>
      </c>
      <c r="N103" s="50">
        <v>0</v>
      </c>
      <c r="O103" s="15">
        <f t="shared" si="35"/>
        <v>62</v>
      </c>
      <c r="P103" s="15">
        <f t="shared" si="36"/>
        <v>117</v>
      </c>
      <c r="R103" s="8"/>
      <c r="T103"/>
    </row>
    <row r="104" spans="2:20" ht="23.1" customHeight="1" x14ac:dyDescent="0.25">
      <c r="B104" s="47" t="s">
        <v>144</v>
      </c>
      <c r="C104" s="50">
        <v>45</v>
      </c>
      <c r="D104" s="50">
        <v>11</v>
      </c>
      <c r="E104" s="50">
        <v>4</v>
      </c>
      <c r="F104" s="50">
        <v>20</v>
      </c>
      <c r="G104" s="50">
        <v>1</v>
      </c>
      <c r="H104" s="50">
        <v>4</v>
      </c>
      <c r="I104" s="50">
        <v>4</v>
      </c>
      <c r="J104" s="50">
        <v>8</v>
      </c>
      <c r="K104" s="50">
        <v>1</v>
      </c>
      <c r="L104" s="50">
        <v>5</v>
      </c>
      <c r="M104" s="50">
        <v>67</v>
      </c>
      <c r="N104" s="50">
        <v>0</v>
      </c>
      <c r="O104" s="15">
        <f t="shared" si="35"/>
        <v>103</v>
      </c>
      <c r="P104" s="15">
        <f t="shared" si="36"/>
        <v>170</v>
      </c>
      <c r="R104" s="8"/>
      <c r="T104"/>
    </row>
    <row r="105" spans="2:20" ht="23.1" customHeight="1" x14ac:dyDescent="0.25">
      <c r="B105" s="45" t="s">
        <v>145</v>
      </c>
      <c r="C105" s="50">
        <v>42</v>
      </c>
      <c r="D105" s="50">
        <v>2</v>
      </c>
      <c r="E105" s="50">
        <v>5</v>
      </c>
      <c r="F105" s="50">
        <v>18</v>
      </c>
      <c r="G105" s="50">
        <v>0</v>
      </c>
      <c r="H105" s="50">
        <v>0</v>
      </c>
      <c r="I105" s="50">
        <v>5</v>
      </c>
      <c r="J105" s="50">
        <v>3</v>
      </c>
      <c r="K105" s="50">
        <v>0</v>
      </c>
      <c r="L105" s="50">
        <v>2</v>
      </c>
      <c r="M105" s="50">
        <v>55</v>
      </c>
      <c r="N105" s="50">
        <v>0</v>
      </c>
      <c r="O105" s="15">
        <f t="shared" si="35"/>
        <v>77</v>
      </c>
      <c r="P105" s="15">
        <f t="shared" si="36"/>
        <v>132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7022</v>
      </c>
      <c r="D106" s="16">
        <f t="shared" ref="D106:P106" si="37">SUM(D10:D105)</f>
        <v>728</v>
      </c>
      <c r="E106" s="16">
        <f t="shared" si="37"/>
        <v>600</v>
      </c>
      <c r="F106" s="16">
        <f t="shared" si="37"/>
        <v>3641</v>
      </c>
      <c r="G106" s="16">
        <f t="shared" si="37"/>
        <v>166</v>
      </c>
      <c r="H106" s="16">
        <f t="shared" si="37"/>
        <v>159</v>
      </c>
      <c r="I106" s="16">
        <f t="shared" si="37"/>
        <v>969</v>
      </c>
      <c r="J106" s="16">
        <f t="shared" si="37"/>
        <v>955</v>
      </c>
      <c r="K106" s="16">
        <f t="shared" si="37"/>
        <v>203</v>
      </c>
      <c r="L106" s="16">
        <f t="shared" si="37"/>
        <v>310</v>
      </c>
      <c r="M106" s="16">
        <f t="shared" si="37"/>
        <v>15345</v>
      </c>
      <c r="N106" s="16">
        <f t="shared" si="37"/>
        <v>1</v>
      </c>
      <c r="O106" s="16">
        <f t="shared" si="37"/>
        <v>14754</v>
      </c>
      <c r="P106" s="16">
        <f t="shared" si="37"/>
        <v>30099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0.23329678726868003</v>
      </c>
      <c r="D107" s="43">
        <f t="shared" si="38"/>
        <v>2.4186850061463837E-2</v>
      </c>
      <c r="E107" s="43">
        <f t="shared" si="38"/>
        <v>1.9934217083624042E-2</v>
      </c>
      <c r="F107" s="43">
        <f t="shared" si="38"/>
        <v>0.12096747400245855</v>
      </c>
      <c r="G107" s="43">
        <f t="shared" si="38"/>
        <v>5.5151333931359849E-3</v>
      </c>
      <c r="H107" s="43">
        <f t="shared" si="38"/>
        <v>5.2825675271603711E-3</v>
      </c>
      <c r="I107" s="43">
        <f t="shared" si="38"/>
        <v>3.2193760590052828E-2</v>
      </c>
      <c r="J107" s="43">
        <f t="shared" si="38"/>
        <v>3.1728628858101598E-2</v>
      </c>
      <c r="K107" s="43">
        <f t="shared" si="38"/>
        <v>6.7444101132928007E-3</v>
      </c>
      <c r="L107" s="43">
        <f t="shared" si="38"/>
        <v>1.0299345493205754E-2</v>
      </c>
      <c r="M107" s="43">
        <f t="shared" si="38"/>
        <v>0.50981760191368486</v>
      </c>
      <c r="N107" s="43">
        <f t="shared" si="38"/>
        <v>3.3223695139373401E-5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0.47593872848041208</v>
      </c>
      <c r="D108" s="44">
        <f t="shared" ref="D108:N108" si="39">D106/$O$106</f>
        <v>4.9342551172563372E-2</v>
      </c>
      <c r="E108" s="44">
        <f t="shared" si="39"/>
        <v>4.0666937779585195E-2</v>
      </c>
      <c r="F108" s="44">
        <f t="shared" si="39"/>
        <v>0.24678053409244952</v>
      </c>
      <c r="G108" s="44">
        <f t="shared" si="39"/>
        <v>1.1251186119018571E-2</v>
      </c>
      <c r="H108" s="44">
        <f t="shared" si="39"/>
        <v>1.0776738511590077E-2</v>
      </c>
      <c r="I108" s="44">
        <f t="shared" si="39"/>
        <v>6.5677104514030096E-2</v>
      </c>
      <c r="J108" s="44">
        <f t="shared" si="39"/>
        <v>6.4728209299173112E-2</v>
      </c>
      <c r="K108" s="44">
        <f t="shared" si="39"/>
        <v>1.3758980615426325E-2</v>
      </c>
      <c r="L108" s="44">
        <f t="shared" si="39"/>
        <v>2.1011251186119018E-2</v>
      </c>
      <c r="M108" s="44"/>
      <c r="N108" s="44">
        <f t="shared" si="39"/>
        <v>6.777822963264199E-5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KYENGERA-BUSEGA'!C3:G3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7" t="str">
        <f>'27.07 BUSEGA-KYENGERA-24h'!G5:H5</f>
        <v>KYENGERA</v>
      </c>
      <c r="H5" s="68"/>
      <c r="I5" s="14"/>
      <c r="J5" s="2" t="s">
        <v>5</v>
      </c>
      <c r="K5" s="67" t="str">
        <f>'27.07 BUSEGA-KYENGERA-24h'!K5:L5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KYENGERA-BUSEGA'!D6:E6</f>
        <v>KYENGERA</v>
      </c>
      <c r="E6" s="68"/>
      <c r="F6" s="2" t="s">
        <v>2</v>
      </c>
      <c r="G6" s="67" t="str">
        <f>'22.07 KYENGERA-BUSEGA'!G6:H6</f>
        <v>BUSEGA</v>
      </c>
      <c r="H6" s="68"/>
      <c r="J6" s="2" t="s">
        <v>21</v>
      </c>
      <c r="K6" s="67" t="str">
        <f>'27.07 BUSEGA-KYENGERA-24h'!K6:L6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18</v>
      </c>
      <c r="D10" s="50">
        <v>6</v>
      </c>
      <c r="E10" s="50">
        <v>2</v>
      </c>
      <c r="F10" s="50">
        <v>34</v>
      </c>
      <c r="G10" s="50">
        <v>2</v>
      </c>
      <c r="H10" s="50">
        <v>1</v>
      </c>
      <c r="I10" s="50">
        <v>11</v>
      </c>
      <c r="J10" s="50">
        <v>4</v>
      </c>
      <c r="K10" s="50">
        <v>2</v>
      </c>
      <c r="L10" s="50">
        <v>2</v>
      </c>
      <c r="M10" s="50">
        <v>320</v>
      </c>
      <c r="N10" s="50">
        <v>0</v>
      </c>
      <c r="O10" s="15">
        <f t="shared" ref="O10:O57" si="0">SUM(C10:L10,N10)</f>
        <v>82</v>
      </c>
      <c r="P10" s="15">
        <f t="shared" ref="P10:P57" si="1">SUM(C10:N10)</f>
        <v>402</v>
      </c>
      <c r="R10" s="1" t="s">
        <v>6</v>
      </c>
      <c r="S10" s="17">
        <f t="shared" ref="S10:AF10" si="2">SUM(C10:C13)</f>
        <v>129</v>
      </c>
      <c r="T10" s="17">
        <f t="shared" si="2"/>
        <v>40</v>
      </c>
      <c r="U10" s="17">
        <f t="shared" si="2"/>
        <v>12</v>
      </c>
      <c r="V10" s="17">
        <f t="shared" si="2"/>
        <v>167</v>
      </c>
      <c r="W10" s="17">
        <f t="shared" si="2"/>
        <v>7</v>
      </c>
      <c r="X10" s="17">
        <f t="shared" si="2"/>
        <v>4</v>
      </c>
      <c r="Y10" s="17">
        <f t="shared" si="2"/>
        <v>36</v>
      </c>
      <c r="Z10" s="17">
        <f t="shared" si="2"/>
        <v>18</v>
      </c>
      <c r="AA10" s="17">
        <f t="shared" si="2"/>
        <v>6</v>
      </c>
      <c r="AB10" s="17">
        <f t="shared" si="2"/>
        <v>11</v>
      </c>
      <c r="AC10" s="17">
        <f t="shared" si="2"/>
        <v>1270</v>
      </c>
      <c r="AD10" s="17">
        <f t="shared" si="2"/>
        <v>0</v>
      </c>
      <c r="AE10" s="31">
        <f t="shared" si="2"/>
        <v>430</v>
      </c>
      <c r="AF10" s="31">
        <f t="shared" si="2"/>
        <v>1700</v>
      </c>
    </row>
    <row r="11" spans="2:32" s="6" customFormat="1" ht="23.1" customHeight="1" x14ac:dyDescent="0.25">
      <c r="B11" s="23" t="s">
        <v>38</v>
      </c>
      <c r="C11" s="50">
        <v>35</v>
      </c>
      <c r="D11" s="50">
        <v>9</v>
      </c>
      <c r="E11" s="50">
        <v>2</v>
      </c>
      <c r="F11" s="50">
        <v>29</v>
      </c>
      <c r="G11" s="50">
        <v>2</v>
      </c>
      <c r="H11" s="50">
        <v>1</v>
      </c>
      <c r="I11" s="50">
        <v>7</v>
      </c>
      <c r="J11" s="50">
        <v>3</v>
      </c>
      <c r="K11" s="50">
        <v>1</v>
      </c>
      <c r="L11" s="50">
        <v>2</v>
      </c>
      <c r="M11" s="50">
        <v>300</v>
      </c>
      <c r="N11" s="50">
        <v>0</v>
      </c>
      <c r="O11" s="15">
        <f t="shared" si="0"/>
        <v>91</v>
      </c>
      <c r="P11" s="15">
        <f t="shared" si="1"/>
        <v>391</v>
      </c>
      <c r="R11" s="1" t="s">
        <v>7</v>
      </c>
      <c r="S11" s="17">
        <f t="shared" ref="S11:AF11" si="3">SUM(C14:C17)</f>
        <v>238</v>
      </c>
      <c r="T11" s="17">
        <f t="shared" si="3"/>
        <v>67</v>
      </c>
      <c r="U11" s="17">
        <f t="shared" si="3"/>
        <v>9</v>
      </c>
      <c r="V11" s="17">
        <f t="shared" si="3"/>
        <v>219</v>
      </c>
      <c r="W11" s="17">
        <f t="shared" si="3"/>
        <v>8</v>
      </c>
      <c r="X11" s="17">
        <f t="shared" si="3"/>
        <v>2</v>
      </c>
      <c r="Y11" s="17">
        <f t="shared" si="3"/>
        <v>50</v>
      </c>
      <c r="Z11" s="17">
        <f t="shared" si="3"/>
        <v>16</v>
      </c>
      <c r="AA11" s="17">
        <f t="shared" si="3"/>
        <v>1</v>
      </c>
      <c r="AB11" s="17">
        <f t="shared" si="3"/>
        <v>11</v>
      </c>
      <c r="AC11" s="17">
        <f t="shared" si="3"/>
        <v>1033</v>
      </c>
      <c r="AD11" s="17">
        <f t="shared" si="3"/>
        <v>0</v>
      </c>
      <c r="AE11" s="31">
        <f t="shared" si="3"/>
        <v>621</v>
      </c>
      <c r="AF11" s="31">
        <f t="shared" si="3"/>
        <v>1654</v>
      </c>
    </row>
    <row r="12" spans="2:32" ht="23.1" customHeight="1" x14ac:dyDescent="0.25">
      <c r="B12" s="23" t="s">
        <v>39</v>
      </c>
      <c r="C12" s="50">
        <v>43</v>
      </c>
      <c r="D12" s="50">
        <v>16</v>
      </c>
      <c r="E12" s="50">
        <v>3</v>
      </c>
      <c r="F12" s="50">
        <v>66</v>
      </c>
      <c r="G12" s="50">
        <v>3</v>
      </c>
      <c r="H12" s="50">
        <v>1</v>
      </c>
      <c r="I12" s="50">
        <v>7</v>
      </c>
      <c r="J12" s="50">
        <v>4</v>
      </c>
      <c r="K12" s="50">
        <v>2</v>
      </c>
      <c r="L12" s="50">
        <v>3</v>
      </c>
      <c r="M12" s="50">
        <v>315</v>
      </c>
      <c r="N12" s="50">
        <v>0</v>
      </c>
      <c r="O12" s="15">
        <f t="shared" si="0"/>
        <v>148</v>
      </c>
      <c r="P12" s="15">
        <f t="shared" si="1"/>
        <v>463</v>
      </c>
      <c r="R12" s="1" t="s">
        <v>8</v>
      </c>
      <c r="S12" s="17">
        <f t="shared" ref="S12:AF12" si="4">SUM(C18:C21)</f>
        <v>337</v>
      </c>
      <c r="T12" s="17">
        <f t="shared" si="4"/>
        <v>57</v>
      </c>
      <c r="U12" s="17">
        <f t="shared" si="4"/>
        <v>30</v>
      </c>
      <c r="V12" s="17">
        <f t="shared" si="4"/>
        <v>250</v>
      </c>
      <c r="W12" s="17">
        <f t="shared" si="4"/>
        <v>8</v>
      </c>
      <c r="X12" s="17">
        <f t="shared" si="4"/>
        <v>4</v>
      </c>
      <c r="Y12" s="17">
        <f t="shared" si="4"/>
        <v>46</v>
      </c>
      <c r="Z12" s="17">
        <f t="shared" si="4"/>
        <v>15</v>
      </c>
      <c r="AA12" s="17">
        <f t="shared" si="4"/>
        <v>4</v>
      </c>
      <c r="AB12" s="17">
        <f t="shared" si="4"/>
        <v>8</v>
      </c>
      <c r="AC12" s="17">
        <f t="shared" si="4"/>
        <v>644</v>
      </c>
      <c r="AD12" s="17">
        <f t="shared" si="4"/>
        <v>0</v>
      </c>
      <c r="AE12" s="31">
        <f t="shared" si="4"/>
        <v>759</v>
      </c>
      <c r="AF12" s="31">
        <f t="shared" si="4"/>
        <v>1403</v>
      </c>
    </row>
    <row r="13" spans="2:32" ht="23.1" customHeight="1" x14ac:dyDescent="0.25">
      <c r="B13" s="23" t="s">
        <v>40</v>
      </c>
      <c r="C13" s="50">
        <v>33</v>
      </c>
      <c r="D13" s="50">
        <v>9</v>
      </c>
      <c r="E13" s="50">
        <v>5</v>
      </c>
      <c r="F13" s="50">
        <v>38</v>
      </c>
      <c r="G13" s="50">
        <v>0</v>
      </c>
      <c r="H13" s="50">
        <v>1</v>
      </c>
      <c r="I13" s="50">
        <v>11</v>
      </c>
      <c r="J13" s="50">
        <v>7</v>
      </c>
      <c r="K13" s="50">
        <v>1</v>
      </c>
      <c r="L13" s="50">
        <v>4</v>
      </c>
      <c r="M13" s="50">
        <v>335</v>
      </c>
      <c r="N13" s="50">
        <v>0</v>
      </c>
      <c r="O13" s="15">
        <f t="shared" si="0"/>
        <v>109</v>
      </c>
      <c r="P13" s="15">
        <f t="shared" si="1"/>
        <v>444</v>
      </c>
      <c r="R13" s="1" t="s">
        <v>9</v>
      </c>
      <c r="S13" s="17">
        <f t="shared" ref="S13:AF13" si="5">SUM(C22:C25)</f>
        <v>318</v>
      </c>
      <c r="T13" s="17">
        <f t="shared" si="5"/>
        <v>23</v>
      </c>
      <c r="U13" s="17">
        <f t="shared" si="5"/>
        <v>15</v>
      </c>
      <c r="V13" s="17">
        <f t="shared" si="5"/>
        <v>365</v>
      </c>
      <c r="W13" s="17">
        <f t="shared" si="5"/>
        <v>2</v>
      </c>
      <c r="X13" s="17">
        <f t="shared" si="5"/>
        <v>5</v>
      </c>
      <c r="Y13" s="17">
        <f t="shared" si="5"/>
        <v>23</v>
      </c>
      <c r="Z13" s="17">
        <f t="shared" si="5"/>
        <v>12</v>
      </c>
      <c r="AA13" s="17">
        <f t="shared" si="5"/>
        <v>3</v>
      </c>
      <c r="AB13" s="17">
        <f t="shared" si="5"/>
        <v>12</v>
      </c>
      <c r="AC13" s="17">
        <f t="shared" si="5"/>
        <v>590</v>
      </c>
      <c r="AD13" s="17">
        <f t="shared" si="5"/>
        <v>0</v>
      </c>
      <c r="AE13" s="31">
        <f t="shared" si="5"/>
        <v>778</v>
      </c>
      <c r="AF13" s="31">
        <f t="shared" si="5"/>
        <v>1368</v>
      </c>
    </row>
    <row r="14" spans="2:32" ht="23.1" customHeight="1" x14ac:dyDescent="0.25">
      <c r="B14" s="23" t="s">
        <v>41</v>
      </c>
      <c r="C14" s="50">
        <v>39</v>
      </c>
      <c r="D14" s="50">
        <v>22</v>
      </c>
      <c r="E14" s="50">
        <v>1</v>
      </c>
      <c r="F14" s="50">
        <v>54</v>
      </c>
      <c r="G14" s="50">
        <v>3</v>
      </c>
      <c r="H14" s="50">
        <v>0</v>
      </c>
      <c r="I14" s="50">
        <v>15</v>
      </c>
      <c r="J14" s="50">
        <v>4</v>
      </c>
      <c r="K14" s="50">
        <v>0</v>
      </c>
      <c r="L14" s="50">
        <v>4</v>
      </c>
      <c r="M14" s="50">
        <v>290</v>
      </c>
      <c r="N14" s="50">
        <v>0</v>
      </c>
      <c r="O14" s="15">
        <f t="shared" si="0"/>
        <v>142</v>
      </c>
      <c r="P14" s="15">
        <f t="shared" si="1"/>
        <v>432</v>
      </c>
      <c r="R14" s="1" t="s">
        <v>10</v>
      </c>
      <c r="S14" s="17">
        <f t="shared" ref="S14:AF14" si="6">SUM(C26:C29)</f>
        <v>255</v>
      </c>
      <c r="T14" s="17">
        <f t="shared" si="6"/>
        <v>58</v>
      </c>
      <c r="U14" s="17">
        <f t="shared" si="6"/>
        <v>13</v>
      </c>
      <c r="V14" s="17">
        <f t="shared" si="6"/>
        <v>370</v>
      </c>
      <c r="W14" s="17">
        <f t="shared" si="6"/>
        <v>3</v>
      </c>
      <c r="X14" s="17">
        <f t="shared" si="6"/>
        <v>6</v>
      </c>
      <c r="Y14" s="17">
        <f t="shared" si="6"/>
        <v>22</v>
      </c>
      <c r="Z14" s="17">
        <f t="shared" si="6"/>
        <v>8</v>
      </c>
      <c r="AA14" s="17">
        <f t="shared" si="6"/>
        <v>3</v>
      </c>
      <c r="AB14" s="17">
        <f t="shared" si="6"/>
        <v>7</v>
      </c>
      <c r="AC14" s="17">
        <f t="shared" si="6"/>
        <v>563</v>
      </c>
      <c r="AD14" s="17">
        <f t="shared" si="6"/>
        <v>0</v>
      </c>
      <c r="AE14" s="31">
        <f t="shared" si="6"/>
        <v>745</v>
      </c>
      <c r="AF14" s="31">
        <f t="shared" si="6"/>
        <v>1308</v>
      </c>
    </row>
    <row r="15" spans="2:32" ht="23.1" customHeight="1" x14ac:dyDescent="0.25">
      <c r="B15" s="23" t="s">
        <v>42</v>
      </c>
      <c r="C15" s="50">
        <v>63</v>
      </c>
      <c r="D15" s="50">
        <v>16</v>
      </c>
      <c r="E15" s="50">
        <v>3</v>
      </c>
      <c r="F15" s="50">
        <v>65</v>
      </c>
      <c r="G15" s="50">
        <v>1</v>
      </c>
      <c r="H15" s="50">
        <v>1</v>
      </c>
      <c r="I15" s="50">
        <v>8</v>
      </c>
      <c r="J15" s="50">
        <v>4</v>
      </c>
      <c r="K15" s="50">
        <v>0</v>
      </c>
      <c r="L15" s="50">
        <v>2</v>
      </c>
      <c r="M15" s="50">
        <v>243</v>
      </c>
      <c r="N15" s="50">
        <v>0</v>
      </c>
      <c r="O15" s="15">
        <f t="shared" si="0"/>
        <v>163</v>
      </c>
      <c r="P15" s="15">
        <f t="shared" si="1"/>
        <v>406</v>
      </c>
      <c r="R15" s="1" t="s">
        <v>11</v>
      </c>
      <c r="S15" s="17">
        <f t="shared" ref="S15:AF15" si="7">SUM(C30:C33)</f>
        <v>182</v>
      </c>
      <c r="T15" s="17">
        <f t="shared" si="7"/>
        <v>29</v>
      </c>
      <c r="U15" s="17">
        <f t="shared" si="7"/>
        <v>19</v>
      </c>
      <c r="V15" s="17">
        <f t="shared" si="7"/>
        <v>280</v>
      </c>
      <c r="W15" s="17">
        <f t="shared" si="7"/>
        <v>7</v>
      </c>
      <c r="X15" s="17">
        <f t="shared" si="7"/>
        <v>3</v>
      </c>
      <c r="Y15" s="17">
        <f t="shared" si="7"/>
        <v>34</v>
      </c>
      <c r="Z15" s="17">
        <f t="shared" si="7"/>
        <v>21</v>
      </c>
      <c r="AA15" s="17">
        <f t="shared" si="7"/>
        <v>3</v>
      </c>
      <c r="AB15" s="17">
        <f t="shared" si="7"/>
        <v>12</v>
      </c>
      <c r="AC15" s="17">
        <f t="shared" si="7"/>
        <v>478</v>
      </c>
      <c r="AD15" s="17">
        <f t="shared" si="7"/>
        <v>0</v>
      </c>
      <c r="AE15" s="31">
        <f t="shared" si="7"/>
        <v>590</v>
      </c>
      <c r="AF15" s="31">
        <f t="shared" si="7"/>
        <v>1068</v>
      </c>
    </row>
    <row r="16" spans="2:32" ht="23.1" customHeight="1" x14ac:dyDescent="0.25">
      <c r="B16" s="23" t="s">
        <v>43</v>
      </c>
      <c r="C16" s="50">
        <v>53</v>
      </c>
      <c r="D16" s="50">
        <v>12</v>
      </c>
      <c r="E16" s="50">
        <v>1</v>
      </c>
      <c r="F16" s="50">
        <v>52</v>
      </c>
      <c r="G16" s="50">
        <v>1</v>
      </c>
      <c r="H16" s="50">
        <v>0</v>
      </c>
      <c r="I16" s="50">
        <v>12</v>
      </c>
      <c r="J16" s="50">
        <v>3</v>
      </c>
      <c r="K16" s="50">
        <v>1</v>
      </c>
      <c r="L16" s="50">
        <v>3</v>
      </c>
      <c r="M16" s="50">
        <v>245</v>
      </c>
      <c r="N16" s="50">
        <v>0</v>
      </c>
      <c r="O16" s="15">
        <f t="shared" si="0"/>
        <v>138</v>
      </c>
      <c r="P16" s="15">
        <f t="shared" si="1"/>
        <v>383</v>
      </c>
      <c r="R16" s="1" t="s">
        <v>12</v>
      </c>
      <c r="S16" s="17">
        <f t="shared" ref="S16:AF16" si="8">SUM(C34:C37)</f>
        <v>215</v>
      </c>
      <c r="T16" s="17">
        <f t="shared" si="8"/>
        <v>22</v>
      </c>
      <c r="U16" s="17">
        <f t="shared" si="8"/>
        <v>22</v>
      </c>
      <c r="V16" s="17">
        <f t="shared" si="8"/>
        <v>265</v>
      </c>
      <c r="W16" s="17">
        <f t="shared" si="8"/>
        <v>4</v>
      </c>
      <c r="X16" s="17">
        <f t="shared" si="8"/>
        <v>8</v>
      </c>
      <c r="Y16" s="17">
        <f t="shared" si="8"/>
        <v>43</v>
      </c>
      <c r="Z16" s="17">
        <f t="shared" si="8"/>
        <v>20</v>
      </c>
      <c r="AA16" s="17">
        <f t="shared" si="8"/>
        <v>2</v>
      </c>
      <c r="AB16" s="17">
        <f t="shared" si="8"/>
        <v>11</v>
      </c>
      <c r="AC16" s="17">
        <f t="shared" si="8"/>
        <v>330</v>
      </c>
      <c r="AD16" s="17">
        <f t="shared" si="8"/>
        <v>2</v>
      </c>
      <c r="AE16" s="31">
        <f t="shared" si="8"/>
        <v>614</v>
      </c>
      <c r="AF16" s="31">
        <f t="shared" si="8"/>
        <v>944</v>
      </c>
    </row>
    <row r="17" spans="2:32" ht="23.1" customHeight="1" x14ac:dyDescent="0.25">
      <c r="B17" s="23" t="s">
        <v>44</v>
      </c>
      <c r="C17" s="50">
        <v>83</v>
      </c>
      <c r="D17" s="50">
        <v>17</v>
      </c>
      <c r="E17" s="50">
        <v>4</v>
      </c>
      <c r="F17" s="50">
        <v>48</v>
      </c>
      <c r="G17" s="50">
        <v>3</v>
      </c>
      <c r="H17" s="50">
        <v>1</v>
      </c>
      <c r="I17" s="50">
        <v>15</v>
      </c>
      <c r="J17" s="50">
        <v>5</v>
      </c>
      <c r="K17" s="50">
        <v>0</v>
      </c>
      <c r="L17" s="50">
        <v>2</v>
      </c>
      <c r="M17" s="50">
        <v>255</v>
      </c>
      <c r="N17" s="50">
        <v>0</v>
      </c>
      <c r="O17" s="15">
        <f t="shared" si="0"/>
        <v>178</v>
      </c>
      <c r="P17" s="15">
        <f t="shared" si="1"/>
        <v>433</v>
      </c>
      <c r="R17" s="1" t="s">
        <v>13</v>
      </c>
      <c r="S17" s="17">
        <f t="shared" ref="S17:AF17" si="9">SUM(C38:C41)</f>
        <v>174</v>
      </c>
      <c r="T17" s="17">
        <f t="shared" si="9"/>
        <v>19</v>
      </c>
      <c r="U17" s="17">
        <f t="shared" si="9"/>
        <v>16</v>
      </c>
      <c r="V17" s="17">
        <f t="shared" si="9"/>
        <v>142</v>
      </c>
      <c r="W17" s="17">
        <f t="shared" si="9"/>
        <v>3</v>
      </c>
      <c r="X17" s="17">
        <f t="shared" si="9"/>
        <v>4</v>
      </c>
      <c r="Y17" s="17">
        <f t="shared" si="9"/>
        <v>41</v>
      </c>
      <c r="Z17" s="17">
        <f t="shared" si="9"/>
        <v>11</v>
      </c>
      <c r="AA17" s="17">
        <f t="shared" si="9"/>
        <v>1</v>
      </c>
      <c r="AB17" s="17">
        <f t="shared" si="9"/>
        <v>10</v>
      </c>
      <c r="AC17" s="17">
        <f t="shared" si="9"/>
        <v>220</v>
      </c>
      <c r="AD17" s="17">
        <f t="shared" si="9"/>
        <v>0</v>
      </c>
      <c r="AE17" s="31">
        <f t="shared" si="9"/>
        <v>421</v>
      </c>
      <c r="AF17" s="31">
        <f t="shared" si="9"/>
        <v>641</v>
      </c>
    </row>
    <row r="18" spans="2:32" ht="23.1" customHeight="1" x14ac:dyDescent="0.25">
      <c r="B18" s="23" t="s">
        <v>45</v>
      </c>
      <c r="C18" s="50">
        <v>66</v>
      </c>
      <c r="D18" s="50">
        <v>12</v>
      </c>
      <c r="E18" s="50">
        <v>7</v>
      </c>
      <c r="F18" s="50">
        <v>63</v>
      </c>
      <c r="G18" s="50">
        <v>5</v>
      </c>
      <c r="H18" s="50">
        <v>2</v>
      </c>
      <c r="I18" s="50">
        <v>15</v>
      </c>
      <c r="J18" s="50">
        <v>1</v>
      </c>
      <c r="K18" s="50">
        <v>1</v>
      </c>
      <c r="L18" s="50">
        <v>2</v>
      </c>
      <c r="M18" s="50">
        <v>235</v>
      </c>
      <c r="N18" s="50">
        <v>0</v>
      </c>
      <c r="O18" s="15">
        <f t="shared" si="0"/>
        <v>174</v>
      </c>
      <c r="P18" s="15">
        <f t="shared" si="1"/>
        <v>409</v>
      </c>
      <c r="R18" s="1" t="s">
        <v>14</v>
      </c>
      <c r="S18" s="17">
        <f t="shared" ref="S18:AF18" si="10">SUM(C42:C45)</f>
        <v>209</v>
      </c>
      <c r="T18" s="17">
        <f t="shared" si="10"/>
        <v>59</v>
      </c>
      <c r="U18" s="17">
        <f t="shared" si="10"/>
        <v>17</v>
      </c>
      <c r="V18" s="17">
        <f t="shared" si="10"/>
        <v>220</v>
      </c>
      <c r="W18" s="17">
        <f t="shared" si="10"/>
        <v>5</v>
      </c>
      <c r="X18" s="17">
        <f t="shared" si="10"/>
        <v>8</v>
      </c>
      <c r="Y18" s="17">
        <f t="shared" si="10"/>
        <v>27</v>
      </c>
      <c r="Z18" s="17">
        <f t="shared" si="10"/>
        <v>11</v>
      </c>
      <c r="AA18" s="17">
        <f t="shared" si="10"/>
        <v>1</v>
      </c>
      <c r="AB18" s="17">
        <f t="shared" si="10"/>
        <v>7</v>
      </c>
      <c r="AC18" s="17">
        <f t="shared" si="10"/>
        <v>330</v>
      </c>
      <c r="AD18" s="17">
        <f t="shared" si="10"/>
        <v>0</v>
      </c>
      <c r="AE18" s="31">
        <f t="shared" si="10"/>
        <v>564</v>
      </c>
      <c r="AF18" s="31">
        <f t="shared" si="10"/>
        <v>894</v>
      </c>
    </row>
    <row r="19" spans="2:32" ht="23.1" customHeight="1" x14ac:dyDescent="0.25">
      <c r="B19" s="23" t="s">
        <v>46</v>
      </c>
      <c r="C19" s="50">
        <v>66</v>
      </c>
      <c r="D19" s="50">
        <v>7</v>
      </c>
      <c r="E19" s="50">
        <v>3</v>
      </c>
      <c r="F19" s="50">
        <v>54</v>
      </c>
      <c r="G19" s="50">
        <v>0</v>
      </c>
      <c r="H19" s="50">
        <v>2</v>
      </c>
      <c r="I19" s="50">
        <v>15</v>
      </c>
      <c r="J19" s="50">
        <v>1</v>
      </c>
      <c r="K19" s="50">
        <v>2</v>
      </c>
      <c r="L19" s="50">
        <v>2</v>
      </c>
      <c r="M19" s="50">
        <v>119</v>
      </c>
      <c r="N19" s="50">
        <v>0</v>
      </c>
      <c r="O19" s="15">
        <f t="shared" si="0"/>
        <v>152</v>
      </c>
      <c r="P19" s="15">
        <f t="shared" si="1"/>
        <v>271</v>
      </c>
      <c r="R19" s="1" t="s">
        <v>15</v>
      </c>
      <c r="S19" s="17">
        <f t="shared" ref="S19:AF19" si="11">SUM(C46:C49)</f>
        <v>152</v>
      </c>
      <c r="T19" s="17">
        <f t="shared" si="11"/>
        <v>35</v>
      </c>
      <c r="U19" s="17">
        <f t="shared" si="11"/>
        <v>15</v>
      </c>
      <c r="V19" s="17">
        <f t="shared" si="11"/>
        <v>155</v>
      </c>
      <c r="W19" s="17">
        <f t="shared" si="11"/>
        <v>3</v>
      </c>
      <c r="X19" s="17">
        <f t="shared" si="11"/>
        <v>6</v>
      </c>
      <c r="Y19" s="17">
        <f t="shared" si="11"/>
        <v>15</v>
      </c>
      <c r="Z19" s="17">
        <f t="shared" si="11"/>
        <v>30</v>
      </c>
      <c r="AA19" s="17">
        <f t="shared" si="11"/>
        <v>3</v>
      </c>
      <c r="AB19" s="17">
        <f t="shared" si="11"/>
        <v>20</v>
      </c>
      <c r="AC19" s="17">
        <f t="shared" si="11"/>
        <v>215</v>
      </c>
      <c r="AD19" s="17">
        <f t="shared" si="11"/>
        <v>0</v>
      </c>
      <c r="AE19" s="31">
        <f t="shared" si="11"/>
        <v>434</v>
      </c>
      <c r="AF19" s="31">
        <f t="shared" si="11"/>
        <v>649</v>
      </c>
    </row>
    <row r="20" spans="2:32" ht="23.1" customHeight="1" x14ac:dyDescent="0.25">
      <c r="B20" s="23" t="s">
        <v>47</v>
      </c>
      <c r="C20" s="50">
        <v>80</v>
      </c>
      <c r="D20" s="50">
        <v>12</v>
      </c>
      <c r="E20" s="50">
        <v>9</v>
      </c>
      <c r="F20" s="50">
        <v>56</v>
      </c>
      <c r="G20" s="50">
        <v>1</v>
      </c>
      <c r="H20" s="50">
        <v>0</v>
      </c>
      <c r="I20" s="50">
        <v>6</v>
      </c>
      <c r="J20" s="50">
        <v>6</v>
      </c>
      <c r="K20" s="50">
        <v>1</v>
      </c>
      <c r="L20" s="50">
        <v>3</v>
      </c>
      <c r="M20" s="50">
        <v>150</v>
      </c>
      <c r="N20" s="50">
        <v>0</v>
      </c>
      <c r="O20" s="15">
        <f t="shared" si="0"/>
        <v>174</v>
      </c>
      <c r="P20" s="15">
        <f t="shared" si="1"/>
        <v>324</v>
      </c>
      <c r="R20" s="1" t="s">
        <v>16</v>
      </c>
      <c r="S20" s="17">
        <f t="shared" ref="S20:AF20" si="12">SUM(C50:C53)</f>
        <v>130</v>
      </c>
      <c r="T20" s="17">
        <f t="shared" si="12"/>
        <v>29</v>
      </c>
      <c r="U20" s="17">
        <f t="shared" si="12"/>
        <v>27</v>
      </c>
      <c r="V20" s="17">
        <f t="shared" si="12"/>
        <v>167</v>
      </c>
      <c r="W20" s="17">
        <f t="shared" si="12"/>
        <v>6</v>
      </c>
      <c r="X20" s="17">
        <f t="shared" si="12"/>
        <v>3</v>
      </c>
      <c r="Y20" s="17">
        <f t="shared" si="12"/>
        <v>12</v>
      </c>
      <c r="Z20" s="17">
        <f t="shared" si="12"/>
        <v>11</v>
      </c>
      <c r="AA20" s="17">
        <f t="shared" si="12"/>
        <v>2</v>
      </c>
      <c r="AB20" s="17">
        <f t="shared" si="12"/>
        <v>23</v>
      </c>
      <c r="AC20" s="17">
        <f t="shared" si="12"/>
        <v>210</v>
      </c>
      <c r="AD20" s="17">
        <f t="shared" si="12"/>
        <v>0</v>
      </c>
      <c r="AE20" s="31">
        <f t="shared" si="12"/>
        <v>410</v>
      </c>
      <c r="AF20" s="31">
        <f t="shared" si="12"/>
        <v>620</v>
      </c>
    </row>
    <row r="21" spans="2:32" ht="23.1" customHeight="1" x14ac:dyDescent="0.25">
      <c r="B21" s="23" t="s">
        <v>48</v>
      </c>
      <c r="C21" s="50">
        <v>125</v>
      </c>
      <c r="D21" s="50">
        <v>26</v>
      </c>
      <c r="E21" s="50">
        <v>11</v>
      </c>
      <c r="F21" s="50">
        <v>77</v>
      </c>
      <c r="G21" s="50">
        <v>2</v>
      </c>
      <c r="H21" s="50">
        <v>0</v>
      </c>
      <c r="I21" s="50">
        <v>10</v>
      </c>
      <c r="J21" s="50">
        <v>7</v>
      </c>
      <c r="K21" s="50">
        <v>0</v>
      </c>
      <c r="L21" s="50">
        <v>1</v>
      </c>
      <c r="M21" s="50">
        <v>140</v>
      </c>
      <c r="N21" s="50">
        <v>0</v>
      </c>
      <c r="O21" s="15">
        <f t="shared" si="0"/>
        <v>259</v>
      </c>
      <c r="P21" s="15">
        <f t="shared" si="1"/>
        <v>399</v>
      </c>
      <c r="R21" s="36" t="s">
        <v>20</v>
      </c>
      <c r="S21" s="34">
        <f t="shared" ref="S21:AF21" si="13">SUM(C54:C57)</f>
        <v>308</v>
      </c>
      <c r="T21" s="17">
        <f t="shared" si="13"/>
        <v>52</v>
      </c>
      <c r="U21" s="17">
        <f t="shared" si="13"/>
        <v>41</v>
      </c>
      <c r="V21" s="17">
        <f t="shared" si="13"/>
        <v>226</v>
      </c>
      <c r="W21" s="17">
        <f t="shared" si="13"/>
        <v>3</v>
      </c>
      <c r="X21" s="17">
        <f t="shared" si="13"/>
        <v>7</v>
      </c>
      <c r="Y21" s="17">
        <f t="shared" si="13"/>
        <v>12</v>
      </c>
      <c r="Z21" s="17">
        <f t="shared" si="13"/>
        <v>11</v>
      </c>
      <c r="AA21" s="17">
        <f t="shared" si="13"/>
        <v>1</v>
      </c>
      <c r="AB21" s="17">
        <f t="shared" si="13"/>
        <v>12</v>
      </c>
      <c r="AC21" s="17">
        <f t="shared" si="13"/>
        <v>250</v>
      </c>
      <c r="AD21" s="17">
        <f t="shared" si="13"/>
        <v>0</v>
      </c>
      <c r="AE21" s="31">
        <f t="shared" si="13"/>
        <v>673</v>
      </c>
      <c r="AF21" s="31">
        <f t="shared" si="13"/>
        <v>923</v>
      </c>
    </row>
    <row r="22" spans="2:32" ht="23.1" customHeight="1" x14ac:dyDescent="0.25">
      <c r="B22" s="23" t="s">
        <v>49</v>
      </c>
      <c r="C22" s="50">
        <v>80</v>
      </c>
      <c r="D22" s="50">
        <v>6</v>
      </c>
      <c r="E22" s="50">
        <v>2</v>
      </c>
      <c r="F22" s="50">
        <v>65</v>
      </c>
      <c r="G22" s="50">
        <v>1</v>
      </c>
      <c r="H22" s="50">
        <v>1</v>
      </c>
      <c r="I22" s="50">
        <v>9</v>
      </c>
      <c r="J22" s="50">
        <v>2</v>
      </c>
      <c r="K22" s="50">
        <v>0</v>
      </c>
      <c r="L22" s="50">
        <v>1</v>
      </c>
      <c r="M22" s="50">
        <v>135</v>
      </c>
      <c r="N22" s="50">
        <v>0</v>
      </c>
      <c r="O22" s="15">
        <f t="shared" si="0"/>
        <v>167</v>
      </c>
      <c r="P22" s="15">
        <f t="shared" si="1"/>
        <v>302</v>
      </c>
      <c r="R22" s="38" t="s">
        <v>90</v>
      </c>
      <c r="S22" s="39">
        <f>MAX(S10:S12)</f>
        <v>337</v>
      </c>
      <c r="T22" s="39">
        <f t="shared" ref="T22:AF22" si="14">MAX(T10:T12)</f>
        <v>67</v>
      </c>
      <c r="U22" s="39">
        <f t="shared" si="14"/>
        <v>30</v>
      </c>
      <c r="V22" s="39">
        <f t="shared" si="14"/>
        <v>250</v>
      </c>
      <c r="W22" s="39">
        <f t="shared" si="14"/>
        <v>8</v>
      </c>
      <c r="X22" s="39">
        <f t="shared" si="14"/>
        <v>4</v>
      </c>
      <c r="Y22" s="39">
        <f t="shared" si="14"/>
        <v>50</v>
      </c>
      <c r="Z22" s="39">
        <f t="shared" si="14"/>
        <v>18</v>
      </c>
      <c r="AA22" s="39">
        <f t="shared" si="14"/>
        <v>6</v>
      </c>
      <c r="AB22" s="39">
        <f t="shared" si="14"/>
        <v>11</v>
      </c>
      <c r="AC22" s="39">
        <f t="shared" si="14"/>
        <v>1270</v>
      </c>
      <c r="AD22" s="39">
        <f t="shared" si="14"/>
        <v>0</v>
      </c>
      <c r="AE22" s="40">
        <f t="shared" si="14"/>
        <v>759</v>
      </c>
      <c r="AF22" s="40">
        <f t="shared" si="14"/>
        <v>1700</v>
      </c>
    </row>
    <row r="23" spans="2:32" ht="23.1" customHeight="1" x14ac:dyDescent="0.25">
      <c r="B23" s="23" t="s">
        <v>50</v>
      </c>
      <c r="C23" s="50">
        <v>80</v>
      </c>
      <c r="D23" s="50">
        <v>3</v>
      </c>
      <c r="E23" s="50">
        <v>2</v>
      </c>
      <c r="F23" s="50">
        <v>130</v>
      </c>
      <c r="G23" s="50">
        <v>0</v>
      </c>
      <c r="H23" s="50">
        <v>0</v>
      </c>
      <c r="I23" s="50">
        <v>11</v>
      </c>
      <c r="J23" s="50">
        <v>5</v>
      </c>
      <c r="K23" s="50">
        <v>2</v>
      </c>
      <c r="L23" s="50">
        <v>5</v>
      </c>
      <c r="M23" s="50">
        <v>145</v>
      </c>
      <c r="N23" s="50">
        <v>0</v>
      </c>
      <c r="O23" s="15">
        <f t="shared" si="0"/>
        <v>238</v>
      </c>
      <c r="P23" s="15">
        <f t="shared" si="1"/>
        <v>383</v>
      </c>
      <c r="R23" s="38" t="s">
        <v>91</v>
      </c>
      <c r="S23" s="39">
        <f>MAX(S13:S18)</f>
        <v>318</v>
      </c>
      <c r="T23" s="39">
        <f t="shared" ref="T23:AF23" si="15">MAX(T13:T18)</f>
        <v>59</v>
      </c>
      <c r="U23" s="39">
        <f t="shared" si="15"/>
        <v>22</v>
      </c>
      <c r="V23" s="39">
        <f t="shared" si="15"/>
        <v>370</v>
      </c>
      <c r="W23" s="39">
        <f t="shared" si="15"/>
        <v>7</v>
      </c>
      <c r="X23" s="39">
        <f t="shared" si="15"/>
        <v>8</v>
      </c>
      <c r="Y23" s="39">
        <f t="shared" si="15"/>
        <v>43</v>
      </c>
      <c r="Z23" s="39">
        <f t="shared" si="15"/>
        <v>21</v>
      </c>
      <c r="AA23" s="39">
        <f t="shared" si="15"/>
        <v>3</v>
      </c>
      <c r="AB23" s="39">
        <f t="shared" si="15"/>
        <v>12</v>
      </c>
      <c r="AC23" s="39">
        <f t="shared" si="15"/>
        <v>590</v>
      </c>
      <c r="AD23" s="39">
        <f t="shared" si="15"/>
        <v>2</v>
      </c>
      <c r="AE23" s="40">
        <f t="shared" si="15"/>
        <v>778</v>
      </c>
      <c r="AF23" s="40">
        <f t="shared" si="15"/>
        <v>1368</v>
      </c>
    </row>
    <row r="24" spans="2:32" ht="23.1" customHeight="1" x14ac:dyDescent="0.25">
      <c r="B24" s="23" t="s">
        <v>51</v>
      </c>
      <c r="C24" s="50">
        <v>90</v>
      </c>
      <c r="D24" s="50">
        <v>10</v>
      </c>
      <c r="E24" s="50">
        <v>6</v>
      </c>
      <c r="F24" s="50">
        <v>70</v>
      </c>
      <c r="G24" s="50">
        <v>1</v>
      </c>
      <c r="H24" s="50">
        <v>4</v>
      </c>
      <c r="I24" s="50">
        <v>0</v>
      </c>
      <c r="J24" s="50">
        <v>0</v>
      </c>
      <c r="K24" s="50">
        <v>0</v>
      </c>
      <c r="L24" s="50">
        <v>0</v>
      </c>
      <c r="M24" s="50">
        <v>175</v>
      </c>
      <c r="N24" s="50">
        <v>0</v>
      </c>
      <c r="O24" s="15">
        <f t="shared" si="0"/>
        <v>181</v>
      </c>
      <c r="P24" s="15">
        <f t="shared" si="1"/>
        <v>356</v>
      </c>
      <c r="R24" s="38" t="s">
        <v>92</v>
      </c>
      <c r="S24" s="39">
        <f>MAX(S19:S21)</f>
        <v>308</v>
      </c>
      <c r="T24" s="39">
        <f t="shared" ref="T24:AF24" si="16">MAX(T19:T21)</f>
        <v>52</v>
      </c>
      <c r="U24" s="39">
        <f t="shared" si="16"/>
        <v>41</v>
      </c>
      <c r="V24" s="39">
        <f t="shared" si="16"/>
        <v>226</v>
      </c>
      <c r="W24" s="39">
        <f t="shared" si="16"/>
        <v>6</v>
      </c>
      <c r="X24" s="39">
        <f t="shared" si="16"/>
        <v>7</v>
      </c>
      <c r="Y24" s="39">
        <f t="shared" si="16"/>
        <v>15</v>
      </c>
      <c r="Z24" s="39">
        <f t="shared" si="16"/>
        <v>30</v>
      </c>
      <c r="AA24" s="39">
        <f t="shared" si="16"/>
        <v>3</v>
      </c>
      <c r="AB24" s="39">
        <f t="shared" si="16"/>
        <v>23</v>
      </c>
      <c r="AC24" s="39">
        <f t="shared" si="16"/>
        <v>250</v>
      </c>
      <c r="AD24" s="39">
        <f t="shared" si="16"/>
        <v>0</v>
      </c>
      <c r="AE24" s="40">
        <f t="shared" si="16"/>
        <v>673</v>
      </c>
      <c r="AF24" s="40">
        <f t="shared" si="16"/>
        <v>923</v>
      </c>
    </row>
    <row r="25" spans="2:32" ht="23.1" customHeight="1" x14ac:dyDescent="0.25">
      <c r="B25" s="23" t="s">
        <v>52</v>
      </c>
      <c r="C25" s="50">
        <v>68</v>
      </c>
      <c r="D25" s="50">
        <v>4</v>
      </c>
      <c r="E25" s="50">
        <v>5</v>
      </c>
      <c r="F25" s="50">
        <v>100</v>
      </c>
      <c r="G25" s="50">
        <v>0</v>
      </c>
      <c r="H25" s="50">
        <v>0</v>
      </c>
      <c r="I25" s="50">
        <v>3</v>
      </c>
      <c r="J25" s="50">
        <v>5</v>
      </c>
      <c r="K25" s="50">
        <v>1</v>
      </c>
      <c r="L25" s="50">
        <v>6</v>
      </c>
      <c r="M25" s="50">
        <v>135</v>
      </c>
      <c r="N25" s="50">
        <v>0</v>
      </c>
      <c r="O25" s="15">
        <f t="shared" si="0"/>
        <v>192</v>
      </c>
      <c r="P25" s="15">
        <f t="shared" si="1"/>
        <v>327</v>
      </c>
      <c r="R25" s="37" t="s">
        <v>85</v>
      </c>
      <c r="S25" s="35">
        <f t="shared" ref="S25:AF25" si="17">SUM(S10:S12)</f>
        <v>704</v>
      </c>
      <c r="T25" s="16">
        <f t="shared" si="17"/>
        <v>164</v>
      </c>
      <c r="U25" s="16">
        <f t="shared" si="17"/>
        <v>51</v>
      </c>
      <c r="V25" s="16">
        <f t="shared" si="17"/>
        <v>636</v>
      </c>
      <c r="W25" s="16">
        <f t="shared" si="17"/>
        <v>23</v>
      </c>
      <c r="X25" s="16">
        <f t="shared" si="17"/>
        <v>10</v>
      </c>
      <c r="Y25" s="16">
        <f t="shared" si="17"/>
        <v>132</v>
      </c>
      <c r="Z25" s="16">
        <f t="shared" si="17"/>
        <v>49</v>
      </c>
      <c r="AA25" s="16">
        <f t="shared" si="17"/>
        <v>11</v>
      </c>
      <c r="AB25" s="16">
        <f t="shared" si="17"/>
        <v>30</v>
      </c>
      <c r="AC25" s="16">
        <f t="shared" si="17"/>
        <v>2947</v>
      </c>
      <c r="AD25" s="16">
        <f t="shared" si="17"/>
        <v>0</v>
      </c>
      <c r="AE25" s="32">
        <f t="shared" si="17"/>
        <v>1810</v>
      </c>
      <c r="AF25" s="32">
        <f t="shared" si="17"/>
        <v>4757</v>
      </c>
    </row>
    <row r="26" spans="2:32" ht="23.1" customHeight="1" x14ac:dyDescent="0.25">
      <c r="B26" s="23" t="s">
        <v>53</v>
      </c>
      <c r="C26" s="50">
        <v>55</v>
      </c>
      <c r="D26" s="50">
        <v>5</v>
      </c>
      <c r="E26" s="50">
        <v>3</v>
      </c>
      <c r="F26" s="50">
        <v>130</v>
      </c>
      <c r="G26" s="50">
        <v>1</v>
      </c>
      <c r="H26" s="50">
        <v>2</v>
      </c>
      <c r="I26" s="50">
        <v>5</v>
      </c>
      <c r="J26" s="50">
        <v>2</v>
      </c>
      <c r="K26" s="50">
        <v>0</v>
      </c>
      <c r="L26" s="50">
        <v>0</v>
      </c>
      <c r="M26" s="50">
        <v>155</v>
      </c>
      <c r="N26" s="50">
        <v>0</v>
      </c>
      <c r="O26" s="15">
        <f t="shared" si="0"/>
        <v>203</v>
      </c>
      <c r="P26" s="15">
        <f t="shared" si="1"/>
        <v>358</v>
      </c>
      <c r="R26" s="28" t="s">
        <v>86</v>
      </c>
      <c r="S26" s="16">
        <f t="shared" ref="S26:AF26" si="18">SUM(S13:S18)</f>
        <v>1353</v>
      </c>
      <c r="T26" s="16">
        <f t="shared" si="18"/>
        <v>210</v>
      </c>
      <c r="U26" s="16">
        <f t="shared" si="18"/>
        <v>102</v>
      </c>
      <c r="V26" s="16">
        <f t="shared" si="18"/>
        <v>1642</v>
      </c>
      <c r="W26" s="16">
        <f t="shared" si="18"/>
        <v>24</v>
      </c>
      <c r="X26" s="16">
        <f t="shared" si="18"/>
        <v>34</v>
      </c>
      <c r="Y26" s="16">
        <f t="shared" si="18"/>
        <v>190</v>
      </c>
      <c r="Z26" s="16">
        <f t="shared" si="18"/>
        <v>83</v>
      </c>
      <c r="AA26" s="16">
        <f t="shared" si="18"/>
        <v>13</v>
      </c>
      <c r="AB26" s="16">
        <f t="shared" si="18"/>
        <v>59</v>
      </c>
      <c r="AC26" s="16">
        <f t="shared" si="18"/>
        <v>2511</v>
      </c>
      <c r="AD26" s="16">
        <f t="shared" si="18"/>
        <v>2</v>
      </c>
      <c r="AE26" s="32">
        <f t="shared" si="18"/>
        <v>3712</v>
      </c>
      <c r="AF26" s="32">
        <f t="shared" si="18"/>
        <v>6223</v>
      </c>
    </row>
    <row r="27" spans="2:32" ht="23.1" customHeight="1" x14ac:dyDescent="0.25">
      <c r="B27" s="23" t="s">
        <v>54</v>
      </c>
      <c r="C27" s="50">
        <v>70</v>
      </c>
      <c r="D27" s="50">
        <v>9</v>
      </c>
      <c r="E27" s="50">
        <v>3</v>
      </c>
      <c r="F27" s="50">
        <v>100</v>
      </c>
      <c r="G27" s="50">
        <v>0</v>
      </c>
      <c r="H27" s="50">
        <v>0</v>
      </c>
      <c r="I27" s="50">
        <v>3</v>
      </c>
      <c r="J27" s="50">
        <v>4</v>
      </c>
      <c r="K27" s="50">
        <v>1</v>
      </c>
      <c r="L27" s="50">
        <v>1</v>
      </c>
      <c r="M27" s="50">
        <v>143</v>
      </c>
      <c r="N27" s="50">
        <v>0</v>
      </c>
      <c r="O27" s="15">
        <f t="shared" si="0"/>
        <v>191</v>
      </c>
      <c r="P27" s="15">
        <f t="shared" si="1"/>
        <v>334</v>
      </c>
      <c r="R27" s="29" t="s">
        <v>87</v>
      </c>
      <c r="S27" s="16">
        <f t="shared" ref="S27:AF27" si="19">SUM(S19:S21)</f>
        <v>590</v>
      </c>
      <c r="T27" s="16">
        <f t="shared" si="19"/>
        <v>116</v>
      </c>
      <c r="U27" s="16">
        <f t="shared" si="19"/>
        <v>83</v>
      </c>
      <c r="V27" s="16">
        <f t="shared" si="19"/>
        <v>548</v>
      </c>
      <c r="W27" s="16">
        <f t="shared" si="19"/>
        <v>12</v>
      </c>
      <c r="X27" s="16">
        <f t="shared" si="19"/>
        <v>16</v>
      </c>
      <c r="Y27" s="16">
        <f t="shared" si="19"/>
        <v>39</v>
      </c>
      <c r="Z27" s="16">
        <f t="shared" si="19"/>
        <v>52</v>
      </c>
      <c r="AA27" s="16">
        <f t="shared" si="19"/>
        <v>6</v>
      </c>
      <c r="AB27" s="16">
        <f t="shared" si="19"/>
        <v>55</v>
      </c>
      <c r="AC27" s="16">
        <f t="shared" si="19"/>
        <v>675</v>
      </c>
      <c r="AD27" s="16">
        <f t="shared" si="19"/>
        <v>0</v>
      </c>
      <c r="AE27" s="32">
        <f t="shared" si="19"/>
        <v>1517</v>
      </c>
      <c r="AF27" s="32">
        <f t="shared" si="19"/>
        <v>2192</v>
      </c>
    </row>
    <row r="28" spans="2:32" ht="23.1" customHeight="1" x14ac:dyDescent="0.25">
      <c r="B28" s="23" t="s">
        <v>55</v>
      </c>
      <c r="C28" s="50">
        <v>60</v>
      </c>
      <c r="D28" s="50">
        <v>25</v>
      </c>
      <c r="E28" s="50">
        <v>1</v>
      </c>
      <c r="F28" s="50">
        <v>80</v>
      </c>
      <c r="G28" s="50">
        <v>0</v>
      </c>
      <c r="H28" s="50">
        <v>3</v>
      </c>
      <c r="I28" s="50">
        <v>8</v>
      </c>
      <c r="J28" s="50">
        <v>0</v>
      </c>
      <c r="K28" s="50">
        <v>2</v>
      </c>
      <c r="L28" s="50">
        <v>2</v>
      </c>
      <c r="M28" s="50">
        <v>150</v>
      </c>
      <c r="N28" s="50">
        <v>0</v>
      </c>
      <c r="O28" s="15">
        <f t="shared" si="0"/>
        <v>181</v>
      </c>
      <c r="P28" s="15">
        <f t="shared" si="1"/>
        <v>331</v>
      </c>
      <c r="R28" s="5" t="s">
        <v>17</v>
      </c>
      <c r="S28" s="16">
        <f t="shared" ref="S28:AF28" si="20">SUM(S10:S21)</f>
        <v>2647</v>
      </c>
      <c r="T28" s="16">
        <f t="shared" si="20"/>
        <v>490</v>
      </c>
      <c r="U28" s="16">
        <f t="shared" si="20"/>
        <v>236</v>
      </c>
      <c r="V28" s="16">
        <f t="shared" si="20"/>
        <v>2826</v>
      </c>
      <c r="W28" s="16">
        <f t="shared" si="20"/>
        <v>59</v>
      </c>
      <c r="X28" s="16">
        <f t="shared" si="20"/>
        <v>60</v>
      </c>
      <c r="Y28" s="16">
        <f t="shared" si="20"/>
        <v>361</v>
      </c>
      <c r="Z28" s="16">
        <f t="shared" si="20"/>
        <v>184</v>
      </c>
      <c r="AA28" s="16">
        <f t="shared" si="20"/>
        <v>30</v>
      </c>
      <c r="AB28" s="16">
        <f t="shared" si="20"/>
        <v>144</v>
      </c>
      <c r="AC28" s="16">
        <f t="shared" si="20"/>
        <v>6133</v>
      </c>
      <c r="AD28" s="16">
        <f t="shared" si="20"/>
        <v>2</v>
      </c>
      <c r="AE28" s="32">
        <f t="shared" si="20"/>
        <v>7039</v>
      </c>
      <c r="AF28" s="32">
        <f t="shared" si="20"/>
        <v>13172</v>
      </c>
    </row>
    <row r="29" spans="2:32" ht="23.1" customHeight="1" x14ac:dyDescent="0.25">
      <c r="B29" s="23" t="s">
        <v>56</v>
      </c>
      <c r="C29" s="50">
        <v>70</v>
      </c>
      <c r="D29" s="50">
        <v>19</v>
      </c>
      <c r="E29" s="50">
        <v>6</v>
      </c>
      <c r="F29" s="50">
        <v>60</v>
      </c>
      <c r="G29" s="50">
        <v>2</v>
      </c>
      <c r="H29" s="50">
        <v>1</v>
      </c>
      <c r="I29" s="50">
        <v>6</v>
      </c>
      <c r="J29" s="50">
        <v>2</v>
      </c>
      <c r="K29" s="50">
        <v>0</v>
      </c>
      <c r="L29" s="50">
        <v>4</v>
      </c>
      <c r="M29" s="50">
        <v>115</v>
      </c>
      <c r="N29" s="50">
        <v>0</v>
      </c>
      <c r="O29" s="15">
        <f t="shared" si="0"/>
        <v>170</v>
      </c>
      <c r="P29" s="15">
        <f t="shared" si="1"/>
        <v>285</v>
      </c>
      <c r="R29"/>
      <c r="S29" s="20"/>
      <c r="T29" s="19"/>
    </row>
    <row r="30" spans="2:32" ht="23.1" customHeight="1" x14ac:dyDescent="0.25">
      <c r="B30" s="23" t="s">
        <v>57</v>
      </c>
      <c r="C30" s="50">
        <v>45</v>
      </c>
      <c r="D30" s="50">
        <v>5</v>
      </c>
      <c r="E30" s="50">
        <v>1</v>
      </c>
      <c r="F30" s="50">
        <v>70</v>
      </c>
      <c r="G30" s="50">
        <v>0</v>
      </c>
      <c r="H30" s="50">
        <v>1</v>
      </c>
      <c r="I30" s="50">
        <v>11</v>
      </c>
      <c r="J30" s="50">
        <v>4</v>
      </c>
      <c r="K30" s="50">
        <v>1</v>
      </c>
      <c r="L30" s="50">
        <v>3</v>
      </c>
      <c r="M30" s="50">
        <v>150</v>
      </c>
      <c r="N30" s="50">
        <v>0</v>
      </c>
      <c r="O30" s="15">
        <f t="shared" si="0"/>
        <v>141</v>
      </c>
      <c r="P30" s="15">
        <f t="shared" si="1"/>
        <v>291</v>
      </c>
    </row>
    <row r="31" spans="2:32" ht="23.1" customHeight="1" x14ac:dyDescent="0.25">
      <c r="B31" s="24" t="s">
        <v>58</v>
      </c>
      <c r="C31" s="50">
        <v>47</v>
      </c>
      <c r="D31" s="50">
        <v>16</v>
      </c>
      <c r="E31" s="50">
        <v>5</v>
      </c>
      <c r="F31" s="50">
        <v>60</v>
      </c>
      <c r="G31" s="50">
        <v>2</v>
      </c>
      <c r="H31" s="50">
        <v>0</v>
      </c>
      <c r="I31" s="50">
        <v>14</v>
      </c>
      <c r="J31" s="50">
        <v>0</v>
      </c>
      <c r="K31" s="50">
        <v>1</v>
      </c>
      <c r="L31" s="50">
        <v>2</v>
      </c>
      <c r="M31" s="50">
        <v>120</v>
      </c>
      <c r="N31" s="50">
        <v>0</v>
      </c>
      <c r="O31" s="15">
        <f t="shared" si="0"/>
        <v>147</v>
      </c>
      <c r="P31" s="15">
        <f t="shared" si="1"/>
        <v>267</v>
      </c>
    </row>
    <row r="32" spans="2:32" ht="23.1" customHeight="1" x14ac:dyDescent="0.25">
      <c r="B32" s="24" t="s">
        <v>59</v>
      </c>
      <c r="C32" s="50">
        <v>45</v>
      </c>
      <c r="D32" s="50">
        <v>3</v>
      </c>
      <c r="E32" s="50">
        <v>4</v>
      </c>
      <c r="F32" s="50">
        <v>80</v>
      </c>
      <c r="G32" s="50">
        <v>3</v>
      </c>
      <c r="H32" s="50">
        <v>2</v>
      </c>
      <c r="I32" s="50">
        <v>5</v>
      </c>
      <c r="J32" s="50">
        <v>8</v>
      </c>
      <c r="K32" s="50">
        <v>0</v>
      </c>
      <c r="L32" s="50">
        <v>5</v>
      </c>
      <c r="M32" s="50">
        <v>103</v>
      </c>
      <c r="N32" s="50">
        <v>0</v>
      </c>
      <c r="O32" s="15">
        <f t="shared" si="0"/>
        <v>155</v>
      </c>
      <c r="P32" s="15">
        <f t="shared" si="1"/>
        <v>258</v>
      </c>
    </row>
    <row r="33" spans="2:20" ht="23.1" customHeight="1" x14ac:dyDescent="0.25">
      <c r="B33" s="23" t="s">
        <v>60</v>
      </c>
      <c r="C33" s="50">
        <v>45</v>
      </c>
      <c r="D33" s="50">
        <v>5</v>
      </c>
      <c r="E33" s="50">
        <v>9</v>
      </c>
      <c r="F33" s="50">
        <v>70</v>
      </c>
      <c r="G33" s="50">
        <v>2</v>
      </c>
      <c r="H33" s="50">
        <v>0</v>
      </c>
      <c r="I33" s="50">
        <v>4</v>
      </c>
      <c r="J33" s="50">
        <v>9</v>
      </c>
      <c r="K33" s="50">
        <v>1</v>
      </c>
      <c r="L33" s="50">
        <v>2</v>
      </c>
      <c r="M33" s="50">
        <v>105</v>
      </c>
      <c r="N33" s="50">
        <v>0</v>
      </c>
      <c r="O33" s="15">
        <f t="shared" si="0"/>
        <v>147</v>
      </c>
      <c r="P33" s="15">
        <f t="shared" si="1"/>
        <v>252</v>
      </c>
    </row>
    <row r="34" spans="2:20" ht="23.1" customHeight="1" x14ac:dyDescent="0.25">
      <c r="B34" s="24" t="s">
        <v>61</v>
      </c>
      <c r="C34" s="50">
        <v>50</v>
      </c>
      <c r="D34" s="50">
        <v>3</v>
      </c>
      <c r="E34" s="50">
        <v>5</v>
      </c>
      <c r="F34" s="50">
        <v>80</v>
      </c>
      <c r="G34" s="50">
        <v>0</v>
      </c>
      <c r="H34" s="50">
        <v>2</v>
      </c>
      <c r="I34" s="50">
        <v>10</v>
      </c>
      <c r="J34" s="50">
        <v>5</v>
      </c>
      <c r="K34" s="50">
        <v>0</v>
      </c>
      <c r="L34" s="50">
        <v>1</v>
      </c>
      <c r="M34" s="50">
        <v>90</v>
      </c>
      <c r="N34" s="50">
        <v>1</v>
      </c>
      <c r="O34" s="15">
        <f t="shared" si="0"/>
        <v>157</v>
      </c>
      <c r="P34" s="15">
        <f t="shared" si="1"/>
        <v>247</v>
      </c>
    </row>
    <row r="35" spans="2:20" ht="23.1" customHeight="1" x14ac:dyDescent="0.25">
      <c r="B35" s="24" t="s">
        <v>62</v>
      </c>
      <c r="C35" s="50">
        <v>40</v>
      </c>
      <c r="D35" s="50">
        <v>5</v>
      </c>
      <c r="E35" s="50">
        <v>10</v>
      </c>
      <c r="F35" s="50">
        <v>75</v>
      </c>
      <c r="G35" s="50">
        <v>1</v>
      </c>
      <c r="H35" s="50">
        <v>4</v>
      </c>
      <c r="I35" s="50">
        <v>10</v>
      </c>
      <c r="J35" s="50">
        <v>5</v>
      </c>
      <c r="K35" s="50">
        <v>0</v>
      </c>
      <c r="L35" s="50">
        <v>2</v>
      </c>
      <c r="M35" s="50">
        <v>95</v>
      </c>
      <c r="N35" s="50">
        <v>0</v>
      </c>
      <c r="O35" s="15">
        <f t="shared" si="0"/>
        <v>152</v>
      </c>
      <c r="P35" s="15">
        <f t="shared" si="1"/>
        <v>247</v>
      </c>
      <c r="Q35" s="51"/>
      <c r="R35" s="52"/>
    </row>
    <row r="36" spans="2:20" ht="23.1" customHeight="1" x14ac:dyDescent="0.25">
      <c r="B36" s="24" t="s">
        <v>63</v>
      </c>
      <c r="C36" s="50">
        <v>75</v>
      </c>
      <c r="D36" s="50">
        <v>5</v>
      </c>
      <c r="E36" s="50">
        <v>2</v>
      </c>
      <c r="F36" s="50">
        <v>65</v>
      </c>
      <c r="G36" s="50">
        <v>2</v>
      </c>
      <c r="H36" s="50">
        <v>0</v>
      </c>
      <c r="I36" s="50">
        <v>11</v>
      </c>
      <c r="J36" s="50">
        <v>3</v>
      </c>
      <c r="K36" s="50">
        <v>2</v>
      </c>
      <c r="L36" s="50">
        <v>3</v>
      </c>
      <c r="M36" s="50">
        <v>75</v>
      </c>
      <c r="N36" s="50">
        <v>0</v>
      </c>
      <c r="O36" s="15">
        <f t="shared" si="0"/>
        <v>168</v>
      </c>
      <c r="P36" s="15">
        <f t="shared" si="1"/>
        <v>243</v>
      </c>
    </row>
    <row r="37" spans="2:20" ht="23.1" customHeight="1" x14ac:dyDescent="0.25">
      <c r="B37" s="23" t="s">
        <v>64</v>
      </c>
      <c r="C37" s="50">
        <v>50</v>
      </c>
      <c r="D37" s="50">
        <v>9</v>
      </c>
      <c r="E37" s="50">
        <v>5</v>
      </c>
      <c r="F37" s="50">
        <v>45</v>
      </c>
      <c r="G37" s="50">
        <v>1</v>
      </c>
      <c r="H37" s="50">
        <v>2</v>
      </c>
      <c r="I37" s="50">
        <v>12</v>
      </c>
      <c r="J37" s="50">
        <v>7</v>
      </c>
      <c r="K37" s="50">
        <v>0</v>
      </c>
      <c r="L37" s="50">
        <v>5</v>
      </c>
      <c r="M37" s="50">
        <v>70</v>
      </c>
      <c r="N37" s="50">
        <v>1</v>
      </c>
      <c r="O37" s="15">
        <f t="shared" si="0"/>
        <v>137</v>
      </c>
      <c r="P37" s="15">
        <f t="shared" si="1"/>
        <v>207</v>
      </c>
    </row>
    <row r="38" spans="2:20" ht="23.1" customHeight="1" x14ac:dyDescent="0.25">
      <c r="B38" s="24" t="s">
        <v>65</v>
      </c>
      <c r="C38" s="50">
        <v>40</v>
      </c>
      <c r="D38" s="50">
        <v>5</v>
      </c>
      <c r="E38" s="50">
        <v>2</v>
      </c>
      <c r="F38" s="50">
        <v>30</v>
      </c>
      <c r="G38" s="50">
        <v>1</v>
      </c>
      <c r="H38" s="50">
        <v>2</v>
      </c>
      <c r="I38" s="50">
        <v>7</v>
      </c>
      <c r="J38" s="50">
        <v>2</v>
      </c>
      <c r="K38" s="50">
        <v>1</v>
      </c>
      <c r="L38" s="50">
        <v>7</v>
      </c>
      <c r="M38" s="50">
        <v>60</v>
      </c>
      <c r="N38" s="50">
        <v>0</v>
      </c>
      <c r="O38" s="15">
        <f t="shared" si="0"/>
        <v>97</v>
      </c>
      <c r="P38" s="15">
        <f t="shared" si="1"/>
        <v>157</v>
      </c>
    </row>
    <row r="39" spans="2:20" ht="23.1" customHeight="1" x14ac:dyDescent="0.25">
      <c r="B39" s="24" t="s">
        <v>66</v>
      </c>
      <c r="C39" s="50">
        <v>35</v>
      </c>
      <c r="D39" s="50">
        <v>3</v>
      </c>
      <c r="E39" s="50">
        <v>5</v>
      </c>
      <c r="F39" s="50">
        <v>35</v>
      </c>
      <c r="G39" s="50">
        <v>2</v>
      </c>
      <c r="H39" s="50">
        <v>1</v>
      </c>
      <c r="I39" s="50">
        <v>9</v>
      </c>
      <c r="J39" s="50">
        <v>5</v>
      </c>
      <c r="K39" s="50">
        <v>0</v>
      </c>
      <c r="L39" s="50">
        <v>2</v>
      </c>
      <c r="M39" s="50">
        <v>55</v>
      </c>
      <c r="N39" s="50">
        <v>0</v>
      </c>
      <c r="O39" s="15">
        <f t="shared" si="0"/>
        <v>97</v>
      </c>
      <c r="P39" s="15">
        <f t="shared" si="1"/>
        <v>152</v>
      </c>
    </row>
    <row r="40" spans="2:20" ht="23.1" customHeight="1" x14ac:dyDescent="0.25">
      <c r="B40" s="24" t="s">
        <v>67</v>
      </c>
      <c r="C40" s="50">
        <v>54</v>
      </c>
      <c r="D40" s="50">
        <v>7</v>
      </c>
      <c r="E40" s="50">
        <v>7</v>
      </c>
      <c r="F40" s="50">
        <v>32</v>
      </c>
      <c r="G40" s="50">
        <v>0</v>
      </c>
      <c r="H40" s="50">
        <v>1</v>
      </c>
      <c r="I40" s="50">
        <v>19</v>
      </c>
      <c r="J40" s="50">
        <v>3</v>
      </c>
      <c r="K40" s="50">
        <v>0</v>
      </c>
      <c r="L40" s="50">
        <v>1</v>
      </c>
      <c r="M40" s="50">
        <v>50</v>
      </c>
      <c r="N40" s="50">
        <v>0</v>
      </c>
      <c r="O40" s="15">
        <f t="shared" si="0"/>
        <v>124</v>
      </c>
      <c r="P40" s="15">
        <f t="shared" si="1"/>
        <v>174</v>
      </c>
    </row>
    <row r="41" spans="2:20" ht="23.1" customHeight="1" x14ac:dyDescent="0.25">
      <c r="B41" s="23" t="s">
        <v>68</v>
      </c>
      <c r="C41" s="50">
        <v>45</v>
      </c>
      <c r="D41" s="50">
        <v>4</v>
      </c>
      <c r="E41" s="50">
        <v>2</v>
      </c>
      <c r="F41" s="50">
        <v>45</v>
      </c>
      <c r="G41" s="50">
        <v>0</v>
      </c>
      <c r="H41" s="50">
        <v>0</v>
      </c>
      <c r="I41" s="50">
        <v>6</v>
      </c>
      <c r="J41" s="50">
        <v>1</v>
      </c>
      <c r="K41" s="50">
        <v>0</v>
      </c>
      <c r="L41" s="50">
        <v>0</v>
      </c>
      <c r="M41" s="50">
        <v>55</v>
      </c>
      <c r="N41" s="50">
        <v>0</v>
      </c>
      <c r="O41" s="15">
        <f t="shared" si="0"/>
        <v>103</v>
      </c>
      <c r="P41" s="15">
        <f t="shared" si="1"/>
        <v>158</v>
      </c>
    </row>
    <row r="42" spans="2:20" ht="23.1" customHeight="1" x14ac:dyDescent="0.25">
      <c r="B42" s="24" t="s">
        <v>69</v>
      </c>
      <c r="C42" s="50">
        <v>30</v>
      </c>
      <c r="D42" s="50">
        <v>7</v>
      </c>
      <c r="E42" s="50">
        <v>2</v>
      </c>
      <c r="F42" s="50">
        <v>60</v>
      </c>
      <c r="G42" s="50">
        <v>0</v>
      </c>
      <c r="H42" s="50">
        <v>1</v>
      </c>
      <c r="I42" s="50">
        <v>13</v>
      </c>
      <c r="J42" s="50">
        <v>0</v>
      </c>
      <c r="K42" s="50">
        <v>0</v>
      </c>
      <c r="L42" s="50">
        <v>4</v>
      </c>
      <c r="M42" s="50">
        <v>110</v>
      </c>
      <c r="N42" s="50">
        <v>0</v>
      </c>
      <c r="O42" s="15">
        <f t="shared" si="0"/>
        <v>117</v>
      </c>
      <c r="P42" s="15">
        <f t="shared" si="1"/>
        <v>227</v>
      </c>
    </row>
    <row r="43" spans="2:20" ht="23.1" customHeight="1" x14ac:dyDescent="0.25">
      <c r="B43" s="23" t="s">
        <v>70</v>
      </c>
      <c r="C43" s="50">
        <v>65</v>
      </c>
      <c r="D43" s="50">
        <v>33</v>
      </c>
      <c r="E43" s="50">
        <v>9</v>
      </c>
      <c r="F43" s="50">
        <v>85</v>
      </c>
      <c r="G43" s="50">
        <v>2</v>
      </c>
      <c r="H43" s="50">
        <v>4</v>
      </c>
      <c r="I43" s="50">
        <v>5</v>
      </c>
      <c r="J43" s="50">
        <v>4</v>
      </c>
      <c r="K43" s="50">
        <v>0</v>
      </c>
      <c r="L43" s="50">
        <v>0</v>
      </c>
      <c r="M43" s="50">
        <v>90</v>
      </c>
      <c r="N43" s="50">
        <v>0</v>
      </c>
      <c r="O43" s="15">
        <f t="shared" si="0"/>
        <v>207</v>
      </c>
      <c r="P43" s="15">
        <f t="shared" si="1"/>
        <v>297</v>
      </c>
    </row>
    <row r="44" spans="2:20" ht="23.1" customHeight="1" x14ac:dyDescent="0.25">
      <c r="B44" s="25" t="s">
        <v>71</v>
      </c>
      <c r="C44" s="50">
        <v>60</v>
      </c>
      <c r="D44" s="50">
        <v>15</v>
      </c>
      <c r="E44" s="50">
        <v>5</v>
      </c>
      <c r="F44" s="50">
        <v>40</v>
      </c>
      <c r="G44" s="50">
        <v>0</v>
      </c>
      <c r="H44" s="50">
        <v>2</v>
      </c>
      <c r="I44" s="50">
        <v>6</v>
      </c>
      <c r="J44" s="50">
        <v>2</v>
      </c>
      <c r="K44" s="50">
        <v>1</v>
      </c>
      <c r="L44" s="50">
        <v>1</v>
      </c>
      <c r="M44" s="50">
        <v>69</v>
      </c>
      <c r="N44" s="50">
        <v>0</v>
      </c>
      <c r="O44" s="15">
        <f t="shared" si="0"/>
        <v>132</v>
      </c>
      <c r="P44" s="15">
        <f t="shared" si="1"/>
        <v>201</v>
      </c>
    </row>
    <row r="45" spans="2:20" ht="23.1" customHeight="1" x14ac:dyDescent="0.25">
      <c r="B45" s="23" t="s">
        <v>72</v>
      </c>
      <c r="C45" s="50">
        <v>54</v>
      </c>
      <c r="D45" s="50">
        <v>4</v>
      </c>
      <c r="E45" s="50">
        <v>1</v>
      </c>
      <c r="F45" s="50">
        <v>35</v>
      </c>
      <c r="G45" s="50">
        <v>3</v>
      </c>
      <c r="H45" s="50">
        <v>1</v>
      </c>
      <c r="I45" s="50">
        <v>3</v>
      </c>
      <c r="J45" s="50">
        <v>5</v>
      </c>
      <c r="K45" s="50">
        <v>0</v>
      </c>
      <c r="L45" s="50">
        <v>2</v>
      </c>
      <c r="M45" s="50">
        <v>61</v>
      </c>
      <c r="N45" s="50">
        <v>0</v>
      </c>
      <c r="O45" s="15">
        <f t="shared" si="0"/>
        <v>108</v>
      </c>
      <c r="P45" s="15">
        <f t="shared" si="1"/>
        <v>169</v>
      </c>
    </row>
    <row r="46" spans="2:20" ht="23.1" customHeight="1" x14ac:dyDescent="0.25">
      <c r="B46" s="24" t="s">
        <v>73</v>
      </c>
      <c r="C46" s="50">
        <v>65</v>
      </c>
      <c r="D46" s="50">
        <v>15</v>
      </c>
      <c r="E46" s="50">
        <v>4</v>
      </c>
      <c r="F46" s="50">
        <v>75</v>
      </c>
      <c r="G46" s="50">
        <v>0</v>
      </c>
      <c r="H46" s="50">
        <v>2</v>
      </c>
      <c r="I46" s="50">
        <v>4</v>
      </c>
      <c r="J46" s="50">
        <v>9</v>
      </c>
      <c r="K46" s="50">
        <v>0</v>
      </c>
      <c r="L46" s="50">
        <v>5</v>
      </c>
      <c r="M46" s="50">
        <v>50</v>
      </c>
      <c r="N46" s="50">
        <v>0</v>
      </c>
      <c r="O46" s="15">
        <f t="shared" si="0"/>
        <v>179</v>
      </c>
      <c r="P46" s="15">
        <f t="shared" si="1"/>
        <v>229</v>
      </c>
      <c r="R46" s="8"/>
      <c r="T46"/>
    </row>
    <row r="47" spans="2:20" ht="23.1" customHeight="1" x14ac:dyDescent="0.25">
      <c r="B47" s="24" t="s">
        <v>74</v>
      </c>
      <c r="C47" s="50">
        <v>45</v>
      </c>
      <c r="D47" s="50">
        <v>10</v>
      </c>
      <c r="E47" s="50">
        <v>1</v>
      </c>
      <c r="F47" s="50">
        <v>20</v>
      </c>
      <c r="G47" s="50">
        <v>2</v>
      </c>
      <c r="H47" s="50">
        <v>1</v>
      </c>
      <c r="I47" s="50">
        <v>6</v>
      </c>
      <c r="J47" s="50">
        <v>7</v>
      </c>
      <c r="K47" s="50">
        <v>0</v>
      </c>
      <c r="L47" s="50">
        <v>3</v>
      </c>
      <c r="M47" s="50">
        <v>80</v>
      </c>
      <c r="N47" s="50">
        <v>0</v>
      </c>
      <c r="O47" s="15">
        <f t="shared" si="0"/>
        <v>95</v>
      </c>
      <c r="P47" s="15">
        <f t="shared" si="1"/>
        <v>175</v>
      </c>
      <c r="R47" s="8"/>
      <c r="T47"/>
    </row>
    <row r="48" spans="2:20" ht="23.1" customHeight="1" x14ac:dyDescent="0.25">
      <c r="B48" s="24" t="s">
        <v>75</v>
      </c>
      <c r="C48" s="50">
        <v>25</v>
      </c>
      <c r="D48" s="50">
        <v>6</v>
      </c>
      <c r="E48" s="50">
        <v>9</v>
      </c>
      <c r="F48" s="50">
        <v>49</v>
      </c>
      <c r="G48" s="50">
        <v>0</v>
      </c>
      <c r="H48" s="50">
        <v>1</v>
      </c>
      <c r="I48" s="50">
        <v>4</v>
      </c>
      <c r="J48" s="50">
        <v>10</v>
      </c>
      <c r="K48" s="50">
        <v>0</v>
      </c>
      <c r="L48" s="50">
        <v>2</v>
      </c>
      <c r="M48" s="50">
        <v>44</v>
      </c>
      <c r="N48" s="50">
        <v>0</v>
      </c>
      <c r="O48" s="15">
        <f t="shared" si="0"/>
        <v>106</v>
      </c>
      <c r="P48" s="15">
        <f t="shared" si="1"/>
        <v>150</v>
      </c>
      <c r="R48" s="8"/>
      <c r="T48"/>
    </row>
    <row r="49" spans="2:20" ht="23.1" customHeight="1" x14ac:dyDescent="0.25">
      <c r="B49" s="23" t="s">
        <v>76</v>
      </c>
      <c r="C49" s="50">
        <v>17</v>
      </c>
      <c r="D49" s="50">
        <v>4</v>
      </c>
      <c r="E49" s="50">
        <v>1</v>
      </c>
      <c r="F49" s="50">
        <v>11</v>
      </c>
      <c r="G49" s="50">
        <v>1</v>
      </c>
      <c r="H49" s="50">
        <v>2</v>
      </c>
      <c r="I49" s="50">
        <v>1</v>
      </c>
      <c r="J49" s="50">
        <v>4</v>
      </c>
      <c r="K49" s="50">
        <v>3</v>
      </c>
      <c r="L49" s="50">
        <v>10</v>
      </c>
      <c r="M49" s="50">
        <v>41</v>
      </c>
      <c r="N49" s="50">
        <v>0</v>
      </c>
      <c r="O49" s="15">
        <f t="shared" si="0"/>
        <v>54</v>
      </c>
      <c r="P49" s="15">
        <f t="shared" si="1"/>
        <v>95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13</v>
      </c>
      <c r="E50" s="50">
        <v>11</v>
      </c>
      <c r="F50" s="50">
        <v>37</v>
      </c>
      <c r="G50" s="50">
        <v>0</v>
      </c>
      <c r="H50" s="50">
        <v>1</v>
      </c>
      <c r="I50" s="50">
        <v>2</v>
      </c>
      <c r="J50" s="50">
        <v>1</v>
      </c>
      <c r="K50" s="50">
        <v>1</v>
      </c>
      <c r="L50" s="50">
        <v>3</v>
      </c>
      <c r="M50" s="50">
        <v>70</v>
      </c>
      <c r="N50" s="50">
        <v>0</v>
      </c>
      <c r="O50" s="15">
        <f t="shared" si="0"/>
        <v>124</v>
      </c>
      <c r="P50" s="15">
        <f t="shared" si="1"/>
        <v>194</v>
      </c>
      <c r="R50" s="8"/>
      <c r="T50"/>
    </row>
    <row r="51" spans="2:20" ht="23.1" customHeight="1" x14ac:dyDescent="0.25">
      <c r="B51" s="24" t="s">
        <v>78</v>
      </c>
      <c r="C51" s="50">
        <v>20</v>
      </c>
      <c r="D51" s="50">
        <v>4</v>
      </c>
      <c r="E51" s="50">
        <v>5</v>
      </c>
      <c r="F51" s="50">
        <v>65</v>
      </c>
      <c r="G51" s="50">
        <v>2</v>
      </c>
      <c r="H51" s="50">
        <v>0</v>
      </c>
      <c r="I51" s="50">
        <v>0</v>
      </c>
      <c r="J51" s="50">
        <v>5</v>
      </c>
      <c r="K51" s="50">
        <v>1</v>
      </c>
      <c r="L51" s="50">
        <v>0</v>
      </c>
      <c r="M51" s="50">
        <v>55</v>
      </c>
      <c r="N51" s="50">
        <v>0</v>
      </c>
      <c r="O51" s="15">
        <f t="shared" si="0"/>
        <v>102</v>
      </c>
      <c r="P51" s="15">
        <f t="shared" si="1"/>
        <v>157</v>
      </c>
      <c r="R51" s="8"/>
      <c r="T51"/>
    </row>
    <row r="52" spans="2:20" ht="23.1" customHeight="1" x14ac:dyDescent="0.25">
      <c r="B52" s="24" t="s">
        <v>79</v>
      </c>
      <c r="C52" s="50">
        <v>35</v>
      </c>
      <c r="D52" s="50">
        <v>10</v>
      </c>
      <c r="E52" s="50">
        <v>8</v>
      </c>
      <c r="F52" s="50">
        <v>40</v>
      </c>
      <c r="G52" s="50">
        <v>0</v>
      </c>
      <c r="H52" s="50">
        <v>0</v>
      </c>
      <c r="I52" s="50">
        <v>8</v>
      </c>
      <c r="J52" s="50">
        <v>3</v>
      </c>
      <c r="K52" s="50">
        <v>0</v>
      </c>
      <c r="L52" s="50">
        <v>15</v>
      </c>
      <c r="M52" s="50">
        <v>40</v>
      </c>
      <c r="N52" s="50">
        <v>0</v>
      </c>
      <c r="O52" s="15">
        <f t="shared" si="0"/>
        <v>119</v>
      </c>
      <c r="P52" s="15">
        <f t="shared" si="1"/>
        <v>159</v>
      </c>
      <c r="R52" s="8"/>
      <c r="T52"/>
    </row>
    <row r="53" spans="2:20" ht="23.1" customHeight="1" x14ac:dyDescent="0.25">
      <c r="B53" s="23" t="s">
        <v>80</v>
      </c>
      <c r="C53" s="50">
        <v>20</v>
      </c>
      <c r="D53" s="50">
        <v>2</v>
      </c>
      <c r="E53" s="50">
        <v>3</v>
      </c>
      <c r="F53" s="50">
        <v>25</v>
      </c>
      <c r="G53" s="50">
        <v>4</v>
      </c>
      <c r="H53" s="50">
        <v>2</v>
      </c>
      <c r="I53" s="50">
        <v>2</v>
      </c>
      <c r="J53" s="50">
        <v>2</v>
      </c>
      <c r="K53" s="50">
        <v>0</v>
      </c>
      <c r="L53" s="50">
        <v>5</v>
      </c>
      <c r="M53" s="50">
        <v>45</v>
      </c>
      <c r="N53" s="50">
        <v>0</v>
      </c>
      <c r="O53" s="15">
        <f t="shared" si="0"/>
        <v>65</v>
      </c>
      <c r="P53" s="15">
        <f t="shared" si="1"/>
        <v>110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20</v>
      </c>
      <c r="E54" s="50">
        <v>18</v>
      </c>
      <c r="F54" s="50">
        <v>80</v>
      </c>
      <c r="G54" s="50">
        <v>1</v>
      </c>
      <c r="H54" s="50">
        <v>3</v>
      </c>
      <c r="I54" s="50">
        <v>2</v>
      </c>
      <c r="J54" s="50">
        <v>2</v>
      </c>
      <c r="K54" s="50">
        <v>0</v>
      </c>
      <c r="L54" s="50">
        <v>0</v>
      </c>
      <c r="M54" s="50">
        <v>90</v>
      </c>
      <c r="N54" s="50">
        <v>0</v>
      </c>
      <c r="O54" s="15">
        <f t="shared" si="0"/>
        <v>201</v>
      </c>
      <c r="P54" s="15">
        <f t="shared" si="1"/>
        <v>291</v>
      </c>
      <c r="R54" s="8"/>
      <c r="T54"/>
    </row>
    <row r="55" spans="2:20" ht="23.1" customHeight="1" x14ac:dyDescent="0.25">
      <c r="B55" s="23" t="s">
        <v>82</v>
      </c>
      <c r="C55" s="50">
        <v>115</v>
      </c>
      <c r="D55" s="50">
        <v>21</v>
      </c>
      <c r="E55" s="50">
        <v>5</v>
      </c>
      <c r="F55" s="50">
        <v>60</v>
      </c>
      <c r="G55" s="50">
        <v>0</v>
      </c>
      <c r="H55" s="50">
        <v>1</v>
      </c>
      <c r="I55" s="50">
        <v>4</v>
      </c>
      <c r="J55" s="50">
        <v>1</v>
      </c>
      <c r="K55" s="50">
        <v>0</v>
      </c>
      <c r="L55" s="50">
        <v>5</v>
      </c>
      <c r="M55" s="50">
        <v>55</v>
      </c>
      <c r="N55" s="50">
        <v>0</v>
      </c>
      <c r="O55" s="15">
        <f t="shared" si="0"/>
        <v>212</v>
      </c>
      <c r="P55" s="15">
        <f t="shared" si="1"/>
        <v>267</v>
      </c>
      <c r="R55" s="8"/>
      <c r="T55"/>
    </row>
    <row r="56" spans="2:20" ht="23.1" customHeight="1" x14ac:dyDescent="0.25">
      <c r="B56" s="23" t="s">
        <v>83</v>
      </c>
      <c r="C56" s="50">
        <v>65</v>
      </c>
      <c r="D56" s="50">
        <v>7</v>
      </c>
      <c r="E56" s="50">
        <v>15</v>
      </c>
      <c r="F56" s="50">
        <v>45</v>
      </c>
      <c r="G56" s="50">
        <v>2</v>
      </c>
      <c r="H56" s="50">
        <v>3</v>
      </c>
      <c r="I56" s="50">
        <v>2</v>
      </c>
      <c r="J56" s="50">
        <v>1</v>
      </c>
      <c r="K56" s="50">
        <v>0</v>
      </c>
      <c r="L56" s="50">
        <v>6</v>
      </c>
      <c r="M56" s="50">
        <v>60</v>
      </c>
      <c r="N56" s="50">
        <v>0</v>
      </c>
      <c r="O56" s="15">
        <f t="shared" si="0"/>
        <v>146</v>
      </c>
      <c r="P56" s="15">
        <f t="shared" si="1"/>
        <v>206</v>
      </c>
      <c r="R56" s="8"/>
      <c r="T56"/>
    </row>
    <row r="57" spans="2:20" ht="23.1" customHeight="1" x14ac:dyDescent="0.25">
      <c r="B57" s="23" t="s">
        <v>84</v>
      </c>
      <c r="C57" s="50">
        <v>53</v>
      </c>
      <c r="D57" s="50">
        <v>4</v>
      </c>
      <c r="E57" s="50">
        <v>3</v>
      </c>
      <c r="F57" s="50">
        <v>41</v>
      </c>
      <c r="G57" s="50">
        <v>0</v>
      </c>
      <c r="H57" s="50">
        <v>0</v>
      </c>
      <c r="I57" s="50">
        <v>4</v>
      </c>
      <c r="J57" s="50">
        <v>7</v>
      </c>
      <c r="K57" s="50">
        <v>1</v>
      </c>
      <c r="L57" s="50">
        <v>1</v>
      </c>
      <c r="M57" s="50">
        <v>45</v>
      </c>
      <c r="N57" s="50">
        <v>0</v>
      </c>
      <c r="O57" s="15">
        <f t="shared" si="0"/>
        <v>114</v>
      </c>
      <c r="P57" s="15">
        <f t="shared" si="1"/>
        <v>159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2647</v>
      </c>
      <c r="D58" s="16">
        <f t="shared" si="21"/>
        <v>490</v>
      </c>
      <c r="E58" s="16">
        <f t="shared" si="21"/>
        <v>236</v>
      </c>
      <c r="F58" s="16">
        <f t="shared" si="21"/>
        <v>2826</v>
      </c>
      <c r="G58" s="16">
        <f t="shared" si="21"/>
        <v>59</v>
      </c>
      <c r="H58" s="16">
        <f t="shared" si="21"/>
        <v>60</v>
      </c>
      <c r="I58" s="16">
        <f t="shared" si="21"/>
        <v>361</v>
      </c>
      <c r="J58" s="16">
        <f t="shared" si="21"/>
        <v>184</v>
      </c>
      <c r="K58" s="16">
        <f t="shared" si="21"/>
        <v>30</v>
      </c>
      <c r="L58" s="16">
        <f t="shared" si="21"/>
        <v>144</v>
      </c>
      <c r="M58" s="16">
        <f t="shared" si="21"/>
        <v>6133</v>
      </c>
      <c r="N58" s="16">
        <f t="shared" si="21"/>
        <v>2</v>
      </c>
      <c r="O58" s="16">
        <f t="shared" si="21"/>
        <v>7039</v>
      </c>
      <c r="P58" s="16">
        <f t="shared" si="21"/>
        <v>13172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0.20095657455208016</v>
      </c>
      <c r="D59" s="43">
        <f t="shared" si="22"/>
        <v>3.7200121469784395E-2</v>
      </c>
      <c r="E59" s="43">
        <f t="shared" si="22"/>
        <v>1.7916793197692075E-2</v>
      </c>
      <c r="F59" s="43">
        <f t="shared" si="22"/>
        <v>0.21454600668083815</v>
      </c>
      <c r="G59" s="43">
        <f t="shared" si="22"/>
        <v>4.4791982994230187E-3</v>
      </c>
      <c r="H59" s="43">
        <f t="shared" si="22"/>
        <v>4.5551169146674769E-3</v>
      </c>
      <c r="I59" s="43">
        <f t="shared" si="22"/>
        <v>2.7406620103249318E-2</v>
      </c>
      <c r="J59" s="43">
        <f t="shared" si="22"/>
        <v>1.3969025204980261E-2</v>
      </c>
      <c r="K59" s="43">
        <f t="shared" si="22"/>
        <v>2.2775584573337384E-3</v>
      </c>
      <c r="L59" s="43">
        <f t="shared" si="22"/>
        <v>1.0932280595201944E-2</v>
      </c>
      <c r="M59" s="43">
        <f t="shared" si="22"/>
        <v>0.46560886729426054</v>
      </c>
      <c r="N59" s="43">
        <f t="shared" si="22"/>
        <v>1.5183723048891589E-4</v>
      </c>
      <c r="R59" s="8"/>
      <c r="T59"/>
    </row>
    <row r="60" spans="2:20" ht="23.1" customHeight="1" x14ac:dyDescent="0.25">
      <c r="B60" s="42" t="s">
        <v>94</v>
      </c>
      <c r="C60" s="44">
        <f>C58/$O$58</f>
        <v>0.37604773405313252</v>
      </c>
      <c r="D60" s="44">
        <f t="shared" ref="D60:N60" si="23">D58/$O$58</f>
        <v>6.9612160818298061E-2</v>
      </c>
      <c r="E60" s="44">
        <f t="shared" si="23"/>
        <v>3.3527489700241511E-2</v>
      </c>
      <c r="F60" s="44">
        <f t="shared" si="23"/>
        <v>0.40147748259695981</v>
      </c>
      <c r="G60" s="44">
        <f t="shared" si="23"/>
        <v>8.3818724250603778E-3</v>
      </c>
      <c r="H60" s="44">
        <f t="shared" si="23"/>
        <v>8.5239380593834357E-3</v>
      </c>
      <c r="I60" s="44">
        <f t="shared" si="23"/>
        <v>5.1285693990623667E-2</v>
      </c>
      <c r="J60" s="44">
        <f t="shared" si="23"/>
        <v>2.6140076715442533E-2</v>
      </c>
      <c r="K60" s="44">
        <f t="shared" si="23"/>
        <v>4.2619690296917178E-3</v>
      </c>
      <c r="L60" s="44">
        <f t="shared" si="23"/>
        <v>2.0457451342520243E-2</v>
      </c>
      <c r="M60" s="44"/>
      <c r="N60" s="44">
        <f t="shared" si="23"/>
        <v>2.8413126864611449E-4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3" zoomScale="60" workbookViewId="0">
      <selection activeCell="F51" sqref="F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'22.07 BUSEGA-KYENGERA'!C3:G3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KYENGERA-BUSEGA'!D5</f>
        <v>28.07.19</v>
      </c>
      <c r="E5" s="3"/>
      <c r="F5" s="41" t="s">
        <v>1</v>
      </c>
      <c r="G5" s="67" t="str">
        <f>'28.07 KYENGERA-BUSEGA'!G5:H5</f>
        <v>KYENGERA</v>
      </c>
      <c r="H5" s="68"/>
      <c r="I5" s="14"/>
      <c r="J5" s="2" t="s">
        <v>5</v>
      </c>
      <c r="K5" s="67" t="str">
        <f>'28.07 KYENGERA-BUSEGA'!K5:L5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BUSEGA-KYENGERA'!D6:E6</f>
        <v>BUSEGA</v>
      </c>
      <c r="E6" s="68"/>
      <c r="F6" s="2" t="s">
        <v>2</v>
      </c>
      <c r="G6" s="67" t="str">
        <f>'22.07 BUSEGA-KYENGERA'!G6:H6</f>
        <v>KYENGERA</v>
      </c>
      <c r="H6" s="68"/>
      <c r="J6" s="2" t="s">
        <v>21</v>
      </c>
      <c r="K6" s="67" t="str">
        <f>'28.07 KYENGERA-BUSEGA'!K6:L6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48</v>
      </c>
      <c r="D10" s="50">
        <v>8</v>
      </c>
      <c r="E10" s="50">
        <v>6</v>
      </c>
      <c r="F10" s="50">
        <v>35</v>
      </c>
      <c r="G10" s="50">
        <v>1</v>
      </c>
      <c r="H10" s="50">
        <v>2</v>
      </c>
      <c r="I10" s="50">
        <v>8</v>
      </c>
      <c r="J10" s="50">
        <v>2</v>
      </c>
      <c r="K10" s="50">
        <v>0</v>
      </c>
      <c r="L10" s="50">
        <v>2</v>
      </c>
      <c r="M10" s="50">
        <v>94</v>
      </c>
      <c r="N10" s="50">
        <v>0</v>
      </c>
      <c r="O10" s="15">
        <f t="shared" ref="O10:O57" si="0">SUM(C10:L10,N10)</f>
        <v>112</v>
      </c>
      <c r="P10" s="15">
        <f t="shared" ref="P10:P57" si="1">SUM(C10:N10)</f>
        <v>206</v>
      </c>
      <c r="R10" s="1" t="s">
        <v>6</v>
      </c>
      <c r="S10" s="17">
        <f t="shared" ref="S10:AF10" si="2">SUM(C10:C13)</f>
        <v>205</v>
      </c>
      <c r="T10" s="17">
        <f t="shared" si="2"/>
        <v>33</v>
      </c>
      <c r="U10" s="17">
        <f t="shared" si="2"/>
        <v>25</v>
      </c>
      <c r="V10" s="17">
        <f t="shared" si="2"/>
        <v>141</v>
      </c>
      <c r="W10" s="17">
        <f t="shared" si="2"/>
        <v>10</v>
      </c>
      <c r="X10" s="17">
        <f t="shared" si="2"/>
        <v>5</v>
      </c>
      <c r="Y10" s="17">
        <f t="shared" si="2"/>
        <v>20</v>
      </c>
      <c r="Z10" s="17">
        <f t="shared" si="2"/>
        <v>6</v>
      </c>
      <c r="AA10" s="17">
        <f t="shared" si="2"/>
        <v>1</v>
      </c>
      <c r="AB10" s="17">
        <f t="shared" si="2"/>
        <v>9</v>
      </c>
      <c r="AC10" s="17">
        <f t="shared" si="2"/>
        <v>506</v>
      </c>
      <c r="AD10" s="17">
        <f t="shared" si="2"/>
        <v>0</v>
      </c>
      <c r="AE10" s="31">
        <f t="shared" si="2"/>
        <v>455</v>
      </c>
      <c r="AF10" s="31">
        <f t="shared" si="2"/>
        <v>961</v>
      </c>
    </row>
    <row r="11" spans="2:32" s="6" customFormat="1" ht="23.1" customHeight="1" x14ac:dyDescent="0.25">
      <c r="B11" s="23" t="s">
        <v>38</v>
      </c>
      <c r="C11" s="50">
        <v>55</v>
      </c>
      <c r="D11" s="50">
        <v>9</v>
      </c>
      <c r="E11" s="50">
        <v>8</v>
      </c>
      <c r="F11" s="50">
        <v>41</v>
      </c>
      <c r="G11" s="50">
        <v>3</v>
      </c>
      <c r="H11" s="50">
        <v>1</v>
      </c>
      <c r="I11" s="50">
        <v>7</v>
      </c>
      <c r="J11" s="50">
        <v>3</v>
      </c>
      <c r="K11" s="50">
        <v>0</v>
      </c>
      <c r="L11" s="50">
        <v>1</v>
      </c>
      <c r="M11" s="50">
        <v>108</v>
      </c>
      <c r="N11" s="50">
        <v>0</v>
      </c>
      <c r="O11" s="15">
        <f t="shared" si="0"/>
        <v>128</v>
      </c>
      <c r="P11" s="15">
        <f t="shared" si="1"/>
        <v>236</v>
      </c>
      <c r="R11" s="1" t="s">
        <v>7</v>
      </c>
      <c r="S11" s="17">
        <f t="shared" ref="S11:AF11" si="3">SUM(C14:C17)</f>
        <v>263</v>
      </c>
      <c r="T11" s="17">
        <f t="shared" si="3"/>
        <v>65</v>
      </c>
      <c r="U11" s="17">
        <f t="shared" si="3"/>
        <v>22</v>
      </c>
      <c r="V11" s="17">
        <f t="shared" si="3"/>
        <v>169</v>
      </c>
      <c r="W11" s="17">
        <f t="shared" si="3"/>
        <v>6</v>
      </c>
      <c r="X11" s="17">
        <f t="shared" si="3"/>
        <v>8</v>
      </c>
      <c r="Y11" s="17">
        <f t="shared" si="3"/>
        <v>25</v>
      </c>
      <c r="Z11" s="17">
        <f t="shared" si="3"/>
        <v>9</v>
      </c>
      <c r="AA11" s="17">
        <f t="shared" si="3"/>
        <v>1</v>
      </c>
      <c r="AB11" s="17">
        <f t="shared" si="3"/>
        <v>9</v>
      </c>
      <c r="AC11" s="17">
        <f t="shared" si="3"/>
        <v>570</v>
      </c>
      <c r="AD11" s="17">
        <f t="shared" si="3"/>
        <v>1</v>
      </c>
      <c r="AE11" s="31">
        <f t="shared" si="3"/>
        <v>578</v>
      </c>
      <c r="AF11" s="31">
        <f t="shared" si="3"/>
        <v>1148</v>
      </c>
    </row>
    <row r="12" spans="2:32" ht="23.1" customHeight="1" x14ac:dyDescent="0.25">
      <c r="B12" s="23" t="s">
        <v>39</v>
      </c>
      <c r="C12" s="50">
        <v>48</v>
      </c>
      <c r="D12" s="50">
        <v>5</v>
      </c>
      <c r="E12" s="50">
        <v>4</v>
      </c>
      <c r="F12" s="50">
        <v>33</v>
      </c>
      <c r="G12" s="50">
        <v>2</v>
      </c>
      <c r="H12" s="50">
        <v>1</v>
      </c>
      <c r="I12" s="50">
        <v>2</v>
      </c>
      <c r="J12" s="50">
        <v>0</v>
      </c>
      <c r="K12" s="50">
        <v>1</v>
      </c>
      <c r="L12" s="50">
        <v>3</v>
      </c>
      <c r="M12" s="50">
        <v>122</v>
      </c>
      <c r="N12" s="50">
        <v>0</v>
      </c>
      <c r="O12" s="15">
        <f t="shared" si="0"/>
        <v>99</v>
      </c>
      <c r="P12" s="15">
        <f t="shared" si="1"/>
        <v>221</v>
      </c>
      <c r="R12" s="1" t="s">
        <v>8</v>
      </c>
      <c r="S12" s="17">
        <f t="shared" ref="S12:AF12" si="4">SUM(C18:C21)</f>
        <v>307</v>
      </c>
      <c r="T12" s="17">
        <f t="shared" si="4"/>
        <v>56</v>
      </c>
      <c r="U12" s="17">
        <f t="shared" si="4"/>
        <v>28</v>
      </c>
      <c r="V12" s="17">
        <f t="shared" si="4"/>
        <v>175</v>
      </c>
      <c r="W12" s="17">
        <f t="shared" si="4"/>
        <v>9</v>
      </c>
      <c r="X12" s="17">
        <f t="shared" si="4"/>
        <v>8</v>
      </c>
      <c r="Y12" s="17">
        <f t="shared" si="4"/>
        <v>70</v>
      </c>
      <c r="Z12" s="17">
        <f t="shared" si="4"/>
        <v>12</v>
      </c>
      <c r="AA12" s="17">
        <f t="shared" si="4"/>
        <v>1</v>
      </c>
      <c r="AB12" s="17">
        <f t="shared" si="4"/>
        <v>8</v>
      </c>
      <c r="AC12" s="17">
        <f t="shared" si="4"/>
        <v>361</v>
      </c>
      <c r="AD12" s="17">
        <f t="shared" si="4"/>
        <v>0</v>
      </c>
      <c r="AE12" s="31">
        <f t="shared" si="4"/>
        <v>674</v>
      </c>
      <c r="AF12" s="31">
        <f t="shared" si="4"/>
        <v>1035</v>
      </c>
    </row>
    <row r="13" spans="2:32" ht="23.1" customHeight="1" x14ac:dyDescent="0.25">
      <c r="B13" s="23" t="s">
        <v>40</v>
      </c>
      <c r="C13" s="50">
        <v>54</v>
      </c>
      <c r="D13" s="50">
        <v>11</v>
      </c>
      <c r="E13" s="50">
        <v>7</v>
      </c>
      <c r="F13" s="50">
        <v>32</v>
      </c>
      <c r="G13" s="50">
        <v>4</v>
      </c>
      <c r="H13" s="50">
        <v>1</v>
      </c>
      <c r="I13" s="50">
        <v>3</v>
      </c>
      <c r="J13" s="50">
        <v>1</v>
      </c>
      <c r="K13" s="50">
        <v>0</v>
      </c>
      <c r="L13" s="50">
        <v>3</v>
      </c>
      <c r="M13" s="50">
        <v>182</v>
      </c>
      <c r="N13" s="50">
        <v>0</v>
      </c>
      <c r="O13" s="15">
        <f t="shared" si="0"/>
        <v>116</v>
      </c>
      <c r="P13" s="15">
        <f t="shared" si="1"/>
        <v>298</v>
      </c>
      <c r="R13" s="1" t="s">
        <v>9</v>
      </c>
      <c r="S13" s="17">
        <f t="shared" ref="S13:AF13" si="5">SUM(C22:C25)</f>
        <v>325</v>
      </c>
      <c r="T13" s="17">
        <f t="shared" si="5"/>
        <v>36</v>
      </c>
      <c r="U13" s="17">
        <f t="shared" si="5"/>
        <v>19</v>
      </c>
      <c r="V13" s="17">
        <f t="shared" si="5"/>
        <v>142</v>
      </c>
      <c r="W13" s="17">
        <f t="shared" si="5"/>
        <v>9</v>
      </c>
      <c r="X13" s="17">
        <f t="shared" si="5"/>
        <v>6</v>
      </c>
      <c r="Y13" s="17">
        <f t="shared" si="5"/>
        <v>28</v>
      </c>
      <c r="Z13" s="17">
        <f t="shared" si="5"/>
        <v>2</v>
      </c>
      <c r="AA13" s="17">
        <f t="shared" si="5"/>
        <v>1</v>
      </c>
      <c r="AB13" s="17">
        <f t="shared" si="5"/>
        <v>12</v>
      </c>
      <c r="AC13" s="17">
        <f t="shared" si="5"/>
        <v>390</v>
      </c>
      <c r="AD13" s="17">
        <f t="shared" si="5"/>
        <v>0</v>
      </c>
      <c r="AE13" s="31">
        <f t="shared" si="5"/>
        <v>580</v>
      </c>
      <c r="AF13" s="31">
        <f t="shared" si="5"/>
        <v>970</v>
      </c>
    </row>
    <row r="14" spans="2:32" ht="23.1" customHeight="1" x14ac:dyDescent="0.25">
      <c r="B14" s="23" t="s">
        <v>41</v>
      </c>
      <c r="C14" s="50">
        <v>82</v>
      </c>
      <c r="D14" s="50">
        <v>18</v>
      </c>
      <c r="E14" s="50">
        <v>7</v>
      </c>
      <c r="F14" s="50">
        <v>39</v>
      </c>
      <c r="G14" s="50">
        <v>2</v>
      </c>
      <c r="H14" s="50">
        <v>2</v>
      </c>
      <c r="I14" s="50">
        <v>4</v>
      </c>
      <c r="J14" s="50">
        <v>1</v>
      </c>
      <c r="K14" s="50">
        <v>1</v>
      </c>
      <c r="L14" s="50">
        <v>2</v>
      </c>
      <c r="M14" s="50">
        <v>157</v>
      </c>
      <c r="N14" s="50">
        <v>1</v>
      </c>
      <c r="O14" s="15">
        <f t="shared" si="0"/>
        <v>159</v>
      </c>
      <c r="P14" s="15">
        <f t="shared" si="1"/>
        <v>316</v>
      </c>
      <c r="R14" s="1" t="s">
        <v>10</v>
      </c>
      <c r="S14" s="17">
        <f t="shared" ref="S14:AF14" si="6">SUM(C26:C29)</f>
        <v>234</v>
      </c>
      <c r="T14" s="17">
        <f t="shared" si="6"/>
        <v>24</v>
      </c>
      <c r="U14" s="17">
        <f t="shared" si="6"/>
        <v>14</v>
      </c>
      <c r="V14" s="17">
        <f t="shared" si="6"/>
        <v>118</v>
      </c>
      <c r="W14" s="17">
        <f t="shared" si="6"/>
        <v>7</v>
      </c>
      <c r="X14" s="17">
        <f t="shared" si="6"/>
        <v>9</v>
      </c>
      <c r="Y14" s="17">
        <f t="shared" si="6"/>
        <v>36</v>
      </c>
      <c r="Z14" s="17">
        <f t="shared" si="6"/>
        <v>21</v>
      </c>
      <c r="AA14" s="17">
        <f t="shared" si="6"/>
        <v>0</v>
      </c>
      <c r="AB14" s="17">
        <f t="shared" si="6"/>
        <v>6</v>
      </c>
      <c r="AC14" s="17">
        <f t="shared" si="6"/>
        <v>266</v>
      </c>
      <c r="AD14" s="17">
        <f t="shared" si="6"/>
        <v>1</v>
      </c>
      <c r="AE14" s="31">
        <f t="shared" si="6"/>
        <v>470</v>
      </c>
      <c r="AF14" s="31">
        <f t="shared" si="6"/>
        <v>736</v>
      </c>
    </row>
    <row r="15" spans="2:32" ht="23.1" customHeight="1" x14ac:dyDescent="0.25">
      <c r="B15" s="23" t="s">
        <v>42</v>
      </c>
      <c r="C15" s="50">
        <v>60</v>
      </c>
      <c r="D15" s="50">
        <v>15</v>
      </c>
      <c r="E15" s="50">
        <v>7</v>
      </c>
      <c r="F15" s="50">
        <v>46</v>
      </c>
      <c r="G15" s="50">
        <v>1</v>
      </c>
      <c r="H15" s="50">
        <v>2</v>
      </c>
      <c r="I15" s="50">
        <v>11</v>
      </c>
      <c r="J15" s="50">
        <v>3</v>
      </c>
      <c r="K15" s="50">
        <v>0</v>
      </c>
      <c r="L15" s="50">
        <v>1</v>
      </c>
      <c r="M15" s="50">
        <v>178</v>
      </c>
      <c r="N15" s="50">
        <v>0</v>
      </c>
      <c r="O15" s="15">
        <f t="shared" si="0"/>
        <v>146</v>
      </c>
      <c r="P15" s="15">
        <f t="shared" si="1"/>
        <v>324</v>
      </c>
      <c r="R15" s="1" t="s">
        <v>11</v>
      </c>
      <c r="S15" s="17">
        <f t="shared" ref="S15:AF15" si="7">SUM(C30:C33)</f>
        <v>186</v>
      </c>
      <c r="T15" s="17">
        <f t="shared" si="7"/>
        <v>16</v>
      </c>
      <c r="U15" s="17">
        <f t="shared" si="7"/>
        <v>8</v>
      </c>
      <c r="V15" s="17">
        <f t="shared" si="7"/>
        <v>109</v>
      </c>
      <c r="W15" s="17">
        <f t="shared" si="7"/>
        <v>8</v>
      </c>
      <c r="X15" s="17">
        <f t="shared" si="7"/>
        <v>7</v>
      </c>
      <c r="Y15" s="17">
        <f t="shared" si="7"/>
        <v>31</v>
      </c>
      <c r="Z15" s="17">
        <f t="shared" si="7"/>
        <v>7</v>
      </c>
      <c r="AA15" s="17">
        <f t="shared" si="7"/>
        <v>0</v>
      </c>
      <c r="AB15" s="17">
        <f t="shared" si="7"/>
        <v>13</v>
      </c>
      <c r="AC15" s="17">
        <f t="shared" si="7"/>
        <v>200</v>
      </c>
      <c r="AD15" s="17">
        <f t="shared" si="7"/>
        <v>1</v>
      </c>
      <c r="AE15" s="31">
        <f t="shared" si="7"/>
        <v>386</v>
      </c>
      <c r="AF15" s="31">
        <f t="shared" si="7"/>
        <v>586</v>
      </c>
    </row>
    <row r="16" spans="2:32" ht="23.1" customHeight="1" x14ac:dyDescent="0.25">
      <c r="B16" s="23" t="s">
        <v>43</v>
      </c>
      <c r="C16" s="50">
        <v>60</v>
      </c>
      <c r="D16" s="50">
        <v>14</v>
      </c>
      <c r="E16" s="50">
        <v>4</v>
      </c>
      <c r="F16" s="50">
        <v>46</v>
      </c>
      <c r="G16" s="50">
        <v>2</v>
      </c>
      <c r="H16" s="50">
        <v>3</v>
      </c>
      <c r="I16" s="50">
        <v>2</v>
      </c>
      <c r="J16" s="50">
        <v>3</v>
      </c>
      <c r="K16" s="50">
        <v>0</v>
      </c>
      <c r="L16" s="50">
        <v>3</v>
      </c>
      <c r="M16" s="50">
        <v>130</v>
      </c>
      <c r="N16" s="50">
        <v>0</v>
      </c>
      <c r="O16" s="15">
        <f t="shared" si="0"/>
        <v>137</v>
      </c>
      <c r="P16" s="15">
        <f t="shared" si="1"/>
        <v>267</v>
      </c>
      <c r="R16" s="1" t="s">
        <v>12</v>
      </c>
      <c r="S16" s="17">
        <f t="shared" ref="S16:AF16" si="8">SUM(C34:C37)</f>
        <v>198</v>
      </c>
      <c r="T16" s="17">
        <f t="shared" si="8"/>
        <v>23</v>
      </c>
      <c r="U16" s="17">
        <f t="shared" si="8"/>
        <v>25</v>
      </c>
      <c r="V16" s="17">
        <f t="shared" si="8"/>
        <v>189</v>
      </c>
      <c r="W16" s="17">
        <f t="shared" si="8"/>
        <v>4</v>
      </c>
      <c r="X16" s="17">
        <f t="shared" si="8"/>
        <v>4</v>
      </c>
      <c r="Y16" s="17">
        <f t="shared" si="8"/>
        <v>46</v>
      </c>
      <c r="Z16" s="17">
        <f t="shared" si="8"/>
        <v>12</v>
      </c>
      <c r="AA16" s="17">
        <f t="shared" si="8"/>
        <v>0</v>
      </c>
      <c r="AB16" s="17">
        <f t="shared" si="8"/>
        <v>20</v>
      </c>
      <c r="AC16" s="17">
        <f t="shared" si="8"/>
        <v>235</v>
      </c>
      <c r="AD16" s="17">
        <f t="shared" si="8"/>
        <v>0</v>
      </c>
      <c r="AE16" s="31">
        <f t="shared" si="8"/>
        <v>521</v>
      </c>
      <c r="AF16" s="31">
        <f t="shared" si="8"/>
        <v>756</v>
      </c>
    </row>
    <row r="17" spans="2:32" ht="23.1" customHeight="1" x14ac:dyDescent="0.25">
      <c r="B17" s="23" t="s">
        <v>44</v>
      </c>
      <c r="C17" s="50">
        <v>61</v>
      </c>
      <c r="D17" s="50">
        <v>18</v>
      </c>
      <c r="E17" s="50">
        <v>4</v>
      </c>
      <c r="F17" s="50">
        <v>38</v>
      </c>
      <c r="G17" s="50">
        <v>1</v>
      </c>
      <c r="H17" s="50">
        <v>1</v>
      </c>
      <c r="I17" s="50">
        <v>8</v>
      </c>
      <c r="J17" s="50">
        <v>2</v>
      </c>
      <c r="K17" s="50">
        <v>0</v>
      </c>
      <c r="L17" s="50">
        <v>3</v>
      </c>
      <c r="M17" s="50">
        <v>105</v>
      </c>
      <c r="N17" s="50">
        <v>0</v>
      </c>
      <c r="O17" s="15">
        <f t="shared" si="0"/>
        <v>136</v>
      </c>
      <c r="P17" s="15">
        <f t="shared" si="1"/>
        <v>241</v>
      </c>
      <c r="R17" s="1" t="s">
        <v>13</v>
      </c>
      <c r="S17" s="17">
        <f t="shared" ref="S17:AF17" si="9">SUM(C38:C41)</f>
        <v>153</v>
      </c>
      <c r="T17" s="17">
        <f t="shared" si="9"/>
        <v>15</v>
      </c>
      <c r="U17" s="17">
        <f t="shared" si="9"/>
        <v>6</v>
      </c>
      <c r="V17" s="17">
        <f t="shared" si="9"/>
        <v>139</v>
      </c>
      <c r="W17" s="17">
        <f t="shared" si="9"/>
        <v>1</v>
      </c>
      <c r="X17" s="17">
        <f t="shared" si="9"/>
        <v>5</v>
      </c>
      <c r="Y17" s="17">
        <f t="shared" si="9"/>
        <v>21</v>
      </c>
      <c r="Z17" s="17">
        <f t="shared" si="9"/>
        <v>9</v>
      </c>
      <c r="AA17" s="17">
        <f t="shared" si="9"/>
        <v>6</v>
      </c>
      <c r="AB17" s="17">
        <f t="shared" si="9"/>
        <v>10</v>
      </c>
      <c r="AC17" s="17">
        <f t="shared" si="9"/>
        <v>211</v>
      </c>
      <c r="AD17" s="17">
        <f t="shared" si="9"/>
        <v>0</v>
      </c>
      <c r="AE17" s="31">
        <f t="shared" si="9"/>
        <v>365</v>
      </c>
      <c r="AF17" s="31">
        <f t="shared" si="9"/>
        <v>576</v>
      </c>
    </row>
    <row r="18" spans="2:32" ht="23.1" customHeight="1" x14ac:dyDescent="0.25">
      <c r="B18" s="23" t="s">
        <v>45</v>
      </c>
      <c r="C18" s="50">
        <v>58</v>
      </c>
      <c r="D18" s="50">
        <v>13</v>
      </c>
      <c r="E18" s="50">
        <v>6</v>
      </c>
      <c r="F18" s="50">
        <v>53</v>
      </c>
      <c r="G18" s="50">
        <v>2</v>
      </c>
      <c r="H18" s="50">
        <v>1</v>
      </c>
      <c r="I18" s="50">
        <v>19</v>
      </c>
      <c r="J18" s="50">
        <v>6</v>
      </c>
      <c r="K18" s="50">
        <v>1</v>
      </c>
      <c r="L18" s="50">
        <v>2</v>
      </c>
      <c r="M18" s="50">
        <v>95</v>
      </c>
      <c r="N18" s="50">
        <v>0</v>
      </c>
      <c r="O18" s="15">
        <f t="shared" si="0"/>
        <v>161</v>
      </c>
      <c r="P18" s="15">
        <f t="shared" si="1"/>
        <v>256</v>
      </c>
      <c r="R18" s="1" t="s">
        <v>14</v>
      </c>
      <c r="S18" s="17">
        <f t="shared" ref="S18:AF18" si="10">SUM(C42:C45)</f>
        <v>225</v>
      </c>
      <c r="T18" s="17">
        <f t="shared" si="10"/>
        <v>17</v>
      </c>
      <c r="U18" s="17">
        <f t="shared" si="10"/>
        <v>11</v>
      </c>
      <c r="V18" s="17">
        <f t="shared" si="10"/>
        <v>143</v>
      </c>
      <c r="W18" s="17">
        <f t="shared" si="10"/>
        <v>2</v>
      </c>
      <c r="X18" s="17">
        <f t="shared" si="10"/>
        <v>8</v>
      </c>
      <c r="Y18" s="17">
        <f t="shared" si="10"/>
        <v>11</v>
      </c>
      <c r="Z18" s="17">
        <f t="shared" si="10"/>
        <v>16</v>
      </c>
      <c r="AA18" s="17">
        <f t="shared" si="10"/>
        <v>6</v>
      </c>
      <c r="AB18" s="17">
        <f t="shared" si="10"/>
        <v>10</v>
      </c>
      <c r="AC18" s="17">
        <f t="shared" si="10"/>
        <v>243</v>
      </c>
      <c r="AD18" s="17">
        <f t="shared" si="10"/>
        <v>0</v>
      </c>
      <c r="AE18" s="31">
        <f t="shared" si="10"/>
        <v>449</v>
      </c>
      <c r="AF18" s="31">
        <f t="shared" si="10"/>
        <v>692</v>
      </c>
    </row>
    <row r="19" spans="2:32" ht="23.1" customHeight="1" x14ac:dyDescent="0.25">
      <c r="B19" s="23" t="s">
        <v>46</v>
      </c>
      <c r="C19" s="50">
        <v>82</v>
      </c>
      <c r="D19" s="50">
        <v>14</v>
      </c>
      <c r="E19" s="50">
        <v>12</v>
      </c>
      <c r="F19" s="50">
        <v>47</v>
      </c>
      <c r="G19" s="50">
        <v>3</v>
      </c>
      <c r="H19" s="50">
        <v>3</v>
      </c>
      <c r="I19" s="50">
        <v>25</v>
      </c>
      <c r="J19" s="50">
        <v>3</v>
      </c>
      <c r="K19" s="50">
        <v>0</v>
      </c>
      <c r="L19" s="50">
        <v>2</v>
      </c>
      <c r="M19" s="50">
        <v>105</v>
      </c>
      <c r="N19" s="50">
        <v>0</v>
      </c>
      <c r="O19" s="15">
        <f t="shared" si="0"/>
        <v>191</v>
      </c>
      <c r="P19" s="15">
        <f t="shared" si="1"/>
        <v>296</v>
      </c>
      <c r="R19" s="1" t="s">
        <v>15</v>
      </c>
      <c r="S19" s="17">
        <f t="shared" ref="S19:AF19" si="11">SUM(C46:C49)</f>
        <v>162</v>
      </c>
      <c r="T19" s="17">
        <f t="shared" si="11"/>
        <v>7</v>
      </c>
      <c r="U19" s="17">
        <f t="shared" si="11"/>
        <v>8</v>
      </c>
      <c r="V19" s="17">
        <f t="shared" si="11"/>
        <v>140</v>
      </c>
      <c r="W19" s="17">
        <f t="shared" si="11"/>
        <v>5</v>
      </c>
      <c r="X19" s="17">
        <f t="shared" si="11"/>
        <v>11</v>
      </c>
      <c r="Y19" s="17">
        <f t="shared" si="11"/>
        <v>42</v>
      </c>
      <c r="Z19" s="17">
        <f t="shared" si="11"/>
        <v>6</v>
      </c>
      <c r="AA19" s="17">
        <f t="shared" si="11"/>
        <v>0</v>
      </c>
      <c r="AB19" s="17">
        <f t="shared" si="11"/>
        <v>9</v>
      </c>
      <c r="AC19" s="17">
        <f t="shared" si="11"/>
        <v>225</v>
      </c>
      <c r="AD19" s="17">
        <f t="shared" si="11"/>
        <v>0</v>
      </c>
      <c r="AE19" s="31">
        <f t="shared" si="11"/>
        <v>390</v>
      </c>
      <c r="AF19" s="31">
        <f t="shared" si="11"/>
        <v>615</v>
      </c>
    </row>
    <row r="20" spans="2:32" ht="23.1" customHeight="1" x14ac:dyDescent="0.25">
      <c r="B20" s="23" t="s">
        <v>47</v>
      </c>
      <c r="C20" s="50">
        <v>82</v>
      </c>
      <c r="D20" s="50">
        <v>11</v>
      </c>
      <c r="E20" s="50">
        <v>10</v>
      </c>
      <c r="F20" s="50">
        <v>17</v>
      </c>
      <c r="G20" s="50">
        <v>2</v>
      </c>
      <c r="H20" s="50">
        <v>3</v>
      </c>
      <c r="I20" s="50">
        <v>10</v>
      </c>
      <c r="J20" s="50">
        <v>0</v>
      </c>
      <c r="K20" s="50">
        <v>0</v>
      </c>
      <c r="L20" s="50">
        <v>3</v>
      </c>
      <c r="M20" s="50">
        <v>70</v>
      </c>
      <c r="N20" s="50">
        <v>0</v>
      </c>
      <c r="O20" s="15">
        <f t="shared" si="0"/>
        <v>138</v>
      </c>
      <c r="P20" s="15">
        <f t="shared" si="1"/>
        <v>208</v>
      </c>
      <c r="R20" s="1" t="s">
        <v>16</v>
      </c>
      <c r="S20" s="17">
        <f t="shared" ref="S20:AF20" si="12">SUM(C50:C53)</f>
        <v>202</v>
      </c>
      <c r="T20" s="17">
        <f t="shared" si="12"/>
        <v>12</v>
      </c>
      <c r="U20" s="17">
        <f t="shared" si="12"/>
        <v>6</v>
      </c>
      <c r="V20" s="17">
        <f t="shared" si="12"/>
        <v>156</v>
      </c>
      <c r="W20" s="17">
        <f t="shared" si="12"/>
        <v>5</v>
      </c>
      <c r="X20" s="17">
        <f t="shared" si="12"/>
        <v>5</v>
      </c>
      <c r="Y20" s="17">
        <f t="shared" si="12"/>
        <v>44</v>
      </c>
      <c r="Z20" s="17">
        <f t="shared" si="12"/>
        <v>28</v>
      </c>
      <c r="AA20" s="17">
        <f t="shared" si="12"/>
        <v>0</v>
      </c>
      <c r="AB20" s="17">
        <f t="shared" si="12"/>
        <v>10</v>
      </c>
      <c r="AC20" s="17">
        <f t="shared" si="12"/>
        <v>290</v>
      </c>
      <c r="AD20" s="17">
        <f t="shared" si="12"/>
        <v>0</v>
      </c>
      <c r="AE20" s="31">
        <f t="shared" si="12"/>
        <v>468</v>
      </c>
      <c r="AF20" s="31">
        <f t="shared" si="12"/>
        <v>758</v>
      </c>
    </row>
    <row r="21" spans="2:32" ht="23.1" customHeight="1" x14ac:dyDescent="0.25">
      <c r="B21" s="23" t="s">
        <v>48</v>
      </c>
      <c r="C21" s="50">
        <v>85</v>
      </c>
      <c r="D21" s="50">
        <v>18</v>
      </c>
      <c r="E21" s="50">
        <v>0</v>
      </c>
      <c r="F21" s="50">
        <v>58</v>
      </c>
      <c r="G21" s="50">
        <v>2</v>
      </c>
      <c r="H21" s="50">
        <v>1</v>
      </c>
      <c r="I21" s="50">
        <v>16</v>
      </c>
      <c r="J21" s="50">
        <v>3</v>
      </c>
      <c r="K21" s="50">
        <v>0</v>
      </c>
      <c r="L21" s="50">
        <v>1</v>
      </c>
      <c r="M21" s="50">
        <v>91</v>
      </c>
      <c r="N21" s="50">
        <v>0</v>
      </c>
      <c r="O21" s="15">
        <f t="shared" si="0"/>
        <v>184</v>
      </c>
      <c r="P21" s="15">
        <f t="shared" si="1"/>
        <v>275</v>
      </c>
      <c r="R21" s="36" t="s">
        <v>20</v>
      </c>
      <c r="S21" s="34">
        <f t="shared" ref="S21:AF21" si="13">SUM(C54:C57)</f>
        <v>201</v>
      </c>
      <c r="T21" s="17">
        <f t="shared" si="13"/>
        <v>22</v>
      </c>
      <c r="U21" s="17">
        <f t="shared" si="13"/>
        <v>16</v>
      </c>
      <c r="V21" s="17">
        <f t="shared" si="13"/>
        <v>174</v>
      </c>
      <c r="W21" s="17">
        <f t="shared" si="13"/>
        <v>5</v>
      </c>
      <c r="X21" s="17">
        <f t="shared" si="13"/>
        <v>7</v>
      </c>
      <c r="Y21" s="17">
        <f t="shared" si="13"/>
        <v>33</v>
      </c>
      <c r="Z21" s="17">
        <f t="shared" si="13"/>
        <v>7</v>
      </c>
      <c r="AA21" s="17">
        <f t="shared" si="13"/>
        <v>17</v>
      </c>
      <c r="AB21" s="17">
        <f t="shared" si="13"/>
        <v>9</v>
      </c>
      <c r="AC21" s="17">
        <f t="shared" si="13"/>
        <v>195</v>
      </c>
      <c r="AD21" s="17">
        <f t="shared" si="13"/>
        <v>0</v>
      </c>
      <c r="AE21" s="31">
        <f t="shared" si="13"/>
        <v>491</v>
      </c>
      <c r="AF21" s="31">
        <f t="shared" si="13"/>
        <v>686</v>
      </c>
    </row>
    <row r="22" spans="2:32" ht="23.1" customHeight="1" x14ac:dyDescent="0.25">
      <c r="B22" s="23" t="s">
        <v>49</v>
      </c>
      <c r="C22" s="50">
        <v>110</v>
      </c>
      <c r="D22" s="50">
        <v>5</v>
      </c>
      <c r="E22" s="50">
        <v>2</v>
      </c>
      <c r="F22" s="50">
        <v>45</v>
      </c>
      <c r="G22" s="50">
        <v>3</v>
      </c>
      <c r="H22" s="50">
        <v>1</v>
      </c>
      <c r="I22" s="50">
        <v>6</v>
      </c>
      <c r="J22" s="50">
        <v>0</v>
      </c>
      <c r="K22" s="50">
        <v>0</v>
      </c>
      <c r="L22" s="50">
        <v>2</v>
      </c>
      <c r="M22" s="50">
        <v>100</v>
      </c>
      <c r="N22" s="50">
        <v>0</v>
      </c>
      <c r="O22" s="15">
        <f t="shared" si="0"/>
        <v>174</v>
      </c>
      <c r="P22" s="15">
        <f t="shared" si="1"/>
        <v>274</v>
      </c>
      <c r="R22" s="38" t="s">
        <v>90</v>
      </c>
      <c r="S22" s="39">
        <f>MAX(S10:S12)</f>
        <v>307</v>
      </c>
      <c r="T22" s="39">
        <f t="shared" ref="T22:AF22" si="14">MAX(T10:T12)</f>
        <v>65</v>
      </c>
      <c r="U22" s="39">
        <f t="shared" si="14"/>
        <v>28</v>
      </c>
      <c r="V22" s="39">
        <f t="shared" si="14"/>
        <v>175</v>
      </c>
      <c r="W22" s="39">
        <f t="shared" si="14"/>
        <v>10</v>
      </c>
      <c r="X22" s="39">
        <f t="shared" si="14"/>
        <v>8</v>
      </c>
      <c r="Y22" s="39">
        <f t="shared" si="14"/>
        <v>70</v>
      </c>
      <c r="Z22" s="39">
        <f t="shared" si="14"/>
        <v>12</v>
      </c>
      <c r="AA22" s="39">
        <f t="shared" si="14"/>
        <v>1</v>
      </c>
      <c r="AB22" s="39">
        <f t="shared" si="14"/>
        <v>9</v>
      </c>
      <c r="AC22" s="39">
        <f t="shared" si="14"/>
        <v>570</v>
      </c>
      <c r="AD22" s="39">
        <f t="shared" si="14"/>
        <v>1</v>
      </c>
      <c r="AE22" s="40">
        <f t="shared" si="14"/>
        <v>674</v>
      </c>
      <c r="AF22" s="40">
        <f t="shared" si="14"/>
        <v>1148</v>
      </c>
    </row>
    <row r="23" spans="2:32" ht="23.1" customHeight="1" x14ac:dyDescent="0.25">
      <c r="B23" s="23" t="s">
        <v>50</v>
      </c>
      <c r="C23" s="50">
        <v>65</v>
      </c>
      <c r="D23" s="50">
        <v>13</v>
      </c>
      <c r="E23" s="50">
        <v>3</v>
      </c>
      <c r="F23" s="50">
        <v>56</v>
      </c>
      <c r="G23" s="50">
        <v>2</v>
      </c>
      <c r="H23" s="50">
        <v>1</v>
      </c>
      <c r="I23" s="50">
        <v>7</v>
      </c>
      <c r="J23" s="50">
        <v>1</v>
      </c>
      <c r="K23" s="50">
        <v>0</v>
      </c>
      <c r="L23" s="50">
        <v>3</v>
      </c>
      <c r="M23" s="50">
        <v>115</v>
      </c>
      <c r="N23" s="50">
        <v>0</v>
      </c>
      <c r="O23" s="15">
        <f t="shared" si="0"/>
        <v>151</v>
      </c>
      <c r="P23" s="15">
        <f t="shared" si="1"/>
        <v>266</v>
      </c>
      <c r="R23" s="38" t="s">
        <v>91</v>
      </c>
      <c r="S23" s="39">
        <f>MAX(S13:S18)</f>
        <v>325</v>
      </c>
      <c r="T23" s="39">
        <f t="shared" ref="T23:AF23" si="15">MAX(T13:T18)</f>
        <v>36</v>
      </c>
      <c r="U23" s="39">
        <f t="shared" si="15"/>
        <v>25</v>
      </c>
      <c r="V23" s="39">
        <f t="shared" si="15"/>
        <v>189</v>
      </c>
      <c r="W23" s="39">
        <f t="shared" si="15"/>
        <v>9</v>
      </c>
      <c r="X23" s="39">
        <f t="shared" si="15"/>
        <v>9</v>
      </c>
      <c r="Y23" s="39">
        <f t="shared" si="15"/>
        <v>46</v>
      </c>
      <c r="Z23" s="39">
        <f t="shared" si="15"/>
        <v>21</v>
      </c>
      <c r="AA23" s="39">
        <f t="shared" si="15"/>
        <v>6</v>
      </c>
      <c r="AB23" s="39">
        <f t="shared" si="15"/>
        <v>20</v>
      </c>
      <c r="AC23" s="39">
        <f t="shared" si="15"/>
        <v>390</v>
      </c>
      <c r="AD23" s="39">
        <f t="shared" si="15"/>
        <v>1</v>
      </c>
      <c r="AE23" s="40">
        <f t="shared" si="15"/>
        <v>580</v>
      </c>
      <c r="AF23" s="40">
        <f t="shared" si="15"/>
        <v>970</v>
      </c>
    </row>
    <row r="24" spans="2:32" ht="23.1" customHeight="1" x14ac:dyDescent="0.25">
      <c r="B24" s="23" t="s">
        <v>51</v>
      </c>
      <c r="C24" s="50">
        <v>75</v>
      </c>
      <c r="D24" s="50">
        <v>15</v>
      </c>
      <c r="E24" s="50">
        <v>9</v>
      </c>
      <c r="F24" s="50">
        <v>25</v>
      </c>
      <c r="G24" s="50">
        <v>2</v>
      </c>
      <c r="H24" s="50">
        <v>1</v>
      </c>
      <c r="I24" s="50">
        <v>10</v>
      </c>
      <c r="J24" s="50">
        <v>0</v>
      </c>
      <c r="K24" s="50">
        <v>1</v>
      </c>
      <c r="L24" s="50">
        <v>3</v>
      </c>
      <c r="M24" s="50">
        <v>85</v>
      </c>
      <c r="N24" s="50">
        <v>0</v>
      </c>
      <c r="O24" s="15">
        <f t="shared" si="0"/>
        <v>141</v>
      </c>
      <c r="P24" s="15">
        <f t="shared" si="1"/>
        <v>226</v>
      </c>
      <c r="R24" s="38" t="s">
        <v>92</v>
      </c>
      <c r="S24" s="39">
        <f>MAX(S19:S21)</f>
        <v>202</v>
      </c>
      <c r="T24" s="39">
        <f t="shared" ref="T24:AF24" si="16">MAX(T19:T21)</f>
        <v>22</v>
      </c>
      <c r="U24" s="39">
        <f t="shared" si="16"/>
        <v>16</v>
      </c>
      <c r="V24" s="39">
        <f t="shared" si="16"/>
        <v>174</v>
      </c>
      <c r="W24" s="39">
        <f t="shared" si="16"/>
        <v>5</v>
      </c>
      <c r="X24" s="39">
        <f t="shared" si="16"/>
        <v>11</v>
      </c>
      <c r="Y24" s="39">
        <f t="shared" si="16"/>
        <v>44</v>
      </c>
      <c r="Z24" s="39">
        <f t="shared" si="16"/>
        <v>28</v>
      </c>
      <c r="AA24" s="39">
        <f t="shared" si="16"/>
        <v>17</v>
      </c>
      <c r="AB24" s="39">
        <f t="shared" si="16"/>
        <v>10</v>
      </c>
      <c r="AC24" s="39">
        <f t="shared" si="16"/>
        <v>290</v>
      </c>
      <c r="AD24" s="39">
        <f t="shared" si="16"/>
        <v>0</v>
      </c>
      <c r="AE24" s="40">
        <f t="shared" si="16"/>
        <v>491</v>
      </c>
      <c r="AF24" s="40">
        <f t="shared" si="16"/>
        <v>758</v>
      </c>
    </row>
    <row r="25" spans="2:32" ht="23.1" customHeight="1" x14ac:dyDescent="0.25">
      <c r="B25" s="23" t="s">
        <v>52</v>
      </c>
      <c r="C25" s="50">
        <v>75</v>
      </c>
      <c r="D25" s="50">
        <v>3</v>
      </c>
      <c r="E25" s="50">
        <v>5</v>
      </c>
      <c r="F25" s="50">
        <v>16</v>
      </c>
      <c r="G25" s="50">
        <v>2</v>
      </c>
      <c r="H25" s="50">
        <v>3</v>
      </c>
      <c r="I25" s="50">
        <v>5</v>
      </c>
      <c r="J25" s="50">
        <v>1</v>
      </c>
      <c r="K25" s="50">
        <v>0</v>
      </c>
      <c r="L25" s="50">
        <v>4</v>
      </c>
      <c r="M25" s="50">
        <v>90</v>
      </c>
      <c r="N25" s="50">
        <v>0</v>
      </c>
      <c r="O25" s="15">
        <f t="shared" si="0"/>
        <v>114</v>
      </c>
      <c r="P25" s="15">
        <f t="shared" si="1"/>
        <v>204</v>
      </c>
      <c r="R25" s="37" t="s">
        <v>85</v>
      </c>
      <c r="S25" s="35">
        <f t="shared" ref="S25:AF25" si="17">SUM(S10:S12)</f>
        <v>775</v>
      </c>
      <c r="T25" s="16">
        <f t="shared" si="17"/>
        <v>154</v>
      </c>
      <c r="U25" s="16">
        <f t="shared" si="17"/>
        <v>75</v>
      </c>
      <c r="V25" s="16">
        <f t="shared" si="17"/>
        <v>485</v>
      </c>
      <c r="W25" s="16">
        <f t="shared" si="17"/>
        <v>25</v>
      </c>
      <c r="X25" s="16">
        <f t="shared" si="17"/>
        <v>21</v>
      </c>
      <c r="Y25" s="16">
        <f t="shared" si="17"/>
        <v>115</v>
      </c>
      <c r="Z25" s="16">
        <f t="shared" si="17"/>
        <v>27</v>
      </c>
      <c r="AA25" s="16">
        <f t="shared" si="17"/>
        <v>3</v>
      </c>
      <c r="AB25" s="16">
        <f t="shared" si="17"/>
        <v>26</v>
      </c>
      <c r="AC25" s="16">
        <f t="shared" si="17"/>
        <v>1437</v>
      </c>
      <c r="AD25" s="16">
        <f t="shared" si="17"/>
        <v>1</v>
      </c>
      <c r="AE25" s="32">
        <f t="shared" si="17"/>
        <v>1707</v>
      </c>
      <c r="AF25" s="32">
        <f t="shared" si="17"/>
        <v>3144</v>
      </c>
    </row>
    <row r="26" spans="2:32" ht="23.1" customHeight="1" x14ac:dyDescent="0.25">
      <c r="B26" s="23" t="s">
        <v>53</v>
      </c>
      <c r="C26" s="50">
        <v>55</v>
      </c>
      <c r="D26" s="50">
        <v>10</v>
      </c>
      <c r="E26" s="50">
        <v>4</v>
      </c>
      <c r="F26" s="50">
        <v>40</v>
      </c>
      <c r="G26" s="50">
        <v>2</v>
      </c>
      <c r="H26" s="50">
        <v>2</v>
      </c>
      <c r="I26" s="50">
        <v>9</v>
      </c>
      <c r="J26" s="50">
        <v>8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130</v>
      </c>
      <c r="P26" s="15">
        <f t="shared" si="1"/>
        <v>195</v>
      </c>
      <c r="R26" s="28" t="s">
        <v>86</v>
      </c>
      <c r="S26" s="16">
        <f t="shared" ref="S26:AF26" si="18">SUM(S13:S18)</f>
        <v>1321</v>
      </c>
      <c r="T26" s="16">
        <f t="shared" si="18"/>
        <v>131</v>
      </c>
      <c r="U26" s="16">
        <f t="shared" si="18"/>
        <v>83</v>
      </c>
      <c r="V26" s="16">
        <f t="shared" si="18"/>
        <v>840</v>
      </c>
      <c r="W26" s="16">
        <f t="shared" si="18"/>
        <v>31</v>
      </c>
      <c r="X26" s="16">
        <f t="shared" si="18"/>
        <v>39</v>
      </c>
      <c r="Y26" s="16">
        <f t="shared" si="18"/>
        <v>173</v>
      </c>
      <c r="Z26" s="16">
        <f t="shared" si="18"/>
        <v>67</v>
      </c>
      <c r="AA26" s="16">
        <f t="shared" si="18"/>
        <v>13</v>
      </c>
      <c r="AB26" s="16">
        <f t="shared" si="18"/>
        <v>71</v>
      </c>
      <c r="AC26" s="16">
        <f t="shared" si="18"/>
        <v>1545</v>
      </c>
      <c r="AD26" s="16">
        <f t="shared" si="18"/>
        <v>2</v>
      </c>
      <c r="AE26" s="32">
        <f t="shared" si="18"/>
        <v>2771</v>
      </c>
      <c r="AF26" s="32">
        <f t="shared" si="18"/>
        <v>4316</v>
      </c>
    </row>
    <row r="27" spans="2:32" ht="23.1" customHeight="1" x14ac:dyDescent="0.25">
      <c r="B27" s="23" t="s">
        <v>54</v>
      </c>
      <c r="C27" s="50">
        <v>65</v>
      </c>
      <c r="D27" s="50">
        <v>4</v>
      </c>
      <c r="E27" s="50">
        <v>2</v>
      </c>
      <c r="F27" s="50">
        <v>16</v>
      </c>
      <c r="G27" s="50">
        <v>3</v>
      </c>
      <c r="H27" s="50">
        <v>1</v>
      </c>
      <c r="I27" s="50">
        <v>11</v>
      </c>
      <c r="J27" s="50">
        <v>4</v>
      </c>
      <c r="K27" s="50">
        <v>0</v>
      </c>
      <c r="L27" s="50">
        <v>3</v>
      </c>
      <c r="M27" s="50">
        <v>75</v>
      </c>
      <c r="N27" s="50">
        <v>1</v>
      </c>
      <c r="O27" s="15">
        <f t="shared" si="0"/>
        <v>110</v>
      </c>
      <c r="P27" s="15">
        <f t="shared" si="1"/>
        <v>185</v>
      </c>
      <c r="R27" s="29" t="s">
        <v>87</v>
      </c>
      <c r="S27" s="16">
        <f t="shared" ref="S27:AF27" si="19">SUM(S19:S21)</f>
        <v>565</v>
      </c>
      <c r="T27" s="16">
        <f t="shared" si="19"/>
        <v>41</v>
      </c>
      <c r="U27" s="16">
        <f t="shared" si="19"/>
        <v>30</v>
      </c>
      <c r="V27" s="16">
        <f t="shared" si="19"/>
        <v>470</v>
      </c>
      <c r="W27" s="16">
        <f t="shared" si="19"/>
        <v>15</v>
      </c>
      <c r="X27" s="16">
        <f t="shared" si="19"/>
        <v>23</v>
      </c>
      <c r="Y27" s="16">
        <f t="shared" si="19"/>
        <v>119</v>
      </c>
      <c r="Z27" s="16">
        <f t="shared" si="19"/>
        <v>41</v>
      </c>
      <c r="AA27" s="16">
        <f t="shared" si="19"/>
        <v>17</v>
      </c>
      <c r="AB27" s="16">
        <f t="shared" si="19"/>
        <v>28</v>
      </c>
      <c r="AC27" s="16">
        <f t="shared" si="19"/>
        <v>710</v>
      </c>
      <c r="AD27" s="16">
        <f t="shared" si="19"/>
        <v>0</v>
      </c>
      <c r="AE27" s="32">
        <f t="shared" si="19"/>
        <v>1349</v>
      </c>
      <c r="AF27" s="32">
        <f t="shared" si="19"/>
        <v>2059</v>
      </c>
    </row>
    <row r="28" spans="2:32" ht="23.1" customHeight="1" x14ac:dyDescent="0.25">
      <c r="B28" s="23" t="s">
        <v>55</v>
      </c>
      <c r="C28" s="50">
        <v>75</v>
      </c>
      <c r="D28" s="50">
        <v>5</v>
      </c>
      <c r="E28" s="50">
        <v>8</v>
      </c>
      <c r="F28" s="50">
        <v>45</v>
      </c>
      <c r="G28" s="50">
        <v>0</v>
      </c>
      <c r="H28" s="50">
        <v>3</v>
      </c>
      <c r="I28" s="50">
        <v>8</v>
      </c>
      <c r="J28" s="50">
        <v>3</v>
      </c>
      <c r="K28" s="50">
        <v>0</v>
      </c>
      <c r="L28" s="50">
        <v>1</v>
      </c>
      <c r="M28" s="50">
        <v>51</v>
      </c>
      <c r="N28" s="50">
        <v>0</v>
      </c>
      <c r="O28" s="15">
        <f t="shared" si="0"/>
        <v>148</v>
      </c>
      <c r="P28" s="15">
        <f t="shared" si="1"/>
        <v>199</v>
      </c>
      <c r="R28" s="5" t="s">
        <v>17</v>
      </c>
      <c r="S28" s="16">
        <f t="shared" ref="S28:AF28" si="20">SUM(S10:S21)</f>
        <v>2661</v>
      </c>
      <c r="T28" s="16">
        <f t="shared" si="20"/>
        <v>326</v>
      </c>
      <c r="U28" s="16">
        <f t="shared" si="20"/>
        <v>188</v>
      </c>
      <c r="V28" s="16">
        <f t="shared" si="20"/>
        <v>1795</v>
      </c>
      <c r="W28" s="16">
        <f t="shared" si="20"/>
        <v>71</v>
      </c>
      <c r="X28" s="16">
        <f t="shared" si="20"/>
        <v>83</v>
      </c>
      <c r="Y28" s="16">
        <f t="shared" si="20"/>
        <v>407</v>
      </c>
      <c r="Z28" s="16">
        <f t="shared" si="20"/>
        <v>135</v>
      </c>
      <c r="AA28" s="16">
        <f t="shared" si="20"/>
        <v>33</v>
      </c>
      <c r="AB28" s="16">
        <f t="shared" si="20"/>
        <v>125</v>
      </c>
      <c r="AC28" s="16">
        <f t="shared" si="20"/>
        <v>3692</v>
      </c>
      <c r="AD28" s="16">
        <f t="shared" si="20"/>
        <v>3</v>
      </c>
      <c r="AE28" s="32">
        <f t="shared" si="20"/>
        <v>5827</v>
      </c>
      <c r="AF28" s="32">
        <f t="shared" si="20"/>
        <v>9519</v>
      </c>
    </row>
    <row r="29" spans="2:32" ht="23.1" customHeight="1" x14ac:dyDescent="0.25">
      <c r="B29" s="23" t="s">
        <v>56</v>
      </c>
      <c r="C29" s="50">
        <v>39</v>
      </c>
      <c r="D29" s="50">
        <v>5</v>
      </c>
      <c r="E29" s="50">
        <v>0</v>
      </c>
      <c r="F29" s="50">
        <v>17</v>
      </c>
      <c r="G29" s="50">
        <v>2</v>
      </c>
      <c r="H29" s="50">
        <v>3</v>
      </c>
      <c r="I29" s="50">
        <v>8</v>
      </c>
      <c r="J29" s="50">
        <v>6</v>
      </c>
      <c r="K29" s="50">
        <v>0</v>
      </c>
      <c r="L29" s="50">
        <v>2</v>
      </c>
      <c r="M29" s="50">
        <v>75</v>
      </c>
      <c r="N29" s="50">
        <v>0</v>
      </c>
      <c r="O29" s="15">
        <f t="shared" si="0"/>
        <v>82</v>
      </c>
      <c r="P29" s="15">
        <f t="shared" si="1"/>
        <v>157</v>
      </c>
      <c r="R29"/>
      <c r="S29" s="20"/>
      <c r="T29" s="19"/>
    </row>
    <row r="30" spans="2:32" ht="23.1" customHeight="1" x14ac:dyDescent="0.25">
      <c r="B30" s="23" t="s">
        <v>57</v>
      </c>
      <c r="C30" s="50">
        <v>45</v>
      </c>
      <c r="D30" s="50">
        <v>5</v>
      </c>
      <c r="E30" s="50">
        <v>4</v>
      </c>
      <c r="F30" s="50">
        <v>28</v>
      </c>
      <c r="G30" s="50">
        <v>2</v>
      </c>
      <c r="H30" s="50">
        <v>2</v>
      </c>
      <c r="I30" s="50">
        <v>8</v>
      </c>
      <c r="J30" s="50">
        <v>1</v>
      </c>
      <c r="K30" s="50">
        <v>0</v>
      </c>
      <c r="L30" s="50">
        <v>2</v>
      </c>
      <c r="M30" s="50">
        <v>40</v>
      </c>
      <c r="N30" s="50">
        <v>1</v>
      </c>
      <c r="O30" s="15">
        <f t="shared" si="0"/>
        <v>98</v>
      </c>
      <c r="P30" s="15">
        <f t="shared" si="1"/>
        <v>138</v>
      </c>
    </row>
    <row r="31" spans="2:32" ht="23.1" customHeight="1" x14ac:dyDescent="0.25">
      <c r="B31" s="24" t="s">
        <v>58</v>
      </c>
      <c r="C31" s="50">
        <v>46</v>
      </c>
      <c r="D31" s="50">
        <v>3</v>
      </c>
      <c r="E31" s="50">
        <v>1</v>
      </c>
      <c r="F31" s="50">
        <v>6</v>
      </c>
      <c r="G31" s="50">
        <v>1</v>
      </c>
      <c r="H31" s="50">
        <v>1</v>
      </c>
      <c r="I31" s="50">
        <v>5</v>
      </c>
      <c r="J31" s="50">
        <v>0</v>
      </c>
      <c r="K31" s="50">
        <v>0</v>
      </c>
      <c r="L31" s="50">
        <v>2</v>
      </c>
      <c r="M31" s="50">
        <v>25</v>
      </c>
      <c r="N31" s="50">
        <v>0</v>
      </c>
      <c r="O31" s="15">
        <f t="shared" si="0"/>
        <v>65</v>
      </c>
      <c r="P31" s="15">
        <f t="shared" si="1"/>
        <v>90</v>
      </c>
    </row>
    <row r="32" spans="2:32" ht="23.1" customHeight="1" x14ac:dyDescent="0.25">
      <c r="B32" s="24" t="s">
        <v>59</v>
      </c>
      <c r="C32" s="50">
        <v>50</v>
      </c>
      <c r="D32" s="50">
        <v>5</v>
      </c>
      <c r="E32" s="50">
        <v>2</v>
      </c>
      <c r="F32" s="50">
        <v>40</v>
      </c>
      <c r="G32" s="50">
        <v>5</v>
      </c>
      <c r="H32" s="50">
        <v>2</v>
      </c>
      <c r="I32" s="50">
        <v>12</v>
      </c>
      <c r="J32" s="50">
        <v>2</v>
      </c>
      <c r="K32" s="50">
        <v>0</v>
      </c>
      <c r="L32" s="50">
        <v>5</v>
      </c>
      <c r="M32" s="50">
        <v>65</v>
      </c>
      <c r="N32" s="50">
        <v>0</v>
      </c>
      <c r="O32" s="15">
        <f t="shared" si="0"/>
        <v>123</v>
      </c>
      <c r="P32" s="15">
        <f t="shared" si="1"/>
        <v>188</v>
      </c>
    </row>
    <row r="33" spans="2:20" ht="23.1" customHeight="1" x14ac:dyDescent="0.25">
      <c r="B33" s="23" t="s">
        <v>60</v>
      </c>
      <c r="C33" s="50">
        <v>45</v>
      </c>
      <c r="D33" s="50">
        <v>3</v>
      </c>
      <c r="E33" s="50">
        <v>1</v>
      </c>
      <c r="F33" s="50">
        <v>35</v>
      </c>
      <c r="G33" s="50">
        <v>0</v>
      </c>
      <c r="H33" s="50">
        <v>2</v>
      </c>
      <c r="I33" s="50">
        <v>6</v>
      </c>
      <c r="J33" s="50">
        <v>4</v>
      </c>
      <c r="K33" s="50">
        <v>0</v>
      </c>
      <c r="L33" s="50">
        <v>4</v>
      </c>
      <c r="M33" s="50">
        <v>70</v>
      </c>
      <c r="N33" s="50">
        <v>0</v>
      </c>
      <c r="O33" s="15">
        <f t="shared" si="0"/>
        <v>100</v>
      </c>
      <c r="P33" s="15">
        <f t="shared" si="1"/>
        <v>170</v>
      </c>
    </row>
    <row r="34" spans="2:20" ht="23.1" customHeight="1" x14ac:dyDescent="0.25">
      <c r="B34" s="24" t="s">
        <v>61</v>
      </c>
      <c r="C34" s="50">
        <v>50</v>
      </c>
      <c r="D34" s="50">
        <v>5</v>
      </c>
      <c r="E34" s="50">
        <v>4</v>
      </c>
      <c r="F34" s="50">
        <v>28</v>
      </c>
      <c r="G34" s="50">
        <v>3</v>
      </c>
      <c r="H34" s="50">
        <v>2</v>
      </c>
      <c r="I34" s="50">
        <v>19</v>
      </c>
      <c r="J34" s="50">
        <v>3</v>
      </c>
      <c r="K34" s="50">
        <v>0</v>
      </c>
      <c r="L34" s="50">
        <v>8</v>
      </c>
      <c r="M34" s="50">
        <v>71</v>
      </c>
      <c r="N34" s="50">
        <v>0</v>
      </c>
      <c r="O34" s="15">
        <f t="shared" si="0"/>
        <v>122</v>
      </c>
      <c r="P34" s="15">
        <f t="shared" si="1"/>
        <v>193</v>
      </c>
    </row>
    <row r="35" spans="2:20" ht="23.1" customHeight="1" x14ac:dyDescent="0.25">
      <c r="B35" s="24" t="s">
        <v>62</v>
      </c>
      <c r="C35" s="50">
        <v>56</v>
      </c>
      <c r="D35" s="50">
        <v>9</v>
      </c>
      <c r="E35" s="50">
        <v>8</v>
      </c>
      <c r="F35" s="50">
        <v>40</v>
      </c>
      <c r="G35" s="50">
        <v>0</v>
      </c>
      <c r="H35" s="50">
        <v>1</v>
      </c>
      <c r="I35" s="50">
        <v>13</v>
      </c>
      <c r="J35" s="50">
        <v>6</v>
      </c>
      <c r="K35" s="50">
        <v>0</v>
      </c>
      <c r="L35" s="50">
        <v>2</v>
      </c>
      <c r="M35" s="50">
        <v>35</v>
      </c>
      <c r="N35" s="50">
        <v>0</v>
      </c>
      <c r="O35" s="15">
        <f t="shared" si="0"/>
        <v>135</v>
      </c>
      <c r="P35" s="15">
        <f t="shared" si="1"/>
        <v>170</v>
      </c>
    </row>
    <row r="36" spans="2:20" ht="23.1" customHeight="1" x14ac:dyDescent="0.25">
      <c r="B36" s="24" t="s">
        <v>63</v>
      </c>
      <c r="C36" s="50">
        <v>45</v>
      </c>
      <c r="D36" s="50">
        <v>4</v>
      </c>
      <c r="E36" s="50">
        <v>10</v>
      </c>
      <c r="F36" s="50">
        <v>60</v>
      </c>
      <c r="G36" s="50">
        <v>1</v>
      </c>
      <c r="H36" s="50">
        <v>1</v>
      </c>
      <c r="I36" s="50">
        <v>4</v>
      </c>
      <c r="J36" s="50">
        <v>1</v>
      </c>
      <c r="K36" s="50">
        <v>0</v>
      </c>
      <c r="L36" s="50">
        <v>6</v>
      </c>
      <c r="M36" s="50">
        <v>49</v>
      </c>
      <c r="N36" s="50">
        <v>0</v>
      </c>
      <c r="O36" s="15">
        <f t="shared" si="0"/>
        <v>132</v>
      </c>
      <c r="P36" s="15">
        <f t="shared" si="1"/>
        <v>181</v>
      </c>
    </row>
    <row r="37" spans="2:20" ht="23.1" customHeight="1" x14ac:dyDescent="0.25">
      <c r="B37" s="23" t="s">
        <v>64</v>
      </c>
      <c r="C37" s="50">
        <v>47</v>
      </c>
      <c r="D37" s="50">
        <v>5</v>
      </c>
      <c r="E37" s="50">
        <v>3</v>
      </c>
      <c r="F37" s="50">
        <v>61</v>
      </c>
      <c r="G37" s="50">
        <v>0</v>
      </c>
      <c r="H37" s="50">
        <v>0</v>
      </c>
      <c r="I37" s="50">
        <v>10</v>
      </c>
      <c r="J37" s="50">
        <v>2</v>
      </c>
      <c r="K37" s="50">
        <v>0</v>
      </c>
      <c r="L37" s="50">
        <v>4</v>
      </c>
      <c r="M37" s="50">
        <v>80</v>
      </c>
      <c r="N37" s="50">
        <v>0</v>
      </c>
      <c r="O37" s="15">
        <f t="shared" si="0"/>
        <v>132</v>
      </c>
      <c r="P37" s="15">
        <f t="shared" si="1"/>
        <v>212</v>
      </c>
    </row>
    <row r="38" spans="2:20" ht="23.1" customHeight="1" x14ac:dyDescent="0.25">
      <c r="B38" s="24" t="s">
        <v>65</v>
      </c>
      <c r="C38" s="50">
        <v>40</v>
      </c>
      <c r="D38" s="50">
        <v>3</v>
      </c>
      <c r="E38" s="50">
        <v>1</v>
      </c>
      <c r="F38" s="50">
        <v>50</v>
      </c>
      <c r="G38" s="50">
        <v>0</v>
      </c>
      <c r="H38" s="50">
        <v>2</v>
      </c>
      <c r="I38" s="50">
        <v>5</v>
      </c>
      <c r="J38" s="50">
        <v>5</v>
      </c>
      <c r="K38" s="50">
        <v>0</v>
      </c>
      <c r="L38" s="50">
        <v>2</v>
      </c>
      <c r="M38" s="50">
        <v>70</v>
      </c>
      <c r="N38" s="50">
        <v>0</v>
      </c>
      <c r="O38" s="15">
        <f t="shared" si="0"/>
        <v>108</v>
      </c>
      <c r="P38" s="15">
        <f t="shared" si="1"/>
        <v>178</v>
      </c>
    </row>
    <row r="39" spans="2:20" ht="23.1" customHeight="1" x14ac:dyDescent="0.25">
      <c r="B39" s="24" t="s">
        <v>66</v>
      </c>
      <c r="C39" s="50">
        <v>30</v>
      </c>
      <c r="D39" s="50">
        <v>3</v>
      </c>
      <c r="E39" s="50">
        <v>4</v>
      </c>
      <c r="F39" s="50">
        <v>25</v>
      </c>
      <c r="G39" s="50">
        <v>0</v>
      </c>
      <c r="H39" s="50">
        <v>1</v>
      </c>
      <c r="I39" s="50">
        <v>2</v>
      </c>
      <c r="J39" s="50">
        <v>0</v>
      </c>
      <c r="K39" s="50">
        <v>6</v>
      </c>
      <c r="L39" s="50">
        <v>4</v>
      </c>
      <c r="M39" s="50">
        <v>35</v>
      </c>
      <c r="N39" s="50">
        <v>0</v>
      </c>
      <c r="O39" s="15">
        <f t="shared" si="0"/>
        <v>75</v>
      </c>
      <c r="P39" s="15">
        <f t="shared" si="1"/>
        <v>110</v>
      </c>
    </row>
    <row r="40" spans="2:20" ht="23.1" customHeight="1" x14ac:dyDescent="0.25">
      <c r="B40" s="24" t="s">
        <v>67</v>
      </c>
      <c r="C40" s="50">
        <v>50</v>
      </c>
      <c r="D40" s="50">
        <v>2</v>
      </c>
      <c r="E40" s="50">
        <v>0</v>
      </c>
      <c r="F40" s="50">
        <v>45</v>
      </c>
      <c r="G40" s="50">
        <v>1</v>
      </c>
      <c r="H40" s="50">
        <v>2</v>
      </c>
      <c r="I40" s="50">
        <v>6</v>
      </c>
      <c r="J40" s="50">
        <v>1</v>
      </c>
      <c r="K40" s="50">
        <v>0</v>
      </c>
      <c r="L40" s="50">
        <v>4</v>
      </c>
      <c r="M40" s="50">
        <v>56</v>
      </c>
      <c r="N40" s="50">
        <v>0</v>
      </c>
      <c r="O40" s="15">
        <f t="shared" si="0"/>
        <v>111</v>
      </c>
      <c r="P40" s="15">
        <f t="shared" si="1"/>
        <v>167</v>
      </c>
    </row>
    <row r="41" spans="2:20" ht="23.1" customHeight="1" x14ac:dyDescent="0.25">
      <c r="B41" s="23" t="s">
        <v>68</v>
      </c>
      <c r="C41" s="50">
        <v>33</v>
      </c>
      <c r="D41" s="50">
        <v>7</v>
      </c>
      <c r="E41" s="50">
        <v>1</v>
      </c>
      <c r="F41" s="50">
        <v>19</v>
      </c>
      <c r="G41" s="50">
        <v>0</v>
      </c>
      <c r="H41" s="50">
        <v>0</v>
      </c>
      <c r="I41" s="50">
        <v>8</v>
      </c>
      <c r="J41" s="50">
        <v>3</v>
      </c>
      <c r="K41" s="50">
        <v>0</v>
      </c>
      <c r="L41" s="50">
        <v>0</v>
      </c>
      <c r="M41" s="50">
        <v>50</v>
      </c>
      <c r="N41" s="50">
        <v>0</v>
      </c>
      <c r="O41" s="15">
        <f t="shared" si="0"/>
        <v>71</v>
      </c>
      <c r="P41" s="15">
        <f t="shared" si="1"/>
        <v>121</v>
      </c>
    </row>
    <row r="42" spans="2:20" ht="23.1" customHeight="1" x14ac:dyDescent="0.25">
      <c r="B42" s="24" t="s">
        <v>69</v>
      </c>
      <c r="C42" s="50">
        <v>55</v>
      </c>
      <c r="D42" s="50">
        <v>11</v>
      </c>
      <c r="E42" s="50">
        <v>6</v>
      </c>
      <c r="F42" s="50">
        <v>34</v>
      </c>
      <c r="G42" s="50">
        <v>0</v>
      </c>
      <c r="H42" s="50">
        <v>1</v>
      </c>
      <c r="I42" s="50">
        <v>4</v>
      </c>
      <c r="J42" s="50">
        <v>4</v>
      </c>
      <c r="K42" s="50">
        <v>3</v>
      </c>
      <c r="L42" s="50">
        <v>2</v>
      </c>
      <c r="M42" s="50">
        <v>85</v>
      </c>
      <c r="N42" s="50">
        <v>0</v>
      </c>
      <c r="O42" s="15">
        <f t="shared" si="0"/>
        <v>120</v>
      </c>
      <c r="P42" s="15">
        <f t="shared" si="1"/>
        <v>205</v>
      </c>
    </row>
    <row r="43" spans="2:20" ht="23.1" customHeight="1" x14ac:dyDescent="0.25">
      <c r="B43" s="23" t="s">
        <v>70</v>
      </c>
      <c r="C43" s="50">
        <v>90</v>
      </c>
      <c r="D43" s="50">
        <v>3</v>
      </c>
      <c r="E43" s="50">
        <v>4</v>
      </c>
      <c r="F43" s="50">
        <v>60</v>
      </c>
      <c r="G43" s="50">
        <v>1</v>
      </c>
      <c r="H43" s="50">
        <v>2</v>
      </c>
      <c r="I43" s="50">
        <v>1</v>
      </c>
      <c r="J43" s="50">
        <v>3</v>
      </c>
      <c r="K43" s="50">
        <v>0</v>
      </c>
      <c r="L43" s="50">
        <v>3</v>
      </c>
      <c r="M43" s="50">
        <v>60</v>
      </c>
      <c r="N43" s="50">
        <v>0</v>
      </c>
      <c r="O43" s="15">
        <f t="shared" si="0"/>
        <v>167</v>
      </c>
      <c r="P43" s="15">
        <f t="shared" si="1"/>
        <v>227</v>
      </c>
    </row>
    <row r="44" spans="2:20" ht="23.1" customHeight="1" x14ac:dyDescent="0.25">
      <c r="B44" s="25" t="s">
        <v>71</v>
      </c>
      <c r="C44" s="50">
        <v>55</v>
      </c>
      <c r="D44" s="50">
        <v>2</v>
      </c>
      <c r="E44" s="50">
        <v>1</v>
      </c>
      <c r="F44" s="50">
        <v>30</v>
      </c>
      <c r="G44" s="50">
        <v>1</v>
      </c>
      <c r="H44" s="50">
        <v>2</v>
      </c>
      <c r="I44" s="50">
        <v>3</v>
      </c>
      <c r="J44" s="50">
        <v>8</v>
      </c>
      <c r="K44" s="50">
        <v>2</v>
      </c>
      <c r="L44" s="50">
        <v>3</v>
      </c>
      <c r="M44" s="50">
        <v>58</v>
      </c>
      <c r="N44" s="50">
        <v>0</v>
      </c>
      <c r="O44" s="15">
        <f t="shared" si="0"/>
        <v>107</v>
      </c>
      <c r="P44" s="15">
        <f t="shared" si="1"/>
        <v>165</v>
      </c>
    </row>
    <row r="45" spans="2:20" ht="23.1" customHeight="1" x14ac:dyDescent="0.25">
      <c r="B45" s="23" t="s">
        <v>72</v>
      </c>
      <c r="C45" s="50">
        <v>25</v>
      </c>
      <c r="D45" s="50">
        <v>1</v>
      </c>
      <c r="E45" s="50">
        <v>0</v>
      </c>
      <c r="F45" s="50">
        <v>19</v>
      </c>
      <c r="G45" s="50">
        <v>0</v>
      </c>
      <c r="H45" s="50">
        <v>3</v>
      </c>
      <c r="I45" s="50">
        <v>3</v>
      </c>
      <c r="J45" s="50">
        <v>1</v>
      </c>
      <c r="K45" s="50">
        <v>1</v>
      </c>
      <c r="L45" s="50">
        <v>2</v>
      </c>
      <c r="M45" s="50">
        <v>40</v>
      </c>
      <c r="N45" s="50">
        <v>0</v>
      </c>
      <c r="O45" s="15">
        <f t="shared" si="0"/>
        <v>55</v>
      </c>
      <c r="P45" s="15">
        <f t="shared" si="1"/>
        <v>95</v>
      </c>
    </row>
    <row r="46" spans="2:20" ht="23.1" customHeight="1" x14ac:dyDescent="0.25">
      <c r="B46" s="24" t="s">
        <v>73</v>
      </c>
      <c r="C46" s="50">
        <v>44</v>
      </c>
      <c r="D46" s="50">
        <v>3</v>
      </c>
      <c r="E46" s="50">
        <v>6</v>
      </c>
      <c r="F46" s="50">
        <v>30</v>
      </c>
      <c r="G46" s="50">
        <v>1</v>
      </c>
      <c r="H46" s="50">
        <v>1</v>
      </c>
      <c r="I46" s="50">
        <v>25</v>
      </c>
      <c r="J46" s="50">
        <v>3</v>
      </c>
      <c r="K46" s="50">
        <v>0</v>
      </c>
      <c r="L46" s="50">
        <v>3</v>
      </c>
      <c r="M46" s="50">
        <v>70</v>
      </c>
      <c r="N46" s="50">
        <v>0</v>
      </c>
      <c r="O46" s="15">
        <f t="shared" si="0"/>
        <v>116</v>
      </c>
      <c r="P46" s="15">
        <f t="shared" si="1"/>
        <v>186</v>
      </c>
      <c r="R46" s="8"/>
      <c r="T46"/>
    </row>
    <row r="47" spans="2:20" ht="23.1" customHeight="1" x14ac:dyDescent="0.25">
      <c r="B47" s="24" t="s">
        <v>74</v>
      </c>
      <c r="C47" s="50">
        <v>45</v>
      </c>
      <c r="D47" s="50">
        <v>0</v>
      </c>
      <c r="E47" s="50">
        <v>0</v>
      </c>
      <c r="F47" s="50">
        <v>40</v>
      </c>
      <c r="G47" s="50">
        <v>0</v>
      </c>
      <c r="H47" s="50">
        <v>4</v>
      </c>
      <c r="I47" s="50">
        <v>4</v>
      </c>
      <c r="J47" s="50">
        <v>0</v>
      </c>
      <c r="K47" s="50">
        <v>0</v>
      </c>
      <c r="L47" s="50">
        <v>4</v>
      </c>
      <c r="M47" s="50">
        <v>50</v>
      </c>
      <c r="N47" s="50">
        <v>0</v>
      </c>
      <c r="O47" s="15">
        <f t="shared" si="0"/>
        <v>97</v>
      </c>
      <c r="P47" s="15">
        <f t="shared" si="1"/>
        <v>147</v>
      </c>
      <c r="R47" s="8"/>
      <c r="T47"/>
    </row>
    <row r="48" spans="2:20" ht="23.1" customHeight="1" x14ac:dyDescent="0.25">
      <c r="B48" s="24" t="s">
        <v>75</v>
      </c>
      <c r="C48" s="50">
        <v>33</v>
      </c>
      <c r="D48" s="50">
        <v>4</v>
      </c>
      <c r="E48" s="50">
        <v>2</v>
      </c>
      <c r="F48" s="50">
        <v>25</v>
      </c>
      <c r="G48" s="50">
        <v>4</v>
      </c>
      <c r="H48" s="50">
        <v>5</v>
      </c>
      <c r="I48" s="50">
        <v>7</v>
      </c>
      <c r="J48" s="50">
        <v>0</v>
      </c>
      <c r="K48" s="50">
        <v>0</v>
      </c>
      <c r="L48" s="50">
        <v>2</v>
      </c>
      <c r="M48" s="50">
        <v>55</v>
      </c>
      <c r="N48" s="50">
        <v>0</v>
      </c>
      <c r="O48" s="15">
        <f t="shared" si="0"/>
        <v>82</v>
      </c>
      <c r="P48" s="15">
        <f t="shared" si="1"/>
        <v>137</v>
      </c>
      <c r="R48" s="8"/>
      <c r="T48"/>
    </row>
    <row r="49" spans="2:20" ht="23.1" customHeight="1" x14ac:dyDescent="0.25">
      <c r="B49" s="23" t="s">
        <v>76</v>
      </c>
      <c r="C49" s="50">
        <v>40</v>
      </c>
      <c r="D49" s="50">
        <v>0</v>
      </c>
      <c r="E49" s="50">
        <v>0</v>
      </c>
      <c r="F49" s="50">
        <v>45</v>
      </c>
      <c r="G49" s="50">
        <v>0</v>
      </c>
      <c r="H49" s="50">
        <v>1</v>
      </c>
      <c r="I49" s="50">
        <v>6</v>
      </c>
      <c r="J49" s="50">
        <v>3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95</v>
      </c>
      <c r="P49" s="15">
        <f t="shared" si="1"/>
        <v>145</v>
      </c>
      <c r="R49" s="8"/>
      <c r="T49"/>
    </row>
    <row r="50" spans="2:20" ht="23.1" customHeight="1" x14ac:dyDescent="0.25">
      <c r="B50" s="24" t="s">
        <v>77</v>
      </c>
      <c r="C50" s="50">
        <v>50</v>
      </c>
      <c r="D50" s="50">
        <v>5</v>
      </c>
      <c r="E50" s="50">
        <v>2</v>
      </c>
      <c r="F50" s="50">
        <v>45</v>
      </c>
      <c r="G50" s="50">
        <v>1</v>
      </c>
      <c r="H50" s="50">
        <v>1</v>
      </c>
      <c r="I50" s="50">
        <v>25</v>
      </c>
      <c r="J50" s="50">
        <v>8</v>
      </c>
      <c r="K50" s="50">
        <v>0</v>
      </c>
      <c r="L50" s="50">
        <v>3</v>
      </c>
      <c r="M50" s="50">
        <v>80</v>
      </c>
      <c r="N50" s="50">
        <v>0</v>
      </c>
      <c r="O50" s="15">
        <f t="shared" si="0"/>
        <v>140</v>
      </c>
      <c r="P50" s="15">
        <f t="shared" si="1"/>
        <v>220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1</v>
      </c>
      <c r="E51" s="50">
        <v>0</v>
      </c>
      <c r="F51" s="50">
        <v>50</v>
      </c>
      <c r="G51" s="50">
        <v>0</v>
      </c>
      <c r="H51" s="50">
        <v>3</v>
      </c>
      <c r="I51" s="50">
        <v>6</v>
      </c>
      <c r="J51" s="50">
        <v>5</v>
      </c>
      <c r="K51" s="50">
        <v>0</v>
      </c>
      <c r="L51" s="50">
        <v>3</v>
      </c>
      <c r="M51" s="50">
        <v>60</v>
      </c>
      <c r="N51" s="50">
        <v>0</v>
      </c>
      <c r="O51" s="15">
        <f t="shared" si="0"/>
        <v>133</v>
      </c>
      <c r="P51" s="15">
        <f t="shared" si="1"/>
        <v>193</v>
      </c>
      <c r="R51" s="8"/>
      <c r="T51"/>
    </row>
    <row r="52" spans="2:20" ht="23.1" customHeight="1" x14ac:dyDescent="0.25">
      <c r="B52" s="24" t="s">
        <v>79</v>
      </c>
      <c r="C52" s="50">
        <v>45</v>
      </c>
      <c r="D52" s="50">
        <v>5</v>
      </c>
      <c r="E52" s="50">
        <v>2</v>
      </c>
      <c r="F52" s="50">
        <v>35</v>
      </c>
      <c r="G52" s="50">
        <v>2</v>
      </c>
      <c r="H52" s="50">
        <v>1</v>
      </c>
      <c r="I52" s="50">
        <v>8</v>
      </c>
      <c r="J52" s="50">
        <v>5</v>
      </c>
      <c r="K52" s="50">
        <v>0</v>
      </c>
      <c r="L52" s="50">
        <v>1</v>
      </c>
      <c r="M52" s="50">
        <v>65</v>
      </c>
      <c r="N52" s="50">
        <v>0</v>
      </c>
      <c r="O52" s="15">
        <f t="shared" si="0"/>
        <v>104</v>
      </c>
      <c r="P52" s="15">
        <f t="shared" si="1"/>
        <v>169</v>
      </c>
      <c r="R52" s="8"/>
      <c r="T52"/>
    </row>
    <row r="53" spans="2:20" ht="23.1" customHeight="1" x14ac:dyDescent="0.25">
      <c r="B53" s="23" t="s">
        <v>80</v>
      </c>
      <c r="C53" s="50">
        <v>42</v>
      </c>
      <c r="D53" s="50">
        <v>1</v>
      </c>
      <c r="E53" s="50">
        <v>2</v>
      </c>
      <c r="F53" s="50">
        <v>26</v>
      </c>
      <c r="G53" s="50">
        <v>2</v>
      </c>
      <c r="H53" s="50">
        <v>0</v>
      </c>
      <c r="I53" s="50">
        <v>5</v>
      </c>
      <c r="J53" s="50">
        <v>10</v>
      </c>
      <c r="K53" s="50">
        <v>0</v>
      </c>
      <c r="L53" s="50">
        <v>3</v>
      </c>
      <c r="M53" s="50">
        <v>85</v>
      </c>
      <c r="N53" s="50">
        <v>0</v>
      </c>
      <c r="O53" s="15">
        <f t="shared" si="0"/>
        <v>91</v>
      </c>
      <c r="P53" s="15">
        <f t="shared" si="1"/>
        <v>176</v>
      </c>
      <c r="R53" s="8"/>
      <c r="T53"/>
    </row>
    <row r="54" spans="2:20" ht="23.1" customHeight="1" x14ac:dyDescent="0.25">
      <c r="B54" s="23" t="s">
        <v>81</v>
      </c>
      <c r="C54" s="50">
        <v>61</v>
      </c>
      <c r="D54" s="50">
        <v>10</v>
      </c>
      <c r="E54" s="50">
        <v>9</v>
      </c>
      <c r="F54" s="50">
        <v>59</v>
      </c>
      <c r="G54" s="50">
        <v>3</v>
      </c>
      <c r="H54" s="50">
        <v>2</v>
      </c>
      <c r="I54" s="50">
        <v>8</v>
      </c>
      <c r="J54" s="50">
        <v>0</v>
      </c>
      <c r="K54" s="50">
        <v>3</v>
      </c>
      <c r="L54" s="50">
        <v>4</v>
      </c>
      <c r="M54" s="50">
        <v>60</v>
      </c>
      <c r="N54" s="50">
        <v>0</v>
      </c>
      <c r="O54" s="15">
        <f t="shared" si="0"/>
        <v>159</v>
      </c>
      <c r="P54" s="15">
        <f t="shared" si="1"/>
        <v>219</v>
      </c>
      <c r="R54" s="8"/>
      <c r="T54"/>
    </row>
    <row r="55" spans="2:20" ht="23.1" customHeight="1" x14ac:dyDescent="0.25">
      <c r="B55" s="23" t="s">
        <v>82</v>
      </c>
      <c r="C55" s="50">
        <v>45</v>
      </c>
      <c r="D55" s="50">
        <v>3</v>
      </c>
      <c r="E55" s="50">
        <v>3</v>
      </c>
      <c r="F55" s="50">
        <v>25</v>
      </c>
      <c r="G55" s="50">
        <v>1</v>
      </c>
      <c r="H55" s="50">
        <v>1</v>
      </c>
      <c r="I55" s="50">
        <v>10</v>
      </c>
      <c r="J55" s="50">
        <v>2</v>
      </c>
      <c r="K55" s="50">
        <v>11</v>
      </c>
      <c r="L55" s="50">
        <v>1</v>
      </c>
      <c r="M55" s="50">
        <v>35</v>
      </c>
      <c r="N55" s="50">
        <v>0</v>
      </c>
      <c r="O55" s="15">
        <f t="shared" si="0"/>
        <v>102</v>
      </c>
      <c r="P55" s="15">
        <f t="shared" si="1"/>
        <v>137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7</v>
      </c>
      <c r="E56" s="50">
        <v>1</v>
      </c>
      <c r="F56" s="50">
        <v>60</v>
      </c>
      <c r="G56" s="50">
        <v>0</v>
      </c>
      <c r="H56" s="50">
        <v>4</v>
      </c>
      <c r="I56" s="50">
        <v>6</v>
      </c>
      <c r="J56" s="50">
        <v>3</v>
      </c>
      <c r="K56" s="50">
        <v>3</v>
      </c>
      <c r="L56" s="50">
        <v>1</v>
      </c>
      <c r="M56" s="50">
        <v>55</v>
      </c>
      <c r="N56" s="50">
        <v>0</v>
      </c>
      <c r="O56" s="15">
        <f t="shared" si="0"/>
        <v>135</v>
      </c>
      <c r="P56" s="15">
        <f t="shared" si="1"/>
        <v>190</v>
      </c>
      <c r="R56" s="8"/>
      <c r="T56"/>
    </row>
    <row r="57" spans="2:20" ht="23.1" customHeight="1" x14ac:dyDescent="0.25">
      <c r="B57" s="23" t="s">
        <v>84</v>
      </c>
      <c r="C57" s="50">
        <v>45</v>
      </c>
      <c r="D57" s="50">
        <v>2</v>
      </c>
      <c r="E57" s="50">
        <v>3</v>
      </c>
      <c r="F57" s="50">
        <v>30</v>
      </c>
      <c r="G57" s="50">
        <v>1</v>
      </c>
      <c r="H57" s="50">
        <v>0</v>
      </c>
      <c r="I57" s="50">
        <v>9</v>
      </c>
      <c r="J57" s="50">
        <v>2</v>
      </c>
      <c r="K57" s="50">
        <v>0</v>
      </c>
      <c r="L57" s="50">
        <v>3</v>
      </c>
      <c r="M57" s="50">
        <v>45</v>
      </c>
      <c r="N57" s="50">
        <v>0</v>
      </c>
      <c r="O57" s="15">
        <f t="shared" si="0"/>
        <v>95</v>
      </c>
      <c r="P57" s="15">
        <f t="shared" si="1"/>
        <v>140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2661</v>
      </c>
      <c r="D58" s="16">
        <f t="shared" si="21"/>
        <v>326</v>
      </c>
      <c r="E58" s="16">
        <f t="shared" si="21"/>
        <v>188</v>
      </c>
      <c r="F58" s="16">
        <f t="shared" si="21"/>
        <v>1795</v>
      </c>
      <c r="G58" s="16">
        <f t="shared" si="21"/>
        <v>71</v>
      </c>
      <c r="H58" s="16">
        <f t="shared" si="21"/>
        <v>83</v>
      </c>
      <c r="I58" s="16">
        <f t="shared" si="21"/>
        <v>407</v>
      </c>
      <c r="J58" s="16">
        <f t="shared" si="21"/>
        <v>135</v>
      </c>
      <c r="K58" s="16">
        <f t="shared" si="21"/>
        <v>33</v>
      </c>
      <c r="L58" s="16">
        <f t="shared" si="21"/>
        <v>125</v>
      </c>
      <c r="M58" s="16">
        <f t="shared" si="21"/>
        <v>3692</v>
      </c>
      <c r="N58" s="16">
        <f t="shared" si="21"/>
        <v>3</v>
      </c>
      <c r="O58" s="16">
        <f t="shared" si="21"/>
        <v>5827</v>
      </c>
      <c r="P58" s="16">
        <f t="shared" si="21"/>
        <v>9519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0.27954617081626221</v>
      </c>
      <c r="D59" s="43">
        <f t="shared" si="22"/>
        <v>3.4247294883916375E-2</v>
      </c>
      <c r="E59" s="43">
        <f t="shared" si="22"/>
        <v>1.9749973736737054E-2</v>
      </c>
      <c r="F59" s="43">
        <f t="shared" si="22"/>
        <v>0.18857022796512238</v>
      </c>
      <c r="G59" s="43">
        <f t="shared" si="22"/>
        <v>7.4587666771719716E-3</v>
      </c>
      <c r="H59" s="43">
        <f t="shared" si="22"/>
        <v>8.719403298665827E-3</v>
      </c>
      <c r="I59" s="43">
        <f t="shared" si="22"/>
        <v>4.2756592078999893E-2</v>
      </c>
      <c r="J59" s="43">
        <f t="shared" si="22"/>
        <v>1.4182161991805862E-2</v>
      </c>
      <c r="K59" s="43">
        <f t="shared" si="22"/>
        <v>3.4667507091080997E-3</v>
      </c>
      <c r="L59" s="43">
        <f t="shared" si="22"/>
        <v>1.3131631473894317E-2</v>
      </c>
      <c r="M59" s="43">
        <f t="shared" si="22"/>
        <v>0.38785586721294252</v>
      </c>
      <c r="N59" s="43">
        <f t="shared" si="22"/>
        <v>3.1515915537346358E-4</v>
      </c>
      <c r="R59" s="8"/>
      <c r="T59"/>
    </row>
    <row r="60" spans="2:20" ht="23.1" customHeight="1" x14ac:dyDescent="0.25">
      <c r="B60" s="42" t="s">
        <v>94</v>
      </c>
      <c r="C60" s="44">
        <f>C58/$O$58</f>
        <v>0.45666723871632059</v>
      </c>
      <c r="D60" s="44">
        <f t="shared" ref="D60:N60" si="23">D58/$O$58</f>
        <v>5.5946456152394027E-2</v>
      </c>
      <c r="E60" s="44">
        <f t="shared" si="23"/>
        <v>3.2263600480521709E-2</v>
      </c>
      <c r="F60" s="44">
        <f t="shared" si="23"/>
        <v>0.30804873863051313</v>
      </c>
      <c r="G60" s="44">
        <f t="shared" si="23"/>
        <v>1.2184657628282134E-2</v>
      </c>
      <c r="H60" s="44">
        <f t="shared" si="23"/>
        <v>1.4244036382357989E-2</v>
      </c>
      <c r="I60" s="44">
        <f t="shared" si="23"/>
        <v>6.9847262742406047E-2</v>
      </c>
      <c r="J60" s="44">
        <f t="shared" si="23"/>
        <v>2.3168010983353356E-2</v>
      </c>
      <c r="K60" s="44">
        <f t="shared" si="23"/>
        <v>5.663291573708598E-3</v>
      </c>
      <c r="L60" s="44">
        <f t="shared" si="23"/>
        <v>2.1451862021623476E-2</v>
      </c>
      <c r="M60" s="44"/>
      <c r="N60" s="44">
        <f t="shared" si="23"/>
        <v>5.1484468851896339E-4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52" zoomScale="60" workbookViewId="0">
      <selection activeCell="T79" sqref="T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'28.07 BUSEGA-KYENGERA'!C3:G3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'28.07 KYENGERA-BUSEGA'!G5:H5</f>
        <v>KYENGERA</v>
      </c>
      <c r="H5" s="68"/>
      <c r="I5" s="14"/>
      <c r="J5" s="2" t="s">
        <v>5</v>
      </c>
      <c r="K5" s="67" t="str">
        <f>'28.07 KYENGERA-BUSEGA'!K5:L5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'28.07 KYENGERA-BUSEGA'!D6:E6</f>
        <v>KYENGERA</v>
      </c>
      <c r="E6" s="68"/>
      <c r="F6" s="2" t="s">
        <v>2</v>
      </c>
      <c r="G6" s="67" t="str">
        <f>'28.07 KYENGERA-BUSEGA'!G6:H6</f>
        <v>BUSEGA</v>
      </c>
      <c r="H6" s="68"/>
      <c r="J6" s="2" t="s">
        <v>21</v>
      </c>
      <c r="K6" s="67" t="str">
        <f>'28.07 KYENGERA-BUSEGA'!K6:L6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KYENGERA-BUSEGA'!C10,'23.07 KYENGERA-BUSEGA'!C10,'24.07 KYENGERA-BUSEGA'!C10,'25.07 KYENGERA-BUSEGA'!C10,'26.07 KYENGERA-BUSEGA-24h'!C10,'27.07 KYENGERA-BUSEGA-24h'!C10,'28.07 KYENGERA-BUSEGA'!C10)</f>
        <v>87.571428571428569</v>
      </c>
      <c r="D10" s="49">
        <f>AVERAGE('22.07 KYENGERA-BUSEGA'!D10,'23.07 KYENGERA-BUSEGA'!D10,'24.07 KYENGERA-BUSEGA'!D10,'25.07 KYENGERA-BUSEGA'!D10,'26.07 KYENGERA-BUSEGA-24h'!D10,'27.07 KYENGERA-BUSEGA-24h'!D10,'28.07 KYENGERA-BUSEGA'!D10)</f>
        <v>7.4285714285714288</v>
      </c>
      <c r="E10" s="49">
        <f>AVERAGE('22.07 KYENGERA-BUSEGA'!E10,'23.07 KYENGERA-BUSEGA'!E10,'24.07 KYENGERA-BUSEGA'!E10,'25.07 KYENGERA-BUSEGA'!E10,'26.07 KYENGERA-BUSEGA-24h'!E10,'27.07 KYENGERA-BUSEGA-24h'!E10,'28.07 KYENGERA-BUSEGA'!E10)</f>
        <v>6.5714285714285712</v>
      </c>
      <c r="F10" s="49">
        <f>AVERAGE('22.07 KYENGERA-BUSEGA'!F10,'23.07 KYENGERA-BUSEGA'!F10,'24.07 KYENGERA-BUSEGA'!F10,'25.07 KYENGERA-BUSEGA'!F10,'26.07 KYENGERA-BUSEGA-24h'!F10,'27.07 KYENGERA-BUSEGA-24h'!F10,'28.07 KYENGERA-BUSEGA'!F10)</f>
        <v>47.714285714285715</v>
      </c>
      <c r="G10" s="49">
        <f>AVERAGE('22.07 KYENGERA-BUSEGA'!G10,'23.07 KYENGERA-BUSEGA'!G10,'24.07 KYENGERA-BUSEGA'!G10,'25.07 KYENGERA-BUSEGA'!G10,'26.07 KYENGERA-BUSEGA-24h'!G10,'27.07 KYENGERA-BUSEGA-24h'!G10,'28.07 KYENGERA-BUSEGA'!G10)</f>
        <v>2.7142857142857144</v>
      </c>
      <c r="H10" s="49">
        <f>AVERAGE('22.07 KYENGERA-BUSEGA'!H10,'23.07 KYENGERA-BUSEGA'!H10,'24.07 KYENGERA-BUSEGA'!H10,'25.07 KYENGERA-BUSEGA'!H10,'26.07 KYENGERA-BUSEGA-24h'!H10,'27.07 KYENGERA-BUSEGA-24h'!H10,'28.07 KYENGERA-BUSEGA'!H10)</f>
        <v>1.7142857142857142</v>
      </c>
      <c r="I10" s="49">
        <f>AVERAGE('22.07 KYENGERA-BUSEGA'!I10,'23.07 KYENGERA-BUSEGA'!I10,'24.07 KYENGERA-BUSEGA'!I10,'25.07 KYENGERA-BUSEGA'!I10,'26.07 KYENGERA-BUSEGA-24h'!I10,'27.07 KYENGERA-BUSEGA-24h'!I10,'28.07 KYENGERA-BUSEGA'!I10)</f>
        <v>11.571428571428571</v>
      </c>
      <c r="J10" s="49">
        <f>AVERAGE('22.07 KYENGERA-BUSEGA'!J10,'23.07 KYENGERA-BUSEGA'!J10,'24.07 KYENGERA-BUSEGA'!J10,'25.07 KYENGERA-BUSEGA'!J10,'26.07 KYENGERA-BUSEGA-24h'!J10,'27.07 KYENGERA-BUSEGA-24h'!J10,'28.07 KYENGERA-BUSEGA'!J10)</f>
        <v>6.7142857142857144</v>
      </c>
      <c r="K10" s="49">
        <f>AVERAGE('22.07 KYENGERA-BUSEGA'!K10,'23.07 KYENGERA-BUSEGA'!K10,'24.07 KYENGERA-BUSEGA'!K10,'25.07 KYENGERA-BUSEGA'!K10,'26.07 KYENGERA-BUSEGA-24h'!K10,'27.07 KYENGERA-BUSEGA-24h'!K10,'28.07 KYENGERA-BUSEGA'!K10)</f>
        <v>1.4285714285714286</v>
      </c>
      <c r="L10" s="49">
        <f>AVERAGE('22.07 KYENGERA-BUSEGA'!L10,'23.07 KYENGERA-BUSEGA'!L10,'24.07 KYENGERA-BUSEGA'!L10,'25.07 KYENGERA-BUSEGA'!L10,'26.07 KYENGERA-BUSEGA-24h'!L10,'27.07 KYENGERA-BUSEGA-24h'!L10,'28.07 KYENGERA-BUSEGA'!L10)</f>
        <v>3</v>
      </c>
      <c r="M10" s="49">
        <f>AVERAGE('22.07 KYENGERA-BUSEGA'!M10,'23.07 KYENGERA-BUSEGA'!M10,'24.07 KYENGERA-BUSEGA'!M10,'25.07 KYENGERA-BUSEGA'!M10,'26.07 KYENGERA-BUSEGA-24h'!M10,'27.07 KYENGERA-BUSEGA-24h'!M10,'28.07 KYENGERA-BUSEGA'!M10)</f>
        <v>265.57142857142856</v>
      </c>
      <c r="N10" s="49">
        <f>AVERAGE('22.07 KYENGERA-BUSEGA'!N10,'23.07 KYENGERA-BUSEGA'!N10,'24.07 KYENGERA-BUSEGA'!N10,'25.07 KYENGERA-BUSEGA'!N10,'26.07 KYENGERA-BUSEGA-24h'!N10,'27.07 KYENGERA-BUSEGA-24h'!N10,'28.07 KYENGERA-BUSEGA'!N10)</f>
        <v>0</v>
      </c>
      <c r="O10" s="15">
        <f t="shared" ref="O10:O73" si="0">SUM(C10:L10,N10)</f>
        <v>176.42857142857144</v>
      </c>
      <c r="P10" s="15">
        <f t="shared" ref="P10:P73" si="1">SUM(C10:N10)</f>
        <v>442</v>
      </c>
      <c r="R10" s="1" t="s">
        <v>6</v>
      </c>
      <c r="S10" s="17">
        <f t="shared" ref="S10:AF10" si="2">SUM(C10:C13)</f>
        <v>350.28571428571428</v>
      </c>
      <c r="T10" s="17">
        <f t="shared" si="2"/>
        <v>35.571428571428569</v>
      </c>
      <c r="U10" s="17">
        <f t="shared" si="2"/>
        <v>34.857142857142861</v>
      </c>
      <c r="V10" s="17">
        <f t="shared" si="2"/>
        <v>212.42857142857144</v>
      </c>
      <c r="W10" s="17">
        <f t="shared" si="2"/>
        <v>12.142857142857142</v>
      </c>
      <c r="X10" s="17">
        <f t="shared" si="2"/>
        <v>5.8571428571428568</v>
      </c>
      <c r="Y10" s="17">
        <f t="shared" si="2"/>
        <v>51</v>
      </c>
      <c r="Z10" s="17">
        <f t="shared" si="2"/>
        <v>23.428571428571427</v>
      </c>
      <c r="AA10" s="17">
        <f t="shared" si="2"/>
        <v>4.4285714285714288</v>
      </c>
      <c r="AB10" s="17">
        <f t="shared" si="2"/>
        <v>12.142857142857144</v>
      </c>
      <c r="AC10" s="17">
        <f t="shared" si="2"/>
        <v>1368.1428571428573</v>
      </c>
      <c r="AD10" s="17">
        <f t="shared" si="2"/>
        <v>0</v>
      </c>
      <c r="AE10" s="31">
        <f t="shared" si="2"/>
        <v>742.14285714285722</v>
      </c>
      <c r="AF10" s="31">
        <f t="shared" si="2"/>
        <v>2110.2857142857147</v>
      </c>
    </row>
    <row r="11" spans="2:32" s="6" customFormat="1" ht="23.1" customHeight="1" x14ac:dyDescent="0.25">
      <c r="B11" s="23" t="s">
        <v>38</v>
      </c>
      <c r="C11" s="49">
        <f>AVERAGE('22.07 KYENGERA-BUSEGA'!C11,'23.07 KYENGERA-BUSEGA'!C11,'24.07 KYENGERA-BUSEGA'!C11,'25.07 KYENGERA-BUSEGA'!C11,'26.07 KYENGERA-BUSEGA-24h'!C11,'27.07 KYENGERA-BUSEGA-24h'!C11,'28.07 KYENGERA-BUSEGA'!C11)</f>
        <v>91.714285714285708</v>
      </c>
      <c r="D11" s="49">
        <f>AVERAGE('22.07 KYENGERA-BUSEGA'!D11,'23.07 KYENGERA-BUSEGA'!D11,'24.07 KYENGERA-BUSEGA'!D11,'25.07 KYENGERA-BUSEGA'!D11,'26.07 KYENGERA-BUSEGA-24h'!D11,'27.07 KYENGERA-BUSEGA-24h'!D11,'28.07 KYENGERA-BUSEGA'!D11)</f>
        <v>8.8571428571428577</v>
      </c>
      <c r="E11" s="49">
        <f>AVERAGE('22.07 KYENGERA-BUSEGA'!E11,'23.07 KYENGERA-BUSEGA'!E11,'24.07 KYENGERA-BUSEGA'!E11,'25.07 KYENGERA-BUSEGA'!E11,'26.07 KYENGERA-BUSEGA-24h'!E11,'27.07 KYENGERA-BUSEGA-24h'!E11,'28.07 KYENGERA-BUSEGA'!E11)</f>
        <v>8.8571428571428577</v>
      </c>
      <c r="F11" s="49">
        <f>AVERAGE('22.07 KYENGERA-BUSEGA'!F11,'23.07 KYENGERA-BUSEGA'!F11,'24.07 KYENGERA-BUSEGA'!F11,'25.07 KYENGERA-BUSEGA'!F11,'26.07 KYENGERA-BUSEGA-24h'!F11,'27.07 KYENGERA-BUSEGA-24h'!F11,'28.07 KYENGERA-BUSEGA'!F11)</f>
        <v>54</v>
      </c>
      <c r="G11" s="49">
        <f>AVERAGE('22.07 KYENGERA-BUSEGA'!G11,'23.07 KYENGERA-BUSEGA'!G11,'24.07 KYENGERA-BUSEGA'!G11,'25.07 KYENGERA-BUSEGA'!G11,'26.07 KYENGERA-BUSEGA-24h'!G11,'27.07 KYENGERA-BUSEGA-24h'!G11,'28.07 KYENGERA-BUSEGA'!G11)</f>
        <v>1.7142857142857142</v>
      </c>
      <c r="H11" s="49">
        <f>AVERAGE('22.07 KYENGERA-BUSEGA'!H11,'23.07 KYENGERA-BUSEGA'!H11,'24.07 KYENGERA-BUSEGA'!H11,'25.07 KYENGERA-BUSEGA'!H11,'26.07 KYENGERA-BUSEGA-24h'!H11,'27.07 KYENGERA-BUSEGA-24h'!H11,'28.07 KYENGERA-BUSEGA'!H11)</f>
        <v>2.1428571428571428</v>
      </c>
      <c r="I11" s="49">
        <f>AVERAGE('22.07 KYENGERA-BUSEGA'!I11,'23.07 KYENGERA-BUSEGA'!I11,'24.07 KYENGERA-BUSEGA'!I11,'25.07 KYENGERA-BUSEGA'!I11,'26.07 KYENGERA-BUSEGA-24h'!I11,'27.07 KYENGERA-BUSEGA-24h'!I11,'28.07 KYENGERA-BUSEGA'!I11)</f>
        <v>12.857142857142858</v>
      </c>
      <c r="J11" s="49">
        <f>AVERAGE('22.07 KYENGERA-BUSEGA'!J11,'23.07 KYENGERA-BUSEGA'!J11,'24.07 KYENGERA-BUSEGA'!J11,'25.07 KYENGERA-BUSEGA'!J11,'26.07 KYENGERA-BUSEGA-24h'!J11,'27.07 KYENGERA-BUSEGA-24h'!J11,'28.07 KYENGERA-BUSEGA'!J11)</f>
        <v>5.5714285714285712</v>
      </c>
      <c r="K11" s="49">
        <f>AVERAGE('22.07 KYENGERA-BUSEGA'!K11,'23.07 KYENGERA-BUSEGA'!K11,'24.07 KYENGERA-BUSEGA'!K11,'25.07 KYENGERA-BUSEGA'!K11,'26.07 KYENGERA-BUSEGA-24h'!K11,'27.07 KYENGERA-BUSEGA-24h'!K11,'28.07 KYENGERA-BUSEGA'!K11)</f>
        <v>0.8571428571428571</v>
      </c>
      <c r="L11" s="49">
        <f>AVERAGE('22.07 KYENGERA-BUSEGA'!L11,'23.07 KYENGERA-BUSEGA'!L11,'24.07 KYENGERA-BUSEGA'!L11,'25.07 KYENGERA-BUSEGA'!L11,'26.07 KYENGERA-BUSEGA-24h'!L11,'27.07 KYENGERA-BUSEGA-24h'!L11,'28.07 KYENGERA-BUSEGA'!L11)</f>
        <v>3.4285714285714284</v>
      </c>
      <c r="M11" s="49">
        <f>AVERAGE('22.07 KYENGERA-BUSEGA'!M11,'23.07 KYENGERA-BUSEGA'!M11,'24.07 KYENGERA-BUSEGA'!M11,'25.07 KYENGERA-BUSEGA'!M11,'26.07 KYENGERA-BUSEGA-24h'!M11,'27.07 KYENGERA-BUSEGA-24h'!M11,'28.07 KYENGERA-BUSEGA'!M11)</f>
        <v>347.14285714285717</v>
      </c>
      <c r="N11" s="49">
        <f>AVERAGE('22.07 KYENGERA-BUSEGA'!N11,'23.07 KYENGERA-BUSEGA'!N11,'24.07 KYENGERA-BUSEGA'!N11,'25.07 KYENGERA-BUSEGA'!N11,'26.07 KYENGERA-BUSEGA-24h'!N11,'27.07 KYENGERA-BUSEGA-24h'!N11,'28.07 KYENGERA-BUSEGA'!N11)</f>
        <v>0</v>
      </c>
      <c r="O11" s="15">
        <f t="shared" si="0"/>
        <v>190.00000000000003</v>
      </c>
      <c r="P11" s="15">
        <f t="shared" si="1"/>
        <v>537.14285714285722</v>
      </c>
      <c r="R11" s="1" t="s">
        <v>7</v>
      </c>
      <c r="S11" s="17">
        <f t="shared" ref="S11:AF11" si="3">SUM(C14:C17)</f>
        <v>387.57142857142856</v>
      </c>
      <c r="T11" s="17">
        <f t="shared" si="3"/>
        <v>43.428571428571423</v>
      </c>
      <c r="U11" s="17">
        <f t="shared" si="3"/>
        <v>40.428571428571431</v>
      </c>
      <c r="V11" s="17">
        <f t="shared" si="3"/>
        <v>239.28571428571428</v>
      </c>
      <c r="W11" s="17">
        <f t="shared" si="3"/>
        <v>11.142857142857142</v>
      </c>
      <c r="X11" s="17">
        <f t="shared" si="3"/>
        <v>3.285714285714286</v>
      </c>
      <c r="Y11" s="17">
        <f t="shared" si="3"/>
        <v>58.142857142857139</v>
      </c>
      <c r="Z11" s="17">
        <f t="shared" si="3"/>
        <v>22.714285714285715</v>
      </c>
      <c r="AA11" s="17">
        <f t="shared" si="3"/>
        <v>4.7142857142857144</v>
      </c>
      <c r="AB11" s="17">
        <f t="shared" si="3"/>
        <v>11.571428571428573</v>
      </c>
      <c r="AC11" s="17">
        <f t="shared" si="3"/>
        <v>1522.5714285714287</v>
      </c>
      <c r="AD11" s="17">
        <f t="shared" si="3"/>
        <v>0.14285714285714285</v>
      </c>
      <c r="AE11" s="31">
        <f t="shared" si="3"/>
        <v>822.42857142857156</v>
      </c>
      <c r="AF11" s="31">
        <f t="shared" si="3"/>
        <v>2345</v>
      </c>
    </row>
    <row r="12" spans="2:32" ht="23.1" customHeight="1" x14ac:dyDescent="0.25">
      <c r="B12" s="23" t="s">
        <v>39</v>
      </c>
      <c r="C12" s="49">
        <f>AVERAGE('22.07 KYENGERA-BUSEGA'!C12,'23.07 KYENGERA-BUSEGA'!C12,'24.07 KYENGERA-BUSEGA'!C12,'25.07 KYENGERA-BUSEGA'!C12,'26.07 KYENGERA-BUSEGA-24h'!C12,'27.07 KYENGERA-BUSEGA-24h'!C12,'28.07 KYENGERA-BUSEGA'!C12)</f>
        <v>83.714285714285708</v>
      </c>
      <c r="D12" s="49">
        <f>AVERAGE('22.07 KYENGERA-BUSEGA'!D12,'23.07 KYENGERA-BUSEGA'!D12,'24.07 KYENGERA-BUSEGA'!D12,'25.07 KYENGERA-BUSEGA'!D12,'26.07 KYENGERA-BUSEGA-24h'!D12,'27.07 KYENGERA-BUSEGA-24h'!D12,'28.07 KYENGERA-BUSEGA'!D12)</f>
        <v>9.5714285714285712</v>
      </c>
      <c r="E12" s="49">
        <f>AVERAGE('22.07 KYENGERA-BUSEGA'!E12,'23.07 KYENGERA-BUSEGA'!E12,'24.07 KYENGERA-BUSEGA'!E12,'25.07 KYENGERA-BUSEGA'!E12,'26.07 KYENGERA-BUSEGA-24h'!E12,'27.07 KYENGERA-BUSEGA-24h'!E12,'28.07 KYENGERA-BUSEGA'!E12)</f>
        <v>8.4285714285714288</v>
      </c>
      <c r="F12" s="49">
        <f>AVERAGE('22.07 KYENGERA-BUSEGA'!F12,'23.07 KYENGERA-BUSEGA'!F12,'24.07 KYENGERA-BUSEGA'!F12,'25.07 KYENGERA-BUSEGA'!F12,'26.07 KYENGERA-BUSEGA-24h'!F12,'27.07 KYENGERA-BUSEGA-24h'!F12,'28.07 KYENGERA-BUSEGA'!F12)</f>
        <v>57.285714285714285</v>
      </c>
      <c r="G12" s="49">
        <f>AVERAGE('22.07 KYENGERA-BUSEGA'!G12,'23.07 KYENGERA-BUSEGA'!G12,'24.07 KYENGERA-BUSEGA'!G12,'25.07 KYENGERA-BUSEGA'!G12,'26.07 KYENGERA-BUSEGA-24h'!G12,'27.07 KYENGERA-BUSEGA-24h'!G12,'28.07 KYENGERA-BUSEGA'!G12)</f>
        <v>3.7142857142857144</v>
      </c>
      <c r="H12" s="49">
        <f>AVERAGE('22.07 KYENGERA-BUSEGA'!H12,'23.07 KYENGERA-BUSEGA'!H12,'24.07 KYENGERA-BUSEGA'!H12,'25.07 KYENGERA-BUSEGA'!H12,'26.07 KYENGERA-BUSEGA-24h'!H12,'27.07 KYENGERA-BUSEGA-24h'!H12,'28.07 KYENGERA-BUSEGA'!H12)</f>
        <v>0.5714285714285714</v>
      </c>
      <c r="I12" s="49">
        <f>AVERAGE('22.07 KYENGERA-BUSEGA'!I12,'23.07 KYENGERA-BUSEGA'!I12,'24.07 KYENGERA-BUSEGA'!I12,'25.07 KYENGERA-BUSEGA'!I12,'26.07 KYENGERA-BUSEGA-24h'!I12,'27.07 KYENGERA-BUSEGA-24h'!I12,'28.07 KYENGERA-BUSEGA'!I12)</f>
        <v>11.142857142857142</v>
      </c>
      <c r="J12" s="49">
        <f>AVERAGE('22.07 KYENGERA-BUSEGA'!J12,'23.07 KYENGERA-BUSEGA'!J12,'24.07 KYENGERA-BUSEGA'!J12,'25.07 KYENGERA-BUSEGA'!J12,'26.07 KYENGERA-BUSEGA-24h'!J12,'27.07 KYENGERA-BUSEGA-24h'!J12,'28.07 KYENGERA-BUSEGA'!J12)</f>
        <v>5.8571428571428568</v>
      </c>
      <c r="K12" s="49">
        <f>AVERAGE('22.07 KYENGERA-BUSEGA'!K12,'23.07 KYENGERA-BUSEGA'!K12,'24.07 KYENGERA-BUSEGA'!K12,'25.07 KYENGERA-BUSEGA'!K12,'26.07 KYENGERA-BUSEGA-24h'!K12,'27.07 KYENGERA-BUSEGA-24h'!K12,'28.07 KYENGERA-BUSEGA'!K12)</f>
        <v>1.1428571428571428</v>
      </c>
      <c r="L12" s="49">
        <f>AVERAGE('22.07 KYENGERA-BUSEGA'!L12,'23.07 KYENGERA-BUSEGA'!L12,'24.07 KYENGERA-BUSEGA'!L12,'25.07 KYENGERA-BUSEGA'!L12,'26.07 KYENGERA-BUSEGA-24h'!L12,'27.07 KYENGERA-BUSEGA-24h'!L12,'28.07 KYENGERA-BUSEGA'!L12)</f>
        <v>2.8571428571428572</v>
      </c>
      <c r="M12" s="49">
        <f>AVERAGE('22.07 KYENGERA-BUSEGA'!M12,'23.07 KYENGERA-BUSEGA'!M12,'24.07 KYENGERA-BUSEGA'!M12,'25.07 KYENGERA-BUSEGA'!M12,'26.07 KYENGERA-BUSEGA-24h'!M12,'27.07 KYENGERA-BUSEGA-24h'!M12,'28.07 KYENGERA-BUSEGA'!M12)</f>
        <v>365</v>
      </c>
      <c r="N12" s="49">
        <f>AVERAGE('22.07 KYENGERA-BUSEGA'!N12,'23.07 KYENGERA-BUSEGA'!N12,'24.07 KYENGERA-BUSEGA'!N12,'25.07 KYENGERA-BUSEGA'!N12,'26.07 KYENGERA-BUSEGA-24h'!N12,'27.07 KYENGERA-BUSEGA-24h'!N12,'28.07 KYENGERA-BUSEGA'!N12)</f>
        <v>0</v>
      </c>
      <c r="O12" s="15">
        <f t="shared" si="0"/>
        <v>184.28571428571431</v>
      </c>
      <c r="P12" s="15">
        <f t="shared" si="1"/>
        <v>549.28571428571433</v>
      </c>
      <c r="R12" s="1" t="s">
        <v>8</v>
      </c>
      <c r="S12" s="17">
        <f t="shared" ref="S12:AF12" si="4">SUM(C18:C21)</f>
        <v>370.28571428571422</v>
      </c>
      <c r="T12" s="17">
        <f t="shared" si="4"/>
        <v>41.142857142857139</v>
      </c>
      <c r="U12" s="17">
        <f t="shared" si="4"/>
        <v>45.571428571428569</v>
      </c>
      <c r="V12" s="17">
        <f t="shared" si="4"/>
        <v>225.28571428571428</v>
      </c>
      <c r="W12" s="17">
        <f t="shared" si="4"/>
        <v>10.714285714285714</v>
      </c>
      <c r="X12" s="17">
        <f t="shared" si="4"/>
        <v>5</v>
      </c>
      <c r="Y12" s="17">
        <f t="shared" si="4"/>
        <v>55.285714285714285</v>
      </c>
      <c r="Z12" s="17">
        <f t="shared" si="4"/>
        <v>18.714285714285715</v>
      </c>
      <c r="AA12" s="17">
        <f t="shared" si="4"/>
        <v>5.4285714285714279</v>
      </c>
      <c r="AB12" s="17">
        <f t="shared" si="4"/>
        <v>13.857142857142858</v>
      </c>
      <c r="AC12" s="17">
        <f t="shared" si="4"/>
        <v>1267.7142857142858</v>
      </c>
      <c r="AD12" s="17">
        <f t="shared" si="4"/>
        <v>0</v>
      </c>
      <c r="AE12" s="31">
        <f t="shared" si="4"/>
        <v>791.28571428571433</v>
      </c>
      <c r="AF12" s="31">
        <f t="shared" si="4"/>
        <v>2059</v>
      </c>
    </row>
    <row r="13" spans="2:32" ht="23.1" customHeight="1" x14ac:dyDescent="0.25">
      <c r="B13" s="23" t="s">
        <v>40</v>
      </c>
      <c r="C13" s="49">
        <f>AVERAGE('22.07 KYENGERA-BUSEGA'!C13,'23.07 KYENGERA-BUSEGA'!C13,'24.07 KYENGERA-BUSEGA'!C13,'25.07 KYENGERA-BUSEGA'!C13,'26.07 KYENGERA-BUSEGA-24h'!C13,'27.07 KYENGERA-BUSEGA-24h'!C13,'28.07 KYENGERA-BUSEGA'!C13)</f>
        <v>87.285714285714292</v>
      </c>
      <c r="D13" s="49">
        <f>AVERAGE('22.07 KYENGERA-BUSEGA'!D13,'23.07 KYENGERA-BUSEGA'!D13,'24.07 KYENGERA-BUSEGA'!D13,'25.07 KYENGERA-BUSEGA'!D13,'26.07 KYENGERA-BUSEGA-24h'!D13,'27.07 KYENGERA-BUSEGA-24h'!D13,'28.07 KYENGERA-BUSEGA'!D13)</f>
        <v>9.7142857142857135</v>
      </c>
      <c r="E13" s="49">
        <f>AVERAGE('22.07 KYENGERA-BUSEGA'!E13,'23.07 KYENGERA-BUSEGA'!E13,'24.07 KYENGERA-BUSEGA'!E13,'25.07 KYENGERA-BUSEGA'!E13,'26.07 KYENGERA-BUSEGA-24h'!E13,'27.07 KYENGERA-BUSEGA-24h'!E13,'28.07 KYENGERA-BUSEGA'!E13)</f>
        <v>11</v>
      </c>
      <c r="F13" s="49">
        <f>AVERAGE('22.07 KYENGERA-BUSEGA'!F13,'23.07 KYENGERA-BUSEGA'!F13,'24.07 KYENGERA-BUSEGA'!F13,'25.07 KYENGERA-BUSEGA'!F13,'26.07 KYENGERA-BUSEGA-24h'!F13,'27.07 KYENGERA-BUSEGA-24h'!F13,'28.07 KYENGERA-BUSEGA'!F13)</f>
        <v>53.428571428571431</v>
      </c>
      <c r="G13" s="49">
        <f>AVERAGE('22.07 KYENGERA-BUSEGA'!G13,'23.07 KYENGERA-BUSEGA'!G13,'24.07 KYENGERA-BUSEGA'!G13,'25.07 KYENGERA-BUSEGA'!G13,'26.07 KYENGERA-BUSEGA-24h'!G13,'27.07 KYENGERA-BUSEGA-24h'!G13,'28.07 KYENGERA-BUSEGA'!G13)</f>
        <v>4</v>
      </c>
      <c r="H13" s="49">
        <f>AVERAGE('22.07 KYENGERA-BUSEGA'!H13,'23.07 KYENGERA-BUSEGA'!H13,'24.07 KYENGERA-BUSEGA'!H13,'25.07 KYENGERA-BUSEGA'!H13,'26.07 KYENGERA-BUSEGA-24h'!H13,'27.07 KYENGERA-BUSEGA-24h'!H13,'28.07 KYENGERA-BUSEGA'!H13)</f>
        <v>1.4285714285714286</v>
      </c>
      <c r="I13" s="49">
        <f>AVERAGE('22.07 KYENGERA-BUSEGA'!I13,'23.07 KYENGERA-BUSEGA'!I13,'24.07 KYENGERA-BUSEGA'!I13,'25.07 KYENGERA-BUSEGA'!I13,'26.07 KYENGERA-BUSEGA-24h'!I13,'27.07 KYENGERA-BUSEGA-24h'!I13,'28.07 KYENGERA-BUSEGA'!I13)</f>
        <v>15.428571428571429</v>
      </c>
      <c r="J13" s="49">
        <f>AVERAGE('22.07 KYENGERA-BUSEGA'!J13,'23.07 KYENGERA-BUSEGA'!J13,'24.07 KYENGERA-BUSEGA'!J13,'25.07 KYENGERA-BUSEGA'!J13,'26.07 KYENGERA-BUSEGA-24h'!J13,'27.07 KYENGERA-BUSEGA-24h'!J13,'28.07 KYENGERA-BUSEGA'!J13)</f>
        <v>5.2857142857142856</v>
      </c>
      <c r="K13" s="49">
        <f>AVERAGE('22.07 KYENGERA-BUSEGA'!K13,'23.07 KYENGERA-BUSEGA'!K13,'24.07 KYENGERA-BUSEGA'!K13,'25.07 KYENGERA-BUSEGA'!K13,'26.07 KYENGERA-BUSEGA-24h'!K13,'27.07 KYENGERA-BUSEGA-24h'!K13,'28.07 KYENGERA-BUSEGA'!K13)</f>
        <v>1</v>
      </c>
      <c r="L13" s="49">
        <f>AVERAGE('22.07 KYENGERA-BUSEGA'!L13,'23.07 KYENGERA-BUSEGA'!L13,'24.07 KYENGERA-BUSEGA'!L13,'25.07 KYENGERA-BUSEGA'!L13,'26.07 KYENGERA-BUSEGA-24h'!L13,'27.07 KYENGERA-BUSEGA-24h'!L13,'28.07 KYENGERA-BUSEGA'!L13)</f>
        <v>2.8571428571428572</v>
      </c>
      <c r="M13" s="49">
        <f>AVERAGE('22.07 KYENGERA-BUSEGA'!M13,'23.07 KYENGERA-BUSEGA'!M13,'24.07 KYENGERA-BUSEGA'!M13,'25.07 KYENGERA-BUSEGA'!M13,'26.07 KYENGERA-BUSEGA-24h'!M13,'27.07 KYENGERA-BUSEGA-24h'!M13,'28.07 KYENGERA-BUSEGA'!M13)</f>
        <v>390.42857142857144</v>
      </c>
      <c r="N13" s="49">
        <f>AVERAGE('22.07 KYENGERA-BUSEGA'!N13,'23.07 KYENGERA-BUSEGA'!N13,'24.07 KYENGERA-BUSEGA'!N13,'25.07 KYENGERA-BUSEGA'!N13,'26.07 KYENGERA-BUSEGA-24h'!N13,'27.07 KYENGERA-BUSEGA-24h'!N13,'28.07 KYENGERA-BUSEGA'!N13)</f>
        <v>0</v>
      </c>
      <c r="O13" s="15">
        <f t="shared" si="0"/>
        <v>191.42857142857142</v>
      </c>
      <c r="P13" s="15">
        <f t="shared" si="1"/>
        <v>581.85714285714289</v>
      </c>
      <c r="R13" s="1" t="s">
        <v>9</v>
      </c>
      <c r="S13" s="17">
        <f t="shared" ref="S13:AF13" si="5">SUM(C22:C25)</f>
        <v>318.57142857142861</v>
      </c>
      <c r="T13" s="17">
        <f t="shared" si="5"/>
        <v>32.428571428571431</v>
      </c>
      <c r="U13" s="17">
        <f t="shared" si="5"/>
        <v>34.428571428571431</v>
      </c>
      <c r="V13" s="17">
        <f t="shared" si="5"/>
        <v>210.42857142857144</v>
      </c>
      <c r="W13" s="17">
        <f t="shared" si="5"/>
        <v>5.8571428571428568</v>
      </c>
      <c r="X13" s="17">
        <f t="shared" si="5"/>
        <v>2.8571428571428572</v>
      </c>
      <c r="Y13" s="17">
        <f t="shared" si="5"/>
        <v>53.857142857142854</v>
      </c>
      <c r="Z13" s="17">
        <f t="shared" si="5"/>
        <v>14.142857142857142</v>
      </c>
      <c r="AA13" s="17">
        <f t="shared" si="5"/>
        <v>3.1428571428571428</v>
      </c>
      <c r="AB13" s="17">
        <f t="shared" si="5"/>
        <v>11.857142857142856</v>
      </c>
      <c r="AC13" s="17">
        <f t="shared" si="5"/>
        <v>876.14285714285711</v>
      </c>
      <c r="AD13" s="17">
        <f t="shared" si="5"/>
        <v>0</v>
      </c>
      <c r="AE13" s="31">
        <f t="shared" si="5"/>
        <v>687.57142857142856</v>
      </c>
      <c r="AF13" s="31">
        <f t="shared" si="5"/>
        <v>1563.7142857142858</v>
      </c>
    </row>
    <row r="14" spans="2:32" ht="23.1" customHeight="1" x14ac:dyDescent="0.25">
      <c r="B14" s="23" t="s">
        <v>41</v>
      </c>
      <c r="C14" s="49">
        <f>AVERAGE('22.07 KYENGERA-BUSEGA'!C14,'23.07 KYENGERA-BUSEGA'!C14,'24.07 KYENGERA-BUSEGA'!C14,'25.07 KYENGERA-BUSEGA'!C14,'26.07 KYENGERA-BUSEGA-24h'!C14,'27.07 KYENGERA-BUSEGA-24h'!C14,'28.07 KYENGERA-BUSEGA'!C14)</f>
        <v>94.285714285714292</v>
      </c>
      <c r="D14" s="49">
        <f>AVERAGE('22.07 KYENGERA-BUSEGA'!D14,'23.07 KYENGERA-BUSEGA'!D14,'24.07 KYENGERA-BUSEGA'!D14,'25.07 KYENGERA-BUSEGA'!D14,'26.07 KYENGERA-BUSEGA-24h'!D14,'27.07 KYENGERA-BUSEGA-24h'!D14,'28.07 KYENGERA-BUSEGA'!D14)</f>
        <v>9.7142857142857135</v>
      </c>
      <c r="E14" s="49">
        <f>AVERAGE('22.07 KYENGERA-BUSEGA'!E14,'23.07 KYENGERA-BUSEGA'!E14,'24.07 KYENGERA-BUSEGA'!E14,'25.07 KYENGERA-BUSEGA'!E14,'26.07 KYENGERA-BUSEGA-24h'!E14,'27.07 KYENGERA-BUSEGA-24h'!E14,'28.07 KYENGERA-BUSEGA'!E14)</f>
        <v>9.8571428571428577</v>
      </c>
      <c r="F14" s="49">
        <f>AVERAGE('22.07 KYENGERA-BUSEGA'!F14,'23.07 KYENGERA-BUSEGA'!F14,'24.07 KYENGERA-BUSEGA'!F14,'25.07 KYENGERA-BUSEGA'!F14,'26.07 KYENGERA-BUSEGA-24h'!F14,'27.07 KYENGERA-BUSEGA-24h'!F14,'28.07 KYENGERA-BUSEGA'!F14)</f>
        <v>58.714285714285715</v>
      </c>
      <c r="G14" s="49">
        <f>AVERAGE('22.07 KYENGERA-BUSEGA'!G14,'23.07 KYENGERA-BUSEGA'!G14,'24.07 KYENGERA-BUSEGA'!G14,'25.07 KYENGERA-BUSEGA'!G14,'26.07 KYENGERA-BUSEGA-24h'!G14,'27.07 KYENGERA-BUSEGA-24h'!G14,'28.07 KYENGERA-BUSEGA'!G14)</f>
        <v>2.8571428571428572</v>
      </c>
      <c r="H14" s="49">
        <f>AVERAGE('22.07 KYENGERA-BUSEGA'!H14,'23.07 KYENGERA-BUSEGA'!H14,'24.07 KYENGERA-BUSEGA'!H14,'25.07 KYENGERA-BUSEGA'!H14,'26.07 KYENGERA-BUSEGA-24h'!H14,'27.07 KYENGERA-BUSEGA-24h'!H14,'28.07 KYENGERA-BUSEGA'!H14)</f>
        <v>1.4285714285714286</v>
      </c>
      <c r="I14" s="49">
        <f>AVERAGE('22.07 KYENGERA-BUSEGA'!I14,'23.07 KYENGERA-BUSEGA'!I14,'24.07 KYENGERA-BUSEGA'!I14,'25.07 KYENGERA-BUSEGA'!I14,'26.07 KYENGERA-BUSEGA-24h'!I14,'27.07 KYENGERA-BUSEGA-24h'!I14,'28.07 KYENGERA-BUSEGA'!I14)</f>
        <v>13.285714285714286</v>
      </c>
      <c r="J14" s="49">
        <f>AVERAGE('22.07 KYENGERA-BUSEGA'!J14,'23.07 KYENGERA-BUSEGA'!J14,'24.07 KYENGERA-BUSEGA'!J14,'25.07 KYENGERA-BUSEGA'!J14,'26.07 KYENGERA-BUSEGA-24h'!J14,'27.07 KYENGERA-BUSEGA-24h'!J14,'28.07 KYENGERA-BUSEGA'!J14)</f>
        <v>4.5714285714285712</v>
      </c>
      <c r="K14" s="49">
        <f>AVERAGE('22.07 KYENGERA-BUSEGA'!K14,'23.07 KYENGERA-BUSEGA'!K14,'24.07 KYENGERA-BUSEGA'!K14,'25.07 KYENGERA-BUSEGA'!K14,'26.07 KYENGERA-BUSEGA-24h'!K14,'27.07 KYENGERA-BUSEGA-24h'!K14,'28.07 KYENGERA-BUSEGA'!K14)</f>
        <v>0.7142857142857143</v>
      </c>
      <c r="L14" s="49">
        <f>AVERAGE('22.07 KYENGERA-BUSEGA'!L14,'23.07 KYENGERA-BUSEGA'!L14,'24.07 KYENGERA-BUSEGA'!L14,'25.07 KYENGERA-BUSEGA'!L14,'26.07 KYENGERA-BUSEGA-24h'!L14,'27.07 KYENGERA-BUSEGA-24h'!L14,'28.07 KYENGERA-BUSEGA'!L14)</f>
        <v>3.7142857142857144</v>
      </c>
      <c r="M14" s="49">
        <f>AVERAGE('22.07 KYENGERA-BUSEGA'!M14,'23.07 KYENGERA-BUSEGA'!M14,'24.07 KYENGERA-BUSEGA'!M14,'25.07 KYENGERA-BUSEGA'!M14,'26.07 KYENGERA-BUSEGA-24h'!M14,'27.07 KYENGERA-BUSEGA-24h'!M14,'28.07 KYENGERA-BUSEGA'!M14)</f>
        <v>401.14285714285717</v>
      </c>
      <c r="N14" s="49">
        <f>AVERAGE('22.07 KYENGERA-BUSEGA'!N14,'23.07 KYENGERA-BUSEGA'!N14,'24.07 KYENGERA-BUSEGA'!N14,'25.07 KYENGERA-BUSEGA'!N14,'26.07 KYENGERA-BUSEGA-24h'!N14,'27.07 KYENGERA-BUSEGA-24h'!N14,'28.07 KYENGERA-BUSEGA'!N14)</f>
        <v>0</v>
      </c>
      <c r="O14" s="15">
        <f t="shared" si="0"/>
        <v>199.14285714285717</v>
      </c>
      <c r="P14" s="15">
        <f t="shared" si="1"/>
        <v>600.28571428571433</v>
      </c>
      <c r="R14" s="1" t="s">
        <v>10</v>
      </c>
      <c r="S14" s="17">
        <f t="shared" ref="S14:AF14" si="6">SUM(C26:C29)</f>
        <v>285.85714285714289</v>
      </c>
      <c r="T14" s="17">
        <f t="shared" si="6"/>
        <v>37.857142857142861</v>
      </c>
      <c r="U14" s="17">
        <f t="shared" si="6"/>
        <v>36</v>
      </c>
      <c r="V14" s="17">
        <f t="shared" si="6"/>
        <v>210.42857142857144</v>
      </c>
      <c r="W14" s="17">
        <f t="shared" si="6"/>
        <v>4.5714285714285712</v>
      </c>
      <c r="X14" s="17">
        <f t="shared" si="6"/>
        <v>3</v>
      </c>
      <c r="Y14" s="17">
        <f t="shared" si="6"/>
        <v>53.714285714285715</v>
      </c>
      <c r="Z14" s="17">
        <f t="shared" si="6"/>
        <v>13.571428571428571</v>
      </c>
      <c r="AA14" s="17">
        <f t="shared" si="6"/>
        <v>3.714285714285714</v>
      </c>
      <c r="AB14" s="17">
        <f t="shared" si="6"/>
        <v>14.142857142857144</v>
      </c>
      <c r="AC14" s="17">
        <f t="shared" si="6"/>
        <v>818.57142857142856</v>
      </c>
      <c r="AD14" s="17">
        <f t="shared" si="6"/>
        <v>0</v>
      </c>
      <c r="AE14" s="31">
        <f t="shared" si="6"/>
        <v>662.85714285714289</v>
      </c>
      <c r="AF14" s="31">
        <f t="shared" si="6"/>
        <v>1481.4285714285716</v>
      </c>
    </row>
    <row r="15" spans="2:32" ht="23.1" customHeight="1" x14ac:dyDescent="0.25">
      <c r="B15" s="23" t="s">
        <v>42</v>
      </c>
      <c r="C15" s="49">
        <f>AVERAGE('22.07 KYENGERA-BUSEGA'!C15,'23.07 KYENGERA-BUSEGA'!C15,'24.07 KYENGERA-BUSEGA'!C15,'25.07 KYENGERA-BUSEGA'!C15,'26.07 KYENGERA-BUSEGA-24h'!C15,'27.07 KYENGERA-BUSEGA-24h'!C15,'28.07 KYENGERA-BUSEGA'!C15)</f>
        <v>101.57142857142857</v>
      </c>
      <c r="D15" s="49">
        <f>AVERAGE('22.07 KYENGERA-BUSEGA'!D15,'23.07 KYENGERA-BUSEGA'!D15,'24.07 KYENGERA-BUSEGA'!D15,'25.07 KYENGERA-BUSEGA'!D15,'26.07 KYENGERA-BUSEGA-24h'!D15,'27.07 KYENGERA-BUSEGA-24h'!D15,'28.07 KYENGERA-BUSEGA'!D15)</f>
        <v>12.428571428571429</v>
      </c>
      <c r="E15" s="49">
        <f>AVERAGE('22.07 KYENGERA-BUSEGA'!E15,'23.07 KYENGERA-BUSEGA'!E15,'24.07 KYENGERA-BUSEGA'!E15,'25.07 KYENGERA-BUSEGA'!E15,'26.07 KYENGERA-BUSEGA-24h'!E15,'27.07 KYENGERA-BUSEGA-24h'!E15,'28.07 KYENGERA-BUSEGA'!E15)</f>
        <v>11.142857142857142</v>
      </c>
      <c r="F15" s="49">
        <f>AVERAGE('22.07 KYENGERA-BUSEGA'!F15,'23.07 KYENGERA-BUSEGA'!F15,'24.07 KYENGERA-BUSEGA'!F15,'25.07 KYENGERA-BUSEGA'!F15,'26.07 KYENGERA-BUSEGA-24h'!F15,'27.07 KYENGERA-BUSEGA-24h'!F15,'28.07 KYENGERA-BUSEGA'!F15)</f>
        <v>60</v>
      </c>
      <c r="G15" s="49">
        <f>AVERAGE('22.07 KYENGERA-BUSEGA'!G15,'23.07 KYENGERA-BUSEGA'!G15,'24.07 KYENGERA-BUSEGA'!G15,'25.07 KYENGERA-BUSEGA'!G15,'26.07 KYENGERA-BUSEGA-24h'!G15,'27.07 KYENGERA-BUSEGA-24h'!G15,'28.07 KYENGERA-BUSEGA'!G15)</f>
        <v>3.2857142857142856</v>
      </c>
      <c r="H15" s="49">
        <f>AVERAGE('22.07 KYENGERA-BUSEGA'!H15,'23.07 KYENGERA-BUSEGA'!H15,'24.07 KYENGERA-BUSEGA'!H15,'25.07 KYENGERA-BUSEGA'!H15,'26.07 KYENGERA-BUSEGA-24h'!H15,'27.07 KYENGERA-BUSEGA-24h'!H15,'28.07 KYENGERA-BUSEGA'!H15)</f>
        <v>0.42857142857142855</v>
      </c>
      <c r="I15" s="49">
        <f>AVERAGE('22.07 KYENGERA-BUSEGA'!I15,'23.07 KYENGERA-BUSEGA'!I15,'24.07 KYENGERA-BUSEGA'!I15,'25.07 KYENGERA-BUSEGA'!I15,'26.07 KYENGERA-BUSEGA-24h'!I15,'27.07 KYENGERA-BUSEGA-24h'!I15,'28.07 KYENGERA-BUSEGA'!I15)</f>
        <v>14.571428571428571</v>
      </c>
      <c r="J15" s="49">
        <f>AVERAGE('22.07 KYENGERA-BUSEGA'!J15,'23.07 KYENGERA-BUSEGA'!J15,'24.07 KYENGERA-BUSEGA'!J15,'25.07 KYENGERA-BUSEGA'!J15,'26.07 KYENGERA-BUSEGA-24h'!J15,'27.07 KYENGERA-BUSEGA-24h'!J15,'28.07 KYENGERA-BUSEGA'!J15)</f>
        <v>5.4285714285714288</v>
      </c>
      <c r="K15" s="49">
        <f>AVERAGE('22.07 KYENGERA-BUSEGA'!K15,'23.07 KYENGERA-BUSEGA'!K15,'24.07 KYENGERA-BUSEGA'!K15,'25.07 KYENGERA-BUSEGA'!K15,'26.07 KYENGERA-BUSEGA-24h'!K15,'27.07 KYENGERA-BUSEGA-24h'!K15,'28.07 KYENGERA-BUSEGA'!K15)</f>
        <v>1.5714285714285714</v>
      </c>
      <c r="L15" s="49">
        <f>AVERAGE('22.07 KYENGERA-BUSEGA'!L15,'23.07 KYENGERA-BUSEGA'!L15,'24.07 KYENGERA-BUSEGA'!L15,'25.07 KYENGERA-BUSEGA'!L15,'26.07 KYENGERA-BUSEGA-24h'!L15,'27.07 KYENGERA-BUSEGA-24h'!L15,'28.07 KYENGERA-BUSEGA'!L15)</f>
        <v>2.2857142857142856</v>
      </c>
      <c r="M15" s="49">
        <f>AVERAGE('22.07 KYENGERA-BUSEGA'!M15,'23.07 KYENGERA-BUSEGA'!M15,'24.07 KYENGERA-BUSEGA'!M15,'25.07 KYENGERA-BUSEGA'!M15,'26.07 KYENGERA-BUSEGA-24h'!M15,'27.07 KYENGERA-BUSEGA-24h'!M15,'28.07 KYENGERA-BUSEGA'!M15)</f>
        <v>382.14285714285717</v>
      </c>
      <c r="N15" s="49">
        <f>AVERAGE('22.07 KYENGERA-BUSEGA'!N15,'23.07 KYENGERA-BUSEGA'!N15,'24.07 KYENGERA-BUSEGA'!N15,'25.07 KYENGERA-BUSEGA'!N15,'26.07 KYENGERA-BUSEGA-24h'!N15,'27.07 KYENGERA-BUSEGA-24h'!N15,'28.07 KYENGERA-BUSEGA'!N15)</f>
        <v>0</v>
      </c>
      <c r="O15" s="15">
        <f t="shared" si="0"/>
        <v>212.71428571428569</v>
      </c>
      <c r="P15" s="15">
        <f t="shared" si="1"/>
        <v>594.85714285714289</v>
      </c>
      <c r="R15" s="1" t="s">
        <v>11</v>
      </c>
      <c r="S15" s="17">
        <f t="shared" ref="S15:AF15" si="7">SUM(C30:C33)</f>
        <v>254.57142857142856</v>
      </c>
      <c r="T15" s="17">
        <f t="shared" si="7"/>
        <v>37</v>
      </c>
      <c r="U15" s="17">
        <f t="shared" si="7"/>
        <v>38.285714285714292</v>
      </c>
      <c r="V15" s="17">
        <f t="shared" si="7"/>
        <v>203</v>
      </c>
      <c r="W15" s="17">
        <f t="shared" si="7"/>
        <v>4.1428571428571423</v>
      </c>
      <c r="X15" s="17">
        <f t="shared" si="7"/>
        <v>3.8571428571428568</v>
      </c>
      <c r="Y15" s="17">
        <f t="shared" si="7"/>
        <v>52.285714285714278</v>
      </c>
      <c r="Z15" s="17">
        <f t="shared" si="7"/>
        <v>21.428571428571431</v>
      </c>
      <c r="AA15" s="17">
        <f t="shared" si="7"/>
        <v>4.5714285714285712</v>
      </c>
      <c r="AB15" s="17">
        <f t="shared" si="7"/>
        <v>12.857142857142858</v>
      </c>
      <c r="AC15" s="17">
        <f t="shared" si="7"/>
        <v>786.85714285714289</v>
      </c>
      <c r="AD15" s="17">
        <f t="shared" si="7"/>
        <v>0</v>
      </c>
      <c r="AE15" s="31">
        <f t="shared" si="7"/>
        <v>632</v>
      </c>
      <c r="AF15" s="31">
        <f t="shared" si="7"/>
        <v>1418.8571428571427</v>
      </c>
    </row>
    <row r="16" spans="2:32" ht="23.1" customHeight="1" x14ac:dyDescent="0.25">
      <c r="B16" s="23" t="s">
        <v>43</v>
      </c>
      <c r="C16" s="49">
        <f>AVERAGE('22.07 KYENGERA-BUSEGA'!C16,'23.07 KYENGERA-BUSEGA'!C16,'24.07 KYENGERA-BUSEGA'!C16,'25.07 KYENGERA-BUSEGA'!C16,'26.07 KYENGERA-BUSEGA-24h'!C16,'27.07 KYENGERA-BUSEGA-24h'!C16,'28.07 KYENGERA-BUSEGA'!C16)</f>
        <v>96.428571428571431</v>
      </c>
      <c r="D16" s="49">
        <f>AVERAGE('22.07 KYENGERA-BUSEGA'!D16,'23.07 KYENGERA-BUSEGA'!D16,'24.07 KYENGERA-BUSEGA'!D16,'25.07 KYENGERA-BUSEGA'!D16,'26.07 KYENGERA-BUSEGA-24h'!D16,'27.07 KYENGERA-BUSEGA-24h'!D16,'28.07 KYENGERA-BUSEGA'!D16)</f>
        <v>11</v>
      </c>
      <c r="E16" s="49">
        <f>AVERAGE('22.07 KYENGERA-BUSEGA'!E16,'23.07 KYENGERA-BUSEGA'!E16,'24.07 KYENGERA-BUSEGA'!E16,'25.07 KYENGERA-BUSEGA'!E16,'26.07 KYENGERA-BUSEGA-24h'!E16,'27.07 KYENGERA-BUSEGA-24h'!E16,'28.07 KYENGERA-BUSEGA'!E16)</f>
        <v>9.4285714285714288</v>
      </c>
      <c r="F16" s="49">
        <f>AVERAGE('22.07 KYENGERA-BUSEGA'!F16,'23.07 KYENGERA-BUSEGA'!F16,'24.07 KYENGERA-BUSEGA'!F16,'25.07 KYENGERA-BUSEGA'!F16,'26.07 KYENGERA-BUSEGA-24h'!F16,'27.07 KYENGERA-BUSEGA-24h'!F16,'28.07 KYENGERA-BUSEGA'!F16)</f>
        <v>59.285714285714285</v>
      </c>
      <c r="G16" s="49">
        <f>AVERAGE('22.07 KYENGERA-BUSEGA'!G16,'23.07 KYENGERA-BUSEGA'!G16,'24.07 KYENGERA-BUSEGA'!G16,'25.07 KYENGERA-BUSEGA'!G16,'26.07 KYENGERA-BUSEGA-24h'!G16,'27.07 KYENGERA-BUSEGA-24h'!G16,'28.07 KYENGERA-BUSEGA'!G16)</f>
        <v>2</v>
      </c>
      <c r="H16" s="49">
        <f>AVERAGE('22.07 KYENGERA-BUSEGA'!H16,'23.07 KYENGERA-BUSEGA'!H16,'24.07 KYENGERA-BUSEGA'!H16,'25.07 KYENGERA-BUSEGA'!H16,'26.07 KYENGERA-BUSEGA-24h'!H16,'27.07 KYENGERA-BUSEGA-24h'!H16,'28.07 KYENGERA-BUSEGA'!H16)</f>
        <v>0.7142857142857143</v>
      </c>
      <c r="I16" s="49">
        <f>AVERAGE('22.07 KYENGERA-BUSEGA'!I16,'23.07 KYENGERA-BUSEGA'!I16,'24.07 KYENGERA-BUSEGA'!I16,'25.07 KYENGERA-BUSEGA'!I16,'26.07 KYENGERA-BUSEGA-24h'!I16,'27.07 KYENGERA-BUSEGA-24h'!I16,'28.07 KYENGERA-BUSEGA'!I16)</f>
        <v>15.142857142857142</v>
      </c>
      <c r="J16" s="49">
        <f>AVERAGE('22.07 KYENGERA-BUSEGA'!J16,'23.07 KYENGERA-BUSEGA'!J16,'24.07 KYENGERA-BUSEGA'!J16,'25.07 KYENGERA-BUSEGA'!J16,'26.07 KYENGERA-BUSEGA-24h'!J16,'27.07 KYENGERA-BUSEGA-24h'!J16,'28.07 KYENGERA-BUSEGA'!J16)</f>
        <v>5.5714285714285712</v>
      </c>
      <c r="K16" s="49">
        <f>AVERAGE('22.07 KYENGERA-BUSEGA'!K16,'23.07 KYENGERA-BUSEGA'!K16,'24.07 KYENGERA-BUSEGA'!K16,'25.07 KYENGERA-BUSEGA'!K16,'26.07 KYENGERA-BUSEGA-24h'!K16,'27.07 KYENGERA-BUSEGA-24h'!K16,'28.07 KYENGERA-BUSEGA'!K16)</f>
        <v>1.4285714285714286</v>
      </c>
      <c r="L16" s="49">
        <f>AVERAGE('22.07 KYENGERA-BUSEGA'!L16,'23.07 KYENGERA-BUSEGA'!L16,'24.07 KYENGERA-BUSEGA'!L16,'25.07 KYENGERA-BUSEGA'!L16,'26.07 KYENGERA-BUSEGA-24h'!L16,'27.07 KYENGERA-BUSEGA-24h'!L16,'28.07 KYENGERA-BUSEGA'!L16)</f>
        <v>2.7142857142857144</v>
      </c>
      <c r="M16" s="49">
        <f>AVERAGE('22.07 KYENGERA-BUSEGA'!M16,'23.07 KYENGERA-BUSEGA'!M16,'24.07 KYENGERA-BUSEGA'!M16,'25.07 KYENGERA-BUSEGA'!M16,'26.07 KYENGERA-BUSEGA-24h'!M16,'27.07 KYENGERA-BUSEGA-24h'!M16,'28.07 KYENGERA-BUSEGA'!M16)</f>
        <v>372.42857142857144</v>
      </c>
      <c r="N16" s="49">
        <f>AVERAGE('22.07 KYENGERA-BUSEGA'!N16,'23.07 KYENGERA-BUSEGA'!N16,'24.07 KYENGERA-BUSEGA'!N16,'25.07 KYENGERA-BUSEGA'!N16,'26.07 KYENGERA-BUSEGA-24h'!N16,'27.07 KYENGERA-BUSEGA-24h'!N16,'28.07 KYENGERA-BUSEGA'!N16)</f>
        <v>0.14285714285714285</v>
      </c>
      <c r="O16" s="15">
        <f t="shared" si="0"/>
        <v>203.85714285714286</v>
      </c>
      <c r="P16" s="15">
        <f t="shared" si="1"/>
        <v>576.28571428571422</v>
      </c>
      <c r="R16" s="1" t="s">
        <v>12</v>
      </c>
      <c r="S16" s="17">
        <f t="shared" ref="S16:AF16" si="8">SUM(C34:C37)</f>
        <v>217.71428571428572</v>
      </c>
      <c r="T16" s="17">
        <f t="shared" si="8"/>
        <v>27.428571428571431</v>
      </c>
      <c r="U16" s="17">
        <f t="shared" si="8"/>
        <v>32</v>
      </c>
      <c r="V16" s="17">
        <f t="shared" si="8"/>
        <v>174.28571428571428</v>
      </c>
      <c r="W16" s="17">
        <f t="shared" si="8"/>
        <v>3.2857142857142851</v>
      </c>
      <c r="X16" s="17">
        <f t="shared" si="8"/>
        <v>5</v>
      </c>
      <c r="Y16" s="17">
        <f t="shared" si="8"/>
        <v>54.142857142857146</v>
      </c>
      <c r="Z16" s="17">
        <f t="shared" si="8"/>
        <v>16.571428571428569</v>
      </c>
      <c r="AA16" s="17">
        <f t="shared" si="8"/>
        <v>4.7142857142857144</v>
      </c>
      <c r="AB16" s="17">
        <f t="shared" si="8"/>
        <v>16.428571428571431</v>
      </c>
      <c r="AC16" s="17">
        <f t="shared" si="8"/>
        <v>699.57142857142856</v>
      </c>
      <c r="AD16" s="17">
        <f t="shared" si="8"/>
        <v>0.42857142857142855</v>
      </c>
      <c r="AE16" s="31">
        <f t="shared" si="8"/>
        <v>552</v>
      </c>
      <c r="AF16" s="31">
        <f t="shared" si="8"/>
        <v>1251.5714285714287</v>
      </c>
    </row>
    <row r="17" spans="2:32" ht="23.1" customHeight="1" x14ac:dyDescent="0.25">
      <c r="B17" s="23" t="s">
        <v>44</v>
      </c>
      <c r="C17" s="49">
        <f>AVERAGE('22.07 KYENGERA-BUSEGA'!C17,'23.07 KYENGERA-BUSEGA'!C17,'24.07 KYENGERA-BUSEGA'!C17,'25.07 KYENGERA-BUSEGA'!C17,'26.07 KYENGERA-BUSEGA-24h'!C17,'27.07 KYENGERA-BUSEGA-24h'!C17,'28.07 KYENGERA-BUSEGA'!C17)</f>
        <v>95.285714285714292</v>
      </c>
      <c r="D17" s="49">
        <f>AVERAGE('22.07 KYENGERA-BUSEGA'!D17,'23.07 KYENGERA-BUSEGA'!D17,'24.07 KYENGERA-BUSEGA'!D17,'25.07 KYENGERA-BUSEGA'!D17,'26.07 KYENGERA-BUSEGA-24h'!D17,'27.07 KYENGERA-BUSEGA-24h'!D17,'28.07 KYENGERA-BUSEGA'!D17)</f>
        <v>10.285714285714286</v>
      </c>
      <c r="E17" s="49">
        <f>AVERAGE('22.07 KYENGERA-BUSEGA'!E17,'23.07 KYENGERA-BUSEGA'!E17,'24.07 KYENGERA-BUSEGA'!E17,'25.07 KYENGERA-BUSEGA'!E17,'26.07 KYENGERA-BUSEGA-24h'!E17,'27.07 KYENGERA-BUSEGA-24h'!E17,'28.07 KYENGERA-BUSEGA'!E17)</f>
        <v>10</v>
      </c>
      <c r="F17" s="49">
        <f>AVERAGE('22.07 KYENGERA-BUSEGA'!F17,'23.07 KYENGERA-BUSEGA'!F17,'24.07 KYENGERA-BUSEGA'!F17,'25.07 KYENGERA-BUSEGA'!F17,'26.07 KYENGERA-BUSEGA-24h'!F17,'27.07 KYENGERA-BUSEGA-24h'!F17,'28.07 KYENGERA-BUSEGA'!F17)</f>
        <v>61.285714285714285</v>
      </c>
      <c r="G17" s="49">
        <f>AVERAGE('22.07 KYENGERA-BUSEGA'!G17,'23.07 KYENGERA-BUSEGA'!G17,'24.07 KYENGERA-BUSEGA'!G17,'25.07 KYENGERA-BUSEGA'!G17,'26.07 KYENGERA-BUSEGA-24h'!G17,'27.07 KYENGERA-BUSEGA-24h'!G17,'28.07 KYENGERA-BUSEGA'!G17)</f>
        <v>3</v>
      </c>
      <c r="H17" s="49">
        <f>AVERAGE('22.07 KYENGERA-BUSEGA'!H17,'23.07 KYENGERA-BUSEGA'!H17,'24.07 KYENGERA-BUSEGA'!H17,'25.07 KYENGERA-BUSEGA'!H17,'26.07 KYENGERA-BUSEGA-24h'!H17,'27.07 KYENGERA-BUSEGA-24h'!H17,'28.07 KYENGERA-BUSEGA'!H17)</f>
        <v>0.7142857142857143</v>
      </c>
      <c r="I17" s="49">
        <f>AVERAGE('22.07 KYENGERA-BUSEGA'!I17,'23.07 KYENGERA-BUSEGA'!I17,'24.07 KYENGERA-BUSEGA'!I17,'25.07 KYENGERA-BUSEGA'!I17,'26.07 KYENGERA-BUSEGA-24h'!I17,'27.07 KYENGERA-BUSEGA-24h'!I17,'28.07 KYENGERA-BUSEGA'!I17)</f>
        <v>15.142857142857142</v>
      </c>
      <c r="J17" s="49">
        <f>AVERAGE('22.07 KYENGERA-BUSEGA'!J17,'23.07 KYENGERA-BUSEGA'!J17,'24.07 KYENGERA-BUSEGA'!J17,'25.07 KYENGERA-BUSEGA'!J17,'26.07 KYENGERA-BUSEGA-24h'!J17,'27.07 KYENGERA-BUSEGA-24h'!J17,'28.07 KYENGERA-BUSEGA'!J17)</f>
        <v>7.1428571428571432</v>
      </c>
      <c r="K17" s="49">
        <f>AVERAGE('22.07 KYENGERA-BUSEGA'!K17,'23.07 KYENGERA-BUSEGA'!K17,'24.07 KYENGERA-BUSEGA'!K17,'25.07 KYENGERA-BUSEGA'!K17,'26.07 KYENGERA-BUSEGA-24h'!K17,'27.07 KYENGERA-BUSEGA-24h'!K17,'28.07 KYENGERA-BUSEGA'!K17)</f>
        <v>1</v>
      </c>
      <c r="L17" s="49">
        <f>AVERAGE('22.07 KYENGERA-BUSEGA'!L17,'23.07 KYENGERA-BUSEGA'!L17,'24.07 KYENGERA-BUSEGA'!L17,'25.07 KYENGERA-BUSEGA'!L17,'26.07 KYENGERA-BUSEGA-24h'!L17,'27.07 KYENGERA-BUSEGA-24h'!L17,'28.07 KYENGERA-BUSEGA'!L17)</f>
        <v>2.8571428571428572</v>
      </c>
      <c r="M17" s="49">
        <f>AVERAGE('22.07 KYENGERA-BUSEGA'!M17,'23.07 KYENGERA-BUSEGA'!M17,'24.07 KYENGERA-BUSEGA'!M17,'25.07 KYENGERA-BUSEGA'!M17,'26.07 KYENGERA-BUSEGA-24h'!M17,'27.07 KYENGERA-BUSEGA-24h'!M17,'28.07 KYENGERA-BUSEGA'!M17)</f>
        <v>366.85714285714283</v>
      </c>
      <c r="N17" s="49">
        <f>AVERAGE('22.07 KYENGERA-BUSEGA'!N17,'23.07 KYENGERA-BUSEGA'!N17,'24.07 KYENGERA-BUSEGA'!N17,'25.07 KYENGERA-BUSEGA'!N17,'26.07 KYENGERA-BUSEGA-24h'!N17,'27.07 KYENGERA-BUSEGA-24h'!N17,'28.07 KYENGERA-BUSEGA'!N17)</f>
        <v>0</v>
      </c>
      <c r="O17" s="15">
        <f t="shared" si="0"/>
        <v>206.71428571428572</v>
      </c>
      <c r="P17" s="15">
        <f t="shared" si="1"/>
        <v>573.57142857142856</v>
      </c>
      <c r="R17" s="1" t="s">
        <v>13</v>
      </c>
      <c r="S17" s="17">
        <f t="shared" ref="S17:AF17" si="9">SUM(C38:C41)</f>
        <v>219.28571428571428</v>
      </c>
      <c r="T17" s="17">
        <f t="shared" si="9"/>
        <v>31.714285714285715</v>
      </c>
      <c r="U17" s="17">
        <f t="shared" si="9"/>
        <v>42.285714285714285</v>
      </c>
      <c r="V17" s="17">
        <f t="shared" si="9"/>
        <v>141.57142857142856</v>
      </c>
      <c r="W17" s="17">
        <f t="shared" si="9"/>
        <v>3.2857142857142856</v>
      </c>
      <c r="X17" s="17">
        <f t="shared" si="9"/>
        <v>5.7142857142857144</v>
      </c>
      <c r="Y17" s="17">
        <f t="shared" si="9"/>
        <v>56.428571428571431</v>
      </c>
      <c r="Z17" s="17">
        <f t="shared" si="9"/>
        <v>16.285714285714288</v>
      </c>
      <c r="AA17" s="17">
        <f t="shared" si="9"/>
        <v>5.2857142857142856</v>
      </c>
      <c r="AB17" s="17">
        <f t="shared" si="9"/>
        <v>13.285714285714285</v>
      </c>
      <c r="AC17" s="17">
        <f t="shared" si="9"/>
        <v>568.28571428571433</v>
      </c>
      <c r="AD17" s="17">
        <f t="shared" si="9"/>
        <v>0.14285714285714285</v>
      </c>
      <c r="AE17" s="31">
        <f t="shared" si="9"/>
        <v>535.28571428571422</v>
      </c>
      <c r="AF17" s="31">
        <f t="shared" si="9"/>
        <v>1103.5714285714287</v>
      </c>
    </row>
    <row r="18" spans="2:32" ht="23.1" customHeight="1" x14ac:dyDescent="0.25">
      <c r="B18" s="23" t="s">
        <v>45</v>
      </c>
      <c r="C18" s="49">
        <f>AVERAGE('22.07 KYENGERA-BUSEGA'!C18,'23.07 KYENGERA-BUSEGA'!C18,'24.07 KYENGERA-BUSEGA'!C18,'25.07 KYENGERA-BUSEGA'!C18,'26.07 KYENGERA-BUSEGA-24h'!C18,'27.07 KYENGERA-BUSEGA-24h'!C18,'28.07 KYENGERA-BUSEGA'!C18)</f>
        <v>100.14285714285714</v>
      </c>
      <c r="D18" s="49">
        <f>AVERAGE('22.07 KYENGERA-BUSEGA'!D18,'23.07 KYENGERA-BUSEGA'!D18,'24.07 KYENGERA-BUSEGA'!D18,'25.07 KYENGERA-BUSEGA'!D18,'26.07 KYENGERA-BUSEGA-24h'!D18,'27.07 KYENGERA-BUSEGA-24h'!D18,'28.07 KYENGERA-BUSEGA'!D18)</f>
        <v>10.714285714285714</v>
      </c>
      <c r="E18" s="49">
        <f>AVERAGE('22.07 KYENGERA-BUSEGA'!E18,'23.07 KYENGERA-BUSEGA'!E18,'24.07 KYENGERA-BUSEGA'!E18,'25.07 KYENGERA-BUSEGA'!E18,'26.07 KYENGERA-BUSEGA-24h'!E18,'27.07 KYENGERA-BUSEGA-24h'!E18,'28.07 KYENGERA-BUSEGA'!E18)</f>
        <v>13.142857142857142</v>
      </c>
      <c r="F18" s="49">
        <f>AVERAGE('22.07 KYENGERA-BUSEGA'!F18,'23.07 KYENGERA-BUSEGA'!F18,'24.07 KYENGERA-BUSEGA'!F18,'25.07 KYENGERA-BUSEGA'!F18,'26.07 KYENGERA-BUSEGA-24h'!F18,'27.07 KYENGERA-BUSEGA-24h'!F18,'28.07 KYENGERA-BUSEGA'!F18)</f>
        <v>57.857142857142854</v>
      </c>
      <c r="G18" s="49">
        <f>AVERAGE('22.07 KYENGERA-BUSEGA'!G18,'23.07 KYENGERA-BUSEGA'!G18,'24.07 KYENGERA-BUSEGA'!G18,'25.07 KYENGERA-BUSEGA'!G18,'26.07 KYENGERA-BUSEGA-24h'!G18,'27.07 KYENGERA-BUSEGA-24h'!G18,'28.07 KYENGERA-BUSEGA'!G18)</f>
        <v>3.7142857142857144</v>
      </c>
      <c r="H18" s="49">
        <f>AVERAGE('22.07 KYENGERA-BUSEGA'!H18,'23.07 KYENGERA-BUSEGA'!H18,'24.07 KYENGERA-BUSEGA'!H18,'25.07 KYENGERA-BUSEGA'!H18,'26.07 KYENGERA-BUSEGA-24h'!H18,'27.07 KYENGERA-BUSEGA-24h'!H18,'28.07 KYENGERA-BUSEGA'!H18)</f>
        <v>1.4285714285714286</v>
      </c>
      <c r="I18" s="49">
        <f>AVERAGE('22.07 KYENGERA-BUSEGA'!I18,'23.07 KYENGERA-BUSEGA'!I18,'24.07 KYENGERA-BUSEGA'!I18,'25.07 KYENGERA-BUSEGA'!I18,'26.07 KYENGERA-BUSEGA-24h'!I18,'27.07 KYENGERA-BUSEGA-24h'!I18,'28.07 KYENGERA-BUSEGA'!I18)</f>
        <v>13.142857142857142</v>
      </c>
      <c r="J18" s="49">
        <f>AVERAGE('22.07 KYENGERA-BUSEGA'!J18,'23.07 KYENGERA-BUSEGA'!J18,'24.07 KYENGERA-BUSEGA'!J18,'25.07 KYENGERA-BUSEGA'!J18,'26.07 KYENGERA-BUSEGA-24h'!J18,'27.07 KYENGERA-BUSEGA-24h'!J18,'28.07 KYENGERA-BUSEGA'!J18)</f>
        <v>4.7142857142857144</v>
      </c>
      <c r="K18" s="49">
        <f>AVERAGE('22.07 KYENGERA-BUSEGA'!K18,'23.07 KYENGERA-BUSEGA'!K18,'24.07 KYENGERA-BUSEGA'!K18,'25.07 KYENGERA-BUSEGA'!K18,'26.07 KYENGERA-BUSEGA-24h'!K18,'27.07 KYENGERA-BUSEGA-24h'!K18,'28.07 KYENGERA-BUSEGA'!K18)</f>
        <v>2</v>
      </c>
      <c r="L18" s="49">
        <f>AVERAGE('22.07 KYENGERA-BUSEGA'!L18,'23.07 KYENGERA-BUSEGA'!L18,'24.07 KYENGERA-BUSEGA'!L18,'25.07 KYENGERA-BUSEGA'!L18,'26.07 KYENGERA-BUSEGA-24h'!L18,'27.07 KYENGERA-BUSEGA-24h'!L18,'28.07 KYENGERA-BUSEGA'!L18)</f>
        <v>3.1428571428571428</v>
      </c>
      <c r="M18" s="49">
        <f>AVERAGE('22.07 KYENGERA-BUSEGA'!M18,'23.07 KYENGERA-BUSEGA'!M18,'24.07 KYENGERA-BUSEGA'!M18,'25.07 KYENGERA-BUSEGA'!M18,'26.07 KYENGERA-BUSEGA-24h'!M18,'27.07 KYENGERA-BUSEGA-24h'!M18,'28.07 KYENGERA-BUSEGA'!M18)</f>
        <v>389.28571428571428</v>
      </c>
      <c r="N18" s="49">
        <f>AVERAGE('22.07 KYENGERA-BUSEGA'!N18,'23.07 KYENGERA-BUSEGA'!N18,'24.07 KYENGERA-BUSEGA'!N18,'25.07 KYENGERA-BUSEGA'!N18,'26.07 KYENGERA-BUSEGA-24h'!N18,'27.07 KYENGERA-BUSEGA-24h'!N18,'28.07 KYENGERA-BUSEGA'!N18)</f>
        <v>0</v>
      </c>
      <c r="O18" s="15">
        <f t="shared" si="0"/>
        <v>209.99999999999997</v>
      </c>
      <c r="P18" s="15">
        <f t="shared" si="1"/>
        <v>599.28571428571422</v>
      </c>
      <c r="R18" s="1" t="s">
        <v>14</v>
      </c>
      <c r="S18" s="17">
        <f t="shared" ref="S18:AF18" si="10">SUM(C42:C45)</f>
        <v>225.85714285714286</v>
      </c>
      <c r="T18" s="17">
        <f t="shared" si="10"/>
        <v>37.857142857142861</v>
      </c>
      <c r="U18" s="17">
        <f t="shared" si="10"/>
        <v>38.571428571428569</v>
      </c>
      <c r="V18" s="17">
        <f t="shared" si="10"/>
        <v>150.28571428571428</v>
      </c>
      <c r="W18" s="17">
        <f t="shared" si="10"/>
        <v>4.5714285714285712</v>
      </c>
      <c r="X18" s="17">
        <f t="shared" si="10"/>
        <v>5.7142857142857135</v>
      </c>
      <c r="Y18" s="17">
        <f t="shared" si="10"/>
        <v>55.428571428571431</v>
      </c>
      <c r="Z18" s="17">
        <f t="shared" si="10"/>
        <v>16.857142857142854</v>
      </c>
      <c r="AA18" s="17">
        <f t="shared" si="10"/>
        <v>2.8571428571428568</v>
      </c>
      <c r="AB18" s="17">
        <f t="shared" si="10"/>
        <v>12.142857142857142</v>
      </c>
      <c r="AC18" s="17">
        <f t="shared" si="10"/>
        <v>555.42857142857144</v>
      </c>
      <c r="AD18" s="17">
        <f t="shared" si="10"/>
        <v>0</v>
      </c>
      <c r="AE18" s="31">
        <f t="shared" si="10"/>
        <v>550.14285714285711</v>
      </c>
      <c r="AF18" s="31">
        <f t="shared" si="10"/>
        <v>1105.5714285714284</v>
      </c>
    </row>
    <row r="19" spans="2:32" ht="23.1" customHeight="1" x14ac:dyDescent="0.25">
      <c r="B19" s="23" t="s">
        <v>46</v>
      </c>
      <c r="C19" s="49">
        <f>AVERAGE('22.07 KYENGERA-BUSEGA'!C19,'23.07 KYENGERA-BUSEGA'!C19,'24.07 KYENGERA-BUSEGA'!C19,'25.07 KYENGERA-BUSEGA'!C19,'26.07 KYENGERA-BUSEGA-24h'!C19,'27.07 KYENGERA-BUSEGA-24h'!C19,'28.07 KYENGERA-BUSEGA'!C19)</f>
        <v>87.142857142857139</v>
      </c>
      <c r="D19" s="49">
        <f>AVERAGE('22.07 KYENGERA-BUSEGA'!D19,'23.07 KYENGERA-BUSEGA'!D19,'24.07 KYENGERA-BUSEGA'!D19,'25.07 KYENGERA-BUSEGA'!D19,'26.07 KYENGERA-BUSEGA-24h'!D19,'27.07 KYENGERA-BUSEGA-24h'!D19,'28.07 KYENGERA-BUSEGA'!D19)</f>
        <v>8.7142857142857135</v>
      </c>
      <c r="E19" s="49">
        <f>AVERAGE('22.07 KYENGERA-BUSEGA'!E19,'23.07 KYENGERA-BUSEGA'!E19,'24.07 KYENGERA-BUSEGA'!E19,'25.07 KYENGERA-BUSEGA'!E19,'26.07 KYENGERA-BUSEGA-24h'!E19,'27.07 KYENGERA-BUSEGA-24h'!E19,'28.07 KYENGERA-BUSEGA'!E19)</f>
        <v>10.428571428571429</v>
      </c>
      <c r="F19" s="49">
        <f>AVERAGE('22.07 KYENGERA-BUSEGA'!F19,'23.07 KYENGERA-BUSEGA'!F19,'24.07 KYENGERA-BUSEGA'!F19,'25.07 KYENGERA-BUSEGA'!F19,'26.07 KYENGERA-BUSEGA-24h'!F19,'27.07 KYENGERA-BUSEGA-24h'!F19,'28.07 KYENGERA-BUSEGA'!F19)</f>
        <v>56.428571428571431</v>
      </c>
      <c r="G19" s="49">
        <f>AVERAGE('22.07 KYENGERA-BUSEGA'!G19,'23.07 KYENGERA-BUSEGA'!G19,'24.07 KYENGERA-BUSEGA'!G19,'25.07 KYENGERA-BUSEGA'!G19,'26.07 KYENGERA-BUSEGA-24h'!G19,'27.07 KYENGERA-BUSEGA-24h'!G19,'28.07 KYENGERA-BUSEGA'!G19)</f>
        <v>2.2857142857142856</v>
      </c>
      <c r="H19" s="49">
        <f>AVERAGE('22.07 KYENGERA-BUSEGA'!H19,'23.07 KYENGERA-BUSEGA'!H19,'24.07 KYENGERA-BUSEGA'!H19,'25.07 KYENGERA-BUSEGA'!H19,'26.07 KYENGERA-BUSEGA-24h'!H19,'27.07 KYENGERA-BUSEGA-24h'!H19,'28.07 KYENGERA-BUSEGA'!H19)</f>
        <v>1.5714285714285714</v>
      </c>
      <c r="I19" s="49">
        <f>AVERAGE('22.07 KYENGERA-BUSEGA'!I19,'23.07 KYENGERA-BUSEGA'!I19,'24.07 KYENGERA-BUSEGA'!I19,'25.07 KYENGERA-BUSEGA'!I19,'26.07 KYENGERA-BUSEGA-24h'!I19,'27.07 KYENGERA-BUSEGA-24h'!I19,'28.07 KYENGERA-BUSEGA'!I19)</f>
        <v>14</v>
      </c>
      <c r="J19" s="49">
        <f>AVERAGE('22.07 KYENGERA-BUSEGA'!J19,'23.07 KYENGERA-BUSEGA'!J19,'24.07 KYENGERA-BUSEGA'!J19,'25.07 KYENGERA-BUSEGA'!J19,'26.07 KYENGERA-BUSEGA-24h'!J19,'27.07 KYENGERA-BUSEGA-24h'!J19,'28.07 KYENGERA-BUSEGA'!J19)</f>
        <v>3.4285714285714284</v>
      </c>
      <c r="K19" s="49">
        <f>AVERAGE('22.07 KYENGERA-BUSEGA'!K19,'23.07 KYENGERA-BUSEGA'!K19,'24.07 KYENGERA-BUSEGA'!K19,'25.07 KYENGERA-BUSEGA'!K19,'26.07 KYENGERA-BUSEGA-24h'!K19,'27.07 KYENGERA-BUSEGA-24h'!K19,'28.07 KYENGERA-BUSEGA'!K19)</f>
        <v>1.2857142857142858</v>
      </c>
      <c r="L19" s="49">
        <f>AVERAGE('22.07 KYENGERA-BUSEGA'!L19,'23.07 KYENGERA-BUSEGA'!L19,'24.07 KYENGERA-BUSEGA'!L19,'25.07 KYENGERA-BUSEGA'!L19,'26.07 KYENGERA-BUSEGA-24h'!L19,'27.07 KYENGERA-BUSEGA-24h'!L19,'28.07 KYENGERA-BUSEGA'!L19)</f>
        <v>3.4285714285714284</v>
      </c>
      <c r="M19" s="49">
        <f>AVERAGE('22.07 KYENGERA-BUSEGA'!M19,'23.07 KYENGERA-BUSEGA'!M19,'24.07 KYENGERA-BUSEGA'!M19,'25.07 KYENGERA-BUSEGA'!M19,'26.07 KYENGERA-BUSEGA-24h'!M19,'27.07 KYENGERA-BUSEGA-24h'!M19,'28.07 KYENGERA-BUSEGA'!M19)</f>
        <v>327.71428571428572</v>
      </c>
      <c r="N19" s="49">
        <f>AVERAGE('22.07 KYENGERA-BUSEGA'!N19,'23.07 KYENGERA-BUSEGA'!N19,'24.07 KYENGERA-BUSEGA'!N19,'25.07 KYENGERA-BUSEGA'!N19,'26.07 KYENGERA-BUSEGA-24h'!N19,'27.07 KYENGERA-BUSEGA-24h'!N19,'28.07 KYENGERA-BUSEGA'!N19)</f>
        <v>0</v>
      </c>
      <c r="O19" s="15">
        <f t="shared" si="0"/>
        <v>188.71428571428569</v>
      </c>
      <c r="P19" s="15">
        <f t="shared" si="1"/>
        <v>516.42857142857144</v>
      </c>
      <c r="R19" s="1" t="s">
        <v>15</v>
      </c>
      <c r="S19" s="17">
        <f t="shared" ref="S19:AF19" si="11">SUM(C46:C49)</f>
        <v>238.14285714285717</v>
      </c>
      <c r="T19" s="17">
        <f t="shared" si="11"/>
        <v>36.285714285714292</v>
      </c>
      <c r="U19" s="17">
        <f t="shared" si="11"/>
        <v>39.142857142857146</v>
      </c>
      <c r="V19" s="17">
        <f t="shared" si="11"/>
        <v>152.42857142857144</v>
      </c>
      <c r="W19" s="17">
        <f t="shared" si="11"/>
        <v>4.7142857142857135</v>
      </c>
      <c r="X19" s="17">
        <f t="shared" si="11"/>
        <v>8.5714285714285712</v>
      </c>
      <c r="Y19" s="17">
        <f t="shared" si="11"/>
        <v>51.714285714285708</v>
      </c>
      <c r="Z19" s="17">
        <f t="shared" si="11"/>
        <v>23.857142857142861</v>
      </c>
      <c r="AA19" s="17">
        <f t="shared" si="11"/>
        <v>5.5714285714285712</v>
      </c>
      <c r="AB19" s="17">
        <f t="shared" si="11"/>
        <v>16.857142857142858</v>
      </c>
      <c r="AC19" s="17">
        <f t="shared" si="11"/>
        <v>596.85714285714289</v>
      </c>
      <c r="AD19" s="17">
        <f t="shared" si="11"/>
        <v>0.14285714285714285</v>
      </c>
      <c r="AE19" s="31">
        <f t="shared" si="11"/>
        <v>577.42857142857133</v>
      </c>
      <c r="AF19" s="31">
        <f t="shared" si="11"/>
        <v>1174.2857142857142</v>
      </c>
    </row>
    <row r="20" spans="2:32" ht="23.1" customHeight="1" x14ac:dyDescent="0.25">
      <c r="B20" s="23" t="s">
        <v>47</v>
      </c>
      <c r="C20" s="49">
        <f>AVERAGE('22.07 KYENGERA-BUSEGA'!C20,'23.07 KYENGERA-BUSEGA'!C20,'24.07 KYENGERA-BUSEGA'!C20,'25.07 KYENGERA-BUSEGA'!C20,'26.07 KYENGERA-BUSEGA-24h'!C20,'27.07 KYENGERA-BUSEGA-24h'!C20,'28.07 KYENGERA-BUSEGA'!C20)</f>
        <v>92.857142857142861</v>
      </c>
      <c r="D20" s="49">
        <f>AVERAGE('22.07 KYENGERA-BUSEGA'!D20,'23.07 KYENGERA-BUSEGA'!D20,'24.07 KYENGERA-BUSEGA'!D20,'25.07 KYENGERA-BUSEGA'!D20,'26.07 KYENGERA-BUSEGA-24h'!D20,'27.07 KYENGERA-BUSEGA-24h'!D20,'28.07 KYENGERA-BUSEGA'!D20)</f>
        <v>8.8571428571428577</v>
      </c>
      <c r="E20" s="49">
        <f>AVERAGE('22.07 KYENGERA-BUSEGA'!E20,'23.07 KYENGERA-BUSEGA'!E20,'24.07 KYENGERA-BUSEGA'!E20,'25.07 KYENGERA-BUSEGA'!E20,'26.07 KYENGERA-BUSEGA-24h'!E20,'27.07 KYENGERA-BUSEGA-24h'!E20,'28.07 KYENGERA-BUSEGA'!E20)</f>
        <v>11.142857142857142</v>
      </c>
      <c r="F20" s="49">
        <f>AVERAGE('22.07 KYENGERA-BUSEGA'!F20,'23.07 KYENGERA-BUSEGA'!F20,'24.07 KYENGERA-BUSEGA'!F20,'25.07 KYENGERA-BUSEGA'!F20,'26.07 KYENGERA-BUSEGA-24h'!F20,'27.07 KYENGERA-BUSEGA-24h'!F20,'28.07 KYENGERA-BUSEGA'!F20)</f>
        <v>53</v>
      </c>
      <c r="G20" s="49">
        <f>AVERAGE('22.07 KYENGERA-BUSEGA'!G20,'23.07 KYENGERA-BUSEGA'!G20,'24.07 KYENGERA-BUSEGA'!G20,'25.07 KYENGERA-BUSEGA'!G20,'26.07 KYENGERA-BUSEGA-24h'!G20,'27.07 KYENGERA-BUSEGA-24h'!G20,'28.07 KYENGERA-BUSEGA'!G20)</f>
        <v>2.2857142857142856</v>
      </c>
      <c r="H20" s="49">
        <f>AVERAGE('22.07 KYENGERA-BUSEGA'!H20,'23.07 KYENGERA-BUSEGA'!H20,'24.07 KYENGERA-BUSEGA'!H20,'25.07 KYENGERA-BUSEGA'!H20,'26.07 KYENGERA-BUSEGA-24h'!H20,'27.07 KYENGERA-BUSEGA-24h'!H20,'28.07 KYENGERA-BUSEGA'!H20)</f>
        <v>0.8571428571428571</v>
      </c>
      <c r="I20" s="49">
        <f>AVERAGE('22.07 KYENGERA-BUSEGA'!I20,'23.07 KYENGERA-BUSEGA'!I20,'24.07 KYENGERA-BUSEGA'!I20,'25.07 KYENGERA-BUSEGA'!I20,'26.07 KYENGERA-BUSEGA-24h'!I20,'27.07 KYENGERA-BUSEGA-24h'!I20,'28.07 KYENGERA-BUSEGA'!I20)</f>
        <v>13.571428571428571</v>
      </c>
      <c r="J20" s="49">
        <f>AVERAGE('22.07 KYENGERA-BUSEGA'!J20,'23.07 KYENGERA-BUSEGA'!J20,'24.07 KYENGERA-BUSEGA'!J20,'25.07 KYENGERA-BUSEGA'!J20,'26.07 KYENGERA-BUSEGA-24h'!J20,'27.07 KYENGERA-BUSEGA-24h'!J20,'28.07 KYENGERA-BUSEGA'!J20)</f>
        <v>5.5714285714285712</v>
      </c>
      <c r="K20" s="49">
        <f>AVERAGE('22.07 KYENGERA-BUSEGA'!K20,'23.07 KYENGERA-BUSEGA'!K20,'24.07 KYENGERA-BUSEGA'!K20,'25.07 KYENGERA-BUSEGA'!K20,'26.07 KYENGERA-BUSEGA-24h'!K20,'27.07 KYENGERA-BUSEGA-24h'!K20,'28.07 KYENGERA-BUSEGA'!K20)</f>
        <v>1.5714285714285714</v>
      </c>
      <c r="L20" s="49">
        <f>AVERAGE('22.07 KYENGERA-BUSEGA'!L20,'23.07 KYENGERA-BUSEGA'!L20,'24.07 KYENGERA-BUSEGA'!L20,'25.07 KYENGERA-BUSEGA'!L20,'26.07 KYENGERA-BUSEGA-24h'!L20,'27.07 KYENGERA-BUSEGA-24h'!L20,'28.07 KYENGERA-BUSEGA'!L20)</f>
        <v>4.4285714285714288</v>
      </c>
      <c r="M20" s="49">
        <f>AVERAGE('22.07 KYENGERA-BUSEGA'!M20,'23.07 KYENGERA-BUSEGA'!M20,'24.07 KYENGERA-BUSEGA'!M20,'25.07 KYENGERA-BUSEGA'!M20,'26.07 KYENGERA-BUSEGA-24h'!M20,'27.07 KYENGERA-BUSEGA-24h'!M20,'28.07 KYENGERA-BUSEGA'!M20)</f>
        <v>270.28571428571428</v>
      </c>
      <c r="N20" s="49">
        <f>AVERAGE('22.07 KYENGERA-BUSEGA'!N20,'23.07 KYENGERA-BUSEGA'!N20,'24.07 KYENGERA-BUSEGA'!N20,'25.07 KYENGERA-BUSEGA'!N20,'26.07 KYENGERA-BUSEGA-24h'!N20,'27.07 KYENGERA-BUSEGA-24h'!N20,'28.07 KYENGERA-BUSEGA'!N20)</f>
        <v>0</v>
      </c>
      <c r="O20" s="15">
        <f t="shared" si="0"/>
        <v>194.14285714285717</v>
      </c>
      <c r="P20" s="15">
        <f t="shared" si="1"/>
        <v>464.42857142857144</v>
      </c>
      <c r="R20" s="1" t="s">
        <v>16</v>
      </c>
      <c r="S20" s="17">
        <f t="shared" ref="S20:AF20" si="12">SUM(C50:C53)</f>
        <v>281.57142857142856</v>
      </c>
      <c r="T20" s="17">
        <f t="shared" si="12"/>
        <v>42.857142857142861</v>
      </c>
      <c r="U20" s="17">
        <f t="shared" si="12"/>
        <v>46.428571428571423</v>
      </c>
      <c r="V20" s="17">
        <f t="shared" si="12"/>
        <v>169</v>
      </c>
      <c r="W20" s="17">
        <f t="shared" si="12"/>
        <v>7.2857142857142847</v>
      </c>
      <c r="X20" s="17">
        <f t="shared" si="12"/>
        <v>10.142857142857142</v>
      </c>
      <c r="Y20" s="17">
        <f t="shared" si="12"/>
        <v>55.142857142857146</v>
      </c>
      <c r="Z20" s="17">
        <f t="shared" si="12"/>
        <v>21.428571428571431</v>
      </c>
      <c r="AA20" s="17">
        <f t="shared" si="12"/>
        <v>5.5714285714285721</v>
      </c>
      <c r="AB20" s="17">
        <f t="shared" si="12"/>
        <v>18.428571428571431</v>
      </c>
      <c r="AC20" s="17">
        <f t="shared" si="12"/>
        <v>815.57142857142867</v>
      </c>
      <c r="AD20" s="17">
        <f t="shared" si="12"/>
        <v>0</v>
      </c>
      <c r="AE20" s="31">
        <f t="shared" si="12"/>
        <v>657.85714285714289</v>
      </c>
      <c r="AF20" s="31">
        <f t="shared" si="12"/>
        <v>1473.4285714285716</v>
      </c>
    </row>
    <row r="21" spans="2:32" ht="23.1" customHeight="1" x14ac:dyDescent="0.25">
      <c r="B21" s="23" t="s">
        <v>48</v>
      </c>
      <c r="C21" s="49">
        <f>AVERAGE('22.07 KYENGERA-BUSEGA'!C21,'23.07 KYENGERA-BUSEGA'!C21,'24.07 KYENGERA-BUSEGA'!C21,'25.07 KYENGERA-BUSEGA'!C21,'26.07 KYENGERA-BUSEGA-24h'!C21,'27.07 KYENGERA-BUSEGA-24h'!C21,'28.07 KYENGERA-BUSEGA'!C21)</f>
        <v>90.142857142857139</v>
      </c>
      <c r="D21" s="49">
        <f>AVERAGE('22.07 KYENGERA-BUSEGA'!D21,'23.07 KYENGERA-BUSEGA'!D21,'24.07 KYENGERA-BUSEGA'!D21,'25.07 KYENGERA-BUSEGA'!D21,'26.07 KYENGERA-BUSEGA-24h'!D21,'27.07 KYENGERA-BUSEGA-24h'!D21,'28.07 KYENGERA-BUSEGA'!D21)</f>
        <v>12.857142857142858</v>
      </c>
      <c r="E21" s="49">
        <f>AVERAGE('22.07 KYENGERA-BUSEGA'!E21,'23.07 KYENGERA-BUSEGA'!E21,'24.07 KYENGERA-BUSEGA'!E21,'25.07 KYENGERA-BUSEGA'!E21,'26.07 KYENGERA-BUSEGA-24h'!E21,'27.07 KYENGERA-BUSEGA-24h'!E21,'28.07 KYENGERA-BUSEGA'!E21)</f>
        <v>10.857142857142858</v>
      </c>
      <c r="F21" s="49">
        <f>AVERAGE('22.07 KYENGERA-BUSEGA'!F21,'23.07 KYENGERA-BUSEGA'!F21,'24.07 KYENGERA-BUSEGA'!F21,'25.07 KYENGERA-BUSEGA'!F21,'26.07 KYENGERA-BUSEGA-24h'!F21,'27.07 KYENGERA-BUSEGA-24h'!F21,'28.07 KYENGERA-BUSEGA'!F21)</f>
        <v>58</v>
      </c>
      <c r="G21" s="49">
        <f>AVERAGE('22.07 KYENGERA-BUSEGA'!G21,'23.07 KYENGERA-BUSEGA'!G21,'24.07 KYENGERA-BUSEGA'!G21,'25.07 KYENGERA-BUSEGA'!G21,'26.07 KYENGERA-BUSEGA-24h'!G21,'27.07 KYENGERA-BUSEGA-24h'!G21,'28.07 KYENGERA-BUSEGA'!G21)</f>
        <v>2.4285714285714284</v>
      </c>
      <c r="H21" s="49">
        <f>AVERAGE('22.07 KYENGERA-BUSEGA'!H21,'23.07 KYENGERA-BUSEGA'!H21,'24.07 KYENGERA-BUSEGA'!H21,'25.07 KYENGERA-BUSEGA'!H21,'26.07 KYENGERA-BUSEGA-24h'!H21,'27.07 KYENGERA-BUSEGA-24h'!H21,'28.07 KYENGERA-BUSEGA'!H21)</f>
        <v>1.1428571428571428</v>
      </c>
      <c r="I21" s="49">
        <f>AVERAGE('22.07 KYENGERA-BUSEGA'!I21,'23.07 KYENGERA-BUSEGA'!I21,'24.07 KYENGERA-BUSEGA'!I21,'25.07 KYENGERA-BUSEGA'!I21,'26.07 KYENGERA-BUSEGA-24h'!I21,'27.07 KYENGERA-BUSEGA-24h'!I21,'28.07 KYENGERA-BUSEGA'!I21)</f>
        <v>14.571428571428571</v>
      </c>
      <c r="J21" s="49">
        <f>AVERAGE('22.07 KYENGERA-BUSEGA'!J21,'23.07 KYENGERA-BUSEGA'!J21,'24.07 KYENGERA-BUSEGA'!J21,'25.07 KYENGERA-BUSEGA'!J21,'26.07 KYENGERA-BUSEGA-24h'!J21,'27.07 KYENGERA-BUSEGA-24h'!J21,'28.07 KYENGERA-BUSEGA'!J21)</f>
        <v>5</v>
      </c>
      <c r="K21" s="49">
        <f>AVERAGE('22.07 KYENGERA-BUSEGA'!K21,'23.07 KYENGERA-BUSEGA'!K21,'24.07 KYENGERA-BUSEGA'!K21,'25.07 KYENGERA-BUSEGA'!K21,'26.07 KYENGERA-BUSEGA-24h'!K21,'27.07 KYENGERA-BUSEGA-24h'!K21,'28.07 KYENGERA-BUSEGA'!K21)</f>
        <v>0.5714285714285714</v>
      </c>
      <c r="L21" s="49">
        <f>AVERAGE('22.07 KYENGERA-BUSEGA'!L21,'23.07 KYENGERA-BUSEGA'!L21,'24.07 KYENGERA-BUSEGA'!L21,'25.07 KYENGERA-BUSEGA'!L21,'26.07 KYENGERA-BUSEGA-24h'!L21,'27.07 KYENGERA-BUSEGA-24h'!L21,'28.07 KYENGERA-BUSEGA'!L21)</f>
        <v>2.8571428571428572</v>
      </c>
      <c r="M21" s="49">
        <f>AVERAGE('22.07 KYENGERA-BUSEGA'!M21,'23.07 KYENGERA-BUSEGA'!M21,'24.07 KYENGERA-BUSEGA'!M21,'25.07 KYENGERA-BUSEGA'!M21,'26.07 KYENGERA-BUSEGA-24h'!M21,'27.07 KYENGERA-BUSEGA-24h'!M21,'28.07 KYENGERA-BUSEGA'!M21)</f>
        <v>280.42857142857144</v>
      </c>
      <c r="N21" s="49">
        <f>AVERAGE('22.07 KYENGERA-BUSEGA'!N21,'23.07 KYENGERA-BUSEGA'!N21,'24.07 KYENGERA-BUSEGA'!N21,'25.07 KYENGERA-BUSEGA'!N21,'26.07 KYENGERA-BUSEGA-24h'!N21,'27.07 KYENGERA-BUSEGA-24h'!N21,'28.07 KYENGERA-BUSEGA'!N21)</f>
        <v>0</v>
      </c>
      <c r="O21" s="15">
        <f t="shared" si="0"/>
        <v>198.42857142857144</v>
      </c>
      <c r="P21" s="15">
        <f t="shared" si="1"/>
        <v>478.85714285714289</v>
      </c>
      <c r="R21" s="36" t="s">
        <v>20</v>
      </c>
      <c r="S21" s="34">
        <f t="shared" ref="S21:AF33" si="13">SUM(C54:C57)</f>
        <v>299.42857142857144</v>
      </c>
      <c r="T21" s="17">
        <f t="shared" si="13"/>
        <v>38.571428571428569</v>
      </c>
      <c r="U21" s="17">
        <f t="shared" si="13"/>
        <v>36.714285714285715</v>
      </c>
      <c r="V21" s="17">
        <f t="shared" si="13"/>
        <v>200.57142857142856</v>
      </c>
      <c r="W21" s="17">
        <f t="shared" si="13"/>
        <v>9.2857142857142865</v>
      </c>
      <c r="X21" s="17">
        <f t="shared" si="13"/>
        <v>6.2857142857142856</v>
      </c>
      <c r="Y21" s="17">
        <f t="shared" si="13"/>
        <v>50</v>
      </c>
      <c r="Z21" s="17">
        <f t="shared" si="13"/>
        <v>18.285714285714285</v>
      </c>
      <c r="AA21" s="17">
        <f t="shared" si="13"/>
        <v>4.7142857142857144</v>
      </c>
      <c r="AB21" s="17">
        <f t="shared" si="13"/>
        <v>15.714285714285714</v>
      </c>
      <c r="AC21" s="17">
        <f t="shared" si="13"/>
        <v>1080.8571428571427</v>
      </c>
      <c r="AD21" s="17">
        <f t="shared" si="13"/>
        <v>0.14285714285714285</v>
      </c>
      <c r="AE21" s="31">
        <f t="shared" si="13"/>
        <v>679.71428571428578</v>
      </c>
      <c r="AF21" s="31">
        <f t="shared" si="13"/>
        <v>1760.5714285714284</v>
      </c>
    </row>
    <row r="22" spans="2:32" ht="23.1" customHeight="1" x14ac:dyDescent="0.25">
      <c r="B22" s="23" t="s">
        <v>49</v>
      </c>
      <c r="C22" s="49">
        <f>AVERAGE('22.07 KYENGERA-BUSEGA'!C22,'23.07 KYENGERA-BUSEGA'!C22,'24.07 KYENGERA-BUSEGA'!C22,'25.07 KYENGERA-BUSEGA'!C22,'26.07 KYENGERA-BUSEGA-24h'!C22,'27.07 KYENGERA-BUSEGA-24h'!C22,'28.07 KYENGERA-BUSEGA'!C22)</f>
        <v>82.285714285714292</v>
      </c>
      <c r="D22" s="49">
        <f>AVERAGE('22.07 KYENGERA-BUSEGA'!D22,'23.07 KYENGERA-BUSEGA'!D22,'24.07 KYENGERA-BUSEGA'!D22,'25.07 KYENGERA-BUSEGA'!D22,'26.07 KYENGERA-BUSEGA-24h'!D22,'27.07 KYENGERA-BUSEGA-24h'!D22,'28.07 KYENGERA-BUSEGA'!D22)</f>
        <v>7.7142857142857144</v>
      </c>
      <c r="E22" s="49">
        <f>AVERAGE('22.07 KYENGERA-BUSEGA'!E22,'23.07 KYENGERA-BUSEGA'!E22,'24.07 KYENGERA-BUSEGA'!E22,'25.07 KYENGERA-BUSEGA'!E22,'26.07 KYENGERA-BUSEGA-24h'!E22,'27.07 KYENGERA-BUSEGA-24h'!E22,'28.07 KYENGERA-BUSEGA'!E22)</f>
        <v>8.7142857142857135</v>
      </c>
      <c r="F22" s="49">
        <f>AVERAGE('22.07 KYENGERA-BUSEGA'!F22,'23.07 KYENGERA-BUSEGA'!F22,'24.07 KYENGERA-BUSEGA'!F22,'25.07 KYENGERA-BUSEGA'!F22,'26.07 KYENGERA-BUSEGA-24h'!F22,'27.07 KYENGERA-BUSEGA-24h'!F22,'28.07 KYENGERA-BUSEGA'!F22)</f>
        <v>53</v>
      </c>
      <c r="G22" s="49">
        <f>AVERAGE('22.07 KYENGERA-BUSEGA'!G22,'23.07 KYENGERA-BUSEGA'!G22,'24.07 KYENGERA-BUSEGA'!G22,'25.07 KYENGERA-BUSEGA'!G22,'26.07 KYENGERA-BUSEGA-24h'!G22,'27.07 KYENGERA-BUSEGA-24h'!G22,'28.07 KYENGERA-BUSEGA'!G22)</f>
        <v>2</v>
      </c>
      <c r="H22" s="49">
        <f>AVERAGE('22.07 KYENGERA-BUSEGA'!H22,'23.07 KYENGERA-BUSEGA'!H22,'24.07 KYENGERA-BUSEGA'!H22,'25.07 KYENGERA-BUSEGA'!H22,'26.07 KYENGERA-BUSEGA-24h'!H22,'27.07 KYENGERA-BUSEGA-24h'!H22,'28.07 KYENGERA-BUSEGA'!H22)</f>
        <v>1</v>
      </c>
      <c r="I22" s="49">
        <f>AVERAGE('22.07 KYENGERA-BUSEGA'!I22,'23.07 KYENGERA-BUSEGA'!I22,'24.07 KYENGERA-BUSEGA'!I22,'25.07 KYENGERA-BUSEGA'!I22,'26.07 KYENGERA-BUSEGA-24h'!I22,'27.07 KYENGERA-BUSEGA-24h'!I22,'28.07 KYENGERA-BUSEGA'!I22)</f>
        <v>13.857142857142858</v>
      </c>
      <c r="J22" s="49">
        <f>AVERAGE('22.07 KYENGERA-BUSEGA'!J22,'23.07 KYENGERA-BUSEGA'!J22,'24.07 KYENGERA-BUSEGA'!J22,'25.07 KYENGERA-BUSEGA'!J22,'26.07 KYENGERA-BUSEGA-24h'!J22,'27.07 KYENGERA-BUSEGA-24h'!J22,'28.07 KYENGERA-BUSEGA'!J22)</f>
        <v>4</v>
      </c>
      <c r="K22" s="49">
        <f>AVERAGE('22.07 KYENGERA-BUSEGA'!K22,'23.07 KYENGERA-BUSEGA'!K22,'24.07 KYENGERA-BUSEGA'!K22,'25.07 KYENGERA-BUSEGA'!K22,'26.07 KYENGERA-BUSEGA-24h'!K22,'27.07 KYENGERA-BUSEGA-24h'!K22,'28.07 KYENGERA-BUSEGA'!K22)</f>
        <v>0.2857142857142857</v>
      </c>
      <c r="L22" s="49">
        <f>AVERAGE('22.07 KYENGERA-BUSEGA'!L22,'23.07 KYENGERA-BUSEGA'!L22,'24.07 KYENGERA-BUSEGA'!L22,'25.07 KYENGERA-BUSEGA'!L22,'26.07 KYENGERA-BUSEGA-24h'!L22,'27.07 KYENGERA-BUSEGA-24h'!L22,'28.07 KYENGERA-BUSEGA'!L22)</f>
        <v>3</v>
      </c>
      <c r="M22" s="49">
        <f>AVERAGE('22.07 KYENGERA-BUSEGA'!M22,'23.07 KYENGERA-BUSEGA'!M22,'24.07 KYENGERA-BUSEGA'!M22,'25.07 KYENGERA-BUSEGA'!M22,'26.07 KYENGERA-BUSEGA-24h'!M22,'27.07 KYENGERA-BUSEGA-24h'!M22,'28.07 KYENGERA-BUSEGA'!M22)</f>
        <v>246</v>
      </c>
      <c r="N22" s="49">
        <f>AVERAGE('22.07 KYENGERA-BUSEGA'!N22,'23.07 KYENGERA-BUSEGA'!N22,'24.07 KYENGERA-BUSEGA'!N22,'25.07 KYENGERA-BUSEGA'!N22,'26.07 KYENGERA-BUSEGA-24h'!N22,'27.07 KYENGERA-BUSEGA-24h'!N22,'28.07 KYENGERA-BUSEGA'!N22)</f>
        <v>0</v>
      </c>
      <c r="O22" s="15">
        <f t="shared" si="0"/>
        <v>175.85714285714286</v>
      </c>
      <c r="P22" s="15">
        <f t="shared" si="1"/>
        <v>421.85714285714289</v>
      </c>
      <c r="R22" s="1" t="s">
        <v>146</v>
      </c>
      <c r="S22" s="34">
        <f>SUM(C58:C61)</f>
        <v>305.5</v>
      </c>
      <c r="T22" s="34">
        <f t="shared" ref="T22:AD22" si="14">SUM(D58:D61)</f>
        <v>30.5</v>
      </c>
      <c r="U22" s="34">
        <f t="shared" si="14"/>
        <v>29</v>
      </c>
      <c r="V22" s="34">
        <f t="shared" si="14"/>
        <v>192.5</v>
      </c>
      <c r="W22" s="34">
        <f t="shared" si="14"/>
        <v>10</v>
      </c>
      <c r="X22" s="34">
        <f t="shared" si="14"/>
        <v>9</v>
      </c>
      <c r="Y22" s="34">
        <f t="shared" si="14"/>
        <v>51.5</v>
      </c>
      <c r="Z22" s="34">
        <f t="shared" si="14"/>
        <v>19.5</v>
      </c>
      <c r="AA22" s="34">
        <f t="shared" si="14"/>
        <v>5</v>
      </c>
      <c r="AB22" s="34">
        <f t="shared" si="14"/>
        <v>8</v>
      </c>
      <c r="AC22" s="34">
        <f t="shared" si="14"/>
        <v>1280</v>
      </c>
      <c r="AD22" s="34">
        <f t="shared" si="14"/>
        <v>0.5</v>
      </c>
      <c r="AE22" s="31">
        <f t="shared" si="13"/>
        <v>690</v>
      </c>
      <c r="AF22" s="31">
        <f t="shared" si="13"/>
        <v>1765.6428571428573</v>
      </c>
    </row>
    <row r="23" spans="2:32" ht="23.1" customHeight="1" x14ac:dyDescent="0.25">
      <c r="B23" s="23" t="s">
        <v>50</v>
      </c>
      <c r="C23" s="49">
        <f>AVERAGE('22.07 KYENGERA-BUSEGA'!C23,'23.07 KYENGERA-BUSEGA'!C23,'24.07 KYENGERA-BUSEGA'!C23,'25.07 KYENGERA-BUSEGA'!C23,'26.07 KYENGERA-BUSEGA-24h'!C23,'27.07 KYENGERA-BUSEGA-24h'!C23,'28.07 KYENGERA-BUSEGA'!C23)</f>
        <v>89.857142857142861</v>
      </c>
      <c r="D23" s="49">
        <f>AVERAGE('22.07 KYENGERA-BUSEGA'!D23,'23.07 KYENGERA-BUSEGA'!D23,'24.07 KYENGERA-BUSEGA'!D23,'25.07 KYENGERA-BUSEGA'!D23,'26.07 KYENGERA-BUSEGA-24h'!D23,'27.07 KYENGERA-BUSEGA-24h'!D23,'28.07 KYENGERA-BUSEGA'!D23)</f>
        <v>9.4285714285714288</v>
      </c>
      <c r="E23" s="49">
        <f>AVERAGE('22.07 KYENGERA-BUSEGA'!E23,'23.07 KYENGERA-BUSEGA'!E23,'24.07 KYENGERA-BUSEGA'!E23,'25.07 KYENGERA-BUSEGA'!E23,'26.07 KYENGERA-BUSEGA-24h'!E23,'27.07 KYENGERA-BUSEGA-24h'!E23,'28.07 KYENGERA-BUSEGA'!E23)</f>
        <v>9</v>
      </c>
      <c r="F23" s="49">
        <f>AVERAGE('22.07 KYENGERA-BUSEGA'!F23,'23.07 KYENGERA-BUSEGA'!F23,'24.07 KYENGERA-BUSEGA'!F23,'25.07 KYENGERA-BUSEGA'!F23,'26.07 KYENGERA-BUSEGA-24h'!F23,'27.07 KYENGERA-BUSEGA-24h'!F23,'28.07 KYENGERA-BUSEGA'!F23)</f>
        <v>62.428571428571431</v>
      </c>
      <c r="G23" s="49">
        <f>AVERAGE('22.07 KYENGERA-BUSEGA'!G23,'23.07 KYENGERA-BUSEGA'!G23,'24.07 KYENGERA-BUSEGA'!G23,'25.07 KYENGERA-BUSEGA'!G23,'26.07 KYENGERA-BUSEGA-24h'!G23,'27.07 KYENGERA-BUSEGA-24h'!G23,'28.07 KYENGERA-BUSEGA'!G23)</f>
        <v>2</v>
      </c>
      <c r="H23" s="49">
        <f>AVERAGE('22.07 KYENGERA-BUSEGA'!H23,'23.07 KYENGERA-BUSEGA'!H23,'24.07 KYENGERA-BUSEGA'!H23,'25.07 KYENGERA-BUSEGA'!H23,'26.07 KYENGERA-BUSEGA-24h'!H23,'27.07 KYENGERA-BUSEGA-24h'!H23,'28.07 KYENGERA-BUSEGA'!H23)</f>
        <v>0.8571428571428571</v>
      </c>
      <c r="I23" s="49">
        <f>AVERAGE('22.07 KYENGERA-BUSEGA'!I23,'23.07 KYENGERA-BUSEGA'!I23,'24.07 KYENGERA-BUSEGA'!I23,'25.07 KYENGERA-BUSEGA'!I23,'26.07 KYENGERA-BUSEGA-24h'!I23,'27.07 KYENGERA-BUSEGA-24h'!I23,'28.07 KYENGERA-BUSEGA'!I23)</f>
        <v>14</v>
      </c>
      <c r="J23" s="49">
        <f>AVERAGE('22.07 KYENGERA-BUSEGA'!J23,'23.07 KYENGERA-BUSEGA'!J23,'24.07 KYENGERA-BUSEGA'!J23,'25.07 KYENGERA-BUSEGA'!J23,'26.07 KYENGERA-BUSEGA-24h'!J23,'27.07 KYENGERA-BUSEGA-24h'!J23,'28.07 KYENGERA-BUSEGA'!J23)</f>
        <v>4.5714285714285712</v>
      </c>
      <c r="K23" s="49">
        <f>AVERAGE('22.07 KYENGERA-BUSEGA'!K23,'23.07 KYENGERA-BUSEGA'!K23,'24.07 KYENGERA-BUSEGA'!K23,'25.07 KYENGERA-BUSEGA'!K23,'26.07 KYENGERA-BUSEGA-24h'!K23,'27.07 KYENGERA-BUSEGA-24h'!K23,'28.07 KYENGERA-BUSEGA'!K23)</f>
        <v>1.5714285714285714</v>
      </c>
      <c r="L23" s="49">
        <f>AVERAGE('22.07 KYENGERA-BUSEGA'!L23,'23.07 KYENGERA-BUSEGA'!L23,'24.07 KYENGERA-BUSEGA'!L23,'25.07 KYENGERA-BUSEGA'!L23,'26.07 KYENGERA-BUSEGA-24h'!L23,'27.07 KYENGERA-BUSEGA-24h'!L23,'28.07 KYENGERA-BUSEGA'!L23)</f>
        <v>3.2857142857142856</v>
      </c>
      <c r="M23" s="49">
        <f>AVERAGE('22.07 KYENGERA-BUSEGA'!M23,'23.07 KYENGERA-BUSEGA'!M23,'24.07 KYENGERA-BUSEGA'!M23,'25.07 KYENGERA-BUSEGA'!M23,'26.07 KYENGERA-BUSEGA-24h'!M23,'27.07 KYENGERA-BUSEGA-24h'!M23,'28.07 KYENGERA-BUSEGA'!M23)</f>
        <v>236.85714285714286</v>
      </c>
      <c r="N23" s="49">
        <f>AVERAGE('22.07 KYENGERA-BUSEGA'!N23,'23.07 KYENGERA-BUSEGA'!N23,'24.07 KYENGERA-BUSEGA'!N23,'25.07 KYENGERA-BUSEGA'!N23,'26.07 KYENGERA-BUSEGA-24h'!N23,'27.07 KYENGERA-BUSEGA-24h'!N23,'28.07 KYENGERA-BUSEGA'!N23)</f>
        <v>0</v>
      </c>
      <c r="O23" s="15">
        <f t="shared" si="0"/>
        <v>197.00000000000003</v>
      </c>
      <c r="P23" s="15">
        <f t="shared" si="1"/>
        <v>433.85714285714289</v>
      </c>
      <c r="R23" s="1" t="s">
        <v>147</v>
      </c>
      <c r="S23" s="34">
        <f>SUM(C62:C65)</f>
        <v>232</v>
      </c>
      <c r="T23" s="34">
        <f t="shared" ref="T23:AD23" si="15">SUM(D62:D65)</f>
        <v>34.5</v>
      </c>
      <c r="U23" s="34">
        <f t="shared" si="15"/>
        <v>22</v>
      </c>
      <c r="V23" s="34">
        <f t="shared" si="15"/>
        <v>137.5</v>
      </c>
      <c r="W23" s="34">
        <f t="shared" si="15"/>
        <v>10</v>
      </c>
      <c r="X23" s="34">
        <f t="shared" si="15"/>
        <v>7</v>
      </c>
      <c r="Y23" s="34">
        <f t="shared" si="15"/>
        <v>44</v>
      </c>
      <c r="Z23" s="34">
        <f t="shared" si="15"/>
        <v>17.5</v>
      </c>
      <c r="AA23" s="34">
        <f t="shared" si="15"/>
        <v>7</v>
      </c>
      <c r="AB23" s="34">
        <f t="shared" si="15"/>
        <v>10</v>
      </c>
      <c r="AC23" s="34">
        <f t="shared" si="15"/>
        <v>1245</v>
      </c>
      <c r="AD23" s="34">
        <f t="shared" si="15"/>
        <v>0</v>
      </c>
      <c r="AE23" s="31">
        <f t="shared" si="13"/>
        <v>622.42857142857144</v>
      </c>
      <c r="AF23" s="31">
        <f t="shared" si="13"/>
        <v>1751.3571428571429</v>
      </c>
    </row>
    <row r="24" spans="2:32" ht="23.1" customHeight="1" x14ac:dyDescent="0.25">
      <c r="B24" s="23" t="s">
        <v>51</v>
      </c>
      <c r="C24" s="49">
        <f>AVERAGE('22.07 KYENGERA-BUSEGA'!C24,'23.07 KYENGERA-BUSEGA'!C24,'24.07 KYENGERA-BUSEGA'!C24,'25.07 KYENGERA-BUSEGA'!C24,'26.07 KYENGERA-BUSEGA-24h'!C24,'27.07 KYENGERA-BUSEGA-24h'!C24,'28.07 KYENGERA-BUSEGA'!C24)</f>
        <v>74.142857142857139</v>
      </c>
      <c r="D24" s="49">
        <f>AVERAGE('22.07 KYENGERA-BUSEGA'!D24,'23.07 KYENGERA-BUSEGA'!D24,'24.07 KYENGERA-BUSEGA'!D24,'25.07 KYENGERA-BUSEGA'!D24,'26.07 KYENGERA-BUSEGA-24h'!D24,'27.07 KYENGERA-BUSEGA-24h'!D24,'28.07 KYENGERA-BUSEGA'!D24)</f>
        <v>7.8571428571428568</v>
      </c>
      <c r="E24" s="49">
        <f>AVERAGE('22.07 KYENGERA-BUSEGA'!E24,'23.07 KYENGERA-BUSEGA'!E24,'24.07 KYENGERA-BUSEGA'!E24,'25.07 KYENGERA-BUSEGA'!E24,'26.07 KYENGERA-BUSEGA-24h'!E24,'27.07 KYENGERA-BUSEGA-24h'!E24,'28.07 KYENGERA-BUSEGA'!E24)</f>
        <v>9.4285714285714288</v>
      </c>
      <c r="F24" s="49">
        <f>AVERAGE('22.07 KYENGERA-BUSEGA'!F24,'23.07 KYENGERA-BUSEGA'!F24,'24.07 KYENGERA-BUSEGA'!F24,'25.07 KYENGERA-BUSEGA'!F24,'26.07 KYENGERA-BUSEGA-24h'!F24,'27.07 KYENGERA-BUSEGA-24h'!F24,'28.07 KYENGERA-BUSEGA'!F24)</f>
        <v>48.285714285714285</v>
      </c>
      <c r="G24" s="49">
        <f>AVERAGE('22.07 KYENGERA-BUSEGA'!G24,'23.07 KYENGERA-BUSEGA'!G24,'24.07 KYENGERA-BUSEGA'!G24,'25.07 KYENGERA-BUSEGA'!G24,'26.07 KYENGERA-BUSEGA-24h'!G24,'27.07 KYENGERA-BUSEGA-24h'!G24,'28.07 KYENGERA-BUSEGA'!G24)</f>
        <v>1</v>
      </c>
      <c r="H24" s="49">
        <f>AVERAGE('22.07 KYENGERA-BUSEGA'!H24,'23.07 KYENGERA-BUSEGA'!H24,'24.07 KYENGERA-BUSEGA'!H24,'25.07 KYENGERA-BUSEGA'!H24,'26.07 KYENGERA-BUSEGA-24h'!H24,'27.07 KYENGERA-BUSEGA-24h'!H24,'28.07 KYENGERA-BUSEGA'!H24)</f>
        <v>1</v>
      </c>
      <c r="I24" s="49">
        <f>AVERAGE('22.07 KYENGERA-BUSEGA'!I24,'23.07 KYENGERA-BUSEGA'!I24,'24.07 KYENGERA-BUSEGA'!I24,'25.07 KYENGERA-BUSEGA'!I24,'26.07 KYENGERA-BUSEGA-24h'!I24,'27.07 KYENGERA-BUSEGA-24h'!I24,'28.07 KYENGERA-BUSEGA'!I24)</f>
        <v>13.428571428571429</v>
      </c>
      <c r="J24" s="49">
        <f>AVERAGE('22.07 KYENGERA-BUSEGA'!J24,'23.07 KYENGERA-BUSEGA'!J24,'24.07 KYENGERA-BUSEGA'!J24,'25.07 KYENGERA-BUSEGA'!J24,'26.07 KYENGERA-BUSEGA-24h'!J24,'27.07 KYENGERA-BUSEGA-24h'!J24,'28.07 KYENGERA-BUSEGA'!J24)</f>
        <v>2.7142857142857144</v>
      </c>
      <c r="K24" s="49">
        <f>AVERAGE('22.07 KYENGERA-BUSEGA'!K24,'23.07 KYENGERA-BUSEGA'!K24,'24.07 KYENGERA-BUSEGA'!K24,'25.07 KYENGERA-BUSEGA'!K24,'26.07 KYENGERA-BUSEGA-24h'!K24,'27.07 KYENGERA-BUSEGA-24h'!K24,'28.07 KYENGERA-BUSEGA'!K24)</f>
        <v>0.42857142857142855</v>
      </c>
      <c r="L24" s="49">
        <f>AVERAGE('22.07 KYENGERA-BUSEGA'!L24,'23.07 KYENGERA-BUSEGA'!L24,'24.07 KYENGERA-BUSEGA'!L24,'25.07 KYENGERA-BUSEGA'!L24,'26.07 KYENGERA-BUSEGA-24h'!L24,'27.07 KYENGERA-BUSEGA-24h'!L24,'28.07 KYENGERA-BUSEGA'!L24)</f>
        <v>2.4285714285714284</v>
      </c>
      <c r="M24" s="49">
        <f>AVERAGE('22.07 KYENGERA-BUSEGA'!M24,'23.07 KYENGERA-BUSEGA'!M24,'24.07 KYENGERA-BUSEGA'!M24,'25.07 KYENGERA-BUSEGA'!M24,'26.07 KYENGERA-BUSEGA-24h'!M24,'27.07 KYENGERA-BUSEGA-24h'!M24,'28.07 KYENGERA-BUSEGA'!M24)</f>
        <v>199.28571428571428</v>
      </c>
      <c r="N24" s="49">
        <f>AVERAGE('22.07 KYENGERA-BUSEGA'!N24,'23.07 KYENGERA-BUSEGA'!N24,'24.07 KYENGERA-BUSEGA'!N24,'25.07 KYENGERA-BUSEGA'!N24,'26.07 KYENGERA-BUSEGA-24h'!N24,'27.07 KYENGERA-BUSEGA-24h'!N24,'28.07 KYENGERA-BUSEGA'!N24)</f>
        <v>0</v>
      </c>
      <c r="O24" s="15">
        <f t="shared" si="0"/>
        <v>160.71428571428569</v>
      </c>
      <c r="P24" s="15">
        <f t="shared" si="1"/>
        <v>360</v>
      </c>
      <c r="R24" s="1" t="s">
        <v>148</v>
      </c>
      <c r="S24" s="34">
        <f>SUM(C66:C69)</f>
        <v>226.5</v>
      </c>
      <c r="T24" s="34">
        <f t="shared" ref="T24:AD24" si="16">SUM(D66:D69)</f>
        <v>41.5</v>
      </c>
      <c r="U24" s="34">
        <f t="shared" si="16"/>
        <v>35.5</v>
      </c>
      <c r="V24" s="34">
        <f t="shared" si="16"/>
        <v>119</v>
      </c>
      <c r="W24" s="34">
        <f t="shared" si="16"/>
        <v>11</v>
      </c>
      <c r="X24" s="34">
        <f t="shared" si="16"/>
        <v>4.5</v>
      </c>
      <c r="Y24" s="34">
        <f t="shared" si="16"/>
        <v>40.5</v>
      </c>
      <c r="Z24" s="34">
        <f t="shared" si="16"/>
        <v>15</v>
      </c>
      <c r="AA24" s="34">
        <f t="shared" si="16"/>
        <v>4</v>
      </c>
      <c r="AB24" s="34">
        <f t="shared" si="16"/>
        <v>7</v>
      </c>
      <c r="AC24" s="34">
        <f t="shared" si="16"/>
        <v>1090</v>
      </c>
      <c r="AD24" s="34">
        <f t="shared" si="16"/>
        <v>0</v>
      </c>
      <c r="AE24" s="31">
        <f t="shared" si="13"/>
        <v>620</v>
      </c>
      <c r="AF24" s="31">
        <f t="shared" si="13"/>
        <v>1839.5714285714284</v>
      </c>
    </row>
    <row r="25" spans="2:32" ht="23.1" customHeight="1" x14ac:dyDescent="0.25">
      <c r="B25" s="23" t="s">
        <v>52</v>
      </c>
      <c r="C25" s="49">
        <f>AVERAGE('22.07 KYENGERA-BUSEGA'!C25,'23.07 KYENGERA-BUSEGA'!C25,'24.07 KYENGERA-BUSEGA'!C25,'25.07 KYENGERA-BUSEGA'!C25,'26.07 KYENGERA-BUSEGA-24h'!C25,'27.07 KYENGERA-BUSEGA-24h'!C25,'28.07 KYENGERA-BUSEGA'!C25)</f>
        <v>72.285714285714292</v>
      </c>
      <c r="D25" s="49">
        <f>AVERAGE('22.07 KYENGERA-BUSEGA'!D25,'23.07 KYENGERA-BUSEGA'!D25,'24.07 KYENGERA-BUSEGA'!D25,'25.07 KYENGERA-BUSEGA'!D25,'26.07 KYENGERA-BUSEGA-24h'!D25,'27.07 KYENGERA-BUSEGA-24h'!D25,'28.07 KYENGERA-BUSEGA'!D25)</f>
        <v>7.4285714285714288</v>
      </c>
      <c r="E25" s="49">
        <f>AVERAGE('22.07 KYENGERA-BUSEGA'!E25,'23.07 KYENGERA-BUSEGA'!E25,'24.07 KYENGERA-BUSEGA'!E25,'25.07 KYENGERA-BUSEGA'!E25,'26.07 KYENGERA-BUSEGA-24h'!E25,'27.07 KYENGERA-BUSEGA-24h'!E25,'28.07 KYENGERA-BUSEGA'!E25)</f>
        <v>7.2857142857142856</v>
      </c>
      <c r="F25" s="49">
        <f>AVERAGE('22.07 KYENGERA-BUSEGA'!F25,'23.07 KYENGERA-BUSEGA'!F25,'24.07 KYENGERA-BUSEGA'!F25,'25.07 KYENGERA-BUSEGA'!F25,'26.07 KYENGERA-BUSEGA-24h'!F25,'27.07 KYENGERA-BUSEGA-24h'!F25,'28.07 KYENGERA-BUSEGA'!F25)</f>
        <v>46.714285714285715</v>
      </c>
      <c r="G25" s="49">
        <f>AVERAGE('22.07 KYENGERA-BUSEGA'!G25,'23.07 KYENGERA-BUSEGA'!G25,'24.07 KYENGERA-BUSEGA'!G25,'25.07 KYENGERA-BUSEGA'!G25,'26.07 KYENGERA-BUSEGA-24h'!G25,'27.07 KYENGERA-BUSEGA-24h'!G25,'28.07 KYENGERA-BUSEGA'!G25)</f>
        <v>0.8571428571428571</v>
      </c>
      <c r="H25" s="49">
        <f>AVERAGE('22.07 KYENGERA-BUSEGA'!H25,'23.07 KYENGERA-BUSEGA'!H25,'24.07 KYENGERA-BUSEGA'!H25,'25.07 KYENGERA-BUSEGA'!H25,'26.07 KYENGERA-BUSEGA-24h'!H25,'27.07 KYENGERA-BUSEGA-24h'!H25,'28.07 KYENGERA-BUSEGA'!H25)</f>
        <v>0</v>
      </c>
      <c r="I25" s="49">
        <f>AVERAGE('22.07 KYENGERA-BUSEGA'!I25,'23.07 KYENGERA-BUSEGA'!I25,'24.07 KYENGERA-BUSEGA'!I25,'25.07 KYENGERA-BUSEGA'!I25,'26.07 KYENGERA-BUSEGA-24h'!I25,'27.07 KYENGERA-BUSEGA-24h'!I25,'28.07 KYENGERA-BUSEGA'!I25)</f>
        <v>12.571428571428571</v>
      </c>
      <c r="J25" s="49">
        <f>AVERAGE('22.07 KYENGERA-BUSEGA'!J25,'23.07 KYENGERA-BUSEGA'!J25,'24.07 KYENGERA-BUSEGA'!J25,'25.07 KYENGERA-BUSEGA'!J25,'26.07 KYENGERA-BUSEGA-24h'!J25,'27.07 KYENGERA-BUSEGA-24h'!J25,'28.07 KYENGERA-BUSEGA'!J25)</f>
        <v>2.8571428571428572</v>
      </c>
      <c r="K25" s="49">
        <f>AVERAGE('22.07 KYENGERA-BUSEGA'!K25,'23.07 KYENGERA-BUSEGA'!K25,'24.07 KYENGERA-BUSEGA'!K25,'25.07 KYENGERA-BUSEGA'!K25,'26.07 KYENGERA-BUSEGA-24h'!K25,'27.07 KYENGERA-BUSEGA-24h'!K25,'28.07 KYENGERA-BUSEGA'!K25)</f>
        <v>0.8571428571428571</v>
      </c>
      <c r="L25" s="49">
        <f>AVERAGE('22.07 KYENGERA-BUSEGA'!L25,'23.07 KYENGERA-BUSEGA'!L25,'24.07 KYENGERA-BUSEGA'!L25,'25.07 KYENGERA-BUSEGA'!L25,'26.07 KYENGERA-BUSEGA-24h'!L25,'27.07 KYENGERA-BUSEGA-24h'!L25,'28.07 KYENGERA-BUSEGA'!L25)</f>
        <v>3.1428571428571428</v>
      </c>
      <c r="M25" s="49">
        <f>AVERAGE('22.07 KYENGERA-BUSEGA'!M25,'23.07 KYENGERA-BUSEGA'!M25,'24.07 KYENGERA-BUSEGA'!M25,'25.07 KYENGERA-BUSEGA'!M25,'26.07 KYENGERA-BUSEGA-24h'!M25,'27.07 KYENGERA-BUSEGA-24h'!M25,'28.07 KYENGERA-BUSEGA'!M25)</f>
        <v>194</v>
      </c>
      <c r="N25" s="49">
        <f>AVERAGE('22.07 KYENGERA-BUSEGA'!N25,'23.07 KYENGERA-BUSEGA'!N25,'24.07 KYENGERA-BUSEGA'!N25,'25.07 KYENGERA-BUSEGA'!N25,'26.07 KYENGERA-BUSEGA-24h'!N25,'27.07 KYENGERA-BUSEGA-24h'!N25,'28.07 KYENGERA-BUSEGA'!N25)</f>
        <v>0</v>
      </c>
      <c r="O25" s="15">
        <f t="shared" si="0"/>
        <v>154.00000000000003</v>
      </c>
      <c r="P25" s="15">
        <f t="shared" si="1"/>
        <v>348</v>
      </c>
      <c r="R25" s="1" t="s">
        <v>149</v>
      </c>
      <c r="S25" s="34">
        <f>SUM(C70:C73)</f>
        <v>180.5</v>
      </c>
      <c r="T25" s="34">
        <f t="shared" ref="T25:AD25" si="17">SUM(D70:D73)</f>
        <v>30</v>
      </c>
      <c r="U25" s="34">
        <f t="shared" si="17"/>
        <v>19.5</v>
      </c>
      <c r="V25" s="34">
        <f t="shared" si="17"/>
        <v>83</v>
      </c>
      <c r="W25" s="34">
        <f t="shared" si="17"/>
        <v>6.5</v>
      </c>
      <c r="X25" s="34">
        <f t="shared" si="17"/>
        <v>2</v>
      </c>
      <c r="Y25" s="34">
        <f t="shared" si="17"/>
        <v>47</v>
      </c>
      <c r="Z25" s="34">
        <f t="shared" si="17"/>
        <v>16.5</v>
      </c>
      <c r="AA25" s="34">
        <f t="shared" si="17"/>
        <v>3.5</v>
      </c>
      <c r="AB25" s="34">
        <f t="shared" si="17"/>
        <v>16.5</v>
      </c>
      <c r="AC25" s="34">
        <f t="shared" si="17"/>
        <v>729.5</v>
      </c>
      <c r="AD25" s="34">
        <f t="shared" si="17"/>
        <v>0</v>
      </c>
      <c r="AE25" s="31">
        <f t="shared" si="13"/>
        <v>661</v>
      </c>
      <c r="AF25" s="31">
        <f t="shared" si="13"/>
        <v>1941</v>
      </c>
    </row>
    <row r="26" spans="2:32" ht="23.1" customHeight="1" x14ac:dyDescent="0.25">
      <c r="B26" s="23" t="s">
        <v>53</v>
      </c>
      <c r="C26" s="49">
        <f>AVERAGE('22.07 KYENGERA-BUSEGA'!C26,'23.07 KYENGERA-BUSEGA'!C26,'24.07 KYENGERA-BUSEGA'!C26,'25.07 KYENGERA-BUSEGA'!C26,'26.07 KYENGERA-BUSEGA-24h'!C26,'27.07 KYENGERA-BUSEGA-24h'!C26,'28.07 KYENGERA-BUSEGA'!C26)</f>
        <v>74.571428571428569</v>
      </c>
      <c r="D26" s="49">
        <f>AVERAGE('22.07 KYENGERA-BUSEGA'!D26,'23.07 KYENGERA-BUSEGA'!D26,'24.07 KYENGERA-BUSEGA'!D26,'25.07 KYENGERA-BUSEGA'!D26,'26.07 KYENGERA-BUSEGA-24h'!D26,'27.07 KYENGERA-BUSEGA-24h'!D26,'28.07 KYENGERA-BUSEGA'!D26)</f>
        <v>8.1428571428571423</v>
      </c>
      <c r="E26" s="49">
        <f>AVERAGE('22.07 KYENGERA-BUSEGA'!E26,'23.07 KYENGERA-BUSEGA'!E26,'24.07 KYENGERA-BUSEGA'!E26,'25.07 KYENGERA-BUSEGA'!E26,'26.07 KYENGERA-BUSEGA-24h'!E26,'27.07 KYENGERA-BUSEGA-24h'!E26,'28.07 KYENGERA-BUSEGA'!E26)</f>
        <v>9.1428571428571423</v>
      </c>
      <c r="F26" s="49">
        <f>AVERAGE('22.07 KYENGERA-BUSEGA'!F26,'23.07 KYENGERA-BUSEGA'!F26,'24.07 KYENGERA-BUSEGA'!F26,'25.07 KYENGERA-BUSEGA'!F26,'26.07 KYENGERA-BUSEGA-24h'!F26,'27.07 KYENGERA-BUSEGA-24h'!F26,'28.07 KYENGERA-BUSEGA'!F26)</f>
        <v>59.571428571428569</v>
      </c>
      <c r="G26" s="49">
        <f>AVERAGE('22.07 KYENGERA-BUSEGA'!G26,'23.07 KYENGERA-BUSEGA'!G26,'24.07 KYENGERA-BUSEGA'!G26,'25.07 KYENGERA-BUSEGA'!G26,'26.07 KYENGERA-BUSEGA-24h'!G26,'27.07 KYENGERA-BUSEGA-24h'!G26,'28.07 KYENGERA-BUSEGA'!G26)</f>
        <v>1.5714285714285714</v>
      </c>
      <c r="H26" s="49">
        <f>AVERAGE('22.07 KYENGERA-BUSEGA'!H26,'23.07 KYENGERA-BUSEGA'!H26,'24.07 KYENGERA-BUSEGA'!H26,'25.07 KYENGERA-BUSEGA'!H26,'26.07 KYENGERA-BUSEGA-24h'!H26,'27.07 KYENGERA-BUSEGA-24h'!H26,'28.07 KYENGERA-BUSEGA'!H26)</f>
        <v>1</v>
      </c>
      <c r="I26" s="49">
        <f>AVERAGE('22.07 KYENGERA-BUSEGA'!I26,'23.07 KYENGERA-BUSEGA'!I26,'24.07 KYENGERA-BUSEGA'!I26,'25.07 KYENGERA-BUSEGA'!I26,'26.07 KYENGERA-BUSEGA-24h'!I26,'27.07 KYENGERA-BUSEGA-24h'!I26,'28.07 KYENGERA-BUSEGA'!I26)</f>
        <v>15.142857142857142</v>
      </c>
      <c r="J26" s="49">
        <f>AVERAGE('22.07 KYENGERA-BUSEGA'!J26,'23.07 KYENGERA-BUSEGA'!J26,'24.07 KYENGERA-BUSEGA'!J26,'25.07 KYENGERA-BUSEGA'!J26,'26.07 KYENGERA-BUSEGA-24h'!J26,'27.07 KYENGERA-BUSEGA-24h'!J26,'28.07 KYENGERA-BUSEGA'!J26)</f>
        <v>2.2857142857142856</v>
      </c>
      <c r="K26" s="49">
        <f>AVERAGE('22.07 KYENGERA-BUSEGA'!K26,'23.07 KYENGERA-BUSEGA'!K26,'24.07 KYENGERA-BUSEGA'!K26,'25.07 KYENGERA-BUSEGA'!K26,'26.07 KYENGERA-BUSEGA-24h'!K26,'27.07 KYENGERA-BUSEGA-24h'!K26,'28.07 KYENGERA-BUSEGA'!K26)</f>
        <v>0.7142857142857143</v>
      </c>
      <c r="L26" s="49">
        <f>AVERAGE('22.07 KYENGERA-BUSEGA'!L26,'23.07 KYENGERA-BUSEGA'!L26,'24.07 KYENGERA-BUSEGA'!L26,'25.07 KYENGERA-BUSEGA'!L26,'26.07 KYENGERA-BUSEGA-24h'!L26,'27.07 KYENGERA-BUSEGA-24h'!L26,'28.07 KYENGERA-BUSEGA'!L26)</f>
        <v>3.1428571428571428</v>
      </c>
      <c r="M26" s="49">
        <f>AVERAGE('22.07 KYENGERA-BUSEGA'!M26,'23.07 KYENGERA-BUSEGA'!M26,'24.07 KYENGERA-BUSEGA'!M26,'25.07 KYENGERA-BUSEGA'!M26,'26.07 KYENGERA-BUSEGA-24h'!M26,'27.07 KYENGERA-BUSEGA-24h'!M26,'28.07 KYENGERA-BUSEGA'!M26)</f>
        <v>204.28571428571428</v>
      </c>
      <c r="N26" s="49">
        <f>AVERAGE('22.07 KYENGERA-BUSEGA'!N26,'23.07 KYENGERA-BUSEGA'!N26,'24.07 KYENGERA-BUSEGA'!N26,'25.07 KYENGERA-BUSEGA'!N26,'26.07 KYENGERA-BUSEGA-24h'!N26,'27.07 KYENGERA-BUSEGA-24h'!N26,'28.07 KYENGERA-BUSEGA'!N26)</f>
        <v>0</v>
      </c>
      <c r="O26" s="15">
        <f t="shared" si="0"/>
        <v>175.28571428571428</v>
      </c>
      <c r="P26" s="15">
        <f t="shared" si="1"/>
        <v>379.57142857142856</v>
      </c>
      <c r="R26" s="1" t="s">
        <v>150</v>
      </c>
      <c r="S26" s="34">
        <f>SUM(C74:C77)</f>
        <v>200.5</v>
      </c>
      <c r="T26" s="34">
        <f t="shared" ref="T26:AD26" si="18">SUM(D74:D77)</f>
        <v>26</v>
      </c>
      <c r="U26" s="34">
        <f t="shared" si="18"/>
        <v>17</v>
      </c>
      <c r="V26" s="34">
        <f t="shared" si="18"/>
        <v>84</v>
      </c>
      <c r="W26" s="34">
        <f t="shared" si="18"/>
        <v>3.5</v>
      </c>
      <c r="X26" s="34">
        <f t="shared" si="18"/>
        <v>3.5</v>
      </c>
      <c r="Y26" s="34">
        <f t="shared" si="18"/>
        <v>43</v>
      </c>
      <c r="Z26" s="34">
        <f t="shared" si="18"/>
        <v>12.5</v>
      </c>
      <c r="AA26" s="34">
        <f t="shared" si="18"/>
        <v>3.5</v>
      </c>
      <c r="AB26" s="34">
        <f t="shared" si="18"/>
        <v>7</v>
      </c>
      <c r="AC26" s="34">
        <f t="shared" si="18"/>
        <v>405.5</v>
      </c>
      <c r="AD26" s="34">
        <f t="shared" si="18"/>
        <v>0</v>
      </c>
      <c r="AE26" s="31">
        <f t="shared" si="13"/>
        <v>622.5</v>
      </c>
      <c r="AF26" s="31">
        <f t="shared" si="13"/>
        <v>1950</v>
      </c>
    </row>
    <row r="27" spans="2:32" ht="23.1" customHeight="1" x14ac:dyDescent="0.25">
      <c r="B27" s="23" t="s">
        <v>54</v>
      </c>
      <c r="C27" s="49">
        <f>AVERAGE('22.07 KYENGERA-BUSEGA'!C27,'23.07 KYENGERA-BUSEGA'!C27,'24.07 KYENGERA-BUSEGA'!C27,'25.07 KYENGERA-BUSEGA'!C27,'26.07 KYENGERA-BUSEGA-24h'!C27,'27.07 KYENGERA-BUSEGA-24h'!C27,'28.07 KYENGERA-BUSEGA'!C27)</f>
        <v>74.142857142857139</v>
      </c>
      <c r="D27" s="49">
        <f>AVERAGE('22.07 KYENGERA-BUSEGA'!D27,'23.07 KYENGERA-BUSEGA'!D27,'24.07 KYENGERA-BUSEGA'!D27,'25.07 KYENGERA-BUSEGA'!D27,'26.07 KYENGERA-BUSEGA-24h'!D27,'27.07 KYENGERA-BUSEGA-24h'!D27,'28.07 KYENGERA-BUSEGA'!D27)</f>
        <v>9.5714285714285712</v>
      </c>
      <c r="E27" s="49">
        <f>AVERAGE('22.07 KYENGERA-BUSEGA'!E27,'23.07 KYENGERA-BUSEGA'!E27,'24.07 KYENGERA-BUSEGA'!E27,'25.07 KYENGERA-BUSEGA'!E27,'26.07 KYENGERA-BUSEGA-24h'!E27,'27.07 KYENGERA-BUSEGA-24h'!E27,'28.07 KYENGERA-BUSEGA'!E27)</f>
        <v>9.2857142857142865</v>
      </c>
      <c r="F27" s="49">
        <f>AVERAGE('22.07 KYENGERA-BUSEGA'!F27,'23.07 KYENGERA-BUSEGA'!F27,'24.07 KYENGERA-BUSEGA'!F27,'25.07 KYENGERA-BUSEGA'!F27,'26.07 KYENGERA-BUSEGA-24h'!F27,'27.07 KYENGERA-BUSEGA-24h'!F27,'28.07 KYENGERA-BUSEGA'!F27)</f>
        <v>54.142857142857146</v>
      </c>
      <c r="G27" s="49">
        <f>AVERAGE('22.07 KYENGERA-BUSEGA'!G27,'23.07 KYENGERA-BUSEGA'!G27,'24.07 KYENGERA-BUSEGA'!G27,'25.07 KYENGERA-BUSEGA'!G27,'26.07 KYENGERA-BUSEGA-24h'!G27,'27.07 KYENGERA-BUSEGA-24h'!G27,'28.07 KYENGERA-BUSEGA'!G27)</f>
        <v>1.1428571428571428</v>
      </c>
      <c r="H27" s="49">
        <f>AVERAGE('22.07 KYENGERA-BUSEGA'!H27,'23.07 KYENGERA-BUSEGA'!H27,'24.07 KYENGERA-BUSEGA'!H27,'25.07 KYENGERA-BUSEGA'!H27,'26.07 KYENGERA-BUSEGA-24h'!H27,'27.07 KYENGERA-BUSEGA-24h'!H27,'28.07 KYENGERA-BUSEGA'!H27)</f>
        <v>0.7142857142857143</v>
      </c>
      <c r="I27" s="49">
        <f>AVERAGE('22.07 KYENGERA-BUSEGA'!I27,'23.07 KYENGERA-BUSEGA'!I27,'24.07 KYENGERA-BUSEGA'!I27,'25.07 KYENGERA-BUSEGA'!I27,'26.07 KYENGERA-BUSEGA-24h'!I27,'27.07 KYENGERA-BUSEGA-24h'!I27,'28.07 KYENGERA-BUSEGA'!I27)</f>
        <v>8.2857142857142865</v>
      </c>
      <c r="J27" s="49">
        <f>AVERAGE('22.07 KYENGERA-BUSEGA'!J27,'23.07 KYENGERA-BUSEGA'!J27,'24.07 KYENGERA-BUSEGA'!J27,'25.07 KYENGERA-BUSEGA'!J27,'26.07 KYENGERA-BUSEGA-24h'!J27,'27.07 KYENGERA-BUSEGA-24h'!J27,'28.07 KYENGERA-BUSEGA'!J27)</f>
        <v>4.1428571428571432</v>
      </c>
      <c r="K27" s="49">
        <f>AVERAGE('22.07 KYENGERA-BUSEGA'!K27,'23.07 KYENGERA-BUSEGA'!K27,'24.07 KYENGERA-BUSEGA'!K27,'25.07 KYENGERA-BUSEGA'!K27,'26.07 KYENGERA-BUSEGA-24h'!K27,'27.07 KYENGERA-BUSEGA-24h'!K27,'28.07 KYENGERA-BUSEGA'!K27)</f>
        <v>0.8571428571428571</v>
      </c>
      <c r="L27" s="49">
        <f>AVERAGE('22.07 KYENGERA-BUSEGA'!L27,'23.07 KYENGERA-BUSEGA'!L27,'24.07 KYENGERA-BUSEGA'!L27,'25.07 KYENGERA-BUSEGA'!L27,'26.07 KYENGERA-BUSEGA-24h'!L27,'27.07 KYENGERA-BUSEGA-24h'!L27,'28.07 KYENGERA-BUSEGA'!L27)</f>
        <v>3.7142857142857144</v>
      </c>
      <c r="M27" s="49">
        <f>AVERAGE('22.07 KYENGERA-BUSEGA'!M27,'23.07 KYENGERA-BUSEGA'!M27,'24.07 KYENGERA-BUSEGA'!M27,'25.07 KYENGERA-BUSEGA'!M27,'26.07 KYENGERA-BUSEGA-24h'!M27,'27.07 KYENGERA-BUSEGA-24h'!M27,'28.07 KYENGERA-BUSEGA'!M27)</f>
        <v>201.42857142857142</v>
      </c>
      <c r="N27" s="49">
        <f>AVERAGE('22.07 KYENGERA-BUSEGA'!N27,'23.07 KYENGERA-BUSEGA'!N27,'24.07 KYENGERA-BUSEGA'!N27,'25.07 KYENGERA-BUSEGA'!N27,'26.07 KYENGERA-BUSEGA-24h'!N27,'27.07 KYENGERA-BUSEGA-24h'!N27,'28.07 KYENGERA-BUSEGA'!N27)</f>
        <v>0</v>
      </c>
      <c r="O27" s="15">
        <f t="shared" si="0"/>
        <v>166</v>
      </c>
      <c r="P27" s="15">
        <f t="shared" si="1"/>
        <v>367.42857142857144</v>
      </c>
      <c r="R27" s="1" t="s">
        <v>151</v>
      </c>
      <c r="S27" s="34">
        <f>SUM(C78:C81)</f>
        <v>166.5</v>
      </c>
      <c r="T27" s="34">
        <f t="shared" ref="T27:AD27" si="19">SUM(D78:D81)</f>
        <v>26</v>
      </c>
      <c r="U27" s="34">
        <f t="shared" si="19"/>
        <v>22</v>
      </c>
      <c r="V27" s="34">
        <f t="shared" si="19"/>
        <v>77.5</v>
      </c>
      <c r="W27" s="34">
        <f t="shared" si="19"/>
        <v>4.5</v>
      </c>
      <c r="X27" s="34">
        <f t="shared" si="19"/>
        <v>7.5</v>
      </c>
      <c r="Y27" s="34">
        <f t="shared" si="19"/>
        <v>58</v>
      </c>
      <c r="Z27" s="34">
        <f t="shared" si="19"/>
        <v>26.5</v>
      </c>
      <c r="AA27" s="34">
        <f t="shared" si="19"/>
        <v>4</v>
      </c>
      <c r="AB27" s="34">
        <f t="shared" si="19"/>
        <v>18</v>
      </c>
      <c r="AC27" s="34">
        <f t="shared" si="19"/>
        <v>184.5</v>
      </c>
      <c r="AD27" s="34">
        <f t="shared" si="19"/>
        <v>0</v>
      </c>
      <c r="AE27" s="31">
        <f t="shared" si="13"/>
        <v>610.5</v>
      </c>
      <c r="AF27" s="31">
        <f t="shared" si="13"/>
        <v>1927</v>
      </c>
    </row>
    <row r="28" spans="2:32" ht="23.1" customHeight="1" x14ac:dyDescent="0.25">
      <c r="B28" s="23" t="s">
        <v>55</v>
      </c>
      <c r="C28" s="49">
        <f>AVERAGE('22.07 KYENGERA-BUSEGA'!C28,'23.07 KYENGERA-BUSEGA'!C28,'24.07 KYENGERA-BUSEGA'!C28,'25.07 KYENGERA-BUSEGA'!C28,'26.07 KYENGERA-BUSEGA-24h'!C28,'27.07 KYENGERA-BUSEGA-24h'!C28,'28.07 KYENGERA-BUSEGA'!C28)</f>
        <v>75.142857142857139</v>
      </c>
      <c r="D28" s="49">
        <f>AVERAGE('22.07 KYENGERA-BUSEGA'!D28,'23.07 KYENGERA-BUSEGA'!D28,'24.07 KYENGERA-BUSEGA'!D28,'25.07 KYENGERA-BUSEGA'!D28,'26.07 KYENGERA-BUSEGA-24h'!D28,'27.07 KYENGERA-BUSEGA-24h'!D28,'28.07 KYENGERA-BUSEGA'!D28)</f>
        <v>11.428571428571429</v>
      </c>
      <c r="E28" s="49">
        <f>AVERAGE('22.07 KYENGERA-BUSEGA'!E28,'23.07 KYENGERA-BUSEGA'!E28,'24.07 KYENGERA-BUSEGA'!E28,'25.07 KYENGERA-BUSEGA'!E28,'26.07 KYENGERA-BUSEGA-24h'!E28,'27.07 KYENGERA-BUSEGA-24h'!E28,'28.07 KYENGERA-BUSEGA'!E28)</f>
        <v>10.285714285714286</v>
      </c>
      <c r="F28" s="49">
        <f>AVERAGE('22.07 KYENGERA-BUSEGA'!F28,'23.07 KYENGERA-BUSEGA'!F28,'24.07 KYENGERA-BUSEGA'!F28,'25.07 KYENGERA-BUSEGA'!F28,'26.07 KYENGERA-BUSEGA-24h'!F28,'27.07 KYENGERA-BUSEGA-24h'!F28,'28.07 KYENGERA-BUSEGA'!F28)</f>
        <v>51.714285714285715</v>
      </c>
      <c r="G28" s="49">
        <f>AVERAGE('22.07 KYENGERA-BUSEGA'!G28,'23.07 KYENGERA-BUSEGA'!G28,'24.07 KYENGERA-BUSEGA'!G28,'25.07 KYENGERA-BUSEGA'!G28,'26.07 KYENGERA-BUSEGA-24h'!G28,'27.07 KYENGERA-BUSEGA-24h'!G28,'28.07 KYENGERA-BUSEGA'!G28)</f>
        <v>1.1428571428571428</v>
      </c>
      <c r="H28" s="49">
        <f>AVERAGE('22.07 KYENGERA-BUSEGA'!H28,'23.07 KYENGERA-BUSEGA'!H28,'24.07 KYENGERA-BUSEGA'!H28,'25.07 KYENGERA-BUSEGA'!H28,'26.07 KYENGERA-BUSEGA-24h'!H28,'27.07 KYENGERA-BUSEGA-24h'!H28,'28.07 KYENGERA-BUSEGA'!H28)</f>
        <v>0.7142857142857143</v>
      </c>
      <c r="I28" s="49">
        <f>AVERAGE('22.07 KYENGERA-BUSEGA'!I28,'23.07 KYENGERA-BUSEGA'!I28,'24.07 KYENGERA-BUSEGA'!I28,'25.07 KYENGERA-BUSEGA'!I28,'26.07 KYENGERA-BUSEGA-24h'!I28,'27.07 KYENGERA-BUSEGA-24h'!I28,'28.07 KYENGERA-BUSEGA'!I28)</f>
        <v>15.285714285714286</v>
      </c>
      <c r="J28" s="49">
        <f>AVERAGE('22.07 KYENGERA-BUSEGA'!J28,'23.07 KYENGERA-BUSEGA'!J28,'24.07 KYENGERA-BUSEGA'!J28,'25.07 KYENGERA-BUSEGA'!J28,'26.07 KYENGERA-BUSEGA-24h'!J28,'27.07 KYENGERA-BUSEGA-24h'!J28,'28.07 KYENGERA-BUSEGA'!J28)</f>
        <v>3.1428571428571428</v>
      </c>
      <c r="K28" s="49">
        <f>AVERAGE('22.07 KYENGERA-BUSEGA'!K28,'23.07 KYENGERA-BUSEGA'!K28,'24.07 KYENGERA-BUSEGA'!K28,'25.07 KYENGERA-BUSEGA'!K28,'26.07 KYENGERA-BUSEGA-24h'!K28,'27.07 KYENGERA-BUSEGA-24h'!K28,'28.07 KYENGERA-BUSEGA'!K28)</f>
        <v>1</v>
      </c>
      <c r="L28" s="49">
        <f>AVERAGE('22.07 KYENGERA-BUSEGA'!L28,'23.07 KYENGERA-BUSEGA'!L28,'24.07 KYENGERA-BUSEGA'!L28,'25.07 KYENGERA-BUSEGA'!L28,'26.07 KYENGERA-BUSEGA-24h'!L28,'27.07 KYENGERA-BUSEGA-24h'!L28,'28.07 KYENGERA-BUSEGA'!L28)</f>
        <v>3.7142857142857144</v>
      </c>
      <c r="M28" s="49">
        <f>AVERAGE('22.07 KYENGERA-BUSEGA'!M28,'23.07 KYENGERA-BUSEGA'!M28,'24.07 KYENGERA-BUSEGA'!M28,'25.07 KYENGERA-BUSEGA'!M28,'26.07 KYENGERA-BUSEGA-24h'!M28,'27.07 KYENGERA-BUSEGA-24h'!M28,'28.07 KYENGERA-BUSEGA'!M28)</f>
        <v>201.85714285714286</v>
      </c>
      <c r="N28" s="49">
        <f>AVERAGE('22.07 KYENGERA-BUSEGA'!N28,'23.07 KYENGERA-BUSEGA'!N28,'24.07 KYENGERA-BUSEGA'!N28,'25.07 KYENGERA-BUSEGA'!N28,'26.07 KYENGERA-BUSEGA-24h'!N28,'27.07 KYENGERA-BUSEGA-24h'!N28,'28.07 KYENGERA-BUSEGA'!N28)</f>
        <v>0</v>
      </c>
      <c r="O28" s="15">
        <f t="shared" si="0"/>
        <v>173.57142857142858</v>
      </c>
      <c r="P28" s="15">
        <f t="shared" si="1"/>
        <v>375.42857142857144</v>
      </c>
      <c r="R28" s="1" t="s">
        <v>152</v>
      </c>
      <c r="S28" s="34">
        <f>SUM(C82:C85)</f>
        <v>67</v>
      </c>
      <c r="T28" s="34">
        <f t="shared" ref="T28:AD28" si="20">SUM(D82:D85)</f>
        <v>9.5</v>
      </c>
      <c r="U28" s="34">
        <f t="shared" si="20"/>
        <v>5.5</v>
      </c>
      <c r="V28" s="34">
        <f t="shared" si="20"/>
        <v>29</v>
      </c>
      <c r="W28" s="34">
        <f t="shared" si="20"/>
        <v>1.5</v>
      </c>
      <c r="X28" s="34">
        <f t="shared" si="20"/>
        <v>1.5</v>
      </c>
      <c r="Y28" s="34">
        <f t="shared" si="20"/>
        <v>38</v>
      </c>
      <c r="Z28" s="34">
        <f t="shared" si="20"/>
        <v>39.5</v>
      </c>
      <c r="AA28" s="34">
        <f t="shared" si="20"/>
        <v>7.5</v>
      </c>
      <c r="AB28" s="34">
        <f t="shared" si="20"/>
        <v>17.5</v>
      </c>
      <c r="AC28" s="34">
        <f t="shared" si="20"/>
        <v>136</v>
      </c>
      <c r="AD28" s="34">
        <f t="shared" si="20"/>
        <v>0</v>
      </c>
      <c r="AE28" s="31">
        <f t="shared" si="13"/>
        <v>576.5</v>
      </c>
      <c r="AF28" s="31">
        <f t="shared" si="13"/>
        <v>1868</v>
      </c>
    </row>
    <row r="29" spans="2:32" ht="23.1" customHeight="1" x14ac:dyDescent="0.25">
      <c r="B29" s="23" t="s">
        <v>56</v>
      </c>
      <c r="C29" s="49">
        <f>AVERAGE('22.07 KYENGERA-BUSEGA'!C29,'23.07 KYENGERA-BUSEGA'!C29,'24.07 KYENGERA-BUSEGA'!C29,'25.07 KYENGERA-BUSEGA'!C29,'26.07 KYENGERA-BUSEGA-24h'!C29,'27.07 KYENGERA-BUSEGA-24h'!C29,'28.07 KYENGERA-BUSEGA'!C29)</f>
        <v>62</v>
      </c>
      <c r="D29" s="49">
        <f>AVERAGE('22.07 KYENGERA-BUSEGA'!D29,'23.07 KYENGERA-BUSEGA'!D29,'24.07 KYENGERA-BUSEGA'!D29,'25.07 KYENGERA-BUSEGA'!D29,'26.07 KYENGERA-BUSEGA-24h'!D29,'27.07 KYENGERA-BUSEGA-24h'!D29,'28.07 KYENGERA-BUSEGA'!D29)</f>
        <v>8.7142857142857135</v>
      </c>
      <c r="E29" s="49">
        <f>AVERAGE('22.07 KYENGERA-BUSEGA'!E29,'23.07 KYENGERA-BUSEGA'!E29,'24.07 KYENGERA-BUSEGA'!E29,'25.07 KYENGERA-BUSEGA'!E29,'26.07 KYENGERA-BUSEGA-24h'!E29,'27.07 KYENGERA-BUSEGA-24h'!E29,'28.07 KYENGERA-BUSEGA'!E29)</f>
        <v>7.2857142857142856</v>
      </c>
      <c r="F29" s="49">
        <f>AVERAGE('22.07 KYENGERA-BUSEGA'!F29,'23.07 KYENGERA-BUSEGA'!F29,'24.07 KYENGERA-BUSEGA'!F29,'25.07 KYENGERA-BUSEGA'!F29,'26.07 KYENGERA-BUSEGA-24h'!F29,'27.07 KYENGERA-BUSEGA-24h'!F29,'28.07 KYENGERA-BUSEGA'!F29)</f>
        <v>45</v>
      </c>
      <c r="G29" s="49">
        <f>AVERAGE('22.07 KYENGERA-BUSEGA'!G29,'23.07 KYENGERA-BUSEGA'!G29,'24.07 KYENGERA-BUSEGA'!G29,'25.07 KYENGERA-BUSEGA'!G29,'26.07 KYENGERA-BUSEGA-24h'!G29,'27.07 KYENGERA-BUSEGA-24h'!G29,'28.07 KYENGERA-BUSEGA'!G29)</f>
        <v>0.7142857142857143</v>
      </c>
      <c r="H29" s="49">
        <f>AVERAGE('22.07 KYENGERA-BUSEGA'!H29,'23.07 KYENGERA-BUSEGA'!H29,'24.07 KYENGERA-BUSEGA'!H29,'25.07 KYENGERA-BUSEGA'!H29,'26.07 KYENGERA-BUSEGA-24h'!H29,'27.07 KYENGERA-BUSEGA-24h'!H29,'28.07 KYENGERA-BUSEGA'!H29)</f>
        <v>0.5714285714285714</v>
      </c>
      <c r="I29" s="49">
        <f>AVERAGE('22.07 KYENGERA-BUSEGA'!I29,'23.07 KYENGERA-BUSEGA'!I29,'24.07 KYENGERA-BUSEGA'!I29,'25.07 KYENGERA-BUSEGA'!I29,'26.07 KYENGERA-BUSEGA-24h'!I29,'27.07 KYENGERA-BUSEGA-24h'!I29,'28.07 KYENGERA-BUSEGA'!I29)</f>
        <v>15</v>
      </c>
      <c r="J29" s="49">
        <f>AVERAGE('22.07 KYENGERA-BUSEGA'!J29,'23.07 KYENGERA-BUSEGA'!J29,'24.07 KYENGERA-BUSEGA'!J29,'25.07 KYENGERA-BUSEGA'!J29,'26.07 KYENGERA-BUSEGA-24h'!J29,'27.07 KYENGERA-BUSEGA-24h'!J29,'28.07 KYENGERA-BUSEGA'!J29)</f>
        <v>4</v>
      </c>
      <c r="K29" s="49">
        <f>AVERAGE('22.07 KYENGERA-BUSEGA'!K29,'23.07 KYENGERA-BUSEGA'!K29,'24.07 KYENGERA-BUSEGA'!K29,'25.07 KYENGERA-BUSEGA'!K29,'26.07 KYENGERA-BUSEGA-24h'!K29,'27.07 KYENGERA-BUSEGA-24h'!K29,'28.07 KYENGERA-BUSEGA'!K29)</f>
        <v>1.1428571428571428</v>
      </c>
      <c r="L29" s="49">
        <f>AVERAGE('22.07 KYENGERA-BUSEGA'!L29,'23.07 KYENGERA-BUSEGA'!L29,'24.07 KYENGERA-BUSEGA'!L29,'25.07 KYENGERA-BUSEGA'!L29,'26.07 KYENGERA-BUSEGA-24h'!L29,'27.07 KYENGERA-BUSEGA-24h'!L29,'28.07 KYENGERA-BUSEGA'!L29)</f>
        <v>3.5714285714285716</v>
      </c>
      <c r="M29" s="49">
        <f>AVERAGE('22.07 KYENGERA-BUSEGA'!M29,'23.07 KYENGERA-BUSEGA'!M29,'24.07 KYENGERA-BUSEGA'!M29,'25.07 KYENGERA-BUSEGA'!M29,'26.07 KYENGERA-BUSEGA-24h'!M29,'27.07 KYENGERA-BUSEGA-24h'!M29,'28.07 KYENGERA-BUSEGA'!M29)</f>
        <v>211</v>
      </c>
      <c r="N29" s="49">
        <f>AVERAGE('22.07 KYENGERA-BUSEGA'!N29,'23.07 KYENGERA-BUSEGA'!N29,'24.07 KYENGERA-BUSEGA'!N29,'25.07 KYENGERA-BUSEGA'!N29,'26.07 KYENGERA-BUSEGA-24h'!N29,'27.07 KYENGERA-BUSEGA-24h'!N29,'28.07 KYENGERA-BUSEGA'!N29)</f>
        <v>0</v>
      </c>
      <c r="O29" s="15">
        <f t="shared" si="0"/>
        <v>148</v>
      </c>
      <c r="P29" s="15">
        <f t="shared" si="1"/>
        <v>359</v>
      </c>
      <c r="R29" s="1" t="s">
        <v>153</v>
      </c>
      <c r="S29" s="34">
        <f>SUM(C86:C89)</f>
        <v>48</v>
      </c>
      <c r="T29" s="34">
        <f t="shared" ref="T29:AD29" si="21">SUM(D86:D89)</f>
        <v>6.5</v>
      </c>
      <c r="U29" s="34">
        <f t="shared" si="21"/>
        <v>3</v>
      </c>
      <c r="V29" s="34">
        <f t="shared" si="21"/>
        <v>16.5</v>
      </c>
      <c r="W29" s="34">
        <f t="shared" si="21"/>
        <v>0.5</v>
      </c>
      <c r="X29" s="34">
        <f t="shared" si="21"/>
        <v>3</v>
      </c>
      <c r="Y29" s="34">
        <f t="shared" si="21"/>
        <v>37.5</v>
      </c>
      <c r="Z29" s="34">
        <f t="shared" si="21"/>
        <v>44.5</v>
      </c>
      <c r="AA29" s="34">
        <f t="shared" si="21"/>
        <v>3</v>
      </c>
      <c r="AB29" s="34">
        <f t="shared" si="21"/>
        <v>10</v>
      </c>
      <c r="AC29" s="34">
        <f t="shared" si="21"/>
        <v>146.5</v>
      </c>
      <c r="AD29" s="34">
        <f t="shared" si="21"/>
        <v>0</v>
      </c>
      <c r="AE29" s="31">
        <f t="shared" si="13"/>
        <v>521.5</v>
      </c>
      <c r="AF29" s="31">
        <f t="shared" si="13"/>
        <v>1766.5</v>
      </c>
    </row>
    <row r="30" spans="2:32" ht="23.1" customHeight="1" x14ac:dyDescent="0.25">
      <c r="B30" s="23" t="s">
        <v>57</v>
      </c>
      <c r="C30" s="49">
        <f>AVERAGE('22.07 KYENGERA-BUSEGA'!C30,'23.07 KYENGERA-BUSEGA'!C30,'24.07 KYENGERA-BUSEGA'!C30,'25.07 KYENGERA-BUSEGA'!C30,'26.07 KYENGERA-BUSEGA-24h'!C30,'27.07 KYENGERA-BUSEGA-24h'!C30,'28.07 KYENGERA-BUSEGA'!C30)</f>
        <v>65</v>
      </c>
      <c r="D30" s="49">
        <f>AVERAGE('22.07 KYENGERA-BUSEGA'!D30,'23.07 KYENGERA-BUSEGA'!D30,'24.07 KYENGERA-BUSEGA'!D30,'25.07 KYENGERA-BUSEGA'!D30,'26.07 KYENGERA-BUSEGA-24h'!D30,'27.07 KYENGERA-BUSEGA-24h'!D30,'28.07 KYENGERA-BUSEGA'!D30)</f>
        <v>9.4285714285714288</v>
      </c>
      <c r="E30" s="49">
        <f>AVERAGE('22.07 KYENGERA-BUSEGA'!E30,'23.07 KYENGERA-BUSEGA'!E30,'24.07 KYENGERA-BUSEGA'!E30,'25.07 KYENGERA-BUSEGA'!E30,'26.07 KYENGERA-BUSEGA-24h'!E30,'27.07 KYENGERA-BUSEGA-24h'!E30,'28.07 KYENGERA-BUSEGA'!E30)</f>
        <v>8.1428571428571423</v>
      </c>
      <c r="F30" s="49">
        <f>AVERAGE('22.07 KYENGERA-BUSEGA'!F30,'23.07 KYENGERA-BUSEGA'!F30,'24.07 KYENGERA-BUSEGA'!F30,'25.07 KYENGERA-BUSEGA'!F30,'26.07 KYENGERA-BUSEGA-24h'!F30,'27.07 KYENGERA-BUSEGA-24h'!F30,'28.07 KYENGERA-BUSEGA'!F30)</f>
        <v>51.142857142857146</v>
      </c>
      <c r="G30" s="49">
        <f>AVERAGE('22.07 KYENGERA-BUSEGA'!G30,'23.07 KYENGERA-BUSEGA'!G30,'24.07 KYENGERA-BUSEGA'!G30,'25.07 KYENGERA-BUSEGA'!G30,'26.07 KYENGERA-BUSEGA-24h'!G30,'27.07 KYENGERA-BUSEGA-24h'!G30,'28.07 KYENGERA-BUSEGA'!G30)</f>
        <v>0.5714285714285714</v>
      </c>
      <c r="H30" s="49">
        <f>AVERAGE('22.07 KYENGERA-BUSEGA'!H30,'23.07 KYENGERA-BUSEGA'!H30,'24.07 KYENGERA-BUSEGA'!H30,'25.07 KYENGERA-BUSEGA'!H30,'26.07 KYENGERA-BUSEGA-24h'!H30,'27.07 KYENGERA-BUSEGA-24h'!H30,'28.07 KYENGERA-BUSEGA'!H30)</f>
        <v>0.5714285714285714</v>
      </c>
      <c r="I30" s="49">
        <f>AVERAGE('22.07 KYENGERA-BUSEGA'!I30,'23.07 KYENGERA-BUSEGA'!I30,'24.07 KYENGERA-BUSEGA'!I30,'25.07 KYENGERA-BUSEGA'!I30,'26.07 KYENGERA-BUSEGA-24h'!I30,'27.07 KYENGERA-BUSEGA-24h'!I30,'28.07 KYENGERA-BUSEGA'!I30)</f>
        <v>14.428571428571429</v>
      </c>
      <c r="J30" s="49">
        <f>AVERAGE('22.07 KYENGERA-BUSEGA'!J30,'23.07 KYENGERA-BUSEGA'!J30,'24.07 KYENGERA-BUSEGA'!J30,'25.07 KYENGERA-BUSEGA'!J30,'26.07 KYENGERA-BUSEGA-24h'!J30,'27.07 KYENGERA-BUSEGA-24h'!J30,'28.07 KYENGERA-BUSEGA'!J30)</f>
        <v>6.2857142857142856</v>
      </c>
      <c r="K30" s="49">
        <f>AVERAGE('22.07 KYENGERA-BUSEGA'!K30,'23.07 KYENGERA-BUSEGA'!K30,'24.07 KYENGERA-BUSEGA'!K30,'25.07 KYENGERA-BUSEGA'!K30,'26.07 KYENGERA-BUSEGA-24h'!K30,'27.07 KYENGERA-BUSEGA-24h'!K30,'28.07 KYENGERA-BUSEGA'!K30)</f>
        <v>0.8571428571428571</v>
      </c>
      <c r="L30" s="49">
        <f>AVERAGE('22.07 KYENGERA-BUSEGA'!L30,'23.07 KYENGERA-BUSEGA'!L30,'24.07 KYENGERA-BUSEGA'!L30,'25.07 KYENGERA-BUSEGA'!L30,'26.07 KYENGERA-BUSEGA-24h'!L30,'27.07 KYENGERA-BUSEGA-24h'!L30,'28.07 KYENGERA-BUSEGA'!L30)</f>
        <v>3.1428571428571428</v>
      </c>
      <c r="M30" s="49">
        <f>AVERAGE('22.07 KYENGERA-BUSEGA'!M30,'23.07 KYENGERA-BUSEGA'!M30,'24.07 KYENGERA-BUSEGA'!M30,'25.07 KYENGERA-BUSEGA'!M30,'26.07 KYENGERA-BUSEGA-24h'!M30,'27.07 KYENGERA-BUSEGA-24h'!M30,'28.07 KYENGERA-BUSEGA'!M30)</f>
        <v>227.57142857142858</v>
      </c>
      <c r="N30" s="49">
        <f>AVERAGE('22.07 KYENGERA-BUSEGA'!N30,'23.07 KYENGERA-BUSEGA'!N30,'24.07 KYENGERA-BUSEGA'!N30,'25.07 KYENGERA-BUSEGA'!N30,'26.07 KYENGERA-BUSEGA-24h'!N30,'27.07 KYENGERA-BUSEGA-24h'!N30,'28.07 KYENGERA-BUSEGA'!N30)</f>
        <v>0</v>
      </c>
      <c r="O30" s="15">
        <f t="shared" si="0"/>
        <v>159.57142857142858</v>
      </c>
      <c r="P30" s="15">
        <f t="shared" si="1"/>
        <v>387.14285714285717</v>
      </c>
      <c r="R30" s="1" t="s">
        <v>154</v>
      </c>
      <c r="S30" s="34">
        <f>SUM(C90:C93)</f>
        <v>36</v>
      </c>
      <c r="T30" s="34">
        <f t="shared" ref="T30:AD30" si="22">SUM(D90:D93)</f>
        <v>4</v>
      </c>
      <c r="U30" s="34">
        <f t="shared" si="22"/>
        <v>4</v>
      </c>
      <c r="V30" s="34">
        <f t="shared" si="22"/>
        <v>9</v>
      </c>
      <c r="W30" s="34">
        <f t="shared" si="22"/>
        <v>2.5</v>
      </c>
      <c r="X30" s="34">
        <f t="shared" si="22"/>
        <v>7</v>
      </c>
      <c r="Y30" s="34">
        <f t="shared" si="22"/>
        <v>31.5</v>
      </c>
      <c r="Z30" s="34">
        <f t="shared" si="22"/>
        <v>43.5</v>
      </c>
      <c r="AA30" s="34">
        <f t="shared" si="22"/>
        <v>4</v>
      </c>
      <c r="AB30" s="34">
        <f t="shared" si="22"/>
        <v>10.5</v>
      </c>
      <c r="AC30" s="34">
        <f t="shared" si="22"/>
        <v>105.5</v>
      </c>
      <c r="AD30" s="34">
        <f t="shared" si="22"/>
        <v>0</v>
      </c>
      <c r="AE30" s="31">
        <f t="shared" si="13"/>
        <v>492</v>
      </c>
      <c r="AF30" s="31">
        <f t="shared" si="13"/>
        <v>1680.5</v>
      </c>
    </row>
    <row r="31" spans="2:32" ht="23.1" customHeight="1" x14ac:dyDescent="0.25">
      <c r="B31" s="24" t="s">
        <v>58</v>
      </c>
      <c r="C31" s="49">
        <f>AVERAGE('22.07 KYENGERA-BUSEGA'!C31,'23.07 KYENGERA-BUSEGA'!C31,'24.07 KYENGERA-BUSEGA'!C31,'25.07 KYENGERA-BUSEGA'!C31,'26.07 KYENGERA-BUSEGA-24h'!C31,'27.07 KYENGERA-BUSEGA-24h'!C31,'28.07 KYENGERA-BUSEGA'!C31)</f>
        <v>65.857142857142861</v>
      </c>
      <c r="D31" s="49">
        <f>AVERAGE('22.07 KYENGERA-BUSEGA'!D31,'23.07 KYENGERA-BUSEGA'!D31,'24.07 KYENGERA-BUSEGA'!D31,'25.07 KYENGERA-BUSEGA'!D31,'26.07 KYENGERA-BUSEGA-24h'!D31,'27.07 KYENGERA-BUSEGA-24h'!D31,'28.07 KYENGERA-BUSEGA'!D31)</f>
        <v>10.428571428571429</v>
      </c>
      <c r="E31" s="49">
        <f>AVERAGE('22.07 KYENGERA-BUSEGA'!E31,'23.07 KYENGERA-BUSEGA'!E31,'24.07 KYENGERA-BUSEGA'!E31,'25.07 KYENGERA-BUSEGA'!E31,'26.07 KYENGERA-BUSEGA-24h'!E31,'27.07 KYENGERA-BUSEGA-24h'!E31,'28.07 KYENGERA-BUSEGA'!E31)</f>
        <v>10.285714285714286</v>
      </c>
      <c r="F31" s="49">
        <f>AVERAGE('22.07 KYENGERA-BUSEGA'!F31,'23.07 KYENGERA-BUSEGA'!F31,'24.07 KYENGERA-BUSEGA'!F31,'25.07 KYENGERA-BUSEGA'!F31,'26.07 KYENGERA-BUSEGA-24h'!F31,'27.07 KYENGERA-BUSEGA-24h'!F31,'28.07 KYENGERA-BUSEGA'!F31)</f>
        <v>52.714285714285715</v>
      </c>
      <c r="G31" s="49">
        <f>AVERAGE('22.07 KYENGERA-BUSEGA'!G31,'23.07 KYENGERA-BUSEGA'!G31,'24.07 KYENGERA-BUSEGA'!G31,'25.07 KYENGERA-BUSEGA'!G31,'26.07 KYENGERA-BUSEGA-24h'!G31,'27.07 KYENGERA-BUSEGA-24h'!G31,'28.07 KYENGERA-BUSEGA'!G31)</f>
        <v>1.1428571428571428</v>
      </c>
      <c r="H31" s="49">
        <f>AVERAGE('22.07 KYENGERA-BUSEGA'!H31,'23.07 KYENGERA-BUSEGA'!H31,'24.07 KYENGERA-BUSEGA'!H31,'25.07 KYENGERA-BUSEGA'!H31,'26.07 KYENGERA-BUSEGA-24h'!H31,'27.07 KYENGERA-BUSEGA-24h'!H31,'28.07 KYENGERA-BUSEGA'!H31)</f>
        <v>0.7142857142857143</v>
      </c>
      <c r="I31" s="49">
        <f>AVERAGE('22.07 KYENGERA-BUSEGA'!I31,'23.07 KYENGERA-BUSEGA'!I31,'24.07 KYENGERA-BUSEGA'!I31,'25.07 KYENGERA-BUSEGA'!I31,'26.07 KYENGERA-BUSEGA-24h'!I31,'27.07 KYENGERA-BUSEGA-24h'!I31,'28.07 KYENGERA-BUSEGA'!I31)</f>
        <v>11.571428571428571</v>
      </c>
      <c r="J31" s="49">
        <f>AVERAGE('22.07 KYENGERA-BUSEGA'!J31,'23.07 KYENGERA-BUSEGA'!J31,'24.07 KYENGERA-BUSEGA'!J31,'25.07 KYENGERA-BUSEGA'!J31,'26.07 KYENGERA-BUSEGA-24h'!J31,'27.07 KYENGERA-BUSEGA-24h'!J31,'28.07 KYENGERA-BUSEGA'!J31)</f>
        <v>4.5714285714285712</v>
      </c>
      <c r="K31" s="49">
        <f>AVERAGE('22.07 KYENGERA-BUSEGA'!K31,'23.07 KYENGERA-BUSEGA'!K31,'24.07 KYENGERA-BUSEGA'!K31,'25.07 KYENGERA-BUSEGA'!K31,'26.07 KYENGERA-BUSEGA-24h'!K31,'27.07 KYENGERA-BUSEGA-24h'!K31,'28.07 KYENGERA-BUSEGA'!K31)</f>
        <v>1.5714285714285714</v>
      </c>
      <c r="L31" s="49">
        <f>AVERAGE('22.07 KYENGERA-BUSEGA'!L31,'23.07 KYENGERA-BUSEGA'!L31,'24.07 KYENGERA-BUSEGA'!L31,'25.07 KYENGERA-BUSEGA'!L31,'26.07 KYENGERA-BUSEGA-24h'!L31,'27.07 KYENGERA-BUSEGA-24h'!L31,'28.07 KYENGERA-BUSEGA'!L31)</f>
        <v>2.8571428571428572</v>
      </c>
      <c r="M31" s="49">
        <f>AVERAGE('22.07 KYENGERA-BUSEGA'!M31,'23.07 KYENGERA-BUSEGA'!M31,'24.07 KYENGERA-BUSEGA'!M31,'25.07 KYENGERA-BUSEGA'!M31,'26.07 KYENGERA-BUSEGA-24h'!M31,'27.07 KYENGERA-BUSEGA-24h'!M31,'28.07 KYENGERA-BUSEGA'!M31)</f>
        <v>190</v>
      </c>
      <c r="N31" s="49">
        <f>AVERAGE('22.07 KYENGERA-BUSEGA'!N31,'23.07 KYENGERA-BUSEGA'!N31,'24.07 KYENGERA-BUSEGA'!N31,'25.07 KYENGERA-BUSEGA'!N31,'26.07 KYENGERA-BUSEGA-24h'!N31,'27.07 KYENGERA-BUSEGA-24h'!N31,'28.07 KYENGERA-BUSEGA'!N31)</f>
        <v>0</v>
      </c>
      <c r="O31" s="15">
        <f t="shared" si="0"/>
        <v>161.71428571428578</v>
      </c>
      <c r="P31" s="15">
        <f t="shared" si="1"/>
        <v>351.71428571428578</v>
      </c>
      <c r="R31" s="1" t="s">
        <v>155</v>
      </c>
      <c r="S31" s="34">
        <f>SUM(C94:C97)</f>
        <v>36.5</v>
      </c>
      <c r="T31" s="34">
        <f t="shared" ref="T31:AD31" si="23">SUM(D94:D97)</f>
        <v>1</v>
      </c>
      <c r="U31" s="34">
        <f t="shared" si="23"/>
        <v>1</v>
      </c>
      <c r="V31" s="34">
        <f t="shared" si="23"/>
        <v>15</v>
      </c>
      <c r="W31" s="34">
        <f t="shared" si="23"/>
        <v>5</v>
      </c>
      <c r="X31" s="34">
        <f t="shared" si="23"/>
        <v>11.5</v>
      </c>
      <c r="Y31" s="34">
        <f t="shared" si="23"/>
        <v>27</v>
      </c>
      <c r="Z31" s="34">
        <f t="shared" si="23"/>
        <v>43.5</v>
      </c>
      <c r="AA31" s="34">
        <f t="shared" si="23"/>
        <v>4.5</v>
      </c>
      <c r="AB31" s="34">
        <f t="shared" si="23"/>
        <v>10.5</v>
      </c>
      <c r="AC31" s="34">
        <f t="shared" si="23"/>
        <v>118</v>
      </c>
      <c r="AD31" s="34">
        <f t="shared" si="23"/>
        <v>0</v>
      </c>
      <c r="AE31" s="31">
        <f t="shared" si="13"/>
        <v>480.5</v>
      </c>
      <c r="AF31" s="31">
        <f t="shared" si="13"/>
        <v>1630.5</v>
      </c>
    </row>
    <row r="32" spans="2:32" ht="23.1" customHeight="1" x14ac:dyDescent="0.25">
      <c r="B32" s="24" t="s">
        <v>59</v>
      </c>
      <c r="C32" s="49">
        <f>AVERAGE('22.07 KYENGERA-BUSEGA'!C32,'23.07 KYENGERA-BUSEGA'!C32,'24.07 KYENGERA-BUSEGA'!C32,'25.07 KYENGERA-BUSEGA'!C32,'26.07 KYENGERA-BUSEGA-24h'!C32,'27.07 KYENGERA-BUSEGA-24h'!C32,'28.07 KYENGERA-BUSEGA'!C32)</f>
        <v>62.428571428571431</v>
      </c>
      <c r="D32" s="49">
        <f>AVERAGE('22.07 KYENGERA-BUSEGA'!D32,'23.07 KYENGERA-BUSEGA'!D32,'24.07 KYENGERA-BUSEGA'!D32,'25.07 KYENGERA-BUSEGA'!D32,'26.07 KYENGERA-BUSEGA-24h'!D32,'27.07 KYENGERA-BUSEGA-24h'!D32,'28.07 KYENGERA-BUSEGA'!D32)</f>
        <v>7.8571428571428568</v>
      </c>
      <c r="E32" s="49">
        <f>AVERAGE('22.07 KYENGERA-BUSEGA'!E32,'23.07 KYENGERA-BUSEGA'!E32,'24.07 KYENGERA-BUSEGA'!E32,'25.07 KYENGERA-BUSEGA'!E32,'26.07 KYENGERA-BUSEGA-24h'!E32,'27.07 KYENGERA-BUSEGA-24h'!E32,'28.07 KYENGERA-BUSEGA'!E32)</f>
        <v>9</v>
      </c>
      <c r="F32" s="49">
        <f>AVERAGE('22.07 KYENGERA-BUSEGA'!F32,'23.07 KYENGERA-BUSEGA'!F32,'24.07 KYENGERA-BUSEGA'!F32,'25.07 KYENGERA-BUSEGA'!F32,'26.07 KYENGERA-BUSEGA-24h'!F32,'27.07 KYENGERA-BUSEGA-24h'!F32,'28.07 KYENGERA-BUSEGA'!F32)</f>
        <v>50.428571428571431</v>
      </c>
      <c r="G32" s="49">
        <f>AVERAGE('22.07 KYENGERA-BUSEGA'!G32,'23.07 KYENGERA-BUSEGA'!G32,'24.07 KYENGERA-BUSEGA'!G32,'25.07 KYENGERA-BUSEGA'!G32,'26.07 KYENGERA-BUSEGA-24h'!G32,'27.07 KYENGERA-BUSEGA-24h'!G32,'28.07 KYENGERA-BUSEGA'!G32)</f>
        <v>1.5714285714285714</v>
      </c>
      <c r="H32" s="49">
        <f>AVERAGE('22.07 KYENGERA-BUSEGA'!H32,'23.07 KYENGERA-BUSEGA'!H32,'24.07 KYENGERA-BUSEGA'!H32,'25.07 KYENGERA-BUSEGA'!H32,'26.07 KYENGERA-BUSEGA-24h'!H32,'27.07 KYENGERA-BUSEGA-24h'!H32,'28.07 KYENGERA-BUSEGA'!H32)</f>
        <v>1.2857142857142858</v>
      </c>
      <c r="I32" s="49">
        <f>AVERAGE('22.07 KYENGERA-BUSEGA'!I32,'23.07 KYENGERA-BUSEGA'!I32,'24.07 KYENGERA-BUSEGA'!I32,'25.07 KYENGERA-BUSEGA'!I32,'26.07 KYENGERA-BUSEGA-24h'!I32,'27.07 KYENGERA-BUSEGA-24h'!I32,'28.07 KYENGERA-BUSEGA'!I32)</f>
        <v>15.142857142857142</v>
      </c>
      <c r="J32" s="49">
        <f>AVERAGE('22.07 KYENGERA-BUSEGA'!J32,'23.07 KYENGERA-BUSEGA'!J32,'24.07 KYENGERA-BUSEGA'!J32,'25.07 KYENGERA-BUSEGA'!J32,'26.07 KYENGERA-BUSEGA-24h'!J32,'27.07 KYENGERA-BUSEGA-24h'!J32,'28.07 KYENGERA-BUSEGA'!J32)</f>
        <v>5.1428571428571432</v>
      </c>
      <c r="K32" s="49">
        <f>AVERAGE('22.07 KYENGERA-BUSEGA'!K32,'23.07 KYENGERA-BUSEGA'!K32,'24.07 KYENGERA-BUSEGA'!K32,'25.07 KYENGERA-BUSEGA'!K32,'26.07 KYENGERA-BUSEGA-24h'!K32,'27.07 KYENGERA-BUSEGA-24h'!K32,'28.07 KYENGERA-BUSEGA'!K32)</f>
        <v>1.1428571428571428</v>
      </c>
      <c r="L32" s="49">
        <f>AVERAGE('22.07 KYENGERA-BUSEGA'!L32,'23.07 KYENGERA-BUSEGA'!L32,'24.07 KYENGERA-BUSEGA'!L32,'25.07 KYENGERA-BUSEGA'!L32,'26.07 KYENGERA-BUSEGA-24h'!L32,'27.07 KYENGERA-BUSEGA-24h'!L32,'28.07 KYENGERA-BUSEGA'!L32)</f>
        <v>4.5714285714285712</v>
      </c>
      <c r="M32" s="49">
        <f>AVERAGE('22.07 KYENGERA-BUSEGA'!M32,'23.07 KYENGERA-BUSEGA'!M32,'24.07 KYENGERA-BUSEGA'!M32,'25.07 KYENGERA-BUSEGA'!M32,'26.07 KYENGERA-BUSEGA-24h'!M32,'27.07 KYENGERA-BUSEGA-24h'!M32,'28.07 KYENGERA-BUSEGA'!M32)</f>
        <v>191.85714285714286</v>
      </c>
      <c r="N32" s="49">
        <f>AVERAGE('22.07 KYENGERA-BUSEGA'!N32,'23.07 KYENGERA-BUSEGA'!N32,'24.07 KYENGERA-BUSEGA'!N32,'25.07 KYENGERA-BUSEGA'!N32,'26.07 KYENGERA-BUSEGA-24h'!N32,'27.07 KYENGERA-BUSEGA-24h'!N32,'28.07 KYENGERA-BUSEGA'!N32)</f>
        <v>0</v>
      </c>
      <c r="O32" s="15">
        <f t="shared" si="0"/>
        <v>158.57142857142858</v>
      </c>
      <c r="P32" s="15">
        <f t="shared" si="1"/>
        <v>350.42857142857144</v>
      </c>
      <c r="R32" s="1" t="s">
        <v>156</v>
      </c>
      <c r="S32" s="34">
        <f>SUM(C98:C101)</f>
        <v>48.5</v>
      </c>
      <c r="T32" s="34">
        <f t="shared" ref="T32:AD32" si="24">SUM(D98:D101)</f>
        <v>4</v>
      </c>
      <c r="U32" s="34">
        <f t="shared" si="24"/>
        <v>4</v>
      </c>
      <c r="V32" s="34">
        <f t="shared" si="24"/>
        <v>94.5</v>
      </c>
      <c r="W32" s="34">
        <f t="shared" si="24"/>
        <v>4.5</v>
      </c>
      <c r="X32" s="34">
        <f t="shared" si="24"/>
        <v>8.5</v>
      </c>
      <c r="Y32" s="34">
        <f t="shared" si="24"/>
        <v>36</v>
      </c>
      <c r="Z32" s="34">
        <f t="shared" si="24"/>
        <v>40.5</v>
      </c>
      <c r="AA32" s="34">
        <f t="shared" si="24"/>
        <v>6</v>
      </c>
      <c r="AB32" s="34">
        <f t="shared" si="24"/>
        <v>11</v>
      </c>
      <c r="AC32" s="34">
        <f t="shared" si="24"/>
        <v>165.5</v>
      </c>
      <c r="AD32" s="34">
        <f t="shared" si="24"/>
        <v>0</v>
      </c>
      <c r="AE32" s="31">
        <f t="shared" si="13"/>
        <v>456.5</v>
      </c>
      <c r="AF32" s="31">
        <f t="shared" si="13"/>
        <v>1554</v>
      </c>
    </row>
    <row r="33" spans="2:32" ht="23.1" customHeight="1" x14ac:dyDescent="0.25">
      <c r="B33" s="23" t="s">
        <v>60</v>
      </c>
      <c r="C33" s="49">
        <f>AVERAGE('22.07 KYENGERA-BUSEGA'!C33,'23.07 KYENGERA-BUSEGA'!C33,'24.07 KYENGERA-BUSEGA'!C33,'25.07 KYENGERA-BUSEGA'!C33,'26.07 KYENGERA-BUSEGA-24h'!C33,'27.07 KYENGERA-BUSEGA-24h'!C33,'28.07 KYENGERA-BUSEGA'!C33)</f>
        <v>61.285714285714285</v>
      </c>
      <c r="D33" s="49">
        <f>AVERAGE('22.07 KYENGERA-BUSEGA'!D33,'23.07 KYENGERA-BUSEGA'!D33,'24.07 KYENGERA-BUSEGA'!D33,'25.07 KYENGERA-BUSEGA'!D33,'26.07 KYENGERA-BUSEGA-24h'!D33,'27.07 KYENGERA-BUSEGA-24h'!D33,'28.07 KYENGERA-BUSEGA'!D33)</f>
        <v>9.2857142857142865</v>
      </c>
      <c r="E33" s="49">
        <f>AVERAGE('22.07 KYENGERA-BUSEGA'!E33,'23.07 KYENGERA-BUSEGA'!E33,'24.07 KYENGERA-BUSEGA'!E33,'25.07 KYENGERA-BUSEGA'!E33,'26.07 KYENGERA-BUSEGA-24h'!E33,'27.07 KYENGERA-BUSEGA-24h'!E33,'28.07 KYENGERA-BUSEGA'!E33)</f>
        <v>10.857142857142858</v>
      </c>
      <c r="F33" s="49">
        <f>AVERAGE('22.07 KYENGERA-BUSEGA'!F33,'23.07 KYENGERA-BUSEGA'!F33,'24.07 KYENGERA-BUSEGA'!F33,'25.07 KYENGERA-BUSEGA'!F33,'26.07 KYENGERA-BUSEGA-24h'!F33,'27.07 KYENGERA-BUSEGA-24h'!F33,'28.07 KYENGERA-BUSEGA'!F33)</f>
        <v>48.714285714285715</v>
      </c>
      <c r="G33" s="49">
        <f>AVERAGE('22.07 KYENGERA-BUSEGA'!G33,'23.07 KYENGERA-BUSEGA'!G33,'24.07 KYENGERA-BUSEGA'!G33,'25.07 KYENGERA-BUSEGA'!G33,'26.07 KYENGERA-BUSEGA-24h'!G33,'27.07 KYENGERA-BUSEGA-24h'!G33,'28.07 KYENGERA-BUSEGA'!G33)</f>
        <v>0.8571428571428571</v>
      </c>
      <c r="H33" s="49">
        <f>AVERAGE('22.07 KYENGERA-BUSEGA'!H33,'23.07 KYENGERA-BUSEGA'!H33,'24.07 KYENGERA-BUSEGA'!H33,'25.07 KYENGERA-BUSEGA'!H33,'26.07 KYENGERA-BUSEGA-24h'!H33,'27.07 KYENGERA-BUSEGA-24h'!H33,'28.07 KYENGERA-BUSEGA'!H33)</f>
        <v>1.2857142857142858</v>
      </c>
      <c r="I33" s="49">
        <f>AVERAGE('22.07 KYENGERA-BUSEGA'!I33,'23.07 KYENGERA-BUSEGA'!I33,'24.07 KYENGERA-BUSEGA'!I33,'25.07 KYENGERA-BUSEGA'!I33,'26.07 KYENGERA-BUSEGA-24h'!I33,'27.07 KYENGERA-BUSEGA-24h'!I33,'28.07 KYENGERA-BUSEGA'!I33)</f>
        <v>11.142857142857142</v>
      </c>
      <c r="J33" s="49">
        <f>AVERAGE('22.07 KYENGERA-BUSEGA'!J33,'23.07 KYENGERA-BUSEGA'!J33,'24.07 KYENGERA-BUSEGA'!J33,'25.07 KYENGERA-BUSEGA'!J33,'26.07 KYENGERA-BUSEGA-24h'!J33,'27.07 KYENGERA-BUSEGA-24h'!J33,'28.07 KYENGERA-BUSEGA'!J33)</f>
        <v>5.4285714285714288</v>
      </c>
      <c r="K33" s="49">
        <f>AVERAGE('22.07 KYENGERA-BUSEGA'!K33,'23.07 KYENGERA-BUSEGA'!K33,'24.07 KYENGERA-BUSEGA'!K33,'25.07 KYENGERA-BUSEGA'!K33,'26.07 KYENGERA-BUSEGA-24h'!K33,'27.07 KYENGERA-BUSEGA-24h'!K33,'28.07 KYENGERA-BUSEGA'!K33)</f>
        <v>1</v>
      </c>
      <c r="L33" s="49">
        <f>AVERAGE('22.07 KYENGERA-BUSEGA'!L33,'23.07 KYENGERA-BUSEGA'!L33,'24.07 KYENGERA-BUSEGA'!L33,'25.07 KYENGERA-BUSEGA'!L33,'26.07 KYENGERA-BUSEGA-24h'!L33,'27.07 KYENGERA-BUSEGA-24h'!L33,'28.07 KYENGERA-BUSEGA'!L33)</f>
        <v>2.2857142857142856</v>
      </c>
      <c r="M33" s="49">
        <f>AVERAGE('22.07 KYENGERA-BUSEGA'!M33,'23.07 KYENGERA-BUSEGA'!M33,'24.07 KYENGERA-BUSEGA'!M33,'25.07 KYENGERA-BUSEGA'!M33,'26.07 KYENGERA-BUSEGA-24h'!M33,'27.07 KYENGERA-BUSEGA-24h'!M33,'28.07 KYENGERA-BUSEGA'!M33)</f>
        <v>177.42857142857142</v>
      </c>
      <c r="N33" s="49">
        <f>AVERAGE('22.07 KYENGERA-BUSEGA'!N33,'23.07 KYENGERA-BUSEGA'!N33,'24.07 KYENGERA-BUSEGA'!N33,'25.07 KYENGERA-BUSEGA'!N33,'26.07 KYENGERA-BUSEGA-24h'!N33,'27.07 KYENGERA-BUSEGA-24h'!N33,'28.07 KYENGERA-BUSEGA'!N33)</f>
        <v>0</v>
      </c>
      <c r="O33" s="15">
        <f t="shared" si="0"/>
        <v>152.14285714285711</v>
      </c>
      <c r="P33" s="15">
        <f t="shared" si="1"/>
        <v>329.57142857142856</v>
      </c>
      <c r="R33" s="1" t="s">
        <v>157</v>
      </c>
      <c r="S33" s="34">
        <f>SUM(C102:C105)</f>
        <v>129.5</v>
      </c>
      <c r="T33" s="34">
        <f t="shared" ref="T33:AD33" si="25">SUM(D102:D105)</f>
        <v>7.5</v>
      </c>
      <c r="U33" s="34">
        <f t="shared" si="25"/>
        <v>9</v>
      </c>
      <c r="V33" s="34">
        <f t="shared" si="25"/>
        <v>157.5</v>
      </c>
      <c r="W33" s="34">
        <f t="shared" si="25"/>
        <v>4.5</v>
      </c>
      <c r="X33" s="34">
        <f t="shared" si="25"/>
        <v>4.5</v>
      </c>
      <c r="Y33" s="34">
        <f t="shared" si="25"/>
        <v>43</v>
      </c>
      <c r="Z33" s="34">
        <f t="shared" si="25"/>
        <v>37</v>
      </c>
      <c r="AA33" s="34">
        <f t="shared" si="25"/>
        <v>4</v>
      </c>
      <c r="AB33" s="34">
        <f t="shared" si="25"/>
        <v>14</v>
      </c>
      <c r="AC33" s="34">
        <f t="shared" si="25"/>
        <v>534.5</v>
      </c>
      <c r="AD33" s="34">
        <f t="shared" si="25"/>
        <v>0</v>
      </c>
      <c r="AE33" s="31">
        <f t="shared" si="13"/>
        <v>504.5</v>
      </c>
      <c r="AF33" s="31">
        <f t="shared" si="13"/>
        <v>1594.5</v>
      </c>
    </row>
    <row r="34" spans="2:32" ht="23.1" customHeight="1" x14ac:dyDescent="0.25">
      <c r="B34" s="24" t="s">
        <v>61</v>
      </c>
      <c r="C34" s="49">
        <f>AVERAGE('22.07 KYENGERA-BUSEGA'!C34,'23.07 KYENGERA-BUSEGA'!C34,'24.07 KYENGERA-BUSEGA'!C34,'25.07 KYENGERA-BUSEGA'!C34,'26.07 KYENGERA-BUSEGA-24h'!C34,'27.07 KYENGERA-BUSEGA-24h'!C34,'28.07 KYENGERA-BUSEGA'!C34)</f>
        <v>53.857142857142854</v>
      </c>
      <c r="D34" s="49">
        <f>AVERAGE('22.07 KYENGERA-BUSEGA'!D34,'23.07 KYENGERA-BUSEGA'!D34,'24.07 KYENGERA-BUSEGA'!D34,'25.07 KYENGERA-BUSEGA'!D34,'26.07 KYENGERA-BUSEGA-24h'!D34,'27.07 KYENGERA-BUSEGA-24h'!D34,'28.07 KYENGERA-BUSEGA'!D34)</f>
        <v>4.8571428571428568</v>
      </c>
      <c r="E34" s="49">
        <f>AVERAGE('22.07 KYENGERA-BUSEGA'!E34,'23.07 KYENGERA-BUSEGA'!E34,'24.07 KYENGERA-BUSEGA'!E34,'25.07 KYENGERA-BUSEGA'!E34,'26.07 KYENGERA-BUSEGA-24h'!E34,'27.07 KYENGERA-BUSEGA-24h'!E34,'28.07 KYENGERA-BUSEGA'!E34)</f>
        <v>7.4285714285714288</v>
      </c>
      <c r="F34" s="49">
        <f>AVERAGE('22.07 KYENGERA-BUSEGA'!F34,'23.07 KYENGERA-BUSEGA'!F34,'24.07 KYENGERA-BUSEGA'!F34,'25.07 KYENGERA-BUSEGA'!F34,'26.07 KYENGERA-BUSEGA-24h'!F34,'27.07 KYENGERA-BUSEGA-24h'!F34,'28.07 KYENGERA-BUSEGA'!F34)</f>
        <v>48.142857142857146</v>
      </c>
      <c r="G34" s="49">
        <f>AVERAGE('22.07 KYENGERA-BUSEGA'!G34,'23.07 KYENGERA-BUSEGA'!G34,'24.07 KYENGERA-BUSEGA'!G34,'25.07 KYENGERA-BUSEGA'!G34,'26.07 KYENGERA-BUSEGA-24h'!G34,'27.07 KYENGERA-BUSEGA-24h'!G34,'28.07 KYENGERA-BUSEGA'!G34)</f>
        <v>0.2857142857142857</v>
      </c>
      <c r="H34" s="49">
        <f>AVERAGE('22.07 KYENGERA-BUSEGA'!H34,'23.07 KYENGERA-BUSEGA'!H34,'24.07 KYENGERA-BUSEGA'!H34,'25.07 KYENGERA-BUSEGA'!H34,'26.07 KYENGERA-BUSEGA-24h'!H34,'27.07 KYENGERA-BUSEGA-24h'!H34,'28.07 KYENGERA-BUSEGA'!H34)</f>
        <v>0.5714285714285714</v>
      </c>
      <c r="I34" s="49">
        <f>AVERAGE('22.07 KYENGERA-BUSEGA'!I34,'23.07 KYENGERA-BUSEGA'!I34,'24.07 KYENGERA-BUSEGA'!I34,'25.07 KYENGERA-BUSEGA'!I34,'26.07 KYENGERA-BUSEGA-24h'!I34,'27.07 KYENGERA-BUSEGA-24h'!I34,'28.07 KYENGERA-BUSEGA'!I34)</f>
        <v>14.714285714285714</v>
      </c>
      <c r="J34" s="49">
        <f>AVERAGE('22.07 KYENGERA-BUSEGA'!J34,'23.07 KYENGERA-BUSEGA'!J34,'24.07 KYENGERA-BUSEGA'!J34,'25.07 KYENGERA-BUSEGA'!J34,'26.07 KYENGERA-BUSEGA-24h'!J34,'27.07 KYENGERA-BUSEGA-24h'!J34,'28.07 KYENGERA-BUSEGA'!J34)</f>
        <v>3.4285714285714284</v>
      </c>
      <c r="K34" s="49">
        <f>AVERAGE('22.07 KYENGERA-BUSEGA'!K34,'23.07 KYENGERA-BUSEGA'!K34,'24.07 KYENGERA-BUSEGA'!K34,'25.07 KYENGERA-BUSEGA'!K34,'26.07 KYENGERA-BUSEGA-24h'!K34,'27.07 KYENGERA-BUSEGA-24h'!K34,'28.07 KYENGERA-BUSEGA'!K34)</f>
        <v>1.1428571428571428</v>
      </c>
      <c r="L34" s="49">
        <f>AVERAGE('22.07 KYENGERA-BUSEGA'!L34,'23.07 KYENGERA-BUSEGA'!L34,'24.07 KYENGERA-BUSEGA'!L34,'25.07 KYENGERA-BUSEGA'!L34,'26.07 KYENGERA-BUSEGA-24h'!L34,'27.07 KYENGERA-BUSEGA-24h'!L34,'28.07 KYENGERA-BUSEGA'!L34)</f>
        <v>4.1428571428571432</v>
      </c>
      <c r="M34" s="49">
        <f>AVERAGE('22.07 KYENGERA-BUSEGA'!M34,'23.07 KYENGERA-BUSEGA'!M34,'24.07 KYENGERA-BUSEGA'!M34,'25.07 KYENGERA-BUSEGA'!M34,'26.07 KYENGERA-BUSEGA-24h'!M34,'27.07 KYENGERA-BUSEGA-24h'!M34,'28.07 KYENGERA-BUSEGA'!M34)</f>
        <v>189.28571428571428</v>
      </c>
      <c r="N34" s="49">
        <f>AVERAGE('22.07 KYENGERA-BUSEGA'!N34,'23.07 KYENGERA-BUSEGA'!N34,'24.07 KYENGERA-BUSEGA'!N34,'25.07 KYENGERA-BUSEGA'!N34,'26.07 KYENGERA-BUSEGA-24h'!N34,'27.07 KYENGERA-BUSEGA-24h'!N34,'28.07 KYENGERA-BUSEGA'!N34)</f>
        <v>0.14285714285714285</v>
      </c>
      <c r="O34" s="15">
        <f t="shared" si="0"/>
        <v>138.71428571428569</v>
      </c>
      <c r="P34" s="15">
        <f t="shared" si="1"/>
        <v>328</v>
      </c>
      <c r="R34" s="38" t="s">
        <v>90</v>
      </c>
      <c r="S34" s="39">
        <f t="shared" ref="S34:AF34" si="26">MAX(S10:S12)</f>
        <v>387.57142857142856</v>
      </c>
      <c r="T34" s="39">
        <f t="shared" si="26"/>
        <v>43.428571428571423</v>
      </c>
      <c r="U34" s="39">
        <f t="shared" si="26"/>
        <v>45.571428571428569</v>
      </c>
      <c r="V34" s="39">
        <f t="shared" si="26"/>
        <v>239.28571428571428</v>
      </c>
      <c r="W34" s="39">
        <f t="shared" si="26"/>
        <v>12.142857142857142</v>
      </c>
      <c r="X34" s="39">
        <f t="shared" si="26"/>
        <v>5.8571428571428568</v>
      </c>
      <c r="Y34" s="39">
        <f t="shared" si="26"/>
        <v>58.142857142857139</v>
      </c>
      <c r="Z34" s="39">
        <f t="shared" si="26"/>
        <v>23.428571428571427</v>
      </c>
      <c r="AA34" s="39">
        <f t="shared" si="26"/>
        <v>5.4285714285714279</v>
      </c>
      <c r="AB34" s="39">
        <f t="shared" si="26"/>
        <v>13.857142857142858</v>
      </c>
      <c r="AC34" s="39">
        <f t="shared" si="26"/>
        <v>1522.5714285714287</v>
      </c>
      <c r="AD34" s="39">
        <f t="shared" si="26"/>
        <v>0.14285714285714285</v>
      </c>
      <c r="AE34" s="40">
        <f t="shared" si="26"/>
        <v>822.42857142857156</v>
      </c>
      <c r="AF34" s="40">
        <f t="shared" si="26"/>
        <v>2345</v>
      </c>
    </row>
    <row r="35" spans="2:32" ht="23.1" customHeight="1" x14ac:dyDescent="0.25">
      <c r="B35" s="24" t="s">
        <v>62</v>
      </c>
      <c r="C35" s="49">
        <f>AVERAGE('22.07 KYENGERA-BUSEGA'!C35,'23.07 KYENGERA-BUSEGA'!C35,'24.07 KYENGERA-BUSEGA'!C35,'25.07 KYENGERA-BUSEGA'!C35,'26.07 KYENGERA-BUSEGA-24h'!C35,'27.07 KYENGERA-BUSEGA-24h'!C35,'28.07 KYENGERA-BUSEGA'!C35)</f>
        <v>58.428571428571431</v>
      </c>
      <c r="D35" s="49">
        <f>AVERAGE('22.07 KYENGERA-BUSEGA'!D35,'23.07 KYENGERA-BUSEGA'!D35,'24.07 KYENGERA-BUSEGA'!D35,'25.07 KYENGERA-BUSEGA'!D35,'26.07 KYENGERA-BUSEGA-24h'!D35,'27.07 KYENGERA-BUSEGA-24h'!D35,'28.07 KYENGERA-BUSEGA'!D35)</f>
        <v>7</v>
      </c>
      <c r="E35" s="49">
        <f>AVERAGE('22.07 KYENGERA-BUSEGA'!E35,'23.07 KYENGERA-BUSEGA'!E35,'24.07 KYENGERA-BUSEGA'!E35,'25.07 KYENGERA-BUSEGA'!E35,'26.07 KYENGERA-BUSEGA-24h'!E35,'27.07 KYENGERA-BUSEGA-24h'!E35,'28.07 KYENGERA-BUSEGA'!E35)</f>
        <v>9.1428571428571423</v>
      </c>
      <c r="F35" s="49">
        <f>AVERAGE('22.07 KYENGERA-BUSEGA'!F35,'23.07 KYENGERA-BUSEGA'!F35,'24.07 KYENGERA-BUSEGA'!F35,'25.07 KYENGERA-BUSEGA'!F35,'26.07 KYENGERA-BUSEGA-24h'!F35,'27.07 KYENGERA-BUSEGA-24h'!F35,'28.07 KYENGERA-BUSEGA'!F35)</f>
        <v>45.857142857142854</v>
      </c>
      <c r="G35" s="49">
        <f>AVERAGE('22.07 KYENGERA-BUSEGA'!G35,'23.07 KYENGERA-BUSEGA'!G35,'24.07 KYENGERA-BUSEGA'!G35,'25.07 KYENGERA-BUSEGA'!G35,'26.07 KYENGERA-BUSEGA-24h'!G35,'27.07 KYENGERA-BUSEGA-24h'!G35,'28.07 KYENGERA-BUSEGA'!G35)</f>
        <v>1</v>
      </c>
      <c r="H35" s="49">
        <f>AVERAGE('22.07 KYENGERA-BUSEGA'!H35,'23.07 KYENGERA-BUSEGA'!H35,'24.07 KYENGERA-BUSEGA'!H35,'25.07 KYENGERA-BUSEGA'!H35,'26.07 KYENGERA-BUSEGA-24h'!H35,'27.07 KYENGERA-BUSEGA-24h'!H35,'28.07 KYENGERA-BUSEGA'!H35)</f>
        <v>2.2857142857142856</v>
      </c>
      <c r="I35" s="49">
        <f>AVERAGE('22.07 KYENGERA-BUSEGA'!I35,'23.07 KYENGERA-BUSEGA'!I35,'24.07 KYENGERA-BUSEGA'!I35,'25.07 KYENGERA-BUSEGA'!I35,'26.07 KYENGERA-BUSEGA-24h'!I35,'27.07 KYENGERA-BUSEGA-24h'!I35,'28.07 KYENGERA-BUSEGA'!I35)</f>
        <v>14.428571428571429</v>
      </c>
      <c r="J35" s="49">
        <f>AVERAGE('22.07 KYENGERA-BUSEGA'!J35,'23.07 KYENGERA-BUSEGA'!J35,'24.07 KYENGERA-BUSEGA'!J35,'25.07 KYENGERA-BUSEGA'!J35,'26.07 KYENGERA-BUSEGA-24h'!J35,'27.07 KYENGERA-BUSEGA-24h'!J35,'28.07 KYENGERA-BUSEGA'!J35)</f>
        <v>4.2857142857142856</v>
      </c>
      <c r="K35" s="49">
        <f>AVERAGE('22.07 KYENGERA-BUSEGA'!K35,'23.07 KYENGERA-BUSEGA'!K35,'24.07 KYENGERA-BUSEGA'!K35,'25.07 KYENGERA-BUSEGA'!K35,'26.07 KYENGERA-BUSEGA-24h'!K35,'27.07 KYENGERA-BUSEGA-24h'!K35,'28.07 KYENGERA-BUSEGA'!K35)</f>
        <v>1</v>
      </c>
      <c r="L35" s="49">
        <f>AVERAGE('22.07 KYENGERA-BUSEGA'!L35,'23.07 KYENGERA-BUSEGA'!L35,'24.07 KYENGERA-BUSEGA'!L35,'25.07 KYENGERA-BUSEGA'!L35,'26.07 KYENGERA-BUSEGA-24h'!L35,'27.07 KYENGERA-BUSEGA-24h'!L35,'28.07 KYENGERA-BUSEGA'!L35)</f>
        <v>3.7142857142857144</v>
      </c>
      <c r="M35" s="49">
        <f>AVERAGE('22.07 KYENGERA-BUSEGA'!M35,'23.07 KYENGERA-BUSEGA'!M35,'24.07 KYENGERA-BUSEGA'!M35,'25.07 KYENGERA-BUSEGA'!M35,'26.07 KYENGERA-BUSEGA-24h'!M35,'27.07 KYENGERA-BUSEGA-24h'!M35,'28.07 KYENGERA-BUSEGA'!M35)</f>
        <v>182</v>
      </c>
      <c r="N35" s="49">
        <f>AVERAGE('22.07 KYENGERA-BUSEGA'!N35,'23.07 KYENGERA-BUSEGA'!N35,'24.07 KYENGERA-BUSEGA'!N35,'25.07 KYENGERA-BUSEGA'!N35,'26.07 KYENGERA-BUSEGA-24h'!N35,'27.07 KYENGERA-BUSEGA-24h'!N35,'28.07 KYENGERA-BUSEGA'!N35)</f>
        <v>0.14285714285714285</v>
      </c>
      <c r="O35" s="15">
        <f t="shared" si="0"/>
        <v>147.28571428571428</v>
      </c>
      <c r="P35" s="15">
        <f t="shared" si="1"/>
        <v>329.28571428571428</v>
      </c>
      <c r="R35" s="38" t="s">
        <v>91</v>
      </c>
      <c r="S35" s="39">
        <f t="shared" ref="S35:AF35" si="27">MAX(S13:S18)</f>
        <v>318.57142857142861</v>
      </c>
      <c r="T35" s="39">
        <f t="shared" si="27"/>
        <v>37.857142857142861</v>
      </c>
      <c r="U35" s="39">
        <f t="shared" si="27"/>
        <v>42.285714285714285</v>
      </c>
      <c r="V35" s="39">
        <f t="shared" si="27"/>
        <v>210.42857142857144</v>
      </c>
      <c r="W35" s="39">
        <f t="shared" si="27"/>
        <v>5.8571428571428568</v>
      </c>
      <c r="X35" s="39">
        <f t="shared" si="27"/>
        <v>5.7142857142857144</v>
      </c>
      <c r="Y35" s="39">
        <f t="shared" si="27"/>
        <v>56.428571428571431</v>
      </c>
      <c r="Z35" s="39">
        <f t="shared" si="27"/>
        <v>21.428571428571431</v>
      </c>
      <c r="AA35" s="39">
        <f t="shared" si="27"/>
        <v>5.2857142857142856</v>
      </c>
      <c r="AB35" s="39">
        <f t="shared" si="27"/>
        <v>16.428571428571431</v>
      </c>
      <c r="AC35" s="39">
        <f t="shared" si="27"/>
        <v>876.14285714285711</v>
      </c>
      <c r="AD35" s="39">
        <f t="shared" si="27"/>
        <v>0.42857142857142855</v>
      </c>
      <c r="AE35" s="40">
        <f t="shared" si="27"/>
        <v>687.57142857142856</v>
      </c>
      <c r="AF35" s="40">
        <f t="shared" si="27"/>
        <v>1563.7142857142858</v>
      </c>
    </row>
    <row r="36" spans="2:32" ht="23.1" customHeight="1" x14ac:dyDescent="0.25">
      <c r="B36" s="24" t="s">
        <v>63</v>
      </c>
      <c r="C36" s="49">
        <f>AVERAGE('22.07 KYENGERA-BUSEGA'!C36,'23.07 KYENGERA-BUSEGA'!C36,'24.07 KYENGERA-BUSEGA'!C36,'25.07 KYENGERA-BUSEGA'!C36,'26.07 KYENGERA-BUSEGA-24h'!C36,'27.07 KYENGERA-BUSEGA-24h'!C36,'28.07 KYENGERA-BUSEGA'!C36)</f>
        <v>54</v>
      </c>
      <c r="D36" s="49">
        <f>AVERAGE('22.07 KYENGERA-BUSEGA'!D36,'23.07 KYENGERA-BUSEGA'!D36,'24.07 KYENGERA-BUSEGA'!D36,'25.07 KYENGERA-BUSEGA'!D36,'26.07 KYENGERA-BUSEGA-24h'!D36,'27.07 KYENGERA-BUSEGA-24h'!D36,'28.07 KYENGERA-BUSEGA'!D36)</f>
        <v>7.2857142857142856</v>
      </c>
      <c r="E36" s="49">
        <f>AVERAGE('22.07 KYENGERA-BUSEGA'!E36,'23.07 KYENGERA-BUSEGA'!E36,'24.07 KYENGERA-BUSEGA'!E36,'25.07 KYENGERA-BUSEGA'!E36,'26.07 KYENGERA-BUSEGA-24h'!E36,'27.07 KYENGERA-BUSEGA-24h'!E36,'28.07 KYENGERA-BUSEGA'!E36)</f>
        <v>7.8571428571428568</v>
      </c>
      <c r="F36" s="49">
        <f>AVERAGE('22.07 KYENGERA-BUSEGA'!F36,'23.07 KYENGERA-BUSEGA'!F36,'24.07 KYENGERA-BUSEGA'!F36,'25.07 KYENGERA-BUSEGA'!F36,'26.07 KYENGERA-BUSEGA-24h'!F36,'27.07 KYENGERA-BUSEGA-24h'!F36,'28.07 KYENGERA-BUSEGA'!F36)</f>
        <v>43.285714285714285</v>
      </c>
      <c r="G36" s="49">
        <f>AVERAGE('22.07 KYENGERA-BUSEGA'!G36,'23.07 KYENGERA-BUSEGA'!G36,'24.07 KYENGERA-BUSEGA'!G36,'25.07 KYENGERA-BUSEGA'!G36,'26.07 KYENGERA-BUSEGA-24h'!G36,'27.07 KYENGERA-BUSEGA-24h'!G36,'28.07 KYENGERA-BUSEGA'!G36)</f>
        <v>1.5714285714285714</v>
      </c>
      <c r="H36" s="49">
        <f>AVERAGE('22.07 KYENGERA-BUSEGA'!H36,'23.07 KYENGERA-BUSEGA'!H36,'24.07 KYENGERA-BUSEGA'!H36,'25.07 KYENGERA-BUSEGA'!H36,'26.07 KYENGERA-BUSEGA-24h'!H36,'27.07 KYENGERA-BUSEGA-24h'!H36,'28.07 KYENGERA-BUSEGA'!H36)</f>
        <v>1.4285714285714286</v>
      </c>
      <c r="I36" s="49">
        <f>AVERAGE('22.07 KYENGERA-BUSEGA'!I36,'23.07 KYENGERA-BUSEGA'!I36,'24.07 KYENGERA-BUSEGA'!I36,'25.07 KYENGERA-BUSEGA'!I36,'26.07 KYENGERA-BUSEGA-24h'!I36,'27.07 KYENGERA-BUSEGA-24h'!I36,'28.07 KYENGERA-BUSEGA'!I36)</f>
        <v>12.571428571428571</v>
      </c>
      <c r="J36" s="49">
        <f>AVERAGE('22.07 KYENGERA-BUSEGA'!J36,'23.07 KYENGERA-BUSEGA'!J36,'24.07 KYENGERA-BUSEGA'!J36,'25.07 KYENGERA-BUSEGA'!J36,'26.07 KYENGERA-BUSEGA-24h'!J36,'27.07 KYENGERA-BUSEGA-24h'!J36,'28.07 KYENGERA-BUSEGA'!J36)</f>
        <v>3.5714285714285716</v>
      </c>
      <c r="K36" s="49">
        <f>AVERAGE('22.07 KYENGERA-BUSEGA'!K36,'23.07 KYENGERA-BUSEGA'!K36,'24.07 KYENGERA-BUSEGA'!K36,'25.07 KYENGERA-BUSEGA'!K36,'26.07 KYENGERA-BUSEGA-24h'!K36,'27.07 KYENGERA-BUSEGA-24h'!K36,'28.07 KYENGERA-BUSEGA'!K36)</f>
        <v>1</v>
      </c>
      <c r="L36" s="49">
        <f>AVERAGE('22.07 KYENGERA-BUSEGA'!L36,'23.07 KYENGERA-BUSEGA'!L36,'24.07 KYENGERA-BUSEGA'!L36,'25.07 KYENGERA-BUSEGA'!L36,'26.07 KYENGERA-BUSEGA-24h'!L36,'27.07 KYENGERA-BUSEGA-24h'!L36,'28.07 KYENGERA-BUSEGA'!L36)</f>
        <v>3.8571428571428572</v>
      </c>
      <c r="M36" s="49">
        <f>AVERAGE('22.07 KYENGERA-BUSEGA'!M36,'23.07 KYENGERA-BUSEGA'!M36,'24.07 KYENGERA-BUSEGA'!M36,'25.07 KYENGERA-BUSEGA'!M36,'26.07 KYENGERA-BUSEGA-24h'!M36,'27.07 KYENGERA-BUSEGA-24h'!M36,'28.07 KYENGERA-BUSEGA'!M36)</f>
        <v>185.42857142857142</v>
      </c>
      <c r="N36" s="49">
        <f>AVERAGE('22.07 KYENGERA-BUSEGA'!N36,'23.07 KYENGERA-BUSEGA'!N36,'24.07 KYENGERA-BUSEGA'!N36,'25.07 KYENGERA-BUSEGA'!N36,'26.07 KYENGERA-BUSEGA-24h'!N36,'27.07 KYENGERA-BUSEGA-24h'!N36,'28.07 KYENGERA-BUSEGA'!N36)</f>
        <v>0</v>
      </c>
      <c r="O36" s="15">
        <f t="shared" si="0"/>
        <v>136.42857142857142</v>
      </c>
      <c r="P36" s="15">
        <f t="shared" si="1"/>
        <v>321.85714285714283</v>
      </c>
      <c r="R36" s="38" t="s">
        <v>92</v>
      </c>
      <c r="S36" s="39">
        <f t="shared" ref="S36:AF36" si="28">MAX(S19:S21)</f>
        <v>299.42857142857144</v>
      </c>
      <c r="T36" s="39">
        <f t="shared" si="28"/>
        <v>42.857142857142861</v>
      </c>
      <c r="U36" s="39">
        <f t="shared" si="28"/>
        <v>46.428571428571423</v>
      </c>
      <c r="V36" s="39">
        <f t="shared" si="28"/>
        <v>200.57142857142856</v>
      </c>
      <c r="W36" s="39">
        <f t="shared" si="28"/>
        <v>9.2857142857142865</v>
      </c>
      <c r="X36" s="39">
        <f t="shared" si="28"/>
        <v>10.142857142857142</v>
      </c>
      <c r="Y36" s="39">
        <f t="shared" si="28"/>
        <v>55.142857142857146</v>
      </c>
      <c r="Z36" s="39">
        <f t="shared" si="28"/>
        <v>23.857142857142861</v>
      </c>
      <c r="AA36" s="39">
        <f t="shared" si="28"/>
        <v>5.5714285714285721</v>
      </c>
      <c r="AB36" s="39">
        <f t="shared" si="28"/>
        <v>18.428571428571431</v>
      </c>
      <c r="AC36" s="39">
        <f t="shared" si="28"/>
        <v>1080.8571428571427</v>
      </c>
      <c r="AD36" s="39">
        <f t="shared" si="28"/>
        <v>0.14285714285714285</v>
      </c>
      <c r="AE36" s="40">
        <f t="shared" si="28"/>
        <v>679.71428571428578</v>
      </c>
      <c r="AF36" s="40">
        <f t="shared" si="28"/>
        <v>1760.5714285714284</v>
      </c>
    </row>
    <row r="37" spans="2:32" ht="23.1" customHeight="1" x14ac:dyDescent="0.25">
      <c r="B37" s="23" t="s">
        <v>64</v>
      </c>
      <c r="C37" s="49">
        <f>AVERAGE('22.07 KYENGERA-BUSEGA'!C37,'23.07 KYENGERA-BUSEGA'!C37,'24.07 KYENGERA-BUSEGA'!C37,'25.07 KYENGERA-BUSEGA'!C37,'26.07 KYENGERA-BUSEGA-24h'!C37,'27.07 KYENGERA-BUSEGA-24h'!C37,'28.07 KYENGERA-BUSEGA'!C37)</f>
        <v>51.428571428571431</v>
      </c>
      <c r="D37" s="49">
        <f>AVERAGE('22.07 KYENGERA-BUSEGA'!D37,'23.07 KYENGERA-BUSEGA'!D37,'24.07 KYENGERA-BUSEGA'!D37,'25.07 KYENGERA-BUSEGA'!D37,'26.07 KYENGERA-BUSEGA-24h'!D37,'27.07 KYENGERA-BUSEGA-24h'!D37,'28.07 KYENGERA-BUSEGA'!D37)</f>
        <v>8.2857142857142865</v>
      </c>
      <c r="E37" s="49">
        <f>AVERAGE('22.07 KYENGERA-BUSEGA'!E37,'23.07 KYENGERA-BUSEGA'!E37,'24.07 KYENGERA-BUSEGA'!E37,'25.07 KYENGERA-BUSEGA'!E37,'26.07 KYENGERA-BUSEGA-24h'!E37,'27.07 KYENGERA-BUSEGA-24h'!E37,'28.07 KYENGERA-BUSEGA'!E37)</f>
        <v>7.5714285714285712</v>
      </c>
      <c r="F37" s="49">
        <f>AVERAGE('22.07 KYENGERA-BUSEGA'!F37,'23.07 KYENGERA-BUSEGA'!F37,'24.07 KYENGERA-BUSEGA'!F37,'25.07 KYENGERA-BUSEGA'!F37,'26.07 KYENGERA-BUSEGA-24h'!F37,'27.07 KYENGERA-BUSEGA-24h'!F37,'28.07 KYENGERA-BUSEGA'!F37)</f>
        <v>37</v>
      </c>
      <c r="G37" s="49">
        <f>AVERAGE('22.07 KYENGERA-BUSEGA'!G37,'23.07 KYENGERA-BUSEGA'!G37,'24.07 KYENGERA-BUSEGA'!G37,'25.07 KYENGERA-BUSEGA'!G37,'26.07 KYENGERA-BUSEGA-24h'!G37,'27.07 KYENGERA-BUSEGA-24h'!G37,'28.07 KYENGERA-BUSEGA'!G37)</f>
        <v>0.42857142857142855</v>
      </c>
      <c r="H37" s="49">
        <f>AVERAGE('22.07 KYENGERA-BUSEGA'!H37,'23.07 KYENGERA-BUSEGA'!H37,'24.07 KYENGERA-BUSEGA'!H37,'25.07 KYENGERA-BUSEGA'!H37,'26.07 KYENGERA-BUSEGA-24h'!H37,'27.07 KYENGERA-BUSEGA-24h'!H37,'28.07 KYENGERA-BUSEGA'!H37)</f>
        <v>0.7142857142857143</v>
      </c>
      <c r="I37" s="49">
        <f>AVERAGE('22.07 KYENGERA-BUSEGA'!I37,'23.07 KYENGERA-BUSEGA'!I37,'24.07 KYENGERA-BUSEGA'!I37,'25.07 KYENGERA-BUSEGA'!I37,'26.07 KYENGERA-BUSEGA-24h'!I37,'27.07 KYENGERA-BUSEGA-24h'!I37,'28.07 KYENGERA-BUSEGA'!I37)</f>
        <v>12.428571428571429</v>
      </c>
      <c r="J37" s="49">
        <f>AVERAGE('22.07 KYENGERA-BUSEGA'!J37,'23.07 KYENGERA-BUSEGA'!J37,'24.07 KYENGERA-BUSEGA'!J37,'25.07 KYENGERA-BUSEGA'!J37,'26.07 KYENGERA-BUSEGA-24h'!J37,'27.07 KYENGERA-BUSEGA-24h'!J37,'28.07 KYENGERA-BUSEGA'!J37)</f>
        <v>5.2857142857142856</v>
      </c>
      <c r="K37" s="49">
        <f>AVERAGE('22.07 KYENGERA-BUSEGA'!K37,'23.07 KYENGERA-BUSEGA'!K37,'24.07 KYENGERA-BUSEGA'!K37,'25.07 KYENGERA-BUSEGA'!K37,'26.07 KYENGERA-BUSEGA-24h'!K37,'27.07 KYENGERA-BUSEGA-24h'!K37,'28.07 KYENGERA-BUSEGA'!K37)</f>
        <v>1.5714285714285714</v>
      </c>
      <c r="L37" s="49">
        <f>AVERAGE('22.07 KYENGERA-BUSEGA'!L37,'23.07 KYENGERA-BUSEGA'!L37,'24.07 KYENGERA-BUSEGA'!L37,'25.07 KYENGERA-BUSEGA'!L37,'26.07 KYENGERA-BUSEGA-24h'!L37,'27.07 KYENGERA-BUSEGA-24h'!L37,'28.07 KYENGERA-BUSEGA'!L37)</f>
        <v>4.7142857142857144</v>
      </c>
      <c r="M37" s="49">
        <f>AVERAGE('22.07 KYENGERA-BUSEGA'!M37,'23.07 KYENGERA-BUSEGA'!M37,'24.07 KYENGERA-BUSEGA'!M37,'25.07 KYENGERA-BUSEGA'!M37,'26.07 KYENGERA-BUSEGA-24h'!M37,'27.07 KYENGERA-BUSEGA-24h'!M37,'28.07 KYENGERA-BUSEGA'!M37)</f>
        <v>142.85714285714286</v>
      </c>
      <c r="N37" s="49">
        <f>AVERAGE('22.07 KYENGERA-BUSEGA'!N37,'23.07 KYENGERA-BUSEGA'!N37,'24.07 KYENGERA-BUSEGA'!N37,'25.07 KYENGERA-BUSEGA'!N37,'26.07 KYENGERA-BUSEGA-24h'!N37,'27.07 KYENGERA-BUSEGA-24h'!N37,'28.07 KYENGERA-BUSEGA'!N37)</f>
        <v>0.14285714285714285</v>
      </c>
      <c r="O37" s="15">
        <f t="shared" si="0"/>
        <v>129.57142857142858</v>
      </c>
      <c r="P37" s="15">
        <f t="shared" si="1"/>
        <v>272.4285714285715</v>
      </c>
      <c r="R37" s="37" t="s">
        <v>85</v>
      </c>
      <c r="S37" s="35">
        <f t="shared" ref="S37:AF37" si="29">SUM(S10:S12)</f>
        <v>1108.1428571428571</v>
      </c>
      <c r="T37" s="16">
        <f t="shared" si="29"/>
        <v>120.14285714285714</v>
      </c>
      <c r="U37" s="16">
        <f t="shared" si="29"/>
        <v>120.85714285714286</v>
      </c>
      <c r="V37" s="16">
        <f t="shared" si="29"/>
        <v>677</v>
      </c>
      <c r="W37" s="16">
        <f t="shared" si="29"/>
        <v>34</v>
      </c>
      <c r="X37" s="16">
        <f t="shared" si="29"/>
        <v>14.142857142857142</v>
      </c>
      <c r="Y37" s="16">
        <f t="shared" si="29"/>
        <v>164.42857142857142</v>
      </c>
      <c r="Z37" s="16">
        <f t="shared" si="29"/>
        <v>64.857142857142861</v>
      </c>
      <c r="AA37" s="16">
        <f t="shared" si="29"/>
        <v>14.571428571428569</v>
      </c>
      <c r="AB37" s="16">
        <f t="shared" si="29"/>
        <v>37.571428571428569</v>
      </c>
      <c r="AC37" s="16">
        <f t="shared" si="29"/>
        <v>4158.4285714285725</v>
      </c>
      <c r="AD37" s="16">
        <f t="shared" si="29"/>
        <v>0.14285714285714285</v>
      </c>
      <c r="AE37" s="32">
        <f t="shared" si="29"/>
        <v>2355.8571428571431</v>
      </c>
      <c r="AF37" s="32">
        <f t="shared" si="29"/>
        <v>6514.2857142857147</v>
      </c>
    </row>
    <row r="38" spans="2:32" ht="23.1" customHeight="1" x14ac:dyDescent="0.25">
      <c r="B38" s="24" t="s">
        <v>65</v>
      </c>
      <c r="C38" s="49">
        <f>AVERAGE('22.07 KYENGERA-BUSEGA'!C38,'23.07 KYENGERA-BUSEGA'!C38,'24.07 KYENGERA-BUSEGA'!C38,'25.07 KYENGERA-BUSEGA'!C38,'26.07 KYENGERA-BUSEGA-24h'!C38,'27.07 KYENGERA-BUSEGA-24h'!C38,'28.07 KYENGERA-BUSEGA'!C38)</f>
        <v>51</v>
      </c>
      <c r="D38" s="49">
        <f>AVERAGE('22.07 KYENGERA-BUSEGA'!D38,'23.07 KYENGERA-BUSEGA'!D38,'24.07 KYENGERA-BUSEGA'!D38,'25.07 KYENGERA-BUSEGA'!D38,'26.07 KYENGERA-BUSEGA-24h'!D38,'27.07 KYENGERA-BUSEGA-24h'!D38,'28.07 KYENGERA-BUSEGA'!D38)</f>
        <v>8.2857142857142865</v>
      </c>
      <c r="E38" s="49">
        <f>AVERAGE('22.07 KYENGERA-BUSEGA'!E38,'23.07 KYENGERA-BUSEGA'!E38,'24.07 KYENGERA-BUSEGA'!E38,'25.07 KYENGERA-BUSEGA'!E38,'26.07 KYENGERA-BUSEGA-24h'!E38,'27.07 KYENGERA-BUSEGA-24h'!E38,'28.07 KYENGERA-BUSEGA'!E38)</f>
        <v>9.1428571428571423</v>
      </c>
      <c r="F38" s="49">
        <f>AVERAGE('22.07 KYENGERA-BUSEGA'!F38,'23.07 KYENGERA-BUSEGA'!F38,'24.07 KYENGERA-BUSEGA'!F38,'25.07 KYENGERA-BUSEGA'!F38,'26.07 KYENGERA-BUSEGA-24h'!F38,'27.07 KYENGERA-BUSEGA-24h'!F38,'28.07 KYENGERA-BUSEGA'!F38)</f>
        <v>32</v>
      </c>
      <c r="G38" s="49">
        <f>AVERAGE('22.07 KYENGERA-BUSEGA'!G38,'23.07 KYENGERA-BUSEGA'!G38,'24.07 KYENGERA-BUSEGA'!G38,'25.07 KYENGERA-BUSEGA'!G38,'26.07 KYENGERA-BUSEGA-24h'!G38,'27.07 KYENGERA-BUSEGA-24h'!G38,'28.07 KYENGERA-BUSEGA'!G38)</f>
        <v>1.4285714285714286</v>
      </c>
      <c r="H38" s="49">
        <f>AVERAGE('22.07 KYENGERA-BUSEGA'!H38,'23.07 KYENGERA-BUSEGA'!H38,'24.07 KYENGERA-BUSEGA'!H38,'25.07 KYENGERA-BUSEGA'!H38,'26.07 KYENGERA-BUSEGA-24h'!H38,'27.07 KYENGERA-BUSEGA-24h'!H38,'28.07 KYENGERA-BUSEGA'!H38)</f>
        <v>1.2857142857142858</v>
      </c>
      <c r="I38" s="49">
        <f>AVERAGE('22.07 KYENGERA-BUSEGA'!I38,'23.07 KYENGERA-BUSEGA'!I38,'24.07 KYENGERA-BUSEGA'!I38,'25.07 KYENGERA-BUSEGA'!I38,'26.07 KYENGERA-BUSEGA-24h'!I38,'27.07 KYENGERA-BUSEGA-24h'!I38,'28.07 KYENGERA-BUSEGA'!I38)</f>
        <v>13.857142857142858</v>
      </c>
      <c r="J38" s="49">
        <f>AVERAGE('22.07 KYENGERA-BUSEGA'!J38,'23.07 KYENGERA-BUSEGA'!J38,'24.07 KYENGERA-BUSEGA'!J38,'25.07 KYENGERA-BUSEGA'!J38,'26.07 KYENGERA-BUSEGA-24h'!J38,'27.07 KYENGERA-BUSEGA-24h'!J38,'28.07 KYENGERA-BUSEGA'!J38)</f>
        <v>3.8571428571428572</v>
      </c>
      <c r="K38" s="49">
        <f>AVERAGE('22.07 KYENGERA-BUSEGA'!K38,'23.07 KYENGERA-BUSEGA'!K38,'24.07 KYENGERA-BUSEGA'!K38,'25.07 KYENGERA-BUSEGA'!K38,'26.07 KYENGERA-BUSEGA-24h'!K38,'27.07 KYENGERA-BUSEGA-24h'!K38,'28.07 KYENGERA-BUSEGA'!K38)</f>
        <v>1.5714285714285714</v>
      </c>
      <c r="L38" s="49">
        <f>AVERAGE('22.07 KYENGERA-BUSEGA'!L38,'23.07 KYENGERA-BUSEGA'!L38,'24.07 KYENGERA-BUSEGA'!L38,'25.07 KYENGERA-BUSEGA'!L38,'26.07 KYENGERA-BUSEGA-24h'!L38,'27.07 KYENGERA-BUSEGA-24h'!L38,'28.07 KYENGERA-BUSEGA'!L38)</f>
        <v>3.4285714285714284</v>
      </c>
      <c r="M38" s="49">
        <f>AVERAGE('22.07 KYENGERA-BUSEGA'!M38,'23.07 KYENGERA-BUSEGA'!M38,'24.07 KYENGERA-BUSEGA'!M38,'25.07 KYENGERA-BUSEGA'!M38,'26.07 KYENGERA-BUSEGA-24h'!M38,'27.07 KYENGERA-BUSEGA-24h'!M38,'28.07 KYENGERA-BUSEGA'!M38)</f>
        <v>145.14285714285714</v>
      </c>
      <c r="N38" s="49">
        <f>AVERAGE('22.07 KYENGERA-BUSEGA'!N38,'23.07 KYENGERA-BUSEGA'!N38,'24.07 KYENGERA-BUSEGA'!N38,'25.07 KYENGERA-BUSEGA'!N38,'26.07 KYENGERA-BUSEGA-24h'!N38,'27.07 KYENGERA-BUSEGA-24h'!N38,'28.07 KYENGERA-BUSEGA'!N38)</f>
        <v>0</v>
      </c>
      <c r="O38" s="15">
        <f t="shared" si="0"/>
        <v>125.85714285714288</v>
      </c>
      <c r="P38" s="15">
        <f t="shared" si="1"/>
        <v>271</v>
      </c>
      <c r="R38" s="28" t="s">
        <v>86</v>
      </c>
      <c r="S38" s="16">
        <f t="shared" ref="S38:AF38" si="30">SUM(S13:S18)</f>
        <v>1521.8571428571429</v>
      </c>
      <c r="T38" s="16">
        <f t="shared" si="30"/>
        <v>204.28571428571431</v>
      </c>
      <c r="U38" s="16">
        <f t="shared" si="30"/>
        <v>221.57142857142856</v>
      </c>
      <c r="V38" s="16">
        <f t="shared" si="30"/>
        <v>1090</v>
      </c>
      <c r="W38" s="16">
        <f t="shared" si="30"/>
        <v>25.714285714285708</v>
      </c>
      <c r="X38" s="16">
        <f t="shared" si="30"/>
        <v>26.142857142857146</v>
      </c>
      <c r="Y38" s="16">
        <f t="shared" si="30"/>
        <v>325.85714285714283</v>
      </c>
      <c r="Z38" s="16">
        <f t="shared" si="30"/>
        <v>98.857142857142861</v>
      </c>
      <c r="AA38" s="16">
        <f t="shared" si="30"/>
        <v>24.285714285714285</v>
      </c>
      <c r="AB38" s="16">
        <f t="shared" si="30"/>
        <v>80.714285714285722</v>
      </c>
      <c r="AC38" s="16">
        <f t="shared" si="30"/>
        <v>4304.8571428571422</v>
      </c>
      <c r="AD38" s="16">
        <f t="shared" si="30"/>
        <v>0.5714285714285714</v>
      </c>
      <c r="AE38" s="32">
        <f t="shared" si="30"/>
        <v>3619.8571428571431</v>
      </c>
      <c r="AF38" s="32">
        <f t="shared" si="30"/>
        <v>7924.7142857142853</v>
      </c>
    </row>
    <row r="39" spans="2:32" ht="23.1" customHeight="1" x14ac:dyDescent="0.25">
      <c r="B39" s="24" t="s">
        <v>66</v>
      </c>
      <c r="C39" s="49">
        <f>AVERAGE('22.07 KYENGERA-BUSEGA'!C39,'23.07 KYENGERA-BUSEGA'!C39,'24.07 KYENGERA-BUSEGA'!C39,'25.07 KYENGERA-BUSEGA'!C39,'26.07 KYENGERA-BUSEGA-24h'!C39,'27.07 KYENGERA-BUSEGA-24h'!C39,'28.07 KYENGERA-BUSEGA'!C39)</f>
        <v>54.285714285714285</v>
      </c>
      <c r="D39" s="49">
        <f>AVERAGE('22.07 KYENGERA-BUSEGA'!D39,'23.07 KYENGERA-BUSEGA'!D39,'24.07 KYENGERA-BUSEGA'!D39,'25.07 KYENGERA-BUSEGA'!D39,'26.07 KYENGERA-BUSEGA-24h'!D39,'27.07 KYENGERA-BUSEGA-24h'!D39,'28.07 KYENGERA-BUSEGA'!D39)</f>
        <v>7.7142857142857144</v>
      </c>
      <c r="E39" s="49">
        <f>AVERAGE('22.07 KYENGERA-BUSEGA'!E39,'23.07 KYENGERA-BUSEGA'!E39,'24.07 KYENGERA-BUSEGA'!E39,'25.07 KYENGERA-BUSEGA'!E39,'26.07 KYENGERA-BUSEGA-24h'!E39,'27.07 KYENGERA-BUSEGA-24h'!E39,'28.07 KYENGERA-BUSEGA'!E39)</f>
        <v>12.428571428571429</v>
      </c>
      <c r="F39" s="49">
        <f>AVERAGE('22.07 KYENGERA-BUSEGA'!F39,'23.07 KYENGERA-BUSEGA'!F39,'24.07 KYENGERA-BUSEGA'!F39,'25.07 KYENGERA-BUSEGA'!F39,'26.07 KYENGERA-BUSEGA-24h'!F39,'27.07 KYENGERA-BUSEGA-24h'!F39,'28.07 KYENGERA-BUSEGA'!F39)</f>
        <v>35.857142857142854</v>
      </c>
      <c r="G39" s="49">
        <f>AVERAGE('22.07 KYENGERA-BUSEGA'!G39,'23.07 KYENGERA-BUSEGA'!G39,'24.07 KYENGERA-BUSEGA'!G39,'25.07 KYENGERA-BUSEGA'!G39,'26.07 KYENGERA-BUSEGA-24h'!G39,'27.07 KYENGERA-BUSEGA-24h'!G39,'28.07 KYENGERA-BUSEGA'!G39)</f>
        <v>0.5714285714285714</v>
      </c>
      <c r="H39" s="49">
        <f>AVERAGE('22.07 KYENGERA-BUSEGA'!H39,'23.07 KYENGERA-BUSEGA'!H39,'24.07 KYENGERA-BUSEGA'!H39,'25.07 KYENGERA-BUSEGA'!H39,'26.07 KYENGERA-BUSEGA-24h'!H39,'27.07 KYENGERA-BUSEGA-24h'!H39,'28.07 KYENGERA-BUSEGA'!H39)</f>
        <v>1.8571428571428572</v>
      </c>
      <c r="I39" s="49">
        <f>AVERAGE('22.07 KYENGERA-BUSEGA'!I39,'23.07 KYENGERA-BUSEGA'!I39,'24.07 KYENGERA-BUSEGA'!I39,'25.07 KYENGERA-BUSEGA'!I39,'26.07 KYENGERA-BUSEGA-24h'!I39,'27.07 KYENGERA-BUSEGA-24h'!I39,'28.07 KYENGERA-BUSEGA'!I39)</f>
        <v>16.142857142857142</v>
      </c>
      <c r="J39" s="49">
        <f>AVERAGE('22.07 KYENGERA-BUSEGA'!J39,'23.07 KYENGERA-BUSEGA'!J39,'24.07 KYENGERA-BUSEGA'!J39,'25.07 KYENGERA-BUSEGA'!J39,'26.07 KYENGERA-BUSEGA-24h'!J39,'27.07 KYENGERA-BUSEGA-24h'!J39,'28.07 KYENGERA-BUSEGA'!J39)</f>
        <v>4.7142857142857144</v>
      </c>
      <c r="K39" s="49">
        <f>AVERAGE('22.07 KYENGERA-BUSEGA'!K39,'23.07 KYENGERA-BUSEGA'!K39,'24.07 KYENGERA-BUSEGA'!K39,'25.07 KYENGERA-BUSEGA'!K39,'26.07 KYENGERA-BUSEGA-24h'!K39,'27.07 KYENGERA-BUSEGA-24h'!K39,'28.07 KYENGERA-BUSEGA'!K39)</f>
        <v>0.8571428571428571</v>
      </c>
      <c r="L39" s="49">
        <f>AVERAGE('22.07 KYENGERA-BUSEGA'!L39,'23.07 KYENGERA-BUSEGA'!L39,'24.07 KYENGERA-BUSEGA'!L39,'25.07 KYENGERA-BUSEGA'!L39,'26.07 KYENGERA-BUSEGA-24h'!L39,'27.07 KYENGERA-BUSEGA-24h'!L39,'28.07 KYENGERA-BUSEGA'!L39)</f>
        <v>4</v>
      </c>
      <c r="M39" s="49">
        <f>AVERAGE('22.07 KYENGERA-BUSEGA'!M39,'23.07 KYENGERA-BUSEGA'!M39,'24.07 KYENGERA-BUSEGA'!M39,'25.07 KYENGERA-BUSEGA'!M39,'26.07 KYENGERA-BUSEGA-24h'!M39,'27.07 KYENGERA-BUSEGA-24h'!M39,'28.07 KYENGERA-BUSEGA'!M39)</f>
        <v>139.42857142857142</v>
      </c>
      <c r="N39" s="49">
        <f>AVERAGE('22.07 KYENGERA-BUSEGA'!N39,'23.07 KYENGERA-BUSEGA'!N39,'24.07 KYENGERA-BUSEGA'!N39,'25.07 KYENGERA-BUSEGA'!N39,'26.07 KYENGERA-BUSEGA-24h'!N39,'27.07 KYENGERA-BUSEGA-24h'!N39,'28.07 KYENGERA-BUSEGA'!N39)</f>
        <v>0</v>
      </c>
      <c r="O39" s="15">
        <f t="shared" si="0"/>
        <v>138.42857142857144</v>
      </c>
      <c r="P39" s="15">
        <f t="shared" si="1"/>
        <v>277.85714285714289</v>
      </c>
      <c r="R39" s="29" t="s">
        <v>87</v>
      </c>
      <c r="S39" s="16">
        <f t="shared" ref="S39:AF39" si="31">SUM(S19:S21)</f>
        <v>819.14285714285722</v>
      </c>
      <c r="T39" s="16">
        <f t="shared" si="31"/>
        <v>117.71428571428572</v>
      </c>
      <c r="U39" s="16">
        <f t="shared" si="31"/>
        <v>122.28571428571428</v>
      </c>
      <c r="V39" s="16">
        <f t="shared" si="31"/>
        <v>522</v>
      </c>
      <c r="W39" s="16">
        <f t="shared" si="31"/>
        <v>21.285714285714285</v>
      </c>
      <c r="X39" s="16">
        <f t="shared" si="31"/>
        <v>25</v>
      </c>
      <c r="Y39" s="16">
        <f t="shared" si="31"/>
        <v>156.85714285714286</v>
      </c>
      <c r="Z39" s="16">
        <f t="shared" si="31"/>
        <v>63.571428571428577</v>
      </c>
      <c r="AA39" s="16">
        <f t="shared" si="31"/>
        <v>15.857142857142858</v>
      </c>
      <c r="AB39" s="16">
        <f t="shared" si="31"/>
        <v>51.000000000000007</v>
      </c>
      <c r="AC39" s="16">
        <f t="shared" si="31"/>
        <v>2493.2857142857142</v>
      </c>
      <c r="AD39" s="16">
        <f t="shared" si="31"/>
        <v>0.2857142857142857</v>
      </c>
      <c r="AE39" s="32">
        <f t="shared" si="31"/>
        <v>1915</v>
      </c>
      <c r="AF39" s="32">
        <f t="shared" si="31"/>
        <v>4408.2857142857138</v>
      </c>
    </row>
    <row r="40" spans="2:32" ht="23.1" customHeight="1" x14ac:dyDescent="0.25">
      <c r="B40" s="24" t="s">
        <v>67</v>
      </c>
      <c r="C40" s="49">
        <f>AVERAGE('22.07 KYENGERA-BUSEGA'!C40,'23.07 KYENGERA-BUSEGA'!C40,'24.07 KYENGERA-BUSEGA'!C40,'25.07 KYENGERA-BUSEGA'!C40,'26.07 KYENGERA-BUSEGA-24h'!C40,'27.07 KYENGERA-BUSEGA-24h'!C40,'28.07 KYENGERA-BUSEGA'!C40)</f>
        <v>62.285714285714285</v>
      </c>
      <c r="D40" s="49">
        <f>AVERAGE('22.07 KYENGERA-BUSEGA'!D40,'23.07 KYENGERA-BUSEGA'!D40,'24.07 KYENGERA-BUSEGA'!D40,'25.07 KYENGERA-BUSEGA'!D40,'26.07 KYENGERA-BUSEGA-24h'!D40,'27.07 KYENGERA-BUSEGA-24h'!D40,'28.07 KYENGERA-BUSEGA'!D40)</f>
        <v>8.1428571428571423</v>
      </c>
      <c r="E40" s="49">
        <f>AVERAGE('22.07 KYENGERA-BUSEGA'!E40,'23.07 KYENGERA-BUSEGA'!E40,'24.07 KYENGERA-BUSEGA'!E40,'25.07 KYENGERA-BUSEGA'!E40,'26.07 KYENGERA-BUSEGA-24h'!E40,'27.07 KYENGERA-BUSEGA-24h'!E40,'28.07 KYENGERA-BUSEGA'!E40)</f>
        <v>11.428571428571429</v>
      </c>
      <c r="F40" s="49">
        <f>AVERAGE('22.07 KYENGERA-BUSEGA'!F40,'23.07 KYENGERA-BUSEGA'!F40,'24.07 KYENGERA-BUSEGA'!F40,'25.07 KYENGERA-BUSEGA'!F40,'26.07 KYENGERA-BUSEGA-24h'!F40,'27.07 KYENGERA-BUSEGA-24h'!F40,'28.07 KYENGERA-BUSEGA'!F40)</f>
        <v>38.142857142857146</v>
      </c>
      <c r="G40" s="49">
        <f>AVERAGE('22.07 KYENGERA-BUSEGA'!G40,'23.07 KYENGERA-BUSEGA'!G40,'24.07 KYENGERA-BUSEGA'!G40,'25.07 KYENGERA-BUSEGA'!G40,'26.07 KYENGERA-BUSEGA-24h'!G40,'27.07 KYENGERA-BUSEGA-24h'!G40,'28.07 KYENGERA-BUSEGA'!G40)</f>
        <v>0.7142857142857143</v>
      </c>
      <c r="H40" s="49">
        <f>AVERAGE('22.07 KYENGERA-BUSEGA'!H40,'23.07 KYENGERA-BUSEGA'!H40,'24.07 KYENGERA-BUSEGA'!H40,'25.07 KYENGERA-BUSEGA'!H40,'26.07 KYENGERA-BUSEGA-24h'!H40,'27.07 KYENGERA-BUSEGA-24h'!H40,'28.07 KYENGERA-BUSEGA'!H40)</f>
        <v>1.5714285714285714</v>
      </c>
      <c r="I40" s="49">
        <f>AVERAGE('22.07 KYENGERA-BUSEGA'!I40,'23.07 KYENGERA-BUSEGA'!I40,'24.07 KYENGERA-BUSEGA'!I40,'25.07 KYENGERA-BUSEGA'!I40,'26.07 KYENGERA-BUSEGA-24h'!I40,'27.07 KYENGERA-BUSEGA-24h'!I40,'28.07 KYENGERA-BUSEGA'!I40)</f>
        <v>12.285714285714286</v>
      </c>
      <c r="J40" s="49">
        <f>AVERAGE('22.07 KYENGERA-BUSEGA'!J40,'23.07 KYENGERA-BUSEGA'!J40,'24.07 KYENGERA-BUSEGA'!J40,'25.07 KYENGERA-BUSEGA'!J40,'26.07 KYENGERA-BUSEGA-24h'!J40,'27.07 KYENGERA-BUSEGA-24h'!J40,'28.07 KYENGERA-BUSEGA'!J40)</f>
        <v>4.1428571428571432</v>
      </c>
      <c r="K40" s="49">
        <f>AVERAGE('22.07 KYENGERA-BUSEGA'!K40,'23.07 KYENGERA-BUSEGA'!K40,'24.07 KYENGERA-BUSEGA'!K40,'25.07 KYENGERA-BUSEGA'!K40,'26.07 KYENGERA-BUSEGA-24h'!K40,'27.07 KYENGERA-BUSEGA-24h'!K40,'28.07 KYENGERA-BUSEGA'!K40)</f>
        <v>1.4285714285714286</v>
      </c>
      <c r="L40" s="49">
        <f>AVERAGE('22.07 KYENGERA-BUSEGA'!L40,'23.07 KYENGERA-BUSEGA'!L40,'24.07 KYENGERA-BUSEGA'!L40,'25.07 KYENGERA-BUSEGA'!L40,'26.07 KYENGERA-BUSEGA-24h'!L40,'27.07 KYENGERA-BUSEGA-24h'!L40,'28.07 KYENGERA-BUSEGA'!L40)</f>
        <v>3.5714285714285716</v>
      </c>
      <c r="M40" s="49">
        <f>AVERAGE('22.07 KYENGERA-BUSEGA'!M40,'23.07 KYENGERA-BUSEGA'!M40,'24.07 KYENGERA-BUSEGA'!M40,'25.07 KYENGERA-BUSEGA'!M40,'26.07 KYENGERA-BUSEGA-24h'!M40,'27.07 KYENGERA-BUSEGA-24h'!M40,'28.07 KYENGERA-BUSEGA'!M40)</f>
        <v>146.85714285714286</v>
      </c>
      <c r="N40" s="49">
        <f>AVERAGE('22.07 KYENGERA-BUSEGA'!N40,'23.07 KYENGERA-BUSEGA'!N40,'24.07 KYENGERA-BUSEGA'!N40,'25.07 KYENGERA-BUSEGA'!N40,'26.07 KYENGERA-BUSEGA-24h'!N40,'27.07 KYENGERA-BUSEGA-24h'!N40,'28.07 KYENGERA-BUSEGA'!N40)</f>
        <v>0</v>
      </c>
      <c r="O40" s="15">
        <f t="shared" si="0"/>
        <v>143.71428571428569</v>
      </c>
      <c r="P40" s="15">
        <f t="shared" si="1"/>
        <v>290.57142857142856</v>
      </c>
      <c r="R40" s="5" t="s">
        <v>17</v>
      </c>
      <c r="S40" s="16">
        <f t="shared" ref="S40:AF40" si="32">SUM(S10:S21)</f>
        <v>3449.1428571428573</v>
      </c>
      <c r="T40" s="16">
        <f t="shared" si="32"/>
        <v>442.14285714285711</v>
      </c>
      <c r="U40" s="16">
        <f t="shared" si="32"/>
        <v>464.71428571428572</v>
      </c>
      <c r="V40" s="16">
        <f t="shared" si="32"/>
        <v>2289</v>
      </c>
      <c r="W40" s="16">
        <f t="shared" si="32"/>
        <v>80.999999999999986</v>
      </c>
      <c r="X40" s="16">
        <f t="shared" si="32"/>
        <v>65.285714285714292</v>
      </c>
      <c r="Y40" s="16">
        <f t="shared" si="32"/>
        <v>647.14285714285711</v>
      </c>
      <c r="Z40" s="16">
        <f t="shared" si="32"/>
        <v>227.28571428571428</v>
      </c>
      <c r="AA40" s="16">
        <f t="shared" si="32"/>
        <v>54.714285714285708</v>
      </c>
      <c r="AB40" s="16">
        <f t="shared" si="32"/>
        <v>169.28571428571428</v>
      </c>
      <c r="AC40" s="16">
        <f t="shared" si="32"/>
        <v>10956.571428571431</v>
      </c>
      <c r="AD40" s="16">
        <f t="shared" si="32"/>
        <v>0.99999999999999978</v>
      </c>
      <c r="AE40" s="32">
        <f t="shared" si="32"/>
        <v>7890.7142857142862</v>
      </c>
      <c r="AF40" s="32">
        <f t="shared" si="32"/>
        <v>18847.285714285717</v>
      </c>
    </row>
    <row r="41" spans="2:32" ht="23.1" customHeight="1" x14ac:dyDescent="0.25">
      <c r="B41" s="23" t="s">
        <v>68</v>
      </c>
      <c r="C41" s="49">
        <f>AVERAGE('22.07 KYENGERA-BUSEGA'!C41,'23.07 KYENGERA-BUSEGA'!C41,'24.07 KYENGERA-BUSEGA'!C41,'25.07 KYENGERA-BUSEGA'!C41,'26.07 KYENGERA-BUSEGA-24h'!C41,'27.07 KYENGERA-BUSEGA-24h'!C41,'28.07 KYENGERA-BUSEGA'!C41)</f>
        <v>51.714285714285715</v>
      </c>
      <c r="D41" s="49">
        <f>AVERAGE('22.07 KYENGERA-BUSEGA'!D41,'23.07 KYENGERA-BUSEGA'!D41,'24.07 KYENGERA-BUSEGA'!D41,'25.07 KYENGERA-BUSEGA'!D41,'26.07 KYENGERA-BUSEGA-24h'!D41,'27.07 KYENGERA-BUSEGA-24h'!D41,'28.07 KYENGERA-BUSEGA'!D41)</f>
        <v>7.5714285714285712</v>
      </c>
      <c r="E41" s="49">
        <f>AVERAGE('22.07 KYENGERA-BUSEGA'!E41,'23.07 KYENGERA-BUSEGA'!E41,'24.07 KYENGERA-BUSEGA'!E41,'25.07 KYENGERA-BUSEGA'!E41,'26.07 KYENGERA-BUSEGA-24h'!E41,'27.07 KYENGERA-BUSEGA-24h'!E41,'28.07 KYENGERA-BUSEGA'!E41)</f>
        <v>9.2857142857142865</v>
      </c>
      <c r="F41" s="49">
        <f>AVERAGE('22.07 KYENGERA-BUSEGA'!F41,'23.07 KYENGERA-BUSEGA'!F41,'24.07 KYENGERA-BUSEGA'!F41,'25.07 KYENGERA-BUSEGA'!F41,'26.07 KYENGERA-BUSEGA-24h'!F41,'27.07 KYENGERA-BUSEGA-24h'!F41,'28.07 KYENGERA-BUSEGA'!F41)</f>
        <v>35.571428571428569</v>
      </c>
      <c r="G41" s="49">
        <f>AVERAGE('22.07 KYENGERA-BUSEGA'!G41,'23.07 KYENGERA-BUSEGA'!G41,'24.07 KYENGERA-BUSEGA'!G41,'25.07 KYENGERA-BUSEGA'!G41,'26.07 KYENGERA-BUSEGA-24h'!G41,'27.07 KYENGERA-BUSEGA-24h'!G41,'28.07 KYENGERA-BUSEGA'!G41)</f>
        <v>0.5714285714285714</v>
      </c>
      <c r="H41" s="49">
        <f>AVERAGE('22.07 KYENGERA-BUSEGA'!H41,'23.07 KYENGERA-BUSEGA'!H41,'24.07 KYENGERA-BUSEGA'!H41,'25.07 KYENGERA-BUSEGA'!H41,'26.07 KYENGERA-BUSEGA-24h'!H41,'27.07 KYENGERA-BUSEGA-24h'!H41,'28.07 KYENGERA-BUSEGA'!H41)</f>
        <v>1</v>
      </c>
      <c r="I41" s="49">
        <f>AVERAGE('22.07 KYENGERA-BUSEGA'!I41,'23.07 KYENGERA-BUSEGA'!I41,'24.07 KYENGERA-BUSEGA'!I41,'25.07 KYENGERA-BUSEGA'!I41,'26.07 KYENGERA-BUSEGA-24h'!I41,'27.07 KYENGERA-BUSEGA-24h'!I41,'28.07 KYENGERA-BUSEGA'!I41)</f>
        <v>14.142857142857142</v>
      </c>
      <c r="J41" s="49">
        <f>AVERAGE('22.07 KYENGERA-BUSEGA'!J41,'23.07 KYENGERA-BUSEGA'!J41,'24.07 KYENGERA-BUSEGA'!J41,'25.07 KYENGERA-BUSEGA'!J41,'26.07 KYENGERA-BUSEGA-24h'!J41,'27.07 KYENGERA-BUSEGA-24h'!J41,'28.07 KYENGERA-BUSEGA'!J41)</f>
        <v>3.5714285714285716</v>
      </c>
      <c r="K41" s="49">
        <f>AVERAGE('22.07 KYENGERA-BUSEGA'!K41,'23.07 KYENGERA-BUSEGA'!K41,'24.07 KYENGERA-BUSEGA'!K41,'25.07 KYENGERA-BUSEGA'!K41,'26.07 KYENGERA-BUSEGA-24h'!K41,'27.07 KYENGERA-BUSEGA-24h'!K41,'28.07 KYENGERA-BUSEGA'!K41)</f>
        <v>1.4285714285714286</v>
      </c>
      <c r="L41" s="49">
        <f>AVERAGE('22.07 KYENGERA-BUSEGA'!L41,'23.07 KYENGERA-BUSEGA'!L41,'24.07 KYENGERA-BUSEGA'!L41,'25.07 KYENGERA-BUSEGA'!L41,'26.07 KYENGERA-BUSEGA-24h'!L41,'27.07 KYENGERA-BUSEGA-24h'!L41,'28.07 KYENGERA-BUSEGA'!L41)</f>
        <v>2.2857142857142856</v>
      </c>
      <c r="M41" s="49">
        <f>AVERAGE('22.07 KYENGERA-BUSEGA'!M41,'23.07 KYENGERA-BUSEGA'!M41,'24.07 KYENGERA-BUSEGA'!M41,'25.07 KYENGERA-BUSEGA'!M41,'26.07 KYENGERA-BUSEGA-24h'!M41,'27.07 KYENGERA-BUSEGA-24h'!M41,'28.07 KYENGERA-BUSEGA'!M41)</f>
        <v>136.85714285714286</v>
      </c>
      <c r="N41" s="49">
        <f>AVERAGE('22.07 KYENGERA-BUSEGA'!N41,'23.07 KYENGERA-BUSEGA'!N41,'24.07 KYENGERA-BUSEGA'!N41,'25.07 KYENGERA-BUSEGA'!N41,'26.07 KYENGERA-BUSEGA-24h'!N41,'27.07 KYENGERA-BUSEGA-24h'!N41,'28.07 KYENGERA-BUSEGA'!N41)</f>
        <v>0.14285714285714285</v>
      </c>
      <c r="O41" s="15">
        <f t="shared" si="0"/>
        <v>127.28571428571428</v>
      </c>
      <c r="P41" s="15">
        <f t="shared" si="1"/>
        <v>264.14285714285717</v>
      </c>
      <c r="R41" s="5" t="s">
        <v>175</v>
      </c>
      <c r="S41" s="53">
        <f>SUM(S10:S33)</f>
        <v>5126.1428571428569</v>
      </c>
      <c r="T41" s="53">
        <f t="shared" ref="T41:AD41" si="33">SUM(T10:T33)</f>
        <v>663.14285714285711</v>
      </c>
      <c r="U41" s="53">
        <f t="shared" si="33"/>
        <v>636.21428571428578</v>
      </c>
      <c r="V41" s="53">
        <f t="shared" si="33"/>
        <v>3304</v>
      </c>
      <c r="W41" s="53">
        <f t="shared" si="33"/>
        <v>145</v>
      </c>
      <c r="X41" s="53">
        <f t="shared" si="33"/>
        <v>134.78571428571428</v>
      </c>
      <c r="Y41" s="53">
        <f t="shared" si="33"/>
        <v>1144.1428571428571</v>
      </c>
      <c r="Z41" s="53">
        <f t="shared" si="33"/>
        <v>583.28571428571422</v>
      </c>
      <c r="AA41" s="53">
        <f t="shared" si="33"/>
        <v>110.71428571428571</v>
      </c>
      <c r="AB41" s="53">
        <f t="shared" si="33"/>
        <v>309.28571428571428</v>
      </c>
      <c r="AC41" s="53">
        <f t="shared" si="33"/>
        <v>17097.071428571431</v>
      </c>
      <c r="AD41" s="53">
        <f t="shared" si="33"/>
        <v>1.4999999999999998</v>
      </c>
      <c r="AE41" s="54">
        <f>SUM(AE10:AE33)</f>
        <v>14748.642857142857</v>
      </c>
      <c r="AF41" s="54">
        <f>SUM(AF10:AF33)</f>
        <v>40115.857142857145</v>
      </c>
    </row>
    <row r="42" spans="2:32" ht="23.1" customHeight="1" x14ac:dyDescent="0.25">
      <c r="B42" s="24" t="s">
        <v>69</v>
      </c>
      <c r="C42" s="49">
        <f>AVERAGE('22.07 KYENGERA-BUSEGA'!C42,'23.07 KYENGERA-BUSEGA'!C42,'24.07 KYENGERA-BUSEGA'!C42,'25.07 KYENGERA-BUSEGA'!C42,'26.07 KYENGERA-BUSEGA-24h'!C42,'27.07 KYENGERA-BUSEGA-24h'!C42,'28.07 KYENGERA-BUSEGA'!C42)</f>
        <v>50.142857142857146</v>
      </c>
      <c r="D42" s="49">
        <f>AVERAGE('22.07 KYENGERA-BUSEGA'!D42,'23.07 KYENGERA-BUSEGA'!D42,'24.07 KYENGERA-BUSEGA'!D42,'25.07 KYENGERA-BUSEGA'!D42,'26.07 KYENGERA-BUSEGA-24h'!D42,'27.07 KYENGERA-BUSEGA-24h'!D42,'28.07 KYENGERA-BUSEGA'!D42)</f>
        <v>6.5714285714285712</v>
      </c>
      <c r="E42" s="49">
        <f>AVERAGE('22.07 KYENGERA-BUSEGA'!E42,'23.07 KYENGERA-BUSEGA'!E42,'24.07 KYENGERA-BUSEGA'!E42,'25.07 KYENGERA-BUSEGA'!E42,'26.07 KYENGERA-BUSEGA-24h'!E42,'27.07 KYENGERA-BUSEGA-24h'!E42,'28.07 KYENGERA-BUSEGA'!E42)</f>
        <v>8.2857142857142865</v>
      </c>
      <c r="F42" s="49">
        <f>AVERAGE('22.07 KYENGERA-BUSEGA'!F42,'23.07 KYENGERA-BUSEGA'!F42,'24.07 KYENGERA-BUSEGA'!F42,'25.07 KYENGERA-BUSEGA'!F42,'26.07 KYENGERA-BUSEGA-24h'!F42,'27.07 KYENGERA-BUSEGA-24h'!F42,'28.07 KYENGERA-BUSEGA'!F42)</f>
        <v>36.857142857142854</v>
      </c>
      <c r="G42" s="49">
        <f>AVERAGE('22.07 KYENGERA-BUSEGA'!G42,'23.07 KYENGERA-BUSEGA'!G42,'24.07 KYENGERA-BUSEGA'!G42,'25.07 KYENGERA-BUSEGA'!G42,'26.07 KYENGERA-BUSEGA-24h'!G42,'27.07 KYENGERA-BUSEGA-24h'!G42,'28.07 KYENGERA-BUSEGA'!G42)</f>
        <v>1</v>
      </c>
      <c r="H42" s="49">
        <f>AVERAGE('22.07 KYENGERA-BUSEGA'!H42,'23.07 KYENGERA-BUSEGA'!H42,'24.07 KYENGERA-BUSEGA'!H42,'25.07 KYENGERA-BUSEGA'!H42,'26.07 KYENGERA-BUSEGA-24h'!H42,'27.07 KYENGERA-BUSEGA-24h'!H42,'28.07 KYENGERA-BUSEGA'!H42)</f>
        <v>0.8571428571428571</v>
      </c>
      <c r="I42" s="49">
        <f>AVERAGE('22.07 KYENGERA-BUSEGA'!I42,'23.07 KYENGERA-BUSEGA'!I42,'24.07 KYENGERA-BUSEGA'!I42,'25.07 KYENGERA-BUSEGA'!I42,'26.07 KYENGERA-BUSEGA-24h'!I42,'27.07 KYENGERA-BUSEGA-24h'!I42,'28.07 KYENGERA-BUSEGA'!I42)</f>
        <v>16.428571428571427</v>
      </c>
      <c r="J42" s="49">
        <f>AVERAGE('22.07 KYENGERA-BUSEGA'!J42,'23.07 KYENGERA-BUSEGA'!J42,'24.07 KYENGERA-BUSEGA'!J42,'25.07 KYENGERA-BUSEGA'!J42,'26.07 KYENGERA-BUSEGA-24h'!J42,'27.07 KYENGERA-BUSEGA-24h'!J42,'28.07 KYENGERA-BUSEGA'!J42)</f>
        <v>2.5714285714285716</v>
      </c>
      <c r="K42" s="49">
        <f>AVERAGE('22.07 KYENGERA-BUSEGA'!K42,'23.07 KYENGERA-BUSEGA'!K42,'24.07 KYENGERA-BUSEGA'!K42,'25.07 KYENGERA-BUSEGA'!K42,'26.07 KYENGERA-BUSEGA-24h'!K42,'27.07 KYENGERA-BUSEGA-24h'!K42,'28.07 KYENGERA-BUSEGA'!K42)</f>
        <v>0.5714285714285714</v>
      </c>
      <c r="L42" s="49">
        <f>AVERAGE('22.07 KYENGERA-BUSEGA'!L42,'23.07 KYENGERA-BUSEGA'!L42,'24.07 KYENGERA-BUSEGA'!L42,'25.07 KYENGERA-BUSEGA'!L42,'26.07 KYENGERA-BUSEGA-24h'!L42,'27.07 KYENGERA-BUSEGA-24h'!L42,'28.07 KYENGERA-BUSEGA'!L42)</f>
        <v>2.7142857142857144</v>
      </c>
      <c r="M42" s="49">
        <f>AVERAGE('22.07 KYENGERA-BUSEGA'!M42,'23.07 KYENGERA-BUSEGA'!M42,'24.07 KYENGERA-BUSEGA'!M42,'25.07 KYENGERA-BUSEGA'!M42,'26.07 KYENGERA-BUSEGA-24h'!M42,'27.07 KYENGERA-BUSEGA-24h'!M42,'28.07 KYENGERA-BUSEGA'!M42)</f>
        <v>156.57142857142858</v>
      </c>
      <c r="N42" s="49">
        <f>AVERAGE('22.07 KYENGERA-BUSEGA'!N42,'23.07 KYENGERA-BUSEGA'!N42,'24.07 KYENGERA-BUSEGA'!N42,'25.07 KYENGERA-BUSEGA'!N42,'26.07 KYENGERA-BUSEGA-24h'!N42,'27.07 KYENGERA-BUSEGA-24h'!N42,'28.07 KYENGERA-BUSEGA'!N42)</f>
        <v>0</v>
      </c>
      <c r="O42" s="15">
        <f t="shared" si="0"/>
        <v>126</v>
      </c>
      <c r="P42" s="15">
        <f t="shared" si="1"/>
        <v>282.57142857142856</v>
      </c>
      <c r="R42" s="5" t="s">
        <v>160</v>
      </c>
      <c r="S42" s="48">
        <f>S41/S40</f>
        <v>1.4862077534791251</v>
      </c>
      <c r="T42" s="48">
        <f t="shared" ref="T42:AF42" si="34">T41/T40</f>
        <v>1.4998384491114702</v>
      </c>
      <c r="U42" s="48">
        <f t="shared" si="34"/>
        <v>1.369043959422072</v>
      </c>
      <c r="V42" s="48">
        <f t="shared" si="34"/>
        <v>1.4434250764525993</v>
      </c>
      <c r="W42" s="48">
        <f t="shared" si="34"/>
        <v>1.7901234567901239</v>
      </c>
      <c r="X42" s="48">
        <f t="shared" si="34"/>
        <v>2.0645514223194743</v>
      </c>
      <c r="Y42" s="48">
        <f t="shared" si="34"/>
        <v>1.7679911699779249</v>
      </c>
      <c r="Z42" s="48">
        <f t="shared" si="34"/>
        <v>2.5663104965430543</v>
      </c>
      <c r="AA42" s="48">
        <f t="shared" si="34"/>
        <v>2.0234986945169715</v>
      </c>
      <c r="AB42" s="48">
        <f t="shared" si="34"/>
        <v>1.8270042194092828</v>
      </c>
      <c r="AC42" s="48">
        <f t="shared" si="34"/>
        <v>1.5604399186398246</v>
      </c>
      <c r="AD42" s="48">
        <f t="shared" si="34"/>
        <v>1.5000000000000002</v>
      </c>
      <c r="AE42" s="55">
        <f t="shared" si="34"/>
        <v>1.869113786548384</v>
      </c>
      <c r="AF42" s="55">
        <f t="shared" si="34"/>
        <v>2.1284686692286119</v>
      </c>
    </row>
    <row r="43" spans="2:32" ht="23.1" customHeight="1" x14ac:dyDescent="0.25">
      <c r="B43" s="23" t="s">
        <v>70</v>
      </c>
      <c r="C43" s="49">
        <f>AVERAGE('22.07 KYENGERA-BUSEGA'!C43,'23.07 KYENGERA-BUSEGA'!C43,'24.07 KYENGERA-BUSEGA'!C43,'25.07 KYENGERA-BUSEGA'!C43,'26.07 KYENGERA-BUSEGA-24h'!C43,'27.07 KYENGERA-BUSEGA-24h'!C43,'28.07 KYENGERA-BUSEGA'!C43)</f>
        <v>59</v>
      </c>
      <c r="D43" s="49">
        <f>AVERAGE('22.07 KYENGERA-BUSEGA'!D43,'23.07 KYENGERA-BUSEGA'!D43,'24.07 KYENGERA-BUSEGA'!D43,'25.07 KYENGERA-BUSEGA'!D43,'26.07 KYENGERA-BUSEGA-24h'!D43,'27.07 KYENGERA-BUSEGA-24h'!D43,'28.07 KYENGERA-BUSEGA'!D43)</f>
        <v>13.142857142857142</v>
      </c>
      <c r="E43" s="49">
        <f>AVERAGE('22.07 KYENGERA-BUSEGA'!E43,'23.07 KYENGERA-BUSEGA'!E43,'24.07 KYENGERA-BUSEGA'!E43,'25.07 KYENGERA-BUSEGA'!E43,'26.07 KYENGERA-BUSEGA-24h'!E43,'27.07 KYENGERA-BUSEGA-24h'!E43,'28.07 KYENGERA-BUSEGA'!E43)</f>
        <v>10.142857142857142</v>
      </c>
      <c r="F43" s="49">
        <f>AVERAGE('22.07 KYENGERA-BUSEGA'!F43,'23.07 KYENGERA-BUSEGA'!F43,'24.07 KYENGERA-BUSEGA'!F43,'25.07 KYENGERA-BUSEGA'!F43,'26.07 KYENGERA-BUSEGA-24h'!F43,'27.07 KYENGERA-BUSEGA-24h'!F43,'28.07 KYENGERA-BUSEGA'!F43)</f>
        <v>40.714285714285715</v>
      </c>
      <c r="G43" s="49">
        <f>AVERAGE('22.07 KYENGERA-BUSEGA'!G43,'23.07 KYENGERA-BUSEGA'!G43,'24.07 KYENGERA-BUSEGA'!G43,'25.07 KYENGERA-BUSEGA'!G43,'26.07 KYENGERA-BUSEGA-24h'!G43,'27.07 KYENGERA-BUSEGA-24h'!G43,'28.07 KYENGERA-BUSEGA'!G43)</f>
        <v>0.8571428571428571</v>
      </c>
      <c r="H43" s="49">
        <f>AVERAGE('22.07 KYENGERA-BUSEGA'!H43,'23.07 KYENGERA-BUSEGA'!H43,'24.07 KYENGERA-BUSEGA'!H43,'25.07 KYENGERA-BUSEGA'!H43,'26.07 KYENGERA-BUSEGA-24h'!H43,'27.07 KYENGERA-BUSEGA-24h'!H43,'28.07 KYENGERA-BUSEGA'!H43)</f>
        <v>1.7142857142857142</v>
      </c>
      <c r="I43" s="49">
        <f>AVERAGE('22.07 KYENGERA-BUSEGA'!I43,'23.07 KYENGERA-BUSEGA'!I43,'24.07 KYENGERA-BUSEGA'!I43,'25.07 KYENGERA-BUSEGA'!I43,'26.07 KYENGERA-BUSEGA-24h'!I43,'27.07 KYENGERA-BUSEGA-24h'!I43,'28.07 KYENGERA-BUSEGA'!I43)</f>
        <v>11.857142857142858</v>
      </c>
      <c r="J43" s="49">
        <f>AVERAGE('22.07 KYENGERA-BUSEGA'!J43,'23.07 KYENGERA-BUSEGA'!J43,'24.07 KYENGERA-BUSEGA'!J43,'25.07 KYENGERA-BUSEGA'!J43,'26.07 KYENGERA-BUSEGA-24h'!J43,'27.07 KYENGERA-BUSEGA-24h'!J43,'28.07 KYENGERA-BUSEGA'!J43)</f>
        <v>4</v>
      </c>
      <c r="K43" s="49">
        <f>AVERAGE('22.07 KYENGERA-BUSEGA'!K43,'23.07 KYENGERA-BUSEGA'!K43,'24.07 KYENGERA-BUSEGA'!K43,'25.07 KYENGERA-BUSEGA'!K43,'26.07 KYENGERA-BUSEGA-24h'!K43,'27.07 KYENGERA-BUSEGA-24h'!K43,'28.07 KYENGERA-BUSEGA'!K43)</f>
        <v>1.1428571428571428</v>
      </c>
      <c r="L43" s="49">
        <f>AVERAGE('22.07 KYENGERA-BUSEGA'!L43,'23.07 KYENGERA-BUSEGA'!L43,'24.07 KYENGERA-BUSEGA'!L43,'25.07 KYENGERA-BUSEGA'!L43,'26.07 KYENGERA-BUSEGA-24h'!L43,'27.07 KYENGERA-BUSEGA-24h'!L43,'28.07 KYENGERA-BUSEGA'!L43)</f>
        <v>2.1428571428571428</v>
      </c>
      <c r="M43" s="49">
        <f>AVERAGE('22.07 KYENGERA-BUSEGA'!M43,'23.07 KYENGERA-BUSEGA'!M43,'24.07 KYENGERA-BUSEGA'!M43,'25.07 KYENGERA-BUSEGA'!M43,'26.07 KYENGERA-BUSEGA-24h'!M43,'27.07 KYENGERA-BUSEGA-24h'!M43,'28.07 KYENGERA-BUSEGA'!M43)</f>
        <v>147.14285714285714</v>
      </c>
      <c r="N43" s="49">
        <f>AVERAGE('22.07 KYENGERA-BUSEGA'!N43,'23.07 KYENGERA-BUSEGA'!N43,'24.07 KYENGERA-BUSEGA'!N43,'25.07 KYENGERA-BUSEGA'!N43,'26.07 KYENGERA-BUSEGA-24h'!N43,'27.07 KYENGERA-BUSEGA-24h'!N43,'28.07 KYENGERA-BUSEGA'!N43)</f>
        <v>0</v>
      </c>
      <c r="O43" s="15">
        <f t="shared" si="0"/>
        <v>144.71428571428569</v>
      </c>
      <c r="P43" s="15">
        <f t="shared" si="1"/>
        <v>291.85714285714283</v>
      </c>
    </row>
    <row r="44" spans="2:32" ht="23.1" customHeight="1" x14ac:dyDescent="0.25">
      <c r="B44" s="25" t="s">
        <v>71</v>
      </c>
      <c r="C44" s="49">
        <f>AVERAGE('22.07 KYENGERA-BUSEGA'!C44,'23.07 KYENGERA-BUSEGA'!C44,'24.07 KYENGERA-BUSEGA'!C44,'25.07 KYENGERA-BUSEGA'!C44,'26.07 KYENGERA-BUSEGA-24h'!C44,'27.07 KYENGERA-BUSEGA-24h'!C44,'28.07 KYENGERA-BUSEGA'!C44)</f>
        <v>60.714285714285715</v>
      </c>
      <c r="D44" s="49">
        <f>AVERAGE('22.07 KYENGERA-BUSEGA'!D44,'23.07 KYENGERA-BUSEGA'!D44,'24.07 KYENGERA-BUSEGA'!D44,'25.07 KYENGERA-BUSEGA'!D44,'26.07 KYENGERA-BUSEGA-24h'!D44,'27.07 KYENGERA-BUSEGA-24h'!D44,'28.07 KYENGERA-BUSEGA'!D44)</f>
        <v>10.857142857142858</v>
      </c>
      <c r="E44" s="49">
        <f>AVERAGE('22.07 KYENGERA-BUSEGA'!E44,'23.07 KYENGERA-BUSEGA'!E44,'24.07 KYENGERA-BUSEGA'!E44,'25.07 KYENGERA-BUSEGA'!E44,'26.07 KYENGERA-BUSEGA-24h'!E44,'27.07 KYENGERA-BUSEGA-24h'!E44,'28.07 KYENGERA-BUSEGA'!E44)</f>
        <v>11</v>
      </c>
      <c r="F44" s="49">
        <f>AVERAGE('22.07 KYENGERA-BUSEGA'!F44,'23.07 KYENGERA-BUSEGA'!F44,'24.07 KYENGERA-BUSEGA'!F44,'25.07 KYENGERA-BUSEGA'!F44,'26.07 KYENGERA-BUSEGA-24h'!F44,'27.07 KYENGERA-BUSEGA-24h'!F44,'28.07 KYENGERA-BUSEGA'!F44)</f>
        <v>37.428571428571431</v>
      </c>
      <c r="G44" s="49">
        <f>AVERAGE('22.07 KYENGERA-BUSEGA'!G44,'23.07 KYENGERA-BUSEGA'!G44,'24.07 KYENGERA-BUSEGA'!G44,'25.07 KYENGERA-BUSEGA'!G44,'26.07 KYENGERA-BUSEGA-24h'!G44,'27.07 KYENGERA-BUSEGA-24h'!G44,'28.07 KYENGERA-BUSEGA'!G44)</f>
        <v>1</v>
      </c>
      <c r="H44" s="49">
        <f>AVERAGE('22.07 KYENGERA-BUSEGA'!H44,'23.07 KYENGERA-BUSEGA'!H44,'24.07 KYENGERA-BUSEGA'!H44,'25.07 KYENGERA-BUSEGA'!H44,'26.07 KYENGERA-BUSEGA-24h'!H44,'27.07 KYENGERA-BUSEGA-24h'!H44,'28.07 KYENGERA-BUSEGA'!H44)</f>
        <v>1.1428571428571428</v>
      </c>
      <c r="I44" s="49">
        <f>AVERAGE('22.07 KYENGERA-BUSEGA'!I44,'23.07 KYENGERA-BUSEGA'!I44,'24.07 KYENGERA-BUSEGA'!I44,'25.07 KYENGERA-BUSEGA'!I44,'26.07 KYENGERA-BUSEGA-24h'!I44,'27.07 KYENGERA-BUSEGA-24h'!I44,'28.07 KYENGERA-BUSEGA'!I44)</f>
        <v>14</v>
      </c>
      <c r="J44" s="49">
        <f>AVERAGE('22.07 KYENGERA-BUSEGA'!J44,'23.07 KYENGERA-BUSEGA'!J44,'24.07 KYENGERA-BUSEGA'!J44,'25.07 KYENGERA-BUSEGA'!J44,'26.07 KYENGERA-BUSEGA-24h'!J44,'27.07 KYENGERA-BUSEGA-24h'!J44,'28.07 KYENGERA-BUSEGA'!J44)</f>
        <v>5.8571428571428568</v>
      </c>
      <c r="K44" s="49">
        <f>AVERAGE('22.07 KYENGERA-BUSEGA'!K44,'23.07 KYENGERA-BUSEGA'!K44,'24.07 KYENGERA-BUSEGA'!K44,'25.07 KYENGERA-BUSEGA'!K44,'26.07 KYENGERA-BUSEGA-24h'!K44,'27.07 KYENGERA-BUSEGA-24h'!K44,'28.07 KYENGERA-BUSEGA'!K44)</f>
        <v>0.5714285714285714</v>
      </c>
      <c r="L44" s="49">
        <f>AVERAGE('22.07 KYENGERA-BUSEGA'!L44,'23.07 KYENGERA-BUSEGA'!L44,'24.07 KYENGERA-BUSEGA'!L44,'25.07 KYENGERA-BUSEGA'!L44,'26.07 KYENGERA-BUSEGA-24h'!L44,'27.07 KYENGERA-BUSEGA-24h'!L44,'28.07 KYENGERA-BUSEGA'!L44)</f>
        <v>4</v>
      </c>
      <c r="M44" s="49">
        <f>AVERAGE('22.07 KYENGERA-BUSEGA'!M44,'23.07 KYENGERA-BUSEGA'!M44,'24.07 KYENGERA-BUSEGA'!M44,'25.07 KYENGERA-BUSEGA'!M44,'26.07 KYENGERA-BUSEGA-24h'!M44,'27.07 KYENGERA-BUSEGA-24h'!M44,'28.07 KYENGERA-BUSEGA'!M44)</f>
        <v>126.57142857142857</v>
      </c>
      <c r="N44" s="49">
        <f>AVERAGE('22.07 KYENGERA-BUSEGA'!N44,'23.07 KYENGERA-BUSEGA'!N44,'24.07 KYENGERA-BUSEGA'!N44,'25.07 KYENGERA-BUSEGA'!N44,'26.07 KYENGERA-BUSEGA-24h'!N44,'27.07 KYENGERA-BUSEGA-24h'!N44,'28.07 KYENGERA-BUSEGA'!N44)</f>
        <v>0</v>
      </c>
      <c r="O44" s="15">
        <f t="shared" si="0"/>
        <v>146.57142857142858</v>
      </c>
      <c r="P44" s="15">
        <f t="shared" si="1"/>
        <v>273.14285714285717</v>
      </c>
    </row>
    <row r="45" spans="2:32" ht="23.1" customHeight="1" x14ac:dyDescent="0.25">
      <c r="B45" s="23" t="s">
        <v>72</v>
      </c>
      <c r="C45" s="49">
        <f>AVERAGE('22.07 KYENGERA-BUSEGA'!C45,'23.07 KYENGERA-BUSEGA'!C45,'24.07 KYENGERA-BUSEGA'!C45,'25.07 KYENGERA-BUSEGA'!C45,'26.07 KYENGERA-BUSEGA-24h'!C45,'27.07 KYENGERA-BUSEGA-24h'!C45,'28.07 KYENGERA-BUSEGA'!C45)</f>
        <v>56</v>
      </c>
      <c r="D45" s="49">
        <f>AVERAGE('22.07 KYENGERA-BUSEGA'!D45,'23.07 KYENGERA-BUSEGA'!D45,'24.07 KYENGERA-BUSEGA'!D45,'25.07 KYENGERA-BUSEGA'!D45,'26.07 KYENGERA-BUSEGA-24h'!D45,'27.07 KYENGERA-BUSEGA-24h'!D45,'28.07 KYENGERA-BUSEGA'!D45)</f>
        <v>7.2857142857142856</v>
      </c>
      <c r="E45" s="49">
        <f>AVERAGE('22.07 KYENGERA-BUSEGA'!E45,'23.07 KYENGERA-BUSEGA'!E45,'24.07 KYENGERA-BUSEGA'!E45,'25.07 KYENGERA-BUSEGA'!E45,'26.07 KYENGERA-BUSEGA-24h'!E45,'27.07 KYENGERA-BUSEGA-24h'!E45,'28.07 KYENGERA-BUSEGA'!E45)</f>
        <v>9.1428571428571423</v>
      </c>
      <c r="F45" s="49">
        <f>AVERAGE('22.07 KYENGERA-BUSEGA'!F45,'23.07 KYENGERA-BUSEGA'!F45,'24.07 KYENGERA-BUSEGA'!F45,'25.07 KYENGERA-BUSEGA'!F45,'26.07 KYENGERA-BUSEGA-24h'!F45,'27.07 KYENGERA-BUSEGA-24h'!F45,'28.07 KYENGERA-BUSEGA'!F45)</f>
        <v>35.285714285714285</v>
      </c>
      <c r="G45" s="49">
        <f>AVERAGE('22.07 KYENGERA-BUSEGA'!G45,'23.07 KYENGERA-BUSEGA'!G45,'24.07 KYENGERA-BUSEGA'!G45,'25.07 KYENGERA-BUSEGA'!G45,'26.07 KYENGERA-BUSEGA-24h'!G45,'27.07 KYENGERA-BUSEGA-24h'!G45,'28.07 KYENGERA-BUSEGA'!G45)</f>
        <v>1.7142857142857142</v>
      </c>
      <c r="H45" s="49">
        <f>AVERAGE('22.07 KYENGERA-BUSEGA'!H45,'23.07 KYENGERA-BUSEGA'!H45,'24.07 KYENGERA-BUSEGA'!H45,'25.07 KYENGERA-BUSEGA'!H45,'26.07 KYENGERA-BUSEGA-24h'!H45,'27.07 KYENGERA-BUSEGA-24h'!H45,'28.07 KYENGERA-BUSEGA'!H45)</f>
        <v>2</v>
      </c>
      <c r="I45" s="49">
        <f>AVERAGE('22.07 KYENGERA-BUSEGA'!I45,'23.07 KYENGERA-BUSEGA'!I45,'24.07 KYENGERA-BUSEGA'!I45,'25.07 KYENGERA-BUSEGA'!I45,'26.07 KYENGERA-BUSEGA-24h'!I45,'27.07 KYENGERA-BUSEGA-24h'!I45,'28.07 KYENGERA-BUSEGA'!I45)</f>
        <v>13.142857142857142</v>
      </c>
      <c r="J45" s="49">
        <f>AVERAGE('22.07 KYENGERA-BUSEGA'!J45,'23.07 KYENGERA-BUSEGA'!J45,'24.07 KYENGERA-BUSEGA'!J45,'25.07 KYENGERA-BUSEGA'!J45,'26.07 KYENGERA-BUSEGA-24h'!J45,'27.07 KYENGERA-BUSEGA-24h'!J45,'28.07 KYENGERA-BUSEGA'!J45)</f>
        <v>4.4285714285714288</v>
      </c>
      <c r="K45" s="49">
        <f>AVERAGE('22.07 KYENGERA-BUSEGA'!K45,'23.07 KYENGERA-BUSEGA'!K45,'24.07 KYENGERA-BUSEGA'!K45,'25.07 KYENGERA-BUSEGA'!K45,'26.07 KYENGERA-BUSEGA-24h'!K45,'27.07 KYENGERA-BUSEGA-24h'!K45,'28.07 KYENGERA-BUSEGA'!K45)</f>
        <v>0.5714285714285714</v>
      </c>
      <c r="L45" s="49">
        <f>AVERAGE('22.07 KYENGERA-BUSEGA'!L45,'23.07 KYENGERA-BUSEGA'!L45,'24.07 KYENGERA-BUSEGA'!L45,'25.07 KYENGERA-BUSEGA'!L45,'26.07 KYENGERA-BUSEGA-24h'!L45,'27.07 KYENGERA-BUSEGA-24h'!L45,'28.07 KYENGERA-BUSEGA'!L45)</f>
        <v>3.2857142857142856</v>
      </c>
      <c r="M45" s="49">
        <f>AVERAGE('22.07 KYENGERA-BUSEGA'!M45,'23.07 KYENGERA-BUSEGA'!M45,'24.07 KYENGERA-BUSEGA'!M45,'25.07 KYENGERA-BUSEGA'!M45,'26.07 KYENGERA-BUSEGA-24h'!M45,'27.07 KYENGERA-BUSEGA-24h'!M45,'28.07 KYENGERA-BUSEGA'!M45)</f>
        <v>125.14285714285714</v>
      </c>
      <c r="N45" s="49">
        <f>AVERAGE('22.07 KYENGERA-BUSEGA'!N45,'23.07 KYENGERA-BUSEGA'!N45,'24.07 KYENGERA-BUSEGA'!N45,'25.07 KYENGERA-BUSEGA'!N45,'26.07 KYENGERA-BUSEGA-24h'!N45,'27.07 KYENGERA-BUSEGA-24h'!N45,'28.07 KYENGERA-BUSEGA'!N45)</f>
        <v>0</v>
      </c>
      <c r="O45" s="15">
        <f t="shared" si="0"/>
        <v>132.85714285714286</v>
      </c>
      <c r="P45" s="15">
        <f t="shared" si="1"/>
        <v>258</v>
      </c>
    </row>
    <row r="46" spans="2:32" ht="23.1" customHeight="1" x14ac:dyDescent="0.25">
      <c r="B46" s="24" t="s">
        <v>73</v>
      </c>
      <c r="C46" s="49">
        <f>AVERAGE('22.07 KYENGERA-BUSEGA'!C46,'23.07 KYENGERA-BUSEGA'!C46,'24.07 KYENGERA-BUSEGA'!C46,'25.07 KYENGERA-BUSEGA'!C46,'26.07 KYENGERA-BUSEGA-24h'!C46,'27.07 KYENGERA-BUSEGA-24h'!C46,'28.07 KYENGERA-BUSEGA'!C46)</f>
        <v>62.285714285714285</v>
      </c>
      <c r="D46" s="49">
        <f>AVERAGE('22.07 KYENGERA-BUSEGA'!D46,'23.07 KYENGERA-BUSEGA'!D46,'24.07 KYENGERA-BUSEGA'!D46,'25.07 KYENGERA-BUSEGA'!D46,'26.07 KYENGERA-BUSEGA-24h'!D46,'27.07 KYENGERA-BUSEGA-24h'!D46,'28.07 KYENGERA-BUSEGA'!D46)</f>
        <v>9.8571428571428577</v>
      </c>
      <c r="E46" s="49">
        <f>AVERAGE('22.07 KYENGERA-BUSEGA'!E46,'23.07 KYENGERA-BUSEGA'!E46,'24.07 KYENGERA-BUSEGA'!E46,'25.07 KYENGERA-BUSEGA'!E46,'26.07 KYENGERA-BUSEGA-24h'!E46,'27.07 KYENGERA-BUSEGA-24h'!E46,'28.07 KYENGERA-BUSEGA'!E46)</f>
        <v>8.2857142857142865</v>
      </c>
      <c r="F46" s="49">
        <f>AVERAGE('22.07 KYENGERA-BUSEGA'!F46,'23.07 KYENGERA-BUSEGA'!F46,'24.07 KYENGERA-BUSEGA'!F46,'25.07 KYENGERA-BUSEGA'!F46,'26.07 KYENGERA-BUSEGA-24h'!F46,'27.07 KYENGERA-BUSEGA-24h'!F46,'28.07 KYENGERA-BUSEGA'!F46)</f>
        <v>44.428571428571431</v>
      </c>
      <c r="G46" s="49">
        <f>AVERAGE('22.07 KYENGERA-BUSEGA'!G46,'23.07 KYENGERA-BUSEGA'!G46,'24.07 KYENGERA-BUSEGA'!G46,'25.07 KYENGERA-BUSEGA'!G46,'26.07 KYENGERA-BUSEGA-24h'!G46,'27.07 KYENGERA-BUSEGA-24h'!G46,'28.07 KYENGERA-BUSEGA'!G46)</f>
        <v>0.8571428571428571</v>
      </c>
      <c r="H46" s="49">
        <f>AVERAGE('22.07 KYENGERA-BUSEGA'!H46,'23.07 KYENGERA-BUSEGA'!H46,'24.07 KYENGERA-BUSEGA'!H46,'25.07 KYENGERA-BUSEGA'!H46,'26.07 KYENGERA-BUSEGA-24h'!H46,'27.07 KYENGERA-BUSEGA-24h'!H46,'28.07 KYENGERA-BUSEGA'!H46)</f>
        <v>3</v>
      </c>
      <c r="I46" s="49">
        <f>AVERAGE('22.07 KYENGERA-BUSEGA'!I46,'23.07 KYENGERA-BUSEGA'!I46,'24.07 KYENGERA-BUSEGA'!I46,'25.07 KYENGERA-BUSEGA'!I46,'26.07 KYENGERA-BUSEGA-24h'!I46,'27.07 KYENGERA-BUSEGA-24h'!I46,'28.07 KYENGERA-BUSEGA'!I46)</f>
        <v>13.142857142857142</v>
      </c>
      <c r="J46" s="49">
        <f>AVERAGE('22.07 KYENGERA-BUSEGA'!J46,'23.07 KYENGERA-BUSEGA'!J46,'24.07 KYENGERA-BUSEGA'!J46,'25.07 KYENGERA-BUSEGA'!J46,'26.07 KYENGERA-BUSEGA-24h'!J46,'27.07 KYENGERA-BUSEGA-24h'!J46,'28.07 KYENGERA-BUSEGA'!J46)</f>
        <v>5.8571428571428568</v>
      </c>
      <c r="K46" s="49">
        <f>AVERAGE('22.07 KYENGERA-BUSEGA'!K46,'23.07 KYENGERA-BUSEGA'!K46,'24.07 KYENGERA-BUSEGA'!K46,'25.07 KYENGERA-BUSEGA'!K46,'26.07 KYENGERA-BUSEGA-24h'!K46,'27.07 KYENGERA-BUSEGA-24h'!K46,'28.07 KYENGERA-BUSEGA'!K46)</f>
        <v>2.1428571428571428</v>
      </c>
      <c r="L46" s="49">
        <f>AVERAGE('22.07 KYENGERA-BUSEGA'!L46,'23.07 KYENGERA-BUSEGA'!L46,'24.07 KYENGERA-BUSEGA'!L46,'25.07 KYENGERA-BUSEGA'!L46,'26.07 KYENGERA-BUSEGA-24h'!L46,'27.07 KYENGERA-BUSEGA-24h'!L46,'28.07 KYENGERA-BUSEGA'!L46)</f>
        <v>4.4285714285714288</v>
      </c>
      <c r="M46" s="49">
        <f>AVERAGE('22.07 KYENGERA-BUSEGA'!M46,'23.07 KYENGERA-BUSEGA'!M46,'24.07 KYENGERA-BUSEGA'!M46,'25.07 KYENGERA-BUSEGA'!M46,'26.07 KYENGERA-BUSEGA-24h'!M46,'27.07 KYENGERA-BUSEGA-24h'!M46,'28.07 KYENGERA-BUSEGA'!M46)</f>
        <v>142.57142857142858</v>
      </c>
      <c r="N46" s="49">
        <f>AVERAGE('22.07 KYENGERA-BUSEGA'!N46,'23.07 KYENGERA-BUSEGA'!N46,'24.07 KYENGERA-BUSEGA'!N46,'25.07 KYENGERA-BUSEGA'!N46,'26.07 KYENGERA-BUSEGA-24h'!N46,'27.07 KYENGERA-BUSEGA-24h'!N46,'28.07 KYENGERA-BUSEGA'!N46)</f>
        <v>0</v>
      </c>
      <c r="O46" s="15">
        <f t="shared" si="0"/>
        <v>154.28571428571428</v>
      </c>
      <c r="P46" s="15">
        <f t="shared" si="1"/>
        <v>296.85714285714289</v>
      </c>
      <c r="R46" s="8"/>
      <c r="T46"/>
    </row>
    <row r="47" spans="2:32" ht="23.1" customHeight="1" x14ac:dyDescent="0.25">
      <c r="B47" s="24" t="s">
        <v>74</v>
      </c>
      <c r="C47" s="49">
        <f>AVERAGE('22.07 KYENGERA-BUSEGA'!C47,'23.07 KYENGERA-BUSEGA'!C47,'24.07 KYENGERA-BUSEGA'!C47,'25.07 KYENGERA-BUSEGA'!C47,'26.07 KYENGERA-BUSEGA-24h'!C47,'27.07 KYENGERA-BUSEGA-24h'!C47,'28.07 KYENGERA-BUSEGA'!C47)</f>
        <v>59.428571428571431</v>
      </c>
      <c r="D47" s="49">
        <f>AVERAGE('22.07 KYENGERA-BUSEGA'!D47,'23.07 KYENGERA-BUSEGA'!D47,'24.07 KYENGERA-BUSEGA'!D47,'25.07 KYENGERA-BUSEGA'!D47,'26.07 KYENGERA-BUSEGA-24h'!D47,'27.07 KYENGERA-BUSEGA-24h'!D47,'28.07 KYENGERA-BUSEGA'!D47)</f>
        <v>9.2857142857142865</v>
      </c>
      <c r="E47" s="49">
        <f>AVERAGE('22.07 KYENGERA-BUSEGA'!E47,'23.07 KYENGERA-BUSEGA'!E47,'24.07 KYENGERA-BUSEGA'!E47,'25.07 KYENGERA-BUSEGA'!E47,'26.07 KYENGERA-BUSEGA-24h'!E47,'27.07 KYENGERA-BUSEGA-24h'!E47,'28.07 KYENGERA-BUSEGA'!E47)</f>
        <v>10.857142857142858</v>
      </c>
      <c r="F47" s="49">
        <f>AVERAGE('22.07 KYENGERA-BUSEGA'!F47,'23.07 KYENGERA-BUSEGA'!F47,'24.07 KYENGERA-BUSEGA'!F47,'25.07 KYENGERA-BUSEGA'!F47,'26.07 KYENGERA-BUSEGA-24h'!F47,'27.07 KYENGERA-BUSEGA-24h'!F47,'28.07 KYENGERA-BUSEGA'!F47)</f>
        <v>29.857142857142858</v>
      </c>
      <c r="G47" s="49">
        <f>AVERAGE('22.07 KYENGERA-BUSEGA'!G47,'23.07 KYENGERA-BUSEGA'!G47,'24.07 KYENGERA-BUSEGA'!G47,'25.07 KYENGERA-BUSEGA'!G47,'26.07 KYENGERA-BUSEGA-24h'!G47,'27.07 KYENGERA-BUSEGA-24h'!G47,'28.07 KYENGERA-BUSEGA'!G47)</f>
        <v>1.1428571428571428</v>
      </c>
      <c r="H47" s="49">
        <f>AVERAGE('22.07 KYENGERA-BUSEGA'!H47,'23.07 KYENGERA-BUSEGA'!H47,'24.07 KYENGERA-BUSEGA'!H47,'25.07 KYENGERA-BUSEGA'!H47,'26.07 KYENGERA-BUSEGA-24h'!H47,'27.07 KYENGERA-BUSEGA-24h'!H47,'28.07 KYENGERA-BUSEGA'!H47)</f>
        <v>1.5714285714285714</v>
      </c>
      <c r="I47" s="49">
        <f>AVERAGE('22.07 KYENGERA-BUSEGA'!I47,'23.07 KYENGERA-BUSEGA'!I47,'24.07 KYENGERA-BUSEGA'!I47,'25.07 KYENGERA-BUSEGA'!I47,'26.07 KYENGERA-BUSEGA-24h'!I47,'27.07 KYENGERA-BUSEGA-24h'!I47,'28.07 KYENGERA-BUSEGA'!I47)</f>
        <v>12.714285714285714</v>
      </c>
      <c r="J47" s="49">
        <f>AVERAGE('22.07 KYENGERA-BUSEGA'!J47,'23.07 KYENGERA-BUSEGA'!J47,'24.07 KYENGERA-BUSEGA'!J47,'25.07 KYENGERA-BUSEGA'!J47,'26.07 KYENGERA-BUSEGA-24h'!J47,'27.07 KYENGERA-BUSEGA-24h'!J47,'28.07 KYENGERA-BUSEGA'!J47)</f>
        <v>6.1428571428571432</v>
      </c>
      <c r="K47" s="49">
        <f>AVERAGE('22.07 KYENGERA-BUSEGA'!K47,'23.07 KYENGERA-BUSEGA'!K47,'24.07 KYENGERA-BUSEGA'!K47,'25.07 KYENGERA-BUSEGA'!K47,'26.07 KYENGERA-BUSEGA-24h'!K47,'27.07 KYENGERA-BUSEGA-24h'!K47,'28.07 KYENGERA-BUSEGA'!K47)</f>
        <v>1.1428571428571428</v>
      </c>
      <c r="L47" s="49">
        <f>AVERAGE('22.07 KYENGERA-BUSEGA'!L47,'23.07 KYENGERA-BUSEGA'!L47,'24.07 KYENGERA-BUSEGA'!L47,'25.07 KYENGERA-BUSEGA'!L47,'26.07 KYENGERA-BUSEGA-24h'!L47,'27.07 KYENGERA-BUSEGA-24h'!L47,'28.07 KYENGERA-BUSEGA'!L47)</f>
        <v>4.4285714285714288</v>
      </c>
      <c r="M47" s="49">
        <f>AVERAGE('22.07 KYENGERA-BUSEGA'!M47,'23.07 KYENGERA-BUSEGA'!M47,'24.07 KYENGERA-BUSEGA'!M47,'25.07 KYENGERA-BUSEGA'!M47,'26.07 KYENGERA-BUSEGA-24h'!M47,'27.07 KYENGERA-BUSEGA-24h'!M47,'28.07 KYENGERA-BUSEGA'!M47)</f>
        <v>157.14285714285714</v>
      </c>
      <c r="N47" s="49">
        <f>AVERAGE('22.07 KYENGERA-BUSEGA'!N47,'23.07 KYENGERA-BUSEGA'!N47,'24.07 KYENGERA-BUSEGA'!N47,'25.07 KYENGERA-BUSEGA'!N47,'26.07 KYENGERA-BUSEGA-24h'!N47,'27.07 KYENGERA-BUSEGA-24h'!N47,'28.07 KYENGERA-BUSEGA'!N47)</f>
        <v>0</v>
      </c>
      <c r="O47" s="15">
        <f t="shared" si="0"/>
        <v>136.57142857142856</v>
      </c>
      <c r="P47" s="15">
        <f t="shared" si="1"/>
        <v>293.71428571428567</v>
      </c>
      <c r="R47" s="8"/>
      <c r="T47"/>
    </row>
    <row r="48" spans="2:32" ht="23.1" customHeight="1" x14ac:dyDescent="0.25">
      <c r="B48" s="24" t="s">
        <v>75</v>
      </c>
      <c r="C48" s="49">
        <f>AVERAGE('22.07 KYENGERA-BUSEGA'!C48,'23.07 KYENGERA-BUSEGA'!C48,'24.07 KYENGERA-BUSEGA'!C48,'25.07 KYENGERA-BUSEGA'!C48,'26.07 KYENGERA-BUSEGA-24h'!C48,'27.07 KYENGERA-BUSEGA-24h'!C48,'28.07 KYENGERA-BUSEGA'!C48)</f>
        <v>53.714285714285715</v>
      </c>
      <c r="D48" s="49">
        <f>AVERAGE('22.07 KYENGERA-BUSEGA'!D48,'23.07 KYENGERA-BUSEGA'!D48,'24.07 KYENGERA-BUSEGA'!D48,'25.07 KYENGERA-BUSEGA'!D48,'26.07 KYENGERA-BUSEGA-24h'!D48,'27.07 KYENGERA-BUSEGA-24h'!D48,'28.07 KYENGERA-BUSEGA'!D48)</f>
        <v>8.4285714285714288</v>
      </c>
      <c r="E48" s="49">
        <f>AVERAGE('22.07 KYENGERA-BUSEGA'!E48,'23.07 KYENGERA-BUSEGA'!E48,'24.07 KYENGERA-BUSEGA'!E48,'25.07 KYENGERA-BUSEGA'!E48,'26.07 KYENGERA-BUSEGA-24h'!E48,'27.07 KYENGERA-BUSEGA-24h'!E48,'28.07 KYENGERA-BUSEGA'!E48)</f>
        <v>11.428571428571429</v>
      </c>
      <c r="F48" s="49">
        <f>AVERAGE('22.07 KYENGERA-BUSEGA'!F48,'23.07 KYENGERA-BUSEGA'!F48,'24.07 KYENGERA-BUSEGA'!F48,'25.07 KYENGERA-BUSEGA'!F48,'26.07 KYENGERA-BUSEGA-24h'!F48,'27.07 KYENGERA-BUSEGA-24h'!F48,'28.07 KYENGERA-BUSEGA'!F48)</f>
        <v>37.571428571428569</v>
      </c>
      <c r="G48" s="49">
        <f>AVERAGE('22.07 KYENGERA-BUSEGA'!G48,'23.07 KYENGERA-BUSEGA'!G48,'24.07 KYENGERA-BUSEGA'!G48,'25.07 KYENGERA-BUSEGA'!G48,'26.07 KYENGERA-BUSEGA-24h'!G48,'27.07 KYENGERA-BUSEGA-24h'!G48,'28.07 KYENGERA-BUSEGA'!G48)</f>
        <v>1.5714285714285714</v>
      </c>
      <c r="H48" s="49">
        <f>AVERAGE('22.07 KYENGERA-BUSEGA'!H48,'23.07 KYENGERA-BUSEGA'!H48,'24.07 KYENGERA-BUSEGA'!H48,'25.07 KYENGERA-BUSEGA'!H48,'26.07 KYENGERA-BUSEGA-24h'!H48,'27.07 KYENGERA-BUSEGA-24h'!H48,'28.07 KYENGERA-BUSEGA'!H48)</f>
        <v>2</v>
      </c>
      <c r="I48" s="49">
        <f>AVERAGE('22.07 KYENGERA-BUSEGA'!I48,'23.07 KYENGERA-BUSEGA'!I48,'24.07 KYENGERA-BUSEGA'!I48,'25.07 KYENGERA-BUSEGA'!I48,'26.07 KYENGERA-BUSEGA-24h'!I48,'27.07 KYENGERA-BUSEGA-24h'!I48,'28.07 KYENGERA-BUSEGA'!I48)</f>
        <v>13.857142857142858</v>
      </c>
      <c r="J48" s="49">
        <f>AVERAGE('22.07 KYENGERA-BUSEGA'!J48,'23.07 KYENGERA-BUSEGA'!J48,'24.07 KYENGERA-BUSEGA'!J48,'25.07 KYENGERA-BUSEGA'!J48,'26.07 KYENGERA-BUSEGA-24h'!J48,'27.07 KYENGERA-BUSEGA-24h'!J48,'28.07 KYENGERA-BUSEGA'!J48)</f>
        <v>7.4285714285714288</v>
      </c>
      <c r="K48" s="49">
        <f>AVERAGE('22.07 KYENGERA-BUSEGA'!K48,'23.07 KYENGERA-BUSEGA'!K48,'24.07 KYENGERA-BUSEGA'!K48,'25.07 KYENGERA-BUSEGA'!K48,'26.07 KYENGERA-BUSEGA-24h'!K48,'27.07 KYENGERA-BUSEGA-24h'!K48,'28.07 KYENGERA-BUSEGA'!K48)</f>
        <v>1.1428571428571428</v>
      </c>
      <c r="L48" s="49">
        <f>AVERAGE('22.07 KYENGERA-BUSEGA'!L48,'23.07 KYENGERA-BUSEGA'!L48,'24.07 KYENGERA-BUSEGA'!L48,'25.07 KYENGERA-BUSEGA'!L48,'26.07 KYENGERA-BUSEGA-24h'!L48,'27.07 KYENGERA-BUSEGA-24h'!L48,'28.07 KYENGERA-BUSEGA'!L48)</f>
        <v>4.2857142857142856</v>
      </c>
      <c r="M48" s="49">
        <f>AVERAGE('22.07 KYENGERA-BUSEGA'!M48,'23.07 KYENGERA-BUSEGA'!M48,'24.07 KYENGERA-BUSEGA'!M48,'25.07 KYENGERA-BUSEGA'!M48,'26.07 KYENGERA-BUSEGA-24h'!M48,'27.07 KYENGERA-BUSEGA-24h'!M48,'28.07 KYENGERA-BUSEGA'!M48)</f>
        <v>149</v>
      </c>
      <c r="N48" s="49">
        <f>AVERAGE('22.07 KYENGERA-BUSEGA'!N48,'23.07 KYENGERA-BUSEGA'!N48,'24.07 KYENGERA-BUSEGA'!N48,'25.07 KYENGERA-BUSEGA'!N48,'26.07 KYENGERA-BUSEGA-24h'!N48,'27.07 KYENGERA-BUSEGA-24h'!N48,'28.07 KYENGERA-BUSEGA'!N48)</f>
        <v>0.14285714285714285</v>
      </c>
      <c r="O48" s="15">
        <f t="shared" si="0"/>
        <v>141.57142857142853</v>
      </c>
      <c r="P48" s="15">
        <f t="shared" si="1"/>
        <v>290.57142857142856</v>
      </c>
      <c r="R48" s="8"/>
      <c r="T48"/>
    </row>
    <row r="49" spans="2:20" ht="23.1" customHeight="1" x14ac:dyDescent="0.25">
      <c r="B49" s="23" t="s">
        <v>76</v>
      </c>
      <c r="C49" s="49">
        <f>AVERAGE('22.07 KYENGERA-BUSEGA'!C49,'23.07 KYENGERA-BUSEGA'!C49,'24.07 KYENGERA-BUSEGA'!C49,'25.07 KYENGERA-BUSEGA'!C49,'26.07 KYENGERA-BUSEGA-24h'!C49,'27.07 KYENGERA-BUSEGA-24h'!C49,'28.07 KYENGERA-BUSEGA'!C49)</f>
        <v>62.714285714285715</v>
      </c>
      <c r="D49" s="49">
        <f>AVERAGE('22.07 KYENGERA-BUSEGA'!D49,'23.07 KYENGERA-BUSEGA'!D49,'24.07 KYENGERA-BUSEGA'!D49,'25.07 KYENGERA-BUSEGA'!D49,'26.07 KYENGERA-BUSEGA-24h'!D49,'27.07 KYENGERA-BUSEGA-24h'!D49,'28.07 KYENGERA-BUSEGA'!D49)</f>
        <v>8.7142857142857135</v>
      </c>
      <c r="E49" s="49">
        <f>AVERAGE('22.07 KYENGERA-BUSEGA'!E49,'23.07 KYENGERA-BUSEGA'!E49,'24.07 KYENGERA-BUSEGA'!E49,'25.07 KYENGERA-BUSEGA'!E49,'26.07 KYENGERA-BUSEGA-24h'!E49,'27.07 KYENGERA-BUSEGA-24h'!E49,'28.07 KYENGERA-BUSEGA'!E49)</f>
        <v>8.5714285714285712</v>
      </c>
      <c r="F49" s="49">
        <f>AVERAGE('22.07 KYENGERA-BUSEGA'!F49,'23.07 KYENGERA-BUSEGA'!F49,'24.07 KYENGERA-BUSEGA'!F49,'25.07 KYENGERA-BUSEGA'!F49,'26.07 KYENGERA-BUSEGA-24h'!F49,'27.07 KYENGERA-BUSEGA-24h'!F49,'28.07 KYENGERA-BUSEGA'!F49)</f>
        <v>40.571428571428569</v>
      </c>
      <c r="G49" s="49">
        <f>AVERAGE('22.07 KYENGERA-BUSEGA'!G49,'23.07 KYENGERA-BUSEGA'!G49,'24.07 KYENGERA-BUSEGA'!G49,'25.07 KYENGERA-BUSEGA'!G49,'26.07 KYENGERA-BUSEGA-24h'!G49,'27.07 KYENGERA-BUSEGA-24h'!G49,'28.07 KYENGERA-BUSEGA'!G49)</f>
        <v>1.1428571428571428</v>
      </c>
      <c r="H49" s="49">
        <f>AVERAGE('22.07 KYENGERA-BUSEGA'!H49,'23.07 KYENGERA-BUSEGA'!H49,'24.07 KYENGERA-BUSEGA'!H49,'25.07 KYENGERA-BUSEGA'!H49,'26.07 KYENGERA-BUSEGA-24h'!H49,'27.07 KYENGERA-BUSEGA-24h'!H49,'28.07 KYENGERA-BUSEGA'!H49)</f>
        <v>2</v>
      </c>
      <c r="I49" s="49">
        <f>AVERAGE('22.07 KYENGERA-BUSEGA'!I49,'23.07 KYENGERA-BUSEGA'!I49,'24.07 KYENGERA-BUSEGA'!I49,'25.07 KYENGERA-BUSEGA'!I49,'26.07 KYENGERA-BUSEGA-24h'!I49,'27.07 KYENGERA-BUSEGA-24h'!I49,'28.07 KYENGERA-BUSEGA'!I49)</f>
        <v>12</v>
      </c>
      <c r="J49" s="49">
        <f>AVERAGE('22.07 KYENGERA-BUSEGA'!J49,'23.07 KYENGERA-BUSEGA'!J49,'24.07 KYENGERA-BUSEGA'!J49,'25.07 KYENGERA-BUSEGA'!J49,'26.07 KYENGERA-BUSEGA-24h'!J49,'27.07 KYENGERA-BUSEGA-24h'!J49,'28.07 KYENGERA-BUSEGA'!J49)</f>
        <v>4.4285714285714288</v>
      </c>
      <c r="K49" s="49">
        <f>AVERAGE('22.07 KYENGERA-BUSEGA'!K49,'23.07 KYENGERA-BUSEGA'!K49,'24.07 KYENGERA-BUSEGA'!K49,'25.07 KYENGERA-BUSEGA'!K49,'26.07 KYENGERA-BUSEGA-24h'!K49,'27.07 KYENGERA-BUSEGA-24h'!K49,'28.07 KYENGERA-BUSEGA'!K49)</f>
        <v>1.1428571428571428</v>
      </c>
      <c r="L49" s="49">
        <f>AVERAGE('22.07 KYENGERA-BUSEGA'!L49,'23.07 KYENGERA-BUSEGA'!L49,'24.07 KYENGERA-BUSEGA'!L49,'25.07 KYENGERA-BUSEGA'!L49,'26.07 KYENGERA-BUSEGA-24h'!L49,'27.07 KYENGERA-BUSEGA-24h'!L49,'28.07 KYENGERA-BUSEGA'!L49)</f>
        <v>3.7142857142857144</v>
      </c>
      <c r="M49" s="49">
        <f>AVERAGE('22.07 KYENGERA-BUSEGA'!M49,'23.07 KYENGERA-BUSEGA'!M49,'24.07 KYENGERA-BUSEGA'!M49,'25.07 KYENGERA-BUSEGA'!M49,'26.07 KYENGERA-BUSEGA-24h'!M49,'27.07 KYENGERA-BUSEGA-24h'!M49,'28.07 KYENGERA-BUSEGA'!M49)</f>
        <v>148.14285714285714</v>
      </c>
      <c r="N49" s="49">
        <f>AVERAGE('22.07 KYENGERA-BUSEGA'!N49,'23.07 KYENGERA-BUSEGA'!N49,'24.07 KYENGERA-BUSEGA'!N49,'25.07 KYENGERA-BUSEGA'!N49,'26.07 KYENGERA-BUSEGA-24h'!N49,'27.07 KYENGERA-BUSEGA-24h'!N49,'28.07 KYENGERA-BUSEGA'!N49)</f>
        <v>0</v>
      </c>
      <c r="O49" s="15">
        <f t="shared" si="0"/>
        <v>145</v>
      </c>
      <c r="P49" s="15">
        <f t="shared" si="1"/>
        <v>293.14285714285711</v>
      </c>
      <c r="R49" s="8"/>
      <c r="T49"/>
    </row>
    <row r="50" spans="2:20" ht="23.1" customHeight="1" x14ac:dyDescent="0.25">
      <c r="B50" s="24" t="s">
        <v>77</v>
      </c>
      <c r="C50" s="49">
        <f>AVERAGE('22.07 KYENGERA-BUSEGA'!C50,'23.07 KYENGERA-BUSEGA'!C50,'24.07 KYENGERA-BUSEGA'!C50,'25.07 KYENGERA-BUSEGA'!C50,'26.07 KYENGERA-BUSEGA-24h'!C50,'27.07 KYENGERA-BUSEGA-24h'!C50,'28.07 KYENGERA-BUSEGA'!C50)</f>
        <v>69.142857142857139</v>
      </c>
      <c r="D50" s="49">
        <f>AVERAGE('22.07 KYENGERA-BUSEGA'!D50,'23.07 KYENGERA-BUSEGA'!D50,'24.07 KYENGERA-BUSEGA'!D50,'25.07 KYENGERA-BUSEGA'!D50,'26.07 KYENGERA-BUSEGA-24h'!D50,'27.07 KYENGERA-BUSEGA-24h'!D50,'28.07 KYENGERA-BUSEGA'!D50)</f>
        <v>12.285714285714286</v>
      </c>
      <c r="E50" s="49">
        <f>AVERAGE('22.07 KYENGERA-BUSEGA'!E50,'23.07 KYENGERA-BUSEGA'!E50,'24.07 KYENGERA-BUSEGA'!E50,'25.07 KYENGERA-BUSEGA'!E50,'26.07 KYENGERA-BUSEGA-24h'!E50,'27.07 KYENGERA-BUSEGA-24h'!E50,'28.07 KYENGERA-BUSEGA'!E50)</f>
        <v>9.8571428571428577</v>
      </c>
      <c r="F50" s="49">
        <f>AVERAGE('22.07 KYENGERA-BUSEGA'!F50,'23.07 KYENGERA-BUSEGA'!F50,'24.07 KYENGERA-BUSEGA'!F50,'25.07 KYENGERA-BUSEGA'!F50,'26.07 KYENGERA-BUSEGA-24h'!F50,'27.07 KYENGERA-BUSEGA-24h'!F50,'28.07 KYENGERA-BUSEGA'!F50)</f>
        <v>35.571428571428569</v>
      </c>
      <c r="G50" s="49">
        <f>AVERAGE('22.07 KYENGERA-BUSEGA'!G50,'23.07 KYENGERA-BUSEGA'!G50,'24.07 KYENGERA-BUSEGA'!G50,'25.07 KYENGERA-BUSEGA'!G50,'26.07 KYENGERA-BUSEGA-24h'!G50,'27.07 KYENGERA-BUSEGA-24h'!G50,'28.07 KYENGERA-BUSEGA'!G50)</f>
        <v>2.2857142857142856</v>
      </c>
      <c r="H50" s="49">
        <f>AVERAGE('22.07 KYENGERA-BUSEGA'!H50,'23.07 KYENGERA-BUSEGA'!H50,'24.07 KYENGERA-BUSEGA'!H50,'25.07 KYENGERA-BUSEGA'!H50,'26.07 KYENGERA-BUSEGA-24h'!H50,'27.07 KYENGERA-BUSEGA-24h'!H50,'28.07 KYENGERA-BUSEGA'!H50)</f>
        <v>1.7142857142857142</v>
      </c>
      <c r="I50" s="49">
        <f>AVERAGE('22.07 KYENGERA-BUSEGA'!I50,'23.07 KYENGERA-BUSEGA'!I50,'24.07 KYENGERA-BUSEGA'!I50,'25.07 KYENGERA-BUSEGA'!I50,'26.07 KYENGERA-BUSEGA-24h'!I50,'27.07 KYENGERA-BUSEGA-24h'!I50,'28.07 KYENGERA-BUSEGA'!I50)</f>
        <v>13.285714285714286</v>
      </c>
      <c r="J50" s="49">
        <f>AVERAGE('22.07 KYENGERA-BUSEGA'!J50,'23.07 KYENGERA-BUSEGA'!J50,'24.07 KYENGERA-BUSEGA'!J50,'25.07 KYENGERA-BUSEGA'!J50,'26.07 KYENGERA-BUSEGA-24h'!J50,'27.07 KYENGERA-BUSEGA-24h'!J50,'28.07 KYENGERA-BUSEGA'!J50)</f>
        <v>6</v>
      </c>
      <c r="K50" s="49">
        <f>AVERAGE('22.07 KYENGERA-BUSEGA'!K50,'23.07 KYENGERA-BUSEGA'!K50,'24.07 KYENGERA-BUSEGA'!K50,'25.07 KYENGERA-BUSEGA'!K50,'26.07 KYENGERA-BUSEGA-24h'!K50,'27.07 KYENGERA-BUSEGA-24h'!K50,'28.07 KYENGERA-BUSEGA'!K50)</f>
        <v>2.5714285714285716</v>
      </c>
      <c r="L50" s="49">
        <f>AVERAGE('22.07 KYENGERA-BUSEGA'!L50,'23.07 KYENGERA-BUSEGA'!L50,'24.07 KYENGERA-BUSEGA'!L50,'25.07 KYENGERA-BUSEGA'!L50,'26.07 KYENGERA-BUSEGA-24h'!L50,'27.07 KYENGERA-BUSEGA-24h'!L50,'28.07 KYENGERA-BUSEGA'!L50)</f>
        <v>5.4285714285714288</v>
      </c>
      <c r="M50" s="49">
        <f>AVERAGE('22.07 KYENGERA-BUSEGA'!M50,'23.07 KYENGERA-BUSEGA'!M50,'24.07 KYENGERA-BUSEGA'!M50,'25.07 KYENGERA-BUSEGA'!M50,'26.07 KYENGERA-BUSEGA-24h'!M50,'27.07 KYENGERA-BUSEGA-24h'!M50,'28.07 KYENGERA-BUSEGA'!M50)</f>
        <v>179.85714285714286</v>
      </c>
      <c r="N50" s="49">
        <f>AVERAGE('22.07 KYENGERA-BUSEGA'!N50,'23.07 KYENGERA-BUSEGA'!N50,'24.07 KYENGERA-BUSEGA'!N50,'25.07 KYENGERA-BUSEGA'!N50,'26.07 KYENGERA-BUSEGA-24h'!N50,'27.07 KYENGERA-BUSEGA-24h'!N50,'28.07 KYENGERA-BUSEGA'!N50)</f>
        <v>0</v>
      </c>
      <c r="O50" s="15">
        <f t="shared" si="0"/>
        <v>158.14285714285714</v>
      </c>
      <c r="P50" s="15">
        <f t="shared" si="1"/>
        <v>338</v>
      </c>
      <c r="R50" s="8"/>
      <c r="T50"/>
    </row>
    <row r="51" spans="2:20" ht="23.1" customHeight="1" x14ac:dyDescent="0.25">
      <c r="B51" s="24" t="s">
        <v>78</v>
      </c>
      <c r="C51" s="49">
        <f>AVERAGE('22.07 KYENGERA-BUSEGA'!C51,'23.07 KYENGERA-BUSEGA'!C51,'24.07 KYENGERA-BUSEGA'!C51,'25.07 KYENGERA-BUSEGA'!C51,'26.07 KYENGERA-BUSEGA-24h'!C51,'27.07 KYENGERA-BUSEGA-24h'!C51,'28.07 KYENGERA-BUSEGA'!C51)</f>
        <v>64.428571428571431</v>
      </c>
      <c r="D51" s="49">
        <f>AVERAGE('22.07 KYENGERA-BUSEGA'!D51,'23.07 KYENGERA-BUSEGA'!D51,'24.07 KYENGERA-BUSEGA'!D51,'25.07 KYENGERA-BUSEGA'!D51,'26.07 KYENGERA-BUSEGA-24h'!D51,'27.07 KYENGERA-BUSEGA-24h'!D51,'28.07 KYENGERA-BUSEGA'!D51)</f>
        <v>9.1428571428571423</v>
      </c>
      <c r="E51" s="49">
        <f>AVERAGE('22.07 KYENGERA-BUSEGA'!E51,'23.07 KYENGERA-BUSEGA'!E51,'24.07 KYENGERA-BUSEGA'!E51,'25.07 KYENGERA-BUSEGA'!E51,'26.07 KYENGERA-BUSEGA-24h'!E51,'27.07 KYENGERA-BUSEGA-24h'!E51,'28.07 KYENGERA-BUSEGA'!E51)</f>
        <v>12.428571428571429</v>
      </c>
      <c r="F51" s="49">
        <f>AVERAGE('22.07 KYENGERA-BUSEGA'!F51,'23.07 KYENGERA-BUSEGA'!F51,'24.07 KYENGERA-BUSEGA'!F51,'25.07 KYENGERA-BUSEGA'!F51,'26.07 KYENGERA-BUSEGA-24h'!F51,'27.07 KYENGERA-BUSEGA-24h'!F51,'28.07 KYENGERA-BUSEGA'!F51)</f>
        <v>44.285714285714285</v>
      </c>
      <c r="G51" s="49">
        <f>AVERAGE('22.07 KYENGERA-BUSEGA'!G51,'23.07 KYENGERA-BUSEGA'!G51,'24.07 KYENGERA-BUSEGA'!G51,'25.07 KYENGERA-BUSEGA'!G51,'26.07 KYENGERA-BUSEGA-24h'!G51,'27.07 KYENGERA-BUSEGA-24h'!G51,'28.07 KYENGERA-BUSEGA'!G51)</f>
        <v>1.5714285714285714</v>
      </c>
      <c r="H51" s="49">
        <f>AVERAGE('22.07 KYENGERA-BUSEGA'!H51,'23.07 KYENGERA-BUSEGA'!H51,'24.07 KYENGERA-BUSEGA'!H51,'25.07 KYENGERA-BUSEGA'!H51,'26.07 KYENGERA-BUSEGA-24h'!H51,'27.07 KYENGERA-BUSEGA-24h'!H51,'28.07 KYENGERA-BUSEGA'!H51)</f>
        <v>2.4285714285714284</v>
      </c>
      <c r="I51" s="49">
        <f>AVERAGE('22.07 KYENGERA-BUSEGA'!I51,'23.07 KYENGERA-BUSEGA'!I51,'24.07 KYENGERA-BUSEGA'!I51,'25.07 KYENGERA-BUSEGA'!I51,'26.07 KYENGERA-BUSEGA-24h'!I51,'27.07 KYENGERA-BUSEGA-24h'!I51,'28.07 KYENGERA-BUSEGA'!I51)</f>
        <v>16.857142857142858</v>
      </c>
      <c r="J51" s="49">
        <f>AVERAGE('22.07 KYENGERA-BUSEGA'!J51,'23.07 KYENGERA-BUSEGA'!J51,'24.07 KYENGERA-BUSEGA'!J51,'25.07 KYENGERA-BUSEGA'!J51,'26.07 KYENGERA-BUSEGA-24h'!J51,'27.07 KYENGERA-BUSEGA-24h'!J51,'28.07 KYENGERA-BUSEGA'!J51)</f>
        <v>6.2857142857142856</v>
      </c>
      <c r="K51" s="49">
        <f>AVERAGE('22.07 KYENGERA-BUSEGA'!K51,'23.07 KYENGERA-BUSEGA'!K51,'24.07 KYENGERA-BUSEGA'!K51,'25.07 KYENGERA-BUSEGA'!K51,'26.07 KYENGERA-BUSEGA-24h'!K51,'27.07 KYENGERA-BUSEGA-24h'!K51,'28.07 KYENGERA-BUSEGA'!K51)</f>
        <v>0.5714285714285714</v>
      </c>
      <c r="L51" s="49">
        <f>AVERAGE('22.07 KYENGERA-BUSEGA'!L51,'23.07 KYENGERA-BUSEGA'!L51,'24.07 KYENGERA-BUSEGA'!L51,'25.07 KYENGERA-BUSEGA'!L51,'26.07 KYENGERA-BUSEGA-24h'!L51,'27.07 KYENGERA-BUSEGA-24h'!L51,'28.07 KYENGERA-BUSEGA'!L51)</f>
        <v>4</v>
      </c>
      <c r="M51" s="49">
        <f>AVERAGE('22.07 KYENGERA-BUSEGA'!M51,'23.07 KYENGERA-BUSEGA'!M51,'24.07 KYENGERA-BUSEGA'!M51,'25.07 KYENGERA-BUSEGA'!M51,'26.07 KYENGERA-BUSEGA-24h'!M51,'27.07 KYENGERA-BUSEGA-24h'!M51,'28.07 KYENGERA-BUSEGA'!M51)</f>
        <v>193.57142857142858</v>
      </c>
      <c r="N51" s="49">
        <f>AVERAGE('22.07 KYENGERA-BUSEGA'!N51,'23.07 KYENGERA-BUSEGA'!N51,'24.07 KYENGERA-BUSEGA'!N51,'25.07 KYENGERA-BUSEGA'!N51,'26.07 KYENGERA-BUSEGA-24h'!N51,'27.07 KYENGERA-BUSEGA-24h'!N51,'28.07 KYENGERA-BUSEGA'!N51)</f>
        <v>0</v>
      </c>
      <c r="O51" s="15">
        <f t="shared" si="0"/>
        <v>162</v>
      </c>
      <c r="P51" s="15">
        <f t="shared" si="1"/>
        <v>355.57142857142856</v>
      </c>
      <c r="R51" s="8"/>
      <c r="T51"/>
    </row>
    <row r="52" spans="2:20" ht="23.1" customHeight="1" x14ac:dyDescent="0.25">
      <c r="B52" s="24" t="s">
        <v>79</v>
      </c>
      <c r="C52" s="49">
        <f>AVERAGE('22.07 KYENGERA-BUSEGA'!C52,'23.07 KYENGERA-BUSEGA'!C52,'24.07 KYENGERA-BUSEGA'!C52,'25.07 KYENGERA-BUSEGA'!C52,'26.07 KYENGERA-BUSEGA-24h'!C52,'27.07 KYENGERA-BUSEGA-24h'!C52,'28.07 KYENGERA-BUSEGA'!C52)</f>
        <v>79.714285714285708</v>
      </c>
      <c r="D52" s="49">
        <f>AVERAGE('22.07 KYENGERA-BUSEGA'!D52,'23.07 KYENGERA-BUSEGA'!D52,'24.07 KYENGERA-BUSEGA'!D52,'25.07 KYENGERA-BUSEGA'!D52,'26.07 KYENGERA-BUSEGA-24h'!D52,'27.07 KYENGERA-BUSEGA-24h'!D52,'28.07 KYENGERA-BUSEGA'!D52)</f>
        <v>12.857142857142858</v>
      </c>
      <c r="E52" s="49">
        <f>AVERAGE('22.07 KYENGERA-BUSEGA'!E52,'23.07 KYENGERA-BUSEGA'!E52,'24.07 KYENGERA-BUSEGA'!E52,'25.07 KYENGERA-BUSEGA'!E52,'26.07 KYENGERA-BUSEGA-24h'!E52,'27.07 KYENGERA-BUSEGA-24h'!E52,'28.07 KYENGERA-BUSEGA'!E52)</f>
        <v>12.857142857142858</v>
      </c>
      <c r="F52" s="49">
        <f>AVERAGE('22.07 KYENGERA-BUSEGA'!F52,'23.07 KYENGERA-BUSEGA'!F52,'24.07 KYENGERA-BUSEGA'!F52,'25.07 KYENGERA-BUSEGA'!F52,'26.07 KYENGERA-BUSEGA-24h'!F52,'27.07 KYENGERA-BUSEGA-24h'!F52,'28.07 KYENGERA-BUSEGA'!F52)</f>
        <v>49.428571428571431</v>
      </c>
      <c r="G52" s="49">
        <f>AVERAGE('22.07 KYENGERA-BUSEGA'!G52,'23.07 KYENGERA-BUSEGA'!G52,'24.07 KYENGERA-BUSEGA'!G52,'25.07 KYENGERA-BUSEGA'!G52,'26.07 KYENGERA-BUSEGA-24h'!G52,'27.07 KYENGERA-BUSEGA-24h'!G52,'28.07 KYENGERA-BUSEGA'!G52)</f>
        <v>1.2857142857142858</v>
      </c>
      <c r="H52" s="49">
        <f>AVERAGE('22.07 KYENGERA-BUSEGA'!H52,'23.07 KYENGERA-BUSEGA'!H52,'24.07 KYENGERA-BUSEGA'!H52,'25.07 KYENGERA-BUSEGA'!H52,'26.07 KYENGERA-BUSEGA-24h'!H52,'27.07 KYENGERA-BUSEGA-24h'!H52,'28.07 KYENGERA-BUSEGA'!H52)</f>
        <v>1.7142857142857142</v>
      </c>
      <c r="I52" s="49">
        <f>AVERAGE('22.07 KYENGERA-BUSEGA'!I52,'23.07 KYENGERA-BUSEGA'!I52,'24.07 KYENGERA-BUSEGA'!I52,'25.07 KYENGERA-BUSEGA'!I52,'26.07 KYENGERA-BUSEGA-24h'!I52,'27.07 KYENGERA-BUSEGA-24h'!I52,'28.07 KYENGERA-BUSEGA'!I52)</f>
        <v>15</v>
      </c>
      <c r="J52" s="49">
        <f>AVERAGE('22.07 KYENGERA-BUSEGA'!J52,'23.07 KYENGERA-BUSEGA'!J52,'24.07 KYENGERA-BUSEGA'!J52,'25.07 KYENGERA-BUSEGA'!J52,'26.07 KYENGERA-BUSEGA-24h'!J52,'27.07 KYENGERA-BUSEGA-24h'!J52,'28.07 KYENGERA-BUSEGA'!J52)</f>
        <v>4.7142857142857144</v>
      </c>
      <c r="K52" s="49">
        <f>AVERAGE('22.07 KYENGERA-BUSEGA'!K52,'23.07 KYENGERA-BUSEGA'!K52,'24.07 KYENGERA-BUSEGA'!K52,'25.07 KYENGERA-BUSEGA'!K52,'26.07 KYENGERA-BUSEGA-24h'!K52,'27.07 KYENGERA-BUSEGA-24h'!K52,'28.07 KYENGERA-BUSEGA'!K52)</f>
        <v>0.7142857142857143</v>
      </c>
      <c r="L52" s="49">
        <f>AVERAGE('22.07 KYENGERA-BUSEGA'!L52,'23.07 KYENGERA-BUSEGA'!L52,'24.07 KYENGERA-BUSEGA'!L52,'25.07 KYENGERA-BUSEGA'!L52,'26.07 KYENGERA-BUSEGA-24h'!L52,'27.07 KYENGERA-BUSEGA-24h'!L52,'28.07 KYENGERA-BUSEGA'!L52)</f>
        <v>5.4285714285714288</v>
      </c>
      <c r="M52" s="49">
        <f>AVERAGE('22.07 KYENGERA-BUSEGA'!M52,'23.07 KYENGERA-BUSEGA'!M52,'24.07 KYENGERA-BUSEGA'!M52,'25.07 KYENGERA-BUSEGA'!M52,'26.07 KYENGERA-BUSEGA-24h'!M52,'27.07 KYENGERA-BUSEGA-24h'!M52,'28.07 KYENGERA-BUSEGA'!M52)</f>
        <v>215.42857142857142</v>
      </c>
      <c r="N52" s="49">
        <f>AVERAGE('22.07 KYENGERA-BUSEGA'!N52,'23.07 KYENGERA-BUSEGA'!N52,'24.07 KYENGERA-BUSEGA'!N52,'25.07 KYENGERA-BUSEGA'!N52,'26.07 KYENGERA-BUSEGA-24h'!N52,'27.07 KYENGERA-BUSEGA-24h'!N52,'28.07 KYENGERA-BUSEGA'!N52)</f>
        <v>0</v>
      </c>
      <c r="O52" s="15">
        <f t="shared" si="0"/>
        <v>183.71428571428572</v>
      </c>
      <c r="P52" s="15">
        <f t="shared" si="1"/>
        <v>399.14285714285711</v>
      </c>
      <c r="R52" s="8"/>
      <c r="T52"/>
    </row>
    <row r="53" spans="2:20" ht="23.1" customHeight="1" x14ac:dyDescent="0.25">
      <c r="B53" s="23" t="s">
        <v>80</v>
      </c>
      <c r="C53" s="49">
        <f>AVERAGE('22.07 KYENGERA-BUSEGA'!C53,'23.07 KYENGERA-BUSEGA'!C53,'24.07 KYENGERA-BUSEGA'!C53,'25.07 KYENGERA-BUSEGA'!C53,'26.07 KYENGERA-BUSEGA-24h'!C53,'27.07 KYENGERA-BUSEGA-24h'!C53,'28.07 KYENGERA-BUSEGA'!C53)</f>
        <v>68.285714285714292</v>
      </c>
      <c r="D53" s="49">
        <f>AVERAGE('22.07 KYENGERA-BUSEGA'!D53,'23.07 KYENGERA-BUSEGA'!D53,'24.07 KYENGERA-BUSEGA'!D53,'25.07 KYENGERA-BUSEGA'!D53,'26.07 KYENGERA-BUSEGA-24h'!D53,'27.07 KYENGERA-BUSEGA-24h'!D53,'28.07 KYENGERA-BUSEGA'!D53)</f>
        <v>8.5714285714285712</v>
      </c>
      <c r="E53" s="49">
        <f>AVERAGE('22.07 KYENGERA-BUSEGA'!E53,'23.07 KYENGERA-BUSEGA'!E53,'24.07 KYENGERA-BUSEGA'!E53,'25.07 KYENGERA-BUSEGA'!E53,'26.07 KYENGERA-BUSEGA-24h'!E53,'27.07 KYENGERA-BUSEGA-24h'!E53,'28.07 KYENGERA-BUSEGA'!E53)</f>
        <v>11.285714285714286</v>
      </c>
      <c r="F53" s="49">
        <f>AVERAGE('22.07 KYENGERA-BUSEGA'!F53,'23.07 KYENGERA-BUSEGA'!F53,'24.07 KYENGERA-BUSEGA'!F53,'25.07 KYENGERA-BUSEGA'!F53,'26.07 KYENGERA-BUSEGA-24h'!F53,'27.07 KYENGERA-BUSEGA-24h'!F53,'28.07 KYENGERA-BUSEGA'!F53)</f>
        <v>39.714285714285715</v>
      </c>
      <c r="G53" s="49">
        <f>AVERAGE('22.07 KYENGERA-BUSEGA'!G53,'23.07 KYENGERA-BUSEGA'!G53,'24.07 KYENGERA-BUSEGA'!G53,'25.07 KYENGERA-BUSEGA'!G53,'26.07 KYENGERA-BUSEGA-24h'!G53,'27.07 KYENGERA-BUSEGA-24h'!G53,'28.07 KYENGERA-BUSEGA'!G53)</f>
        <v>2.1428571428571428</v>
      </c>
      <c r="H53" s="49">
        <f>AVERAGE('22.07 KYENGERA-BUSEGA'!H53,'23.07 KYENGERA-BUSEGA'!H53,'24.07 KYENGERA-BUSEGA'!H53,'25.07 KYENGERA-BUSEGA'!H53,'26.07 KYENGERA-BUSEGA-24h'!H53,'27.07 KYENGERA-BUSEGA-24h'!H53,'28.07 KYENGERA-BUSEGA'!H53)</f>
        <v>4.2857142857142856</v>
      </c>
      <c r="I53" s="49">
        <f>AVERAGE('22.07 KYENGERA-BUSEGA'!I53,'23.07 KYENGERA-BUSEGA'!I53,'24.07 KYENGERA-BUSEGA'!I53,'25.07 KYENGERA-BUSEGA'!I53,'26.07 KYENGERA-BUSEGA-24h'!I53,'27.07 KYENGERA-BUSEGA-24h'!I53,'28.07 KYENGERA-BUSEGA'!I53)</f>
        <v>10</v>
      </c>
      <c r="J53" s="49">
        <f>AVERAGE('22.07 KYENGERA-BUSEGA'!J53,'23.07 KYENGERA-BUSEGA'!J53,'24.07 KYENGERA-BUSEGA'!J53,'25.07 KYENGERA-BUSEGA'!J53,'26.07 KYENGERA-BUSEGA-24h'!J53,'27.07 KYENGERA-BUSEGA-24h'!J53,'28.07 KYENGERA-BUSEGA'!J53)</f>
        <v>4.4285714285714288</v>
      </c>
      <c r="K53" s="49">
        <f>AVERAGE('22.07 KYENGERA-BUSEGA'!K53,'23.07 KYENGERA-BUSEGA'!K53,'24.07 KYENGERA-BUSEGA'!K53,'25.07 KYENGERA-BUSEGA'!K53,'26.07 KYENGERA-BUSEGA-24h'!K53,'27.07 KYENGERA-BUSEGA-24h'!K53,'28.07 KYENGERA-BUSEGA'!K53)</f>
        <v>1.7142857142857142</v>
      </c>
      <c r="L53" s="49">
        <f>AVERAGE('22.07 KYENGERA-BUSEGA'!L53,'23.07 KYENGERA-BUSEGA'!L53,'24.07 KYENGERA-BUSEGA'!L53,'25.07 KYENGERA-BUSEGA'!L53,'26.07 KYENGERA-BUSEGA-24h'!L53,'27.07 KYENGERA-BUSEGA-24h'!L53,'28.07 KYENGERA-BUSEGA'!L53)</f>
        <v>3.5714285714285716</v>
      </c>
      <c r="M53" s="49">
        <f>AVERAGE('22.07 KYENGERA-BUSEGA'!M53,'23.07 KYENGERA-BUSEGA'!M53,'24.07 KYENGERA-BUSEGA'!M53,'25.07 KYENGERA-BUSEGA'!M53,'26.07 KYENGERA-BUSEGA-24h'!M53,'27.07 KYENGERA-BUSEGA-24h'!M53,'28.07 KYENGERA-BUSEGA'!M53)</f>
        <v>226.71428571428572</v>
      </c>
      <c r="N53" s="49">
        <f>AVERAGE('22.07 KYENGERA-BUSEGA'!N53,'23.07 KYENGERA-BUSEGA'!N53,'24.07 KYENGERA-BUSEGA'!N53,'25.07 KYENGERA-BUSEGA'!N53,'26.07 KYENGERA-BUSEGA-24h'!N53,'27.07 KYENGERA-BUSEGA-24h'!N53,'28.07 KYENGERA-BUSEGA'!N53)</f>
        <v>0</v>
      </c>
      <c r="O53" s="15">
        <f t="shared" si="0"/>
        <v>154</v>
      </c>
      <c r="P53" s="15">
        <f t="shared" si="1"/>
        <v>380.71428571428572</v>
      </c>
      <c r="R53" s="8"/>
      <c r="T53"/>
    </row>
    <row r="54" spans="2:20" ht="23.1" customHeight="1" x14ac:dyDescent="0.25">
      <c r="B54" s="23" t="s">
        <v>81</v>
      </c>
      <c r="C54" s="49">
        <f>AVERAGE('22.07 KYENGERA-BUSEGA'!C54,'23.07 KYENGERA-BUSEGA'!C54,'24.07 KYENGERA-BUSEGA'!C54,'25.07 KYENGERA-BUSEGA'!C54,'26.07 KYENGERA-BUSEGA-24h'!C54,'27.07 KYENGERA-BUSEGA-24h'!C54,'28.07 KYENGERA-BUSEGA'!C54)</f>
        <v>74.571428571428569</v>
      </c>
      <c r="D54" s="49">
        <f>AVERAGE('22.07 KYENGERA-BUSEGA'!D54,'23.07 KYENGERA-BUSEGA'!D54,'24.07 KYENGERA-BUSEGA'!D54,'25.07 KYENGERA-BUSEGA'!D54,'26.07 KYENGERA-BUSEGA-24h'!D54,'27.07 KYENGERA-BUSEGA-24h'!D54,'28.07 KYENGERA-BUSEGA'!D54)</f>
        <v>12</v>
      </c>
      <c r="E54" s="49">
        <f>AVERAGE('22.07 KYENGERA-BUSEGA'!E54,'23.07 KYENGERA-BUSEGA'!E54,'24.07 KYENGERA-BUSEGA'!E54,'25.07 KYENGERA-BUSEGA'!E54,'26.07 KYENGERA-BUSEGA-24h'!E54,'27.07 KYENGERA-BUSEGA-24h'!E54,'28.07 KYENGERA-BUSEGA'!E54)</f>
        <v>9.5714285714285712</v>
      </c>
      <c r="F54" s="49">
        <f>AVERAGE('22.07 KYENGERA-BUSEGA'!F54,'23.07 KYENGERA-BUSEGA'!F54,'24.07 KYENGERA-BUSEGA'!F54,'25.07 KYENGERA-BUSEGA'!F54,'26.07 KYENGERA-BUSEGA-24h'!F54,'27.07 KYENGERA-BUSEGA-24h'!F54,'28.07 KYENGERA-BUSEGA'!F54)</f>
        <v>57.428571428571431</v>
      </c>
      <c r="G54" s="49">
        <f>AVERAGE('22.07 KYENGERA-BUSEGA'!G54,'23.07 KYENGERA-BUSEGA'!G54,'24.07 KYENGERA-BUSEGA'!G54,'25.07 KYENGERA-BUSEGA'!G54,'26.07 KYENGERA-BUSEGA-24h'!G54,'27.07 KYENGERA-BUSEGA-24h'!G54,'28.07 KYENGERA-BUSEGA'!G54)</f>
        <v>2.1428571428571428</v>
      </c>
      <c r="H54" s="49">
        <f>AVERAGE('22.07 KYENGERA-BUSEGA'!H54,'23.07 KYENGERA-BUSEGA'!H54,'24.07 KYENGERA-BUSEGA'!H54,'25.07 KYENGERA-BUSEGA'!H54,'26.07 KYENGERA-BUSEGA-24h'!H54,'27.07 KYENGERA-BUSEGA-24h'!H54,'28.07 KYENGERA-BUSEGA'!H54)</f>
        <v>2</v>
      </c>
      <c r="I54" s="49">
        <f>AVERAGE('22.07 KYENGERA-BUSEGA'!I54,'23.07 KYENGERA-BUSEGA'!I54,'24.07 KYENGERA-BUSEGA'!I54,'25.07 KYENGERA-BUSEGA'!I54,'26.07 KYENGERA-BUSEGA-24h'!I54,'27.07 KYENGERA-BUSEGA-24h'!I54,'28.07 KYENGERA-BUSEGA'!I54)</f>
        <v>10.714285714285714</v>
      </c>
      <c r="J54" s="49">
        <f>AVERAGE('22.07 KYENGERA-BUSEGA'!J54,'23.07 KYENGERA-BUSEGA'!J54,'24.07 KYENGERA-BUSEGA'!J54,'25.07 KYENGERA-BUSEGA'!J54,'26.07 KYENGERA-BUSEGA-24h'!J54,'27.07 KYENGERA-BUSEGA-24h'!J54,'28.07 KYENGERA-BUSEGA'!J54)</f>
        <v>5</v>
      </c>
      <c r="K54" s="49">
        <f>AVERAGE('22.07 KYENGERA-BUSEGA'!K54,'23.07 KYENGERA-BUSEGA'!K54,'24.07 KYENGERA-BUSEGA'!K54,'25.07 KYENGERA-BUSEGA'!K54,'26.07 KYENGERA-BUSEGA-24h'!K54,'27.07 KYENGERA-BUSEGA-24h'!K54,'28.07 KYENGERA-BUSEGA'!K54)</f>
        <v>1.1428571428571428</v>
      </c>
      <c r="L54" s="49">
        <f>AVERAGE('22.07 KYENGERA-BUSEGA'!L54,'23.07 KYENGERA-BUSEGA'!L54,'24.07 KYENGERA-BUSEGA'!L54,'25.07 KYENGERA-BUSEGA'!L54,'26.07 KYENGERA-BUSEGA-24h'!L54,'27.07 KYENGERA-BUSEGA-24h'!L54,'28.07 KYENGERA-BUSEGA'!L54)</f>
        <v>3</v>
      </c>
      <c r="M54" s="49">
        <f>AVERAGE('22.07 KYENGERA-BUSEGA'!M54,'23.07 KYENGERA-BUSEGA'!M54,'24.07 KYENGERA-BUSEGA'!M54,'25.07 KYENGERA-BUSEGA'!M54,'26.07 KYENGERA-BUSEGA-24h'!M54,'27.07 KYENGERA-BUSEGA-24h'!M54,'28.07 KYENGERA-BUSEGA'!M54)</f>
        <v>271.71428571428572</v>
      </c>
      <c r="N54" s="49">
        <f>AVERAGE('22.07 KYENGERA-BUSEGA'!N54,'23.07 KYENGERA-BUSEGA'!N54,'24.07 KYENGERA-BUSEGA'!N54,'25.07 KYENGERA-BUSEGA'!N54,'26.07 KYENGERA-BUSEGA-24h'!N54,'27.07 KYENGERA-BUSEGA-24h'!N54,'28.07 KYENGERA-BUSEGA'!N54)</f>
        <v>0.14285714285714285</v>
      </c>
      <c r="O54" s="15">
        <f t="shared" si="0"/>
        <v>177.71428571428569</v>
      </c>
      <c r="P54" s="15">
        <f t="shared" si="1"/>
        <v>449.42857142857144</v>
      </c>
      <c r="R54" s="8"/>
      <c r="T54"/>
    </row>
    <row r="55" spans="2:20" ht="23.1" customHeight="1" x14ac:dyDescent="0.25">
      <c r="B55" s="23" t="s">
        <v>82</v>
      </c>
      <c r="C55" s="49">
        <f>AVERAGE('22.07 KYENGERA-BUSEGA'!C55,'23.07 KYENGERA-BUSEGA'!C55,'24.07 KYENGERA-BUSEGA'!C55,'25.07 KYENGERA-BUSEGA'!C55,'26.07 KYENGERA-BUSEGA-24h'!C55,'27.07 KYENGERA-BUSEGA-24h'!C55,'28.07 KYENGERA-BUSEGA'!C55)</f>
        <v>86.714285714285708</v>
      </c>
      <c r="D55" s="49">
        <f>AVERAGE('22.07 KYENGERA-BUSEGA'!D55,'23.07 KYENGERA-BUSEGA'!D55,'24.07 KYENGERA-BUSEGA'!D55,'25.07 KYENGERA-BUSEGA'!D55,'26.07 KYENGERA-BUSEGA-24h'!D55,'27.07 KYENGERA-BUSEGA-24h'!D55,'28.07 KYENGERA-BUSEGA'!D55)</f>
        <v>14.428571428571429</v>
      </c>
      <c r="E55" s="49">
        <f>AVERAGE('22.07 KYENGERA-BUSEGA'!E55,'23.07 KYENGERA-BUSEGA'!E55,'24.07 KYENGERA-BUSEGA'!E55,'25.07 KYENGERA-BUSEGA'!E55,'26.07 KYENGERA-BUSEGA-24h'!E55,'27.07 KYENGERA-BUSEGA-24h'!E55,'28.07 KYENGERA-BUSEGA'!E55)</f>
        <v>10.285714285714286</v>
      </c>
      <c r="F55" s="49">
        <f>AVERAGE('22.07 KYENGERA-BUSEGA'!F55,'23.07 KYENGERA-BUSEGA'!F55,'24.07 KYENGERA-BUSEGA'!F55,'25.07 KYENGERA-BUSEGA'!F55,'26.07 KYENGERA-BUSEGA-24h'!F55,'27.07 KYENGERA-BUSEGA-24h'!F55,'28.07 KYENGERA-BUSEGA'!F55)</f>
        <v>55.571428571428569</v>
      </c>
      <c r="G55" s="49">
        <f>AVERAGE('22.07 KYENGERA-BUSEGA'!G55,'23.07 KYENGERA-BUSEGA'!G55,'24.07 KYENGERA-BUSEGA'!G55,'25.07 KYENGERA-BUSEGA'!G55,'26.07 KYENGERA-BUSEGA-24h'!G55,'27.07 KYENGERA-BUSEGA-24h'!G55,'28.07 KYENGERA-BUSEGA'!G55)</f>
        <v>1.2857142857142858</v>
      </c>
      <c r="H55" s="49">
        <f>AVERAGE('22.07 KYENGERA-BUSEGA'!H55,'23.07 KYENGERA-BUSEGA'!H55,'24.07 KYENGERA-BUSEGA'!H55,'25.07 KYENGERA-BUSEGA'!H55,'26.07 KYENGERA-BUSEGA-24h'!H55,'27.07 KYENGERA-BUSEGA-24h'!H55,'28.07 KYENGERA-BUSEGA'!H55)</f>
        <v>1.7142857142857142</v>
      </c>
      <c r="I55" s="49">
        <f>AVERAGE('22.07 KYENGERA-BUSEGA'!I55,'23.07 KYENGERA-BUSEGA'!I55,'24.07 KYENGERA-BUSEGA'!I55,'25.07 KYENGERA-BUSEGA'!I55,'26.07 KYENGERA-BUSEGA-24h'!I55,'27.07 KYENGERA-BUSEGA-24h'!I55,'28.07 KYENGERA-BUSEGA'!I55)</f>
        <v>15.714285714285714</v>
      </c>
      <c r="J55" s="49">
        <f>AVERAGE('22.07 KYENGERA-BUSEGA'!J55,'23.07 KYENGERA-BUSEGA'!J55,'24.07 KYENGERA-BUSEGA'!J55,'25.07 KYENGERA-BUSEGA'!J55,'26.07 KYENGERA-BUSEGA-24h'!J55,'27.07 KYENGERA-BUSEGA-24h'!J55,'28.07 KYENGERA-BUSEGA'!J55)</f>
        <v>5.7142857142857144</v>
      </c>
      <c r="K55" s="49">
        <f>AVERAGE('22.07 KYENGERA-BUSEGA'!K55,'23.07 KYENGERA-BUSEGA'!K55,'24.07 KYENGERA-BUSEGA'!K55,'25.07 KYENGERA-BUSEGA'!K55,'26.07 KYENGERA-BUSEGA-24h'!K55,'27.07 KYENGERA-BUSEGA-24h'!K55,'28.07 KYENGERA-BUSEGA'!K55)</f>
        <v>1.2857142857142858</v>
      </c>
      <c r="L55" s="49">
        <f>AVERAGE('22.07 KYENGERA-BUSEGA'!L55,'23.07 KYENGERA-BUSEGA'!L55,'24.07 KYENGERA-BUSEGA'!L55,'25.07 KYENGERA-BUSEGA'!L55,'26.07 KYENGERA-BUSEGA-24h'!L55,'27.07 KYENGERA-BUSEGA-24h'!L55,'28.07 KYENGERA-BUSEGA'!L55)</f>
        <v>4.8571428571428568</v>
      </c>
      <c r="M55" s="49">
        <f>AVERAGE('22.07 KYENGERA-BUSEGA'!M55,'23.07 KYENGERA-BUSEGA'!M55,'24.07 KYENGERA-BUSEGA'!M55,'25.07 KYENGERA-BUSEGA'!M55,'26.07 KYENGERA-BUSEGA-24h'!M55,'27.07 KYENGERA-BUSEGA-24h'!M55,'28.07 KYENGERA-BUSEGA'!M55)</f>
        <v>268.71428571428572</v>
      </c>
      <c r="N55" s="49">
        <f>AVERAGE('22.07 KYENGERA-BUSEGA'!N55,'23.07 KYENGERA-BUSEGA'!N55,'24.07 KYENGERA-BUSEGA'!N55,'25.07 KYENGERA-BUSEGA'!N55,'26.07 KYENGERA-BUSEGA-24h'!N55,'27.07 KYENGERA-BUSEGA-24h'!N55,'28.07 KYENGERA-BUSEGA'!N55)</f>
        <v>0</v>
      </c>
      <c r="O55" s="15">
        <f t="shared" si="0"/>
        <v>197.57142857142858</v>
      </c>
      <c r="P55" s="15">
        <f t="shared" si="1"/>
        <v>466.28571428571433</v>
      </c>
      <c r="R55" s="8"/>
      <c r="T55"/>
    </row>
    <row r="56" spans="2:20" ht="23.1" customHeight="1" x14ac:dyDescent="0.25">
      <c r="B56" s="23" t="s">
        <v>83</v>
      </c>
      <c r="C56" s="49">
        <f>AVERAGE('22.07 KYENGERA-BUSEGA'!C56,'23.07 KYENGERA-BUSEGA'!C56,'24.07 KYENGERA-BUSEGA'!C56,'25.07 KYENGERA-BUSEGA'!C56,'26.07 KYENGERA-BUSEGA-24h'!C56,'27.07 KYENGERA-BUSEGA-24h'!C56,'28.07 KYENGERA-BUSEGA'!C56)</f>
        <v>76.714285714285708</v>
      </c>
      <c r="D56" s="49">
        <f>AVERAGE('22.07 KYENGERA-BUSEGA'!D56,'23.07 KYENGERA-BUSEGA'!D56,'24.07 KYENGERA-BUSEGA'!D56,'25.07 KYENGERA-BUSEGA'!D56,'26.07 KYENGERA-BUSEGA-24h'!D56,'27.07 KYENGERA-BUSEGA-24h'!D56,'28.07 KYENGERA-BUSEGA'!D56)</f>
        <v>6.5714285714285712</v>
      </c>
      <c r="E56" s="49">
        <f>AVERAGE('22.07 KYENGERA-BUSEGA'!E56,'23.07 KYENGERA-BUSEGA'!E56,'24.07 KYENGERA-BUSEGA'!E56,'25.07 KYENGERA-BUSEGA'!E56,'26.07 KYENGERA-BUSEGA-24h'!E56,'27.07 KYENGERA-BUSEGA-24h'!E56,'28.07 KYENGERA-BUSEGA'!E56)</f>
        <v>10.285714285714286</v>
      </c>
      <c r="F56" s="49">
        <f>AVERAGE('22.07 KYENGERA-BUSEGA'!F56,'23.07 KYENGERA-BUSEGA'!F56,'24.07 KYENGERA-BUSEGA'!F56,'25.07 KYENGERA-BUSEGA'!F56,'26.07 KYENGERA-BUSEGA-24h'!F56,'27.07 KYENGERA-BUSEGA-24h'!F56,'28.07 KYENGERA-BUSEGA'!F56)</f>
        <v>47.571428571428569</v>
      </c>
      <c r="G56" s="49">
        <f>AVERAGE('22.07 KYENGERA-BUSEGA'!G56,'23.07 KYENGERA-BUSEGA'!G56,'24.07 KYENGERA-BUSEGA'!G56,'25.07 KYENGERA-BUSEGA'!G56,'26.07 KYENGERA-BUSEGA-24h'!G56,'27.07 KYENGERA-BUSEGA-24h'!G56,'28.07 KYENGERA-BUSEGA'!G56)</f>
        <v>5</v>
      </c>
      <c r="H56" s="49">
        <f>AVERAGE('22.07 KYENGERA-BUSEGA'!H56,'23.07 KYENGERA-BUSEGA'!H56,'24.07 KYENGERA-BUSEGA'!H56,'25.07 KYENGERA-BUSEGA'!H56,'26.07 KYENGERA-BUSEGA-24h'!H56,'27.07 KYENGERA-BUSEGA-24h'!H56,'28.07 KYENGERA-BUSEGA'!H56)</f>
        <v>1.8571428571428572</v>
      </c>
      <c r="I56" s="49">
        <f>AVERAGE('22.07 KYENGERA-BUSEGA'!I56,'23.07 KYENGERA-BUSEGA'!I56,'24.07 KYENGERA-BUSEGA'!I56,'25.07 KYENGERA-BUSEGA'!I56,'26.07 KYENGERA-BUSEGA-24h'!I56,'27.07 KYENGERA-BUSEGA-24h'!I56,'28.07 KYENGERA-BUSEGA'!I56)</f>
        <v>11.857142857142858</v>
      </c>
      <c r="J56" s="49">
        <f>AVERAGE('22.07 KYENGERA-BUSEGA'!J56,'23.07 KYENGERA-BUSEGA'!J56,'24.07 KYENGERA-BUSEGA'!J56,'25.07 KYENGERA-BUSEGA'!J56,'26.07 KYENGERA-BUSEGA-24h'!J56,'27.07 KYENGERA-BUSEGA-24h'!J56,'28.07 KYENGERA-BUSEGA'!J56)</f>
        <v>3.5714285714285716</v>
      </c>
      <c r="K56" s="49">
        <f>AVERAGE('22.07 KYENGERA-BUSEGA'!K56,'23.07 KYENGERA-BUSEGA'!K56,'24.07 KYENGERA-BUSEGA'!K56,'25.07 KYENGERA-BUSEGA'!K56,'26.07 KYENGERA-BUSEGA-24h'!K56,'27.07 KYENGERA-BUSEGA-24h'!K56,'28.07 KYENGERA-BUSEGA'!K56)</f>
        <v>0.7142857142857143</v>
      </c>
      <c r="L56" s="49">
        <f>AVERAGE('22.07 KYENGERA-BUSEGA'!L56,'23.07 KYENGERA-BUSEGA'!L56,'24.07 KYENGERA-BUSEGA'!L56,'25.07 KYENGERA-BUSEGA'!L56,'26.07 KYENGERA-BUSEGA-24h'!L56,'27.07 KYENGERA-BUSEGA-24h'!L56,'28.07 KYENGERA-BUSEGA'!L56)</f>
        <v>5.2857142857142856</v>
      </c>
      <c r="M56" s="49">
        <f>AVERAGE('22.07 KYENGERA-BUSEGA'!M56,'23.07 KYENGERA-BUSEGA'!M56,'24.07 KYENGERA-BUSEGA'!M56,'25.07 KYENGERA-BUSEGA'!M56,'26.07 KYENGERA-BUSEGA-24h'!M56,'27.07 KYENGERA-BUSEGA-24h'!M56,'28.07 KYENGERA-BUSEGA'!M56)</f>
        <v>261.85714285714283</v>
      </c>
      <c r="N56" s="49">
        <f>AVERAGE('22.07 KYENGERA-BUSEGA'!N56,'23.07 KYENGERA-BUSEGA'!N56,'24.07 KYENGERA-BUSEGA'!N56,'25.07 KYENGERA-BUSEGA'!N56,'26.07 KYENGERA-BUSEGA-24h'!N56,'27.07 KYENGERA-BUSEGA-24h'!N56,'28.07 KYENGERA-BUSEGA'!N56)</f>
        <v>0</v>
      </c>
      <c r="O56" s="15">
        <f t="shared" si="0"/>
        <v>169.42857142857144</v>
      </c>
      <c r="P56" s="15">
        <f t="shared" si="1"/>
        <v>431.28571428571428</v>
      </c>
      <c r="R56" s="8"/>
      <c r="T56"/>
    </row>
    <row r="57" spans="2:20" ht="23.1" customHeight="1" x14ac:dyDescent="0.25">
      <c r="B57" s="23" t="s">
        <v>84</v>
      </c>
      <c r="C57" s="49">
        <f>AVERAGE('22.07 KYENGERA-BUSEGA'!C57,'23.07 KYENGERA-BUSEGA'!C57,'24.07 KYENGERA-BUSEGA'!C57,'25.07 KYENGERA-BUSEGA'!C57,'26.07 KYENGERA-BUSEGA-24h'!C57,'27.07 KYENGERA-BUSEGA-24h'!C57,'28.07 KYENGERA-BUSEGA'!C57)</f>
        <v>61.428571428571431</v>
      </c>
      <c r="D57" s="49">
        <f>AVERAGE('22.07 KYENGERA-BUSEGA'!D57,'23.07 KYENGERA-BUSEGA'!D57,'24.07 KYENGERA-BUSEGA'!D57,'25.07 KYENGERA-BUSEGA'!D57,'26.07 KYENGERA-BUSEGA-24h'!D57,'27.07 KYENGERA-BUSEGA-24h'!D57,'28.07 KYENGERA-BUSEGA'!D57)</f>
        <v>5.5714285714285712</v>
      </c>
      <c r="E57" s="49">
        <f>AVERAGE('22.07 KYENGERA-BUSEGA'!E57,'23.07 KYENGERA-BUSEGA'!E57,'24.07 KYENGERA-BUSEGA'!E57,'25.07 KYENGERA-BUSEGA'!E57,'26.07 KYENGERA-BUSEGA-24h'!E57,'27.07 KYENGERA-BUSEGA-24h'!E57,'28.07 KYENGERA-BUSEGA'!E57)</f>
        <v>6.5714285714285712</v>
      </c>
      <c r="F57" s="49">
        <f>AVERAGE('22.07 KYENGERA-BUSEGA'!F57,'23.07 KYENGERA-BUSEGA'!F57,'24.07 KYENGERA-BUSEGA'!F57,'25.07 KYENGERA-BUSEGA'!F57,'26.07 KYENGERA-BUSEGA-24h'!F57,'27.07 KYENGERA-BUSEGA-24h'!F57,'28.07 KYENGERA-BUSEGA'!F57)</f>
        <v>40</v>
      </c>
      <c r="G57" s="49">
        <f>AVERAGE('22.07 KYENGERA-BUSEGA'!G57,'23.07 KYENGERA-BUSEGA'!G57,'24.07 KYENGERA-BUSEGA'!G57,'25.07 KYENGERA-BUSEGA'!G57,'26.07 KYENGERA-BUSEGA-24h'!G57,'27.07 KYENGERA-BUSEGA-24h'!G57,'28.07 KYENGERA-BUSEGA'!G57)</f>
        <v>0.8571428571428571</v>
      </c>
      <c r="H57" s="49">
        <f>AVERAGE('22.07 KYENGERA-BUSEGA'!H57,'23.07 KYENGERA-BUSEGA'!H57,'24.07 KYENGERA-BUSEGA'!H57,'25.07 KYENGERA-BUSEGA'!H57,'26.07 KYENGERA-BUSEGA-24h'!H57,'27.07 KYENGERA-BUSEGA-24h'!H57,'28.07 KYENGERA-BUSEGA'!H57)</f>
        <v>0.7142857142857143</v>
      </c>
      <c r="I57" s="49">
        <f>AVERAGE('22.07 KYENGERA-BUSEGA'!I57,'23.07 KYENGERA-BUSEGA'!I57,'24.07 KYENGERA-BUSEGA'!I57,'25.07 KYENGERA-BUSEGA'!I57,'26.07 KYENGERA-BUSEGA-24h'!I57,'27.07 KYENGERA-BUSEGA-24h'!I57,'28.07 KYENGERA-BUSEGA'!I57)</f>
        <v>11.714285714285714</v>
      </c>
      <c r="J57" s="49">
        <f>AVERAGE('22.07 KYENGERA-BUSEGA'!J57,'23.07 KYENGERA-BUSEGA'!J57,'24.07 KYENGERA-BUSEGA'!J57,'25.07 KYENGERA-BUSEGA'!J57,'26.07 KYENGERA-BUSEGA-24h'!J57,'27.07 KYENGERA-BUSEGA-24h'!J57,'28.07 KYENGERA-BUSEGA'!J57)</f>
        <v>4</v>
      </c>
      <c r="K57" s="49">
        <f>AVERAGE('22.07 KYENGERA-BUSEGA'!K57,'23.07 KYENGERA-BUSEGA'!K57,'24.07 KYENGERA-BUSEGA'!K57,'25.07 KYENGERA-BUSEGA'!K57,'26.07 KYENGERA-BUSEGA-24h'!K57,'27.07 KYENGERA-BUSEGA-24h'!K57,'28.07 KYENGERA-BUSEGA'!K57)</f>
        <v>1.5714285714285714</v>
      </c>
      <c r="L57" s="49">
        <f>AVERAGE('22.07 KYENGERA-BUSEGA'!L57,'23.07 KYENGERA-BUSEGA'!L57,'24.07 KYENGERA-BUSEGA'!L57,'25.07 KYENGERA-BUSEGA'!L57,'26.07 KYENGERA-BUSEGA-24h'!L57,'27.07 KYENGERA-BUSEGA-24h'!L57,'28.07 KYENGERA-BUSEGA'!L57)</f>
        <v>2.5714285714285716</v>
      </c>
      <c r="M57" s="49">
        <f>AVERAGE('22.07 KYENGERA-BUSEGA'!M57,'23.07 KYENGERA-BUSEGA'!M57,'24.07 KYENGERA-BUSEGA'!M57,'25.07 KYENGERA-BUSEGA'!M57,'26.07 KYENGERA-BUSEGA-24h'!M57,'27.07 KYENGERA-BUSEGA-24h'!M57,'28.07 KYENGERA-BUSEGA'!M57)</f>
        <v>278.57142857142856</v>
      </c>
      <c r="N57" s="49">
        <f>AVERAGE('22.07 KYENGERA-BUSEGA'!N57,'23.07 KYENGERA-BUSEGA'!N57,'24.07 KYENGERA-BUSEGA'!N57,'25.07 KYENGERA-BUSEGA'!N57,'26.07 KYENGERA-BUSEGA-24h'!N57,'27.07 KYENGERA-BUSEGA-24h'!N57,'28.07 KYENGERA-BUSEGA'!N57)</f>
        <v>0</v>
      </c>
      <c r="O57" s="15">
        <f t="shared" si="0"/>
        <v>135</v>
      </c>
      <c r="P57" s="15">
        <f t="shared" si="1"/>
        <v>413.57142857142856</v>
      </c>
      <c r="R57" s="8"/>
      <c r="T57"/>
    </row>
    <row r="58" spans="2:20" ht="23.1" customHeight="1" x14ac:dyDescent="0.25">
      <c r="B58" s="23" t="s">
        <v>99</v>
      </c>
      <c r="C58" s="49">
        <f>AVERAGE('26.07 KYENGERA-BUSEGA-24h'!C58,'27.07 KYENGERA-BUSEGA-24h'!C58)</f>
        <v>88.5</v>
      </c>
      <c r="D58" s="49">
        <f>AVERAGE('26.07 KYENGERA-BUSEGA-24h'!D58,'27.07 KYENGERA-BUSEGA-24h'!D58)</f>
        <v>6</v>
      </c>
      <c r="E58" s="49">
        <f>AVERAGE('26.07 KYENGERA-BUSEGA-24h'!E58,'27.07 KYENGERA-BUSEGA-24h'!E58)</f>
        <v>10.5</v>
      </c>
      <c r="F58" s="49">
        <f>AVERAGE('26.07 KYENGERA-BUSEGA-24h'!F58,'27.07 KYENGERA-BUSEGA-24h'!F58)</f>
        <v>54</v>
      </c>
      <c r="G58" s="49">
        <f>AVERAGE('26.07 KYENGERA-BUSEGA-24h'!G58,'27.07 KYENGERA-BUSEGA-24h'!G58)</f>
        <v>2</v>
      </c>
      <c r="H58" s="49">
        <f>AVERAGE('26.07 KYENGERA-BUSEGA-24h'!H58,'27.07 KYENGERA-BUSEGA-24h'!H58)</f>
        <v>1.5</v>
      </c>
      <c r="I58" s="49">
        <f>AVERAGE('26.07 KYENGERA-BUSEGA-24h'!I58,'27.07 KYENGERA-BUSEGA-24h'!I58)</f>
        <v>14</v>
      </c>
      <c r="J58" s="49">
        <f>AVERAGE('26.07 KYENGERA-BUSEGA-24h'!J58,'27.07 KYENGERA-BUSEGA-24h'!J58)</f>
        <v>4.5</v>
      </c>
      <c r="K58" s="49">
        <f>AVERAGE('26.07 KYENGERA-BUSEGA-24h'!K58,'27.07 KYENGERA-BUSEGA-24h'!K58)</f>
        <v>2.5</v>
      </c>
      <c r="L58" s="49">
        <f>AVERAGE('26.07 KYENGERA-BUSEGA-24h'!L58,'27.07 KYENGERA-BUSEGA-24h'!L58)</f>
        <v>4.5</v>
      </c>
      <c r="M58" s="49">
        <f>AVERAGE('26.07 KYENGERA-BUSEGA-24h'!M58,'27.07 KYENGERA-BUSEGA-24h'!M58)</f>
        <v>266.5</v>
      </c>
      <c r="N58" s="49">
        <f>AVERAGE('26.07 KYENGERA-BUSEGA-24h'!N58,'27.07 KYENGERA-BUSEGA-24h'!N58)</f>
        <v>0</v>
      </c>
      <c r="O58" s="15">
        <f t="shared" si="0"/>
        <v>188</v>
      </c>
      <c r="P58" s="15">
        <f t="shared" si="1"/>
        <v>454.5</v>
      </c>
      <c r="R58" s="8"/>
      <c r="T58"/>
    </row>
    <row r="59" spans="2:20" ht="23.1" customHeight="1" x14ac:dyDescent="0.25">
      <c r="B59" s="23" t="s">
        <v>100</v>
      </c>
      <c r="C59" s="49">
        <f>AVERAGE('26.07 KYENGERA-BUSEGA-24h'!C59,'27.07 KYENGERA-BUSEGA-24h'!C59)</f>
        <v>60.5</v>
      </c>
      <c r="D59" s="49">
        <f>AVERAGE('26.07 KYENGERA-BUSEGA-24h'!D59,'27.07 KYENGERA-BUSEGA-24h'!D59)</f>
        <v>7</v>
      </c>
      <c r="E59" s="49">
        <f>AVERAGE('26.07 KYENGERA-BUSEGA-24h'!E59,'27.07 KYENGERA-BUSEGA-24h'!E59)</f>
        <v>4.5</v>
      </c>
      <c r="F59" s="49">
        <f>AVERAGE('26.07 KYENGERA-BUSEGA-24h'!F59,'27.07 KYENGERA-BUSEGA-24h'!F59)</f>
        <v>35.5</v>
      </c>
      <c r="G59" s="49">
        <f>AVERAGE('26.07 KYENGERA-BUSEGA-24h'!G59,'27.07 KYENGERA-BUSEGA-24h'!G59)</f>
        <v>1</v>
      </c>
      <c r="H59" s="49">
        <f>AVERAGE('26.07 KYENGERA-BUSEGA-24h'!H59,'27.07 KYENGERA-BUSEGA-24h'!H59)</f>
        <v>3.5</v>
      </c>
      <c r="I59" s="49">
        <f>AVERAGE('26.07 KYENGERA-BUSEGA-24h'!I59,'27.07 KYENGERA-BUSEGA-24h'!I59)</f>
        <v>12.5</v>
      </c>
      <c r="J59" s="49">
        <f>AVERAGE('26.07 KYENGERA-BUSEGA-24h'!J59,'27.07 KYENGERA-BUSEGA-24h'!J59)</f>
        <v>3</v>
      </c>
      <c r="K59" s="49">
        <f>AVERAGE('26.07 KYENGERA-BUSEGA-24h'!K59,'27.07 KYENGERA-BUSEGA-24h'!K59)</f>
        <v>0</v>
      </c>
      <c r="L59" s="49">
        <f>AVERAGE('26.07 KYENGERA-BUSEGA-24h'!L59,'27.07 KYENGERA-BUSEGA-24h'!L59)</f>
        <v>2</v>
      </c>
      <c r="M59" s="49">
        <f>AVERAGE('26.07 KYENGERA-BUSEGA-24h'!M59,'27.07 KYENGERA-BUSEGA-24h'!M59)</f>
        <v>322</v>
      </c>
      <c r="N59" s="49">
        <f>AVERAGE('26.07 KYENGERA-BUSEGA-24h'!N59,'27.07 KYENGERA-BUSEGA-24h'!N59)</f>
        <v>0.5</v>
      </c>
      <c r="O59" s="15">
        <f t="shared" si="0"/>
        <v>130</v>
      </c>
      <c r="P59" s="15">
        <f t="shared" si="1"/>
        <v>452</v>
      </c>
      <c r="R59" s="8"/>
      <c r="T59"/>
    </row>
    <row r="60" spans="2:20" ht="23.1" customHeight="1" x14ac:dyDescent="0.25">
      <c r="B60" s="23" t="s">
        <v>101</v>
      </c>
      <c r="C60" s="49">
        <f>AVERAGE('26.07 KYENGERA-BUSEGA-24h'!C60,'27.07 KYENGERA-BUSEGA-24h'!C60)</f>
        <v>79.5</v>
      </c>
      <c r="D60" s="49">
        <f>AVERAGE('26.07 KYENGERA-BUSEGA-24h'!D60,'27.07 KYENGERA-BUSEGA-24h'!D60)</f>
        <v>9.5</v>
      </c>
      <c r="E60" s="49">
        <f>AVERAGE('26.07 KYENGERA-BUSEGA-24h'!E60,'27.07 KYENGERA-BUSEGA-24h'!E60)</f>
        <v>6</v>
      </c>
      <c r="F60" s="49">
        <f>AVERAGE('26.07 KYENGERA-BUSEGA-24h'!F60,'27.07 KYENGERA-BUSEGA-24h'!F60)</f>
        <v>43.5</v>
      </c>
      <c r="G60" s="49">
        <f>AVERAGE('26.07 KYENGERA-BUSEGA-24h'!G60,'27.07 KYENGERA-BUSEGA-24h'!G60)</f>
        <v>4.5</v>
      </c>
      <c r="H60" s="49">
        <f>AVERAGE('26.07 KYENGERA-BUSEGA-24h'!H60,'27.07 KYENGERA-BUSEGA-24h'!H60)</f>
        <v>1.5</v>
      </c>
      <c r="I60" s="49">
        <f>AVERAGE('26.07 KYENGERA-BUSEGA-24h'!I60,'27.07 KYENGERA-BUSEGA-24h'!I60)</f>
        <v>12.5</v>
      </c>
      <c r="J60" s="49">
        <f>AVERAGE('26.07 KYENGERA-BUSEGA-24h'!J60,'27.07 KYENGERA-BUSEGA-24h'!J60)</f>
        <v>7</v>
      </c>
      <c r="K60" s="49">
        <f>AVERAGE('26.07 KYENGERA-BUSEGA-24h'!K60,'27.07 KYENGERA-BUSEGA-24h'!K60)</f>
        <v>1.5</v>
      </c>
      <c r="L60" s="49">
        <f>AVERAGE('26.07 KYENGERA-BUSEGA-24h'!L60,'27.07 KYENGERA-BUSEGA-24h'!L60)</f>
        <v>1.5</v>
      </c>
      <c r="M60" s="49">
        <f>AVERAGE('26.07 KYENGERA-BUSEGA-24h'!M60,'27.07 KYENGERA-BUSEGA-24h'!M60)</f>
        <v>352.5</v>
      </c>
      <c r="N60" s="49">
        <f>AVERAGE('26.07 KYENGERA-BUSEGA-24h'!N60,'27.07 KYENGERA-BUSEGA-24h'!N60)</f>
        <v>0</v>
      </c>
      <c r="O60" s="15">
        <f t="shared" si="0"/>
        <v>167</v>
      </c>
      <c r="P60" s="15">
        <f t="shared" si="1"/>
        <v>519.5</v>
      </c>
      <c r="R60" s="8"/>
      <c r="T60"/>
    </row>
    <row r="61" spans="2:20" ht="23.1" customHeight="1" x14ac:dyDescent="0.25">
      <c r="B61" s="23" t="s">
        <v>102</v>
      </c>
      <c r="C61" s="49">
        <f>AVERAGE('26.07 KYENGERA-BUSEGA-24h'!C61,'27.07 KYENGERA-BUSEGA-24h'!C61)</f>
        <v>77</v>
      </c>
      <c r="D61" s="49">
        <f>AVERAGE('26.07 KYENGERA-BUSEGA-24h'!D61,'27.07 KYENGERA-BUSEGA-24h'!D61)</f>
        <v>8</v>
      </c>
      <c r="E61" s="49">
        <f>AVERAGE('26.07 KYENGERA-BUSEGA-24h'!E61,'27.07 KYENGERA-BUSEGA-24h'!E61)</f>
        <v>8</v>
      </c>
      <c r="F61" s="49">
        <f>AVERAGE('26.07 KYENGERA-BUSEGA-24h'!F61,'27.07 KYENGERA-BUSEGA-24h'!F61)</f>
        <v>59.5</v>
      </c>
      <c r="G61" s="49">
        <f>AVERAGE('26.07 KYENGERA-BUSEGA-24h'!G61,'27.07 KYENGERA-BUSEGA-24h'!G61)</f>
        <v>2.5</v>
      </c>
      <c r="H61" s="49">
        <f>AVERAGE('26.07 KYENGERA-BUSEGA-24h'!H61,'27.07 KYENGERA-BUSEGA-24h'!H61)</f>
        <v>2.5</v>
      </c>
      <c r="I61" s="49">
        <f>AVERAGE('26.07 KYENGERA-BUSEGA-24h'!I61,'27.07 KYENGERA-BUSEGA-24h'!I61)</f>
        <v>12.5</v>
      </c>
      <c r="J61" s="49">
        <f>AVERAGE('26.07 KYENGERA-BUSEGA-24h'!J61,'27.07 KYENGERA-BUSEGA-24h'!J61)</f>
        <v>5</v>
      </c>
      <c r="K61" s="49">
        <f>AVERAGE('26.07 KYENGERA-BUSEGA-24h'!K61,'27.07 KYENGERA-BUSEGA-24h'!K61)</f>
        <v>1</v>
      </c>
      <c r="L61" s="49">
        <f>AVERAGE('26.07 KYENGERA-BUSEGA-24h'!L61,'27.07 KYENGERA-BUSEGA-24h'!L61)</f>
        <v>0</v>
      </c>
      <c r="M61" s="49">
        <f>AVERAGE('26.07 KYENGERA-BUSEGA-24h'!M61,'27.07 KYENGERA-BUSEGA-24h'!M61)</f>
        <v>339</v>
      </c>
      <c r="N61" s="49">
        <f>AVERAGE('26.07 KYENGERA-BUSEGA-24h'!N61,'27.07 KYENGERA-BUSEGA-24h'!N61)</f>
        <v>0</v>
      </c>
      <c r="O61" s="15">
        <f t="shared" si="0"/>
        <v>176</v>
      </c>
      <c r="P61" s="15">
        <f t="shared" si="1"/>
        <v>515</v>
      </c>
      <c r="R61" s="8"/>
      <c r="T61"/>
    </row>
    <row r="62" spans="2:20" ht="23.1" customHeight="1" x14ac:dyDescent="0.25">
      <c r="B62" s="23" t="s">
        <v>107</v>
      </c>
      <c r="C62" s="49">
        <f>AVERAGE('26.07 KYENGERA-BUSEGA-24h'!C62,'27.07 KYENGERA-BUSEGA-24h'!C62)</f>
        <v>63</v>
      </c>
      <c r="D62" s="49">
        <f>AVERAGE('26.07 KYENGERA-BUSEGA-24h'!D62,'27.07 KYENGERA-BUSEGA-24h'!D62)</f>
        <v>4.5</v>
      </c>
      <c r="E62" s="49">
        <f>AVERAGE('26.07 KYENGERA-BUSEGA-24h'!E62,'27.07 KYENGERA-BUSEGA-24h'!E62)</f>
        <v>6</v>
      </c>
      <c r="F62" s="49">
        <f>AVERAGE('26.07 KYENGERA-BUSEGA-24h'!F62,'27.07 KYENGERA-BUSEGA-24h'!F62)</f>
        <v>51.5</v>
      </c>
      <c r="G62" s="49">
        <f>AVERAGE('26.07 KYENGERA-BUSEGA-24h'!G62,'27.07 KYENGERA-BUSEGA-24h'!G62)</f>
        <v>1.5</v>
      </c>
      <c r="H62" s="49">
        <f>AVERAGE('26.07 KYENGERA-BUSEGA-24h'!H62,'27.07 KYENGERA-BUSEGA-24h'!H62)</f>
        <v>2</v>
      </c>
      <c r="I62" s="49">
        <f>AVERAGE('26.07 KYENGERA-BUSEGA-24h'!I62,'27.07 KYENGERA-BUSEGA-24h'!I62)</f>
        <v>11</v>
      </c>
      <c r="J62" s="49">
        <f>AVERAGE('26.07 KYENGERA-BUSEGA-24h'!J62,'27.07 KYENGERA-BUSEGA-24h'!J62)</f>
        <v>6.5</v>
      </c>
      <c r="K62" s="49">
        <f>AVERAGE('26.07 KYENGERA-BUSEGA-24h'!K62,'27.07 KYENGERA-BUSEGA-24h'!K62)</f>
        <v>2</v>
      </c>
      <c r="L62" s="49">
        <f>AVERAGE('26.07 KYENGERA-BUSEGA-24h'!L62,'27.07 KYENGERA-BUSEGA-24h'!L62)</f>
        <v>1.5</v>
      </c>
      <c r="M62" s="49">
        <f>AVERAGE('26.07 KYENGERA-BUSEGA-24h'!M62,'27.07 KYENGERA-BUSEGA-24h'!M62)</f>
        <v>314</v>
      </c>
      <c r="N62" s="49">
        <f>AVERAGE('26.07 KYENGERA-BUSEGA-24h'!N62,'27.07 KYENGERA-BUSEGA-24h'!N62)</f>
        <v>0</v>
      </c>
      <c r="O62" s="15">
        <f t="shared" si="0"/>
        <v>149.5</v>
      </c>
      <c r="P62" s="15">
        <f t="shared" si="1"/>
        <v>463.5</v>
      </c>
      <c r="R62" s="8"/>
      <c r="T62"/>
    </row>
    <row r="63" spans="2:20" ht="23.1" customHeight="1" x14ac:dyDescent="0.25">
      <c r="B63" s="23" t="s">
        <v>108</v>
      </c>
      <c r="C63" s="49">
        <f>AVERAGE('26.07 KYENGERA-BUSEGA-24h'!C63,'27.07 KYENGERA-BUSEGA-24h'!C63)</f>
        <v>56.5</v>
      </c>
      <c r="D63" s="49">
        <f>AVERAGE('26.07 KYENGERA-BUSEGA-24h'!D63,'27.07 KYENGERA-BUSEGA-24h'!D63)</f>
        <v>9</v>
      </c>
      <c r="E63" s="49">
        <f>AVERAGE('26.07 KYENGERA-BUSEGA-24h'!E63,'27.07 KYENGERA-BUSEGA-24h'!E63)</f>
        <v>6</v>
      </c>
      <c r="F63" s="49">
        <f>AVERAGE('26.07 KYENGERA-BUSEGA-24h'!F63,'27.07 KYENGERA-BUSEGA-24h'!F63)</f>
        <v>24</v>
      </c>
      <c r="G63" s="49">
        <f>AVERAGE('26.07 KYENGERA-BUSEGA-24h'!G63,'27.07 KYENGERA-BUSEGA-24h'!G63)</f>
        <v>3</v>
      </c>
      <c r="H63" s="49">
        <f>AVERAGE('26.07 KYENGERA-BUSEGA-24h'!H63,'27.07 KYENGERA-BUSEGA-24h'!H63)</f>
        <v>0.5</v>
      </c>
      <c r="I63" s="49">
        <f>AVERAGE('26.07 KYENGERA-BUSEGA-24h'!I63,'27.07 KYENGERA-BUSEGA-24h'!I63)</f>
        <v>10.5</v>
      </c>
      <c r="J63" s="49">
        <f>AVERAGE('26.07 KYENGERA-BUSEGA-24h'!J63,'27.07 KYENGERA-BUSEGA-24h'!J63)</f>
        <v>4</v>
      </c>
      <c r="K63" s="49">
        <f>AVERAGE('26.07 KYENGERA-BUSEGA-24h'!K63,'27.07 KYENGERA-BUSEGA-24h'!K63)</f>
        <v>1</v>
      </c>
      <c r="L63" s="49">
        <f>AVERAGE('26.07 KYENGERA-BUSEGA-24h'!L63,'27.07 KYENGERA-BUSEGA-24h'!L63)</f>
        <v>3.5</v>
      </c>
      <c r="M63" s="49">
        <f>AVERAGE('26.07 KYENGERA-BUSEGA-24h'!M63,'27.07 KYENGERA-BUSEGA-24h'!M63)</f>
        <v>311</v>
      </c>
      <c r="N63" s="49">
        <f>AVERAGE('26.07 KYENGERA-BUSEGA-24h'!N63,'27.07 KYENGERA-BUSEGA-24h'!N63)</f>
        <v>0</v>
      </c>
      <c r="O63" s="15">
        <f t="shared" si="0"/>
        <v>118</v>
      </c>
      <c r="P63" s="15">
        <f t="shared" si="1"/>
        <v>429</v>
      </c>
      <c r="R63" s="8"/>
      <c r="T63"/>
    </row>
    <row r="64" spans="2:20" ht="23.1" customHeight="1" x14ac:dyDescent="0.25">
      <c r="B64" s="23" t="s">
        <v>109</v>
      </c>
      <c r="C64" s="49">
        <f>AVERAGE('26.07 KYENGERA-BUSEGA-24h'!C64,'27.07 KYENGERA-BUSEGA-24h'!C64)</f>
        <v>64.5</v>
      </c>
      <c r="D64" s="49">
        <f>AVERAGE('26.07 KYENGERA-BUSEGA-24h'!D64,'27.07 KYENGERA-BUSEGA-24h'!D64)</f>
        <v>10.5</v>
      </c>
      <c r="E64" s="49">
        <f>AVERAGE('26.07 KYENGERA-BUSEGA-24h'!E64,'27.07 KYENGERA-BUSEGA-24h'!E64)</f>
        <v>6.5</v>
      </c>
      <c r="F64" s="49">
        <f>AVERAGE('26.07 KYENGERA-BUSEGA-24h'!F64,'27.07 KYENGERA-BUSEGA-24h'!F64)</f>
        <v>25</v>
      </c>
      <c r="G64" s="49">
        <f>AVERAGE('26.07 KYENGERA-BUSEGA-24h'!G64,'27.07 KYENGERA-BUSEGA-24h'!G64)</f>
        <v>2</v>
      </c>
      <c r="H64" s="49">
        <f>AVERAGE('26.07 KYENGERA-BUSEGA-24h'!H64,'27.07 KYENGERA-BUSEGA-24h'!H64)</f>
        <v>3.5</v>
      </c>
      <c r="I64" s="49">
        <f>AVERAGE('26.07 KYENGERA-BUSEGA-24h'!I64,'27.07 KYENGERA-BUSEGA-24h'!I64)</f>
        <v>12</v>
      </c>
      <c r="J64" s="49">
        <f>AVERAGE('26.07 KYENGERA-BUSEGA-24h'!J64,'27.07 KYENGERA-BUSEGA-24h'!J64)</f>
        <v>4</v>
      </c>
      <c r="K64" s="49">
        <f>AVERAGE('26.07 KYENGERA-BUSEGA-24h'!K64,'27.07 KYENGERA-BUSEGA-24h'!K64)</f>
        <v>2</v>
      </c>
      <c r="L64" s="49">
        <f>AVERAGE('26.07 KYENGERA-BUSEGA-24h'!L64,'27.07 KYENGERA-BUSEGA-24h'!L64)</f>
        <v>3</v>
      </c>
      <c r="M64" s="49">
        <f>AVERAGE('26.07 KYENGERA-BUSEGA-24h'!M64,'27.07 KYENGERA-BUSEGA-24h'!M64)</f>
        <v>327.5</v>
      </c>
      <c r="N64" s="49">
        <f>AVERAGE('26.07 KYENGERA-BUSEGA-24h'!N64,'27.07 KYENGERA-BUSEGA-24h'!N64)</f>
        <v>0</v>
      </c>
      <c r="O64" s="15">
        <f t="shared" si="0"/>
        <v>133</v>
      </c>
      <c r="P64" s="15">
        <f t="shared" si="1"/>
        <v>460.5</v>
      </c>
      <c r="R64" s="8"/>
      <c r="T64"/>
    </row>
    <row r="65" spans="2:20" ht="23.1" customHeight="1" x14ac:dyDescent="0.25">
      <c r="B65" s="23" t="s">
        <v>158</v>
      </c>
      <c r="C65" s="49">
        <f>AVERAGE('26.07 KYENGERA-BUSEGA-24h'!C65,'27.07 KYENGERA-BUSEGA-24h'!C65)</f>
        <v>48</v>
      </c>
      <c r="D65" s="49">
        <f>AVERAGE('26.07 KYENGERA-BUSEGA-24h'!D65,'27.07 KYENGERA-BUSEGA-24h'!D65)</f>
        <v>10.5</v>
      </c>
      <c r="E65" s="49">
        <f>AVERAGE('26.07 KYENGERA-BUSEGA-24h'!E65,'27.07 KYENGERA-BUSEGA-24h'!E65)</f>
        <v>3.5</v>
      </c>
      <c r="F65" s="49">
        <f>AVERAGE('26.07 KYENGERA-BUSEGA-24h'!F65,'27.07 KYENGERA-BUSEGA-24h'!F65)</f>
        <v>37</v>
      </c>
      <c r="G65" s="49">
        <f>AVERAGE('26.07 KYENGERA-BUSEGA-24h'!G65,'27.07 KYENGERA-BUSEGA-24h'!G65)</f>
        <v>3.5</v>
      </c>
      <c r="H65" s="49">
        <f>AVERAGE('26.07 KYENGERA-BUSEGA-24h'!H65,'27.07 KYENGERA-BUSEGA-24h'!H65)</f>
        <v>1</v>
      </c>
      <c r="I65" s="49">
        <f>AVERAGE('26.07 KYENGERA-BUSEGA-24h'!I65,'27.07 KYENGERA-BUSEGA-24h'!I65)</f>
        <v>10.5</v>
      </c>
      <c r="J65" s="49">
        <f>AVERAGE('26.07 KYENGERA-BUSEGA-24h'!J65,'27.07 KYENGERA-BUSEGA-24h'!J65)</f>
        <v>3</v>
      </c>
      <c r="K65" s="49">
        <f>AVERAGE('26.07 KYENGERA-BUSEGA-24h'!K65,'27.07 KYENGERA-BUSEGA-24h'!K65)</f>
        <v>2</v>
      </c>
      <c r="L65" s="49">
        <f>AVERAGE('26.07 KYENGERA-BUSEGA-24h'!L65,'27.07 KYENGERA-BUSEGA-24h'!L65)</f>
        <v>2</v>
      </c>
      <c r="M65" s="49">
        <f>AVERAGE('26.07 KYENGERA-BUSEGA-24h'!M65,'27.07 KYENGERA-BUSEGA-24h'!M65)</f>
        <v>292.5</v>
      </c>
      <c r="N65" s="49">
        <f>AVERAGE('26.07 KYENGERA-BUSEGA-24h'!N65,'27.07 KYENGERA-BUSEGA-24h'!N65)</f>
        <v>0</v>
      </c>
      <c r="O65" s="15">
        <f t="shared" si="0"/>
        <v>121</v>
      </c>
      <c r="P65" s="15">
        <f t="shared" si="1"/>
        <v>413.5</v>
      </c>
      <c r="R65" s="8"/>
      <c r="T65"/>
    </row>
    <row r="66" spans="2:20" ht="23.1" customHeight="1" x14ac:dyDescent="0.25">
      <c r="B66" s="23" t="s">
        <v>103</v>
      </c>
      <c r="C66" s="49">
        <f>AVERAGE('26.07 KYENGERA-BUSEGA-24h'!C66,'27.07 KYENGERA-BUSEGA-24h'!C66)</f>
        <v>46.5</v>
      </c>
      <c r="D66" s="49">
        <f>AVERAGE('26.07 KYENGERA-BUSEGA-24h'!D66,'27.07 KYENGERA-BUSEGA-24h'!D66)</f>
        <v>9.5</v>
      </c>
      <c r="E66" s="49">
        <f>AVERAGE('26.07 KYENGERA-BUSEGA-24h'!E66,'27.07 KYENGERA-BUSEGA-24h'!E66)</f>
        <v>7</v>
      </c>
      <c r="F66" s="49">
        <f>AVERAGE('26.07 KYENGERA-BUSEGA-24h'!F66,'27.07 KYENGERA-BUSEGA-24h'!F66)</f>
        <v>29.5</v>
      </c>
      <c r="G66" s="49">
        <f>AVERAGE('26.07 KYENGERA-BUSEGA-24h'!G66,'27.07 KYENGERA-BUSEGA-24h'!G66)</f>
        <v>5.5</v>
      </c>
      <c r="H66" s="49">
        <f>AVERAGE('26.07 KYENGERA-BUSEGA-24h'!H66,'27.07 KYENGERA-BUSEGA-24h'!H66)</f>
        <v>0.5</v>
      </c>
      <c r="I66" s="49">
        <f>AVERAGE('26.07 KYENGERA-BUSEGA-24h'!I66,'27.07 KYENGERA-BUSEGA-24h'!I66)</f>
        <v>12</v>
      </c>
      <c r="J66" s="49">
        <f>AVERAGE('26.07 KYENGERA-BUSEGA-24h'!J66,'27.07 KYENGERA-BUSEGA-24h'!J66)</f>
        <v>6.5</v>
      </c>
      <c r="K66" s="49">
        <f>AVERAGE('26.07 KYENGERA-BUSEGA-24h'!K66,'27.07 KYENGERA-BUSEGA-24h'!K66)</f>
        <v>1</v>
      </c>
      <c r="L66" s="49">
        <f>AVERAGE('26.07 KYENGERA-BUSEGA-24h'!L66,'27.07 KYENGERA-BUSEGA-24h'!L66)</f>
        <v>2</v>
      </c>
      <c r="M66" s="49">
        <f>AVERAGE('26.07 KYENGERA-BUSEGA-24h'!M66,'27.07 KYENGERA-BUSEGA-24h'!M66)</f>
        <v>257.5</v>
      </c>
      <c r="N66" s="49">
        <f>AVERAGE('26.07 KYENGERA-BUSEGA-24h'!N66,'27.07 KYENGERA-BUSEGA-24h'!N66)</f>
        <v>0</v>
      </c>
      <c r="O66" s="15">
        <f t="shared" si="0"/>
        <v>120</v>
      </c>
      <c r="P66" s="15">
        <f t="shared" si="1"/>
        <v>377.5</v>
      </c>
      <c r="R66" s="8"/>
      <c r="T66"/>
    </row>
    <row r="67" spans="2:20" ht="23.1" customHeight="1" x14ac:dyDescent="0.25">
      <c r="B67" s="23" t="s">
        <v>104</v>
      </c>
      <c r="C67" s="49">
        <f>AVERAGE('26.07 KYENGERA-BUSEGA-24h'!C67,'27.07 KYENGERA-BUSEGA-24h'!C67)</f>
        <v>53.5</v>
      </c>
      <c r="D67" s="49">
        <f>AVERAGE('26.07 KYENGERA-BUSEGA-24h'!D67,'27.07 KYENGERA-BUSEGA-24h'!D67)</f>
        <v>6.5</v>
      </c>
      <c r="E67" s="49">
        <f>AVERAGE('26.07 KYENGERA-BUSEGA-24h'!E67,'27.07 KYENGERA-BUSEGA-24h'!E67)</f>
        <v>6.5</v>
      </c>
      <c r="F67" s="49">
        <f>AVERAGE('26.07 KYENGERA-BUSEGA-24h'!F67,'27.07 KYENGERA-BUSEGA-24h'!F67)</f>
        <v>23.5</v>
      </c>
      <c r="G67" s="49">
        <f>AVERAGE('26.07 KYENGERA-BUSEGA-24h'!G67,'27.07 KYENGERA-BUSEGA-24h'!G67)</f>
        <v>1</v>
      </c>
      <c r="H67" s="49">
        <f>AVERAGE('26.07 KYENGERA-BUSEGA-24h'!H67,'27.07 KYENGERA-BUSEGA-24h'!H67)</f>
        <v>1.5</v>
      </c>
      <c r="I67" s="49">
        <f>AVERAGE('26.07 KYENGERA-BUSEGA-24h'!I67,'27.07 KYENGERA-BUSEGA-24h'!I67)</f>
        <v>8.5</v>
      </c>
      <c r="J67" s="49">
        <f>AVERAGE('26.07 KYENGERA-BUSEGA-24h'!J67,'27.07 KYENGERA-BUSEGA-24h'!J67)</f>
        <v>1.5</v>
      </c>
      <c r="K67" s="49">
        <f>AVERAGE('26.07 KYENGERA-BUSEGA-24h'!K67,'27.07 KYENGERA-BUSEGA-24h'!K67)</f>
        <v>2</v>
      </c>
      <c r="L67" s="49">
        <f>AVERAGE('26.07 KYENGERA-BUSEGA-24h'!L67,'27.07 KYENGERA-BUSEGA-24h'!L67)</f>
        <v>2</v>
      </c>
      <c r="M67" s="49">
        <f>AVERAGE('26.07 KYENGERA-BUSEGA-24h'!M67,'27.07 KYENGERA-BUSEGA-24h'!M67)</f>
        <v>272.5</v>
      </c>
      <c r="N67" s="49">
        <f>AVERAGE('26.07 KYENGERA-BUSEGA-24h'!N67,'27.07 KYENGERA-BUSEGA-24h'!N67)</f>
        <v>0</v>
      </c>
      <c r="O67" s="15">
        <f t="shared" si="0"/>
        <v>106.5</v>
      </c>
      <c r="P67" s="15">
        <f t="shared" si="1"/>
        <v>379</v>
      </c>
      <c r="R67" s="8"/>
      <c r="T67"/>
    </row>
    <row r="68" spans="2:20" ht="23.1" customHeight="1" x14ac:dyDescent="0.25">
      <c r="B68" s="23" t="s">
        <v>105</v>
      </c>
      <c r="C68" s="49">
        <f>AVERAGE('26.07 KYENGERA-BUSEGA-24h'!C68,'27.07 KYENGERA-BUSEGA-24h'!C68)</f>
        <v>53</v>
      </c>
      <c r="D68" s="49">
        <f>AVERAGE('26.07 KYENGERA-BUSEGA-24h'!D68,'27.07 KYENGERA-BUSEGA-24h'!D68)</f>
        <v>9</v>
      </c>
      <c r="E68" s="49">
        <f>AVERAGE('26.07 KYENGERA-BUSEGA-24h'!E68,'27.07 KYENGERA-BUSEGA-24h'!E68)</f>
        <v>7.5</v>
      </c>
      <c r="F68" s="49">
        <f>AVERAGE('26.07 KYENGERA-BUSEGA-24h'!F68,'27.07 KYENGERA-BUSEGA-24h'!F68)</f>
        <v>24</v>
      </c>
      <c r="G68" s="49">
        <f>AVERAGE('26.07 KYENGERA-BUSEGA-24h'!G68,'27.07 KYENGERA-BUSEGA-24h'!G68)</f>
        <v>1</v>
      </c>
      <c r="H68" s="49">
        <f>AVERAGE('26.07 KYENGERA-BUSEGA-24h'!H68,'27.07 KYENGERA-BUSEGA-24h'!H68)</f>
        <v>0.5</v>
      </c>
      <c r="I68" s="49">
        <f>AVERAGE('26.07 KYENGERA-BUSEGA-24h'!I68,'27.07 KYENGERA-BUSEGA-24h'!I68)</f>
        <v>9.5</v>
      </c>
      <c r="J68" s="49">
        <f>AVERAGE('26.07 KYENGERA-BUSEGA-24h'!J68,'27.07 KYENGERA-BUSEGA-24h'!J68)</f>
        <v>3</v>
      </c>
      <c r="K68" s="49">
        <f>AVERAGE('26.07 KYENGERA-BUSEGA-24h'!K68,'27.07 KYENGERA-BUSEGA-24h'!K68)</f>
        <v>0.5</v>
      </c>
      <c r="L68" s="49">
        <f>AVERAGE('26.07 KYENGERA-BUSEGA-24h'!L68,'27.07 KYENGERA-BUSEGA-24h'!L68)</f>
        <v>1</v>
      </c>
      <c r="M68" s="49">
        <f>AVERAGE('26.07 KYENGERA-BUSEGA-24h'!M68,'27.07 KYENGERA-BUSEGA-24h'!M68)</f>
        <v>275</v>
      </c>
      <c r="N68" s="49">
        <f>AVERAGE('26.07 KYENGERA-BUSEGA-24h'!N68,'27.07 KYENGERA-BUSEGA-24h'!N68)</f>
        <v>0</v>
      </c>
      <c r="O68" s="15">
        <f t="shared" si="0"/>
        <v>109</v>
      </c>
      <c r="P68" s="15">
        <f t="shared" si="1"/>
        <v>384</v>
      </c>
      <c r="R68" s="8"/>
      <c r="T68"/>
    </row>
    <row r="69" spans="2:20" ht="23.1" customHeight="1" x14ac:dyDescent="0.25">
      <c r="B69" s="23" t="s">
        <v>106</v>
      </c>
      <c r="C69" s="49">
        <f>AVERAGE('26.07 KYENGERA-BUSEGA-24h'!C69,'27.07 KYENGERA-BUSEGA-24h'!C69)</f>
        <v>73.5</v>
      </c>
      <c r="D69" s="49">
        <f>AVERAGE('26.07 KYENGERA-BUSEGA-24h'!D69,'27.07 KYENGERA-BUSEGA-24h'!D69)</f>
        <v>16.5</v>
      </c>
      <c r="E69" s="49">
        <f>AVERAGE('26.07 KYENGERA-BUSEGA-24h'!E69,'27.07 KYENGERA-BUSEGA-24h'!E69)</f>
        <v>14.5</v>
      </c>
      <c r="F69" s="49">
        <f>AVERAGE('26.07 KYENGERA-BUSEGA-24h'!F69,'27.07 KYENGERA-BUSEGA-24h'!F69)</f>
        <v>42</v>
      </c>
      <c r="G69" s="49">
        <f>AVERAGE('26.07 KYENGERA-BUSEGA-24h'!G69,'27.07 KYENGERA-BUSEGA-24h'!G69)</f>
        <v>3.5</v>
      </c>
      <c r="H69" s="49">
        <f>AVERAGE('26.07 KYENGERA-BUSEGA-24h'!H69,'27.07 KYENGERA-BUSEGA-24h'!H69)</f>
        <v>2</v>
      </c>
      <c r="I69" s="49">
        <f>AVERAGE('26.07 KYENGERA-BUSEGA-24h'!I69,'27.07 KYENGERA-BUSEGA-24h'!I69)</f>
        <v>10.5</v>
      </c>
      <c r="J69" s="49">
        <f>AVERAGE('26.07 KYENGERA-BUSEGA-24h'!J69,'27.07 KYENGERA-BUSEGA-24h'!J69)</f>
        <v>4</v>
      </c>
      <c r="K69" s="49">
        <f>AVERAGE('26.07 KYENGERA-BUSEGA-24h'!K69,'27.07 KYENGERA-BUSEGA-24h'!K69)</f>
        <v>0.5</v>
      </c>
      <c r="L69" s="49">
        <f>AVERAGE('26.07 KYENGERA-BUSEGA-24h'!L69,'27.07 KYENGERA-BUSEGA-24h'!L69)</f>
        <v>2</v>
      </c>
      <c r="M69" s="49">
        <f>AVERAGE('26.07 KYENGERA-BUSEGA-24h'!M69,'27.07 KYENGERA-BUSEGA-24h'!M69)</f>
        <v>285</v>
      </c>
      <c r="N69" s="49">
        <f>AVERAGE('26.07 KYENGERA-BUSEGA-24h'!N69,'27.07 KYENGERA-BUSEGA-24h'!N69)</f>
        <v>0</v>
      </c>
      <c r="O69" s="15">
        <f t="shared" si="0"/>
        <v>169</v>
      </c>
      <c r="P69" s="15">
        <f t="shared" si="1"/>
        <v>454</v>
      </c>
      <c r="R69" s="8"/>
      <c r="T69"/>
    </row>
    <row r="70" spans="2:20" ht="23.1" customHeight="1" x14ac:dyDescent="0.25">
      <c r="B70" s="23" t="s">
        <v>110</v>
      </c>
      <c r="C70" s="49">
        <f>AVERAGE('26.07 KYENGERA-BUSEGA-24h'!C70,'27.07 KYENGERA-BUSEGA-24h'!C70)</f>
        <v>53</v>
      </c>
      <c r="D70" s="49">
        <f>AVERAGE('26.07 KYENGERA-BUSEGA-24h'!D70,'27.07 KYENGERA-BUSEGA-24h'!D70)</f>
        <v>9.5</v>
      </c>
      <c r="E70" s="49">
        <f>AVERAGE('26.07 KYENGERA-BUSEGA-24h'!E70,'27.07 KYENGERA-BUSEGA-24h'!E70)</f>
        <v>4</v>
      </c>
      <c r="F70" s="49">
        <f>AVERAGE('26.07 KYENGERA-BUSEGA-24h'!F70,'27.07 KYENGERA-BUSEGA-24h'!F70)</f>
        <v>17</v>
      </c>
      <c r="G70" s="49">
        <f>AVERAGE('26.07 KYENGERA-BUSEGA-24h'!G70,'27.07 KYENGERA-BUSEGA-24h'!G70)</f>
        <v>3</v>
      </c>
      <c r="H70" s="49">
        <f>AVERAGE('26.07 KYENGERA-BUSEGA-24h'!H70,'27.07 KYENGERA-BUSEGA-24h'!H70)</f>
        <v>0.5</v>
      </c>
      <c r="I70" s="49">
        <f>AVERAGE('26.07 KYENGERA-BUSEGA-24h'!I70,'27.07 KYENGERA-BUSEGA-24h'!I70)</f>
        <v>14</v>
      </c>
      <c r="J70" s="49">
        <f>AVERAGE('26.07 KYENGERA-BUSEGA-24h'!J70,'27.07 KYENGERA-BUSEGA-24h'!J70)</f>
        <v>4</v>
      </c>
      <c r="K70" s="49">
        <f>AVERAGE('26.07 KYENGERA-BUSEGA-24h'!K70,'27.07 KYENGERA-BUSEGA-24h'!K70)</f>
        <v>0.5</v>
      </c>
      <c r="L70" s="49">
        <f>AVERAGE('26.07 KYENGERA-BUSEGA-24h'!L70,'27.07 KYENGERA-BUSEGA-24h'!L70)</f>
        <v>2</v>
      </c>
      <c r="M70" s="49">
        <f>AVERAGE('26.07 KYENGERA-BUSEGA-24h'!M70,'27.07 KYENGERA-BUSEGA-24h'!M70)</f>
        <v>225.5</v>
      </c>
      <c r="N70" s="49">
        <f>AVERAGE('26.07 KYENGERA-BUSEGA-24h'!N70,'27.07 KYENGERA-BUSEGA-24h'!N70)</f>
        <v>0</v>
      </c>
      <c r="O70" s="15">
        <f t="shared" si="0"/>
        <v>107.5</v>
      </c>
      <c r="P70" s="15">
        <f t="shared" si="1"/>
        <v>333</v>
      </c>
      <c r="R70" s="8"/>
      <c r="T70"/>
    </row>
    <row r="71" spans="2:20" ht="23.1" customHeight="1" x14ac:dyDescent="0.25">
      <c r="B71" s="23" t="s">
        <v>111</v>
      </c>
      <c r="C71" s="49">
        <f>AVERAGE('26.07 KYENGERA-BUSEGA-24h'!C71,'27.07 KYENGERA-BUSEGA-24h'!C71)</f>
        <v>53</v>
      </c>
      <c r="D71" s="49">
        <f>AVERAGE('26.07 KYENGERA-BUSEGA-24h'!D71,'27.07 KYENGERA-BUSEGA-24h'!D71)</f>
        <v>9.5</v>
      </c>
      <c r="E71" s="49">
        <f>AVERAGE('26.07 KYENGERA-BUSEGA-24h'!E71,'27.07 KYENGERA-BUSEGA-24h'!E71)</f>
        <v>5</v>
      </c>
      <c r="F71" s="49">
        <f>AVERAGE('26.07 KYENGERA-BUSEGA-24h'!F71,'27.07 KYENGERA-BUSEGA-24h'!F71)</f>
        <v>24</v>
      </c>
      <c r="G71" s="49">
        <f>AVERAGE('26.07 KYENGERA-BUSEGA-24h'!G71,'27.07 KYENGERA-BUSEGA-24h'!G71)</f>
        <v>2.5</v>
      </c>
      <c r="H71" s="49">
        <f>AVERAGE('26.07 KYENGERA-BUSEGA-24h'!H71,'27.07 KYENGERA-BUSEGA-24h'!H71)</f>
        <v>0.5</v>
      </c>
      <c r="I71" s="49">
        <f>AVERAGE('26.07 KYENGERA-BUSEGA-24h'!I71,'27.07 KYENGERA-BUSEGA-24h'!I71)</f>
        <v>11.5</v>
      </c>
      <c r="J71" s="49">
        <f>AVERAGE('26.07 KYENGERA-BUSEGA-24h'!J71,'27.07 KYENGERA-BUSEGA-24h'!J71)</f>
        <v>3.5</v>
      </c>
      <c r="K71" s="49">
        <f>AVERAGE('26.07 KYENGERA-BUSEGA-24h'!K71,'27.07 KYENGERA-BUSEGA-24h'!K71)</f>
        <v>0</v>
      </c>
      <c r="L71" s="49">
        <f>AVERAGE('26.07 KYENGERA-BUSEGA-24h'!L71,'27.07 KYENGERA-BUSEGA-24h'!L71)</f>
        <v>5</v>
      </c>
      <c r="M71" s="49">
        <f>AVERAGE('26.07 KYENGERA-BUSEGA-24h'!M71,'27.07 KYENGERA-BUSEGA-24h'!M71)</f>
        <v>170.5</v>
      </c>
      <c r="N71" s="49">
        <f>AVERAGE('26.07 KYENGERA-BUSEGA-24h'!N71,'27.07 KYENGERA-BUSEGA-24h'!N71)</f>
        <v>0</v>
      </c>
      <c r="O71" s="15">
        <f t="shared" si="0"/>
        <v>114.5</v>
      </c>
      <c r="P71" s="15">
        <f t="shared" si="1"/>
        <v>285</v>
      </c>
      <c r="R71" s="8"/>
      <c r="T71"/>
    </row>
    <row r="72" spans="2:20" ht="23.1" customHeight="1" x14ac:dyDescent="0.25">
      <c r="B72" s="23" t="s">
        <v>112</v>
      </c>
      <c r="C72" s="49">
        <f>AVERAGE('26.07 KYENGERA-BUSEGA-24h'!C72,'27.07 KYENGERA-BUSEGA-24h'!C72)</f>
        <v>34</v>
      </c>
      <c r="D72" s="49">
        <f>AVERAGE('26.07 KYENGERA-BUSEGA-24h'!D72,'27.07 KYENGERA-BUSEGA-24h'!D72)</f>
        <v>6.5</v>
      </c>
      <c r="E72" s="49">
        <f>AVERAGE('26.07 KYENGERA-BUSEGA-24h'!E72,'27.07 KYENGERA-BUSEGA-24h'!E72)</f>
        <v>6.5</v>
      </c>
      <c r="F72" s="49">
        <f>AVERAGE('26.07 KYENGERA-BUSEGA-24h'!F72,'27.07 KYENGERA-BUSEGA-24h'!F72)</f>
        <v>19</v>
      </c>
      <c r="G72" s="49">
        <f>AVERAGE('26.07 KYENGERA-BUSEGA-24h'!G72,'27.07 KYENGERA-BUSEGA-24h'!G72)</f>
        <v>0.5</v>
      </c>
      <c r="H72" s="49">
        <f>AVERAGE('26.07 KYENGERA-BUSEGA-24h'!H72,'27.07 KYENGERA-BUSEGA-24h'!H72)</f>
        <v>0.5</v>
      </c>
      <c r="I72" s="49">
        <f>AVERAGE('26.07 KYENGERA-BUSEGA-24h'!I72,'27.07 KYENGERA-BUSEGA-24h'!I72)</f>
        <v>13.5</v>
      </c>
      <c r="J72" s="49">
        <f>AVERAGE('26.07 KYENGERA-BUSEGA-24h'!J72,'27.07 KYENGERA-BUSEGA-24h'!J72)</f>
        <v>5.5</v>
      </c>
      <c r="K72" s="49">
        <f>AVERAGE('26.07 KYENGERA-BUSEGA-24h'!K72,'27.07 KYENGERA-BUSEGA-24h'!K72)</f>
        <v>1.5</v>
      </c>
      <c r="L72" s="49">
        <f>AVERAGE('26.07 KYENGERA-BUSEGA-24h'!L72,'27.07 KYENGERA-BUSEGA-24h'!L72)</f>
        <v>7.5</v>
      </c>
      <c r="M72" s="49">
        <f>AVERAGE('26.07 KYENGERA-BUSEGA-24h'!M72,'27.07 KYENGERA-BUSEGA-24h'!M72)</f>
        <v>166.5</v>
      </c>
      <c r="N72" s="49">
        <f>AVERAGE('26.07 KYENGERA-BUSEGA-24h'!N72,'27.07 KYENGERA-BUSEGA-24h'!N72)</f>
        <v>0</v>
      </c>
      <c r="O72" s="15">
        <f t="shared" si="0"/>
        <v>95</v>
      </c>
      <c r="P72" s="15">
        <f t="shared" si="1"/>
        <v>261.5</v>
      </c>
      <c r="R72" s="8"/>
      <c r="T72"/>
    </row>
    <row r="73" spans="2:20" ht="23.1" customHeight="1" x14ac:dyDescent="0.25">
      <c r="B73" s="23" t="s">
        <v>113</v>
      </c>
      <c r="C73" s="49">
        <f>AVERAGE('26.07 KYENGERA-BUSEGA-24h'!C73,'27.07 KYENGERA-BUSEGA-24h'!C73)</f>
        <v>40.5</v>
      </c>
      <c r="D73" s="49">
        <f>AVERAGE('26.07 KYENGERA-BUSEGA-24h'!D73,'27.07 KYENGERA-BUSEGA-24h'!D73)</f>
        <v>4.5</v>
      </c>
      <c r="E73" s="49">
        <f>AVERAGE('26.07 KYENGERA-BUSEGA-24h'!E73,'27.07 KYENGERA-BUSEGA-24h'!E73)</f>
        <v>4</v>
      </c>
      <c r="F73" s="49">
        <f>AVERAGE('26.07 KYENGERA-BUSEGA-24h'!F73,'27.07 KYENGERA-BUSEGA-24h'!F73)</f>
        <v>23</v>
      </c>
      <c r="G73" s="49">
        <f>AVERAGE('26.07 KYENGERA-BUSEGA-24h'!G73,'27.07 KYENGERA-BUSEGA-24h'!G73)</f>
        <v>0.5</v>
      </c>
      <c r="H73" s="49">
        <f>AVERAGE('26.07 KYENGERA-BUSEGA-24h'!H73,'27.07 KYENGERA-BUSEGA-24h'!H73)</f>
        <v>0.5</v>
      </c>
      <c r="I73" s="49">
        <f>AVERAGE('26.07 KYENGERA-BUSEGA-24h'!I73,'27.07 KYENGERA-BUSEGA-24h'!I73)</f>
        <v>8</v>
      </c>
      <c r="J73" s="49">
        <f>AVERAGE('26.07 KYENGERA-BUSEGA-24h'!J73,'27.07 KYENGERA-BUSEGA-24h'!J73)</f>
        <v>3.5</v>
      </c>
      <c r="K73" s="49">
        <f>AVERAGE('26.07 KYENGERA-BUSEGA-24h'!K73,'27.07 KYENGERA-BUSEGA-24h'!K73)</f>
        <v>1.5</v>
      </c>
      <c r="L73" s="49">
        <f>AVERAGE('26.07 KYENGERA-BUSEGA-24h'!L73,'27.07 KYENGERA-BUSEGA-24h'!L73)</f>
        <v>2</v>
      </c>
      <c r="M73" s="49">
        <f>AVERAGE('26.07 KYENGERA-BUSEGA-24h'!M73,'27.07 KYENGERA-BUSEGA-24h'!M73)</f>
        <v>167</v>
      </c>
      <c r="N73" s="49">
        <f>AVERAGE('26.07 KYENGERA-BUSEGA-24h'!N73,'27.07 KYENGERA-BUSEGA-24h'!N73)</f>
        <v>0</v>
      </c>
      <c r="O73" s="15">
        <f t="shared" si="0"/>
        <v>88</v>
      </c>
      <c r="P73" s="15">
        <f t="shared" si="1"/>
        <v>255</v>
      </c>
      <c r="R73" s="8"/>
      <c r="T73"/>
    </row>
    <row r="74" spans="2:20" ht="23.1" customHeight="1" x14ac:dyDescent="0.25">
      <c r="B74" s="23" t="s">
        <v>114</v>
      </c>
      <c r="C74" s="49">
        <f>AVERAGE('26.07 KYENGERA-BUSEGA-24h'!C74,'27.07 KYENGERA-BUSEGA-24h'!C74)</f>
        <v>53</v>
      </c>
      <c r="D74" s="49">
        <f>AVERAGE('26.07 KYENGERA-BUSEGA-24h'!D74,'27.07 KYENGERA-BUSEGA-24h'!D74)</f>
        <v>6.5</v>
      </c>
      <c r="E74" s="49">
        <f>AVERAGE('26.07 KYENGERA-BUSEGA-24h'!E74,'27.07 KYENGERA-BUSEGA-24h'!E74)</f>
        <v>3</v>
      </c>
      <c r="F74" s="49">
        <f>AVERAGE('26.07 KYENGERA-BUSEGA-24h'!F74,'27.07 KYENGERA-BUSEGA-24h'!F74)</f>
        <v>22.5</v>
      </c>
      <c r="G74" s="49">
        <f>AVERAGE('26.07 KYENGERA-BUSEGA-24h'!G74,'27.07 KYENGERA-BUSEGA-24h'!G74)</f>
        <v>1.5</v>
      </c>
      <c r="H74" s="49">
        <f>AVERAGE('26.07 KYENGERA-BUSEGA-24h'!H74,'27.07 KYENGERA-BUSEGA-24h'!H74)</f>
        <v>0.5</v>
      </c>
      <c r="I74" s="49">
        <f>AVERAGE('26.07 KYENGERA-BUSEGA-24h'!I74,'27.07 KYENGERA-BUSEGA-24h'!I74)</f>
        <v>10.5</v>
      </c>
      <c r="J74" s="49">
        <f>AVERAGE('26.07 KYENGERA-BUSEGA-24h'!J74,'27.07 KYENGERA-BUSEGA-24h'!J74)</f>
        <v>5.5</v>
      </c>
      <c r="K74" s="49">
        <f>AVERAGE('26.07 KYENGERA-BUSEGA-24h'!K74,'27.07 KYENGERA-BUSEGA-24h'!K74)</f>
        <v>0.5</v>
      </c>
      <c r="L74" s="49">
        <f>AVERAGE('26.07 KYENGERA-BUSEGA-24h'!L74,'27.07 KYENGERA-BUSEGA-24h'!L74)</f>
        <v>2.5</v>
      </c>
      <c r="M74" s="49">
        <f>AVERAGE('26.07 KYENGERA-BUSEGA-24h'!M74,'27.07 KYENGERA-BUSEGA-24h'!M74)</f>
        <v>146.5</v>
      </c>
      <c r="N74" s="49">
        <f>AVERAGE('26.07 KYENGERA-BUSEGA-24h'!N74,'27.07 KYENGERA-BUSEGA-24h'!N74)</f>
        <v>0</v>
      </c>
      <c r="O74" s="15">
        <f t="shared" ref="O74:O105" si="35">SUM(C74:L74,N74)</f>
        <v>106</v>
      </c>
      <c r="P74" s="15">
        <f t="shared" ref="P74:P105" si="36">SUM(C74:N74)</f>
        <v>252.5</v>
      </c>
      <c r="R74" s="8"/>
      <c r="T74"/>
    </row>
    <row r="75" spans="2:20" ht="23.1" customHeight="1" x14ac:dyDescent="0.25">
      <c r="B75" s="23" t="s">
        <v>115</v>
      </c>
      <c r="C75" s="49">
        <f>AVERAGE('26.07 KYENGERA-BUSEGA-24h'!C75,'27.07 KYENGERA-BUSEGA-24h'!C75)</f>
        <v>63</v>
      </c>
      <c r="D75" s="49">
        <f>AVERAGE('26.07 KYENGERA-BUSEGA-24h'!D75,'27.07 KYENGERA-BUSEGA-24h'!D75)</f>
        <v>9</v>
      </c>
      <c r="E75" s="49">
        <f>AVERAGE('26.07 KYENGERA-BUSEGA-24h'!E75,'27.07 KYENGERA-BUSEGA-24h'!E75)</f>
        <v>4.5</v>
      </c>
      <c r="F75" s="49">
        <f>AVERAGE('26.07 KYENGERA-BUSEGA-24h'!F75,'27.07 KYENGERA-BUSEGA-24h'!F75)</f>
        <v>29.5</v>
      </c>
      <c r="G75" s="49">
        <f>AVERAGE('26.07 KYENGERA-BUSEGA-24h'!G75,'27.07 KYENGERA-BUSEGA-24h'!G75)</f>
        <v>0.5</v>
      </c>
      <c r="H75" s="49">
        <f>AVERAGE('26.07 KYENGERA-BUSEGA-24h'!H75,'27.07 KYENGERA-BUSEGA-24h'!H75)</f>
        <v>1</v>
      </c>
      <c r="I75" s="49">
        <f>AVERAGE('26.07 KYENGERA-BUSEGA-24h'!I75,'27.07 KYENGERA-BUSEGA-24h'!I75)</f>
        <v>7</v>
      </c>
      <c r="J75" s="49">
        <f>AVERAGE('26.07 KYENGERA-BUSEGA-24h'!J75,'27.07 KYENGERA-BUSEGA-24h'!J75)</f>
        <v>0.5</v>
      </c>
      <c r="K75" s="49">
        <f>AVERAGE('26.07 KYENGERA-BUSEGA-24h'!K75,'27.07 KYENGERA-BUSEGA-24h'!K75)</f>
        <v>0.5</v>
      </c>
      <c r="L75" s="49">
        <f>AVERAGE('26.07 KYENGERA-BUSEGA-24h'!L75,'27.07 KYENGERA-BUSEGA-24h'!L75)</f>
        <v>1</v>
      </c>
      <c r="M75" s="49">
        <f>AVERAGE('26.07 KYENGERA-BUSEGA-24h'!M75,'27.07 KYENGERA-BUSEGA-24h'!M75)</f>
        <v>105</v>
      </c>
      <c r="N75" s="49">
        <f>AVERAGE('26.07 KYENGERA-BUSEGA-24h'!N75,'27.07 KYENGERA-BUSEGA-24h'!N75)</f>
        <v>0</v>
      </c>
      <c r="O75" s="15">
        <f t="shared" si="35"/>
        <v>116.5</v>
      </c>
      <c r="P75" s="15">
        <f t="shared" si="36"/>
        <v>221.5</v>
      </c>
      <c r="R75" s="8"/>
      <c r="T75"/>
    </row>
    <row r="76" spans="2:20" ht="23.1" customHeight="1" x14ac:dyDescent="0.25">
      <c r="B76" s="23" t="s">
        <v>116</v>
      </c>
      <c r="C76" s="49">
        <f>AVERAGE('26.07 KYENGERA-BUSEGA-24h'!C76,'27.07 KYENGERA-BUSEGA-24h'!C76)</f>
        <v>35.5</v>
      </c>
      <c r="D76" s="49">
        <f>AVERAGE('26.07 KYENGERA-BUSEGA-24h'!D76,'27.07 KYENGERA-BUSEGA-24h'!D76)</f>
        <v>5</v>
      </c>
      <c r="E76" s="49">
        <f>AVERAGE('26.07 KYENGERA-BUSEGA-24h'!E76,'27.07 KYENGERA-BUSEGA-24h'!E76)</f>
        <v>5</v>
      </c>
      <c r="F76" s="49">
        <f>AVERAGE('26.07 KYENGERA-BUSEGA-24h'!F76,'27.07 KYENGERA-BUSEGA-24h'!F76)</f>
        <v>13</v>
      </c>
      <c r="G76" s="49">
        <f>AVERAGE('26.07 KYENGERA-BUSEGA-24h'!G76,'27.07 KYENGERA-BUSEGA-24h'!G76)</f>
        <v>0.5</v>
      </c>
      <c r="H76" s="49">
        <f>AVERAGE('26.07 KYENGERA-BUSEGA-24h'!H76,'27.07 KYENGERA-BUSEGA-24h'!H76)</f>
        <v>0</v>
      </c>
      <c r="I76" s="49">
        <f>AVERAGE('26.07 KYENGERA-BUSEGA-24h'!I76,'27.07 KYENGERA-BUSEGA-24h'!I76)</f>
        <v>15.5</v>
      </c>
      <c r="J76" s="49">
        <f>AVERAGE('26.07 KYENGERA-BUSEGA-24h'!J76,'27.07 KYENGERA-BUSEGA-24h'!J76)</f>
        <v>3.5</v>
      </c>
      <c r="K76" s="49">
        <f>AVERAGE('26.07 KYENGERA-BUSEGA-24h'!K76,'27.07 KYENGERA-BUSEGA-24h'!K76)</f>
        <v>1</v>
      </c>
      <c r="L76" s="49">
        <f>AVERAGE('26.07 KYENGERA-BUSEGA-24h'!L76,'27.07 KYENGERA-BUSEGA-24h'!L76)</f>
        <v>1.5</v>
      </c>
      <c r="M76" s="49">
        <f>AVERAGE('26.07 KYENGERA-BUSEGA-24h'!M76,'27.07 KYENGERA-BUSEGA-24h'!M76)</f>
        <v>80.5</v>
      </c>
      <c r="N76" s="49">
        <f>AVERAGE('26.07 KYENGERA-BUSEGA-24h'!N76,'27.07 KYENGERA-BUSEGA-24h'!N76)</f>
        <v>0</v>
      </c>
      <c r="O76" s="15">
        <f t="shared" si="35"/>
        <v>80.5</v>
      </c>
      <c r="P76" s="15">
        <f t="shared" si="36"/>
        <v>161</v>
      </c>
      <c r="R76" s="8"/>
      <c r="T76"/>
    </row>
    <row r="77" spans="2:20" ht="23.1" customHeight="1" x14ac:dyDescent="0.25">
      <c r="B77" s="23" t="s">
        <v>117</v>
      </c>
      <c r="C77" s="49">
        <f>AVERAGE('26.07 KYENGERA-BUSEGA-24h'!C77,'27.07 KYENGERA-BUSEGA-24h'!C77)</f>
        <v>49</v>
      </c>
      <c r="D77" s="49">
        <f>AVERAGE('26.07 KYENGERA-BUSEGA-24h'!D77,'27.07 KYENGERA-BUSEGA-24h'!D77)</f>
        <v>5.5</v>
      </c>
      <c r="E77" s="49">
        <f>AVERAGE('26.07 KYENGERA-BUSEGA-24h'!E77,'27.07 KYENGERA-BUSEGA-24h'!E77)</f>
        <v>4.5</v>
      </c>
      <c r="F77" s="49">
        <f>AVERAGE('26.07 KYENGERA-BUSEGA-24h'!F77,'27.07 KYENGERA-BUSEGA-24h'!F77)</f>
        <v>19</v>
      </c>
      <c r="G77" s="49">
        <f>AVERAGE('26.07 KYENGERA-BUSEGA-24h'!G77,'27.07 KYENGERA-BUSEGA-24h'!G77)</f>
        <v>1</v>
      </c>
      <c r="H77" s="49">
        <f>AVERAGE('26.07 KYENGERA-BUSEGA-24h'!H77,'27.07 KYENGERA-BUSEGA-24h'!H77)</f>
        <v>2</v>
      </c>
      <c r="I77" s="49">
        <f>AVERAGE('26.07 KYENGERA-BUSEGA-24h'!I77,'27.07 KYENGERA-BUSEGA-24h'!I77)</f>
        <v>10</v>
      </c>
      <c r="J77" s="49">
        <f>AVERAGE('26.07 KYENGERA-BUSEGA-24h'!J77,'27.07 KYENGERA-BUSEGA-24h'!J77)</f>
        <v>3</v>
      </c>
      <c r="K77" s="49">
        <f>AVERAGE('26.07 KYENGERA-BUSEGA-24h'!K77,'27.07 KYENGERA-BUSEGA-24h'!K77)</f>
        <v>1.5</v>
      </c>
      <c r="L77" s="49">
        <f>AVERAGE('26.07 KYENGERA-BUSEGA-24h'!L77,'27.07 KYENGERA-BUSEGA-24h'!L77)</f>
        <v>2</v>
      </c>
      <c r="M77" s="49">
        <f>AVERAGE('26.07 KYENGERA-BUSEGA-24h'!M77,'27.07 KYENGERA-BUSEGA-24h'!M77)</f>
        <v>73.5</v>
      </c>
      <c r="N77" s="49">
        <f>AVERAGE('26.07 KYENGERA-BUSEGA-24h'!N77,'27.07 KYENGERA-BUSEGA-24h'!N77)</f>
        <v>0</v>
      </c>
      <c r="O77" s="15">
        <f t="shared" si="35"/>
        <v>97.5</v>
      </c>
      <c r="P77" s="15">
        <f t="shared" si="36"/>
        <v>171</v>
      </c>
      <c r="R77" s="8"/>
      <c r="T77"/>
    </row>
    <row r="78" spans="2:20" ht="23.1" customHeight="1" x14ac:dyDescent="0.25">
      <c r="B78" s="24" t="s">
        <v>118</v>
      </c>
      <c r="C78" s="49">
        <f>AVERAGE('26.07 KYENGERA-BUSEGA-24h'!C78,'27.07 KYENGERA-BUSEGA-24h'!C78)</f>
        <v>47.5</v>
      </c>
      <c r="D78" s="49">
        <f>AVERAGE('26.07 KYENGERA-BUSEGA-24h'!D78,'27.07 KYENGERA-BUSEGA-24h'!D78)</f>
        <v>7.5</v>
      </c>
      <c r="E78" s="49">
        <f>AVERAGE('26.07 KYENGERA-BUSEGA-24h'!E78,'27.07 KYENGERA-BUSEGA-24h'!E78)</f>
        <v>6.5</v>
      </c>
      <c r="F78" s="49">
        <f>AVERAGE('26.07 KYENGERA-BUSEGA-24h'!F78,'27.07 KYENGERA-BUSEGA-24h'!F78)</f>
        <v>26</v>
      </c>
      <c r="G78" s="49">
        <f>AVERAGE('26.07 KYENGERA-BUSEGA-24h'!G78,'27.07 KYENGERA-BUSEGA-24h'!G78)</f>
        <v>0.5</v>
      </c>
      <c r="H78" s="49">
        <f>AVERAGE('26.07 KYENGERA-BUSEGA-24h'!H78,'27.07 KYENGERA-BUSEGA-24h'!H78)</f>
        <v>1.5</v>
      </c>
      <c r="I78" s="49">
        <f>AVERAGE('26.07 KYENGERA-BUSEGA-24h'!I78,'27.07 KYENGERA-BUSEGA-24h'!I78)</f>
        <v>17</v>
      </c>
      <c r="J78" s="49">
        <f>AVERAGE('26.07 KYENGERA-BUSEGA-24h'!J78,'27.07 KYENGERA-BUSEGA-24h'!J78)</f>
        <v>2.5</v>
      </c>
      <c r="K78" s="49">
        <f>AVERAGE('26.07 KYENGERA-BUSEGA-24h'!K78,'27.07 KYENGERA-BUSEGA-24h'!K78)</f>
        <v>0.5</v>
      </c>
      <c r="L78" s="49">
        <f>AVERAGE('26.07 KYENGERA-BUSEGA-24h'!L78,'27.07 KYENGERA-BUSEGA-24h'!L78)</f>
        <v>5.5</v>
      </c>
      <c r="M78" s="49">
        <f>AVERAGE('26.07 KYENGERA-BUSEGA-24h'!M78,'27.07 KYENGERA-BUSEGA-24h'!M78)</f>
        <v>63.5</v>
      </c>
      <c r="N78" s="49">
        <f>AVERAGE('26.07 KYENGERA-BUSEGA-24h'!N78,'27.07 KYENGERA-BUSEGA-24h'!N78)</f>
        <v>0</v>
      </c>
      <c r="O78" s="15">
        <f t="shared" si="35"/>
        <v>115</v>
      </c>
      <c r="P78" s="15">
        <f t="shared" si="36"/>
        <v>178.5</v>
      </c>
      <c r="R78" s="8"/>
      <c r="T78"/>
    </row>
    <row r="79" spans="2:20" ht="23.1" customHeight="1" x14ac:dyDescent="0.25">
      <c r="B79" s="23" t="s">
        <v>119</v>
      </c>
      <c r="C79" s="49">
        <f>AVERAGE('26.07 KYENGERA-BUSEGA-24h'!C79,'27.07 KYENGERA-BUSEGA-24h'!C79)</f>
        <v>51</v>
      </c>
      <c r="D79" s="49">
        <f>AVERAGE('26.07 KYENGERA-BUSEGA-24h'!D79,'27.07 KYENGERA-BUSEGA-24h'!D79)</f>
        <v>8.5</v>
      </c>
      <c r="E79" s="49">
        <f>AVERAGE('26.07 KYENGERA-BUSEGA-24h'!E79,'27.07 KYENGERA-BUSEGA-24h'!E79)</f>
        <v>5.5</v>
      </c>
      <c r="F79" s="49">
        <f>AVERAGE('26.07 KYENGERA-BUSEGA-24h'!F79,'27.07 KYENGERA-BUSEGA-24h'!F79)</f>
        <v>20</v>
      </c>
      <c r="G79" s="49">
        <f>AVERAGE('26.07 KYENGERA-BUSEGA-24h'!G79,'27.07 KYENGERA-BUSEGA-24h'!G79)</f>
        <v>2.5</v>
      </c>
      <c r="H79" s="49">
        <f>AVERAGE('26.07 KYENGERA-BUSEGA-24h'!H79,'27.07 KYENGERA-BUSEGA-24h'!H79)</f>
        <v>1.5</v>
      </c>
      <c r="I79" s="49">
        <f>AVERAGE('26.07 KYENGERA-BUSEGA-24h'!I79,'27.07 KYENGERA-BUSEGA-24h'!I79)</f>
        <v>15.5</v>
      </c>
      <c r="J79" s="49">
        <f>AVERAGE('26.07 KYENGERA-BUSEGA-24h'!J79,'27.07 KYENGERA-BUSEGA-24h'!J79)</f>
        <v>7.5</v>
      </c>
      <c r="K79" s="49">
        <f>AVERAGE('26.07 KYENGERA-BUSEGA-24h'!K79,'27.07 KYENGERA-BUSEGA-24h'!K79)</f>
        <v>2.5</v>
      </c>
      <c r="L79" s="49">
        <f>AVERAGE('26.07 KYENGERA-BUSEGA-24h'!L79,'27.07 KYENGERA-BUSEGA-24h'!L79)</f>
        <v>4</v>
      </c>
      <c r="M79" s="49">
        <f>AVERAGE('26.07 KYENGERA-BUSEGA-24h'!M79,'27.07 KYENGERA-BUSEGA-24h'!M79)</f>
        <v>46.5</v>
      </c>
      <c r="N79" s="49">
        <f>AVERAGE('26.07 KYENGERA-BUSEGA-24h'!N79,'27.07 KYENGERA-BUSEGA-24h'!N79)</f>
        <v>0</v>
      </c>
      <c r="O79" s="15">
        <f t="shared" si="35"/>
        <v>118.5</v>
      </c>
      <c r="P79" s="15">
        <f t="shared" si="36"/>
        <v>165</v>
      </c>
      <c r="R79" s="8"/>
      <c r="T79"/>
    </row>
    <row r="80" spans="2:20" ht="23.1" customHeight="1" x14ac:dyDescent="0.25">
      <c r="B80" s="25" t="s">
        <v>120</v>
      </c>
      <c r="C80" s="49">
        <f>AVERAGE('26.07 KYENGERA-BUSEGA-24h'!C80,'27.07 KYENGERA-BUSEGA-24h'!C80)</f>
        <v>43</v>
      </c>
      <c r="D80" s="49">
        <f>AVERAGE('26.07 KYENGERA-BUSEGA-24h'!D80,'27.07 KYENGERA-BUSEGA-24h'!D80)</f>
        <v>7</v>
      </c>
      <c r="E80" s="49">
        <f>AVERAGE('26.07 KYENGERA-BUSEGA-24h'!E80,'27.07 KYENGERA-BUSEGA-24h'!E80)</f>
        <v>5</v>
      </c>
      <c r="F80" s="49">
        <f>AVERAGE('26.07 KYENGERA-BUSEGA-24h'!F80,'27.07 KYENGERA-BUSEGA-24h'!F80)</f>
        <v>17.5</v>
      </c>
      <c r="G80" s="49">
        <f>AVERAGE('26.07 KYENGERA-BUSEGA-24h'!G80,'27.07 KYENGERA-BUSEGA-24h'!G80)</f>
        <v>0.5</v>
      </c>
      <c r="H80" s="49">
        <f>AVERAGE('26.07 KYENGERA-BUSEGA-24h'!H80,'27.07 KYENGERA-BUSEGA-24h'!H80)</f>
        <v>3</v>
      </c>
      <c r="I80" s="49">
        <f>AVERAGE('26.07 KYENGERA-BUSEGA-24h'!I80,'27.07 KYENGERA-BUSEGA-24h'!I80)</f>
        <v>10</v>
      </c>
      <c r="J80" s="49">
        <f>AVERAGE('26.07 KYENGERA-BUSEGA-24h'!J80,'27.07 KYENGERA-BUSEGA-24h'!J80)</f>
        <v>8</v>
      </c>
      <c r="K80" s="49">
        <f>AVERAGE('26.07 KYENGERA-BUSEGA-24h'!K80,'27.07 KYENGERA-BUSEGA-24h'!K80)</f>
        <v>0.5</v>
      </c>
      <c r="L80" s="49">
        <f>AVERAGE('26.07 KYENGERA-BUSEGA-24h'!L80,'27.07 KYENGERA-BUSEGA-24h'!L80)</f>
        <v>4</v>
      </c>
      <c r="M80" s="49">
        <f>AVERAGE('26.07 KYENGERA-BUSEGA-24h'!M80,'27.07 KYENGERA-BUSEGA-24h'!M80)</f>
        <v>36.5</v>
      </c>
      <c r="N80" s="49">
        <f>AVERAGE('26.07 KYENGERA-BUSEGA-24h'!N80,'27.07 KYENGERA-BUSEGA-24h'!N80)</f>
        <v>0</v>
      </c>
      <c r="O80" s="15">
        <f t="shared" si="35"/>
        <v>98.5</v>
      </c>
      <c r="P80" s="15">
        <f t="shared" si="36"/>
        <v>135</v>
      </c>
      <c r="R80" s="8"/>
      <c r="T80"/>
    </row>
    <row r="81" spans="2:20" ht="23.1" customHeight="1" x14ac:dyDescent="0.25">
      <c r="B81" s="23" t="s">
        <v>121</v>
      </c>
      <c r="C81" s="49">
        <f>AVERAGE('26.07 KYENGERA-BUSEGA-24h'!C81,'27.07 KYENGERA-BUSEGA-24h'!C81)</f>
        <v>25</v>
      </c>
      <c r="D81" s="49">
        <f>AVERAGE('26.07 KYENGERA-BUSEGA-24h'!D81,'27.07 KYENGERA-BUSEGA-24h'!D81)</f>
        <v>3</v>
      </c>
      <c r="E81" s="49">
        <f>AVERAGE('26.07 KYENGERA-BUSEGA-24h'!E81,'27.07 KYENGERA-BUSEGA-24h'!E81)</f>
        <v>5</v>
      </c>
      <c r="F81" s="49">
        <f>AVERAGE('26.07 KYENGERA-BUSEGA-24h'!F81,'27.07 KYENGERA-BUSEGA-24h'!F81)</f>
        <v>14</v>
      </c>
      <c r="G81" s="49">
        <f>AVERAGE('26.07 KYENGERA-BUSEGA-24h'!G81,'27.07 KYENGERA-BUSEGA-24h'!G81)</f>
        <v>1</v>
      </c>
      <c r="H81" s="49">
        <f>AVERAGE('26.07 KYENGERA-BUSEGA-24h'!H81,'27.07 KYENGERA-BUSEGA-24h'!H81)</f>
        <v>1.5</v>
      </c>
      <c r="I81" s="49">
        <f>AVERAGE('26.07 KYENGERA-BUSEGA-24h'!I81,'27.07 KYENGERA-BUSEGA-24h'!I81)</f>
        <v>15.5</v>
      </c>
      <c r="J81" s="49">
        <f>AVERAGE('26.07 KYENGERA-BUSEGA-24h'!J81,'27.07 KYENGERA-BUSEGA-24h'!J81)</f>
        <v>8.5</v>
      </c>
      <c r="K81" s="49">
        <f>AVERAGE('26.07 KYENGERA-BUSEGA-24h'!K81,'27.07 KYENGERA-BUSEGA-24h'!K81)</f>
        <v>0.5</v>
      </c>
      <c r="L81" s="49">
        <f>AVERAGE('26.07 KYENGERA-BUSEGA-24h'!L81,'27.07 KYENGERA-BUSEGA-24h'!L81)</f>
        <v>4.5</v>
      </c>
      <c r="M81" s="49">
        <f>AVERAGE('26.07 KYENGERA-BUSEGA-24h'!M81,'27.07 KYENGERA-BUSEGA-24h'!M81)</f>
        <v>38</v>
      </c>
      <c r="N81" s="49">
        <f>AVERAGE('26.07 KYENGERA-BUSEGA-24h'!N81,'27.07 KYENGERA-BUSEGA-24h'!N81)</f>
        <v>0</v>
      </c>
      <c r="O81" s="15">
        <f t="shared" si="35"/>
        <v>78.5</v>
      </c>
      <c r="P81" s="15">
        <f t="shared" si="36"/>
        <v>116.5</v>
      </c>
      <c r="R81" s="8"/>
      <c r="T81"/>
    </row>
    <row r="82" spans="2:20" ht="23.1" customHeight="1" x14ac:dyDescent="0.25">
      <c r="B82" s="24" t="s">
        <v>122</v>
      </c>
      <c r="C82" s="49">
        <f>AVERAGE('26.07 KYENGERA-BUSEGA-24h'!C82,'27.07 KYENGERA-BUSEGA-24h'!C82)</f>
        <v>16.5</v>
      </c>
      <c r="D82" s="49">
        <f>AVERAGE('26.07 KYENGERA-BUSEGA-24h'!D82,'27.07 KYENGERA-BUSEGA-24h'!D82)</f>
        <v>2.5</v>
      </c>
      <c r="E82" s="49">
        <f>AVERAGE('26.07 KYENGERA-BUSEGA-24h'!E82,'27.07 KYENGERA-BUSEGA-24h'!E82)</f>
        <v>2</v>
      </c>
      <c r="F82" s="49">
        <f>AVERAGE('26.07 KYENGERA-BUSEGA-24h'!F82,'27.07 KYENGERA-BUSEGA-24h'!F82)</f>
        <v>8.5</v>
      </c>
      <c r="G82" s="49">
        <f>AVERAGE('26.07 KYENGERA-BUSEGA-24h'!G82,'27.07 KYENGERA-BUSEGA-24h'!G82)</f>
        <v>1</v>
      </c>
      <c r="H82" s="49">
        <f>AVERAGE('26.07 KYENGERA-BUSEGA-24h'!H82,'27.07 KYENGERA-BUSEGA-24h'!H82)</f>
        <v>1</v>
      </c>
      <c r="I82" s="49">
        <f>AVERAGE('26.07 KYENGERA-BUSEGA-24h'!I82,'27.07 KYENGERA-BUSEGA-24h'!I82)</f>
        <v>11.5</v>
      </c>
      <c r="J82" s="49">
        <f>AVERAGE('26.07 KYENGERA-BUSEGA-24h'!J82,'27.07 KYENGERA-BUSEGA-24h'!J82)</f>
        <v>12.5</v>
      </c>
      <c r="K82" s="49">
        <f>AVERAGE('26.07 KYENGERA-BUSEGA-24h'!K82,'27.07 KYENGERA-BUSEGA-24h'!K82)</f>
        <v>2</v>
      </c>
      <c r="L82" s="49">
        <f>AVERAGE('26.07 KYENGERA-BUSEGA-24h'!L82,'27.07 KYENGERA-BUSEGA-24h'!L82)</f>
        <v>5.5</v>
      </c>
      <c r="M82" s="49">
        <f>AVERAGE('26.07 KYENGERA-BUSEGA-24h'!M82,'27.07 KYENGERA-BUSEGA-24h'!M82)</f>
        <v>37.5</v>
      </c>
      <c r="N82" s="49">
        <f>AVERAGE('26.07 KYENGERA-BUSEGA-24h'!N82,'27.07 KYENGERA-BUSEGA-24h'!N82)</f>
        <v>0</v>
      </c>
      <c r="O82" s="15">
        <f t="shared" si="35"/>
        <v>63</v>
      </c>
      <c r="P82" s="15">
        <f t="shared" si="36"/>
        <v>100.5</v>
      </c>
      <c r="R82" s="8"/>
      <c r="T82"/>
    </row>
    <row r="83" spans="2:20" ht="23.1" customHeight="1" x14ac:dyDescent="0.25">
      <c r="B83" s="23" t="s">
        <v>123</v>
      </c>
      <c r="C83" s="49">
        <f>AVERAGE('26.07 KYENGERA-BUSEGA-24h'!C83,'27.07 KYENGERA-BUSEGA-24h'!C83)</f>
        <v>18.5</v>
      </c>
      <c r="D83" s="49">
        <f>AVERAGE('26.07 KYENGERA-BUSEGA-24h'!D83,'27.07 KYENGERA-BUSEGA-24h'!D83)</f>
        <v>1</v>
      </c>
      <c r="E83" s="49">
        <f>AVERAGE('26.07 KYENGERA-BUSEGA-24h'!E83,'27.07 KYENGERA-BUSEGA-24h'!E83)</f>
        <v>1</v>
      </c>
      <c r="F83" s="49">
        <f>AVERAGE('26.07 KYENGERA-BUSEGA-24h'!F83,'27.07 KYENGERA-BUSEGA-24h'!F83)</f>
        <v>8.5</v>
      </c>
      <c r="G83" s="49">
        <f>AVERAGE('26.07 KYENGERA-BUSEGA-24h'!G83,'27.07 KYENGERA-BUSEGA-24h'!G83)</f>
        <v>0</v>
      </c>
      <c r="H83" s="49">
        <f>AVERAGE('26.07 KYENGERA-BUSEGA-24h'!H83,'27.07 KYENGERA-BUSEGA-24h'!H83)</f>
        <v>0</v>
      </c>
      <c r="I83" s="49">
        <f>AVERAGE('26.07 KYENGERA-BUSEGA-24h'!I83,'27.07 KYENGERA-BUSEGA-24h'!I83)</f>
        <v>8</v>
      </c>
      <c r="J83" s="49">
        <f>AVERAGE('26.07 KYENGERA-BUSEGA-24h'!J83,'27.07 KYENGERA-BUSEGA-24h'!J83)</f>
        <v>10</v>
      </c>
      <c r="K83" s="49">
        <f>AVERAGE('26.07 KYENGERA-BUSEGA-24h'!K83,'27.07 KYENGERA-BUSEGA-24h'!K83)</f>
        <v>0.5</v>
      </c>
      <c r="L83" s="49">
        <f>AVERAGE('26.07 KYENGERA-BUSEGA-24h'!L83,'27.07 KYENGERA-BUSEGA-24h'!L83)</f>
        <v>4</v>
      </c>
      <c r="M83" s="49">
        <f>AVERAGE('26.07 KYENGERA-BUSEGA-24h'!M83,'27.07 KYENGERA-BUSEGA-24h'!M83)</f>
        <v>33</v>
      </c>
      <c r="N83" s="49">
        <f>AVERAGE('26.07 KYENGERA-BUSEGA-24h'!N83,'27.07 KYENGERA-BUSEGA-24h'!N83)</f>
        <v>0</v>
      </c>
      <c r="O83" s="15">
        <f t="shared" si="35"/>
        <v>51.5</v>
      </c>
      <c r="P83" s="15">
        <f t="shared" si="36"/>
        <v>84.5</v>
      </c>
      <c r="R83" s="8"/>
      <c r="T83"/>
    </row>
    <row r="84" spans="2:20" ht="23.1" customHeight="1" x14ac:dyDescent="0.25">
      <c r="B84" s="25" t="s">
        <v>124</v>
      </c>
      <c r="C84" s="49">
        <f>AVERAGE('26.07 KYENGERA-BUSEGA-24h'!C84,'27.07 KYENGERA-BUSEGA-24h'!C84)</f>
        <v>17.5</v>
      </c>
      <c r="D84" s="49">
        <f>AVERAGE('26.07 KYENGERA-BUSEGA-24h'!D84,'27.07 KYENGERA-BUSEGA-24h'!D84)</f>
        <v>2</v>
      </c>
      <c r="E84" s="49">
        <f>AVERAGE('26.07 KYENGERA-BUSEGA-24h'!E84,'27.07 KYENGERA-BUSEGA-24h'!E84)</f>
        <v>1</v>
      </c>
      <c r="F84" s="49">
        <f>AVERAGE('26.07 KYENGERA-BUSEGA-24h'!F84,'27.07 KYENGERA-BUSEGA-24h'!F84)</f>
        <v>7.5</v>
      </c>
      <c r="G84" s="49">
        <f>AVERAGE('26.07 KYENGERA-BUSEGA-24h'!G84,'27.07 KYENGERA-BUSEGA-24h'!G84)</f>
        <v>0</v>
      </c>
      <c r="H84" s="49">
        <f>AVERAGE('26.07 KYENGERA-BUSEGA-24h'!H84,'27.07 KYENGERA-BUSEGA-24h'!H84)</f>
        <v>0.5</v>
      </c>
      <c r="I84" s="49">
        <f>AVERAGE('26.07 KYENGERA-BUSEGA-24h'!I84,'27.07 KYENGERA-BUSEGA-24h'!I84)</f>
        <v>8</v>
      </c>
      <c r="J84" s="49">
        <f>AVERAGE('26.07 KYENGERA-BUSEGA-24h'!J84,'27.07 KYENGERA-BUSEGA-24h'!J84)</f>
        <v>10</v>
      </c>
      <c r="K84" s="49">
        <f>AVERAGE('26.07 KYENGERA-BUSEGA-24h'!K84,'27.07 KYENGERA-BUSEGA-24h'!K84)</f>
        <v>0.5</v>
      </c>
      <c r="L84" s="49">
        <f>AVERAGE('26.07 KYENGERA-BUSEGA-24h'!L84,'27.07 KYENGERA-BUSEGA-24h'!L84)</f>
        <v>3.5</v>
      </c>
      <c r="M84" s="49">
        <f>AVERAGE('26.07 KYENGERA-BUSEGA-24h'!M84,'27.07 KYENGERA-BUSEGA-24h'!M84)</f>
        <v>37</v>
      </c>
      <c r="N84" s="49">
        <f>AVERAGE('26.07 KYENGERA-BUSEGA-24h'!N84,'27.07 KYENGERA-BUSEGA-24h'!N84)</f>
        <v>0</v>
      </c>
      <c r="O84" s="15">
        <f t="shared" si="35"/>
        <v>50.5</v>
      </c>
      <c r="P84" s="15">
        <f t="shared" si="36"/>
        <v>87.5</v>
      </c>
      <c r="R84" s="8"/>
      <c r="T84"/>
    </row>
    <row r="85" spans="2:20" ht="23.1" customHeight="1" x14ac:dyDescent="0.25">
      <c r="B85" s="23" t="s">
        <v>125</v>
      </c>
      <c r="C85" s="49">
        <f>AVERAGE('26.07 KYENGERA-BUSEGA-24h'!C85,'27.07 KYENGERA-BUSEGA-24h'!C85)</f>
        <v>14.5</v>
      </c>
      <c r="D85" s="49">
        <f>AVERAGE('26.07 KYENGERA-BUSEGA-24h'!D85,'27.07 KYENGERA-BUSEGA-24h'!D85)</f>
        <v>4</v>
      </c>
      <c r="E85" s="49">
        <f>AVERAGE('26.07 KYENGERA-BUSEGA-24h'!E85,'27.07 KYENGERA-BUSEGA-24h'!E85)</f>
        <v>1.5</v>
      </c>
      <c r="F85" s="49">
        <f>AVERAGE('26.07 KYENGERA-BUSEGA-24h'!F85,'27.07 KYENGERA-BUSEGA-24h'!F85)</f>
        <v>4.5</v>
      </c>
      <c r="G85" s="49">
        <f>AVERAGE('26.07 KYENGERA-BUSEGA-24h'!G85,'27.07 KYENGERA-BUSEGA-24h'!G85)</f>
        <v>0.5</v>
      </c>
      <c r="H85" s="49">
        <f>AVERAGE('26.07 KYENGERA-BUSEGA-24h'!H85,'27.07 KYENGERA-BUSEGA-24h'!H85)</f>
        <v>0</v>
      </c>
      <c r="I85" s="49">
        <f>AVERAGE('26.07 KYENGERA-BUSEGA-24h'!I85,'27.07 KYENGERA-BUSEGA-24h'!I85)</f>
        <v>10.5</v>
      </c>
      <c r="J85" s="49">
        <f>AVERAGE('26.07 KYENGERA-BUSEGA-24h'!J85,'27.07 KYENGERA-BUSEGA-24h'!J85)</f>
        <v>7</v>
      </c>
      <c r="K85" s="49">
        <f>AVERAGE('26.07 KYENGERA-BUSEGA-24h'!K85,'27.07 KYENGERA-BUSEGA-24h'!K85)</f>
        <v>4.5</v>
      </c>
      <c r="L85" s="49">
        <f>AVERAGE('26.07 KYENGERA-BUSEGA-24h'!L85,'27.07 KYENGERA-BUSEGA-24h'!L85)</f>
        <v>4.5</v>
      </c>
      <c r="M85" s="49">
        <f>AVERAGE('26.07 KYENGERA-BUSEGA-24h'!M85,'27.07 KYENGERA-BUSEGA-24h'!M85)</f>
        <v>28.5</v>
      </c>
      <c r="N85" s="49">
        <f>AVERAGE('26.07 KYENGERA-BUSEGA-24h'!N85,'27.07 KYENGERA-BUSEGA-24h'!N85)</f>
        <v>0</v>
      </c>
      <c r="O85" s="15">
        <f t="shared" si="35"/>
        <v>51.5</v>
      </c>
      <c r="P85" s="15">
        <f t="shared" si="36"/>
        <v>80</v>
      </c>
      <c r="R85" s="8"/>
      <c r="T85"/>
    </row>
    <row r="86" spans="2:20" ht="23.1" customHeight="1" x14ac:dyDescent="0.25">
      <c r="B86" s="24" t="s">
        <v>126</v>
      </c>
      <c r="C86" s="49">
        <f>AVERAGE('26.07 KYENGERA-BUSEGA-24h'!C86,'27.07 KYENGERA-BUSEGA-24h'!C86)</f>
        <v>14</v>
      </c>
      <c r="D86" s="49">
        <f>AVERAGE('26.07 KYENGERA-BUSEGA-24h'!D86,'27.07 KYENGERA-BUSEGA-24h'!D86)</f>
        <v>3</v>
      </c>
      <c r="E86" s="49">
        <f>AVERAGE('26.07 KYENGERA-BUSEGA-24h'!E86,'27.07 KYENGERA-BUSEGA-24h'!E86)</f>
        <v>1.5</v>
      </c>
      <c r="F86" s="49">
        <f>AVERAGE('26.07 KYENGERA-BUSEGA-24h'!F86,'27.07 KYENGERA-BUSEGA-24h'!F86)</f>
        <v>2.5</v>
      </c>
      <c r="G86" s="49">
        <f>AVERAGE('26.07 KYENGERA-BUSEGA-24h'!G86,'27.07 KYENGERA-BUSEGA-24h'!G86)</f>
        <v>0</v>
      </c>
      <c r="H86" s="49">
        <f>AVERAGE('26.07 KYENGERA-BUSEGA-24h'!H86,'27.07 KYENGERA-BUSEGA-24h'!H86)</f>
        <v>1.5</v>
      </c>
      <c r="I86" s="49">
        <f>AVERAGE('26.07 KYENGERA-BUSEGA-24h'!I86,'27.07 KYENGERA-BUSEGA-24h'!I86)</f>
        <v>9.5</v>
      </c>
      <c r="J86" s="49">
        <f>AVERAGE('26.07 KYENGERA-BUSEGA-24h'!J86,'27.07 KYENGERA-BUSEGA-24h'!J86)</f>
        <v>12.5</v>
      </c>
      <c r="K86" s="49">
        <f>AVERAGE('26.07 KYENGERA-BUSEGA-24h'!K86,'27.07 KYENGERA-BUSEGA-24h'!K86)</f>
        <v>0.5</v>
      </c>
      <c r="L86" s="49">
        <f>AVERAGE('26.07 KYENGERA-BUSEGA-24h'!L86,'27.07 KYENGERA-BUSEGA-24h'!L86)</f>
        <v>2</v>
      </c>
      <c r="M86" s="49">
        <f>AVERAGE('26.07 KYENGERA-BUSEGA-24h'!M86,'27.07 KYENGERA-BUSEGA-24h'!M86)</f>
        <v>37.5</v>
      </c>
      <c r="N86" s="49">
        <f>AVERAGE('26.07 KYENGERA-BUSEGA-24h'!N86,'27.07 KYENGERA-BUSEGA-24h'!N86)</f>
        <v>0</v>
      </c>
      <c r="O86" s="15">
        <f t="shared" si="35"/>
        <v>47</v>
      </c>
      <c r="P86" s="15">
        <f t="shared" si="36"/>
        <v>84.5</v>
      </c>
      <c r="R86" s="8"/>
      <c r="T86"/>
    </row>
    <row r="87" spans="2:20" ht="23.1" customHeight="1" x14ac:dyDescent="0.25">
      <c r="B87" s="23" t="s">
        <v>127</v>
      </c>
      <c r="C87" s="49">
        <f>AVERAGE('26.07 KYENGERA-BUSEGA-24h'!C87,'27.07 KYENGERA-BUSEGA-24h'!C87)</f>
        <v>15</v>
      </c>
      <c r="D87" s="49">
        <f>AVERAGE('26.07 KYENGERA-BUSEGA-24h'!D87,'27.07 KYENGERA-BUSEGA-24h'!D87)</f>
        <v>0.5</v>
      </c>
      <c r="E87" s="49">
        <f>AVERAGE('26.07 KYENGERA-BUSEGA-24h'!E87,'27.07 KYENGERA-BUSEGA-24h'!E87)</f>
        <v>0.5</v>
      </c>
      <c r="F87" s="49">
        <f>AVERAGE('26.07 KYENGERA-BUSEGA-24h'!F87,'27.07 KYENGERA-BUSEGA-24h'!F87)</f>
        <v>4.5</v>
      </c>
      <c r="G87" s="49">
        <f>AVERAGE('26.07 KYENGERA-BUSEGA-24h'!G87,'27.07 KYENGERA-BUSEGA-24h'!G87)</f>
        <v>0</v>
      </c>
      <c r="H87" s="49">
        <f>AVERAGE('26.07 KYENGERA-BUSEGA-24h'!H87,'27.07 KYENGERA-BUSEGA-24h'!H87)</f>
        <v>0.5</v>
      </c>
      <c r="I87" s="49">
        <f>AVERAGE('26.07 KYENGERA-BUSEGA-24h'!I87,'27.07 KYENGERA-BUSEGA-24h'!I87)</f>
        <v>10</v>
      </c>
      <c r="J87" s="49">
        <f>AVERAGE('26.07 KYENGERA-BUSEGA-24h'!J87,'27.07 KYENGERA-BUSEGA-24h'!J87)</f>
        <v>10.5</v>
      </c>
      <c r="K87" s="49">
        <f>AVERAGE('26.07 KYENGERA-BUSEGA-24h'!K87,'27.07 KYENGERA-BUSEGA-24h'!K87)</f>
        <v>1</v>
      </c>
      <c r="L87" s="49">
        <f>AVERAGE('26.07 KYENGERA-BUSEGA-24h'!L87,'27.07 KYENGERA-BUSEGA-24h'!L87)</f>
        <v>2</v>
      </c>
      <c r="M87" s="49">
        <f>AVERAGE('26.07 KYENGERA-BUSEGA-24h'!M87,'27.07 KYENGERA-BUSEGA-24h'!M87)</f>
        <v>38</v>
      </c>
      <c r="N87" s="49">
        <f>AVERAGE('26.07 KYENGERA-BUSEGA-24h'!N87,'27.07 KYENGERA-BUSEGA-24h'!N87)</f>
        <v>0</v>
      </c>
      <c r="O87" s="15">
        <f t="shared" si="35"/>
        <v>44.5</v>
      </c>
      <c r="P87" s="15">
        <f t="shared" si="36"/>
        <v>82.5</v>
      </c>
      <c r="R87" s="8"/>
      <c r="T87"/>
    </row>
    <row r="88" spans="2:20" ht="23.1" customHeight="1" x14ac:dyDescent="0.25">
      <c r="B88" s="25" t="s">
        <v>128</v>
      </c>
      <c r="C88" s="49">
        <f>AVERAGE('26.07 KYENGERA-BUSEGA-24h'!C88,'27.07 KYENGERA-BUSEGA-24h'!C88)</f>
        <v>9</v>
      </c>
      <c r="D88" s="49">
        <f>AVERAGE('26.07 KYENGERA-BUSEGA-24h'!D88,'27.07 KYENGERA-BUSEGA-24h'!D88)</f>
        <v>2</v>
      </c>
      <c r="E88" s="49">
        <f>AVERAGE('26.07 KYENGERA-BUSEGA-24h'!E88,'27.07 KYENGERA-BUSEGA-24h'!E88)</f>
        <v>0.5</v>
      </c>
      <c r="F88" s="49">
        <f>AVERAGE('26.07 KYENGERA-BUSEGA-24h'!F88,'27.07 KYENGERA-BUSEGA-24h'!F88)</f>
        <v>3.5</v>
      </c>
      <c r="G88" s="49">
        <f>AVERAGE('26.07 KYENGERA-BUSEGA-24h'!G88,'27.07 KYENGERA-BUSEGA-24h'!G88)</f>
        <v>0.5</v>
      </c>
      <c r="H88" s="49">
        <f>AVERAGE('26.07 KYENGERA-BUSEGA-24h'!H88,'27.07 KYENGERA-BUSEGA-24h'!H88)</f>
        <v>0.5</v>
      </c>
      <c r="I88" s="49">
        <f>AVERAGE('26.07 KYENGERA-BUSEGA-24h'!I88,'27.07 KYENGERA-BUSEGA-24h'!I88)</f>
        <v>7</v>
      </c>
      <c r="J88" s="49">
        <f>AVERAGE('26.07 KYENGERA-BUSEGA-24h'!J88,'27.07 KYENGERA-BUSEGA-24h'!J88)</f>
        <v>6.5</v>
      </c>
      <c r="K88" s="49">
        <f>AVERAGE('26.07 KYENGERA-BUSEGA-24h'!K88,'27.07 KYENGERA-BUSEGA-24h'!K88)</f>
        <v>1.5</v>
      </c>
      <c r="L88" s="49">
        <f>AVERAGE('26.07 KYENGERA-BUSEGA-24h'!L88,'27.07 KYENGERA-BUSEGA-24h'!L88)</f>
        <v>3.5</v>
      </c>
      <c r="M88" s="49">
        <f>AVERAGE('26.07 KYENGERA-BUSEGA-24h'!M88,'27.07 KYENGERA-BUSEGA-24h'!M88)</f>
        <v>45.5</v>
      </c>
      <c r="N88" s="49">
        <f>AVERAGE('26.07 KYENGERA-BUSEGA-24h'!N88,'27.07 KYENGERA-BUSEGA-24h'!N88)</f>
        <v>0</v>
      </c>
      <c r="O88" s="15">
        <f t="shared" si="35"/>
        <v>34.5</v>
      </c>
      <c r="P88" s="15">
        <f t="shared" si="36"/>
        <v>80</v>
      </c>
      <c r="R88" s="8"/>
      <c r="T88"/>
    </row>
    <row r="89" spans="2:20" ht="23.1" customHeight="1" x14ac:dyDescent="0.25">
      <c r="B89" s="23" t="s">
        <v>129</v>
      </c>
      <c r="C89" s="49">
        <f>AVERAGE('26.07 KYENGERA-BUSEGA-24h'!C89,'27.07 KYENGERA-BUSEGA-24h'!C89)</f>
        <v>10</v>
      </c>
      <c r="D89" s="49">
        <f>AVERAGE('26.07 KYENGERA-BUSEGA-24h'!D89,'27.07 KYENGERA-BUSEGA-24h'!D89)</f>
        <v>1</v>
      </c>
      <c r="E89" s="49">
        <f>AVERAGE('26.07 KYENGERA-BUSEGA-24h'!E89,'27.07 KYENGERA-BUSEGA-24h'!E89)</f>
        <v>0.5</v>
      </c>
      <c r="F89" s="49">
        <f>AVERAGE('26.07 KYENGERA-BUSEGA-24h'!F89,'27.07 KYENGERA-BUSEGA-24h'!F89)</f>
        <v>6</v>
      </c>
      <c r="G89" s="49">
        <f>AVERAGE('26.07 KYENGERA-BUSEGA-24h'!G89,'27.07 KYENGERA-BUSEGA-24h'!G89)</f>
        <v>0</v>
      </c>
      <c r="H89" s="49">
        <f>AVERAGE('26.07 KYENGERA-BUSEGA-24h'!H89,'27.07 KYENGERA-BUSEGA-24h'!H89)</f>
        <v>0.5</v>
      </c>
      <c r="I89" s="49">
        <f>AVERAGE('26.07 KYENGERA-BUSEGA-24h'!I89,'27.07 KYENGERA-BUSEGA-24h'!I89)</f>
        <v>11</v>
      </c>
      <c r="J89" s="49">
        <f>AVERAGE('26.07 KYENGERA-BUSEGA-24h'!J89,'27.07 KYENGERA-BUSEGA-24h'!J89)</f>
        <v>15</v>
      </c>
      <c r="K89" s="49">
        <f>AVERAGE('26.07 KYENGERA-BUSEGA-24h'!K89,'27.07 KYENGERA-BUSEGA-24h'!K89)</f>
        <v>0</v>
      </c>
      <c r="L89" s="49">
        <f>AVERAGE('26.07 KYENGERA-BUSEGA-24h'!L89,'27.07 KYENGERA-BUSEGA-24h'!L89)</f>
        <v>2.5</v>
      </c>
      <c r="M89" s="49">
        <f>AVERAGE('26.07 KYENGERA-BUSEGA-24h'!M89,'27.07 KYENGERA-BUSEGA-24h'!M89)</f>
        <v>25.5</v>
      </c>
      <c r="N89" s="49">
        <f>AVERAGE('26.07 KYENGERA-BUSEGA-24h'!N89,'27.07 KYENGERA-BUSEGA-24h'!N89)</f>
        <v>0</v>
      </c>
      <c r="O89" s="15">
        <f t="shared" si="35"/>
        <v>46.5</v>
      </c>
      <c r="P89" s="15">
        <f t="shared" si="36"/>
        <v>72</v>
      </c>
      <c r="R89" s="8"/>
      <c r="T89"/>
    </row>
    <row r="90" spans="2:20" ht="23.1" customHeight="1" x14ac:dyDescent="0.25">
      <c r="B90" s="24" t="s">
        <v>130</v>
      </c>
      <c r="C90" s="49">
        <f>AVERAGE('26.07 KYENGERA-BUSEGA-24h'!C90,'27.07 KYENGERA-BUSEGA-24h'!C90)</f>
        <v>6</v>
      </c>
      <c r="D90" s="49">
        <f>AVERAGE('26.07 KYENGERA-BUSEGA-24h'!D90,'27.07 KYENGERA-BUSEGA-24h'!D90)</f>
        <v>1</v>
      </c>
      <c r="E90" s="49">
        <f>AVERAGE('26.07 KYENGERA-BUSEGA-24h'!E90,'27.07 KYENGERA-BUSEGA-24h'!E90)</f>
        <v>0.5</v>
      </c>
      <c r="F90" s="49">
        <f>AVERAGE('26.07 KYENGERA-BUSEGA-24h'!F90,'27.07 KYENGERA-BUSEGA-24h'!F90)</f>
        <v>2</v>
      </c>
      <c r="G90" s="49">
        <f>AVERAGE('26.07 KYENGERA-BUSEGA-24h'!G90,'27.07 KYENGERA-BUSEGA-24h'!G90)</f>
        <v>0</v>
      </c>
      <c r="H90" s="49">
        <f>AVERAGE('26.07 KYENGERA-BUSEGA-24h'!H90,'27.07 KYENGERA-BUSEGA-24h'!H90)</f>
        <v>1</v>
      </c>
      <c r="I90" s="49">
        <f>AVERAGE('26.07 KYENGERA-BUSEGA-24h'!I90,'27.07 KYENGERA-BUSEGA-24h'!I90)</f>
        <v>8</v>
      </c>
      <c r="J90" s="49">
        <f>AVERAGE('26.07 KYENGERA-BUSEGA-24h'!J90,'27.07 KYENGERA-BUSEGA-24h'!J90)</f>
        <v>10.5</v>
      </c>
      <c r="K90" s="49">
        <f>AVERAGE('26.07 KYENGERA-BUSEGA-24h'!K90,'27.07 KYENGERA-BUSEGA-24h'!K90)</f>
        <v>2.5</v>
      </c>
      <c r="L90" s="49">
        <f>AVERAGE('26.07 KYENGERA-BUSEGA-24h'!L90,'27.07 KYENGERA-BUSEGA-24h'!L90)</f>
        <v>3</v>
      </c>
      <c r="M90" s="49">
        <f>AVERAGE('26.07 KYENGERA-BUSEGA-24h'!M90,'27.07 KYENGERA-BUSEGA-24h'!M90)</f>
        <v>34.5</v>
      </c>
      <c r="N90" s="49">
        <f>AVERAGE('26.07 KYENGERA-BUSEGA-24h'!N90,'27.07 KYENGERA-BUSEGA-24h'!N90)</f>
        <v>0</v>
      </c>
      <c r="O90" s="15">
        <f t="shared" si="35"/>
        <v>34.5</v>
      </c>
      <c r="P90" s="15">
        <f t="shared" si="36"/>
        <v>69</v>
      </c>
      <c r="R90" s="8"/>
      <c r="T90"/>
    </row>
    <row r="91" spans="2:20" ht="23.1" customHeight="1" x14ac:dyDescent="0.25">
      <c r="B91" s="23" t="s">
        <v>131</v>
      </c>
      <c r="C91" s="49">
        <f>AVERAGE('26.07 KYENGERA-BUSEGA-24h'!C91,'27.07 KYENGERA-BUSEGA-24h'!C91)</f>
        <v>11</v>
      </c>
      <c r="D91" s="49">
        <f>AVERAGE('26.07 KYENGERA-BUSEGA-24h'!D91,'27.07 KYENGERA-BUSEGA-24h'!D91)</f>
        <v>1.5</v>
      </c>
      <c r="E91" s="49">
        <f>AVERAGE('26.07 KYENGERA-BUSEGA-24h'!E91,'27.07 KYENGERA-BUSEGA-24h'!E91)</f>
        <v>1</v>
      </c>
      <c r="F91" s="49">
        <f>AVERAGE('26.07 KYENGERA-BUSEGA-24h'!F91,'27.07 KYENGERA-BUSEGA-24h'!F91)</f>
        <v>2</v>
      </c>
      <c r="G91" s="49">
        <f>AVERAGE('26.07 KYENGERA-BUSEGA-24h'!G91,'27.07 KYENGERA-BUSEGA-24h'!G91)</f>
        <v>0.5</v>
      </c>
      <c r="H91" s="49">
        <f>AVERAGE('26.07 KYENGERA-BUSEGA-24h'!H91,'27.07 KYENGERA-BUSEGA-24h'!H91)</f>
        <v>3</v>
      </c>
      <c r="I91" s="49">
        <f>AVERAGE('26.07 KYENGERA-BUSEGA-24h'!I91,'27.07 KYENGERA-BUSEGA-24h'!I91)</f>
        <v>9.5</v>
      </c>
      <c r="J91" s="49">
        <f>AVERAGE('26.07 KYENGERA-BUSEGA-24h'!J91,'27.07 KYENGERA-BUSEGA-24h'!J91)</f>
        <v>14</v>
      </c>
      <c r="K91" s="49">
        <f>AVERAGE('26.07 KYENGERA-BUSEGA-24h'!K91,'27.07 KYENGERA-BUSEGA-24h'!K91)</f>
        <v>0.5</v>
      </c>
      <c r="L91" s="49">
        <f>AVERAGE('26.07 KYENGERA-BUSEGA-24h'!L91,'27.07 KYENGERA-BUSEGA-24h'!L91)</f>
        <v>2.5</v>
      </c>
      <c r="M91" s="49">
        <f>AVERAGE('26.07 KYENGERA-BUSEGA-24h'!M91,'27.07 KYENGERA-BUSEGA-24h'!M91)</f>
        <v>23</v>
      </c>
      <c r="N91" s="49">
        <f>AVERAGE('26.07 KYENGERA-BUSEGA-24h'!N91,'27.07 KYENGERA-BUSEGA-24h'!N91)</f>
        <v>0</v>
      </c>
      <c r="O91" s="15">
        <f t="shared" si="35"/>
        <v>45.5</v>
      </c>
      <c r="P91" s="15">
        <f t="shared" si="36"/>
        <v>68.5</v>
      </c>
      <c r="R91" s="8"/>
      <c r="T91"/>
    </row>
    <row r="92" spans="2:20" ht="23.1" customHeight="1" x14ac:dyDescent="0.25">
      <c r="B92" s="25" t="s">
        <v>132</v>
      </c>
      <c r="C92" s="49">
        <f>AVERAGE('26.07 KYENGERA-BUSEGA-24h'!C92,'27.07 KYENGERA-BUSEGA-24h'!C92)</f>
        <v>9</v>
      </c>
      <c r="D92" s="49">
        <f>AVERAGE('26.07 KYENGERA-BUSEGA-24h'!D92,'27.07 KYENGERA-BUSEGA-24h'!D92)</f>
        <v>1</v>
      </c>
      <c r="E92" s="49">
        <f>AVERAGE('26.07 KYENGERA-BUSEGA-24h'!E92,'27.07 KYENGERA-BUSEGA-24h'!E92)</f>
        <v>1.5</v>
      </c>
      <c r="F92" s="49">
        <f>AVERAGE('26.07 KYENGERA-BUSEGA-24h'!F92,'27.07 KYENGERA-BUSEGA-24h'!F92)</f>
        <v>2</v>
      </c>
      <c r="G92" s="49">
        <f>AVERAGE('26.07 KYENGERA-BUSEGA-24h'!G92,'27.07 KYENGERA-BUSEGA-24h'!G92)</f>
        <v>1.5</v>
      </c>
      <c r="H92" s="49">
        <f>AVERAGE('26.07 KYENGERA-BUSEGA-24h'!H92,'27.07 KYENGERA-BUSEGA-24h'!H92)</f>
        <v>2</v>
      </c>
      <c r="I92" s="49">
        <f>AVERAGE('26.07 KYENGERA-BUSEGA-24h'!I92,'27.07 KYENGERA-BUSEGA-24h'!I92)</f>
        <v>8</v>
      </c>
      <c r="J92" s="49">
        <f>AVERAGE('26.07 KYENGERA-BUSEGA-24h'!J92,'27.07 KYENGERA-BUSEGA-24h'!J92)</f>
        <v>4</v>
      </c>
      <c r="K92" s="49">
        <f>AVERAGE('26.07 KYENGERA-BUSEGA-24h'!K92,'27.07 KYENGERA-BUSEGA-24h'!K92)</f>
        <v>1</v>
      </c>
      <c r="L92" s="49">
        <f>AVERAGE('26.07 KYENGERA-BUSEGA-24h'!L92,'27.07 KYENGERA-BUSEGA-24h'!L92)</f>
        <v>4</v>
      </c>
      <c r="M92" s="49">
        <f>AVERAGE('26.07 KYENGERA-BUSEGA-24h'!M92,'27.07 KYENGERA-BUSEGA-24h'!M92)</f>
        <v>22</v>
      </c>
      <c r="N92" s="49">
        <f>AVERAGE('26.07 KYENGERA-BUSEGA-24h'!N92,'27.07 KYENGERA-BUSEGA-24h'!N92)</f>
        <v>0</v>
      </c>
      <c r="O92" s="15">
        <f t="shared" si="35"/>
        <v>34</v>
      </c>
      <c r="P92" s="15">
        <f t="shared" si="36"/>
        <v>56</v>
      </c>
      <c r="R92" s="8"/>
      <c r="T92"/>
    </row>
    <row r="93" spans="2:20" ht="23.1" customHeight="1" x14ac:dyDescent="0.25">
      <c r="B93" s="23" t="s">
        <v>133</v>
      </c>
      <c r="C93" s="49">
        <f>AVERAGE('26.07 KYENGERA-BUSEGA-24h'!C93,'27.07 KYENGERA-BUSEGA-24h'!C93)</f>
        <v>10</v>
      </c>
      <c r="D93" s="49">
        <f>AVERAGE('26.07 KYENGERA-BUSEGA-24h'!D93,'27.07 KYENGERA-BUSEGA-24h'!D93)</f>
        <v>0.5</v>
      </c>
      <c r="E93" s="49">
        <f>AVERAGE('26.07 KYENGERA-BUSEGA-24h'!E93,'27.07 KYENGERA-BUSEGA-24h'!E93)</f>
        <v>1</v>
      </c>
      <c r="F93" s="49">
        <f>AVERAGE('26.07 KYENGERA-BUSEGA-24h'!F93,'27.07 KYENGERA-BUSEGA-24h'!F93)</f>
        <v>3</v>
      </c>
      <c r="G93" s="49">
        <f>AVERAGE('26.07 KYENGERA-BUSEGA-24h'!G93,'27.07 KYENGERA-BUSEGA-24h'!G93)</f>
        <v>0.5</v>
      </c>
      <c r="H93" s="49">
        <f>AVERAGE('26.07 KYENGERA-BUSEGA-24h'!H93,'27.07 KYENGERA-BUSEGA-24h'!H93)</f>
        <v>1</v>
      </c>
      <c r="I93" s="49">
        <f>AVERAGE('26.07 KYENGERA-BUSEGA-24h'!I93,'27.07 KYENGERA-BUSEGA-24h'!I93)</f>
        <v>6</v>
      </c>
      <c r="J93" s="49">
        <f>AVERAGE('26.07 KYENGERA-BUSEGA-24h'!J93,'27.07 KYENGERA-BUSEGA-24h'!J93)</f>
        <v>15</v>
      </c>
      <c r="K93" s="49">
        <f>AVERAGE('26.07 KYENGERA-BUSEGA-24h'!K93,'27.07 KYENGERA-BUSEGA-24h'!K93)</f>
        <v>0</v>
      </c>
      <c r="L93" s="49">
        <f>AVERAGE('26.07 KYENGERA-BUSEGA-24h'!L93,'27.07 KYENGERA-BUSEGA-24h'!L93)</f>
        <v>1</v>
      </c>
      <c r="M93" s="49">
        <f>AVERAGE('26.07 KYENGERA-BUSEGA-24h'!M93,'27.07 KYENGERA-BUSEGA-24h'!M93)</f>
        <v>26</v>
      </c>
      <c r="N93" s="49">
        <f>AVERAGE('26.07 KYENGERA-BUSEGA-24h'!N93,'27.07 KYENGERA-BUSEGA-24h'!N93)</f>
        <v>0</v>
      </c>
      <c r="O93" s="15">
        <f t="shared" si="35"/>
        <v>38</v>
      </c>
      <c r="P93" s="15">
        <f t="shared" si="36"/>
        <v>64</v>
      </c>
      <c r="R93" s="8"/>
      <c r="T93"/>
    </row>
    <row r="94" spans="2:20" ht="23.1" customHeight="1" x14ac:dyDescent="0.25">
      <c r="B94" s="24" t="s">
        <v>134</v>
      </c>
      <c r="C94" s="49">
        <f>AVERAGE('26.07 KYENGERA-BUSEGA-24h'!C94,'27.07 KYENGERA-BUSEGA-24h'!C94)</f>
        <v>14.5</v>
      </c>
      <c r="D94" s="49">
        <f>AVERAGE('26.07 KYENGERA-BUSEGA-24h'!D94,'27.07 KYENGERA-BUSEGA-24h'!D94)</f>
        <v>0.5</v>
      </c>
      <c r="E94" s="49">
        <f>AVERAGE('26.07 KYENGERA-BUSEGA-24h'!E94,'27.07 KYENGERA-BUSEGA-24h'!E94)</f>
        <v>0</v>
      </c>
      <c r="F94" s="49">
        <f>AVERAGE('26.07 KYENGERA-BUSEGA-24h'!F94,'27.07 KYENGERA-BUSEGA-24h'!F94)</f>
        <v>3</v>
      </c>
      <c r="G94" s="49">
        <f>AVERAGE('26.07 KYENGERA-BUSEGA-24h'!G94,'27.07 KYENGERA-BUSEGA-24h'!G94)</f>
        <v>0.5</v>
      </c>
      <c r="H94" s="49">
        <f>AVERAGE('26.07 KYENGERA-BUSEGA-24h'!H94,'27.07 KYENGERA-BUSEGA-24h'!H94)</f>
        <v>3.5</v>
      </c>
      <c r="I94" s="49">
        <f>AVERAGE('26.07 KYENGERA-BUSEGA-24h'!I94,'27.07 KYENGERA-BUSEGA-24h'!I94)</f>
        <v>5</v>
      </c>
      <c r="J94" s="49">
        <f>AVERAGE('26.07 KYENGERA-BUSEGA-24h'!J94,'27.07 KYENGERA-BUSEGA-24h'!J94)</f>
        <v>8.5</v>
      </c>
      <c r="K94" s="49">
        <f>AVERAGE('26.07 KYENGERA-BUSEGA-24h'!K94,'27.07 KYENGERA-BUSEGA-24h'!K94)</f>
        <v>0.5</v>
      </c>
      <c r="L94" s="49">
        <f>AVERAGE('26.07 KYENGERA-BUSEGA-24h'!L94,'27.07 KYENGERA-BUSEGA-24h'!L94)</f>
        <v>3</v>
      </c>
      <c r="M94" s="49">
        <f>AVERAGE('26.07 KYENGERA-BUSEGA-24h'!M94,'27.07 KYENGERA-BUSEGA-24h'!M94)</f>
        <v>36.5</v>
      </c>
      <c r="N94" s="49">
        <f>AVERAGE('26.07 KYENGERA-BUSEGA-24h'!N94,'27.07 KYENGERA-BUSEGA-24h'!N94)</f>
        <v>0</v>
      </c>
      <c r="O94" s="15">
        <f t="shared" si="35"/>
        <v>39</v>
      </c>
      <c r="P94" s="15">
        <f t="shared" si="36"/>
        <v>75.5</v>
      </c>
      <c r="R94" s="8"/>
      <c r="T94"/>
    </row>
    <row r="95" spans="2:20" ht="23.1" customHeight="1" x14ac:dyDescent="0.25">
      <c r="B95" s="23" t="s">
        <v>135</v>
      </c>
      <c r="C95" s="49">
        <f>AVERAGE('26.07 KYENGERA-BUSEGA-24h'!C95,'27.07 KYENGERA-BUSEGA-24h'!C95)</f>
        <v>9.5</v>
      </c>
      <c r="D95" s="49">
        <f>AVERAGE('26.07 KYENGERA-BUSEGA-24h'!D95,'27.07 KYENGERA-BUSEGA-24h'!D95)</f>
        <v>0</v>
      </c>
      <c r="E95" s="49">
        <f>AVERAGE('26.07 KYENGERA-BUSEGA-24h'!E95,'27.07 KYENGERA-BUSEGA-24h'!E95)</f>
        <v>0.5</v>
      </c>
      <c r="F95" s="49">
        <f>AVERAGE('26.07 KYENGERA-BUSEGA-24h'!F95,'27.07 KYENGERA-BUSEGA-24h'!F95)</f>
        <v>2</v>
      </c>
      <c r="G95" s="49">
        <f>AVERAGE('26.07 KYENGERA-BUSEGA-24h'!G95,'27.07 KYENGERA-BUSEGA-24h'!G95)</f>
        <v>1</v>
      </c>
      <c r="H95" s="49">
        <f>AVERAGE('26.07 KYENGERA-BUSEGA-24h'!H95,'27.07 KYENGERA-BUSEGA-24h'!H95)</f>
        <v>4</v>
      </c>
      <c r="I95" s="49">
        <f>AVERAGE('26.07 KYENGERA-BUSEGA-24h'!I95,'27.07 KYENGERA-BUSEGA-24h'!I95)</f>
        <v>6.5</v>
      </c>
      <c r="J95" s="49">
        <f>AVERAGE('26.07 KYENGERA-BUSEGA-24h'!J95,'27.07 KYENGERA-BUSEGA-24h'!J95)</f>
        <v>15.5</v>
      </c>
      <c r="K95" s="49">
        <f>AVERAGE('26.07 KYENGERA-BUSEGA-24h'!K95,'27.07 KYENGERA-BUSEGA-24h'!K95)</f>
        <v>1</v>
      </c>
      <c r="L95" s="49">
        <f>AVERAGE('26.07 KYENGERA-BUSEGA-24h'!L95,'27.07 KYENGERA-BUSEGA-24h'!L95)</f>
        <v>2.5</v>
      </c>
      <c r="M95" s="49">
        <f>AVERAGE('26.07 KYENGERA-BUSEGA-24h'!M95,'27.07 KYENGERA-BUSEGA-24h'!M95)</f>
        <v>22.5</v>
      </c>
      <c r="N95" s="49">
        <f>AVERAGE('26.07 KYENGERA-BUSEGA-24h'!N95,'27.07 KYENGERA-BUSEGA-24h'!N95)</f>
        <v>0</v>
      </c>
      <c r="O95" s="15">
        <f t="shared" si="35"/>
        <v>42.5</v>
      </c>
      <c r="P95" s="15">
        <f t="shared" si="36"/>
        <v>65</v>
      </c>
      <c r="R95" s="8"/>
      <c r="T95"/>
    </row>
    <row r="96" spans="2:20" ht="23.1" customHeight="1" x14ac:dyDescent="0.25">
      <c r="B96" s="25" t="s">
        <v>136</v>
      </c>
      <c r="C96" s="49">
        <f>AVERAGE('26.07 KYENGERA-BUSEGA-24h'!C96,'27.07 KYENGERA-BUSEGA-24h'!C96)</f>
        <v>7</v>
      </c>
      <c r="D96" s="49">
        <f>AVERAGE('26.07 KYENGERA-BUSEGA-24h'!D96,'27.07 KYENGERA-BUSEGA-24h'!D96)</f>
        <v>0.5</v>
      </c>
      <c r="E96" s="49">
        <f>AVERAGE('26.07 KYENGERA-BUSEGA-24h'!E96,'27.07 KYENGERA-BUSEGA-24h'!E96)</f>
        <v>0.5</v>
      </c>
      <c r="F96" s="49">
        <f>AVERAGE('26.07 KYENGERA-BUSEGA-24h'!F96,'27.07 KYENGERA-BUSEGA-24h'!F96)</f>
        <v>4.5</v>
      </c>
      <c r="G96" s="49">
        <f>AVERAGE('26.07 KYENGERA-BUSEGA-24h'!G96,'27.07 KYENGERA-BUSEGA-24h'!G96)</f>
        <v>2.5</v>
      </c>
      <c r="H96" s="49">
        <f>AVERAGE('26.07 KYENGERA-BUSEGA-24h'!H96,'27.07 KYENGERA-BUSEGA-24h'!H96)</f>
        <v>1.5</v>
      </c>
      <c r="I96" s="49">
        <f>AVERAGE('26.07 KYENGERA-BUSEGA-24h'!I96,'27.07 KYENGERA-BUSEGA-24h'!I96)</f>
        <v>6.5</v>
      </c>
      <c r="J96" s="49">
        <f>AVERAGE('26.07 KYENGERA-BUSEGA-24h'!J96,'27.07 KYENGERA-BUSEGA-24h'!J96)</f>
        <v>11.5</v>
      </c>
      <c r="K96" s="49">
        <f>AVERAGE('26.07 KYENGERA-BUSEGA-24h'!K96,'27.07 KYENGERA-BUSEGA-24h'!K96)</f>
        <v>1</v>
      </c>
      <c r="L96" s="49">
        <f>AVERAGE('26.07 KYENGERA-BUSEGA-24h'!L96,'27.07 KYENGERA-BUSEGA-24h'!L96)</f>
        <v>1.5</v>
      </c>
      <c r="M96" s="49">
        <f>AVERAGE('26.07 KYENGERA-BUSEGA-24h'!M96,'27.07 KYENGERA-BUSEGA-24h'!M96)</f>
        <v>28.5</v>
      </c>
      <c r="N96" s="49">
        <f>AVERAGE('26.07 KYENGERA-BUSEGA-24h'!N96,'27.07 KYENGERA-BUSEGA-24h'!N96)</f>
        <v>0</v>
      </c>
      <c r="O96" s="15">
        <f t="shared" si="35"/>
        <v>37</v>
      </c>
      <c r="P96" s="15">
        <f t="shared" si="36"/>
        <v>65.5</v>
      </c>
      <c r="R96" s="8"/>
      <c r="T96"/>
    </row>
    <row r="97" spans="2:20" ht="23.1" customHeight="1" x14ac:dyDescent="0.25">
      <c r="B97" s="23" t="s">
        <v>137</v>
      </c>
      <c r="C97" s="49">
        <f>AVERAGE('26.07 KYENGERA-BUSEGA-24h'!C97,'27.07 KYENGERA-BUSEGA-24h'!C97)</f>
        <v>5.5</v>
      </c>
      <c r="D97" s="49">
        <f>AVERAGE('26.07 KYENGERA-BUSEGA-24h'!D97,'27.07 KYENGERA-BUSEGA-24h'!D97)</f>
        <v>0</v>
      </c>
      <c r="E97" s="49">
        <f>AVERAGE('26.07 KYENGERA-BUSEGA-24h'!E97,'27.07 KYENGERA-BUSEGA-24h'!E97)</f>
        <v>0</v>
      </c>
      <c r="F97" s="49">
        <f>AVERAGE('26.07 KYENGERA-BUSEGA-24h'!F97,'27.07 KYENGERA-BUSEGA-24h'!F97)</f>
        <v>5.5</v>
      </c>
      <c r="G97" s="49">
        <f>AVERAGE('26.07 KYENGERA-BUSEGA-24h'!G97,'27.07 KYENGERA-BUSEGA-24h'!G97)</f>
        <v>1</v>
      </c>
      <c r="H97" s="49">
        <f>AVERAGE('26.07 KYENGERA-BUSEGA-24h'!H97,'27.07 KYENGERA-BUSEGA-24h'!H97)</f>
        <v>2.5</v>
      </c>
      <c r="I97" s="49">
        <f>AVERAGE('26.07 KYENGERA-BUSEGA-24h'!I97,'27.07 KYENGERA-BUSEGA-24h'!I97)</f>
        <v>9</v>
      </c>
      <c r="J97" s="49">
        <f>AVERAGE('26.07 KYENGERA-BUSEGA-24h'!J97,'27.07 KYENGERA-BUSEGA-24h'!J97)</f>
        <v>8</v>
      </c>
      <c r="K97" s="49">
        <f>AVERAGE('26.07 KYENGERA-BUSEGA-24h'!K97,'27.07 KYENGERA-BUSEGA-24h'!K97)</f>
        <v>2</v>
      </c>
      <c r="L97" s="49">
        <f>AVERAGE('26.07 KYENGERA-BUSEGA-24h'!L97,'27.07 KYENGERA-BUSEGA-24h'!L97)</f>
        <v>3.5</v>
      </c>
      <c r="M97" s="49">
        <f>AVERAGE('26.07 KYENGERA-BUSEGA-24h'!M97,'27.07 KYENGERA-BUSEGA-24h'!M97)</f>
        <v>30.5</v>
      </c>
      <c r="N97" s="49">
        <f>AVERAGE('26.07 KYENGERA-BUSEGA-24h'!N97,'27.07 KYENGERA-BUSEGA-24h'!N97)</f>
        <v>0</v>
      </c>
      <c r="O97" s="15">
        <f t="shared" si="35"/>
        <v>37</v>
      </c>
      <c r="P97" s="15">
        <f t="shared" si="36"/>
        <v>67.5</v>
      </c>
      <c r="R97" s="8"/>
      <c r="T97"/>
    </row>
    <row r="98" spans="2:20" ht="23.1" customHeight="1" x14ac:dyDescent="0.25">
      <c r="B98" s="24" t="s">
        <v>138</v>
      </c>
      <c r="C98" s="49">
        <f>AVERAGE('26.07 KYENGERA-BUSEGA-24h'!C98,'27.07 KYENGERA-BUSEGA-24h'!C98)</f>
        <v>12</v>
      </c>
      <c r="D98" s="49">
        <f>AVERAGE('26.07 KYENGERA-BUSEGA-24h'!D98,'27.07 KYENGERA-BUSEGA-24h'!D98)</f>
        <v>0.5</v>
      </c>
      <c r="E98" s="49">
        <f>AVERAGE('26.07 KYENGERA-BUSEGA-24h'!E98,'27.07 KYENGERA-BUSEGA-24h'!E98)</f>
        <v>0</v>
      </c>
      <c r="F98" s="49">
        <f>AVERAGE('26.07 KYENGERA-BUSEGA-24h'!F98,'27.07 KYENGERA-BUSEGA-24h'!F98)</f>
        <v>12.5</v>
      </c>
      <c r="G98" s="49">
        <f>AVERAGE('26.07 KYENGERA-BUSEGA-24h'!G98,'27.07 KYENGERA-BUSEGA-24h'!G98)</f>
        <v>1.5</v>
      </c>
      <c r="H98" s="49">
        <f>AVERAGE('26.07 KYENGERA-BUSEGA-24h'!H98,'27.07 KYENGERA-BUSEGA-24h'!H98)</f>
        <v>2</v>
      </c>
      <c r="I98" s="49">
        <f>AVERAGE('26.07 KYENGERA-BUSEGA-24h'!I98,'27.07 KYENGERA-BUSEGA-24h'!I98)</f>
        <v>7</v>
      </c>
      <c r="J98" s="49">
        <f>AVERAGE('26.07 KYENGERA-BUSEGA-24h'!J98,'27.07 KYENGERA-BUSEGA-24h'!J98)</f>
        <v>9.5</v>
      </c>
      <c r="K98" s="49">
        <f>AVERAGE('26.07 KYENGERA-BUSEGA-24h'!K98,'27.07 KYENGERA-BUSEGA-24h'!K98)</f>
        <v>1.5</v>
      </c>
      <c r="L98" s="49">
        <f>AVERAGE('26.07 KYENGERA-BUSEGA-24h'!L98,'27.07 KYENGERA-BUSEGA-24h'!L98)</f>
        <v>3.5</v>
      </c>
      <c r="M98" s="49">
        <f>AVERAGE('26.07 KYENGERA-BUSEGA-24h'!M98,'27.07 KYENGERA-BUSEGA-24h'!M98)</f>
        <v>31</v>
      </c>
      <c r="N98" s="49">
        <f>AVERAGE('26.07 KYENGERA-BUSEGA-24h'!N98,'27.07 KYENGERA-BUSEGA-24h'!N98)</f>
        <v>0</v>
      </c>
      <c r="O98" s="15">
        <f t="shared" si="35"/>
        <v>50</v>
      </c>
      <c r="P98" s="15">
        <f t="shared" si="36"/>
        <v>81</v>
      </c>
      <c r="R98" s="8"/>
      <c r="T98"/>
    </row>
    <row r="99" spans="2:20" ht="23.1" customHeight="1" x14ac:dyDescent="0.25">
      <c r="B99" s="23" t="s">
        <v>139</v>
      </c>
      <c r="C99" s="49">
        <f>AVERAGE('26.07 KYENGERA-BUSEGA-24h'!C99,'27.07 KYENGERA-BUSEGA-24h'!C99)</f>
        <v>10</v>
      </c>
      <c r="D99" s="49">
        <f>AVERAGE('26.07 KYENGERA-BUSEGA-24h'!D99,'27.07 KYENGERA-BUSEGA-24h'!D99)</f>
        <v>0.5</v>
      </c>
      <c r="E99" s="49">
        <f>AVERAGE('26.07 KYENGERA-BUSEGA-24h'!E99,'27.07 KYENGERA-BUSEGA-24h'!E99)</f>
        <v>0.5</v>
      </c>
      <c r="F99" s="49">
        <f>AVERAGE('26.07 KYENGERA-BUSEGA-24h'!F99,'27.07 KYENGERA-BUSEGA-24h'!F99)</f>
        <v>19.5</v>
      </c>
      <c r="G99" s="49">
        <f>AVERAGE('26.07 KYENGERA-BUSEGA-24h'!G99,'27.07 KYENGERA-BUSEGA-24h'!G99)</f>
        <v>0.5</v>
      </c>
      <c r="H99" s="49">
        <f>AVERAGE('26.07 KYENGERA-BUSEGA-24h'!H99,'27.07 KYENGERA-BUSEGA-24h'!H99)</f>
        <v>2</v>
      </c>
      <c r="I99" s="49">
        <f>AVERAGE('26.07 KYENGERA-BUSEGA-24h'!I99,'27.07 KYENGERA-BUSEGA-24h'!I99)</f>
        <v>7.5</v>
      </c>
      <c r="J99" s="49">
        <f>AVERAGE('26.07 KYENGERA-BUSEGA-24h'!J99,'27.07 KYENGERA-BUSEGA-24h'!J99)</f>
        <v>10</v>
      </c>
      <c r="K99" s="49">
        <f>AVERAGE('26.07 KYENGERA-BUSEGA-24h'!K99,'27.07 KYENGERA-BUSEGA-24h'!K99)</f>
        <v>1.5</v>
      </c>
      <c r="L99" s="49">
        <f>AVERAGE('26.07 KYENGERA-BUSEGA-24h'!L99,'27.07 KYENGERA-BUSEGA-24h'!L99)</f>
        <v>0.5</v>
      </c>
      <c r="M99" s="49">
        <f>AVERAGE('26.07 KYENGERA-BUSEGA-24h'!M99,'27.07 KYENGERA-BUSEGA-24h'!M99)</f>
        <v>36.5</v>
      </c>
      <c r="N99" s="49">
        <f>AVERAGE('26.07 KYENGERA-BUSEGA-24h'!N99,'27.07 KYENGERA-BUSEGA-24h'!N99)</f>
        <v>0</v>
      </c>
      <c r="O99" s="15">
        <f t="shared" si="35"/>
        <v>52.5</v>
      </c>
      <c r="P99" s="15">
        <f t="shared" si="36"/>
        <v>89</v>
      </c>
      <c r="R99" s="8"/>
      <c r="T99"/>
    </row>
    <row r="100" spans="2:20" ht="23.1" customHeight="1" x14ac:dyDescent="0.25">
      <c r="B100" s="25" t="s">
        <v>140</v>
      </c>
      <c r="C100" s="49">
        <f>AVERAGE('26.07 KYENGERA-BUSEGA-24h'!C100,'27.07 KYENGERA-BUSEGA-24h'!C100)</f>
        <v>13.5</v>
      </c>
      <c r="D100" s="49">
        <f>AVERAGE('26.07 KYENGERA-BUSEGA-24h'!D100,'27.07 KYENGERA-BUSEGA-24h'!D100)</f>
        <v>2</v>
      </c>
      <c r="E100" s="49">
        <f>AVERAGE('26.07 KYENGERA-BUSEGA-24h'!E100,'27.07 KYENGERA-BUSEGA-24h'!E100)</f>
        <v>1</v>
      </c>
      <c r="F100" s="49">
        <f>AVERAGE('26.07 KYENGERA-BUSEGA-24h'!F100,'27.07 KYENGERA-BUSEGA-24h'!F100)</f>
        <v>30</v>
      </c>
      <c r="G100" s="49">
        <f>AVERAGE('26.07 KYENGERA-BUSEGA-24h'!G100,'27.07 KYENGERA-BUSEGA-24h'!G100)</f>
        <v>1.5</v>
      </c>
      <c r="H100" s="49">
        <f>AVERAGE('26.07 KYENGERA-BUSEGA-24h'!H100,'27.07 KYENGERA-BUSEGA-24h'!H100)</f>
        <v>3.5</v>
      </c>
      <c r="I100" s="49">
        <f>AVERAGE('26.07 KYENGERA-BUSEGA-24h'!I100,'27.07 KYENGERA-BUSEGA-24h'!I100)</f>
        <v>8.5</v>
      </c>
      <c r="J100" s="49">
        <f>AVERAGE('26.07 KYENGERA-BUSEGA-24h'!J100,'27.07 KYENGERA-BUSEGA-24h'!J100)</f>
        <v>13</v>
      </c>
      <c r="K100" s="49">
        <f>AVERAGE('26.07 KYENGERA-BUSEGA-24h'!K100,'27.07 KYENGERA-BUSEGA-24h'!K100)</f>
        <v>0</v>
      </c>
      <c r="L100" s="49">
        <f>AVERAGE('26.07 KYENGERA-BUSEGA-24h'!L100,'27.07 KYENGERA-BUSEGA-24h'!L100)</f>
        <v>4</v>
      </c>
      <c r="M100" s="49">
        <f>AVERAGE('26.07 KYENGERA-BUSEGA-24h'!M100,'27.07 KYENGERA-BUSEGA-24h'!M100)</f>
        <v>36</v>
      </c>
      <c r="N100" s="49">
        <f>AVERAGE('26.07 KYENGERA-BUSEGA-24h'!N100,'27.07 KYENGERA-BUSEGA-24h'!N100)</f>
        <v>0</v>
      </c>
      <c r="O100" s="15">
        <f t="shared" si="35"/>
        <v>77</v>
      </c>
      <c r="P100" s="15">
        <f t="shared" si="36"/>
        <v>113</v>
      </c>
      <c r="R100" s="8"/>
      <c r="T100"/>
    </row>
    <row r="101" spans="2:20" ht="23.1" customHeight="1" x14ac:dyDescent="0.25">
      <c r="B101" s="23" t="s">
        <v>141</v>
      </c>
      <c r="C101" s="49">
        <f>AVERAGE('26.07 KYENGERA-BUSEGA-24h'!C101,'27.07 KYENGERA-BUSEGA-24h'!C101)</f>
        <v>13</v>
      </c>
      <c r="D101" s="49">
        <f>AVERAGE('26.07 KYENGERA-BUSEGA-24h'!D101,'27.07 KYENGERA-BUSEGA-24h'!D101)</f>
        <v>1</v>
      </c>
      <c r="E101" s="49">
        <f>AVERAGE('26.07 KYENGERA-BUSEGA-24h'!E101,'27.07 KYENGERA-BUSEGA-24h'!E101)</f>
        <v>2.5</v>
      </c>
      <c r="F101" s="49">
        <f>AVERAGE('26.07 KYENGERA-BUSEGA-24h'!F101,'27.07 KYENGERA-BUSEGA-24h'!F101)</f>
        <v>32.5</v>
      </c>
      <c r="G101" s="49">
        <f>AVERAGE('26.07 KYENGERA-BUSEGA-24h'!G101,'27.07 KYENGERA-BUSEGA-24h'!G101)</f>
        <v>1</v>
      </c>
      <c r="H101" s="49">
        <f>AVERAGE('26.07 KYENGERA-BUSEGA-24h'!H101,'27.07 KYENGERA-BUSEGA-24h'!H101)</f>
        <v>1</v>
      </c>
      <c r="I101" s="49">
        <f>AVERAGE('26.07 KYENGERA-BUSEGA-24h'!I101,'27.07 KYENGERA-BUSEGA-24h'!I101)</f>
        <v>13</v>
      </c>
      <c r="J101" s="49">
        <f>AVERAGE('26.07 KYENGERA-BUSEGA-24h'!J101,'27.07 KYENGERA-BUSEGA-24h'!J101)</f>
        <v>8</v>
      </c>
      <c r="K101" s="49">
        <f>AVERAGE('26.07 KYENGERA-BUSEGA-24h'!K101,'27.07 KYENGERA-BUSEGA-24h'!K101)</f>
        <v>3</v>
      </c>
      <c r="L101" s="49">
        <f>AVERAGE('26.07 KYENGERA-BUSEGA-24h'!L101,'27.07 KYENGERA-BUSEGA-24h'!L101)</f>
        <v>3</v>
      </c>
      <c r="M101" s="49">
        <f>AVERAGE('26.07 KYENGERA-BUSEGA-24h'!M101,'27.07 KYENGERA-BUSEGA-24h'!M101)</f>
        <v>62</v>
      </c>
      <c r="N101" s="49">
        <f>AVERAGE('26.07 KYENGERA-BUSEGA-24h'!N101,'27.07 KYENGERA-BUSEGA-24h'!N101)</f>
        <v>0</v>
      </c>
      <c r="O101" s="15">
        <f t="shared" si="35"/>
        <v>78</v>
      </c>
      <c r="P101" s="15">
        <f t="shared" si="36"/>
        <v>140</v>
      </c>
      <c r="R101" s="8"/>
      <c r="T101"/>
    </row>
    <row r="102" spans="2:20" ht="23.1" customHeight="1" x14ac:dyDescent="0.25">
      <c r="B102" s="24" t="s">
        <v>142</v>
      </c>
      <c r="C102" s="49">
        <f>AVERAGE('26.07 KYENGERA-BUSEGA-24h'!C102,'27.07 KYENGERA-BUSEGA-24h'!C102)</f>
        <v>31.5</v>
      </c>
      <c r="D102" s="49">
        <f>AVERAGE('26.07 KYENGERA-BUSEGA-24h'!D102,'27.07 KYENGERA-BUSEGA-24h'!D102)</f>
        <v>1</v>
      </c>
      <c r="E102" s="49">
        <f>AVERAGE('26.07 KYENGERA-BUSEGA-24h'!E102,'27.07 KYENGERA-BUSEGA-24h'!E102)</f>
        <v>1</v>
      </c>
      <c r="F102" s="49">
        <f>AVERAGE('26.07 KYENGERA-BUSEGA-24h'!F102,'27.07 KYENGERA-BUSEGA-24h'!F102)</f>
        <v>40.5</v>
      </c>
      <c r="G102" s="49">
        <f>AVERAGE('26.07 KYENGERA-BUSEGA-24h'!G102,'27.07 KYENGERA-BUSEGA-24h'!G102)</f>
        <v>1</v>
      </c>
      <c r="H102" s="49">
        <f>AVERAGE('26.07 KYENGERA-BUSEGA-24h'!H102,'27.07 KYENGERA-BUSEGA-24h'!H102)</f>
        <v>1.5</v>
      </c>
      <c r="I102" s="49">
        <f>AVERAGE('26.07 KYENGERA-BUSEGA-24h'!I102,'27.07 KYENGERA-BUSEGA-24h'!I102)</f>
        <v>10.5</v>
      </c>
      <c r="J102" s="49">
        <f>AVERAGE('26.07 KYENGERA-BUSEGA-24h'!J102,'27.07 KYENGERA-BUSEGA-24h'!J102)</f>
        <v>10</v>
      </c>
      <c r="K102" s="49">
        <f>AVERAGE('26.07 KYENGERA-BUSEGA-24h'!K102,'27.07 KYENGERA-BUSEGA-24h'!K102)</f>
        <v>0.5</v>
      </c>
      <c r="L102" s="49">
        <f>AVERAGE('26.07 KYENGERA-BUSEGA-24h'!L102,'27.07 KYENGERA-BUSEGA-24h'!L102)</f>
        <v>1</v>
      </c>
      <c r="M102" s="49">
        <f>AVERAGE('26.07 KYENGERA-BUSEGA-24h'!M102,'27.07 KYENGERA-BUSEGA-24h'!M102)</f>
        <v>138</v>
      </c>
      <c r="N102" s="49">
        <f>AVERAGE('26.07 KYENGERA-BUSEGA-24h'!N102,'27.07 KYENGERA-BUSEGA-24h'!N102)</f>
        <v>0</v>
      </c>
      <c r="O102" s="15">
        <f t="shared" si="35"/>
        <v>98.5</v>
      </c>
      <c r="P102" s="15">
        <f t="shared" si="36"/>
        <v>236.5</v>
      </c>
      <c r="R102" s="8"/>
      <c r="T102"/>
    </row>
    <row r="103" spans="2:20" ht="23.1" customHeight="1" x14ac:dyDescent="0.25">
      <c r="B103" s="23" t="s">
        <v>143</v>
      </c>
      <c r="C103" s="49">
        <f>AVERAGE('26.07 KYENGERA-BUSEGA-24h'!C103,'27.07 KYENGERA-BUSEGA-24h'!C103)</f>
        <v>31</v>
      </c>
      <c r="D103" s="49">
        <f>AVERAGE('26.07 KYENGERA-BUSEGA-24h'!D103,'27.07 KYENGERA-BUSEGA-24h'!D103)</f>
        <v>3</v>
      </c>
      <c r="E103" s="49">
        <f>AVERAGE('26.07 KYENGERA-BUSEGA-24h'!E103,'27.07 KYENGERA-BUSEGA-24h'!E103)</f>
        <v>1</v>
      </c>
      <c r="F103" s="49">
        <f>AVERAGE('26.07 KYENGERA-BUSEGA-24h'!F103,'27.07 KYENGERA-BUSEGA-24h'!F103)</f>
        <v>37.5</v>
      </c>
      <c r="G103" s="49">
        <f>AVERAGE('26.07 KYENGERA-BUSEGA-24h'!G103,'27.07 KYENGERA-BUSEGA-24h'!G103)</f>
        <v>0.5</v>
      </c>
      <c r="H103" s="49">
        <f>AVERAGE('26.07 KYENGERA-BUSEGA-24h'!H103,'27.07 KYENGERA-BUSEGA-24h'!H103)</f>
        <v>1.5</v>
      </c>
      <c r="I103" s="49">
        <f>AVERAGE('26.07 KYENGERA-BUSEGA-24h'!I103,'27.07 KYENGERA-BUSEGA-24h'!I103)</f>
        <v>10.5</v>
      </c>
      <c r="J103" s="49">
        <f>AVERAGE('26.07 KYENGERA-BUSEGA-24h'!J103,'27.07 KYENGERA-BUSEGA-24h'!J103)</f>
        <v>10</v>
      </c>
      <c r="K103" s="49">
        <f>AVERAGE('26.07 KYENGERA-BUSEGA-24h'!K103,'27.07 KYENGERA-BUSEGA-24h'!K103)</f>
        <v>1</v>
      </c>
      <c r="L103" s="49">
        <f>AVERAGE('26.07 KYENGERA-BUSEGA-24h'!L103,'27.07 KYENGERA-BUSEGA-24h'!L103)</f>
        <v>2</v>
      </c>
      <c r="M103" s="49">
        <f>AVERAGE('26.07 KYENGERA-BUSEGA-24h'!M103,'27.07 KYENGERA-BUSEGA-24h'!M103)</f>
        <v>91.5</v>
      </c>
      <c r="N103" s="49">
        <f>AVERAGE('26.07 KYENGERA-BUSEGA-24h'!N103,'27.07 KYENGERA-BUSEGA-24h'!N103)</f>
        <v>0</v>
      </c>
      <c r="O103" s="15">
        <f t="shared" si="35"/>
        <v>98</v>
      </c>
      <c r="P103" s="15">
        <f t="shared" si="36"/>
        <v>189.5</v>
      </c>
      <c r="R103" s="8"/>
      <c r="T103"/>
    </row>
    <row r="104" spans="2:20" ht="23.1" customHeight="1" x14ac:dyDescent="0.25">
      <c r="B104" s="25" t="s">
        <v>144</v>
      </c>
      <c r="C104" s="49">
        <f>AVERAGE('26.07 KYENGERA-BUSEGA-24h'!C104,'27.07 KYENGERA-BUSEGA-24h'!C104)</f>
        <v>28.5</v>
      </c>
      <c r="D104" s="49">
        <f>AVERAGE('26.07 KYENGERA-BUSEGA-24h'!D104,'27.07 KYENGERA-BUSEGA-24h'!D104)</f>
        <v>0.5</v>
      </c>
      <c r="E104" s="49">
        <f>AVERAGE('26.07 KYENGERA-BUSEGA-24h'!E104,'27.07 KYENGERA-BUSEGA-24h'!E104)</f>
        <v>1.5</v>
      </c>
      <c r="F104" s="49">
        <f>AVERAGE('26.07 KYENGERA-BUSEGA-24h'!F104,'27.07 KYENGERA-BUSEGA-24h'!F104)</f>
        <v>40</v>
      </c>
      <c r="G104" s="49">
        <f>AVERAGE('26.07 KYENGERA-BUSEGA-24h'!G104,'27.07 KYENGERA-BUSEGA-24h'!G104)</f>
        <v>2.5</v>
      </c>
      <c r="H104" s="49">
        <f>AVERAGE('26.07 KYENGERA-BUSEGA-24h'!H104,'27.07 KYENGERA-BUSEGA-24h'!H104)</f>
        <v>0.5</v>
      </c>
      <c r="I104" s="49">
        <f>AVERAGE('26.07 KYENGERA-BUSEGA-24h'!I104,'27.07 KYENGERA-BUSEGA-24h'!I104)</f>
        <v>12</v>
      </c>
      <c r="J104" s="49">
        <f>AVERAGE('26.07 KYENGERA-BUSEGA-24h'!J104,'27.07 KYENGERA-BUSEGA-24h'!J104)</f>
        <v>12</v>
      </c>
      <c r="K104" s="49">
        <f>AVERAGE('26.07 KYENGERA-BUSEGA-24h'!K104,'27.07 KYENGERA-BUSEGA-24h'!K104)</f>
        <v>1.5</v>
      </c>
      <c r="L104" s="49">
        <f>AVERAGE('26.07 KYENGERA-BUSEGA-24h'!L104,'27.07 KYENGERA-BUSEGA-24h'!L104)</f>
        <v>6</v>
      </c>
      <c r="M104" s="49">
        <f>AVERAGE('26.07 KYENGERA-BUSEGA-24h'!M104,'27.07 KYENGERA-BUSEGA-24h'!M104)</f>
        <v>160</v>
      </c>
      <c r="N104" s="49">
        <f>AVERAGE('26.07 KYENGERA-BUSEGA-24h'!N104,'27.07 KYENGERA-BUSEGA-24h'!N104)</f>
        <v>0</v>
      </c>
      <c r="O104" s="15">
        <f t="shared" si="35"/>
        <v>105</v>
      </c>
      <c r="P104" s="15">
        <f t="shared" si="36"/>
        <v>265</v>
      </c>
      <c r="R104" s="8"/>
      <c r="T104"/>
    </row>
    <row r="105" spans="2:20" ht="23.1" customHeight="1" x14ac:dyDescent="0.25">
      <c r="B105" s="23" t="s">
        <v>145</v>
      </c>
      <c r="C105" s="49">
        <f>AVERAGE('26.07 KYENGERA-BUSEGA-24h'!C105,'27.07 KYENGERA-BUSEGA-24h'!C105)</f>
        <v>38.5</v>
      </c>
      <c r="D105" s="49">
        <f>AVERAGE('26.07 KYENGERA-BUSEGA-24h'!D105,'27.07 KYENGERA-BUSEGA-24h'!D105)</f>
        <v>3</v>
      </c>
      <c r="E105" s="49">
        <f>AVERAGE('26.07 KYENGERA-BUSEGA-24h'!E105,'27.07 KYENGERA-BUSEGA-24h'!E105)</f>
        <v>5.5</v>
      </c>
      <c r="F105" s="49">
        <f>AVERAGE('26.07 KYENGERA-BUSEGA-24h'!F105,'27.07 KYENGERA-BUSEGA-24h'!F105)</f>
        <v>39.5</v>
      </c>
      <c r="G105" s="49">
        <f>AVERAGE('26.07 KYENGERA-BUSEGA-24h'!G105,'27.07 KYENGERA-BUSEGA-24h'!G105)</f>
        <v>0.5</v>
      </c>
      <c r="H105" s="49">
        <f>AVERAGE('26.07 KYENGERA-BUSEGA-24h'!H105,'27.07 KYENGERA-BUSEGA-24h'!H105)</f>
        <v>1</v>
      </c>
      <c r="I105" s="49">
        <f>AVERAGE('26.07 KYENGERA-BUSEGA-24h'!I105,'27.07 KYENGERA-BUSEGA-24h'!I105)</f>
        <v>10</v>
      </c>
      <c r="J105" s="49">
        <f>AVERAGE('26.07 KYENGERA-BUSEGA-24h'!J105,'27.07 KYENGERA-BUSEGA-24h'!J105)</f>
        <v>5</v>
      </c>
      <c r="K105" s="49">
        <f>AVERAGE('26.07 KYENGERA-BUSEGA-24h'!K105,'27.07 KYENGERA-BUSEGA-24h'!K105)</f>
        <v>1</v>
      </c>
      <c r="L105" s="49">
        <f>AVERAGE('26.07 KYENGERA-BUSEGA-24h'!L105,'27.07 KYENGERA-BUSEGA-24h'!L105)</f>
        <v>5</v>
      </c>
      <c r="M105" s="49">
        <f>AVERAGE('26.07 KYENGERA-BUSEGA-24h'!M105,'27.07 KYENGERA-BUSEGA-24h'!M105)</f>
        <v>145</v>
      </c>
      <c r="N105" s="49">
        <f>AVERAGE('26.07 KYENGERA-BUSEGA-24h'!N105,'27.07 KYENGERA-BUSEGA-24h'!N105)</f>
        <v>0</v>
      </c>
      <c r="O105" s="15">
        <f t="shared" si="35"/>
        <v>109</v>
      </c>
      <c r="P105" s="15">
        <f t="shared" si="36"/>
        <v>254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5126.1428571428578</v>
      </c>
      <c r="D106" s="16">
        <f t="shared" ref="D106:P106" si="37">SUM(D10:D105)</f>
        <v>663.14285714285711</v>
      </c>
      <c r="E106" s="16">
        <f t="shared" si="37"/>
        <v>636.21428571428555</v>
      </c>
      <c r="F106" s="16">
        <f t="shared" si="37"/>
        <v>3304</v>
      </c>
      <c r="G106" s="16">
        <f t="shared" si="37"/>
        <v>145</v>
      </c>
      <c r="H106" s="16">
        <f t="shared" si="37"/>
        <v>134.78571428571428</v>
      </c>
      <c r="I106" s="16">
        <f t="shared" si="37"/>
        <v>1144.1428571428573</v>
      </c>
      <c r="J106" s="16">
        <f t="shared" si="37"/>
        <v>583.28571428571433</v>
      </c>
      <c r="K106" s="16">
        <f t="shared" si="37"/>
        <v>110.71428571428572</v>
      </c>
      <c r="L106" s="16">
        <f t="shared" si="37"/>
        <v>309.28571428571433</v>
      </c>
      <c r="M106" s="16">
        <f t="shared" si="37"/>
        <v>17097.071428571435</v>
      </c>
      <c r="N106" s="16">
        <f t="shared" si="37"/>
        <v>1.4999999999999998</v>
      </c>
      <c r="O106" s="16">
        <f t="shared" si="37"/>
        <v>12158.214285714286</v>
      </c>
      <c r="P106" s="16">
        <f t="shared" si="37"/>
        <v>29255.285714285717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0.17522108336954983</v>
      </c>
      <c r="D107" s="43">
        <f t="shared" si="38"/>
        <v>2.2667454477090829E-2</v>
      </c>
      <c r="E107" s="43">
        <f t="shared" si="38"/>
        <v>2.1746985892659193E-2</v>
      </c>
      <c r="F107" s="43">
        <f t="shared" si="38"/>
        <v>0.11293685634342022</v>
      </c>
      <c r="G107" s="43">
        <f t="shared" si="38"/>
        <v>4.9563693007856936E-3</v>
      </c>
      <c r="H107" s="43">
        <f t="shared" si="38"/>
        <v>4.6072260446219726E-3</v>
      </c>
      <c r="I107" s="43">
        <f t="shared" si="38"/>
        <v>3.910892781280062E-2</v>
      </c>
      <c r="J107" s="43">
        <f t="shared" si="38"/>
        <v>1.9937789019810827E-2</v>
      </c>
      <c r="K107" s="43">
        <f t="shared" si="38"/>
        <v>3.7844199094669096E-3</v>
      </c>
      <c r="L107" s="43">
        <f t="shared" si="38"/>
        <v>1.0571960134188206E-2</v>
      </c>
      <c r="M107" s="43">
        <f t="shared" si="38"/>
        <v>0.58440965490973562</v>
      </c>
      <c r="N107" s="43">
        <f t="shared" si="38"/>
        <v>5.1272785870196825E-5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0.42161971624122435</v>
      </c>
      <c r="D108" s="44">
        <f t="shared" ref="D108:N108" si="39">D106/$O$106</f>
        <v>5.4542784125958345E-2</v>
      </c>
      <c r="E108" s="44">
        <f t="shared" si="39"/>
        <v>5.2327938195811163E-2</v>
      </c>
      <c r="F108" s="44">
        <f t="shared" si="39"/>
        <v>0.27175043327556325</v>
      </c>
      <c r="G108" s="44">
        <f t="shared" si="39"/>
        <v>1.1926093470023205E-2</v>
      </c>
      <c r="H108" s="44">
        <f t="shared" si="39"/>
        <v>1.1085979496519106E-2</v>
      </c>
      <c r="I108" s="44">
        <f t="shared" si="39"/>
        <v>9.4104514878242229E-2</v>
      </c>
      <c r="J108" s="44">
        <f t="shared" si="39"/>
        <v>4.7974620333108127E-2</v>
      </c>
      <c r="K108" s="44">
        <f t="shared" si="39"/>
        <v>9.1061304820374243E-3</v>
      </c>
      <c r="L108" s="44">
        <f t="shared" si="39"/>
        <v>2.5438416120788416E-2</v>
      </c>
      <c r="M108" s="44"/>
      <c r="N108" s="44">
        <f t="shared" si="39"/>
        <v>1.2337338072437797E-4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L52" zoomScale="60" workbookViewId="0">
      <selection activeCell="AD55" sqref="AD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'28.07 BUSEGA-KYENGERA'!C3:G3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'28.07 BUSEGA-KYENGERA'!G5:H5</f>
        <v>KYENGERA</v>
      </c>
      <c r="H5" s="68"/>
      <c r="I5" s="14"/>
      <c r="J5" s="2" t="s">
        <v>5</v>
      </c>
      <c r="K5" s="67" t="str">
        <f>'28.07 BUSEGA-KYENGERA'!K5:L5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'28.07 BUSEGA-KYENGERA'!D6:E6</f>
        <v>BUSEGA</v>
      </c>
      <c r="E6" s="68"/>
      <c r="F6" s="2" t="s">
        <v>2</v>
      </c>
      <c r="G6" s="67" t="str">
        <f>'28.07 BUSEGA-KYENGERA'!G6:H6</f>
        <v>KYENGERA</v>
      </c>
      <c r="H6" s="68"/>
      <c r="J6" s="2" t="s">
        <v>21</v>
      </c>
      <c r="K6" s="67" t="str">
        <f>'28.07 BUSEGA-KYENGERA'!K6:L6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BUSEGA-KYENGERA'!C10,'23.07 BUSEGA-KYENGERA'!C10,'24.07 BUSEGA-KYENGERA'!C10,'25.07 BUSEGA-KYENGERA'!C10,'26.07 BUSEGA-KYENGERA-24h'!C10,'27.07 BUSEGA-KYENGERA-24h'!C10,'28.07 BUSEGA-KYENGERA'!C10)</f>
        <v>39.571428571428569</v>
      </c>
      <c r="D10" s="49">
        <f>AVERAGE('22.07 BUSEGA-KYENGERA'!D10,'23.07 BUSEGA-KYENGERA'!D10,'24.07 BUSEGA-KYENGERA'!D10,'25.07 BUSEGA-KYENGERA'!D10,'26.07 BUSEGA-KYENGERA-24h'!D10,'27.07 BUSEGA-KYENGERA-24h'!D10,'28.07 BUSEGA-KYENGERA'!D10)</f>
        <v>7.5714285714285712</v>
      </c>
      <c r="E10" s="49">
        <f>AVERAGE('22.07 BUSEGA-KYENGERA'!E10,'23.07 BUSEGA-KYENGERA'!E10,'24.07 BUSEGA-KYENGERA'!E10,'25.07 BUSEGA-KYENGERA'!E10,'26.07 BUSEGA-KYENGERA-24h'!E10,'27.07 BUSEGA-KYENGERA-24h'!E10,'28.07 BUSEGA-KYENGERA'!E10)</f>
        <v>3.7142857142857144</v>
      </c>
      <c r="F10" s="49">
        <f>AVERAGE('22.07 BUSEGA-KYENGERA'!F10,'23.07 BUSEGA-KYENGERA'!F10,'24.07 BUSEGA-KYENGERA'!F10,'25.07 BUSEGA-KYENGERA'!F10,'26.07 BUSEGA-KYENGERA-24h'!F10,'27.07 BUSEGA-KYENGERA-24h'!F10,'28.07 BUSEGA-KYENGERA'!F10)</f>
        <v>47.428571428571431</v>
      </c>
      <c r="G10" s="49">
        <f>AVERAGE('22.07 BUSEGA-KYENGERA'!G10,'23.07 BUSEGA-KYENGERA'!G10,'24.07 BUSEGA-KYENGERA'!G10,'25.07 BUSEGA-KYENGERA'!G10,'26.07 BUSEGA-KYENGERA-24h'!G10,'27.07 BUSEGA-KYENGERA-24h'!G10,'28.07 BUSEGA-KYENGERA'!G10)</f>
        <v>1.2857142857142858</v>
      </c>
      <c r="H10" s="49">
        <f>AVERAGE('22.07 BUSEGA-KYENGERA'!H10,'23.07 BUSEGA-KYENGERA'!H10,'24.07 BUSEGA-KYENGERA'!H10,'25.07 BUSEGA-KYENGERA'!H10,'26.07 BUSEGA-KYENGERA-24h'!H10,'27.07 BUSEGA-KYENGERA-24h'!H10,'28.07 BUSEGA-KYENGERA'!H10)</f>
        <v>1.5714285714285714</v>
      </c>
      <c r="I10" s="49">
        <f>AVERAGE('22.07 BUSEGA-KYENGERA'!I10,'23.07 BUSEGA-KYENGERA'!I10,'24.07 BUSEGA-KYENGERA'!I10,'25.07 BUSEGA-KYENGERA'!I10,'26.07 BUSEGA-KYENGERA-24h'!I10,'27.07 BUSEGA-KYENGERA-24h'!I10,'28.07 BUSEGA-KYENGERA'!I10)</f>
        <v>6.1428571428571432</v>
      </c>
      <c r="J10" s="49">
        <f>AVERAGE('22.07 BUSEGA-KYENGERA'!J10,'23.07 BUSEGA-KYENGERA'!J10,'24.07 BUSEGA-KYENGERA'!J10,'25.07 BUSEGA-KYENGERA'!J10,'26.07 BUSEGA-KYENGERA-24h'!J10,'27.07 BUSEGA-KYENGERA-24h'!J10,'28.07 BUSEGA-KYENGERA'!J10)</f>
        <v>3.7142857142857144</v>
      </c>
      <c r="K10" s="49">
        <f>AVERAGE('22.07 BUSEGA-KYENGERA'!K10,'23.07 BUSEGA-KYENGERA'!K10,'24.07 BUSEGA-KYENGERA'!K10,'25.07 BUSEGA-KYENGERA'!K10,'26.07 BUSEGA-KYENGERA-24h'!K10,'27.07 BUSEGA-KYENGERA-24h'!K10,'28.07 BUSEGA-KYENGERA'!K10)</f>
        <v>0.8571428571428571</v>
      </c>
      <c r="L10" s="49">
        <f>AVERAGE('22.07 BUSEGA-KYENGERA'!L10,'23.07 BUSEGA-KYENGERA'!L10,'24.07 BUSEGA-KYENGERA'!L10,'25.07 BUSEGA-KYENGERA'!L10,'26.07 BUSEGA-KYENGERA-24h'!L10,'27.07 BUSEGA-KYENGERA-24h'!L10,'28.07 BUSEGA-KYENGERA'!L10)</f>
        <v>1.7142857142857142</v>
      </c>
      <c r="M10" s="49">
        <f>AVERAGE('22.07 BUSEGA-KYENGERA'!M10,'23.07 BUSEGA-KYENGERA'!M10,'24.07 BUSEGA-KYENGERA'!M10,'25.07 BUSEGA-KYENGERA'!M10,'26.07 BUSEGA-KYENGERA-24h'!M10,'27.07 BUSEGA-KYENGERA-24h'!M10,'28.07 BUSEGA-KYENGERA'!M10)</f>
        <v>108.85714285714286</v>
      </c>
      <c r="N10" s="49">
        <f>AVERAGE('22.07 BUSEGA-KYENGERA'!N10,'23.07 BUSEGA-KYENGERA'!N10,'24.07 BUSEGA-KYENGERA'!N10,'25.07 BUSEGA-KYENGERA'!N10,'26.07 BUSEGA-KYENGERA-24h'!N10,'27.07 BUSEGA-KYENGERA-24h'!N10,'28.07 BUSEGA-KYENGERA'!N10)</f>
        <v>0</v>
      </c>
      <c r="O10" s="15">
        <f t="shared" ref="O10:O73" si="0">SUM(C10:L10,N10)</f>
        <v>113.57142857142856</v>
      </c>
      <c r="P10" s="15">
        <f t="shared" ref="P10:P73" si="1">SUM(C10:N10)</f>
        <v>222.42857142857142</v>
      </c>
      <c r="R10" s="1" t="s">
        <v>6</v>
      </c>
      <c r="S10" s="17">
        <f t="shared" ref="S10:AF10" si="2">SUM(C10:C13)</f>
        <v>173.28571428571428</v>
      </c>
      <c r="T10" s="17">
        <f t="shared" si="2"/>
        <v>33</v>
      </c>
      <c r="U10" s="17">
        <f t="shared" si="2"/>
        <v>21.857142857142858</v>
      </c>
      <c r="V10" s="17">
        <f t="shared" si="2"/>
        <v>180.42857142857142</v>
      </c>
      <c r="W10" s="17">
        <f t="shared" si="2"/>
        <v>10.285714285714286</v>
      </c>
      <c r="X10" s="17">
        <f t="shared" si="2"/>
        <v>7</v>
      </c>
      <c r="Y10" s="17">
        <f t="shared" si="2"/>
        <v>36.285714285714285</v>
      </c>
      <c r="Z10" s="17">
        <f t="shared" si="2"/>
        <v>17</v>
      </c>
      <c r="AA10" s="17">
        <f t="shared" si="2"/>
        <v>4</v>
      </c>
      <c r="AB10" s="17">
        <f t="shared" si="2"/>
        <v>10.142857142857142</v>
      </c>
      <c r="AC10" s="17">
        <f t="shared" si="2"/>
        <v>578.28571428571422</v>
      </c>
      <c r="AD10" s="17">
        <f t="shared" si="2"/>
        <v>0.2857142857142857</v>
      </c>
      <c r="AE10" s="31">
        <f t="shared" si="2"/>
        <v>493.57142857142856</v>
      </c>
      <c r="AF10" s="31">
        <f t="shared" si="2"/>
        <v>1071.8571428571429</v>
      </c>
    </row>
    <row r="11" spans="2:32" s="6" customFormat="1" ht="23.1" customHeight="1" x14ac:dyDescent="0.25">
      <c r="B11" s="23" t="s">
        <v>38</v>
      </c>
      <c r="C11" s="49">
        <f>AVERAGE('22.07 BUSEGA-KYENGERA'!C11,'23.07 BUSEGA-KYENGERA'!C11,'24.07 BUSEGA-KYENGERA'!C11,'25.07 BUSEGA-KYENGERA'!C11,'26.07 BUSEGA-KYENGERA-24h'!C11,'27.07 BUSEGA-KYENGERA-24h'!C11,'28.07 BUSEGA-KYENGERA'!C11)</f>
        <v>44.285714285714285</v>
      </c>
      <c r="D11" s="49">
        <f>AVERAGE('22.07 BUSEGA-KYENGERA'!D11,'23.07 BUSEGA-KYENGERA'!D11,'24.07 BUSEGA-KYENGERA'!D11,'25.07 BUSEGA-KYENGERA'!D11,'26.07 BUSEGA-KYENGERA-24h'!D11,'27.07 BUSEGA-KYENGERA-24h'!D11,'28.07 BUSEGA-KYENGERA'!D11)</f>
        <v>7.4285714285714288</v>
      </c>
      <c r="E11" s="49">
        <f>AVERAGE('22.07 BUSEGA-KYENGERA'!E11,'23.07 BUSEGA-KYENGERA'!E11,'24.07 BUSEGA-KYENGERA'!E11,'25.07 BUSEGA-KYENGERA'!E11,'26.07 BUSEGA-KYENGERA-24h'!E11,'27.07 BUSEGA-KYENGERA-24h'!E11,'28.07 BUSEGA-KYENGERA'!E11)</f>
        <v>5.8571428571428568</v>
      </c>
      <c r="F11" s="49">
        <f>AVERAGE('22.07 BUSEGA-KYENGERA'!F11,'23.07 BUSEGA-KYENGERA'!F11,'24.07 BUSEGA-KYENGERA'!F11,'25.07 BUSEGA-KYENGERA'!F11,'26.07 BUSEGA-KYENGERA-24h'!F11,'27.07 BUSEGA-KYENGERA-24h'!F11,'28.07 BUSEGA-KYENGERA'!F11)</f>
        <v>44.714285714285715</v>
      </c>
      <c r="G11" s="49">
        <f>AVERAGE('22.07 BUSEGA-KYENGERA'!G11,'23.07 BUSEGA-KYENGERA'!G11,'24.07 BUSEGA-KYENGERA'!G11,'25.07 BUSEGA-KYENGERA'!G11,'26.07 BUSEGA-KYENGERA-24h'!G11,'27.07 BUSEGA-KYENGERA-24h'!G11,'28.07 BUSEGA-KYENGERA'!G11)</f>
        <v>2.1428571428571428</v>
      </c>
      <c r="H11" s="49">
        <f>AVERAGE('22.07 BUSEGA-KYENGERA'!H11,'23.07 BUSEGA-KYENGERA'!H11,'24.07 BUSEGA-KYENGERA'!H11,'25.07 BUSEGA-KYENGERA'!H11,'26.07 BUSEGA-KYENGERA-24h'!H11,'27.07 BUSEGA-KYENGERA-24h'!H11,'28.07 BUSEGA-KYENGERA'!H11)</f>
        <v>2.1428571428571428</v>
      </c>
      <c r="I11" s="49">
        <f>AVERAGE('22.07 BUSEGA-KYENGERA'!I11,'23.07 BUSEGA-KYENGERA'!I11,'24.07 BUSEGA-KYENGERA'!I11,'25.07 BUSEGA-KYENGERA'!I11,'26.07 BUSEGA-KYENGERA-24h'!I11,'27.07 BUSEGA-KYENGERA-24h'!I11,'28.07 BUSEGA-KYENGERA'!I11)</f>
        <v>11.857142857142858</v>
      </c>
      <c r="J11" s="49">
        <f>AVERAGE('22.07 BUSEGA-KYENGERA'!J11,'23.07 BUSEGA-KYENGERA'!J11,'24.07 BUSEGA-KYENGERA'!J11,'25.07 BUSEGA-KYENGERA'!J11,'26.07 BUSEGA-KYENGERA-24h'!J11,'27.07 BUSEGA-KYENGERA-24h'!J11,'28.07 BUSEGA-KYENGERA'!J11)</f>
        <v>4.7142857142857144</v>
      </c>
      <c r="K11" s="49">
        <f>AVERAGE('22.07 BUSEGA-KYENGERA'!K11,'23.07 BUSEGA-KYENGERA'!K11,'24.07 BUSEGA-KYENGERA'!K11,'25.07 BUSEGA-KYENGERA'!K11,'26.07 BUSEGA-KYENGERA-24h'!K11,'27.07 BUSEGA-KYENGERA-24h'!K11,'28.07 BUSEGA-KYENGERA'!K11)</f>
        <v>0.8571428571428571</v>
      </c>
      <c r="L11" s="49">
        <f>AVERAGE('22.07 BUSEGA-KYENGERA'!L11,'23.07 BUSEGA-KYENGERA'!L11,'24.07 BUSEGA-KYENGERA'!L11,'25.07 BUSEGA-KYENGERA'!L11,'26.07 BUSEGA-KYENGERA-24h'!L11,'27.07 BUSEGA-KYENGERA-24h'!L11,'28.07 BUSEGA-KYENGERA'!L11)</f>
        <v>2.4285714285714284</v>
      </c>
      <c r="M11" s="49">
        <f>AVERAGE('22.07 BUSEGA-KYENGERA'!M11,'23.07 BUSEGA-KYENGERA'!M11,'24.07 BUSEGA-KYENGERA'!M11,'25.07 BUSEGA-KYENGERA'!M11,'26.07 BUSEGA-KYENGERA-24h'!M11,'27.07 BUSEGA-KYENGERA-24h'!M11,'28.07 BUSEGA-KYENGERA'!M11)</f>
        <v>140.14285714285714</v>
      </c>
      <c r="N11" s="49">
        <f>AVERAGE('22.07 BUSEGA-KYENGERA'!N11,'23.07 BUSEGA-KYENGERA'!N11,'24.07 BUSEGA-KYENGERA'!N11,'25.07 BUSEGA-KYENGERA'!N11,'26.07 BUSEGA-KYENGERA-24h'!N11,'27.07 BUSEGA-KYENGERA-24h'!N11,'28.07 BUSEGA-KYENGERA'!N11)</f>
        <v>0.14285714285714285</v>
      </c>
      <c r="O11" s="15">
        <f t="shared" si="0"/>
        <v>126.57142857142856</v>
      </c>
      <c r="P11" s="15">
        <f t="shared" si="1"/>
        <v>266.71428571428572</v>
      </c>
      <c r="R11" s="1" t="s">
        <v>7</v>
      </c>
      <c r="S11" s="17">
        <f t="shared" ref="S11:AF11" si="3">SUM(C14:C17)</f>
        <v>213.85714285714286</v>
      </c>
      <c r="T11" s="17">
        <f t="shared" si="3"/>
        <v>42</v>
      </c>
      <c r="U11" s="17">
        <f t="shared" si="3"/>
        <v>23.285714285714285</v>
      </c>
      <c r="V11" s="17">
        <f t="shared" si="3"/>
        <v>202.42857142857142</v>
      </c>
      <c r="W11" s="17">
        <f t="shared" si="3"/>
        <v>6.1428571428571432</v>
      </c>
      <c r="X11" s="17">
        <f t="shared" si="3"/>
        <v>5.7142857142857144</v>
      </c>
      <c r="Y11" s="17">
        <f t="shared" si="3"/>
        <v>40.142857142857146</v>
      </c>
      <c r="Z11" s="17">
        <f t="shared" si="3"/>
        <v>15.857142857142858</v>
      </c>
      <c r="AA11" s="17">
        <f t="shared" si="3"/>
        <v>3.5714285714285712</v>
      </c>
      <c r="AB11" s="17">
        <f t="shared" si="3"/>
        <v>10.285714285714285</v>
      </c>
      <c r="AC11" s="17">
        <f t="shared" si="3"/>
        <v>714</v>
      </c>
      <c r="AD11" s="17">
        <f t="shared" si="3"/>
        <v>0.2857142857142857</v>
      </c>
      <c r="AE11" s="31">
        <f t="shared" si="3"/>
        <v>563.57142857142844</v>
      </c>
      <c r="AF11" s="31">
        <f t="shared" si="3"/>
        <v>1277.5714285714284</v>
      </c>
    </row>
    <row r="12" spans="2:32" ht="23.1" customHeight="1" x14ac:dyDescent="0.25">
      <c r="B12" s="23" t="s">
        <v>39</v>
      </c>
      <c r="C12" s="49">
        <f>AVERAGE('22.07 BUSEGA-KYENGERA'!C12,'23.07 BUSEGA-KYENGERA'!C12,'24.07 BUSEGA-KYENGERA'!C12,'25.07 BUSEGA-KYENGERA'!C12,'26.07 BUSEGA-KYENGERA-24h'!C12,'27.07 BUSEGA-KYENGERA-24h'!C12,'28.07 BUSEGA-KYENGERA'!C12)</f>
        <v>42</v>
      </c>
      <c r="D12" s="49">
        <f>AVERAGE('22.07 BUSEGA-KYENGERA'!D12,'23.07 BUSEGA-KYENGERA'!D12,'24.07 BUSEGA-KYENGERA'!D12,'25.07 BUSEGA-KYENGERA'!D12,'26.07 BUSEGA-KYENGERA-24h'!D12,'27.07 BUSEGA-KYENGERA-24h'!D12,'28.07 BUSEGA-KYENGERA'!D12)</f>
        <v>8.2857142857142865</v>
      </c>
      <c r="E12" s="49">
        <f>AVERAGE('22.07 BUSEGA-KYENGERA'!E12,'23.07 BUSEGA-KYENGERA'!E12,'24.07 BUSEGA-KYENGERA'!E12,'25.07 BUSEGA-KYENGERA'!E12,'26.07 BUSEGA-KYENGERA-24h'!E12,'27.07 BUSEGA-KYENGERA-24h'!E12,'28.07 BUSEGA-KYENGERA'!E12)</f>
        <v>5</v>
      </c>
      <c r="F12" s="49">
        <f>AVERAGE('22.07 BUSEGA-KYENGERA'!F12,'23.07 BUSEGA-KYENGERA'!F12,'24.07 BUSEGA-KYENGERA'!F12,'25.07 BUSEGA-KYENGERA'!F12,'26.07 BUSEGA-KYENGERA-24h'!F12,'27.07 BUSEGA-KYENGERA-24h'!F12,'28.07 BUSEGA-KYENGERA'!F12)</f>
        <v>41.142857142857146</v>
      </c>
      <c r="G12" s="49">
        <f>AVERAGE('22.07 BUSEGA-KYENGERA'!G12,'23.07 BUSEGA-KYENGERA'!G12,'24.07 BUSEGA-KYENGERA'!G12,'25.07 BUSEGA-KYENGERA'!G12,'26.07 BUSEGA-KYENGERA-24h'!G12,'27.07 BUSEGA-KYENGERA-24h'!G12,'28.07 BUSEGA-KYENGERA'!G12)</f>
        <v>3.2857142857142856</v>
      </c>
      <c r="H12" s="49">
        <f>AVERAGE('22.07 BUSEGA-KYENGERA'!H12,'23.07 BUSEGA-KYENGERA'!H12,'24.07 BUSEGA-KYENGERA'!H12,'25.07 BUSEGA-KYENGERA'!H12,'26.07 BUSEGA-KYENGERA-24h'!H12,'27.07 BUSEGA-KYENGERA-24h'!H12,'28.07 BUSEGA-KYENGERA'!H12)</f>
        <v>1</v>
      </c>
      <c r="I12" s="49">
        <f>AVERAGE('22.07 BUSEGA-KYENGERA'!I12,'23.07 BUSEGA-KYENGERA'!I12,'24.07 BUSEGA-KYENGERA'!I12,'25.07 BUSEGA-KYENGERA'!I12,'26.07 BUSEGA-KYENGERA-24h'!I12,'27.07 BUSEGA-KYENGERA-24h'!I12,'28.07 BUSEGA-KYENGERA'!I12)</f>
        <v>9.1428571428571423</v>
      </c>
      <c r="J12" s="49">
        <f>AVERAGE('22.07 BUSEGA-KYENGERA'!J12,'23.07 BUSEGA-KYENGERA'!J12,'24.07 BUSEGA-KYENGERA'!J12,'25.07 BUSEGA-KYENGERA'!J12,'26.07 BUSEGA-KYENGERA-24h'!J12,'27.07 BUSEGA-KYENGERA-24h'!J12,'28.07 BUSEGA-KYENGERA'!J12)</f>
        <v>3.2857142857142856</v>
      </c>
      <c r="K12" s="49">
        <f>AVERAGE('22.07 BUSEGA-KYENGERA'!K12,'23.07 BUSEGA-KYENGERA'!K12,'24.07 BUSEGA-KYENGERA'!K12,'25.07 BUSEGA-KYENGERA'!K12,'26.07 BUSEGA-KYENGERA-24h'!K12,'27.07 BUSEGA-KYENGERA-24h'!K12,'28.07 BUSEGA-KYENGERA'!K12)</f>
        <v>1.4285714285714286</v>
      </c>
      <c r="L12" s="49">
        <f>AVERAGE('22.07 BUSEGA-KYENGERA'!L12,'23.07 BUSEGA-KYENGERA'!L12,'24.07 BUSEGA-KYENGERA'!L12,'25.07 BUSEGA-KYENGERA'!L12,'26.07 BUSEGA-KYENGERA-24h'!L12,'27.07 BUSEGA-KYENGERA-24h'!L12,'28.07 BUSEGA-KYENGERA'!L12)</f>
        <v>3.1428571428571428</v>
      </c>
      <c r="M12" s="49">
        <f>AVERAGE('22.07 BUSEGA-KYENGERA'!M12,'23.07 BUSEGA-KYENGERA'!M12,'24.07 BUSEGA-KYENGERA'!M12,'25.07 BUSEGA-KYENGERA'!M12,'26.07 BUSEGA-KYENGERA-24h'!M12,'27.07 BUSEGA-KYENGERA-24h'!M12,'28.07 BUSEGA-KYENGERA'!M12)</f>
        <v>155</v>
      </c>
      <c r="N12" s="49">
        <f>AVERAGE('22.07 BUSEGA-KYENGERA'!N12,'23.07 BUSEGA-KYENGERA'!N12,'24.07 BUSEGA-KYENGERA'!N12,'25.07 BUSEGA-KYENGERA'!N12,'26.07 BUSEGA-KYENGERA-24h'!N12,'27.07 BUSEGA-KYENGERA-24h'!N12,'28.07 BUSEGA-KYENGERA'!N12)</f>
        <v>0.14285714285714285</v>
      </c>
      <c r="O12" s="15">
        <f t="shared" si="0"/>
        <v>117.85714285714286</v>
      </c>
      <c r="P12" s="15">
        <f t="shared" si="1"/>
        <v>272.85714285714289</v>
      </c>
      <c r="R12" s="1" t="s">
        <v>8</v>
      </c>
      <c r="S12" s="17">
        <f t="shared" ref="S12:AF12" si="4">SUM(C18:C21)</f>
        <v>223.42857142857144</v>
      </c>
      <c r="T12" s="17">
        <f t="shared" si="4"/>
        <v>43.285714285714292</v>
      </c>
      <c r="U12" s="17">
        <f t="shared" si="4"/>
        <v>27.857142857142854</v>
      </c>
      <c r="V12" s="17">
        <f t="shared" si="4"/>
        <v>205.71428571428572</v>
      </c>
      <c r="W12" s="17">
        <f t="shared" si="4"/>
        <v>6.2857142857142856</v>
      </c>
      <c r="X12" s="17">
        <f t="shared" si="4"/>
        <v>6.7142857142857144</v>
      </c>
      <c r="Y12" s="17">
        <f t="shared" si="4"/>
        <v>53</v>
      </c>
      <c r="Z12" s="17">
        <f t="shared" si="4"/>
        <v>20.428571428571427</v>
      </c>
      <c r="AA12" s="17">
        <f t="shared" si="4"/>
        <v>3.5714285714285716</v>
      </c>
      <c r="AB12" s="17">
        <f t="shared" si="4"/>
        <v>13</v>
      </c>
      <c r="AC12" s="17">
        <f t="shared" si="4"/>
        <v>753.42857142857144</v>
      </c>
      <c r="AD12" s="17">
        <f t="shared" si="4"/>
        <v>0</v>
      </c>
      <c r="AE12" s="31">
        <f t="shared" si="4"/>
        <v>603.28571428571422</v>
      </c>
      <c r="AF12" s="31">
        <f t="shared" si="4"/>
        <v>1356.7142857142858</v>
      </c>
    </row>
    <row r="13" spans="2:32" ht="23.1" customHeight="1" x14ac:dyDescent="0.25">
      <c r="B13" s="23" t="s">
        <v>40</v>
      </c>
      <c r="C13" s="49">
        <f>AVERAGE('22.07 BUSEGA-KYENGERA'!C13,'23.07 BUSEGA-KYENGERA'!C13,'24.07 BUSEGA-KYENGERA'!C13,'25.07 BUSEGA-KYENGERA'!C13,'26.07 BUSEGA-KYENGERA-24h'!C13,'27.07 BUSEGA-KYENGERA-24h'!C13,'28.07 BUSEGA-KYENGERA'!C13)</f>
        <v>47.428571428571431</v>
      </c>
      <c r="D13" s="49">
        <f>AVERAGE('22.07 BUSEGA-KYENGERA'!D13,'23.07 BUSEGA-KYENGERA'!D13,'24.07 BUSEGA-KYENGERA'!D13,'25.07 BUSEGA-KYENGERA'!D13,'26.07 BUSEGA-KYENGERA-24h'!D13,'27.07 BUSEGA-KYENGERA-24h'!D13,'28.07 BUSEGA-KYENGERA'!D13)</f>
        <v>9.7142857142857135</v>
      </c>
      <c r="E13" s="49">
        <f>AVERAGE('22.07 BUSEGA-KYENGERA'!E13,'23.07 BUSEGA-KYENGERA'!E13,'24.07 BUSEGA-KYENGERA'!E13,'25.07 BUSEGA-KYENGERA'!E13,'26.07 BUSEGA-KYENGERA-24h'!E13,'27.07 BUSEGA-KYENGERA-24h'!E13,'28.07 BUSEGA-KYENGERA'!E13)</f>
        <v>7.2857142857142856</v>
      </c>
      <c r="F13" s="49">
        <f>AVERAGE('22.07 BUSEGA-KYENGERA'!F13,'23.07 BUSEGA-KYENGERA'!F13,'24.07 BUSEGA-KYENGERA'!F13,'25.07 BUSEGA-KYENGERA'!F13,'26.07 BUSEGA-KYENGERA-24h'!F13,'27.07 BUSEGA-KYENGERA-24h'!F13,'28.07 BUSEGA-KYENGERA'!F13)</f>
        <v>47.142857142857146</v>
      </c>
      <c r="G13" s="49">
        <f>AVERAGE('22.07 BUSEGA-KYENGERA'!G13,'23.07 BUSEGA-KYENGERA'!G13,'24.07 BUSEGA-KYENGERA'!G13,'25.07 BUSEGA-KYENGERA'!G13,'26.07 BUSEGA-KYENGERA-24h'!G13,'27.07 BUSEGA-KYENGERA-24h'!G13,'28.07 BUSEGA-KYENGERA'!G13)</f>
        <v>3.5714285714285716</v>
      </c>
      <c r="H13" s="49">
        <f>AVERAGE('22.07 BUSEGA-KYENGERA'!H13,'23.07 BUSEGA-KYENGERA'!H13,'24.07 BUSEGA-KYENGERA'!H13,'25.07 BUSEGA-KYENGERA'!H13,'26.07 BUSEGA-KYENGERA-24h'!H13,'27.07 BUSEGA-KYENGERA-24h'!H13,'28.07 BUSEGA-KYENGERA'!H13)</f>
        <v>2.2857142857142856</v>
      </c>
      <c r="I13" s="49">
        <f>AVERAGE('22.07 BUSEGA-KYENGERA'!I13,'23.07 BUSEGA-KYENGERA'!I13,'24.07 BUSEGA-KYENGERA'!I13,'25.07 BUSEGA-KYENGERA'!I13,'26.07 BUSEGA-KYENGERA-24h'!I13,'27.07 BUSEGA-KYENGERA-24h'!I13,'28.07 BUSEGA-KYENGERA'!I13)</f>
        <v>9.1428571428571423</v>
      </c>
      <c r="J13" s="49">
        <f>AVERAGE('22.07 BUSEGA-KYENGERA'!J13,'23.07 BUSEGA-KYENGERA'!J13,'24.07 BUSEGA-KYENGERA'!J13,'25.07 BUSEGA-KYENGERA'!J13,'26.07 BUSEGA-KYENGERA-24h'!J13,'27.07 BUSEGA-KYENGERA-24h'!J13,'28.07 BUSEGA-KYENGERA'!J13)</f>
        <v>5.2857142857142856</v>
      </c>
      <c r="K13" s="49">
        <f>AVERAGE('22.07 BUSEGA-KYENGERA'!K13,'23.07 BUSEGA-KYENGERA'!K13,'24.07 BUSEGA-KYENGERA'!K13,'25.07 BUSEGA-KYENGERA'!K13,'26.07 BUSEGA-KYENGERA-24h'!K13,'27.07 BUSEGA-KYENGERA-24h'!K13,'28.07 BUSEGA-KYENGERA'!K13)</f>
        <v>0.8571428571428571</v>
      </c>
      <c r="L13" s="49">
        <f>AVERAGE('22.07 BUSEGA-KYENGERA'!L13,'23.07 BUSEGA-KYENGERA'!L13,'24.07 BUSEGA-KYENGERA'!L13,'25.07 BUSEGA-KYENGERA'!L13,'26.07 BUSEGA-KYENGERA-24h'!L13,'27.07 BUSEGA-KYENGERA-24h'!L13,'28.07 BUSEGA-KYENGERA'!L13)</f>
        <v>2.8571428571428572</v>
      </c>
      <c r="M13" s="49">
        <f>AVERAGE('22.07 BUSEGA-KYENGERA'!M13,'23.07 BUSEGA-KYENGERA'!M13,'24.07 BUSEGA-KYENGERA'!M13,'25.07 BUSEGA-KYENGERA'!M13,'26.07 BUSEGA-KYENGERA-24h'!M13,'27.07 BUSEGA-KYENGERA-24h'!M13,'28.07 BUSEGA-KYENGERA'!M13)</f>
        <v>174.28571428571428</v>
      </c>
      <c r="N13" s="49">
        <f>AVERAGE('22.07 BUSEGA-KYENGERA'!N13,'23.07 BUSEGA-KYENGERA'!N13,'24.07 BUSEGA-KYENGERA'!N13,'25.07 BUSEGA-KYENGERA'!N13,'26.07 BUSEGA-KYENGERA-24h'!N13,'27.07 BUSEGA-KYENGERA-24h'!N13,'28.07 BUSEGA-KYENGERA'!N13)</f>
        <v>0</v>
      </c>
      <c r="O13" s="15">
        <f t="shared" si="0"/>
        <v>135.57142857142858</v>
      </c>
      <c r="P13" s="15">
        <f t="shared" si="1"/>
        <v>309.85714285714289</v>
      </c>
      <c r="R13" s="1" t="s">
        <v>9</v>
      </c>
      <c r="S13" s="17">
        <f t="shared" ref="S13:AF13" si="5">SUM(C22:C25)</f>
        <v>242.42857142857144</v>
      </c>
      <c r="T13" s="17">
        <f t="shared" si="5"/>
        <v>38</v>
      </c>
      <c r="U13" s="17">
        <f t="shared" si="5"/>
        <v>25.714285714285712</v>
      </c>
      <c r="V13" s="17">
        <f t="shared" si="5"/>
        <v>211.28571428571428</v>
      </c>
      <c r="W13" s="17">
        <f t="shared" si="5"/>
        <v>8.7142857142857153</v>
      </c>
      <c r="X13" s="17">
        <f t="shared" si="5"/>
        <v>6.1428571428571423</v>
      </c>
      <c r="Y13" s="17">
        <f t="shared" si="5"/>
        <v>60.714285714285715</v>
      </c>
      <c r="Z13" s="17">
        <f t="shared" si="5"/>
        <v>18.714285714285715</v>
      </c>
      <c r="AA13" s="17">
        <f t="shared" si="5"/>
        <v>3.7142857142857144</v>
      </c>
      <c r="AB13" s="17">
        <f t="shared" si="5"/>
        <v>12.857142857142858</v>
      </c>
      <c r="AC13" s="17">
        <f t="shared" si="5"/>
        <v>635</v>
      </c>
      <c r="AD13" s="17">
        <f t="shared" si="5"/>
        <v>0.2857142857142857</v>
      </c>
      <c r="AE13" s="31">
        <f t="shared" si="5"/>
        <v>628.57142857142856</v>
      </c>
      <c r="AF13" s="31">
        <f t="shared" si="5"/>
        <v>1263.5714285714287</v>
      </c>
    </row>
    <row r="14" spans="2:32" ht="23.1" customHeight="1" x14ac:dyDescent="0.25">
      <c r="B14" s="23" t="s">
        <v>41</v>
      </c>
      <c r="C14" s="49">
        <f>AVERAGE('22.07 BUSEGA-KYENGERA'!C14,'23.07 BUSEGA-KYENGERA'!C14,'24.07 BUSEGA-KYENGERA'!C14,'25.07 BUSEGA-KYENGERA'!C14,'26.07 BUSEGA-KYENGERA-24h'!C14,'27.07 BUSEGA-KYENGERA-24h'!C14,'28.07 BUSEGA-KYENGERA'!C14)</f>
        <v>57.714285714285715</v>
      </c>
      <c r="D14" s="49">
        <f>AVERAGE('22.07 BUSEGA-KYENGERA'!D14,'23.07 BUSEGA-KYENGERA'!D14,'24.07 BUSEGA-KYENGERA'!D14,'25.07 BUSEGA-KYENGERA'!D14,'26.07 BUSEGA-KYENGERA-24h'!D14,'27.07 BUSEGA-KYENGERA-24h'!D14,'28.07 BUSEGA-KYENGERA'!D14)</f>
        <v>11.857142857142858</v>
      </c>
      <c r="E14" s="49">
        <f>AVERAGE('22.07 BUSEGA-KYENGERA'!E14,'23.07 BUSEGA-KYENGERA'!E14,'24.07 BUSEGA-KYENGERA'!E14,'25.07 BUSEGA-KYENGERA'!E14,'26.07 BUSEGA-KYENGERA-24h'!E14,'27.07 BUSEGA-KYENGERA-24h'!E14,'28.07 BUSEGA-KYENGERA'!E14)</f>
        <v>6.1428571428571432</v>
      </c>
      <c r="F14" s="49">
        <f>AVERAGE('22.07 BUSEGA-KYENGERA'!F14,'23.07 BUSEGA-KYENGERA'!F14,'24.07 BUSEGA-KYENGERA'!F14,'25.07 BUSEGA-KYENGERA'!F14,'26.07 BUSEGA-KYENGERA-24h'!F14,'27.07 BUSEGA-KYENGERA-24h'!F14,'28.07 BUSEGA-KYENGERA'!F14)</f>
        <v>47.714285714285715</v>
      </c>
      <c r="G14" s="49">
        <f>AVERAGE('22.07 BUSEGA-KYENGERA'!G14,'23.07 BUSEGA-KYENGERA'!G14,'24.07 BUSEGA-KYENGERA'!G14,'25.07 BUSEGA-KYENGERA'!G14,'26.07 BUSEGA-KYENGERA-24h'!G14,'27.07 BUSEGA-KYENGERA-24h'!G14,'28.07 BUSEGA-KYENGERA'!G14)</f>
        <v>2</v>
      </c>
      <c r="H14" s="49">
        <f>AVERAGE('22.07 BUSEGA-KYENGERA'!H14,'23.07 BUSEGA-KYENGERA'!H14,'24.07 BUSEGA-KYENGERA'!H14,'25.07 BUSEGA-KYENGERA'!H14,'26.07 BUSEGA-KYENGERA-24h'!H14,'27.07 BUSEGA-KYENGERA-24h'!H14,'28.07 BUSEGA-KYENGERA'!H14)</f>
        <v>2</v>
      </c>
      <c r="I14" s="49">
        <f>AVERAGE('22.07 BUSEGA-KYENGERA'!I14,'23.07 BUSEGA-KYENGERA'!I14,'24.07 BUSEGA-KYENGERA'!I14,'25.07 BUSEGA-KYENGERA'!I14,'26.07 BUSEGA-KYENGERA-24h'!I14,'27.07 BUSEGA-KYENGERA-24h'!I14,'28.07 BUSEGA-KYENGERA'!I14)</f>
        <v>9.4285714285714288</v>
      </c>
      <c r="J14" s="49">
        <f>AVERAGE('22.07 BUSEGA-KYENGERA'!J14,'23.07 BUSEGA-KYENGERA'!J14,'24.07 BUSEGA-KYENGERA'!J14,'25.07 BUSEGA-KYENGERA'!J14,'26.07 BUSEGA-KYENGERA-24h'!J14,'27.07 BUSEGA-KYENGERA-24h'!J14,'28.07 BUSEGA-KYENGERA'!J14)</f>
        <v>6</v>
      </c>
      <c r="K14" s="49">
        <f>AVERAGE('22.07 BUSEGA-KYENGERA'!K14,'23.07 BUSEGA-KYENGERA'!K14,'24.07 BUSEGA-KYENGERA'!K14,'25.07 BUSEGA-KYENGERA'!K14,'26.07 BUSEGA-KYENGERA-24h'!K14,'27.07 BUSEGA-KYENGERA-24h'!K14,'28.07 BUSEGA-KYENGERA'!K14)</f>
        <v>0.7142857142857143</v>
      </c>
      <c r="L14" s="49">
        <f>AVERAGE('22.07 BUSEGA-KYENGERA'!L14,'23.07 BUSEGA-KYENGERA'!L14,'24.07 BUSEGA-KYENGERA'!L14,'25.07 BUSEGA-KYENGERA'!L14,'26.07 BUSEGA-KYENGERA-24h'!L14,'27.07 BUSEGA-KYENGERA-24h'!L14,'28.07 BUSEGA-KYENGERA'!L14)</f>
        <v>2.4285714285714284</v>
      </c>
      <c r="M14" s="49">
        <f>AVERAGE('22.07 BUSEGA-KYENGERA'!M14,'23.07 BUSEGA-KYENGERA'!M14,'24.07 BUSEGA-KYENGERA'!M14,'25.07 BUSEGA-KYENGERA'!M14,'26.07 BUSEGA-KYENGERA-24h'!M14,'27.07 BUSEGA-KYENGERA-24h'!M14,'28.07 BUSEGA-KYENGERA'!M14)</f>
        <v>159.71428571428572</v>
      </c>
      <c r="N14" s="49">
        <f>AVERAGE('22.07 BUSEGA-KYENGERA'!N14,'23.07 BUSEGA-KYENGERA'!N14,'24.07 BUSEGA-KYENGERA'!N14,'25.07 BUSEGA-KYENGERA'!N14,'26.07 BUSEGA-KYENGERA-24h'!N14,'27.07 BUSEGA-KYENGERA-24h'!N14,'28.07 BUSEGA-KYENGERA'!N14)</f>
        <v>0.14285714285714285</v>
      </c>
      <c r="O14" s="15">
        <f t="shared" si="0"/>
        <v>146.14285714285711</v>
      </c>
      <c r="P14" s="15">
        <f t="shared" si="1"/>
        <v>305.85714285714283</v>
      </c>
      <c r="R14" s="1" t="s">
        <v>10</v>
      </c>
      <c r="S14" s="17">
        <f t="shared" ref="S14:AF14" si="6">SUM(C26:C29)</f>
        <v>249</v>
      </c>
      <c r="T14" s="17">
        <f t="shared" si="6"/>
        <v>37.142857142857146</v>
      </c>
      <c r="U14" s="17">
        <f t="shared" si="6"/>
        <v>22.571428571428573</v>
      </c>
      <c r="V14" s="17">
        <f t="shared" si="6"/>
        <v>198.28571428571428</v>
      </c>
      <c r="W14" s="17">
        <f t="shared" si="6"/>
        <v>7.5714285714285712</v>
      </c>
      <c r="X14" s="17">
        <f t="shared" si="6"/>
        <v>10.571428571428571</v>
      </c>
      <c r="Y14" s="17">
        <f t="shared" si="6"/>
        <v>64.571428571428569</v>
      </c>
      <c r="Z14" s="17">
        <f t="shared" si="6"/>
        <v>27.428571428571427</v>
      </c>
      <c r="AA14" s="17">
        <f t="shared" si="6"/>
        <v>3.2857142857142856</v>
      </c>
      <c r="AB14" s="17">
        <f t="shared" si="6"/>
        <v>18.142857142857142</v>
      </c>
      <c r="AC14" s="17">
        <f t="shared" si="6"/>
        <v>479.28571428571428</v>
      </c>
      <c r="AD14" s="17">
        <f t="shared" si="6"/>
        <v>0.5714285714285714</v>
      </c>
      <c r="AE14" s="31">
        <f t="shared" si="6"/>
        <v>639.14285714285711</v>
      </c>
      <c r="AF14" s="31">
        <f t="shared" si="6"/>
        <v>1118.4285714285716</v>
      </c>
    </row>
    <row r="15" spans="2:32" ht="23.1" customHeight="1" x14ac:dyDescent="0.25">
      <c r="B15" s="23" t="s">
        <v>42</v>
      </c>
      <c r="C15" s="49">
        <f>AVERAGE('22.07 BUSEGA-KYENGERA'!C15,'23.07 BUSEGA-KYENGERA'!C15,'24.07 BUSEGA-KYENGERA'!C15,'25.07 BUSEGA-KYENGERA'!C15,'26.07 BUSEGA-KYENGERA-24h'!C15,'27.07 BUSEGA-KYENGERA-24h'!C15,'28.07 BUSEGA-KYENGERA'!C15)</f>
        <v>48.571428571428569</v>
      </c>
      <c r="D15" s="49">
        <f>AVERAGE('22.07 BUSEGA-KYENGERA'!D15,'23.07 BUSEGA-KYENGERA'!D15,'24.07 BUSEGA-KYENGERA'!D15,'25.07 BUSEGA-KYENGERA'!D15,'26.07 BUSEGA-KYENGERA-24h'!D15,'27.07 BUSEGA-KYENGERA-24h'!D15,'28.07 BUSEGA-KYENGERA'!D15)</f>
        <v>9.5714285714285712</v>
      </c>
      <c r="E15" s="49">
        <f>AVERAGE('22.07 BUSEGA-KYENGERA'!E15,'23.07 BUSEGA-KYENGERA'!E15,'24.07 BUSEGA-KYENGERA'!E15,'25.07 BUSEGA-KYENGERA'!E15,'26.07 BUSEGA-KYENGERA-24h'!E15,'27.07 BUSEGA-KYENGERA-24h'!E15,'28.07 BUSEGA-KYENGERA'!E15)</f>
        <v>5.8571428571428568</v>
      </c>
      <c r="F15" s="49">
        <f>AVERAGE('22.07 BUSEGA-KYENGERA'!F15,'23.07 BUSEGA-KYENGERA'!F15,'24.07 BUSEGA-KYENGERA'!F15,'25.07 BUSEGA-KYENGERA'!F15,'26.07 BUSEGA-KYENGERA-24h'!F15,'27.07 BUSEGA-KYENGERA-24h'!F15,'28.07 BUSEGA-KYENGERA'!F15)</f>
        <v>52.285714285714285</v>
      </c>
      <c r="G15" s="49">
        <f>AVERAGE('22.07 BUSEGA-KYENGERA'!G15,'23.07 BUSEGA-KYENGERA'!G15,'24.07 BUSEGA-KYENGERA'!G15,'25.07 BUSEGA-KYENGERA'!G15,'26.07 BUSEGA-KYENGERA-24h'!G15,'27.07 BUSEGA-KYENGERA-24h'!G15,'28.07 BUSEGA-KYENGERA'!G15)</f>
        <v>1.4285714285714286</v>
      </c>
      <c r="H15" s="49">
        <f>AVERAGE('22.07 BUSEGA-KYENGERA'!H15,'23.07 BUSEGA-KYENGERA'!H15,'24.07 BUSEGA-KYENGERA'!H15,'25.07 BUSEGA-KYENGERA'!H15,'26.07 BUSEGA-KYENGERA-24h'!H15,'27.07 BUSEGA-KYENGERA-24h'!H15,'28.07 BUSEGA-KYENGERA'!H15)</f>
        <v>1.2857142857142858</v>
      </c>
      <c r="I15" s="49">
        <f>AVERAGE('22.07 BUSEGA-KYENGERA'!I15,'23.07 BUSEGA-KYENGERA'!I15,'24.07 BUSEGA-KYENGERA'!I15,'25.07 BUSEGA-KYENGERA'!I15,'26.07 BUSEGA-KYENGERA-24h'!I15,'27.07 BUSEGA-KYENGERA-24h'!I15,'28.07 BUSEGA-KYENGERA'!I15)</f>
        <v>11</v>
      </c>
      <c r="J15" s="49">
        <f>AVERAGE('22.07 BUSEGA-KYENGERA'!J15,'23.07 BUSEGA-KYENGERA'!J15,'24.07 BUSEGA-KYENGERA'!J15,'25.07 BUSEGA-KYENGERA'!J15,'26.07 BUSEGA-KYENGERA-24h'!J15,'27.07 BUSEGA-KYENGERA-24h'!J15,'28.07 BUSEGA-KYENGERA'!J15)</f>
        <v>4.4285714285714288</v>
      </c>
      <c r="K15" s="49">
        <f>AVERAGE('22.07 BUSEGA-KYENGERA'!K15,'23.07 BUSEGA-KYENGERA'!K15,'24.07 BUSEGA-KYENGERA'!K15,'25.07 BUSEGA-KYENGERA'!K15,'26.07 BUSEGA-KYENGERA-24h'!K15,'27.07 BUSEGA-KYENGERA-24h'!K15,'28.07 BUSEGA-KYENGERA'!K15)</f>
        <v>1.2857142857142858</v>
      </c>
      <c r="L15" s="49">
        <f>AVERAGE('22.07 BUSEGA-KYENGERA'!L15,'23.07 BUSEGA-KYENGERA'!L15,'24.07 BUSEGA-KYENGERA'!L15,'25.07 BUSEGA-KYENGERA'!L15,'26.07 BUSEGA-KYENGERA-24h'!L15,'27.07 BUSEGA-KYENGERA-24h'!L15,'28.07 BUSEGA-KYENGERA'!L15)</f>
        <v>2.2857142857142856</v>
      </c>
      <c r="M15" s="49">
        <f>AVERAGE('22.07 BUSEGA-KYENGERA'!M15,'23.07 BUSEGA-KYENGERA'!M15,'24.07 BUSEGA-KYENGERA'!M15,'25.07 BUSEGA-KYENGERA'!M15,'26.07 BUSEGA-KYENGERA-24h'!M15,'27.07 BUSEGA-KYENGERA-24h'!M15,'28.07 BUSEGA-KYENGERA'!M15)</f>
        <v>189.71428571428572</v>
      </c>
      <c r="N15" s="49">
        <f>AVERAGE('22.07 BUSEGA-KYENGERA'!N15,'23.07 BUSEGA-KYENGERA'!N15,'24.07 BUSEGA-KYENGERA'!N15,'25.07 BUSEGA-KYENGERA'!N15,'26.07 BUSEGA-KYENGERA-24h'!N15,'27.07 BUSEGA-KYENGERA-24h'!N15,'28.07 BUSEGA-KYENGERA'!N15)</f>
        <v>0.14285714285714285</v>
      </c>
      <c r="O15" s="15">
        <f t="shared" si="0"/>
        <v>138.14285714285711</v>
      </c>
      <c r="P15" s="15">
        <f t="shared" si="1"/>
        <v>327.85714285714283</v>
      </c>
      <c r="R15" s="1" t="s">
        <v>11</v>
      </c>
      <c r="S15" s="17">
        <f t="shared" ref="S15:AF15" si="7">SUM(C30:C33)</f>
        <v>202.57142857142856</v>
      </c>
      <c r="T15" s="17">
        <f t="shared" si="7"/>
        <v>27.142857142857142</v>
      </c>
      <c r="U15" s="17">
        <f t="shared" si="7"/>
        <v>17.142857142857146</v>
      </c>
      <c r="V15" s="17">
        <f t="shared" si="7"/>
        <v>179.71428571428569</v>
      </c>
      <c r="W15" s="17">
        <f t="shared" si="7"/>
        <v>7.5714285714285721</v>
      </c>
      <c r="X15" s="17">
        <f t="shared" si="7"/>
        <v>7.1428571428571423</v>
      </c>
      <c r="Y15" s="17">
        <f t="shared" si="7"/>
        <v>55.142857142857139</v>
      </c>
      <c r="Z15" s="17">
        <f t="shared" si="7"/>
        <v>30.857142857142861</v>
      </c>
      <c r="AA15" s="17">
        <f t="shared" si="7"/>
        <v>4</v>
      </c>
      <c r="AB15" s="17">
        <f t="shared" si="7"/>
        <v>15.428571428571427</v>
      </c>
      <c r="AC15" s="17">
        <f t="shared" si="7"/>
        <v>452.14285714285711</v>
      </c>
      <c r="AD15" s="17">
        <f t="shared" si="7"/>
        <v>0.5714285714285714</v>
      </c>
      <c r="AE15" s="31">
        <f t="shared" si="7"/>
        <v>547.28571428571422</v>
      </c>
      <c r="AF15" s="31">
        <f t="shared" si="7"/>
        <v>999.42857142857144</v>
      </c>
    </row>
    <row r="16" spans="2:32" ht="23.1" customHeight="1" x14ac:dyDescent="0.25">
      <c r="B16" s="23" t="s">
        <v>43</v>
      </c>
      <c r="C16" s="49">
        <f>AVERAGE('22.07 BUSEGA-KYENGERA'!C16,'23.07 BUSEGA-KYENGERA'!C16,'24.07 BUSEGA-KYENGERA'!C16,'25.07 BUSEGA-KYENGERA'!C16,'26.07 BUSEGA-KYENGERA-24h'!C16,'27.07 BUSEGA-KYENGERA-24h'!C16,'28.07 BUSEGA-KYENGERA'!C16)</f>
        <v>55.857142857142854</v>
      </c>
      <c r="D16" s="49">
        <f>AVERAGE('22.07 BUSEGA-KYENGERA'!D16,'23.07 BUSEGA-KYENGERA'!D16,'24.07 BUSEGA-KYENGERA'!D16,'25.07 BUSEGA-KYENGERA'!D16,'26.07 BUSEGA-KYENGERA-24h'!D16,'27.07 BUSEGA-KYENGERA-24h'!D16,'28.07 BUSEGA-KYENGERA'!D16)</f>
        <v>8.4285714285714288</v>
      </c>
      <c r="E16" s="49">
        <f>AVERAGE('22.07 BUSEGA-KYENGERA'!E16,'23.07 BUSEGA-KYENGERA'!E16,'24.07 BUSEGA-KYENGERA'!E16,'25.07 BUSEGA-KYENGERA'!E16,'26.07 BUSEGA-KYENGERA-24h'!E16,'27.07 BUSEGA-KYENGERA-24h'!E16,'28.07 BUSEGA-KYENGERA'!E16)</f>
        <v>6</v>
      </c>
      <c r="F16" s="49">
        <f>AVERAGE('22.07 BUSEGA-KYENGERA'!F16,'23.07 BUSEGA-KYENGERA'!F16,'24.07 BUSEGA-KYENGERA'!F16,'25.07 BUSEGA-KYENGERA'!F16,'26.07 BUSEGA-KYENGERA-24h'!F16,'27.07 BUSEGA-KYENGERA-24h'!F16,'28.07 BUSEGA-KYENGERA'!F16)</f>
        <v>57.285714285714285</v>
      </c>
      <c r="G16" s="49">
        <f>AVERAGE('22.07 BUSEGA-KYENGERA'!G16,'23.07 BUSEGA-KYENGERA'!G16,'24.07 BUSEGA-KYENGERA'!G16,'25.07 BUSEGA-KYENGERA'!G16,'26.07 BUSEGA-KYENGERA-24h'!G16,'27.07 BUSEGA-KYENGERA-24h'!G16,'28.07 BUSEGA-KYENGERA'!G16)</f>
        <v>1.4285714285714286</v>
      </c>
      <c r="H16" s="49">
        <f>AVERAGE('22.07 BUSEGA-KYENGERA'!H16,'23.07 BUSEGA-KYENGERA'!H16,'24.07 BUSEGA-KYENGERA'!H16,'25.07 BUSEGA-KYENGERA'!H16,'26.07 BUSEGA-KYENGERA-24h'!H16,'27.07 BUSEGA-KYENGERA-24h'!H16,'28.07 BUSEGA-KYENGERA'!H16)</f>
        <v>1.1428571428571428</v>
      </c>
      <c r="I16" s="49">
        <f>AVERAGE('22.07 BUSEGA-KYENGERA'!I16,'23.07 BUSEGA-KYENGERA'!I16,'24.07 BUSEGA-KYENGERA'!I16,'25.07 BUSEGA-KYENGERA'!I16,'26.07 BUSEGA-KYENGERA-24h'!I16,'27.07 BUSEGA-KYENGERA-24h'!I16,'28.07 BUSEGA-KYENGERA'!I16)</f>
        <v>9.4285714285714288</v>
      </c>
      <c r="J16" s="49">
        <f>AVERAGE('22.07 BUSEGA-KYENGERA'!J16,'23.07 BUSEGA-KYENGERA'!J16,'24.07 BUSEGA-KYENGERA'!J16,'25.07 BUSEGA-KYENGERA'!J16,'26.07 BUSEGA-KYENGERA-24h'!J16,'27.07 BUSEGA-KYENGERA-24h'!J16,'28.07 BUSEGA-KYENGERA'!J16)</f>
        <v>2.4285714285714284</v>
      </c>
      <c r="K16" s="49">
        <f>AVERAGE('22.07 BUSEGA-KYENGERA'!K16,'23.07 BUSEGA-KYENGERA'!K16,'24.07 BUSEGA-KYENGERA'!K16,'25.07 BUSEGA-KYENGERA'!K16,'26.07 BUSEGA-KYENGERA-24h'!K16,'27.07 BUSEGA-KYENGERA-24h'!K16,'28.07 BUSEGA-KYENGERA'!K16)</f>
        <v>1</v>
      </c>
      <c r="L16" s="49">
        <f>AVERAGE('22.07 BUSEGA-KYENGERA'!L16,'23.07 BUSEGA-KYENGERA'!L16,'24.07 BUSEGA-KYENGERA'!L16,'25.07 BUSEGA-KYENGERA'!L16,'26.07 BUSEGA-KYENGERA-24h'!L16,'27.07 BUSEGA-KYENGERA-24h'!L16,'28.07 BUSEGA-KYENGERA'!L16)</f>
        <v>2.1428571428571428</v>
      </c>
      <c r="M16" s="49">
        <f>AVERAGE('22.07 BUSEGA-KYENGERA'!M16,'23.07 BUSEGA-KYENGERA'!M16,'24.07 BUSEGA-KYENGERA'!M16,'25.07 BUSEGA-KYENGERA'!M16,'26.07 BUSEGA-KYENGERA-24h'!M16,'27.07 BUSEGA-KYENGERA-24h'!M16,'28.07 BUSEGA-KYENGERA'!M16)</f>
        <v>167.57142857142858</v>
      </c>
      <c r="N16" s="49">
        <f>AVERAGE('22.07 BUSEGA-KYENGERA'!N16,'23.07 BUSEGA-KYENGERA'!N16,'24.07 BUSEGA-KYENGERA'!N16,'25.07 BUSEGA-KYENGERA'!N16,'26.07 BUSEGA-KYENGERA-24h'!N16,'27.07 BUSEGA-KYENGERA-24h'!N16,'28.07 BUSEGA-KYENGERA'!N16)</f>
        <v>0</v>
      </c>
      <c r="O16" s="15">
        <f t="shared" si="0"/>
        <v>145.14285714285708</v>
      </c>
      <c r="P16" s="15">
        <f t="shared" si="1"/>
        <v>312.71428571428567</v>
      </c>
      <c r="R16" s="1" t="s">
        <v>12</v>
      </c>
      <c r="S16" s="17">
        <f t="shared" ref="S16:AF16" si="8">SUM(C34:C37)</f>
        <v>207.71428571428572</v>
      </c>
      <c r="T16" s="17">
        <f t="shared" si="8"/>
        <v>29.571428571428569</v>
      </c>
      <c r="U16" s="17">
        <f t="shared" si="8"/>
        <v>18.142857142857146</v>
      </c>
      <c r="V16" s="17">
        <f t="shared" si="8"/>
        <v>179.14285714285711</v>
      </c>
      <c r="W16" s="17">
        <f t="shared" si="8"/>
        <v>4.7142857142857144</v>
      </c>
      <c r="X16" s="17">
        <f t="shared" si="8"/>
        <v>4.7142857142857144</v>
      </c>
      <c r="Y16" s="17">
        <f t="shared" si="8"/>
        <v>47.571428571428577</v>
      </c>
      <c r="Z16" s="17">
        <f t="shared" si="8"/>
        <v>41.285714285714292</v>
      </c>
      <c r="AA16" s="17">
        <f t="shared" si="8"/>
        <v>7.2857142857142856</v>
      </c>
      <c r="AB16" s="17">
        <f t="shared" si="8"/>
        <v>19.857142857142858</v>
      </c>
      <c r="AC16" s="17">
        <f t="shared" si="8"/>
        <v>568.57142857142856</v>
      </c>
      <c r="AD16" s="17">
        <f t="shared" si="8"/>
        <v>0.14285714285714285</v>
      </c>
      <c r="AE16" s="31">
        <f t="shared" si="8"/>
        <v>560.14285714285711</v>
      </c>
      <c r="AF16" s="31">
        <f t="shared" si="8"/>
        <v>1128.7142857142858</v>
      </c>
    </row>
    <row r="17" spans="2:32" ht="23.1" customHeight="1" x14ac:dyDescent="0.25">
      <c r="B17" s="23" t="s">
        <v>44</v>
      </c>
      <c r="C17" s="49">
        <f>AVERAGE('22.07 BUSEGA-KYENGERA'!C17,'23.07 BUSEGA-KYENGERA'!C17,'24.07 BUSEGA-KYENGERA'!C17,'25.07 BUSEGA-KYENGERA'!C17,'26.07 BUSEGA-KYENGERA-24h'!C17,'27.07 BUSEGA-KYENGERA-24h'!C17,'28.07 BUSEGA-KYENGERA'!C17)</f>
        <v>51.714285714285715</v>
      </c>
      <c r="D17" s="49">
        <f>AVERAGE('22.07 BUSEGA-KYENGERA'!D17,'23.07 BUSEGA-KYENGERA'!D17,'24.07 BUSEGA-KYENGERA'!D17,'25.07 BUSEGA-KYENGERA'!D17,'26.07 BUSEGA-KYENGERA-24h'!D17,'27.07 BUSEGA-KYENGERA-24h'!D17,'28.07 BUSEGA-KYENGERA'!D17)</f>
        <v>12.142857142857142</v>
      </c>
      <c r="E17" s="49">
        <f>AVERAGE('22.07 BUSEGA-KYENGERA'!E17,'23.07 BUSEGA-KYENGERA'!E17,'24.07 BUSEGA-KYENGERA'!E17,'25.07 BUSEGA-KYENGERA'!E17,'26.07 BUSEGA-KYENGERA-24h'!E17,'27.07 BUSEGA-KYENGERA-24h'!E17,'28.07 BUSEGA-KYENGERA'!E17)</f>
        <v>5.2857142857142856</v>
      </c>
      <c r="F17" s="49">
        <f>AVERAGE('22.07 BUSEGA-KYENGERA'!F17,'23.07 BUSEGA-KYENGERA'!F17,'24.07 BUSEGA-KYENGERA'!F17,'25.07 BUSEGA-KYENGERA'!F17,'26.07 BUSEGA-KYENGERA-24h'!F17,'27.07 BUSEGA-KYENGERA-24h'!F17,'28.07 BUSEGA-KYENGERA'!F17)</f>
        <v>45.142857142857146</v>
      </c>
      <c r="G17" s="49">
        <f>AVERAGE('22.07 BUSEGA-KYENGERA'!G17,'23.07 BUSEGA-KYENGERA'!G17,'24.07 BUSEGA-KYENGERA'!G17,'25.07 BUSEGA-KYENGERA'!G17,'26.07 BUSEGA-KYENGERA-24h'!G17,'27.07 BUSEGA-KYENGERA-24h'!G17,'28.07 BUSEGA-KYENGERA'!G17)</f>
        <v>1.2857142857142858</v>
      </c>
      <c r="H17" s="49">
        <f>AVERAGE('22.07 BUSEGA-KYENGERA'!H17,'23.07 BUSEGA-KYENGERA'!H17,'24.07 BUSEGA-KYENGERA'!H17,'25.07 BUSEGA-KYENGERA'!H17,'26.07 BUSEGA-KYENGERA-24h'!H17,'27.07 BUSEGA-KYENGERA-24h'!H17,'28.07 BUSEGA-KYENGERA'!H17)</f>
        <v>1.2857142857142858</v>
      </c>
      <c r="I17" s="49">
        <f>AVERAGE('22.07 BUSEGA-KYENGERA'!I17,'23.07 BUSEGA-KYENGERA'!I17,'24.07 BUSEGA-KYENGERA'!I17,'25.07 BUSEGA-KYENGERA'!I17,'26.07 BUSEGA-KYENGERA-24h'!I17,'27.07 BUSEGA-KYENGERA-24h'!I17,'28.07 BUSEGA-KYENGERA'!I17)</f>
        <v>10.285714285714286</v>
      </c>
      <c r="J17" s="49">
        <f>AVERAGE('22.07 BUSEGA-KYENGERA'!J17,'23.07 BUSEGA-KYENGERA'!J17,'24.07 BUSEGA-KYENGERA'!J17,'25.07 BUSEGA-KYENGERA'!J17,'26.07 BUSEGA-KYENGERA-24h'!J17,'27.07 BUSEGA-KYENGERA-24h'!J17,'28.07 BUSEGA-KYENGERA'!J17)</f>
        <v>3</v>
      </c>
      <c r="K17" s="49">
        <f>AVERAGE('22.07 BUSEGA-KYENGERA'!K17,'23.07 BUSEGA-KYENGERA'!K17,'24.07 BUSEGA-KYENGERA'!K17,'25.07 BUSEGA-KYENGERA'!K17,'26.07 BUSEGA-KYENGERA-24h'!K17,'27.07 BUSEGA-KYENGERA-24h'!K17,'28.07 BUSEGA-KYENGERA'!K17)</f>
        <v>0.5714285714285714</v>
      </c>
      <c r="L17" s="49">
        <f>AVERAGE('22.07 BUSEGA-KYENGERA'!L17,'23.07 BUSEGA-KYENGERA'!L17,'24.07 BUSEGA-KYENGERA'!L17,'25.07 BUSEGA-KYENGERA'!L17,'26.07 BUSEGA-KYENGERA-24h'!L17,'27.07 BUSEGA-KYENGERA-24h'!L17,'28.07 BUSEGA-KYENGERA'!L17)</f>
        <v>3.4285714285714284</v>
      </c>
      <c r="M17" s="49">
        <f>AVERAGE('22.07 BUSEGA-KYENGERA'!M17,'23.07 BUSEGA-KYENGERA'!M17,'24.07 BUSEGA-KYENGERA'!M17,'25.07 BUSEGA-KYENGERA'!M17,'26.07 BUSEGA-KYENGERA-24h'!M17,'27.07 BUSEGA-KYENGERA-24h'!M17,'28.07 BUSEGA-KYENGERA'!M17)</f>
        <v>197</v>
      </c>
      <c r="N17" s="49">
        <f>AVERAGE('22.07 BUSEGA-KYENGERA'!N17,'23.07 BUSEGA-KYENGERA'!N17,'24.07 BUSEGA-KYENGERA'!N17,'25.07 BUSEGA-KYENGERA'!N17,'26.07 BUSEGA-KYENGERA-24h'!N17,'27.07 BUSEGA-KYENGERA-24h'!N17,'28.07 BUSEGA-KYENGERA'!N17)</f>
        <v>0</v>
      </c>
      <c r="O17" s="15">
        <f t="shared" si="0"/>
        <v>134.14285714285717</v>
      </c>
      <c r="P17" s="15">
        <f t="shared" si="1"/>
        <v>331.14285714285717</v>
      </c>
      <c r="R17" s="1" t="s">
        <v>13</v>
      </c>
      <c r="S17" s="17">
        <f t="shared" ref="S17:AF17" si="9">SUM(C38:C41)</f>
        <v>189.42857142857144</v>
      </c>
      <c r="T17" s="17">
        <f t="shared" si="9"/>
        <v>30.428571428571427</v>
      </c>
      <c r="U17" s="17">
        <f t="shared" si="9"/>
        <v>21.714285714285715</v>
      </c>
      <c r="V17" s="17">
        <f t="shared" si="9"/>
        <v>149.42857142857144</v>
      </c>
      <c r="W17" s="17">
        <f t="shared" si="9"/>
        <v>3.2857142857142856</v>
      </c>
      <c r="X17" s="17">
        <f t="shared" si="9"/>
        <v>6.1428571428571423</v>
      </c>
      <c r="Y17" s="17">
        <f t="shared" si="9"/>
        <v>50.571428571428569</v>
      </c>
      <c r="Z17" s="17">
        <f t="shared" si="9"/>
        <v>34.285714285714285</v>
      </c>
      <c r="AA17" s="17">
        <f t="shared" si="9"/>
        <v>13.142857142857142</v>
      </c>
      <c r="AB17" s="17">
        <f t="shared" si="9"/>
        <v>19.285714285714285</v>
      </c>
      <c r="AC17" s="17">
        <f t="shared" si="9"/>
        <v>522.85714285714289</v>
      </c>
      <c r="AD17" s="17">
        <f t="shared" si="9"/>
        <v>0</v>
      </c>
      <c r="AE17" s="31">
        <f t="shared" si="9"/>
        <v>517.71428571428555</v>
      </c>
      <c r="AF17" s="31">
        <f t="shared" si="9"/>
        <v>1040.5714285714284</v>
      </c>
    </row>
    <row r="18" spans="2:32" ht="23.1" customHeight="1" x14ac:dyDescent="0.25">
      <c r="B18" s="23" t="s">
        <v>45</v>
      </c>
      <c r="C18" s="49">
        <f>AVERAGE('22.07 BUSEGA-KYENGERA'!C18,'23.07 BUSEGA-KYENGERA'!C18,'24.07 BUSEGA-KYENGERA'!C18,'25.07 BUSEGA-KYENGERA'!C18,'26.07 BUSEGA-KYENGERA-24h'!C18,'27.07 BUSEGA-KYENGERA-24h'!C18,'28.07 BUSEGA-KYENGERA'!C18)</f>
        <v>50.571428571428569</v>
      </c>
      <c r="D18" s="49">
        <f>AVERAGE('22.07 BUSEGA-KYENGERA'!D18,'23.07 BUSEGA-KYENGERA'!D18,'24.07 BUSEGA-KYENGERA'!D18,'25.07 BUSEGA-KYENGERA'!D18,'26.07 BUSEGA-KYENGERA-24h'!D18,'27.07 BUSEGA-KYENGERA-24h'!D18,'28.07 BUSEGA-KYENGERA'!D18)</f>
        <v>10.285714285714286</v>
      </c>
      <c r="E18" s="49">
        <f>AVERAGE('22.07 BUSEGA-KYENGERA'!E18,'23.07 BUSEGA-KYENGERA'!E18,'24.07 BUSEGA-KYENGERA'!E18,'25.07 BUSEGA-KYENGERA'!E18,'26.07 BUSEGA-KYENGERA-24h'!E18,'27.07 BUSEGA-KYENGERA-24h'!E18,'28.07 BUSEGA-KYENGERA'!E18)</f>
        <v>6.4285714285714288</v>
      </c>
      <c r="F18" s="49">
        <f>AVERAGE('22.07 BUSEGA-KYENGERA'!F18,'23.07 BUSEGA-KYENGERA'!F18,'24.07 BUSEGA-KYENGERA'!F18,'25.07 BUSEGA-KYENGERA'!F18,'26.07 BUSEGA-KYENGERA-24h'!F18,'27.07 BUSEGA-KYENGERA-24h'!F18,'28.07 BUSEGA-KYENGERA'!F18)</f>
        <v>53.571428571428569</v>
      </c>
      <c r="G18" s="49">
        <f>AVERAGE('22.07 BUSEGA-KYENGERA'!G18,'23.07 BUSEGA-KYENGERA'!G18,'24.07 BUSEGA-KYENGERA'!G18,'25.07 BUSEGA-KYENGERA'!G18,'26.07 BUSEGA-KYENGERA-24h'!G18,'27.07 BUSEGA-KYENGERA-24h'!G18,'28.07 BUSEGA-KYENGERA'!G18)</f>
        <v>1.4285714285714286</v>
      </c>
      <c r="H18" s="49">
        <f>AVERAGE('22.07 BUSEGA-KYENGERA'!H18,'23.07 BUSEGA-KYENGERA'!H18,'24.07 BUSEGA-KYENGERA'!H18,'25.07 BUSEGA-KYENGERA'!H18,'26.07 BUSEGA-KYENGERA-24h'!H18,'27.07 BUSEGA-KYENGERA-24h'!H18,'28.07 BUSEGA-KYENGERA'!H18)</f>
        <v>1.4285714285714286</v>
      </c>
      <c r="I18" s="49">
        <f>AVERAGE('22.07 BUSEGA-KYENGERA'!I18,'23.07 BUSEGA-KYENGERA'!I18,'24.07 BUSEGA-KYENGERA'!I18,'25.07 BUSEGA-KYENGERA'!I18,'26.07 BUSEGA-KYENGERA-24h'!I18,'27.07 BUSEGA-KYENGERA-24h'!I18,'28.07 BUSEGA-KYENGERA'!I18)</f>
        <v>11.857142857142858</v>
      </c>
      <c r="J18" s="49">
        <f>AVERAGE('22.07 BUSEGA-KYENGERA'!J18,'23.07 BUSEGA-KYENGERA'!J18,'24.07 BUSEGA-KYENGERA'!J18,'25.07 BUSEGA-KYENGERA'!J18,'26.07 BUSEGA-KYENGERA-24h'!J18,'27.07 BUSEGA-KYENGERA-24h'!J18,'28.07 BUSEGA-KYENGERA'!J18)</f>
        <v>5.7142857142857144</v>
      </c>
      <c r="K18" s="49">
        <f>AVERAGE('22.07 BUSEGA-KYENGERA'!K18,'23.07 BUSEGA-KYENGERA'!K18,'24.07 BUSEGA-KYENGERA'!K18,'25.07 BUSEGA-KYENGERA'!K18,'26.07 BUSEGA-KYENGERA-24h'!K18,'27.07 BUSEGA-KYENGERA-24h'!K18,'28.07 BUSEGA-KYENGERA'!K18)</f>
        <v>1.4285714285714286</v>
      </c>
      <c r="L18" s="49">
        <f>AVERAGE('22.07 BUSEGA-KYENGERA'!L18,'23.07 BUSEGA-KYENGERA'!L18,'24.07 BUSEGA-KYENGERA'!L18,'25.07 BUSEGA-KYENGERA'!L18,'26.07 BUSEGA-KYENGERA-24h'!L18,'27.07 BUSEGA-KYENGERA-24h'!L18,'28.07 BUSEGA-KYENGERA'!L18)</f>
        <v>2.8571428571428572</v>
      </c>
      <c r="M18" s="49">
        <f>AVERAGE('22.07 BUSEGA-KYENGERA'!M18,'23.07 BUSEGA-KYENGERA'!M18,'24.07 BUSEGA-KYENGERA'!M18,'25.07 BUSEGA-KYENGERA'!M18,'26.07 BUSEGA-KYENGERA-24h'!M18,'27.07 BUSEGA-KYENGERA-24h'!M18,'28.07 BUSEGA-KYENGERA'!M18)</f>
        <v>167.14285714285714</v>
      </c>
      <c r="N18" s="49">
        <f>AVERAGE('22.07 BUSEGA-KYENGERA'!N18,'23.07 BUSEGA-KYENGERA'!N18,'24.07 BUSEGA-KYENGERA'!N18,'25.07 BUSEGA-KYENGERA'!N18,'26.07 BUSEGA-KYENGERA-24h'!N18,'27.07 BUSEGA-KYENGERA-24h'!N18,'28.07 BUSEGA-KYENGERA'!N18)</f>
        <v>0</v>
      </c>
      <c r="O18" s="15">
        <f t="shared" si="0"/>
        <v>145.57142857142856</v>
      </c>
      <c r="P18" s="15">
        <f t="shared" si="1"/>
        <v>312.71428571428567</v>
      </c>
      <c r="R18" s="1" t="s">
        <v>14</v>
      </c>
      <c r="S18" s="17">
        <f t="shared" ref="S18:AF18" si="10">SUM(C42:C45)</f>
        <v>238.28571428571428</v>
      </c>
      <c r="T18" s="17">
        <f t="shared" si="10"/>
        <v>33</v>
      </c>
      <c r="U18" s="17">
        <f t="shared" si="10"/>
        <v>23.857142857142854</v>
      </c>
      <c r="V18" s="17">
        <f t="shared" si="10"/>
        <v>175.85714285714286</v>
      </c>
      <c r="W18" s="17">
        <f t="shared" si="10"/>
        <v>3.7142857142857144</v>
      </c>
      <c r="X18" s="17">
        <f t="shared" si="10"/>
        <v>6.8571428571428577</v>
      </c>
      <c r="Y18" s="17">
        <f t="shared" si="10"/>
        <v>58.714285714285708</v>
      </c>
      <c r="Z18" s="17">
        <f t="shared" si="10"/>
        <v>36.857142857142854</v>
      </c>
      <c r="AA18" s="17">
        <f t="shared" si="10"/>
        <v>6.7142857142857144</v>
      </c>
      <c r="AB18" s="17">
        <f t="shared" si="10"/>
        <v>19.285714285714285</v>
      </c>
      <c r="AC18" s="17">
        <f t="shared" si="10"/>
        <v>554.85714285714289</v>
      </c>
      <c r="AD18" s="17">
        <f t="shared" si="10"/>
        <v>0.2857142857142857</v>
      </c>
      <c r="AE18" s="31">
        <f t="shared" si="10"/>
        <v>603.42857142857144</v>
      </c>
      <c r="AF18" s="31">
        <f t="shared" si="10"/>
        <v>1158.2857142857142</v>
      </c>
    </row>
    <row r="19" spans="2:32" ht="23.1" customHeight="1" x14ac:dyDescent="0.25">
      <c r="B19" s="23" t="s">
        <v>46</v>
      </c>
      <c r="C19" s="49">
        <f>AVERAGE('22.07 BUSEGA-KYENGERA'!C19,'23.07 BUSEGA-KYENGERA'!C19,'24.07 BUSEGA-KYENGERA'!C19,'25.07 BUSEGA-KYENGERA'!C19,'26.07 BUSEGA-KYENGERA-24h'!C19,'27.07 BUSEGA-KYENGERA-24h'!C19,'28.07 BUSEGA-KYENGERA'!C19)</f>
        <v>55.428571428571431</v>
      </c>
      <c r="D19" s="49">
        <f>AVERAGE('22.07 BUSEGA-KYENGERA'!D19,'23.07 BUSEGA-KYENGERA'!D19,'24.07 BUSEGA-KYENGERA'!D19,'25.07 BUSEGA-KYENGERA'!D19,'26.07 BUSEGA-KYENGERA-24h'!D19,'27.07 BUSEGA-KYENGERA-24h'!D19,'28.07 BUSEGA-KYENGERA'!D19)</f>
        <v>11.142857142857142</v>
      </c>
      <c r="E19" s="49">
        <f>AVERAGE('22.07 BUSEGA-KYENGERA'!E19,'23.07 BUSEGA-KYENGERA'!E19,'24.07 BUSEGA-KYENGERA'!E19,'25.07 BUSEGA-KYENGERA'!E19,'26.07 BUSEGA-KYENGERA-24h'!E19,'27.07 BUSEGA-KYENGERA-24h'!E19,'28.07 BUSEGA-KYENGERA'!E19)</f>
        <v>7.7142857142857144</v>
      </c>
      <c r="F19" s="49">
        <f>AVERAGE('22.07 BUSEGA-KYENGERA'!F19,'23.07 BUSEGA-KYENGERA'!F19,'24.07 BUSEGA-KYENGERA'!F19,'25.07 BUSEGA-KYENGERA'!F19,'26.07 BUSEGA-KYENGERA-24h'!F19,'27.07 BUSEGA-KYENGERA-24h'!F19,'28.07 BUSEGA-KYENGERA'!F19)</f>
        <v>52.285714285714285</v>
      </c>
      <c r="G19" s="49">
        <f>AVERAGE('22.07 BUSEGA-KYENGERA'!G19,'23.07 BUSEGA-KYENGERA'!G19,'24.07 BUSEGA-KYENGERA'!G19,'25.07 BUSEGA-KYENGERA'!G19,'26.07 BUSEGA-KYENGERA-24h'!G19,'27.07 BUSEGA-KYENGERA-24h'!G19,'28.07 BUSEGA-KYENGERA'!G19)</f>
        <v>2.1428571428571428</v>
      </c>
      <c r="H19" s="49">
        <f>AVERAGE('22.07 BUSEGA-KYENGERA'!H19,'23.07 BUSEGA-KYENGERA'!H19,'24.07 BUSEGA-KYENGERA'!H19,'25.07 BUSEGA-KYENGERA'!H19,'26.07 BUSEGA-KYENGERA-24h'!H19,'27.07 BUSEGA-KYENGERA-24h'!H19,'28.07 BUSEGA-KYENGERA'!H19)</f>
        <v>2.1428571428571428</v>
      </c>
      <c r="I19" s="49">
        <f>AVERAGE('22.07 BUSEGA-KYENGERA'!I19,'23.07 BUSEGA-KYENGERA'!I19,'24.07 BUSEGA-KYENGERA'!I19,'25.07 BUSEGA-KYENGERA'!I19,'26.07 BUSEGA-KYENGERA-24h'!I19,'27.07 BUSEGA-KYENGERA-24h'!I19,'28.07 BUSEGA-KYENGERA'!I19)</f>
        <v>14</v>
      </c>
      <c r="J19" s="49">
        <f>AVERAGE('22.07 BUSEGA-KYENGERA'!J19,'23.07 BUSEGA-KYENGERA'!J19,'24.07 BUSEGA-KYENGERA'!J19,'25.07 BUSEGA-KYENGERA'!J19,'26.07 BUSEGA-KYENGERA-24h'!J19,'27.07 BUSEGA-KYENGERA-24h'!J19,'28.07 BUSEGA-KYENGERA'!J19)</f>
        <v>4.8571428571428568</v>
      </c>
      <c r="K19" s="49">
        <f>AVERAGE('22.07 BUSEGA-KYENGERA'!K19,'23.07 BUSEGA-KYENGERA'!K19,'24.07 BUSEGA-KYENGERA'!K19,'25.07 BUSEGA-KYENGERA'!K19,'26.07 BUSEGA-KYENGERA-24h'!K19,'27.07 BUSEGA-KYENGERA-24h'!K19,'28.07 BUSEGA-KYENGERA'!K19)</f>
        <v>0.2857142857142857</v>
      </c>
      <c r="L19" s="49">
        <f>AVERAGE('22.07 BUSEGA-KYENGERA'!L19,'23.07 BUSEGA-KYENGERA'!L19,'24.07 BUSEGA-KYENGERA'!L19,'25.07 BUSEGA-KYENGERA'!L19,'26.07 BUSEGA-KYENGERA-24h'!L19,'27.07 BUSEGA-KYENGERA-24h'!L19,'28.07 BUSEGA-KYENGERA'!L19)</f>
        <v>3.1428571428571428</v>
      </c>
      <c r="M19" s="49">
        <f>AVERAGE('22.07 BUSEGA-KYENGERA'!M19,'23.07 BUSEGA-KYENGERA'!M19,'24.07 BUSEGA-KYENGERA'!M19,'25.07 BUSEGA-KYENGERA'!M19,'26.07 BUSEGA-KYENGERA-24h'!M19,'27.07 BUSEGA-KYENGERA-24h'!M19,'28.07 BUSEGA-KYENGERA'!M19)</f>
        <v>200.14285714285714</v>
      </c>
      <c r="N19" s="49">
        <f>AVERAGE('22.07 BUSEGA-KYENGERA'!N19,'23.07 BUSEGA-KYENGERA'!N19,'24.07 BUSEGA-KYENGERA'!N19,'25.07 BUSEGA-KYENGERA'!N19,'26.07 BUSEGA-KYENGERA-24h'!N19,'27.07 BUSEGA-KYENGERA-24h'!N19,'28.07 BUSEGA-KYENGERA'!N19)</f>
        <v>0</v>
      </c>
      <c r="O19" s="15">
        <f t="shared" si="0"/>
        <v>153.14285714285711</v>
      </c>
      <c r="P19" s="15">
        <f t="shared" si="1"/>
        <v>353.28571428571422</v>
      </c>
      <c r="R19" s="1" t="s">
        <v>15</v>
      </c>
      <c r="S19" s="17">
        <f t="shared" ref="S19:AF19" si="11">SUM(C46:C49)</f>
        <v>238.42857142857144</v>
      </c>
      <c r="T19" s="17">
        <f t="shared" si="11"/>
        <v>28.285714285714285</v>
      </c>
      <c r="U19" s="17">
        <f t="shared" si="11"/>
        <v>21.428571428571431</v>
      </c>
      <c r="V19" s="17">
        <f t="shared" si="11"/>
        <v>182.71428571428572</v>
      </c>
      <c r="W19" s="17">
        <f t="shared" si="11"/>
        <v>6.2857142857142856</v>
      </c>
      <c r="X19" s="17">
        <f t="shared" si="11"/>
        <v>6.7142857142857144</v>
      </c>
      <c r="Y19" s="17">
        <f t="shared" si="11"/>
        <v>63.714285714285715</v>
      </c>
      <c r="Z19" s="17">
        <f t="shared" si="11"/>
        <v>46.857142857142861</v>
      </c>
      <c r="AA19" s="17">
        <f t="shared" si="11"/>
        <v>9</v>
      </c>
      <c r="AB19" s="17">
        <f t="shared" si="11"/>
        <v>21.571428571428573</v>
      </c>
      <c r="AC19" s="17">
        <f t="shared" si="11"/>
        <v>661.42857142857144</v>
      </c>
      <c r="AD19" s="17">
        <f t="shared" si="11"/>
        <v>0</v>
      </c>
      <c r="AE19" s="31">
        <f t="shared" si="11"/>
        <v>625</v>
      </c>
      <c r="AF19" s="31">
        <f t="shared" si="11"/>
        <v>1286.4285714285716</v>
      </c>
    </row>
    <row r="20" spans="2:32" ht="23.1" customHeight="1" x14ac:dyDescent="0.25">
      <c r="B20" s="23" t="s">
        <v>47</v>
      </c>
      <c r="C20" s="49">
        <f>AVERAGE('22.07 BUSEGA-KYENGERA'!C20,'23.07 BUSEGA-KYENGERA'!C20,'24.07 BUSEGA-KYENGERA'!C20,'25.07 BUSEGA-KYENGERA'!C20,'26.07 BUSEGA-KYENGERA-24h'!C20,'27.07 BUSEGA-KYENGERA-24h'!C20,'28.07 BUSEGA-KYENGERA'!C20)</f>
        <v>56</v>
      </c>
      <c r="D20" s="49">
        <f>AVERAGE('22.07 BUSEGA-KYENGERA'!D20,'23.07 BUSEGA-KYENGERA'!D20,'24.07 BUSEGA-KYENGERA'!D20,'25.07 BUSEGA-KYENGERA'!D20,'26.07 BUSEGA-KYENGERA-24h'!D20,'27.07 BUSEGA-KYENGERA-24h'!D20,'28.07 BUSEGA-KYENGERA'!D20)</f>
        <v>11</v>
      </c>
      <c r="E20" s="49">
        <f>AVERAGE('22.07 BUSEGA-KYENGERA'!E20,'23.07 BUSEGA-KYENGERA'!E20,'24.07 BUSEGA-KYENGERA'!E20,'25.07 BUSEGA-KYENGERA'!E20,'26.07 BUSEGA-KYENGERA-24h'!E20,'27.07 BUSEGA-KYENGERA-24h'!E20,'28.07 BUSEGA-KYENGERA'!E20)</f>
        <v>7.1428571428571432</v>
      </c>
      <c r="F20" s="49">
        <f>AVERAGE('22.07 BUSEGA-KYENGERA'!F20,'23.07 BUSEGA-KYENGERA'!F20,'24.07 BUSEGA-KYENGERA'!F20,'25.07 BUSEGA-KYENGERA'!F20,'26.07 BUSEGA-KYENGERA-24h'!F20,'27.07 BUSEGA-KYENGERA-24h'!F20,'28.07 BUSEGA-KYENGERA'!F20)</f>
        <v>42.285714285714285</v>
      </c>
      <c r="G20" s="49">
        <f>AVERAGE('22.07 BUSEGA-KYENGERA'!G20,'23.07 BUSEGA-KYENGERA'!G20,'24.07 BUSEGA-KYENGERA'!G20,'25.07 BUSEGA-KYENGERA'!G20,'26.07 BUSEGA-KYENGERA-24h'!G20,'27.07 BUSEGA-KYENGERA-24h'!G20,'28.07 BUSEGA-KYENGERA'!G20)</f>
        <v>1.4285714285714286</v>
      </c>
      <c r="H20" s="49">
        <f>AVERAGE('22.07 BUSEGA-KYENGERA'!H20,'23.07 BUSEGA-KYENGERA'!H20,'24.07 BUSEGA-KYENGERA'!H20,'25.07 BUSEGA-KYENGERA'!H20,'26.07 BUSEGA-KYENGERA-24h'!H20,'27.07 BUSEGA-KYENGERA-24h'!H20,'28.07 BUSEGA-KYENGERA'!H20)</f>
        <v>1.7142857142857142</v>
      </c>
      <c r="I20" s="49">
        <f>AVERAGE('22.07 BUSEGA-KYENGERA'!I20,'23.07 BUSEGA-KYENGERA'!I20,'24.07 BUSEGA-KYENGERA'!I20,'25.07 BUSEGA-KYENGERA'!I20,'26.07 BUSEGA-KYENGERA-24h'!I20,'27.07 BUSEGA-KYENGERA-24h'!I20,'28.07 BUSEGA-KYENGERA'!I20)</f>
        <v>12.714285714285714</v>
      </c>
      <c r="J20" s="49">
        <f>AVERAGE('22.07 BUSEGA-KYENGERA'!J20,'23.07 BUSEGA-KYENGERA'!J20,'24.07 BUSEGA-KYENGERA'!J20,'25.07 BUSEGA-KYENGERA'!J20,'26.07 BUSEGA-KYENGERA-24h'!J20,'27.07 BUSEGA-KYENGERA-24h'!J20,'28.07 BUSEGA-KYENGERA'!J20)</f>
        <v>3.1428571428571428</v>
      </c>
      <c r="K20" s="49">
        <f>AVERAGE('22.07 BUSEGA-KYENGERA'!K20,'23.07 BUSEGA-KYENGERA'!K20,'24.07 BUSEGA-KYENGERA'!K20,'25.07 BUSEGA-KYENGERA'!K20,'26.07 BUSEGA-KYENGERA-24h'!K20,'27.07 BUSEGA-KYENGERA-24h'!K20,'28.07 BUSEGA-KYENGERA'!K20)</f>
        <v>1.1428571428571428</v>
      </c>
      <c r="L20" s="49">
        <f>AVERAGE('22.07 BUSEGA-KYENGERA'!L20,'23.07 BUSEGA-KYENGERA'!L20,'24.07 BUSEGA-KYENGERA'!L20,'25.07 BUSEGA-KYENGERA'!L20,'26.07 BUSEGA-KYENGERA-24h'!L20,'27.07 BUSEGA-KYENGERA-24h'!L20,'28.07 BUSEGA-KYENGERA'!L20)</f>
        <v>3.5714285714285716</v>
      </c>
      <c r="M20" s="49">
        <f>AVERAGE('22.07 BUSEGA-KYENGERA'!M20,'23.07 BUSEGA-KYENGERA'!M20,'24.07 BUSEGA-KYENGERA'!M20,'25.07 BUSEGA-KYENGERA'!M20,'26.07 BUSEGA-KYENGERA-24h'!M20,'27.07 BUSEGA-KYENGERA-24h'!M20,'28.07 BUSEGA-KYENGERA'!M20)</f>
        <v>203.14285714285714</v>
      </c>
      <c r="N20" s="49">
        <f>AVERAGE('22.07 BUSEGA-KYENGERA'!N20,'23.07 BUSEGA-KYENGERA'!N20,'24.07 BUSEGA-KYENGERA'!N20,'25.07 BUSEGA-KYENGERA'!N20,'26.07 BUSEGA-KYENGERA-24h'!N20,'27.07 BUSEGA-KYENGERA-24h'!N20,'28.07 BUSEGA-KYENGERA'!N20)</f>
        <v>0</v>
      </c>
      <c r="O20" s="15">
        <f t="shared" si="0"/>
        <v>140.14285714285714</v>
      </c>
      <c r="P20" s="15">
        <f t="shared" si="1"/>
        <v>343.28571428571428</v>
      </c>
      <c r="R20" s="1" t="s">
        <v>16</v>
      </c>
      <c r="S20" s="17">
        <f t="shared" ref="S20:AF20" si="12">SUM(C50:C53)</f>
        <v>283</v>
      </c>
      <c r="T20" s="17">
        <f t="shared" si="12"/>
        <v>33.428571428571431</v>
      </c>
      <c r="U20" s="17">
        <f t="shared" si="12"/>
        <v>21.428571428571431</v>
      </c>
      <c r="V20" s="17">
        <f t="shared" si="12"/>
        <v>186.71428571428572</v>
      </c>
      <c r="W20" s="17">
        <f t="shared" si="12"/>
        <v>9</v>
      </c>
      <c r="X20" s="17">
        <f t="shared" si="12"/>
        <v>5.8571428571428577</v>
      </c>
      <c r="Y20" s="17">
        <f t="shared" si="12"/>
        <v>53.714285714285715</v>
      </c>
      <c r="Z20" s="17">
        <f t="shared" si="12"/>
        <v>44.285714285714285</v>
      </c>
      <c r="AA20" s="17">
        <f t="shared" si="12"/>
        <v>7</v>
      </c>
      <c r="AB20" s="17">
        <f t="shared" si="12"/>
        <v>19.428571428571431</v>
      </c>
      <c r="AC20" s="17">
        <f t="shared" si="12"/>
        <v>856.28571428571433</v>
      </c>
      <c r="AD20" s="17">
        <f t="shared" si="12"/>
        <v>0</v>
      </c>
      <c r="AE20" s="31">
        <f t="shared" si="12"/>
        <v>663.85714285714278</v>
      </c>
      <c r="AF20" s="31">
        <f t="shared" si="12"/>
        <v>1520.1428571428571</v>
      </c>
    </row>
    <row r="21" spans="2:32" ht="23.1" customHeight="1" x14ac:dyDescent="0.25">
      <c r="B21" s="23" t="s">
        <v>48</v>
      </c>
      <c r="C21" s="49">
        <f>AVERAGE('22.07 BUSEGA-KYENGERA'!C21,'23.07 BUSEGA-KYENGERA'!C21,'24.07 BUSEGA-KYENGERA'!C21,'25.07 BUSEGA-KYENGERA'!C21,'26.07 BUSEGA-KYENGERA-24h'!C21,'27.07 BUSEGA-KYENGERA-24h'!C21,'28.07 BUSEGA-KYENGERA'!C21)</f>
        <v>61.428571428571431</v>
      </c>
      <c r="D21" s="49">
        <f>AVERAGE('22.07 BUSEGA-KYENGERA'!D21,'23.07 BUSEGA-KYENGERA'!D21,'24.07 BUSEGA-KYENGERA'!D21,'25.07 BUSEGA-KYENGERA'!D21,'26.07 BUSEGA-KYENGERA-24h'!D21,'27.07 BUSEGA-KYENGERA-24h'!D21,'28.07 BUSEGA-KYENGERA'!D21)</f>
        <v>10.857142857142858</v>
      </c>
      <c r="E21" s="49">
        <f>AVERAGE('22.07 BUSEGA-KYENGERA'!E21,'23.07 BUSEGA-KYENGERA'!E21,'24.07 BUSEGA-KYENGERA'!E21,'25.07 BUSEGA-KYENGERA'!E21,'26.07 BUSEGA-KYENGERA-24h'!E21,'27.07 BUSEGA-KYENGERA-24h'!E21,'28.07 BUSEGA-KYENGERA'!E21)</f>
        <v>6.5714285714285712</v>
      </c>
      <c r="F21" s="49">
        <f>AVERAGE('22.07 BUSEGA-KYENGERA'!F21,'23.07 BUSEGA-KYENGERA'!F21,'24.07 BUSEGA-KYENGERA'!F21,'25.07 BUSEGA-KYENGERA'!F21,'26.07 BUSEGA-KYENGERA-24h'!F21,'27.07 BUSEGA-KYENGERA-24h'!F21,'28.07 BUSEGA-KYENGERA'!F21)</f>
        <v>57.571428571428569</v>
      </c>
      <c r="G21" s="49">
        <f>AVERAGE('22.07 BUSEGA-KYENGERA'!G21,'23.07 BUSEGA-KYENGERA'!G21,'24.07 BUSEGA-KYENGERA'!G21,'25.07 BUSEGA-KYENGERA'!G21,'26.07 BUSEGA-KYENGERA-24h'!G21,'27.07 BUSEGA-KYENGERA-24h'!G21,'28.07 BUSEGA-KYENGERA'!G21)</f>
        <v>1.2857142857142858</v>
      </c>
      <c r="H21" s="49">
        <f>AVERAGE('22.07 BUSEGA-KYENGERA'!H21,'23.07 BUSEGA-KYENGERA'!H21,'24.07 BUSEGA-KYENGERA'!H21,'25.07 BUSEGA-KYENGERA'!H21,'26.07 BUSEGA-KYENGERA-24h'!H21,'27.07 BUSEGA-KYENGERA-24h'!H21,'28.07 BUSEGA-KYENGERA'!H21)</f>
        <v>1.4285714285714286</v>
      </c>
      <c r="I21" s="49">
        <f>AVERAGE('22.07 BUSEGA-KYENGERA'!I21,'23.07 BUSEGA-KYENGERA'!I21,'24.07 BUSEGA-KYENGERA'!I21,'25.07 BUSEGA-KYENGERA'!I21,'26.07 BUSEGA-KYENGERA-24h'!I21,'27.07 BUSEGA-KYENGERA-24h'!I21,'28.07 BUSEGA-KYENGERA'!I21)</f>
        <v>14.428571428571429</v>
      </c>
      <c r="J21" s="49">
        <f>AVERAGE('22.07 BUSEGA-KYENGERA'!J21,'23.07 BUSEGA-KYENGERA'!J21,'24.07 BUSEGA-KYENGERA'!J21,'25.07 BUSEGA-KYENGERA'!J21,'26.07 BUSEGA-KYENGERA-24h'!J21,'27.07 BUSEGA-KYENGERA-24h'!J21,'28.07 BUSEGA-KYENGERA'!J21)</f>
        <v>6.7142857142857144</v>
      </c>
      <c r="K21" s="49">
        <f>AVERAGE('22.07 BUSEGA-KYENGERA'!K21,'23.07 BUSEGA-KYENGERA'!K21,'24.07 BUSEGA-KYENGERA'!K21,'25.07 BUSEGA-KYENGERA'!K21,'26.07 BUSEGA-KYENGERA-24h'!K21,'27.07 BUSEGA-KYENGERA-24h'!K21,'28.07 BUSEGA-KYENGERA'!K21)</f>
        <v>0.7142857142857143</v>
      </c>
      <c r="L21" s="49">
        <f>AVERAGE('22.07 BUSEGA-KYENGERA'!L21,'23.07 BUSEGA-KYENGERA'!L21,'24.07 BUSEGA-KYENGERA'!L21,'25.07 BUSEGA-KYENGERA'!L21,'26.07 BUSEGA-KYENGERA-24h'!L21,'27.07 BUSEGA-KYENGERA-24h'!L21,'28.07 BUSEGA-KYENGERA'!L21)</f>
        <v>3.4285714285714284</v>
      </c>
      <c r="M21" s="49">
        <f>AVERAGE('22.07 BUSEGA-KYENGERA'!M21,'23.07 BUSEGA-KYENGERA'!M21,'24.07 BUSEGA-KYENGERA'!M21,'25.07 BUSEGA-KYENGERA'!M21,'26.07 BUSEGA-KYENGERA-24h'!M21,'27.07 BUSEGA-KYENGERA-24h'!M21,'28.07 BUSEGA-KYENGERA'!M21)</f>
        <v>183</v>
      </c>
      <c r="N21" s="49">
        <f>AVERAGE('22.07 BUSEGA-KYENGERA'!N21,'23.07 BUSEGA-KYENGERA'!N21,'24.07 BUSEGA-KYENGERA'!N21,'25.07 BUSEGA-KYENGERA'!N21,'26.07 BUSEGA-KYENGERA-24h'!N21,'27.07 BUSEGA-KYENGERA-24h'!N21,'28.07 BUSEGA-KYENGERA'!N21)</f>
        <v>0</v>
      </c>
      <c r="O21" s="15">
        <f t="shared" si="0"/>
        <v>164.42857142857142</v>
      </c>
      <c r="P21" s="15">
        <f t="shared" si="1"/>
        <v>347.42857142857144</v>
      </c>
      <c r="R21" s="36" t="s">
        <v>20</v>
      </c>
      <c r="S21" s="34">
        <f t="shared" ref="S21:AF33" si="13">SUM(C54:C57)</f>
        <v>256.14285714285717</v>
      </c>
      <c r="T21" s="17">
        <f t="shared" si="13"/>
        <v>32.428571428571431</v>
      </c>
      <c r="U21" s="17">
        <f t="shared" si="13"/>
        <v>18.428571428571431</v>
      </c>
      <c r="V21" s="17">
        <f t="shared" si="13"/>
        <v>185.71428571428572</v>
      </c>
      <c r="W21" s="17">
        <f t="shared" si="13"/>
        <v>7.1428571428571423</v>
      </c>
      <c r="X21" s="17">
        <f t="shared" si="13"/>
        <v>4.1428571428571423</v>
      </c>
      <c r="Y21" s="17">
        <f t="shared" si="13"/>
        <v>42.285714285714285</v>
      </c>
      <c r="Z21" s="17">
        <f t="shared" si="13"/>
        <v>31.571428571428573</v>
      </c>
      <c r="AA21" s="17">
        <f t="shared" si="13"/>
        <v>10.571428571428571</v>
      </c>
      <c r="AB21" s="17">
        <f t="shared" si="13"/>
        <v>16.285714285714288</v>
      </c>
      <c r="AC21" s="17">
        <f t="shared" si="13"/>
        <v>908</v>
      </c>
      <c r="AD21" s="17">
        <f t="shared" si="13"/>
        <v>0</v>
      </c>
      <c r="AE21" s="31">
        <f t="shared" si="13"/>
        <v>604.71428571428567</v>
      </c>
      <c r="AF21" s="31">
        <f t="shared" si="13"/>
        <v>1512.7142857142858</v>
      </c>
    </row>
    <row r="22" spans="2:32" ht="23.1" customHeight="1" x14ac:dyDescent="0.25">
      <c r="B22" s="23" t="s">
        <v>49</v>
      </c>
      <c r="C22" s="49">
        <f>AVERAGE('22.07 BUSEGA-KYENGERA'!C22,'23.07 BUSEGA-KYENGERA'!C22,'24.07 BUSEGA-KYENGERA'!C22,'25.07 BUSEGA-KYENGERA'!C22,'26.07 BUSEGA-KYENGERA-24h'!C22,'27.07 BUSEGA-KYENGERA-24h'!C22,'28.07 BUSEGA-KYENGERA'!C22)</f>
        <v>65.571428571428569</v>
      </c>
      <c r="D22" s="49">
        <f>AVERAGE('22.07 BUSEGA-KYENGERA'!D22,'23.07 BUSEGA-KYENGERA'!D22,'24.07 BUSEGA-KYENGERA'!D22,'25.07 BUSEGA-KYENGERA'!D22,'26.07 BUSEGA-KYENGERA-24h'!D22,'27.07 BUSEGA-KYENGERA-24h'!D22,'28.07 BUSEGA-KYENGERA'!D22)</f>
        <v>8.8571428571428577</v>
      </c>
      <c r="E22" s="49">
        <f>AVERAGE('22.07 BUSEGA-KYENGERA'!E22,'23.07 BUSEGA-KYENGERA'!E22,'24.07 BUSEGA-KYENGERA'!E22,'25.07 BUSEGA-KYENGERA'!E22,'26.07 BUSEGA-KYENGERA-24h'!E22,'27.07 BUSEGA-KYENGERA-24h'!E22,'28.07 BUSEGA-KYENGERA'!E22)</f>
        <v>6.2857142857142856</v>
      </c>
      <c r="F22" s="49">
        <f>AVERAGE('22.07 BUSEGA-KYENGERA'!F22,'23.07 BUSEGA-KYENGERA'!F22,'24.07 BUSEGA-KYENGERA'!F22,'25.07 BUSEGA-KYENGERA'!F22,'26.07 BUSEGA-KYENGERA-24h'!F22,'27.07 BUSEGA-KYENGERA-24h'!F22,'28.07 BUSEGA-KYENGERA'!F22)</f>
        <v>59.285714285714285</v>
      </c>
      <c r="G22" s="49">
        <f>AVERAGE('22.07 BUSEGA-KYENGERA'!G22,'23.07 BUSEGA-KYENGERA'!G22,'24.07 BUSEGA-KYENGERA'!G22,'25.07 BUSEGA-KYENGERA'!G22,'26.07 BUSEGA-KYENGERA-24h'!G22,'27.07 BUSEGA-KYENGERA-24h'!G22,'28.07 BUSEGA-KYENGERA'!G22)</f>
        <v>1.5714285714285714</v>
      </c>
      <c r="H22" s="49">
        <f>AVERAGE('22.07 BUSEGA-KYENGERA'!H22,'23.07 BUSEGA-KYENGERA'!H22,'24.07 BUSEGA-KYENGERA'!H22,'25.07 BUSEGA-KYENGERA'!H22,'26.07 BUSEGA-KYENGERA-24h'!H22,'27.07 BUSEGA-KYENGERA-24h'!H22,'28.07 BUSEGA-KYENGERA'!H22)</f>
        <v>2</v>
      </c>
      <c r="I22" s="49">
        <f>AVERAGE('22.07 BUSEGA-KYENGERA'!I22,'23.07 BUSEGA-KYENGERA'!I22,'24.07 BUSEGA-KYENGERA'!I22,'25.07 BUSEGA-KYENGERA'!I22,'26.07 BUSEGA-KYENGERA-24h'!I22,'27.07 BUSEGA-KYENGERA-24h'!I22,'28.07 BUSEGA-KYENGERA'!I22)</f>
        <v>14.285714285714286</v>
      </c>
      <c r="J22" s="49">
        <f>AVERAGE('22.07 BUSEGA-KYENGERA'!J22,'23.07 BUSEGA-KYENGERA'!J22,'24.07 BUSEGA-KYENGERA'!J22,'25.07 BUSEGA-KYENGERA'!J22,'26.07 BUSEGA-KYENGERA-24h'!J22,'27.07 BUSEGA-KYENGERA-24h'!J22,'28.07 BUSEGA-KYENGERA'!J22)</f>
        <v>3.7142857142857144</v>
      </c>
      <c r="K22" s="49">
        <f>AVERAGE('22.07 BUSEGA-KYENGERA'!K22,'23.07 BUSEGA-KYENGERA'!K22,'24.07 BUSEGA-KYENGERA'!K22,'25.07 BUSEGA-KYENGERA'!K22,'26.07 BUSEGA-KYENGERA-24h'!K22,'27.07 BUSEGA-KYENGERA-24h'!K22,'28.07 BUSEGA-KYENGERA'!K22)</f>
        <v>0.7142857142857143</v>
      </c>
      <c r="L22" s="49">
        <f>AVERAGE('22.07 BUSEGA-KYENGERA'!L22,'23.07 BUSEGA-KYENGERA'!L22,'24.07 BUSEGA-KYENGERA'!L22,'25.07 BUSEGA-KYENGERA'!L22,'26.07 BUSEGA-KYENGERA-24h'!L22,'27.07 BUSEGA-KYENGERA-24h'!L22,'28.07 BUSEGA-KYENGERA'!L22)</f>
        <v>3.2857142857142856</v>
      </c>
      <c r="M22" s="49">
        <f>AVERAGE('22.07 BUSEGA-KYENGERA'!M22,'23.07 BUSEGA-KYENGERA'!M22,'24.07 BUSEGA-KYENGERA'!M22,'25.07 BUSEGA-KYENGERA'!M22,'26.07 BUSEGA-KYENGERA-24h'!M22,'27.07 BUSEGA-KYENGERA-24h'!M22,'28.07 BUSEGA-KYENGERA'!M22)</f>
        <v>173.57142857142858</v>
      </c>
      <c r="N22" s="49">
        <f>AVERAGE('22.07 BUSEGA-KYENGERA'!N22,'23.07 BUSEGA-KYENGERA'!N22,'24.07 BUSEGA-KYENGERA'!N22,'25.07 BUSEGA-KYENGERA'!N22,'26.07 BUSEGA-KYENGERA-24h'!N22,'27.07 BUSEGA-KYENGERA-24h'!N22,'28.07 BUSEGA-KYENGERA'!N22)</f>
        <v>0</v>
      </c>
      <c r="O22" s="15">
        <f t="shared" si="0"/>
        <v>165.57142857142858</v>
      </c>
      <c r="P22" s="15">
        <f t="shared" si="1"/>
        <v>339.14285714285717</v>
      </c>
      <c r="R22" s="1" t="s">
        <v>146</v>
      </c>
      <c r="S22" s="34">
        <f>SUM(C58:C61)</f>
        <v>322</v>
      </c>
      <c r="T22" s="34">
        <f t="shared" ref="T22:AD22" si="14">SUM(D58:D61)</f>
        <v>30</v>
      </c>
      <c r="U22" s="34">
        <f t="shared" si="14"/>
        <v>19</v>
      </c>
      <c r="V22" s="34">
        <f t="shared" si="14"/>
        <v>166.5</v>
      </c>
      <c r="W22" s="34">
        <f t="shared" si="14"/>
        <v>7.5</v>
      </c>
      <c r="X22" s="34">
        <f t="shared" si="14"/>
        <v>8.5</v>
      </c>
      <c r="Y22" s="34">
        <f t="shared" si="14"/>
        <v>54.5</v>
      </c>
      <c r="Z22" s="34">
        <f t="shared" si="14"/>
        <v>49.5</v>
      </c>
      <c r="AA22" s="34">
        <f t="shared" si="14"/>
        <v>6.5</v>
      </c>
      <c r="AB22" s="34">
        <f t="shared" si="14"/>
        <v>12.5</v>
      </c>
      <c r="AC22" s="34">
        <f t="shared" si="14"/>
        <v>1268.5</v>
      </c>
      <c r="AD22" s="34">
        <f t="shared" si="14"/>
        <v>0</v>
      </c>
      <c r="AE22" s="31">
        <f t="shared" si="13"/>
        <v>628</v>
      </c>
      <c r="AF22" s="31">
        <f t="shared" si="13"/>
        <v>1687.7142857142858</v>
      </c>
    </row>
    <row r="23" spans="2:32" ht="23.1" customHeight="1" x14ac:dyDescent="0.25">
      <c r="B23" s="23" t="s">
        <v>50</v>
      </c>
      <c r="C23" s="49">
        <f>AVERAGE('22.07 BUSEGA-KYENGERA'!C23,'23.07 BUSEGA-KYENGERA'!C23,'24.07 BUSEGA-KYENGERA'!C23,'25.07 BUSEGA-KYENGERA'!C23,'26.07 BUSEGA-KYENGERA-24h'!C23,'27.07 BUSEGA-KYENGERA-24h'!C23,'28.07 BUSEGA-KYENGERA'!C23)</f>
        <v>53.857142857142854</v>
      </c>
      <c r="D23" s="49">
        <f>AVERAGE('22.07 BUSEGA-KYENGERA'!D23,'23.07 BUSEGA-KYENGERA'!D23,'24.07 BUSEGA-KYENGERA'!D23,'25.07 BUSEGA-KYENGERA'!D23,'26.07 BUSEGA-KYENGERA-24h'!D23,'27.07 BUSEGA-KYENGERA-24h'!D23,'28.07 BUSEGA-KYENGERA'!D23)</f>
        <v>10.428571428571429</v>
      </c>
      <c r="E23" s="49">
        <f>AVERAGE('22.07 BUSEGA-KYENGERA'!E23,'23.07 BUSEGA-KYENGERA'!E23,'24.07 BUSEGA-KYENGERA'!E23,'25.07 BUSEGA-KYENGERA'!E23,'26.07 BUSEGA-KYENGERA-24h'!E23,'27.07 BUSEGA-KYENGERA-24h'!E23,'28.07 BUSEGA-KYENGERA'!E23)</f>
        <v>5.2857142857142856</v>
      </c>
      <c r="F23" s="49">
        <f>AVERAGE('22.07 BUSEGA-KYENGERA'!F23,'23.07 BUSEGA-KYENGERA'!F23,'24.07 BUSEGA-KYENGERA'!F23,'25.07 BUSEGA-KYENGERA'!F23,'26.07 BUSEGA-KYENGERA-24h'!F23,'27.07 BUSEGA-KYENGERA-24h'!F23,'28.07 BUSEGA-KYENGERA'!F23)</f>
        <v>54.428571428571431</v>
      </c>
      <c r="G23" s="49">
        <f>AVERAGE('22.07 BUSEGA-KYENGERA'!G23,'23.07 BUSEGA-KYENGERA'!G23,'24.07 BUSEGA-KYENGERA'!G23,'25.07 BUSEGA-KYENGERA'!G23,'26.07 BUSEGA-KYENGERA-24h'!G23,'27.07 BUSEGA-KYENGERA-24h'!G23,'28.07 BUSEGA-KYENGERA'!G23)</f>
        <v>2.4285714285714284</v>
      </c>
      <c r="H23" s="49">
        <f>AVERAGE('22.07 BUSEGA-KYENGERA'!H23,'23.07 BUSEGA-KYENGERA'!H23,'24.07 BUSEGA-KYENGERA'!H23,'25.07 BUSEGA-KYENGERA'!H23,'26.07 BUSEGA-KYENGERA-24h'!H23,'27.07 BUSEGA-KYENGERA-24h'!H23,'28.07 BUSEGA-KYENGERA'!H23)</f>
        <v>1</v>
      </c>
      <c r="I23" s="49">
        <f>AVERAGE('22.07 BUSEGA-KYENGERA'!I23,'23.07 BUSEGA-KYENGERA'!I23,'24.07 BUSEGA-KYENGERA'!I23,'25.07 BUSEGA-KYENGERA'!I23,'26.07 BUSEGA-KYENGERA-24h'!I23,'27.07 BUSEGA-KYENGERA-24h'!I23,'28.07 BUSEGA-KYENGERA'!I23)</f>
        <v>17.428571428571427</v>
      </c>
      <c r="J23" s="49">
        <f>AVERAGE('22.07 BUSEGA-KYENGERA'!J23,'23.07 BUSEGA-KYENGERA'!J23,'24.07 BUSEGA-KYENGERA'!J23,'25.07 BUSEGA-KYENGERA'!J23,'26.07 BUSEGA-KYENGERA-24h'!J23,'27.07 BUSEGA-KYENGERA-24h'!J23,'28.07 BUSEGA-KYENGERA'!J23)</f>
        <v>7.2857142857142856</v>
      </c>
      <c r="K23" s="49">
        <f>AVERAGE('22.07 BUSEGA-KYENGERA'!K23,'23.07 BUSEGA-KYENGERA'!K23,'24.07 BUSEGA-KYENGERA'!K23,'25.07 BUSEGA-KYENGERA'!K23,'26.07 BUSEGA-KYENGERA-24h'!K23,'27.07 BUSEGA-KYENGERA-24h'!K23,'28.07 BUSEGA-KYENGERA'!K23)</f>
        <v>1.1428571428571428</v>
      </c>
      <c r="L23" s="49">
        <f>AVERAGE('22.07 BUSEGA-KYENGERA'!L23,'23.07 BUSEGA-KYENGERA'!L23,'24.07 BUSEGA-KYENGERA'!L23,'25.07 BUSEGA-KYENGERA'!L23,'26.07 BUSEGA-KYENGERA-24h'!L23,'27.07 BUSEGA-KYENGERA-24h'!L23,'28.07 BUSEGA-KYENGERA'!L23)</f>
        <v>2.5714285714285716</v>
      </c>
      <c r="M23" s="49">
        <f>AVERAGE('22.07 BUSEGA-KYENGERA'!M23,'23.07 BUSEGA-KYENGERA'!M23,'24.07 BUSEGA-KYENGERA'!M23,'25.07 BUSEGA-KYENGERA'!M23,'26.07 BUSEGA-KYENGERA-24h'!M23,'27.07 BUSEGA-KYENGERA-24h'!M23,'28.07 BUSEGA-KYENGERA'!M23)</f>
        <v>157</v>
      </c>
      <c r="N23" s="49">
        <f>AVERAGE('22.07 BUSEGA-KYENGERA'!N23,'23.07 BUSEGA-KYENGERA'!N23,'24.07 BUSEGA-KYENGERA'!N23,'25.07 BUSEGA-KYENGERA'!N23,'26.07 BUSEGA-KYENGERA-24h'!N23,'27.07 BUSEGA-KYENGERA-24h'!N23,'28.07 BUSEGA-KYENGERA'!N23)</f>
        <v>0.14285714285714285</v>
      </c>
      <c r="O23" s="15">
        <f t="shared" si="0"/>
        <v>156</v>
      </c>
      <c r="P23" s="15">
        <f t="shared" si="1"/>
        <v>313.00000000000006</v>
      </c>
      <c r="R23" s="1" t="s">
        <v>147</v>
      </c>
      <c r="S23" s="34">
        <f>SUM(C62:C65)</f>
        <v>326.5</v>
      </c>
      <c r="T23" s="34">
        <f t="shared" ref="T23:AD23" si="15">SUM(D62:D65)</f>
        <v>33</v>
      </c>
      <c r="U23" s="34">
        <f t="shared" si="15"/>
        <v>18.5</v>
      </c>
      <c r="V23" s="34">
        <f t="shared" si="15"/>
        <v>156.5</v>
      </c>
      <c r="W23" s="34">
        <f t="shared" si="15"/>
        <v>9</v>
      </c>
      <c r="X23" s="34">
        <f t="shared" si="15"/>
        <v>5</v>
      </c>
      <c r="Y23" s="34">
        <f t="shared" si="15"/>
        <v>29.5</v>
      </c>
      <c r="Z23" s="34">
        <f t="shared" si="15"/>
        <v>32</v>
      </c>
      <c r="AA23" s="34">
        <f t="shared" si="15"/>
        <v>6</v>
      </c>
      <c r="AB23" s="34">
        <f t="shared" si="15"/>
        <v>5.5</v>
      </c>
      <c r="AC23" s="34">
        <f t="shared" si="15"/>
        <v>1027.5</v>
      </c>
      <c r="AD23" s="34">
        <f t="shared" si="15"/>
        <v>0</v>
      </c>
      <c r="AE23" s="31">
        <f t="shared" si="13"/>
        <v>608.78571428571422</v>
      </c>
      <c r="AF23" s="31">
        <f t="shared" si="13"/>
        <v>1639.8571428571429</v>
      </c>
    </row>
    <row r="24" spans="2:32" ht="23.1" customHeight="1" x14ac:dyDescent="0.25">
      <c r="B24" s="23" t="s">
        <v>51</v>
      </c>
      <c r="C24" s="49">
        <f>AVERAGE('22.07 BUSEGA-KYENGERA'!C24,'23.07 BUSEGA-KYENGERA'!C24,'24.07 BUSEGA-KYENGERA'!C24,'25.07 BUSEGA-KYENGERA'!C24,'26.07 BUSEGA-KYENGERA-24h'!C24,'27.07 BUSEGA-KYENGERA-24h'!C24,'28.07 BUSEGA-KYENGERA'!C24)</f>
        <v>64.285714285714292</v>
      </c>
      <c r="D24" s="49">
        <f>AVERAGE('22.07 BUSEGA-KYENGERA'!D24,'23.07 BUSEGA-KYENGERA'!D24,'24.07 BUSEGA-KYENGERA'!D24,'25.07 BUSEGA-KYENGERA'!D24,'26.07 BUSEGA-KYENGERA-24h'!D24,'27.07 BUSEGA-KYENGERA-24h'!D24,'28.07 BUSEGA-KYENGERA'!D24)</f>
        <v>10.714285714285714</v>
      </c>
      <c r="E24" s="49">
        <f>AVERAGE('22.07 BUSEGA-KYENGERA'!E24,'23.07 BUSEGA-KYENGERA'!E24,'24.07 BUSEGA-KYENGERA'!E24,'25.07 BUSEGA-KYENGERA'!E24,'26.07 BUSEGA-KYENGERA-24h'!E24,'27.07 BUSEGA-KYENGERA-24h'!E24,'28.07 BUSEGA-KYENGERA'!E24)</f>
        <v>7</v>
      </c>
      <c r="F24" s="49">
        <f>AVERAGE('22.07 BUSEGA-KYENGERA'!F24,'23.07 BUSEGA-KYENGERA'!F24,'24.07 BUSEGA-KYENGERA'!F24,'25.07 BUSEGA-KYENGERA'!F24,'26.07 BUSEGA-KYENGERA-24h'!F24,'27.07 BUSEGA-KYENGERA-24h'!F24,'28.07 BUSEGA-KYENGERA'!F24)</f>
        <v>54.285714285714285</v>
      </c>
      <c r="G24" s="49">
        <f>AVERAGE('22.07 BUSEGA-KYENGERA'!G24,'23.07 BUSEGA-KYENGERA'!G24,'24.07 BUSEGA-KYENGERA'!G24,'25.07 BUSEGA-KYENGERA'!G24,'26.07 BUSEGA-KYENGERA-24h'!G24,'27.07 BUSEGA-KYENGERA-24h'!G24,'28.07 BUSEGA-KYENGERA'!G24)</f>
        <v>2.4285714285714284</v>
      </c>
      <c r="H24" s="49">
        <f>AVERAGE('22.07 BUSEGA-KYENGERA'!H24,'23.07 BUSEGA-KYENGERA'!H24,'24.07 BUSEGA-KYENGERA'!H24,'25.07 BUSEGA-KYENGERA'!H24,'26.07 BUSEGA-KYENGERA-24h'!H24,'27.07 BUSEGA-KYENGERA-24h'!H24,'28.07 BUSEGA-KYENGERA'!H24)</f>
        <v>1.2857142857142858</v>
      </c>
      <c r="I24" s="49">
        <f>AVERAGE('22.07 BUSEGA-KYENGERA'!I24,'23.07 BUSEGA-KYENGERA'!I24,'24.07 BUSEGA-KYENGERA'!I24,'25.07 BUSEGA-KYENGERA'!I24,'26.07 BUSEGA-KYENGERA-24h'!I24,'27.07 BUSEGA-KYENGERA-24h'!I24,'28.07 BUSEGA-KYENGERA'!I24)</f>
        <v>17.714285714285715</v>
      </c>
      <c r="J24" s="49">
        <f>AVERAGE('22.07 BUSEGA-KYENGERA'!J24,'23.07 BUSEGA-KYENGERA'!J24,'24.07 BUSEGA-KYENGERA'!J24,'25.07 BUSEGA-KYENGERA'!J24,'26.07 BUSEGA-KYENGERA-24h'!J24,'27.07 BUSEGA-KYENGERA-24h'!J24,'28.07 BUSEGA-KYENGERA'!J24)</f>
        <v>3.7142857142857144</v>
      </c>
      <c r="K24" s="49">
        <f>AVERAGE('22.07 BUSEGA-KYENGERA'!K24,'23.07 BUSEGA-KYENGERA'!K24,'24.07 BUSEGA-KYENGERA'!K24,'25.07 BUSEGA-KYENGERA'!K24,'26.07 BUSEGA-KYENGERA-24h'!K24,'27.07 BUSEGA-KYENGERA-24h'!K24,'28.07 BUSEGA-KYENGERA'!K24)</f>
        <v>1</v>
      </c>
      <c r="L24" s="49">
        <f>AVERAGE('22.07 BUSEGA-KYENGERA'!L24,'23.07 BUSEGA-KYENGERA'!L24,'24.07 BUSEGA-KYENGERA'!L24,'25.07 BUSEGA-KYENGERA'!L24,'26.07 BUSEGA-KYENGERA-24h'!L24,'27.07 BUSEGA-KYENGERA-24h'!L24,'28.07 BUSEGA-KYENGERA'!L24)</f>
        <v>3</v>
      </c>
      <c r="M24" s="49">
        <f>AVERAGE('22.07 BUSEGA-KYENGERA'!M24,'23.07 BUSEGA-KYENGERA'!M24,'24.07 BUSEGA-KYENGERA'!M24,'25.07 BUSEGA-KYENGERA'!M24,'26.07 BUSEGA-KYENGERA-24h'!M24,'27.07 BUSEGA-KYENGERA-24h'!M24,'28.07 BUSEGA-KYENGERA'!M24)</f>
        <v>145.14285714285714</v>
      </c>
      <c r="N24" s="49">
        <f>AVERAGE('22.07 BUSEGA-KYENGERA'!N24,'23.07 BUSEGA-KYENGERA'!N24,'24.07 BUSEGA-KYENGERA'!N24,'25.07 BUSEGA-KYENGERA'!N24,'26.07 BUSEGA-KYENGERA-24h'!N24,'27.07 BUSEGA-KYENGERA-24h'!N24,'28.07 BUSEGA-KYENGERA'!N24)</f>
        <v>0</v>
      </c>
      <c r="O24" s="15">
        <f t="shared" si="0"/>
        <v>165.42857142857142</v>
      </c>
      <c r="P24" s="15">
        <f t="shared" si="1"/>
        <v>310.57142857142856</v>
      </c>
      <c r="R24" s="1" t="s">
        <v>148</v>
      </c>
      <c r="S24" s="34">
        <f>SUM(C66:C69)</f>
        <v>390.5</v>
      </c>
      <c r="T24" s="34">
        <f t="shared" ref="T24:AD24" si="16">SUM(D66:D69)</f>
        <v>36</v>
      </c>
      <c r="U24" s="34">
        <f t="shared" si="16"/>
        <v>17.5</v>
      </c>
      <c r="V24" s="34">
        <f t="shared" si="16"/>
        <v>178</v>
      </c>
      <c r="W24" s="34">
        <f t="shared" si="16"/>
        <v>11</v>
      </c>
      <c r="X24" s="34">
        <f t="shared" si="16"/>
        <v>12</v>
      </c>
      <c r="Y24" s="34">
        <f t="shared" si="16"/>
        <v>42.5</v>
      </c>
      <c r="Z24" s="34">
        <f t="shared" si="16"/>
        <v>48.5</v>
      </c>
      <c r="AA24" s="34">
        <f t="shared" si="16"/>
        <v>10.5</v>
      </c>
      <c r="AB24" s="34">
        <f t="shared" si="16"/>
        <v>13</v>
      </c>
      <c r="AC24" s="34">
        <f t="shared" si="16"/>
        <v>785</v>
      </c>
      <c r="AD24" s="34">
        <f t="shared" si="16"/>
        <v>0</v>
      </c>
      <c r="AE24" s="31">
        <f t="shared" si="13"/>
        <v>633.57142857142856</v>
      </c>
      <c r="AF24" s="31">
        <f t="shared" si="13"/>
        <v>1775.2857142857142</v>
      </c>
    </row>
    <row r="25" spans="2:32" ht="23.1" customHeight="1" x14ac:dyDescent="0.25">
      <c r="B25" s="23" t="s">
        <v>52</v>
      </c>
      <c r="C25" s="49">
        <f>AVERAGE('22.07 BUSEGA-KYENGERA'!C25,'23.07 BUSEGA-KYENGERA'!C25,'24.07 BUSEGA-KYENGERA'!C25,'25.07 BUSEGA-KYENGERA'!C25,'26.07 BUSEGA-KYENGERA-24h'!C25,'27.07 BUSEGA-KYENGERA-24h'!C25,'28.07 BUSEGA-KYENGERA'!C25)</f>
        <v>58.714285714285715</v>
      </c>
      <c r="D25" s="49">
        <f>AVERAGE('22.07 BUSEGA-KYENGERA'!D25,'23.07 BUSEGA-KYENGERA'!D25,'24.07 BUSEGA-KYENGERA'!D25,'25.07 BUSEGA-KYENGERA'!D25,'26.07 BUSEGA-KYENGERA-24h'!D25,'27.07 BUSEGA-KYENGERA-24h'!D25,'28.07 BUSEGA-KYENGERA'!D25)</f>
        <v>8</v>
      </c>
      <c r="E25" s="49">
        <f>AVERAGE('22.07 BUSEGA-KYENGERA'!E25,'23.07 BUSEGA-KYENGERA'!E25,'24.07 BUSEGA-KYENGERA'!E25,'25.07 BUSEGA-KYENGERA'!E25,'26.07 BUSEGA-KYENGERA-24h'!E25,'27.07 BUSEGA-KYENGERA-24h'!E25,'28.07 BUSEGA-KYENGERA'!E25)</f>
        <v>7.1428571428571432</v>
      </c>
      <c r="F25" s="49">
        <f>AVERAGE('22.07 BUSEGA-KYENGERA'!F25,'23.07 BUSEGA-KYENGERA'!F25,'24.07 BUSEGA-KYENGERA'!F25,'25.07 BUSEGA-KYENGERA'!F25,'26.07 BUSEGA-KYENGERA-24h'!F25,'27.07 BUSEGA-KYENGERA-24h'!F25,'28.07 BUSEGA-KYENGERA'!F25)</f>
        <v>43.285714285714285</v>
      </c>
      <c r="G25" s="49">
        <f>AVERAGE('22.07 BUSEGA-KYENGERA'!G25,'23.07 BUSEGA-KYENGERA'!G25,'24.07 BUSEGA-KYENGERA'!G25,'25.07 BUSEGA-KYENGERA'!G25,'26.07 BUSEGA-KYENGERA-24h'!G25,'27.07 BUSEGA-KYENGERA-24h'!G25,'28.07 BUSEGA-KYENGERA'!G25)</f>
        <v>2.2857142857142856</v>
      </c>
      <c r="H25" s="49">
        <f>AVERAGE('22.07 BUSEGA-KYENGERA'!H25,'23.07 BUSEGA-KYENGERA'!H25,'24.07 BUSEGA-KYENGERA'!H25,'25.07 BUSEGA-KYENGERA'!H25,'26.07 BUSEGA-KYENGERA-24h'!H25,'27.07 BUSEGA-KYENGERA-24h'!H25,'28.07 BUSEGA-KYENGERA'!H25)</f>
        <v>1.8571428571428572</v>
      </c>
      <c r="I25" s="49">
        <f>AVERAGE('22.07 BUSEGA-KYENGERA'!I25,'23.07 BUSEGA-KYENGERA'!I25,'24.07 BUSEGA-KYENGERA'!I25,'25.07 BUSEGA-KYENGERA'!I25,'26.07 BUSEGA-KYENGERA-24h'!I25,'27.07 BUSEGA-KYENGERA-24h'!I25,'28.07 BUSEGA-KYENGERA'!I25)</f>
        <v>11.285714285714286</v>
      </c>
      <c r="J25" s="49">
        <f>AVERAGE('22.07 BUSEGA-KYENGERA'!J25,'23.07 BUSEGA-KYENGERA'!J25,'24.07 BUSEGA-KYENGERA'!J25,'25.07 BUSEGA-KYENGERA'!J25,'26.07 BUSEGA-KYENGERA-24h'!J25,'27.07 BUSEGA-KYENGERA-24h'!J25,'28.07 BUSEGA-KYENGERA'!J25)</f>
        <v>4</v>
      </c>
      <c r="K25" s="49">
        <f>AVERAGE('22.07 BUSEGA-KYENGERA'!K25,'23.07 BUSEGA-KYENGERA'!K25,'24.07 BUSEGA-KYENGERA'!K25,'25.07 BUSEGA-KYENGERA'!K25,'26.07 BUSEGA-KYENGERA-24h'!K25,'27.07 BUSEGA-KYENGERA-24h'!K25,'28.07 BUSEGA-KYENGERA'!K25)</f>
        <v>0.8571428571428571</v>
      </c>
      <c r="L25" s="49">
        <f>AVERAGE('22.07 BUSEGA-KYENGERA'!L25,'23.07 BUSEGA-KYENGERA'!L25,'24.07 BUSEGA-KYENGERA'!L25,'25.07 BUSEGA-KYENGERA'!L25,'26.07 BUSEGA-KYENGERA-24h'!L25,'27.07 BUSEGA-KYENGERA-24h'!L25,'28.07 BUSEGA-KYENGERA'!L25)</f>
        <v>4</v>
      </c>
      <c r="M25" s="49">
        <f>AVERAGE('22.07 BUSEGA-KYENGERA'!M25,'23.07 BUSEGA-KYENGERA'!M25,'24.07 BUSEGA-KYENGERA'!M25,'25.07 BUSEGA-KYENGERA'!M25,'26.07 BUSEGA-KYENGERA-24h'!M25,'27.07 BUSEGA-KYENGERA-24h'!M25,'28.07 BUSEGA-KYENGERA'!M25)</f>
        <v>159.28571428571428</v>
      </c>
      <c r="N25" s="49">
        <f>AVERAGE('22.07 BUSEGA-KYENGERA'!N25,'23.07 BUSEGA-KYENGERA'!N25,'24.07 BUSEGA-KYENGERA'!N25,'25.07 BUSEGA-KYENGERA'!N25,'26.07 BUSEGA-KYENGERA-24h'!N25,'27.07 BUSEGA-KYENGERA-24h'!N25,'28.07 BUSEGA-KYENGERA'!N25)</f>
        <v>0.14285714285714285</v>
      </c>
      <c r="O25" s="15">
        <f t="shared" si="0"/>
        <v>141.57142857142858</v>
      </c>
      <c r="P25" s="15">
        <f t="shared" si="1"/>
        <v>300.85714285714289</v>
      </c>
      <c r="R25" s="1" t="s">
        <v>149</v>
      </c>
      <c r="S25" s="34">
        <f>SUM(C70:C73)</f>
        <v>390</v>
      </c>
      <c r="T25" s="34">
        <f t="shared" ref="T25:AD25" si="17">SUM(D70:D73)</f>
        <v>57.5</v>
      </c>
      <c r="U25" s="34">
        <f t="shared" si="17"/>
        <v>28</v>
      </c>
      <c r="V25" s="34">
        <f t="shared" si="17"/>
        <v>148.5</v>
      </c>
      <c r="W25" s="34">
        <f t="shared" si="17"/>
        <v>11</v>
      </c>
      <c r="X25" s="34">
        <f t="shared" si="17"/>
        <v>6</v>
      </c>
      <c r="Y25" s="34">
        <f t="shared" si="17"/>
        <v>43.5</v>
      </c>
      <c r="Z25" s="34">
        <f t="shared" si="17"/>
        <v>44.5</v>
      </c>
      <c r="AA25" s="34">
        <f t="shared" si="17"/>
        <v>4.5</v>
      </c>
      <c r="AB25" s="34">
        <f t="shared" si="17"/>
        <v>10.5</v>
      </c>
      <c r="AC25" s="34">
        <f t="shared" si="17"/>
        <v>838.5</v>
      </c>
      <c r="AD25" s="34">
        <f t="shared" si="17"/>
        <v>0</v>
      </c>
      <c r="AE25" s="31">
        <f t="shared" si="13"/>
        <v>676.5</v>
      </c>
      <c r="AF25" s="31">
        <f t="shared" si="13"/>
        <v>1945</v>
      </c>
    </row>
    <row r="26" spans="2:32" ht="23.1" customHeight="1" x14ac:dyDescent="0.25">
      <c r="B26" s="23" t="s">
        <v>53</v>
      </c>
      <c r="C26" s="49">
        <f>AVERAGE('22.07 BUSEGA-KYENGERA'!C26,'23.07 BUSEGA-KYENGERA'!C26,'24.07 BUSEGA-KYENGERA'!C26,'25.07 BUSEGA-KYENGERA'!C26,'26.07 BUSEGA-KYENGERA-24h'!C26,'27.07 BUSEGA-KYENGERA-24h'!C26,'28.07 BUSEGA-KYENGERA'!C26)</f>
        <v>65.714285714285708</v>
      </c>
      <c r="D26" s="49">
        <f>AVERAGE('22.07 BUSEGA-KYENGERA'!D26,'23.07 BUSEGA-KYENGERA'!D26,'24.07 BUSEGA-KYENGERA'!D26,'25.07 BUSEGA-KYENGERA'!D26,'26.07 BUSEGA-KYENGERA-24h'!D26,'27.07 BUSEGA-KYENGERA-24h'!D26,'28.07 BUSEGA-KYENGERA'!D26)</f>
        <v>10.857142857142858</v>
      </c>
      <c r="E26" s="49">
        <f>AVERAGE('22.07 BUSEGA-KYENGERA'!E26,'23.07 BUSEGA-KYENGERA'!E26,'24.07 BUSEGA-KYENGERA'!E26,'25.07 BUSEGA-KYENGERA'!E26,'26.07 BUSEGA-KYENGERA-24h'!E26,'27.07 BUSEGA-KYENGERA-24h'!E26,'28.07 BUSEGA-KYENGERA'!E26)</f>
        <v>5</v>
      </c>
      <c r="F26" s="49">
        <f>AVERAGE('22.07 BUSEGA-KYENGERA'!F26,'23.07 BUSEGA-KYENGERA'!F26,'24.07 BUSEGA-KYENGERA'!F26,'25.07 BUSEGA-KYENGERA'!F26,'26.07 BUSEGA-KYENGERA-24h'!F26,'27.07 BUSEGA-KYENGERA-24h'!F26,'28.07 BUSEGA-KYENGERA'!F26)</f>
        <v>52.571428571428569</v>
      </c>
      <c r="G26" s="49">
        <f>AVERAGE('22.07 BUSEGA-KYENGERA'!G26,'23.07 BUSEGA-KYENGERA'!G26,'24.07 BUSEGA-KYENGERA'!G26,'25.07 BUSEGA-KYENGERA'!G26,'26.07 BUSEGA-KYENGERA-24h'!G26,'27.07 BUSEGA-KYENGERA-24h'!G26,'28.07 BUSEGA-KYENGERA'!G26)</f>
        <v>1.8571428571428572</v>
      </c>
      <c r="H26" s="49">
        <f>AVERAGE('22.07 BUSEGA-KYENGERA'!H26,'23.07 BUSEGA-KYENGERA'!H26,'24.07 BUSEGA-KYENGERA'!H26,'25.07 BUSEGA-KYENGERA'!H26,'26.07 BUSEGA-KYENGERA-24h'!H26,'27.07 BUSEGA-KYENGERA-24h'!H26,'28.07 BUSEGA-KYENGERA'!H26)</f>
        <v>2.4285714285714284</v>
      </c>
      <c r="I26" s="49">
        <f>AVERAGE('22.07 BUSEGA-KYENGERA'!I26,'23.07 BUSEGA-KYENGERA'!I26,'24.07 BUSEGA-KYENGERA'!I26,'25.07 BUSEGA-KYENGERA'!I26,'26.07 BUSEGA-KYENGERA-24h'!I26,'27.07 BUSEGA-KYENGERA-24h'!I26,'28.07 BUSEGA-KYENGERA'!I26)</f>
        <v>15.142857142857142</v>
      </c>
      <c r="J26" s="49">
        <f>AVERAGE('22.07 BUSEGA-KYENGERA'!J26,'23.07 BUSEGA-KYENGERA'!J26,'24.07 BUSEGA-KYENGERA'!J26,'25.07 BUSEGA-KYENGERA'!J26,'26.07 BUSEGA-KYENGERA-24h'!J26,'27.07 BUSEGA-KYENGERA-24h'!J26,'28.07 BUSEGA-KYENGERA'!J26)</f>
        <v>6.4285714285714288</v>
      </c>
      <c r="K26" s="49">
        <f>AVERAGE('22.07 BUSEGA-KYENGERA'!K26,'23.07 BUSEGA-KYENGERA'!K26,'24.07 BUSEGA-KYENGERA'!K26,'25.07 BUSEGA-KYENGERA'!K26,'26.07 BUSEGA-KYENGERA-24h'!K26,'27.07 BUSEGA-KYENGERA-24h'!K26,'28.07 BUSEGA-KYENGERA'!K26)</f>
        <v>0.42857142857142855</v>
      </c>
      <c r="L26" s="49">
        <f>AVERAGE('22.07 BUSEGA-KYENGERA'!L26,'23.07 BUSEGA-KYENGERA'!L26,'24.07 BUSEGA-KYENGERA'!L26,'25.07 BUSEGA-KYENGERA'!L26,'26.07 BUSEGA-KYENGERA-24h'!L26,'27.07 BUSEGA-KYENGERA-24h'!L26,'28.07 BUSEGA-KYENGERA'!L26)</f>
        <v>5.4285714285714288</v>
      </c>
      <c r="M26" s="49">
        <f>AVERAGE('22.07 BUSEGA-KYENGERA'!M26,'23.07 BUSEGA-KYENGERA'!M26,'24.07 BUSEGA-KYENGERA'!M26,'25.07 BUSEGA-KYENGERA'!M26,'26.07 BUSEGA-KYENGERA-24h'!M26,'27.07 BUSEGA-KYENGERA-24h'!M26,'28.07 BUSEGA-KYENGERA'!M26)</f>
        <v>127.28571428571429</v>
      </c>
      <c r="N26" s="49">
        <f>AVERAGE('22.07 BUSEGA-KYENGERA'!N26,'23.07 BUSEGA-KYENGERA'!N26,'24.07 BUSEGA-KYENGERA'!N26,'25.07 BUSEGA-KYENGERA'!N26,'26.07 BUSEGA-KYENGERA-24h'!N26,'27.07 BUSEGA-KYENGERA-24h'!N26,'28.07 BUSEGA-KYENGERA'!N26)</f>
        <v>0.14285714285714285</v>
      </c>
      <c r="O26" s="15">
        <f t="shared" si="0"/>
        <v>165.99999999999994</v>
      </c>
      <c r="P26" s="15">
        <f t="shared" si="1"/>
        <v>293.28571428571428</v>
      </c>
      <c r="R26" s="1" t="s">
        <v>150</v>
      </c>
      <c r="S26" s="34">
        <f>SUM(C74:C77)</f>
        <v>292.5</v>
      </c>
      <c r="T26" s="34">
        <f t="shared" ref="T26:AD26" si="18">SUM(D74:D77)</f>
        <v>28.5</v>
      </c>
      <c r="U26" s="34">
        <f t="shared" si="18"/>
        <v>20.5</v>
      </c>
      <c r="V26" s="34">
        <f t="shared" si="18"/>
        <v>111.5</v>
      </c>
      <c r="W26" s="34">
        <f t="shared" si="18"/>
        <v>6.5</v>
      </c>
      <c r="X26" s="34">
        <f t="shared" si="18"/>
        <v>10</v>
      </c>
      <c r="Y26" s="34">
        <f t="shared" si="18"/>
        <v>24</v>
      </c>
      <c r="Z26" s="34">
        <f t="shared" si="18"/>
        <v>39.5</v>
      </c>
      <c r="AA26" s="34">
        <f t="shared" si="18"/>
        <v>1</v>
      </c>
      <c r="AB26" s="34">
        <f t="shared" si="18"/>
        <v>11.5</v>
      </c>
      <c r="AC26" s="34">
        <f t="shared" si="18"/>
        <v>535.5</v>
      </c>
      <c r="AD26" s="34">
        <f t="shared" si="18"/>
        <v>0</v>
      </c>
      <c r="AE26" s="31">
        <f t="shared" si="13"/>
        <v>623</v>
      </c>
      <c r="AF26" s="31">
        <f t="shared" si="13"/>
        <v>1696.5</v>
      </c>
    </row>
    <row r="27" spans="2:32" ht="23.1" customHeight="1" x14ac:dyDescent="0.25">
      <c r="B27" s="23" t="s">
        <v>54</v>
      </c>
      <c r="C27" s="49">
        <f>AVERAGE('22.07 BUSEGA-KYENGERA'!C27,'23.07 BUSEGA-KYENGERA'!C27,'24.07 BUSEGA-KYENGERA'!C27,'25.07 BUSEGA-KYENGERA'!C27,'26.07 BUSEGA-KYENGERA-24h'!C27,'27.07 BUSEGA-KYENGERA-24h'!C27,'28.07 BUSEGA-KYENGERA'!C27)</f>
        <v>60.285714285714285</v>
      </c>
      <c r="D27" s="49">
        <f>AVERAGE('22.07 BUSEGA-KYENGERA'!D27,'23.07 BUSEGA-KYENGERA'!D27,'24.07 BUSEGA-KYENGERA'!D27,'25.07 BUSEGA-KYENGERA'!D27,'26.07 BUSEGA-KYENGERA-24h'!D27,'27.07 BUSEGA-KYENGERA-24h'!D27,'28.07 BUSEGA-KYENGERA'!D27)</f>
        <v>9.8571428571428577</v>
      </c>
      <c r="E27" s="49">
        <f>AVERAGE('22.07 BUSEGA-KYENGERA'!E27,'23.07 BUSEGA-KYENGERA'!E27,'24.07 BUSEGA-KYENGERA'!E27,'25.07 BUSEGA-KYENGERA'!E27,'26.07 BUSEGA-KYENGERA-24h'!E27,'27.07 BUSEGA-KYENGERA-24h'!E27,'28.07 BUSEGA-KYENGERA'!E27)</f>
        <v>6.2857142857142856</v>
      </c>
      <c r="F27" s="49">
        <f>AVERAGE('22.07 BUSEGA-KYENGERA'!F27,'23.07 BUSEGA-KYENGERA'!F27,'24.07 BUSEGA-KYENGERA'!F27,'25.07 BUSEGA-KYENGERA'!F27,'26.07 BUSEGA-KYENGERA-24h'!F27,'27.07 BUSEGA-KYENGERA-24h'!F27,'28.07 BUSEGA-KYENGERA'!F27)</f>
        <v>45.571428571428569</v>
      </c>
      <c r="G27" s="49">
        <f>AVERAGE('22.07 BUSEGA-KYENGERA'!G27,'23.07 BUSEGA-KYENGERA'!G27,'24.07 BUSEGA-KYENGERA'!G27,'25.07 BUSEGA-KYENGERA'!G27,'26.07 BUSEGA-KYENGERA-24h'!G27,'27.07 BUSEGA-KYENGERA-24h'!G27,'28.07 BUSEGA-KYENGERA'!G27)</f>
        <v>1.7142857142857142</v>
      </c>
      <c r="H27" s="49">
        <f>AVERAGE('22.07 BUSEGA-KYENGERA'!H27,'23.07 BUSEGA-KYENGERA'!H27,'24.07 BUSEGA-KYENGERA'!H27,'25.07 BUSEGA-KYENGERA'!H27,'26.07 BUSEGA-KYENGERA-24h'!H27,'27.07 BUSEGA-KYENGERA-24h'!H27,'28.07 BUSEGA-KYENGERA'!H27)</f>
        <v>2.5714285714285716</v>
      </c>
      <c r="I27" s="49">
        <f>AVERAGE('22.07 BUSEGA-KYENGERA'!I27,'23.07 BUSEGA-KYENGERA'!I27,'24.07 BUSEGA-KYENGERA'!I27,'25.07 BUSEGA-KYENGERA'!I27,'26.07 BUSEGA-KYENGERA-24h'!I27,'27.07 BUSEGA-KYENGERA-24h'!I27,'28.07 BUSEGA-KYENGERA'!I27)</f>
        <v>18.714285714285715</v>
      </c>
      <c r="J27" s="49">
        <f>AVERAGE('22.07 BUSEGA-KYENGERA'!J27,'23.07 BUSEGA-KYENGERA'!J27,'24.07 BUSEGA-KYENGERA'!J27,'25.07 BUSEGA-KYENGERA'!J27,'26.07 BUSEGA-KYENGERA-24h'!J27,'27.07 BUSEGA-KYENGERA-24h'!J27,'28.07 BUSEGA-KYENGERA'!J27)</f>
        <v>5.8571428571428568</v>
      </c>
      <c r="K27" s="49">
        <f>AVERAGE('22.07 BUSEGA-KYENGERA'!K27,'23.07 BUSEGA-KYENGERA'!K27,'24.07 BUSEGA-KYENGERA'!K27,'25.07 BUSEGA-KYENGERA'!K27,'26.07 BUSEGA-KYENGERA-24h'!K27,'27.07 BUSEGA-KYENGERA-24h'!K27,'28.07 BUSEGA-KYENGERA'!K27)</f>
        <v>0.8571428571428571</v>
      </c>
      <c r="L27" s="49">
        <f>AVERAGE('22.07 BUSEGA-KYENGERA'!L27,'23.07 BUSEGA-KYENGERA'!L27,'24.07 BUSEGA-KYENGERA'!L27,'25.07 BUSEGA-KYENGERA'!L27,'26.07 BUSEGA-KYENGERA-24h'!L27,'27.07 BUSEGA-KYENGERA-24h'!L27,'28.07 BUSEGA-KYENGERA'!L27)</f>
        <v>4.7142857142857144</v>
      </c>
      <c r="M27" s="49">
        <f>AVERAGE('22.07 BUSEGA-KYENGERA'!M27,'23.07 BUSEGA-KYENGERA'!M27,'24.07 BUSEGA-KYENGERA'!M27,'25.07 BUSEGA-KYENGERA'!M27,'26.07 BUSEGA-KYENGERA-24h'!M27,'27.07 BUSEGA-KYENGERA-24h'!M27,'28.07 BUSEGA-KYENGERA'!M27)</f>
        <v>128.85714285714286</v>
      </c>
      <c r="N27" s="49">
        <f>AVERAGE('22.07 BUSEGA-KYENGERA'!N27,'23.07 BUSEGA-KYENGERA'!N27,'24.07 BUSEGA-KYENGERA'!N27,'25.07 BUSEGA-KYENGERA'!N27,'26.07 BUSEGA-KYENGERA-24h'!N27,'27.07 BUSEGA-KYENGERA-24h'!N27,'28.07 BUSEGA-KYENGERA'!N27)</f>
        <v>0.2857142857142857</v>
      </c>
      <c r="O27" s="15">
        <f t="shared" si="0"/>
        <v>156.71428571428572</v>
      </c>
      <c r="P27" s="15">
        <f t="shared" si="1"/>
        <v>285.57142857142861</v>
      </c>
      <c r="R27" s="1" t="s">
        <v>151</v>
      </c>
      <c r="S27" s="34">
        <f>SUM(C78:C81)</f>
        <v>169</v>
      </c>
      <c r="T27" s="34">
        <f t="shared" ref="T27:AD27" si="19">SUM(D78:D81)</f>
        <v>12</v>
      </c>
      <c r="U27" s="34">
        <f t="shared" si="19"/>
        <v>15</v>
      </c>
      <c r="V27" s="34">
        <f t="shared" si="19"/>
        <v>54.5</v>
      </c>
      <c r="W27" s="34">
        <f t="shared" si="19"/>
        <v>3.5</v>
      </c>
      <c r="X27" s="34">
        <f t="shared" si="19"/>
        <v>6</v>
      </c>
      <c r="Y27" s="34">
        <f t="shared" si="19"/>
        <v>16.5</v>
      </c>
      <c r="Z27" s="34">
        <f t="shared" si="19"/>
        <v>25.5</v>
      </c>
      <c r="AA27" s="34">
        <f t="shared" si="19"/>
        <v>4</v>
      </c>
      <c r="AB27" s="34">
        <f t="shared" si="19"/>
        <v>9.5</v>
      </c>
      <c r="AC27" s="34">
        <f t="shared" si="19"/>
        <v>302.5</v>
      </c>
      <c r="AD27" s="34">
        <f t="shared" si="19"/>
        <v>0</v>
      </c>
      <c r="AE27" s="31">
        <f t="shared" si="13"/>
        <v>614.5</v>
      </c>
      <c r="AF27" s="31">
        <f t="shared" si="13"/>
        <v>1729.5</v>
      </c>
    </row>
    <row r="28" spans="2:32" ht="23.1" customHeight="1" x14ac:dyDescent="0.25">
      <c r="B28" s="23" t="s">
        <v>55</v>
      </c>
      <c r="C28" s="49">
        <f>AVERAGE('22.07 BUSEGA-KYENGERA'!C28,'23.07 BUSEGA-KYENGERA'!C28,'24.07 BUSEGA-KYENGERA'!C28,'25.07 BUSEGA-KYENGERA'!C28,'26.07 BUSEGA-KYENGERA-24h'!C28,'27.07 BUSEGA-KYENGERA-24h'!C28,'28.07 BUSEGA-KYENGERA'!C28)</f>
        <v>65</v>
      </c>
      <c r="D28" s="49">
        <f>AVERAGE('22.07 BUSEGA-KYENGERA'!D28,'23.07 BUSEGA-KYENGERA'!D28,'24.07 BUSEGA-KYENGERA'!D28,'25.07 BUSEGA-KYENGERA'!D28,'26.07 BUSEGA-KYENGERA-24h'!D28,'27.07 BUSEGA-KYENGERA-24h'!D28,'28.07 BUSEGA-KYENGERA'!D28)</f>
        <v>8.8571428571428577</v>
      </c>
      <c r="E28" s="49">
        <f>AVERAGE('22.07 BUSEGA-KYENGERA'!E28,'23.07 BUSEGA-KYENGERA'!E28,'24.07 BUSEGA-KYENGERA'!E28,'25.07 BUSEGA-KYENGERA'!E28,'26.07 BUSEGA-KYENGERA-24h'!E28,'27.07 BUSEGA-KYENGERA-24h'!E28,'28.07 BUSEGA-KYENGERA'!E28)</f>
        <v>6.4285714285714288</v>
      </c>
      <c r="F28" s="49">
        <f>AVERAGE('22.07 BUSEGA-KYENGERA'!F28,'23.07 BUSEGA-KYENGERA'!F28,'24.07 BUSEGA-KYENGERA'!F28,'25.07 BUSEGA-KYENGERA'!F28,'26.07 BUSEGA-KYENGERA-24h'!F28,'27.07 BUSEGA-KYENGERA-24h'!F28,'28.07 BUSEGA-KYENGERA'!F28)</f>
        <v>57.714285714285715</v>
      </c>
      <c r="G28" s="49">
        <f>AVERAGE('22.07 BUSEGA-KYENGERA'!G28,'23.07 BUSEGA-KYENGERA'!G28,'24.07 BUSEGA-KYENGERA'!G28,'25.07 BUSEGA-KYENGERA'!G28,'26.07 BUSEGA-KYENGERA-24h'!G28,'27.07 BUSEGA-KYENGERA-24h'!G28,'28.07 BUSEGA-KYENGERA'!G28)</f>
        <v>2</v>
      </c>
      <c r="H28" s="49">
        <f>AVERAGE('22.07 BUSEGA-KYENGERA'!H28,'23.07 BUSEGA-KYENGERA'!H28,'24.07 BUSEGA-KYENGERA'!H28,'25.07 BUSEGA-KYENGERA'!H28,'26.07 BUSEGA-KYENGERA-24h'!H28,'27.07 BUSEGA-KYENGERA-24h'!H28,'28.07 BUSEGA-KYENGERA'!H28)</f>
        <v>3</v>
      </c>
      <c r="I28" s="49">
        <f>AVERAGE('22.07 BUSEGA-KYENGERA'!I28,'23.07 BUSEGA-KYENGERA'!I28,'24.07 BUSEGA-KYENGERA'!I28,'25.07 BUSEGA-KYENGERA'!I28,'26.07 BUSEGA-KYENGERA-24h'!I28,'27.07 BUSEGA-KYENGERA-24h'!I28,'28.07 BUSEGA-KYENGERA'!I28)</f>
        <v>16.285714285714285</v>
      </c>
      <c r="J28" s="49">
        <f>AVERAGE('22.07 BUSEGA-KYENGERA'!J28,'23.07 BUSEGA-KYENGERA'!J28,'24.07 BUSEGA-KYENGERA'!J28,'25.07 BUSEGA-KYENGERA'!J28,'26.07 BUSEGA-KYENGERA-24h'!J28,'27.07 BUSEGA-KYENGERA-24h'!J28,'28.07 BUSEGA-KYENGERA'!J28)</f>
        <v>8.1428571428571423</v>
      </c>
      <c r="K28" s="49">
        <f>AVERAGE('22.07 BUSEGA-KYENGERA'!K28,'23.07 BUSEGA-KYENGERA'!K28,'24.07 BUSEGA-KYENGERA'!K28,'25.07 BUSEGA-KYENGERA'!K28,'26.07 BUSEGA-KYENGERA-24h'!K28,'27.07 BUSEGA-KYENGERA-24h'!K28,'28.07 BUSEGA-KYENGERA'!K28)</f>
        <v>1.2857142857142858</v>
      </c>
      <c r="L28" s="49">
        <f>AVERAGE('22.07 BUSEGA-KYENGERA'!L28,'23.07 BUSEGA-KYENGERA'!L28,'24.07 BUSEGA-KYENGERA'!L28,'25.07 BUSEGA-KYENGERA'!L28,'26.07 BUSEGA-KYENGERA-24h'!L28,'27.07 BUSEGA-KYENGERA-24h'!L28,'28.07 BUSEGA-KYENGERA'!L28)</f>
        <v>4.7142857142857144</v>
      </c>
      <c r="M28" s="49">
        <f>AVERAGE('22.07 BUSEGA-KYENGERA'!M28,'23.07 BUSEGA-KYENGERA'!M28,'24.07 BUSEGA-KYENGERA'!M28,'25.07 BUSEGA-KYENGERA'!M28,'26.07 BUSEGA-KYENGERA-24h'!M28,'27.07 BUSEGA-KYENGERA-24h'!M28,'28.07 BUSEGA-KYENGERA'!M28)</f>
        <v>119.57142857142857</v>
      </c>
      <c r="N28" s="49">
        <f>AVERAGE('22.07 BUSEGA-KYENGERA'!N28,'23.07 BUSEGA-KYENGERA'!N28,'24.07 BUSEGA-KYENGERA'!N28,'25.07 BUSEGA-KYENGERA'!N28,'26.07 BUSEGA-KYENGERA-24h'!N28,'27.07 BUSEGA-KYENGERA-24h'!N28,'28.07 BUSEGA-KYENGERA'!N28)</f>
        <v>0</v>
      </c>
      <c r="O28" s="15">
        <f t="shared" si="0"/>
        <v>173.42857142857142</v>
      </c>
      <c r="P28" s="15">
        <f t="shared" si="1"/>
        <v>293</v>
      </c>
      <c r="R28" s="1" t="s">
        <v>152</v>
      </c>
      <c r="S28" s="34">
        <f>SUM(C82:C85)</f>
        <v>89</v>
      </c>
      <c r="T28" s="34">
        <f t="shared" ref="T28:AD28" si="20">SUM(D82:D85)</f>
        <v>10</v>
      </c>
      <c r="U28" s="34">
        <f t="shared" si="20"/>
        <v>5</v>
      </c>
      <c r="V28" s="34">
        <f t="shared" si="20"/>
        <v>24.5</v>
      </c>
      <c r="W28" s="34">
        <f t="shared" si="20"/>
        <v>0.5</v>
      </c>
      <c r="X28" s="34">
        <f t="shared" si="20"/>
        <v>3</v>
      </c>
      <c r="Y28" s="34">
        <f t="shared" si="20"/>
        <v>10</v>
      </c>
      <c r="Z28" s="34">
        <f t="shared" si="20"/>
        <v>15.5</v>
      </c>
      <c r="AA28" s="34">
        <f t="shared" si="20"/>
        <v>9</v>
      </c>
      <c r="AB28" s="34">
        <f t="shared" si="20"/>
        <v>9.5</v>
      </c>
      <c r="AC28" s="34">
        <f t="shared" si="20"/>
        <v>163.5</v>
      </c>
      <c r="AD28" s="34">
        <f t="shared" si="20"/>
        <v>0</v>
      </c>
      <c r="AE28" s="31">
        <f t="shared" si="13"/>
        <v>610.5</v>
      </c>
      <c r="AF28" s="31">
        <f t="shared" si="13"/>
        <v>1713</v>
      </c>
    </row>
    <row r="29" spans="2:32" ht="23.1" customHeight="1" x14ac:dyDescent="0.25">
      <c r="B29" s="23" t="s">
        <v>56</v>
      </c>
      <c r="C29" s="49">
        <f>AVERAGE('22.07 BUSEGA-KYENGERA'!C29,'23.07 BUSEGA-KYENGERA'!C29,'24.07 BUSEGA-KYENGERA'!C29,'25.07 BUSEGA-KYENGERA'!C29,'26.07 BUSEGA-KYENGERA-24h'!C29,'27.07 BUSEGA-KYENGERA-24h'!C29,'28.07 BUSEGA-KYENGERA'!C29)</f>
        <v>58</v>
      </c>
      <c r="D29" s="49">
        <f>AVERAGE('22.07 BUSEGA-KYENGERA'!D29,'23.07 BUSEGA-KYENGERA'!D29,'24.07 BUSEGA-KYENGERA'!D29,'25.07 BUSEGA-KYENGERA'!D29,'26.07 BUSEGA-KYENGERA-24h'!D29,'27.07 BUSEGA-KYENGERA-24h'!D29,'28.07 BUSEGA-KYENGERA'!D29)</f>
        <v>7.5714285714285712</v>
      </c>
      <c r="E29" s="49">
        <f>AVERAGE('22.07 BUSEGA-KYENGERA'!E29,'23.07 BUSEGA-KYENGERA'!E29,'24.07 BUSEGA-KYENGERA'!E29,'25.07 BUSEGA-KYENGERA'!E29,'26.07 BUSEGA-KYENGERA-24h'!E29,'27.07 BUSEGA-KYENGERA-24h'!E29,'28.07 BUSEGA-KYENGERA'!E29)</f>
        <v>4.8571428571428568</v>
      </c>
      <c r="F29" s="49">
        <f>AVERAGE('22.07 BUSEGA-KYENGERA'!F29,'23.07 BUSEGA-KYENGERA'!F29,'24.07 BUSEGA-KYENGERA'!F29,'25.07 BUSEGA-KYENGERA'!F29,'26.07 BUSEGA-KYENGERA-24h'!F29,'27.07 BUSEGA-KYENGERA-24h'!F29,'28.07 BUSEGA-KYENGERA'!F29)</f>
        <v>42.428571428571431</v>
      </c>
      <c r="G29" s="49">
        <f>AVERAGE('22.07 BUSEGA-KYENGERA'!G29,'23.07 BUSEGA-KYENGERA'!G29,'24.07 BUSEGA-KYENGERA'!G29,'25.07 BUSEGA-KYENGERA'!G29,'26.07 BUSEGA-KYENGERA-24h'!G29,'27.07 BUSEGA-KYENGERA-24h'!G29,'28.07 BUSEGA-KYENGERA'!G29)</f>
        <v>2</v>
      </c>
      <c r="H29" s="49">
        <f>AVERAGE('22.07 BUSEGA-KYENGERA'!H29,'23.07 BUSEGA-KYENGERA'!H29,'24.07 BUSEGA-KYENGERA'!H29,'25.07 BUSEGA-KYENGERA'!H29,'26.07 BUSEGA-KYENGERA-24h'!H29,'27.07 BUSEGA-KYENGERA-24h'!H29,'28.07 BUSEGA-KYENGERA'!H29)</f>
        <v>2.5714285714285716</v>
      </c>
      <c r="I29" s="49">
        <f>AVERAGE('22.07 BUSEGA-KYENGERA'!I29,'23.07 BUSEGA-KYENGERA'!I29,'24.07 BUSEGA-KYENGERA'!I29,'25.07 BUSEGA-KYENGERA'!I29,'26.07 BUSEGA-KYENGERA-24h'!I29,'27.07 BUSEGA-KYENGERA-24h'!I29,'28.07 BUSEGA-KYENGERA'!I29)</f>
        <v>14.428571428571429</v>
      </c>
      <c r="J29" s="49">
        <f>AVERAGE('22.07 BUSEGA-KYENGERA'!J29,'23.07 BUSEGA-KYENGERA'!J29,'24.07 BUSEGA-KYENGERA'!J29,'25.07 BUSEGA-KYENGERA'!J29,'26.07 BUSEGA-KYENGERA-24h'!J29,'27.07 BUSEGA-KYENGERA-24h'!J29,'28.07 BUSEGA-KYENGERA'!J29)</f>
        <v>7</v>
      </c>
      <c r="K29" s="49">
        <f>AVERAGE('22.07 BUSEGA-KYENGERA'!K29,'23.07 BUSEGA-KYENGERA'!K29,'24.07 BUSEGA-KYENGERA'!K29,'25.07 BUSEGA-KYENGERA'!K29,'26.07 BUSEGA-KYENGERA-24h'!K29,'27.07 BUSEGA-KYENGERA-24h'!K29,'28.07 BUSEGA-KYENGERA'!K29)</f>
        <v>0.7142857142857143</v>
      </c>
      <c r="L29" s="49">
        <f>AVERAGE('22.07 BUSEGA-KYENGERA'!L29,'23.07 BUSEGA-KYENGERA'!L29,'24.07 BUSEGA-KYENGERA'!L29,'25.07 BUSEGA-KYENGERA'!L29,'26.07 BUSEGA-KYENGERA-24h'!L29,'27.07 BUSEGA-KYENGERA-24h'!L29,'28.07 BUSEGA-KYENGERA'!L29)</f>
        <v>3.2857142857142856</v>
      </c>
      <c r="M29" s="49">
        <f>AVERAGE('22.07 BUSEGA-KYENGERA'!M29,'23.07 BUSEGA-KYENGERA'!M29,'24.07 BUSEGA-KYENGERA'!M29,'25.07 BUSEGA-KYENGERA'!M29,'26.07 BUSEGA-KYENGERA-24h'!M29,'27.07 BUSEGA-KYENGERA-24h'!M29,'28.07 BUSEGA-KYENGERA'!M29)</f>
        <v>103.57142857142857</v>
      </c>
      <c r="N29" s="49">
        <f>AVERAGE('22.07 BUSEGA-KYENGERA'!N29,'23.07 BUSEGA-KYENGERA'!N29,'24.07 BUSEGA-KYENGERA'!N29,'25.07 BUSEGA-KYENGERA'!N29,'26.07 BUSEGA-KYENGERA-24h'!N29,'27.07 BUSEGA-KYENGERA-24h'!N29,'28.07 BUSEGA-KYENGERA'!N29)</f>
        <v>0.14285714285714285</v>
      </c>
      <c r="O29" s="15">
        <f t="shared" si="0"/>
        <v>143</v>
      </c>
      <c r="P29" s="15">
        <f t="shared" si="1"/>
        <v>246.57142857142858</v>
      </c>
      <c r="R29" s="1" t="s">
        <v>153</v>
      </c>
      <c r="S29" s="34">
        <f>SUM(C86:C89)</f>
        <v>60.5</v>
      </c>
      <c r="T29" s="34">
        <f t="shared" ref="T29:AD29" si="21">SUM(D86:D89)</f>
        <v>5</v>
      </c>
      <c r="U29" s="34">
        <f t="shared" si="21"/>
        <v>4.5</v>
      </c>
      <c r="V29" s="34">
        <f t="shared" si="21"/>
        <v>10</v>
      </c>
      <c r="W29" s="34">
        <f t="shared" si="21"/>
        <v>0.5</v>
      </c>
      <c r="X29" s="34">
        <f t="shared" si="21"/>
        <v>2</v>
      </c>
      <c r="Y29" s="34">
        <f t="shared" si="21"/>
        <v>10.5</v>
      </c>
      <c r="Z29" s="34">
        <f t="shared" si="21"/>
        <v>20</v>
      </c>
      <c r="AA29" s="34">
        <f t="shared" si="21"/>
        <v>1.5</v>
      </c>
      <c r="AB29" s="34">
        <f t="shared" si="21"/>
        <v>4</v>
      </c>
      <c r="AC29" s="34">
        <f t="shared" si="21"/>
        <v>143</v>
      </c>
      <c r="AD29" s="34">
        <f t="shared" si="21"/>
        <v>0</v>
      </c>
      <c r="AE29" s="31">
        <f t="shared" si="13"/>
        <v>621.5</v>
      </c>
      <c r="AF29" s="31">
        <f t="shared" si="13"/>
        <v>1649</v>
      </c>
    </row>
    <row r="30" spans="2:32" ht="23.1" customHeight="1" x14ac:dyDescent="0.25">
      <c r="B30" s="23" t="s">
        <v>57</v>
      </c>
      <c r="C30" s="49">
        <f>AVERAGE('22.07 BUSEGA-KYENGERA'!C30,'23.07 BUSEGA-KYENGERA'!C30,'24.07 BUSEGA-KYENGERA'!C30,'25.07 BUSEGA-KYENGERA'!C30,'26.07 BUSEGA-KYENGERA-24h'!C30,'27.07 BUSEGA-KYENGERA-24h'!C30,'28.07 BUSEGA-KYENGERA'!C30)</f>
        <v>49.571428571428569</v>
      </c>
      <c r="D30" s="49">
        <f>AVERAGE('22.07 BUSEGA-KYENGERA'!D30,'23.07 BUSEGA-KYENGERA'!D30,'24.07 BUSEGA-KYENGERA'!D30,'25.07 BUSEGA-KYENGERA'!D30,'26.07 BUSEGA-KYENGERA-24h'!D30,'27.07 BUSEGA-KYENGERA-24h'!D30,'28.07 BUSEGA-KYENGERA'!D30)</f>
        <v>8.7142857142857135</v>
      </c>
      <c r="E30" s="49">
        <f>AVERAGE('22.07 BUSEGA-KYENGERA'!E30,'23.07 BUSEGA-KYENGERA'!E30,'24.07 BUSEGA-KYENGERA'!E30,'25.07 BUSEGA-KYENGERA'!E30,'26.07 BUSEGA-KYENGERA-24h'!E30,'27.07 BUSEGA-KYENGERA-24h'!E30,'28.07 BUSEGA-KYENGERA'!E30)</f>
        <v>4.1428571428571432</v>
      </c>
      <c r="F30" s="49">
        <f>AVERAGE('22.07 BUSEGA-KYENGERA'!F30,'23.07 BUSEGA-KYENGERA'!F30,'24.07 BUSEGA-KYENGERA'!F30,'25.07 BUSEGA-KYENGERA'!F30,'26.07 BUSEGA-KYENGERA-24h'!F30,'27.07 BUSEGA-KYENGERA-24h'!F30,'28.07 BUSEGA-KYENGERA'!F30)</f>
        <v>45.285714285714285</v>
      </c>
      <c r="G30" s="49">
        <f>AVERAGE('22.07 BUSEGA-KYENGERA'!G30,'23.07 BUSEGA-KYENGERA'!G30,'24.07 BUSEGA-KYENGERA'!G30,'25.07 BUSEGA-KYENGERA'!G30,'26.07 BUSEGA-KYENGERA-24h'!G30,'27.07 BUSEGA-KYENGERA-24h'!G30,'28.07 BUSEGA-KYENGERA'!G30)</f>
        <v>1.8571428571428572</v>
      </c>
      <c r="H30" s="49">
        <f>AVERAGE('22.07 BUSEGA-KYENGERA'!H30,'23.07 BUSEGA-KYENGERA'!H30,'24.07 BUSEGA-KYENGERA'!H30,'25.07 BUSEGA-KYENGERA'!H30,'26.07 BUSEGA-KYENGERA-24h'!H30,'27.07 BUSEGA-KYENGERA-24h'!H30,'28.07 BUSEGA-KYENGERA'!H30)</f>
        <v>1.7142857142857142</v>
      </c>
      <c r="I30" s="49">
        <f>AVERAGE('22.07 BUSEGA-KYENGERA'!I30,'23.07 BUSEGA-KYENGERA'!I30,'24.07 BUSEGA-KYENGERA'!I30,'25.07 BUSEGA-KYENGERA'!I30,'26.07 BUSEGA-KYENGERA-24h'!I30,'27.07 BUSEGA-KYENGERA-24h'!I30,'28.07 BUSEGA-KYENGERA'!I30)</f>
        <v>16.142857142857142</v>
      </c>
      <c r="J30" s="49">
        <f>AVERAGE('22.07 BUSEGA-KYENGERA'!J30,'23.07 BUSEGA-KYENGERA'!J30,'24.07 BUSEGA-KYENGERA'!J30,'25.07 BUSEGA-KYENGERA'!J30,'26.07 BUSEGA-KYENGERA-24h'!J30,'27.07 BUSEGA-KYENGERA-24h'!J30,'28.07 BUSEGA-KYENGERA'!J30)</f>
        <v>6.2857142857142856</v>
      </c>
      <c r="K30" s="49">
        <f>AVERAGE('22.07 BUSEGA-KYENGERA'!K30,'23.07 BUSEGA-KYENGERA'!K30,'24.07 BUSEGA-KYENGERA'!K30,'25.07 BUSEGA-KYENGERA'!K30,'26.07 BUSEGA-KYENGERA-24h'!K30,'27.07 BUSEGA-KYENGERA-24h'!K30,'28.07 BUSEGA-KYENGERA'!K30)</f>
        <v>1.2857142857142858</v>
      </c>
      <c r="L30" s="49">
        <f>AVERAGE('22.07 BUSEGA-KYENGERA'!L30,'23.07 BUSEGA-KYENGERA'!L30,'24.07 BUSEGA-KYENGERA'!L30,'25.07 BUSEGA-KYENGERA'!L30,'26.07 BUSEGA-KYENGERA-24h'!L30,'27.07 BUSEGA-KYENGERA-24h'!L30,'28.07 BUSEGA-KYENGERA'!L30)</f>
        <v>3.7142857142857144</v>
      </c>
      <c r="M30" s="49">
        <f>AVERAGE('22.07 BUSEGA-KYENGERA'!M30,'23.07 BUSEGA-KYENGERA'!M30,'24.07 BUSEGA-KYENGERA'!M30,'25.07 BUSEGA-KYENGERA'!M30,'26.07 BUSEGA-KYENGERA-24h'!M30,'27.07 BUSEGA-KYENGERA-24h'!M30,'28.07 BUSEGA-KYENGERA'!M30)</f>
        <v>115.71428571428571</v>
      </c>
      <c r="N30" s="49">
        <f>AVERAGE('22.07 BUSEGA-KYENGERA'!N30,'23.07 BUSEGA-KYENGERA'!N30,'24.07 BUSEGA-KYENGERA'!N30,'25.07 BUSEGA-KYENGERA'!N30,'26.07 BUSEGA-KYENGERA-24h'!N30,'27.07 BUSEGA-KYENGERA-24h'!N30,'28.07 BUSEGA-KYENGERA'!N30)</f>
        <v>0.14285714285714285</v>
      </c>
      <c r="O30" s="15">
        <f t="shared" si="0"/>
        <v>138.85714285714286</v>
      </c>
      <c r="P30" s="15">
        <f t="shared" si="1"/>
        <v>254.57142857142858</v>
      </c>
      <c r="R30" s="1" t="s">
        <v>154</v>
      </c>
      <c r="S30" s="34">
        <f>SUM(C90:C93)</f>
        <v>40</v>
      </c>
      <c r="T30" s="34">
        <f t="shared" ref="T30:AD30" si="22">SUM(D90:D93)</f>
        <v>8.5</v>
      </c>
      <c r="U30" s="34">
        <f t="shared" si="22"/>
        <v>3.5</v>
      </c>
      <c r="V30" s="34">
        <f t="shared" si="22"/>
        <v>5.5</v>
      </c>
      <c r="W30" s="34">
        <f t="shared" si="22"/>
        <v>0</v>
      </c>
      <c r="X30" s="34">
        <f t="shared" si="22"/>
        <v>1</v>
      </c>
      <c r="Y30" s="34">
        <f t="shared" si="22"/>
        <v>18</v>
      </c>
      <c r="Z30" s="34">
        <f t="shared" si="22"/>
        <v>21</v>
      </c>
      <c r="AA30" s="34">
        <f t="shared" si="22"/>
        <v>2.5</v>
      </c>
      <c r="AB30" s="34">
        <f t="shared" si="22"/>
        <v>5</v>
      </c>
      <c r="AC30" s="34">
        <f t="shared" si="22"/>
        <v>155.5</v>
      </c>
      <c r="AD30" s="34">
        <f t="shared" si="22"/>
        <v>0</v>
      </c>
      <c r="AE30" s="31">
        <f t="shared" si="13"/>
        <v>657.5</v>
      </c>
      <c r="AF30" s="31">
        <f t="shared" si="13"/>
        <v>1717.5</v>
      </c>
    </row>
    <row r="31" spans="2:32" ht="23.1" customHeight="1" x14ac:dyDescent="0.25">
      <c r="B31" s="24" t="s">
        <v>58</v>
      </c>
      <c r="C31" s="49">
        <f>AVERAGE('22.07 BUSEGA-KYENGERA'!C31,'23.07 BUSEGA-KYENGERA'!C31,'24.07 BUSEGA-KYENGERA'!C31,'25.07 BUSEGA-KYENGERA'!C31,'26.07 BUSEGA-KYENGERA-24h'!C31,'27.07 BUSEGA-KYENGERA-24h'!C31,'28.07 BUSEGA-KYENGERA'!C31)</f>
        <v>48.714285714285715</v>
      </c>
      <c r="D31" s="49">
        <f>AVERAGE('22.07 BUSEGA-KYENGERA'!D31,'23.07 BUSEGA-KYENGERA'!D31,'24.07 BUSEGA-KYENGERA'!D31,'25.07 BUSEGA-KYENGERA'!D31,'26.07 BUSEGA-KYENGERA-24h'!D31,'27.07 BUSEGA-KYENGERA-24h'!D31,'28.07 BUSEGA-KYENGERA'!D31)</f>
        <v>5.4285714285714288</v>
      </c>
      <c r="E31" s="49">
        <f>AVERAGE('22.07 BUSEGA-KYENGERA'!E31,'23.07 BUSEGA-KYENGERA'!E31,'24.07 BUSEGA-KYENGERA'!E31,'25.07 BUSEGA-KYENGERA'!E31,'26.07 BUSEGA-KYENGERA-24h'!E31,'27.07 BUSEGA-KYENGERA-24h'!E31,'28.07 BUSEGA-KYENGERA'!E31)</f>
        <v>4.4285714285714288</v>
      </c>
      <c r="F31" s="49">
        <f>AVERAGE('22.07 BUSEGA-KYENGERA'!F31,'23.07 BUSEGA-KYENGERA'!F31,'24.07 BUSEGA-KYENGERA'!F31,'25.07 BUSEGA-KYENGERA'!F31,'26.07 BUSEGA-KYENGERA-24h'!F31,'27.07 BUSEGA-KYENGERA-24h'!F31,'28.07 BUSEGA-KYENGERA'!F31)</f>
        <v>42.857142857142854</v>
      </c>
      <c r="G31" s="49">
        <f>AVERAGE('22.07 BUSEGA-KYENGERA'!G31,'23.07 BUSEGA-KYENGERA'!G31,'24.07 BUSEGA-KYENGERA'!G31,'25.07 BUSEGA-KYENGERA'!G31,'26.07 BUSEGA-KYENGERA-24h'!G31,'27.07 BUSEGA-KYENGERA-24h'!G31,'28.07 BUSEGA-KYENGERA'!G31)</f>
        <v>1.8571428571428572</v>
      </c>
      <c r="H31" s="49">
        <f>AVERAGE('22.07 BUSEGA-KYENGERA'!H31,'23.07 BUSEGA-KYENGERA'!H31,'24.07 BUSEGA-KYENGERA'!H31,'25.07 BUSEGA-KYENGERA'!H31,'26.07 BUSEGA-KYENGERA-24h'!H31,'27.07 BUSEGA-KYENGERA-24h'!H31,'28.07 BUSEGA-KYENGERA'!H31)</f>
        <v>1.8571428571428572</v>
      </c>
      <c r="I31" s="49">
        <f>AVERAGE('22.07 BUSEGA-KYENGERA'!I31,'23.07 BUSEGA-KYENGERA'!I31,'24.07 BUSEGA-KYENGERA'!I31,'25.07 BUSEGA-KYENGERA'!I31,'26.07 BUSEGA-KYENGERA-24h'!I31,'27.07 BUSEGA-KYENGERA-24h'!I31,'28.07 BUSEGA-KYENGERA'!I31)</f>
        <v>14.142857142857142</v>
      </c>
      <c r="J31" s="49">
        <f>AVERAGE('22.07 BUSEGA-KYENGERA'!J31,'23.07 BUSEGA-KYENGERA'!J31,'24.07 BUSEGA-KYENGERA'!J31,'25.07 BUSEGA-KYENGERA'!J31,'26.07 BUSEGA-KYENGERA-24h'!J31,'27.07 BUSEGA-KYENGERA-24h'!J31,'28.07 BUSEGA-KYENGERA'!J31)</f>
        <v>8.4285714285714288</v>
      </c>
      <c r="K31" s="49">
        <f>AVERAGE('22.07 BUSEGA-KYENGERA'!K31,'23.07 BUSEGA-KYENGERA'!K31,'24.07 BUSEGA-KYENGERA'!K31,'25.07 BUSEGA-KYENGERA'!K31,'26.07 BUSEGA-KYENGERA-24h'!K31,'27.07 BUSEGA-KYENGERA-24h'!K31,'28.07 BUSEGA-KYENGERA'!K31)</f>
        <v>0.7142857142857143</v>
      </c>
      <c r="L31" s="49">
        <f>AVERAGE('22.07 BUSEGA-KYENGERA'!L31,'23.07 BUSEGA-KYENGERA'!L31,'24.07 BUSEGA-KYENGERA'!L31,'25.07 BUSEGA-KYENGERA'!L31,'26.07 BUSEGA-KYENGERA-24h'!L31,'27.07 BUSEGA-KYENGERA-24h'!L31,'28.07 BUSEGA-KYENGERA'!L31)</f>
        <v>3.4285714285714284</v>
      </c>
      <c r="M31" s="49">
        <f>AVERAGE('22.07 BUSEGA-KYENGERA'!M31,'23.07 BUSEGA-KYENGERA'!M31,'24.07 BUSEGA-KYENGERA'!M31,'25.07 BUSEGA-KYENGERA'!M31,'26.07 BUSEGA-KYENGERA-24h'!M31,'27.07 BUSEGA-KYENGERA-24h'!M31,'28.07 BUSEGA-KYENGERA'!M31)</f>
        <v>99.571428571428569</v>
      </c>
      <c r="N31" s="49">
        <f>AVERAGE('22.07 BUSEGA-KYENGERA'!N31,'23.07 BUSEGA-KYENGERA'!N31,'24.07 BUSEGA-KYENGERA'!N31,'25.07 BUSEGA-KYENGERA'!N31,'26.07 BUSEGA-KYENGERA-24h'!N31,'27.07 BUSEGA-KYENGERA-24h'!N31,'28.07 BUSEGA-KYENGERA'!N31)</f>
        <v>0.14285714285714285</v>
      </c>
      <c r="O31" s="15">
        <f t="shared" si="0"/>
        <v>132</v>
      </c>
      <c r="P31" s="15">
        <f t="shared" si="1"/>
        <v>231.57142857142858</v>
      </c>
      <c r="R31" s="1" t="s">
        <v>155</v>
      </c>
      <c r="S31" s="34">
        <f>SUM(C94:C97)</f>
        <v>61.5</v>
      </c>
      <c r="T31" s="34">
        <f t="shared" ref="T31:AD31" si="23">SUM(D94:D97)</f>
        <v>7</v>
      </c>
      <c r="U31" s="34">
        <f t="shared" si="23"/>
        <v>5.5</v>
      </c>
      <c r="V31" s="34">
        <f t="shared" si="23"/>
        <v>11</v>
      </c>
      <c r="W31" s="34">
        <f t="shared" si="23"/>
        <v>0</v>
      </c>
      <c r="X31" s="34">
        <f t="shared" si="23"/>
        <v>1.5</v>
      </c>
      <c r="Y31" s="34">
        <f t="shared" si="23"/>
        <v>14.5</v>
      </c>
      <c r="Z31" s="34">
        <f t="shared" si="23"/>
        <v>17</v>
      </c>
      <c r="AA31" s="34">
        <f t="shared" si="23"/>
        <v>0.5</v>
      </c>
      <c r="AB31" s="34">
        <f t="shared" si="23"/>
        <v>5.5</v>
      </c>
      <c r="AC31" s="34">
        <f t="shared" si="23"/>
        <v>129</v>
      </c>
      <c r="AD31" s="34">
        <f t="shared" si="23"/>
        <v>0</v>
      </c>
      <c r="AE31" s="31">
        <f t="shared" si="13"/>
        <v>730.5</v>
      </c>
      <c r="AF31" s="31">
        <f t="shared" si="13"/>
        <v>1758</v>
      </c>
    </row>
    <row r="32" spans="2:32" ht="23.1" customHeight="1" x14ac:dyDescent="0.25">
      <c r="B32" s="24" t="s">
        <v>59</v>
      </c>
      <c r="C32" s="49">
        <f>AVERAGE('22.07 BUSEGA-KYENGERA'!C32,'23.07 BUSEGA-KYENGERA'!C32,'24.07 BUSEGA-KYENGERA'!C32,'25.07 BUSEGA-KYENGERA'!C32,'26.07 BUSEGA-KYENGERA-24h'!C32,'27.07 BUSEGA-KYENGERA-24h'!C32,'28.07 BUSEGA-KYENGERA'!C32)</f>
        <v>50.714285714285715</v>
      </c>
      <c r="D32" s="49">
        <f>AVERAGE('22.07 BUSEGA-KYENGERA'!D32,'23.07 BUSEGA-KYENGERA'!D32,'24.07 BUSEGA-KYENGERA'!D32,'25.07 BUSEGA-KYENGERA'!D32,'26.07 BUSEGA-KYENGERA-24h'!D32,'27.07 BUSEGA-KYENGERA-24h'!D32,'28.07 BUSEGA-KYENGERA'!D32)</f>
        <v>8</v>
      </c>
      <c r="E32" s="49">
        <f>AVERAGE('22.07 BUSEGA-KYENGERA'!E32,'23.07 BUSEGA-KYENGERA'!E32,'24.07 BUSEGA-KYENGERA'!E32,'25.07 BUSEGA-KYENGERA'!E32,'26.07 BUSEGA-KYENGERA-24h'!E32,'27.07 BUSEGA-KYENGERA-24h'!E32,'28.07 BUSEGA-KYENGERA'!E32)</f>
        <v>4.8571428571428568</v>
      </c>
      <c r="F32" s="49">
        <f>AVERAGE('22.07 BUSEGA-KYENGERA'!F32,'23.07 BUSEGA-KYENGERA'!F32,'24.07 BUSEGA-KYENGERA'!F32,'25.07 BUSEGA-KYENGERA'!F32,'26.07 BUSEGA-KYENGERA-24h'!F32,'27.07 BUSEGA-KYENGERA-24h'!F32,'28.07 BUSEGA-KYENGERA'!F32)</f>
        <v>49.285714285714285</v>
      </c>
      <c r="G32" s="49">
        <f>AVERAGE('22.07 BUSEGA-KYENGERA'!G32,'23.07 BUSEGA-KYENGERA'!G32,'24.07 BUSEGA-KYENGERA'!G32,'25.07 BUSEGA-KYENGERA'!G32,'26.07 BUSEGA-KYENGERA-24h'!G32,'27.07 BUSEGA-KYENGERA-24h'!G32,'28.07 BUSEGA-KYENGERA'!G32)</f>
        <v>3.1428571428571428</v>
      </c>
      <c r="H32" s="49">
        <f>AVERAGE('22.07 BUSEGA-KYENGERA'!H32,'23.07 BUSEGA-KYENGERA'!H32,'24.07 BUSEGA-KYENGERA'!H32,'25.07 BUSEGA-KYENGERA'!H32,'26.07 BUSEGA-KYENGERA-24h'!H32,'27.07 BUSEGA-KYENGERA-24h'!H32,'28.07 BUSEGA-KYENGERA'!H32)</f>
        <v>2.1428571428571428</v>
      </c>
      <c r="I32" s="49">
        <f>AVERAGE('22.07 BUSEGA-KYENGERA'!I32,'23.07 BUSEGA-KYENGERA'!I32,'24.07 BUSEGA-KYENGERA'!I32,'25.07 BUSEGA-KYENGERA'!I32,'26.07 BUSEGA-KYENGERA-24h'!I32,'27.07 BUSEGA-KYENGERA-24h'!I32,'28.07 BUSEGA-KYENGERA'!I32)</f>
        <v>11.285714285714286</v>
      </c>
      <c r="J32" s="49">
        <f>AVERAGE('22.07 BUSEGA-KYENGERA'!J32,'23.07 BUSEGA-KYENGERA'!J32,'24.07 BUSEGA-KYENGERA'!J32,'25.07 BUSEGA-KYENGERA'!J32,'26.07 BUSEGA-KYENGERA-24h'!J32,'27.07 BUSEGA-KYENGERA-24h'!J32,'28.07 BUSEGA-KYENGERA'!J32)</f>
        <v>8.4285714285714288</v>
      </c>
      <c r="K32" s="49">
        <f>AVERAGE('22.07 BUSEGA-KYENGERA'!K32,'23.07 BUSEGA-KYENGERA'!K32,'24.07 BUSEGA-KYENGERA'!K32,'25.07 BUSEGA-KYENGERA'!K32,'26.07 BUSEGA-KYENGERA-24h'!K32,'27.07 BUSEGA-KYENGERA-24h'!K32,'28.07 BUSEGA-KYENGERA'!K32)</f>
        <v>1</v>
      </c>
      <c r="L32" s="49">
        <f>AVERAGE('22.07 BUSEGA-KYENGERA'!L32,'23.07 BUSEGA-KYENGERA'!L32,'24.07 BUSEGA-KYENGERA'!L32,'25.07 BUSEGA-KYENGERA'!L32,'26.07 BUSEGA-KYENGERA-24h'!L32,'27.07 BUSEGA-KYENGERA-24h'!L32,'28.07 BUSEGA-KYENGERA'!L32)</f>
        <v>4.2857142857142856</v>
      </c>
      <c r="M32" s="49">
        <f>AVERAGE('22.07 BUSEGA-KYENGERA'!M32,'23.07 BUSEGA-KYENGERA'!M32,'24.07 BUSEGA-KYENGERA'!M32,'25.07 BUSEGA-KYENGERA'!M32,'26.07 BUSEGA-KYENGERA-24h'!M32,'27.07 BUSEGA-KYENGERA-24h'!M32,'28.07 BUSEGA-KYENGERA'!M32)</f>
        <v>131.85714285714286</v>
      </c>
      <c r="N32" s="49">
        <f>AVERAGE('22.07 BUSEGA-KYENGERA'!N32,'23.07 BUSEGA-KYENGERA'!N32,'24.07 BUSEGA-KYENGERA'!N32,'25.07 BUSEGA-KYENGERA'!N32,'26.07 BUSEGA-KYENGERA-24h'!N32,'27.07 BUSEGA-KYENGERA-24h'!N32,'28.07 BUSEGA-KYENGERA'!N32)</f>
        <v>0.14285714285714285</v>
      </c>
      <c r="O32" s="15">
        <f t="shared" si="0"/>
        <v>143.28571428571425</v>
      </c>
      <c r="P32" s="15">
        <f t="shared" si="1"/>
        <v>275.14285714285717</v>
      </c>
      <c r="R32" s="1" t="s">
        <v>156</v>
      </c>
      <c r="S32" s="34">
        <f>SUM(C98:C101)</f>
        <v>60.5</v>
      </c>
      <c r="T32" s="34">
        <f t="shared" ref="T32:AD32" si="24">SUM(D98:D101)</f>
        <v>12</v>
      </c>
      <c r="U32" s="34">
        <f t="shared" si="24"/>
        <v>9.5</v>
      </c>
      <c r="V32" s="34">
        <f t="shared" si="24"/>
        <v>26</v>
      </c>
      <c r="W32" s="34">
        <f t="shared" si="24"/>
        <v>0.5</v>
      </c>
      <c r="X32" s="34">
        <f t="shared" si="24"/>
        <v>1.5</v>
      </c>
      <c r="Y32" s="34">
        <f t="shared" si="24"/>
        <v>23</v>
      </c>
      <c r="Z32" s="34">
        <f t="shared" si="24"/>
        <v>18</v>
      </c>
      <c r="AA32" s="34">
        <f t="shared" si="24"/>
        <v>2.5</v>
      </c>
      <c r="AB32" s="34">
        <f t="shared" si="24"/>
        <v>11.5</v>
      </c>
      <c r="AC32" s="34">
        <f t="shared" si="24"/>
        <v>174</v>
      </c>
      <c r="AD32" s="34">
        <f t="shared" si="24"/>
        <v>0</v>
      </c>
      <c r="AE32" s="31">
        <f t="shared" si="13"/>
        <v>765.5</v>
      </c>
      <c r="AF32" s="31">
        <f t="shared" si="13"/>
        <v>1660.5</v>
      </c>
    </row>
    <row r="33" spans="2:32" ht="23.1" customHeight="1" x14ac:dyDescent="0.25">
      <c r="B33" s="23" t="s">
        <v>60</v>
      </c>
      <c r="C33" s="49">
        <f>AVERAGE('22.07 BUSEGA-KYENGERA'!C33,'23.07 BUSEGA-KYENGERA'!C33,'24.07 BUSEGA-KYENGERA'!C33,'25.07 BUSEGA-KYENGERA'!C33,'26.07 BUSEGA-KYENGERA-24h'!C33,'27.07 BUSEGA-KYENGERA-24h'!C33,'28.07 BUSEGA-KYENGERA'!C33)</f>
        <v>53.571428571428569</v>
      </c>
      <c r="D33" s="49">
        <f>AVERAGE('22.07 BUSEGA-KYENGERA'!D33,'23.07 BUSEGA-KYENGERA'!D33,'24.07 BUSEGA-KYENGERA'!D33,'25.07 BUSEGA-KYENGERA'!D33,'26.07 BUSEGA-KYENGERA-24h'!D33,'27.07 BUSEGA-KYENGERA-24h'!D33,'28.07 BUSEGA-KYENGERA'!D33)</f>
        <v>5</v>
      </c>
      <c r="E33" s="49">
        <f>AVERAGE('22.07 BUSEGA-KYENGERA'!E33,'23.07 BUSEGA-KYENGERA'!E33,'24.07 BUSEGA-KYENGERA'!E33,'25.07 BUSEGA-KYENGERA'!E33,'26.07 BUSEGA-KYENGERA-24h'!E33,'27.07 BUSEGA-KYENGERA-24h'!E33,'28.07 BUSEGA-KYENGERA'!E33)</f>
        <v>3.7142857142857144</v>
      </c>
      <c r="F33" s="49">
        <f>AVERAGE('22.07 BUSEGA-KYENGERA'!F33,'23.07 BUSEGA-KYENGERA'!F33,'24.07 BUSEGA-KYENGERA'!F33,'25.07 BUSEGA-KYENGERA'!F33,'26.07 BUSEGA-KYENGERA-24h'!F33,'27.07 BUSEGA-KYENGERA-24h'!F33,'28.07 BUSEGA-KYENGERA'!F33)</f>
        <v>42.285714285714285</v>
      </c>
      <c r="G33" s="49">
        <f>AVERAGE('22.07 BUSEGA-KYENGERA'!G33,'23.07 BUSEGA-KYENGERA'!G33,'24.07 BUSEGA-KYENGERA'!G33,'25.07 BUSEGA-KYENGERA'!G33,'26.07 BUSEGA-KYENGERA-24h'!G33,'27.07 BUSEGA-KYENGERA-24h'!G33,'28.07 BUSEGA-KYENGERA'!G33)</f>
        <v>0.7142857142857143</v>
      </c>
      <c r="H33" s="49">
        <f>AVERAGE('22.07 BUSEGA-KYENGERA'!H33,'23.07 BUSEGA-KYENGERA'!H33,'24.07 BUSEGA-KYENGERA'!H33,'25.07 BUSEGA-KYENGERA'!H33,'26.07 BUSEGA-KYENGERA-24h'!H33,'27.07 BUSEGA-KYENGERA-24h'!H33,'28.07 BUSEGA-KYENGERA'!H33)</f>
        <v>1.4285714285714286</v>
      </c>
      <c r="I33" s="49">
        <f>AVERAGE('22.07 BUSEGA-KYENGERA'!I33,'23.07 BUSEGA-KYENGERA'!I33,'24.07 BUSEGA-KYENGERA'!I33,'25.07 BUSEGA-KYENGERA'!I33,'26.07 BUSEGA-KYENGERA-24h'!I33,'27.07 BUSEGA-KYENGERA-24h'!I33,'28.07 BUSEGA-KYENGERA'!I33)</f>
        <v>13.571428571428571</v>
      </c>
      <c r="J33" s="49">
        <f>AVERAGE('22.07 BUSEGA-KYENGERA'!J33,'23.07 BUSEGA-KYENGERA'!J33,'24.07 BUSEGA-KYENGERA'!J33,'25.07 BUSEGA-KYENGERA'!J33,'26.07 BUSEGA-KYENGERA-24h'!J33,'27.07 BUSEGA-KYENGERA-24h'!J33,'28.07 BUSEGA-KYENGERA'!J33)</f>
        <v>7.7142857142857144</v>
      </c>
      <c r="K33" s="49">
        <f>AVERAGE('22.07 BUSEGA-KYENGERA'!K33,'23.07 BUSEGA-KYENGERA'!K33,'24.07 BUSEGA-KYENGERA'!K33,'25.07 BUSEGA-KYENGERA'!K33,'26.07 BUSEGA-KYENGERA-24h'!K33,'27.07 BUSEGA-KYENGERA-24h'!K33,'28.07 BUSEGA-KYENGERA'!K33)</f>
        <v>1</v>
      </c>
      <c r="L33" s="49">
        <f>AVERAGE('22.07 BUSEGA-KYENGERA'!L33,'23.07 BUSEGA-KYENGERA'!L33,'24.07 BUSEGA-KYENGERA'!L33,'25.07 BUSEGA-KYENGERA'!L33,'26.07 BUSEGA-KYENGERA-24h'!L33,'27.07 BUSEGA-KYENGERA-24h'!L33,'28.07 BUSEGA-KYENGERA'!L33)</f>
        <v>4</v>
      </c>
      <c r="M33" s="49">
        <f>AVERAGE('22.07 BUSEGA-KYENGERA'!M33,'23.07 BUSEGA-KYENGERA'!M33,'24.07 BUSEGA-KYENGERA'!M33,'25.07 BUSEGA-KYENGERA'!M33,'26.07 BUSEGA-KYENGERA-24h'!M33,'27.07 BUSEGA-KYENGERA-24h'!M33,'28.07 BUSEGA-KYENGERA'!M33)</f>
        <v>105</v>
      </c>
      <c r="N33" s="49">
        <f>AVERAGE('22.07 BUSEGA-KYENGERA'!N33,'23.07 BUSEGA-KYENGERA'!N33,'24.07 BUSEGA-KYENGERA'!N33,'25.07 BUSEGA-KYENGERA'!N33,'26.07 BUSEGA-KYENGERA-24h'!N33,'27.07 BUSEGA-KYENGERA-24h'!N33,'28.07 BUSEGA-KYENGERA'!N33)</f>
        <v>0.14285714285714285</v>
      </c>
      <c r="O33" s="15">
        <f t="shared" si="0"/>
        <v>133.14285714285714</v>
      </c>
      <c r="P33" s="15">
        <f t="shared" si="1"/>
        <v>238.14285714285714</v>
      </c>
      <c r="R33" s="1" t="s">
        <v>157</v>
      </c>
      <c r="S33" s="34">
        <f>SUM(C102:C105)</f>
        <v>151</v>
      </c>
      <c r="T33" s="34">
        <f t="shared" ref="T33:AD33" si="25">SUM(D102:D105)</f>
        <v>25.5</v>
      </c>
      <c r="U33" s="34">
        <f t="shared" si="25"/>
        <v>16</v>
      </c>
      <c r="V33" s="34">
        <f t="shared" si="25"/>
        <v>65</v>
      </c>
      <c r="W33" s="34">
        <f t="shared" si="25"/>
        <v>20</v>
      </c>
      <c r="X33" s="34">
        <f t="shared" si="25"/>
        <v>4</v>
      </c>
      <c r="Y33" s="34">
        <f t="shared" si="25"/>
        <v>20</v>
      </c>
      <c r="Z33" s="34">
        <f t="shared" si="25"/>
        <v>26.5</v>
      </c>
      <c r="AA33" s="34">
        <f t="shared" si="25"/>
        <v>4.5</v>
      </c>
      <c r="AB33" s="34">
        <f t="shared" si="25"/>
        <v>12.5</v>
      </c>
      <c r="AC33" s="34">
        <f t="shared" si="25"/>
        <v>186.5</v>
      </c>
      <c r="AD33" s="34">
        <f t="shared" si="25"/>
        <v>12</v>
      </c>
      <c r="AE33" s="31">
        <f t="shared" si="13"/>
        <v>759.5</v>
      </c>
      <c r="AF33" s="31">
        <f t="shared" si="13"/>
        <v>1544.5</v>
      </c>
    </row>
    <row r="34" spans="2:32" ht="23.1" customHeight="1" x14ac:dyDescent="0.25">
      <c r="B34" s="24" t="s">
        <v>61</v>
      </c>
      <c r="C34" s="49">
        <f>AVERAGE('22.07 BUSEGA-KYENGERA'!C34,'23.07 BUSEGA-KYENGERA'!C34,'24.07 BUSEGA-KYENGERA'!C34,'25.07 BUSEGA-KYENGERA'!C34,'26.07 BUSEGA-KYENGERA-24h'!C34,'27.07 BUSEGA-KYENGERA-24h'!C34,'28.07 BUSEGA-KYENGERA'!C34)</f>
        <v>49.428571428571431</v>
      </c>
      <c r="D34" s="49">
        <f>AVERAGE('22.07 BUSEGA-KYENGERA'!D34,'23.07 BUSEGA-KYENGERA'!D34,'24.07 BUSEGA-KYENGERA'!D34,'25.07 BUSEGA-KYENGERA'!D34,'26.07 BUSEGA-KYENGERA-24h'!D34,'27.07 BUSEGA-KYENGERA-24h'!D34,'28.07 BUSEGA-KYENGERA'!D34)</f>
        <v>7.5714285714285712</v>
      </c>
      <c r="E34" s="49">
        <f>AVERAGE('22.07 BUSEGA-KYENGERA'!E34,'23.07 BUSEGA-KYENGERA'!E34,'24.07 BUSEGA-KYENGERA'!E34,'25.07 BUSEGA-KYENGERA'!E34,'26.07 BUSEGA-KYENGERA-24h'!E34,'27.07 BUSEGA-KYENGERA-24h'!E34,'28.07 BUSEGA-KYENGERA'!E34)</f>
        <v>5.1428571428571432</v>
      </c>
      <c r="F34" s="49">
        <f>AVERAGE('22.07 BUSEGA-KYENGERA'!F34,'23.07 BUSEGA-KYENGERA'!F34,'24.07 BUSEGA-KYENGERA'!F34,'25.07 BUSEGA-KYENGERA'!F34,'26.07 BUSEGA-KYENGERA-24h'!F34,'27.07 BUSEGA-KYENGERA-24h'!F34,'28.07 BUSEGA-KYENGERA'!F34)</f>
        <v>41.571428571428569</v>
      </c>
      <c r="G34" s="49">
        <f>AVERAGE('22.07 BUSEGA-KYENGERA'!G34,'23.07 BUSEGA-KYENGERA'!G34,'24.07 BUSEGA-KYENGERA'!G34,'25.07 BUSEGA-KYENGERA'!G34,'26.07 BUSEGA-KYENGERA-24h'!G34,'27.07 BUSEGA-KYENGERA-24h'!G34,'28.07 BUSEGA-KYENGERA'!G34)</f>
        <v>1.8571428571428572</v>
      </c>
      <c r="H34" s="49">
        <f>AVERAGE('22.07 BUSEGA-KYENGERA'!H34,'23.07 BUSEGA-KYENGERA'!H34,'24.07 BUSEGA-KYENGERA'!H34,'25.07 BUSEGA-KYENGERA'!H34,'26.07 BUSEGA-KYENGERA-24h'!H34,'27.07 BUSEGA-KYENGERA-24h'!H34,'28.07 BUSEGA-KYENGERA'!H34)</f>
        <v>1</v>
      </c>
      <c r="I34" s="49">
        <f>AVERAGE('22.07 BUSEGA-KYENGERA'!I34,'23.07 BUSEGA-KYENGERA'!I34,'24.07 BUSEGA-KYENGERA'!I34,'25.07 BUSEGA-KYENGERA'!I34,'26.07 BUSEGA-KYENGERA-24h'!I34,'27.07 BUSEGA-KYENGERA-24h'!I34,'28.07 BUSEGA-KYENGERA'!I34)</f>
        <v>14.285714285714286</v>
      </c>
      <c r="J34" s="49">
        <f>AVERAGE('22.07 BUSEGA-KYENGERA'!J34,'23.07 BUSEGA-KYENGERA'!J34,'24.07 BUSEGA-KYENGERA'!J34,'25.07 BUSEGA-KYENGERA'!J34,'26.07 BUSEGA-KYENGERA-24h'!J34,'27.07 BUSEGA-KYENGERA-24h'!J34,'28.07 BUSEGA-KYENGERA'!J34)</f>
        <v>7.8571428571428568</v>
      </c>
      <c r="K34" s="49">
        <f>AVERAGE('22.07 BUSEGA-KYENGERA'!K34,'23.07 BUSEGA-KYENGERA'!K34,'24.07 BUSEGA-KYENGERA'!K34,'25.07 BUSEGA-KYENGERA'!K34,'26.07 BUSEGA-KYENGERA-24h'!K34,'27.07 BUSEGA-KYENGERA-24h'!K34,'28.07 BUSEGA-KYENGERA'!K34)</f>
        <v>3.1428571428571428</v>
      </c>
      <c r="L34" s="49">
        <f>AVERAGE('22.07 BUSEGA-KYENGERA'!L34,'23.07 BUSEGA-KYENGERA'!L34,'24.07 BUSEGA-KYENGERA'!L34,'25.07 BUSEGA-KYENGERA'!L34,'26.07 BUSEGA-KYENGERA-24h'!L34,'27.07 BUSEGA-KYENGERA-24h'!L34,'28.07 BUSEGA-KYENGERA'!L34)</f>
        <v>5.7142857142857144</v>
      </c>
      <c r="M34" s="49">
        <f>AVERAGE('22.07 BUSEGA-KYENGERA'!M34,'23.07 BUSEGA-KYENGERA'!M34,'24.07 BUSEGA-KYENGERA'!M34,'25.07 BUSEGA-KYENGERA'!M34,'26.07 BUSEGA-KYENGERA-24h'!M34,'27.07 BUSEGA-KYENGERA-24h'!M34,'28.07 BUSEGA-KYENGERA'!M34)</f>
        <v>135.28571428571428</v>
      </c>
      <c r="N34" s="49">
        <f>AVERAGE('22.07 BUSEGA-KYENGERA'!N34,'23.07 BUSEGA-KYENGERA'!N34,'24.07 BUSEGA-KYENGERA'!N34,'25.07 BUSEGA-KYENGERA'!N34,'26.07 BUSEGA-KYENGERA-24h'!N34,'27.07 BUSEGA-KYENGERA-24h'!N34,'28.07 BUSEGA-KYENGERA'!N34)</f>
        <v>0</v>
      </c>
      <c r="O34" s="15">
        <f t="shared" si="0"/>
        <v>137.57142857142858</v>
      </c>
      <c r="P34" s="15">
        <f t="shared" si="1"/>
        <v>272.85714285714289</v>
      </c>
      <c r="R34" s="38" t="s">
        <v>90</v>
      </c>
      <c r="S34" s="39">
        <f t="shared" ref="S34:AF34" si="26">MAX(S10:S12)</f>
        <v>223.42857142857144</v>
      </c>
      <c r="T34" s="39">
        <f t="shared" si="26"/>
        <v>43.285714285714292</v>
      </c>
      <c r="U34" s="39">
        <f t="shared" si="26"/>
        <v>27.857142857142854</v>
      </c>
      <c r="V34" s="39">
        <f t="shared" si="26"/>
        <v>205.71428571428572</v>
      </c>
      <c r="W34" s="39">
        <f t="shared" si="26"/>
        <v>10.285714285714286</v>
      </c>
      <c r="X34" s="39">
        <f t="shared" si="26"/>
        <v>7</v>
      </c>
      <c r="Y34" s="39">
        <f t="shared" si="26"/>
        <v>53</v>
      </c>
      <c r="Z34" s="39">
        <f t="shared" si="26"/>
        <v>20.428571428571427</v>
      </c>
      <c r="AA34" s="39">
        <f t="shared" si="26"/>
        <v>4</v>
      </c>
      <c r="AB34" s="39">
        <f t="shared" si="26"/>
        <v>13</v>
      </c>
      <c r="AC34" s="39">
        <f t="shared" si="26"/>
        <v>753.42857142857144</v>
      </c>
      <c r="AD34" s="39">
        <f t="shared" si="26"/>
        <v>0.2857142857142857</v>
      </c>
      <c r="AE34" s="40">
        <f t="shared" si="26"/>
        <v>603.28571428571422</v>
      </c>
      <c r="AF34" s="40">
        <f t="shared" si="26"/>
        <v>1356.7142857142858</v>
      </c>
    </row>
    <row r="35" spans="2:32" ht="23.1" customHeight="1" x14ac:dyDescent="0.25">
      <c r="B35" s="24" t="s">
        <v>62</v>
      </c>
      <c r="C35" s="49">
        <f>AVERAGE('22.07 BUSEGA-KYENGERA'!C35,'23.07 BUSEGA-KYENGERA'!C35,'24.07 BUSEGA-KYENGERA'!C35,'25.07 BUSEGA-KYENGERA'!C35,'26.07 BUSEGA-KYENGERA-24h'!C35,'27.07 BUSEGA-KYENGERA-24h'!C35,'28.07 BUSEGA-KYENGERA'!C35)</f>
        <v>50.285714285714285</v>
      </c>
      <c r="D35" s="49">
        <f>AVERAGE('22.07 BUSEGA-KYENGERA'!D35,'23.07 BUSEGA-KYENGERA'!D35,'24.07 BUSEGA-KYENGERA'!D35,'25.07 BUSEGA-KYENGERA'!D35,'26.07 BUSEGA-KYENGERA-24h'!D35,'27.07 BUSEGA-KYENGERA-24h'!D35,'28.07 BUSEGA-KYENGERA'!D35)</f>
        <v>6.5714285714285712</v>
      </c>
      <c r="E35" s="49">
        <f>AVERAGE('22.07 BUSEGA-KYENGERA'!E35,'23.07 BUSEGA-KYENGERA'!E35,'24.07 BUSEGA-KYENGERA'!E35,'25.07 BUSEGA-KYENGERA'!E35,'26.07 BUSEGA-KYENGERA-24h'!E35,'27.07 BUSEGA-KYENGERA-24h'!E35,'28.07 BUSEGA-KYENGERA'!E35)</f>
        <v>4.4285714285714288</v>
      </c>
      <c r="F35" s="49">
        <f>AVERAGE('22.07 BUSEGA-KYENGERA'!F35,'23.07 BUSEGA-KYENGERA'!F35,'24.07 BUSEGA-KYENGERA'!F35,'25.07 BUSEGA-KYENGERA'!F35,'26.07 BUSEGA-KYENGERA-24h'!F35,'27.07 BUSEGA-KYENGERA-24h'!F35,'28.07 BUSEGA-KYENGERA'!F35)</f>
        <v>44.714285714285715</v>
      </c>
      <c r="G35" s="49">
        <f>AVERAGE('22.07 BUSEGA-KYENGERA'!G35,'23.07 BUSEGA-KYENGERA'!G35,'24.07 BUSEGA-KYENGERA'!G35,'25.07 BUSEGA-KYENGERA'!G35,'26.07 BUSEGA-KYENGERA-24h'!G35,'27.07 BUSEGA-KYENGERA-24h'!G35,'28.07 BUSEGA-KYENGERA'!G35)</f>
        <v>0.5714285714285714</v>
      </c>
      <c r="H35" s="49">
        <f>AVERAGE('22.07 BUSEGA-KYENGERA'!H35,'23.07 BUSEGA-KYENGERA'!H35,'24.07 BUSEGA-KYENGERA'!H35,'25.07 BUSEGA-KYENGERA'!H35,'26.07 BUSEGA-KYENGERA-24h'!H35,'27.07 BUSEGA-KYENGERA-24h'!H35,'28.07 BUSEGA-KYENGERA'!H35)</f>
        <v>2</v>
      </c>
      <c r="I35" s="49">
        <f>AVERAGE('22.07 BUSEGA-KYENGERA'!I35,'23.07 BUSEGA-KYENGERA'!I35,'24.07 BUSEGA-KYENGERA'!I35,'25.07 BUSEGA-KYENGERA'!I35,'26.07 BUSEGA-KYENGERA-24h'!I35,'27.07 BUSEGA-KYENGERA-24h'!I35,'28.07 BUSEGA-KYENGERA'!I35)</f>
        <v>10.571428571428571</v>
      </c>
      <c r="J35" s="49">
        <f>AVERAGE('22.07 BUSEGA-KYENGERA'!J35,'23.07 BUSEGA-KYENGERA'!J35,'24.07 BUSEGA-KYENGERA'!J35,'25.07 BUSEGA-KYENGERA'!J35,'26.07 BUSEGA-KYENGERA-24h'!J35,'27.07 BUSEGA-KYENGERA-24h'!J35,'28.07 BUSEGA-KYENGERA'!J35)</f>
        <v>8.8571428571428577</v>
      </c>
      <c r="K35" s="49">
        <f>AVERAGE('22.07 BUSEGA-KYENGERA'!K35,'23.07 BUSEGA-KYENGERA'!K35,'24.07 BUSEGA-KYENGERA'!K35,'25.07 BUSEGA-KYENGERA'!K35,'26.07 BUSEGA-KYENGERA-24h'!K35,'27.07 BUSEGA-KYENGERA-24h'!K35,'28.07 BUSEGA-KYENGERA'!K35)</f>
        <v>1.7142857142857142</v>
      </c>
      <c r="L35" s="49">
        <f>AVERAGE('22.07 BUSEGA-KYENGERA'!L35,'23.07 BUSEGA-KYENGERA'!L35,'24.07 BUSEGA-KYENGERA'!L35,'25.07 BUSEGA-KYENGERA'!L35,'26.07 BUSEGA-KYENGERA-24h'!L35,'27.07 BUSEGA-KYENGERA-24h'!L35,'28.07 BUSEGA-KYENGERA'!L35)</f>
        <v>4.1428571428571432</v>
      </c>
      <c r="M35" s="49">
        <f>AVERAGE('22.07 BUSEGA-KYENGERA'!M35,'23.07 BUSEGA-KYENGERA'!M35,'24.07 BUSEGA-KYENGERA'!M35,'25.07 BUSEGA-KYENGERA'!M35,'26.07 BUSEGA-KYENGERA-24h'!M35,'27.07 BUSEGA-KYENGERA-24h'!M35,'28.07 BUSEGA-KYENGERA'!M35)</f>
        <v>154.28571428571428</v>
      </c>
      <c r="N35" s="49">
        <f>AVERAGE('22.07 BUSEGA-KYENGERA'!N35,'23.07 BUSEGA-KYENGERA'!N35,'24.07 BUSEGA-KYENGERA'!N35,'25.07 BUSEGA-KYENGERA'!N35,'26.07 BUSEGA-KYENGERA-24h'!N35,'27.07 BUSEGA-KYENGERA-24h'!N35,'28.07 BUSEGA-KYENGERA'!N35)</f>
        <v>0</v>
      </c>
      <c r="O35" s="15">
        <f t="shared" si="0"/>
        <v>133.85714285714286</v>
      </c>
      <c r="P35" s="15">
        <f t="shared" si="1"/>
        <v>288.14285714285711</v>
      </c>
      <c r="R35" s="38" t="s">
        <v>91</v>
      </c>
      <c r="S35" s="39">
        <f t="shared" ref="S35:AF35" si="27">MAX(S13:S18)</f>
        <v>249</v>
      </c>
      <c r="T35" s="39">
        <f t="shared" si="27"/>
        <v>38</v>
      </c>
      <c r="U35" s="39">
        <f t="shared" si="27"/>
        <v>25.714285714285712</v>
      </c>
      <c r="V35" s="39">
        <f t="shared" si="27"/>
        <v>211.28571428571428</v>
      </c>
      <c r="W35" s="39">
        <f t="shared" si="27"/>
        <v>8.7142857142857153</v>
      </c>
      <c r="X35" s="39">
        <f t="shared" si="27"/>
        <v>10.571428571428571</v>
      </c>
      <c r="Y35" s="39">
        <f t="shared" si="27"/>
        <v>64.571428571428569</v>
      </c>
      <c r="Z35" s="39">
        <f t="shared" si="27"/>
        <v>41.285714285714292</v>
      </c>
      <c r="AA35" s="39">
        <f t="shared" si="27"/>
        <v>13.142857142857142</v>
      </c>
      <c r="AB35" s="39">
        <f t="shared" si="27"/>
        <v>19.857142857142858</v>
      </c>
      <c r="AC35" s="39">
        <f t="shared" si="27"/>
        <v>635</v>
      </c>
      <c r="AD35" s="39">
        <f t="shared" si="27"/>
        <v>0.5714285714285714</v>
      </c>
      <c r="AE35" s="40">
        <f t="shared" si="27"/>
        <v>639.14285714285711</v>
      </c>
      <c r="AF35" s="40">
        <f t="shared" si="27"/>
        <v>1263.5714285714287</v>
      </c>
    </row>
    <row r="36" spans="2:32" ht="23.1" customHeight="1" x14ac:dyDescent="0.25">
      <c r="B36" s="24" t="s">
        <v>63</v>
      </c>
      <c r="C36" s="49">
        <f>AVERAGE('22.07 BUSEGA-KYENGERA'!C36,'23.07 BUSEGA-KYENGERA'!C36,'24.07 BUSEGA-KYENGERA'!C36,'25.07 BUSEGA-KYENGERA'!C36,'26.07 BUSEGA-KYENGERA-24h'!C36,'27.07 BUSEGA-KYENGERA-24h'!C36,'28.07 BUSEGA-KYENGERA'!C36)</f>
        <v>52.142857142857146</v>
      </c>
      <c r="D36" s="49">
        <f>AVERAGE('22.07 BUSEGA-KYENGERA'!D36,'23.07 BUSEGA-KYENGERA'!D36,'24.07 BUSEGA-KYENGERA'!D36,'25.07 BUSEGA-KYENGERA'!D36,'26.07 BUSEGA-KYENGERA-24h'!D36,'27.07 BUSEGA-KYENGERA-24h'!D36,'28.07 BUSEGA-KYENGERA'!D36)</f>
        <v>7.1428571428571432</v>
      </c>
      <c r="E36" s="49">
        <f>AVERAGE('22.07 BUSEGA-KYENGERA'!E36,'23.07 BUSEGA-KYENGERA'!E36,'24.07 BUSEGA-KYENGERA'!E36,'25.07 BUSEGA-KYENGERA'!E36,'26.07 BUSEGA-KYENGERA-24h'!E36,'27.07 BUSEGA-KYENGERA-24h'!E36,'28.07 BUSEGA-KYENGERA'!E36)</f>
        <v>5</v>
      </c>
      <c r="F36" s="49">
        <f>AVERAGE('22.07 BUSEGA-KYENGERA'!F36,'23.07 BUSEGA-KYENGERA'!F36,'24.07 BUSEGA-KYENGERA'!F36,'25.07 BUSEGA-KYENGERA'!F36,'26.07 BUSEGA-KYENGERA-24h'!F36,'27.07 BUSEGA-KYENGERA-24h'!F36,'28.07 BUSEGA-KYENGERA'!F36)</f>
        <v>45.285714285714285</v>
      </c>
      <c r="G36" s="49">
        <f>AVERAGE('22.07 BUSEGA-KYENGERA'!G36,'23.07 BUSEGA-KYENGERA'!G36,'24.07 BUSEGA-KYENGERA'!G36,'25.07 BUSEGA-KYENGERA'!G36,'26.07 BUSEGA-KYENGERA-24h'!G36,'27.07 BUSEGA-KYENGERA-24h'!G36,'28.07 BUSEGA-KYENGERA'!G36)</f>
        <v>1.1428571428571428</v>
      </c>
      <c r="H36" s="49">
        <f>AVERAGE('22.07 BUSEGA-KYENGERA'!H36,'23.07 BUSEGA-KYENGERA'!H36,'24.07 BUSEGA-KYENGERA'!H36,'25.07 BUSEGA-KYENGERA'!H36,'26.07 BUSEGA-KYENGERA-24h'!H36,'27.07 BUSEGA-KYENGERA-24h'!H36,'28.07 BUSEGA-KYENGERA'!H36)</f>
        <v>0.8571428571428571</v>
      </c>
      <c r="I36" s="49">
        <f>AVERAGE('22.07 BUSEGA-KYENGERA'!I36,'23.07 BUSEGA-KYENGERA'!I36,'24.07 BUSEGA-KYENGERA'!I36,'25.07 BUSEGA-KYENGERA'!I36,'26.07 BUSEGA-KYENGERA-24h'!I36,'27.07 BUSEGA-KYENGERA-24h'!I36,'28.07 BUSEGA-KYENGERA'!I36)</f>
        <v>10</v>
      </c>
      <c r="J36" s="49">
        <f>AVERAGE('22.07 BUSEGA-KYENGERA'!J36,'23.07 BUSEGA-KYENGERA'!J36,'24.07 BUSEGA-KYENGERA'!J36,'25.07 BUSEGA-KYENGERA'!J36,'26.07 BUSEGA-KYENGERA-24h'!J36,'27.07 BUSEGA-KYENGERA-24h'!J36,'28.07 BUSEGA-KYENGERA'!J36)</f>
        <v>15.428571428571429</v>
      </c>
      <c r="K36" s="49">
        <f>AVERAGE('22.07 BUSEGA-KYENGERA'!K36,'23.07 BUSEGA-KYENGERA'!K36,'24.07 BUSEGA-KYENGERA'!K36,'25.07 BUSEGA-KYENGERA'!K36,'26.07 BUSEGA-KYENGERA-24h'!K36,'27.07 BUSEGA-KYENGERA-24h'!K36,'28.07 BUSEGA-KYENGERA'!K36)</f>
        <v>1.7142857142857142</v>
      </c>
      <c r="L36" s="49">
        <f>AVERAGE('22.07 BUSEGA-KYENGERA'!L36,'23.07 BUSEGA-KYENGERA'!L36,'24.07 BUSEGA-KYENGERA'!L36,'25.07 BUSEGA-KYENGERA'!L36,'26.07 BUSEGA-KYENGERA-24h'!L36,'27.07 BUSEGA-KYENGERA-24h'!L36,'28.07 BUSEGA-KYENGERA'!L36)</f>
        <v>4.8571428571428568</v>
      </c>
      <c r="M36" s="49">
        <f>AVERAGE('22.07 BUSEGA-KYENGERA'!M36,'23.07 BUSEGA-KYENGERA'!M36,'24.07 BUSEGA-KYENGERA'!M36,'25.07 BUSEGA-KYENGERA'!M36,'26.07 BUSEGA-KYENGERA-24h'!M36,'27.07 BUSEGA-KYENGERA-24h'!M36,'28.07 BUSEGA-KYENGERA'!M36)</f>
        <v>141.57142857142858</v>
      </c>
      <c r="N36" s="49">
        <f>AVERAGE('22.07 BUSEGA-KYENGERA'!N36,'23.07 BUSEGA-KYENGERA'!N36,'24.07 BUSEGA-KYENGERA'!N36,'25.07 BUSEGA-KYENGERA'!N36,'26.07 BUSEGA-KYENGERA-24h'!N36,'27.07 BUSEGA-KYENGERA-24h'!N36,'28.07 BUSEGA-KYENGERA'!N36)</f>
        <v>0</v>
      </c>
      <c r="O36" s="15">
        <f t="shared" si="0"/>
        <v>143.57142857142858</v>
      </c>
      <c r="P36" s="15">
        <f t="shared" si="1"/>
        <v>285.14285714285717</v>
      </c>
      <c r="R36" s="38" t="s">
        <v>92</v>
      </c>
      <c r="S36" s="39">
        <f t="shared" ref="S36:AF36" si="28">MAX(S19:S21)</f>
        <v>283</v>
      </c>
      <c r="T36" s="39">
        <f t="shared" si="28"/>
        <v>33.428571428571431</v>
      </c>
      <c r="U36" s="39">
        <f t="shared" si="28"/>
        <v>21.428571428571431</v>
      </c>
      <c r="V36" s="39">
        <f t="shared" si="28"/>
        <v>186.71428571428572</v>
      </c>
      <c r="W36" s="39">
        <f t="shared" si="28"/>
        <v>9</v>
      </c>
      <c r="X36" s="39">
        <f t="shared" si="28"/>
        <v>6.7142857142857144</v>
      </c>
      <c r="Y36" s="39">
        <f t="shared" si="28"/>
        <v>63.714285714285715</v>
      </c>
      <c r="Z36" s="39">
        <f t="shared" si="28"/>
        <v>46.857142857142861</v>
      </c>
      <c r="AA36" s="39">
        <f t="shared" si="28"/>
        <v>10.571428571428571</v>
      </c>
      <c r="AB36" s="39">
        <f t="shared" si="28"/>
        <v>21.571428571428573</v>
      </c>
      <c r="AC36" s="39">
        <f t="shared" si="28"/>
        <v>908</v>
      </c>
      <c r="AD36" s="39">
        <f t="shared" si="28"/>
        <v>0</v>
      </c>
      <c r="AE36" s="40">
        <f t="shared" si="28"/>
        <v>663.85714285714278</v>
      </c>
      <c r="AF36" s="40">
        <f t="shared" si="28"/>
        <v>1520.1428571428571</v>
      </c>
    </row>
    <row r="37" spans="2:32" ht="23.1" customHeight="1" x14ac:dyDescent="0.25">
      <c r="B37" s="23" t="s">
        <v>64</v>
      </c>
      <c r="C37" s="49">
        <f>AVERAGE('22.07 BUSEGA-KYENGERA'!C37,'23.07 BUSEGA-KYENGERA'!C37,'24.07 BUSEGA-KYENGERA'!C37,'25.07 BUSEGA-KYENGERA'!C37,'26.07 BUSEGA-KYENGERA-24h'!C37,'27.07 BUSEGA-KYENGERA-24h'!C37,'28.07 BUSEGA-KYENGERA'!C37)</f>
        <v>55.857142857142854</v>
      </c>
      <c r="D37" s="49">
        <f>AVERAGE('22.07 BUSEGA-KYENGERA'!D37,'23.07 BUSEGA-KYENGERA'!D37,'24.07 BUSEGA-KYENGERA'!D37,'25.07 BUSEGA-KYENGERA'!D37,'26.07 BUSEGA-KYENGERA-24h'!D37,'27.07 BUSEGA-KYENGERA-24h'!D37,'28.07 BUSEGA-KYENGERA'!D37)</f>
        <v>8.2857142857142865</v>
      </c>
      <c r="E37" s="49">
        <f>AVERAGE('22.07 BUSEGA-KYENGERA'!E37,'23.07 BUSEGA-KYENGERA'!E37,'24.07 BUSEGA-KYENGERA'!E37,'25.07 BUSEGA-KYENGERA'!E37,'26.07 BUSEGA-KYENGERA-24h'!E37,'27.07 BUSEGA-KYENGERA-24h'!E37,'28.07 BUSEGA-KYENGERA'!E37)</f>
        <v>3.5714285714285716</v>
      </c>
      <c r="F37" s="49">
        <f>AVERAGE('22.07 BUSEGA-KYENGERA'!F37,'23.07 BUSEGA-KYENGERA'!F37,'24.07 BUSEGA-KYENGERA'!F37,'25.07 BUSEGA-KYENGERA'!F37,'26.07 BUSEGA-KYENGERA-24h'!F37,'27.07 BUSEGA-KYENGERA-24h'!F37,'28.07 BUSEGA-KYENGERA'!F37)</f>
        <v>47.571428571428569</v>
      </c>
      <c r="G37" s="49">
        <f>AVERAGE('22.07 BUSEGA-KYENGERA'!G37,'23.07 BUSEGA-KYENGERA'!G37,'24.07 BUSEGA-KYENGERA'!G37,'25.07 BUSEGA-KYENGERA'!G37,'26.07 BUSEGA-KYENGERA-24h'!G37,'27.07 BUSEGA-KYENGERA-24h'!G37,'28.07 BUSEGA-KYENGERA'!G37)</f>
        <v>1.1428571428571428</v>
      </c>
      <c r="H37" s="49">
        <f>AVERAGE('22.07 BUSEGA-KYENGERA'!H37,'23.07 BUSEGA-KYENGERA'!H37,'24.07 BUSEGA-KYENGERA'!H37,'25.07 BUSEGA-KYENGERA'!H37,'26.07 BUSEGA-KYENGERA-24h'!H37,'27.07 BUSEGA-KYENGERA-24h'!H37,'28.07 BUSEGA-KYENGERA'!H37)</f>
        <v>0.8571428571428571</v>
      </c>
      <c r="I37" s="49">
        <f>AVERAGE('22.07 BUSEGA-KYENGERA'!I37,'23.07 BUSEGA-KYENGERA'!I37,'24.07 BUSEGA-KYENGERA'!I37,'25.07 BUSEGA-KYENGERA'!I37,'26.07 BUSEGA-KYENGERA-24h'!I37,'27.07 BUSEGA-KYENGERA-24h'!I37,'28.07 BUSEGA-KYENGERA'!I37)</f>
        <v>12.714285714285714</v>
      </c>
      <c r="J37" s="49">
        <f>AVERAGE('22.07 BUSEGA-KYENGERA'!J37,'23.07 BUSEGA-KYENGERA'!J37,'24.07 BUSEGA-KYENGERA'!J37,'25.07 BUSEGA-KYENGERA'!J37,'26.07 BUSEGA-KYENGERA-24h'!J37,'27.07 BUSEGA-KYENGERA-24h'!J37,'28.07 BUSEGA-KYENGERA'!J37)</f>
        <v>9.1428571428571423</v>
      </c>
      <c r="K37" s="49">
        <f>AVERAGE('22.07 BUSEGA-KYENGERA'!K37,'23.07 BUSEGA-KYENGERA'!K37,'24.07 BUSEGA-KYENGERA'!K37,'25.07 BUSEGA-KYENGERA'!K37,'26.07 BUSEGA-KYENGERA-24h'!K37,'27.07 BUSEGA-KYENGERA-24h'!K37,'28.07 BUSEGA-KYENGERA'!K37)</f>
        <v>0.7142857142857143</v>
      </c>
      <c r="L37" s="49">
        <f>AVERAGE('22.07 BUSEGA-KYENGERA'!L37,'23.07 BUSEGA-KYENGERA'!L37,'24.07 BUSEGA-KYENGERA'!L37,'25.07 BUSEGA-KYENGERA'!L37,'26.07 BUSEGA-KYENGERA-24h'!L37,'27.07 BUSEGA-KYENGERA-24h'!L37,'28.07 BUSEGA-KYENGERA'!L37)</f>
        <v>5.1428571428571432</v>
      </c>
      <c r="M37" s="49">
        <f>AVERAGE('22.07 BUSEGA-KYENGERA'!M37,'23.07 BUSEGA-KYENGERA'!M37,'24.07 BUSEGA-KYENGERA'!M37,'25.07 BUSEGA-KYENGERA'!M37,'26.07 BUSEGA-KYENGERA-24h'!M37,'27.07 BUSEGA-KYENGERA-24h'!M37,'28.07 BUSEGA-KYENGERA'!M37)</f>
        <v>137.42857142857142</v>
      </c>
      <c r="N37" s="49">
        <f>AVERAGE('22.07 BUSEGA-KYENGERA'!N37,'23.07 BUSEGA-KYENGERA'!N37,'24.07 BUSEGA-KYENGERA'!N37,'25.07 BUSEGA-KYENGERA'!N37,'26.07 BUSEGA-KYENGERA-24h'!N37,'27.07 BUSEGA-KYENGERA-24h'!N37,'28.07 BUSEGA-KYENGERA'!N37)</f>
        <v>0.14285714285714285</v>
      </c>
      <c r="O37" s="15">
        <f t="shared" si="0"/>
        <v>145.14285714285714</v>
      </c>
      <c r="P37" s="15">
        <f t="shared" si="1"/>
        <v>282.57142857142861</v>
      </c>
      <c r="R37" s="37" t="s">
        <v>85</v>
      </c>
      <c r="S37" s="35">
        <f t="shared" ref="S37:AF37" si="29">SUM(S10:S12)</f>
        <v>610.57142857142856</v>
      </c>
      <c r="T37" s="16">
        <f t="shared" si="29"/>
        <v>118.28571428571429</v>
      </c>
      <c r="U37" s="16">
        <f t="shared" si="29"/>
        <v>73</v>
      </c>
      <c r="V37" s="16">
        <f t="shared" si="29"/>
        <v>588.57142857142856</v>
      </c>
      <c r="W37" s="16">
        <f t="shared" si="29"/>
        <v>22.714285714285715</v>
      </c>
      <c r="X37" s="16">
        <f t="shared" si="29"/>
        <v>19.428571428571431</v>
      </c>
      <c r="Y37" s="16">
        <f t="shared" si="29"/>
        <v>129.42857142857144</v>
      </c>
      <c r="Z37" s="16">
        <f t="shared" si="29"/>
        <v>53.285714285714292</v>
      </c>
      <c r="AA37" s="16">
        <f t="shared" si="29"/>
        <v>11.142857142857142</v>
      </c>
      <c r="AB37" s="16">
        <f t="shared" si="29"/>
        <v>33.428571428571431</v>
      </c>
      <c r="AC37" s="16">
        <f t="shared" si="29"/>
        <v>2045.7142857142858</v>
      </c>
      <c r="AD37" s="16">
        <f t="shared" si="29"/>
        <v>0.5714285714285714</v>
      </c>
      <c r="AE37" s="32">
        <f t="shared" si="29"/>
        <v>1660.4285714285711</v>
      </c>
      <c r="AF37" s="32">
        <f t="shared" si="29"/>
        <v>3706.1428571428573</v>
      </c>
    </row>
    <row r="38" spans="2:32" ht="23.1" customHeight="1" x14ac:dyDescent="0.25">
      <c r="B38" s="24" t="s">
        <v>65</v>
      </c>
      <c r="C38" s="49">
        <f>AVERAGE('22.07 BUSEGA-KYENGERA'!C38,'23.07 BUSEGA-KYENGERA'!C38,'24.07 BUSEGA-KYENGERA'!C38,'25.07 BUSEGA-KYENGERA'!C38,'26.07 BUSEGA-KYENGERA-24h'!C38,'27.07 BUSEGA-KYENGERA-24h'!C38,'28.07 BUSEGA-KYENGERA'!C38)</f>
        <v>45.714285714285715</v>
      </c>
      <c r="D38" s="49">
        <f>AVERAGE('22.07 BUSEGA-KYENGERA'!D38,'23.07 BUSEGA-KYENGERA'!D38,'24.07 BUSEGA-KYENGERA'!D38,'25.07 BUSEGA-KYENGERA'!D38,'26.07 BUSEGA-KYENGERA-24h'!D38,'27.07 BUSEGA-KYENGERA-24h'!D38,'28.07 BUSEGA-KYENGERA'!D38)</f>
        <v>12</v>
      </c>
      <c r="E38" s="49">
        <f>AVERAGE('22.07 BUSEGA-KYENGERA'!E38,'23.07 BUSEGA-KYENGERA'!E38,'24.07 BUSEGA-KYENGERA'!E38,'25.07 BUSEGA-KYENGERA'!E38,'26.07 BUSEGA-KYENGERA-24h'!E38,'27.07 BUSEGA-KYENGERA-24h'!E38,'28.07 BUSEGA-KYENGERA'!E38)</f>
        <v>4.5714285714285712</v>
      </c>
      <c r="F38" s="49">
        <f>AVERAGE('22.07 BUSEGA-KYENGERA'!F38,'23.07 BUSEGA-KYENGERA'!F38,'24.07 BUSEGA-KYENGERA'!F38,'25.07 BUSEGA-KYENGERA'!F38,'26.07 BUSEGA-KYENGERA-24h'!F38,'27.07 BUSEGA-KYENGERA-24h'!F38,'28.07 BUSEGA-KYENGERA'!F38)</f>
        <v>35.714285714285715</v>
      </c>
      <c r="G38" s="49">
        <f>AVERAGE('22.07 BUSEGA-KYENGERA'!G38,'23.07 BUSEGA-KYENGERA'!G38,'24.07 BUSEGA-KYENGERA'!G38,'25.07 BUSEGA-KYENGERA'!G38,'26.07 BUSEGA-KYENGERA-24h'!G38,'27.07 BUSEGA-KYENGERA-24h'!G38,'28.07 BUSEGA-KYENGERA'!G38)</f>
        <v>0.42857142857142855</v>
      </c>
      <c r="H38" s="49">
        <f>AVERAGE('22.07 BUSEGA-KYENGERA'!H38,'23.07 BUSEGA-KYENGERA'!H38,'24.07 BUSEGA-KYENGERA'!H38,'25.07 BUSEGA-KYENGERA'!H38,'26.07 BUSEGA-KYENGERA-24h'!H38,'27.07 BUSEGA-KYENGERA-24h'!H38,'28.07 BUSEGA-KYENGERA'!H38)</f>
        <v>1.2857142857142858</v>
      </c>
      <c r="I38" s="49">
        <f>AVERAGE('22.07 BUSEGA-KYENGERA'!I38,'23.07 BUSEGA-KYENGERA'!I38,'24.07 BUSEGA-KYENGERA'!I38,'25.07 BUSEGA-KYENGERA'!I38,'26.07 BUSEGA-KYENGERA-24h'!I38,'27.07 BUSEGA-KYENGERA-24h'!I38,'28.07 BUSEGA-KYENGERA'!I38)</f>
        <v>14.142857142857142</v>
      </c>
      <c r="J38" s="49">
        <f>AVERAGE('22.07 BUSEGA-KYENGERA'!J38,'23.07 BUSEGA-KYENGERA'!J38,'24.07 BUSEGA-KYENGERA'!J38,'25.07 BUSEGA-KYENGERA'!J38,'26.07 BUSEGA-KYENGERA-24h'!J38,'27.07 BUSEGA-KYENGERA-24h'!J38,'28.07 BUSEGA-KYENGERA'!J38)</f>
        <v>9</v>
      </c>
      <c r="K38" s="49">
        <f>AVERAGE('22.07 BUSEGA-KYENGERA'!K38,'23.07 BUSEGA-KYENGERA'!K38,'24.07 BUSEGA-KYENGERA'!K38,'25.07 BUSEGA-KYENGERA'!K38,'26.07 BUSEGA-KYENGERA-24h'!K38,'27.07 BUSEGA-KYENGERA-24h'!K38,'28.07 BUSEGA-KYENGERA'!K38)</f>
        <v>2</v>
      </c>
      <c r="L38" s="49">
        <f>AVERAGE('22.07 BUSEGA-KYENGERA'!L38,'23.07 BUSEGA-KYENGERA'!L38,'24.07 BUSEGA-KYENGERA'!L38,'25.07 BUSEGA-KYENGERA'!L38,'26.07 BUSEGA-KYENGERA-24h'!L38,'27.07 BUSEGA-KYENGERA-24h'!L38,'28.07 BUSEGA-KYENGERA'!L38)</f>
        <v>3.4285714285714284</v>
      </c>
      <c r="M38" s="49">
        <f>AVERAGE('22.07 BUSEGA-KYENGERA'!M38,'23.07 BUSEGA-KYENGERA'!M38,'24.07 BUSEGA-KYENGERA'!M38,'25.07 BUSEGA-KYENGERA'!M38,'26.07 BUSEGA-KYENGERA-24h'!M38,'27.07 BUSEGA-KYENGERA-24h'!M38,'28.07 BUSEGA-KYENGERA'!M38)</f>
        <v>122.85714285714286</v>
      </c>
      <c r="N38" s="49">
        <f>AVERAGE('22.07 BUSEGA-KYENGERA'!N38,'23.07 BUSEGA-KYENGERA'!N38,'24.07 BUSEGA-KYENGERA'!N38,'25.07 BUSEGA-KYENGERA'!N38,'26.07 BUSEGA-KYENGERA-24h'!N38,'27.07 BUSEGA-KYENGERA-24h'!N38,'28.07 BUSEGA-KYENGERA'!N38)</f>
        <v>0</v>
      </c>
      <c r="O38" s="15">
        <f t="shared" si="0"/>
        <v>128.28571428571428</v>
      </c>
      <c r="P38" s="15">
        <f t="shared" si="1"/>
        <v>251.14285714285714</v>
      </c>
      <c r="R38" s="28" t="s">
        <v>86</v>
      </c>
      <c r="S38" s="16">
        <f t="shared" ref="S38:AF38" si="30">SUM(S13:S18)</f>
        <v>1329.4285714285716</v>
      </c>
      <c r="T38" s="16">
        <f t="shared" si="30"/>
        <v>195.28571428571425</v>
      </c>
      <c r="U38" s="16">
        <f t="shared" si="30"/>
        <v>129.14285714285717</v>
      </c>
      <c r="V38" s="16">
        <f t="shared" si="30"/>
        <v>1093.7142857142856</v>
      </c>
      <c r="W38" s="16">
        <f t="shared" si="30"/>
        <v>35.571428571428569</v>
      </c>
      <c r="X38" s="16">
        <f t="shared" si="30"/>
        <v>41.571428571428569</v>
      </c>
      <c r="Y38" s="16">
        <f t="shared" si="30"/>
        <v>337.28571428571428</v>
      </c>
      <c r="Z38" s="16">
        <f t="shared" si="30"/>
        <v>189.42857142857144</v>
      </c>
      <c r="AA38" s="16">
        <f t="shared" si="30"/>
        <v>38.142857142857139</v>
      </c>
      <c r="AB38" s="16">
        <f t="shared" si="30"/>
        <v>104.85714285714286</v>
      </c>
      <c r="AC38" s="16">
        <f t="shared" si="30"/>
        <v>3212.7142857142862</v>
      </c>
      <c r="AD38" s="16">
        <f t="shared" si="30"/>
        <v>1.8571428571428568</v>
      </c>
      <c r="AE38" s="32">
        <f t="shared" si="30"/>
        <v>3496.2857142857138</v>
      </c>
      <c r="AF38" s="32">
        <f t="shared" si="30"/>
        <v>6709</v>
      </c>
    </row>
    <row r="39" spans="2:32" ht="23.1" customHeight="1" x14ac:dyDescent="0.25">
      <c r="B39" s="24" t="s">
        <v>66</v>
      </c>
      <c r="C39" s="49">
        <f>AVERAGE('22.07 BUSEGA-KYENGERA'!C39,'23.07 BUSEGA-KYENGERA'!C39,'24.07 BUSEGA-KYENGERA'!C39,'25.07 BUSEGA-KYENGERA'!C39,'26.07 BUSEGA-KYENGERA-24h'!C39,'27.07 BUSEGA-KYENGERA-24h'!C39,'28.07 BUSEGA-KYENGERA'!C39)</f>
        <v>44.857142857142854</v>
      </c>
      <c r="D39" s="49">
        <f>AVERAGE('22.07 BUSEGA-KYENGERA'!D39,'23.07 BUSEGA-KYENGERA'!D39,'24.07 BUSEGA-KYENGERA'!D39,'25.07 BUSEGA-KYENGERA'!D39,'26.07 BUSEGA-KYENGERA-24h'!D39,'27.07 BUSEGA-KYENGERA-24h'!D39,'28.07 BUSEGA-KYENGERA'!D39)</f>
        <v>8.5714285714285712</v>
      </c>
      <c r="E39" s="49">
        <f>AVERAGE('22.07 BUSEGA-KYENGERA'!E39,'23.07 BUSEGA-KYENGERA'!E39,'24.07 BUSEGA-KYENGERA'!E39,'25.07 BUSEGA-KYENGERA'!E39,'26.07 BUSEGA-KYENGERA-24h'!E39,'27.07 BUSEGA-KYENGERA-24h'!E39,'28.07 BUSEGA-KYENGERA'!E39)</f>
        <v>5.4285714285714288</v>
      </c>
      <c r="F39" s="49">
        <f>AVERAGE('22.07 BUSEGA-KYENGERA'!F39,'23.07 BUSEGA-KYENGERA'!F39,'24.07 BUSEGA-KYENGERA'!F39,'25.07 BUSEGA-KYENGERA'!F39,'26.07 BUSEGA-KYENGERA-24h'!F39,'27.07 BUSEGA-KYENGERA-24h'!F39,'28.07 BUSEGA-KYENGERA'!F39)</f>
        <v>40.285714285714285</v>
      </c>
      <c r="G39" s="49">
        <f>AVERAGE('22.07 BUSEGA-KYENGERA'!G39,'23.07 BUSEGA-KYENGERA'!G39,'24.07 BUSEGA-KYENGERA'!G39,'25.07 BUSEGA-KYENGERA'!G39,'26.07 BUSEGA-KYENGERA-24h'!G39,'27.07 BUSEGA-KYENGERA-24h'!G39,'28.07 BUSEGA-KYENGERA'!G39)</f>
        <v>1.4285714285714286</v>
      </c>
      <c r="H39" s="49">
        <f>AVERAGE('22.07 BUSEGA-KYENGERA'!H39,'23.07 BUSEGA-KYENGERA'!H39,'24.07 BUSEGA-KYENGERA'!H39,'25.07 BUSEGA-KYENGERA'!H39,'26.07 BUSEGA-KYENGERA-24h'!H39,'27.07 BUSEGA-KYENGERA-24h'!H39,'28.07 BUSEGA-KYENGERA'!H39)</f>
        <v>2.2857142857142856</v>
      </c>
      <c r="I39" s="49">
        <f>AVERAGE('22.07 BUSEGA-KYENGERA'!I39,'23.07 BUSEGA-KYENGERA'!I39,'24.07 BUSEGA-KYENGERA'!I39,'25.07 BUSEGA-KYENGERA'!I39,'26.07 BUSEGA-KYENGERA-24h'!I39,'27.07 BUSEGA-KYENGERA-24h'!I39,'28.07 BUSEGA-KYENGERA'!I39)</f>
        <v>12.714285714285714</v>
      </c>
      <c r="J39" s="49">
        <f>AVERAGE('22.07 BUSEGA-KYENGERA'!J39,'23.07 BUSEGA-KYENGERA'!J39,'24.07 BUSEGA-KYENGERA'!J39,'25.07 BUSEGA-KYENGERA'!J39,'26.07 BUSEGA-KYENGERA-24h'!J39,'27.07 BUSEGA-KYENGERA-24h'!J39,'28.07 BUSEGA-KYENGERA'!J39)</f>
        <v>7.1428571428571432</v>
      </c>
      <c r="K39" s="49">
        <f>AVERAGE('22.07 BUSEGA-KYENGERA'!K39,'23.07 BUSEGA-KYENGERA'!K39,'24.07 BUSEGA-KYENGERA'!K39,'25.07 BUSEGA-KYENGERA'!K39,'26.07 BUSEGA-KYENGERA-24h'!K39,'27.07 BUSEGA-KYENGERA-24h'!K39,'28.07 BUSEGA-KYENGERA'!K39)</f>
        <v>4.5714285714285712</v>
      </c>
      <c r="L39" s="49">
        <f>AVERAGE('22.07 BUSEGA-KYENGERA'!L39,'23.07 BUSEGA-KYENGERA'!L39,'24.07 BUSEGA-KYENGERA'!L39,'25.07 BUSEGA-KYENGERA'!L39,'26.07 BUSEGA-KYENGERA-24h'!L39,'27.07 BUSEGA-KYENGERA-24h'!L39,'28.07 BUSEGA-KYENGERA'!L39)</f>
        <v>4.1428571428571432</v>
      </c>
      <c r="M39" s="49">
        <f>AVERAGE('22.07 BUSEGA-KYENGERA'!M39,'23.07 BUSEGA-KYENGERA'!M39,'24.07 BUSEGA-KYENGERA'!M39,'25.07 BUSEGA-KYENGERA'!M39,'26.07 BUSEGA-KYENGERA-24h'!M39,'27.07 BUSEGA-KYENGERA-24h'!M39,'28.07 BUSEGA-KYENGERA'!M39)</f>
        <v>140.71428571428572</v>
      </c>
      <c r="N39" s="49">
        <f>AVERAGE('22.07 BUSEGA-KYENGERA'!N39,'23.07 BUSEGA-KYENGERA'!N39,'24.07 BUSEGA-KYENGERA'!N39,'25.07 BUSEGA-KYENGERA'!N39,'26.07 BUSEGA-KYENGERA-24h'!N39,'27.07 BUSEGA-KYENGERA-24h'!N39,'28.07 BUSEGA-KYENGERA'!N39)</f>
        <v>0</v>
      </c>
      <c r="O39" s="15">
        <f t="shared" si="0"/>
        <v>131.42857142857142</v>
      </c>
      <c r="P39" s="15">
        <f t="shared" si="1"/>
        <v>272.14285714285711</v>
      </c>
      <c r="R39" s="29" t="s">
        <v>87</v>
      </c>
      <c r="S39" s="16">
        <f t="shared" ref="S39:AF39" si="31">SUM(S19:S21)</f>
        <v>777.57142857142867</v>
      </c>
      <c r="T39" s="16">
        <f t="shared" si="31"/>
        <v>94.142857142857139</v>
      </c>
      <c r="U39" s="16">
        <f t="shared" si="31"/>
        <v>61.285714285714292</v>
      </c>
      <c r="V39" s="16">
        <f t="shared" si="31"/>
        <v>555.14285714285711</v>
      </c>
      <c r="W39" s="16">
        <f t="shared" si="31"/>
        <v>22.428571428571427</v>
      </c>
      <c r="X39" s="16">
        <f t="shared" si="31"/>
        <v>16.714285714285715</v>
      </c>
      <c r="Y39" s="16">
        <f t="shared" si="31"/>
        <v>159.71428571428572</v>
      </c>
      <c r="Z39" s="16">
        <f t="shared" si="31"/>
        <v>122.71428571428571</v>
      </c>
      <c r="AA39" s="16">
        <f t="shared" si="31"/>
        <v>26.571428571428569</v>
      </c>
      <c r="AB39" s="16">
        <f t="shared" si="31"/>
        <v>57.285714285714292</v>
      </c>
      <c r="AC39" s="16">
        <f t="shared" si="31"/>
        <v>2425.7142857142858</v>
      </c>
      <c r="AD39" s="16">
        <f t="shared" si="31"/>
        <v>0</v>
      </c>
      <c r="AE39" s="32">
        <f t="shared" si="31"/>
        <v>1893.5714285714284</v>
      </c>
      <c r="AF39" s="32">
        <f t="shared" si="31"/>
        <v>4319.2857142857138</v>
      </c>
    </row>
    <row r="40" spans="2:32" ht="23.1" customHeight="1" x14ac:dyDescent="0.25">
      <c r="B40" s="24" t="s">
        <v>67</v>
      </c>
      <c r="C40" s="49">
        <f>AVERAGE('22.07 BUSEGA-KYENGERA'!C40,'23.07 BUSEGA-KYENGERA'!C40,'24.07 BUSEGA-KYENGERA'!C40,'25.07 BUSEGA-KYENGERA'!C40,'26.07 BUSEGA-KYENGERA-24h'!C40,'27.07 BUSEGA-KYENGERA-24h'!C40,'28.07 BUSEGA-KYENGERA'!C40)</f>
        <v>49.285714285714285</v>
      </c>
      <c r="D40" s="49">
        <f>AVERAGE('22.07 BUSEGA-KYENGERA'!D40,'23.07 BUSEGA-KYENGERA'!D40,'24.07 BUSEGA-KYENGERA'!D40,'25.07 BUSEGA-KYENGERA'!D40,'26.07 BUSEGA-KYENGERA-24h'!D40,'27.07 BUSEGA-KYENGERA-24h'!D40,'28.07 BUSEGA-KYENGERA'!D40)</f>
        <v>3.8571428571428572</v>
      </c>
      <c r="E40" s="49">
        <f>AVERAGE('22.07 BUSEGA-KYENGERA'!E40,'23.07 BUSEGA-KYENGERA'!E40,'24.07 BUSEGA-KYENGERA'!E40,'25.07 BUSEGA-KYENGERA'!E40,'26.07 BUSEGA-KYENGERA-24h'!E40,'27.07 BUSEGA-KYENGERA-24h'!E40,'28.07 BUSEGA-KYENGERA'!E40)</f>
        <v>6.1428571428571432</v>
      </c>
      <c r="F40" s="49">
        <f>AVERAGE('22.07 BUSEGA-KYENGERA'!F40,'23.07 BUSEGA-KYENGERA'!F40,'24.07 BUSEGA-KYENGERA'!F40,'25.07 BUSEGA-KYENGERA'!F40,'26.07 BUSEGA-KYENGERA-24h'!F40,'27.07 BUSEGA-KYENGERA-24h'!F40,'28.07 BUSEGA-KYENGERA'!F40)</f>
        <v>39</v>
      </c>
      <c r="G40" s="49">
        <f>AVERAGE('22.07 BUSEGA-KYENGERA'!G40,'23.07 BUSEGA-KYENGERA'!G40,'24.07 BUSEGA-KYENGERA'!G40,'25.07 BUSEGA-KYENGERA'!G40,'26.07 BUSEGA-KYENGERA-24h'!G40,'27.07 BUSEGA-KYENGERA-24h'!G40,'28.07 BUSEGA-KYENGERA'!G40)</f>
        <v>0.8571428571428571</v>
      </c>
      <c r="H40" s="49">
        <f>AVERAGE('22.07 BUSEGA-KYENGERA'!H40,'23.07 BUSEGA-KYENGERA'!H40,'24.07 BUSEGA-KYENGERA'!H40,'25.07 BUSEGA-KYENGERA'!H40,'26.07 BUSEGA-KYENGERA-24h'!H40,'27.07 BUSEGA-KYENGERA-24h'!H40,'28.07 BUSEGA-KYENGERA'!H40)</f>
        <v>1.1428571428571428</v>
      </c>
      <c r="I40" s="49">
        <f>AVERAGE('22.07 BUSEGA-KYENGERA'!I40,'23.07 BUSEGA-KYENGERA'!I40,'24.07 BUSEGA-KYENGERA'!I40,'25.07 BUSEGA-KYENGERA'!I40,'26.07 BUSEGA-KYENGERA-24h'!I40,'27.07 BUSEGA-KYENGERA-24h'!I40,'28.07 BUSEGA-KYENGERA'!I40)</f>
        <v>11.714285714285714</v>
      </c>
      <c r="J40" s="49">
        <f>AVERAGE('22.07 BUSEGA-KYENGERA'!J40,'23.07 BUSEGA-KYENGERA'!J40,'24.07 BUSEGA-KYENGERA'!J40,'25.07 BUSEGA-KYENGERA'!J40,'26.07 BUSEGA-KYENGERA-24h'!J40,'27.07 BUSEGA-KYENGERA-24h'!J40,'28.07 BUSEGA-KYENGERA'!J40)</f>
        <v>7.2857142857142856</v>
      </c>
      <c r="K40" s="49">
        <f>AVERAGE('22.07 BUSEGA-KYENGERA'!K40,'23.07 BUSEGA-KYENGERA'!K40,'24.07 BUSEGA-KYENGERA'!K40,'25.07 BUSEGA-KYENGERA'!K40,'26.07 BUSEGA-KYENGERA-24h'!K40,'27.07 BUSEGA-KYENGERA-24h'!K40,'28.07 BUSEGA-KYENGERA'!K40)</f>
        <v>3.7142857142857144</v>
      </c>
      <c r="L40" s="49">
        <f>AVERAGE('22.07 BUSEGA-KYENGERA'!L40,'23.07 BUSEGA-KYENGERA'!L40,'24.07 BUSEGA-KYENGERA'!L40,'25.07 BUSEGA-KYENGERA'!L40,'26.07 BUSEGA-KYENGERA-24h'!L40,'27.07 BUSEGA-KYENGERA-24h'!L40,'28.07 BUSEGA-KYENGERA'!L40)</f>
        <v>5.7142857142857144</v>
      </c>
      <c r="M40" s="49">
        <f>AVERAGE('22.07 BUSEGA-KYENGERA'!M40,'23.07 BUSEGA-KYENGERA'!M40,'24.07 BUSEGA-KYENGERA'!M40,'25.07 BUSEGA-KYENGERA'!M40,'26.07 BUSEGA-KYENGERA-24h'!M40,'27.07 BUSEGA-KYENGERA-24h'!M40,'28.07 BUSEGA-KYENGERA'!M40)</f>
        <v>124.42857142857143</v>
      </c>
      <c r="N40" s="49">
        <f>AVERAGE('22.07 BUSEGA-KYENGERA'!N40,'23.07 BUSEGA-KYENGERA'!N40,'24.07 BUSEGA-KYENGERA'!N40,'25.07 BUSEGA-KYENGERA'!N40,'26.07 BUSEGA-KYENGERA-24h'!N40,'27.07 BUSEGA-KYENGERA-24h'!N40,'28.07 BUSEGA-KYENGERA'!N40)</f>
        <v>0</v>
      </c>
      <c r="O40" s="15">
        <f t="shared" si="0"/>
        <v>128.71428571428569</v>
      </c>
      <c r="P40" s="15">
        <f t="shared" si="1"/>
        <v>253.14285714285711</v>
      </c>
      <c r="R40" s="5" t="s">
        <v>17</v>
      </c>
      <c r="S40" s="16">
        <f t="shared" ref="S40:AF40" si="32">SUM(S10:S21)</f>
        <v>2717.5714285714289</v>
      </c>
      <c r="T40" s="16">
        <f t="shared" si="32"/>
        <v>407.71428571428572</v>
      </c>
      <c r="U40" s="16">
        <f t="shared" si="32"/>
        <v>263.42857142857144</v>
      </c>
      <c r="V40" s="16">
        <f t="shared" si="32"/>
        <v>2237.4285714285716</v>
      </c>
      <c r="W40" s="16">
        <f t="shared" si="32"/>
        <v>80.714285714285708</v>
      </c>
      <c r="X40" s="16">
        <f t="shared" si="32"/>
        <v>77.714285714285722</v>
      </c>
      <c r="Y40" s="16">
        <f t="shared" si="32"/>
        <v>626.42857142857144</v>
      </c>
      <c r="Z40" s="16">
        <f t="shared" si="32"/>
        <v>365.42857142857139</v>
      </c>
      <c r="AA40" s="16">
        <f t="shared" si="32"/>
        <v>75.857142857142847</v>
      </c>
      <c r="AB40" s="16">
        <f t="shared" si="32"/>
        <v>195.57142857142856</v>
      </c>
      <c r="AC40" s="16">
        <f t="shared" si="32"/>
        <v>7684.1428571428578</v>
      </c>
      <c r="AD40" s="16">
        <f t="shared" si="32"/>
        <v>2.4285714285714284</v>
      </c>
      <c r="AE40" s="32">
        <f t="shared" si="32"/>
        <v>7050.2857142857138</v>
      </c>
      <c r="AF40" s="32">
        <f t="shared" si="32"/>
        <v>14734.428571428574</v>
      </c>
    </row>
    <row r="41" spans="2:32" ht="23.1" customHeight="1" x14ac:dyDescent="0.25">
      <c r="B41" s="23" t="s">
        <v>68</v>
      </c>
      <c r="C41" s="49">
        <f>AVERAGE('22.07 BUSEGA-KYENGERA'!C41,'23.07 BUSEGA-KYENGERA'!C41,'24.07 BUSEGA-KYENGERA'!C41,'25.07 BUSEGA-KYENGERA'!C41,'26.07 BUSEGA-KYENGERA-24h'!C41,'27.07 BUSEGA-KYENGERA-24h'!C41,'28.07 BUSEGA-KYENGERA'!C41)</f>
        <v>49.571428571428569</v>
      </c>
      <c r="D41" s="49">
        <f>AVERAGE('22.07 BUSEGA-KYENGERA'!D41,'23.07 BUSEGA-KYENGERA'!D41,'24.07 BUSEGA-KYENGERA'!D41,'25.07 BUSEGA-KYENGERA'!D41,'26.07 BUSEGA-KYENGERA-24h'!D41,'27.07 BUSEGA-KYENGERA-24h'!D41,'28.07 BUSEGA-KYENGERA'!D41)</f>
        <v>6</v>
      </c>
      <c r="E41" s="49">
        <f>AVERAGE('22.07 BUSEGA-KYENGERA'!E41,'23.07 BUSEGA-KYENGERA'!E41,'24.07 BUSEGA-KYENGERA'!E41,'25.07 BUSEGA-KYENGERA'!E41,'26.07 BUSEGA-KYENGERA-24h'!E41,'27.07 BUSEGA-KYENGERA-24h'!E41,'28.07 BUSEGA-KYENGERA'!E41)</f>
        <v>5.5714285714285712</v>
      </c>
      <c r="F41" s="49">
        <f>AVERAGE('22.07 BUSEGA-KYENGERA'!F41,'23.07 BUSEGA-KYENGERA'!F41,'24.07 BUSEGA-KYENGERA'!F41,'25.07 BUSEGA-KYENGERA'!F41,'26.07 BUSEGA-KYENGERA-24h'!F41,'27.07 BUSEGA-KYENGERA-24h'!F41,'28.07 BUSEGA-KYENGERA'!F41)</f>
        <v>34.428571428571431</v>
      </c>
      <c r="G41" s="49">
        <f>AVERAGE('22.07 BUSEGA-KYENGERA'!G41,'23.07 BUSEGA-KYENGERA'!G41,'24.07 BUSEGA-KYENGERA'!G41,'25.07 BUSEGA-KYENGERA'!G41,'26.07 BUSEGA-KYENGERA-24h'!G41,'27.07 BUSEGA-KYENGERA-24h'!G41,'28.07 BUSEGA-KYENGERA'!G41)</f>
        <v>0.5714285714285714</v>
      </c>
      <c r="H41" s="49">
        <f>AVERAGE('22.07 BUSEGA-KYENGERA'!H41,'23.07 BUSEGA-KYENGERA'!H41,'24.07 BUSEGA-KYENGERA'!H41,'25.07 BUSEGA-KYENGERA'!H41,'26.07 BUSEGA-KYENGERA-24h'!H41,'27.07 BUSEGA-KYENGERA-24h'!H41,'28.07 BUSEGA-KYENGERA'!H41)</f>
        <v>1.4285714285714286</v>
      </c>
      <c r="I41" s="49">
        <f>AVERAGE('22.07 BUSEGA-KYENGERA'!I41,'23.07 BUSEGA-KYENGERA'!I41,'24.07 BUSEGA-KYENGERA'!I41,'25.07 BUSEGA-KYENGERA'!I41,'26.07 BUSEGA-KYENGERA-24h'!I41,'27.07 BUSEGA-KYENGERA-24h'!I41,'28.07 BUSEGA-KYENGERA'!I41)</f>
        <v>12</v>
      </c>
      <c r="J41" s="49">
        <f>AVERAGE('22.07 BUSEGA-KYENGERA'!J41,'23.07 BUSEGA-KYENGERA'!J41,'24.07 BUSEGA-KYENGERA'!J41,'25.07 BUSEGA-KYENGERA'!J41,'26.07 BUSEGA-KYENGERA-24h'!J41,'27.07 BUSEGA-KYENGERA-24h'!J41,'28.07 BUSEGA-KYENGERA'!J41)</f>
        <v>10.857142857142858</v>
      </c>
      <c r="K41" s="49">
        <f>AVERAGE('22.07 BUSEGA-KYENGERA'!K41,'23.07 BUSEGA-KYENGERA'!K41,'24.07 BUSEGA-KYENGERA'!K41,'25.07 BUSEGA-KYENGERA'!K41,'26.07 BUSEGA-KYENGERA-24h'!K41,'27.07 BUSEGA-KYENGERA-24h'!K41,'28.07 BUSEGA-KYENGERA'!K41)</f>
        <v>2.8571428571428572</v>
      </c>
      <c r="L41" s="49">
        <f>AVERAGE('22.07 BUSEGA-KYENGERA'!L41,'23.07 BUSEGA-KYENGERA'!L41,'24.07 BUSEGA-KYENGERA'!L41,'25.07 BUSEGA-KYENGERA'!L41,'26.07 BUSEGA-KYENGERA-24h'!L41,'27.07 BUSEGA-KYENGERA-24h'!L41,'28.07 BUSEGA-KYENGERA'!L41)</f>
        <v>6</v>
      </c>
      <c r="M41" s="49">
        <f>AVERAGE('22.07 BUSEGA-KYENGERA'!M41,'23.07 BUSEGA-KYENGERA'!M41,'24.07 BUSEGA-KYENGERA'!M41,'25.07 BUSEGA-KYENGERA'!M41,'26.07 BUSEGA-KYENGERA-24h'!M41,'27.07 BUSEGA-KYENGERA-24h'!M41,'28.07 BUSEGA-KYENGERA'!M41)</f>
        <v>134.85714285714286</v>
      </c>
      <c r="N41" s="49">
        <f>AVERAGE('22.07 BUSEGA-KYENGERA'!N41,'23.07 BUSEGA-KYENGERA'!N41,'24.07 BUSEGA-KYENGERA'!N41,'25.07 BUSEGA-KYENGERA'!N41,'26.07 BUSEGA-KYENGERA-24h'!N41,'27.07 BUSEGA-KYENGERA-24h'!N41,'28.07 BUSEGA-KYENGERA'!N41)</f>
        <v>0</v>
      </c>
      <c r="O41" s="15">
        <f t="shared" si="0"/>
        <v>129.28571428571428</v>
      </c>
      <c r="P41" s="15">
        <f t="shared" si="1"/>
        <v>264.14285714285711</v>
      </c>
      <c r="R41" s="5" t="s">
        <v>175</v>
      </c>
      <c r="S41" s="53">
        <f>SUM(S10:S33)</f>
        <v>5070.5714285714294</v>
      </c>
      <c r="T41" s="53">
        <f t="shared" ref="T41:AD41" si="33">SUM(T10:T33)</f>
        <v>672.71428571428578</v>
      </c>
      <c r="U41" s="53">
        <f t="shared" si="33"/>
        <v>425.92857142857144</v>
      </c>
      <c r="V41" s="53">
        <f t="shared" si="33"/>
        <v>3194.9285714285716</v>
      </c>
      <c r="W41" s="53">
        <f t="shared" si="33"/>
        <v>150.71428571428572</v>
      </c>
      <c r="X41" s="53">
        <f t="shared" si="33"/>
        <v>138.21428571428572</v>
      </c>
      <c r="Y41" s="53">
        <f t="shared" si="33"/>
        <v>932.92857142857144</v>
      </c>
      <c r="Z41" s="53">
        <f t="shared" si="33"/>
        <v>722.92857142857133</v>
      </c>
      <c r="AA41" s="53">
        <f t="shared" si="33"/>
        <v>128.85714285714283</v>
      </c>
      <c r="AB41" s="53">
        <f t="shared" si="33"/>
        <v>306.07142857142856</v>
      </c>
      <c r="AC41" s="53">
        <f t="shared" si="33"/>
        <v>13393.142857142859</v>
      </c>
      <c r="AD41" s="53">
        <f t="shared" si="33"/>
        <v>14.428571428571429</v>
      </c>
      <c r="AE41" s="54">
        <f>SUM(AE10:AE33)</f>
        <v>14979.642857142857</v>
      </c>
      <c r="AF41" s="54">
        <f>SUM(AF10:AF33)</f>
        <v>35250.78571428571</v>
      </c>
    </row>
    <row r="42" spans="2:32" ht="23.1" customHeight="1" x14ac:dyDescent="0.25">
      <c r="B42" s="24" t="s">
        <v>69</v>
      </c>
      <c r="C42" s="49">
        <f>AVERAGE('22.07 BUSEGA-KYENGERA'!C42,'23.07 BUSEGA-KYENGERA'!C42,'24.07 BUSEGA-KYENGERA'!C42,'25.07 BUSEGA-KYENGERA'!C42,'26.07 BUSEGA-KYENGERA-24h'!C42,'27.07 BUSEGA-KYENGERA-24h'!C42,'28.07 BUSEGA-KYENGERA'!C42)</f>
        <v>60</v>
      </c>
      <c r="D42" s="49">
        <f>AVERAGE('22.07 BUSEGA-KYENGERA'!D42,'23.07 BUSEGA-KYENGERA'!D42,'24.07 BUSEGA-KYENGERA'!D42,'25.07 BUSEGA-KYENGERA'!D42,'26.07 BUSEGA-KYENGERA-24h'!D42,'27.07 BUSEGA-KYENGERA-24h'!D42,'28.07 BUSEGA-KYENGERA'!D42)</f>
        <v>6</v>
      </c>
      <c r="E42" s="49">
        <f>AVERAGE('22.07 BUSEGA-KYENGERA'!E42,'23.07 BUSEGA-KYENGERA'!E42,'24.07 BUSEGA-KYENGERA'!E42,'25.07 BUSEGA-KYENGERA'!E42,'26.07 BUSEGA-KYENGERA-24h'!E42,'27.07 BUSEGA-KYENGERA-24h'!E42,'28.07 BUSEGA-KYENGERA'!E42)</f>
        <v>6.8571428571428568</v>
      </c>
      <c r="F42" s="49">
        <f>AVERAGE('22.07 BUSEGA-KYENGERA'!F42,'23.07 BUSEGA-KYENGERA'!F42,'24.07 BUSEGA-KYENGERA'!F42,'25.07 BUSEGA-KYENGERA'!F42,'26.07 BUSEGA-KYENGERA-24h'!F42,'27.07 BUSEGA-KYENGERA-24h'!F42,'28.07 BUSEGA-KYENGERA'!F42)</f>
        <v>46.428571428571431</v>
      </c>
      <c r="G42" s="49">
        <f>AVERAGE('22.07 BUSEGA-KYENGERA'!G42,'23.07 BUSEGA-KYENGERA'!G42,'24.07 BUSEGA-KYENGERA'!G42,'25.07 BUSEGA-KYENGERA'!G42,'26.07 BUSEGA-KYENGERA-24h'!G42,'27.07 BUSEGA-KYENGERA-24h'!G42,'28.07 BUSEGA-KYENGERA'!G42)</f>
        <v>0.42857142857142855</v>
      </c>
      <c r="H42" s="49">
        <f>AVERAGE('22.07 BUSEGA-KYENGERA'!H42,'23.07 BUSEGA-KYENGERA'!H42,'24.07 BUSEGA-KYENGERA'!H42,'25.07 BUSEGA-KYENGERA'!H42,'26.07 BUSEGA-KYENGERA-24h'!H42,'27.07 BUSEGA-KYENGERA-24h'!H42,'28.07 BUSEGA-KYENGERA'!H42)</f>
        <v>1.4285714285714286</v>
      </c>
      <c r="I42" s="49">
        <f>AVERAGE('22.07 BUSEGA-KYENGERA'!I42,'23.07 BUSEGA-KYENGERA'!I42,'24.07 BUSEGA-KYENGERA'!I42,'25.07 BUSEGA-KYENGERA'!I42,'26.07 BUSEGA-KYENGERA-24h'!I42,'27.07 BUSEGA-KYENGERA-24h'!I42,'28.07 BUSEGA-KYENGERA'!I42)</f>
        <v>16.142857142857142</v>
      </c>
      <c r="J42" s="49">
        <f>AVERAGE('22.07 BUSEGA-KYENGERA'!J42,'23.07 BUSEGA-KYENGERA'!J42,'24.07 BUSEGA-KYENGERA'!J42,'25.07 BUSEGA-KYENGERA'!J42,'26.07 BUSEGA-KYENGERA-24h'!J42,'27.07 BUSEGA-KYENGERA-24h'!J42,'28.07 BUSEGA-KYENGERA'!J42)</f>
        <v>10.714285714285714</v>
      </c>
      <c r="K42" s="49">
        <f>AVERAGE('22.07 BUSEGA-KYENGERA'!K42,'23.07 BUSEGA-KYENGERA'!K42,'24.07 BUSEGA-KYENGERA'!K42,'25.07 BUSEGA-KYENGERA'!K42,'26.07 BUSEGA-KYENGERA-24h'!K42,'27.07 BUSEGA-KYENGERA-24h'!K42,'28.07 BUSEGA-KYENGERA'!K42)</f>
        <v>1.5714285714285714</v>
      </c>
      <c r="L42" s="49">
        <f>AVERAGE('22.07 BUSEGA-KYENGERA'!L42,'23.07 BUSEGA-KYENGERA'!L42,'24.07 BUSEGA-KYENGERA'!L42,'25.07 BUSEGA-KYENGERA'!L42,'26.07 BUSEGA-KYENGERA-24h'!L42,'27.07 BUSEGA-KYENGERA-24h'!L42,'28.07 BUSEGA-KYENGERA'!L42)</f>
        <v>5.5714285714285712</v>
      </c>
      <c r="M42" s="49">
        <f>AVERAGE('22.07 BUSEGA-KYENGERA'!M42,'23.07 BUSEGA-KYENGERA'!M42,'24.07 BUSEGA-KYENGERA'!M42,'25.07 BUSEGA-KYENGERA'!M42,'26.07 BUSEGA-KYENGERA-24h'!M42,'27.07 BUSEGA-KYENGERA-24h'!M42,'28.07 BUSEGA-KYENGERA'!M42)</f>
        <v>140.85714285714286</v>
      </c>
      <c r="N42" s="49">
        <f>AVERAGE('22.07 BUSEGA-KYENGERA'!N42,'23.07 BUSEGA-KYENGERA'!N42,'24.07 BUSEGA-KYENGERA'!N42,'25.07 BUSEGA-KYENGERA'!N42,'26.07 BUSEGA-KYENGERA-24h'!N42,'27.07 BUSEGA-KYENGERA-24h'!N42,'28.07 BUSEGA-KYENGERA'!N42)</f>
        <v>0.2857142857142857</v>
      </c>
      <c r="O42" s="15">
        <f t="shared" si="0"/>
        <v>155.42857142857147</v>
      </c>
      <c r="P42" s="15">
        <f t="shared" si="1"/>
        <v>296.28571428571433</v>
      </c>
      <c r="R42" s="5" t="s">
        <v>160</v>
      </c>
      <c r="S42" s="48">
        <f>S41/S40</f>
        <v>1.8658466067392105</v>
      </c>
      <c r="T42" s="48">
        <f t="shared" ref="T42:AF42" si="34">T41/T40</f>
        <v>1.6499649614576035</v>
      </c>
      <c r="U42" s="48">
        <f t="shared" si="34"/>
        <v>1.6168655097613882</v>
      </c>
      <c r="V42" s="48">
        <f t="shared" si="34"/>
        <v>1.4279466223981612</v>
      </c>
      <c r="W42" s="48">
        <f t="shared" si="34"/>
        <v>1.8672566371681418</v>
      </c>
      <c r="X42" s="48">
        <f t="shared" si="34"/>
        <v>1.7784926470588234</v>
      </c>
      <c r="Y42" s="48">
        <f t="shared" si="34"/>
        <v>1.4892816419612314</v>
      </c>
      <c r="Z42" s="48">
        <f t="shared" si="34"/>
        <v>1.9783033620015638</v>
      </c>
      <c r="AA42" s="48">
        <f t="shared" si="34"/>
        <v>1.6986817325800376</v>
      </c>
      <c r="AB42" s="48">
        <f t="shared" si="34"/>
        <v>1.5650109569028487</v>
      </c>
      <c r="AC42" s="48">
        <f t="shared" si="34"/>
        <v>1.7429585974827568</v>
      </c>
      <c r="AD42" s="48">
        <f t="shared" si="34"/>
        <v>5.9411764705882355</v>
      </c>
      <c r="AE42" s="55">
        <f t="shared" si="34"/>
        <v>2.1246859296482414</v>
      </c>
      <c r="AF42" s="55">
        <f t="shared" si="34"/>
        <v>2.3924094201142116</v>
      </c>
    </row>
    <row r="43" spans="2:32" ht="23.1" customHeight="1" x14ac:dyDescent="0.25">
      <c r="B43" s="23" t="s">
        <v>70</v>
      </c>
      <c r="C43" s="49">
        <f>AVERAGE('22.07 BUSEGA-KYENGERA'!C43,'23.07 BUSEGA-KYENGERA'!C43,'24.07 BUSEGA-KYENGERA'!C43,'25.07 BUSEGA-KYENGERA'!C43,'26.07 BUSEGA-KYENGERA-24h'!C43,'27.07 BUSEGA-KYENGERA-24h'!C43,'28.07 BUSEGA-KYENGERA'!C43)</f>
        <v>66.714285714285708</v>
      </c>
      <c r="D43" s="49">
        <f>AVERAGE('22.07 BUSEGA-KYENGERA'!D43,'23.07 BUSEGA-KYENGERA'!D43,'24.07 BUSEGA-KYENGERA'!D43,'25.07 BUSEGA-KYENGERA'!D43,'26.07 BUSEGA-KYENGERA-24h'!D43,'27.07 BUSEGA-KYENGERA-24h'!D43,'28.07 BUSEGA-KYENGERA'!D43)</f>
        <v>14.571428571428571</v>
      </c>
      <c r="E43" s="49">
        <f>AVERAGE('22.07 BUSEGA-KYENGERA'!E43,'23.07 BUSEGA-KYENGERA'!E43,'24.07 BUSEGA-KYENGERA'!E43,'25.07 BUSEGA-KYENGERA'!E43,'26.07 BUSEGA-KYENGERA-24h'!E43,'27.07 BUSEGA-KYENGERA-24h'!E43,'28.07 BUSEGA-KYENGERA'!E43)</f>
        <v>5.8571428571428568</v>
      </c>
      <c r="F43" s="49">
        <f>AVERAGE('22.07 BUSEGA-KYENGERA'!F43,'23.07 BUSEGA-KYENGERA'!F43,'24.07 BUSEGA-KYENGERA'!F43,'25.07 BUSEGA-KYENGERA'!F43,'26.07 BUSEGA-KYENGERA-24h'!F43,'27.07 BUSEGA-KYENGERA-24h'!F43,'28.07 BUSEGA-KYENGERA'!F43)</f>
        <v>47</v>
      </c>
      <c r="G43" s="49">
        <f>AVERAGE('22.07 BUSEGA-KYENGERA'!G43,'23.07 BUSEGA-KYENGERA'!G43,'24.07 BUSEGA-KYENGERA'!G43,'25.07 BUSEGA-KYENGERA'!G43,'26.07 BUSEGA-KYENGERA-24h'!G43,'27.07 BUSEGA-KYENGERA-24h'!G43,'28.07 BUSEGA-KYENGERA'!G43)</f>
        <v>1.1428571428571428</v>
      </c>
      <c r="H43" s="49">
        <f>AVERAGE('22.07 BUSEGA-KYENGERA'!H43,'23.07 BUSEGA-KYENGERA'!H43,'24.07 BUSEGA-KYENGERA'!H43,'25.07 BUSEGA-KYENGERA'!H43,'26.07 BUSEGA-KYENGERA-24h'!H43,'27.07 BUSEGA-KYENGERA-24h'!H43,'28.07 BUSEGA-KYENGERA'!H43)</f>
        <v>1.5714285714285714</v>
      </c>
      <c r="I43" s="49">
        <f>AVERAGE('22.07 BUSEGA-KYENGERA'!I43,'23.07 BUSEGA-KYENGERA'!I43,'24.07 BUSEGA-KYENGERA'!I43,'25.07 BUSEGA-KYENGERA'!I43,'26.07 BUSEGA-KYENGERA-24h'!I43,'27.07 BUSEGA-KYENGERA-24h'!I43,'28.07 BUSEGA-KYENGERA'!I43)</f>
        <v>14.714285714285714</v>
      </c>
      <c r="J43" s="49">
        <f>AVERAGE('22.07 BUSEGA-KYENGERA'!J43,'23.07 BUSEGA-KYENGERA'!J43,'24.07 BUSEGA-KYENGERA'!J43,'25.07 BUSEGA-KYENGERA'!J43,'26.07 BUSEGA-KYENGERA-24h'!J43,'27.07 BUSEGA-KYENGERA-24h'!J43,'28.07 BUSEGA-KYENGERA'!J43)</f>
        <v>10.714285714285714</v>
      </c>
      <c r="K43" s="49">
        <f>AVERAGE('22.07 BUSEGA-KYENGERA'!K43,'23.07 BUSEGA-KYENGERA'!K43,'24.07 BUSEGA-KYENGERA'!K43,'25.07 BUSEGA-KYENGERA'!K43,'26.07 BUSEGA-KYENGERA-24h'!K43,'27.07 BUSEGA-KYENGERA-24h'!K43,'28.07 BUSEGA-KYENGERA'!K43)</f>
        <v>1.4285714285714286</v>
      </c>
      <c r="L43" s="49">
        <f>AVERAGE('22.07 BUSEGA-KYENGERA'!L43,'23.07 BUSEGA-KYENGERA'!L43,'24.07 BUSEGA-KYENGERA'!L43,'25.07 BUSEGA-KYENGERA'!L43,'26.07 BUSEGA-KYENGERA-24h'!L43,'27.07 BUSEGA-KYENGERA-24h'!L43,'28.07 BUSEGA-KYENGERA'!L43)</f>
        <v>4.7142857142857144</v>
      </c>
      <c r="M43" s="49">
        <f>AVERAGE('22.07 BUSEGA-KYENGERA'!M43,'23.07 BUSEGA-KYENGERA'!M43,'24.07 BUSEGA-KYENGERA'!M43,'25.07 BUSEGA-KYENGERA'!M43,'26.07 BUSEGA-KYENGERA-24h'!M43,'27.07 BUSEGA-KYENGERA-24h'!M43,'28.07 BUSEGA-KYENGERA'!M43)</f>
        <v>133.71428571428572</v>
      </c>
      <c r="N43" s="49">
        <f>AVERAGE('22.07 BUSEGA-KYENGERA'!N43,'23.07 BUSEGA-KYENGERA'!N43,'24.07 BUSEGA-KYENGERA'!N43,'25.07 BUSEGA-KYENGERA'!N43,'26.07 BUSEGA-KYENGERA-24h'!N43,'27.07 BUSEGA-KYENGERA-24h'!N43,'28.07 BUSEGA-KYENGERA'!N43)</f>
        <v>0</v>
      </c>
      <c r="O43" s="15">
        <f t="shared" si="0"/>
        <v>168.42857142857144</v>
      </c>
      <c r="P43" s="15">
        <f t="shared" si="1"/>
        <v>302.14285714285717</v>
      </c>
    </row>
    <row r="44" spans="2:32" ht="23.1" customHeight="1" x14ac:dyDescent="0.25">
      <c r="B44" s="25" t="s">
        <v>71</v>
      </c>
      <c r="C44" s="49">
        <f>AVERAGE('22.07 BUSEGA-KYENGERA'!C44,'23.07 BUSEGA-KYENGERA'!C44,'24.07 BUSEGA-KYENGERA'!C44,'25.07 BUSEGA-KYENGERA'!C44,'26.07 BUSEGA-KYENGERA-24h'!C44,'27.07 BUSEGA-KYENGERA-24h'!C44,'28.07 BUSEGA-KYENGERA'!C44)</f>
        <v>62.285714285714285</v>
      </c>
      <c r="D44" s="49">
        <f>AVERAGE('22.07 BUSEGA-KYENGERA'!D44,'23.07 BUSEGA-KYENGERA'!D44,'24.07 BUSEGA-KYENGERA'!D44,'25.07 BUSEGA-KYENGERA'!D44,'26.07 BUSEGA-KYENGERA-24h'!D44,'27.07 BUSEGA-KYENGERA-24h'!D44,'28.07 BUSEGA-KYENGERA'!D44)</f>
        <v>7.4285714285714288</v>
      </c>
      <c r="E44" s="49">
        <f>AVERAGE('22.07 BUSEGA-KYENGERA'!E44,'23.07 BUSEGA-KYENGERA'!E44,'24.07 BUSEGA-KYENGERA'!E44,'25.07 BUSEGA-KYENGERA'!E44,'26.07 BUSEGA-KYENGERA-24h'!E44,'27.07 BUSEGA-KYENGERA-24h'!E44,'28.07 BUSEGA-KYENGERA'!E44)</f>
        <v>8.1428571428571423</v>
      </c>
      <c r="F44" s="49">
        <f>AVERAGE('22.07 BUSEGA-KYENGERA'!F44,'23.07 BUSEGA-KYENGERA'!F44,'24.07 BUSEGA-KYENGERA'!F44,'25.07 BUSEGA-KYENGERA'!F44,'26.07 BUSEGA-KYENGERA-24h'!F44,'27.07 BUSEGA-KYENGERA-24h'!F44,'28.07 BUSEGA-KYENGERA'!F44)</f>
        <v>49.285714285714285</v>
      </c>
      <c r="G44" s="49">
        <f>AVERAGE('22.07 BUSEGA-KYENGERA'!G44,'23.07 BUSEGA-KYENGERA'!G44,'24.07 BUSEGA-KYENGERA'!G44,'25.07 BUSEGA-KYENGERA'!G44,'26.07 BUSEGA-KYENGERA-24h'!G44,'27.07 BUSEGA-KYENGERA-24h'!G44,'28.07 BUSEGA-KYENGERA'!G44)</f>
        <v>0.42857142857142855</v>
      </c>
      <c r="H44" s="49">
        <f>AVERAGE('22.07 BUSEGA-KYENGERA'!H44,'23.07 BUSEGA-KYENGERA'!H44,'24.07 BUSEGA-KYENGERA'!H44,'25.07 BUSEGA-KYENGERA'!H44,'26.07 BUSEGA-KYENGERA-24h'!H44,'27.07 BUSEGA-KYENGERA-24h'!H44,'28.07 BUSEGA-KYENGERA'!H44)</f>
        <v>1.4285714285714286</v>
      </c>
      <c r="I44" s="49">
        <f>AVERAGE('22.07 BUSEGA-KYENGERA'!I44,'23.07 BUSEGA-KYENGERA'!I44,'24.07 BUSEGA-KYENGERA'!I44,'25.07 BUSEGA-KYENGERA'!I44,'26.07 BUSEGA-KYENGERA-24h'!I44,'27.07 BUSEGA-KYENGERA-24h'!I44,'28.07 BUSEGA-KYENGERA'!I44)</f>
        <v>14</v>
      </c>
      <c r="J44" s="49">
        <f>AVERAGE('22.07 BUSEGA-KYENGERA'!J44,'23.07 BUSEGA-KYENGERA'!J44,'24.07 BUSEGA-KYENGERA'!J44,'25.07 BUSEGA-KYENGERA'!J44,'26.07 BUSEGA-KYENGERA-24h'!J44,'27.07 BUSEGA-KYENGERA-24h'!J44,'28.07 BUSEGA-KYENGERA'!J44)</f>
        <v>6.1428571428571432</v>
      </c>
      <c r="K44" s="49">
        <f>AVERAGE('22.07 BUSEGA-KYENGERA'!K44,'23.07 BUSEGA-KYENGERA'!K44,'24.07 BUSEGA-KYENGERA'!K44,'25.07 BUSEGA-KYENGERA'!K44,'26.07 BUSEGA-KYENGERA-24h'!K44,'27.07 BUSEGA-KYENGERA-24h'!K44,'28.07 BUSEGA-KYENGERA'!K44)</f>
        <v>2.2857142857142856</v>
      </c>
      <c r="L44" s="49">
        <f>AVERAGE('22.07 BUSEGA-KYENGERA'!L44,'23.07 BUSEGA-KYENGERA'!L44,'24.07 BUSEGA-KYENGERA'!L44,'25.07 BUSEGA-KYENGERA'!L44,'26.07 BUSEGA-KYENGERA-24h'!L44,'27.07 BUSEGA-KYENGERA-24h'!L44,'28.07 BUSEGA-KYENGERA'!L44)</f>
        <v>4.5714285714285712</v>
      </c>
      <c r="M44" s="49">
        <f>AVERAGE('22.07 BUSEGA-KYENGERA'!M44,'23.07 BUSEGA-KYENGERA'!M44,'24.07 BUSEGA-KYENGERA'!M44,'25.07 BUSEGA-KYENGERA'!M44,'26.07 BUSEGA-KYENGERA-24h'!M44,'27.07 BUSEGA-KYENGERA-24h'!M44,'28.07 BUSEGA-KYENGERA'!M44)</f>
        <v>143.28571428571428</v>
      </c>
      <c r="N44" s="49">
        <f>AVERAGE('22.07 BUSEGA-KYENGERA'!N44,'23.07 BUSEGA-KYENGERA'!N44,'24.07 BUSEGA-KYENGERA'!N44,'25.07 BUSEGA-KYENGERA'!N44,'26.07 BUSEGA-KYENGERA-24h'!N44,'27.07 BUSEGA-KYENGERA-24h'!N44,'28.07 BUSEGA-KYENGERA'!N44)</f>
        <v>0</v>
      </c>
      <c r="O44" s="15">
        <f t="shared" si="0"/>
        <v>156</v>
      </c>
      <c r="P44" s="15">
        <f t="shared" si="1"/>
        <v>299.28571428571428</v>
      </c>
    </row>
    <row r="45" spans="2:32" ht="23.1" customHeight="1" x14ac:dyDescent="0.25">
      <c r="B45" s="23" t="s">
        <v>72</v>
      </c>
      <c r="C45" s="49">
        <f>AVERAGE('22.07 BUSEGA-KYENGERA'!C45,'23.07 BUSEGA-KYENGERA'!C45,'24.07 BUSEGA-KYENGERA'!C45,'25.07 BUSEGA-KYENGERA'!C45,'26.07 BUSEGA-KYENGERA-24h'!C45,'27.07 BUSEGA-KYENGERA-24h'!C45,'28.07 BUSEGA-KYENGERA'!C45)</f>
        <v>49.285714285714285</v>
      </c>
      <c r="D45" s="49">
        <f>AVERAGE('22.07 BUSEGA-KYENGERA'!D45,'23.07 BUSEGA-KYENGERA'!D45,'24.07 BUSEGA-KYENGERA'!D45,'25.07 BUSEGA-KYENGERA'!D45,'26.07 BUSEGA-KYENGERA-24h'!D45,'27.07 BUSEGA-KYENGERA-24h'!D45,'28.07 BUSEGA-KYENGERA'!D45)</f>
        <v>5</v>
      </c>
      <c r="E45" s="49">
        <f>AVERAGE('22.07 BUSEGA-KYENGERA'!E45,'23.07 BUSEGA-KYENGERA'!E45,'24.07 BUSEGA-KYENGERA'!E45,'25.07 BUSEGA-KYENGERA'!E45,'26.07 BUSEGA-KYENGERA-24h'!E45,'27.07 BUSEGA-KYENGERA-24h'!E45,'28.07 BUSEGA-KYENGERA'!E45)</f>
        <v>3</v>
      </c>
      <c r="F45" s="49">
        <f>AVERAGE('22.07 BUSEGA-KYENGERA'!F45,'23.07 BUSEGA-KYENGERA'!F45,'24.07 BUSEGA-KYENGERA'!F45,'25.07 BUSEGA-KYENGERA'!F45,'26.07 BUSEGA-KYENGERA-24h'!F45,'27.07 BUSEGA-KYENGERA-24h'!F45,'28.07 BUSEGA-KYENGERA'!F45)</f>
        <v>33.142857142857146</v>
      </c>
      <c r="G45" s="49">
        <f>AVERAGE('22.07 BUSEGA-KYENGERA'!G45,'23.07 BUSEGA-KYENGERA'!G45,'24.07 BUSEGA-KYENGERA'!G45,'25.07 BUSEGA-KYENGERA'!G45,'26.07 BUSEGA-KYENGERA-24h'!G45,'27.07 BUSEGA-KYENGERA-24h'!G45,'28.07 BUSEGA-KYENGERA'!G45)</f>
        <v>1.7142857142857142</v>
      </c>
      <c r="H45" s="49">
        <f>AVERAGE('22.07 BUSEGA-KYENGERA'!H45,'23.07 BUSEGA-KYENGERA'!H45,'24.07 BUSEGA-KYENGERA'!H45,'25.07 BUSEGA-KYENGERA'!H45,'26.07 BUSEGA-KYENGERA-24h'!H45,'27.07 BUSEGA-KYENGERA-24h'!H45,'28.07 BUSEGA-KYENGERA'!H45)</f>
        <v>2.4285714285714284</v>
      </c>
      <c r="I45" s="49">
        <f>AVERAGE('22.07 BUSEGA-KYENGERA'!I45,'23.07 BUSEGA-KYENGERA'!I45,'24.07 BUSEGA-KYENGERA'!I45,'25.07 BUSEGA-KYENGERA'!I45,'26.07 BUSEGA-KYENGERA-24h'!I45,'27.07 BUSEGA-KYENGERA-24h'!I45,'28.07 BUSEGA-KYENGERA'!I45)</f>
        <v>13.857142857142858</v>
      </c>
      <c r="J45" s="49">
        <f>AVERAGE('22.07 BUSEGA-KYENGERA'!J45,'23.07 BUSEGA-KYENGERA'!J45,'24.07 BUSEGA-KYENGERA'!J45,'25.07 BUSEGA-KYENGERA'!J45,'26.07 BUSEGA-KYENGERA-24h'!J45,'27.07 BUSEGA-KYENGERA-24h'!J45,'28.07 BUSEGA-KYENGERA'!J45)</f>
        <v>9.2857142857142865</v>
      </c>
      <c r="K45" s="49">
        <f>AVERAGE('22.07 BUSEGA-KYENGERA'!K45,'23.07 BUSEGA-KYENGERA'!K45,'24.07 BUSEGA-KYENGERA'!K45,'25.07 BUSEGA-KYENGERA'!K45,'26.07 BUSEGA-KYENGERA-24h'!K45,'27.07 BUSEGA-KYENGERA-24h'!K45,'28.07 BUSEGA-KYENGERA'!K45)</f>
        <v>1.4285714285714286</v>
      </c>
      <c r="L45" s="49">
        <f>AVERAGE('22.07 BUSEGA-KYENGERA'!L45,'23.07 BUSEGA-KYENGERA'!L45,'24.07 BUSEGA-KYENGERA'!L45,'25.07 BUSEGA-KYENGERA'!L45,'26.07 BUSEGA-KYENGERA-24h'!L45,'27.07 BUSEGA-KYENGERA-24h'!L45,'28.07 BUSEGA-KYENGERA'!L45)</f>
        <v>4.4285714285714288</v>
      </c>
      <c r="M45" s="49">
        <f>AVERAGE('22.07 BUSEGA-KYENGERA'!M45,'23.07 BUSEGA-KYENGERA'!M45,'24.07 BUSEGA-KYENGERA'!M45,'25.07 BUSEGA-KYENGERA'!M45,'26.07 BUSEGA-KYENGERA-24h'!M45,'27.07 BUSEGA-KYENGERA-24h'!M45,'28.07 BUSEGA-KYENGERA'!M45)</f>
        <v>137</v>
      </c>
      <c r="N45" s="49">
        <f>AVERAGE('22.07 BUSEGA-KYENGERA'!N45,'23.07 BUSEGA-KYENGERA'!N45,'24.07 BUSEGA-KYENGERA'!N45,'25.07 BUSEGA-KYENGERA'!N45,'26.07 BUSEGA-KYENGERA-24h'!N45,'27.07 BUSEGA-KYENGERA-24h'!N45,'28.07 BUSEGA-KYENGERA'!N45)</f>
        <v>0</v>
      </c>
      <c r="O45" s="15">
        <f t="shared" si="0"/>
        <v>123.57142857142858</v>
      </c>
      <c r="P45" s="15">
        <f t="shared" si="1"/>
        <v>260.57142857142856</v>
      </c>
    </row>
    <row r="46" spans="2:32" ht="23.1" customHeight="1" x14ac:dyDescent="0.25">
      <c r="B46" s="24" t="s">
        <v>73</v>
      </c>
      <c r="C46" s="49">
        <f>AVERAGE('22.07 BUSEGA-KYENGERA'!C46,'23.07 BUSEGA-KYENGERA'!C46,'24.07 BUSEGA-KYENGERA'!C46,'25.07 BUSEGA-KYENGERA'!C46,'26.07 BUSEGA-KYENGERA-24h'!C46,'27.07 BUSEGA-KYENGERA-24h'!C46,'28.07 BUSEGA-KYENGERA'!C46)</f>
        <v>60</v>
      </c>
      <c r="D46" s="49">
        <f>AVERAGE('22.07 BUSEGA-KYENGERA'!D46,'23.07 BUSEGA-KYENGERA'!D46,'24.07 BUSEGA-KYENGERA'!D46,'25.07 BUSEGA-KYENGERA'!D46,'26.07 BUSEGA-KYENGERA-24h'!D46,'27.07 BUSEGA-KYENGERA-24h'!D46,'28.07 BUSEGA-KYENGERA'!D46)</f>
        <v>8</v>
      </c>
      <c r="E46" s="49">
        <f>AVERAGE('22.07 BUSEGA-KYENGERA'!E46,'23.07 BUSEGA-KYENGERA'!E46,'24.07 BUSEGA-KYENGERA'!E46,'25.07 BUSEGA-KYENGERA'!E46,'26.07 BUSEGA-KYENGERA-24h'!E46,'27.07 BUSEGA-KYENGERA-24h'!E46,'28.07 BUSEGA-KYENGERA'!E46)</f>
        <v>6.2857142857142856</v>
      </c>
      <c r="F46" s="49">
        <f>AVERAGE('22.07 BUSEGA-KYENGERA'!F46,'23.07 BUSEGA-KYENGERA'!F46,'24.07 BUSEGA-KYENGERA'!F46,'25.07 BUSEGA-KYENGERA'!F46,'26.07 BUSEGA-KYENGERA-24h'!F46,'27.07 BUSEGA-KYENGERA-24h'!F46,'28.07 BUSEGA-KYENGERA'!F46)</f>
        <v>48.142857142857146</v>
      </c>
      <c r="G46" s="49">
        <f>AVERAGE('22.07 BUSEGA-KYENGERA'!G46,'23.07 BUSEGA-KYENGERA'!G46,'24.07 BUSEGA-KYENGERA'!G46,'25.07 BUSEGA-KYENGERA'!G46,'26.07 BUSEGA-KYENGERA-24h'!G46,'27.07 BUSEGA-KYENGERA-24h'!G46,'28.07 BUSEGA-KYENGERA'!G46)</f>
        <v>2.1428571428571428</v>
      </c>
      <c r="H46" s="49">
        <f>AVERAGE('22.07 BUSEGA-KYENGERA'!H46,'23.07 BUSEGA-KYENGERA'!H46,'24.07 BUSEGA-KYENGERA'!H46,'25.07 BUSEGA-KYENGERA'!H46,'26.07 BUSEGA-KYENGERA-24h'!H46,'27.07 BUSEGA-KYENGERA-24h'!H46,'28.07 BUSEGA-KYENGERA'!H46)</f>
        <v>1.1428571428571428</v>
      </c>
      <c r="I46" s="49">
        <f>AVERAGE('22.07 BUSEGA-KYENGERA'!I46,'23.07 BUSEGA-KYENGERA'!I46,'24.07 BUSEGA-KYENGERA'!I46,'25.07 BUSEGA-KYENGERA'!I46,'26.07 BUSEGA-KYENGERA-24h'!I46,'27.07 BUSEGA-KYENGERA-24h'!I46,'28.07 BUSEGA-KYENGERA'!I46)</f>
        <v>17.714285714285715</v>
      </c>
      <c r="J46" s="49">
        <f>AVERAGE('22.07 BUSEGA-KYENGERA'!J46,'23.07 BUSEGA-KYENGERA'!J46,'24.07 BUSEGA-KYENGERA'!J46,'25.07 BUSEGA-KYENGERA'!J46,'26.07 BUSEGA-KYENGERA-24h'!J46,'27.07 BUSEGA-KYENGERA-24h'!J46,'28.07 BUSEGA-KYENGERA'!J46)</f>
        <v>12.571428571428571</v>
      </c>
      <c r="K46" s="49">
        <f>AVERAGE('22.07 BUSEGA-KYENGERA'!K46,'23.07 BUSEGA-KYENGERA'!K46,'24.07 BUSEGA-KYENGERA'!K46,'25.07 BUSEGA-KYENGERA'!K46,'26.07 BUSEGA-KYENGERA-24h'!K46,'27.07 BUSEGA-KYENGERA-24h'!K46,'28.07 BUSEGA-KYENGERA'!K46)</f>
        <v>1.7142857142857142</v>
      </c>
      <c r="L46" s="49">
        <f>AVERAGE('22.07 BUSEGA-KYENGERA'!L46,'23.07 BUSEGA-KYENGERA'!L46,'24.07 BUSEGA-KYENGERA'!L46,'25.07 BUSEGA-KYENGERA'!L46,'26.07 BUSEGA-KYENGERA-24h'!L46,'27.07 BUSEGA-KYENGERA-24h'!L46,'28.07 BUSEGA-KYENGERA'!L46)</f>
        <v>6.4285714285714288</v>
      </c>
      <c r="M46" s="49">
        <f>AVERAGE('22.07 BUSEGA-KYENGERA'!M46,'23.07 BUSEGA-KYENGERA'!M46,'24.07 BUSEGA-KYENGERA'!M46,'25.07 BUSEGA-KYENGERA'!M46,'26.07 BUSEGA-KYENGERA-24h'!M46,'27.07 BUSEGA-KYENGERA-24h'!M46,'28.07 BUSEGA-KYENGERA'!M46)</f>
        <v>170.57142857142858</v>
      </c>
      <c r="N46" s="49">
        <f>AVERAGE('22.07 BUSEGA-KYENGERA'!N46,'23.07 BUSEGA-KYENGERA'!N46,'24.07 BUSEGA-KYENGERA'!N46,'25.07 BUSEGA-KYENGERA'!N46,'26.07 BUSEGA-KYENGERA-24h'!N46,'27.07 BUSEGA-KYENGERA-24h'!N46,'28.07 BUSEGA-KYENGERA'!N46)</f>
        <v>0</v>
      </c>
      <c r="O46" s="15">
        <f t="shared" si="0"/>
        <v>164.14285714285717</v>
      </c>
      <c r="P46" s="15">
        <f t="shared" si="1"/>
        <v>334.71428571428578</v>
      </c>
      <c r="R46" s="8"/>
      <c r="T46"/>
    </row>
    <row r="47" spans="2:32" ht="23.1" customHeight="1" x14ac:dyDescent="0.25">
      <c r="B47" s="24" t="s">
        <v>74</v>
      </c>
      <c r="C47" s="49">
        <f>AVERAGE('22.07 BUSEGA-KYENGERA'!C47,'23.07 BUSEGA-KYENGERA'!C47,'24.07 BUSEGA-KYENGERA'!C47,'25.07 BUSEGA-KYENGERA'!C47,'26.07 BUSEGA-KYENGERA-24h'!C47,'27.07 BUSEGA-KYENGERA-24h'!C47,'28.07 BUSEGA-KYENGERA'!C47)</f>
        <v>56.142857142857146</v>
      </c>
      <c r="D47" s="49">
        <f>AVERAGE('22.07 BUSEGA-KYENGERA'!D47,'23.07 BUSEGA-KYENGERA'!D47,'24.07 BUSEGA-KYENGERA'!D47,'25.07 BUSEGA-KYENGERA'!D47,'26.07 BUSEGA-KYENGERA-24h'!D47,'27.07 BUSEGA-KYENGERA-24h'!D47,'28.07 BUSEGA-KYENGERA'!D47)</f>
        <v>5.2857142857142856</v>
      </c>
      <c r="E47" s="49">
        <f>AVERAGE('22.07 BUSEGA-KYENGERA'!E47,'23.07 BUSEGA-KYENGERA'!E47,'24.07 BUSEGA-KYENGERA'!E47,'25.07 BUSEGA-KYENGERA'!E47,'26.07 BUSEGA-KYENGERA-24h'!E47,'27.07 BUSEGA-KYENGERA-24h'!E47,'28.07 BUSEGA-KYENGERA'!E47)</f>
        <v>4.8571428571428568</v>
      </c>
      <c r="F47" s="49">
        <f>AVERAGE('22.07 BUSEGA-KYENGERA'!F47,'23.07 BUSEGA-KYENGERA'!F47,'24.07 BUSEGA-KYENGERA'!F47,'25.07 BUSEGA-KYENGERA'!F47,'26.07 BUSEGA-KYENGERA-24h'!F47,'27.07 BUSEGA-KYENGERA-24h'!F47,'28.07 BUSEGA-KYENGERA'!F47)</f>
        <v>40.857142857142854</v>
      </c>
      <c r="G47" s="49">
        <f>AVERAGE('22.07 BUSEGA-KYENGERA'!G47,'23.07 BUSEGA-KYENGERA'!G47,'24.07 BUSEGA-KYENGERA'!G47,'25.07 BUSEGA-KYENGERA'!G47,'26.07 BUSEGA-KYENGERA-24h'!G47,'27.07 BUSEGA-KYENGERA-24h'!G47,'28.07 BUSEGA-KYENGERA'!G47)</f>
        <v>1.1428571428571428</v>
      </c>
      <c r="H47" s="49">
        <f>AVERAGE('22.07 BUSEGA-KYENGERA'!H47,'23.07 BUSEGA-KYENGERA'!H47,'24.07 BUSEGA-KYENGERA'!H47,'25.07 BUSEGA-KYENGERA'!H47,'26.07 BUSEGA-KYENGERA-24h'!H47,'27.07 BUSEGA-KYENGERA-24h'!H47,'28.07 BUSEGA-KYENGERA'!H47)</f>
        <v>2</v>
      </c>
      <c r="I47" s="49">
        <f>AVERAGE('22.07 BUSEGA-KYENGERA'!I47,'23.07 BUSEGA-KYENGERA'!I47,'24.07 BUSEGA-KYENGERA'!I47,'25.07 BUSEGA-KYENGERA'!I47,'26.07 BUSEGA-KYENGERA-24h'!I47,'27.07 BUSEGA-KYENGERA-24h'!I47,'28.07 BUSEGA-KYENGERA'!I47)</f>
        <v>15.285714285714286</v>
      </c>
      <c r="J47" s="49">
        <f>AVERAGE('22.07 BUSEGA-KYENGERA'!J47,'23.07 BUSEGA-KYENGERA'!J47,'24.07 BUSEGA-KYENGERA'!J47,'25.07 BUSEGA-KYENGERA'!J47,'26.07 BUSEGA-KYENGERA-24h'!J47,'27.07 BUSEGA-KYENGERA-24h'!J47,'28.07 BUSEGA-KYENGERA'!J47)</f>
        <v>9.7142857142857135</v>
      </c>
      <c r="K47" s="49">
        <f>AVERAGE('22.07 BUSEGA-KYENGERA'!K47,'23.07 BUSEGA-KYENGERA'!K47,'24.07 BUSEGA-KYENGERA'!K47,'25.07 BUSEGA-KYENGERA'!K47,'26.07 BUSEGA-KYENGERA-24h'!K47,'27.07 BUSEGA-KYENGERA-24h'!K47,'28.07 BUSEGA-KYENGERA'!K47)</f>
        <v>2.4285714285714284</v>
      </c>
      <c r="L47" s="49">
        <f>AVERAGE('22.07 BUSEGA-KYENGERA'!L47,'23.07 BUSEGA-KYENGERA'!L47,'24.07 BUSEGA-KYENGERA'!L47,'25.07 BUSEGA-KYENGERA'!L47,'26.07 BUSEGA-KYENGERA-24h'!L47,'27.07 BUSEGA-KYENGERA-24h'!L47,'28.07 BUSEGA-KYENGERA'!L47)</f>
        <v>5</v>
      </c>
      <c r="M47" s="49">
        <f>AVERAGE('22.07 BUSEGA-KYENGERA'!M47,'23.07 BUSEGA-KYENGERA'!M47,'24.07 BUSEGA-KYENGERA'!M47,'25.07 BUSEGA-KYENGERA'!M47,'26.07 BUSEGA-KYENGERA-24h'!M47,'27.07 BUSEGA-KYENGERA-24h'!M47,'28.07 BUSEGA-KYENGERA'!M47)</f>
        <v>134.85714285714286</v>
      </c>
      <c r="N47" s="49">
        <f>AVERAGE('22.07 BUSEGA-KYENGERA'!N47,'23.07 BUSEGA-KYENGERA'!N47,'24.07 BUSEGA-KYENGERA'!N47,'25.07 BUSEGA-KYENGERA'!N47,'26.07 BUSEGA-KYENGERA-24h'!N47,'27.07 BUSEGA-KYENGERA-24h'!N47,'28.07 BUSEGA-KYENGERA'!N47)</f>
        <v>0</v>
      </c>
      <c r="O47" s="15">
        <f t="shared" si="0"/>
        <v>142.71428571428569</v>
      </c>
      <c r="P47" s="15">
        <f t="shared" si="1"/>
        <v>277.57142857142856</v>
      </c>
      <c r="R47" s="8"/>
      <c r="T47"/>
    </row>
    <row r="48" spans="2:32" ht="23.1" customHeight="1" x14ac:dyDescent="0.25">
      <c r="B48" s="24" t="s">
        <v>75</v>
      </c>
      <c r="C48" s="49">
        <f>AVERAGE('22.07 BUSEGA-KYENGERA'!C48,'23.07 BUSEGA-KYENGERA'!C48,'24.07 BUSEGA-KYENGERA'!C48,'25.07 BUSEGA-KYENGERA'!C48,'26.07 BUSEGA-KYENGERA-24h'!C48,'27.07 BUSEGA-KYENGERA-24h'!C48,'28.07 BUSEGA-KYENGERA'!C48)</f>
        <v>56.714285714285715</v>
      </c>
      <c r="D48" s="49">
        <f>AVERAGE('22.07 BUSEGA-KYENGERA'!D48,'23.07 BUSEGA-KYENGERA'!D48,'24.07 BUSEGA-KYENGERA'!D48,'25.07 BUSEGA-KYENGERA'!D48,'26.07 BUSEGA-KYENGERA-24h'!D48,'27.07 BUSEGA-KYENGERA-24h'!D48,'28.07 BUSEGA-KYENGERA'!D48)</f>
        <v>7.7142857142857144</v>
      </c>
      <c r="E48" s="49">
        <f>AVERAGE('22.07 BUSEGA-KYENGERA'!E48,'23.07 BUSEGA-KYENGERA'!E48,'24.07 BUSEGA-KYENGERA'!E48,'25.07 BUSEGA-KYENGERA'!E48,'26.07 BUSEGA-KYENGERA-24h'!E48,'27.07 BUSEGA-KYENGERA-24h'!E48,'28.07 BUSEGA-KYENGERA'!E48)</f>
        <v>5.5714285714285712</v>
      </c>
      <c r="F48" s="49">
        <f>AVERAGE('22.07 BUSEGA-KYENGERA'!F48,'23.07 BUSEGA-KYENGERA'!F48,'24.07 BUSEGA-KYENGERA'!F48,'25.07 BUSEGA-KYENGERA'!F48,'26.07 BUSEGA-KYENGERA-24h'!F48,'27.07 BUSEGA-KYENGERA-24h'!F48,'28.07 BUSEGA-KYENGERA'!F48)</f>
        <v>46.142857142857146</v>
      </c>
      <c r="G48" s="49">
        <f>AVERAGE('22.07 BUSEGA-KYENGERA'!G48,'23.07 BUSEGA-KYENGERA'!G48,'24.07 BUSEGA-KYENGERA'!G48,'25.07 BUSEGA-KYENGERA'!G48,'26.07 BUSEGA-KYENGERA-24h'!G48,'27.07 BUSEGA-KYENGERA-24h'!G48,'28.07 BUSEGA-KYENGERA'!G48)</f>
        <v>1.5714285714285714</v>
      </c>
      <c r="H48" s="49">
        <f>AVERAGE('22.07 BUSEGA-KYENGERA'!H48,'23.07 BUSEGA-KYENGERA'!H48,'24.07 BUSEGA-KYENGERA'!H48,'25.07 BUSEGA-KYENGERA'!H48,'26.07 BUSEGA-KYENGERA-24h'!H48,'27.07 BUSEGA-KYENGERA-24h'!H48,'28.07 BUSEGA-KYENGERA'!H48)</f>
        <v>2.5714285714285716</v>
      </c>
      <c r="I48" s="49">
        <f>AVERAGE('22.07 BUSEGA-KYENGERA'!I48,'23.07 BUSEGA-KYENGERA'!I48,'24.07 BUSEGA-KYENGERA'!I48,'25.07 BUSEGA-KYENGERA'!I48,'26.07 BUSEGA-KYENGERA-24h'!I48,'27.07 BUSEGA-KYENGERA-24h'!I48,'28.07 BUSEGA-KYENGERA'!I48)</f>
        <v>15</v>
      </c>
      <c r="J48" s="49">
        <f>AVERAGE('22.07 BUSEGA-KYENGERA'!J48,'23.07 BUSEGA-KYENGERA'!J48,'24.07 BUSEGA-KYENGERA'!J48,'25.07 BUSEGA-KYENGERA'!J48,'26.07 BUSEGA-KYENGERA-24h'!J48,'27.07 BUSEGA-KYENGERA-24h'!J48,'28.07 BUSEGA-KYENGERA'!J48)</f>
        <v>11.142857142857142</v>
      </c>
      <c r="K48" s="49">
        <f>AVERAGE('22.07 BUSEGA-KYENGERA'!K48,'23.07 BUSEGA-KYENGERA'!K48,'24.07 BUSEGA-KYENGERA'!K48,'25.07 BUSEGA-KYENGERA'!K48,'26.07 BUSEGA-KYENGERA-24h'!K48,'27.07 BUSEGA-KYENGERA-24h'!K48,'28.07 BUSEGA-KYENGERA'!K48)</f>
        <v>2.7142857142857144</v>
      </c>
      <c r="L48" s="49">
        <f>AVERAGE('22.07 BUSEGA-KYENGERA'!L48,'23.07 BUSEGA-KYENGERA'!L48,'24.07 BUSEGA-KYENGERA'!L48,'25.07 BUSEGA-KYENGERA'!L48,'26.07 BUSEGA-KYENGERA-24h'!L48,'27.07 BUSEGA-KYENGERA-24h'!L48,'28.07 BUSEGA-KYENGERA'!L48)</f>
        <v>5.2857142857142856</v>
      </c>
      <c r="M48" s="49">
        <f>AVERAGE('22.07 BUSEGA-KYENGERA'!M48,'23.07 BUSEGA-KYENGERA'!M48,'24.07 BUSEGA-KYENGERA'!M48,'25.07 BUSEGA-KYENGERA'!M48,'26.07 BUSEGA-KYENGERA-24h'!M48,'27.07 BUSEGA-KYENGERA-24h'!M48,'28.07 BUSEGA-KYENGERA'!M48)</f>
        <v>169.71428571428572</v>
      </c>
      <c r="N48" s="49">
        <f>AVERAGE('22.07 BUSEGA-KYENGERA'!N48,'23.07 BUSEGA-KYENGERA'!N48,'24.07 BUSEGA-KYENGERA'!N48,'25.07 BUSEGA-KYENGERA'!N48,'26.07 BUSEGA-KYENGERA-24h'!N48,'27.07 BUSEGA-KYENGERA-24h'!N48,'28.07 BUSEGA-KYENGERA'!N48)</f>
        <v>0</v>
      </c>
      <c r="O48" s="15">
        <f t="shared" si="0"/>
        <v>154.42857142857142</v>
      </c>
      <c r="P48" s="15">
        <f t="shared" si="1"/>
        <v>324.14285714285711</v>
      </c>
      <c r="R48" s="8"/>
      <c r="T48"/>
    </row>
    <row r="49" spans="2:20" ht="23.1" customHeight="1" x14ac:dyDescent="0.25">
      <c r="B49" s="23" t="s">
        <v>76</v>
      </c>
      <c r="C49" s="49">
        <f>AVERAGE('22.07 BUSEGA-KYENGERA'!C49,'23.07 BUSEGA-KYENGERA'!C49,'24.07 BUSEGA-KYENGERA'!C49,'25.07 BUSEGA-KYENGERA'!C49,'26.07 BUSEGA-KYENGERA-24h'!C49,'27.07 BUSEGA-KYENGERA-24h'!C49,'28.07 BUSEGA-KYENGERA'!C49)</f>
        <v>65.571428571428569</v>
      </c>
      <c r="D49" s="49">
        <f>AVERAGE('22.07 BUSEGA-KYENGERA'!D49,'23.07 BUSEGA-KYENGERA'!D49,'24.07 BUSEGA-KYENGERA'!D49,'25.07 BUSEGA-KYENGERA'!D49,'26.07 BUSEGA-KYENGERA-24h'!D49,'27.07 BUSEGA-KYENGERA-24h'!D49,'28.07 BUSEGA-KYENGERA'!D49)</f>
        <v>7.2857142857142856</v>
      </c>
      <c r="E49" s="49">
        <f>AVERAGE('22.07 BUSEGA-KYENGERA'!E49,'23.07 BUSEGA-KYENGERA'!E49,'24.07 BUSEGA-KYENGERA'!E49,'25.07 BUSEGA-KYENGERA'!E49,'26.07 BUSEGA-KYENGERA-24h'!E49,'27.07 BUSEGA-KYENGERA-24h'!E49,'28.07 BUSEGA-KYENGERA'!E49)</f>
        <v>4.7142857142857144</v>
      </c>
      <c r="F49" s="49">
        <f>AVERAGE('22.07 BUSEGA-KYENGERA'!F49,'23.07 BUSEGA-KYENGERA'!F49,'24.07 BUSEGA-KYENGERA'!F49,'25.07 BUSEGA-KYENGERA'!F49,'26.07 BUSEGA-KYENGERA-24h'!F49,'27.07 BUSEGA-KYENGERA-24h'!F49,'28.07 BUSEGA-KYENGERA'!F49)</f>
        <v>47.571428571428569</v>
      </c>
      <c r="G49" s="49">
        <f>AVERAGE('22.07 BUSEGA-KYENGERA'!G49,'23.07 BUSEGA-KYENGERA'!G49,'24.07 BUSEGA-KYENGERA'!G49,'25.07 BUSEGA-KYENGERA'!G49,'26.07 BUSEGA-KYENGERA-24h'!G49,'27.07 BUSEGA-KYENGERA-24h'!G49,'28.07 BUSEGA-KYENGERA'!G49)</f>
        <v>1.4285714285714286</v>
      </c>
      <c r="H49" s="49">
        <f>AVERAGE('22.07 BUSEGA-KYENGERA'!H49,'23.07 BUSEGA-KYENGERA'!H49,'24.07 BUSEGA-KYENGERA'!H49,'25.07 BUSEGA-KYENGERA'!H49,'26.07 BUSEGA-KYENGERA-24h'!H49,'27.07 BUSEGA-KYENGERA-24h'!H49,'28.07 BUSEGA-KYENGERA'!H49)</f>
        <v>1</v>
      </c>
      <c r="I49" s="49">
        <f>AVERAGE('22.07 BUSEGA-KYENGERA'!I49,'23.07 BUSEGA-KYENGERA'!I49,'24.07 BUSEGA-KYENGERA'!I49,'25.07 BUSEGA-KYENGERA'!I49,'26.07 BUSEGA-KYENGERA-24h'!I49,'27.07 BUSEGA-KYENGERA-24h'!I49,'28.07 BUSEGA-KYENGERA'!I49)</f>
        <v>15.714285714285714</v>
      </c>
      <c r="J49" s="49">
        <f>AVERAGE('22.07 BUSEGA-KYENGERA'!J49,'23.07 BUSEGA-KYENGERA'!J49,'24.07 BUSEGA-KYENGERA'!J49,'25.07 BUSEGA-KYENGERA'!J49,'26.07 BUSEGA-KYENGERA-24h'!J49,'27.07 BUSEGA-KYENGERA-24h'!J49,'28.07 BUSEGA-KYENGERA'!J49)</f>
        <v>13.428571428571429</v>
      </c>
      <c r="K49" s="49">
        <f>AVERAGE('22.07 BUSEGA-KYENGERA'!K49,'23.07 BUSEGA-KYENGERA'!K49,'24.07 BUSEGA-KYENGERA'!K49,'25.07 BUSEGA-KYENGERA'!K49,'26.07 BUSEGA-KYENGERA-24h'!K49,'27.07 BUSEGA-KYENGERA-24h'!K49,'28.07 BUSEGA-KYENGERA'!K49)</f>
        <v>2.1428571428571428</v>
      </c>
      <c r="L49" s="49">
        <f>AVERAGE('22.07 BUSEGA-KYENGERA'!L49,'23.07 BUSEGA-KYENGERA'!L49,'24.07 BUSEGA-KYENGERA'!L49,'25.07 BUSEGA-KYENGERA'!L49,'26.07 BUSEGA-KYENGERA-24h'!L49,'27.07 BUSEGA-KYENGERA-24h'!L49,'28.07 BUSEGA-KYENGERA'!L49)</f>
        <v>4.8571428571428568</v>
      </c>
      <c r="M49" s="49">
        <f>AVERAGE('22.07 BUSEGA-KYENGERA'!M49,'23.07 BUSEGA-KYENGERA'!M49,'24.07 BUSEGA-KYENGERA'!M49,'25.07 BUSEGA-KYENGERA'!M49,'26.07 BUSEGA-KYENGERA-24h'!M49,'27.07 BUSEGA-KYENGERA-24h'!M49,'28.07 BUSEGA-KYENGERA'!M49)</f>
        <v>186.28571428571428</v>
      </c>
      <c r="N49" s="49">
        <f>AVERAGE('22.07 BUSEGA-KYENGERA'!N49,'23.07 BUSEGA-KYENGERA'!N49,'24.07 BUSEGA-KYENGERA'!N49,'25.07 BUSEGA-KYENGERA'!N49,'26.07 BUSEGA-KYENGERA-24h'!N49,'27.07 BUSEGA-KYENGERA-24h'!N49,'28.07 BUSEGA-KYENGERA'!N49)</f>
        <v>0</v>
      </c>
      <c r="O49" s="15">
        <f t="shared" si="0"/>
        <v>163.71428571428569</v>
      </c>
      <c r="P49" s="15">
        <f t="shared" si="1"/>
        <v>350</v>
      </c>
      <c r="R49" s="8"/>
      <c r="T49"/>
    </row>
    <row r="50" spans="2:20" ht="23.1" customHeight="1" x14ac:dyDescent="0.25">
      <c r="B50" s="24" t="s">
        <v>77</v>
      </c>
      <c r="C50" s="49">
        <f>AVERAGE('22.07 BUSEGA-KYENGERA'!C50,'23.07 BUSEGA-KYENGERA'!C50,'24.07 BUSEGA-KYENGERA'!C50,'25.07 BUSEGA-KYENGERA'!C50,'26.07 BUSEGA-KYENGERA-24h'!C50,'27.07 BUSEGA-KYENGERA-24h'!C50,'28.07 BUSEGA-KYENGERA'!C50)</f>
        <v>72</v>
      </c>
      <c r="D50" s="49">
        <f>AVERAGE('22.07 BUSEGA-KYENGERA'!D50,'23.07 BUSEGA-KYENGERA'!D50,'24.07 BUSEGA-KYENGERA'!D50,'25.07 BUSEGA-KYENGERA'!D50,'26.07 BUSEGA-KYENGERA-24h'!D50,'27.07 BUSEGA-KYENGERA-24h'!D50,'28.07 BUSEGA-KYENGERA'!D50)</f>
        <v>10.714285714285714</v>
      </c>
      <c r="E50" s="49">
        <f>AVERAGE('22.07 BUSEGA-KYENGERA'!E50,'23.07 BUSEGA-KYENGERA'!E50,'24.07 BUSEGA-KYENGERA'!E50,'25.07 BUSEGA-KYENGERA'!E50,'26.07 BUSEGA-KYENGERA-24h'!E50,'27.07 BUSEGA-KYENGERA-24h'!E50,'28.07 BUSEGA-KYENGERA'!E50)</f>
        <v>6.5714285714285712</v>
      </c>
      <c r="F50" s="49">
        <f>AVERAGE('22.07 BUSEGA-KYENGERA'!F50,'23.07 BUSEGA-KYENGERA'!F50,'24.07 BUSEGA-KYENGERA'!F50,'25.07 BUSEGA-KYENGERA'!F50,'26.07 BUSEGA-KYENGERA-24h'!F50,'27.07 BUSEGA-KYENGERA-24h'!F50,'28.07 BUSEGA-KYENGERA'!F50)</f>
        <v>47.571428571428569</v>
      </c>
      <c r="G50" s="49">
        <f>AVERAGE('22.07 BUSEGA-KYENGERA'!G50,'23.07 BUSEGA-KYENGERA'!G50,'24.07 BUSEGA-KYENGERA'!G50,'25.07 BUSEGA-KYENGERA'!G50,'26.07 BUSEGA-KYENGERA-24h'!G50,'27.07 BUSEGA-KYENGERA-24h'!G50,'28.07 BUSEGA-KYENGERA'!G50)</f>
        <v>3.5714285714285716</v>
      </c>
      <c r="H50" s="49">
        <f>AVERAGE('22.07 BUSEGA-KYENGERA'!H50,'23.07 BUSEGA-KYENGERA'!H50,'24.07 BUSEGA-KYENGERA'!H50,'25.07 BUSEGA-KYENGERA'!H50,'26.07 BUSEGA-KYENGERA-24h'!H50,'27.07 BUSEGA-KYENGERA-24h'!H50,'28.07 BUSEGA-KYENGERA'!H50)</f>
        <v>1</v>
      </c>
      <c r="I50" s="49">
        <f>AVERAGE('22.07 BUSEGA-KYENGERA'!I50,'23.07 BUSEGA-KYENGERA'!I50,'24.07 BUSEGA-KYENGERA'!I50,'25.07 BUSEGA-KYENGERA'!I50,'26.07 BUSEGA-KYENGERA-24h'!I50,'27.07 BUSEGA-KYENGERA-24h'!I50,'28.07 BUSEGA-KYENGERA'!I50)</f>
        <v>20.142857142857142</v>
      </c>
      <c r="J50" s="49">
        <f>AVERAGE('22.07 BUSEGA-KYENGERA'!J50,'23.07 BUSEGA-KYENGERA'!J50,'24.07 BUSEGA-KYENGERA'!J50,'25.07 BUSEGA-KYENGERA'!J50,'26.07 BUSEGA-KYENGERA-24h'!J50,'27.07 BUSEGA-KYENGERA-24h'!J50,'28.07 BUSEGA-KYENGERA'!J50)</f>
        <v>12.428571428571429</v>
      </c>
      <c r="K50" s="49">
        <f>AVERAGE('22.07 BUSEGA-KYENGERA'!K50,'23.07 BUSEGA-KYENGERA'!K50,'24.07 BUSEGA-KYENGERA'!K50,'25.07 BUSEGA-KYENGERA'!K50,'26.07 BUSEGA-KYENGERA-24h'!K50,'27.07 BUSEGA-KYENGERA-24h'!K50,'28.07 BUSEGA-KYENGERA'!K50)</f>
        <v>1.4285714285714286</v>
      </c>
      <c r="L50" s="49">
        <f>AVERAGE('22.07 BUSEGA-KYENGERA'!L50,'23.07 BUSEGA-KYENGERA'!L50,'24.07 BUSEGA-KYENGERA'!L50,'25.07 BUSEGA-KYENGERA'!L50,'26.07 BUSEGA-KYENGERA-24h'!L50,'27.07 BUSEGA-KYENGERA-24h'!L50,'28.07 BUSEGA-KYENGERA'!L50)</f>
        <v>5</v>
      </c>
      <c r="M50" s="49">
        <f>AVERAGE('22.07 BUSEGA-KYENGERA'!M50,'23.07 BUSEGA-KYENGERA'!M50,'24.07 BUSEGA-KYENGERA'!M50,'25.07 BUSEGA-KYENGERA'!M50,'26.07 BUSEGA-KYENGERA-24h'!M50,'27.07 BUSEGA-KYENGERA-24h'!M50,'28.07 BUSEGA-KYENGERA'!M50)</f>
        <v>226.28571428571428</v>
      </c>
      <c r="N50" s="49">
        <f>AVERAGE('22.07 BUSEGA-KYENGERA'!N50,'23.07 BUSEGA-KYENGERA'!N50,'24.07 BUSEGA-KYENGERA'!N50,'25.07 BUSEGA-KYENGERA'!N50,'26.07 BUSEGA-KYENGERA-24h'!N50,'27.07 BUSEGA-KYENGERA-24h'!N50,'28.07 BUSEGA-KYENGERA'!N50)</f>
        <v>0</v>
      </c>
      <c r="O50" s="15">
        <f t="shared" si="0"/>
        <v>180.42857142857139</v>
      </c>
      <c r="P50" s="15">
        <f t="shared" si="1"/>
        <v>406.71428571428567</v>
      </c>
      <c r="R50" s="8"/>
      <c r="T50"/>
    </row>
    <row r="51" spans="2:20" ht="23.1" customHeight="1" x14ac:dyDescent="0.25">
      <c r="B51" s="24" t="s">
        <v>78</v>
      </c>
      <c r="C51" s="49">
        <f>AVERAGE('22.07 BUSEGA-KYENGERA'!C51,'23.07 BUSEGA-KYENGERA'!C51,'24.07 BUSEGA-KYENGERA'!C51,'25.07 BUSEGA-KYENGERA'!C51,'26.07 BUSEGA-KYENGERA-24h'!C51,'27.07 BUSEGA-KYENGERA-24h'!C51,'28.07 BUSEGA-KYENGERA'!C51)</f>
        <v>68.285714285714292</v>
      </c>
      <c r="D51" s="49">
        <f>AVERAGE('22.07 BUSEGA-KYENGERA'!D51,'23.07 BUSEGA-KYENGERA'!D51,'24.07 BUSEGA-KYENGERA'!D51,'25.07 BUSEGA-KYENGERA'!D51,'26.07 BUSEGA-KYENGERA-24h'!D51,'27.07 BUSEGA-KYENGERA-24h'!D51,'28.07 BUSEGA-KYENGERA'!D51)</f>
        <v>5.7142857142857144</v>
      </c>
      <c r="E51" s="49">
        <f>AVERAGE('22.07 BUSEGA-KYENGERA'!E51,'23.07 BUSEGA-KYENGERA'!E51,'24.07 BUSEGA-KYENGERA'!E51,'25.07 BUSEGA-KYENGERA'!E51,'26.07 BUSEGA-KYENGERA-24h'!E51,'27.07 BUSEGA-KYENGERA-24h'!E51,'28.07 BUSEGA-KYENGERA'!E51)</f>
        <v>5.4285714285714288</v>
      </c>
      <c r="F51" s="49">
        <f>AVERAGE('22.07 BUSEGA-KYENGERA'!F51,'23.07 BUSEGA-KYENGERA'!F51,'24.07 BUSEGA-KYENGERA'!F51,'25.07 BUSEGA-KYENGERA'!F51,'26.07 BUSEGA-KYENGERA-24h'!F51,'27.07 BUSEGA-KYENGERA-24h'!F51,'28.07 BUSEGA-KYENGERA'!F51)</f>
        <v>43.571428571428569</v>
      </c>
      <c r="G51" s="49">
        <f>AVERAGE('22.07 BUSEGA-KYENGERA'!G51,'23.07 BUSEGA-KYENGERA'!G51,'24.07 BUSEGA-KYENGERA'!G51,'25.07 BUSEGA-KYENGERA'!G51,'26.07 BUSEGA-KYENGERA-24h'!G51,'27.07 BUSEGA-KYENGERA-24h'!G51,'28.07 BUSEGA-KYENGERA'!G51)</f>
        <v>1</v>
      </c>
      <c r="H51" s="49">
        <f>AVERAGE('22.07 BUSEGA-KYENGERA'!H51,'23.07 BUSEGA-KYENGERA'!H51,'24.07 BUSEGA-KYENGERA'!H51,'25.07 BUSEGA-KYENGERA'!H51,'26.07 BUSEGA-KYENGERA-24h'!H51,'27.07 BUSEGA-KYENGERA-24h'!H51,'28.07 BUSEGA-KYENGERA'!H51)</f>
        <v>1.8571428571428572</v>
      </c>
      <c r="I51" s="49">
        <f>AVERAGE('22.07 BUSEGA-KYENGERA'!I51,'23.07 BUSEGA-KYENGERA'!I51,'24.07 BUSEGA-KYENGERA'!I51,'25.07 BUSEGA-KYENGERA'!I51,'26.07 BUSEGA-KYENGERA-24h'!I51,'27.07 BUSEGA-KYENGERA-24h'!I51,'28.07 BUSEGA-KYENGERA'!I51)</f>
        <v>11.714285714285714</v>
      </c>
      <c r="J51" s="49">
        <f>AVERAGE('22.07 BUSEGA-KYENGERA'!J51,'23.07 BUSEGA-KYENGERA'!J51,'24.07 BUSEGA-KYENGERA'!J51,'25.07 BUSEGA-KYENGERA'!J51,'26.07 BUSEGA-KYENGERA-24h'!J51,'27.07 BUSEGA-KYENGERA-24h'!J51,'28.07 BUSEGA-KYENGERA'!J51)</f>
        <v>9.4285714285714288</v>
      </c>
      <c r="K51" s="49">
        <f>AVERAGE('22.07 BUSEGA-KYENGERA'!K51,'23.07 BUSEGA-KYENGERA'!K51,'24.07 BUSEGA-KYENGERA'!K51,'25.07 BUSEGA-KYENGERA'!K51,'26.07 BUSEGA-KYENGERA-24h'!K51,'27.07 BUSEGA-KYENGERA-24h'!K51,'28.07 BUSEGA-KYENGERA'!K51)</f>
        <v>1.8571428571428572</v>
      </c>
      <c r="L51" s="49">
        <f>AVERAGE('22.07 BUSEGA-KYENGERA'!L51,'23.07 BUSEGA-KYENGERA'!L51,'24.07 BUSEGA-KYENGERA'!L51,'25.07 BUSEGA-KYENGERA'!L51,'26.07 BUSEGA-KYENGERA-24h'!L51,'27.07 BUSEGA-KYENGERA-24h'!L51,'28.07 BUSEGA-KYENGERA'!L51)</f>
        <v>2.2857142857142856</v>
      </c>
      <c r="M51" s="49">
        <f>AVERAGE('22.07 BUSEGA-KYENGERA'!M51,'23.07 BUSEGA-KYENGERA'!M51,'24.07 BUSEGA-KYENGERA'!M51,'25.07 BUSEGA-KYENGERA'!M51,'26.07 BUSEGA-KYENGERA-24h'!M51,'27.07 BUSEGA-KYENGERA-24h'!M51,'28.07 BUSEGA-KYENGERA'!M51)</f>
        <v>198</v>
      </c>
      <c r="N51" s="49">
        <f>AVERAGE('22.07 BUSEGA-KYENGERA'!N51,'23.07 BUSEGA-KYENGERA'!N51,'24.07 BUSEGA-KYENGERA'!N51,'25.07 BUSEGA-KYENGERA'!N51,'26.07 BUSEGA-KYENGERA-24h'!N51,'27.07 BUSEGA-KYENGERA-24h'!N51,'28.07 BUSEGA-KYENGERA'!N51)</f>
        <v>0</v>
      </c>
      <c r="O51" s="15">
        <f t="shared" si="0"/>
        <v>151.14285714285714</v>
      </c>
      <c r="P51" s="15">
        <f t="shared" si="1"/>
        <v>349.14285714285711</v>
      </c>
      <c r="R51" s="8"/>
      <c r="T51"/>
    </row>
    <row r="52" spans="2:20" ht="23.1" customHeight="1" x14ac:dyDescent="0.25">
      <c r="B52" s="24" t="s">
        <v>79</v>
      </c>
      <c r="C52" s="49">
        <f>AVERAGE('22.07 BUSEGA-KYENGERA'!C52,'23.07 BUSEGA-KYENGERA'!C52,'24.07 BUSEGA-KYENGERA'!C52,'25.07 BUSEGA-KYENGERA'!C52,'26.07 BUSEGA-KYENGERA-24h'!C52,'27.07 BUSEGA-KYENGERA-24h'!C52,'28.07 BUSEGA-KYENGERA'!C52)</f>
        <v>73</v>
      </c>
      <c r="D52" s="49">
        <f>AVERAGE('22.07 BUSEGA-KYENGERA'!D52,'23.07 BUSEGA-KYENGERA'!D52,'24.07 BUSEGA-KYENGERA'!D52,'25.07 BUSEGA-KYENGERA'!D52,'26.07 BUSEGA-KYENGERA-24h'!D52,'27.07 BUSEGA-KYENGERA-24h'!D52,'28.07 BUSEGA-KYENGERA'!D52)</f>
        <v>11.285714285714286</v>
      </c>
      <c r="E52" s="49">
        <f>AVERAGE('22.07 BUSEGA-KYENGERA'!E52,'23.07 BUSEGA-KYENGERA'!E52,'24.07 BUSEGA-KYENGERA'!E52,'25.07 BUSEGA-KYENGERA'!E52,'26.07 BUSEGA-KYENGERA-24h'!E52,'27.07 BUSEGA-KYENGERA-24h'!E52,'28.07 BUSEGA-KYENGERA'!E52)</f>
        <v>5.7142857142857144</v>
      </c>
      <c r="F52" s="49">
        <f>AVERAGE('22.07 BUSEGA-KYENGERA'!F52,'23.07 BUSEGA-KYENGERA'!F52,'24.07 BUSEGA-KYENGERA'!F52,'25.07 BUSEGA-KYENGERA'!F52,'26.07 BUSEGA-KYENGERA-24h'!F52,'27.07 BUSEGA-KYENGERA-24h'!F52,'28.07 BUSEGA-KYENGERA'!F52)</f>
        <v>43</v>
      </c>
      <c r="G52" s="49">
        <f>AVERAGE('22.07 BUSEGA-KYENGERA'!G52,'23.07 BUSEGA-KYENGERA'!G52,'24.07 BUSEGA-KYENGERA'!G52,'25.07 BUSEGA-KYENGERA'!G52,'26.07 BUSEGA-KYENGERA-24h'!G52,'27.07 BUSEGA-KYENGERA-24h'!G52,'28.07 BUSEGA-KYENGERA'!G52)</f>
        <v>2.1428571428571428</v>
      </c>
      <c r="H52" s="49">
        <f>AVERAGE('22.07 BUSEGA-KYENGERA'!H52,'23.07 BUSEGA-KYENGERA'!H52,'24.07 BUSEGA-KYENGERA'!H52,'25.07 BUSEGA-KYENGERA'!H52,'26.07 BUSEGA-KYENGERA-24h'!H52,'27.07 BUSEGA-KYENGERA-24h'!H52,'28.07 BUSEGA-KYENGERA'!H52)</f>
        <v>1.2857142857142858</v>
      </c>
      <c r="I52" s="49">
        <f>AVERAGE('22.07 BUSEGA-KYENGERA'!I52,'23.07 BUSEGA-KYENGERA'!I52,'24.07 BUSEGA-KYENGERA'!I52,'25.07 BUSEGA-KYENGERA'!I52,'26.07 BUSEGA-KYENGERA-24h'!I52,'27.07 BUSEGA-KYENGERA-24h'!I52,'28.07 BUSEGA-KYENGERA'!I52)</f>
        <v>11.142857142857142</v>
      </c>
      <c r="J52" s="49">
        <f>AVERAGE('22.07 BUSEGA-KYENGERA'!J52,'23.07 BUSEGA-KYENGERA'!J52,'24.07 BUSEGA-KYENGERA'!J52,'25.07 BUSEGA-KYENGERA'!J52,'26.07 BUSEGA-KYENGERA-24h'!J52,'27.07 BUSEGA-KYENGERA-24h'!J52,'28.07 BUSEGA-KYENGERA'!J52)</f>
        <v>11.428571428571429</v>
      </c>
      <c r="K52" s="49">
        <f>AVERAGE('22.07 BUSEGA-KYENGERA'!K52,'23.07 BUSEGA-KYENGERA'!K52,'24.07 BUSEGA-KYENGERA'!K52,'25.07 BUSEGA-KYENGERA'!K52,'26.07 BUSEGA-KYENGERA-24h'!K52,'27.07 BUSEGA-KYENGERA-24h'!K52,'28.07 BUSEGA-KYENGERA'!K52)</f>
        <v>2.1428571428571428</v>
      </c>
      <c r="L52" s="49">
        <f>AVERAGE('22.07 BUSEGA-KYENGERA'!L52,'23.07 BUSEGA-KYENGERA'!L52,'24.07 BUSEGA-KYENGERA'!L52,'25.07 BUSEGA-KYENGERA'!L52,'26.07 BUSEGA-KYENGERA-24h'!L52,'27.07 BUSEGA-KYENGERA-24h'!L52,'28.07 BUSEGA-KYENGERA'!L52)</f>
        <v>5.1428571428571432</v>
      </c>
      <c r="M52" s="49">
        <f>AVERAGE('22.07 BUSEGA-KYENGERA'!M52,'23.07 BUSEGA-KYENGERA'!M52,'24.07 BUSEGA-KYENGERA'!M52,'25.07 BUSEGA-KYENGERA'!M52,'26.07 BUSEGA-KYENGERA-24h'!M52,'27.07 BUSEGA-KYENGERA-24h'!M52,'28.07 BUSEGA-KYENGERA'!M52)</f>
        <v>219.14285714285714</v>
      </c>
      <c r="N52" s="49">
        <f>AVERAGE('22.07 BUSEGA-KYENGERA'!N52,'23.07 BUSEGA-KYENGERA'!N52,'24.07 BUSEGA-KYENGERA'!N52,'25.07 BUSEGA-KYENGERA'!N52,'26.07 BUSEGA-KYENGERA-24h'!N52,'27.07 BUSEGA-KYENGERA-24h'!N52,'28.07 BUSEGA-KYENGERA'!N52)</f>
        <v>0</v>
      </c>
      <c r="O52" s="15">
        <f t="shared" si="0"/>
        <v>166.28571428571425</v>
      </c>
      <c r="P52" s="15">
        <f t="shared" si="1"/>
        <v>385.42857142857139</v>
      </c>
      <c r="R52" s="8"/>
      <c r="T52"/>
    </row>
    <row r="53" spans="2:20" ht="23.1" customHeight="1" x14ac:dyDescent="0.25">
      <c r="B53" s="23" t="s">
        <v>80</v>
      </c>
      <c r="C53" s="49">
        <f>AVERAGE('22.07 BUSEGA-KYENGERA'!C53,'23.07 BUSEGA-KYENGERA'!C53,'24.07 BUSEGA-KYENGERA'!C53,'25.07 BUSEGA-KYENGERA'!C53,'26.07 BUSEGA-KYENGERA-24h'!C53,'27.07 BUSEGA-KYENGERA-24h'!C53,'28.07 BUSEGA-KYENGERA'!C53)</f>
        <v>69.714285714285708</v>
      </c>
      <c r="D53" s="49">
        <f>AVERAGE('22.07 BUSEGA-KYENGERA'!D53,'23.07 BUSEGA-KYENGERA'!D53,'24.07 BUSEGA-KYENGERA'!D53,'25.07 BUSEGA-KYENGERA'!D53,'26.07 BUSEGA-KYENGERA-24h'!D53,'27.07 BUSEGA-KYENGERA-24h'!D53,'28.07 BUSEGA-KYENGERA'!D53)</f>
        <v>5.7142857142857144</v>
      </c>
      <c r="E53" s="49">
        <f>AVERAGE('22.07 BUSEGA-KYENGERA'!E53,'23.07 BUSEGA-KYENGERA'!E53,'24.07 BUSEGA-KYENGERA'!E53,'25.07 BUSEGA-KYENGERA'!E53,'26.07 BUSEGA-KYENGERA-24h'!E53,'27.07 BUSEGA-KYENGERA-24h'!E53,'28.07 BUSEGA-KYENGERA'!E53)</f>
        <v>3.7142857142857144</v>
      </c>
      <c r="F53" s="49">
        <f>AVERAGE('22.07 BUSEGA-KYENGERA'!F53,'23.07 BUSEGA-KYENGERA'!F53,'24.07 BUSEGA-KYENGERA'!F53,'25.07 BUSEGA-KYENGERA'!F53,'26.07 BUSEGA-KYENGERA-24h'!F53,'27.07 BUSEGA-KYENGERA-24h'!F53,'28.07 BUSEGA-KYENGERA'!F53)</f>
        <v>52.571428571428569</v>
      </c>
      <c r="G53" s="49">
        <f>AVERAGE('22.07 BUSEGA-KYENGERA'!G53,'23.07 BUSEGA-KYENGERA'!G53,'24.07 BUSEGA-KYENGERA'!G53,'25.07 BUSEGA-KYENGERA'!G53,'26.07 BUSEGA-KYENGERA-24h'!G53,'27.07 BUSEGA-KYENGERA-24h'!G53,'28.07 BUSEGA-KYENGERA'!G53)</f>
        <v>2.2857142857142856</v>
      </c>
      <c r="H53" s="49">
        <f>AVERAGE('22.07 BUSEGA-KYENGERA'!H53,'23.07 BUSEGA-KYENGERA'!H53,'24.07 BUSEGA-KYENGERA'!H53,'25.07 BUSEGA-KYENGERA'!H53,'26.07 BUSEGA-KYENGERA-24h'!H53,'27.07 BUSEGA-KYENGERA-24h'!H53,'28.07 BUSEGA-KYENGERA'!H53)</f>
        <v>1.7142857142857142</v>
      </c>
      <c r="I53" s="49">
        <f>AVERAGE('22.07 BUSEGA-KYENGERA'!I53,'23.07 BUSEGA-KYENGERA'!I53,'24.07 BUSEGA-KYENGERA'!I53,'25.07 BUSEGA-KYENGERA'!I53,'26.07 BUSEGA-KYENGERA-24h'!I53,'27.07 BUSEGA-KYENGERA-24h'!I53,'28.07 BUSEGA-KYENGERA'!I53)</f>
        <v>10.714285714285714</v>
      </c>
      <c r="J53" s="49">
        <f>AVERAGE('22.07 BUSEGA-KYENGERA'!J53,'23.07 BUSEGA-KYENGERA'!J53,'24.07 BUSEGA-KYENGERA'!J53,'25.07 BUSEGA-KYENGERA'!J53,'26.07 BUSEGA-KYENGERA-24h'!J53,'27.07 BUSEGA-KYENGERA-24h'!J53,'28.07 BUSEGA-KYENGERA'!J53)</f>
        <v>11</v>
      </c>
      <c r="K53" s="49">
        <f>AVERAGE('22.07 BUSEGA-KYENGERA'!K53,'23.07 BUSEGA-KYENGERA'!K53,'24.07 BUSEGA-KYENGERA'!K53,'25.07 BUSEGA-KYENGERA'!K53,'26.07 BUSEGA-KYENGERA-24h'!K53,'27.07 BUSEGA-KYENGERA-24h'!K53,'28.07 BUSEGA-KYENGERA'!K53)</f>
        <v>1.5714285714285714</v>
      </c>
      <c r="L53" s="49">
        <f>AVERAGE('22.07 BUSEGA-KYENGERA'!L53,'23.07 BUSEGA-KYENGERA'!L53,'24.07 BUSEGA-KYENGERA'!L53,'25.07 BUSEGA-KYENGERA'!L53,'26.07 BUSEGA-KYENGERA-24h'!L53,'27.07 BUSEGA-KYENGERA-24h'!L53,'28.07 BUSEGA-KYENGERA'!L53)</f>
        <v>7</v>
      </c>
      <c r="M53" s="49">
        <f>AVERAGE('22.07 BUSEGA-KYENGERA'!M53,'23.07 BUSEGA-KYENGERA'!M53,'24.07 BUSEGA-KYENGERA'!M53,'25.07 BUSEGA-KYENGERA'!M53,'26.07 BUSEGA-KYENGERA-24h'!M53,'27.07 BUSEGA-KYENGERA-24h'!M53,'28.07 BUSEGA-KYENGERA'!M53)</f>
        <v>212.85714285714286</v>
      </c>
      <c r="N53" s="49">
        <f>AVERAGE('22.07 BUSEGA-KYENGERA'!N53,'23.07 BUSEGA-KYENGERA'!N53,'24.07 BUSEGA-KYENGERA'!N53,'25.07 BUSEGA-KYENGERA'!N53,'26.07 BUSEGA-KYENGERA-24h'!N53,'27.07 BUSEGA-KYENGERA-24h'!N53,'28.07 BUSEGA-KYENGERA'!N53)</f>
        <v>0</v>
      </c>
      <c r="O53" s="15">
        <f t="shared" si="0"/>
        <v>166</v>
      </c>
      <c r="P53" s="15">
        <f t="shared" si="1"/>
        <v>378.85714285714289</v>
      </c>
      <c r="R53" s="8"/>
      <c r="T53"/>
    </row>
    <row r="54" spans="2:20" ht="23.1" customHeight="1" x14ac:dyDescent="0.25">
      <c r="B54" s="23" t="s">
        <v>81</v>
      </c>
      <c r="C54" s="49">
        <f>AVERAGE('22.07 BUSEGA-KYENGERA'!C54,'23.07 BUSEGA-KYENGERA'!C54,'24.07 BUSEGA-KYENGERA'!C54,'25.07 BUSEGA-KYENGERA'!C54,'26.07 BUSEGA-KYENGERA-24h'!C54,'27.07 BUSEGA-KYENGERA-24h'!C54,'28.07 BUSEGA-KYENGERA'!C54)</f>
        <v>71.285714285714292</v>
      </c>
      <c r="D54" s="49">
        <f>AVERAGE('22.07 BUSEGA-KYENGERA'!D54,'23.07 BUSEGA-KYENGERA'!D54,'24.07 BUSEGA-KYENGERA'!D54,'25.07 BUSEGA-KYENGERA'!D54,'26.07 BUSEGA-KYENGERA-24h'!D54,'27.07 BUSEGA-KYENGERA-24h'!D54,'28.07 BUSEGA-KYENGERA'!D54)</f>
        <v>8.1428571428571423</v>
      </c>
      <c r="E54" s="49">
        <f>AVERAGE('22.07 BUSEGA-KYENGERA'!E54,'23.07 BUSEGA-KYENGERA'!E54,'24.07 BUSEGA-KYENGERA'!E54,'25.07 BUSEGA-KYENGERA'!E54,'26.07 BUSEGA-KYENGERA-24h'!E54,'27.07 BUSEGA-KYENGERA-24h'!E54,'28.07 BUSEGA-KYENGERA'!E54)</f>
        <v>6.1428571428571432</v>
      </c>
      <c r="F54" s="49">
        <f>AVERAGE('22.07 BUSEGA-KYENGERA'!F54,'23.07 BUSEGA-KYENGERA'!F54,'24.07 BUSEGA-KYENGERA'!F54,'25.07 BUSEGA-KYENGERA'!F54,'26.07 BUSEGA-KYENGERA-24h'!F54,'27.07 BUSEGA-KYENGERA-24h'!F54,'28.07 BUSEGA-KYENGERA'!F54)</f>
        <v>55.428571428571431</v>
      </c>
      <c r="G54" s="49">
        <f>AVERAGE('22.07 BUSEGA-KYENGERA'!G54,'23.07 BUSEGA-KYENGERA'!G54,'24.07 BUSEGA-KYENGERA'!G54,'25.07 BUSEGA-KYENGERA'!G54,'26.07 BUSEGA-KYENGERA-24h'!G54,'27.07 BUSEGA-KYENGERA-24h'!G54,'28.07 BUSEGA-KYENGERA'!G54)</f>
        <v>2</v>
      </c>
      <c r="H54" s="49">
        <f>AVERAGE('22.07 BUSEGA-KYENGERA'!H54,'23.07 BUSEGA-KYENGERA'!H54,'24.07 BUSEGA-KYENGERA'!H54,'25.07 BUSEGA-KYENGERA'!H54,'26.07 BUSEGA-KYENGERA-24h'!H54,'27.07 BUSEGA-KYENGERA-24h'!H54,'28.07 BUSEGA-KYENGERA'!H54)</f>
        <v>1.2857142857142858</v>
      </c>
      <c r="I54" s="49">
        <f>AVERAGE('22.07 BUSEGA-KYENGERA'!I54,'23.07 BUSEGA-KYENGERA'!I54,'24.07 BUSEGA-KYENGERA'!I54,'25.07 BUSEGA-KYENGERA'!I54,'26.07 BUSEGA-KYENGERA-24h'!I54,'27.07 BUSEGA-KYENGERA-24h'!I54,'28.07 BUSEGA-KYENGERA'!I54)</f>
        <v>13.571428571428571</v>
      </c>
      <c r="J54" s="49">
        <f>AVERAGE('22.07 BUSEGA-KYENGERA'!J54,'23.07 BUSEGA-KYENGERA'!J54,'24.07 BUSEGA-KYENGERA'!J54,'25.07 BUSEGA-KYENGERA'!J54,'26.07 BUSEGA-KYENGERA-24h'!J54,'27.07 BUSEGA-KYENGERA-24h'!J54,'28.07 BUSEGA-KYENGERA'!J54)</f>
        <v>8.5714285714285712</v>
      </c>
      <c r="K54" s="49">
        <f>AVERAGE('22.07 BUSEGA-KYENGERA'!K54,'23.07 BUSEGA-KYENGERA'!K54,'24.07 BUSEGA-KYENGERA'!K54,'25.07 BUSEGA-KYENGERA'!K54,'26.07 BUSEGA-KYENGERA-24h'!K54,'27.07 BUSEGA-KYENGERA-24h'!K54,'28.07 BUSEGA-KYENGERA'!K54)</f>
        <v>1.8571428571428572</v>
      </c>
      <c r="L54" s="49">
        <f>AVERAGE('22.07 BUSEGA-KYENGERA'!L54,'23.07 BUSEGA-KYENGERA'!L54,'24.07 BUSEGA-KYENGERA'!L54,'25.07 BUSEGA-KYENGERA'!L54,'26.07 BUSEGA-KYENGERA-24h'!L54,'27.07 BUSEGA-KYENGERA-24h'!L54,'28.07 BUSEGA-KYENGERA'!L54)</f>
        <v>4.4285714285714288</v>
      </c>
      <c r="M54" s="49">
        <f>AVERAGE('22.07 BUSEGA-KYENGERA'!M54,'23.07 BUSEGA-KYENGERA'!M54,'24.07 BUSEGA-KYENGERA'!M54,'25.07 BUSEGA-KYENGERA'!M54,'26.07 BUSEGA-KYENGERA-24h'!M54,'27.07 BUSEGA-KYENGERA-24h'!M54,'28.07 BUSEGA-KYENGERA'!M54)</f>
        <v>258.28571428571428</v>
      </c>
      <c r="N54" s="49">
        <f>AVERAGE('22.07 BUSEGA-KYENGERA'!N54,'23.07 BUSEGA-KYENGERA'!N54,'24.07 BUSEGA-KYENGERA'!N54,'25.07 BUSEGA-KYENGERA'!N54,'26.07 BUSEGA-KYENGERA-24h'!N54,'27.07 BUSEGA-KYENGERA-24h'!N54,'28.07 BUSEGA-KYENGERA'!N54)</f>
        <v>0</v>
      </c>
      <c r="O54" s="15">
        <f t="shared" si="0"/>
        <v>172.71428571428572</v>
      </c>
      <c r="P54" s="15">
        <f t="shared" si="1"/>
        <v>431</v>
      </c>
      <c r="R54" s="8"/>
      <c r="T54"/>
    </row>
    <row r="55" spans="2:20" ht="23.1" customHeight="1" x14ac:dyDescent="0.25">
      <c r="B55" s="23" t="s">
        <v>82</v>
      </c>
      <c r="C55" s="49">
        <f>AVERAGE('22.07 BUSEGA-KYENGERA'!C55,'23.07 BUSEGA-KYENGERA'!C55,'24.07 BUSEGA-KYENGERA'!C55,'25.07 BUSEGA-KYENGERA'!C55,'26.07 BUSEGA-KYENGERA-24h'!C55,'27.07 BUSEGA-KYENGERA-24h'!C55,'28.07 BUSEGA-KYENGERA'!C55)</f>
        <v>69.571428571428569</v>
      </c>
      <c r="D55" s="49">
        <f>AVERAGE('22.07 BUSEGA-KYENGERA'!D55,'23.07 BUSEGA-KYENGERA'!D55,'24.07 BUSEGA-KYENGERA'!D55,'25.07 BUSEGA-KYENGERA'!D55,'26.07 BUSEGA-KYENGERA-24h'!D55,'27.07 BUSEGA-KYENGERA-24h'!D55,'28.07 BUSEGA-KYENGERA'!D55)</f>
        <v>12.142857142857142</v>
      </c>
      <c r="E55" s="49">
        <f>AVERAGE('22.07 BUSEGA-KYENGERA'!E55,'23.07 BUSEGA-KYENGERA'!E55,'24.07 BUSEGA-KYENGERA'!E55,'25.07 BUSEGA-KYENGERA'!E55,'26.07 BUSEGA-KYENGERA-24h'!E55,'27.07 BUSEGA-KYENGERA-24h'!E55,'28.07 BUSEGA-KYENGERA'!E55)</f>
        <v>4</v>
      </c>
      <c r="F55" s="49">
        <f>AVERAGE('22.07 BUSEGA-KYENGERA'!F55,'23.07 BUSEGA-KYENGERA'!F55,'24.07 BUSEGA-KYENGERA'!F55,'25.07 BUSEGA-KYENGERA'!F55,'26.07 BUSEGA-KYENGERA-24h'!F55,'27.07 BUSEGA-KYENGERA-24h'!F55,'28.07 BUSEGA-KYENGERA'!F55)</f>
        <v>48</v>
      </c>
      <c r="G55" s="49">
        <f>AVERAGE('22.07 BUSEGA-KYENGERA'!G55,'23.07 BUSEGA-KYENGERA'!G55,'24.07 BUSEGA-KYENGERA'!G55,'25.07 BUSEGA-KYENGERA'!G55,'26.07 BUSEGA-KYENGERA-24h'!G55,'27.07 BUSEGA-KYENGERA-24h'!G55,'28.07 BUSEGA-KYENGERA'!G55)</f>
        <v>1.7142857142857142</v>
      </c>
      <c r="H55" s="49">
        <f>AVERAGE('22.07 BUSEGA-KYENGERA'!H55,'23.07 BUSEGA-KYENGERA'!H55,'24.07 BUSEGA-KYENGERA'!H55,'25.07 BUSEGA-KYENGERA'!H55,'26.07 BUSEGA-KYENGERA-24h'!H55,'27.07 BUSEGA-KYENGERA-24h'!H55,'28.07 BUSEGA-KYENGERA'!H55)</f>
        <v>0.8571428571428571</v>
      </c>
      <c r="I55" s="49">
        <f>AVERAGE('22.07 BUSEGA-KYENGERA'!I55,'23.07 BUSEGA-KYENGERA'!I55,'24.07 BUSEGA-KYENGERA'!I55,'25.07 BUSEGA-KYENGERA'!I55,'26.07 BUSEGA-KYENGERA-24h'!I55,'27.07 BUSEGA-KYENGERA-24h'!I55,'28.07 BUSEGA-KYENGERA'!I55)</f>
        <v>11.142857142857142</v>
      </c>
      <c r="J55" s="49">
        <f>AVERAGE('22.07 BUSEGA-KYENGERA'!J55,'23.07 BUSEGA-KYENGERA'!J55,'24.07 BUSEGA-KYENGERA'!J55,'25.07 BUSEGA-KYENGERA'!J55,'26.07 BUSEGA-KYENGERA-24h'!J55,'27.07 BUSEGA-KYENGERA-24h'!J55,'28.07 BUSEGA-KYENGERA'!J55)</f>
        <v>9.7142857142857135</v>
      </c>
      <c r="K55" s="49">
        <f>AVERAGE('22.07 BUSEGA-KYENGERA'!K55,'23.07 BUSEGA-KYENGERA'!K55,'24.07 BUSEGA-KYENGERA'!K55,'25.07 BUSEGA-KYENGERA'!K55,'26.07 BUSEGA-KYENGERA-24h'!K55,'27.07 BUSEGA-KYENGERA-24h'!K55,'28.07 BUSEGA-KYENGERA'!K55)</f>
        <v>3.4285714285714284</v>
      </c>
      <c r="L55" s="49">
        <f>AVERAGE('22.07 BUSEGA-KYENGERA'!L55,'23.07 BUSEGA-KYENGERA'!L55,'24.07 BUSEGA-KYENGERA'!L55,'25.07 BUSEGA-KYENGERA'!L55,'26.07 BUSEGA-KYENGERA-24h'!L55,'27.07 BUSEGA-KYENGERA-24h'!L55,'28.07 BUSEGA-KYENGERA'!L55)</f>
        <v>3.1428571428571428</v>
      </c>
      <c r="M55" s="49">
        <f>AVERAGE('22.07 BUSEGA-KYENGERA'!M55,'23.07 BUSEGA-KYENGERA'!M55,'24.07 BUSEGA-KYENGERA'!M55,'25.07 BUSEGA-KYENGERA'!M55,'26.07 BUSEGA-KYENGERA-24h'!M55,'27.07 BUSEGA-KYENGERA-24h'!M55,'28.07 BUSEGA-KYENGERA'!M55)</f>
        <v>237.14285714285714</v>
      </c>
      <c r="N55" s="49">
        <f>AVERAGE('22.07 BUSEGA-KYENGERA'!N55,'23.07 BUSEGA-KYENGERA'!N55,'24.07 BUSEGA-KYENGERA'!N55,'25.07 BUSEGA-KYENGERA'!N55,'26.07 BUSEGA-KYENGERA-24h'!N55,'27.07 BUSEGA-KYENGERA-24h'!N55,'28.07 BUSEGA-KYENGERA'!N55)</f>
        <v>0</v>
      </c>
      <c r="O55" s="15">
        <f t="shared" si="0"/>
        <v>163.71428571428572</v>
      </c>
      <c r="P55" s="15">
        <f t="shared" si="1"/>
        <v>400.85714285714289</v>
      </c>
      <c r="R55" s="8"/>
      <c r="T55"/>
    </row>
    <row r="56" spans="2:20" ht="23.1" customHeight="1" x14ac:dyDescent="0.25">
      <c r="B56" s="23" t="s">
        <v>83</v>
      </c>
      <c r="C56" s="49">
        <f>AVERAGE('22.07 BUSEGA-KYENGERA'!C56,'23.07 BUSEGA-KYENGERA'!C56,'24.07 BUSEGA-KYENGERA'!C56,'25.07 BUSEGA-KYENGERA'!C56,'26.07 BUSEGA-KYENGERA-24h'!C56,'27.07 BUSEGA-KYENGERA-24h'!C56,'28.07 BUSEGA-KYENGERA'!C56)</f>
        <v>59.571428571428569</v>
      </c>
      <c r="D56" s="49">
        <f>AVERAGE('22.07 BUSEGA-KYENGERA'!D56,'23.07 BUSEGA-KYENGERA'!D56,'24.07 BUSEGA-KYENGERA'!D56,'25.07 BUSEGA-KYENGERA'!D56,'26.07 BUSEGA-KYENGERA-24h'!D56,'27.07 BUSEGA-KYENGERA-24h'!D56,'28.07 BUSEGA-KYENGERA'!D56)</f>
        <v>8.4285714285714288</v>
      </c>
      <c r="E56" s="49">
        <f>AVERAGE('22.07 BUSEGA-KYENGERA'!E56,'23.07 BUSEGA-KYENGERA'!E56,'24.07 BUSEGA-KYENGERA'!E56,'25.07 BUSEGA-KYENGERA'!E56,'26.07 BUSEGA-KYENGERA-24h'!E56,'27.07 BUSEGA-KYENGERA-24h'!E56,'28.07 BUSEGA-KYENGERA'!E56)</f>
        <v>3.8571428571428572</v>
      </c>
      <c r="F56" s="49">
        <f>AVERAGE('22.07 BUSEGA-KYENGERA'!F56,'23.07 BUSEGA-KYENGERA'!F56,'24.07 BUSEGA-KYENGERA'!F56,'25.07 BUSEGA-KYENGERA'!F56,'26.07 BUSEGA-KYENGERA-24h'!F56,'27.07 BUSEGA-KYENGERA-24h'!F56,'28.07 BUSEGA-KYENGERA'!F56)</f>
        <v>47.285714285714285</v>
      </c>
      <c r="G56" s="49">
        <f>AVERAGE('22.07 BUSEGA-KYENGERA'!G56,'23.07 BUSEGA-KYENGERA'!G56,'24.07 BUSEGA-KYENGERA'!G56,'25.07 BUSEGA-KYENGERA'!G56,'26.07 BUSEGA-KYENGERA-24h'!G56,'27.07 BUSEGA-KYENGERA-24h'!G56,'28.07 BUSEGA-KYENGERA'!G56)</f>
        <v>1.8571428571428572</v>
      </c>
      <c r="H56" s="49">
        <f>AVERAGE('22.07 BUSEGA-KYENGERA'!H56,'23.07 BUSEGA-KYENGERA'!H56,'24.07 BUSEGA-KYENGERA'!H56,'25.07 BUSEGA-KYENGERA'!H56,'26.07 BUSEGA-KYENGERA-24h'!H56,'27.07 BUSEGA-KYENGERA-24h'!H56,'28.07 BUSEGA-KYENGERA'!H56)</f>
        <v>1.4285714285714286</v>
      </c>
      <c r="I56" s="49">
        <f>AVERAGE('22.07 BUSEGA-KYENGERA'!I56,'23.07 BUSEGA-KYENGERA'!I56,'24.07 BUSEGA-KYENGERA'!I56,'25.07 BUSEGA-KYENGERA'!I56,'26.07 BUSEGA-KYENGERA-24h'!I56,'27.07 BUSEGA-KYENGERA-24h'!I56,'28.07 BUSEGA-KYENGERA'!I56)</f>
        <v>7.5714285714285712</v>
      </c>
      <c r="J56" s="49">
        <f>AVERAGE('22.07 BUSEGA-KYENGERA'!J56,'23.07 BUSEGA-KYENGERA'!J56,'24.07 BUSEGA-KYENGERA'!J56,'25.07 BUSEGA-KYENGERA'!J56,'26.07 BUSEGA-KYENGERA-24h'!J56,'27.07 BUSEGA-KYENGERA-24h'!J56,'28.07 BUSEGA-KYENGERA'!J56)</f>
        <v>6.4285714285714288</v>
      </c>
      <c r="K56" s="49">
        <f>AVERAGE('22.07 BUSEGA-KYENGERA'!K56,'23.07 BUSEGA-KYENGERA'!K56,'24.07 BUSEGA-KYENGERA'!K56,'25.07 BUSEGA-KYENGERA'!K56,'26.07 BUSEGA-KYENGERA-24h'!K56,'27.07 BUSEGA-KYENGERA-24h'!K56,'28.07 BUSEGA-KYENGERA'!K56)</f>
        <v>3.1428571428571428</v>
      </c>
      <c r="L56" s="49">
        <f>AVERAGE('22.07 BUSEGA-KYENGERA'!L56,'23.07 BUSEGA-KYENGERA'!L56,'24.07 BUSEGA-KYENGERA'!L56,'25.07 BUSEGA-KYENGERA'!L56,'26.07 BUSEGA-KYENGERA-24h'!L56,'27.07 BUSEGA-KYENGERA-24h'!L56,'28.07 BUSEGA-KYENGERA'!L56)</f>
        <v>5.1428571428571432</v>
      </c>
      <c r="M56" s="49">
        <f>AVERAGE('22.07 BUSEGA-KYENGERA'!M56,'23.07 BUSEGA-KYENGERA'!M56,'24.07 BUSEGA-KYENGERA'!M56,'25.07 BUSEGA-KYENGERA'!M56,'26.07 BUSEGA-KYENGERA-24h'!M56,'27.07 BUSEGA-KYENGERA-24h'!M56,'28.07 BUSEGA-KYENGERA'!M56)</f>
        <v>196.85714285714286</v>
      </c>
      <c r="N56" s="49">
        <f>AVERAGE('22.07 BUSEGA-KYENGERA'!N56,'23.07 BUSEGA-KYENGERA'!N56,'24.07 BUSEGA-KYENGERA'!N56,'25.07 BUSEGA-KYENGERA'!N56,'26.07 BUSEGA-KYENGERA-24h'!N56,'27.07 BUSEGA-KYENGERA-24h'!N56,'28.07 BUSEGA-KYENGERA'!N56)</f>
        <v>0</v>
      </c>
      <c r="O56" s="15">
        <f t="shared" si="0"/>
        <v>144.71428571428569</v>
      </c>
      <c r="P56" s="15">
        <f t="shared" si="1"/>
        <v>341.57142857142856</v>
      </c>
      <c r="R56" s="8"/>
      <c r="T56"/>
    </row>
    <row r="57" spans="2:20" ht="23.1" customHeight="1" x14ac:dyDescent="0.25">
      <c r="B57" s="23" t="s">
        <v>84</v>
      </c>
      <c r="C57" s="49">
        <f>AVERAGE('22.07 BUSEGA-KYENGERA'!C57,'23.07 BUSEGA-KYENGERA'!C57,'24.07 BUSEGA-KYENGERA'!C57,'25.07 BUSEGA-KYENGERA'!C57,'26.07 BUSEGA-KYENGERA-24h'!C57,'27.07 BUSEGA-KYENGERA-24h'!C57,'28.07 BUSEGA-KYENGERA'!C57)</f>
        <v>55.714285714285715</v>
      </c>
      <c r="D57" s="49">
        <f>AVERAGE('22.07 BUSEGA-KYENGERA'!D57,'23.07 BUSEGA-KYENGERA'!D57,'24.07 BUSEGA-KYENGERA'!D57,'25.07 BUSEGA-KYENGERA'!D57,'26.07 BUSEGA-KYENGERA-24h'!D57,'27.07 BUSEGA-KYENGERA-24h'!D57,'28.07 BUSEGA-KYENGERA'!D57)</f>
        <v>3.7142857142857144</v>
      </c>
      <c r="E57" s="49">
        <f>AVERAGE('22.07 BUSEGA-KYENGERA'!E57,'23.07 BUSEGA-KYENGERA'!E57,'24.07 BUSEGA-KYENGERA'!E57,'25.07 BUSEGA-KYENGERA'!E57,'26.07 BUSEGA-KYENGERA-24h'!E57,'27.07 BUSEGA-KYENGERA-24h'!E57,'28.07 BUSEGA-KYENGERA'!E57)</f>
        <v>4.4285714285714288</v>
      </c>
      <c r="F57" s="49">
        <f>AVERAGE('22.07 BUSEGA-KYENGERA'!F57,'23.07 BUSEGA-KYENGERA'!F57,'24.07 BUSEGA-KYENGERA'!F57,'25.07 BUSEGA-KYENGERA'!F57,'26.07 BUSEGA-KYENGERA-24h'!F57,'27.07 BUSEGA-KYENGERA-24h'!F57,'28.07 BUSEGA-KYENGERA'!F57)</f>
        <v>35</v>
      </c>
      <c r="G57" s="49">
        <f>AVERAGE('22.07 BUSEGA-KYENGERA'!G57,'23.07 BUSEGA-KYENGERA'!G57,'24.07 BUSEGA-KYENGERA'!G57,'25.07 BUSEGA-KYENGERA'!G57,'26.07 BUSEGA-KYENGERA-24h'!G57,'27.07 BUSEGA-KYENGERA-24h'!G57,'28.07 BUSEGA-KYENGERA'!G57)</f>
        <v>1.5714285714285714</v>
      </c>
      <c r="H57" s="49">
        <f>AVERAGE('22.07 BUSEGA-KYENGERA'!H57,'23.07 BUSEGA-KYENGERA'!H57,'24.07 BUSEGA-KYENGERA'!H57,'25.07 BUSEGA-KYENGERA'!H57,'26.07 BUSEGA-KYENGERA-24h'!H57,'27.07 BUSEGA-KYENGERA-24h'!H57,'28.07 BUSEGA-KYENGERA'!H57)</f>
        <v>0.5714285714285714</v>
      </c>
      <c r="I57" s="49">
        <f>AVERAGE('22.07 BUSEGA-KYENGERA'!I57,'23.07 BUSEGA-KYENGERA'!I57,'24.07 BUSEGA-KYENGERA'!I57,'25.07 BUSEGA-KYENGERA'!I57,'26.07 BUSEGA-KYENGERA-24h'!I57,'27.07 BUSEGA-KYENGERA-24h'!I57,'28.07 BUSEGA-KYENGERA'!I57)</f>
        <v>10</v>
      </c>
      <c r="J57" s="49">
        <f>AVERAGE('22.07 BUSEGA-KYENGERA'!J57,'23.07 BUSEGA-KYENGERA'!J57,'24.07 BUSEGA-KYENGERA'!J57,'25.07 BUSEGA-KYENGERA'!J57,'26.07 BUSEGA-KYENGERA-24h'!J57,'27.07 BUSEGA-KYENGERA-24h'!J57,'28.07 BUSEGA-KYENGERA'!J57)</f>
        <v>6.8571428571428568</v>
      </c>
      <c r="K57" s="49">
        <f>AVERAGE('22.07 BUSEGA-KYENGERA'!K57,'23.07 BUSEGA-KYENGERA'!K57,'24.07 BUSEGA-KYENGERA'!K57,'25.07 BUSEGA-KYENGERA'!K57,'26.07 BUSEGA-KYENGERA-24h'!K57,'27.07 BUSEGA-KYENGERA-24h'!K57,'28.07 BUSEGA-KYENGERA'!K57)</f>
        <v>2.1428571428571428</v>
      </c>
      <c r="L57" s="49">
        <f>AVERAGE('22.07 BUSEGA-KYENGERA'!L57,'23.07 BUSEGA-KYENGERA'!L57,'24.07 BUSEGA-KYENGERA'!L57,'25.07 BUSEGA-KYENGERA'!L57,'26.07 BUSEGA-KYENGERA-24h'!L57,'27.07 BUSEGA-KYENGERA-24h'!L57,'28.07 BUSEGA-KYENGERA'!L57)</f>
        <v>3.5714285714285716</v>
      </c>
      <c r="M57" s="49">
        <f>AVERAGE('22.07 BUSEGA-KYENGERA'!M57,'23.07 BUSEGA-KYENGERA'!M57,'24.07 BUSEGA-KYENGERA'!M57,'25.07 BUSEGA-KYENGERA'!M57,'26.07 BUSEGA-KYENGERA-24h'!M57,'27.07 BUSEGA-KYENGERA-24h'!M57,'28.07 BUSEGA-KYENGERA'!M57)</f>
        <v>215.71428571428572</v>
      </c>
      <c r="N57" s="49">
        <f>AVERAGE('22.07 BUSEGA-KYENGERA'!N57,'23.07 BUSEGA-KYENGERA'!N57,'24.07 BUSEGA-KYENGERA'!N57,'25.07 BUSEGA-KYENGERA'!N57,'26.07 BUSEGA-KYENGERA-24h'!N57,'27.07 BUSEGA-KYENGERA-24h'!N57,'28.07 BUSEGA-KYENGERA'!N57)</f>
        <v>0</v>
      </c>
      <c r="O57" s="15">
        <f t="shared" si="0"/>
        <v>123.57142857142857</v>
      </c>
      <c r="P57" s="15">
        <f t="shared" si="1"/>
        <v>339.28571428571428</v>
      </c>
      <c r="R57" s="8"/>
      <c r="T57"/>
    </row>
    <row r="58" spans="2:20" ht="23.1" customHeight="1" x14ac:dyDescent="0.25">
      <c r="B58" s="23" t="s">
        <v>99</v>
      </c>
      <c r="C58" s="49">
        <f>AVERAGE('26.07 BUSEGA-KYENGERA-24h'!C58,'27.07 BUSEGA-KYENGERA-24h'!C58)</f>
        <v>90</v>
      </c>
      <c r="D58" s="49">
        <f>AVERAGE('26.07 BUSEGA-KYENGERA-24h'!D58,'27.07 BUSEGA-KYENGERA-24h'!D58)</f>
        <v>8.5</v>
      </c>
      <c r="E58" s="49">
        <f>AVERAGE('26.07 BUSEGA-KYENGERA-24h'!E58,'27.07 BUSEGA-KYENGERA-24h'!E58)</f>
        <v>3.5</v>
      </c>
      <c r="F58" s="49">
        <f>AVERAGE('26.07 BUSEGA-KYENGERA-24h'!F58,'27.07 BUSEGA-KYENGERA-24h'!F58)</f>
        <v>53</v>
      </c>
      <c r="G58" s="49">
        <f>AVERAGE('26.07 BUSEGA-KYENGERA-24h'!G58,'27.07 BUSEGA-KYENGERA-24h'!G58)</f>
        <v>3.5</v>
      </c>
      <c r="H58" s="49">
        <f>AVERAGE('26.07 BUSEGA-KYENGERA-24h'!H58,'27.07 BUSEGA-KYENGERA-24h'!H58)</f>
        <v>2</v>
      </c>
      <c r="I58" s="49">
        <f>AVERAGE('26.07 BUSEGA-KYENGERA-24h'!I58,'27.07 BUSEGA-KYENGERA-24h'!I58)</f>
        <v>20</v>
      </c>
      <c r="J58" s="49">
        <f>AVERAGE('26.07 BUSEGA-KYENGERA-24h'!J58,'27.07 BUSEGA-KYENGERA-24h'!J58)</f>
        <v>7</v>
      </c>
      <c r="K58" s="49">
        <f>AVERAGE('26.07 BUSEGA-KYENGERA-24h'!K58,'27.07 BUSEGA-KYENGERA-24h'!K58)</f>
        <v>3.5</v>
      </c>
      <c r="L58" s="49">
        <f>AVERAGE('26.07 BUSEGA-KYENGERA-24h'!L58,'27.07 BUSEGA-KYENGERA-24h'!L58)</f>
        <v>5</v>
      </c>
      <c r="M58" s="49">
        <f>AVERAGE('26.07 BUSEGA-KYENGERA-24h'!M58,'27.07 BUSEGA-KYENGERA-24h'!M58)</f>
        <v>410</v>
      </c>
      <c r="N58" s="49">
        <f>AVERAGE('26.07 BUSEGA-KYENGERA-24h'!N58,'27.07 BUSEGA-KYENGERA-24h'!N58)</f>
        <v>0</v>
      </c>
      <c r="O58" s="15">
        <f t="shared" si="0"/>
        <v>196</v>
      </c>
      <c r="P58" s="15">
        <f t="shared" si="1"/>
        <v>606</v>
      </c>
      <c r="R58" s="8"/>
      <c r="T58"/>
    </row>
    <row r="59" spans="2:20" ht="23.1" customHeight="1" x14ac:dyDescent="0.25">
      <c r="B59" s="23" t="s">
        <v>100</v>
      </c>
      <c r="C59" s="49">
        <f>AVERAGE('26.07 BUSEGA-KYENGERA-24h'!C59,'27.07 BUSEGA-KYENGERA-24h'!C59)</f>
        <v>71</v>
      </c>
      <c r="D59" s="49">
        <f>AVERAGE('26.07 BUSEGA-KYENGERA-24h'!D59,'27.07 BUSEGA-KYENGERA-24h'!D59)</f>
        <v>8</v>
      </c>
      <c r="E59" s="49">
        <f>AVERAGE('26.07 BUSEGA-KYENGERA-24h'!E59,'27.07 BUSEGA-KYENGERA-24h'!E59)</f>
        <v>4.5</v>
      </c>
      <c r="F59" s="49">
        <f>AVERAGE('26.07 BUSEGA-KYENGERA-24h'!F59,'27.07 BUSEGA-KYENGERA-24h'!F59)</f>
        <v>36</v>
      </c>
      <c r="G59" s="49">
        <f>AVERAGE('26.07 BUSEGA-KYENGERA-24h'!G59,'27.07 BUSEGA-KYENGERA-24h'!G59)</f>
        <v>1</v>
      </c>
      <c r="H59" s="49">
        <f>AVERAGE('26.07 BUSEGA-KYENGERA-24h'!H59,'27.07 BUSEGA-KYENGERA-24h'!H59)</f>
        <v>2</v>
      </c>
      <c r="I59" s="49">
        <f>AVERAGE('26.07 BUSEGA-KYENGERA-24h'!I59,'27.07 BUSEGA-KYENGERA-24h'!I59)</f>
        <v>8.5</v>
      </c>
      <c r="J59" s="49">
        <f>AVERAGE('26.07 BUSEGA-KYENGERA-24h'!J59,'27.07 BUSEGA-KYENGERA-24h'!J59)</f>
        <v>12</v>
      </c>
      <c r="K59" s="49">
        <f>AVERAGE('26.07 BUSEGA-KYENGERA-24h'!K59,'27.07 BUSEGA-KYENGERA-24h'!K59)</f>
        <v>0.5</v>
      </c>
      <c r="L59" s="49">
        <f>AVERAGE('26.07 BUSEGA-KYENGERA-24h'!L59,'27.07 BUSEGA-KYENGERA-24h'!L59)</f>
        <v>1</v>
      </c>
      <c r="M59" s="49">
        <f>AVERAGE('26.07 BUSEGA-KYENGERA-24h'!M59,'27.07 BUSEGA-KYENGERA-24h'!M59)</f>
        <v>208.5</v>
      </c>
      <c r="N59" s="49">
        <f>AVERAGE('26.07 BUSEGA-KYENGERA-24h'!N59,'27.07 BUSEGA-KYENGERA-24h'!N59)</f>
        <v>0</v>
      </c>
      <c r="O59" s="15">
        <f t="shared" si="0"/>
        <v>144.5</v>
      </c>
      <c r="P59" s="15">
        <f t="shared" si="1"/>
        <v>353</v>
      </c>
      <c r="R59" s="8"/>
      <c r="T59"/>
    </row>
    <row r="60" spans="2:20" ht="23.1" customHeight="1" x14ac:dyDescent="0.25">
      <c r="B60" s="23" t="s">
        <v>101</v>
      </c>
      <c r="C60" s="49">
        <f>AVERAGE('26.07 BUSEGA-KYENGERA-24h'!C60,'27.07 BUSEGA-KYENGERA-24h'!C60)</f>
        <v>80</v>
      </c>
      <c r="D60" s="49">
        <f>AVERAGE('26.07 BUSEGA-KYENGERA-24h'!D60,'27.07 BUSEGA-KYENGERA-24h'!D60)</f>
        <v>7.5</v>
      </c>
      <c r="E60" s="49">
        <f>AVERAGE('26.07 BUSEGA-KYENGERA-24h'!E60,'27.07 BUSEGA-KYENGERA-24h'!E60)</f>
        <v>6.5</v>
      </c>
      <c r="F60" s="49">
        <f>AVERAGE('26.07 BUSEGA-KYENGERA-24h'!F60,'27.07 BUSEGA-KYENGERA-24h'!F60)</f>
        <v>41.5</v>
      </c>
      <c r="G60" s="49">
        <f>AVERAGE('26.07 BUSEGA-KYENGERA-24h'!G60,'27.07 BUSEGA-KYENGERA-24h'!G60)</f>
        <v>1.5</v>
      </c>
      <c r="H60" s="49">
        <f>AVERAGE('26.07 BUSEGA-KYENGERA-24h'!H60,'27.07 BUSEGA-KYENGERA-24h'!H60)</f>
        <v>1.5</v>
      </c>
      <c r="I60" s="49">
        <f>AVERAGE('26.07 BUSEGA-KYENGERA-24h'!I60,'27.07 BUSEGA-KYENGERA-24h'!I60)</f>
        <v>12</v>
      </c>
      <c r="J60" s="49">
        <f>AVERAGE('26.07 BUSEGA-KYENGERA-24h'!J60,'27.07 BUSEGA-KYENGERA-24h'!J60)</f>
        <v>17</v>
      </c>
      <c r="K60" s="49">
        <f>AVERAGE('26.07 BUSEGA-KYENGERA-24h'!K60,'27.07 BUSEGA-KYENGERA-24h'!K60)</f>
        <v>0</v>
      </c>
      <c r="L60" s="49">
        <f>AVERAGE('26.07 BUSEGA-KYENGERA-24h'!L60,'27.07 BUSEGA-KYENGERA-24h'!L60)</f>
        <v>2</v>
      </c>
      <c r="M60" s="49">
        <f>AVERAGE('26.07 BUSEGA-KYENGERA-24h'!M60,'27.07 BUSEGA-KYENGERA-24h'!M60)</f>
        <v>307.5</v>
      </c>
      <c r="N60" s="49">
        <f>AVERAGE('26.07 BUSEGA-KYENGERA-24h'!N60,'27.07 BUSEGA-KYENGERA-24h'!N60)</f>
        <v>0</v>
      </c>
      <c r="O60" s="15">
        <f t="shared" si="0"/>
        <v>169.5</v>
      </c>
      <c r="P60" s="15">
        <f t="shared" si="1"/>
        <v>477</v>
      </c>
      <c r="R60" s="8"/>
      <c r="T60"/>
    </row>
    <row r="61" spans="2:20" ht="23.1" customHeight="1" x14ac:dyDescent="0.25">
      <c r="B61" s="23" t="s">
        <v>102</v>
      </c>
      <c r="C61" s="49">
        <f>AVERAGE('26.07 BUSEGA-KYENGERA-24h'!C61,'27.07 BUSEGA-KYENGERA-24h'!C61)</f>
        <v>81</v>
      </c>
      <c r="D61" s="49">
        <f>AVERAGE('26.07 BUSEGA-KYENGERA-24h'!D61,'27.07 BUSEGA-KYENGERA-24h'!D61)</f>
        <v>6</v>
      </c>
      <c r="E61" s="49">
        <f>AVERAGE('26.07 BUSEGA-KYENGERA-24h'!E61,'27.07 BUSEGA-KYENGERA-24h'!E61)</f>
        <v>4.5</v>
      </c>
      <c r="F61" s="49">
        <f>AVERAGE('26.07 BUSEGA-KYENGERA-24h'!F61,'27.07 BUSEGA-KYENGERA-24h'!F61)</f>
        <v>36</v>
      </c>
      <c r="G61" s="49">
        <f>AVERAGE('26.07 BUSEGA-KYENGERA-24h'!G61,'27.07 BUSEGA-KYENGERA-24h'!G61)</f>
        <v>1.5</v>
      </c>
      <c r="H61" s="49">
        <f>AVERAGE('26.07 BUSEGA-KYENGERA-24h'!H61,'27.07 BUSEGA-KYENGERA-24h'!H61)</f>
        <v>3</v>
      </c>
      <c r="I61" s="49">
        <f>AVERAGE('26.07 BUSEGA-KYENGERA-24h'!I61,'27.07 BUSEGA-KYENGERA-24h'!I61)</f>
        <v>14</v>
      </c>
      <c r="J61" s="49">
        <f>AVERAGE('26.07 BUSEGA-KYENGERA-24h'!J61,'27.07 BUSEGA-KYENGERA-24h'!J61)</f>
        <v>13.5</v>
      </c>
      <c r="K61" s="49">
        <f>AVERAGE('26.07 BUSEGA-KYENGERA-24h'!K61,'27.07 BUSEGA-KYENGERA-24h'!K61)</f>
        <v>2.5</v>
      </c>
      <c r="L61" s="49">
        <f>AVERAGE('26.07 BUSEGA-KYENGERA-24h'!L61,'27.07 BUSEGA-KYENGERA-24h'!L61)</f>
        <v>4.5</v>
      </c>
      <c r="M61" s="49">
        <f>AVERAGE('26.07 BUSEGA-KYENGERA-24h'!M61,'27.07 BUSEGA-KYENGERA-24h'!M61)</f>
        <v>342.5</v>
      </c>
      <c r="N61" s="49">
        <f>AVERAGE('26.07 BUSEGA-KYENGERA-24h'!N61,'27.07 BUSEGA-KYENGERA-24h'!N61)</f>
        <v>0</v>
      </c>
      <c r="O61" s="15">
        <f t="shared" si="0"/>
        <v>166.5</v>
      </c>
      <c r="P61" s="15">
        <f t="shared" si="1"/>
        <v>509</v>
      </c>
      <c r="R61" s="8"/>
      <c r="T61"/>
    </row>
    <row r="62" spans="2:20" ht="23.1" customHeight="1" x14ac:dyDescent="0.25">
      <c r="B62" s="23" t="s">
        <v>107</v>
      </c>
      <c r="C62" s="49">
        <f>AVERAGE('26.07 BUSEGA-KYENGERA-24h'!C62,'27.07 BUSEGA-KYENGERA-24h'!C62)</f>
        <v>68</v>
      </c>
      <c r="D62" s="49">
        <f>AVERAGE('26.07 BUSEGA-KYENGERA-24h'!D62,'27.07 BUSEGA-KYENGERA-24h'!D62)</f>
        <v>7.5</v>
      </c>
      <c r="E62" s="49">
        <f>AVERAGE('26.07 BUSEGA-KYENGERA-24h'!E62,'27.07 BUSEGA-KYENGERA-24h'!E62)</f>
        <v>4</v>
      </c>
      <c r="F62" s="49">
        <f>AVERAGE('26.07 BUSEGA-KYENGERA-24h'!F62,'27.07 BUSEGA-KYENGERA-24h'!F62)</f>
        <v>41</v>
      </c>
      <c r="G62" s="49">
        <f>AVERAGE('26.07 BUSEGA-KYENGERA-24h'!G62,'27.07 BUSEGA-KYENGERA-24h'!G62)</f>
        <v>3</v>
      </c>
      <c r="H62" s="49">
        <f>AVERAGE('26.07 BUSEGA-KYENGERA-24h'!H62,'27.07 BUSEGA-KYENGERA-24h'!H62)</f>
        <v>1.5</v>
      </c>
      <c r="I62" s="49">
        <f>AVERAGE('26.07 BUSEGA-KYENGERA-24h'!I62,'27.07 BUSEGA-KYENGERA-24h'!I62)</f>
        <v>4</v>
      </c>
      <c r="J62" s="49">
        <f>AVERAGE('26.07 BUSEGA-KYENGERA-24h'!J62,'27.07 BUSEGA-KYENGERA-24h'!J62)</f>
        <v>9.5</v>
      </c>
      <c r="K62" s="49">
        <f>AVERAGE('26.07 BUSEGA-KYENGERA-24h'!K62,'27.07 BUSEGA-KYENGERA-24h'!K62)</f>
        <v>2.5</v>
      </c>
      <c r="L62" s="49">
        <f>AVERAGE('26.07 BUSEGA-KYENGERA-24h'!L62,'27.07 BUSEGA-KYENGERA-24h'!L62)</f>
        <v>1.5</v>
      </c>
      <c r="M62" s="49">
        <f>AVERAGE('26.07 BUSEGA-KYENGERA-24h'!M62,'27.07 BUSEGA-KYENGERA-24h'!M62)</f>
        <v>215</v>
      </c>
      <c r="N62" s="49">
        <f>AVERAGE('26.07 BUSEGA-KYENGERA-24h'!N62,'27.07 BUSEGA-KYENGERA-24h'!N62)</f>
        <v>0</v>
      </c>
      <c r="O62" s="15">
        <f t="shared" si="0"/>
        <v>142.5</v>
      </c>
      <c r="P62" s="15">
        <f t="shared" si="1"/>
        <v>357.5</v>
      </c>
      <c r="R62" s="8"/>
      <c r="T62"/>
    </row>
    <row r="63" spans="2:20" ht="23.1" customHeight="1" x14ac:dyDescent="0.25">
      <c r="B63" s="23" t="s">
        <v>108</v>
      </c>
      <c r="C63" s="49">
        <f>AVERAGE('26.07 BUSEGA-KYENGERA-24h'!C63,'27.07 BUSEGA-KYENGERA-24h'!C63)</f>
        <v>73</v>
      </c>
      <c r="D63" s="49">
        <f>AVERAGE('26.07 BUSEGA-KYENGERA-24h'!D63,'27.07 BUSEGA-KYENGERA-24h'!D63)</f>
        <v>7.5</v>
      </c>
      <c r="E63" s="49">
        <f>AVERAGE('26.07 BUSEGA-KYENGERA-24h'!E63,'27.07 BUSEGA-KYENGERA-24h'!E63)</f>
        <v>3.5</v>
      </c>
      <c r="F63" s="49">
        <f>AVERAGE('26.07 BUSEGA-KYENGERA-24h'!F63,'27.07 BUSEGA-KYENGERA-24h'!F63)</f>
        <v>37</v>
      </c>
      <c r="G63" s="49">
        <f>AVERAGE('26.07 BUSEGA-KYENGERA-24h'!G63,'27.07 BUSEGA-KYENGERA-24h'!G63)</f>
        <v>2.5</v>
      </c>
      <c r="H63" s="49">
        <f>AVERAGE('26.07 BUSEGA-KYENGERA-24h'!H63,'27.07 BUSEGA-KYENGERA-24h'!H63)</f>
        <v>0.5</v>
      </c>
      <c r="I63" s="49">
        <f>AVERAGE('26.07 BUSEGA-KYENGERA-24h'!I63,'27.07 BUSEGA-KYENGERA-24h'!I63)</f>
        <v>6</v>
      </c>
      <c r="J63" s="49">
        <f>AVERAGE('26.07 BUSEGA-KYENGERA-24h'!J63,'27.07 BUSEGA-KYENGERA-24h'!J63)</f>
        <v>4.5</v>
      </c>
      <c r="K63" s="49">
        <f>AVERAGE('26.07 BUSEGA-KYENGERA-24h'!K63,'27.07 BUSEGA-KYENGERA-24h'!K63)</f>
        <v>0</v>
      </c>
      <c r="L63" s="49">
        <f>AVERAGE('26.07 BUSEGA-KYENGERA-24h'!L63,'27.07 BUSEGA-KYENGERA-24h'!L63)</f>
        <v>1.5</v>
      </c>
      <c r="M63" s="49">
        <f>AVERAGE('26.07 BUSEGA-KYENGERA-24h'!M63,'27.07 BUSEGA-KYENGERA-24h'!M63)</f>
        <v>250</v>
      </c>
      <c r="N63" s="49">
        <f>AVERAGE('26.07 BUSEGA-KYENGERA-24h'!N63,'27.07 BUSEGA-KYENGERA-24h'!N63)</f>
        <v>0</v>
      </c>
      <c r="O63" s="15">
        <f t="shared" si="0"/>
        <v>136</v>
      </c>
      <c r="P63" s="15">
        <f t="shared" si="1"/>
        <v>386</v>
      </c>
      <c r="R63" s="8"/>
      <c r="T63"/>
    </row>
    <row r="64" spans="2:20" ht="23.1" customHeight="1" x14ac:dyDescent="0.25">
      <c r="B64" s="23" t="s">
        <v>109</v>
      </c>
      <c r="C64" s="49">
        <f>AVERAGE('26.07 BUSEGA-KYENGERA-24h'!C64,'27.07 BUSEGA-KYENGERA-24h'!C64)</f>
        <v>88.5</v>
      </c>
      <c r="D64" s="49">
        <f>AVERAGE('26.07 BUSEGA-KYENGERA-24h'!D64,'27.07 BUSEGA-KYENGERA-24h'!D64)</f>
        <v>8.5</v>
      </c>
      <c r="E64" s="49">
        <f>AVERAGE('26.07 BUSEGA-KYENGERA-24h'!E64,'27.07 BUSEGA-KYENGERA-24h'!E64)</f>
        <v>6.5</v>
      </c>
      <c r="F64" s="49">
        <f>AVERAGE('26.07 BUSEGA-KYENGERA-24h'!F64,'27.07 BUSEGA-KYENGERA-24h'!F64)</f>
        <v>42</v>
      </c>
      <c r="G64" s="49">
        <f>AVERAGE('26.07 BUSEGA-KYENGERA-24h'!G64,'27.07 BUSEGA-KYENGERA-24h'!G64)</f>
        <v>0.5</v>
      </c>
      <c r="H64" s="49">
        <f>AVERAGE('26.07 BUSEGA-KYENGERA-24h'!H64,'27.07 BUSEGA-KYENGERA-24h'!H64)</f>
        <v>1.5</v>
      </c>
      <c r="I64" s="49">
        <f>AVERAGE('26.07 BUSEGA-KYENGERA-24h'!I64,'27.07 BUSEGA-KYENGERA-24h'!I64)</f>
        <v>7</v>
      </c>
      <c r="J64" s="49">
        <f>AVERAGE('26.07 BUSEGA-KYENGERA-24h'!J64,'27.07 BUSEGA-KYENGERA-24h'!J64)</f>
        <v>8</v>
      </c>
      <c r="K64" s="49">
        <f>AVERAGE('26.07 BUSEGA-KYENGERA-24h'!K64,'27.07 BUSEGA-KYENGERA-24h'!K64)</f>
        <v>1.5</v>
      </c>
      <c r="L64" s="49">
        <f>AVERAGE('26.07 BUSEGA-KYENGERA-24h'!L64,'27.07 BUSEGA-KYENGERA-24h'!L64)</f>
        <v>1.5</v>
      </c>
      <c r="M64" s="49">
        <f>AVERAGE('26.07 BUSEGA-KYENGERA-24h'!M64,'27.07 BUSEGA-KYENGERA-24h'!M64)</f>
        <v>295</v>
      </c>
      <c r="N64" s="49">
        <f>AVERAGE('26.07 BUSEGA-KYENGERA-24h'!N64,'27.07 BUSEGA-KYENGERA-24h'!N64)</f>
        <v>0</v>
      </c>
      <c r="O64" s="15">
        <f t="shared" si="0"/>
        <v>165.5</v>
      </c>
      <c r="P64" s="15">
        <f t="shared" si="1"/>
        <v>460.5</v>
      </c>
      <c r="R64" s="8"/>
      <c r="T64"/>
    </row>
    <row r="65" spans="2:20" ht="23.1" customHeight="1" x14ac:dyDescent="0.25">
      <c r="B65" s="23" t="s">
        <v>158</v>
      </c>
      <c r="C65" s="49">
        <f>AVERAGE('26.07 BUSEGA-KYENGERA-24h'!C65,'27.07 BUSEGA-KYENGERA-24h'!C65)</f>
        <v>97</v>
      </c>
      <c r="D65" s="49">
        <f>AVERAGE('26.07 BUSEGA-KYENGERA-24h'!D65,'27.07 BUSEGA-KYENGERA-24h'!D65)</f>
        <v>9.5</v>
      </c>
      <c r="E65" s="49">
        <f>AVERAGE('26.07 BUSEGA-KYENGERA-24h'!E65,'27.07 BUSEGA-KYENGERA-24h'!E65)</f>
        <v>4.5</v>
      </c>
      <c r="F65" s="49">
        <f>AVERAGE('26.07 BUSEGA-KYENGERA-24h'!F65,'27.07 BUSEGA-KYENGERA-24h'!F65)</f>
        <v>36.5</v>
      </c>
      <c r="G65" s="49">
        <f>AVERAGE('26.07 BUSEGA-KYENGERA-24h'!G65,'27.07 BUSEGA-KYENGERA-24h'!G65)</f>
        <v>3</v>
      </c>
      <c r="H65" s="49">
        <f>AVERAGE('26.07 BUSEGA-KYENGERA-24h'!H65,'27.07 BUSEGA-KYENGERA-24h'!H65)</f>
        <v>1.5</v>
      </c>
      <c r="I65" s="49">
        <f>AVERAGE('26.07 BUSEGA-KYENGERA-24h'!I65,'27.07 BUSEGA-KYENGERA-24h'!I65)</f>
        <v>12.5</v>
      </c>
      <c r="J65" s="49">
        <f>AVERAGE('26.07 BUSEGA-KYENGERA-24h'!J65,'27.07 BUSEGA-KYENGERA-24h'!J65)</f>
        <v>10</v>
      </c>
      <c r="K65" s="49">
        <f>AVERAGE('26.07 BUSEGA-KYENGERA-24h'!K65,'27.07 BUSEGA-KYENGERA-24h'!K65)</f>
        <v>2</v>
      </c>
      <c r="L65" s="49">
        <f>AVERAGE('26.07 BUSEGA-KYENGERA-24h'!L65,'27.07 BUSEGA-KYENGERA-24h'!L65)</f>
        <v>1</v>
      </c>
      <c r="M65" s="49">
        <f>AVERAGE('26.07 BUSEGA-KYENGERA-24h'!M65,'27.07 BUSEGA-KYENGERA-24h'!M65)</f>
        <v>267.5</v>
      </c>
      <c r="N65" s="49">
        <f>AVERAGE('26.07 BUSEGA-KYENGERA-24h'!N65,'27.07 BUSEGA-KYENGERA-24h'!N65)</f>
        <v>0</v>
      </c>
      <c r="O65" s="15">
        <f t="shared" si="0"/>
        <v>177.5</v>
      </c>
      <c r="P65" s="15">
        <f t="shared" si="1"/>
        <v>445</v>
      </c>
      <c r="R65" s="8"/>
      <c r="T65"/>
    </row>
    <row r="66" spans="2:20" ht="23.1" customHeight="1" x14ac:dyDescent="0.25">
      <c r="B66" s="23" t="s">
        <v>103</v>
      </c>
      <c r="C66" s="49">
        <f>AVERAGE('26.07 BUSEGA-KYENGERA-24h'!C66,'27.07 BUSEGA-KYENGERA-24h'!C66)</f>
        <v>101</v>
      </c>
      <c r="D66" s="49">
        <f>AVERAGE('26.07 BUSEGA-KYENGERA-24h'!D66,'27.07 BUSEGA-KYENGERA-24h'!D66)</f>
        <v>5.5</v>
      </c>
      <c r="E66" s="49">
        <f>AVERAGE('26.07 BUSEGA-KYENGERA-24h'!E66,'27.07 BUSEGA-KYENGERA-24h'!E66)</f>
        <v>4</v>
      </c>
      <c r="F66" s="49">
        <f>AVERAGE('26.07 BUSEGA-KYENGERA-24h'!F66,'27.07 BUSEGA-KYENGERA-24h'!F66)</f>
        <v>34.5</v>
      </c>
      <c r="G66" s="49">
        <f>AVERAGE('26.07 BUSEGA-KYENGERA-24h'!G66,'27.07 BUSEGA-KYENGERA-24h'!G66)</f>
        <v>4</v>
      </c>
      <c r="H66" s="49">
        <f>AVERAGE('26.07 BUSEGA-KYENGERA-24h'!H66,'27.07 BUSEGA-KYENGERA-24h'!H66)</f>
        <v>1.5</v>
      </c>
      <c r="I66" s="49">
        <f>AVERAGE('26.07 BUSEGA-KYENGERA-24h'!I66,'27.07 BUSEGA-KYENGERA-24h'!I66)</f>
        <v>9</v>
      </c>
      <c r="J66" s="49">
        <f>AVERAGE('26.07 BUSEGA-KYENGERA-24h'!J66,'27.07 BUSEGA-KYENGERA-24h'!J66)</f>
        <v>12.5</v>
      </c>
      <c r="K66" s="49">
        <f>AVERAGE('26.07 BUSEGA-KYENGERA-24h'!K66,'27.07 BUSEGA-KYENGERA-24h'!K66)</f>
        <v>2.5</v>
      </c>
      <c r="L66" s="49">
        <f>AVERAGE('26.07 BUSEGA-KYENGERA-24h'!L66,'27.07 BUSEGA-KYENGERA-24h'!L66)</f>
        <v>4</v>
      </c>
      <c r="M66" s="49">
        <f>AVERAGE('26.07 BUSEGA-KYENGERA-24h'!M66,'27.07 BUSEGA-KYENGERA-24h'!M66)</f>
        <v>247.5</v>
      </c>
      <c r="N66" s="49">
        <f>AVERAGE('26.07 BUSEGA-KYENGERA-24h'!N66,'27.07 BUSEGA-KYENGERA-24h'!N66)</f>
        <v>0</v>
      </c>
      <c r="O66" s="15">
        <f t="shared" si="0"/>
        <v>178.5</v>
      </c>
      <c r="P66" s="15">
        <f t="shared" si="1"/>
        <v>426</v>
      </c>
      <c r="R66" s="8"/>
      <c r="T66"/>
    </row>
    <row r="67" spans="2:20" ht="23.1" customHeight="1" x14ac:dyDescent="0.25">
      <c r="B67" s="23" t="s">
        <v>104</v>
      </c>
      <c r="C67" s="49">
        <f>AVERAGE('26.07 BUSEGA-KYENGERA-24h'!C67,'27.07 BUSEGA-KYENGERA-24h'!C67)</f>
        <v>100.5</v>
      </c>
      <c r="D67" s="49">
        <f>AVERAGE('26.07 BUSEGA-KYENGERA-24h'!D67,'27.07 BUSEGA-KYENGERA-24h'!D67)</f>
        <v>8.5</v>
      </c>
      <c r="E67" s="49">
        <f>AVERAGE('26.07 BUSEGA-KYENGERA-24h'!E67,'27.07 BUSEGA-KYENGERA-24h'!E67)</f>
        <v>3.5</v>
      </c>
      <c r="F67" s="49">
        <f>AVERAGE('26.07 BUSEGA-KYENGERA-24h'!F67,'27.07 BUSEGA-KYENGERA-24h'!F67)</f>
        <v>58</v>
      </c>
      <c r="G67" s="49">
        <f>AVERAGE('26.07 BUSEGA-KYENGERA-24h'!G67,'27.07 BUSEGA-KYENGERA-24h'!G67)</f>
        <v>3.5</v>
      </c>
      <c r="H67" s="49">
        <f>AVERAGE('26.07 BUSEGA-KYENGERA-24h'!H67,'27.07 BUSEGA-KYENGERA-24h'!H67)</f>
        <v>1.5</v>
      </c>
      <c r="I67" s="49">
        <f>AVERAGE('26.07 BUSEGA-KYENGERA-24h'!I67,'27.07 BUSEGA-KYENGERA-24h'!I67)</f>
        <v>12</v>
      </c>
      <c r="J67" s="49">
        <f>AVERAGE('26.07 BUSEGA-KYENGERA-24h'!J67,'27.07 BUSEGA-KYENGERA-24h'!J67)</f>
        <v>16.5</v>
      </c>
      <c r="K67" s="49">
        <f>AVERAGE('26.07 BUSEGA-KYENGERA-24h'!K67,'27.07 BUSEGA-KYENGERA-24h'!K67)</f>
        <v>2.5</v>
      </c>
      <c r="L67" s="49">
        <f>AVERAGE('26.07 BUSEGA-KYENGERA-24h'!L67,'27.07 BUSEGA-KYENGERA-24h'!L67)</f>
        <v>2.5</v>
      </c>
      <c r="M67" s="49">
        <f>AVERAGE('26.07 BUSEGA-KYENGERA-24h'!M67,'27.07 BUSEGA-KYENGERA-24h'!M67)</f>
        <v>217.5</v>
      </c>
      <c r="N67" s="49">
        <f>AVERAGE('26.07 BUSEGA-KYENGERA-24h'!N67,'27.07 BUSEGA-KYENGERA-24h'!N67)</f>
        <v>0</v>
      </c>
      <c r="O67" s="15">
        <f t="shared" si="0"/>
        <v>209</v>
      </c>
      <c r="P67" s="15">
        <f t="shared" si="1"/>
        <v>426.5</v>
      </c>
      <c r="R67" s="8"/>
      <c r="T67"/>
    </row>
    <row r="68" spans="2:20" ht="23.1" customHeight="1" x14ac:dyDescent="0.25">
      <c r="B68" s="23" t="s">
        <v>105</v>
      </c>
      <c r="C68" s="49">
        <f>AVERAGE('26.07 BUSEGA-KYENGERA-24h'!C68,'27.07 BUSEGA-KYENGERA-24h'!C68)</f>
        <v>106</v>
      </c>
      <c r="D68" s="49">
        <f>AVERAGE('26.07 BUSEGA-KYENGERA-24h'!D68,'27.07 BUSEGA-KYENGERA-24h'!D68)</f>
        <v>12.5</v>
      </c>
      <c r="E68" s="49">
        <f>AVERAGE('26.07 BUSEGA-KYENGERA-24h'!E68,'27.07 BUSEGA-KYENGERA-24h'!E68)</f>
        <v>5</v>
      </c>
      <c r="F68" s="49">
        <f>AVERAGE('26.07 BUSEGA-KYENGERA-24h'!F68,'27.07 BUSEGA-KYENGERA-24h'!F68)</f>
        <v>44.5</v>
      </c>
      <c r="G68" s="49">
        <f>AVERAGE('26.07 BUSEGA-KYENGERA-24h'!G68,'27.07 BUSEGA-KYENGERA-24h'!G68)</f>
        <v>1</v>
      </c>
      <c r="H68" s="49">
        <f>AVERAGE('26.07 BUSEGA-KYENGERA-24h'!H68,'27.07 BUSEGA-KYENGERA-24h'!H68)</f>
        <v>2.5</v>
      </c>
      <c r="I68" s="49">
        <f>AVERAGE('26.07 BUSEGA-KYENGERA-24h'!I68,'27.07 BUSEGA-KYENGERA-24h'!I68)</f>
        <v>14</v>
      </c>
      <c r="J68" s="49">
        <f>AVERAGE('26.07 BUSEGA-KYENGERA-24h'!J68,'27.07 BUSEGA-KYENGERA-24h'!J68)</f>
        <v>8.5</v>
      </c>
      <c r="K68" s="49">
        <f>AVERAGE('26.07 BUSEGA-KYENGERA-24h'!K68,'27.07 BUSEGA-KYENGERA-24h'!K68)</f>
        <v>3.5</v>
      </c>
      <c r="L68" s="49">
        <f>AVERAGE('26.07 BUSEGA-KYENGERA-24h'!L68,'27.07 BUSEGA-KYENGERA-24h'!L68)</f>
        <v>3</v>
      </c>
      <c r="M68" s="49">
        <f>AVERAGE('26.07 BUSEGA-KYENGERA-24h'!M68,'27.07 BUSEGA-KYENGERA-24h'!M68)</f>
        <v>162.5</v>
      </c>
      <c r="N68" s="49">
        <f>AVERAGE('26.07 BUSEGA-KYENGERA-24h'!N68,'27.07 BUSEGA-KYENGERA-24h'!N68)</f>
        <v>0</v>
      </c>
      <c r="O68" s="15">
        <f t="shared" si="0"/>
        <v>200.5</v>
      </c>
      <c r="P68" s="15">
        <f t="shared" si="1"/>
        <v>363</v>
      </c>
      <c r="R68" s="8"/>
      <c r="T68"/>
    </row>
    <row r="69" spans="2:20" ht="23.1" customHeight="1" x14ac:dyDescent="0.25">
      <c r="B69" s="23" t="s">
        <v>106</v>
      </c>
      <c r="C69" s="49">
        <f>AVERAGE('26.07 BUSEGA-KYENGERA-24h'!C69,'27.07 BUSEGA-KYENGERA-24h'!C69)</f>
        <v>83</v>
      </c>
      <c r="D69" s="49">
        <f>AVERAGE('26.07 BUSEGA-KYENGERA-24h'!D69,'27.07 BUSEGA-KYENGERA-24h'!D69)</f>
        <v>9.5</v>
      </c>
      <c r="E69" s="49">
        <f>AVERAGE('26.07 BUSEGA-KYENGERA-24h'!E69,'27.07 BUSEGA-KYENGERA-24h'!E69)</f>
        <v>5</v>
      </c>
      <c r="F69" s="49">
        <f>AVERAGE('26.07 BUSEGA-KYENGERA-24h'!F69,'27.07 BUSEGA-KYENGERA-24h'!F69)</f>
        <v>41</v>
      </c>
      <c r="G69" s="49">
        <f>AVERAGE('26.07 BUSEGA-KYENGERA-24h'!G69,'27.07 BUSEGA-KYENGERA-24h'!G69)</f>
        <v>2.5</v>
      </c>
      <c r="H69" s="49">
        <f>AVERAGE('26.07 BUSEGA-KYENGERA-24h'!H69,'27.07 BUSEGA-KYENGERA-24h'!H69)</f>
        <v>6.5</v>
      </c>
      <c r="I69" s="49">
        <f>AVERAGE('26.07 BUSEGA-KYENGERA-24h'!I69,'27.07 BUSEGA-KYENGERA-24h'!I69)</f>
        <v>7.5</v>
      </c>
      <c r="J69" s="49">
        <f>AVERAGE('26.07 BUSEGA-KYENGERA-24h'!J69,'27.07 BUSEGA-KYENGERA-24h'!J69)</f>
        <v>11</v>
      </c>
      <c r="K69" s="49">
        <f>AVERAGE('26.07 BUSEGA-KYENGERA-24h'!K69,'27.07 BUSEGA-KYENGERA-24h'!K69)</f>
        <v>2</v>
      </c>
      <c r="L69" s="49">
        <f>AVERAGE('26.07 BUSEGA-KYENGERA-24h'!L69,'27.07 BUSEGA-KYENGERA-24h'!L69)</f>
        <v>3.5</v>
      </c>
      <c r="M69" s="49">
        <f>AVERAGE('26.07 BUSEGA-KYENGERA-24h'!M69,'27.07 BUSEGA-KYENGERA-24h'!M69)</f>
        <v>157.5</v>
      </c>
      <c r="N69" s="49">
        <f>AVERAGE('26.07 BUSEGA-KYENGERA-24h'!N69,'27.07 BUSEGA-KYENGERA-24h'!N69)</f>
        <v>0</v>
      </c>
      <c r="O69" s="15">
        <f t="shared" si="0"/>
        <v>171.5</v>
      </c>
      <c r="P69" s="15">
        <f t="shared" si="1"/>
        <v>329</v>
      </c>
      <c r="R69" s="8"/>
      <c r="T69"/>
    </row>
    <row r="70" spans="2:20" ht="23.1" customHeight="1" x14ac:dyDescent="0.25">
      <c r="B70" s="23" t="s">
        <v>110</v>
      </c>
      <c r="C70" s="49">
        <f>AVERAGE('26.07 BUSEGA-KYENGERA-24h'!C70,'27.07 BUSEGA-KYENGERA-24h'!C70)</f>
        <v>74.5</v>
      </c>
      <c r="D70" s="49">
        <f>AVERAGE('26.07 BUSEGA-KYENGERA-24h'!D70,'27.07 BUSEGA-KYENGERA-24h'!D70)</f>
        <v>12.5</v>
      </c>
      <c r="E70" s="49">
        <f>AVERAGE('26.07 BUSEGA-KYENGERA-24h'!E70,'27.07 BUSEGA-KYENGERA-24h'!E70)</f>
        <v>6.5</v>
      </c>
      <c r="F70" s="49">
        <f>AVERAGE('26.07 BUSEGA-KYENGERA-24h'!F70,'27.07 BUSEGA-KYENGERA-24h'!F70)</f>
        <v>35</v>
      </c>
      <c r="G70" s="49">
        <f>AVERAGE('26.07 BUSEGA-KYENGERA-24h'!G70,'27.07 BUSEGA-KYENGERA-24h'!G70)</f>
        <v>2.5</v>
      </c>
      <c r="H70" s="49">
        <f>AVERAGE('26.07 BUSEGA-KYENGERA-24h'!H70,'27.07 BUSEGA-KYENGERA-24h'!H70)</f>
        <v>0</v>
      </c>
      <c r="I70" s="49">
        <f>AVERAGE('26.07 BUSEGA-KYENGERA-24h'!I70,'27.07 BUSEGA-KYENGERA-24h'!I70)</f>
        <v>11.5</v>
      </c>
      <c r="J70" s="49">
        <f>AVERAGE('26.07 BUSEGA-KYENGERA-24h'!J70,'27.07 BUSEGA-KYENGERA-24h'!J70)</f>
        <v>9</v>
      </c>
      <c r="K70" s="49">
        <f>AVERAGE('26.07 BUSEGA-KYENGERA-24h'!K70,'27.07 BUSEGA-KYENGERA-24h'!K70)</f>
        <v>1.5</v>
      </c>
      <c r="L70" s="49">
        <f>AVERAGE('26.07 BUSEGA-KYENGERA-24h'!L70,'27.07 BUSEGA-KYENGERA-24h'!L70)</f>
        <v>0.5</v>
      </c>
      <c r="M70" s="49">
        <f>AVERAGE('26.07 BUSEGA-KYENGERA-24h'!M70,'27.07 BUSEGA-KYENGERA-24h'!M70)</f>
        <v>137.5</v>
      </c>
      <c r="N70" s="49">
        <f>AVERAGE('26.07 BUSEGA-KYENGERA-24h'!N70,'27.07 BUSEGA-KYENGERA-24h'!N70)</f>
        <v>0</v>
      </c>
      <c r="O70" s="15">
        <f t="shared" si="0"/>
        <v>153.5</v>
      </c>
      <c r="P70" s="15">
        <f t="shared" si="1"/>
        <v>291</v>
      </c>
      <c r="R70" s="8"/>
      <c r="T70"/>
    </row>
    <row r="71" spans="2:20" ht="23.1" customHeight="1" x14ac:dyDescent="0.25">
      <c r="B71" s="23" t="s">
        <v>111</v>
      </c>
      <c r="C71" s="49">
        <f>AVERAGE('26.07 BUSEGA-KYENGERA-24h'!C71,'27.07 BUSEGA-KYENGERA-24h'!C71)</f>
        <v>93.5</v>
      </c>
      <c r="D71" s="49">
        <f>AVERAGE('26.07 BUSEGA-KYENGERA-24h'!D71,'27.07 BUSEGA-KYENGERA-24h'!D71)</f>
        <v>13.5</v>
      </c>
      <c r="E71" s="49">
        <f>AVERAGE('26.07 BUSEGA-KYENGERA-24h'!E71,'27.07 BUSEGA-KYENGERA-24h'!E71)</f>
        <v>5</v>
      </c>
      <c r="F71" s="49">
        <f>AVERAGE('26.07 BUSEGA-KYENGERA-24h'!F71,'27.07 BUSEGA-KYENGERA-24h'!F71)</f>
        <v>40</v>
      </c>
      <c r="G71" s="49">
        <f>AVERAGE('26.07 BUSEGA-KYENGERA-24h'!G71,'27.07 BUSEGA-KYENGERA-24h'!G71)</f>
        <v>5.5</v>
      </c>
      <c r="H71" s="49">
        <f>AVERAGE('26.07 BUSEGA-KYENGERA-24h'!H71,'27.07 BUSEGA-KYENGERA-24h'!H71)</f>
        <v>1.5</v>
      </c>
      <c r="I71" s="49">
        <f>AVERAGE('26.07 BUSEGA-KYENGERA-24h'!I71,'27.07 BUSEGA-KYENGERA-24h'!I71)</f>
        <v>16</v>
      </c>
      <c r="J71" s="49">
        <f>AVERAGE('26.07 BUSEGA-KYENGERA-24h'!J71,'27.07 BUSEGA-KYENGERA-24h'!J71)</f>
        <v>10</v>
      </c>
      <c r="K71" s="49">
        <f>AVERAGE('26.07 BUSEGA-KYENGERA-24h'!K71,'27.07 BUSEGA-KYENGERA-24h'!K71)</f>
        <v>1.5</v>
      </c>
      <c r="L71" s="49">
        <f>AVERAGE('26.07 BUSEGA-KYENGERA-24h'!L71,'27.07 BUSEGA-KYENGERA-24h'!L71)</f>
        <v>2.5</v>
      </c>
      <c r="M71" s="49">
        <f>AVERAGE('26.07 BUSEGA-KYENGERA-24h'!M71,'27.07 BUSEGA-KYENGERA-24h'!M71)</f>
        <v>258.5</v>
      </c>
      <c r="N71" s="49">
        <f>AVERAGE('26.07 BUSEGA-KYENGERA-24h'!N71,'27.07 BUSEGA-KYENGERA-24h'!N71)</f>
        <v>0</v>
      </c>
      <c r="O71" s="15">
        <f t="shared" si="0"/>
        <v>189</v>
      </c>
      <c r="P71" s="15">
        <f t="shared" si="1"/>
        <v>447.5</v>
      </c>
      <c r="R71" s="8"/>
      <c r="T71"/>
    </row>
    <row r="72" spans="2:20" ht="23.1" customHeight="1" x14ac:dyDescent="0.25">
      <c r="B72" s="23" t="s">
        <v>112</v>
      </c>
      <c r="C72" s="49">
        <f>AVERAGE('26.07 BUSEGA-KYENGERA-24h'!C72,'27.07 BUSEGA-KYENGERA-24h'!C72)</f>
        <v>111.5</v>
      </c>
      <c r="D72" s="49">
        <f>AVERAGE('26.07 BUSEGA-KYENGERA-24h'!D72,'27.07 BUSEGA-KYENGERA-24h'!D72)</f>
        <v>18.5</v>
      </c>
      <c r="E72" s="49">
        <f>AVERAGE('26.07 BUSEGA-KYENGERA-24h'!E72,'27.07 BUSEGA-KYENGERA-24h'!E72)</f>
        <v>7.5</v>
      </c>
      <c r="F72" s="49">
        <f>AVERAGE('26.07 BUSEGA-KYENGERA-24h'!F72,'27.07 BUSEGA-KYENGERA-24h'!F72)</f>
        <v>39</v>
      </c>
      <c r="G72" s="49">
        <f>AVERAGE('26.07 BUSEGA-KYENGERA-24h'!G72,'27.07 BUSEGA-KYENGERA-24h'!G72)</f>
        <v>0.5</v>
      </c>
      <c r="H72" s="49">
        <f>AVERAGE('26.07 BUSEGA-KYENGERA-24h'!H72,'27.07 BUSEGA-KYENGERA-24h'!H72)</f>
        <v>1</v>
      </c>
      <c r="I72" s="49">
        <f>AVERAGE('26.07 BUSEGA-KYENGERA-24h'!I72,'27.07 BUSEGA-KYENGERA-24h'!I72)</f>
        <v>3</v>
      </c>
      <c r="J72" s="49">
        <f>AVERAGE('26.07 BUSEGA-KYENGERA-24h'!J72,'27.07 BUSEGA-KYENGERA-24h'!J72)</f>
        <v>10</v>
      </c>
      <c r="K72" s="49">
        <f>AVERAGE('26.07 BUSEGA-KYENGERA-24h'!K72,'27.07 BUSEGA-KYENGERA-24h'!K72)</f>
        <v>0.5</v>
      </c>
      <c r="L72" s="49">
        <f>AVERAGE('26.07 BUSEGA-KYENGERA-24h'!L72,'27.07 BUSEGA-KYENGERA-24h'!L72)</f>
        <v>3.5</v>
      </c>
      <c r="M72" s="49">
        <f>AVERAGE('26.07 BUSEGA-KYENGERA-24h'!M72,'27.07 BUSEGA-KYENGERA-24h'!M72)</f>
        <v>167.5</v>
      </c>
      <c r="N72" s="49">
        <f>AVERAGE('26.07 BUSEGA-KYENGERA-24h'!N72,'27.07 BUSEGA-KYENGERA-24h'!N72)</f>
        <v>0</v>
      </c>
      <c r="O72" s="15">
        <f t="shared" si="0"/>
        <v>195</v>
      </c>
      <c r="P72" s="15">
        <f t="shared" si="1"/>
        <v>362.5</v>
      </c>
      <c r="R72" s="8"/>
      <c r="T72"/>
    </row>
    <row r="73" spans="2:20" ht="23.1" customHeight="1" x14ac:dyDescent="0.25">
      <c r="B73" s="23" t="s">
        <v>113</v>
      </c>
      <c r="C73" s="49">
        <f>AVERAGE('26.07 BUSEGA-KYENGERA-24h'!C73,'27.07 BUSEGA-KYENGERA-24h'!C73)</f>
        <v>110.5</v>
      </c>
      <c r="D73" s="49">
        <f>AVERAGE('26.07 BUSEGA-KYENGERA-24h'!D73,'27.07 BUSEGA-KYENGERA-24h'!D73)</f>
        <v>13</v>
      </c>
      <c r="E73" s="49">
        <f>AVERAGE('26.07 BUSEGA-KYENGERA-24h'!E73,'27.07 BUSEGA-KYENGERA-24h'!E73)</f>
        <v>9</v>
      </c>
      <c r="F73" s="49">
        <f>AVERAGE('26.07 BUSEGA-KYENGERA-24h'!F73,'27.07 BUSEGA-KYENGERA-24h'!F73)</f>
        <v>34.5</v>
      </c>
      <c r="G73" s="49">
        <f>AVERAGE('26.07 BUSEGA-KYENGERA-24h'!G73,'27.07 BUSEGA-KYENGERA-24h'!G73)</f>
        <v>2.5</v>
      </c>
      <c r="H73" s="49">
        <f>AVERAGE('26.07 BUSEGA-KYENGERA-24h'!H73,'27.07 BUSEGA-KYENGERA-24h'!H73)</f>
        <v>3.5</v>
      </c>
      <c r="I73" s="49">
        <f>AVERAGE('26.07 BUSEGA-KYENGERA-24h'!I73,'27.07 BUSEGA-KYENGERA-24h'!I73)</f>
        <v>13</v>
      </c>
      <c r="J73" s="49">
        <f>AVERAGE('26.07 BUSEGA-KYENGERA-24h'!J73,'27.07 BUSEGA-KYENGERA-24h'!J73)</f>
        <v>15.5</v>
      </c>
      <c r="K73" s="49">
        <f>AVERAGE('26.07 BUSEGA-KYENGERA-24h'!K73,'27.07 BUSEGA-KYENGERA-24h'!K73)</f>
        <v>1</v>
      </c>
      <c r="L73" s="49">
        <f>AVERAGE('26.07 BUSEGA-KYENGERA-24h'!L73,'27.07 BUSEGA-KYENGERA-24h'!L73)</f>
        <v>4</v>
      </c>
      <c r="M73" s="49">
        <f>AVERAGE('26.07 BUSEGA-KYENGERA-24h'!M73,'27.07 BUSEGA-KYENGERA-24h'!M73)</f>
        <v>275</v>
      </c>
      <c r="N73" s="49">
        <f>AVERAGE('26.07 BUSEGA-KYENGERA-24h'!N73,'27.07 BUSEGA-KYENGERA-24h'!N73)</f>
        <v>0</v>
      </c>
      <c r="O73" s="15">
        <f t="shared" si="0"/>
        <v>206.5</v>
      </c>
      <c r="P73" s="15">
        <f t="shared" si="1"/>
        <v>481.5</v>
      </c>
      <c r="R73" s="8"/>
      <c r="T73"/>
    </row>
    <row r="74" spans="2:20" ht="23.1" customHeight="1" x14ac:dyDescent="0.25">
      <c r="B74" s="23" t="s">
        <v>114</v>
      </c>
      <c r="C74" s="49">
        <f>AVERAGE('26.07 BUSEGA-KYENGERA-24h'!C74,'27.07 BUSEGA-KYENGERA-24h'!C74)</f>
        <v>101</v>
      </c>
      <c r="D74" s="49">
        <f>AVERAGE('26.07 BUSEGA-KYENGERA-24h'!D74,'27.07 BUSEGA-KYENGERA-24h'!D74)</f>
        <v>9.5</v>
      </c>
      <c r="E74" s="49">
        <f>AVERAGE('26.07 BUSEGA-KYENGERA-24h'!E74,'27.07 BUSEGA-KYENGERA-24h'!E74)</f>
        <v>8</v>
      </c>
      <c r="F74" s="49">
        <f>AVERAGE('26.07 BUSEGA-KYENGERA-24h'!F74,'27.07 BUSEGA-KYENGERA-24h'!F74)</f>
        <v>37</v>
      </c>
      <c r="G74" s="49">
        <f>AVERAGE('26.07 BUSEGA-KYENGERA-24h'!G74,'27.07 BUSEGA-KYENGERA-24h'!G74)</f>
        <v>2.5</v>
      </c>
      <c r="H74" s="49">
        <f>AVERAGE('26.07 BUSEGA-KYENGERA-24h'!H74,'27.07 BUSEGA-KYENGERA-24h'!H74)</f>
        <v>2.5</v>
      </c>
      <c r="I74" s="49">
        <f>AVERAGE('26.07 BUSEGA-KYENGERA-24h'!I74,'27.07 BUSEGA-KYENGERA-24h'!I74)</f>
        <v>8</v>
      </c>
      <c r="J74" s="49">
        <f>AVERAGE('26.07 BUSEGA-KYENGERA-24h'!J74,'27.07 BUSEGA-KYENGERA-24h'!J74)</f>
        <v>15</v>
      </c>
      <c r="K74" s="49">
        <f>AVERAGE('26.07 BUSEGA-KYENGERA-24h'!K74,'27.07 BUSEGA-KYENGERA-24h'!K74)</f>
        <v>0</v>
      </c>
      <c r="L74" s="49">
        <f>AVERAGE('26.07 BUSEGA-KYENGERA-24h'!L74,'27.07 BUSEGA-KYENGERA-24h'!L74)</f>
        <v>1.5</v>
      </c>
      <c r="M74" s="49">
        <f>AVERAGE('26.07 BUSEGA-KYENGERA-24h'!M74,'27.07 BUSEGA-KYENGERA-24h'!M74)</f>
        <v>173</v>
      </c>
      <c r="N74" s="49">
        <f>AVERAGE('26.07 BUSEGA-KYENGERA-24h'!N74,'27.07 BUSEGA-KYENGERA-24h'!N74)</f>
        <v>0</v>
      </c>
      <c r="O74" s="15">
        <f t="shared" ref="O74:O105" si="35">SUM(C74:L74,N74)</f>
        <v>185</v>
      </c>
      <c r="P74" s="15">
        <f t="shared" ref="P74:P105" si="36">SUM(C74:N74)</f>
        <v>358</v>
      </c>
      <c r="R74" s="8"/>
      <c r="T74"/>
    </row>
    <row r="75" spans="2:20" ht="23.1" customHeight="1" x14ac:dyDescent="0.25">
      <c r="B75" s="23" t="s">
        <v>115</v>
      </c>
      <c r="C75" s="49">
        <f>AVERAGE('26.07 BUSEGA-KYENGERA-24h'!C75,'27.07 BUSEGA-KYENGERA-24h'!C75)</f>
        <v>77.5</v>
      </c>
      <c r="D75" s="49">
        <f>AVERAGE('26.07 BUSEGA-KYENGERA-24h'!D75,'27.07 BUSEGA-KYENGERA-24h'!D75)</f>
        <v>9.5</v>
      </c>
      <c r="E75" s="49">
        <f>AVERAGE('26.07 BUSEGA-KYENGERA-24h'!E75,'27.07 BUSEGA-KYENGERA-24h'!E75)</f>
        <v>3.5</v>
      </c>
      <c r="F75" s="49">
        <f>AVERAGE('26.07 BUSEGA-KYENGERA-24h'!F75,'27.07 BUSEGA-KYENGERA-24h'!F75)</f>
        <v>29</v>
      </c>
      <c r="G75" s="49">
        <f>AVERAGE('26.07 BUSEGA-KYENGERA-24h'!G75,'27.07 BUSEGA-KYENGERA-24h'!G75)</f>
        <v>1.5</v>
      </c>
      <c r="H75" s="49">
        <f>AVERAGE('26.07 BUSEGA-KYENGERA-24h'!H75,'27.07 BUSEGA-KYENGERA-24h'!H75)</f>
        <v>3</v>
      </c>
      <c r="I75" s="49">
        <f>AVERAGE('26.07 BUSEGA-KYENGERA-24h'!I75,'27.07 BUSEGA-KYENGERA-24h'!I75)</f>
        <v>6</v>
      </c>
      <c r="J75" s="49">
        <f>AVERAGE('26.07 BUSEGA-KYENGERA-24h'!J75,'27.07 BUSEGA-KYENGERA-24h'!J75)</f>
        <v>4.5</v>
      </c>
      <c r="K75" s="49">
        <f>AVERAGE('26.07 BUSEGA-KYENGERA-24h'!K75,'27.07 BUSEGA-KYENGERA-24h'!K75)</f>
        <v>0.5</v>
      </c>
      <c r="L75" s="49">
        <f>AVERAGE('26.07 BUSEGA-KYENGERA-24h'!L75,'27.07 BUSEGA-KYENGERA-24h'!L75)</f>
        <v>3.5</v>
      </c>
      <c r="M75" s="49">
        <f>AVERAGE('26.07 BUSEGA-KYENGERA-24h'!M75,'27.07 BUSEGA-KYENGERA-24h'!M75)</f>
        <v>107.5</v>
      </c>
      <c r="N75" s="49">
        <f>AVERAGE('26.07 BUSEGA-KYENGERA-24h'!N75,'27.07 BUSEGA-KYENGERA-24h'!N75)</f>
        <v>0</v>
      </c>
      <c r="O75" s="15">
        <f t="shared" si="35"/>
        <v>138.5</v>
      </c>
      <c r="P75" s="15">
        <f t="shared" si="36"/>
        <v>246</v>
      </c>
      <c r="R75" s="8"/>
      <c r="T75"/>
    </row>
    <row r="76" spans="2:20" ht="23.1" customHeight="1" x14ac:dyDescent="0.25">
      <c r="B76" s="23" t="s">
        <v>116</v>
      </c>
      <c r="C76" s="49">
        <f>AVERAGE('26.07 BUSEGA-KYENGERA-24h'!C76,'27.07 BUSEGA-KYENGERA-24h'!C76)</f>
        <v>74.5</v>
      </c>
      <c r="D76" s="49">
        <f>AVERAGE('26.07 BUSEGA-KYENGERA-24h'!D76,'27.07 BUSEGA-KYENGERA-24h'!D76)</f>
        <v>5</v>
      </c>
      <c r="E76" s="49">
        <f>AVERAGE('26.07 BUSEGA-KYENGERA-24h'!E76,'27.07 BUSEGA-KYENGERA-24h'!E76)</f>
        <v>4</v>
      </c>
      <c r="F76" s="49">
        <f>AVERAGE('26.07 BUSEGA-KYENGERA-24h'!F76,'27.07 BUSEGA-KYENGERA-24h'!F76)</f>
        <v>27</v>
      </c>
      <c r="G76" s="49">
        <f>AVERAGE('26.07 BUSEGA-KYENGERA-24h'!G76,'27.07 BUSEGA-KYENGERA-24h'!G76)</f>
        <v>2</v>
      </c>
      <c r="H76" s="49">
        <f>AVERAGE('26.07 BUSEGA-KYENGERA-24h'!H76,'27.07 BUSEGA-KYENGERA-24h'!H76)</f>
        <v>3.5</v>
      </c>
      <c r="I76" s="49">
        <f>AVERAGE('26.07 BUSEGA-KYENGERA-24h'!I76,'27.07 BUSEGA-KYENGERA-24h'!I76)</f>
        <v>4.5</v>
      </c>
      <c r="J76" s="49">
        <f>AVERAGE('26.07 BUSEGA-KYENGERA-24h'!J76,'27.07 BUSEGA-KYENGERA-24h'!J76)</f>
        <v>12</v>
      </c>
      <c r="K76" s="49">
        <f>AVERAGE('26.07 BUSEGA-KYENGERA-24h'!K76,'27.07 BUSEGA-KYENGERA-24h'!K76)</f>
        <v>0.5</v>
      </c>
      <c r="L76" s="49">
        <f>AVERAGE('26.07 BUSEGA-KYENGERA-24h'!L76,'27.07 BUSEGA-KYENGERA-24h'!L76)</f>
        <v>2.5</v>
      </c>
      <c r="M76" s="49">
        <f>AVERAGE('26.07 BUSEGA-KYENGERA-24h'!M76,'27.07 BUSEGA-KYENGERA-24h'!M76)</f>
        <v>152.5</v>
      </c>
      <c r="N76" s="49">
        <f>AVERAGE('26.07 BUSEGA-KYENGERA-24h'!N76,'27.07 BUSEGA-KYENGERA-24h'!N76)</f>
        <v>0</v>
      </c>
      <c r="O76" s="15">
        <f t="shared" si="35"/>
        <v>135.5</v>
      </c>
      <c r="P76" s="15">
        <f t="shared" si="36"/>
        <v>288</v>
      </c>
      <c r="R76" s="8"/>
      <c r="T76"/>
    </row>
    <row r="77" spans="2:20" ht="23.1" customHeight="1" x14ac:dyDescent="0.25">
      <c r="B77" s="23" t="s">
        <v>117</v>
      </c>
      <c r="C77" s="49">
        <f>AVERAGE('26.07 BUSEGA-KYENGERA-24h'!C77,'27.07 BUSEGA-KYENGERA-24h'!C77)</f>
        <v>39.5</v>
      </c>
      <c r="D77" s="49">
        <f>AVERAGE('26.07 BUSEGA-KYENGERA-24h'!D77,'27.07 BUSEGA-KYENGERA-24h'!D77)</f>
        <v>4.5</v>
      </c>
      <c r="E77" s="49">
        <f>AVERAGE('26.07 BUSEGA-KYENGERA-24h'!E77,'27.07 BUSEGA-KYENGERA-24h'!E77)</f>
        <v>5</v>
      </c>
      <c r="F77" s="49">
        <f>AVERAGE('26.07 BUSEGA-KYENGERA-24h'!F77,'27.07 BUSEGA-KYENGERA-24h'!F77)</f>
        <v>18.5</v>
      </c>
      <c r="G77" s="49">
        <f>AVERAGE('26.07 BUSEGA-KYENGERA-24h'!G77,'27.07 BUSEGA-KYENGERA-24h'!G77)</f>
        <v>0.5</v>
      </c>
      <c r="H77" s="49">
        <f>AVERAGE('26.07 BUSEGA-KYENGERA-24h'!H77,'27.07 BUSEGA-KYENGERA-24h'!H77)</f>
        <v>1</v>
      </c>
      <c r="I77" s="49">
        <f>AVERAGE('26.07 BUSEGA-KYENGERA-24h'!I77,'27.07 BUSEGA-KYENGERA-24h'!I77)</f>
        <v>5.5</v>
      </c>
      <c r="J77" s="49">
        <f>AVERAGE('26.07 BUSEGA-KYENGERA-24h'!J77,'27.07 BUSEGA-KYENGERA-24h'!J77)</f>
        <v>8</v>
      </c>
      <c r="K77" s="49">
        <f>AVERAGE('26.07 BUSEGA-KYENGERA-24h'!K77,'27.07 BUSEGA-KYENGERA-24h'!K77)</f>
        <v>0</v>
      </c>
      <c r="L77" s="49">
        <f>AVERAGE('26.07 BUSEGA-KYENGERA-24h'!L77,'27.07 BUSEGA-KYENGERA-24h'!L77)</f>
        <v>4</v>
      </c>
      <c r="M77" s="49">
        <f>AVERAGE('26.07 BUSEGA-KYENGERA-24h'!M77,'27.07 BUSEGA-KYENGERA-24h'!M77)</f>
        <v>102.5</v>
      </c>
      <c r="N77" s="49">
        <f>AVERAGE('26.07 BUSEGA-KYENGERA-24h'!N77,'27.07 BUSEGA-KYENGERA-24h'!N77)</f>
        <v>0</v>
      </c>
      <c r="O77" s="15">
        <f t="shared" si="35"/>
        <v>86.5</v>
      </c>
      <c r="P77" s="15">
        <f t="shared" si="36"/>
        <v>189</v>
      </c>
      <c r="R77" s="8"/>
      <c r="T77"/>
    </row>
    <row r="78" spans="2:20" ht="23.1" customHeight="1" x14ac:dyDescent="0.25">
      <c r="B78" s="24" t="s">
        <v>118</v>
      </c>
      <c r="C78" s="49">
        <f>AVERAGE('26.07 BUSEGA-KYENGERA-24h'!C78,'27.07 BUSEGA-KYENGERA-24h'!C78)</f>
        <v>54.5</v>
      </c>
      <c r="D78" s="49">
        <f>AVERAGE('26.07 BUSEGA-KYENGERA-24h'!D78,'27.07 BUSEGA-KYENGERA-24h'!D78)</f>
        <v>2.5</v>
      </c>
      <c r="E78" s="49">
        <f>AVERAGE('26.07 BUSEGA-KYENGERA-24h'!E78,'27.07 BUSEGA-KYENGERA-24h'!E78)</f>
        <v>2</v>
      </c>
      <c r="F78" s="49">
        <f>AVERAGE('26.07 BUSEGA-KYENGERA-24h'!F78,'27.07 BUSEGA-KYENGERA-24h'!F78)</f>
        <v>18</v>
      </c>
      <c r="G78" s="49">
        <f>AVERAGE('26.07 BUSEGA-KYENGERA-24h'!G78,'27.07 BUSEGA-KYENGERA-24h'!G78)</f>
        <v>0.5</v>
      </c>
      <c r="H78" s="49">
        <f>AVERAGE('26.07 BUSEGA-KYENGERA-24h'!H78,'27.07 BUSEGA-KYENGERA-24h'!H78)</f>
        <v>2</v>
      </c>
      <c r="I78" s="49">
        <f>AVERAGE('26.07 BUSEGA-KYENGERA-24h'!I78,'27.07 BUSEGA-KYENGERA-24h'!I78)</f>
        <v>4</v>
      </c>
      <c r="J78" s="49">
        <f>AVERAGE('26.07 BUSEGA-KYENGERA-24h'!J78,'27.07 BUSEGA-KYENGERA-24h'!J78)</f>
        <v>10</v>
      </c>
      <c r="K78" s="49">
        <f>AVERAGE('26.07 BUSEGA-KYENGERA-24h'!K78,'27.07 BUSEGA-KYENGERA-24h'!K78)</f>
        <v>1.5</v>
      </c>
      <c r="L78" s="49">
        <f>AVERAGE('26.07 BUSEGA-KYENGERA-24h'!L78,'27.07 BUSEGA-KYENGERA-24h'!L78)</f>
        <v>3</v>
      </c>
      <c r="M78" s="49">
        <f>AVERAGE('26.07 BUSEGA-KYENGERA-24h'!M78,'27.07 BUSEGA-KYENGERA-24h'!M78)</f>
        <v>84.5</v>
      </c>
      <c r="N78" s="49">
        <f>AVERAGE('26.07 BUSEGA-KYENGERA-24h'!N78,'27.07 BUSEGA-KYENGERA-24h'!N78)</f>
        <v>0</v>
      </c>
      <c r="O78" s="15">
        <f t="shared" si="35"/>
        <v>98</v>
      </c>
      <c r="P78" s="15">
        <f t="shared" si="36"/>
        <v>182.5</v>
      </c>
      <c r="R78" s="8"/>
      <c r="T78"/>
    </row>
    <row r="79" spans="2:20" ht="23.1" customHeight="1" x14ac:dyDescent="0.25">
      <c r="B79" s="23" t="s">
        <v>119</v>
      </c>
      <c r="C79" s="49">
        <f>AVERAGE('26.07 BUSEGA-KYENGERA-24h'!C79,'27.07 BUSEGA-KYENGERA-24h'!C79)</f>
        <v>39.5</v>
      </c>
      <c r="D79" s="49">
        <f>AVERAGE('26.07 BUSEGA-KYENGERA-24h'!D79,'27.07 BUSEGA-KYENGERA-24h'!D79)</f>
        <v>3</v>
      </c>
      <c r="E79" s="49">
        <f>AVERAGE('26.07 BUSEGA-KYENGERA-24h'!E79,'27.07 BUSEGA-KYENGERA-24h'!E79)</f>
        <v>6</v>
      </c>
      <c r="F79" s="49">
        <f>AVERAGE('26.07 BUSEGA-KYENGERA-24h'!F79,'27.07 BUSEGA-KYENGERA-24h'!F79)</f>
        <v>12</v>
      </c>
      <c r="G79" s="49">
        <f>AVERAGE('26.07 BUSEGA-KYENGERA-24h'!G79,'27.07 BUSEGA-KYENGERA-24h'!G79)</f>
        <v>1.5</v>
      </c>
      <c r="H79" s="49">
        <f>AVERAGE('26.07 BUSEGA-KYENGERA-24h'!H79,'27.07 BUSEGA-KYENGERA-24h'!H79)</f>
        <v>1.5</v>
      </c>
      <c r="I79" s="49">
        <f>AVERAGE('26.07 BUSEGA-KYENGERA-24h'!I79,'27.07 BUSEGA-KYENGERA-24h'!I79)</f>
        <v>6.5</v>
      </c>
      <c r="J79" s="49">
        <f>AVERAGE('26.07 BUSEGA-KYENGERA-24h'!J79,'27.07 BUSEGA-KYENGERA-24h'!J79)</f>
        <v>5</v>
      </c>
      <c r="K79" s="49">
        <f>AVERAGE('26.07 BUSEGA-KYENGERA-24h'!K79,'27.07 BUSEGA-KYENGERA-24h'!K79)</f>
        <v>1</v>
      </c>
      <c r="L79" s="49">
        <f>AVERAGE('26.07 BUSEGA-KYENGERA-24h'!L79,'27.07 BUSEGA-KYENGERA-24h'!L79)</f>
        <v>3.5</v>
      </c>
      <c r="M79" s="49">
        <f>AVERAGE('26.07 BUSEGA-KYENGERA-24h'!M79,'27.07 BUSEGA-KYENGERA-24h'!M79)</f>
        <v>86</v>
      </c>
      <c r="N79" s="49">
        <f>AVERAGE('26.07 BUSEGA-KYENGERA-24h'!N79,'27.07 BUSEGA-KYENGERA-24h'!N79)</f>
        <v>0</v>
      </c>
      <c r="O79" s="15">
        <f t="shared" si="35"/>
        <v>79.5</v>
      </c>
      <c r="P79" s="15">
        <f t="shared" si="36"/>
        <v>165.5</v>
      </c>
      <c r="R79" s="8"/>
      <c r="T79"/>
    </row>
    <row r="80" spans="2:20" ht="23.1" customHeight="1" x14ac:dyDescent="0.25">
      <c r="B80" s="25" t="s">
        <v>120</v>
      </c>
      <c r="C80" s="49">
        <f>AVERAGE('26.07 BUSEGA-KYENGERA-24h'!C80,'27.07 BUSEGA-KYENGERA-24h'!C80)</f>
        <v>43</v>
      </c>
      <c r="D80" s="49">
        <f>AVERAGE('26.07 BUSEGA-KYENGERA-24h'!D80,'27.07 BUSEGA-KYENGERA-24h'!D80)</f>
        <v>3.5</v>
      </c>
      <c r="E80" s="49">
        <f>AVERAGE('26.07 BUSEGA-KYENGERA-24h'!E80,'27.07 BUSEGA-KYENGERA-24h'!E80)</f>
        <v>5</v>
      </c>
      <c r="F80" s="49">
        <f>AVERAGE('26.07 BUSEGA-KYENGERA-24h'!F80,'27.07 BUSEGA-KYENGERA-24h'!F80)</f>
        <v>15</v>
      </c>
      <c r="G80" s="49">
        <f>AVERAGE('26.07 BUSEGA-KYENGERA-24h'!G80,'27.07 BUSEGA-KYENGERA-24h'!G80)</f>
        <v>0</v>
      </c>
      <c r="H80" s="49">
        <f>AVERAGE('26.07 BUSEGA-KYENGERA-24h'!H80,'27.07 BUSEGA-KYENGERA-24h'!H80)</f>
        <v>1.5</v>
      </c>
      <c r="I80" s="49">
        <f>AVERAGE('26.07 BUSEGA-KYENGERA-24h'!I80,'27.07 BUSEGA-KYENGERA-24h'!I80)</f>
        <v>2</v>
      </c>
      <c r="J80" s="49">
        <f>AVERAGE('26.07 BUSEGA-KYENGERA-24h'!J80,'27.07 BUSEGA-KYENGERA-24h'!J80)</f>
        <v>3.5</v>
      </c>
      <c r="K80" s="49">
        <f>AVERAGE('26.07 BUSEGA-KYENGERA-24h'!K80,'27.07 BUSEGA-KYENGERA-24h'!K80)</f>
        <v>0.5</v>
      </c>
      <c r="L80" s="49">
        <f>AVERAGE('26.07 BUSEGA-KYENGERA-24h'!L80,'27.07 BUSEGA-KYENGERA-24h'!L80)</f>
        <v>1</v>
      </c>
      <c r="M80" s="49">
        <f>AVERAGE('26.07 BUSEGA-KYENGERA-24h'!M80,'27.07 BUSEGA-KYENGERA-24h'!M80)</f>
        <v>70</v>
      </c>
      <c r="N80" s="49">
        <f>AVERAGE('26.07 BUSEGA-KYENGERA-24h'!N80,'27.07 BUSEGA-KYENGERA-24h'!N80)</f>
        <v>0</v>
      </c>
      <c r="O80" s="15">
        <f t="shared" si="35"/>
        <v>75</v>
      </c>
      <c r="P80" s="15">
        <f t="shared" si="36"/>
        <v>145</v>
      </c>
      <c r="R80" s="8"/>
      <c r="T80"/>
    </row>
    <row r="81" spans="2:20" ht="23.1" customHeight="1" x14ac:dyDescent="0.25">
      <c r="B81" s="23" t="s">
        <v>121</v>
      </c>
      <c r="C81" s="49">
        <f>AVERAGE('26.07 BUSEGA-KYENGERA-24h'!C81,'27.07 BUSEGA-KYENGERA-24h'!C81)</f>
        <v>32</v>
      </c>
      <c r="D81" s="49">
        <f>AVERAGE('26.07 BUSEGA-KYENGERA-24h'!D81,'27.07 BUSEGA-KYENGERA-24h'!D81)</f>
        <v>3</v>
      </c>
      <c r="E81" s="49">
        <f>AVERAGE('26.07 BUSEGA-KYENGERA-24h'!E81,'27.07 BUSEGA-KYENGERA-24h'!E81)</f>
        <v>2</v>
      </c>
      <c r="F81" s="49">
        <f>AVERAGE('26.07 BUSEGA-KYENGERA-24h'!F81,'27.07 BUSEGA-KYENGERA-24h'!F81)</f>
        <v>9.5</v>
      </c>
      <c r="G81" s="49">
        <f>AVERAGE('26.07 BUSEGA-KYENGERA-24h'!G81,'27.07 BUSEGA-KYENGERA-24h'!G81)</f>
        <v>1.5</v>
      </c>
      <c r="H81" s="49">
        <f>AVERAGE('26.07 BUSEGA-KYENGERA-24h'!H81,'27.07 BUSEGA-KYENGERA-24h'!H81)</f>
        <v>1</v>
      </c>
      <c r="I81" s="49">
        <f>AVERAGE('26.07 BUSEGA-KYENGERA-24h'!I81,'27.07 BUSEGA-KYENGERA-24h'!I81)</f>
        <v>4</v>
      </c>
      <c r="J81" s="49">
        <f>AVERAGE('26.07 BUSEGA-KYENGERA-24h'!J81,'27.07 BUSEGA-KYENGERA-24h'!J81)</f>
        <v>7</v>
      </c>
      <c r="K81" s="49">
        <f>AVERAGE('26.07 BUSEGA-KYENGERA-24h'!K81,'27.07 BUSEGA-KYENGERA-24h'!K81)</f>
        <v>1</v>
      </c>
      <c r="L81" s="49">
        <f>AVERAGE('26.07 BUSEGA-KYENGERA-24h'!L81,'27.07 BUSEGA-KYENGERA-24h'!L81)</f>
        <v>2</v>
      </c>
      <c r="M81" s="49">
        <f>AVERAGE('26.07 BUSEGA-KYENGERA-24h'!M81,'27.07 BUSEGA-KYENGERA-24h'!M81)</f>
        <v>62</v>
      </c>
      <c r="N81" s="49">
        <f>AVERAGE('26.07 BUSEGA-KYENGERA-24h'!N81,'27.07 BUSEGA-KYENGERA-24h'!N81)</f>
        <v>0</v>
      </c>
      <c r="O81" s="15">
        <f t="shared" si="35"/>
        <v>63</v>
      </c>
      <c r="P81" s="15">
        <f t="shared" si="36"/>
        <v>125</v>
      </c>
      <c r="R81" s="8"/>
      <c r="T81"/>
    </row>
    <row r="82" spans="2:20" ht="23.1" customHeight="1" x14ac:dyDescent="0.25">
      <c r="B82" s="24" t="s">
        <v>122</v>
      </c>
      <c r="C82" s="49">
        <f>AVERAGE('26.07 BUSEGA-KYENGERA-24h'!C82,'27.07 BUSEGA-KYENGERA-24h'!C82)</f>
        <v>27</v>
      </c>
      <c r="D82" s="49">
        <f>AVERAGE('26.07 BUSEGA-KYENGERA-24h'!D82,'27.07 BUSEGA-KYENGERA-24h'!D82)</f>
        <v>3.5</v>
      </c>
      <c r="E82" s="49">
        <f>AVERAGE('26.07 BUSEGA-KYENGERA-24h'!E82,'27.07 BUSEGA-KYENGERA-24h'!E82)</f>
        <v>1</v>
      </c>
      <c r="F82" s="49">
        <f>AVERAGE('26.07 BUSEGA-KYENGERA-24h'!F82,'27.07 BUSEGA-KYENGERA-24h'!F82)</f>
        <v>10</v>
      </c>
      <c r="G82" s="49">
        <f>AVERAGE('26.07 BUSEGA-KYENGERA-24h'!G82,'27.07 BUSEGA-KYENGERA-24h'!G82)</f>
        <v>0</v>
      </c>
      <c r="H82" s="49">
        <f>AVERAGE('26.07 BUSEGA-KYENGERA-24h'!H82,'27.07 BUSEGA-KYENGERA-24h'!H82)</f>
        <v>0.5</v>
      </c>
      <c r="I82" s="49">
        <f>AVERAGE('26.07 BUSEGA-KYENGERA-24h'!I82,'27.07 BUSEGA-KYENGERA-24h'!I82)</f>
        <v>4.5</v>
      </c>
      <c r="J82" s="49">
        <f>AVERAGE('26.07 BUSEGA-KYENGERA-24h'!J82,'27.07 BUSEGA-KYENGERA-24h'!J82)</f>
        <v>5.5</v>
      </c>
      <c r="K82" s="49">
        <f>AVERAGE('26.07 BUSEGA-KYENGERA-24h'!K82,'27.07 BUSEGA-KYENGERA-24h'!K82)</f>
        <v>5</v>
      </c>
      <c r="L82" s="49">
        <f>AVERAGE('26.07 BUSEGA-KYENGERA-24h'!L82,'27.07 BUSEGA-KYENGERA-24h'!L82)</f>
        <v>1.5</v>
      </c>
      <c r="M82" s="49">
        <f>AVERAGE('26.07 BUSEGA-KYENGERA-24h'!M82,'27.07 BUSEGA-KYENGERA-24h'!M82)</f>
        <v>50</v>
      </c>
      <c r="N82" s="49">
        <f>AVERAGE('26.07 BUSEGA-KYENGERA-24h'!N82,'27.07 BUSEGA-KYENGERA-24h'!N82)</f>
        <v>0</v>
      </c>
      <c r="O82" s="15">
        <f t="shared" si="35"/>
        <v>58.5</v>
      </c>
      <c r="P82" s="15">
        <f t="shared" si="36"/>
        <v>108.5</v>
      </c>
      <c r="R82" s="8"/>
      <c r="T82"/>
    </row>
    <row r="83" spans="2:20" ht="23.1" customHeight="1" x14ac:dyDescent="0.25">
      <c r="B83" s="23" t="s">
        <v>123</v>
      </c>
      <c r="C83" s="49">
        <f>AVERAGE('26.07 BUSEGA-KYENGERA-24h'!C83,'27.07 BUSEGA-KYENGERA-24h'!C83)</f>
        <v>22.5</v>
      </c>
      <c r="D83" s="49">
        <f>AVERAGE('26.07 BUSEGA-KYENGERA-24h'!D83,'27.07 BUSEGA-KYENGERA-24h'!D83)</f>
        <v>5</v>
      </c>
      <c r="E83" s="49">
        <f>AVERAGE('26.07 BUSEGA-KYENGERA-24h'!E83,'27.07 BUSEGA-KYENGERA-24h'!E83)</f>
        <v>1.5</v>
      </c>
      <c r="F83" s="49">
        <f>AVERAGE('26.07 BUSEGA-KYENGERA-24h'!F83,'27.07 BUSEGA-KYENGERA-24h'!F83)</f>
        <v>5</v>
      </c>
      <c r="G83" s="49">
        <f>AVERAGE('26.07 BUSEGA-KYENGERA-24h'!G83,'27.07 BUSEGA-KYENGERA-24h'!G83)</f>
        <v>0.5</v>
      </c>
      <c r="H83" s="49">
        <f>AVERAGE('26.07 BUSEGA-KYENGERA-24h'!H83,'27.07 BUSEGA-KYENGERA-24h'!H83)</f>
        <v>1</v>
      </c>
      <c r="I83" s="49">
        <f>AVERAGE('26.07 BUSEGA-KYENGERA-24h'!I83,'27.07 BUSEGA-KYENGERA-24h'!I83)</f>
        <v>2</v>
      </c>
      <c r="J83" s="49">
        <f>AVERAGE('26.07 BUSEGA-KYENGERA-24h'!J83,'27.07 BUSEGA-KYENGERA-24h'!J83)</f>
        <v>3</v>
      </c>
      <c r="K83" s="49">
        <f>AVERAGE('26.07 BUSEGA-KYENGERA-24h'!K83,'27.07 BUSEGA-KYENGERA-24h'!K83)</f>
        <v>0</v>
      </c>
      <c r="L83" s="49">
        <f>AVERAGE('26.07 BUSEGA-KYENGERA-24h'!L83,'27.07 BUSEGA-KYENGERA-24h'!L83)</f>
        <v>2</v>
      </c>
      <c r="M83" s="49">
        <f>AVERAGE('26.07 BUSEGA-KYENGERA-24h'!M83,'27.07 BUSEGA-KYENGERA-24h'!M83)</f>
        <v>36.5</v>
      </c>
      <c r="N83" s="49">
        <f>AVERAGE('26.07 BUSEGA-KYENGERA-24h'!N83,'27.07 BUSEGA-KYENGERA-24h'!N83)</f>
        <v>0</v>
      </c>
      <c r="O83" s="15">
        <f t="shared" si="35"/>
        <v>42.5</v>
      </c>
      <c r="P83" s="15">
        <f t="shared" si="36"/>
        <v>79</v>
      </c>
      <c r="R83" s="8"/>
      <c r="T83"/>
    </row>
    <row r="84" spans="2:20" ht="23.1" customHeight="1" x14ac:dyDescent="0.25">
      <c r="B84" s="25" t="s">
        <v>124</v>
      </c>
      <c r="C84" s="49">
        <f>AVERAGE('26.07 BUSEGA-KYENGERA-24h'!C84,'27.07 BUSEGA-KYENGERA-24h'!C84)</f>
        <v>24</v>
      </c>
      <c r="D84" s="49">
        <f>AVERAGE('26.07 BUSEGA-KYENGERA-24h'!D84,'27.07 BUSEGA-KYENGERA-24h'!D84)</f>
        <v>0.5</v>
      </c>
      <c r="E84" s="49">
        <f>AVERAGE('26.07 BUSEGA-KYENGERA-24h'!E84,'27.07 BUSEGA-KYENGERA-24h'!E84)</f>
        <v>1</v>
      </c>
      <c r="F84" s="49">
        <f>AVERAGE('26.07 BUSEGA-KYENGERA-24h'!F84,'27.07 BUSEGA-KYENGERA-24h'!F84)</f>
        <v>6.5</v>
      </c>
      <c r="G84" s="49">
        <f>AVERAGE('26.07 BUSEGA-KYENGERA-24h'!G84,'27.07 BUSEGA-KYENGERA-24h'!G84)</f>
        <v>0</v>
      </c>
      <c r="H84" s="49">
        <f>AVERAGE('26.07 BUSEGA-KYENGERA-24h'!H84,'27.07 BUSEGA-KYENGERA-24h'!H84)</f>
        <v>1.5</v>
      </c>
      <c r="I84" s="49">
        <f>AVERAGE('26.07 BUSEGA-KYENGERA-24h'!I84,'27.07 BUSEGA-KYENGERA-24h'!I84)</f>
        <v>1.5</v>
      </c>
      <c r="J84" s="49">
        <f>AVERAGE('26.07 BUSEGA-KYENGERA-24h'!J84,'27.07 BUSEGA-KYENGERA-24h'!J84)</f>
        <v>5.5</v>
      </c>
      <c r="K84" s="49">
        <f>AVERAGE('26.07 BUSEGA-KYENGERA-24h'!K84,'27.07 BUSEGA-KYENGERA-24h'!K84)</f>
        <v>1</v>
      </c>
      <c r="L84" s="49">
        <f>AVERAGE('26.07 BUSEGA-KYENGERA-24h'!L84,'27.07 BUSEGA-KYENGERA-24h'!L84)</f>
        <v>3.5</v>
      </c>
      <c r="M84" s="49">
        <f>AVERAGE('26.07 BUSEGA-KYENGERA-24h'!M84,'27.07 BUSEGA-KYENGERA-24h'!M84)</f>
        <v>40</v>
      </c>
      <c r="N84" s="49">
        <f>AVERAGE('26.07 BUSEGA-KYENGERA-24h'!N84,'27.07 BUSEGA-KYENGERA-24h'!N84)</f>
        <v>0</v>
      </c>
      <c r="O84" s="15">
        <f t="shared" si="35"/>
        <v>45</v>
      </c>
      <c r="P84" s="15">
        <f t="shared" si="36"/>
        <v>85</v>
      </c>
      <c r="R84" s="8"/>
      <c r="T84"/>
    </row>
    <row r="85" spans="2:20" ht="23.1" customHeight="1" x14ac:dyDescent="0.25">
      <c r="B85" s="23" t="s">
        <v>125</v>
      </c>
      <c r="C85" s="49">
        <f>AVERAGE('26.07 BUSEGA-KYENGERA-24h'!C85,'27.07 BUSEGA-KYENGERA-24h'!C85)</f>
        <v>15.5</v>
      </c>
      <c r="D85" s="49">
        <f>AVERAGE('26.07 BUSEGA-KYENGERA-24h'!D85,'27.07 BUSEGA-KYENGERA-24h'!D85)</f>
        <v>1</v>
      </c>
      <c r="E85" s="49">
        <f>AVERAGE('26.07 BUSEGA-KYENGERA-24h'!E85,'27.07 BUSEGA-KYENGERA-24h'!E85)</f>
        <v>1.5</v>
      </c>
      <c r="F85" s="49">
        <f>AVERAGE('26.07 BUSEGA-KYENGERA-24h'!F85,'27.07 BUSEGA-KYENGERA-24h'!F85)</f>
        <v>3</v>
      </c>
      <c r="G85" s="49">
        <f>AVERAGE('26.07 BUSEGA-KYENGERA-24h'!G85,'27.07 BUSEGA-KYENGERA-24h'!G85)</f>
        <v>0</v>
      </c>
      <c r="H85" s="49">
        <f>AVERAGE('26.07 BUSEGA-KYENGERA-24h'!H85,'27.07 BUSEGA-KYENGERA-24h'!H85)</f>
        <v>0</v>
      </c>
      <c r="I85" s="49">
        <f>AVERAGE('26.07 BUSEGA-KYENGERA-24h'!I85,'27.07 BUSEGA-KYENGERA-24h'!I85)</f>
        <v>2</v>
      </c>
      <c r="J85" s="49">
        <f>AVERAGE('26.07 BUSEGA-KYENGERA-24h'!J85,'27.07 BUSEGA-KYENGERA-24h'!J85)</f>
        <v>1.5</v>
      </c>
      <c r="K85" s="49">
        <f>AVERAGE('26.07 BUSEGA-KYENGERA-24h'!K85,'27.07 BUSEGA-KYENGERA-24h'!K85)</f>
        <v>3</v>
      </c>
      <c r="L85" s="49">
        <f>AVERAGE('26.07 BUSEGA-KYENGERA-24h'!L85,'27.07 BUSEGA-KYENGERA-24h'!L85)</f>
        <v>2.5</v>
      </c>
      <c r="M85" s="49">
        <f>AVERAGE('26.07 BUSEGA-KYENGERA-24h'!M85,'27.07 BUSEGA-KYENGERA-24h'!M85)</f>
        <v>37</v>
      </c>
      <c r="N85" s="49">
        <f>AVERAGE('26.07 BUSEGA-KYENGERA-24h'!N85,'27.07 BUSEGA-KYENGERA-24h'!N85)</f>
        <v>0</v>
      </c>
      <c r="O85" s="15">
        <f t="shared" si="35"/>
        <v>30</v>
      </c>
      <c r="P85" s="15">
        <f t="shared" si="36"/>
        <v>67</v>
      </c>
      <c r="R85" s="8"/>
      <c r="T85"/>
    </row>
    <row r="86" spans="2:20" ht="23.1" customHeight="1" x14ac:dyDescent="0.25">
      <c r="B86" s="24" t="s">
        <v>126</v>
      </c>
      <c r="C86" s="49">
        <f>AVERAGE('26.07 BUSEGA-KYENGERA-24h'!C86,'27.07 BUSEGA-KYENGERA-24h'!C86)</f>
        <v>19</v>
      </c>
      <c r="D86" s="49">
        <f>AVERAGE('26.07 BUSEGA-KYENGERA-24h'!D86,'27.07 BUSEGA-KYENGERA-24h'!D86)</f>
        <v>1.5</v>
      </c>
      <c r="E86" s="49">
        <f>AVERAGE('26.07 BUSEGA-KYENGERA-24h'!E86,'27.07 BUSEGA-KYENGERA-24h'!E86)</f>
        <v>2</v>
      </c>
      <c r="F86" s="49">
        <f>AVERAGE('26.07 BUSEGA-KYENGERA-24h'!F86,'27.07 BUSEGA-KYENGERA-24h'!F86)</f>
        <v>3.5</v>
      </c>
      <c r="G86" s="49">
        <f>AVERAGE('26.07 BUSEGA-KYENGERA-24h'!G86,'27.07 BUSEGA-KYENGERA-24h'!G86)</f>
        <v>0.5</v>
      </c>
      <c r="H86" s="49">
        <f>AVERAGE('26.07 BUSEGA-KYENGERA-24h'!H86,'27.07 BUSEGA-KYENGERA-24h'!H86)</f>
        <v>1</v>
      </c>
      <c r="I86" s="49">
        <f>AVERAGE('26.07 BUSEGA-KYENGERA-24h'!I86,'27.07 BUSEGA-KYENGERA-24h'!I86)</f>
        <v>0.5</v>
      </c>
      <c r="J86" s="49">
        <f>AVERAGE('26.07 BUSEGA-KYENGERA-24h'!J86,'27.07 BUSEGA-KYENGERA-24h'!J86)</f>
        <v>4.5</v>
      </c>
      <c r="K86" s="49">
        <f>AVERAGE('26.07 BUSEGA-KYENGERA-24h'!K86,'27.07 BUSEGA-KYENGERA-24h'!K86)</f>
        <v>0</v>
      </c>
      <c r="L86" s="49">
        <f>AVERAGE('26.07 BUSEGA-KYENGERA-24h'!L86,'27.07 BUSEGA-KYENGERA-24h'!L86)</f>
        <v>2</v>
      </c>
      <c r="M86" s="49">
        <f>AVERAGE('26.07 BUSEGA-KYENGERA-24h'!M86,'27.07 BUSEGA-KYENGERA-24h'!M86)</f>
        <v>31</v>
      </c>
      <c r="N86" s="49">
        <f>AVERAGE('26.07 BUSEGA-KYENGERA-24h'!N86,'27.07 BUSEGA-KYENGERA-24h'!N86)</f>
        <v>0</v>
      </c>
      <c r="O86" s="15">
        <f t="shared" si="35"/>
        <v>34.5</v>
      </c>
      <c r="P86" s="15">
        <f t="shared" si="36"/>
        <v>65.5</v>
      </c>
      <c r="R86" s="8"/>
      <c r="T86"/>
    </row>
    <row r="87" spans="2:20" ht="23.1" customHeight="1" x14ac:dyDescent="0.25">
      <c r="B87" s="23" t="s">
        <v>127</v>
      </c>
      <c r="C87" s="49">
        <f>AVERAGE('26.07 BUSEGA-KYENGERA-24h'!C87,'27.07 BUSEGA-KYENGERA-24h'!C87)</f>
        <v>17</v>
      </c>
      <c r="D87" s="49">
        <f>AVERAGE('26.07 BUSEGA-KYENGERA-24h'!D87,'27.07 BUSEGA-KYENGERA-24h'!D87)</f>
        <v>1.5</v>
      </c>
      <c r="E87" s="49">
        <f>AVERAGE('26.07 BUSEGA-KYENGERA-24h'!E87,'27.07 BUSEGA-KYENGERA-24h'!E87)</f>
        <v>0.5</v>
      </c>
      <c r="F87" s="49">
        <f>AVERAGE('26.07 BUSEGA-KYENGERA-24h'!F87,'27.07 BUSEGA-KYENGERA-24h'!F87)</f>
        <v>3</v>
      </c>
      <c r="G87" s="49">
        <f>AVERAGE('26.07 BUSEGA-KYENGERA-24h'!G87,'27.07 BUSEGA-KYENGERA-24h'!G87)</f>
        <v>0</v>
      </c>
      <c r="H87" s="49">
        <f>AVERAGE('26.07 BUSEGA-KYENGERA-24h'!H87,'27.07 BUSEGA-KYENGERA-24h'!H87)</f>
        <v>0</v>
      </c>
      <c r="I87" s="49">
        <f>AVERAGE('26.07 BUSEGA-KYENGERA-24h'!I87,'27.07 BUSEGA-KYENGERA-24h'!I87)</f>
        <v>3</v>
      </c>
      <c r="J87" s="49">
        <f>AVERAGE('26.07 BUSEGA-KYENGERA-24h'!J87,'27.07 BUSEGA-KYENGERA-24h'!J87)</f>
        <v>5.5</v>
      </c>
      <c r="K87" s="49">
        <f>AVERAGE('26.07 BUSEGA-KYENGERA-24h'!K87,'27.07 BUSEGA-KYENGERA-24h'!K87)</f>
        <v>0.5</v>
      </c>
      <c r="L87" s="49">
        <f>AVERAGE('26.07 BUSEGA-KYENGERA-24h'!L87,'27.07 BUSEGA-KYENGERA-24h'!L87)</f>
        <v>0.5</v>
      </c>
      <c r="M87" s="49">
        <f>AVERAGE('26.07 BUSEGA-KYENGERA-24h'!M87,'27.07 BUSEGA-KYENGERA-24h'!M87)</f>
        <v>34.5</v>
      </c>
      <c r="N87" s="49">
        <f>AVERAGE('26.07 BUSEGA-KYENGERA-24h'!N87,'27.07 BUSEGA-KYENGERA-24h'!N87)</f>
        <v>0</v>
      </c>
      <c r="O87" s="15">
        <f t="shared" si="35"/>
        <v>31.5</v>
      </c>
      <c r="P87" s="15">
        <f t="shared" si="36"/>
        <v>66</v>
      </c>
      <c r="R87" s="8"/>
      <c r="T87"/>
    </row>
    <row r="88" spans="2:20" ht="23.1" customHeight="1" x14ac:dyDescent="0.25">
      <c r="B88" s="25" t="s">
        <v>128</v>
      </c>
      <c r="C88" s="49">
        <f>AVERAGE('26.07 BUSEGA-KYENGERA-24h'!C88,'27.07 BUSEGA-KYENGERA-24h'!C88)</f>
        <v>11</v>
      </c>
      <c r="D88" s="49">
        <f>AVERAGE('26.07 BUSEGA-KYENGERA-24h'!D88,'27.07 BUSEGA-KYENGERA-24h'!D88)</f>
        <v>0.5</v>
      </c>
      <c r="E88" s="49">
        <f>AVERAGE('26.07 BUSEGA-KYENGERA-24h'!E88,'27.07 BUSEGA-KYENGERA-24h'!E88)</f>
        <v>1</v>
      </c>
      <c r="F88" s="49">
        <f>AVERAGE('26.07 BUSEGA-KYENGERA-24h'!F88,'27.07 BUSEGA-KYENGERA-24h'!F88)</f>
        <v>1.5</v>
      </c>
      <c r="G88" s="49">
        <f>AVERAGE('26.07 BUSEGA-KYENGERA-24h'!G88,'27.07 BUSEGA-KYENGERA-24h'!G88)</f>
        <v>0</v>
      </c>
      <c r="H88" s="49">
        <f>AVERAGE('26.07 BUSEGA-KYENGERA-24h'!H88,'27.07 BUSEGA-KYENGERA-24h'!H88)</f>
        <v>1</v>
      </c>
      <c r="I88" s="49">
        <f>AVERAGE('26.07 BUSEGA-KYENGERA-24h'!I88,'27.07 BUSEGA-KYENGERA-24h'!I88)</f>
        <v>5.5</v>
      </c>
      <c r="J88" s="49">
        <f>AVERAGE('26.07 BUSEGA-KYENGERA-24h'!J88,'27.07 BUSEGA-KYENGERA-24h'!J88)</f>
        <v>4</v>
      </c>
      <c r="K88" s="49">
        <f>AVERAGE('26.07 BUSEGA-KYENGERA-24h'!K88,'27.07 BUSEGA-KYENGERA-24h'!K88)</f>
        <v>0.5</v>
      </c>
      <c r="L88" s="49">
        <f>AVERAGE('26.07 BUSEGA-KYENGERA-24h'!L88,'27.07 BUSEGA-KYENGERA-24h'!L88)</f>
        <v>0.5</v>
      </c>
      <c r="M88" s="49">
        <f>AVERAGE('26.07 BUSEGA-KYENGERA-24h'!M88,'27.07 BUSEGA-KYENGERA-24h'!M88)</f>
        <v>43</v>
      </c>
      <c r="N88" s="49">
        <f>AVERAGE('26.07 BUSEGA-KYENGERA-24h'!N88,'27.07 BUSEGA-KYENGERA-24h'!N88)</f>
        <v>0</v>
      </c>
      <c r="O88" s="15">
        <f t="shared" si="35"/>
        <v>25.5</v>
      </c>
      <c r="P88" s="15">
        <f t="shared" si="36"/>
        <v>68.5</v>
      </c>
      <c r="R88" s="8"/>
      <c r="T88"/>
    </row>
    <row r="89" spans="2:20" ht="23.1" customHeight="1" x14ac:dyDescent="0.25">
      <c r="B89" s="23" t="s">
        <v>129</v>
      </c>
      <c r="C89" s="49">
        <f>AVERAGE('26.07 BUSEGA-KYENGERA-24h'!C89,'27.07 BUSEGA-KYENGERA-24h'!C89)</f>
        <v>13.5</v>
      </c>
      <c r="D89" s="49">
        <f>AVERAGE('26.07 BUSEGA-KYENGERA-24h'!D89,'27.07 BUSEGA-KYENGERA-24h'!D89)</f>
        <v>1.5</v>
      </c>
      <c r="E89" s="49">
        <f>AVERAGE('26.07 BUSEGA-KYENGERA-24h'!E89,'27.07 BUSEGA-KYENGERA-24h'!E89)</f>
        <v>1</v>
      </c>
      <c r="F89" s="49">
        <f>AVERAGE('26.07 BUSEGA-KYENGERA-24h'!F89,'27.07 BUSEGA-KYENGERA-24h'!F89)</f>
        <v>2</v>
      </c>
      <c r="G89" s="49">
        <f>AVERAGE('26.07 BUSEGA-KYENGERA-24h'!G89,'27.07 BUSEGA-KYENGERA-24h'!G89)</f>
        <v>0</v>
      </c>
      <c r="H89" s="49">
        <f>AVERAGE('26.07 BUSEGA-KYENGERA-24h'!H89,'27.07 BUSEGA-KYENGERA-24h'!H89)</f>
        <v>0</v>
      </c>
      <c r="I89" s="49">
        <f>AVERAGE('26.07 BUSEGA-KYENGERA-24h'!I89,'27.07 BUSEGA-KYENGERA-24h'!I89)</f>
        <v>1.5</v>
      </c>
      <c r="J89" s="49">
        <f>AVERAGE('26.07 BUSEGA-KYENGERA-24h'!J89,'27.07 BUSEGA-KYENGERA-24h'!J89)</f>
        <v>6</v>
      </c>
      <c r="K89" s="49">
        <f>AVERAGE('26.07 BUSEGA-KYENGERA-24h'!K89,'27.07 BUSEGA-KYENGERA-24h'!K89)</f>
        <v>0.5</v>
      </c>
      <c r="L89" s="49">
        <f>AVERAGE('26.07 BUSEGA-KYENGERA-24h'!L89,'27.07 BUSEGA-KYENGERA-24h'!L89)</f>
        <v>1</v>
      </c>
      <c r="M89" s="49">
        <f>AVERAGE('26.07 BUSEGA-KYENGERA-24h'!M89,'27.07 BUSEGA-KYENGERA-24h'!M89)</f>
        <v>34.5</v>
      </c>
      <c r="N89" s="49">
        <f>AVERAGE('26.07 BUSEGA-KYENGERA-24h'!N89,'27.07 BUSEGA-KYENGERA-24h'!N89)</f>
        <v>0</v>
      </c>
      <c r="O89" s="15">
        <f t="shared" si="35"/>
        <v>27</v>
      </c>
      <c r="P89" s="15">
        <f t="shared" si="36"/>
        <v>61.5</v>
      </c>
      <c r="R89" s="8"/>
      <c r="T89"/>
    </row>
    <row r="90" spans="2:20" ht="23.1" customHeight="1" x14ac:dyDescent="0.25">
      <c r="B90" s="24" t="s">
        <v>130</v>
      </c>
      <c r="C90" s="49">
        <f>AVERAGE('26.07 BUSEGA-KYENGERA-24h'!C90,'27.07 BUSEGA-KYENGERA-24h'!C90)</f>
        <v>8.5</v>
      </c>
      <c r="D90" s="49">
        <f>AVERAGE('26.07 BUSEGA-KYENGERA-24h'!D90,'27.07 BUSEGA-KYENGERA-24h'!D90)</f>
        <v>1.5</v>
      </c>
      <c r="E90" s="49">
        <f>AVERAGE('26.07 BUSEGA-KYENGERA-24h'!E90,'27.07 BUSEGA-KYENGERA-24h'!E90)</f>
        <v>1</v>
      </c>
      <c r="F90" s="49">
        <f>AVERAGE('26.07 BUSEGA-KYENGERA-24h'!F90,'27.07 BUSEGA-KYENGERA-24h'!F90)</f>
        <v>2.5</v>
      </c>
      <c r="G90" s="49">
        <f>AVERAGE('26.07 BUSEGA-KYENGERA-24h'!G90,'27.07 BUSEGA-KYENGERA-24h'!G90)</f>
        <v>0</v>
      </c>
      <c r="H90" s="49">
        <f>AVERAGE('26.07 BUSEGA-KYENGERA-24h'!H90,'27.07 BUSEGA-KYENGERA-24h'!H90)</f>
        <v>0</v>
      </c>
      <c r="I90" s="49">
        <f>AVERAGE('26.07 BUSEGA-KYENGERA-24h'!I90,'27.07 BUSEGA-KYENGERA-24h'!I90)</f>
        <v>6.5</v>
      </c>
      <c r="J90" s="49">
        <f>AVERAGE('26.07 BUSEGA-KYENGERA-24h'!J90,'27.07 BUSEGA-KYENGERA-24h'!J90)</f>
        <v>5</v>
      </c>
      <c r="K90" s="49">
        <f>AVERAGE('26.07 BUSEGA-KYENGERA-24h'!K90,'27.07 BUSEGA-KYENGERA-24h'!K90)</f>
        <v>1</v>
      </c>
      <c r="L90" s="49">
        <f>AVERAGE('26.07 BUSEGA-KYENGERA-24h'!L90,'27.07 BUSEGA-KYENGERA-24h'!L90)</f>
        <v>1.5</v>
      </c>
      <c r="M90" s="49">
        <f>AVERAGE('26.07 BUSEGA-KYENGERA-24h'!M90,'27.07 BUSEGA-KYENGERA-24h'!M90)</f>
        <v>39</v>
      </c>
      <c r="N90" s="49">
        <f>AVERAGE('26.07 BUSEGA-KYENGERA-24h'!N90,'27.07 BUSEGA-KYENGERA-24h'!N90)</f>
        <v>0</v>
      </c>
      <c r="O90" s="15">
        <f t="shared" si="35"/>
        <v>27.5</v>
      </c>
      <c r="P90" s="15">
        <f t="shared" si="36"/>
        <v>66.5</v>
      </c>
      <c r="R90" s="8"/>
      <c r="T90"/>
    </row>
    <row r="91" spans="2:20" ht="23.1" customHeight="1" x14ac:dyDescent="0.25">
      <c r="B91" s="23" t="s">
        <v>131</v>
      </c>
      <c r="C91" s="49">
        <f>AVERAGE('26.07 BUSEGA-KYENGERA-24h'!C91,'27.07 BUSEGA-KYENGERA-24h'!C91)</f>
        <v>6.5</v>
      </c>
      <c r="D91" s="49">
        <f>AVERAGE('26.07 BUSEGA-KYENGERA-24h'!D91,'27.07 BUSEGA-KYENGERA-24h'!D91)</f>
        <v>2.5</v>
      </c>
      <c r="E91" s="49">
        <f>AVERAGE('26.07 BUSEGA-KYENGERA-24h'!E91,'27.07 BUSEGA-KYENGERA-24h'!E91)</f>
        <v>0.5</v>
      </c>
      <c r="F91" s="49">
        <f>AVERAGE('26.07 BUSEGA-KYENGERA-24h'!F91,'27.07 BUSEGA-KYENGERA-24h'!F91)</f>
        <v>1</v>
      </c>
      <c r="G91" s="49">
        <f>AVERAGE('26.07 BUSEGA-KYENGERA-24h'!G91,'27.07 BUSEGA-KYENGERA-24h'!G91)</f>
        <v>0</v>
      </c>
      <c r="H91" s="49">
        <f>AVERAGE('26.07 BUSEGA-KYENGERA-24h'!H91,'27.07 BUSEGA-KYENGERA-24h'!H91)</f>
        <v>0.5</v>
      </c>
      <c r="I91" s="49">
        <f>AVERAGE('26.07 BUSEGA-KYENGERA-24h'!I91,'27.07 BUSEGA-KYENGERA-24h'!I91)</f>
        <v>4.5</v>
      </c>
      <c r="J91" s="49">
        <f>AVERAGE('26.07 BUSEGA-KYENGERA-24h'!J91,'27.07 BUSEGA-KYENGERA-24h'!J91)</f>
        <v>5</v>
      </c>
      <c r="K91" s="49">
        <f>AVERAGE('26.07 BUSEGA-KYENGERA-24h'!K91,'27.07 BUSEGA-KYENGERA-24h'!K91)</f>
        <v>1.5</v>
      </c>
      <c r="L91" s="49">
        <f>AVERAGE('26.07 BUSEGA-KYENGERA-24h'!L91,'27.07 BUSEGA-KYENGERA-24h'!L91)</f>
        <v>2</v>
      </c>
      <c r="M91" s="49">
        <f>AVERAGE('26.07 BUSEGA-KYENGERA-24h'!M91,'27.07 BUSEGA-KYENGERA-24h'!M91)</f>
        <v>34.5</v>
      </c>
      <c r="N91" s="49">
        <f>AVERAGE('26.07 BUSEGA-KYENGERA-24h'!N91,'27.07 BUSEGA-KYENGERA-24h'!N91)</f>
        <v>0</v>
      </c>
      <c r="O91" s="15">
        <f t="shared" si="35"/>
        <v>24</v>
      </c>
      <c r="P91" s="15">
        <f t="shared" si="36"/>
        <v>58.5</v>
      </c>
      <c r="R91" s="8"/>
      <c r="T91"/>
    </row>
    <row r="92" spans="2:20" ht="23.1" customHeight="1" x14ac:dyDescent="0.25">
      <c r="B92" s="25" t="s">
        <v>132</v>
      </c>
      <c r="C92" s="49">
        <f>AVERAGE('26.07 BUSEGA-KYENGERA-24h'!C92,'27.07 BUSEGA-KYENGERA-24h'!C92)</f>
        <v>16.5</v>
      </c>
      <c r="D92" s="49">
        <f>AVERAGE('26.07 BUSEGA-KYENGERA-24h'!D92,'27.07 BUSEGA-KYENGERA-24h'!D92)</f>
        <v>3</v>
      </c>
      <c r="E92" s="49">
        <f>AVERAGE('26.07 BUSEGA-KYENGERA-24h'!E92,'27.07 BUSEGA-KYENGERA-24h'!E92)</f>
        <v>0</v>
      </c>
      <c r="F92" s="49">
        <f>AVERAGE('26.07 BUSEGA-KYENGERA-24h'!F92,'27.07 BUSEGA-KYENGERA-24h'!F92)</f>
        <v>1</v>
      </c>
      <c r="G92" s="49">
        <f>AVERAGE('26.07 BUSEGA-KYENGERA-24h'!G92,'27.07 BUSEGA-KYENGERA-24h'!G92)</f>
        <v>0</v>
      </c>
      <c r="H92" s="49">
        <f>AVERAGE('26.07 BUSEGA-KYENGERA-24h'!H92,'27.07 BUSEGA-KYENGERA-24h'!H92)</f>
        <v>0.5</v>
      </c>
      <c r="I92" s="49">
        <f>AVERAGE('26.07 BUSEGA-KYENGERA-24h'!I92,'27.07 BUSEGA-KYENGERA-24h'!I92)</f>
        <v>2.5</v>
      </c>
      <c r="J92" s="49">
        <f>AVERAGE('26.07 BUSEGA-KYENGERA-24h'!J92,'27.07 BUSEGA-KYENGERA-24h'!J92)</f>
        <v>5.5</v>
      </c>
      <c r="K92" s="49">
        <f>AVERAGE('26.07 BUSEGA-KYENGERA-24h'!K92,'27.07 BUSEGA-KYENGERA-24h'!K92)</f>
        <v>0</v>
      </c>
      <c r="L92" s="49">
        <f>AVERAGE('26.07 BUSEGA-KYENGERA-24h'!L92,'27.07 BUSEGA-KYENGERA-24h'!L92)</f>
        <v>0</v>
      </c>
      <c r="M92" s="49">
        <f>AVERAGE('26.07 BUSEGA-KYENGERA-24h'!M92,'27.07 BUSEGA-KYENGERA-24h'!M92)</f>
        <v>44</v>
      </c>
      <c r="N92" s="49">
        <f>AVERAGE('26.07 BUSEGA-KYENGERA-24h'!N92,'27.07 BUSEGA-KYENGERA-24h'!N92)</f>
        <v>0</v>
      </c>
      <c r="O92" s="15">
        <f t="shared" si="35"/>
        <v>29</v>
      </c>
      <c r="P92" s="15">
        <f t="shared" si="36"/>
        <v>73</v>
      </c>
      <c r="R92" s="8"/>
      <c r="T92"/>
    </row>
    <row r="93" spans="2:20" ht="23.1" customHeight="1" x14ac:dyDescent="0.25">
      <c r="B93" s="23" t="s">
        <v>133</v>
      </c>
      <c r="C93" s="49">
        <f>AVERAGE('26.07 BUSEGA-KYENGERA-24h'!C93,'27.07 BUSEGA-KYENGERA-24h'!C93)</f>
        <v>8.5</v>
      </c>
      <c r="D93" s="49">
        <f>AVERAGE('26.07 BUSEGA-KYENGERA-24h'!D93,'27.07 BUSEGA-KYENGERA-24h'!D93)</f>
        <v>1.5</v>
      </c>
      <c r="E93" s="49">
        <f>AVERAGE('26.07 BUSEGA-KYENGERA-24h'!E93,'27.07 BUSEGA-KYENGERA-24h'!E93)</f>
        <v>2</v>
      </c>
      <c r="F93" s="49">
        <f>AVERAGE('26.07 BUSEGA-KYENGERA-24h'!F93,'27.07 BUSEGA-KYENGERA-24h'!F93)</f>
        <v>1</v>
      </c>
      <c r="G93" s="49">
        <f>AVERAGE('26.07 BUSEGA-KYENGERA-24h'!G93,'27.07 BUSEGA-KYENGERA-24h'!G93)</f>
        <v>0</v>
      </c>
      <c r="H93" s="49">
        <f>AVERAGE('26.07 BUSEGA-KYENGERA-24h'!H93,'27.07 BUSEGA-KYENGERA-24h'!H93)</f>
        <v>0</v>
      </c>
      <c r="I93" s="49">
        <f>AVERAGE('26.07 BUSEGA-KYENGERA-24h'!I93,'27.07 BUSEGA-KYENGERA-24h'!I93)</f>
        <v>4.5</v>
      </c>
      <c r="J93" s="49">
        <f>AVERAGE('26.07 BUSEGA-KYENGERA-24h'!J93,'27.07 BUSEGA-KYENGERA-24h'!J93)</f>
        <v>5.5</v>
      </c>
      <c r="K93" s="49">
        <f>AVERAGE('26.07 BUSEGA-KYENGERA-24h'!K93,'27.07 BUSEGA-KYENGERA-24h'!K93)</f>
        <v>0</v>
      </c>
      <c r="L93" s="49">
        <f>AVERAGE('26.07 BUSEGA-KYENGERA-24h'!L93,'27.07 BUSEGA-KYENGERA-24h'!L93)</f>
        <v>1.5</v>
      </c>
      <c r="M93" s="49">
        <f>AVERAGE('26.07 BUSEGA-KYENGERA-24h'!M93,'27.07 BUSEGA-KYENGERA-24h'!M93)</f>
        <v>38</v>
      </c>
      <c r="N93" s="49">
        <f>AVERAGE('26.07 BUSEGA-KYENGERA-24h'!N93,'27.07 BUSEGA-KYENGERA-24h'!N93)</f>
        <v>0</v>
      </c>
      <c r="O93" s="15">
        <f t="shared" si="35"/>
        <v>24.5</v>
      </c>
      <c r="P93" s="15">
        <f t="shared" si="36"/>
        <v>62.5</v>
      </c>
      <c r="R93" s="8"/>
      <c r="T93"/>
    </row>
    <row r="94" spans="2:20" ht="23.1" customHeight="1" x14ac:dyDescent="0.25">
      <c r="B94" s="24" t="s">
        <v>134</v>
      </c>
      <c r="C94" s="49">
        <f>AVERAGE('26.07 BUSEGA-KYENGERA-24h'!C94,'27.07 BUSEGA-KYENGERA-24h'!C94)</f>
        <v>13.5</v>
      </c>
      <c r="D94" s="49">
        <f>AVERAGE('26.07 BUSEGA-KYENGERA-24h'!D94,'27.07 BUSEGA-KYENGERA-24h'!D94)</f>
        <v>0</v>
      </c>
      <c r="E94" s="49">
        <f>AVERAGE('26.07 BUSEGA-KYENGERA-24h'!E94,'27.07 BUSEGA-KYENGERA-24h'!E94)</f>
        <v>1</v>
      </c>
      <c r="F94" s="49">
        <f>AVERAGE('26.07 BUSEGA-KYENGERA-24h'!F94,'27.07 BUSEGA-KYENGERA-24h'!F94)</f>
        <v>1.5</v>
      </c>
      <c r="G94" s="49">
        <f>AVERAGE('26.07 BUSEGA-KYENGERA-24h'!G94,'27.07 BUSEGA-KYENGERA-24h'!G94)</f>
        <v>0</v>
      </c>
      <c r="H94" s="49">
        <f>AVERAGE('26.07 BUSEGA-KYENGERA-24h'!H94,'27.07 BUSEGA-KYENGERA-24h'!H94)</f>
        <v>0.5</v>
      </c>
      <c r="I94" s="49">
        <f>AVERAGE('26.07 BUSEGA-KYENGERA-24h'!I94,'27.07 BUSEGA-KYENGERA-24h'!I94)</f>
        <v>2</v>
      </c>
      <c r="J94" s="49">
        <f>AVERAGE('26.07 BUSEGA-KYENGERA-24h'!J94,'27.07 BUSEGA-KYENGERA-24h'!J94)</f>
        <v>4.5</v>
      </c>
      <c r="K94" s="49">
        <f>AVERAGE('26.07 BUSEGA-KYENGERA-24h'!K94,'27.07 BUSEGA-KYENGERA-24h'!K94)</f>
        <v>0</v>
      </c>
      <c r="L94" s="49">
        <f>AVERAGE('26.07 BUSEGA-KYENGERA-24h'!L94,'27.07 BUSEGA-KYENGERA-24h'!L94)</f>
        <v>1</v>
      </c>
      <c r="M94" s="49">
        <f>AVERAGE('26.07 BUSEGA-KYENGERA-24h'!M94,'27.07 BUSEGA-KYENGERA-24h'!M94)</f>
        <v>38.5</v>
      </c>
      <c r="N94" s="49">
        <f>AVERAGE('26.07 BUSEGA-KYENGERA-24h'!N94,'27.07 BUSEGA-KYENGERA-24h'!N94)</f>
        <v>0</v>
      </c>
      <c r="O94" s="15">
        <f t="shared" si="35"/>
        <v>24</v>
      </c>
      <c r="P94" s="15">
        <f t="shared" si="36"/>
        <v>62.5</v>
      </c>
      <c r="R94" s="8"/>
      <c r="T94"/>
    </row>
    <row r="95" spans="2:20" ht="23.1" customHeight="1" x14ac:dyDescent="0.25">
      <c r="B95" s="23" t="s">
        <v>135</v>
      </c>
      <c r="C95" s="49">
        <f>AVERAGE('26.07 BUSEGA-KYENGERA-24h'!C95,'27.07 BUSEGA-KYENGERA-24h'!C95)</f>
        <v>15.5</v>
      </c>
      <c r="D95" s="49">
        <f>AVERAGE('26.07 BUSEGA-KYENGERA-24h'!D95,'27.07 BUSEGA-KYENGERA-24h'!D95)</f>
        <v>2</v>
      </c>
      <c r="E95" s="49">
        <f>AVERAGE('26.07 BUSEGA-KYENGERA-24h'!E95,'27.07 BUSEGA-KYENGERA-24h'!E95)</f>
        <v>1</v>
      </c>
      <c r="F95" s="49">
        <f>AVERAGE('26.07 BUSEGA-KYENGERA-24h'!F95,'27.07 BUSEGA-KYENGERA-24h'!F95)</f>
        <v>3</v>
      </c>
      <c r="G95" s="49">
        <f>AVERAGE('26.07 BUSEGA-KYENGERA-24h'!G95,'27.07 BUSEGA-KYENGERA-24h'!G95)</f>
        <v>0</v>
      </c>
      <c r="H95" s="49">
        <f>AVERAGE('26.07 BUSEGA-KYENGERA-24h'!H95,'27.07 BUSEGA-KYENGERA-24h'!H95)</f>
        <v>0.5</v>
      </c>
      <c r="I95" s="49">
        <f>AVERAGE('26.07 BUSEGA-KYENGERA-24h'!I95,'27.07 BUSEGA-KYENGERA-24h'!I95)</f>
        <v>5</v>
      </c>
      <c r="J95" s="49">
        <f>AVERAGE('26.07 BUSEGA-KYENGERA-24h'!J95,'27.07 BUSEGA-KYENGERA-24h'!J95)</f>
        <v>4</v>
      </c>
      <c r="K95" s="49">
        <f>AVERAGE('26.07 BUSEGA-KYENGERA-24h'!K95,'27.07 BUSEGA-KYENGERA-24h'!K95)</f>
        <v>0</v>
      </c>
      <c r="L95" s="49">
        <f>AVERAGE('26.07 BUSEGA-KYENGERA-24h'!L95,'27.07 BUSEGA-KYENGERA-24h'!L95)</f>
        <v>0.5</v>
      </c>
      <c r="M95" s="49">
        <f>AVERAGE('26.07 BUSEGA-KYENGERA-24h'!M95,'27.07 BUSEGA-KYENGERA-24h'!M95)</f>
        <v>27</v>
      </c>
      <c r="N95" s="49">
        <f>AVERAGE('26.07 BUSEGA-KYENGERA-24h'!N95,'27.07 BUSEGA-KYENGERA-24h'!N95)</f>
        <v>0</v>
      </c>
      <c r="O95" s="15">
        <f t="shared" si="35"/>
        <v>31.5</v>
      </c>
      <c r="P95" s="15">
        <f t="shared" si="36"/>
        <v>58.5</v>
      </c>
      <c r="R95" s="8"/>
      <c r="T95"/>
    </row>
    <row r="96" spans="2:20" ht="23.1" customHeight="1" x14ac:dyDescent="0.25">
      <c r="B96" s="25" t="s">
        <v>136</v>
      </c>
      <c r="C96" s="49">
        <f>AVERAGE('26.07 BUSEGA-KYENGERA-24h'!C96,'27.07 BUSEGA-KYENGERA-24h'!C96)</f>
        <v>17</v>
      </c>
      <c r="D96" s="49">
        <f>AVERAGE('26.07 BUSEGA-KYENGERA-24h'!D96,'27.07 BUSEGA-KYENGERA-24h'!D96)</f>
        <v>3</v>
      </c>
      <c r="E96" s="49">
        <f>AVERAGE('26.07 BUSEGA-KYENGERA-24h'!E96,'27.07 BUSEGA-KYENGERA-24h'!E96)</f>
        <v>2.5</v>
      </c>
      <c r="F96" s="49">
        <f>AVERAGE('26.07 BUSEGA-KYENGERA-24h'!F96,'27.07 BUSEGA-KYENGERA-24h'!F96)</f>
        <v>1.5</v>
      </c>
      <c r="G96" s="49">
        <f>AVERAGE('26.07 BUSEGA-KYENGERA-24h'!G96,'27.07 BUSEGA-KYENGERA-24h'!G96)</f>
        <v>0</v>
      </c>
      <c r="H96" s="49">
        <f>AVERAGE('26.07 BUSEGA-KYENGERA-24h'!H96,'27.07 BUSEGA-KYENGERA-24h'!H96)</f>
        <v>0.5</v>
      </c>
      <c r="I96" s="49">
        <f>AVERAGE('26.07 BUSEGA-KYENGERA-24h'!I96,'27.07 BUSEGA-KYENGERA-24h'!I96)</f>
        <v>4</v>
      </c>
      <c r="J96" s="49">
        <f>AVERAGE('26.07 BUSEGA-KYENGERA-24h'!J96,'27.07 BUSEGA-KYENGERA-24h'!J96)</f>
        <v>5</v>
      </c>
      <c r="K96" s="49">
        <f>AVERAGE('26.07 BUSEGA-KYENGERA-24h'!K96,'27.07 BUSEGA-KYENGERA-24h'!K96)</f>
        <v>0</v>
      </c>
      <c r="L96" s="49">
        <f>AVERAGE('26.07 BUSEGA-KYENGERA-24h'!L96,'27.07 BUSEGA-KYENGERA-24h'!L96)</f>
        <v>1.5</v>
      </c>
      <c r="M96" s="49">
        <f>AVERAGE('26.07 BUSEGA-KYENGERA-24h'!M96,'27.07 BUSEGA-KYENGERA-24h'!M96)</f>
        <v>36.5</v>
      </c>
      <c r="N96" s="49">
        <f>AVERAGE('26.07 BUSEGA-KYENGERA-24h'!N96,'27.07 BUSEGA-KYENGERA-24h'!N96)</f>
        <v>0</v>
      </c>
      <c r="O96" s="15">
        <f t="shared" si="35"/>
        <v>35</v>
      </c>
      <c r="P96" s="15">
        <f t="shared" si="36"/>
        <v>71.5</v>
      </c>
      <c r="R96" s="8"/>
      <c r="T96"/>
    </row>
    <row r="97" spans="2:20" ht="23.1" customHeight="1" x14ac:dyDescent="0.25">
      <c r="B97" s="23" t="s">
        <v>137</v>
      </c>
      <c r="C97" s="49">
        <f>AVERAGE('26.07 BUSEGA-KYENGERA-24h'!C97,'27.07 BUSEGA-KYENGERA-24h'!C97)</f>
        <v>15.5</v>
      </c>
      <c r="D97" s="49">
        <f>AVERAGE('26.07 BUSEGA-KYENGERA-24h'!D97,'27.07 BUSEGA-KYENGERA-24h'!D97)</f>
        <v>2</v>
      </c>
      <c r="E97" s="49">
        <f>AVERAGE('26.07 BUSEGA-KYENGERA-24h'!E97,'27.07 BUSEGA-KYENGERA-24h'!E97)</f>
        <v>1</v>
      </c>
      <c r="F97" s="49">
        <f>AVERAGE('26.07 BUSEGA-KYENGERA-24h'!F97,'27.07 BUSEGA-KYENGERA-24h'!F97)</f>
        <v>5</v>
      </c>
      <c r="G97" s="49">
        <f>AVERAGE('26.07 BUSEGA-KYENGERA-24h'!G97,'27.07 BUSEGA-KYENGERA-24h'!G97)</f>
        <v>0</v>
      </c>
      <c r="H97" s="49">
        <f>AVERAGE('26.07 BUSEGA-KYENGERA-24h'!H97,'27.07 BUSEGA-KYENGERA-24h'!H97)</f>
        <v>0</v>
      </c>
      <c r="I97" s="49">
        <f>AVERAGE('26.07 BUSEGA-KYENGERA-24h'!I97,'27.07 BUSEGA-KYENGERA-24h'!I97)</f>
        <v>3.5</v>
      </c>
      <c r="J97" s="49">
        <f>AVERAGE('26.07 BUSEGA-KYENGERA-24h'!J97,'27.07 BUSEGA-KYENGERA-24h'!J97)</f>
        <v>3.5</v>
      </c>
      <c r="K97" s="49">
        <f>AVERAGE('26.07 BUSEGA-KYENGERA-24h'!K97,'27.07 BUSEGA-KYENGERA-24h'!K97)</f>
        <v>0.5</v>
      </c>
      <c r="L97" s="49">
        <f>AVERAGE('26.07 BUSEGA-KYENGERA-24h'!L97,'27.07 BUSEGA-KYENGERA-24h'!L97)</f>
        <v>2.5</v>
      </c>
      <c r="M97" s="49">
        <f>AVERAGE('26.07 BUSEGA-KYENGERA-24h'!M97,'27.07 BUSEGA-KYENGERA-24h'!M97)</f>
        <v>27</v>
      </c>
      <c r="N97" s="49">
        <f>AVERAGE('26.07 BUSEGA-KYENGERA-24h'!N97,'27.07 BUSEGA-KYENGERA-24h'!N97)</f>
        <v>0</v>
      </c>
      <c r="O97" s="15">
        <f t="shared" si="35"/>
        <v>33.5</v>
      </c>
      <c r="P97" s="15">
        <f t="shared" si="36"/>
        <v>60.5</v>
      </c>
      <c r="R97" s="8"/>
      <c r="T97"/>
    </row>
    <row r="98" spans="2:20" ht="23.1" customHeight="1" x14ac:dyDescent="0.25">
      <c r="B98" s="24" t="s">
        <v>138</v>
      </c>
      <c r="C98" s="49">
        <f>AVERAGE('26.07 BUSEGA-KYENGERA-24h'!C98,'27.07 BUSEGA-KYENGERA-24h'!C98)</f>
        <v>11.5</v>
      </c>
      <c r="D98" s="49">
        <f>AVERAGE('26.07 BUSEGA-KYENGERA-24h'!D98,'27.07 BUSEGA-KYENGERA-24h'!D98)</f>
        <v>2</v>
      </c>
      <c r="E98" s="49">
        <f>AVERAGE('26.07 BUSEGA-KYENGERA-24h'!E98,'27.07 BUSEGA-KYENGERA-24h'!E98)</f>
        <v>0</v>
      </c>
      <c r="F98" s="49">
        <f>AVERAGE('26.07 BUSEGA-KYENGERA-24h'!F98,'27.07 BUSEGA-KYENGERA-24h'!F98)</f>
        <v>2.5</v>
      </c>
      <c r="G98" s="49">
        <f>AVERAGE('26.07 BUSEGA-KYENGERA-24h'!G98,'27.07 BUSEGA-KYENGERA-24h'!G98)</f>
        <v>0.5</v>
      </c>
      <c r="H98" s="49">
        <f>AVERAGE('26.07 BUSEGA-KYENGERA-24h'!H98,'27.07 BUSEGA-KYENGERA-24h'!H98)</f>
        <v>0.5</v>
      </c>
      <c r="I98" s="49">
        <f>AVERAGE('26.07 BUSEGA-KYENGERA-24h'!I98,'27.07 BUSEGA-KYENGERA-24h'!I98)</f>
        <v>5.5</v>
      </c>
      <c r="J98" s="49">
        <f>AVERAGE('26.07 BUSEGA-KYENGERA-24h'!J98,'27.07 BUSEGA-KYENGERA-24h'!J98)</f>
        <v>8</v>
      </c>
      <c r="K98" s="49">
        <f>AVERAGE('26.07 BUSEGA-KYENGERA-24h'!K98,'27.07 BUSEGA-KYENGERA-24h'!K98)</f>
        <v>0.5</v>
      </c>
      <c r="L98" s="49">
        <f>AVERAGE('26.07 BUSEGA-KYENGERA-24h'!L98,'27.07 BUSEGA-KYENGERA-24h'!L98)</f>
        <v>2</v>
      </c>
      <c r="M98" s="49">
        <f>AVERAGE('26.07 BUSEGA-KYENGERA-24h'!M98,'27.07 BUSEGA-KYENGERA-24h'!M98)</f>
        <v>43.5</v>
      </c>
      <c r="N98" s="49">
        <f>AVERAGE('26.07 BUSEGA-KYENGERA-24h'!N98,'27.07 BUSEGA-KYENGERA-24h'!N98)</f>
        <v>0</v>
      </c>
      <c r="O98" s="15">
        <f t="shared" si="35"/>
        <v>33</v>
      </c>
      <c r="P98" s="15">
        <f t="shared" si="36"/>
        <v>76.5</v>
      </c>
      <c r="R98" s="8"/>
      <c r="T98"/>
    </row>
    <row r="99" spans="2:20" ht="23.1" customHeight="1" x14ac:dyDescent="0.25">
      <c r="B99" s="23" t="s">
        <v>139</v>
      </c>
      <c r="C99" s="49">
        <f>AVERAGE('26.07 BUSEGA-KYENGERA-24h'!C99,'27.07 BUSEGA-KYENGERA-24h'!C99)</f>
        <v>16</v>
      </c>
      <c r="D99" s="49">
        <f>AVERAGE('26.07 BUSEGA-KYENGERA-24h'!D99,'27.07 BUSEGA-KYENGERA-24h'!D99)</f>
        <v>3</v>
      </c>
      <c r="E99" s="49">
        <f>AVERAGE('26.07 BUSEGA-KYENGERA-24h'!E99,'27.07 BUSEGA-KYENGERA-24h'!E99)</f>
        <v>3.5</v>
      </c>
      <c r="F99" s="49">
        <f>AVERAGE('26.07 BUSEGA-KYENGERA-24h'!F99,'27.07 BUSEGA-KYENGERA-24h'!F99)</f>
        <v>7</v>
      </c>
      <c r="G99" s="49">
        <f>AVERAGE('26.07 BUSEGA-KYENGERA-24h'!G99,'27.07 BUSEGA-KYENGERA-24h'!G99)</f>
        <v>0</v>
      </c>
      <c r="H99" s="49">
        <f>AVERAGE('26.07 BUSEGA-KYENGERA-24h'!H99,'27.07 BUSEGA-KYENGERA-24h'!H99)</f>
        <v>0</v>
      </c>
      <c r="I99" s="49">
        <f>AVERAGE('26.07 BUSEGA-KYENGERA-24h'!I99,'27.07 BUSEGA-KYENGERA-24h'!I99)</f>
        <v>7</v>
      </c>
      <c r="J99" s="49">
        <f>AVERAGE('26.07 BUSEGA-KYENGERA-24h'!J99,'27.07 BUSEGA-KYENGERA-24h'!J99)</f>
        <v>3</v>
      </c>
      <c r="K99" s="49">
        <f>AVERAGE('26.07 BUSEGA-KYENGERA-24h'!K99,'27.07 BUSEGA-KYENGERA-24h'!K99)</f>
        <v>1</v>
      </c>
      <c r="L99" s="49">
        <f>AVERAGE('26.07 BUSEGA-KYENGERA-24h'!L99,'27.07 BUSEGA-KYENGERA-24h'!L99)</f>
        <v>3</v>
      </c>
      <c r="M99" s="49">
        <f>AVERAGE('26.07 BUSEGA-KYENGERA-24h'!M99,'27.07 BUSEGA-KYENGERA-24h'!M99)</f>
        <v>48.5</v>
      </c>
      <c r="N99" s="49">
        <f>AVERAGE('26.07 BUSEGA-KYENGERA-24h'!N99,'27.07 BUSEGA-KYENGERA-24h'!N99)</f>
        <v>0</v>
      </c>
      <c r="O99" s="15">
        <f t="shared" si="35"/>
        <v>43.5</v>
      </c>
      <c r="P99" s="15">
        <f t="shared" si="36"/>
        <v>92</v>
      </c>
      <c r="R99" s="8"/>
      <c r="T99"/>
    </row>
    <row r="100" spans="2:20" ht="23.1" customHeight="1" x14ac:dyDescent="0.25">
      <c r="B100" s="25" t="s">
        <v>140</v>
      </c>
      <c r="C100" s="49">
        <f>AVERAGE('26.07 BUSEGA-KYENGERA-24h'!C100,'27.07 BUSEGA-KYENGERA-24h'!C100)</f>
        <v>18</v>
      </c>
      <c r="D100" s="49">
        <f>AVERAGE('26.07 BUSEGA-KYENGERA-24h'!D100,'27.07 BUSEGA-KYENGERA-24h'!D100)</f>
        <v>4</v>
      </c>
      <c r="E100" s="49">
        <f>AVERAGE('26.07 BUSEGA-KYENGERA-24h'!E100,'27.07 BUSEGA-KYENGERA-24h'!E100)</f>
        <v>1.5</v>
      </c>
      <c r="F100" s="49">
        <f>AVERAGE('26.07 BUSEGA-KYENGERA-24h'!F100,'27.07 BUSEGA-KYENGERA-24h'!F100)</f>
        <v>10</v>
      </c>
      <c r="G100" s="49">
        <f>AVERAGE('26.07 BUSEGA-KYENGERA-24h'!G100,'27.07 BUSEGA-KYENGERA-24h'!G100)</f>
        <v>0</v>
      </c>
      <c r="H100" s="49">
        <f>AVERAGE('26.07 BUSEGA-KYENGERA-24h'!H100,'27.07 BUSEGA-KYENGERA-24h'!H100)</f>
        <v>0.5</v>
      </c>
      <c r="I100" s="49">
        <f>AVERAGE('26.07 BUSEGA-KYENGERA-24h'!I100,'27.07 BUSEGA-KYENGERA-24h'!I100)</f>
        <v>5</v>
      </c>
      <c r="J100" s="49">
        <f>AVERAGE('26.07 BUSEGA-KYENGERA-24h'!J100,'27.07 BUSEGA-KYENGERA-24h'!J100)</f>
        <v>4</v>
      </c>
      <c r="K100" s="49">
        <f>AVERAGE('26.07 BUSEGA-KYENGERA-24h'!K100,'27.07 BUSEGA-KYENGERA-24h'!K100)</f>
        <v>0.5</v>
      </c>
      <c r="L100" s="49">
        <f>AVERAGE('26.07 BUSEGA-KYENGERA-24h'!L100,'27.07 BUSEGA-KYENGERA-24h'!L100)</f>
        <v>2</v>
      </c>
      <c r="M100" s="49">
        <f>AVERAGE('26.07 BUSEGA-KYENGERA-24h'!M100,'27.07 BUSEGA-KYENGERA-24h'!M100)</f>
        <v>48</v>
      </c>
      <c r="N100" s="49">
        <f>AVERAGE('26.07 BUSEGA-KYENGERA-24h'!N100,'27.07 BUSEGA-KYENGERA-24h'!N100)</f>
        <v>0</v>
      </c>
      <c r="O100" s="15">
        <f t="shared" si="35"/>
        <v>45.5</v>
      </c>
      <c r="P100" s="15">
        <f t="shared" si="36"/>
        <v>93.5</v>
      </c>
      <c r="R100" s="8"/>
      <c r="T100"/>
    </row>
    <row r="101" spans="2:20" ht="23.1" customHeight="1" x14ac:dyDescent="0.25">
      <c r="B101" s="23" t="s">
        <v>141</v>
      </c>
      <c r="C101" s="49">
        <f>AVERAGE('26.07 BUSEGA-KYENGERA-24h'!C101,'27.07 BUSEGA-KYENGERA-24h'!C101)</f>
        <v>15</v>
      </c>
      <c r="D101" s="49">
        <f>AVERAGE('26.07 BUSEGA-KYENGERA-24h'!D101,'27.07 BUSEGA-KYENGERA-24h'!D101)</f>
        <v>3</v>
      </c>
      <c r="E101" s="49">
        <f>AVERAGE('26.07 BUSEGA-KYENGERA-24h'!E101,'27.07 BUSEGA-KYENGERA-24h'!E101)</f>
        <v>4.5</v>
      </c>
      <c r="F101" s="49">
        <f>AVERAGE('26.07 BUSEGA-KYENGERA-24h'!F101,'27.07 BUSEGA-KYENGERA-24h'!F101)</f>
        <v>6.5</v>
      </c>
      <c r="G101" s="49">
        <f>AVERAGE('26.07 BUSEGA-KYENGERA-24h'!G101,'27.07 BUSEGA-KYENGERA-24h'!G101)</f>
        <v>0</v>
      </c>
      <c r="H101" s="49">
        <f>AVERAGE('26.07 BUSEGA-KYENGERA-24h'!H101,'27.07 BUSEGA-KYENGERA-24h'!H101)</f>
        <v>0.5</v>
      </c>
      <c r="I101" s="49">
        <f>AVERAGE('26.07 BUSEGA-KYENGERA-24h'!I101,'27.07 BUSEGA-KYENGERA-24h'!I101)</f>
        <v>5.5</v>
      </c>
      <c r="J101" s="49">
        <f>AVERAGE('26.07 BUSEGA-KYENGERA-24h'!J101,'27.07 BUSEGA-KYENGERA-24h'!J101)</f>
        <v>3</v>
      </c>
      <c r="K101" s="49">
        <f>AVERAGE('26.07 BUSEGA-KYENGERA-24h'!K101,'27.07 BUSEGA-KYENGERA-24h'!K101)</f>
        <v>0.5</v>
      </c>
      <c r="L101" s="49">
        <f>AVERAGE('26.07 BUSEGA-KYENGERA-24h'!L101,'27.07 BUSEGA-KYENGERA-24h'!L101)</f>
        <v>4.5</v>
      </c>
      <c r="M101" s="49">
        <f>AVERAGE('26.07 BUSEGA-KYENGERA-24h'!M101,'27.07 BUSEGA-KYENGERA-24h'!M101)</f>
        <v>34</v>
      </c>
      <c r="N101" s="49">
        <f>AVERAGE('26.07 BUSEGA-KYENGERA-24h'!N101,'27.07 BUSEGA-KYENGERA-24h'!N101)</f>
        <v>0</v>
      </c>
      <c r="O101" s="15">
        <f t="shared" si="35"/>
        <v>43</v>
      </c>
      <c r="P101" s="15">
        <f t="shared" si="36"/>
        <v>77</v>
      </c>
      <c r="R101" s="8"/>
      <c r="T101"/>
    </row>
    <row r="102" spans="2:20" ht="23.1" customHeight="1" x14ac:dyDescent="0.25">
      <c r="B102" s="24" t="s">
        <v>142</v>
      </c>
      <c r="C102" s="49">
        <f>AVERAGE('26.07 BUSEGA-KYENGERA-24h'!C102,'27.07 BUSEGA-KYENGERA-24h'!C102)</f>
        <v>21.5</v>
      </c>
      <c r="D102" s="49">
        <f>AVERAGE('26.07 BUSEGA-KYENGERA-24h'!D102,'27.07 BUSEGA-KYENGERA-24h'!D102)</f>
        <v>4.5</v>
      </c>
      <c r="E102" s="49">
        <f>AVERAGE('26.07 BUSEGA-KYENGERA-24h'!E102,'27.07 BUSEGA-KYENGERA-24h'!E102)</f>
        <v>4</v>
      </c>
      <c r="F102" s="49">
        <f>AVERAGE('26.07 BUSEGA-KYENGERA-24h'!F102,'27.07 BUSEGA-KYENGERA-24h'!F102)</f>
        <v>8</v>
      </c>
      <c r="G102" s="49">
        <f>AVERAGE('26.07 BUSEGA-KYENGERA-24h'!G102,'27.07 BUSEGA-KYENGERA-24h'!G102)</f>
        <v>0</v>
      </c>
      <c r="H102" s="49">
        <f>AVERAGE('26.07 BUSEGA-KYENGERA-24h'!H102,'27.07 BUSEGA-KYENGERA-24h'!H102)</f>
        <v>1</v>
      </c>
      <c r="I102" s="49">
        <f>AVERAGE('26.07 BUSEGA-KYENGERA-24h'!I102,'27.07 BUSEGA-KYENGERA-24h'!I102)</f>
        <v>5.5</v>
      </c>
      <c r="J102" s="49">
        <f>AVERAGE('26.07 BUSEGA-KYENGERA-24h'!J102,'27.07 BUSEGA-KYENGERA-24h'!J102)</f>
        <v>7.5</v>
      </c>
      <c r="K102" s="49">
        <f>AVERAGE('26.07 BUSEGA-KYENGERA-24h'!K102,'27.07 BUSEGA-KYENGERA-24h'!K102)</f>
        <v>1</v>
      </c>
      <c r="L102" s="49">
        <f>AVERAGE('26.07 BUSEGA-KYENGERA-24h'!L102,'27.07 BUSEGA-KYENGERA-24h'!L102)</f>
        <v>1.5</v>
      </c>
      <c r="M102" s="49">
        <f>AVERAGE('26.07 BUSEGA-KYENGERA-24h'!M102,'27.07 BUSEGA-KYENGERA-24h'!M102)</f>
        <v>48</v>
      </c>
      <c r="N102" s="49">
        <f>AVERAGE('26.07 BUSEGA-KYENGERA-24h'!N102,'27.07 BUSEGA-KYENGERA-24h'!N102)</f>
        <v>0</v>
      </c>
      <c r="O102" s="15">
        <f t="shared" si="35"/>
        <v>54.5</v>
      </c>
      <c r="P102" s="15">
        <f t="shared" si="36"/>
        <v>102.5</v>
      </c>
      <c r="R102" s="8"/>
      <c r="T102"/>
    </row>
    <row r="103" spans="2:20" ht="23.1" customHeight="1" x14ac:dyDescent="0.25">
      <c r="B103" s="23" t="s">
        <v>143</v>
      </c>
      <c r="C103" s="49">
        <f>AVERAGE('26.07 BUSEGA-KYENGERA-24h'!C103,'27.07 BUSEGA-KYENGERA-24h'!C103)</f>
        <v>21.5</v>
      </c>
      <c r="D103" s="49">
        <f>AVERAGE('26.07 BUSEGA-KYENGERA-24h'!D103,'27.07 BUSEGA-KYENGERA-24h'!D103)</f>
        <v>3</v>
      </c>
      <c r="E103" s="49">
        <f>AVERAGE('26.07 BUSEGA-KYENGERA-24h'!E103,'27.07 BUSEGA-KYENGERA-24h'!E103)</f>
        <v>2.5</v>
      </c>
      <c r="F103" s="49">
        <f>AVERAGE('26.07 BUSEGA-KYENGERA-24h'!F103,'27.07 BUSEGA-KYENGERA-24h'!F103)</f>
        <v>16.5</v>
      </c>
      <c r="G103" s="49">
        <f>AVERAGE('26.07 BUSEGA-KYENGERA-24h'!G103,'27.07 BUSEGA-KYENGERA-24h'!G103)</f>
        <v>1</v>
      </c>
      <c r="H103" s="49">
        <f>AVERAGE('26.07 BUSEGA-KYENGERA-24h'!H103,'27.07 BUSEGA-KYENGERA-24h'!H103)</f>
        <v>0</v>
      </c>
      <c r="I103" s="49">
        <f>AVERAGE('26.07 BUSEGA-KYENGERA-24h'!I103,'27.07 BUSEGA-KYENGERA-24h'!I103)</f>
        <v>7</v>
      </c>
      <c r="J103" s="49">
        <f>AVERAGE('26.07 BUSEGA-KYENGERA-24h'!J103,'27.07 BUSEGA-KYENGERA-24h'!J103)</f>
        <v>10</v>
      </c>
      <c r="K103" s="49">
        <f>AVERAGE('26.07 BUSEGA-KYENGERA-24h'!K103,'27.07 BUSEGA-KYENGERA-24h'!K103)</f>
        <v>0.5</v>
      </c>
      <c r="L103" s="49">
        <f>AVERAGE('26.07 BUSEGA-KYENGERA-24h'!L103,'27.07 BUSEGA-KYENGERA-24h'!L103)</f>
        <v>6.5</v>
      </c>
      <c r="M103" s="49">
        <f>AVERAGE('26.07 BUSEGA-KYENGERA-24h'!M103,'27.07 BUSEGA-KYENGERA-24h'!M103)</f>
        <v>60</v>
      </c>
      <c r="N103" s="49">
        <f>AVERAGE('26.07 BUSEGA-KYENGERA-24h'!N103,'27.07 BUSEGA-KYENGERA-24h'!N103)</f>
        <v>0</v>
      </c>
      <c r="O103" s="15">
        <f t="shared" si="35"/>
        <v>68.5</v>
      </c>
      <c r="P103" s="15">
        <f t="shared" si="36"/>
        <v>128.5</v>
      </c>
      <c r="R103" s="8"/>
      <c r="T103"/>
    </row>
    <row r="104" spans="2:20" ht="23.1" customHeight="1" x14ac:dyDescent="0.25">
      <c r="B104" s="25" t="s">
        <v>144</v>
      </c>
      <c r="C104" s="49">
        <f>AVERAGE('26.07 BUSEGA-KYENGERA-24h'!C104,'27.07 BUSEGA-KYENGERA-24h'!C104)</f>
        <v>48</v>
      </c>
      <c r="D104" s="49">
        <f>AVERAGE('26.07 BUSEGA-KYENGERA-24h'!D104,'27.07 BUSEGA-KYENGERA-24h'!D104)</f>
        <v>11</v>
      </c>
      <c r="E104" s="49">
        <f>AVERAGE('26.07 BUSEGA-KYENGERA-24h'!E104,'27.07 BUSEGA-KYENGERA-24h'!E104)</f>
        <v>7</v>
      </c>
      <c r="F104" s="49">
        <f>AVERAGE('26.07 BUSEGA-KYENGERA-24h'!F104,'27.07 BUSEGA-KYENGERA-24h'!F104)</f>
        <v>25.5</v>
      </c>
      <c r="G104" s="49">
        <f>AVERAGE('26.07 BUSEGA-KYENGERA-24h'!G104,'27.07 BUSEGA-KYENGERA-24h'!G104)</f>
        <v>2</v>
      </c>
      <c r="H104" s="49">
        <f>AVERAGE('26.07 BUSEGA-KYENGERA-24h'!H104,'27.07 BUSEGA-KYENGERA-24h'!H104)</f>
        <v>2.5</v>
      </c>
      <c r="I104" s="49">
        <f>AVERAGE('26.07 BUSEGA-KYENGERA-24h'!I104,'27.07 BUSEGA-KYENGERA-24h'!I104)</f>
        <v>4</v>
      </c>
      <c r="J104" s="49">
        <f>AVERAGE('26.07 BUSEGA-KYENGERA-24h'!J104,'27.07 BUSEGA-KYENGERA-24h'!J104)</f>
        <v>6</v>
      </c>
      <c r="K104" s="49">
        <f>AVERAGE('26.07 BUSEGA-KYENGERA-24h'!K104,'27.07 BUSEGA-KYENGERA-24h'!K104)</f>
        <v>0.5</v>
      </c>
      <c r="L104" s="49">
        <f>AVERAGE('26.07 BUSEGA-KYENGERA-24h'!L104,'27.07 BUSEGA-KYENGERA-24h'!L104)</f>
        <v>2.5</v>
      </c>
      <c r="M104" s="49">
        <f>AVERAGE('26.07 BUSEGA-KYENGERA-24h'!M104,'27.07 BUSEGA-KYENGERA-24h'!M104)</f>
        <v>51</v>
      </c>
      <c r="N104" s="49">
        <f>AVERAGE('26.07 BUSEGA-KYENGERA-24h'!N104,'27.07 BUSEGA-KYENGERA-24h'!N104)</f>
        <v>0</v>
      </c>
      <c r="O104" s="15">
        <f t="shared" si="35"/>
        <v>109</v>
      </c>
      <c r="P104" s="15">
        <f t="shared" si="36"/>
        <v>160</v>
      </c>
      <c r="R104" s="8"/>
      <c r="T104"/>
    </row>
    <row r="105" spans="2:20" ht="23.1" customHeight="1" x14ac:dyDescent="0.25">
      <c r="B105" s="23" t="s">
        <v>145</v>
      </c>
      <c r="C105" s="49">
        <f>AVERAGE('26.07 BUSEGA-KYENGERA-24h'!C105,'27.07 BUSEGA-KYENGERA-24h'!C105)</f>
        <v>60</v>
      </c>
      <c r="D105" s="49">
        <f>AVERAGE('26.07 BUSEGA-KYENGERA-24h'!D105,'27.07 BUSEGA-KYENGERA-24h'!D105)</f>
        <v>7</v>
      </c>
      <c r="E105" s="49">
        <f>AVERAGE('26.07 BUSEGA-KYENGERA-24h'!E105,'27.07 BUSEGA-KYENGERA-24h'!E105)</f>
        <v>2.5</v>
      </c>
      <c r="F105" s="49">
        <f>AVERAGE('26.07 BUSEGA-KYENGERA-24h'!F105,'27.07 BUSEGA-KYENGERA-24h'!F105)</f>
        <v>15</v>
      </c>
      <c r="G105" s="49">
        <f>AVERAGE('26.07 BUSEGA-KYENGERA-24h'!G105,'27.07 BUSEGA-KYENGERA-24h'!G105)</f>
        <v>17</v>
      </c>
      <c r="H105" s="49">
        <f>AVERAGE('26.07 BUSEGA-KYENGERA-24h'!H105,'27.07 BUSEGA-KYENGERA-24h'!H105)</f>
        <v>0.5</v>
      </c>
      <c r="I105" s="49">
        <f>AVERAGE('26.07 BUSEGA-KYENGERA-24h'!I105,'27.07 BUSEGA-KYENGERA-24h'!I105)</f>
        <v>3.5</v>
      </c>
      <c r="J105" s="49">
        <f>AVERAGE('26.07 BUSEGA-KYENGERA-24h'!J105,'27.07 BUSEGA-KYENGERA-24h'!J105)</f>
        <v>3</v>
      </c>
      <c r="K105" s="49">
        <f>AVERAGE('26.07 BUSEGA-KYENGERA-24h'!K105,'27.07 BUSEGA-KYENGERA-24h'!K105)</f>
        <v>2.5</v>
      </c>
      <c r="L105" s="49">
        <f>AVERAGE('26.07 BUSEGA-KYENGERA-24h'!L105,'27.07 BUSEGA-KYENGERA-24h'!L105)</f>
        <v>2</v>
      </c>
      <c r="M105" s="49">
        <f>AVERAGE('26.07 BUSEGA-KYENGERA-24h'!M105,'27.07 BUSEGA-KYENGERA-24h'!M105)</f>
        <v>27.5</v>
      </c>
      <c r="N105" s="49">
        <f>AVERAGE('26.07 BUSEGA-KYENGERA-24h'!N105,'27.07 BUSEGA-KYENGERA-24h'!N105)</f>
        <v>12</v>
      </c>
      <c r="O105" s="15">
        <f t="shared" si="35"/>
        <v>125</v>
      </c>
      <c r="P105" s="15">
        <f t="shared" si="36"/>
        <v>152.5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5070.5714285714284</v>
      </c>
      <c r="D106" s="16">
        <f t="shared" ref="D106:P106" si="37">SUM(D10:D105)</f>
        <v>672.71428571428578</v>
      </c>
      <c r="E106" s="16">
        <f t="shared" si="37"/>
        <v>425.9285714285715</v>
      </c>
      <c r="F106" s="16">
        <f t="shared" si="37"/>
        <v>3194.9285714285716</v>
      </c>
      <c r="G106" s="16">
        <f t="shared" si="37"/>
        <v>150.71428571428572</v>
      </c>
      <c r="H106" s="16">
        <f t="shared" si="37"/>
        <v>138.21428571428572</v>
      </c>
      <c r="I106" s="16">
        <f t="shared" si="37"/>
        <v>932.92857142857122</v>
      </c>
      <c r="J106" s="16">
        <f t="shared" si="37"/>
        <v>722.92857142857156</v>
      </c>
      <c r="K106" s="16">
        <f t="shared" si="37"/>
        <v>128.85714285714286</v>
      </c>
      <c r="L106" s="16">
        <f t="shared" si="37"/>
        <v>306.07142857142856</v>
      </c>
      <c r="M106" s="16">
        <f t="shared" si="37"/>
        <v>13393.142857142857</v>
      </c>
      <c r="N106" s="16">
        <f t="shared" si="37"/>
        <v>14.428571428571427</v>
      </c>
      <c r="O106" s="16">
        <f t="shared" si="37"/>
        <v>11758.285714285714</v>
      </c>
      <c r="P106" s="16">
        <f t="shared" si="37"/>
        <v>25151.428571428572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0.20160172668408496</v>
      </c>
      <c r="D107" s="43">
        <f t="shared" si="38"/>
        <v>2.6746563671475636E-2</v>
      </c>
      <c r="E107" s="43">
        <f t="shared" si="38"/>
        <v>1.6934567760990574E-2</v>
      </c>
      <c r="F107" s="43">
        <f t="shared" si="38"/>
        <v>0.12702771782346928</v>
      </c>
      <c r="G107" s="43">
        <f t="shared" si="38"/>
        <v>5.992275360672498E-3</v>
      </c>
      <c r="H107" s="43">
        <f t="shared" si="38"/>
        <v>5.4952856980574807E-3</v>
      </c>
      <c r="I107" s="43">
        <f t="shared" si="38"/>
        <v>3.7092468476655677E-2</v>
      </c>
      <c r="J107" s="43">
        <f t="shared" si="38"/>
        <v>2.8743042144723393E-2</v>
      </c>
      <c r="K107" s="43">
        <f t="shared" si="38"/>
        <v>5.123253436328524E-3</v>
      </c>
      <c r="L107" s="43">
        <f t="shared" si="38"/>
        <v>1.2169146881744858E-2</v>
      </c>
      <c r="M107" s="43">
        <f t="shared" si="38"/>
        <v>0.53250028399409288</v>
      </c>
      <c r="N107" s="43">
        <f t="shared" si="38"/>
        <v>5.736680677041917E-4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0.43123390192933858</v>
      </c>
      <c r="D108" s="44">
        <f t="shared" ref="D108:N108" si="39">D106/$O$106</f>
        <v>5.7211935656315313E-2</v>
      </c>
      <c r="E108" s="44">
        <f t="shared" si="39"/>
        <v>3.6223696360013616E-2</v>
      </c>
      <c r="F108" s="44">
        <f t="shared" si="39"/>
        <v>0.27171720853379988</v>
      </c>
      <c r="G108" s="44">
        <f t="shared" si="39"/>
        <v>1.281770909267629E-2</v>
      </c>
      <c r="H108" s="44">
        <f t="shared" si="39"/>
        <v>1.1754628954658114E-2</v>
      </c>
      <c r="I108" s="44">
        <f t="shared" si="39"/>
        <v>7.9342226758030793E-2</v>
      </c>
      <c r="J108" s="44">
        <f t="shared" si="39"/>
        <v>6.1482480439325471E-2</v>
      </c>
      <c r="K108" s="44">
        <f t="shared" si="39"/>
        <v>1.0958837537055937E-2</v>
      </c>
      <c r="L108" s="44">
        <f t="shared" si="39"/>
        <v>2.6030276522330757E-2</v>
      </c>
      <c r="M108" s="44"/>
      <c r="N108" s="44">
        <f t="shared" si="39"/>
        <v>1.2270982164552654E-3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E58" zoomScale="60" workbookViewId="0">
      <selection activeCell="AE54" sqref="AE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28" width="10.7109375" customWidth="1"/>
    <col min="29" max="29" width="11.7109375" customWidth="1"/>
    <col min="30" max="30" width="10.7109375" customWidth="1"/>
    <col min="31" max="31" width="11.7109375" customWidth="1"/>
    <col min="32" max="32" width="12.85546875" customWidth="1"/>
    <col min="33" max="33" width="10.7109375" customWidth="1"/>
  </cols>
  <sheetData>
    <row r="1" spans="2:32" ht="23.25" customHeight="1" x14ac:dyDescent="0.3">
      <c r="B1" s="59" t="s">
        <v>23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2:32" ht="20.100000000000001" customHeight="1" x14ac:dyDescent="0.25">
      <c r="B2" s="60" t="s">
        <v>95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</row>
    <row r="3" spans="2:32" ht="20.100000000000001" customHeight="1" x14ac:dyDescent="0.25">
      <c r="B3" s="22" t="s">
        <v>96</v>
      </c>
      <c r="C3" s="66" t="str">
        <f>'28.07 BUSEGA-KYENGERA'!C3:G3</f>
        <v>MCC-C1-STN11-MASAKA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'Avg Week BUSEGA-KYENGERA'!G5:H5</f>
        <v>KYENGERA</v>
      </c>
      <c r="H5" s="68"/>
      <c r="I5" s="14"/>
      <c r="J5" s="2" t="s">
        <v>5</v>
      </c>
      <c r="K5" s="67" t="str">
        <f>'Avg Week BUSEGA-KYENGERA'!K5:L5</f>
        <v xml:space="preserve">KIRUMIRA FRANK / MUKASA GIBRIEL / NAGAWA JULIET / NALUBEGA RESTY / NAKIRIJJA HADIJAH / MUGANGA SHAFIK / MUGISHA HASSAN / NAKIBIRI BRENDA 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71" t="s">
        <v>161</v>
      </c>
      <c r="E6" s="72"/>
      <c r="F6" s="2" t="s">
        <v>2</v>
      </c>
      <c r="G6" s="71" t="s">
        <v>161</v>
      </c>
      <c r="H6" s="72"/>
      <c r="J6" s="2" t="s">
        <v>21</v>
      </c>
      <c r="K6" s="67" t="str">
        <f>'Avg Week BUSEGA-KYENGERA'!K6:L6</f>
        <v>ANDREW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KYENGERA-BUSEGA'!C10+'Avg Week BUSEGA-KYENGERA'!C10</f>
        <v>127.14285714285714</v>
      </c>
      <c r="D10" s="49">
        <f>'Avg Week KYENGERA-BUSEGA'!D10+'Avg Week BUSEGA-KYENGERA'!D10</f>
        <v>15</v>
      </c>
      <c r="E10" s="49">
        <f>'Avg Week KYENGERA-BUSEGA'!E10+'Avg Week BUSEGA-KYENGERA'!E10</f>
        <v>10.285714285714285</v>
      </c>
      <c r="F10" s="49">
        <f>'Avg Week KYENGERA-BUSEGA'!F10+'Avg Week BUSEGA-KYENGERA'!F10</f>
        <v>95.142857142857139</v>
      </c>
      <c r="G10" s="49">
        <f>'Avg Week KYENGERA-BUSEGA'!G10+'Avg Week BUSEGA-KYENGERA'!G10</f>
        <v>4</v>
      </c>
      <c r="H10" s="49">
        <f>'Avg Week KYENGERA-BUSEGA'!H10+'Avg Week BUSEGA-KYENGERA'!H10</f>
        <v>3.2857142857142856</v>
      </c>
      <c r="I10" s="49">
        <f>'Avg Week KYENGERA-BUSEGA'!I10+'Avg Week BUSEGA-KYENGERA'!I10</f>
        <v>17.714285714285715</v>
      </c>
      <c r="J10" s="49">
        <f>'Avg Week KYENGERA-BUSEGA'!J10+'Avg Week BUSEGA-KYENGERA'!J10</f>
        <v>10.428571428571429</v>
      </c>
      <c r="K10" s="49">
        <f>'Avg Week KYENGERA-BUSEGA'!K10+'Avg Week BUSEGA-KYENGERA'!K10</f>
        <v>2.2857142857142856</v>
      </c>
      <c r="L10" s="49">
        <f>'Avg Week KYENGERA-BUSEGA'!L10+'Avg Week BUSEGA-KYENGERA'!L10</f>
        <v>4.7142857142857144</v>
      </c>
      <c r="M10" s="49">
        <f>'Avg Week KYENGERA-BUSEGA'!M10+'Avg Week BUSEGA-KYENGERA'!M10</f>
        <v>374.42857142857144</v>
      </c>
      <c r="N10" s="49">
        <f>'Avg Week KYENGERA-BUSEGA'!N10+'Avg Week BUSEGA-KYENGERA'!N10</f>
        <v>0</v>
      </c>
      <c r="O10" s="15">
        <f t="shared" ref="O10:O73" si="0">SUM(C10:L10,N10)</f>
        <v>290</v>
      </c>
      <c r="P10" s="15">
        <f t="shared" ref="P10:P73" si="1">SUM(C10:N10)</f>
        <v>664.42857142857144</v>
      </c>
      <c r="R10" s="1" t="s">
        <v>6</v>
      </c>
      <c r="S10" s="17">
        <f t="shared" ref="S10:AF10" si="2">SUM(C10:C13)</f>
        <v>523.57142857142856</v>
      </c>
      <c r="T10" s="17">
        <f t="shared" si="2"/>
        <v>68.571428571428569</v>
      </c>
      <c r="U10" s="17">
        <f t="shared" si="2"/>
        <v>56.714285714285715</v>
      </c>
      <c r="V10" s="17">
        <f t="shared" si="2"/>
        <v>392.85714285714289</v>
      </c>
      <c r="W10" s="17">
        <f t="shared" si="2"/>
        <v>22.428571428571431</v>
      </c>
      <c r="X10" s="17">
        <f t="shared" si="2"/>
        <v>12.857142857142858</v>
      </c>
      <c r="Y10" s="17">
        <f t="shared" si="2"/>
        <v>87.285714285714278</v>
      </c>
      <c r="Z10" s="17">
        <f t="shared" si="2"/>
        <v>40.428571428571431</v>
      </c>
      <c r="AA10" s="17">
        <f t="shared" si="2"/>
        <v>8.4285714285714288</v>
      </c>
      <c r="AB10" s="17">
        <f t="shared" si="2"/>
        <v>22.285714285714285</v>
      </c>
      <c r="AC10" s="17">
        <f t="shared" si="2"/>
        <v>1946.4285714285716</v>
      </c>
      <c r="AD10" s="17">
        <f t="shared" si="2"/>
        <v>0.2857142857142857</v>
      </c>
      <c r="AE10" s="31">
        <f t="shared" si="2"/>
        <v>1235.7142857142856</v>
      </c>
      <c r="AF10" s="31">
        <f t="shared" si="2"/>
        <v>3182.1428571428573</v>
      </c>
    </row>
    <row r="11" spans="2:32" s="6" customFormat="1" ht="23.1" customHeight="1" x14ac:dyDescent="0.25">
      <c r="B11" s="23" t="s">
        <v>38</v>
      </c>
      <c r="C11" s="49">
        <f>'Avg Week KYENGERA-BUSEGA'!C11+'Avg Week BUSEGA-KYENGERA'!C11</f>
        <v>136</v>
      </c>
      <c r="D11" s="49">
        <f>'Avg Week KYENGERA-BUSEGA'!D11+'Avg Week BUSEGA-KYENGERA'!D11</f>
        <v>16.285714285714285</v>
      </c>
      <c r="E11" s="49">
        <f>'Avg Week KYENGERA-BUSEGA'!E11+'Avg Week BUSEGA-KYENGERA'!E11</f>
        <v>14.714285714285715</v>
      </c>
      <c r="F11" s="49">
        <f>'Avg Week KYENGERA-BUSEGA'!F11+'Avg Week BUSEGA-KYENGERA'!F11</f>
        <v>98.714285714285722</v>
      </c>
      <c r="G11" s="49">
        <f>'Avg Week KYENGERA-BUSEGA'!G11+'Avg Week BUSEGA-KYENGERA'!G11</f>
        <v>3.8571428571428568</v>
      </c>
      <c r="H11" s="49">
        <f>'Avg Week KYENGERA-BUSEGA'!H11+'Avg Week BUSEGA-KYENGERA'!H11</f>
        <v>4.2857142857142856</v>
      </c>
      <c r="I11" s="49">
        <f>'Avg Week KYENGERA-BUSEGA'!I11+'Avg Week BUSEGA-KYENGERA'!I11</f>
        <v>24.714285714285715</v>
      </c>
      <c r="J11" s="49">
        <f>'Avg Week KYENGERA-BUSEGA'!J11+'Avg Week BUSEGA-KYENGERA'!J11</f>
        <v>10.285714285714285</v>
      </c>
      <c r="K11" s="49">
        <f>'Avg Week KYENGERA-BUSEGA'!K11+'Avg Week BUSEGA-KYENGERA'!K11</f>
        <v>1.7142857142857142</v>
      </c>
      <c r="L11" s="49">
        <f>'Avg Week KYENGERA-BUSEGA'!L11+'Avg Week BUSEGA-KYENGERA'!L11</f>
        <v>5.8571428571428568</v>
      </c>
      <c r="M11" s="49">
        <f>'Avg Week KYENGERA-BUSEGA'!M11+'Avg Week BUSEGA-KYENGERA'!M11</f>
        <v>487.28571428571433</v>
      </c>
      <c r="N11" s="49">
        <f>'Avg Week KYENGERA-BUSEGA'!N11+'Avg Week BUSEGA-KYENGERA'!N11</f>
        <v>0.14285714285714285</v>
      </c>
      <c r="O11" s="15">
        <f t="shared" si="0"/>
        <v>316.57142857142856</v>
      </c>
      <c r="P11" s="15">
        <f t="shared" si="1"/>
        <v>803.85714285714289</v>
      </c>
      <c r="R11" s="1" t="s">
        <v>7</v>
      </c>
      <c r="S11" s="17">
        <f t="shared" ref="S11:AF11" si="3">SUM(C14:C17)</f>
        <v>601.42857142857133</v>
      </c>
      <c r="T11" s="17">
        <f t="shared" si="3"/>
        <v>85.428571428571431</v>
      </c>
      <c r="U11" s="17">
        <f t="shared" si="3"/>
        <v>63.714285714285715</v>
      </c>
      <c r="V11" s="17">
        <f t="shared" si="3"/>
        <v>441.71428571428572</v>
      </c>
      <c r="W11" s="17">
        <f t="shared" si="3"/>
        <v>17.285714285714288</v>
      </c>
      <c r="X11" s="17">
        <f t="shared" si="3"/>
        <v>9</v>
      </c>
      <c r="Y11" s="17">
        <f t="shared" si="3"/>
        <v>98.285714285714292</v>
      </c>
      <c r="Z11" s="17">
        <f t="shared" si="3"/>
        <v>38.571428571428569</v>
      </c>
      <c r="AA11" s="17">
        <f t="shared" si="3"/>
        <v>8.2857142857142865</v>
      </c>
      <c r="AB11" s="17">
        <f t="shared" si="3"/>
        <v>21.857142857142858</v>
      </c>
      <c r="AC11" s="17">
        <f t="shared" si="3"/>
        <v>2236.5714285714284</v>
      </c>
      <c r="AD11" s="17">
        <f t="shared" si="3"/>
        <v>0.42857142857142855</v>
      </c>
      <c r="AE11" s="31">
        <f t="shared" si="3"/>
        <v>1386</v>
      </c>
      <c r="AF11" s="31">
        <f t="shared" si="3"/>
        <v>3622.5714285714284</v>
      </c>
    </row>
    <row r="12" spans="2:32" ht="23.1" customHeight="1" x14ac:dyDescent="0.25">
      <c r="B12" s="23" t="s">
        <v>39</v>
      </c>
      <c r="C12" s="49">
        <f>'Avg Week KYENGERA-BUSEGA'!C12+'Avg Week BUSEGA-KYENGERA'!C12</f>
        <v>125.71428571428571</v>
      </c>
      <c r="D12" s="49">
        <f>'Avg Week KYENGERA-BUSEGA'!D12+'Avg Week BUSEGA-KYENGERA'!D12</f>
        <v>17.857142857142858</v>
      </c>
      <c r="E12" s="49">
        <f>'Avg Week KYENGERA-BUSEGA'!E12+'Avg Week BUSEGA-KYENGERA'!E12</f>
        <v>13.428571428571429</v>
      </c>
      <c r="F12" s="49">
        <f>'Avg Week KYENGERA-BUSEGA'!F12+'Avg Week BUSEGA-KYENGERA'!F12</f>
        <v>98.428571428571431</v>
      </c>
      <c r="G12" s="49">
        <f>'Avg Week KYENGERA-BUSEGA'!G12+'Avg Week BUSEGA-KYENGERA'!G12</f>
        <v>7</v>
      </c>
      <c r="H12" s="49">
        <f>'Avg Week KYENGERA-BUSEGA'!H12+'Avg Week BUSEGA-KYENGERA'!H12</f>
        <v>1.5714285714285714</v>
      </c>
      <c r="I12" s="49">
        <f>'Avg Week KYENGERA-BUSEGA'!I12+'Avg Week BUSEGA-KYENGERA'!I12</f>
        <v>20.285714285714285</v>
      </c>
      <c r="J12" s="49">
        <f>'Avg Week KYENGERA-BUSEGA'!J12+'Avg Week BUSEGA-KYENGERA'!J12</f>
        <v>9.1428571428571423</v>
      </c>
      <c r="K12" s="49">
        <f>'Avg Week KYENGERA-BUSEGA'!K12+'Avg Week BUSEGA-KYENGERA'!K12</f>
        <v>2.5714285714285712</v>
      </c>
      <c r="L12" s="49">
        <f>'Avg Week KYENGERA-BUSEGA'!L12+'Avg Week BUSEGA-KYENGERA'!L12</f>
        <v>6</v>
      </c>
      <c r="M12" s="49">
        <f>'Avg Week KYENGERA-BUSEGA'!M12+'Avg Week BUSEGA-KYENGERA'!M12</f>
        <v>520</v>
      </c>
      <c r="N12" s="49">
        <f>'Avg Week KYENGERA-BUSEGA'!N12+'Avg Week BUSEGA-KYENGERA'!N12</f>
        <v>0.14285714285714285</v>
      </c>
      <c r="O12" s="15">
        <f t="shared" si="0"/>
        <v>302.14285714285711</v>
      </c>
      <c r="P12" s="15">
        <f t="shared" si="1"/>
        <v>822.14285714285711</v>
      </c>
      <c r="R12" s="1" t="s">
        <v>8</v>
      </c>
      <c r="S12" s="17">
        <f t="shared" ref="S12:AF12" si="4">SUM(C18:C21)</f>
        <v>593.71428571428567</v>
      </c>
      <c r="T12" s="17">
        <f t="shared" si="4"/>
        <v>84.428571428571416</v>
      </c>
      <c r="U12" s="17">
        <f t="shared" si="4"/>
        <v>73.428571428571416</v>
      </c>
      <c r="V12" s="17">
        <f t="shared" si="4"/>
        <v>431</v>
      </c>
      <c r="W12" s="17">
        <f t="shared" si="4"/>
        <v>17.000000000000004</v>
      </c>
      <c r="X12" s="17">
        <f t="shared" si="4"/>
        <v>11.714285714285714</v>
      </c>
      <c r="Y12" s="17">
        <f t="shared" si="4"/>
        <v>108.28571428571428</v>
      </c>
      <c r="Z12" s="17">
        <f t="shared" si="4"/>
        <v>39.142857142857146</v>
      </c>
      <c r="AA12" s="17">
        <f t="shared" si="4"/>
        <v>9</v>
      </c>
      <c r="AB12" s="17">
        <f t="shared" si="4"/>
        <v>26.857142857142854</v>
      </c>
      <c r="AC12" s="17">
        <f t="shared" si="4"/>
        <v>2021.1428571428573</v>
      </c>
      <c r="AD12" s="17">
        <f t="shared" si="4"/>
        <v>0</v>
      </c>
      <c r="AE12" s="31">
        <f t="shared" si="4"/>
        <v>1394.5714285714284</v>
      </c>
      <c r="AF12" s="31">
        <f t="shared" si="4"/>
        <v>3415.7142857142858</v>
      </c>
    </row>
    <row r="13" spans="2:32" ht="23.1" customHeight="1" x14ac:dyDescent="0.25">
      <c r="B13" s="23" t="s">
        <v>40</v>
      </c>
      <c r="C13" s="49">
        <f>'Avg Week KYENGERA-BUSEGA'!C13+'Avg Week BUSEGA-KYENGERA'!C13</f>
        <v>134.71428571428572</v>
      </c>
      <c r="D13" s="49">
        <f>'Avg Week KYENGERA-BUSEGA'!D13+'Avg Week BUSEGA-KYENGERA'!D13</f>
        <v>19.428571428571427</v>
      </c>
      <c r="E13" s="49">
        <f>'Avg Week KYENGERA-BUSEGA'!E13+'Avg Week BUSEGA-KYENGERA'!E13</f>
        <v>18.285714285714285</v>
      </c>
      <c r="F13" s="49">
        <f>'Avg Week KYENGERA-BUSEGA'!F13+'Avg Week BUSEGA-KYENGERA'!F13</f>
        <v>100.57142857142858</v>
      </c>
      <c r="G13" s="49">
        <f>'Avg Week KYENGERA-BUSEGA'!G13+'Avg Week BUSEGA-KYENGERA'!G13</f>
        <v>7.5714285714285712</v>
      </c>
      <c r="H13" s="49">
        <f>'Avg Week KYENGERA-BUSEGA'!H13+'Avg Week BUSEGA-KYENGERA'!H13</f>
        <v>3.7142857142857144</v>
      </c>
      <c r="I13" s="49">
        <f>'Avg Week KYENGERA-BUSEGA'!I13+'Avg Week BUSEGA-KYENGERA'!I13</f>
        <v>24.571428571428569</v>
      </c>
      <c r="J13" s="49">
        <f>'Avg Week KYENGERA-BUSEGA'!J13+'Avg Week BUSEGA-KYENGERA'!J13</f>
        <v>10.571428571428571</v>
      </c>
      <c r="K13" s="49">
        <f>'Avg Week KYENGERA-BUSEGA'!K13+'Avg Week BUSEGA-KYENGERA'!K13</f>
        <v>1.8571428571428572</v>
      </c>
      <c r="L13" s="49">
        <f>'Avg Week KYENGERA-BUSEGA'!L13+'Avg Week BUSEGA-KYENGERA'!L13</f>
        <v>5.7142857142857144</v>
      </c>
      <c r="M13" s="49">
        <f>'Avg Week KYENGERA-BUSEGA'!M13+'Avg Week BUSEGA-KYENGERA'!M13</f>
        <v>564.71428571428578</v>
      </c>
      <c r="N13" s="49">
        <f>'Avg Week KYENGERA-BUSEGA'!N13+'Avg Week BUSEGA-KYENGERA'!N13</f>
        <v>0</v>
      </c>
      <c r="O13" s="15">
        <f t="shared" si="0"/>
        <v>326.99999999999994</v>
      </c>
      <c r="P13" s="15">
        <f t="shared" si="1"/>
        <v>891.71428571428578</v>
      </c>
      <c r="R13" s="1" t="s">
        <v>9</v>
      </c>
      <c r="S13" s="17">
        <f t="shared" ref="S13:AF13" si="5">SUM(C22:C25)</f>
        <v>561</v>
      </c>
      <c r="T13" s="17">
        <f t="shared" si="5"/>
        <v>70.428571428571431</v>
      </c>
      <c r="U13" s="17">
        <f t="shared" si="5"/>
        <v>60.142857142857146</v>
      </c>
      <c r="V13" s="17">
        <f t="shared" si="5"/>
        <v>421.71428571428572</v>
      </c>
      <c r="W13" s="17">
        <f t="shared" si="5"/>
        <v>14.571428571428571</v>
      </c>
      <c r="X13" s="17">
        <f t="shared" si="5"/>
        <v>9</v>
      </c>
      <c r="Y13" s="17">
        <f t="shared" si="5"/>
        <v>114.57142857142858</v>
      </c>
      <c r="Z13" s="17">
        <f t="shared" si="5"/>
        <v>32.857142857142861</v>
      </c>
      <c r="AA13" s="17">
        <f t="shared" si="5"/>
        <v>6.8571428571428577</v>
      </c>
      <c r="AB13" s="17">
        <f t="shared" si="5"/>
        <v>24.714285714285712</v>
      </c>
      <c r="AC13" s="17">
        <f t="shared" si="5"/>
        <v>1511.1428571428571</v>
      </c>
      <c r="AD13" s="17">
        <f t="shared" si="5"/>
        <v>0.2857142857142857</v>
      </c>
      <c r="AE13" s="31">
        <f t="shared" si="5"/>
        <v>1316.1428571428573</v>
      </c>
      <c r="AF13" s="31">
        <f t="shared" si="5"/>
        <v>2827.2857142857142</v>
      </c>
    </row>
    <row r="14" spans="2:32" ht="23.1" customHeight="1" x14ac:dyDescent="0.25">
      <c r="B14" s="23" t="s">
        <v>41</v>
      </c>
      <c r="C14" s="49">
        <f>'Avg Week KYENGERA-BUSEGA'!C14+'Avg Week BUSEGA-KYENGERA'!C14</f>
        <v>152</v>
      </c>
      <c r="D14" s="49">
        <f>'Avg Week KYENGERA-BUSEGA'!D14+'Avg Week BUSEGA-KYENGERA'!D14</f>
        <v>21.571428571428569</v>
      </c>
      <c r="E14" s="49">
        <f>'Avg Week KYENGERA-BUSEGA'!E14+'Avg Week BUSEGA-KYENGERA'!E14</f>
        <v>16</v>
      </c>
      <c r="F14" s="49">
        <f>'Avg Week KYENGERA-BUSEGA'!F14+'Avg Week BUSEGA-KYENGERA'!F14</f>
        <v>106.42857142857143</v>
      </c>
      <c r="G14" s="49">
        <f>'Avg Week KYENGERA-BUSEGA'!G14+'Avg Week BUSEGA-KYENGERA'!G14</f>
        <v>4.8571428571428577</v>
      </c>
      <c r="H14" s="49">
        <f>'Avg Week KYENGERA-BUSEGA'!H14+'Avg Week BUSEGA-KYENGERA'!H14</f>
        <v>3.4285714285714288</v>
      </c>
      <c r="I14" s="49">
        <f>'Avg Week KYENGERA-BUSEGA'!I14+'Avg Week BUSEGA-KYENGERA'!I14</f>
        <v>22.714285714285715</v>
      </c>
      <c r="J14" s="49">
        <f>'Avg Week KYENGERA-BUSEGA'!J14+'Avg Week BUSEGA-KYENGERA'!J14</f>
        <v>10.571428571428571</v>
      </c>
      <c r="K14" s="49">
        <f>'Avg Week KYENGERA-BUSEGA'!K14+'Avg Week BUSEGA-KYENGERA'!K14</f>
        <v>1.4285714285714286</v>
      </c>
      <c r="L14" s="49">
        <f>'Avg Week KYENGERA-BUSEGA'!L14+'Avg Week BUSEGA-KYENGERA'!L14</f>
        <v>6.1428571428571423</v>
      </c>
      <c r="M14" s="49">
        <f>'Avg Week KYENGERA-BUSEGA'!M14+'Avg Week BUSEGA-KYENGERA'!M14</f>
        <v>560.85714285714289</v>
      </c>
      <c r="N14" s="49">
        <f>'Avg Week KYENGERA-BUSEGA'!N14+'Avg Week BUSEGA-KYENGERA'!N14</f>
        <v>0.14285714285714285</v>
      </c>
      <c r="O14" s="15">
        <f t="shared" si="0"/>
        <v>345.28571428571433</v>
      </c>
      <c r="P14" s="15">
        <f t="shared" si="1"/>
        <v>906.14285714285711</v>
      </c>
      <c r="R14" s="1" t="s">
        <v>10</v>
      </c>
      <c r="S14" s="17">
        <f t="shared" ref="S14:AF14" si="6">SUM(C26:C29)</f>
        <v>534.85714285714278</v>
      </c>
      <c r="T14" s="17">
        <f t="shared" si="6"/>
        <v>75</v>
      </c>
      <c r="U14" s="17">
        <f t="shared" si="6"/>
        <v>58.571428571428569</v>
      </c>
      <c r="V14" s="17">
        <f t="shared" si="6"/>
        <v>408.71428571428572</v>
      </c>
      <c r="W14" s="17">
        <f t="shared" si="6"/>
        <v>12.142857142857142</v>
      </c>
      <c r="X14" s="17">
        <f t="shared" si="6"/>
        <v>13.571428571428573</v>
      </c>
      <c r="Y14" s="17">
        <f t="shared" si="6"/>
        <v>118.28571428571429</v>
      </c>
      <c r="Z14" s="17">
        <f t="shared" si="6"/>
        <v>41</v>
      </c>
      <c r="AA14" s="17">
        <f t="shared" si="6"/>
        <v>7</v>
      </c>
      <c r="AB14" s="17">
        <f t="shared" si="6"/>
        <v>32.285714285714292</v>
      </c>
      <c r="AC14" s="17">
        <f t="shared" si="6"/>
        <v>1297.8571428571429</v>
      </c>
      <c r="AD14" s="17">
        <f t="shared" si="6"/>
        <v>0.5714285714285714</v>
      </c>
      <c r="AE14" s="31">
        <f t="shared" si="6"/>
        <v>1302</v>
      </c>
      <c r="AF14" s="31">
        <f t="shared" si="6"/>
        <v>2599.8571428571427</v>
      </c>
    </row>
    <row r="15" spans="2:32" ht="23.1" customHeight="1" x14ac:dyDescent="0.25">
      <c r="B15" s="23" t="s">
        <v>42</v>
      </c>
      <c r="C15" s="49">
        <f>'Avg Week KYENGERA-BUSEGA'!C15+'Avg Week BUSEGA-KYENGERA'!C15</f>
        <v>150.14285714285714</v>
      </c>
      <c r="D15" s="49">
        <f>'Avg Week KYENGERA-BUSEGA'!D15+'Avg Week BUSEGA-KYENGERA'!D15</f>
        <v>22</v>
      </c>
      <c r="E15" s="49">
        <f>'Avg Week KYENGERA-BUSEGA'!E15+'Avg Week BUSEGA-KYENGERA'!E15</f>
        <v>17</v>
      </c>
      <c r="F15" s="49">
        <f>'Avg Week KYENGERA-BUSEGA'!F15+'Avg Week BUSEGA-KYENGERA'!F15</f>
        <v>112.28571428571428</v>
      </c>
      <c r="G15" s="49">
        <f>'Avg Week KYENGERA-BUSEGA'!G15+'Avg Week BUSEGA-KYENGERA'!G15</f>
        <v>4.7142857142857144</v>
      </c>
      <c r="H15" s="49">
        <f>'Avg Week KYENGERA-BUSEGA'!H15+'Avg Week BUSEGA-KYENGERA'!H15</f>
        <v>1.7142857142857144</v>
      </c>
      <c r="I15" s="49">
        <f>'Avg Week KYENGERA-BUSEGA'!I15+'Avg Week BUSEGA-KYENGERA'!I15</f>
        <v>25.571428571428569</v>
      </c>
      <c r="J15" s="49">
        <f>'Avg Week KYENGERA-BUSEGA'!J15+'Avg Week BUSEGA-KYENGERA'!J15</f>
        <v>9.8571428571428577</v>
      </c>
      <c r="K15" s="49">
        <f>'Avg Week KYENGERA-BUSEGA'!K15+'Avg Week BUSEGA-KYENGERA'!K15</f>
        <v>2.8571428571428572</v>
      </c>
      <c r="L15" s="49">
        <f>'Avg Week KYENGERA-BUSEGA'!L15+'Avg Week BUSEGA-KYENGERA'!L15</f>
        <v>4.5714285714285712</v>
      </c>
      <c r="M15" s="49">
        <f>'Avg Week KYENGERA-BUSEGA'!M15+'Avg Week BUSEGA-KYENGERA'!M15</f>
        <v>571.85714285714289</v>
      </c>
      <c r="N15" s="49">
        <f>'Avg Week KYENGERA-BUSEGA'!N15+'Avg Week BUSEGA-KYENGERA'!N15</f>
        <v>0.14285714285714285</v>
      </c>
      <c r="O15" s="15">
        <f t="shared" si="0"/>
        <v>350.85714285714283</v>
      </c>
      <c r="P15" s="15">
        <f t="shared" si="1"/>
        <v>922.71428571428567</v>
      </c>
      <c r="R15" s="1" t="s">
        <v>11</v>
      </c>
      <c r="S15" s="17">
        <f t="shared" ref="S15:AF15" si="7">SUM(C30:C33)</f>
        <v>457.14285714285722</v>
      </c>
      <c r="T15" s="17">
        <f t="shared" si="7"/>
        <v>64.142857142857153</v>
      </c>
      <c r="U15" s="17">
        <f t="shared" si="7"/>
        <v>55.428571428571431</v>
      </c>
      <c r="V15" s="17">
        <f t="shared" si="7"/>
        <v>382.71428571428572</v>
      </c>
      <c r="W15" s="17">
        <f t="shared" si="7"/>
        <v>11.714285714285714</v>
      </c>
      <c r="X15" s="17">
        <f t="shared" si="7"/>
        <v>11</v>
      </c>
      <c r="Y15" s="17">
        <f t="shared" si="7"/>
        <v>107.42857142857144</v>
      </c>
      <c r="Z15" s="17">
        <f t="shared" si="7"/>
        <v>52.285714285714278</v>
      </c>
      <c r="AA15" s="17">
        <f t="shared" si="7"/>
        <v>8.5714285714285712</v>
      </c>
      <c r="AB15" s="17">
        <f t="shared" si="7"/>
        <v>28.285714285714285</v>
      </c>
      <c r="AC15" s="17">
        <f t="shared" si="7"/>
        <v>1239</v>
      </c>
      <c r="AD15" s="17">
        <f t="shared" si="7"/>
        <v>0.5714285714285714</v>
      </c>
      <c r="AE15" s="31">
        <f t="shared" si="7"/>
        <v>1179.2857142857142</v>
      </c>
      <c r="AF15" s="31">
        <f t="shared" si="7"/>
        <v>2418.2857142857142</v>
      </c>
    </row>
    <row r="16" spans="2:32" ht="23.1" customHeight="1" x14ac:dyDescent="0.25">
      <c r="B16" s="23" t="s">
        <v>43</v>
      </c>
      <c r="C16" s="49">
        <f>'Avg Week KYENGERA-BUSEGA'!C16+'Avg Week BUSEGA-KYENGERA'!C16</f>
        <v>152.28571428571428</v>
      </c>
      <c r="D16" s="49">
        <f>'Avg Week KYENGERA-BUSEGA'!D16+'Avg Week BUSEGA-KYENGERA'!D16</f>
        <v>19.428571428571431</v>
      </c>
      <c r="E16" s="49">
        <f>'Avg Week KYENGERA-BUSEGA'!E16+'Avg Week BUSEGA-KYENGERA'!E16</f>
        <v>15.428571428571429</v>
      </c>
      <c r="F16" s="49">
        <f>'Avg Week KYENGERA-BUSEGA'!F16+'Avg Week BUSEGA-KYENGERA'!F16</f>
        <v>116.57142857142857</v>
      </c>
      <c r="G16" s="49">
        <f>'Avg Week KYENGERA-BUSEGA'!G16+'Avg Week BUSEGA-KYENGERA'!G16</f>
        <v>3.4285714285714288</v>
      </c>
      <c r="H16" s="49">
        <f>'Avg Week KYENGERA-BUSEGA'!H16+'Avg Week BUSEGA-KYENGERA'!H16</f>
        <v>1.8571428571428572</v>
      </c>
      <c r="I16" s="49">
        <f>'Avg Week KYENGERA-BUSEGA'!I16+'Avg Week BUSEGA-KYENGERA'!I16</f>
        <v>24.571428571428569</v>
      </c>
      <c r="J16" s="49">
        <f>'Avg Week KYENGERA-BUSEGA'!J16+'Avg Week BUSEGA-KYENGERA'!J16</f>
        <v>8</v>
      </c>
      <c r="K16" s="49">
        <f>'Avg Week KYENGERA-BUSEGA'!K16+'Avg Week BUSEGA-KYENGERA'!K16</f>
        <v>2.4285714285714288</v>
      </c>
      <c r="L16" s="49">
        <f>'Avg Week KYENGERA-BUSEGA'!L16+'Avg Week BUSEGA-KYENGERA'!L16</f>
        <v>4.8571428571428577</v>
      </c>
      <c r="M16" s="49">
        <f>'Avg Week KYENGERA-BUSEGA'!M16+'Avg Week BUSEGA-KYENGERA'!M16</f>
        <v>540</v>
      </c>
      <c r="N16" s="49">
        <f>'Avg Week KYENGERA-BUSEGA'!N16+'Avg Week BUSEGA-KYENGERA'!N16</f>
        <v>0.14285714285714285</v>
      </c>
      <c r="O16" s="15">
        <f t="shared" si="0"/>
        <v>349</v>
      </c>
      <c r="P16" s="15">
        <f t="shared" si="1"/>
        <v>889</v>
      </c>
      <c r="R16" s="1" t="s">
        <v>12</v>
      </c>
      <c r="S16" s="17">
        <f t="shared" ref="S16:AF16" si="8">SUM(C34:C37)</f>
        <v>425.42857142857139</v>
      </c>
      <c r="T16" s="17">
        <f t="shared" si="8"/>
        <v>57</v>
      </c>
      <c r="U16" s="17">
        <f t="shared" si="8"/>
        <v>50.142857142857139</v>
      </c>
      <c r="V16" s="17">
        <f t="shared" si="8"/>
        <v>353.42857142857139</v>
      </c>
      <c r="W16" s="17">
        <f t="shared" si="8"/>
        <v>8</v>
      </c>
      <c r="X16" s="17">
        <f t="shared" si="8"/>
        <v>9.7142857142857135</v>
      </c>
      <c r="Y16" s="17">
        <f t="shared" si="8"/>
        <v>101.71428571428571</v>
      </c>
      <c r="Z16" s="17">
        <f t="shared" si="8"/>
        <v>57.857142857142861</v>
      </c>
      <c r="AA16" s="17">
        <f t="shared" si="8"/>
        <v>12</v>
      </c>
      <c r="AB16" s="17">
        <f t="shared" si="8"/>
        <v>36.285714285714292</v>
      </c>
      <c r="AC16" s="17">
        <f t="shared" si="8"/>
        <v>1268.1428571428571</v>
      </c>
      <c r="AD16" s="17">
        <f t="shared" si="8"/>
        <v>0.5714285714285714</v>
      </c>
      <c r="AE16" s="31">
        <f t="shared" si="8"/>
        <v>1112.1428571428573</v>
      </c>
      <c r="AF16" s="31">
        <f t="shared" si="8"/>
        <v>2380.2857142857142</v>
      </c>
    </row>
    <row r="17" spans="2:32" ht="23.1" customHeight="1" x14ac:dyDescent="0.25">
      <c r="B17" s="23" t="s">
        <v>44</v>
      </c>
      <c r="C17" s="49">
        <f>'Avg Week KYENGERA-BUSEGA'!C17+'Avg Week BUSEGA-KYENGERA'!C17</f>
        <v>147</v>
      </c>
      <c r="D17" s="49">
        <f>'Avg Week KYENGERA-BUSEGA'!D17+'Avg Week BUSEGA-KYENGERA'!D17</f>
        <v>22.428571428571431</v>
      </c>
      <c r="E17" s="49">
        <f>'Avg Week KYENGERA-BUSEGA'!E17+'Avg Week BUSEGA-KYENGERA'!E17</f>
        <v>15.285714285714285</v>
      </c>
      <c r="F17" s="49">
        <f>'Avg Week KYENGERA-BUSEGA'!F17+'Avg Week BUSEGA-KYENGERA'!F17</f>
        <v>106.42857142857143</v>
      </c>
      <c r="G17" s="49">
        <f>'Avg Week KYENGERA-BUSEGA'!G17+'Avg Week BUSEGA-KYENGERA'!G17</f>
        <v>4.2857142857142856</v>
      </c>
      <c r="H17" s="49">
        <f>'Avg Week KYENGERA-BUSEGA'!H17+'Avg Week BUSEGA-KYENGERA'!H17</f>
        <v>2</v>
      </c>
      <c r="I17" s="49">
        <f>'Avg Week KYENGERA-BUSEGA'!I17+'Avg Week BUSEGA-KYENGERA'!I17</f>
        <v>25.428571428571431</v>
      </c>
      <c r="J17" s="49">
        <f>'Avg Week KYENGERA-BUSEGA'!J17+'Avg Week BUSEGA-KYENGERA'!J17</f>
        <v>10.142857142857142</v>
      </c>
      <c r="K17" s="49">
        <f>'Avg Week KYENGERA-BUSEGA'!K17+'Avg Week BUSEGA-KYENGERA'!K17</f>
        <v>1.5714285714285714</v>
      </c>
      <c r="L17" s="49">
        <f>'Avg Week KYENGERA-BUSEGA'!L17+'Avg Week BUSEGA-KYENGERA'!L17</f>
        <v>6.2857142857142856</v>
      </c>
      <c r="M17" s="49">
        <f>'Avg Week KYENGERA-BUSEGA'!M17+'Avg Week BUSEGA-KYENGERA'!M17</f>
        <v>563.85714285714289</v>
      </c>
      <c r="N17" s="49">
        <f>'Avg Week KYENGERA-BUSEGA'!N17+'Avg Week BUSEGA-KYENGERA'!N17</f>
        <v>0</v>
      </c>
      <c r="O17" s="15">
        <f t="shared" si="0"/>
        <v>340.85714285714289</v>
      </c>
      <c r="P17" s="15">
        <f t="shared" si="1"/>
        <v>904.71428571428578</v>
      </c>
      <c r="R17" s="1" t="s">
        <v>13</v>
      </c>
      <c r="S17" s="17">
        <f t="shared" ref="S17:AF17" si="9">SUM(C38:C41)</f>
        <v>408.71428571428572</v>
      </c>
      <c r="T17" s="17">
        <f t="shared" si="9"/>
        <v>62.142857142857139</v>
      </c>
      <c r="U17" s="17">
        <f t="shared" si="9"/>
        <v>64</v>
      </c>
      <c r="V17" s="17">
        <f t="shared" si="9"/>
        <v>291</v>
      </c>
      <c r="W17" s="17">
        <f t="shared" si="9"/>
        <v>6.5714285714285712</v>
      </c>
      <c r="X17" s="17">
        <f t="shared" si="9"/>
        <v>11.857142857142856</v>
      </c>
      <c r="Y17" s="17">
        <f t="shared" si="9"/>
        <v>107</v>
      </c>
      <c r="Z17" s="17">
        <f t="shared" si="9"/>
        <v>50.571428571428577</v>
      </c>
      <c r="AA17" s="17">
        <f t="shared" si="9"/>
        <v>18.428571428571427</v>
      </c>
      <c r="AB17" s="17">
        <f t="shared" si="9"/>
        <v>32.571428571428569</v>
      </c>
      <c r="AC17" s="17">
        <f t="shared" si="9"/>
        <v>1091.1428571428571</v>
      </c>
      <c r="AD17" s="17">
        <f t="shared" si="9"/>
        <v>0.14285714285714285</v>
      </c>
      <c r="AE17" s="31">
        <f t="shared" si="9"/>
        <v>1053</v>
      </c>
      <c r="AF17" s="31">
        <f t="shared" si="9"/>
        <v>2144.1428571428573</v>
      </c>
    </row>
    <row r="18" spans="2:32" ht="23.1" customHeight="1" x14ac:dyDescent="0.25">
      <c r="B18" s="23" t="s">
        <v>45</v>
      </c>
      <c r="C18" s="49">
        <f>'Avg Week KYENGERA-BUSEGA'!C18+'Avg Week BUSEGA-KYENGERA'!C18</f>
        <v>150.71428571428572</v>
      </c>
      <c r="D18" s="49">
        <f>'Avg Week KYENGERA-BUSEGA'!D18+'Avg Week BUSEGA-KYENGERA'!D18</f>
        <v>21</v>
      </c>
      <c r="E18" s="49">
        <f>'Avg Week KYENGERA-BUSEGA'!E18+'Avg Week BUSEGA-KYENGERA'!E18</f>
        <v>19.571428571428569</v>
      </c>
      <c r="F18" s="49">
        <f>'Avg Week KYENGERA-BUSEGA'!F18+'Avg Week BUSEGA-KYENGERA'!F18</f>
        <v>111.42857142857142</v>
      </c>
      <c r="G18" s="49">
        <f>'Avg Week KYENGERA-BUSEGA'!G18+'Avg Week BUSEGA-KYENGERA'!G18</f>
        <v>5.1428571428571432</v>
      </c>
      <c r="H18" s="49">
        <f>'Avg Week KYENGERA-BUSEGA'!H18+'Avg Week BUSEGA-KYENGERA'!H18</f>
        <v>2.8571428571428572</v>
      </c>
      <c r="I18" s="49">
        <f>'Avg Week KYENGERA-BUSEGA'!I18+'Avg Week BUSEGA-KYENGERA'!I18</f>
        <v>25</v>
      </c>
      <c r="J18" s="49">
        <f>'Avg Week KYENGERA-BUSEGA'!J18+'Avg Week BUSEGA-KYENGERA'!J18</f>
        <v>10.428571428571429</v>
      </c>
      <c r="K18" s="49">
        <f>'Avg Week KYENGERA-BUSEGA'!K18+'Avg Week BUSEGA-KYENGERA'!K18</f>
        <v>3.4285714285714288</v>
      </c>
      <c r="L18" s="49">
        <f>'Avg Week KYENGERA-BUSEGA'!L18+'Avg Week BUSEGA-KYENGERA'!L18</f>
        <v>6</v>
      </c>
      <c r="M18" s="49">
        <f>'Avg Week KYENGERA-BUSEGA'!M18+'Avg Week BUSEGA-KYENGERA'!M18</f>
        <v>556.42857142857144</v>
      </c>
      <c r="N18" s="49">
        <f>'Avg Week KYENGERA-BUSEGA'!N18+'Avg Week BUSEGA-KYENGERA'!N18</f>
        <v>0</v>
      </c>
      <c r="O18" s="15">
        <f t="shared" si="0"/>
        <v>355.57142857142856</v>
      </c>
      <c r="P18" s="15">
        <f t="shared" si="1"/>
        <v>912</v>
      </c>
      <c r="R18" s="1" t="s">
        <v>14</v>
      </c>
      <c r="S18" s="17">
        <f t="shared" ref="S18:AF18" si="10">SUM(C42:C45)</f>
        <v>464.14285714285711</v>
      </c>
      <c r="T18" s="17">
        <f t="shared" si="10"/>
        <v>70.857142857142861</v>
      </c>
      <c r="U18" s="17">
        <f t="shared" si="10"/>
        <v>62.428571428571431</v>
      </c>
      <c r="V18" s="17">
        <f t="shared" si="10"/>
        <v>326.14285714285717</v>
      </c>
      <c r="W18" s="17">
        <f t="shared" si="10"/>
        <v>8.2857142857142865</v>
      </c>
      <c r="X18" s="17">
        <f t="shared" si="10"/>
        <v>12.571428571428571</v>
      </c>
      <c r="Y18" s="17">
        <f t="shared" si="10"/>
        <v>114.14285714285714</v>
      </c>
      <c r="Z18" s="17">
        <f t="shared" si="10"/>
        <v>53.714285714285715</v>
      </c>
      <c r="AA18" s="17">
        <f t="shared" si="10"/>
        <v>9.5714285714285694</v>
      </c>
      <c r="AB18" s="17">
        <f t="shared" si="10"/>
        <v>31.428571428571431</v>
      </c>
      <c r="AC18" s="17">
        <f t="shared" si="10"/>
        <v>1110.2857142857142</v>
      </c>
      <c r="AD18" s="17">
        <f t="shared" si="10"/>
        <v>0.2857142857142857</v>
      </c>
      <c r="AE18" s="31">
        <f t="shared" si="10"/>
        <v>1153.5714285714282</v>
      </c>
      <c r="AF18" s="31">
        <f t="shared" si="10"/>
        <v>2263.8571428571427</v>
      </c>
    </row>
    <row r="19" spans="2:32" ht="23.1" customHeight="1" x14ac:dyDescent="0.25">
      <c r="B19" s="23" t="s">
        <v>46</v>
      </c>
      <c r="C19" s="49">
        <f>'Avg Week KYENGERA-BUSEGA'!C19+'Avg Week BUSEGA-KYENGERA'!C19</f>
        <v>142.57142857142856</v>
      </c>
      <c r="D19" s="49">
        <f>'Avg Week KYENGERA-BUSEGA'!D19+'Avg Week BUSEGA-KYENGERA'!D19</f>
        <v>19.857142857142854</v>
      </c>
      <c r="E19" s="49">
        <f>'Avg Week KYENGERA-BUSEGA'!E19+'Avg Week BUSEGA-KYENGERA'!E19</f>
        <v>18.142857142857142</v>
      </c>
      <c r="F19" s="49">
        <f>'Avg Week KYENGERA-BUSEGA'!F19+'Avg Week BUSEGA-KYENGERA'!F19</f>
        <v>108.71428571428572</v>
      </c>
      <c r="G19" s="49">
        <f>'Avg Week KYENGERA-BUSEGA'!G19+'Avg Week BUSEGA-KYENGERA'!G19</f>
        <v>4.4285714285714288</v>
      </c>
      <c r="H19" s="49">
        <f>'Avg Week KYENGERA-BUSEGA'!H19+'Avg Week BUSEGA-KYENGERA'!H19</f>
        <v>3.7142857142857144</v>
      </c>
      <c r="I19" s="49">
        <f>'Avg Week KYENGERA-BUSEGA'!I19+'Avg Week BUSEGA-KYENGERA'!I19</f>
        <v>28</v>
      </c>
      <c r="J19" s="49">
        <f>'Avg Week KYENGERA-BUSEGA'!J19+'Avg Week BUSEGA-KYENGERA'!J19</f>
        <v>8.2857142857142847</v>
      </c>
      <c r="K19" s="49">
        <f>'Avg Week KYENGERA-BUSEGA'!K19+'Avg Week BUSEGA-KYENGERA'!K19</f>
        <v>1.5714285714285716</v>
      </c>
      <c r="L19" s="49">
        <f>'Avg Week KYENGERA-BUSEGA'!L19+'Avg Week BUSEGA-KYENGERA'!L19</f>
        <v>6.5714285714285712</v>
      </c>
      <c r="M19" s="49">
        <f>'Avg Week KYENGERA-BUSEGA'!M19+'Avg Week BUSEGA-KYENGERA'!M19</f>
        <v>527.85714285714289</v>
      </c>
      <c r="N19" s="49">
        <f>'Avg Week KYENGERA-BUSEGA'!N19+'Avg Week BUSEGA-KYENGERA'!N19</f>
        <v>0</v>
      </c>
      <c r="O19" s="15">
        <f t="shared" si="0"/>
        <v>341.85714285714283</v>
      </c>
      <c r="P19" s="15">
        <f t="shared" si="1"/>
        <v>869.71428571428578</v>
      </c>
      <c r="R19" s="1" t="s">
        <v>15</v>
      </c>
      <c r="S19" s="17">
        <f t="shared" ref="S19:AF19" si="11">SUM(C46:C49)</f>
        <v>476.57142857142856</v>
      </c>
      <c r="T19" s="17">
        <f t="shared" si="11"/>
        <v>64.571428571428569</v>
      </c>
      <c r="U19" s="17">
        <f t="shared" si="11"/>
        <v>60.571428571428577</v>
      </c>
      <c r="V19" s="17">
        <f t="shared" si="11"/>
        <v>335.14285714285711</v>
      </c>
      <c r="W19" s="17">
        <f t="shared" si="11"/>
        <v>11</v>
      </c>
      <c r="X19" s="17">
        <f t="shared" si="11"/>
        <v>15.285714285714285</v>
      </c>
      <c r="Y19" s="17">
        <f t="shared" si="11"/>
        <v>115.42857142857144</v>
      </c>
      <c r="Z19" s="17">
        <f t="shared" si="11"/>
        <v>70.714285714285708</v>
      </c>
      <c r="AA19" s="17">
        <f t="shared" si="11"/>
        <v>14.571428571428569</v>
      </c>
      <c r="AB19" s="17">
        <f t="shared" si="11"/>
        <v>38.428571428571423</v>
      </c>
      <c r="AC19" s="17">
        <f t="shared" si="11"/>
        <v>1258.2857142857142</v>
      </c>
      <c r="AD19" s="17">
        <f t="shared" si="11"/>
        <v>0.14285714285714285</v>
      </c>
      <c r="AE19" s="31">
        <f t="shared" si="11"/>
        <v>1202.4285714285716</v>
      </c>
      <c r="AF19" s="31">
        <f t="shared" si="11"/>
        <v>2460.7142857142853</v>
      </c>
    </row>
    <row r="20" spans="2:32" ht="23.1" customHeight="1" x14ac:dyDescent="0.25">
      <c r="B20" s="23" t="s">
        <v>47</v>
      </c>
      <c r="C20" s="49">
        <f>'Avg Week KYENGERA-BUSEGA'!C20+'Avg Week BUSEGA-KYENGERA'!C20</f>
        <v>148.85714285714286</v>
      </c>
      <c r="D20" s="49">
        <f>'Avg Week KYENGERA-BUSEGA'!D20+'Avg Week BUSEGA-KYENGERA'!D20</f>
        <v>19.857142857142858</v>
      </c>
      <c r="E20" s="49">
        <f>'Avg Week KYENGERA-BUSEGA'!E20+'Avg Week BUSEGA-KYENGERA'!E20</f>
        <v>18.285714285714285</v>
      </c>
      <c r="F20" s="49">
        <f>'Avg Week KYENGERA-BUSEGA'!F20+'Avg Week BUSEGA-KYENGERA'!F20</f>
        <v>95.285714285714278</v>
      </c>
      <c r="G20" s="49">
        <f>'Avg Week KYENGERA-BUSEGA'!G20+'Avg Week BUSEGA-KYENGERA'!G20</f>
        <v>3.7142857142857144</v>
      </c>
      <c r="H20" s="49">
        <f>'Avg Week KYENGERA-BUSEGA'!H20+'Avg Week BUSEGA-KYENGERA'!H20</f>
        <v>2.5714285714285712</v>
      </c>
      <c r="I20" s="49">
        <f>'Avg Week KYENGERA-BUSEGA'!I20+'Avg Week BUSEGA-KYENGERA'!I20</f>
        <v>26.285714285714285</v>
      </c>
      <c r="J20" s="49">
        <f>'Avg Week KYENGERA-BUSEGA'!J20+'Avg Week BUSEGA-KYENGERA'!J20</f>
        <v>8.7142857142857135</v>
      </c>
      <c r="K20" s="49">
        <f>'Avg Week KYENGERA-BUSEGA'!K20+'Avg Week BUSEGA-KYENGERA'!K20</f>
        <v>2.7142857142857144</v>
      </c>
      <c r="L20" s="49">
        <f>'Avg Week KYENGERA-BUSEGA'!L20+'Avg Week BUSEGA-KYENGERA'!L20</f>
        <v>8</v>
      </c>
      <c r="M20" s="49">
        <f>'Avg Week KYENGERA-BUSEGA'!M20+'Avg Week BUSEGA-KYENGERA'!M20</f>
        <v>473.42857142857144</v>
      </c>
      <c r="N20" s="49">
        <f>'Avg Week KYENGERA-BUSEGA'!N20+'Avg Week BUSEGA-KYENGERA'!N20</f>
        <v>0</v>
      </c>
      <c r="O20" s="15">
        <f t="shared" si="0"/>
        <v>334.28571428571428</v>
      </c>
      <c r="P20" s="15">
        <f t="shared" si="1"/>
        <v>807.71428571428578</v>
      </c>
      <c r="R20" s="1" t="s">
        <v>16</v>
      </c>
      <c r="S20" s="17">
        <f t="shared" ref="S20:AF20" si="12">SUM(C50:C53)</f>
        <v>564.57142857142867</v>
      </c>
      <c r="T20" s="17">
        <f t="shared" si="12"/>
        <v>76.285714285714292</v>
      </c>
      <c r="U20" s="17">
        <f t="shared" si="12"/>
        <v>67.857142857142861</v>
      </c>
      <c r="V20" s="17">
        <f t="shared" si="12"/>
        <v>355.71428571428572</v>
      </c>
      <c r="W20" s="17">
        <f t="shared" si="12"/>
        <v>16.285714285714285</v>
      </c>
      <c r="X20" s="17">
        <f t="shared" si="12"/>
        <v>16</v>
      </c>
      <c r="Y20" s="17">
        <f t="shared" si="12"/>
        <v>108.85714285714286</v>
      </c>
      <c r="Z20" s="17">
        <f t="shared" si="12"/>
        <v>65.714285714285722</v>
      </c>
      <c r="AA20" s="17">
        <f t="shared" si="12"/>
        <v>12.571428571428573</v>
      </c>
      <c r="AB20" s="17">
        <f t="shared" si="12"/>
        <v>37.857142857142861</v>
      </c>
      <c r="AC20" s="17">
        <f t="shared" si="12"/>
        <v>1671.8571428571427</v>
      </c>
      <c r="AD20" s="17">
        <f t="shared" si="12"/>
        <v>0</v>
      </c>
      <c r="AE20" s="31">
        <f t="shared" si="12"/>
        <v>1321.7142857142858</v>
      </c>
      <c r="AF20" s="31">
        <f t="shared" si="12"/>
        <v>2993.5714285714284</v>
      </c>
    </row>
    <row r="21" spans="2:32" ht="23.1" customHeight="1" x14ac:dyDescent="0.25">
      <c r="B21" s="23" t="s">
        <v>48</v>
      </c>
      <c r="C21" s="49">
        <f>'Avg Week KYENGERA-BUSEGA'!C21+'Avg Week BUSEGA-KYENGERA'!C21</f>
        <v>151.57142857142856</v>
      </c>
      <c r="D21" s="49">
        <f>'Avg Week KYENGERA-BUSEGA'!D21+'Avg Week BUSEGA-KYENGERA'!D21</f>
        <v>23.714285714285715</v>
      </c>
      <c r="E21" s="49">
        <f>'Avg Week KYENGERA-BUSEGA'!E21+'Avg Week BUSEGA-KYENGERA'!E21</f>
        <v>17.428571428571431</v>
      </c>
      <c r="F21" s="49">
        <f>'Avg Week KYENGERA-BUSEGA'!F21+'Avg Week BUSEGA-KYENGERA'!F21</f>
        <v>115.57142857142857</v>
      </c>
      <c r="G21" s="49">
        <f>'Avg Week KYENGERA-BUSEGA'!G21+'Avg Week BUSEGA-KYENGERA'!G21</f>
        <v>3.7142857142857144</v>
      </c>
      <c r="H21" s="49">
        <f>'Avg Week KYENGERA-BUSEGA'!H21+'Avg Week BUSEGA-KYENGERA'!H21</f>
        <v>2.5714285714285712</v>
      </c>
      <c r="I21" s="49">
        <f>'Avg Week KYENGERA-BUSEGA'!I21+'Avg Week BUSEGA-KYENGERA'!I21</f>
        <v>29</v>
      </c>
      <c r="J21" s="49">
        <f>'Avg Week KYENGERA-BUSEGA'!J21+'Avg Week BUSEGA-KYENGERA'!J21</f>
        <v>11.714285714285715</v>
      </c>
      <c r="K21" s="49">
        <f>'Avg Week KYENGERA-BUSEGA'!K21+'Avg Week BUSEGA-KYENGERA'!K21</f>
        <v>1.2857142857142856</v>
      </c>
      <c r="L21" s="49">
        <f>'Avg Week KYENGERA-BUSEGA'!L21+'Avg Week BUSEGA-KYENGERA'!L21</f>
        <v>6.2857142857142856</v>
      </c>
      <c r="M21" s="49">
        <f>'Avg Week KYENGERA-BUSEGA'!M21+'Avg Week BUSEGA-KYENGERA'!M21</f>
        <v>463.42857142857144</v>
      </c>
      <c r="N21" s="49">
        <f>'Avg Week KYENGERA-BUSEGA'!N21+'Avg Week BUSEGA-KYENGERA'!N21</f>
        <v>0</v>
      </c>
      <c r="O21" s="15">
        <f t="shared" si="0"/>
        <v>362.85714285714283</v>
      </c>
      <c r="P21" s="15">
        <f t="shared" si="1"/>
        <v>826.28571428571422</v>
      </c>
      <c r="R21" s="36" t="s">
        <v>20</v>
      </c>
      <c r="S21" s="34">
        <f t="shared" ref="S21:AF33" si="13">SUM(C54:C57)</f>
        <v>555.57142857142856</v>
      </c>
      <c r="T21" s="17">
        <f t="shared" si="13"/>
        <v>71</v>
      </c>
      <c r="U21" s="17">
        <f t="shared" si="13"/>
        <v>55.142857142857146</v>
      </c>
      <c r="V21" s="17">
        <f t="shared" si="13"/>
        <v>386.28571428571433</v>
      </c>
      <c r="W21" s="17">
        <f t="shared" si="13"/>
        <v>16.428571428571427</v>
      </c>
      <c r="X21" s="17">
        <f t="shared" si="13"/>
        <v>10.428571428571427</v>
      </c>
      <c r="Y21" s="17">
        <f t="shared" si="13"/>
        <v>92.285714285714278</v>
      </c>
      <c r="Z21" s="17">
        <f t="shared" si="13"/>
        <v>49.857142857142861</v>
      </c>
      <c r="AA21" s="17">
        <f t="shared" si="13"/>
        <v>15.285714285714285</v>
      </c>
      <c r="AB21" s="17">
        <f t="shared" si="13"/>
        <v>32</v>
      </c>
      <c r="AC21" s="17">
        <f t="shared" si="13"/>
        <v>1988.8571428571427</v>
      </c>
      <c r="AD21" s="17">
        <f t="shared" si="13"/>
        <v>0.14285714285714285</v>
      </c>
      <c r="AE21" s="31">
        <f t="shared" si="13"/>
        <v>1284.4285714285711</v>
      </c>
      <c r="AF21" s="31">
        <f t="shared" si="13"/>
        <v>3273.2857142857138</v>
      </c>
    </row>
    <row r="22" spans="2:32" ht="23.1" customHeight="1" x14ac:dyDescent="0.25">
      <c r="B22" s="23" t="s">
        <v>49</v>
      </c>
      <c r="C22" s="49">
        <f>'Avg Week KYENGERA-BUSEGA'!C22+'Avg Week BUSEGA-KYENGERA'!C22</f>
        <v>147.85714285714286</v>
      </c>
      <c r="D22" s="49">
        <f>'Avg Week KYENGERA-BUSEGA'!D22+'Avg Week BUSEGA-KYENGERA'!D22</f>
        <v>16.571428571428573</v>
      </c>
      <c r="E22" s="49">
        <f>'Avg Week KYENGERA-BUSEGA'!E22+'Avg Week BUSEGA-KYENGERA'!E22</f>
        <v>15</v>
      </c>
      <c r="F22" s="49">
        <f>'Avg Week KYENGERA-BUSEGA'!F22+'Avg Week BUSEGA-KYENGERA'!F22</f>
        <v>112.28571428571428</v>
      </c>
      <c r="G22" s="49">
        <f>'Avg Week KYENGERA-BUSEGA'!G22+'Avg Week BUSEGA-KYENGERA'!G22</f>
        <v>3.5714285714285712</v>
      </c>
      <c r="H22" s="49">
        <f>'Avg Week KYENGERA-BUSEGA'!H22+'Avg Week BUSEGA-KYENGERA'!H22</f>
        <v>3</v>
      </c>
      <c r="I22" s="49">
        <f>'Avg Week KYENGERA-BUSEGA'!I22+'Avg Week BUSEGA-KYENGERA'!I22</f>
        <v>28.142857142857146</v>
      </c>
      <c r="J22" s="49">
        <f>'Avg Week KYENGERA-BUSEGA'!J22+'Avg Week BUSEGA-KYENGERA'!J22</f>
        <v>7.7142857142857144</v>
      </c>
      <c r="K22" s="49">
        <f>'Avg Week KYENGERA-BUSEGA'!K22+'Avg Week BUSEGA-KYENGERA'!K22</f>
        <v>1</v>
      </c>
      <c r="L22" s="49">
        <f>'Avg Week KYENGERA-BUSEGA'!L22+'Avg Week BUSEGA-KYENGERA'!L22</f>
        <v>6.2857142857142856</v>
      </c>
      <c r="M22" s="49">
        <f>'Avg Week KYENGERA-BUSEGA'!M22+'Avg Week BUSEGA-KYENGERA'!M22</f>
        <v>419.57142857142856</v>
      </c>
      <c r="N22" s="49">
        <f>'Avg Week KYENGERA-BUSEGA'!N22+'Avg Week BUSEGA-KYENGERA'!N22</f>
        <v>0</v>
      </c>
      <c r="O22" s="15">
        <f t="shared" si="0"/>
        <v>341.42857142857144</v>
      </c>
      <c r="P22" s="15">
        <f t="shared" si="1"/>
        <v>761</v>
      </c>
      <c r="R22" s="1" t="s">
        <v>146</v>
      </c>
      <c r="S22" s="34">
        <f>SUM(C58:C61)</f>
        <v>627.5</v>
      </c>
      <c r="T22" s="34">
        <f t="shared" ref="T22:AD22" si="14">SUM(D58:D61)</f>
        <v>60.5</v>
      </c>
      <c r="U22" s="34">
        <f t="shared" si="14"/>
        <v>48</v>
      </c>
      <c r="V22" s="34">
        <f t="shared" si="14"/>
        <v>359</v>
      </c>
      <c r="W22" s="34">
        <f t="shared" si="14"/>
        <v>17.5</v>
      </c>
      <c r="X22" s="34">
        <f t="shared" si="14"/>
        <v>17.5</v>
      </c>
      <c r="Y22" s="34">
        <f t="shared" si="14"/>
        <v>106</v>
      </c>
      <c r="Z22" s="34">
        <f t="shared" si="14"/>
        <v>69</v>
      </c>
      <c r="AA22" s="34">
        <f t="shared" si="14"/>
        <v>11.5</v>
      </c>
      <c r="AB22" s="34">
        <f t="shared" si="14"/>
        <v>20.5</v>
      </c>
      <c r="AC22" s="34">
        <f t="shared" si="14"/>
        <v>2548.5</v>
      </c>
      <c r="AD22" s="34">
        <f t="shared" si="14"/>
        <v>0.5</v>
      </c>
      <c r="AE22" s="31">
        <f t="shared" si="13"/>
        <v>1318</v>
      </c>
      <c r="AF22" s="31">
        <f t="shared" si="13"/>
        <v>3453.3571428571431</v>
      </c>
    </row>
    <row r="23" spans="2:32" ht="23.1" customHeight="1" x14ac:dyDescent="0.25">
      <c r="B23" s="23" t="s">
        <v>50</v>
      </c>
      <c r="C23" s="49">
        <f>'Avg Week KYENGERA-BUSEGA'!C23+'Avg Week BUSEGA-KYENGERA'!C23</f>
        <v>143.71428571428572</v>
      </c>
      <c r="D23" s="49">
        <f>'Avg Week KYENGERA-BUSEGA'!D23+'Avg Week BUSEGA-KYENGERA'!D23</f>
        <v>19.857142857142858</v>
      </c>
      <c r="E23" s="49">
        <f>'Avg Week KYENGERA-BUSEGA'!E23+'Avg Week BUSEGA-KYENGERA'!E23</f>
        <v>14.285714285714285</v>
      </c>
      <c r="F23" s="49">
        <f>'Avg Week KYENGERA-BUSEGA'!F23+'Avg Week BUSEGA-KYENGERA'!F23</f>
        <v>116.85714285714286</v>
      </c>
      <c r="G23" s="49">
        <f>'Avg Week KYENGERA-BUSEGA'!G23+'Avg Week BUSEGA-KYENGERA'!G23</f>
        <v>4.4285714285714288</v>
      </c>
      <c r="H23" s="49">
        <f>'Avg Week KYENGERA-BUSEGA'!H23+'Avg Week BUSEGA-KYENGERA'!H23</f>
        <v>1.8571428571428572</v>
      </c>
      <c r="I23" s="49">
        <f>'Avg Week KYENGERA-BUSEGA'!I23+'Avg Week BUSEGA-KYENGERA'!I23</f>
        <v>31.428571428571427</v>
      </c>
      <c r="J23" s="49">
        <f>'Avg Week KYENGERA-BUSEGA'!J23+'Avg Week BUSEGA-KYENGERA'!J23</f>
        <v>11.857142857142858</v>
      </c>
      <c r="K23" s="49">
        <f>'Avg Week KYENGERA-BUSEGA'!K23+'Avg Week BUSEGA-KYENGERA'!K23</f>
        <v>2.7142857142857144</v>
      </c>
      <c r="L23" s="49">
        <f>'Avg Week KYENGERA-BUSEGA'!L23+'Avg Week BUSEGA-KYENGERA'!L23</f>
        <v>5.8571428571428577</v>
      </c>
      <c r="M23" s="49">
        <f>'Avg Week KYENGERA-BUSEGA'!M23+'Avg Week BUSEGA-KYENGERA'!M23</f>
        <v>393.85714285714289</v>
      </c>
      <c r="N23" s="49">
        <f>'Avg Week KYENGERA-BUSEGA'!N23+'Avg Week BUSEGA-KYENGERA'!N23</f>
        <v>0.14285714285714285</v>
      </c>
      <c r="O23" s="15">
        <f t="shared" si="0"/>
        <v>353</v>
      </c>
      <c r="P23" s="15">
        <f t="shared" si="1"/>
        <v>746.85714285714289</v>
      </c>
      <c r="R23" s="1" t="s">
        <v>147</v>
      </c>
      <c r="S23" s="34">
        <f>SUM(C62:C65)</f>
        <v>558.5</v>
      </c>
      <c r="T23" s="34">
        <f t="shared" ref="T23:AD23" si="15">SUM(D62:D65)</f>
        <v>67.5</v>
      </c>
      <c r="U23" s="34">
        <f t="shared" si="15"/>
        <v>40.5</v>
      </c>
      <c r="V23" s="34">
        <f t="shared" si="15"/>
        <v>294</v>
      </c>
      <c r="W23" s="34">
        <f t="shared" si="15"/>
        <v>19</v>
      </c>
      <c r="X23" s="34">
        <f t="shared" si="15"/>
        <v>12</v>
      </c>
      <c r="Y23" s="34">
        <f t="shared" si="15"/>
        <v>73.5</v>
      </c>
      <c r="Z23" s="34">
        <f t="shared" si="15"/>
        <v>49.5</v>
      </c>
      <c r="AA23" s="34">
        <f t="shared" si="15"/>
        <v>13</v>
      </c>
      <c r="AB23" s="34">
        <f t="shared" si="15"/>
        <v>15.5</v>
      </c>
      <c r="AC23" s="34">
        <f t="shared" si="15"/>
        <v>2272.5</v>
      </c>
      <c r="AD23" s="34">
        <f t="shared" si="15"/>
        <v>0</v>
      </c>
      <c r="AE23" s="31">
        <f t="shared" si="13"/>
        <v>1231.2142857142858</v>
      </c>
      <c r="AF23" s="31">
        <f t="shared" si="13"/>
        <v>3391.2142857142858</v>
      </c>
    </row>
    <row r="24" spans="2:32" ht="23.1" customHeight="1" x14ac:dyDescent="0.25">
      <c r="B24" s="23" t="s">
        <v>51</v>
      </c>
      <c r="C24" s="49">
        <f>'Avg Week KYENGERA-BUSEGA'!C24+'Avg Week BUSEGA-KYENGERA'!C24</f>
        <v>138.42857142857144</v>
      </c>
      <c r="D24" s="49">
        <f>'Avg Week KYENGERA-BUSEGA'!D24+'Avg Week BUSEGA-KYENGERA'!D24</f>
        <v>18.571428571428569</v>
      </c>
      <c r="E24" s="49">
        <f>'Avg Week KYENGERA-BUSEGA'!E24+'Avg Week BUSEGA-KYENGERA'!E24</f>
        <v>16.428571428571431</v>
      </c>
      <c r="F24" s="49">
        <f>'Avg Week KYENGERA-BUSEGA'!F24+'Avg Week BUSEGA-KYENGERA'!F24</f>
        <v>102.57142857142857</v>
      </c>
      <c r="G24" s="49">
        <f>'Avg Week KYENGERA-BUSEGA'!G24+'Avg Week BUSEGA-KYENGERA'!G24</f>
        <v>3.4285714285714284</v>
      </c>
      <c r="H24" s="49">
        <f>'Avg Week KYENGERA-BUSEGA'!H24+'Avg Week BUSEGA-KYENGERA'!H24</f>
        <v>2.2857142857142856</v>
      </c>
      <c r="I24" s="49">
        <f>'Avg Week KYENGERA-BUSEGA'!I24+'Avg Week BUSEGA-KYENGERA'!I24</f>
        <v>31.142857142857146</v>
      </c>
      <c r="J24" s="49">
        <f>'Avg Week KYENGERA-BUSEGA'!J24+'Avg Week BUSEGA-KYENGERA'!J24</f>
        <v>6.4285714285714288</v>
      </c>
      <c r="K24" s="49">
        <f>'Avg Week KYENGERA-BUSEGA'!K24+'Avg Week BUSEGA-KYENGERA'!K24</f>
        <v>1.4285714285714286</v>
      </c>
      <c r="L24" s="49">
        <f>'Avg Week KYENGERA-BUSEGA'!L24+'Avg Week BUSEGA-KYENGERA'!L24</f>
        <v>5.4285714285714288</v>
      </c>
      <c r="M24" s="49">
        <f>'Avg Week KYENGERA-BUSEGA'!M24+'Avg Week BUSEGA-KYENGERA'!M24</f>
        <v>344.42857142857144</v>
      </c>
      <c r="N24" s="49">
        <f>'Avg Week KYENGERA-BUSEGA'!N24+'Avg Week BUSEGA-KYENGERA'!N24</f>
        <v>0</v>
      </c>
      <c r="O24" s="15">
        <f t="shared" si="0"/>
        <v>326.14285714285722</v>
      </c>
      <c r="P24" s="15">
        <f t="shared" si="1"/>
        <v>670.57142857142867</v>
      </c>
      <c r="R24" s="1" t="s">
        <v>148</v>
      </c>
      <c r="S24" s="34">
        <f>SUM(C66:C69)</f>
        <v>617</v>
      </c>
      <c r="T24" s="34">
        <f t="shared" ref="T24:AD24" si="16">SUM(D66:D69)</f>
        <v>77.5</v>
      </c>
      <c r="U24" s="34">
        <f t="shared" si="16"/>
        <v>53</v>
      </c>
      <c r="V24" s="34">
        <f t="shared" si="16"/>
        <v>297</v>
      </c>
      <c r="W24" s="34">
        <f t="shared" si="16"/>
        <v>22</v>
      </c>
      <c r="X24" s="34">
        <f t="shared" si="16"/>
        <v>16.5</v>
      </c>
      <c r="Y24" s="34">
        <f t="shared" si="16"/>
        <v>83</v>
      </c>
      <c r="Z24" s="34">
        <f t="shared" si="16"/>
        <v>63.5</v>
      </c>
      <c r="AA24" s="34">
        <f t="shared" si="16"/>
        <v>14.5</v>
      </c>
      <c r="AB24" s="34">
        <f t="shared" si="16"/>
        <v>20</v>
      </c>
      <c r="AC24" s="34">
        <f t="shared" si="16"/>
        <v>1875</v>
      </c>
      <c r="AD24" s="34">
        <f t="shared" si="16"/>
        <v>0</v>
      </c>
      <c r="AE24" s="31">
        <f t="shared" si="13"/>
        <v>1253.5714285714284</v>
      </c>
      <c r="AF24" s="31">
        <f t="shared" si="13"/>
        <v>3614.8571428571431</v>
      </c>
    </row>
    <row r="25" spans="2:32" ht="23.1" customHeight="1" x14ac:dyDescent="0.25">
      <c r="B25" s="23" t="s">
        <v>52</v>
      </c>
      <c r="C25" s="49">
        <f>'Avg Week KYENGERA-BUSEGA'!C25+'Avg Week BUSEGA-KYENGERA'!C25</f>
        <v>131</v>
      </c>
      <c r="D25" s="49">
        <f>'Avg Week KYENGERA-BUSEGA'!D25+'Avg Week BUSEGA-KYENGERA'!D25</f>
        <v>15.428571428571429</v>
      </c>
      <c r="E25" s="49">
        <f>'Avg Week KYENGERA-BUSEGA'!E25+'Avg Week BUSEGA-KYENGERA'!E25</f>
        <v>14.428571428571429</v>
      </c>
      <c r="F25" s="49">
        <f>'Avg Week KYENGERA-BUSEGA'!F25+'Avg Week BUSEGA-KYENGERA'!F25</f>
        <v>90</v>
      </c>
      <c r="G25" s="49">
        <f>'Avg Week KYENGERA-BUSEGA'!G25+'Avg Week BUSEGA-KYENGERA'!G25</f>
        <v>3.1428571428571428</v>
      </c>
      <c r="H25" s="49">
        <f>'Avg Week KYENGERA-BUSEGA'!H25+'Avg Week BUSEGA-KYENGERA'!H25</f>
        <v>1.8571428571428572</v>
      </c>
      <c r="I25" s="49">
        <f>'Avg Week KYENGERA-BUSEGA'!I25+'Avg Week BUSEGA-KYENGERA'!I25</f>
        <v>23.857142857142858</v>
      </c>
      <c r="J25" s="49">
        <f>'Avg Week KYENGERA-BUSEGA'!J25+'Avg Week BUSEGA-KYENGERA'!J25</f>
        <v>6.8571428571428577</v>
      </c>
      <c r="K25" s="49">
        <f>'Avg Week KYENGERA-BUSEGA'!K25+'Avg Week BUSEGA-KYENGERA'!K25</f>
        <v>1.7142857142857142</v>
      </c>
      <c r="L25" s="49">
        <f>'Avg Week KYENGERA-BUSEGA'!L25+'Avg Week BUSEGA-KYENGERA'!L25</f>
        <v>7.1428571428571423</v>
      </c>
      <c r="M25" s="49">
        <f>'Avg Week KYENGERA-BUSEGA'!M25+'Avg Week BUSEGA-KYENGERA'!M25</f>
        <v>353.28571428571428</v>
      </c>
      <c r="N25" s="49">
        <f>'Avg Week KYENGERA-BUSEGA'!N25+'Avg Week BUSEGA-KYENGERA'!N25</f>
        <v>0.14285714285714285</v>
      </c>
      <c r="O25" s="15">
        <f t="shared" si="0"/>
        <v>295.57142857142856</v>
      </c>
      <c r="P25" s="15">
        <f t="shared" si="1"/>
        <v>648.85714285714278</v>
      </c>
      <c r="R25" s="1" t="s">
        <v>149</v>
      </c>
      <c r="S25" s="34">
        <f>SUM(C70:C73)</f>
        <v>570.5</v>
      </c>
      <c r="T25" s="34">
        <f t="shared" ref="T25:AD25" si="17">SUM(D70:D73)</f>
        <v>87.5</v>
      </c>
      <c r="U25" s="34">
        <f t="shared" si="17"/>
        <v>47.5</v>
      </c>
      <c r="V25" s="34">
        <f t="shared" si="17"/>
        <v>231.5</v>
      </c>
      <c r="W25" s="34">
        <f t="shared" si="17"/>
        <v>17.5</v>
      </c>
      <c r="X25" s="34">
        <f t="shared" si="17"/>
        <v>8</v>
      </c>
      <c r="Y25" s="34">
        <f t="shared" si="17"/>
        <v>90.5</v>
      </c>
      <c r="Z25" s="34">
        <f t="shared" si="17"/>
        <v>61</v>
      </c>
      <c r="AA25" s="34">
        <f t="shared" si="17"/>
        <v>8</v>
      </c>
      <c r="AB25" s="34">
        <f t="shared" si="17"/>
        <v>27</v>
      </c>
      <c r="AC25" s="34">
        <f t="shared" si="17"/>
        <v>1568</v>
      </c>
      <c r="AD25" s="34">
        <f t="shared" si="17"/>
        <v>0</v>
      </c>
      <c r="AE25" s="31">
        <f t="shared" si="13"/>
        <v>1337.5</v>
      </c>
      <c r="AF25" s="31">
        <f t="shared" si="13"/>
        <v>3886</v>
      </c>
    </row>
    <row r="26" spans="2:32" ht="23.1" customHeight="1" x14ac:dyDescent="0.25">
      <c r="B26" s="23" t="s">
        <v>53</v>
      </c>
      <c r="C26" s="49">
        <f>'Avg Week KYENGERA-BUSEGA'!C26+'Avg Week BUSEGA-KYENGERA'!C26</f>
        <v>140.28571428571428</v>
      </c>
      <c r="D26" s="49">
        <f>'Avg Week KYENGERA-BUSEGA'!D26+'Avg Week BUSEGA-KYENGERA'!D26</f>
        <v>19</v>
      </c>
      <c r="E26" s="49">
        <f>'Avg Week KYENGERA-BUSEGA'!E26+'Avg Week BUSEGA-KYENGERA'!E26</f>
        <v>14.142857142857142</v>
      </c>
      <c r="F26" s="49">
        <f>'Avg Week KYENGERA-BUSEGA'!F26+'Avg Week BUSEGA-KYENGERA'!F26</f>
        <v>112.14285714285714</v>
      </c>
      <c r="G26" s="49">
        <f>'Avg Week KYENGERA-BUSEGA'!G26+'Avg Week BUSEGA-KYENGERA'!G26</f>
        <v>3.4285714285714288</v>
      </c>
      <c r="H26" s="49">
        <f>'Avg Week KYENGERA-BUSEGA'!H26+'Avg Week BUSEGA-KYENGERA'!H26</f>
        <v>3.4285714285714284</v>
      </c>
      <c r="I26" s="49">
        <f>'Avg Week KYENGERA-BUSEGA'!I26+'Avg Week BUSEGA-KYENGERA'!I26</f>
        <v>30.285714285714285</v>
      </c>
      <c r="J26" s="49">
        <f>'Avg Week KYENGERA-BUSEGA'!J26+'Avg Week BUSEGA-KYENGERA'!J26</f>
        <v>8.7142857142857153</v>
      </c>
      <c r="K26" s="49">
        <f>'Avg Week KYENGERA-BUSEGA'!K26+'Avg Week BUSEGA-KYENGERA'!K26</f>
        <v>1.1428571428571428</v>
      </c>
      <c r="L26" s="49">
        <f>'Avg Week KYENGERA-BUSEGA'!L26+'Avg Week BUSEGA-KYENGERA'!L26</f>
        <v>8.5714285714285712</v>
      </c>
      <c r="M26" s="49">
        <f>'Avg Week KYENGERA-BUSEGA'!M26+'Avg Week BUSEGA-KYENGERA'!M26</f>
        <v>331.57142857142856</v>
      </c>
      <c r="N26" s="49">
        <f>'Avg Week KYENGERA-BUSEGA'!N26+'Avg Week BUSEGA-KYENGERA'!N26</f>
        <v>0.14285714285714285</v>
      </c>
      <c r="O26" s="15">
        <f t="shared" si="0"/>
        <v>341.28571428571433</v>
      </c>
      <c r="P26" s="15">
        <f t="shared" si="1"/>
        <v>672.85714285714289</v>
      </c>
      <c r="R26" s="1" t="s">
        <v>150</v>
      </c>
      <c r="S26" s="34">
        <f>SUM(C74:C77)</f>
        <v>493</v>
      </c>
      <c r="T26" s="34">
        <f t="shared" ref="T26:AD26" si="18">SUM(D74:D77)</f>
        <v>54.5</v>
      </c>
      <c r="U26" s="34">
        <f t="shared" si="18"/>
        <v>37.5</v>
      </c>
      <c r="V26" s="34">
        <f t="shared" si="18"/>
        <v>195.5</v>
      </c>
      <c r="W26" s="34">
        <f t="shared" si="18"/>
        <v>10</v>
      </c>
      <c r="X26" s="34">
        <f t="shared" si="18"/>
        <v>13.5</v>
      </c>
      <c r="Y26" s="34">
        <f t="shared" si="18"/>
        <v>67</v>
      </c>
      <c r="Z26" s="34">
        <f t="shared" si="18"/>
        <v>52</v>
      </c>
      <c r="AA26" s="34">
        <f t="shared" si="18"/>
        <v>4.5</v>
      </c>
      <c r="AB26" s="34">
        <f t="shared" si="18"/>
        <v>18.5</v>
      </c>
      <c r="AC26" s="34">
        <f t="shared" si="18"/>
        <v>941</v>
      </c>
      <c r="AD26" s="34">
        <f t="shared" si="18"/>
        <v>0</v>
      </c>
      <c r="AE26" s="31">
        <f t="shared" si="13"/>
        <v>1245.5</v>
      </c>
      <c r="AF26" s="31">
        <f t="shared" si="13"/>
        <v>3646.5</v>
      </c>
    </row>
    <row r="27" spans="2:32" ht="23.1" customHeight="1" x14ac:dyDescent="0.25">
      <c r="B27" s="23" t="s">
        <v>54</v>
      </c>
      <c r="C27" s="49">
        <f>'Avg Week KYENGERA-BUSEGA'!C27+'Avg Week BUSEGA-KYENGERA'!C27</f>
        <v>134.42857142857142</v>
      </c>
      <c r="D27" s="49">
        <f>'Avg Week KYENGERA-BUSEGA'!D27+'Avg Week BUSEGA-KYENGERA'!D27</f>
        <v>19.428571428571431</v>
      </c>
      <c r="E27" s="49">
        <f>'Avg Week KYENGERA-BUSEGA'!E27+'Avg Week BUSEGA-KYENGERA'!E27</f>
        <v>15.571428571428573</v>
      </c>
      <c r="F27" s="49">
        <f>'Avg Week KYENGERA-BUSEGA'!F27+'Avg Week BUSEGA-KYENGERA'!F27</f>
        <v>99.714285714285722</v>
      </c>
      <c r="G27" s="49">
        <f>'Avg Week KYENGERA-BUSEGA'!G27+'Avg Week BUSEGA-KYENGERA'!G27</f>
        <v>2.8571428571428568</v>
      </c>
      <c r="H27" s="49">
        <f>'Avg Week KYENGERA-BUSEGA'!H27+'Avg Week BUSEGA-KYENGERA'!H27</f>
        <v>3.285714285714286</v>
      </c>
      <c r="I27" s="49">
        <f>'Avg Week KYENGERA-BUSEGA'!I27+'Avg Week BUSEGA-KYENGERA'!I27</f>
        <v>27</v>
      </c>
      <c r="J27" s="49">
        <f>'Avg Week KYENGERA-BUSEGA'!J27+'Avg Week BUSEGA-KYENGERA'!J27</f>
        <v>10</v>
      </c>
      <c r="K27" s="49">
        <f>'Avg Week KYENGERA-BUSEGA'!K27+'Avg Week BUSEGA-KYENGERA'!K27</f>
        <v>1.7142857142857142</v>
      </c>
      <c r="L27" s="49">
        <f>'Avg Week KYENGERA-BUSEGA'!L27+'Avg Week BUSEGA-KYENGERA'!L27</f>
        <v>8.4285714285714288</v>
      </c>
      <c r="M27" s="49">
        <f>'Avg Week KYENGERA-BUSEGA'!M27+'Avg Week BUSEGA-KYENGERA'!M27</f>
        <v>330.28571428571428</v>
      </c>
      <c r="N27" s="49">
        <f>'Avg Week KYENGERA-BUSEGA'!N27+'Avg Week BUSEGA-KYENGERA'!N27</f>
        <v>0.2857142857142857</v>
      </c>
      <c r="O27" s="15">
        <f t="shared" si="0"/>
        <v>322.71428571428567</v>
      </c>
      <c r="P27" s="15">
        <f t="shared" si="1"/>
        <v>653</v>
      </c>
      <c r="R27" s="1" t="s">
        <v>151</v>
      </c>
      <c r="S27" s="34">
        <f>SUM(C78:C81)</f>
        <v>335.5</v>
      </c>
      <c r="T27" s="34">
        <f t="shared" ref="T27:AD27" si="19">SUM(D78:D81)</f>
        <v>38</v>
      </c>
      <c r="U27" s="34">
        <f t="shared" si="19"/>
        <v>37</v>
      </c>
      <c r="V27" s="34">
        <f t="shared" si="19"/>
        <v>132</v>
      </c>
      <c r="W27" s="34">
        <f t="shared" si="19"/>
        <v>8</v>
      </c>
      <c r="X27" s="34">
        <f t="shared" si="19"/>
        <v>13.5</v>
      </c>
      <c r="Y27" s="34">
        <f t="shared" si="19"/>
        <v>74.5</v>
      </c>
      <c r="Z27" s="34">
        <f t="shared" si="19"/>
        <v>52</v>
      </c>
      <c r="AA27" s="34">
        <f t="shared" si="19"/>
        <v>8</v>
      </c>
      <c r="AB27" s="34">
        <f t="shared" si="19"/>
        <v>27.5</v>
      </c>
      <c r="AC27" s="34">
        <f t="shared" si="19"/>
        <v>487</v>
      </c>
      <c r="AD27" s="34">
        <f t="shared" si="19"/>
        <v>0</v>
      </c>
      <c r="AE27" s="31">
        <f t="shared" si="13"/>
        <v>1225</v>
      </c>
      <c r="AF27" s="31">
        <f t="shared" si="13"/>
        <v>3656.5</v>
      </c>
    </row>
    <row r="28" spans="2:32" ht="23.1" customHeight="1" x14ac:dyDescent="0.25">
      <c r="B28" s="23" t="s">
        <v>55</v>
      </c>
      <c r="C28" s="49">
        <f>'Avg Week KYENGERA-BUSEGA'!C28+'Avg Week BUSEGA-KYENGERA'!C28</f>
        <v>140.14285714285714</v>
      </c>
      <c r="D28" s="49">
        <f>'Avg Week KYENGERA-BUSEGA'!D28+'Avg Week BUSEGA-KYENGERA'!D28</f>
        <v>20.285714285714285</v>
      </c>
      <c r="E28" s="49">
        <f>'Avg Week KYENGERA-BUSEGA'!E28+'Avg Week BUSEGA-KYENGERA'!E28</f>
        <v>16.714285714285715</v>
      </c>
      <c r="F28" s="49">
        <f>'Avg Week KYENGERA-BUSEGA'!F28+'Avg Week BUSEGA-KYENGERA'!F28</f>
        <v>109.42857142857143</v>
      </c>
      <c r="G28" s="49">
        <f>'Avg Week KYENGERA-BUSEGA'!G28+'Avg Week BUSEGA-KYENGERA'!G28</f>
        <v>3.1428571428571428</v>
      </c>
      <c r="H28" s="49">
        <f>'Avg Week KYENGERA-BUSEGA'!H28+'Avg Week BUSEGA-KYENGERA'!H28</f>
        <v>3.7142857142857144</v>
      </c>
      <c r="I28" s="49">
        <f>'Avg Week KYENGERA-BUSEGA'!I28+'Avg Week BUSEGA-KYENGERA'!I28</f>
        <v>31.571428571428569</v>
      </c>
      <c r="J28" s="49">
        <f>'Avg Week KYENGERA-BUSEGA'!J28+'Avg Week BUSEGA-KYENGERA'!J28</f>
        <v>11.285714285714285</v>
      </c>
      <c r="K28" s="49">
        <f>'Avg Week KYENGERA-BUSEGA'!K28+'Avg Week BUSEGA-KYENGERA'!K28</f>
        <v>2.2857142857142856</v>
      </c>
      <c r="L28" s="49">
        <f>'Avg Week KYENGERA-BUSEGA'!L28+'Avg Week BUSEGA-KYENGERA'!L28</f>
        <v>8.4285714285714288</v>
      </c>
      <c r="M28" s="49">
        <f>'Avg Week KYENGERA-BUSEGA'!M28+'Avg Week BUSEGA-KYENGERA'!M28</f>
        <v>321.42857142857144</v>
      </c>
      <c r="N28" s="49">
        <f>'Avg Week KYENGERA-BUSEGA'!N28+'Avg Week BUSEGA-KYENGERA'!N28</f>
        <v>0</v>
      </c>
      <c r="O28" s="15">
        <f t="shared" si="0"/>
        <v>347</v>
      </c>
      <c r="P28" s="15">
        <f t="shared" si="1"/>
        <v>668.42857142857144</v>
      </c>
      <c r="R28" s="1" t="s">
        <v>152</v>
      </c>
      <c r="S28" s="34">
        <f>SUM(C82:C85)</f>
        <v>156</v>
      </c>
      <c r="T28" s="34">
        <f t="shared" ref="T28:AD28" si="20">SUM(D82:D85)</f>
        <v>19.5</v>
      </c>
      <c r="U28" s="34">
        <f t="shared" si="20"/>
        <v>10.5</v>
      </c>
      <c r="V28" s="34">
        <f t="shared" si="20"/>
        <v>53.5</v>
      </c>
      <c r="W28" s="34">
        <f t="shared" si="20"/>
        <v>2</v>
      </c>
      <c r="X28" s="34">
        <f t="shared" si="20"/>
        <v>4.5</v>
      </c>
      <c r="Y28" s="34">
        <f t="shared" si="20"/>
        <v>48</v>
      </c>
      <c r="Z28" s="34">
        <f t="shared" si="20"/>
        <v>55</v>
      </c>
      <c r="AA28" s="34">
        <f t="shared" si="20"/>
        <v>16.5</v>
      </c>
      <c r="AB28" s="34">
        <f t="shared" si="20"/>
        <v>27</v>
      </c>
      <c r="AC28" s="34">
        <f t="shared" si="20"/>
        <v>299.5</v>
      </c>
      <c r="AD28" s="34">
        <f t="shared" si="20"/>
        <v>0</v>
      </c>
      <c r="AE28" s="31">
        <f t="shared" si="13"/>
        <v>1187</v>
      </c>
      <c r="AF28" s="31">
        <f t="shared" si="13"/>
        <v>3581</v>
      </c>
    </row>
    <row r="29" spans="2:32" ht="23.1" customHeight="1" x14ac:dyDescent="0.25">
      <c r="B29" s="23" t="s">
        <v>56</v>
      </c>
      <c r="C29" s="49">
        <f>'Avg Week KYENGERA-BUSEGA'!C29+'Avg Week BUSEGA-KYENGERA'!C29</f>
        <v>120</v>
      </c>
      <c r="D29" s="49">
        <f>'Avg Week KYENGERA-BUSEGA'!D29+'Avg Week BUSEGA-KYENGERA'!D29</f>
        <v>16.285714285714285</v>
      </c>
      <c r="E29" s="49">
        <f>'Avg Week KYENGERA-BUSEGA'!E29+'Avg Week BUSEGA-KYENGERA'!E29</f>
        <v>12.142857142857142</v>
      </c>
      <c r="F29" s="49">
        <f>'Avg Week KYENGERA-BUSEGA'!F29+'Avg Week BUSEGA-KYENGERA'!F29</f>
        <v>87.428571428571431</v>
      </c>
      <c r="G29" s="49">
        <f>'Avg Week KYENGERA-BUSEGA'!G29+'Avg Week BUSEGA-KYENGERA'!G29</f>
        <v>2.7142857142857144</v>
      </c>
      <c r="H29" s="49">
        <f>'Avg Week KYENGERA-BUSEGA'!H29+'Avg Week BUSEGA-KYENGERA'!H29</f>
        <v>3.1428571428571432</v>
      </c>
      <c r="I29" s="49">
        <f>'Avg Week KYENGERA-BUSEGA'!I29+'Avg Week BUSEGA-KYENGERA'!I29</f>
        <v>29.428571428571431</v>
      </c>
      <c r="J29" s="49">
        <f>'Avg Week KYENGERA-BUSEGA'!J29+'Avg Week BUSEGA-KYENGERA'!J29</f>
        <v>11</v>
      </c>
      <c r="K29" s="49">
        <f>'Avg Week KYENGERA-BUSEGA'!K29+'Avg Week BUSEGA-KYENGERA'!K29</f>
        <v>1.8571428571428572</v>
      </c>
      <c r="L29" s="49">
        <f>'Avg Week KYENGERA-BUSEGA'!L29+'Avg Week BUSEGA-KYENGERA'!L29</f>
        <v>6.8571428571428577</v>
      </c>
      <c r="M29" s="49">
        <f>'Avg Week KYENGERA-BUSEGA'!M29+'Avg Week BUSEGA-KYENGERA'!M29</f>
        <v>314.57142857142856</v>
      </c>
      <c r="N29" s="49">
        <f>'Avg Week KYENGERA-BUSEGA'!N29+'Avg Week BUSEGA-KYENGERA'!N29</f>
        <v>0.14285714285714285</v>
      </c>
      <c r="O29" s="15">
        <f t="shared" si="0"/>
        <v>290.99999999999994</v>
      </c>
      <c r="P29" s="15">
        <f t="shared" si="1"/>
        <v>605.57142857142844</v>
      </c>
      <c r="R29" s="1" t="s">
        <v>153</v>
      </c>
      <c r="S29" s="34">
        <f>SUM(C86:C89)</f>
        <v>108.5</v>
      </c>
      <c r="T29" s="34">
        <f t="shared" ref="T29:AD29" si="21">SUM(D86:D89)</f>
        <v>11.5</v>
      </c>
      <c r="U29" s="34">
        <f t="shared" si="21"/>
        <v>7.5</v>
      </c>
      <c r="V29" s="34">
        <f t="shared" si="21"/>
        <v>26.5</v>
      </c>
      <c r="W29" s="34">
        <f t="shared" si="21"/>
        <v>1</v>
      </c>
      <c r="X29" s="34">
        <f t="shared" si="21"/>
        <v>5</v>
      </c>
      <c r="Y29" s="34">
        <f t="shared" si="21"/>
        <v>48</v>
      </c>
      <c r="Z29" s="34">
        <f t="shared" si="21"/>
        <v>64.5</v>
      </c>
      <c r="AA29" s="34">
        <f t="shared" si="21"/>
        <v>4.5</v>
      </c>
      <c r="AB29" s="34">
        <f t="shared" si="21"/>
        <v>14</v>
      </c>
      <c r="AC29" s="34">
        <f t="shared" si="21"/>
        <v>289.5</v>
      </c>
      <c r="AD29" s="34">
        <f t="shared" si="21"/>
        <v>0</v>
      </c>
      <c r="AE29" s="31">
        <f t="shared" si="13"/>
        <v>1143</v>
      </c>
      <c r="AF29" s="31">
        <f t="shared" si="13"/>
        <v>3415.5</v>
      </c>
    </row>
    <row r="30" spans="2:32" ht="23.1" customHeight="1" x14ac:dyDescent="0.25">
      <c r="B30" s="23" t="s">
        <v>57</v>
      </c>
      <c r="C30" s="49">
        <f>'Avg Week KYENGERA-BUSEGA'!C30+'Avg Week BUSEGA-KYENGERA'!C30</f>
        <v>114.57142857142857</v>
      </c>
      <c r="D30" s="49">
        <f>'Avg Week KYENGERA-BUSEGA'!D30+'Avg Week BUSEGA-KYENGERA'!D30</f>
        <v>18.142857142857142</v>
      </c>
      <c r="E30" s="49">
        <f>'Avg Week KYENGERA-BUSEGA'!E30+'Avg Week BUSEGA-KYENGERA'!E30</f>
        <v>12.285714285714285</v>
      </c>
      <c r="F30" s="49">
        <f>'Avg Week KYENGERA-BUSEGA'!F30+'Avg Week BUSEGA-KYENGERA'!F30</f>
        <v>96.428571428571431</v>
      </c>
      <c r="G30" s="49">
        <f>'Avg Week KYENGERA-BUSEGA'!G30+'Avg Week BUSEGA-KYENGERA'!G30</f>
        <v>2.4285714285714288</v>
      </c>
      <c r="H30" s="49">
        <f>'Avg Week KYENGERA-BUSEGA'!H30+'Avg Week BUSEGA-KYENGERA'!H30</f>
        <v>2.2857142857142856</v>
      </c>
      <c r="I30" s="49">
        <f>'Avg Week KYENGERA-BUSEGA'!I30+'Avg Week BUSEGA-KYENGERA'!I30</f>
        <v>30.571428571428569</v>
      </c>
      <c r="J30" s="49">
        <f>'Avg Week KYENGERA-BUSEGA'!J30+'Avg Week BUSEGA-KYENGERA'!J30</f>
        <v>12.571428571428571</v>
      </c>
      <c r="K30" s="49">
        <f>'Avg Week KYENGERA-BUSEGA'!K30+'Avg Week BUSEGA-KYENGERA'!K30</f>
        <v>2.1428571428571428</v>
      </c>
      <c r="L30" s="49">
        <f>'Avg Week KYENGERA-BUSEGA'!L30+'Avg Week BUSEGA-KYENGERA'!L30</f>
        <v>6.8571428571428577</v>
      </c>
      <c r="M30" s="49">
        <f>'Avg Week KYENGERA-BUSEGA'!M30+'Avg Week BUSEGA-KYENGERA'!M30</f>
        <v>343.28571428571428</v>
      </c>
      <c r="N30" s="49">
        <f>'Avg Week KYENGERA-BUSEGA'!N30+'Avg Week BUSEGA-KYENGERA'!N30</f>
        <v>0.14285714285714285</v>
      </c>
      <c r="O30" s="15">
        <f t="shared" si="0"/>
        <v>298.42857142857144</v>
      </c>
      <c r="P30" s="15">
        <f t="shared" si="1"/>
        <v>641.71428571428567</v>
      </c>
      <c r="R30" s="1" t="s">
        <v>154</v>
      </c>
      <c r="S30" s="34">
        <f>SUM(C90:C93)</f>
        <v>76</v>
      </c>
      <c r="T30" s="34">
        <f t="shared" ref="T30:AD30" si="22">SUM(D90:D93)</f>
        <v>12.5</v>
      </c>
      <c r="U30" s="34">
        <f t="shared" si="22"/>
        <v>7.5</v>
      </c>
      <c r="V30" s="34">
        <f t="shared" si="22"/>
        <v>14.5</v>
      </c>
      <c r="W30" s="34">
        <f t="shared" si="22"/>
        <v>2.5</v>
      </c>
      <c r="X30" s="34">
        <f t="shared" si="22"/>
        <v>8</v>
      </c>
      <c r="Y30" s="34">
        <f t="shared" si="22"/>
        <v>49.5</v>
      </c>
      <c r="Z30" s="34">
        <f t="shared" si="22"/>
        <v>64.5</v>
      </c>
      <c r="AA30" s="34">
        <f t="shared" si="22"/>
        <v>6.5</v>
      </c>
      <c r="AB30" s="34">
        <f t="shared" si="22"/>
        <v>15.5</v>
      </c>
      <c r="AC30" s="34">
        <f t="shared" si="22"/>
        <v>261</v>
      </c>
      <c r="AD30" s="34">
        <f t="shared" si="22"/>
        <v>0</v>
      </c>
      <c r="AE30" s="31">
        <f t="shared" si="13"/>
        <v>1149.5</v>
      </c>
      <c r="AF30" s="31">
        <f t="shared" si="13"/>
        <v>3398</v>
      </c>
    </row>
    <row r="31" spans="2:32" ht="23.1" customHeight="1" x14ac:dyDescent="0.25">
      <c r="B31" s="24" t="s">
        <v>58</v>
      </c>
      <c r="C31" s="49">
        <f>'Avg Week KYENGERA-BUSEGA'!C31+'Avg Week BUSEGA-KYENGERA'!C31</f>
        <v>114.57142857142858</v>
      </c>
      <c r="D31" s="49">
        <f>'Avg Week KYENGERA-BUSEGA'!D31+'Avg Week BUSEGA-KYENGERA'!D31</f>
        <v>15.857142857142858</v>
      </c>
      <c r="E31" s="49">
        <f>'Avg Week KYENGERA-BUSEGA'!E31+'Avg Week BUSEGA-KYENGERA'!E31</f>
        <v>14.714285714285715</v>
      </c>
      <c r="F31" s="49">
        <f>'Avg Week KYENGERA-BUSEGA'!F31+'Avg Week BUSEGA-KYENGERA'!F31</f>
        <v>95.571428571428569</v>
      </c>
      <c r="G31" s="49">
        <f>'Avg Week KYENGERA-BUSEGA'!G31+'Avg Week BUSEGA-KYENGERA'!G31</f>
        <v>3</v>
      </c>
      <c r="H31" s="49">
        <f>'Avg Week KYENGERA-BUSEGA'!H31+'Avg Week BUSEGA-KYENGERA'!H31</f>
        <v>2.5714285714285716</v>
      </c>
      <c r="I31" s="49">
        <f>'Avg Week KYENGERA-BUSEGA'!I31+'Avg Week BUSEGA-KYENGERA'!I31</f>
        <v>25.714285714285715</v>
      </c>
      <c r="J31" s="49">
        <f>'Avg Week KYENGERA-BUSEGA'!J31+'Avg Week BUSEGA-KYENGERA'!J31</f>
        <v>13</v>
      </c>
      <c r="K31" s="49">
        <f>'Avg Week KYENGERA-BUSEGA'!K31+'Avg Week BUSEGA-KYENGERA'!K31</f>
        <v>2.2857142857142856</v>
      </c>
      <c r="L31" s="49">
        <f>'Avg Week KYENGERA-BUSEGA'!L31+'Avg Week BUSEGA-KYENGERA'!L31</f>
        <v>6.2857142857142856</v>
      </c>
      <c r="M31" s="49">
        <f>'Avg Week KYENGERA-BUSEGA'!M31+'Avg Week BUSEGA-KYENGERA'!M31</f>
        <v>289.57142857142856</v>
      </c>
      <c r="N31" s="49">
        <f>'Avg Week KYENGERA-BUSEGA'!N31+'Avg Week BUSEGA-KYENGERA'!N31</f>
        <v>0.14285714285714285</v>
      </c>
      <c r="O31" s="15">
        <f t="shared" si="0"/>
        <v>293.71428571428572</v>
      </c>
      <c r="P31" s="15">
        <f t="shared" si="1"/>
        <v>583.28571428571422</v>
      </c>
      <c r="R31" s="1" t="s">
        <v>155</v>
      </c>
      <c r="S31" s="34">
        <f>SUM(C94:C97)</f>
        <v>98</v>
      </c>
      <c r="T31" s="34">
        <f t="shared" ref="T31:AD31" si="23">SUM(D94:D97)</f>
        <v>8</v>
      </c>
      <c r="U31" s="34">
        <f t="shared" si="23"/>
        <v>6.5</v>
      </c>
      <c r="V31" s="34">
        <f t="shared" si="23"/>
        <v>26</v>
      </c>
      <c r="W31" s="34">
        <f t="shared" si="23"/>
        <v>5</v>
      </c>
      <c r="X31" s="34">
        <f t="shared" si="23"/>
        <v>13</v>
      </c>
      <c r="Y31" s="34">
        <f t="shared" si="23"/>
        <v>41.5</v>
      </c>
      <c r="Z31" s="34">
        <f t="shared" si="23"/>
        <v>60.5</v>
      </c>
      <c r="AA31" s="34">
        <f t="shared" si="23"/>
        <v>5</v>
      </c>
      <c r="AB31" s="34">
        <f t="shared" si="23"/>
        <v>16</v>
      </c>
      <c r="AC31" s="34">
        <f t="shared" si="23"/>
        <v>247</v>
      </c>
      <c r="AD31" s="34">
        <f t="shared" si="23"/>
        <v>0</v>
      </c>
      <c r="AE31" s="31">
        <f t="shared" si="13"/>
        <v>1211</v>
      </c>
      <c r="AF31" s="31">
        <f t="shared" si="13"/>
        <v>3388.5</v>
      </c>
    </row>
    <row r="32" spans="2:32" ht="23.1" customHeight="1" x14ac:dyDescent="0.25">
      <c r="B32" s="24" t="s">
        <v>59</v>
      </c>
      <c r="C32" s="49">
        <f>'Avg Week KYENGERA-BUSEGA'!C32+'Avg Week BUSEGA-KYENGERA'!C32</f>
        <v>113.14285714285714</v>
      </c>
      <c r="D32" s="49">
        <f>'Avg Week KYENGERA-BUSEGA'!D32+'Avg Week BUSEGA-KYENGERA'!D32</f>
        <v>15.857142857142858</v>
      </c>
      <c r="E32" s="49">
        <f>'Avg Week KYENGERA-BUSEGA'!E32+'Avg Week BUSEGA-KYENGERA'!E32</f>
        <v>13.857142857142858</v>
      </c>
      <c r="F32" s="49">
        <f>'Avg Week KYENGERA-BUSEGA'!F32+'Avg Week BUSEGA-KYENGERA'!F32</f>
        <v>99.714285714285722</v>
      </c>
      <c r="G32" s="49">
        <f>'Avg Week KYENGERA-BUSEGA'!G32+'Avg Week BUSEGA-KYENGERA'!G32</f>
        <v>4.7142857142857144</v>
      </c>
      <c r="H32" s="49">
        <f>'Avg Week KYENGERA-BUSEGA'!H32+'Avg Week BUSEGA-KYENGERA'!H32</f>
        <v>3.4285714285714288</v>
      </c>
      <c r="I32" s="49">
        <f>'Avg Week KYENGERA-BUSEGA'!I32+'Avg Week BUSEGA-KYENGERA'!I32</f>
        <v>26.428571428571431</v>
      </c>
      <c r="J32" s="49">
        <f>'Avg Week KYENGERA-BUSEGA'!J32+'Avg Week BUSEGA-KYENGERA'!J32</f>
        <v>13.571428571428573</v>
      </c>
      <c r="K32" s="49">
        <f>'Avg Week KYENGERA-BUSEGA'!K32+'Avg Week BUSEGA-KYENGERA'!K32</f>
        <v>2.1428571428571428</v>
      </c>
      <c r="L32" s="49">
        <f>'Avg Week KYENGERA-BUSEGA'!L32+'Avg Week BUSEGA-KYENGERA'!L32</f>
        <v>8.8571428571428577</v>
      </c>
      <c r="M32" s="49">
        <f>'Avg Week KYENGERA-BUSEGA'!M32+'Avg Week BUSEGA-KYENGERA'!M32</f>
        <v>323.71428571428572</v>
      </c>
      <c r="N32" s="49">
        <f>'Avg Week KYENGERA-BUSEGA'!N32+'Avg Week BUSEGA-KYENGERA'!N32</f>
        <v>0.14285714285714285</v>
      </c>
      <c r="O32" s="15">
        <f t="shared" si="0"/>
        <v>301.85714285714289</v>
      </c>
      <c r="P32" s="15">
        <f t="shared" si="1"/>
        <v>625.57142857142856</v>
      </c>
      <c r="R32" s="1" t="s">
        <v>156</v>
      </c>
      <c r="S32" s="34">
        <f>SUM(C98:C101)</f>
        <v>109</v>
      </c>
      <c r="T32" s="34">
        <f t="shared" ref="T32:AD32" si="24">SUM(D98:D101)</f>
        <v>16</v>
      </c>
      <c r="U32" s="34">
        <f t="shared" si="24"/>
        <v>13.5</v>
      </c>
      <c r="V32" s="34">
        <f t="shared" si="24"/>
        <v>120.5</v>
      </c>
      <c r="W32" s="34">
        <f t="shared" si="24"/>
        <v>5</v>
      </c>
      <c r="X32" s="34">
        <f t="shared" si="24"/>
        <v>10</v>
      </c>
      <c r="Y32" s="34">
        <f t="shared" si="24"/>
        <v>59</v>
      </c>
      <c r="Z32" s="34">
        <f t="shared" si="24"/>
        <v>58.5</v>
      </c>
      <c r="AA32" s="34">
        <f t="shared" si="24"/>
        <v>8.5</v>
      </c>
      <c r="AB32" s="34">
        <f t="shared" si="24"/>
        <v>22.5</v>
      </c>
      <c r="AC32" s="34">
        <f t="shared" si="24"/>
        <v>339.5</v>
      </c>
      <c r="AD32" s="34">
        <f t="shared" si="24"/>
        <v>0</v>
      </c>
      <c r="AE32" s="31">
        <f t="shared" si="13"/>
        <v>1222</v>
      </c>
      <c r="AF32" s="31">
        <f t="shared" si="13"/>
        <v>3214.5</v>
      </c>
    </row>
    <row r="33" spans="2:32" ht="23.1" customHeight="1" x14ac:dyDescent="0.25">
      <c r="B33" s="23" t="s">
        <v>60</v>
      </c>
      <c r="C33" s="49">
        <f>'Avg Week KYENGERA-BUSEGA'!C33+'Avg Week BUSEGA-KYENGERA'!C33</f>
        <v>114.85714285714286</v>
      </c>
      <c r="D33" s="49">
        <f>'Avg Week KYENGERA-BUSEGA'!D33+'Avg Week BUSEGA-KYENGERA'!D33</f>
        <v>14.285714285714286</v>
      </c>
      <c r="E33" s="49">
        <f>'Avg Week KYENGERA-BUSEGA'!E33+'Avg Week BUSEGA-KYENGERA'!E33</f>
        <v>14.571428571428573</v>
      </c>
      <c r="F33" s="49">
        <f>'Avg Week KYENGERA-BUSEGA'!F33+'Avg Week BUSEGA-KYENGERA'!F33</f>
        <v>91</v>
      </c>
      <c r="G33" s="49">
        <f>'Avg Week KYENGERA-BUSEGA'!G33+'Avg Week BUSEGA-KYENGERA'!G33</f>
        <v>1.5714285714285714</v>
      </c>
      <c r="H33" s="49">
        <f>'Avg Week KYENGERA-BUSEGA'!H33+'Avg Week BUSEGA-KYENGERA'!H33</f>
        <v>2.7142857142857144</v>
      </c>
      <c r="I33" s="49">
        <f>'Avg Week KYENGERA-BUSEGA'!I33+'Avg Week BUSEGA-KYENGERA'!I33</f>
        <v>24.714285714285715</v>
      </c>
      <c r="J33" s="49">
        <f>'Avg Week KYENGERA-BUSEGA'!J33+'Avg Week BUSEGA-KYENGERA'!J33</f>
        <v>13.142857142857142</v>
      </c>
      <c r="K33" s="49">
        <f>'Avg Week KYENGERA-BUSEGA'!K33+'Avg Week BUSEGA-KYENGERA'!K33</f>
        <v>2</v>
      </c>
      <c r="L33" s="49">
        <f>'Avg Week KYENGERA-BUSEGA'!L33+'Avg Week BUSEGA-KYENGERA'!L33</f>
        <v>6.2857142857142856</v>
      </c>
      <c r="M33" s="49">
        <f>'Avg Week KYENGERA-BUSEGA'!M33+'Avg Week BUSEGA-KYENGERA'!M33</f>
        <v>282.42857142857144</v>
      </c>
      <c r="N33" s="49">
        <f>'Avg Week KYENGERA-BUSEGA'!N33+'Avg Week BUSEGA-KYENGERA'!N33</f>
        <v>0.14285714285714285</v>
      </c>
      <c r="O33" s="15">
        <f t="shared" si="0"/>
        <v>285.28571428571433</v>
      </c>
      <c r="P33" s="15">
        <f t="shared" si="1"/>
        <v>567.71428571428578</v>
      </c>
      <c r="R33" s="1" t="s">
        <v>157</v>
      </c>
      <c r="S33" s="34">
        <f>SUM(C102:C105)</f>
        <v>280.5</v>
      </c>
      <c r="T33" s="34">
        <f t="shared" ref="T33:AD33" si="25">SUM(D102:D105)</f>
        <v>33</v>
      </c>
      <c r="U33" s="34">
        <f t="shared" si="25"/>
        <v>25</v>
      </c>
      <c r="V33" s="34">
        <f t="shared" si="25"/>
        <v>222.5</v>
      </c>
      <c r="W33" s="34">
        <f t="shared" si="25"/>
        <v>24.5</v>
      </c>
      <c r="X33" s="34">
        <f t="shared" si="25"/>
        <v>8.5</v>
      </c>
      <c r="Y33" s="34">
        <f t="shared" si="25"/>
        <v>63</v>
      </c>
      <c r="Z33" s="34">
        <f t="shared" si="25"/>
        <v>63.5</v>
      </c>
      <c r="AA33" s="34">
        <f t="shared" si="25"/>
        <v>8.5</v>
      </c>
      <c r="AB33" s="34">
        <f t="shared" si="25"/>
        <v>26.5</v>
      </c>
      <c r="AC33" s="34">
        <f t="shared" si="25"/>
        <v>721</v>
      </c>
      <c r="AD33" s="34">
        <f t="shared" si="25"/>
        <v>12</v>
      </c>
      <c r="AE33" s="31">
        <f t="shared" si="13"/>
        <v>1264</v>
      </c>
      <c r="AF33" s="31">
        <f t="shared" si="13"/>
        <v>3139</v>
      </c>
    </row>
    <row r="34" spans="2:32" ht="23.1" customHeight="1" x14ac:dyDescent="0.25">
      <c r="B34" s="24" t="s">
        <v>61</v>
      </c>
      <c r="C34" s="49">
        <f>'Avg Week KYENGERA-BUSEGA'!C34+'Avg Week BUSEGA-KYENGERA'!C34</f>
        <v>103.28571428571428</v>
      </c>
      <c r="D34" s="49">
        <f>'Avg Week KYENGERA-BUSEGA'!D34+'Avg Week BUSEGA-KYENGERA'!D34</f>
        <v>12.428571428571427</v>
      </c>
      <c r="E34" s="49">
        <f>'Avg Week KYENGERA-BUSEGA'!E34+'Avg Week BUSEGA-KYENGERA'!E34</f>
        <v>12.571428571428573</v>
      </c>
      <c r="F34" s="49">
        <f>'Avg Week KYENGERA-BUSEGA'!F34+'Avg Week BUSEGA-KYENGERA'!F34</f>
        <v>89.714285714285722</v>
      </c>
      <c r="G34" s="49">
        <f>'Avg Week KYENGERA-BUSEGA'!G34+'Avg Week BUSEGA-KYENGERA'!G34</f>
        <v>2.1428571428571428</v>
      </c>
      <c r="H34" s="49">
        <f>'Avg Week KYENGERA-BUSEGA'!H34+'Avg Week BUSEGA-KYENGERA'!H34</f>
        <v>1.5714285714285714</v>
      </c>
      <c r="I34" s="49">
        <f>'Avg Week KYENGERA-BUSEGA'!I34+'Avg Week BUSEGA-KYENGERA'!I34</f>
        <v>29</v>
      </c>
      <c r="J34" s="49">
        <f>'Avg Week KYENGERA-BUSEGA'!J34+'Avg Week BUSEGA-KYENGERA'!J34</f>
        <v>11.285714285714285</v>
      </c>
      <c r="K34" s="49">
        <f>'Avg Week KYENGERA-BUSEGA'!K34+'Avg Week BUSEGA-KYENGERA'!K34</f>
        <v>4.2857142857142856</v>
      </c>
      <c r="L34" s="49">
        <f>'Avg Week KYENGERA-BUSEGA'!L34+'Avg Week BUSEGA-KYENGERA'!L34</f>
        <v>9.8571428571428577</v>
      </c>
      <c r="M34" s="49">
        <f>'Avg Week KYENGERA-BUSEGA'!M34+'Avg Week BUSEGA-KYENGERA'!M34</f>
        <v>324.57142857142856</v>
      </c>
      <c r="N34" s="49">
        <f>'Avg Week KYENGERA-BUSEGA'!N34+'Avg Week BUSEGA-KYENGERA'!N34</f>
        <v>0.14285714285714285</v>
      </c>
      <c r="O34" s="15">
        <f t="shared" si="0"/>
        <v>276.28571428571428</v>
      </c>
      <c r="P34" s="15">
        <f t="shared" si="1"/>
        <v>600.85714285714278</v>
      </c>
      <c r="R34" s="38" t="s">
        <v>90</v>
      </c>
      <c r="S34" s="39">
        <f t="shared" ref="S34:AF34" si="26">MAX(S10:S12)</f>
        <v>601.42857142857133</v>
      </c>
      <c r="T34" s="39">
        <f t="shared" si="26"/>
        <v>85.428571428571431</v>
      </c>
      <c r="U34" s="39">
        <f t="shared" si="26"/>
        <v>73.428571428571416</v>
      </c>
      <c r="V34" s="39">
        <f t="shared" si="26"/>
        <v>441.71428571428572</v>
      </c>
      <c r="W34" s="39">
        <f t="shared" si="26"/>
        <v>22.428571428571431</v>
      </c>
      <c r="X34" s="39">
        <f t="shared" si="26"/>
        <v>12.857142857142858</v>
      </c>
      <c r="Y34" s="39">
        <f t="shared" si="26"/>
        <v>108.28571428571428</v>
      </c>
      <c r="Z34" s="39">
        <f t="shared" si="26"/>
        <v>40.428571428571431</v>
      </c>
      <c r="AA34" s="39">
        <f t="shared" si="26"/>
        <v>9</v>
      </c>
      <c r="AB34" s="39">
        <f t="shared" si="26"/>
        <v>26.857142857142854</v>
      </c>
      <c r="AC34" s="39">
        <f t="shared" si="26"/>
        <v>2236.5714285714284</v>
      </c>
      <c r="AD34" s="39">
        <f t="shared" si="26"/>
        <v>0.42857142857142855</v>
      </c>
      <c r="AE34" s="40">
        <f t="shared" si="26"/>
        <v>1394.5714285714284</v>
      </c>
      <c r="AF34" s="40">
        <f t="shared" si="26"/>
        <v>3622.5714285714284</v>
      </c>
    </row>
    <row r="35" spans="2:32" ht="23.1" customHeight="1" x14ac:dyDescent="0.25">
      <c r="B35" s="24" t="s">
        <v>62</v>
      </c>
      <c r="C35" s="49">
        <f>'Avg Week KYENGERA-BUSEGA'!C35+'Avg Week BUSEGA-KYENGERA'!C35</f>
        <v>108.71428571428572</v>
      </c>
      <c r="D35" s="49">
        <f>'Avg Week KYENGERA-BUSEGA'!D35+'Avg Week BUSEGA-KYENGERA'!D35</f>
        <v>13.571428571428571</v>
      </c>
      <c r="E35" s="49">
        <f>'Avg Week KYENGERA-BUSEGA'!E35+'Avg Week BUSEGA-KYENGERA'!E35</f>
        <v>13.571428571428571</v>
      </c>
      <c r="F35" s="49">
        <f>'Avg Week KYENGERA-BUSEGA'!F35+'Avg Week BUSEGA-KYENGERA'!F35</f>
        <v>90.571428571428569</v>
      </c>
      <c r="G35" s="49">
        <f>'Avg Week KYENGERA-BUSEGA'!G35+'Avg Week BUSEGA-KYENGERA'!G35</f>
        <v>1.5714285714285714</v>
      </c>
      <c r="H35" s="49">
        <f>'Avg Week KYENGERA-BUSEGA'!H35+'Avg Week BUSEGA-KYENGERA'!H35</f>
        <v>4.2857142857142856</v>
      </c>
      <c r="I35" s="49">
        <f>'Avg Week KYENGERA-BUSEGA'!I35+'Avg Week BUSEGA-KYENGERA'!I35</f>
        <v>25</v>
      </c>
      <c r="J35" s="49">
        <f>'Avg Week KYENGERA-BUSEGA'!J35+'Avg Week BUSEGA-KYENGERA'!J35</f>
        <v>13.142857142857142</v>
      </c>
      <c r="K35" s="49">
        <f>'Avg Week KYENGERA-BUSEGA'!K35+'Avg Week BUSEGA-KYENGERA'!K35</f>
        <v>2.7142857142857144</v>
      </c>
      <c r="L35" s="49">
        <f>'Avg Week KYENGERA-BUSEGA'!L35+'Avg Week BUSEGA-KYENGERA'!L35</f>
        <v>7.8571428571428577</v>
      </c>
      <c r="M35" s="49">
        <f>'Avg Week KYENGERA-BUSEGA'!M35+'Avg Week BUSEGA-KYENGERA'!M35</f>
        <v>336.28571428571428</v>
      </c>
      <c r="N35" s="49">
        <f>'Avg Week KYENGERA-BUSEGA'!N35+'Avg Week BUSEGA-KYENGERA'!N35</f>
        <v>0.14285714285714285</v>
      </c>
      <c r="O35" s="15">
        <f t="shared" si="0"/>
        <v>281.14285714285722</v>
      </c>
      <c r="P35" s="15">
        <f t="shared" si="1"/>
        <v>617.42857142857144</v>
      </c>
      <c r="R35" s="38" t="s">
        <v>91</v>
      </c>
      <c r="S35" s="39">
        <f t="shared" ref="S35:AF35" si="27">MAX(S13:S18)</f>
        <v>561</v>
      </c>
      <c r="T35" s="39">
        <f t="shared" si="27"/>
        <v>75</v>
      </c>
      <c r="U35" s="39">
        <f t="shared" si="27"/>
        <v>64</v>
      </c>
      <c r="V35" s="39">
        <f t="shared" si="27"/>
        <v>421.71428571428572</v>
      </c>
      <c r="W35" s="39">
        <f t="shared" si="27"/>
        <v>14.571428571428571</v>
      </c>
      <c r="X35" s="39">
        <f t="shared" si="27"/>
        <v>13.571428571428573</v>
      </c>
      <c r="Y35" s="39">
        <f t="shared" si="27"/>
        <v>118.28571428571429</v>
      </c>
      <c r="Z35" s="39">
        <f t="shared" si="27"/>
        <v>57.857142857142861</v>
      </c>
      <c r="AA35" s="39">
        <f t="shared" si="27"/>
        <v>18.428571428571427</v>
      </c>
      <c r="AB35" s="39">
        <f t="shared" si="27"/>
        <v>36.285714285714292</v>
      </c>
      <c r="AC35" s="39">
        <f t="shared" si="27"/>
        <v>1511.1428571428571</v>
      </c>
      <c r="AD35" s="39">
        <f t="shared" si="27"/>
        <v>0.5714285714285714</v>
      </c>
      <c r="AE35" s="40">
        <f t="shared" si="27"/>
        <v>1316.1428571428573</v>
      </c>
      <c r="AF35" s="40">
        <f t="shared" si="27"/>
        <v>2827.2857142857142</v>
      </c>
    </row>
    <row r="36" spans="2:32" ht="23.1" customHeight="1" x14ac:dyDescent="0.25">
      <c r="B36" s="24" t="s">
        <v>63</v>
      </c>
      <c r="C36" s="49">
        <f>'Avg Week KYENGERA-BUSEGA'!C36+'Avg Week BUSEGA-KYENGERA'!C36</f>
        <v>106.14285714285714</v>
      </c>
      <c r="D36" s="49">
        <f>'Avg Week KYENGERA-BUSEGA'!D36+'Avg Week BUSEGA-KYENGERA'!D36</f>
        <v>14.428571428571429</v>
      </c>
      <c r="E36" s="49">
        <f>'Avg Week KYENGERA-BUSEGA'!E36+'Avg Week BUSEGA-KYENGERA'!E36</f>
        <v>12.857142857142858</v>
      </c>
      <c r="F36" s="49">
        <f>'Avg Week KYENGERA-BUSEGA'!F36+'Avg Week BUSEGA-KYENGERA'!F36</f>
        <v>88.571428571428569</v>
      </c>
      <c r="G36" s="49">
        <f>'Avg Week KYENGERA-BUSEGA'!G36+'Avg Week BUSEGA-KYENGERA'!G36</f>
        <v>2.7142857142857144</v>
      </c>
      <c r="H36" s="49">
        <f>'Avg Week KYENGERA-BUSEGA'!H36+'Avg Week BUSEGA-KYENGERA'!H36</f>
        <v>2.2857142857142856</v>
      </c>
      <c r="I36" s="49">
        <f>'Avg Week KYENGERA-BUSEGA'!I36+'Avg Week BUSEGA-KYENGERA'!I36</f>
        <v>22.571428571428569</v>
      </c>
      <c r="J36" s="49">
        <f>'Avg Week KYENGERA-BUSEGA'!J36+'Avg Week BUSEGA-KYENGERA'!J36</f>
        <v>19</v>
      </c>
      <c r="K36" s="49">
        <f>'Avg Week KYENGERA-BUSEGA'!K36+'Avg Week BUSEGA-KYENGERA'!K36</f>
        <v>2.7142857142857144</v>
      </c>
      <c r="L36" s="49">
        <f>'Avg Week KYENGERA-BUSEGA'!L36+'Avg Week BUSEGA-KYENGERA'!L36</f>
        <v>8.7142857142857135</v>
      </c>
      <c r="M36" s="49">
        <f>'Avg Week KYENGERA-BUSEGA'!M36+'Avg Week BUSEGA-KYENGERA'!M36</f>
        <v>327</v>
      </c>
      <c r="N36" s="49">
        <f>'Avg Week KYENGERA-BUSEGA'!N36+'Avg Week BUSEGA-KYENGERA'!N36</f>
        <v>0</v>
      </c>
      <c r="O36" s="15">
        <f t="shared" si="0"/>
        <v>280</v>
      </c>
      <c r="P36" s="15">
        <f t="shared" si="1"/>
        <v>607</v>
      </c>
      <c r="R36" s="38" t="s">
        <v>92</v>
      </c>
      <c r="S36" s="39">
        <f t="shared" ref="S36:AF36" si="28">MAX(S19:S21)</f>
        <v>564.57142857142867</v>
      </c>
      <c r="T36" s="39">
        <f t="shared" si="28"/>
        <v>76.285714285714292</v>
      </c>
      <c r="U36" s="39">
        <f t="shared" si="28"/>
        <v>67.857142857142861</v>
      </c>
      <c r="V36" s="39">
        <f t="shared" si="28"/>
        <v>386.28571428571433</v>
      </c>
      <c r="W36" s="39">
        <f t="shared" si="28"/>
        <v>16.428571428571427</v>
      </c>
      <c r="X36" s="39">
        <f t="shared" si="28"/>
        <v>16</v>
      </c>
      <c r="Y36" s="39">
        <f t="shared" si="28"/>
        <v>115.42857142857144</v>
      </c>
      <c r="Z36" s="39">
        <f t="shared" si="28"/>
        <v>70.714285714285708</v>
      </c>
      <c r="AA36" s="39">
        <f t="shared" si="28"/>
        <v>15.285714285714285</v>
      </c>
      <c r="AB36" s="39">
        <f t="shared" si="28"/>
        <v>38.428571428571423</v>
      </c>
      <c r="AC36" s="39">
        <f t="shared" si="28"/>
        <v>1988.8571428571427</v>
      </c>
      <c r="AD36" s="39">
        <f t="shared" si="28"/>
        <v>0.14285714285714285</v>
      </c>
      <c r="AE36" s="40">
        <f t="shared" si="28"/>
        <v>1321.7142857142858</v>
      </c>
      <c r="AF36" s="40">
        <f t="shared" si="28"/>
        <v>3273.2857142857138</v>
      </c>
    </row>
    <row r="37" spans="2:32" ht="23.1" customHeight="1" x14ac:dyDescent="0.25">
      <c r="B37" s="23" t="s">
        <v>64</v>
      </c>
      <c r="C37" s="49">
        <f>'Avg Week KYENGERA-BUSEGA'!C37+'Avg Week BUSEGA-KYENGERA'!C37</f>
        <v>107.28571428571428</v>
      </c>
      <c r="D37" s="49">
        <f>'Avg Week KYENGERA-BUSEGA'!D37+'Avg Week BUSEGA-KYENGERA'!D37</f>
        <v>16.571428571428573</v>
      </c>
      <c r="E37" s="49">
        <f>'Avg Week KYENGERA-BUSEGA'!E37+'Avg Week BUSEGA-KYENGERA'!E37</f>
        <v>11.142857142857142</v>
      </c>
      <c r="F37" s="49">
        <f>'Avg Week KYENGERA-BUSEGA'!F37+'Avg Week BUSEGA-KYENGERA'!F37</f>
        <v>84.571428571428569</v>
      </c>
      <c r="G37" s="49">
        <f>'Avg Week KYENGERA-BUSEGA'!G37+'Avg Week BUSEGA-KYENGERA'!G37</f>
        <v>1.5714285714285714</v>
      </c>
      <c r="H37" s="49">
        <f>'Avg Week KYENGERA-BUSEGA'!H37+'Avg Week BUSEGA-KYENGERA'!H37</f>
        <v>1.5714285714285714</v>
      </c>
      <c r="I37" s="49">
        <f>'Avg Week KYENGERA-BUSEGA'!I37+'Avg Week BUSEGA-KYENGERA'!I37</f>
        <v>25.142857142857142</v>
      </c>
      <c r="J37" s="49">
        <f>'Avg Week KYENGERA-BUSEGA'!J37+'Avg Week BUSEGA-KYENGERA'!J37</f>
        <v>14.428571428571427</v>
      </c>
      <c r="K37" s="49">
        <f>'Avg Week KYENGERA-BUSEGA'!K37+'Avg Week BUSEGA-KYENGERA'!K37</f>
        <v>2.2857142857142856</v>
      </c>
      <c r="L37" s="49">
        <f>'Avg Week KYENGERA-BUSEGA'!L37+'Avg Week BUSEGA-KYENGERA'!L37</f>
        <v>9.8571428571428577</v>
      </c>
      <c r="M37" s="49">
        <f>'Avg Week KYENGERA-BUSEGA'!M37+'Avg Week BUSEGA-KYENGERA'!M37</f>
        <v>280.28571428571428</v>
      </c>
      <c r="N37" s="49">
        <f>'Avg Week KYENGERA-BUSEGA'!N37+'Avg Week BUSEGA-KYENGERA'!N37</f>
        <v>0.2857142857142857</v>
      </c>
      <c r="O37" s="15">
        <f t="shared" si="0"/>
        <v>274.71428571428567</v>
      </c>
      <c r="P37" s="15">
        <f t="shared" si="1"/>
        <v>555</v>
      </c>
      <c r="R37" s="37" t="s">
        <v>85</v>
      </c>
      <c r="S37" s="35">
        <f t="shared" ref="S37:AF37" si="29">SUM(S10:S12)</f>
        <v>1718.7142857142858</v>
      </c>
      <c r="T37" s="16">
        <f t="shared" si="29"/>
        <v>238.42857142857142</v>
      </c>
      <c r="U37" s="16">
        <f t="shared" si="29"/>
        <v>193.85714285714283</v>
      </c>
      <c r="V37" s="16">
        <f t="shared" si="29"/>
        <v>1265.5714285714287</v>
      </c>
      <c r="W37" s="16">
        <f t="shared" si="29"/>
        <v>56.714285714285722</v>
      </c>
      <c r="X37" s="16">
        <f t="shared" si="29"/>
        <v>33.571428571428569</v>
      </c>
      <c r="Y37" s="16">
        <f t="shared" si="29"/>
        <v>293.85714285714283</v>
      </c>
      <c r="Z37" s="16">
        <f t="shared" si="29"/>
        <v>118.14285714285714</v>
      </c>
      <c r="AA37" s="16">
        <f t="shared" si="29"/>
        <v>25.714285714285715</v>
      </c>
      <c r="AB37" s="16">
        <f t="shared" si="29"/>
        <v>71</v>
      </c>
      <c r="AC37" s="16">
        <f t="shared" si="29"/>
        <v>6204.1428571428569</v>
      </c>
      <c r="AD37" s="16">
        <f t="shared" si="29"/>
        <v>0.71428571428571419</v>
      </c>
      <c r="AE37" s="32">
        <f t="shared" si="29"/>
        <v>4016.2857142857138</v>
      </c>
      <c r="AF37" s="32">
        <f t="shared" si="29"/>
        <v>10220.428571428572</v>
      </c>
    </row>
    <row r="38" spans="2:32" ht="23.1" customHeight="1" x14ac:dyDescent="0.25">
      <c r="B38" s="24" t="s">
        <v>65</v>
      </c>
      <c r="C38" s="49">
        <f>'Avg Week KYENGERA-BUSEGA'!C38+'Avg Week BUSEGA-KYENGERA'!C38</f>
        <v>96.714285714285722</v>
      </c>
      <c r="D38" s="49">
        <f>'Avg Week KYENGERA-BUSEGA'!D38+'Avg Week BUSEGA-KYENGERA'!D38</f>
        <v>20.285714285714285</v>
      </c>
      <c r="E38" s="49">
        <f>'Avg Week KYENGERA-BUSEGA'!E38+'Avg Week BUSEGA-KYENGERA'!E38</f>
        <v>13.714285714285714</v>
      </c>
      <c r="F38" s="49">
        <f>'Avg Week KYENGERA-BUSEGA'!F38+'Avg Week BUSEGA-KYENGERA'!F38</f>
        <v>67.714285714285722</v>
      </c>
      <c r="G38" s="49">
        <f>'Avg Week KYENGERA-BUSEGA'!G38+'Avg Week BUSEGA-KYENGERA'!G38</f>
        <v>1.8571428571428572</v>
      </c>
      <c r="H38" s="49">
        <f>'Avg Week KYENGERA-BUSEGA'!H38+'Avg Week BUSEGA-KYENGERA'!H38</f>
        <v>2.5714285714285716</v>
      </c>
      <c r="I38" s="49">
        <f>'Avg Week KYENGERA-BUSEGA'!I38+'Avg Week BUSEGA-KYENGERA'!I38</f>
        <v>28</v>
      </c>
      <c r="J38" s="49">
        <f>'Avg Week KYENGERA-BUSEGA'!J38+'Avg Week BUSEGA-KYENGERA'!J38</f>
        <v>12.857142857142858</v>
      </c>
      <c r="K38" s="49">
        <f>'Avg Week KYENGERA-BUSEGA'!K38+'Avg Week BUSEGA-KYENGERA'!K38</f>
        <v>3.5714285714285712</v>
      </c>
      <c r="L38" s="49">
        <f>'Avg Week KYENGERA-BUSEGA'!L38+'Avg Week BUSEGA-KYENGERA'!L38</f>
        <v>6.8571428571428568</v>
      </c>
      <c r="M38" s="49">
        <f>'Avg Week KYENGERA-BUSEGA'!M38+'Avg Week BUSEGA-KYENGERA'!M38</f>
        <v>268</v>
      </c>
      <c r="N38" s="49">
        <f>'Avg Week KYENGERA-BUSEGA'!N38+'Avg Week BUSEGA-KYENGERA'!N38</f>
        <v>0</v>
      </c>
      <c r="O38" s="15">
        <f t="shared" si="0"/>
        <v>254.1428571428572</v>
      </c>
      <c r="P38" s="15">
        <f t="shared" si="1"/>
        <v>522.14285714285722</v>
      </c>
      <c r="R38" s="28" t="s">
        <v>86</v>
      </c>
      <c r="S38" s="16">
        <f t="shared" ref="S38:AF38" si="30">SUM(S13:S18)</f>
        <v>2851.2857142857138</v>
      </c>
      <c r="T38" s="16">
        <f t="shared" si="30"/>
        <v>399.57142857142867</v>
      </c>
      <c r="U38" s="16">
        <f t="shared" si="30"/>
        <v>350.71428571428578</v>
      </c>
      <c r="V38" s="16">
        <f t="shared" si="30"/>
        <v>2183.7142857142858</v>
      </c>
      <c r="W38" s="16">
        <f t="shared" si="30"/>
        <v>61.285714285714285</v>
      </c>
      <c r="X38" s="16">
        <f t="shared" si="30"/>
        <v>67.714285714285708</v>
      </c>
      <c r="Y38" s="16">
        <f t="shared" si="30"/>
        <v>663.14285714285711</v>
      </c>
      <c r="Z38" s="16">
        <f t="shared" si="30"/>
        <v>288.28571428571428</v>
      </c>
      <c r="AA38" s="16">
        <f t="shared" si="30"/>
        <v>62.428571428571431</v>
      </c>
      <c r="AB38" s="16">
        <f t="shared" si="30"/>
        <v>185.57142857142856</v>
      </c>
      <c r="AC38" s="16">
        <f t="shared" si="30"/>
        <v>7517.5714285714275</v>
      </c>
      <c r="AD38" s="16">
        <f t="shared" si="30"/>
        <v>2.4285714285714284</v>
      </c>
      <c r="AE38" s="32">
        <f t="shared" si="30"/>
        <v>7116.1428571428578</v>
      </c>
      <c r="AF38" s="32">
        <f t="shared" si="30"/>
        <v>14633.714285714284</v>
      </c>
    </row>
    <row r="39" spans="2:32" ht="23.1" customHeight="1" x14ac:dyDescent="0.25">
      <c r="B39" s="24" t="s">
        <v>66</v>
      </c>
      <c r="C39" s="49">
        <f>'Avg Week KYENGERA-BUSEGA'!C39+'Avg Week BUSEGA-KYENGERA'!C39</f>
        <v>99.142857142857139</v>
      </c>
      <c r="D39" s="49">
        <f>'Avg Week KYENGERA-BUSEGA'!D39+'Avg Week BUSEGA-KYENGERA'!D39</f>
        <v>16.285714285714285</v>
      </c>
      <c r="E39" s="49">
        <f>'Avg Week KYENGERA-BUSEGA'!E39+'Avg Week BUSEGA-KYENGERA'!E39</f>
        <v>17.857142857142858</v>
      </c>
      <c r="F39" s="49">
        <f>'Avg Week KYENGERA-BUSEGA'!F39+'Avg Week BUSEGA-KYENGERA'!F39</f>
        <v>76.142857142857139</v>
      </c>
      <c r="G39" s="49">
        <f>'Avg Week KYENGERA-BUSEGA'!G39+'Avg Week BUSEGA-KYENGERA'!G39</f>
        <v>2</v>
      </c>
      <c r="H39" s="49">
        <f>'Avg Week KYENGERA-BUSEGA'!H39+'Avg Week BUSEGA-KYENGERA'!H39</f>
        <v>4.1428571428571423</v>
      </c>
      <c r="I39" s="49">
        <f>'Avg Week KYENGERA-BUSEGA'!I39+'Avg Week BUSEGA-KYENGERA'!I39</f>
        <v>28.857142857142854</v>
      </c>
      <c r="J39" s="49">
        <f>'Avg Week KYENGERA-BUSEGA'!J39+'Avg Week BUSEGA-KYENGERA'!J39</f>
        <v>11.857142857142858</v>
      </c>
      <c r="K39" s="49">
        <f>'Avg Week KYENGERA-BUSEGA'!K39+'Avg Week BUSEGA-KYENGERA'!K39</f>
        <v>5.4285714285714279</v>
      </c>
      <c r="L39" s="49">
        <f>'Avg Week KYENGERA-BUSEGA'!L39+'Avg Week BUSEGA-KYENGERA'!L39</f>
        <v>8.1428571428571423</v>
      </c>
      <c r="M39" s="49">
        <f>'Avg Week KYENGERA-BUSEGA'!M39+'Avg Week BUSEGA-KYENGERA'!M39</f>
        <v>280.14285714285711</v>
      </c>
      <c r="N39" s="49">
        <f>'Avg Week KYENGERA-BUSEGA'!N39+'Avg Week BUSEGA-KYENGERA'!N39</f>
        <v>0</v>
      </c>
      <c r="O39" s="15">
        <f t="shared" si="0"/>
        <v>269.85714285714289</v>
      </c>
      <c r="P39" s="15">
        <f t="shared" si="1"/>
        <v>550</v>
      </c>
      <c r="R39" s="29" t="s">
        <v>87</v>
      </c>
      <c r="S39" s="16">
        <f t="shared" ref="S39:AF39" si="31">SUM(S19:S21)</f>
        <v>1596.7142857142858</v>
      </c>
      <c r="T39" s="16">
        <f t="shared" si="31"/>
        <v>211.85714285714286</v>
      </c>
      <c r="U39" s="16">
        <f t="shared" si="31"/>
        <v>183.57142857142858</v>
      </c>
      <c r="V39" s="16">
        <f t="shared" si="31"/>
        <v>1077.1428571428573</v>
      </c>
      <c r="W39" s="16">
        <f t="shared" si="31"/>
        <v>43.714285714285708</v>
      </c>
      <c r="X39" s="16">
        <f t="shared" si="31"/>
        <v>41.714285714285708</v>
      </c>
      <c r="Y39" s="16">
        <f t="shared" si="31"/>
        <v>316.57142857142856</v>
      </c>
      <c r="Z39" s="16">
        <f t="shared" si="31"/>
        <v>186.28571428571431</v>
      </c>
      <c r="AA39" s="16">
        <f t="shared" si="31"/>
        <v>42.428571428571431</v>
      </c>
      <c r="AB39" s="16">
        <f t="shared" si="31"/>
        <v>108.28571428571428</v>
      </c>
      <c r="AC39" s="16">
        <f t="shared" si="31"/>
        <v>4919</v>
      </c>
      <c r="AD39" s="16">
        <f t="shared" si="31"/>
        <v>0.2857142857142857</v>
      </c>
      <c r="AE39" s="32">
        <f t="shared" si="31"/>
        <v>3808.5714285714284</v>
      </c>
      <c r="AF39" s="32">
        <f t="shared" si="31"/>
        <v>8727.5714285714275</v>
      </c>
    </row>
    <row r="40" spans="2:32" ht="23.1" customHeight="1" x14ac:dyDescent="0.25">
      <c r="B40" s="24" t="s">
        <v>67</v>
      </c>
      <c r="C40" s="49">
        <f>'Avg Week KYENGERA-BUSEGA'!C40+'Avg Week BUSEGA-KYENGERA'!C40</f>
        <v>111.57142857142857</v>
      </c>
      <c r="D40" s="49">
        <f>'Avg Week KYENGERA-BUSEGA'!D40+'Avg Week BUSEGA-KYENGERA'!D40</f>
        <v>12</v>
      </c>
      <c r="E40" s="49">
        <f>'Avg Week KYENGERA-BUSEGA'!E40+'Avg Week BUSEGA-KYENGERA'!E40</f>
        <v>17.571428571428573</v>
      </c>
      <c r="F40" s="49">
        <f>'Avg Week KYENGERA-BUSEGA'!F40+'Avg Week BUSEGA-KYENGERA'!F40</f>
        <v>77.142857142857139</v>
      </c>
      <c r="G40" s="49">
        <f>'Avg Week KYENGERA-BUSEGA'!G40+'Avg Week BUSEGA-KYENGERA'!G40</f>
        <v>1.5714285714285714</v>
      </c>
      <c r="H40" s="49">
        <f>'Avg Week KYENGERA-BUSEGA'!H40+'Avg Week BUSEGA-KYENGERA'!H40</f>
        <v>2.7142857142857144</v>
      </c>
      <c r="I40" s="49">
        <f>'Avg Week KYENGERA-BUSEGA'!I40+'Avg Week BUSEGA-KYENGERA'!I40</f>
        <v>24</v>
      </c>
      <c r="J40" s="49">
        <f>'Avg Week KYENGERA-BUSEGA'!J40+'Avg Week BUSEGA-KYENGERA'!J40</f>
        <v>11.428571428571429</v>
      </c>
      <c r="K40" s="49">
        <f>'Avg Week KYENGERA-BUSEGA'!K40+'Avg Week BUSEGA-KYENGERA'!K40</f>
        <v>5.1428571428571432</v>
      </c>
      <c r="L40" s="49">
        <f>'Avg Week KYENGERA-BUSEGA'!L40+'Avg Week BUSEGA-KYENGERA'!L40</f>
        <v>9.2857142857142865</v>
      </c>
      <c r="M40" s="49">
        <f>'Avg Week KYENGERA-BUSEGA'!M40+'Avg Week BUSEGA-KYENGERA'!M40</f>
        <v>271.28571428571428</v>
      </c>
      <c r="N40" s="49">
        <f>'Avg Week KYENGERA-BUSEGA'!N40+'Avg Week BUSEGA-KYENGERA'!N40</f>
        <v>0</v>
      </c>
      <c r="O40" s="15">
        <f t="shared" si="0"/>
        <v>272.42857142857144</v>
      </c>
      <c r="P40" s="15">
        <f t="shared" si="1"/>
        <v>543.71428571428578</v>
      </c>
      <c r="R40" s="5" t="s">
        <v>17</v>
      </c>
      <c r="S40" s="16">
        <f t="shared" ref="S40:AF40" si="32">SUM(S10:S21)</f>
        <v>6166.7142857142853</v>
      </c>
      <c r="T40" s="16">
        <f t="shared" si="32"/>
        <v>849.85714285714289</v>
      </c>
      <c r="U40" s="16">
        <f t="shared" si="32"/>
        <v>728.14285714285711</v>
      </c>
      <c r="V40" s="16">
        <f t="shared" si="32"/>
        <v>4526.4285714285716</v>
      </c>
      <c r="W40" s="16">
        <f t="shared" si="32"/>
        <v>161.71428571428569</v>
      </c>
      <c r="X40" s="16">
        <f t="shared" si="32"/>
        <v>142.99999999999997</v>
      </c>
      <c r="Y40" s="16">
        <f t="shared" si="32"/>
        <v>1273.5714285714287</v>
      </c>
      <c r="Z40" s="16">
        <f t="shared" si="32"/>
        <v>592.71428571428578</v>
      </c>
      <c r="AA40" s="16">
        <f t="shared" si="32"/>
        <v>130.57142857142856</v>
      </c>
      <c r="AB40" s="16">
        <f t="shared" si="32"/>
        <v>364.85714285714289</v>
      </c>
      <c r="AC40" s="16">
        <f t="shared" si="32"/>
        <v>18640.714285714283</v>
      </c>
      <c r="AD40" s="16">
        <f t="shared" si="32"/>
        <v>3.4285714285714275</v>
      </c>
      <c r="AE40" s="32">
        <f t="shared" si="32"/>
        <v>14940.999999999998</v>
      </c>
      <c r="AF40" s="32">
        <f t="shared" si="32"/>
        <v>33581.71428571429</v>
      </c>
    </row>
    <row r="41" spans="2:32" ht="23.1" customHeight="1" x14ac:dyDescent="0.25">
      <c r="B41" s="23" t="s">
        <v>68</v>
      </c>
      <c r="C41" s="49">
        <f>'Avg Week KYENGERA-BUSEGA'!C41+'Avg Week BUSEGA-KYENGERA'!C41</f>
        <v>101.28571428571428</v>
      </c>
      <c r="D41" s="49">
        <f>'Avg Week KYENGERA-BUSEGA'!D41+'Avg Week BUSEGA-KYENGERA'!D41</f>
        <v>13.571428571428571</v>
      </c>
      <c r="E41" s="49">
        <f>'Avg Week KYENGERA-BUSEGA'!E41+'Avg Week BUSEGA-KYENGERA'!E41</f>
        <v>14.857142857142858</v>
      </c>
      <c r="F41" s="49">
        <f>'Avg Week KYENGERA-BUSEGA'!F41+'Avg Week BUSEGA-KYENGERA'!F41</f>
        <v>70</v>
      </c>
      <c r="G41" s="49">
        <f>'Avg Week KYENGERA-BUSEGA'!G41+'Avg Week BUSEGA-KYENGERA'!G41</f>
        <v>1.1428571428571428</v>
      </c>
      <c r="H41" s="49">
        <f>'Avg Week KYENGERA-BUSEGA'!H41+'Avg Week BUSEGA-KYENGERA'!H41</f>
        <v>2.4285714285714288</v>
      </c>
      <c r="I41" s="49">
        <f>'Avg Week KYENGERA-BUSEGA'!I41+'Avg Week BUSEGA-KYENGERA'!I41</f>
        <v>26.142857142857142</v>
      </c>
      <c r="J41" s="49">
        <f>'Avg Week KYENGERA-BUSEGA'!J41+'Avg Week BUSEGA-KYENGERA'!J41</f>
        <v>14.428571428571429</v>
      </c>
      <c r="K41" s="49">
        <f>'Avg Week KYENGERA-BUSEGA'!K41+'Avg Week BUSEGA-KYENGERA'!K41</f>
        <v>4.2857142857142856</v>
      </c>
      <c r="L41" s="49">
        <f>'Avg Week KYENGERA-BUSEGA'!L41+'Avg Week BUSEGA-KYENGERA'!L41</f>
        <v>8.2857142857142847</v>
      </c>
      <c r="M41" s="49">
        <f>'Avg Week KYENGERA-BUSEGA'!M41+'Avg Week BUSEGA-KYENGERA'!M41</f>
        <v>271.71428571428572</v>
      </c>
      <c r="N41" s="49">
        <f>'Avg Week KYENGERA-BUSEGA'!N41+'Avg Week BUSEGA-KYENGERA'!N41</f>
        <v>0.14285714285714285</v>
      </c>
      <c r="O41" s="15">
        <f t="shared" si="0"/>
        <v>256.57142857142856</v>
      </c>
      <c r="P41" s="15">
        <f t="shared" si="1"/>
        <v>528.28571428571422</v>
      </c>
      <c r="R41" s="5" t="s">
        <v>175</v>
      </c>
      <c r="S41" s="53">
        <f>SUM(S10:S33)</f>
        <v>10196.714285714286</v>
      </c>
      <c r="T41" s="53">
        <f t="shared" ref="T41:AD41" si="33">SUM(T10:T33)</f>
        <v>1335.8571428571429</v>
      </c>
      <c r="U41" s="53">
        <f t="shared" si="33"/>
        <v>1062.1428571428571</v>
      </c>
      <c r="V41" s="53">
        <f t="shared" si="33"/>
        <v>6498.9285714285716</v>
      </c>
      <c r="W41" s="53">
        <f t="shared" si="33"/>
        <v>295.71428571428567</v>
      </c>
      <c r="X41" s="53">
        <f t="shared" si="33"/>
        <v>273</v>
      </c>
      <c r="Y41" s="53">
        <f t="shared" si="33"/>
        <v>2077.0714285714284</v>
      </c>
      <c r="Z41" s="53">
        <f t="shared" si="33"/>
        <v>1306.2142857142858</v>
      </c>
      <c r="AA41" s="53">
        <f t="shared" si="33"/>
        <v>239.57142857142856</v>
      </c>
      <c r="AB41" s="53">
        <f t="shared" si="33"/>
        <v>615.35714285714289</v>
      </c>
      <c r="AC41" s="53">
        <f t="shared" si="33"/>
        <v>30490.214285714283</v>
      </c>
      <c r="AD41" s="53">
        <f t="shared" si="33"/>
        <v>15.928571428571427</v>
      </c>
      <c r="AE41" s="54">
        <f>SUM(AE10:AE33)</f>
        <v>29728.28571428571</v>
      </c>
      <c r="AF41" s="54">
        <f>SUM(AF10:AF33)</f>
        <v>75366.64285714287</v>
      </c>
    </row>
    <row r="42" spans="2:32" ht="23.1" customHeight="1" x14ac:dyDescent="0.25">
      <c r="B42" s="24" t="s">
        <v>69</v>
      </c>
      <c r="C42" s="49">
        <f>'Avg Week KYENGERA-BUSEGA'!C42+'Avg Week BUSEGA-KYENGERA'!C42</f>
        <v>110.14285714285714</v>
      </c>
      <c r="D42" s="49">
        <f>'Avg Week KYENGERA-BUSEGA'!D42+'Avg Week BUSEGA-KYENGERA'!D42</f>
        <v>12.571428571428571</v>
      </c>
      <c r="E42" s="49">
        <f>'Avg Week KYENGERA-BUSEGA'!E42+'Avg Week BUSEGA-KYENGERA'!E42</f>
        <v>15.142857142857142</v>
      </c>
      <c r="F42" s="49">
        <f>'Avg Week KYENGERA-BUSEGA'!F42+'Avg Week BUSEGA-KYENGERA'!F42</f>
        <v>83.285714285714278</v>
      </c>
      <c r="G42" s="49">
        <f>'Avg Week KYENGERA-BUSEGA'!G42+'Avg Week BUSEGA-KYENGERA'!G42</f>
        <v>1.4285714285714286</v>
      </c>
      <c r="H42" s="49">
        <f>'Avg Week KYENGERA-BUSEGA'!H42+'Avg Week BUSEGA-KYENGERA'!H42</f>
        <v>2.2857142857142856</v>
      </c>
      <c r="I42" s="49">
        <f>'Avg Week KYENGERA-BUSEGA'!I42+'Avg Week BUSEGA-KYENGERA'!I42</f>
        <v>32.571428571428569</v>
      </c>
      <c r="J42" s="49">
        <f>'Avg Week KYENGERA-BUSEGA'!J42+'Avg Week BUSEGA-KYENGERA'!J42</f>
        <v>13.285714285714285</v>
      </c>
      <c r="K42" s="49">
        <f>'Avg Week KYENGERA-BUSEGA'!K42+'Avg Week BUSEGA-KYENGERA'!K42</f>
        <v>2.1428571428571428</v>
      </c>
      <c r="L42" s="49">
        <f>'Avg Week KYENGERA-BUSEGA'!L42+'Avg Week BUSEGA-KYENGERA'!L42</f>
        <v>8.2857142857142847</v>
      </c>
      <c r="M42" s="49">
        <f>'Avg Week KYENGERA-BUSEGA'!M42+'Avg Week BUSEGA-KYENGERA'!M42</f>
        <v>297.42857142857144</v>
      </c>
      <c r="N42" s="49">
        <f>'Avg Week KYENGERA-BUSEGA'!N42+'Avg Week BUSEGA-KYENGERA'!N42</f>
        <v>0.2857142857142857</v>
      </c>
      <c r="O42" s="15">
        <f t="shared" si="0"/>
        <v>281.42857142857139</v>
      </c>
      <c r="P42" s="15">
        <f t="shared" si="1"/>
        <v>578.85714285714289</v>
      </c>
      <c r="R42" s="5" t="s">
        <v>160</v>
      </c>
      <c r="S42" s="48">
        <f>S41/S40</f>
        <v>1.6535084671160842</v>
      </c>
      <c r="T42" s="48">
        <f t="shared" ref="T42:AF42" si="34">T41/T40</f>
        <v>1.5718608169440242</v>
      </c>
      <c r="U42" s="48">
        <f t="shared" si="34"/>
        <v>1.4587011967824211</v>
      </c>
      <c r="V42" s="48">
        <f t="shared" si="34"/>
        <v>1.4357740255641471</v>
      </c>
      <c r="W42" s="48">
        <f t="shared" si="34"/>
        <v>1.8286219081272084</v>
      </c>
      <c r="X42" s="48">
        <f t="shared" si="34"/>
        <v>1.9090909090909094</v>
      </c>
      <c r="Y42" s="48">
        <f t="shared" si="34"/>
        <v>1.6309029725182276</v>
      </c>
      <c r="Z42" s="48">
        <f t="shared" si="34"/>
        <v>2.2037840443480357</v>
      </c>
      <c r="AA42" s="48">
        <f t="shared" si="34"/>
        <v>1.8347921225382933</v>
      </c>
      <c r="AB42" s="48">
        <f t="shared" si="34"/>
        <v>1.6865700861393891</v>
      </c>
      <c r="AC42" s="48">
        <f t="shared" si="34"/>
        <v>1.6356784304709355</v>
      </c>
      <c r="AD42" s="48">
        <f t="shared" si="34"/>
        <v>4.6458333333333339</v>
      </c>
      <c r="AE42" s="55">
        <f t="shared" si="34"/>
        <v>1.9897119144826794</v>
      </c>
      <c r="AF42" s="55">
        <f t="shared" si="34"/>
        <v>2.2442762217533354</v>
      </c>
    </row>
    <row r="43" spans="2:32" ht="23.1" customHeight="1" x14ac:dyDescent="0.25">
      <c r="B43" s="23" t="s">
        <v>70</v>
      </c>
      <c r="C43" s="49">
        <f>'Avg Week KYENGERA-BUSEGA'!C43+'Avg Week BUSEGA-KYENGERA'!C43</f>
        <v>125.71428571428571</v>
      </c>
      <c r="D43" s="49">
        <f>'Avg Week KYENGERA-BUSEGA'!D43+'Avg Week BUSEGA-KYENGERA'!D43</f>
        <v>27.714285714285715</v>
      </c>
      <c r="E43" s="49">
        <f>'Avg Week KYENGERA-BUSEGA'!E43+'Avg Week BUSEGA-KYENGERA'!E43</f>
        <v>16</v>
      </c>
      <c r="F43" s="49">
        <f>'Avg Week KYENGERA-BUSEGA'!F43+'Avg Week BUSEGA-KYENGERA'!F43</f>
        <v>87.714285714285722</v>
      </c>
      <c r="G43" s="49">
        <f>'Avg Week KYENGERA-BUSEGA'!G43+'Avg Week BUSEGA-KYENGERA'!G43</f>
        <v>2</v>
      </c>
      <c r="H43" s="49">
        <f>'Avg Week KYENGERA-BUSEGA'!H43+'Avg Week BUSEGA-KYENGERA'!H43</f>
        <v>3.2857142857142856</v>
      </c>
      <c r="I43" s="49">
        <f>'Avg Week KYENGERA-BUSEGA'!I43+'Avg Week BUSEGA-KYENGERA'!I43</f>
        <v>26.571428571428569</v>
      </c>
      <c r="J43" s="49">
        <f>'Avg Week KYENGERA-BUSEGA'!J43+'Avg Week BUSEGA-KYENGERA'!J43</f>
        <v>14.714285714285714</v>
      </c>
      <c r="K43" s="49">
        <f>'Avg Week KYENGERA-BUSEGA'!K43+'Avg Week BUSEGA-KYENGERA'!K43</f>
        <v>2.5714285714285712</v>
      </c>
      <c r="L43" s="49">
        <f>'Avg Week KYENGERA-BUSEGA'!L43+'Avg Week BUSEGA-KYENGERA'!L43</f>
        <v>6.8571428571428577</v>
      </c>
      <c r="M43" s="49">
        <f>'Avg Week KYENGERA-BUSEGA'!M43+'Avg Week BUSEGA-KYENGERA'!M43</f>
        <v>280.85714285714289</v>
      </c>
      <c r="N43" s="49">
        <f>'Avg Week KYENGERA-BUSEGA'!N43+'Avg Week BUSEGA-KYENGERA'!N43</f>
        <v>0</v>
      </c>
      <c r="O43" s="15">
        <f t="shared" si="0"/>
        <v>313.14285714285705</v>
      </c>
      <c r="P43" s="15">
        <f t="shared" si="1"/>
        <v>594</v>
      </c>
    </row>
    <row r="44" spans="2:32" ht="23.1" customHeight="1" x14ac:dyDescent="0.25">
      <c r="B44" s="25" t="s">
        <v>71</v>
      </c>
      <c r="C44" s="49">
        <f>'Avg Week KYENGERA-BUSEGA'!C44+'Avg Week BUSEGA-KYENGERA'!C44</f>
        <v>123</v>
      </c>
      <c r="D44" s="49">
        <f>'Avg Week KYENGERA-BUSEGA'!D44+'Avg Week BUSEGA-KYENGERA'!D44</f>
        <v>18.285714285714285</v>
      </c>
      <c r="E44" s="49">
        <f>'Avg Week KYENGERA-BUSEGA'!E44+'Avg Week BUSEGA-KYENGERA'!E44</f>
        <v>19.142857142857142</v>
      </c>
      <c r="F44" s="49">
        <f>'Avg Week KYENGERA-BUSEGA'!F44+'Avg Week BUSEGA-KYENGERA'!F44</f>
        <v>86.714285714285722</v>
      </c>
      <c r="G44" s="49">
        <f>'Avg Week KYENGERA-BUSEGA'!G44+'Avg Week BUSEGA-KYENGERA'!G44</f>
        <v>1.4285714285714286</v>
      </c>
      <c r="H44" s="49">
        <f>'Avg Week KYENGERA-BUSEGA'!H44+'Avg Week BUSEGA-KYENGERA'!H44</f>
        <v>2.5714285714285712</v>
      </c>
      <c r="I44" s="49">
        <f>'Avg Week KYENGERA-BUSEGA'!I44+'Avg Week BUSEGA-KYENGERA'!I44</f>
        <v>28</v>
      </c>
      <c r="J44" s="49">
        <f>'Avg Week KYENGERA-BUSEGA'!J44+'Avg Week BUSEGA-KYENGERA'!J44</f>
        <v>12</v>
      </c>
      <c r="K44" s="49">
        <f>'Avg Week KYENGERA-BUSEGA'!K44+'Avg Week BUSEGA-KYENGERA'!K44</f>
        <v>2.8571428571428568</v>
      </c>
      <c r="L44" s="49">
        <f>'Avg Week KYENGERA-BUSEGA'!L44+'Avg Week BUSEGA-KYENGERA'!L44</f>
        <v>8.5714285714285712</v>
      </c>
      <c r="M44" s="49">
        <f>'Avg Week KYENGERA-BUSEGA'!M44+'Avg Week BUSEGA-KYENGERA'!M44</f>
        <v>269.85714285714283</v>
      </c>
      <c r="N44" s="49">
        <f>'Avg Week KYENGERA-BUSEGA'!N44+'Avg Week BUSEGA-KYENGERA'!N44</f>
        <v>0</v>
      </c>
      <c r="O44" s="15">
        <f t="shared" si="0"/>
        <v>302.5714285714285</v>
      </c>
      <c r="P44" s="15">
        <f t="shared" si="1"/>
        <v>572.42857142857133</v>
      </c>
    </row>
    <row r="45" spans="2:32" ht="23.1" customHeight="1" x14ac:dyDescent="0.25">
      <c r="B45" s="23" t="s">
        <v>72</v>
      </c>
      <c r="C45" s="49">
        <f>'Avg Week KYENGERA-BUSEGA'!C45+'Avg Week BUSEGA-KYENGERA'!C45</f>
        <v>105.28571428571428</v>
      </c>
      <c r="D45" s="49">
        <f>'Avg Week KYENGERA-BUSEGA'!D45+'Avg Week BUSEGA-KYENGERA'!D45</f>
        <v>12.285714285714285</v>
      </c>
      <c r="E45" s="49">
        <f>'Avg Week KYENGERA-BUSEGA'!E45+'Avg Week BUSEGA-KYENGERA'!E45</f>
        <v>12.142857142857142</v>
      </c>
      <c r="F45" s="49">
        <f>'Avg Week KYENGERA-BUSEGA'!F45+'Avg Week BUSEGA-KYENGERA'!F45</f>
        <v>68.428571428571431</v>
      </c>
      <c r="G45" s="49">
        <f>'Avg Week KYENGERA-BUSEGA'!G45+'Avg Week BUSEGA-KYENGERA'!G45</f>
        <v>3.4285714285714284</v>
      </c>
      <c r="H45" s="49">
        <f>'Avg Week KYENGERA-BUSEGA'!H45+'Avg Week BUSEGA-KYENGERA'!H45</f>
        <v>4.4285714285714288</v>
      </c>
      <c r="I45" s="49">
        <f>'Avg Week KYENGERA-BUSEGA'!I45+'Avg Week BUSEGA-KYENGERA'!I45</f>
        <v>27</v>
      </c>
      <c r="J45" s="49">
        <f>'Avg Week KYENGERA-BUSEGA'!J45+'Avg Week BUSEGA-KYENGERA'!J45</f>
        <v>13.714285714285715</v>
      </c>
      <c r="K45" s="49">
        <f>'Avg Week KYENGERA-BUSEGA'!K45+'Avg Week BUSEGA-KYENGERA'!K45</f>
        <v>2</v>
      </c>
      <c r="L45" s="49">
        <f>'Avg Week KYENGERA-BUSEGA'!L45+'Avg Week BUSEGA-KYENGERA'!L45</f>
        <v>7.7142857142857144</v>
      </c>
      <c r="M45" s="49">
        <f>'Avg Week KYENGERA-BUSEGA'!M45+'Avg Week BUSEGA-KYENGERA'!M45</f>
        <v>262.14285714285711</v>
      </c>
      <c r="N45" s="49">
        <f>'Avg Week KYENGERA-BUSEGA'!N45+'Avg Week BUSEGA-KYENGERA'!N45</f>
        <v>0</v>
      </c>
      <c r="O45" s="15">
        <f t="shared" si="0"/>
        <v>256.42857142857139</v>
      </c>
      <c r="P45" s="15">
        <f t="shared" si="1"/>
        <v>518.57142857142844</v>
      </c>
    </row>
    <row r="46" spans="2:32" ht="23.1" customHeight="1" x14ac:dyDescent="0.25">
      <c r="B46" s="24" t="s">
        <v>73</v>
      </c>
      <c r="C46" s="49">
        <f>'Avg Week KYENGERA-BUSEGA'!C46+'Avg Week BUSEGA-KYENGERA'!C46</f>
        <v>122.28571428571428</v>
      </c>
      <c r="D46" s="49">
        <f>'Avg Week KYENGERA-BUSEGA'!D46+'Avg Week BUSEGA-KYENGERA'!D46</f>
        <v>17.857142857142858</v>
      </c>
      <c r="E46" s="49">
        <f>'Avg Week KYENGERA-BUSEGA'!E46+'Avg Week BUSEGA-KYENGERA'!E46</f>
        <v>14.571428571428573</v>
      </c>
      <c r="F46" s="49">
        <f>'Avg Week KYENGERA-BUSEGA'!F46+'Avg Week BUSEGA-KYENGERA'!F46</f>
        <v>92.571428571428584</v>
      </c>
      <c r="G46" s="49">
        <f>'Avg Week KYENGERA-BUSEGA'!G46+'Avg Week BUSEGA-KYENGERA'!G46</f>
        <v>3</v>
      </c>
      <c r="H46" s="49">
        <f>'Avg Week KYENGERA-BUSEGA'!H46+'Avg Week BUSEGA-KYENGERA'!H46</f>
        <v>4.1428571428571423</v>
      </c>
      <c r="I46" s="49">
        <f>'Avg Week KYENGERA-BUSEGA'!I46+'Avg Week BUSEGA-KYENGERA'!I46</f>
        <v>30.857142857142858</v>
      </c>
      <c r="J46" s="49">
        <f>'Avg Week KYENGERA-BUSEGA'!J46+'Avg Week BUSEGA-KYENGERA'!J46</f>
        <v>18.428571428571427</v>
      </c>
      <c r="K46" s="49">
        <f>'Avg Week KYENGERA-BUSEGA'!K46+'Avg Week BUSEGA-KYENGERA'!K46</f>
        <v>3.8571428571428568</v>
      </c>
      <c r="L46" s="49">
        <f>'Avg Week KYENGERA-BUSEGA'!L46+'Avg Week BUSEGA-KYENGERA'!L46</f>
        <v>10.857142857142858</v>
      </c>
      <c r="M46" s="49">
        <f>'Avg Week KYENGERA-BUSEGA'!M46+'Avg Week BUSEGA-KYENGERA'!M46</f>
        <v>313.14285714285717</v>
      </c>
      <c r="N46" s="49">
        <f>'Avg Week KYENGERA-BUSEGA'!N46+'Avg Week BUSEGA-KYENGERA'!N46</f>
        <v>0</v>
      </c>
      <c r="O46" s="15">
        <f t="shared" si="0"/>
        <v>318.42857142857139</v>
      </c>
      <c r="P46" s="15">
        <f t="shared" si="1"/>
        <v>631.57142857142856</v>
      </c>
      <c r="R46" s="8"/>
      <c r="T46"/>
    </row>
    <row r="47" spans="2:32" ht="23.1" customHeight="1" x14ac:dyDescent="0.25">
      <c r="B47" s="24" t="s">
        <v>74</v>
      </c>
      <c r="C47" s="49">
        <f>'Avg Week KYENGERA-BUSEGA'!C47+'Avg Week BUSEGA-KYENGERA'!C47</f>
        <v>115.57142857142858</v>
      </c>
      <c r="D47" s="49">
        <f>'Avg Week KYENGERA-BUSEGA'!D47+'Avg Week BUSEGA-KYENGERA'!D47</f>
        <v>14.571428571428573</v>
      </c>
      <c r="E47" s="49">
        <f>'Avg Week KYENGERA-BUSEGA'!E47+'Avg Week BUSEGA-KYENGERA'!E47</f>
        <v>15.714285714285715</v>
      </c>
      <c r="F47" s="49">
        <f>'Avg Week KYENGERA-BUSEGA'!F47+'Avg Week BUSEGA-KYENGERA'!F47</f>
        <v>70.714285714285708</v>
      </c>
      <c r="G47" s="49">
        <f>'Avg Week KYENGERA-BUSEGA'!G47+'Avg Week BUSEGA-KYENGERA'!G47</f>
        <v>2.2857142857142856</v>
      </c>
      <c r="H47" s="49">
        <f>'Avg Week KYENGERA-BUSEGA'!H47+'Avg Week BUSEGA-KYENGERA'!H47</f>
        <v>3.5714285714285712</v>
      </c>
      <c r="I47" s="49">
        <f>'Avg Week KYENGERA-BUSEGA'!I47+'Avg Week BUSEGA-KYENGERA'!I47</f>
        <v>28</v>
      </c>
      <c r="J47" s="49">
        <f>'Avg Week KYENGERA-BUSEGA'!J47+'Avg Week BUSEGA-KYENGERA'!J47</f>
        <v>15.857142857142858</v>
      </c>
      <c r="K47" s="49">
        <f>'Avg Week KYENGERA-BUSEGA'!K47+'Avg Week BUSEGA-KYENGERA'!K47</f>
        <v>3.5714285714285712</v>
      </c>
      <c r="L47" s="49">
        <f>'Avg Week KYENGERA-BUSEGA'!L47+'Avg Week BUSEGA-KYENGERA'!L47</f>
        <v>9.4285714285714288</v>
      </c>
      <c r="M47" s="49">
        <f>'Avg Week KYENGERA-BUSEGA'!M47+'Avg Week BUSEGA-KYENGERA'!M47</f>
        <v>292</v>
      </c>
      <c r="N47" s="49">
        <f>'Avg Week KYENGERA-BUSEGA'!N47+'Avg Week BUSEGA-KYENGERA'!N47</f>
        <v>0</v>
      </c>
      <c r="O47" s="15">
        <f t="shared" si="0"/>
        <v>279.28571428571433</v>
      </c>
      <c r="P47" s="15">
        <f t="shared" si="1"/>
        <v>571.28571428571433</v>
      </c>
      <c r="R47" s="8"/>
      <c r="T47"/>
    </row>
    <row r="48" spans="2:32" ht="23.1" customHeight="1" x14ac:dyDescent="0.25">
      <c r="B48" s="24" t="s">
        <v>75</v>
      </c>
      <c r="C48" s="49">
        <f>'Avg Week KYENGERA-BUSEGA'!C48+'Avg Week BUSEGA-KYENGERA'!C48</f>
        <v>110.42857142857143</v>
      </c>
      <c r="D48" s="49">
        <f>'Avg Week KYENGERA-BUSEGA'!D48+'Avg Week BUSEGA-KYENGERA'!D48</f>
        <v>16.142857142857142</v>
      </c>
      <c r="E48" s="49">
        <f>'Avg Week KYENGERA-BUSEGA'!E48+'Avg Week BUSEGA-KYENGERA'!E48</f>
        <v>17</v>
      </c>
      <c r="F48" s="49">
        <f>'Avg Week KYENGERA-BUSEGA'!F48+'Avg Week BUSEGA-KYENGERA'!F48</f>
        <v>83.714285714285722</v>
      </c>
      <c r="G48" s="49">
        <f>'Avg Week KYENGERA-BUSEGA'!G48+'Avg Week BUSEGA-KYENGERA'!G48</f>
        <v>3.1428571428571428</v>
      </c>
      <c r="H48" s="49">
        <f>'Avg Week KYENGERA-BUSEGA'!H48+'Avg Week BUSEGA-KYENGERA'!H48</f>
        <v>4.5714285714285712</v>
      </c>
      <c r="I48" s="49">
        <f>'Avg Week KYENGERA-BUSEGA'!I48+'Avg Week BUSEGA-KYENGERA'!I48</f>
        <v>28.857142857142858</v>
      </c>
      <c r="J48" s="49">
        <f>'Avg Week KYENGERA-BUSEGA'!J48+'Avg Week BUSEGA-KYENGERA'!J48</f>
        <v>18.571428571428569</v>
      </c>
      <c r="K48" s="49">
        <f>'Avg Week KYENGERA-BUSEGA'!K48+'Avg Week BUSEGA-KYENGERA'!K48</f>
        <v>3.8571428571428572</v>
      </c>
      <c r="L48" s="49">
        <f>'Avg Week KYENGERA-BUSEGA'!L48+'Avg Week BUSEGA-KYENGERA'!L48</f>
        <v>9.5714285714285712</v>
      </c>
      <c r="M48" s="49">
        <f>'Avg Week KYENGERA-BUSEGA'!M48+'Avg Week BUSEGA-KYENGERA'!M48</f>
        <v>318.71428571428572</v>
      </c>
      <c r="N48" s="49">
        <f>'Avg Week KYENGERA-BUSEGA'!N48+'Avg Week BUSEGA-KYENGERA'!N48</f>
        <v>0.14285714285714285</v>
      </c>
      <c r="O48" s="15">
        <f t="shared" si="0"/>
        <v>295.99999999999994</v>
      </c>
      <c r="P48" s="15">
        <f t="shared" si="1"/>
        <v>614.71428571428555</v>
      </c>
      <c r="R48" s="8"/>
      <c r="T48"/>
    </row>
    <row r="49" spans="2:20" ht="23.1" customHeight="1" x14ac:dyDescent="0.25">
      <c r="B49" s="23" t="s">
        <v>76</v>
      </c>
      <c r="C49" s="49">
        <f>'Avg Week KYENGERA-BUSEGA'!C49+'Avg Week BUSEGA-KYENGERA'!C49</f>
        <v>128.28571428571428</v>
      </c>
      <c r="D49" s="49">
        <f>'Avg Week KYENGERA-BUSEGA'!D49+'Avg Week BUSEGA-KYENGERA'!D49</f>
        <v>16</v>
      </c>
      <c r="E49" s="49">
        <f>'Avg Week KYENGERA-BUSEGA'!E49+'Avg Week BUSEGA-KYENGERA'!E49</f>
        <v>13.285714285714285</v>
      </c>
      <c r="F49" s="49">
        <f>'Avg Week KYENGERA-BUSEGA'!F49+'Avg Week BUSEGA-KYENGERA'!F49</f>
        <v>88.142857142857139</v>
      </c>
      <c r="G49" s="49">
        <f>'Avg Week KYENGERA-BUSEGA'!G49+'Avg Week BUSEGA-KYENGERA'!G49</f>
        <v>2.5714285714285712</v>
      </c>
      <c r="H49" s="49">
        <f>'Avg Week KYENGERA-BUSEGA'!H49+'Avg Week BUSEGA-KYENGERA'!H49</f>
        <v>3</v>
      </c>
      <c r="I49" s="49">
        <f>'Avg Week KYENGERA-BUSEGA'!I49+'Avg Week BUSEGA-KYENGERA'!I49</f>
        <v>27.714285714285715</v>
      </c>
      <c r="J49" s="49">
        <f>'Avg Week KYENGERA-BUSEGA'!J49+'Avg Week BUSEGA-KYENGERA'!J49</f>
        <v>17.857142857142858</v>
      </c>
      <c r="K49" s="49">
        <f>'Avg Week KYENGERA-BUSEGA'!K49+'Avg Week BUSEGA-KYENGERA'!K49</f>
        <v>3.2857142857142856</v>
      </c>
      <c r="L49" s="49">
        <f>'Avg Week KYENGERA-BUSEGA'!L49+'Avg Week BUSEGA-KYENGERA'!L49</f>
        <v>8.5714285714285712</v>
      </c>
      <c r="M49" s="49">
        <f>'Avg Week KYENGERA-BUSEGA'!M49+'Avg Week BUSEGA-KYENGERA'!M49</f>
        <v>334.42857142857144</v>
      </c>
      <c r="N49" s="49">
        <f>'Avg Week KYENGERA-BUSEGA'!N49+'Avg Week BUSEGA-KYENGERA'!N49</f>
        <v>0</v>
      </c>
      <c r="O49" s="15">
        <f t="shared" si="0"/>
        <v>308.71428571428567</v>
      </c>
      <c r="P49" s="15">
        <f t="shared" si="1"/>
        <v>643.14285714285711</v>
      </c>
      <c r="R49" s="8"/>
      <c r="T49"/>
    </row>
    <row r="50" spans="2:20" ht="23.1" customHeight="1" x14ac:dyDescent="0.25">
      <c r="B50" s="24" t="s">
        <v>77</v>
      </c>
      <c r="C50" s="49">
        <f>'Avg Week KYENGERA-BUSEGA'!C50+'Avg Week BUSEGA-KYENGERA'!C50</f>
        <v>141.14285714285714</v>
      </c>
      <c r="D50" s="49">
        <f>'Avg Week KYENGERA-BUSEGA'!D50+'Avg Week BUSEGA-KYENGERA'!D50</f>
        <v>23</v>
      </c>
      <c r="E50" s="49">
        <f>'Avg Week KYENGERA-BUSEGA'!E50+'Avg Week BUSEGA-KYENGERA'!E50</f>
        <v>16.428571428571431</v>
      </c>
      <c r="F50" s="49">
        <f>'Avg Week KYENGERA-BUSEGA'!F50+'Avg Week BUSEGA-KYENGERA'!F50</f>
        <v>83.142857142857139</v>
      </c>
      <c r="G50" s="49">
        <f>'Avg Week KYENGERA-BUSEGA'!G50+'Avg Week BUSEGA-KYENGERA'!G50</f>
        <v>5.8571428571428577</v>
      </c>
      <c r="H50" s="49">
        <f>'Avg Week KYENGERA-BUSEGA'!H50+'Avg Week BUSEGA-KYENGERA'!H50</f>
        <v>2.7142857142857144</v>
      </c>
      <c r="I50" s="49">
        <f>'Avg Week KYENGERA-BUSEGA'!I50+'Avg Week BUSEGA-KYENGERA'!I50</f>
        <v>33.428571428571431</v>
      </c>
      <c r="J50" s="49">
        <f>'Avg Week KYENGERA-BUSEGA'!J50+'Avg Week BUSEGA-KYENGERA'!J50</f>
        <v>18.428571428571431</v>
      </c>
      <c r="K50" s="49">
        <f>'Avg Week KYENGERA-BUSEGA'!K50+'Avg Week BUSEGA-KYENGERA'!K50</f>
        <v>4</v>
      </c>
      <c r="L50" s="49">
        <f>'Avg Week KYENGERA-BUSEGA'!L50+'Avg Week BUSEGA-KYENGERA'!L50</f>
        <v>10.428571428571429</v>
      </c>
      <c r="M50" s="49">
        <f>'Avg Week KYENGERA-BUSEGA'!M50+'Avg Week BUSEGA-KYENGERA'!M50</f>
        <v>406.14285714285711</v>
      </c>
      <c r="N50" s="49">
        <f>'Avg Week KYENGERA-BUSEGA'!N50+'Avg Week BUSEGA-KYENGERA'!N50</f>
        <v>0</v>
      </c>
      <c r="O50" s="15">
        <f t="shared" si="0"/>
        <v>338.57142857142856</v>
      </c>
      <c r="P50" s="15">
        <f t="shared" si="1"/>
        <v>744.71428571428567</v>
      </c>
      <c r="R50" s="8"/>
      <c r="T50"/>
    </row>
    <row r="51" spans="2:20" ht="23.1" customHeight="1" x14ac:dyDescent="0.25">
      <c r="B51" s="24" t="s">
        <v>78</v>
      </c>
      <c r="C51" s="49">
        <f>'Avg Week KYENGERA-BUSEGA'!C51+'Avg Week BUSEGA-KYENGERA'!C51</f>
        <v>132.71428571428572</v>
      </c>
      <c r="D51" s="49">
        <f>'Avg Week KYENGERA-BUSEGA'!D51+'Avg Week BUSEGA-KYENGERA'!D51</f>
        <v>14.857142857142858</v>
      </c>
      <c r="E51" s="49">
        <f>'Avg Week KYENGERA-BUSEGA'!E51+'Avg Week BUSEGA-KYENGERA'!E51</f>
        <v>17.857142857142858</v>
      </c>
      <c r="F51" s="49">
        <f>'Avg Week KYENGERA-BUSEGA'!F51+'Avg Week BUSEGA-KYENGERA'!F51</f>
        <v>87.857142857142861</v>
      </c>
      <c r="G51" s="49">
        <f>'Avg Week KYENGERA-BUSEGA'!G51+'Avg Week BUSEGA-KYENGERA'!G51</f>
        <v>2.5714285714285712</v>
      </c>
      <c r="H51" s="49">
        <f>'Avg Week KYENGERA-BUSEGA'!H51+'Avg Week BUSEGA-KYENGERA'!H51</f>
        <v>4.2857142857142856</v>
      </c>
      <c r="I51" s="49">
        <f>'Avg Week KYENGERA-BUSEGA'!I51+'Avg Week BUSEGA-KYENGERA'!I51</f>
        <v>28.571428571428569</v>
      </c>
      <c r="J51" s="49">
        <f>'Avg Week KYENGERA-BUSEGA'!J51+'Avg Week BUSEGA-KYENGERA'!J51</f>
        <v>15.714285714285715</v>
      </c>
      <c r="K51" s="49">
        <f>'Avg Week KYENGERA-BUSEGA'!K51+'Avg Week BUSEGA-KYENGERA'!K51</f>
        <v>2.4285714285714288</v>
      </c>
      <c r="L51" s="49">
        <f>'Avg Week KYENGERA-BUSEGA'!L51+'Avg Week BUSEGA-KYENGERA'!L51</f>
        <v>6.2857142857142856</v>
      </c>
      <c r="M51" s="49">
        <f>'Avg Week KYENGERA-BUSEGA'!M51+'Avg Week BUSEGA-KYENGERA'!M51</f>
        <v>391.57142857142856</v>
      </c>
      <c r="N51" s="49">
        <f>'Avg Week KYENGERA-BUSEGA'!N51+'Avg Week BUSEGA-KYENGERA'!N51</f>
        <v>0</v>
      </c>
      <c r="O51" s="15">
        <f t="shared" si="0"/>
        <v>313.14285714285717</v>
      </c>
      <c r="P51" s="15">
        <f t="shared" si="1"/>
        <v>704.71428571428578</v>
      </c>
      <c r="R51" s="8"/>
      <c r="T51"/>
    </row>
    <row r="52" spans="2:20" ht="23.1" customHeight="1" x14ac:dyDescent="0.25">
      <c r="B52" s="24" t="s">
        <v>79</v>
      </c>
      <c r="C52" s="49">
        <f>'Avg Week KYENGERA-BUSEGA'!C52+'Avg Week BUSEGA-KYENGERA'!C52</f>
        <v>152.71428571428572</v>
      </c>
      <c r="D52" s="49">
        <f>'Avg Week KYENGERA-BUSEGA'!D52+'Avg Week BUSEGA-KYENGERA'!D52</f>
        <v>24.142857142857146</v>
      </c>
      <c r="E52" s="49">
        <f>'Avg Week KYENGERA-BUSEGA'!E52+'Avg Week BUSEGA-KYENGERA'!E52</f>
        <v>18.571428571428573</v>
      </c>
      <c r="F52" s="49">
        <f>'Avg Week KYENGERA-BUSEGA'!F52+'Avg Week BUSEGA-KYENGERA'!F52</f>
        <v>92.428571428571431</v>
      </c>
      <c r="G52" s="49">
        <f>'Avg Week KYENGERA-BUSEGA'!G52+'Avg Week BUSEGA-KYENGERA'!G52</f>
        <v>3.4285714285714288</v>
      </c>
      <c r="H52" s="49">
        <f>'Avg Week KYENGERA-BUSEGA'!H52+'Avg Week BUSEGA-KYENGERA'!H52</f>
        <v>3</v>
      </c>
      <c r="I52" s="49">
        <f>'Avg Week KYENGERA-BUSEGA'!I52+'Avg Week BUSEGA-KYENGERA'!I52</f>
        <v>26.142857142857142</v>
      </c>
      <c r="J52" s="49">
        <f>'Avg Week KYENGERA-BUSEGA'!J52+'Avg Week BUSEGA-KYENGERA'!J52</f>
        <v>16.142857142857142</v>
      </c>
      <c r="K52" s="49">
        <f>'Avg Week KYENGERA-BUSEGA'!K52+'Avg Week BUSEGA-KYENGERA'!K52</f>
        <v>2.8571428571428572</v>
      </c>
      <c r="L52" s="49">
        <f>'Avg Week KYENGERA-BUSEGA'!L52+'Avg Week BUSEGA-KYENGERA'!L52</f>
        <v>10.571428571428573</v>
      </c>
      <c r="M52" s="49">
        <f>'Avg Week KYENGERA-BUSEGA'!M52+'Avg Week BUSEGA-KYENGERA'!M52</f>
        <v>434.57142857142856</v>
      </c>
      <c r="N52" s="49">
        <f>'Avg Week KYENGERA-BUSEGA'!N52+'Avg Week BUSEGA-KYENGERA'!N52</f>
        <v>0</v>
      </c>
      <c r="O52" s="15">
        <f t="shared" si="0"/>
        <v>350.00000000000006</v>
      </c>
      <c r="P52" s="15">
        <f t="shared" si="1"/>
        <v>784.57142857142867</v>
      </c>
      <c r="R52" s="8"/>
      <c r="T52"/>
    </row>
    <row r="53" spans="2:20" ht="23.1" customHeight="1" x14ac:dyDescent="0.25">
      <c r="B53" s="23" t="s">
        <v>80</v>
      </c>
      <c r="C53" s="49">
        <f>'Avg Week KYENGERA-BUSEGA'!C53+'Avg Week BUSEGA-KYENGERA'!C53</f>
        <v>138</v>
      </c>
      <c r="D53" s="49">
        <f>'Avg Week KYENGERA-BUSEGA'!D53+'Avg Week BUSEGA-KYENGERA'!D53</f>
        <v>14.285714285714285</v>
      </c>
      <c r="E53" s="49">
        <f>'Avg Week KYENGERA-BUSEGA'!E53+'Avg Week BUSEGA-KYENGERA'!E53</f>
        <v>15</v>
      </c>
      <c r="F53" s="49">
        <f>'Avg Week KYENGERA-BUSEGA'!F53+'Avg Week BUSEGA-KYENGERA'!F53</f>
        <v>92.285714285714278</v>
      </c>
      <c r="G53" s="49">
        <f>'Avg Week KYENGERA-BUSEGA'!G53+'Avg Week BUSEGA-KYENGERA'!G53</f>
        <v>4.4285714285714288</v>
      </c>
      <c r="H53" s="49">
        <f>'Avg Week KYENGERA-BUSEGA'!H53+'Avg Week BUSEGA-KYENGERA'!H53</f>
        <v>6</v>
      </c>
      <c r="I53" s="49">
        <f>'Avg Week KYENGERA-BUSEGA'!I53+'Avg Week BUSEGA-KYENGERA'!I53</f>
        <v>20.714285714285715</v>
      </c>
      <c r="J53" s="49">
        <f>'Avg Week KYENGERA-BUSEGA'!J53+'Avg Week BUSEGA-KYENGERA'!J53</f>
        <v>15.428571428571429</v>
      </c>
      <c r="K53" s="49">
        <f>'Avg Week KYENGERA-BUSEGA'!K53+'Avg Week BUSEGA-KYENGERA'!K53</f>
        <v>3.2857142857142856</v>
      </c>
      <c r="L53" s="49">
        <f>'Avg Week KYENGERA-BUSEGA'!L53+'Avg Week BUSEGA-KYENGERA'!L53</f>
        <v>10.571428571428571</v>
      </c>
      <c r="M53" s="49">
        <f>'Avg Week KYENGERA-BUSEGA'!M53+'Avg Week BUSEGA-KYENGERA'!M53</f>
        <v>439.57142857142856</v>
      </c>
      <c r="N53" s="49">
        <f>'Avg Week KYENGERA-BUSEGA'!N53+'Avg Week BUSEGA-KYENGERA'!N53</f>
        <v>0</v>
      </c>
      <c r="O53" s="15">
        <f t="shared" si="0"/>
        <v>320</v>
      </c>
      <c r="P53" s="15">
        <f t="shared" si="1"/>
        <v>759.57142857142856</v>
      </c>
      <c r="R53" s="8"/>
      <c r="T53"/>
    </row>
    <row r="54" spans="2:20" ht="23.1" customHeight="1" x14ac:dyDescent="0.25">
      <c r="B54" s="23" t="s">
        <v>81</v>
      </c>
      <c r="C54" s="49">
        <f>'Avg Week KYENGERA-BUSEGA'!C54+'Avg Week BUSEGA-KYENGERA'!C54</f>
        <v>145.85714285714286</v>
      </c>
      <c r="D54" s="49">
        <f>'Avg Week KYENGERA-BUSEGA'!D54+'Avg Week BUSEGA-KYENGERA'!D54</f>
        <v>20.142857142857142</v>
      </c>
      <c r="E54" s="49">
        <f>'Avg Week KYENGERA-BUSEGA'!E54+'Avg Week BUSEGA-KYENGERA'!E54</f>
        <v>15.714285714285715</v>
      </c>
      <c r="F54" s="49">
        <f>'Avg Week KYENGERA-BUSEGA'!F54+'Avg Week BUSEGA-KYENGERA'!F54</f>
        <v>112.85714285714286</v>
      </c>
      <c r="G54" s="49">
        <f>'Avg Week KYENGERA-BUSEGA'!G54+'Avg Week BUSEGA-KYENGERA'!G54</f>
        <v>4.1428571428571423</v>
      </c>
      <c r="H54" s="49">
        <f>'Avg Week KYENGERA-BUSEGA'!H54+'Avg Week BUSEGA-KYENGERA'!H54</f>
        <v>3.2857142857142856</v>
      </c>
      <c r="I54" s="49">
        <f>'Avg Week KYENGERA-BUSEGA'!I54+'Avg Week BUSEGA-KYENGERA'!I54</f>
        <v>24.285714285714285</v>
      </c>
      <c r="J54" s="49">
        <f>'Avg Week KYENGERA-BUSEGA'!J54+'Avg Week BUSEGA-KYENGERA'!J54</f>
        <v>13.571428571428571</v>
      </c>
      <c r="K54" s="49">
        <f>'Avg Week KYENGERA-BUSEGA'!K54+'Avg Week BUSEGA-KYENGERA'!K54</f>
        <v>3</v>
      </c>
      <c r="L54" s="49">
        <f>'Avg Week KYENGERA-BUSEGA'!L54+'Avg Week BUSEGA-KYENGERA'!L54</f>
        <v>7.4285714285714288</v>
      </c>
      <c r="M54" s="49">
        <f>'Avg Week KYENGERA-BUSEGA'!M54+'Avg Week BUSEGA-KYENGERA'!M54</f>
        <v>530</v>
      </c>
      <c r="N54" s="49">
        <f>'Avg Week KYENGERA-BUSEGA'!N54+'Avg Week BUSEGA-KYENGERA'!N54</f>
        <v>0.14285714285714285</v>
      </c>
      <c r="O54" s="15">
        <f t="shared" si="0"/>
        <v>350.42857142857144</v>
      </c>
      <c r="P54" s="15">
        <f t="shared" si="1"/>
        <v>880.42857142857133</v>
      </c>
      <c r="R54" s="8"/>
      <c r="T54"/>
    </row>
    <row r="55" spans="2:20" ht="23.1" customHeight="1" x14ac:dyDescent="0.25">
      <c r="B55" s="23" t="s">
        <v>82</v>
      </c>
      <c r="C55" s="49">
        <f>'Avg Week KYENGERA-BUSEGA'!C55+'Avg Week BUSEGA-KYENGERA'!C55</f>
        <v>156.28571428571428</v>
      </c>
      <c r="D55" s="49">
        <f>'Avg Week KYENGERA-BUSEGA'!D55+'Avg Week BUSEGA-KYENGERA'!D55</f>
        <v>26.571428571428569</v>
      </c>
      <c r="E55" s="49">
        <f>'Avg Week KYENGERA-BUSEGA'!E55+'Avg Week BUSEGA-KYENGERA'!E55</f>
        <v>14.285714285714286</v>
      </c>
      <c r="F55" s="49">
        <f>'Avg Week KYENGERA-BUSEGA'!F55+'Avg Week BUSEGA-KYENGERA'!F55</f>
        <v>103.57142857142857</v>
      </c>
      <c r="G55" s="49">
        <f>'Avg Week KYENGERA-BUSEGA'!G55+'Avg Week BUSEGA-KYENGERA'!G55</f>
        <v>3</v>
      </c>
      <c r="H55" s="49">
        <f>'Avg Week KYENGERA-BUSEGA'!H55+'Avg Week BUSEGA-KYENGERA'!H55</f>
        <v>2.5714285714285712</v>
      </c>
      <c r="I55" s="49">
        <f>'Avg Week KYENGERA-BUSEGA'!I55+'Avg Week BUSEGA-KYENGERA'!I55</f>
        <v>26.857142857142854</v>
      </c>
      <c r="J55" s="49">
        <f>'Avg Week KYENGERA-BUSEGA'!J55+'Avg Week BUSEGA-KYENGERA'!J55</f>
        <v>15.428571428571427</v>
      </c>
      <c r="K55" s="49">
        <f>'Avg Week KYENGERA-BUSEGA'!K55+'Avg Week BUSEGA-KYENGERA'!K55</f>
        <v>4.7142857142857144</v>
      </c>
      <c r="L55" s="49">
        <f>'Avg Week KYENGERA-BUSEGA'!L55+'Avg Week BUSEGA-KYENGERA'!L55</f>
        <v>8</v>
      </c>
      <c r="M55" s="49">
        <f>'Avg Week KYENGERA-BUSEGA'!M55+'Avg Week BUSEGA-KYENGERA'!M55</f>
        <v>505.85714285714289</v>
      </c>
      <c r="N55" s="49">
        <f>'Avg Week KYENGERA-BUSEGA'!N55+'Avg Week BUSEGA-KYENGERA'!N55</f>
        <v>0</v>
      </c>
      <c r="O55" s="15">
        <f t="shared" si="0"/>
        <v>361.28571428571422</v>
      </c>
      <c r="P55" s="15">
        <f t="shared" si="1"/>
        <v>867.14285714285711</v>
      </c>
      <c r="R55" s="8"/>
      <c r="T55"/>
    </row>
    <row r="56" spans="2:20" ht="23.1" customHeight="1" x14ac:dyDescent="0.25">
      <c r="B56" s="23" t="s">
        <v>83</v>
      </c>
      <c r="C56" s="49">
        <f>'Avg Week KYENGERA-BUSEGA'!C56+'Avg Week BUSEGA-KYENGERA'!C56</f>
        <v>136.28571428571428</v>
      </c>
      <c r="D56" s="49">
        <f>'Avg Week KYENGERA-BUSEGA'!D56+'Avg Week BUSEGA-KYENGERA'!D56</f>
        <v>15</v>
      </c>
      <c r="E56" s="49">
        <f>'Avg Week KYENGERA-BUSEGA'!E56+'Avg Week BUSEGA-KYENGERA'!E56</f>
        <v>14.142857142857144</v>
      </c>
      <c r="F56" s="49">
        <f>'Avg Week KYENGERA-BUSEGA'!F56+'Avg Week BUSEGA-KYENGERA'!F56</f>
        <v>94.857142857142861</v>
      </c>
      <c r="G56" s="49">
        <f>'Avg Week KYENGERA-BUSEGA'!G56+'Avg Week BUSEGA-KYENGERA'!G56</f>
        <v>6.8571428571428577</v>
      </c>
      <c r="H56" s="49">
        <f>'Avg Week KYENGERA-BUSEGA'!H56+'Avg Week BUSEGA-KYENGERA'!H56</f>
        <v>3.2857142857142856</v>
      </c>
      <c r="I56" s="49">
        <f>'Avg Week KYENGERA-BUSEGA'!I56+'Avg Week BUSEGA-KYENGERA'!I56</f>
        <v>19.428571428571431</v>
      </c>
      <c r="J56" s="49">
        <f>'Avg Week KYENGERA-BUSEGA'!J56+'Avg Week BUSEGA-KYENGERA'!J56</f>
        <v>10</v>
      </c>
      <c r="K56" s="49">
        <f>'Avg Week KYENGERA-BUSEGA'!K56+'Avg Week BUSEGA-KYENGERA'!K56</f>
        <v>3.8571428571428572</v>
      </c>
      <c r="L56" s="49">
        <f>'Avg Week KYENGERA-BUSEGA'!L56+'Avg Week BUSEGA-KYENGERA'!L56</f>
        <v>10.428571428571429</v>
      </c>
      <c r="M56" s="49">
        <f>'Avg Week KYENGERA-BUSEGA'!M56+'Avg Week BUSEGA-KYENGERA'!M56</f>
        <v>458.71428571428567</v>
      </c>
      <c r="N56" s="49">
        <f>'Avg Week KYENGERA-BUSEGA'!N56+'Avg Week BUSEGA-KYENGERA'!N56</f>
        <v>0</v>
      </c>
      <c r="O56" s="15">
        <f t="shared" si="0"/>
        <v>314.14285714285711</v>
      </c>
      <c r="P56" s="15">
        <f t="shared" si="1"/>
        <v>772.85714285714278</v>
      </c>
      <c r="R56" s="8"/>
      <c r="T56"/>
    </row>
    <row r="57" spans="2:20" ht="23.1" customHeight="1" x14ac:dyDescent="0.25">
      <c r="B57" s="23" t="s">
        <v>84</v>
      </c>
      <c r="C57" s="49">
        <f>'Avg Week KYENGERA-BUSEGA'!C57+'Avg Week BUSEGA-KYENGERA'!C57</f>
        <v>117.14285714285714</v>
      </c>
      <c r="D57" s="49">
        <f>'Avg Week KYENGERA-BUSEGA'!D57+'Avg Week BUSEGA-KYENGERA'!D57</f>
        <v>9.2857142857142847</v>
      </c>
      <c r="E57" s="49">
        <f>'Avg Week KYENGERA-BUSEGA'!E57+'Avg Week BUSEGA-KYENGERA'!E57</f>
        <v>11</v>
      </c>
      <c r="F57" s="49">
        <f>'Avg Week KYENGERA-BUSEGA'!F57+'Avg Week BUSEGA-KYENGERA'!F57</f>
        <v>75</v>
      </c>
      <c r="G57" s="49">
        <f>'Avg Week KYENGERA-BUSEGA'!G57+'Avg Week BUSEGA-KYENGERA'!G57</f>
        <v>2.4285714285714284</v>
      </c>
      <c r="H57" s="49">
        <f>'Avg Week KYENGERA-BUSEGA'!H57+'Avg Week BUSEGA-KYENGERA'!H57</f>
        <v>1.2857142857142856</v>
      </c>
      <c r="I57" s="49">
        <f>'Avg Week KYENGERA-BUSEGA'!I57+'Avg Week BUSEGA-KYENGERA'!I57</f>
        <v>21.714285714285715</v>
      </c>
      <c r="J57" s="49">
        <f>'Avg Week KYENGERA-BUSEGA'!J57+'Avg Week BUSEGA-KYENGERA'!J57</f>
        <v>10.857142857142858</v>
      </c>
      <c r="K57" s="49">
        <f>'Avg Week KYENGERA-BUSEGA'!K57+'Avg Week BUSEGA-KYENGERA'!K57</f>
        <v>3.7142857142857144</v>
      </c>
      <c r="L57" s="49">
        <f>'Avg Week KYENGERA-BUSEGA'!L57+'Avg Week BUSEGA-KYENGERA'!L57</f>
        <v>6.1428571428571432</v>
      </c>
      <c r="M57" s="49">
        <f>'Avg Week KYENGERA-BUSEGA'!M57+'Avg Week BUSEGA-KYENGERA'!M57</f>
        <v>494.28571428571428</v>
      </c>
      <c r="N57" s="49">
        <f>'Avg Week KYENGERA-BUSEGA'!N57+'Avg Week BUSEGA-KYENGERA'!N57</f>
        <v>0</v>
      </c>
      <c r="O57" s="15">
        <f t="shared" si="0"/>
        <v>258.57142857142856</v>
      </c>
      <c r="P57" s="15">
        <f t="shared" si="1"/>
        <v>752.85714285714289</v>
      </c>
      <c r="R57" s="8"/>
      <c r="T57"/>
    </row>
    <row r="58" spans="2:20" ht="23.1" customHeight="1" x14ac:dyDescent="0.25">
      <c r="B58" s="23" t="s">
        <v>99</v>
      </c>
      <c r="C58" s="49">
        <f>'Avg Week KYENGERA-BUSEGA'!C58+'Avg Week BUSEGA-KYENGERA'!C58</f>
        <v>178.5</v>
      </c>
      <c r="D58" s="49">
        <f>'Avg Week KYENGERA-BUSEGA'!D58+'Avg Week BUSEGA-KYENGERA'!D58</f>
        <v>14.5</v>
      </c>
      <c r="E58" s="49">
        <f>'Avg Week KYENGERA-BUSEGA'!E58+'Avg Week BUSEGA-KYENGERA'!E58</f>
        <v>14</v>
      </c>
      <c r="F58" s="49">
        <f>'Avg Week KYENGERA-BUSEGA'!F58+'Avg Week BUSEGA-KYENGERA'!F58</f>
        <v>107</v>
      </c>
      <c r="G58" s="49">
        <f>'Avg Week KYENGERA-BUSEGA'!G58+'Avg Week BUSEGA-KYENGERA'!G58</f>
        <v>5.5</v>
      </c>
      <c r="H58" s="49">
        <f>'Avg Week KYENGERA-BUSEGA'!H58+'Avg Week BUSEGA-KYENGERA'!H58</f>
        <v>3.5</v>
      </c>
      <c r="I58" s="49">
        <f>'Avg Week KYENGERA-BUSEGA'!I58+'Avg Week BUSEGA-KYENGERA'!I58</f>
        <v>34</v>
      </c>
      <c r="J58" s="49">
        <f>'Avg Week KYENGERA-BUSEGA'!J58+'Avg Week BUSEGA-KYENGERA'!J58</f>
        <v>11.5</v>
      </c>
      <c r="K58" s="49">
        <f>'Avg Week KYENGERA-BUSEGA'!K58+'Avg Week BUSEGA-KYENGERA'!K58</f>
        <v>6</v>
      </c>
      <c r="L58" s="49">
        <f>'Avg Week KYENGERA-BUSEGA'!L58+'Avg Week BUSEGA-KYENGERA'!L58</f>
        <v>9.5</v>
      </c>
      <c r="M58" s="49">
        <f>'Avg Week KYENGERA-BUSEGA'!M58+'Avg Week BUSEGA-KYENGERA'!M58</f>
        <v>676.5</v>
      </c>
      <c r="N58" s="49">
        <f>'Avg Week KYENGERA-BUSEGA'!N58+'Avg Week BUSEGA-KYENGERA'!N58</f>
        <v>0</v>
      </c>
      <c r="O58" s="15">
        <f t="shared" si="0"/>
        <v>384</v>
      </c>
      <c r="P58" s="15">
        <f t="shared" si="1"/>
        <v>1060.5</v>
      </c>
      <c r="R58" s="8"/>
      <c r="T58"/>
    </row>
    <row r="59" spans="2:20" ht="23.1" customHeight="1" x14ac:dyDescent="0.25">
      <c r="B59" s="23" t="s">
        <v>100</v>
      </c>
      <c r="C59" s="49">
        <f>'Avg Week KYENGERA-BUSEGA'!C59+'Avg Week BUSEGA-KYENGERA'!C59</f>
        <v>131.5</v>
      </c>
      <c r="D59" s="49">
        <f>'Avg Week KYENGERA-BUSEGA'!D59+'Avg Week BUSEGA-KYENGERA'!D59</f>
        <v>15</v>
      </c>
      <c r="E59" s="49">
        <f>'Avg Week KYENGERA-BUSEGA'!E59+'Avg Week BUSEGA-KYENGERA'!E59</f>
        <v>9</v>
      </c>
      <c r="F59" s="49">
        <f>'Avg Week KYENGERA-BUSEGA'!F59+'Avg Week BUSEGA-KYENGERA'!F59</f>
        <v>71.5</v>
      </c>
      <c r="G59" s="49">
        <f>'Avg Week KYENGERA-BUSEGA'!G59+'Avg Week BUSEGA-KYENGERA'!G59</f>
        <v>2</v>
      </c>
      <c r="H59" s="49">
        <f>'Avg Week KYENGERA-BUSEGA'!H59+'Avg Week BUSEGA-KYENGERA'!H59</f>
        <v>5.5</v>
      </c>
      <c r="I59" s="49">
        <f>'Avg Week KYENGERA-BUSEGA'!I59+'Avg Week BUSEGA-KYENGERA'!I59</f>
        <v>21</v>
      </c>
      <c r="J59" s="49">
        <f>'Avg Week KYENGERA-BUSEGA'!J59+'Avg Week BUSEGA-KYENGERA'!J59</f>
        <v>15</v>
      </c>
      <c r="K59" s="49">
        <f>'Avg Week KYENGERA-BUSEGA'!K59+'Avg Week BUSEGA-KYENGERA'!K59</f>
        <v>0.5</v>
      </c>
      <c r="L59" s="49">
        <f>'Avg Week KYENGERA-BUSEGA'!L59+'Avg Week BUSEGA-KYENGERA'!L59</f>
        <v>3</v>
      </c>
      <c r="M59" s="49">
        <f>'Avg Week KYENGERA-BUSEGA'!M59+'Avg Week BUSEGA-KYENGERA'!M59</f>
        <v>530.5</v>
      </c>
      <c r="N59" s="49">
        <f>'Avg Week KYENGERA-BUSEGA'!N59+'Avg Week BUSEGA-KYENGERA'!N59</f>
        <v>0.5</v>
      </c>
      <c r="O59" s="15">
        <f t="shared" si="0"/>
        <v>274.5</v>
      </c>
      <c r="P59" s="15">
        <f t="shared" si="1"/>
        <v>805</v>
      </c>
      <c r="R59" s="8"/>
      <c r="T59"/>
    </row>
    <row r="60" spans="2:20" ht="23.1" customHeight="1" x14ac:dyDescent="0.25">
      <c r="B60" s="23" t="s">
        <v>101</v>
      </c>
      <c r="C60" s="49">
        <f>'Avg Week KYENGERA-BUSEGA'!C60+'Avg Week BUSEGA-KYENGERA'!C60</f>
        <v>159.5</v>
      </c>
      <c r="D60" s="49">
        <f>'Avg Week KYENGERA-BUSEGA'!D60+'Avg Week BUSEGA-KYENGERA'!D60</f>
        <v>17</v>
      </c>
      <c r="E60" s="49">
        <f>'Avg Week KYENGERA-BUSEGA'!E60+'Avg Week BUSEGA-KYENGERA'!E60</f>
        <v>12.5</v>
      </c>
      <c r="F60" s="49">
        <f>'Avg Week KYENGERA-BUSEGA'!F60+'Avg Week BUSEGA-KYENGERA'!F60</f>
        <v>85</v>
      </c>
      <c r="G60" s="49">
        <f>'Avg Week KYENGERA-BUSEGA'!G60+'Avg Week BUSEGA-KYENGERA'!G60</f>
        <v>6</v>
      </c>
      <c r="H60" s="49">
        <f>'Avg Week KYENGERA-BUSEGA'!H60+'Avg Week BUSEGA-KYENGERA'!H60</f>
        <v>3</v>
      </c>
      <c r="I60" s="49">
        <f>'Avg Week KYENGERA-BUSEGA'!I60+'Avg Week BUSEGA-KYENGERA'!I60</f>
        <v>24.5</v>
      </c>
      <c r="J60" s="49">
        <f>'Avg Week KYENGERA-BUSEGA'!J60+'Avg Week BUSEGA-KYENGERA'!J60</f>
        <v>24</v>
      </c>
      <c r="K60" s="49">
        <f>'Avg Week KYENGERA-BUSEGA'!K60+'Avg Week BUSEGA-KYENGERA'!K60</f>
        <v>1.5</v>
      </c>
      <c r="L60" s="49">
        <f>'Avg Week KYENGERA-BUSEGA'!L60+'Avg Week BUSEGA-KYENGERA'!L60</f>
        <v>3.5</v>
      </c>
      <c r="M60" s="49">
        <f>'Avg Week KYENGERA-BUSEGA'!M60+'Avg Week BUSEGA-KYENGERA'!M60</f>
        <v>660</v>
      </c>
      <c r="N60" s="49">
        <f>'Avg Week KYENGERA-BUSEGA'!N60+'Avg Week BUSEGA-KYENGERA'!N60</f>
        <v>0</v>
      </c>
      <c r="O60" s="15">
        <f t="shared" si="0"/>
        <v>336.5</v>
      </c>
      <c r="P60" s="15">
        <f t="shared" si="1"/>
        <v>996.5</v>
      </c>
      <c r="R60" s="8"/>
      <c r="T60"/>
    </row>
    <row r="61" spans="2:20" ht="23.1" customHeight="1" x14ac:dyDescent="0.25">
      <c r="B61" s="23" t="s">
        <v>102</v>
      </c>
      <c r="C61" s="49">
        <f>'Avg Week KYENGERA-BUSEGA'!C61+'Avg Week BUSEGA-KYENGERA'!C61</f>
        <v>158</v>
      </c>
      <c r="D61" s="49">
        <f>'Avg Week KYENGERA-BUSEGA'!D61+'Avg Week BUSEGA-KYENGERA'!D61</f>
        <v>14</v>
      </c>
      <c r="E61" s="49">
        <f>'Avg Week KYENGERA-BUSEGA'!E61+'Avg Week BUSEGA-KYENGERA'!E61</f>
        <v>12.5</v>
      </c>
      <c r="F61" s="49">
        <f>'Avg Week KYENGERA-BUSEGA'!F61+'Avg Week BUSEGA-KYENGERA'!F61</f>
        <v>95.5</v>
      </c>
      <c r="G61" s="49">
        <f>'Avg Week KYENGERA-BUSEGA'!G61+'Avg Week BUSEGA-KYENGERA'!G61</f>
        <v>4</v>
      </c>
      <c r="H61" s="49">
        <f>'Avg Week KYENGERA-BUSEGA'!H61+'Avg Week BUSEGA-KYENGERA'!H61</f>
        <v>5.5</v>
      </c>
      <c r="I61" s="49">
        <f>'Avg Week KYENGERA-BUSEGA'!I61+'Avg Week BUSEGA-KYENGERA'!I61</f>
        <v>26.5</v>
      </c>
      <c r="J61" s="49">
        <f>'Avg Week KYENGERA-BUSEGA'!J61+'Avg Week BUSEGA-KYENGERA'!J61</f>
        <v>18.5</v>
      </c>
      <c r="K61" s="49">
        <f>'Avg Week KYENGERA-BUSEGA'!K61+'Avg Week BUSEGA-KYENGERA'!K61</f>
        <v>3.5</v>
      </c>
      <c r="L61" s="49">
        <f>'Avg Week KYENGERA-BUSEGA'!L61+'Avg Week BUSEGA-KYENGERA'!L61</f>
        <v>4.5</v>
      </c>
      <c r="M61" s="49">
        <f>'Avg Week KYENGERA-BUSEGA'!M61+'Avg Week BUSEGA-KYENGERA'!M61</f>
        <v>681.5</v>
      </c>
      <c r="N61" s="49">
        <f>'Avg Week KYENGERA-BUSEGA'!N61+'Avg Week BUSEGA-KYENGERA'!N61</f>
        <v>0</v>
      </c>
      <c r="O61" s="15">
        <f t="shared" si="0"/>
        <v>342.5</v>
      </c>
      <c r="P61" s="15">
        <f t="shared" si="1"/>
        <v>1024</v>
      </c>
      <c r="R61" s="8"/>
      <c r="T61"/>
    </row>
    <row r="62" spans="2:20" ht="23.1" customHeight="1" x14ac:dyDescent="0.25">
      <c r="B62" s="23" t="s">
        <v>107</v>
      </c>
      <c r="C62" s="49">
        <f>'Avg Week KYENGERA-BUSEGA'!C62+'Avg Week BUSEGA-KYENGERA'!C62</f>
        <v>131</v>
      </c>
      <c r="D62" s="49">
        <f>'Avg Week KYENGERA-BUSEGA'!D62+'Avg Week BUSEGA-KYENGERA'!D62</f>
        <v>12</v>
      </c>
      <c r="E62" s="49">
        <f>'Avg Week KYENGERA-BUSEGA'!E62+'Avg Week BUSEGA-KYENGERA'!E62</f>
        <v>10</v>
      </c>
      <c r="F62" s="49">
        <f>'Avg Week KYENGERA-BUSEGA'!F62+'Avg Week BUSEGA-KYENGERA'!F62</f>
        <v>92.5</v>
      </c>
      <c r="G62" s="49">
        <f>'Avg Week KYENGERA-BUSEGA'!G62+'Avg Week BUSEGA-KYENGERA'!G62</f>
        <v>4.5</v>
      </c>
      <c r="H62" s="49">
        <f>'Avg Week KYENGERA-BUSEGA'!H62+'Avg Week BUSEGA-KYENGERA'!H62</f>
        <v>3.5</v>
      </c>
      <c r="I62" s="49">
        <f>'Avg Week KYENGERA-BUSEGA'!I62+'Avg Week BUSEGA-KYENGERA'!I62</f>
        <v>15</v>
      </c>
      <c r="J62" s="49">
        <f>'Avg Week KYENGERA-BUSEGA'!J62+'Avg Week BUSEGA-KYENGERA'!J62</f>
        <v>16</v>
      </c>
      <c r="K62" s="49">
        <f>'Avg Week KYENGERA-BUSEGA'!K62+'Avg Week BUSEGA-KYENGERA'!K62</f>
        <v>4.5</v>
      </c>
      <c r="L62" s="49">
        <f>'Avg Week KYENGERA-BUSEGA'!L62+'Avg Week BUSEGA-KYENGERA'!L62</f>
        <v>3</v>
      </c>
      <c r="M62" s="49">
        <f>'Avg Week KYENGERA-BUSEGA'!M62+'Avg Week BUSEGA-KYENGERA'!M62</f>
        <v>529</v>
      </c>
      <c r="N62" s="49">
        <f>'Avg Week KYENGERA-BUSEGA'!N62+'Avg Week BUSEGA-KYENGERA'!N62</f>
        <v>0</v>
      </c>
      <c r="O62" s="15">
        <f t="shared" si="0"/>
        <v>292</v>
      </c>
      <c r="P62" s="15">
        <f t="shared" si="1"/>
        <v>821</v>
      </c>
      <c r="R62" s="8"/>
      <c r="T62"/>
    </row>
    <row r="63" spans="2:20" ht="23.1" customHeight="1" x14ac:dyDescent="0.25">
      <c r="B63" s="23" t="s">
        <v>108</v>
      </c>
      <c r="C63" s="49">
        <f>'Avg Week KYENGERA-BUSEGA'!C63+'Avg Week BUSEGA-KYENGERA'!C63</f>
        <v>129.5</v>
      </c>
      <c r="D63" s="49">
        <f>'Avg Week KYENGERA-BUSEGA'!D63+'Avg Week BUSEGA-KYENGERA'!D63</f>
        <v>16.5</v>
      </c>
      <c r="E63" s="49">
        <f>'Avg Week KYENGERA-BUSEGA'!E63+'Avg Week BUSEGA-KYENGERA'!E63</f>
        <v>9.5</v>
      </c>
      <c r="F63" s="49">
        <f>'Avg Week KYENGERA-BUSEGA'!F63+'Avg Week BUSEGA-KYENGERA'!F63</f>
        <v>61</v>
      </c>
      <c r="G63" s="49">
        <f>'Avg Week KYENGERA-BUSEGA'!G63+'Avg Week BUSEGA-KYENGERA'!G63</f>
        <v>5.5</v>
      </c>
      <c r="H63" s="49">
        <f>'Avg Week KYENGERA-BUSEGA'!H63+'Avg Week BUSEGA-KYENGERA'!H63</f>
        <v>1</v>
      </c>
      <c r="I63" s="49">
        <f>'Avg Week KYENGERA-BUSEGA'!I63+'Avg Week BUSEGA-KYENGERA'!I63</f>
        <v>16.5</v>
      </c>
      <c r="J63" s="49">
        <f>'Avg Week KYENGERA-BUSEGA'!J63+'Avg Week BUSEGA-KYENGERA'!J63</f>
        <v>8.5</v>
      </c>
      <c r="K63" s="49">
        <f>'Avg Week KYENGERA-BUSEGA'!K63+'Avg Week BUSEGA-KYENGERA'!K63</f>
        <v>1</v>
      </c>
      <c r="L63" s="49">
        <f>'Avg Week KYENGERA-BUSEGA'!L63+'Avg Week BUSEGA-KYENGERA'!L63</f>
        <v>5</v>
      </c>
      <c r="M63" s="49">
        <f>'Avg Week KYENGERA-BUSEGA'!M63+'Avg Week BUSEGA-KYENGERA'!M63</f>
        <v>561</v>
      </c>
      <c r="N63" s="49">
        <f>'Avg Week KYENGERA-BUSEGA'!N63+'Avg Week BUSEGA-KYENGERA'!N63</f>
        <v>0</v>
      </c>
      <c r="O63" s="15">
        <f t="shared" si="0"/>
        <v>254</v>
      </c>
      <c r="P63" s="15">
        <f t="shared" si="1"/>
        <v>815</v>
      </c>
      <c r="R63" s="8"/>
      <c r="T63"/>
    </row>
    <row r="64" spans="2:20" ht="23.1" customHeight="1" x14ac:dyDescent="0.25">
      <c r="B64" s="23" t="s">
        <v>109</v>
      </c>
      <c r="C64" s="49">
        <f>'Avg Week KYENGERA-BUSEGA'!C64+'Avg Week BUSEGA-KYENGERA'!C64</f>
        <v>153</v>
      </c>
      <c r="D64" s="49">
        <f>'Avg Week KYENGERA-BUSEGA'!D64+'Avg Week BUSEGA-KYENGERA'!D64</f>
        <v>19</v>
      </c>
      <c r="E64" s="49">
        <f>'Avg Week KYENGERA-BUSEGA'!E64+'Avg Week BUSEGA-KYENGERA'!E64</f>
        <v>13</v>
      </c>
      <c r="F64" s="49">
        <f>'Avg Week KYENGERA-BUSEGA'!F64+'Avg Week BUSEGA-KYENGERA'!F64</f>
        <v>67</v>
      </c>
      <c r="G64" s="49">
        <f>'Avg Week KYENGERA-BUSEGA'!G64+'Avg Week BUSEGA-KYENGERA'!G64</f>
        <v>2.5</v>
      </c>
      <c r="H64" s="49">
        <f>'Avg Week KYENGERA-BUSEGA'!H64+'Avg Week BUSEGA-KYENGERA'!H64</f>
        <v>5</v>
      </c>
      <c r="I64" s="49">
        <f>'Avg Week KYENGERA-BUSEGA'!I64+'Avg Week BUSEGA-KYENGERA'!I64</f>
        <v>19</v>
      </c>
      <c r="J64" s="49">
        <f>'Avg Week KYENGERA-BUSEGA'!J64+'Avg Week BUSEGA-KYENGERA'!J64</f>
        <v>12</v>
      </c>
      <c r="K64" s="49">
        <f>'Avg Week KYENGERA-BUSEGA'!K64+'Avg Week BUSEGA-KYENGERA'!K64</f>
        <v>3.5</v>
      </c>
      <c r="L64" s="49">
        <f>'Avg Week KYENGERA-BUSEGA'!L64+'Avg Week BUSEGA-KYENGERA'!L64</f>
        <v>4.5</v>
      </c>
      <c r="M64" s="49">
        <f>'Avg Week KYENGERA-BUSEGA'!M64+'Avg Week BUSEGA-KYENGERA'!M64</f>
        <v>622.5</v>
      </c>
      <c r="N64" s="49">
        <f>'Avg Week KYENGERA-BUSEGA'!N64+'Avg Week BUSEGA-KYENGERA'!N64</f>
        <v>0</v>
      </c>
      <c r="O64" s="15">
        <f t="shared" si="0"/>
        <v>298.5</v>
      </c>
      <c r="P64" s="15">
        <f t="shared" si="1"/>
        <v>921</v>
      </c>
      <c r="R64" s="8"/>
      <c r="T64"/>
    </row>
    <row r="65" spans="2:20" ht="23.1" customHeight="1" x14ac:dyDescent="0.25">
      <c r="B65" s="23" t="s">
        <v>158</v>
      </c>
      <c r="C65" s="49">
        <f>'Avg Week KYENGERA-BUSEGA'!C65+'Avg Week BUSEGA-KYENGERA'!C65</f>
        <v>145</v>
      </c>
      <c r="D65" s="49">
        <f>'Avg Week KYENGERA-BUSEGA'!D65+'Avg Week BUSEGA-KYENGERA'!D65</f>
        <v>20</v>
      </c>
      <c r="E65" s="49">
        <f>'Avg Week KYENGERA-BUSEGA'!E65+'Avg Week BUSEGA-KYENGERA'!E65</f>
        <v>8</v>
      </c>
      <c r="F65" s="49">
        <f>'Avg Week KYENGERA-BUSEGA'!F65+'Avg Week BUSEGA-KYENGERA'!F65</f>
        <v>73.5</v>
      </c>
      <c r="G65" s="49">
        <f>'Avg Week KYENGERA-BUSEGA'!G65+'Avg Week BUSEGA-KYENGERA'!G65</f>
        <v>6.5</v>
      </c>
      <c r="H65" s="49">
        <f>'Avg Week KYENGERA-BUSEGA'!H65+'Avg Week BUSEGA-KYENGERA'!H65</f>
        <v>2.5</v>
      </c>
      <c r="I65" s="49">
        <f>'Avg Week KYENGERA-BUSEGA'!I65+'Avg Week BUSEGA-KYENGERA'!I65</f>
        <v>23</v>
      </c>
      <c r="J65" s="49">
        <f>'Avg Week KYENGERA-BUSEGA'!J65+'Avg Week BUSEGA-KYENGERA'!J65</f>
        <v>13</v>
      </c>
      <c r="K65" s="49">
        <f>'Avg Week KYENGERA-BUSEGA'!K65+'Avg Week BUSEGA-KYENGERA'!K65</f>
        <v>4</v>
      </c>
      <c r="L65" s="49">
        <f>'Avg Week KYENGERA-BUSEGA'!L65+'Avg Week BUSEGA-KYENGERA'!L65</f>
        <v>3</v>
      </c>
      <c r="M65" s="49">
        <f>'Avg Week KYENGERA-BUSEGA'!M65+'Avg Week BUSEGA-KYENGERA'!M65</f>
        <v>560</v>
      </c>
      <c r="N65" s="49">
        <f>'Avg Week KYENGERA-BUSEGA'!N65+'Avg Week BUSEGA-KYENGERA'!N65</f>
        <v>0</v>
      </c>
      <c r="O65" s="15">
        <f t="shared" si="0"/>
        <v>298.5</v>
      </c>
      <c r="P65" s="15">
        <f t="shared" si="1"/>
        <v>858.5</v>
      </c>
      <c r="R65" s="8"/>
      <c r="T65"/>
    </row>
    <row r="66" spans="2:20" ht="23.1" customHeight="1" x14ac:dyDescent="0.25">
      <c r="B66" s="23" t="s">
        <v>103</v>
      </c>
      <c r="C66" s="49">
        <f>'Avg Week KYENGERA-BUSEGA'!C66+'Avg Week BUSEGA-KYENGERA'!C66</f>
        <v>147.5</v>
      </c>
      <c r="D66" s="49">
        <f>'Avg Week KYENGERA-BUSEGA'!D66+'Avg Week BUSEGA-KYENGERA'!D66</f>
        <v>15</v>
      </c>
      <c r="E66" s="49">
        <f>'Avg Week KYENGERA-BUSEGA'!E66+'Avg Week BUSEGA-KYENGERA'!E66</f>
        <v>11</v>
      </c>
      <c r="F66" s="49">
        <f>'Avg Week KYENGERA-BUSEGA'!F66+'Avg Week BUSEGA-KYENGERA'!F66</f>
        <v>64</v>
      </c>
      <c r="G66" s="49">
        <f>'Avg Week KYENGERA-BUSEGA'!G66+'Avg Week BUSEGA-KYENGERA'!G66</f>
        <v>9.5</v>
      </c>
      <c r="H66" s="49">
        <f>'Avg Week KYENGERA-BUSEGA'!H66+'Avg Week BUSEGA-KYENGERA'!H66</f>
        <v>2</v>
      </c>
      <c r="I66" s="49">
        <f>'Avg Week KYENGERA-BUSEGA'!I66+'Avg Week BUSEGA-KYENGERA'!I66</f>
        <v>21</v>
      </c>
      <c r="J66" s="49">
        <f>'Avg Week KYENGERA-BUSEGA'!J66+'Avg Week BUSEGA-KYENGERA'!J66</f>
        <v>19</v>
      </c>
      <c r="K66" s="49">
        <f>'Avg Week KYENGERA-BUSEGA'!K66+'Avg Week BUSEGA-KYENGERA'!K66</f>
        <v>3.5</v>
      </c>
      <c r="L66" s="49">
        <f>'Avg Week KYENGERA-BUSEGA'!L66+'Avg Week BUSEGA-KYENGERA'!L66</f>
        <v>6</v>
      </c>
      <c r="M66" s="49">
        <f>'Avg Week KYENGERA-BUSEGA'!M66+'Avg Week BUSEGA-KYENGERA'!M66</f>
        <v>505</v>
      </c>
      <c r="N66" s="49">
        <f>'Avg Week KYENGERA-BUSEGA'!N66+'Avg Week BUSEGA-KYENGERA'!N66</f>
        <v>0</v>
      </c>
      <c r="O66" s="15">
        <f t="shared" si="0"/>
        <v>298.5</v>
      </c>
      <c r="P66" s="15">
        <f t="shared" si="1"/>
        <v>803.5</v>
      </c>
      <c r="R66" s="8"/>
      <c r="T66"/>
    </row>
    <row r="67" spans="2:20" ht="23.1" customHeight="1" x14ac:dyDescent="0.25">
      <c r="B67" s="23" t="s">
        <v>104</v>
      </c>
      <c r="C67" s="49">
        <f>'Avg Week KYENGERA-BUSEGA'!C67+'Avg Week BUSEGA-KYENGERA'!C67</f>
        <v>154</v>
      </c>
      <c r="D67" s="49">
        <f>'Avg Week KYENGERA-BUSEGA'!D67+'Avg Week BUSEGA-KYENGERA'!D67</f>
        <v>15</v>
      </c>
      <c r="E67" s="49">
        <f>'Avg Week KYENGERA-BUSEGA'!E67+'Avg Week BUSEGA-KYENGERA'!E67</f>
        <v>10</v>
      </c>
      <c r="F67" s="49">
        <f>'Avg Week KYENGERA-BUSEGA'!F67+'Avg Week BUSEGA-KYENGERA'!F67</f>
        <v>81.5</v>
      </c>
      <c r="G67" s="49">
        <f>'Avg Week KYENGERA-BUSEGA'!G67+'Avg Week BUSEGA-KYENGERA'!G67</f>
        <v>4.5</v>
      </c>
      <c r="H67" s="49">
        <f>'Avg Week KYENGERA-BUSEGA'!H67+'Avg Week BUSEGA-KYENGERA'!H67</f>
        <v>3</v>
      </c>
      <c r="I67" s="49">
        <f>'Avg Week KYENGERA-BUSEGA'!I67+'Avg Week BUSEGA-KYENGERA'!I67</f>
        <v>20.5</v>
      </c>
      <c r="J67" s="49">
        <f>'Avg Week KYENGERA-BUSEGA'!J67+'Avg Week BUSEGA-KYENGERA'!J67</f>
        <v>18</v>
      </c>
      <c r="K67" s="49">
        <f>'Avg Week KYENGERA-BUSEGA'!K67+'Avg Week BUSEGA-KYENGERA'!K67</f>
        <v>4.5</v>
      </c>
      <c r="L67" s="49">
        <f>'Avg Week KYENGERA-BUSEGA'!L67+'Avg Week BUSEGA-KYENGERA'!L67</f>
        <v>4.5</v>
      </c>
      <c r="M67" s="49">
        <f>'Avg Week KYENGERA-BUSEGA'!M67+'Avg Week BUSEGA-KYENGERA'!M67</f>
        <v>490</v>
      </c>
      <c r="N67" s="49">
        <f>'Avg Week KYENGERA-BUSEGA'!N67+'Avg Week BUSEGA-KYENGERA'!N67</f>
        <v>0</v>
      </c>
      <c r="O67" s="15">
        <f t="shared" si="0"/>
        <v>315.5</v>
      </c>
      <c r="P67" s="15">
        <f t="shared" si="1"/>
        <v>805.5</v>
      </c>
      <c r="R67" s="8"/>
      <c r="T67"/>
    </row>
    <row r="68" spans="2:20" ht="23.1" customHeight="1" x14ac:dyDescent="0.25">
      <c r="B68" s="23" t="s">
        <v>105</v>
      </c>
      <c r="C68" s="49">
        <f>'Avg Week KYENGERA-BUSEGA'!C68+'Avg Week BUSEGA-KYENGERA'!C68</f>
        <v>159</v>
      </c>
      <c r="D68" s="49">
        <f>'Avg Week KYENGERA-BUSEGA'!D68+'Avg Week BUSEGA-KYENGERA'!D68</f>
        <v>21.5</v>
      </c>
      <c r="E68" s="49">
        <f>'Avg Week KYENGERA-BUSEGA'!E68+'Avg Week BUSEGA-KYENGERA'!E68</f>
        <v>12.5</v>
      </c>
      <c r="F68" s="49">
        <f>'Avg Week KYENGERA-BUSEGA'!F68+'Avg Week BUSEGA-KYENGERA'!F68</f>
        <v>68.5</v>
      </c>
      <c r="G68" s="49">
        <f>'Avg Week KYENGERA-BUSEGA'!G68+'Avg Week BUSEGA-KYENGERA'!G68</f>
        <v>2</v>
      </c>
      <c r="H68" s="49">
        <f>'Avg Week KYENGERA-BUSEGA'!H68+'Avg Week BUSEGA-KYENGERA'!H68</f>
        <v>3</v>
      </c>
      <c r="I68" s="49">
        <f>'Avg Week KYENGERA-BUSEGA'!I68+'Avg Week BUSEGA-KYENGERA'!I68</f>
        <v>23.5</v>
      </c>
      <c r="J68" s="49">
        <f>'Avg Week KYENGERA-BUSEGA'!J68+'Avg Week BUSEGA-KYENGERA'!J68</f>
        <v>11.5</v>
      </c>
      <c r="K68" s="49">
        <f>'Avg Week KYENGERA-BUSEGA'!K68+'Avg Week BUSEGA-KYENGERA'!K68</f>
        <v>4</v>
      </c>
      <c r="L68" s="49">
        <f>'Avg Week KYENGERA-BUSEGA'!L68+'Avg Week BUSEGA-KYENGERA'!L68</f>
        <v>4</v>
      </c>
      <c r="M68" s="49">
        <f>'Avg Week KYENGERA-BUSEGA'!M68+'Avg Week BUSEGA-KYENGERA'!M68</f>
        <v>437.5</v>
      </c>
      <c r="N68" s="49">
        <f>'Avg Week KYENGERA-BUSEGA'!N68+'Avg Week BUSEGA-KYENGERA'!N68</f>
        <v>0</v>
      </c>
      <c r="O68" s="15">
        <f t="shared" si="0"/>
        <v>309.5</v>
      </c>
      <c r="P68" s="15">
        <f t="shared" si="1"/>
        <v>747</v>
      </c>
      <c r="R68" s="8"/>
      <c r="T68"/>
    </row>
    <row r="69" spans="2:20" ht="23.1" customHeight="1" x14ac:dyDescent="0.25">
      <c r="B69" s="23" t="s">
        <v>106</v>
      </c>
      <c r="C69" s="49">
        <f>'Avg Week KYENGERA-BUSEGA'!C69+'Avg Week BUSEGA-KYENGERA'!C69</f>
        <v>156.5</v>
      </c>
      <c r="D69" s="49">
        <f>'Avg Week KYENGERA-BUSEGA'!D69+'Avg Week BUSEGA-KYENGERA'!D69</f>
        <v>26</v>
      </c>
      <c r="E69" s="49">
        <f>'Avg Week KYENGERA-BUSEGA'!E69+'Avg Week BUSEGA-KYENGERA'!E69</f>
        <v>19.5</v>
      </c>
      <c r="F69" s="49">
        <f>'Avg Week KYENGERA-BUSEGA'!F69+'Avg Week BUSEGA-KYENGERA'!F69</f>
        <v>83</v>
      </c>
      <c r="G69" s="49">
        <f>'Avg Week KYENGERA-BUSEGA'!G69+'Avg Week BUSEGA-KYENGERA'!G69</f>
        <v>6</v>
      </c>
      <c r="H69" s="49">
        <f>'Avg Week KYENGERA-BUSEGA'!H69+'Avg Week BUSEGA-KYENGERA'!H69</f>
        <v>8.5</v>
      </c>
      <c r="I69" s="49">
        <f>'Avg Week KYENGERA-BUSEGA'!I69+'Avg Week BUSEGA-KYENGERA'!I69</f>
        <v>18</v>
      </c>
      <c r="J69" s="49">
        <f>'Avg Week KYENGERA-BUSEGA'!J69+'Avg Week BUSEGA-KYENGERA'!J69</f>
        <v>15</v>
      </c>
      <c r="K69" s="49">
        <f>'Avg Week KYENGERA-BUSEGA'!K69+'Avg Week BUSEGA-KYENGERA'!K69</f>
        <v>2.5</v>
      </c>
      <c r="L69" s="49">
        <f>'Avg Week KYENGERA-BUSEGA'!L69+'Avg Week BUSEGA-KYENGERA'!L69</f>
        <v>5.5</v>
      </c>
      <c r="M69" s="49">
        <f>'Avg Week KYENGERA-BUSEGA'!M69+'Avg Week BUSEGA-KYENGERA'!M69</f>
        <v>442.5</v>
      </c>
      <c r="N69" s="49">
        <f>'Avg Week KYENGERA-BUSEGA'!N69+'Avg Week BUSEGA-KYENGERA'!N69</f>
        <v>0</v>
      </c>
      <c r="O69" s="15">
        <f t="shared" si="0"/>
        <v>340.5</v>
      </c>
      <c r="P69" s="15">
        <f t="shared" si="1"/>
        <v>783</v>
      </c>
      <c r="R69" s="8"/>
      <c r="T69"/>
    </row>
    <row r="70" spans="2:20" ht="23.1" customHeight="1" x14ac:dyDescent="0.25">
      <c r="B70" s="23" t="s">
        <v>110</v>
      </c>
      <c r="C70" s="49">
        <f>'Avg Week KYENGERA-BUSEGA'!C70+'Avg Week BUSEGA-KYENGERA'!C70</f>
        <v>127.5</v>
      </c>
      <c r="D70" s="49">
        <f>'Avg Week KYENGERA-BUSEGA'!D70+'Avg Week BUSEGA-KYENGERA'!D70</f>
        <v>22</v>
      </c>
      <c r="E70" s="49">
        <f>'Avg Week KYENGERA-BUSEGA'!E70+'Avg Week BUSEGA-KYENGERA'!E70</f>
        <v>10.5</v>
      </c>
      <c r="F70" s="49">
        <f>'Avg Week KYENGERA-BUSEGA'!F70+'Avg Week BUSEGA-KYENGERA'!F70</f>
        <v>52</v>
      </c>
      <c r="G70" s="49">
        <f>'Avg Week KYENGERA-BUSEGA'!G70+'Avg Week BUSEGA-KYENGERA'!G70</f>
        <v>5.5</v>
      </c>
      <c r="H70" s="49">
        <f>'Avg Week KYENGERA-BUSEGA'!H70+'Avg Week BUSEGA-KYENGERA'!H70</f>
        <v>0.5</v>
      </c>
      <c r="I70" s="49">
        <f>'Avg Week KYENGERA-BUSEGA'!I70+'Avg Week BUSEGA-KYENGERA'!I70</f>
        <v>25.5</v>
      </c>
      <c r="J70" s="49">
        <f>'Avg Week KYENGERA-BUSEGA'!J70+'Avg Week BUSEGA-KYENGERA'!J70</f>
        <v>13</v>
      </c>
      <c r="K70" s="49">
        <f>'Avg Week KYENGERA-BUSEGA'!K70+'Avg Week BUSEGA-KYENGERA'!K70</f>
        <v>2</v>
      </c>
      <c r="L70" s="49">
        <f>'Avg Week KYENGERA-BUSEGA'!L70+'Avg Week BUSEGA-KYENGERA'!L70</f>
        <v>2.5</v>
      </c>
      <c r="M70" s="49">
        <f>'Avg Week KYENGERA-BUSEGA'!M70+'Avg Week BUSEGA-KYENGERA'!M70</f>
        <v>363</v>
      </c>
      <c r="N70" s="49">
        <f>'Avg Week KYENGERA-BUSEGA'!N70+'Avg Week BUSEGA-KYENGERA'!N70</f>
        <v>0</v>
      </c>
      <c r="O70" s="15">
        <f t="shared" si="0"/>
        <v>261</v>
      </c>
      <c r="P70" s="15">
        <f t="shared" si="1"/>
        <v>624</v>
      </c>
      <c r="R70" s="8"/>
      <c r="T70"/>
    </row>
    <row r="71" spans="2:20" ht="23.1" customHeight="1" x14ac:dyDescent="0.25">
      <c r="B71" s="23" t="s">
        <v>111</v>
      </c>
      <c r="C71" s="49">
        <f>'Avg Week KYENGERA-BUSEGA'!C71+'Avg Week BUSEGA-KYENGERA'!C71</f>
        <v>146.5</v>
      </c>
      <c r="D71" s="49">
        <f>'Avg Week KYENGERA-BUSEGA'!D71+'Avg Week BUSEGA-KYENGERA'!D71</f>
        <v>23</v>
      </c>
      <c r="E71" s="49">
        <f>'Avg Week KYENGERA-BUSEGA'!E71+'Avg Week BUSEGA-KYENGERA'!E71</f>
        <v>10</v>
      </c>
      <c r="F71" s="49">
        <f>'Avg Week KYENGERA-BUSEGA'!F71+'Avg Week BUSEGA-KYENGERA'!F71</f>
        <v>64</v>
      </c>
      <c r="G71" s="49">
        <f>'Avg Week KYENGERA-BUSEGA'!G71+'Avg Week BUSEGA-KYENGERA'!G71</f>
        <v>8</v>
      </c>
      <c r="H71" s="49">
        <f>'Avg Week KYENGERA-BUSEGA'!H71+'Avg Week BUSEGA-KYENGERA'!H71</f>
        <v>2</v>
      </c>
      <c r="I71" s="49">
        <f>'Avg Week KYENGERA-BUSEGA'!I71+'Avg Week BUSEGA-KYENGERA'!I71</f>
        <v>27.5</v>
      </c>
      <c r="J71" s="49">
        <f>'Avg Week KYENGERA-BUSEGA'!J71+'Avg Week BUSEGA-KYENGERA'!J71</f>
        <v>13.5</v>
      </c>
      <c r="K71" s="49">
        <f>'Avg Week KYENGERA-BUSEGA'!K71+'Avg Week BUSEGA-KYENGERA'!K71</f>
        <v>1.5</v>
      </c>
      <c r="L71" s="49">
        <f>'Avg Week KYENGERA-BUSEGA'!L71+'Avg Week BUSEGA-KYENGERA'!L71</f>
        <v>7.5</v>
      </c>
      <c r="M71" s="49">
        <f>'Avg Week KYENGERA-BUSEGA'!M71+'Avg Week BUSEGA-KYENGERA'!M71</f>
        <v>429</v>
      </c>
      <c r="N71" s="49">
        <f>'Avg Week KYENGERA-BUSEGA'!N71+'Avg Week BUSEGA-KYENGERA'!N71</f>
        <v>0</v>
      </c>
      <c r="O71" s="15">
        <f t="shared" si="0"/>
        <v>303.5</v>
      </c>
      <c r="P71" s="15">
        <f t="shared" si="1"/>
        <v>732.5</v>
      </c>
      <c r="R71" s="8"/>
      <c r="T71"/>
    </row>
    <row r="72" spans="2:20" ht="23.1" customHeight="1" x14ac:dyDescent="0.25">
      <c r="B72" s="23" t="s">
        <v>112</v>
      </c>
      <c r="C72" s="49">
        <f>'Avg Week KYENGERA-BUSEGA'!C72+'Avg Week BUSEGA-KYENGERA'!C72</f>
        <v>145.5</v>
      </c>
      <c r="D72" s="49">
        <f>'Avg Week KYENGERA-BUSEGA'!D72+'Avg Week BUSEGA-KYENGERA'!D72</f>
        <v>25</v>
      </c>
      <c r="E72" s="49">
        <f>'Avg Week KYENGERA-BUSEGA'!E72+'Avg Week BUSEGA-KYENGERA'!E72</f>
        <v>14</v>
      </c>
      <c r="F72" s="49">
        <f>'Avg Week KYENGERA-BUSEGA'!F72+'Avg Week BUSEGA-KYENGERA'!F72</f>
        <v>58</v>
      </c>
      <c r="G72" s="49">
        <f>'Avg Week KYENGERA-BUSEGA'!G72+'Avg Week BUSEGA-KYENGERA'!G72</f>
        <v>1</v>
      </c>
      <c r="H72" s="49">
        <f>'Avg Week KYENGERA-BUSEGA'!H72+'Avg Week BUSEGA-KYENGERA'!H72</f>
        <v>1.5</v>
      </c>
      <c r="I72" s="49">
        <f>'Avg Week KYENGERA-BUSEGA'!I72+'Avg Week BUSEGA-KYENGERA'!I72</f>
        <v>16.5</v>
      </c>
      <c r="J72" s="49">
        <f>'Avg Week KYENGERA-BUSEGA'!J72+'Avg Week BUSEGA-KYENGERA'!J72</f>
        <v>15.5</v>
      </c>
      <c r="K72" s="49">
        <f>'Avg Week KYENGERA-BUSEGA'!K72+'Avg Week BUSEGA-KYENGERA'!K72</f>
        <v>2</v>
      </c>
      <c r="L72" s="49">
        <f>'Avg Week KYENGERA-BUSEGA'!L72+'Avg Week BUSEGA-KYENGERA'!L72</f>
        <v>11</v>
      </c>
      <c r="M72" s="49">
        <f>'Avg Week KYENGERA-BUSEGA'!M72+'Avg Week BUSEGA-KYENGERA'!M72</f>
        <v>334</v>
      </c>
      <c r="N72" s="49">
        <f>'Avg Week KYENGERA-BUSEGA'!N72+'Avg Week BUSEGA-KYENGERA'!N72</f>
        <v>0</v>
      </c>
      <c r="O72" s="15">
        <f t="shared" si="0"/>
        <v>290</v>
      </c>
      <c r="P72" s="15">
        <f t="shared" si="1"/>
        <v>624</v>
      </c>
      <c r="R72" s="8"/>
      <c r="T72"/>
    </row>
    <row r="73" spans="2:20" ht="23.1" customHeight="1" x14ac:dyDescent="0.25">
      <c r="B73" s="23" t="s">
        <v>113</v>
      </c>
      <c r="C73" s="49">
        <f>'Avg Week KYENGERA-BUSEGA'!C73+'Avg Week BUSEGA-KYENGERA'!C73</f>
        <v>151</v>
      </c>
      <c r="D73" s="49">
        <f>'Avg Week KYENGERA-BUSEGA'!D73+'Avg Week BUSEGA-KYENGERA'!D73</f>
        <v>17.5</v>
      </c>
      <c r="E73" s="49">
        <f>'Avg Week KYENGERA-BUSEGA'!E73+'Avg Week BUSEGA-KYENGERA'!E73</f>
        <v>13</v>
      </c>
      <c r="F73" s="49">
        <f>'Avg Week KYENGERA-BUSEGA'!F73+'Avg Week BUSEGA-KYENGERA'!F73</f>
        <v>57.5</v>
      </c>
      <c r="G73" s="49">
        <f>'Avg Week KYENGERA-BUSEGA'!G73+'Avg Week BUSEGA-KYENGERA'!G73</f>
        <v>3</v>
      </c>
      <c r="H73" s="49">
        <f>'Avg Week KYENGERA-BUSEGA'!H73+'Avg Week BUSEGA-KYENGERA'!H73</f>
        <v>4</v>
      </c>
      <c r="I73" s="49">
        <f>'Avg Week KYENGERA-BUSEGA'!I73+'Avg Week BUSEGA-KYENGERA'!I73</f>
        <v>21</v>
      </c>
      <c r="J73" s="49">
        <f>'Avg Week KYENGERA-BUSEGA'!J73+'Avg Week BUSEGA-KYENGERA'!J73</f>
        <v>19</v>
      </c>
      <c r="K73" s="49">
        <f>'Avg Week KYENGERA-BUSEGA'!K73+'Avg Week BUSEGA-KYENGERA'!K73</f>
        <v>2.5</v>
      </c>
      <c r="L73" s="49">
        <f>'Avg Week KYENGERA-BUSEGA'!L73+'Avg Week BUSEGA-KYENGERA'!L73</f>
        <v>6</v>
      </c>
      <c r="M73" s="49">
        <f>'Avg Week KYENGERA-BUSEGA'!M73+'Avg Week BUSEGA-KYENGERA'!M73</f>
        <v>442</v>
      </c>
      <c r="N73" s="49">
        <f>'Avg Week KYENGERA-BUSEGA'!N73+'Avg Week BUSEGA-KYENGERA'!N73</f>
        <v>0</v>
      </c>
      <c r="O73" s="15">
        <f t="shared" si="0"/>
        <v>294.5</v>
      </c>
      <c r="P73" s="15">
        <f t="shared" si="1"/>
        <v>736.5</v>
      </c>
      <c r="R73" s="8"/>
      <c r="T73"/>
    </row>
    <row r="74" spans="2:20" ht="23.1" customHeight="1" x14ac:dyDescent="0.25">
      <c r="B74" s="23" t="s">
        <v>114</v>
      </c>
      <c r="C74" s="49">
        <f>'Avg Week KYENGERA-BUSEGA'!C74+'Avg Week BUSEGA-KYENGERA'!C74</f>
        <v>154</v>
      </c>
      <c r="D74" s="49">
        <f>'Avg Week KYENGERA-BUSEGA'!D74+'Avg Week BUSEGA-KYENGERA'!D74</f>
        <v>16</v>
      </c>
      <c r="E74" s="49">
        <f>'Avg Week KYENGERA-BUSEGA'!E74+'Avg Week BUSEGA-KYENGERA'!E74</f>
        <v>11</v>
      </c>
      <c r="F74" s="49">
        <f>'Avg Week KYENGERA-BUSEGA'!F74+'Avg Week BUSEGA-KYENGERA'!F74</f>
        <v>59.5</v>
      </c>
      <c r="G74" s="49">
        <f>'Avg Week KYENGERA-BUSEGA'!G74+'Avg Week BUSEGA-KYENGERA'!G74</f>
        <v>4</v>
      </c>
      <c r="H74" s="49">
        <f>'Avg Week KYENGERA-BUSEGA'!H74+'Avg Week BUSEGA-KYENGERA'!H74</f>
        <v>3</v>
      </c>
      <c r="I74" s="49">
        <f>'Avg Week KYENGERA-BUSEGA'!I74+'Avg Week BUSEGA-KYENGERA'!I74</f>
        <v>18.5</v>
      </c>
      <c r="J74" s="49">
        <f>'Avg Week KYENGERA-BUSEGA'!J74+'Avg Week BUSEGA-KYENGERA'!J74</f>
        <v>20.5</v>
      </c>
      <c r="K74" s="49">
        <f>'Avg Week KYENGERA-BUSEGA'!K74+'Avg Week BUSEGA-KYENGERA'!K74</f>
        <v>0.5</v>
      </c>
      <c r="L74" s="49">
        <f>'Avg Week KYENGERA-BUSEGA'!L74+'Avg Week BUSEGA-KYENGERA'!L74</f>
        <v>4</v>
      </c>
      <c r="M74" s="49">
        <f>'Avg Week KYENGERA-BUSEGA'!M74+'Avg Week BUSEGA-KYENGERA'!M74</f>
        <v>319.5</v>
      </c>
      <c r="N74" s="49">
        <f>'Avg Week KYENGERA-BUSEGA'!N74+'Avg Week BUSEGA-KYENGERA'!N74</f>
        <v>0</v>
      </c>
      <c r="O74" s="15">
        <f t="shared" ref="O74:O105" si="35">SUM(C74:L74,N74)</f>
        <v>291</v>
      </c>
      <c r="P74" s="15">
        <f t="shared" ref="P74:P105" si="36">SUM(C74:N74)</f>
        <v>610.5</v>
      </c>
      <c r="R74" s="8"/>
      <c r="T74"/>
    </row>
    <row r="75" spans="2:20" ht="23.1" customHeight="1" x14ac:dyDescent="0.25">
      <c r="B75" s="23" t="s">
        <v>115</v>
      </c>
      <c r="C75" s="49">
        <f>'Avg Week KYENGERA-BUSEGA'!C75+'Avg Week BUSEGA-KYENGERA'!C75</f>
        <v>140.5</v>
      </c>
      <c r="D75" s="49">
        <f>'Avg Week KYENGERA-BUSEGA'!D75+'Avg Week BUSEGA-KYENGERA'!D75</f>
        <v>18.5</v>
      </c>
      <c r="E75" s="49">
        <f>'Avg Week KYENGERA-BUSEGA'!E75+'Avg Week BUSEGA-KYENGERA'!E75</f>
        <v>8</v>
      </c>
      <c r="F75" s="49">
        <f>'Avg Week KYENGERA-BUSEGA'!F75+'Avg Week BUSEGA-KYENGERA'!F75</f>
        <v>58.5</v>
      </c>
      <c r="G75" s="49">
        <f>'Avg Week KYENGERA-BUSEGA'!G75+'Avg Week BUSEGA-KYENGERA'!G75</f>
        <v>2</v>
      </c>
      <c r="H75" s="49">
        <f>'Avg Week KYENGERA-BUSEGA'!H75+'Avg Week BUSEGA-KYENGERA'!H75</f>
        <v>4</v>
      </c>
      <c r="I75" s="49">
        <f>'Avg Week KYENGERA-BUSEGA'!I75+'Avg Week BUSEGA-KYENGERA'!I75</f>
        <v>13</v>
      </c>
      <c r="J75" s="49">
        <f>'Avg Week KYENGERA-BUSEGA'!J75+'Avg Week BUSEGA-KYENGERA'!J75</f>
        <v>5</v>
      </c>
      <c r="K75" s="49">
        <f>'Avg Week KYENGERA-BUSEGA'!K75+'Avg Week BUSEGA-KYENGERA'!K75</f>
        <v>1</v>
      </c>
      <c r="L75" s="49">
        <f>'Avg Week KYENGERA-BUSEGA'!L75+'Avg Week BUSEGA-KYENGERA'!L75</f>
        <v>4.5</v>
      </c>
      <c r="M75" s="49">
        <f>'Avg Week KYENGERA-BUSEGA'!M75+'Avg Week BUSEGA-KYENGERA'!M75</f>
        <v>212.5</v>
      </c>
      <c r="N75" s="49">
        <f>'Avg Week KYENGERA-BUSEGA'!N75+'Avg Week BUSEGA-KYENGERA'!N75</f>
        <v>0</v>
      </c>
      <c r="O75" s="15">
        <f t="shared" si="35"/>
        <v>255</v>
      </c>
      <c r="P75" s="15">
        <f t="shared" si="36"/>
        <v>467.5</v>
      </c>
      <c r="R75" s="8"/>
      <c r="T75"/>
    </row>
    <row r="76" spans="2:20" ht="23.1" customHeight="1" x14ac:dyDescent="0.25">
      <c r="B76" s="23" t="s">
        <v>116</v>
      </c>
      <c r="C76" s="49">
        <f>'Avg Week KYENGERA-BUSEGA'!C76+'Avg Week BUSEGA-KYENGERA'!C76</f>
        <v>110</v>
      </c>
      <c r="D76" s="49">
        <f>'Avg Week KYENGERA-BUSEGA'!D76+'Avg Week BUSEGA-KYENGERA'!D76</f>
        <v>10</v>
      </c>
      <c r="E76" s="49">
        <f>'Avg Week KYENGERA-BUSEGA'!E76+'Avg Week BUSEGA-KYENGERA'!E76</f>
        <v>9</v>
      </c>
      <c r="F76" s="49">
        <f>'Avg Week KYENGERA-BUSEGA'!F76+'Avg Week BUSEGA-KYENGERA'!F76</f>
        <v>40</v>
      </c>
      <c r="G76" s="49">
        <f>'Avg Week KYENGERA-BUSEGA'!G76+'Avg Week BUSEGA-KYENGERA'!G76</f>
        <v>2.5</v>
      </c>
      <c r="H76" s="49">
        <f>'Avg Week KYENGERA-BUSEGA'!H76+'Avg Week BUSEGA-KYENGERA'!H76</f>
        <v>3.5</v>
      </c>
      <c r="I76" s="49">
        <f>'Avg Week KYENGERA-BUSEGA'!I76+'Avg Week BUSEGA-KYENGERA'!I76</f>
        <v>20</v>
      </c>
      <c r="J76" s="49">
        <f>'Avg Week KYENGERA-BUSEGA'!J76+'Avg Week BUSEGA-KYENGERA'!J76</f>
        <v>15.5</v>
      </c>
      <c r="K76" s="49">
        <f>'Avg Week KYENGERA-BUSEGA'!K76+'Avg Week BUSEGA-KYENGERA'!K76</f>
        <v>1.5</v>
      </c>
      <c r="L76" s="49">
        <f>'Avg Week KYENGERA-BUSEGA'!L76+'Avg Week BUSEGA-KYENGERA'!L76</f>
        <v>4</v>
      </c>
      <c r="M76" s="49">
        <f>'Avg Week KYENGERA-BUSEGA'!M76+'Avg Week BUSEGA-KYENGERA'!M76</f>
        <v>233</v>
      </c>
      <c r="N76" s="49">
        <f>'Avg Week KYENGERA-BUSEGA'!N76+'Avg Week BUSEGA-KYENGERA'!N76</f>
        <v>0</v>
      </c>
      <c r="O76" s="15">
        <f t="shared" si="35"/>
        <v>216</v>
      </c>
      <c r="P76" s="15">
        <f t="shared" si="36"/>
        <v>449</v>
      </c>
      <c r="R76" s="8"/>
      <c r="T76"/>
    </row>
    <row r="77" spans="2:20" ht="23.1" customHeight="1" x14ac:dyDescent="0.25">
      <c r="B77" s="23" t="s">
        <v>117</v>
      </c>
      <c r="C77" s="49">
        <f>'Avg Week KYENGERA-BUSEGA'!C77+'Avg Week BUSEGA-KYENGERA'!C77</f>
        <v>88.5</v>
      </c>
      <c r="D77" s="49">
        <f>'Avg Week KYENGERA-BUSEGA'!D77+'Avg Week BUSEGA-KYENGERA'!D77</f>
        <v>10</v>
      </c>
      <c r="E77" s="49">
        <f>'Avg Week KYENGERA-BUSEGA'!E77+'Avg Week BUSEGA-KYENGERA'!E77</f>
        <v>9.5</v>
      </c>
      <c r="F77" s="49">
        <f>'Avg Week KYENGERA-BUSEGA'!F77+'Avg Week BUSEGA-KYENGERA'!F77</f>
        <v>37.5</v>
      </c>
      <c r="G77" s="49">
        <f>'Avg Week KYENGERA-BUSEGA'!G77+'Avg Week BUSEGA-KYENGERA'!G77</f>
        <v>1.5</v>
      </c>
      <c r="H77" s="49">
        <f>'Avg Week KYENGERA-BUSEGA'!H77+'Avg Week BUSEGA-KYENGERA'!H77</f>
        <v>3</v>
      </c>
      <c r="I77" s="49">
        <f>'Avg Week KYENGERA-BUSEGA'!I77+'Avg Week BUSEGA-KYENGERA'!I77</f>
        <v>15.5</v>
      </c>
      <c r="J77" s="49">
        <f>'Avg Week KYENGERA-BUSEGA'!J77+'Avg Week BUSEGA-KYENGERA'!J77</f>
        <v>11</v>
      </c>
      <c r="K77" s="49">
        <f>'Avg Week KYENGERA-BUSEGA'!K77+'Avg Week BUSEGA-KYENGERA'!K77</f>
        <v>1.5</v>
      </c>
      <c r="L77" s="49">
        <f>'Avg Week KYENGERA-BUSEGA'!L77+'Avg Week BUSEGA-KYENGERA'!L77</f>
        <v>6</v>
      </c>
      <c r="M77" s="49">
        <f>'Avg Week KYENGERA-BUSEGA'!M77+'Avg Week BUSEGA-KYENGERA'!M77</f>
        <v>176</v>
      </c>
      <c r="N77" s="49">
        <f>'Avg Week KYENGERA-BUSEGA'!N77+'Avg Week BUSEGA-KYENGERA'!N77</f>
        <v>0</v>
      </c>
      <c r="O77" s="15">
        <f t="shared" si="35"/>
        <v>184</v>
      </c>
      <c r="P77" s="15">
        <f t="shared" si="36"/>
        <v>360</v>
      </c>
      <c r="R77" s="8"/>
      <c r="T77"/>
    </row>
    <row r="78" spans="2:20" ht="23.1" customHeight="1" x14ac:dyDescent="0.25">
      <c r="B78" s="24" t="s">
        <v>118</v>
      </c>
      <c r="C78" s="49">
        <f>'Avg Week KYENGERA-BUSEGA'!C78+'Avg Week BUSEGA-KYENGERA'!C78</f>
        <v>102</v>
      </c>
      <c r="D78" s="49">
        <f>'Avg Week KYENGERA-BUSEGA'!D78+'Avg Week BUSEGA-KYENGERA'!D78</f>
        <v>10</v>
      </c>
      <c r="E78" s="49">
        <f>'Avg Week KYENGERA-BUSEGA'!E78+'Avg Week BUSEGA-KYENGERA'!E78</f>
        <v>8.5</v>
      </c>
      <c r="F78" s="49">
        <f>'Avg Week KYENGERA-BUSEGA'!F78+'Avg Week BUSEGA-KYENGERA'!F78</f>
        <v>44</v>
      </c>
      <c r="G78" s="49">
        <f>'Avg Week KYENGERA-BUSEGA'!G78+'Avg Week BUSEGA-KYENGERA'!G78</f>
        <v>1</v>
      </c>
      <c r="H78" s="49">
        <f>'Avg Week KYENGERA-BUSEGA'!H78+'Avg Week BUSEGA-KYENGERA'!H78</f>
        <v>3.5</v>
      </c>
      <c r="I78" s="49">
        <f>'Avg Week KYENGERA-BUSEGA'!I78+'Avg Week BUSEGA-KYENGERA'!I78</f>
        <v>21</v>
      </c>
      <c r="J78" s="49">
        <f>'Avg Week KYENGERA-BUSEGA'!J78+'Avg Week BUSEGA-KYENGERA'!J78</f>
        <v>12.5</v>
      </c>
      <c r="K78" s="49">
        <f>'Avg Week KYENGERA-BUSEGA'!K78+'Avg Week BUSEGA-KYENGERA'!K78</f>
        <v>2</v>
      </c>
      <c r="L78" s="49">
        <f>'Avg Week KYENGERA-BUSEGA'!L78+'Avg Week BUSEGA-KYENGERA'!L78</f>
        <v>8.5</v>
      </c>
      <c r="M78" s="49">
        <f>'Avg Week KYENGERA-BUSEGA'!M78+'Avg Week BUSEGA-KYENGERA'!M78</f>
        <v>148</v>
      </c>
      <c r="N78" s="49">
        <f>'Avg Week KYENGERA-BUSEGA'!N78+'Avg Week BUSEGA-KYENGERA'!N78</f>
        <v>0</v>
      </c>
      <c r="O78" s="15">
        <f t="shared" si="35"/>
        <v>213</v>
      </c>
      <c r="P78" s="15">
        <f t="shared" si="36"/>
        <v>361</v>
      </c>
      <c r="R78" s="8"/>
      <c r="T78"/>
    </row>
    <row r="79" spans="2:20" ht="23.1" customHeight="1" x14ac:dyDescent="0.25">
      <c r="B79" s="23" t="s">
        <v>119</v>
      </c>
      <c r="C79" s="49">
        <f>'Avg Week KYENGERA-BUSEGA'!C79+'Avg Week BUSEGA-KYENGERA'!C79</f>
        <v>90.5</v>
      </c>
      <c r="D79" s="49">
        <f>'Avg Week KYENGERA-BUSEGA'!D79+'Avg Week BUSEGA-KYENGERA'!D79</f>
        <v>11.5</v>
      </c>
      <c r="E79" s="49">
        <f>'Avg Week KYENGERA-BUSEGA'!E79+'Avg Week BUSEGA-KYENGERA'!E79</f>
        <v>11.5</v>
      </c>
      <c r="F79" s="49">
        <f>'Avg Week KYENGERA-BUSEGA'!F79+'Avg Week BUSEGA-KYENGERA'!F79</f>
        <v>32</v>
      </c>
      <c r="G79" s="49">
        <f>'Avg Week KYENGERA-BUSEGA'!G79+'Avg Week BUSEGA-KYENGERA'!G79</f>
        <v>4</v>
      </c>
      <c r="H79" s="49">
        <f>'Avg Week KYENGERA-BUSEGA'!H79+'Avg Week BUSEGA-KYENGERA'!H79</f>
        <v>3</v>
      </c>
      <c r="I79" s="49">
        <f>'Avg Week KYENGERA-BUSEGA'!I79+'Avg Week BUSEGA-KYENGERA'!I79</f>
        <v>22</v>
      </c>
      <c r="J79" s="49">
        <f>'Avg Week KYENGERA-BUSEGA'!J79+'Avg Week BUSEGA-KYENGERA'!J79</f>
        <v>12.5</v>
      </c>
      <c r="K79" s="49">
        <f>'Avg Week KYENGERA-BUSEGA'!K79+'Avg Week BUSEGA-KYENGERA'!K79</f>
        <v>3.5</v>
      </c>
      <c r="L79" s="49">
        <f>'Avg Week KYENGERA-BUSEGA'!L79+'Avg Week BUSEGA-KYENGERA'!L79</f>
        <v>7.5</v>
      </c>
      <c r="M79" s="49">
        <f>'Avg Week KYENGERA-BUSEGA'!M79+'Avg Week BUSEGA-KYENGERA'!M79</f>
        <v>132.5</v>
      </c>
      <c r="N79" s="49">
        <f>'Avg Week KYENGERA-BUSEGA'!N79+'Avg Week BUSEGA-KYENGERA'!N79</f>
        <v>0</v>
      </c>
      <c r="O79" s="15">
        <f t="shared" si="35"/>
        <v>198</v>
      </c>
      <c r="P79" s="15">
        <f t="shared" si="36"/>
        <v>330.5</v>
      </c>
      <c r="R79" s="8"/>
      <c r="T79"/>
    </row>
    <row r="80" spans="2:20" ht="23.1" customHeight="1" x14ac:dyDescent="0.25">
      <c r="B80" s="25" t="s">
        <v>120</v>
      </c>
      <c r="C80" s="49">
        <f>'Avg Week KYENGERA-BUSEGA'!C80+'Avg Week BUSEGA-KYENGERA'!C80</f>
        <v>86</v>
      </c>
      <c r="D80" s="49">
        <f>'Avg Week KYENGERA-BUSEGA'!D80+'Avg Week BUSEGA-KYENGERA'!D80</f>
        <v>10.5</v>
      </c>
      <c r="E80" s="49">
        <f>'Avg Week KYENGERA-BUSEGA'!E80+'Avg Week BUSEGA-KYENGERA'!E80</f>
        <v>10</v>
      </c>
      <c r="F80" s="49">
        <f>'Avg Week KYENGERA-BUSEGA'!F80+'Avg Week BUSEGA-KYENGERA'!F80</f>
        <v>32.5</v>
      </c>
      <c r="G80" s="49">
        <f>'Avg Week KYENGERA-BUSEGA'!G80+'Avg Week BUSEGA-KYENGERA'!G80</f>
        <v>0.5</v>
      </c>
      <c r="H80" s="49">
        <f>'Avg Week KYENGERA-BUSEGA'!H80+'Avg Week BUSEGA-KYENGERA'!H80</f>
        <v>4.5</v>
      </c>
      <c r="I80" s="49">
        <f>'Avg Week KYENGERA-BUSEGA'!I80+'Avg Week BUSEGA-KYENGERA'!I80</f>
        <v>12</v>
      </c>
      <c r="J80" s="49">
        <f>'Avg Week KYENGERA-BUSEGA'!J80+'Avg Week BUSEGA-KYENGERA'!J80</f>
        <v>11.5</v>
      </c>
      <c r="K80" s="49">
        <f>'Avg Week KYENGERA-BUSEGA'!K80+'Avg Week BUSEGA-KYENGERA'!K80</f>
        <v>1</v>
      </c>
      <c r="L80" s="49">
        <f>'Avg Week KYENGERA-BUSEGA'!L80+'Avg Week BUSEGA-KYENGERA'!L80</f>
        <v>5</v>
      </c>
      <c r="M80" s="49">
        <f>'Avg Week KYENGERA-BUSEGA'!M80+'Avg Week BUSEGA-KYENGERA'!M80</f>
        <v>106.5</v>
      </c>
      <c r="N80" s="49">
        <f>'Avg Week KYENGERA-BUSEGA'!N80+'Avg Week BUSEGA-KYENGERA'!N80</f>
        <v>0</v>
      </c>
      <c r="O80" s="15">
        <f t="shared" si="35"/>
        <v>173.5</v>
      </c>
      <c r="P80" s="15">
        <f t="shared" si="36"/>
        <v>280</v>
      </c>
      <c r="R80" s="8"/>
      <c r="T80"/>
    </row>
    <row r="81" spans="2:20" ht="23.1" customHeight="1" x14ac:dyDescent="0.25">
      <c r="B81" s="23" t="s">
        <v>121</v>
      </c>
      <c r="C81" s="49">
        <f>'Avg Week KYENGERA-BUSEGA'!C81+'Avg Week BUSEGA-KYENGERA'!C81</f>
        <v>57</v>
      </c>
      <c r="D81" s="49">
        <f>'Avg Week KYENGERA-BUSEGA'!D81+'Avg Week BUSEGA-KYENGERA'!D81</f>
        <v>6</v>
      </c>
      <c r="E81" s="49">
        <f>'Avg Week KYENGERA-BUSEGA'!E81+'Avg Week BUSEGA-KYENGERA'!E81</f>
        <v>7</v>
      </c>
      <c r="F81" s="49">
        <f>'Avg Week KYENGERA-BUSEGA'!F81+'Avg Week BUSEGA-KYENGERA'!F81</f>
        <v>23.5</v>
      </c>
      <c r="G81" s="49">
        <f>'Avg Week KYENGERA-BUSEGA'!G81+'Avg Week BUSEGA-KYENGERA'!G81</f>
        <v>2.5</v>
      </c>
      <c r="H81" s="49">
        <f>'Avg Week KYENGERA-BUSEGA'!H81+'Avg Week BUSEGA-KYENGERA'!H81</f>
        <v>2.5</v>
      </c>
      <c r="I81" s="49">
        <f>'Avg Week KYENGERA-BUSEGA'!I81+'Avg Week BUSEGA-KYENGERA'!I81</f>
        <v>19.5</v>
      </c>
      <c r="J81" s="49">
        <f>'Avg Week KYENGERA-BUSEGA'!J81+'Avg Week BUSEGA-KYENGERA'!J81</f>
        <v>15.5</v>
      </c>
      <c r="K81" s="49">
        <f>'Avg Week KYENGERA-BUSEGA'!K81+'Avg Week BUSEGA-KYENGERA'!K81</f>
        <v>1.5</v>
      </c>
      <c r="L81" s="49">
        <f>'Avg Week KYENGERA-BUSEGA'!L81+'Avg Week BUSEGA-KYENGERA'!L81</f>
        <v>6.5</v>
      </c>
      <c r="M81" s="49">
        <f>'Avg Week KYENGERA-BUSEGA'!M81+'Avg Week BUSEGA-KYENGERA'!M81</f>
        <v>100</v>
      </c>
      <c r="N81" s="49">
        <f>'Avg Week KYENGERA-BUSEGA'!N81+'Avg Week BUSEGA-KYENGERA'!N81</f>
        <v>0</v>
      </c>
      <c r="O81" s="15">
        <f t="shared" si="35"/>
        <v>141.5</v>
      </c>
      <c r="P81" s="15">
        <f t="shared" si="36"/>
        <v>241.5</v>
      </c>
      <c r="R81" s="8"/>
      <c r="T81"/>
    </row>
    <row r="82" spans="2:20" ht="23.1" customHeight="1" x14ac:dyDescent="0.25">
      <c r="B82" s="24" t="s">
        <v>122</v>
      </c>
      <c r="C82" s="49">
        <f>'Avg Week KYENGERA-BUSEGA'!C82+'Avg Week BUSEGA-KYENGERA'!C82</f>
        <v>43.5</v>
      </c>
      <c r="D82" s="49">
        <f>'Avg Week KYENGERA-BUSEGA'!D82+'Avg Week BUSEGA-KYENGERA'!D82</f>
        <v>6</v>
      </c>
      <c r="E82" s="49">
        <f>'Avg Week KYENGERA-BUSEGA'!E82+'Avg Week BUSEGA-KYENGERA'!E82</f>
        <v>3</v>
      </c>
      <c r="F82" s="49">
        <f>'Avg Week KYENGERA-BUSEGA'!F82+'Avg Week BUSEGA-KYENGERA'!F82</f>
        <v>18.5</v>
      </c>
      <c r="G82" s="49">
        <f>'Avg Week KYENGERA-BUSEGA'!G82+'Avg Week BUSEGA-KYENGERA'!G82</f>
        <v>1</v>
      </c>
      <c r="H82" s="49">
        <f>'Avg Week KYENGERA-BUSEGA'!H82+'Avg Week BUSEGA-KYENGERA'!H82</f>
        <v>1.5</v>
      </c>
      <c r="I82" s="49">
        <f>'Avg Week KYENGERA-BUSEGA'!I82+'Avg Week BUSEGA-KYENGERA'!I82</f>
        <v>16</v>
      </c>
      <c r="J82" s="49">
        <f>'Avg Week KYENGERA-BUSEGA'!J82+'Avg Week BUSEGA-KYENGERA'!J82</f>
        <v>18</v>
      </c>
      <c r="K82" s="49">
        <f>'Avg Week KYENGERA-BUSEGA'!K82+'Avg Week BUSEGA-KYENGERA'!K82</f>
        <v>7</v>
      </c>
      <c r="L82" s="49">
        <f>'Avg Week KYENGERA-BUSEGA'!L82+'Avg Week BUSEGA-KYENGERA'!L82</f>
        <v>7</v>
      </c>
      <c r="M82" s="49">
        <f>'Avg Week KYENGERA-BUSEGA'!M82+'Avg Week BUSEGA-KYENGERA'!M82</f>
        <v>87.5</v>
      </c>
      <c r="N82" s="49">
        <f>'Avg Week KYENGERA-BUSEGA'!N82+'Avg Week BUSEGA-KYENGERA'!N82</f>
        <v>0</v>
      </c>
      <c r="O82" s="15">
        <f t="shared" si="35"/>
        <v>121.5</v>
      </c>
      <c r="P82" s="15">
        <f t="shared" si="36"/>
        <v>209</v>
      </c>
      <c r="R82" s="8"/>
      <c r="T82"/>
    </row>
    <row r="83" spans="2:20" ht="23.1" customHeight="1" x14ac:dyDescent="0.25">
      <c r="B83" s="23" t="s">
        <v>123</v>
      </c>
      <c r="C83" s="49">
        <f>'Avg Week KYENGERA-BUSEGA'!C83+'Avg Week BUSEGA-KYENGERA'!C83</f>
        <v>41</v>
      </c>
      <c r="D83" s="49">
        <f>'Avg Week KYENGERA-BUSEGA'!D83+'Avg Week BUSEGA-KYENGERA'!D83</f>
        <v>6</v>
      </c>
      <c r="E83" s="49">
        <f>'Avg Week KYENGERA-BUSEGA'!E83+'Avg Week BUSEGA-KYENGERA'!E83</f>
        <v>2.5</v>
      </c>
      <c r="F83" s="49">
        <f>'Avg Week KYENGERA-BUSEGA'!F83+'Avg Week BUSEGA-KYENGERA'!F83</f>
        <v>13.5</v>
      </c>
      <c r="G83" s="49">
        <f>'Avg Week KYENGERA-BUSEGA'!G83+'Avg Week BUSEGA-KYENGERA'!G83</f>
        <v>0.5</v>
      </c>
      <c r="H83" s="49">
        <f>'Avg Week KYENGERA-BUSEGA'!H83+'Avg Week BUSEGA-KYENGERA'!H83</f>
        <v>1</v>
      </c>
      <c r="I83" s="49">
        <f>'Avg Week KYENGERA-BUSEGA'!I83+'Avg Week BUSEGA-KYENGERA'!I83</f>
        <v>10</v>
      </c>
      <c r="J83" s="49">
        <f>'Avg Week KYENGERA-BUSEGA'!J83+'Avg Week BUSEGA-KYENGERA'!J83</f>
        <v>13</v>
      </c>
      <c r="K83" s="49">
        <f>'Avg Week KYENGERA-BUSEGA'!K83+'Avg Week BUSEGA-KYENGERA'!K83</f>
        <v>0.5</v>
      </c>
      <c r="L83" s="49">
        <f>'Avg Week KYENGERA-BUSEGA'!L83+'Avg Week BUSEGA-KYENGERA'!L83</f>
        <v>6</v>
      </c>
      <c r="M83" s="49">
        <f>'Avg Week KYENGERA-BUSEGA'!M83+'Avg Week BUSEGA-KYENGERA'!M83</f>
        <v>69.5</v>
      </c>
      <c r="N83" s="49">
        <f>'Avg Week KYENGERA-BUSEGA'!N83+'Avg Week BUSEGA-KYENGERA'!N83</f>
        <v>0</v>
      </c>
      <c r="O83" s="15">
        <f t="shared" si="35"/>
        <v>94</v>
      </c>
      <c r="P83" s="15">
        <f t="shared" si="36"/>
        <v>163.5</v>
      </c>
      <c r="R83" s="8"/>
      <c r="T83"/>
    </row>
    <row r="84" spans="2:20" ht="23.1" customHeight="1" x14ac:dyDescent="0.25">
      <c r="B84" s="25" t="s">
        <v>124</v>
      </c>
      <c r="C84" s="49">
        <f>'Avg Week KYENGERA-BUSEGA'!C84+'Avg Week BUSEGA-KYENGERA'!C84</f>
        <v>41.5</v>
      </c>
      <c r="D84" s="49">
        <f>'Avg Week KYENGERA-BUSEGA'!D84+'Avg Week BUSEGA-KYENGERA'!D84</f>
        <v>2.5</v>
      </c>
      <c r="E84" s="49">
        <f>'Avg Week KYENGERA-BUSEGA'!E84+'Avg Week BUSEGA-KYENGERA'!E84</f>
        <v>2</v>
      </c>
      <c r="F84" s="49">
        <f>'Avg Week KYENGERA-BUSEGA'!F84+'Avg Week BUSEGA-KYENGERA'!F84</f>
        <v>14</v>
      </c>
      <c r="G84" s="49">
        <f>'Avg Week KYENGERA-BUSEGA'!G84+'Avg Week BUSEGA-KYENGERA'!G84</f>
        <v>0</v>
      </c>
      <c r="H84" s="49">
        <f>'Avg Week KYENGERA-BUSEGA'!H84+'Avg Week BUSEGA-KYENGERA'!H84</f>
        <v>2</v>
      </c>
      <c r="I84" s="49">
        <f>'Avg Week KYENGERA-BUSEGA'!I84+'Avg Week BUSEGA-KYENGERA'!I84</f>
        <v>9.5</v>
      </c>
      <c r="J84" s="49">
        <f>'Avg Week KYENGERA-BUSEGA'!J84+'Avg Week BUSEGA-KYENGERA'!J84</f>
        <v>15.5</v>
      </c>
      <c r="K84" s="49">
        <f>'Avg Week KYENGERA-BUSEGA'!K84+'Avg Week BUSEGA-KYENGERA'!K84</f>
        <v>1.5</v>
      </c>
      <c r="L84" s="49">
        <f>'Avg Week KYENGERA-BUSEGA'!L84+'Avg Week BUSEGA-KYENGERA'!L84</f>
        <v>7</v>
      </c>
      <c r="M84" s="49">
        <f>'Avg Week KYENGERA-BUSEGA'!M84+'Avg Week BUSEGA-KYENGERA'!M84</f>
        <v>77</v>
      </c>
      <c r="N84" s="49">
        <f>'Avg Week KYENGERA-BUSEGA'!N84+'Avg Week BUSEGA-KYENGERA'!N84</f>
        <v>0</v>
      </c>
      <c r="O84" s="15">
        <f t="shared" si="35"/>
        <v>95.5</v>
      </c>
      <c r="P84" s="15">
        <f t="shared" si="36"/>
        <v>172.5</v>
      </c>
      <c r="R84" s="8"/>
      <c r="T84"/>
    </row>
    <row r="85" spans="2:20" ht="23.1" customHeight="1" x14ac:dyDescent="0.25">
      <c r="B85" s="23" t="s">
        <v>125</v>
      </c>
      <c r="C85" s="49">
        <f>'Avg Week KYENGERA-BUSEGA'!C85+'Avg Week BUSEGA-KYENGERA'!C85</f>
        <v>30</v>
      </c>
      <c r="D85" s="49">
        <f>'Avg Week KYENGERA-BUSEGA'!D85+'Avg Week BUSEGA-KYENGERA'!D85</f>
        <v>5</v>
      </c>
      <c r="E85" s="49">
        <f>'Avg Week KYENGERA-BUSEGA'!E85+'Avg Week BUSEGA-KYENGERA'!E85</f>
        <v>3</v>
      </c>
      <c r="F85" s="49">
        <f>'Avg Week KYENGERA-BUSEGA'!F85+'Avg Week BUSEGA-KYENGERA'!F85</f>
        <v>7.5</v>
      </c>
      <c r="G85" s="49">
        <f>'Avg Week KYENGERA-BUSEGA'!G85+'Avg Week BUSEGA-KYENGERA'!G85</f>
        <v>0.5</v>
      </c>
      <c r="H85" s="49">
        <f>'Avg Week KYENGERA-BUSEGA'!H85+'Avg Week BUSEGA-KYENGERA'!H85</f>
        <v>0</v>
      </c>
      <c r="I85" s="49">
        <f>'Avg Week KYENGERA-BUSEGA'!I85+'Avg Week BUSEGA-KYENGERA'!I85</f>
        <v>12.5</v>
      </c>
      <c r="J85" s="49">
        <f>'Avg Week KYENGERA-BUSEGA'!J85+'Avg Week BUSEGA-KYENGERA'!J85</f>
        <v>8.5</v>
      </c>
      <c r="K85" s="49">
        <f>'Avg Week KYENGERA-BUSEGA'!K85+'Avg Week BUSEGA-KYENGERA'!K85</f>
        <v>7.5</v>
      </c>
      <c r="L85" s="49">
        <f>'Avg Week KYENGERA-BUSEGA'!L85+'Avg Week BUSEGA-KYENGERA'!L85</f>
        <v>7</v>
      </c>
      <c r="M85" s="49">
        <f>'Avg Week KYENGERA-BUSEGA'!M85+'Avg Week BUSEGA-KYENGERA'!M85</f>
        <v>65.5</v>
      </c>
      <c r="N85" s="49">
        <f>'Avg Week KYENGERA-BUSEGA'!N85+'Avg Week BUSEGA-KYENGERA'!N85</f>
        <v>0</v>
      </c>
      <c r="O85" s="15">
        <f t="shared" si="35"/>
        <v>81.5</v>
      </c>
      <c r="P85" s="15">
        <f t="shared" si="36"/>
        <v>147</v>
      </c>
      <c r="R85" s="8"/>
      <c r="T85"/>
    </row>
    <row r="86" spans="2:20" ht="23.1" customHeight="1" x14ac:dyDescent="0.25">
      <c r="B86" s="24" t="s">
        <v>126</v>
      </c>
      <c r="C86" s="49">
        <f>'Avg Week KYENGERA-BUSEGA'!C86+'Avg Week BUSEGA-KYENGERA'!C86</f>
        <v>33</v>
      </c>
      <c r="D86" s="49">
        <f>'Avg Week KYENGERA-BUSEGA'!D86+'Avg Week BUSEGA-KYENGERA'!D86</f>
        <v>4.5</v>
      </c>
      <c r="E86" s="49">
        <f>'Avg Week KYENGERA-BUSEGA'!E86+'Avg Week BUSEGA-KYENGERA'!E86</f>
        <v>3.5</v>
      </c>
      <c r="F86" s="49">
        <f>'Avg Week KYENGERA-BUSEGA'!F86+'Avg Week BUSEGA-KYENGERA'!F86</f>
        <v>6</v>
      </c>
      <c r="G86" s="49">
        <f>'Avg Week KYENGERA-BUSEGA'!G86+'Avg Week BUSEGA-KYENGERA'!G86</f>
        <v>0.5</v>
      </c>
      <c r="H86" s="49">
        <f>'Avg Week KYENGERA-BUSEGA'!H86+'Avg Week BUSEGA-KYENGERA'!H86</f>
        <v>2.5</v>
      </c>
      <c r="I86" s="49">
        <f>'Avg Week KYENGERA-BUSEGA'!I86+'Avg Week BUSEGA-KYENGERA'!I86</f>
        <v>10</v>
      </c>
      <c r="J86" s="49">
        <f>'Avg Week KYENGERA-BUSEGA'!J86+'Avg Week BUSEGA-KYENGERA'!J86</f>
        <v>17</v>
      </c>
      <c r="K86" s="49">
        <f>'Avg Week KYENGERA-BUSEGA'!K86+'Avg Week BUSEGA-KYENGERA'!K86</f>
        <v>0.5</v>
      </c>
      <c r="L86" s="49">
        <f>'Avg Week KYENGERA-BUSEGA'!L86+'Avg Week BUSEGA-KYENGERA'!L86</f>
        <v>4</v>
      </c>
      <c r="M86" s="49">
        <f>'Avg Week KYENGERA-BUSEGA'!M86+'Avg Week BUSEGA-KYENGERA'!M86</f>
        <v>68.5</v>
      </c>
      <c r="N86" s="49">
        <f>'Avg Week KYENGERA-BUSEGA'!N86+'Avg Week BUSEGA-KYENGERA'!N86</f>
        <v>0</v>
      </c>
      <c r="O86" s="15">
        <f t="shared" si="35"/>
        <v>81.5</v>
      </c>
      <c r="P86" s="15">
        <f t="shared" si="36"/>
        <v>150</v>
      </c>
      <c r="R86" s="8"/>
      <c r="T86"/>
    </row>
    <row r="87" spans="2:20" ht="23.1" customHeight="1" x14ac:dyDescent="0.25">
      <c r="B87" s="23" t="s">
        <v>127</v>
      </c>
      <c r="C87" s="49">
        <f>'Avg Week KYENGERA-BUSEGA'!C87+'Avg Week BUSEGA-KYENGERA'!C87</f>
        <v>32</v>
      </c>
      <c r="D87" s="49">
        <f>'Avg Week KYENGERA-BUSEGA'!D87+'Avg Week BUSEGA-KYENGERA'!D87</f>
        <v>2</v>
      </c>
      <c r="E87" s="49">
        <f>'Avg Week KYENGERA-BUSEGA'!E87+'Avg Week BUSEGA-KYENGERA'!E87</f>
        <v>1</v>
      </c>
      <c r="F87" s="49">
        <f>'Avg Week KYENGERA-BUSEGA'!F87+'Avg Week BUSEGA-KYENGERA'!F87</f>
        <v>7.5</v>
      </c>
      <c r="G87" s="49">
        <f>'Avg Week KYENGERA-BUSEGA'!G87+'Avg Week BUSEGA-KYENGERA'!G87</f>
        <v>0</v>
      </c>
      <c r="H87" s="49">
        <f>'Avg Week KYENGERA-BUSEGA'!H87+'Avg Week BUSEGA-KYENGERA'!H87</f>
        <v>0.5</v>
      </c>
      <c r="I87" s="49">
        <f>'Avg Week KYENGERA-BUSEGA'!I87+'Avg Week BUSEGA-KYENGERA'!I87</f>
        <v>13</v>
      </c>
      <c r="J87" s="49">
        <f>'Avg Week KYENGERA-BUSEGA'!J87+'Avg Week BUSEGA-KYENGERA'!J87</f>
        <v>16</v>
      </c>
      <c r="K87" s="49">
        <f>'Avg Week KYENGERA-BUSEGA'!K87+'Avg Week BUSEGA-KYENGERA'!K87</f>
        <v>1.5</v>
      </c>
      <c r="L87" s="49">
        <f>'Avg Week KYENGERA-BUSEGA'!L87+'Avg Week BUSEGA-KYENGERA'!L87</f>
        <v>2.5</v>
      </c>
      <c r="M87" s="49">
        <f>'Avg Week KYENGERA-BUSEGA'!M87+'Avg Week BUSEGA-KYENGERA'!M87</f>
        <v>72.5</v>
      </c>
      <c r="N87" s="49">
        <f>'Avg Week KYENGERA-BUSEGA'!N87+'Avg Week BUSEGA-KYENGERA'!N87</f>
        <v>0</v>
      </c>
      <c r="O87" s="15">
        <f t="shared" si="35"/>
        <v>76</v>
      </c>
      <c r="P87" s="15">
        <f t="shared" si="36"/>
        <v>148.5</v>
      </c>
      <c r="R87" s="8"/>
      <c r="T87"/>
    </row>
    <row r="88" spans="2:20" ht="23.1" customHeight="1" x14ac:dyDescent="0.25">
      <c r="B88" s="25" t="s">
        <v>128</v>
      </c>
      <c r="C88" s="49">
        <f>'Avg Week KYENGERA-BUSEGA'!C88+'Avg Week BUSEGA-KYENGERA'!C88</f>
        <v>20</v>
      </c>
      <c r="D88" s="49">
        <f>'Avg Week KYENGERA-BUSEGA'!D88+'Avg Week BUSEGA-KYENGERA'!D88</f>
        <v>2.5</v>
      </c>
      <c r="E88" s="49">
        <f>'Avg Week KYENGERA-BUSEGA'!E88+'Avg Week BUSEGA-KYENGERA'!E88</f>
        <v>1.5</v>
      </c>
      <c r="F88" s="49">
        <f>'Avg Week KYENGERA-BUSEGA'!F88+'Avg Week BUSEGA-KYENGERA'!F88</f>
        <v>5</v>
      </c>
      <c r="G88" s="49">
        <f>'Avg Week KYENGERA-BUSEGA'!G88+'Avg Week BUSEGA-KYENGERA'!G88</f>
        <v>0.5</v>
      </c>
      <c r="H88" s="49">
        <f>'Avg Week KYENGERA-BUSEGA'!H88+'Avg Week BUSEGA-KYENGERA'!H88</f>
        <v>1.5</v>
      </c>
      <c r="I88" s="49">
        <f>'Avg Week KYENGERA-BUSEGA'!I88+'Avg Week BUSEGA-KYENGERA'!I88</f>
        <v>12.5</v>
      </c>
      <c r="J88" s="49">
        <f>'Avg Week KYENGERA-BUSEGA'!J88+'Avg Week BUSEGA-KYENGERA'!J88</f>
        <v>10.5</v>
      </c>
      <c r="K88" s="49">
        <f>'Avg Week KYENGERA-BUSEGA'!K88+'Avg Week BUSEGA-KYENGERA'!K88</f>
        <v>2</v>
      </c>
      <c r="L88" s="49">
        <f>'Avg Week KYENGERA-BUSEGA'!L88+'Avg Week BUSEGA-KYENGERA'!L88</f>
        <v>4</v>
      </c>
      <c r="M88" s="49">
        <f>'Avg Week KYENGERA-BUSEGA'!M88+'Avg Week BUSEGA-KYENGERA'!M88</f>
        <v>88.5</v>
      </c>
      <c r="N88" s="49">
        <f>'Avg Week KYENGERA-BUSEGA'!N88+'Avg Week BUSEGA-KYENGERA'!N88</f>
        <v>0</v>
      </c>
      <c r="O88" s="15">
        <f t="shared" si="35"/>
        <v>60</v>
      </c>
      <c r="P88" s="15">
        <f t="shared" si="36"/>
        <v>148.5</v>
      </c>
      <c r="R88" s="8"/>
      <c r="T88"/>
    </row>
    <row r="89" spans="2:20" ht="23.1" customHeight="1" x14ac:dyDescent="0.25">
      <c r="B89" s="23" t="s">
        <v>129</v>
      </c>
      <c r="C89" s="49">
        <f>'Avg Week KYENGERA-BUSEGA'!C89+'Avg Week BUSEGA-KYENGERA'!C89</f>
        <v>23.5</v>
      </c>
      <c r="D89" s="49">
        <f>'Avg Week KYENGERA-BUSEGA'!D89+'Avg Week BUSEGA-KYENGERA'!D89</f>
        <v>2.5</v>
      </c>
      <c r="E89" s="49">
        <f>'Avg Week KYENGERA-BUSEGA'!E89+'Avg Week BUSEGA-KYENGERA'!E89</f>
        <v>1.5</v>
      </c>
      <c r="F89" s="49">
        <f>'Avg Week KYENGERA-BUSEGA'!F89+'Avg Week BUSEGA-KYENGERA'!F89</f>
        <v>8</v>
      </c>
      <c r="G89" s="49">
        <f>'Avg Week KYENGERA-BUSEGA'!G89+'Avg Week BUSEGA-KYENGERA'!G89</f>
        <v>0</v>
      </c>
      <c r="H89" s="49">
        <f>'Avg Week KYENGERA-BUSEGA'!H89+'Avg Week BUSEGA-KYENGERA'!H89</f>
        <v>0.5</v>
      </c>
      <c r="I89" s="49">
        <f>'Avg Week KYENGERA-BUSEGA'!I89+'Avg Week BUSEGA-KYENGERA'!I89</f>
        <v>12.5</v>
      </c>
      <c r="J89" s="49">
        <f>'Avg Week KYENGERA-BUSEGA'!J89+'Avg Week BUSEGA-KYENGERA'!J89</f>
        <v>21</v>
      </c>
      <c r="K89" s="49">
        <f>'Avg Week KYENGERA-BUSEGA'!K89+'Avg Week BUSEGA-KYENGERA'!K89</f>
        <v>0.5</v>
      </c>
      <c r="L89" s="49">
        <f>'Avg Week KYENGERA-BUSEGA'!L89+'Avg Week BUSEGA-KYENGERA'!L89</f>
        <v>3.5</v>
      </c>
      <c r="M89" s="49">
        <f>'Avg Week KYENGERA-BUSEGA'!M89+'Avg Week BUSEGA-KYENGERA'!M89</f>
        <v>60</v>
      </c>
      <c r="N89" s="49">
        <f>'Avg Week KYENGERA-BUSEGA'!N89+'Avg Week BUSEGA-KYENGERA'!N89</f>
        <v>0</v>
      </c>
      <c r="O89" s="15">
        <f t="shared" si="35"/>
        <v>73.5</v>
      </c>
      <c r="P89" s="15">
        <f t="shared" si="36"/>
        <v>133.5</v>
      </c>
      <c r="R89" s="8"/>
      <c r="T89"/>
    </row>
    <row r="90" spans="2:20" ht="23.1" customHeight="1" x14ac:dyDescent="0.25">
      <c r="B90" s="24" t="s">
        <v>130</v>
      </c>
      <c r="C90" s="49">
        <f>'Avg Week KYENGERA-BUSEGA'!C90+'Avg Week BUSEGA-KYENGERA'!C90</f>
        <v>14.5</v>
      </c>
      <c r="D90" s="49">
        <f>'Avg Week KYENGERA-BUSEGA'!D90+'Avg Week BUSEGA-KYENGERA'!D90</f>
        <v>2.5</v>
      </c>
      <c r="E90" s="49">
        <f>'Avg Week KYENGERA-BUSEGA'!E90+'Avg Week BUSEGA-KYENGERA'!E90</f>
        <v>1.5</v>
      </c>
      <c r="F90" s="49">
        <f>'Avg Week KYENGERA-BUSEGA'!F90+'Avg Week BUSEGA-KYENGERA'!F90</f>
        <v>4.5</v>
      </c>
      <c r="G90" s="49">
        <f>'Avg Week KYENGERA-BUSEGA'!G90+'Avg Week BUSEGA-KYENGERA'!G90</f>
        <v>0</v>
      </c>
      <c r="H90" s="49">
        <f>'Avg Week KYENGERA-BUSEGA'!H90+'Avg Week BUSEGA-KYENGERA'!H90</f>
        <v>1</v>
      </c>
      <c r="I90" s="49">
        <f>'Avg Week KYENGERA-BUSEGA'!I90+'Avg Week BUSEGA-KYENGERA'!I90</f>
        <v>14.5</v>
      </c>
      <c r="J90" s="49">
        <f>'Avg Week KYENGERA-BUSEGA'!J90+'Avg Week BUSEGA-KYENGERA'!J90</f>
        <v>15.5</v>
      </c>
      <c r="K90" s="49">
        <f>'Avg Week KYENGERA-BUSEGA'!K90+'Avg Week BUSEGA-KYENGERA'!K90</f>
        <v>3.5</v>
      </c>
      <c r="L90" s="49">
        <f>'Avg Week KYENGERA-BUSEGA'!L90+'Avg Week BUSEGA-KYENGERA'!L90</f>
        <v>4.5</v>
      </c>
      <c r="M90" s="49">
        <f>'Avg Week KYENGERA-BUSEGA'!M90+'Avg Week BUSEGA-KYENGERA'!M90</f>
        <v>73.5</v>
      </c>
      <c r="N90" s="49">
        <f>'Avg Week KYENGERA-BUSEGA'!N90+'Avg Week BUSEGA-KYENGERA'!N90</f>
        <v>0</v>
      </c>
      <c r="O90" s="15">
        <f t="shared" si="35"/>
        <v>62</v>
      </c>
      <c r="P90" s="15">
        <f t="shared" si="36"/>
        <v>135.5</v>
      </c>
      <c r="R90" s="8"/>
      <c r="T90"/>
    </row>
    <row r="91" spans="2:20" ht="23.1" customHeight="1" x14ac:dyDescent="0.25">
      <c r="B91" s="23" t="s">
        <v>131</v>
      </c>
      <c r="C91" s="49">
        <f>'Avg Week KYENGERA-BUSEGA'!C91+'Avg Week BUSEGA-KYENGERA'!C91</f>
        <v>17.5</v>
      </c>
      <c r="D91" s="49">
        <f>'Avg Week KYENGERA-BUSEGA'!D91+'Avg Week BUSEGA-KYENGERA'!D91</f>
        <v>4</v>
      </c>
      <c r="E91" s="49">
        <f>'Avg Week KYENGERA-BUSEGA'!E91+'Avg Week BUSEGA-KYENGERA'!E91</f>
        <v>1.5</v>
      </c>
      <c r="F91" s="49">
        <f>'Avg Week KYENGERA-BUSEGA'!F91+'Avg Week BUSEGA-KYENGERA'!F91</f>
        <v>3</v>
      </c>
      <c r="G91" s="49">
        <f>'Avg Week KYENGERA-BUSEGA'!G91+'Avg Week BUSEGA-KYENGERA'!G91</f>
        <v>0.5</v>
      </c>
      <c r="H91" s="49">
        <f>'Avg Week KYENGERA-BUSEGA'!H91+'Avg Week BUSEGA-KYENGERA'!H91</f>
        <v>3.5</v>
      </c>
      <c r="I91" s="49">
        <f>'Avg Week KYENGERA-BUSEGA'!I91+'Avg Week BUSEGA-KYENGERA'!I91</f>
        <v>14</v>
      </c>
      <c r="J91" s="49">
        <f>'Avg Week KYENGERA-BUSEGA'!J91+'Avg Week BUSEGA-KYENGERA'!J91</f>
        <v>19</v>
      </c>
      <c r="K91" s="49">
        <f>'Avg Week KYENGERA-BUSEGA'!K91+'Avg Week BUSEGA-KYENGERA'!K91</f>
        <v>2</v>
      </c>
      <c r="L91" s="49">
        <f>'Avg Week KYENGERA-BUSEGA'!L91+'Avg Week BUSEGA-KYENGERA'!L91</f>
        <v>4.5</v>
      </c>
      <c r="M91" s="49">
        <f>'Avg Week KYENGERA-BUSEGA'!M91+'Avg Week BUSEGA-KYENGERA'!M91</f>
        <v>57.5</v>
      </c>
      <c r="N91" s="49">
        <f>'Avg Week KYENGERA-BUSEGA'!N91+'Avg Week BUSEGA-KYENGERA'!N91</f>
        <v>0</v>
      </c>
      <c r="O91" s="15">
        <f t="shared" si="35"/>
        <v>69.5</v>
      </c>
      <c r="P91" s="15">
        <f t="shared" si="36"/>
        <v>127</v>
      </c>
      <c r="R91" s="8"/>
      <c r="T91"/>
    </row>
    <row r="92" spans="2:20" ht="23.1" customHeight="1" x14ac:dyDescent="0.25">
      <c r="B92" s="25" t="s">
        <v>132</v>
      </c>
      <c r="C92" s="49">
        <f>'Avg Week KYENGERA-BUSEGA'!C92+'Avg Week BUSEGA-KYENGERA'!C92</f>
        <v>25.5</v>
      </c>
      <c r="D92" s="49">
        <f>'Avg Week KYENGERA-BUSEGA'!D92+'Avg Week BUSEGA-KYENGERA'!D92</f>
        <v>4</v>
      </c>
      <c r="E92" s="49">
        <f>'Avg Week KYENGERA-BUSEGA'!E92+'Avg Week BUSEGA-KYENGERA'!E92</f>
        <v>1.5</v>
      </c>
      <c r="F92" s="49">
        <f>'Avg Week KYENGERA-BUSEGA'!F92+'Avg Week BUSEGA-KYENGERA'!F92</f>
        <v>3</v>
      </c>
      <c r="G92" s="49">
        <f>'Avg Week KYENGERA-BUSEGA'!G92+'Avg Week BUSEGA-KYENGERA'!G92</f>
        <v>1.5</v>
      </c>
      <c r="H92" s="49">
        <f>'Avg Week KYENGERA-BUSEGA'!H92+'Avg Week BUSEGA-KYENGERA'!H92</f>
        <v>2.5</v>
      </c>
      <c r="I92" s="49">
        <f>'Avg Week KYENGERA-BUSEGA'!I92+'Avg Week BUSEGA-KYENGERA'!I92</f>
        <v>10.5</v>
      </c>
      <c r="J92" s="49">
        <f>'Avg Week KYENGERA-BUSEGA'!J92+'Avg Week BUSEGA-KYENGERA'!J92</f>
        <v>9.5</v>
      </c>
      <c r="K92" s="49">
        <f>'Avg Week KYENGERA-BUSEGA'!K92+'Avg Week BUSEGA-KYENGERA'!K92</f>
        <v>1</v>
      </c>
      <c r="L92" s="49">
        <f>'Avg Week KYENGERA-BUSEGA'!L92+'Avg Week BUSEGA-KYENGERA'!L92</f>
        <v>4</v>
      </c>
      <c r="M92" s="49">
        <f>'Avg Week KYENGERA-BUSEGA'!M92+'Avg Week BUSEGA-KYENGERA'!M92</f>
        <v>66</v>
      </c>
      <c r="N92" s="49">
        <f>'Avg Week KYENGERA-BUSEGA'!N92+'Avg Week BUSEGA-KYENGERA'!N92</f>
        <v>0</v>
      </c>
      <c r="O92" s="15">
        <f t="shared" si="35"/>
        <v>63</v>
      </c>
      <c r="P92" s="15">
        <f t="shared" si="36"/>
        <v>129</v>
      </c>
      <c r="R92" s="8"/>
      <c r="T92"/>
    </row>
    <row r="93" spans="2:20" ht="23.1" customHeight="1" x14ac:dyDescent="0.25">
      <c r="B93" s="23" t="s">
        <v>133</v>
      </c>
      <c r="C93" s="49">
        <f>'Avg Week KYENGERA-BUSEGA'!C93+'Avg Week BUSEGA-KYENGERA'!C93</f>
        <v>18.5</v>
      </c>
      <c r="D93" s="49">
        <f>'Avg Week KYENGERA-BUSEGA'!D93+'Avg Week BUSEGA-KYENGERA'!D93</f>
        <v>2</v>
      </c>
      <c r="E93" s="49">
        <f>'Avg Week KYENGERA-BUSEGA'!E93+'Avg Week BUSEGA-KYENGERA'!E93</f>
        <v>3</v>
      </c>
      <c r="F93" s="49">
        <f>'Avg Week KYENGERA-BUSEGA'!F93+'Avg Week BUSEGA-KYENGERA'!F93</f>
        <v>4</v>
      </c>
      <c r="G93" s="49">
        <f>'Avg Week KYENGERA-BUSEGA'!G93+'Avg Week BUSEGA-KYENGERA'!G93</f>
        <v>0.5</v>
      </c>
      <c r="H93" s="49">
        <f>'Avg Week KYENGERA-BUSEGA'!H93+'Avg Week BUSEGA-KYENGERA'!H93</f>
        <v>1</v>
      </c>
      <c r="I93" s="49">
        <f>'Avg Week KYENGERA-BUSEGA'!I93+'Avg Week BUSEGA-KYENGERA'!I93</f>
        <v>10.5</v>
      </c>
      <c r="J93" s="49">
        <f>'Avg Week KYENGERA-BUSEGA'!J93+'Avg Week BUSEGA-KYENGERA'!J93</f>
        <v>20.5</v>
      </c>
      <c r="K93" s="49">
        <f>'Avg Week KYENGERA-BUSEGA'!K93+'Avg Week BUSEGA-KYENGERA'!K93</f>
        <v>0</v>
      </c>
      <c r="L93" s="49">
        <f>'Avg Week KYENGERA-BUSEGA'!L93+'Avg Week BUSEGA-KYENGERA'!L93</f>
        <v>2.5</v>
      </c>
      <c r="M93" s="49">
        <f>'Avg Week KYENGERA-BUSEGA'!M93+'Avg Week BUSEGA-KYENGERA'!M93</f>
        <v>64</v>
      </c>
      <c r="N93" s="49">
        <f>'Avg Week KYENGERA-BUSEGA'!N93+'Avg Week BUSEGA-KYENGERA'!N93</f>
        <v>0</v>
      </c>
      <c r="O93" s="15">
        <f t="shared" si="35"/>
        <v>62.5</v>
      </c>
      <c r="P93" s="15">
        <f t="shared" si="36"/>
        <v>126.5</v>
      </c>
      <c r="R93" s="8"/>
      <c r="T93"/>
    </row>
    <row r="94" spans="2:20" ht="23.1" customHeight="1" x14ac:dyDescent="0.25">
      <c r="B94" s="24" t="s">
        <v>134</v>
      </c>
      <c r="C94" s="49">
        <f>'Avg Week KYENGERA-BUSEGA'!C94+'Avg Week BUSEGA-KYENGERA'!C94</f>
        <v>28</v>
      </c>
      <c r="D94" s="49">
        <f>'Avg Week KYENGERA-BUSEGA'!D94+'Avg Week BUSEGA-KYENGERA'!D94</f>
        <v>0.5</v>
      </c>
      <c r="E94" s="49">
        <f>'Avg Week KYENGERA-BUSEGA'!E94+'Avg Week BUSEGA-KYENGERA'!E94</f>
        <v>1</v>
      </c>
      <c r="F94" s="49">
        <f>'Avg Week KYENGERA-BUSEGA'!F94+'Avg Week BUSEGA-KYENGERA'!F94</f>
        <v>4.5</v>
      </c>
      <c r="G94" s="49">
        <f>'Avg Week KYENGERA-BUSEGA'!G94+'Avg Week BUSEGA-KYENGERA'!G94</f>
        <v>0.5</v>
      </c>
      <c r="H94" s="49">
        <f>'Avg Week KYENGERA-BUSEGA'!H94+'Avg Week BUSEGA-KYENGERA'!H94</f>
        <v>4</v>
      </c>
      <c r="I94" s="49">
        <f>'Avg Week KYENGERA-BUSEGA'!I94+'Avg Week BUSEGA-KYENGERA'!I94</f>
        <v>7</v>
      </c>
      <c r="J94" s="49">
        <f>'Avg Week KYENGERA-BUSEGA'!J94+'Avg Week BUSEGA-KYENGERA'!J94</f>
        <v>13</v>
      </c>
      <c r="K94" s="49">
        <f>'Avg Week KYENGERA-BUSEGA'!K94+'Avg Week BUSEGA-KYENGERA'!K94</f>
        <v>0.5</v>
      </c>
      <c r="L94" s="49">
        <f>'Avg Week KYENGERA-BUSEGA'!L94+'Avg Week BUSEGA-KYENGERA'!L94</f>
        <v>4</v>
      </c>
      <c r="M94" s="49">
        <f>'Avg Week KYENGERA-BUSEGA'!M94+'Avg Week BUSEGA-KYENGERA'!M94</f>
        <v>75</v>
      </c>
      <c r="N94" s="49">
        <f>'Avg Week KYENGERA-BUSEGA'!N94+'Avg Week BUSEGA-KYENGERA'!N94</f>
        <v>0</v>
      </c>
      <c r="O94" s="15">
        <f t="shared" si="35"/>
        <v>63</v>
      </c>
      <c r="P94" s="15">
        <f t="shared" si="36"/>
        <v>138</v>
      </c>
      <c r="R94" s="8"/>
      <c r="T94"/>
    </row>
    <row r="95" spans="2:20" ht="23.1" customHeight="1" x14ac:dyDescent="0.25">
      <c r="B95" s="23" t="s">
        <v>135</v>
      </c>
      <c r="C95" s="49">
        <f>'Avg Week KYENGERA-BUSEGA'!C95+'Avg Week BUSEGA-KYENGERA'!C95</f>
        <v>25</v>
      </c>
      <c r="D95" s="49">
        <f>'Avg Week KYENGERA-BUSEGA'!D95+'Avg Week BUSEGA-KYENGERA'!D95</f>
        <v>2</v>
      </c>
      <c r="E95" s="49">
        <f>'Avg Week KYENGERA-BUSEGA'!E95+'Avg Week BUSEGA-KYENGERA'!E95</f>
        <v>1.5</v>
      </c>
      <c r="F95" s="49">
        <f>'Avg Week KYENGERA-BUSEGA'!F95+'Avg Week BUSEGA-KYENGERA'!F95</f>
        <v>5</v>
      </c>
      <c r="G95" s="49">
        <f>'Avg Week KYENGERA-BUSEGA'!G95+'Avg Week BUSEGA-KYENGERA'!G95</f>
        <v>1</v>
      </c>
      <c r="H95" s="49">
        <f>'Avg Week KYENGERA-BUSEGA'!H95+'Avg Week BUSEGA-KYENGERA'!H95</f>
        <v>4.5</v>
      </c>
      <c r="I95" s="49">
        <f>'Avg Week KYENGERA-BUSEGA'!I95+'Avg Week BUSEGA-KYENGERA'!I95</f>
        <v>11.5</v>
      </c>
      <c r="J95" s="49">
        <f>'Avg Week KYENGERA-BUSEGA'!J95+'Avg Week BUSEGA-KYENGERA'!J95</f>
        <v>19.5</v>
      </c>
      <c r="K95" s="49">
        <f>'Avg Week KYENGERA-BUSEGA'!K95+'Avg Week BUSEGA-KYENGERA'!K95</f>
        <v>1</v>
      </c>
      <c r="L95" s="49">
        <f>'Avg Week KYENGERA-BUSEGA'!L95+'Avg Week BUSEGA-KYENGERA'!L95</f>
        <v>3</v>
      </c>
      <c r="M95" s="49">
        <f>'Avg Week KYENGERA-BUSEGA'!M95+'Avg Week BUSEGA-KYENGERA'!M95</f>
        <v>49.5</v>
      </c>
      <c r="N95" s="49">
        <f>'Avg Week KYENGERA-BUSEGA'!N95+'Avg Week BUSEGA-KYENGERA'!N95</f>
        <v>0</v>
      </c>
      <c r="O95" s="15">
        <f t="shared" si="35"/>
        <v>74</v>
      </c>
      <c r="P95" s="15">
        <f t="shared" si="36"/>
        <v>123.5</v>
      </c>
      <c r="R95" s="8"/>
      <c r="T95"/>
    </row>
    <row r="96" spans="2:20" ht="23.1" customHeight="1" x14ac:dyDescent="0.25">
      <c r="B96" s="25" t="s">
        <v>136</v>
      </c>
      <c r="C96" s="49">
        <f>'Avg Week KYENGERA-BUSEGA'!C96+'Avg Week BUSEGA-KYENGERA'!C96</f>
        <v>24</v>
      </c>
      <c r="D96" s="49">
        <f>'Avg Week KYENGERA-BUSEGA'!D96+'Avg Week BUSEGA-KYENGERA'!D96</f>
        <v>3.5</v>
      </c>
      <c r="E96" s="49">
        <f>'Avg Week KYENGERA-BUSEGA'!E96+'Avg Week BUSEGA-KYENGERA'!E96</f>
        <v>3</v>
      </c>
      <c r="F96" s="49">
        <f>'Avg Week KYENGERA-BUSEGA'!F96+'Avg Week BUSEGA-KYENGERA'!F96</f>
        <v>6</v>
      </c>
      <c r="G96" s="49">
        <f>'Avg Week KYENGERA-BUSEGA'!G96+'Avg Week BUSEGA-KYENGERA'!G96</f>
        <v>2.5</v>
      </c>
      <c r="H96" s="49">
        <f>'Avg Week KYENGERA-BUSEGA'!H96+'Avg Week BUSEGA-KYENGERA'!H96</f>
        <v>2</v>
      </c>
      <c r="I96" s="49">
        <f>'Avg Week KYENGERA-BUSEGA'!I96+'Avg Week BUSEGA-KYENGERA'!I96</f>
        <v>10.5</v>
      </c>
      <c r="J96" s="49">
        <f>'Avg Week KYENGERA-BUSEGA'!J96+'Avg Week BUSEGA-KYENGERA'!J96</f>
        <v>16.5</v>
      </c>
      <c r="K96" s="49">
        <f>'Avg Week KYENGERA-BUSEGA'!K96+'Avg Week BUSEGA-KYENGERA'!K96</f>
        <v>1</v>
      </c>
      <c r="L96" s="49">
        <f>'Avg Week KYENGERA-BUSEGA'!L96+'Avg Week BUSEGA-KYENGERA'!L96</f>
        <v>3</v>
      </c>
      <c r="M96" s="49">
        <f>'Avg Week KYENGERA-BUSEGA'!M96+'Avg Week BUSEGA-KYENGERA'!M96</f>
        <v>65</v>
      </c>
      <c r="N96" s="49">
        <f>'Avg Week KYENGERA-BUSEGA'!N96+'Avg Week BUSEGA-KYENGERA'!N96</f>
        <v>0</v>
      </c>
      <c r="O96" s="15">
        <f t="shared" si="35"/>
        <v>72</v>
      </c>
      <c r="P96" s="15">
        <f t="shared" si="36"/>
        <v>137</v>
      </c>
      <c r="R96" s="8"/>
      <c r="T96"/>
    </row>
    <row r="97" spans="2:20" ht="23.1" customHeight="1" x14ac:dyDescent="0.25">
      <c r="B97" s="23" t="s">
        <v>137</v>
      </c>
      <c r="C97" s="49">
        <f>'Avg Week KYENGERA-BUSEGA'!C97+'Avg Week BUSEGA-KYENGERA'!C97</f>
        <v>21</v>
      </c>
      <c r="D97" s="49">
        <f>'Avg Week KYENGERA-BUSEGA'!D97+'Avg Week BUSEGA-KYENGERA'!D97</f>
        <v>2</v>
      </c>
      <c r="E97" s="49">
        <f>'Avg Week KYENGERA-BUSEGA'!E97+'Avg Week BUSEGA-KYENGERA'!E97</f>
        <v>1</v>
      </c>
      <c r="F97" s="49">
        <f>'Avg Week KYENGERA-BUSEGA'!F97+'Avg Week BUSEGA-KYENGERA'!F97</f>
        <v>10.5</v>
      </c>
      <c r="G97" s="49">
        <f>'Avg Week KYENGERA-BUSEGA'!G97+'Avg Week BUSEGA-KYENGERA'!G97</f>
        <v>1</v>
      </c>
      <c r="H97" s="49">
        <f>'Avg Week KYENGERA-BUSEGA'!H97+'Avg Week BUSEGA-KYENGERA'!H97</f>
        <v>2.5</v>
      </c>
      <c r="I97" s="49">
        <f>'Avg Week KYENGERA-BUSEGA'!I97+'Avg Week BUSEGA-KYENGERA'!I97</f>
        <v>12.5</v>
      </c>
      <c r="J97" s="49">
        <f>'Avg Week KYENGERA-BUSEGA'!J97+'Avg Week BUSEGA-KYENGERA'!J97</f>
        <v>11.5</v>
      </c>
      <c r="K97" s="49">
        <f>'Avg Week KYENGERA-BUSEGA'!K97+'Avg Week BUSEGA-KYENGERA'!K97</f>
        <v>2.5</v>
      </c>
      <c r="L97" s="49">
        <f>'Avg Week KYENGERA-BUSEGA'!L97+'Avg Week BUSEGA-KYENGERA'!L97</f>
        <v>6</v>
      </c>
      <c r="M97" s="49">
        <f>'Avg Week KYENGERA-BUSEGA'!M97+'Avg Week BUSEGA-KYENGERA'!M97</f>
        <v>57.5</v>
      </c>
      <c r="N97" s="49">
        <f>'Avg Week KYENGERA-BUSEGA'!N97+'Avg Week BUSEGA-KYENGERA'!N97</f>
        <v>0</v>
      </c>
      <c r="O97" s="15">
        <f t="shared" si="35"/>
        <v>70.5</v>
      </c>
      <c r="P97" s="15">
        <f t="shared" si="36"/>
        <v>128</v>
      </c>
      <c r="R97" s="8"/>
      <c r="T97"/>
    </row>
    <row r="98" spans="2:20" ht="23.1" customHeight="1" x14ac:dyDescent="0.25">
      <c r="B98" s="24" t="s">
        <v>138</v>
      </c>
      <c r="C98" s="49">
        <f>'Avg Week KYENGERA-BUSEGA'!C98+'Avg Week BUSEGA-KYENGERA'!C98</f>
        <v>23.5</v>
      </c>
      <c r="D98" s="49">
        <f>'Avg Week KYENGERA-BUSEGA'!D98+'Avg Week BUSEGA-KYENGERA'!D98</f>
        <v>2.5</v>
      </c>
      <c r="E98" s="49">
        <f>'Avg Week KYENGERA-BUSEGA'!E98+'Avg Week BUSEGA-KYENGERA'!E98</f>
        <v>0</v>
      </c>
      <c r="F98" s="49">
        <f>'Avg Week KYENGERA-BUSEGA'!F98+'Avg Week BUSEGA-KYENGERA'!F98</f>
        <v>15</v>
      </c>
      <c r="G98" s="49">
        <f>'Avg Week KYENGERA-BUSEGA'!G98+'Avg Week BUSEGA-KYENGERA'!G98</f>
        <v>2</v>
      </c>
      <c r="H98" s="49">
        <f>'Avg Week KYENGERA-BUSEGA'!H98+'Avg Week BUSEGA-KYENGERA'!H98</f>
        <v>2.5</v>
      </c>
      <c r="I98" s="49">
        <f>'Avg Week KYENGERA-BUSEGA'!I98+'Avg Week BUSEGA-KYENGERA'!I98</f>
        <v>12.5</v>
      </c>
      <c r="J98" s="49">
        <f>'Avg Week KYENGERA-BUSEGA'!J98+'Avg Week BUSEGA-KYENGERA'!J98</f>
        <v>17.5</v>
      </c>
      <c r="K98" s="49">
        <f>'Avg Week KYENGERA-BUSEGA'!K98+'Avg Week BUSEGA-KYENGERA'!K98</f>
        <v>2</v>
      </c>
      <c r="L98" s="49">
        <f>'Avg Week KYENGERA-BUSEGA'!L98+'Avg Week BUSEGA-KYENGERA'!L98</f>
        <v>5.5</v>
      </c>
      <c r="M98" s="49">
        <f>'Avg Week KYENGERA-BUSEGA'!M98+'Avg Week BUSEGA-KYENGERA'!M98</f>
        <v>74.5</v>
      </c>
      <c r="N98" s="49">
        <f>'Avg Week KYENGERA-BUSEGA'!N98+'Avg Week BUSEGA-KYENGERA'!N98</f>
        <v>0</v>
      </c>
      <c r="O98" s="15">
        <f t="shared" si="35"/>
        <v>83</v>
      </c>
      <c r="P98" s="15">
        <f t="shared" si="36"/>
        <v>157.5</v>
      </c>
      <c r="R98" s="8"/>
      <c r="T98"/>
    </row>
    <row r="99" spans="2:20" ht="23.1" customHeight="1" x14ac:dyDescent="0.25">
      <c r="B99" s="23" t="s">
        <v>139</v>
      </c>
      <c r="C99" s="49">
        <f>'Avg Week KYENGERA-BUSEGA'!C99+'Avg Week BUSEGA-KYENGERA'!C99</f>
        <v>26</v>
      </c>
      <c r="D99" s="49">
        <f>'Avg Week KYENGERA-BUSEGA'!D99+'Avg Week BUSEGA-KYENGERA'!D99</f>
        <v>3.5</v>
      </c>
      <c r="E99" s="49">
        <f>'Avg Week KYENGERA-BUSEGA'!E99+'Avg Week BUSEGA-KYENGERA'!E99</f>
        <v>4</v>
      </c>
      <c r="F99" s="49">
        <f>'Avg Week KYENGERA-BUSEGA'!F99+'Avg Week BUSEGA-KYENGERA'!F99</f>
        <v>26.5</v>
      </c>
      <c r="G99" s="49">
        <f>'Avg Week KYENGERA-BUSEGA'!G99+'Avg Week BUSEGA-KYENGERA'!G99</f>
        <v>0.5</v>
      </c>
      <c r="H99" s="49">
        <f>'Avg Week KYENGERA-BUSEGA'!H99+'Avg Week BUSEGA-KYENGERA'!H99</f>
        <v>2</v>
      </c>
      <c r="I99" s="49">
        <f>'Avg Week KYENGERA-BUSEGA'!I99+'Avg Week BUSEGA-KYENGERA'!I99</f>
        <v>14.5</v>
      </c>
      <c r="J99" s="49">
        <f>'Avg Week KYENGERA-BUSEGA'!J99+'Avg Week BUSEGA-KYENGERA'!J99</f>
        <v>13</v>
      </c>
      <c r="K99" s="49">
        <f>'Avg Week KYENGERA-BUSEGA'!K99+'Avg Week BUSEGA-KYENGERA'!K99</f>
        <v>2.5</v>
      </c>
      <c r="L99" s="49">
        <f>'Avg Week KYENGERA-BUSEGA'!L99+'Avg Week BUSEGA-KYENGERA'!L99</f>
        <v>3.5</v>
      </c>
      <c r="M99" s="49">
        <f>'Avg Week KYENGERA-BUSEGA'!M99+'Avg Week BUSEGA-KYENGERA'!M99</f>
        <v>85</v>
      </c>
      <c r="N99" s="49">
        <f>'Avg Week KYENGERA-BUSEGA'!N99+'Avg Week BUSEGA-KYENGERA'!N99</f>
        <v>0</v>
      </c>
      <c r="O99" s="15">
        <f t="shared" si="35"/>
        <v>96</v>
      </c>
      <c r="P99" s="15">
        <f t="shared" si="36"/>
        <v>181</v>
      </c>
      <c r="R99" s="8"/>
      <c r="T99"/>
    </row>
    <row r="100" spans="2:20" ht="23.1" customHeight="1" x14ac:dyDescent="0.25">
      <c r="B100" s="25" t="s">
        <v>140</v>
      </c>
      <c r="C100" s="49">
        <f>'Avg Week KYENGERA-BUSEGA'!C100+'Avg Week BUSEGA-KYENGERA'!C100</f>
        <v>31.5</v>
      </c>
      <c r="D100" s="49">
        <f>'Avg Week KYENGERA-BUSEGA'!D100+'Avg Week BUSEGA-KYENGERA'!D100</f>
        <v>6</v>
      </c>
      <c r="E100" s="49">
        <f>'Avg Week KYENGERA-BUSEGA'!E100+'Avg Week BUSEGA-KYENGERA'!E100</f>
        <v>2.5</v>
      </c>
      <c r="F100" s="49">
        <f>'Avg Week KYENGERA-BUSEGA'!F100+'Avg Week BUSEGA-KYENGERA'!F100</f>
        <v>40</v>
      </c>
      <c r="G100" s="49">
        <f>'Avg Week KYENGERA-BUSEGA'!G100+'Avg Week BUSEGA-KYENGERA'!G100</f>
        <v>1.5</v>
      </c>
      <c r="H100" s="49">
        <f>'Avg Week KYENGERA-BUSEGA'!H100+'Avg Week BUSEGA-KYENGERA'!H100</f>
        <v>4</v>
      </c>
      <c r="I100" s="49">
        <f>'Avg Week KYENGERA-BUSEGA'!I100+'Avg Week BUSEGA-KYENGERA'!I100</f>
        <v>13.5</v>
      </c>
      <c r="J100" s="49">
        <f>'Avg Week KYENGERA-BUSEGA'!J100+'Avg Week BUSEGA-KYENGERA'!J100</f>
        <v>17</v>
      </c>
      <c r="K100" s="49">
        <f>'Avg Week KYENGERA-BUSEGA'!K100+'Avg Week BUSEGA-KYENGERA'!K100</f>
        <v>0.5</v>
      </c>
      <c r="L100" s="49">
        <f>'Avg Week KYENGERA-BUSEGA'!L100+'Avg Week BUSEGA-KYENGERA'!L100</f>
        <v>6</v>
      </c>
      <c r="M100" s="49">
        <f>'Avg Week KYENGERA-BUSEGA'!M100+'Avg Week BUSEGA-KYENGERA'!M100</f>
        <v>84</v>
      </c>
      <c r="N100" s="49">
        <f>'Avg Week KYENGERA-BUSEGA'!N100+'Avg Week BUSEGA-KYENGERA'!N100</f>
        <v>0</v>
      </c>
      <c r="O100" s="15">
        <f t="shared" si="35"/>
        <v>122.5</v>
      </c>
      <c r="P100" s="15">
        <f t="shared" si="36"/>
        <v>206.5</v>
      </c>
      <c r="R100" s="8"/>
      <c r="T100"/>
    </row>
    <row r="101" spans="2:20" ht="23.1" customHeight="1" x14ac:dyDescent="0.25">
      <c r="B101" s="23" t="s">
        <v>141</v>
      </c>
      <c r="C101" s="49">
        <f>'Avg Week KYENGERA-BUSEGA'!C101+'Avg Week BUSEGA-KYENGERA'!C101</f>
        <v>28</v>
      </c>
      <c r="D101" s="49">
        <f>'Avg Week KYENGERA-BUSEGA'!D101+'Avg Week BUSEGA-KYENGERA'!D101</f>
        <v>4</v>
      </c>
      <c r="E101" s="49">
        <f>'Avg Week KYENGERA-BUSEGA'!E101+'Avg Week BUSEGA-KYENGERA'!E101</f>
        <v>7</v>
      </c>
      <c r="F101" s="49">
        <f>'Avg Week KYENGERA-BUSEGA'!F101+'Avg Week BUSEGA-KYENGERA'!F101</f>
        <v>39</v>
      </c>
      <c r="G101" s="49">
        <f>'Avg Week KYENGERA-BUSEGA'!G101+'Avg Week BUSEGA-KYENGERA'!G101</f>
        <v>1</v>
      </c>
      <c r="H101" s="49">
        <f>'Avg Week KYENGERA-BUSEGA'!H101+'Avg Week BUSEGA-KYENGERA'!H101</f>
        <v>1.5</v>
      </c>
      <c r="I101" s="49">
        <f>'Avg Week KYENGERA-BUSEGA'!I101+'Avg Week BUSEGA-KYENGERA'!I101</f>
        <v>18.5</v>
      </c>
      <c r="J101" s="49">
        <f>'Avg Week KYENGERA-BUSEGA'!J101+'Avg Week BUSEGA-KYENGERA'!J101</f>
        <v>11</v>
      </c>
      <c r="K101" s="49">
        <f>'Avg Week KYENGERA-BUSEGA'!K101+'Avg Week BUSEGA-KYENGERA'!K101</f>
        <v>3.5</v>
      </c>
      <c r="L101" s="49">
        <f>'Avg Week KYENGERA-BUSEGA'!L101+'Avg Week BUSEGA-KYENGERA'!L101</f>
        <v>7.5</v>
      </c>
      <c r="M101" s="49">
        <f>'Avg Week KYENGERA-BUSEGA'!M101+'Avg Week BUSEGA-KYENGERA'!M101</f>
        <v>96</v>
      </c>
      <c r="N101" s="49">
        <f>'Avg Week KYENGERA-BUSEGA'!N101+'Avg Week BUSEGA-KYENGERA'!N101</f>
        <v>0</v>
      </c>
      <c r="O101" s="15">
        <f t="shared" si="35"/>
        <v>121</v>
      </c>
      <c r="P101" s="15">
        <f t="shared" si="36"/>
        <v>217</v>
      </c>
      <c r="R101" s="8"/>
      <c r="T101"/>
    </row>
    <row r="102" spans="2:20" ht="23.1" customHeight="1" x14ac:dyDescent="0.25">
      <c r="B102" s="24" t="s">
        <v>142</v>
      </c>
      <c r="C102" s="49">
        <f>'Avg Week KYENGERA-BUSEGA'!C102+'Avg Week BUSEGA-KYENGERA'!C102</f>
        <v>53</v>
      </c>
      <c r="D102" s="49">
        <f>'Avg Week KYENGERA-BUSEGA'!D102+'Avg Week BUSEGA-KYENGERA'!D102</f>
        <v>5.5</v>
      </c>
      <c r="E102" s="49">
        <f>'Avg Week KYENGERA-BUSEGA'!E102+'Avg Week BUSEGA-KYENGERA'!E102</f>
        <v>5</v>
      </c>
      <c r="F102" s="49">
        <f>'Avg Week KYENGERA-BUSEGA'!F102+'Avg Week BUSEGA-KYENGERA'!F102</f>
        <v>48.5</v>
      </c>
      <c r="G102" s="49">
        <f>'Avg Week KYENGERA-BUSEGA'!G102+'Avg Week BUSEGA-KYENGERA'!G102</f>
        <v>1</v>
      </c>
      <c r="H102" s="49">
        <f>'Avg Week KYENGERA-BUSEGA'!H102+'Avg Week BUSEGA-KYENGERA'!H102</f>
        <v>2.5</v>
      </c>
      <c r="I102" s="49">
        <f>'Avg Week KYENGERA-BUSEGA'!I102+'Avg Week BUSEGA-KYENGERA'!I102</f>
        <v>16</v>
      </c>
      <c r="J102" s="49">
        <f>'Avg Week KYENGERA-BUSEGA'!J102+'Avg Week BUSEGA-KYENGERA'!J102</f>
        <v>17.5</v>
      </c>
      <c r="K102" s="49">
        <f>'Avg Week KYENGERA-BUSEGA'!K102+'Avg Week BUSEGA-KYENGERA'!K102</f>
        <v>1.5</v>
      </c>
      <c r="L102" s="49">
        <f>'Avg Week KYENGERA-BUSEGA'!L102+'Avg Week BUSEGA-KYENGERA'!L102</f>
        <v>2.5</v>
      </c>
      <c r="M102" s="49">
        <f>'Avg Week KYENGERA-BUSEGA'!M102+'Avg Week BUSEGA-KYENGERA'!M102</f>
        <v>186</v>
      </c>
      <c r="N102" s="49">
        <f>'Avg Week KYENGERA-BUSEGA'!N102+'Avg Week BUSEGA-KYENGERA'!N102</f>
        <v>0</v>
      </c>
      <c r="O102" s="15">
        <f t="shared" si="35"/>
        <v>153</v>
      </c>
      <c r="P102" s="15">
        <f t="shared" si="36"/>
        <v>339</v>
      </c>
      <c r="R102" s="8"/>
      <c r="T102"/>
    </row>
    <row r="103" spans="2:20" ht="23.1" customHeight="1" x14ac:dyDescent="0.25">
      <c r="B103" s="23" t="s">
        <v>143</v>
      </c>
      <c r="C103" s="49">
        <f>'Avg Week KYENGERA-BUSEGA'!C103+'Avg Week BUSEGA-KYENGERA'!C103</f>
        <v>52.5</v>
      </c>
      <c r="D103" s="49">
        <f>'Avg Week KYENGERA-BUSEGA'!D103+'Avg Week BUSEGA-KYENGERA'!D103</f>
        <v>6</v>
      </c>
      <c r="E103" s="49">
        <f>'Avg Week KYENGERA-BUSEGA'!E103+'Avg Week BUSEGA-KYENGERA'!E103</f>
        <v>3.5</v>
      </c>
      <c r="F103" s="49">
        <f>'Avg Week KYENGERA-BUSEGA'!F103+'Avg Week BUSEGA-KYENGERA'!F103</f>
        <v>54</v>
      </c>
      <c r="G103" s="49">
        <f>'Avg Week KYENGERA-BUSEGA'!G103+'Avg Week BUSEGA-KYENGERA'!G103</f>
        <v>1.5</v>
      </c>
      <c r="H103" s="49">
        <f>'Avg Week KYENGERA-BUSEGA'!H103+'Avg Week BUSEGA-KYENGERA'!H103</f>
        <v>1.5</v>
      </c>
      <c r="I103" s="49">
        <f>'Avg Week KYENGERA-BUSEGA'!I103+'Avg Week BUSEGA-KYENGERA'!I103</f>
        <v>17.5</v>
      </c>
      <c r="J103" s="49">
        <f>'Avg Week KYENGERA-BUSEGA'!J103+'Avg Week BUSEGA-KYENGERA'!J103</f>
        <v>20</v>
      </c>
      <c r="K103" s="49">
        <f>'Avg Week KYENGERA-BUSEGA'!K103+'Avg Week BUSEGA-KYENGERA'!K103</f>
        <v>1.5</v>
      </c>
      <c r="L103" s="49">
        <f>'Avg Week KYENGERA-BUSEGA'!L103+'Avg Week BUSEGA-KYENGERA'!L103</f>
        <v>8.5</v>
      </c>
      <c r="M103" s="49">
        <f>'Avg Week KYENGERA-BUSEGA'!M103+'Avg Week BUSEGA-KYENGERA'!M103</f>
        <v>151.5</v>
      </c>
      <c r="N103" s="49">
        <f>'Avg Week KYENGERA-BUSEGA'!N103+'Avg Week BUSEGA-KYENGERA'!N103</f>
        <v>0</v>
      </c>
      <c r="O103" s="15">
        <f t="shared" si="35"/>
        <v>166.5</v>
      </c>
      <c r="P103" s="15">
        <f t="shared" si="36"/>
        <v>318</v>
      </c>
      <c r="R103" s="8"/>
      <c r="T103"/>
    </row>
    <row r="104" spans="2:20" ht="23.1" customHeight="1" x14ac:dyDescent="0.25">
      <c r="B104" s="25" t="s">
        <v>144</v>
      </c>
      <c r="C104" s="49">
        <f>'Avg Week KYENGERA-BUSEGA'!C104+'Avg Week BUSEGA-KYENGERA'!C104</f>
        <v>76.5</v>
      </c>
      <c r="D104" s="49">
        <f>'Avg Week KYENGERA-BUSEGA'!D104+'Avg Week BUSEGA-KYENGERA'!D104</f>
        <v>11.5</v>
      </c>
      <c r="E104" s="49">
        <f>'Avg Week KYENGERA-BUSEGA'!E104+'Avg Week BUSEGA-KYENGERA'!E104</f>
        <v>8.5</v>
      </c>
      <c r="F104" s="49">
        <f>'Avg Week KYENGERA-BUSEGA'!F104+'Avg Week BUSEGA-KYENGERA'!F104</f>
        <v>65.5</v>
      </c>
      <c r="G104" s="49">
        <f>'Avg Week KYENGERA-BUSEGA'!G104+'Avg Week BUSEGA-KYENGERA'!G104</f>
        <v>4.5</v>
      </c>
      <c r="H104" s="49">
        <f>'Avg Week KYENGERA-BUSEGA'!H104+'Avg Week BUSEGA-KYENGERA'!H104</f>
        <v>3</v>
      </c>
      <c r="I104" s="49">
        <f>'Avg Week KYENGERA-BUSEGA'!I104+'Avg Week BUSEGA-KYENGERA'!I104</f>
        <v>16</v>
      </c>
      <c r="J104" s="49">
        <f>'Avg Week KYENGERA-BUSEGA'!J104+'Avg Week BUSEGA-KYENGERA'!J104</f>
        <v>18</v>
      </c>
      <c r="K104" s="49">
        <f>'Avg Week KYENGERA-BUSEGA'!K104+'Avg Week BUSEGA-KYENGERA'!K104</f>
        <v>2</v>
      </c>
      <c r="L104" s="49">
        <f>'Avg Week KYENGERA-BUSEGA'!L104+'Avg Week BUSEGA-KYENGERA'!L104</f>
        <v>8.5</v>
      </c>
      <c r="M104" s="49">
        <f>'Avg Week KYENGERA-BUSEGA'!M104+'Avg Week BUSEGA-KYENGERA'!M104</f>
        <v>211</v>
      </c>
      <c r="N104" s="49">
        <f>'Avg Week KYENGERA-BUSEGA'!N104+'Avg Week BUSEGA-KYENGERA'!N104</f>
        <v>0</v>
      </c>
      <c r="O104" s="15">
        <f t="shared" si="35"/>
        <v>214</v>
      </c>
      <c r="P104" s="15">
        <f t="shared" si="36"/>
        <v>425</v>
      </c>
      <c r="R104" s="8"/>
      <c r="T104"/>
    </row>
    <row r="105" spans="2:20" ht="23.1" customHeight="1" x14ac:dyDescent="0.25">
      <c r="B105" s="23" t="s">
        <v>145</v>
      </c>
      <c r="C105" s="49">
        <f>'Avg Week KYENGERA-BUSEGA'!C105+'Avg Week BUSEGA-KYENGERA'!C105</f>
        <v>98.5</v>
      </c>
      <c r="D105" s="49">
        <f>'Avg Week KYENGERA-BUSEGA'!D105+'Avg Week BUSEGA-KYENGERA'!D105</f>
        <v>10</v>
      </c>
      <c r="E105" s="49">
        <f>'Avg Week KYENGERA-BUSEGA'!E105+'Avg Week BUSEGA-KYENGERA'!E105</f>
        <v>8</v>
      </c>
      <c r="F105" s="49">
        <f>'Avg Week KYENGERA-BUSEGA'!F105+'Avg Week BUSEGA-KYENGERA'!F105</f>
        <v>54.5</v>
      </c>
      <c r="G105" s="49">
        <f>'Avg Week KYENGERA-BUSEGA'!G105+'Avg Week BUSEGA-KYENGERA'!G105</f>
        <v>17.5</v>
      </c>
      <c r="H105" s="49">
        <f>'Avg Week KYENGERA-BUSEGA'!H105+'Avg Week BUSEGA-KYENGERA'!H105</f>
        <v>1.5</v>
      </c>
      <c r="I105" s="49">
        <f>'Avg Week KYENGERA-BUSEGA'!I105+'Avg Week BUSEGA-KYENGERA'!I105</f>
        <v>13.5</v>
      </c>
      <c r="J105" s="49">
        <f>'Avg Week KYENGERA-BUSEGA'!J105+'Avg Week BUSEGA-KYENGERA'!J105</f>
        <v>8</v>
      </c>
      <c r="K105" s="49">
        <f>'Avg Week KYENGERA-BUSEGA'!K105+'Avg Week BUSEGA-KYENGERA'!K105</f>
        <v>3.5</v>
      </c>
      <c r="L105" s="49">
        <f>'Avg Week KYENGERA-BUSEGA'!L105+'Avg Week BUSEGA-KYENGERA'!L105</f>
        <v>7</v>
      </c>
      <c r="M105" s="49">
        <f>'Avg Week KYENGERA-BUSEGA'!M105+'Avg Week BUSEGA-KYENGERA'!M105</f>
        <v>172.5</v>
      </c>
      <c r="N105" s="49">
        <f>'Avg Week KYENGERA-BUSEGA'!N105+'Avg Week BUSEGA-KYENGERA'!N105</f>
        <v>12</v>
      </c>
      <c r="O105" s="15">
        <f t="shared" si="35"/>
        <v>234</v>
      </c>
      <c r="P105" s="15">
        <f t="shared" si="36"/>
        <v>406.5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10196.714285714286</v>
      </c>
      <c r="D106" s="16">
        <f t="shared" ref="D106:P106" si="37">SUM(D10:D105)</f>
        <v>1335.8571428571431</v>
      </c>
      <c r="E106" s="16">
        <f t="shared" si="37"/>
        <v>1062.1428571428569</v>
      </c>
      <c r="F106" s="16">
        <f t="shared" si="37"/>
        <v>6498.9285714285725</v>
      </c>
      <c r="G106" s="16">
        <f t="shared" si="37"/>
        <v>295.71428571428567</v>
      </c>
      <c r="H106" s="16">
        <f t="shared" si="37"/>
        <v>273</v>
      </c>
      <c r="I106" s="16">
        <f t="shared" si="37"/>
        <v>2077.0714285714284</v>
      </c>
      <c r="J106" s="16">
        <f t="shared" si="37"/>
        <v>1306.2142857142858</v>
      </c>
      <c r="K106" s="16">
        <f t="shared" si="37"/>
        <v>239.57142857142861</v>
      </c>
      <c r="L106" s="16">
        <f t="shared" si="37"/>
        <v>615.35714285714289</v>
      </c>
      <c r="M106" s="16">
        <f t="shared" si="37"/>
        <v>30490.214285714286</v>
      </c>
      <c r="N106" s="16">
        <f t="shared" si="37"/>
        <v>15.928571428571427</v>
      </c>
      <c r="O106" s="16">
        <f t="shared" si="37"/>
        <v>23916.5</v>
      </c>
      <c r="P106" s="16">
        <f t="shared" si="37"/>
        <v>54406.71428571429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0.18741646908075946</v>
      </c>
      <c r="D107" s="43">
        <f t="shared" si="38"/>
        <v>2.4553167019826863E-2</v>
      </c>
      <c r="E107" s="43">
        <f t="shared" si="38"/>
        <v>1.9522275349418527E-2</v>
      </c>
      <c r="F107" s="43">
        <f t="shared" si="38"/>
        <v>0.11945085559292841</v>
      </c>
      <c r="G107" s="43">
        <f t="shared" si="38"/>
        <v>5.435253527006907E-3</v>
      </c>
      <c r="H107" s="43">
        <f t="shared" si="38"/>
        <v>5.0177630387005798E-3</v>
      </c>
      <c r="I107" s="43">
        <f t="shared" si="38"/>
        <v>3.817674814295504E-2</v>
      </c>
      <c r="J107" s="43">
        <f t="shared" si="38"/>
        <v>2.4008328803955394E-2</v>
      </c>
      <c r="K107" s="43">
        <f t="shared" si="38"/>
        <v>4.403343074778061E-3</v>
      </c>
      <c r="L107" s="43">
        <f t="shared" si="38"/>
        <v>1.1310316216223313E-2</v>
      </c>
      <c r="M107" s="43">
        <f t="shared" si="38"/>
        <v>0.56041271166636464</v>
      </c>
      <c r="N107" s="43">
        <f t="shared" si="38"/>
        <v>2.9276848708273921E-4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0.42634642551018276</v>
      </c>
      <c r="D108" s="44">
        <f t="shared" ref="D108:N108" si="39">D106/$O$106</f>
        <v>5.5855043290495815E-2</v>
      </c>
      <c r="E108" s="44">
        <f t="shared" si="39"/>
        <v>4.4410463786208554E-2</v>
      </c>
      <c r="F108" s="44">
        <f t="shared" si="39"/>
        <v>0.27173409869456538</v>
      </c>
      <c r="G108" s="44">
        <f t="shared" si="39"/>
        <v>1.2364446541688194E-2</v>
      </c>
      <c r="H108" s="44">
        <f t="shared" si="39"/>
        <v>1.1414713691384609E-2</v>
      </c>
      <c r="I108" s="44">
        <f t="shared" si="39"/>
        <v>8.6846797339553375E-2</v>
      </c>
      <c r="J108" s="44">
        <f t="shared" si="39"/>
        <v>5.4615612055036726E-2</v>
      </c>
      <c r="K108" s="44">
        <f t="shared" si="39"/>
        <v>1.0016993647541597E-2</v>
      </c>
      <c r="L108" s="44">
        <f t="shared" si="39"/>
        <v>2.5729397815614445E-2</v>
      </c>
      <c r="M108" s="44"/>
      <c r="N108" s="44">
        <f t="shared" si="39"/>
        <v>6.6600762772861522E-4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KYENGERA-BUSEGA</vt:lpstr>
      <vt:lpstr>22.07 BUSEGA-KYENGERA</vt:lpstr>
      <vt:lpstr>23.07 KYENGERA-BUSEGA</vt:lpstr>
      <vt:lpstr>23.07 BUSEGA-KYENGERA</vt:lpstr>
      <vt:lpstr>24.07 KYENGERA-BUSEGA</vt:lpstr>
      <vt:lpstr>24.07 BUSEGA-KYENGERA</vt:lpstr>
      <vt:lpstr>25.07 KYENGERA-BUSEGA</vt:lpstr>
      <vt:lpstr>25.07 BUSEGA-KYENGERA</vt:lpstr>
      <vt:lpstr>26.07 KYENGERA-BUSEGA-24h</vt:lpstr>
      <vt:lpstr>26.07 BUSEGA-KYENGERA-24h</vt:lpstr>
      <vt:lpstr>27.07 KYENGERA-BUSEGA-24h</vt:lpstr>
      <vt:lpstr>27.07 BUSEGA-KYENGERA-24h</vt:lpstr>
      <vt:lpstr>28.07 KYENGERA-BUSEGA</vt:lpstr>
      <vt:lpstr>28.07 BUSEGA-KYENGERA</vt:lpstr>
      <vt:lpstr>Avg Week KYENGERA-BUSEGA</vt:lpstr>
      <vt:lpstr>Avg Week BUSEGA-KYENGERA</vt:lpstr>
      <vt:lpstr>Avg Week KYENGERA-BUSEGA-2Dir</vt:lpstr>
      <vt:lpstr>'22.07 BUSEGA-KYENGERA'!Print_Area</vt:lpstr>
      <vt:lpstr>'22.07 KYENGERA-BUSEGA'!Print_Area</vt:lpstr>
      <vt:lpstr>'23.07 BUSEGA-KYENGERA'!Print_Area</vt:lpstr>
      <vt:lpstr>'23.07 KYENGERA-BUSEGA'!Print_Area</vt:lpstr>
      <vt:lpstr>'24.07 BUSEGA-KYENGERA'!Print_Area</vt:lpstr>
      <vt:lpstr>'24.07 KYENGERA-BUSEGA'!Print_Area</vt:lpstr>
      <vt:lpstr>'25.07 BUSEGA-KYENGERA'!Print_Area</vt:lpstr>
      <vt:lpstr>'25.07 KYENGERA-BUSEGA'!Print_Area</vt:lpstr>
      <vt:lpstr>'26.07 BUSEGA-KYENGERA-24h'!Print_Area</vt:lpstr>
      <vt:lpstr>'26.07 KYENGERA-BUSEGA-24h'!Print_Area</vt:lpstr>
      <vt:lpstr>'27.07 BUSEGA-KYENGERA-24h'!Print_Area</vt:lpstr>
      <vt:lpstr>'27.07 KYENGERA-BUSEGA-24h'!Print_Area</vt:lpstr>
      <vt:lpstr>'28.07 BUSEGA-KYENGERA'!Print_Area</vt:lpstr>
      <vt:lpstr>'28.07 KYENGERA-BUSEGA'!Print_Area</vt:lpstr>
      <vt:lpstr>'Avg Week BUSEGA-KYENGERA'!Print_Area</vt:lpstr>
      <vt:lpstr>'Avg Week KYENGERA-BUSEGA'!Print_Area</vt:lpstr>
      <vt:lpstr>'Avg Week KYENGERA-BUSEGA-2Dir'!Print_Area</vt:lpstr>
      <vt:lpstr>'22.07 BUSEGA-KYENGERA'!Print_Titles</vt:lpstr>
      <vt:lpstr>'22.07 KYENGERA-BUSEGA'!Print_Titles</vt:lpstr>
      <vt:lpstr>'23.07 BUSEGA-KYENGERA'!Print_Titles</vt:lpstr>
      <vt:lpstr>'23.07 KYENGERA-BUSEGA'!Print_Titles</vt:lpstr>
      <vt:lpstr>'24.07 BUSEGA-KYENGERA'!Print_Titles</vt:lpstr>
      <vt:lpstr>'24.07 KYENGERA-BUSEGA'!Print_Titles</vt:lpstr>
      <vt:lpstr>'25.07 BUSEGA-KYENGERA'!Print_Titles</vt:lpstr>
      <vt:lpstr>'25.07 KYENGERA-BUSEGA'!Print_Titles</vt:lpstr>
      <vt:lpstr>'26.07 BUSEGA-KYENGERA-24h'!Print_Titles</vt:lpstr>
      <vt:lpstr>'26.07 KYENGERA-BUSEGA-24h'!Print_Titles</vt:lpstr>
      <vt:lpstr>'27.07 BUSEGA-KYENGERA-24h'!Print_Titles</vt:lpstr>
      <vt:lpstr>'27.07 KYENGERA-BUSEGA-24h'!Print_Titles</vt:lpstr>
      <vt:lpstr>'28.07 BUSEGA-KYENGERA'!Print_Titles</vt:lpstr>
      <vt:lpstr>'28.07 KYENGERA-BUSEGA'!Print_Titles</vt:lpstr>
      <vt:lpstr>'Avg Week BUSEGA-KYENGERA'!Print_Titles</vt:lpstr>
      <vt:lpstr>'Avg Week KYENGERA-BUSEGA'!Print_Titles</vt:lpstr>
      <vt:lpstr>'Avg Week KYENGERA-BUSEGA-2Dir'!Print_Titles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2020-01-15T20:08:35Z</dcterms:modified>
</cp:coreProperties>
</file>