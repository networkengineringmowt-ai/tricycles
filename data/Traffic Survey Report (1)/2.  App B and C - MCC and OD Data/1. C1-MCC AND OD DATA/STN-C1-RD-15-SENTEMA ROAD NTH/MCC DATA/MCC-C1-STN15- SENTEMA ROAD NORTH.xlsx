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15-SENTEMA ROAD NTH\MCC DATA\"/>
    </mc:Choice>
  </mc:AlternateContent>
  <bookViews>
    <workbookView xWindow="-120" yWindow="-120" windowWidth="20730" windowHeight="11160" tabRatio="940" firstSheet="12" activeTab="16"/>
  </bookViews>
  <sheets>
    <sheet name="22.07 SentemaRBT-Sentema" sheetId="93" r:id="rId1"/>
    <sheet name="22.07 Sentema-Sentema RBT" sheetId="94" r:id="rId2"/>
    <sheet name="23.07 Sentema RBT-Sentema" sheetId="95" r:id="rId3"/>
    <sheet name="23.07 Sentema-Sentema RBT" sheetId="96" r:id="rId4"/>
    <sheet name="24.07 SentemaRBT-Sentema" sheetId="97" r:id="rId5"/>
    <sheet name="24.07 Sentema-SentemaRBT" sheetId="98" r:id="rId6"/>
    <sheet name="25.07 SentemaRBT-Sentema" sheetId="99" r:id="rId7"/>
    <sheet name="25.07 Sentema-SentemaRBT" sheetId="100" r:id="rId8"/>
    <sheet name="26.07 SentemaRBT-Sentema-24h" sheetId="101" r:id="rId9"/>
    <sheet name="26.07 Sentema-Sentema RBT-24h" sheetId="109" r:id="rId10"/>
    <sheet name="27.07 SentemaRBT-Sentema-24h" sheetId="105" r:id="rId11"/>
    <sheet name="27.07 Sentema-SentemaRBT-24h" sheetId="110" r:id="rId12"/>
    <sheet name="28.07 SentemaRBT-Sentema" sheetId="103" r:id="rId13"/>
    <sheet name="28.07 Sentema-SentemaRBT" sheetId="104" r:id="rId14"/>
    <sheet name="Avg Week SentemaRBT-Sentema" sheetId="107" r:id="rId15"/>
    <sheet name="Avg Week Sentema-SentemaRBT" sheetId="108" r:id="rId16"/>
    <sheet name="Avg Week SenteRBT-Sentema-2Dir" sheetId="111" r:id="rId17"/>
  </sheets>
  <definedNames>
    <definedName name="_xlnm.Print_Area" localSheetId="0">'22.07 SentemaRBT-Sentema'!$A$1:$AF$60</definedName>
    <definedName name="_xlnm.Print_Area" localSheetId="1">'22.07 Sentema-Sentema RBT'!$A$1:$AF$60</definedName>
    <definedName name="_xlnm.Print_Area" localSheetId="2">'23.07 Sentema RBT-Sentema'!$A$1:$AF$60</definedName>
    <definedName name="_xlnm.Print_Area" localSheetId="3">'23.07 Sentema-Sentema RBT'!$A$1:$AF$60</definedName>
    <definedName name="_xlnm.Print_Area" localSheetId="4">'24.07 SentemaRBT-Sentema'!$A$1:$AF$60</definedName>
    <definedName name="_xlnm.Print_Area" localSheetId="5">'24.07 Sentema-SentemaRBT'!$A$1:$AF$60</definedName>
    <definedName name="_xlnm.Print_Area" localSheetId="6">'25.07 SentemaRBT-Sentema'!$A$1:$AF$60</definedName>
    <definedName name="_xlnm.Print_Area" localSheetId="7">'25.07 Sentema-SentemaRBT'!$A$1:$AF$60</definedName>
    <definedName name="_xlnm.Print_Area" localSheetId="8">'26.07 SentemaRBT-Sentema-24h'!$A$1:$AF$108</definedName>
    <definedName name="_xlnm.Print_Area" localSheetId="9">'26.07 Sentema-Sentema RBT-24h'!$A$1:$AF$108</definedName>
    <definedName name="_xlnm.Print_Area" localSheetId="10">'27.07 SentemaRBT-Sentema-24h'!$A$1:$AF$108</definedName>
    <definedName name="_xlnm.Print_Area" localSheetId="11">'27.07 Sentema-SentemaRBT-24h'!$A$1:$AF$108</definedName>
    <definedName name="_xlnm.Print_Area" localSheetId="12">'28.07 SentemaRBT-Sentema'!$A$1:$AF$60</definedName>
    <definedName name="_xlnm.Print_Area" localSheetId="13">'28.07 Sentema-SentemaRBT'!$A$1:$AF$60</definedName>
    <definedName name="_xlnm.Print_Area" localSheetId="14">'Avg Week SentemaRBT-Sentema'!$A$1:$AF$108</definedName>
    <definedName name="_xlnm.Print_Area" localSheetId="15">'Avg Week Sentema-SentemaRBT'!$A$1:$AF$108</definedName>
    <definedName name="_xlnm.Print_Area" localSheetId="16">'Avg Week SenteRBT-Sentema-2Dir'!$A$1:$AF$108</definedName>
    <definedName name="_xlnm.Print_Titles" localSheetId="0">'22.07 SentemaRBT-Sentema'!$1:$8</definedName>
    <definedName name="_xlnm.Print_Titles" localSheetId="1">'22.07 Sentema-Sentema RBT'!$1:$8</definedName>
    <definedName name="_xlnm.Print_Titles" localSheetId="2">'23.07 Sentema RBT-Sentema'!$1:$8</definedName>
    <definedName name="_xlnm.Print_Titles" localSheetId="3">'23.07 Sentema-Sentema RBT'!$1:$8</definedName>
    <definedName name="_xlnm.Print_Titles" localSheetId="4">'24.07 SentemaRBT-Sentema'!$1:$8</definedName>
    <definedName name="_xlnm.Print_Titles" localSheetId="5">'24.07 Sentema-SentemaRBT'!$1:$8</definedName>
    <definedName name="_xlnm.Print_Titles" localSheetId="6">'25.07 SentemaRBT-Sentema'!$1:$8</definedName>
    <definedName name="_xlnm.Print_Titles" localSheetId="7">'25.07 Sentema-SentemaRBT'!$1:$8</definedName>
    <definedName name="_xlnm.Print_Titles" localSheetId="8">'26.07 SentemaRBT-Sentema-24h'!$1:$8</definedName>
    <definedName name="_xlnm.Print_Titles" localSheetId="9">'26.07 Sentema-Sentema RBT-24h'!$1:$8</definedName>
    <definedName name="_xlnm.Print_Titles" localSheetId="10">'27.07 SentemaRBT-Sentema-24h'!$1:$8</definedName>
    <definedName name="_xlnm.Print_Titles" localSheetId="11">'27.07 Sentema-SentemaRBT-24h'!$1:$8</definedName>
    <definedName name="_xlnm.Print_Titles" localSheetId="12">'28.07 SentemaRBT-Sentema'!$1:$8</definedName>
    <definedName name="_xlnm.Print_Titles" localSheetId="13">'28.07 Sentema-SentemaRBT'!$1:$8</definedName>
    <definedName name="_xlnm.Print_Titles" localSheetId="14">'Avg Week SentemaRBT-Sentema'!$1:$8</definedName>
    <definedName name="_xlnm.Print_Titles" localSheetId="15">'Avg Week Sentema-SentemaRBT'!$1:$8</definedName>
    <definedName name="_xlnm.Print_Titles" localSheetId="16">'Avg Week SenteRBT-Sentema-2Dir'!$1:$8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6" i="107" l="1"/>
  <c r="O106" i="107"/>
  <c r="N106" i="107"/>
  <c r="M106" i="107"/>
  <c r="L106" i="107"/>
  <c r="K106" i="107"/>
  <c r="J106" i="107"/>
  <c r="I106" i="107"/>
  <c r="H106" i="107"/>
  <c r="G106" i="107"/>
  <c r="F106" i="107"/>
  <c r="E106" i="107"/>
  <c r="D106" i="107"/>
  <c r="C106" i="107"/>
  <c r="P106" i="108"/>
  <c r="O106" i="108"/>
  <c r="N106" i="108"/>
  <c r="M106" i="108"/>
  <c r="L106" i="108"/>
  <c r="K106" i="108"/>
  <c r="J106" i="108"/>
  <c r="I106" i="108"/>
  <c r="H106" i="108"/>
  <c r="G106" i="108"/>
  <c r="F106" i="108"/>
  <c r="E106" i="108"/>
  <c r="D106" i="108"/>
  <c r="C106" i="108"/>
  <c r="P106" i="111"/>
  <c r="O106" i="111"/>
  <c r="N106" i="111"/>
  <c r="M106" i="111"/>
  <c r="L106" i="111"/>
  <c r="K106" i="111"/>
  <c r="J106" i="111"/>
  <c r="I106" i="111"/>
  <c r="H106" i="111"/>
  <c r="G106" i="111"/>
  <c r="F106" i="111"/>
  <c r="E106" i="111"/>
  <c r="D106" i="111"/>
  <c r="C106" i="111"/>
  <c r="P58" i="111" l="1"/>
  <c r="P59" i="111"/>
  <c r="P60" i="111"/>
  <c r="P61" i="111"/>
  <c r="P62" i="111"/>
  <c r="P63" i="111"/>
  <c r="P64" i="111"/>
  <c r="P65" i="111"/>
  <c r="AF23" i="111" s="1"/>
  <c r="P66" i="111"/>
  <c r="P67" i="111"/>
  <c r="P68" i="111"/>
  <c r="P69" i="111"/>
  <c r="P70" i="111"/>
  <c r="P71" i="111"/>
  <c r="P72" i="111"/>
  <c r="P73" i="111"/>
  <c r="AF25" i="111" s="1"/>
  <c r="P74" i="111"/>
  <c r="P75" i="111"/>
  <c r="P76" i="111"/>
  <c r="P77" i="111"/>
  <c r="P78" i="111"/>
  <c r="P79" i="111"/>
  <c r="P80" i="111"/>
  <c r="P81" i="111"/>
  <c r="AF27" i="111" s="1"/>
  <c r="P82" i="111"/>
  <c r="P83" i="111"/>
  <c r="P84" i="111"/>
  <c r="P85" i="111"/>
  <c r="P86" i="111"/>
  <c r="P87" i="111"/>
  <c r="P88" i="111"/>
  <c r="P89" i="111"/>
  <c r="AF29" i="111" s="1"/>
  <c r="P90" i="111"/>
  <c r="P91" i="111"/>
  <c r="P92" i="111"/>
  <c r="P93" i="111"/>
  <c r="P94" i="111"/>
  <c r="AF31" i="111" s="1"/>
  <c r="P95" i="111"/>
  <c r="P96" i="111"/>
  <c r="P97" i="111"/>
  <c r="P98" i="111"/>
  <c r="P99" i="111"/>
  <c r="P100" i="111"/>
  <c r="P101" i="111"/>
  <c r="P102" i="111"/>
  <c r="AF33" i="111" s="1"/>
  <c r="P103" i="111"/>
  <c r="P104" i="111"/>
  <c r="P105" i="111"/>
  <c r="O58" i="111"/>
  <c r="O59" i="111"/>
  <c r="O60" i="111"/>
  <c r="O61" i="111"/>
  <c r="O62" i="111"/>
  <c r="O63" i="111"/>
  <c r="AE23" i="111" s="1"/>
  <c r="O64" i="111"/>
  <c r="O65" i="111"/>
  <c r="O66" i="111"/>
  <c r="O67" i="111"/>
  <c r="O68" i="111"/>
  <c r="O69" i="111"/>
  <c r="O70" i="111"/>
  <c r="O71" i="111"/>
  <c r="AE25" i="111" s="1"/>
  <c r="O72" i="111"/>
  <c r="O73" i="111"/>
  <c r="O74" i="111"/>
  <c r="O75" i="111"/>
  <c r="O76" i="111"/>
  <c r="O77" i="111"/>
  <c r="O78" i="111"/>
  <c r="O79" i="111"/>
  <c r="AE27" i="111" s="1"/>
  <c r="O80" i="111"/>
  <c r="O81" i="111"/>
  <c r="O82" i="111"/>
  <c r="O83" i="111"/>
  <c r="O84" i="111"/>
  <c r="O85" i="111"/>
  <c r="O86" i="111"/>
  <c r="O87" i="111"/>
  <c r="AE29" i="111" s="1"/>
  <c r="O88" i="111"/>
  <c r="O89" i="111"/>
  <c r="O90" i="111"/>
  <c r="O91" i="111"/>
  <c r="O92" i="111"/>
  <c r="O93" i="111"/>
  <c r="O94" i="111"/>
  <c r="O95" i="111"/>
  <c r="AE31" i="111" s="1"/>
  <c r="O96" i="111"/>
  <c r="O97" i="111"/>
  <c r="O98" i="111"/>
  <c r="O99" i="111"/>
  <c r="O100" i="111"/>
  <c r="O101" i="111"/>
  <c r="O102" i="111"/>
  <c r="O103" i="111"/>
  <c r="AE33" i="111" s="1"/>
  <c r="O104" i="111"/>
  <c r="O105" i="111"/>
  <c r="D58" i="111"/>
  <c r="E58" i="111"/>
  <c r="F58" i="111"/>
  <c r="G58" i="111"/>
  <c r="H58" i="111"/>
  <c r="I58" i="111"/>
  <c r="J58" i="111"/>
  <c r="K58" i="111"/>
  <c r="AA22" i="111" s="1"/>
  <c r="L58" i="111"/>
  <c r="M58" i="111"/>
  <c r="N58" i="111"/>
  <c r="D59" i="111"/>
  <c r="E59" i="111"/>
  <c r="F59" i="111"/>
  <c r="G59" i="111"/>
  <c r="H59" i="111"/>
  <c r="X22" i="111" s="1"/>
  <c r="I59" i="111"/>
  <c r="J59" i="111"/>
  <c r="K59" i="111"/>
  <c r="L59" i="111"/>
  <c r="M59" i="111"/>
  <c r="N59" i="111"/>
  <c r="D60" i="111"/>
  <c r="E60" i="111"/>
  <c r="U22" i="111" s="1"/>
  <c r="F60" i="111"/>
  <c r="G60" i="111"/>
  <c r="H60" i="111"/>
  <c r="I60" i="111"/>
  <c r="J60" i="111"/>
  <c r="K60" i="111"/>
  <c r="L60" i="111"/>
  <c r="M60" i="111"/>
  <c r="AC22" i="111" s="1"/>
  <c r="N60" i="111"/>
  <c r="D61" i="111"/>
  <c r="E61" i="111"/>
  <c r="F61" i="111"/>
  <c r="G61" i="111"/>
  <c r="H61" i="111"/>
  <c r="I61" i="111"/>
  <c r="J61" i="111"/>
  <c r="Z22" i="111" s="1"/>
  <c r="K61" i="111"/>
  <c r="L61" i="111"/>
  <c r="M61" i="111"/>
  <c r="N61" i="111"/>
  <c r="D62" i="111"/>
  <c r="E62" i="111"/>
  <c r="F62" i="111"/>
  <c r="G62" i="111"/>
  <c r="W23" i="111" s="1"/>
  <c r="H62" i="111"/>
  <c r="I62" i="111"/>
  <c r="J62" i="111"/>
  <c r="K62" i="111"/>
  <c r="L62" i="111"/>
  <c r="M62" i="111"/>
  <c r="N62" i="111"/>
  <c r="D63" i="111"/>
  <c r="T23" i="111" s="1"/>
  <c r="E63" i="111"/>
  <c r="F63" i="111"/>
  <c r="G63" i="111"/>
  <c r="H63" i="111"/>
  <c r="I63" i="111"/>
  <c r="J63" i="111"/>
  <c r="K63" i="111"/>
  <c r="L63" i="111"/>
  <c r="AB23" i="111" s="1"/>
  <c r="M63" i="111"/>
  <c r="N63" i="111"/>
  <c r="D64" i="111"/>
  <c r="E64" i="111"/>
  <c r="F64" i="111"/>
  <c r="G64" i="111"/>
  <c r="H64" i="111"/>
  <c r="I64" i="111"/>
  <c r="Y23" i="111" s="1"/>
  <c r="J64" i="111"/>
  <c r="K64" i="111"/>
  <c r="L64" i="111"/>
  <c r="M64" i="111"/>
  <c r="N64" i="111"/>
  <c r="D65" i="111"/>
  <c r="E65" i="111"/>
  <c r="F65" i="111"/>
  <c r="V23" i="111" s="1"/>
  <c r="G65" i="111"/>
  <c r="H65" i="111"/>
  <c r="I65" i="111"/>
  <c r="J65" i="111"/>
  <c r="K65" i="111"/>
  <c r="L65" i="111"/>
  <c r="M65" i="111"/>
  <c r="N65" i="111"/>
  <c r="AD23" i="111" s="1"/>
  <c r="D66" i="111"/>
  <c r="E66" i="111"/>
  <c r="F66" i="111"/>
  <c r="G66" i="111"/>
  <c r="H66" i="111"/>
  <c r="I66" i="111"/>
  <c r="J66" i="111"/>
  <c r="K66" i="111"/>
  <c r="AA24" i="111" s="1"/>
  <c r="L66" i="111"/>
  <c r="M66" i="111"/>
  <c r="N66" i="111"/>
  <c r="D67" i="111"/>
  <c r="E67" i="111"/>
  <c r="F67" i="111"/>
  <c r="G67" i="111"/>
  <c r="H67" i="111"/>
  <c r="X24" i="111" s="1"/>
  <c r="I67" i="111"/>
  <c r="J67" i="111"/>
  <c r="K67" i="111"/>
  <c r="L67" i="111"/>
  <c r="M67" i="111"/>
  <c r="N67" i="111"/>
  <c r="D68" i="111"/>
  <c r="E68" i="111"/>
  <c r="U24" i="111" s="1"/>
  <c r="F68" i="111"/>
  <c r="G68" i="111"/>
  <c r="H68" i="111"/>
  <c r="I68" i="111"/>
  <c r="J68" i="111"/>
  <c r="K68" i="111"/>
  <c r="L68" i="111"/>
  <c r="M68" i="111"/>
  <c r="AC24" i="111" s="1"/>
  <c r="N68" i="111"/>
  <c r="D69" i="111"/>
  <c r="E69" i="111"/>
  <c r="F69" i="111"/>
  <c r="G69" i="111"/>
  <c r="H69" i="111"/>
  <c r="I69" i="111"/>
  <c r="J69" i="111"/>
  <c r="Z24" i="111" s="1"/>
  <c r="K69" i="111"/>
  <c r="L69" i="111"/>
  <c r="M69" i="111"/>
  <c r="N69" i="111"/>
  <c r="D70" i="111"/>
  <c r="E70" i="111"/>
  <c r="F70" i="111"/>
  <c r="G70" i="111"/>
  <c r="W25" i="111" s="1"/>
  <c r="H70" i="111"/>
  <c r="I70" i="111"/>
  <c r="J70" i="111"/>
  <c r="K70" i="111"/>
  <c r="L70" i="111"/>
  <c r="M70" i="111"/>
  <c r="N70" i="111"/>
  <c r="D71" i="111"/>
  <c r="T25" i="111" s="1"/>
  <c r="E71" i="111"/>
  <c r="F71" i="111"/>
  <c r="G71" i="111"/>
  <c r="H71" i="111"/>
  <c r="I71" i="111"/>
  <c r="J71" i="111"/>
  <c r="K71" i="111"/>
  <c r="L71" i="111"/>
  <c r="AB25" i="111" s="1"/>
  <c r="M71" i="111"/>
  <c r="N71" i="111"/>
  <c r="D72" i="111"/>
  <c r="E72" i="111"/>
  <c r="F72" i="111"/>
  <c r="G72" i="111"/>
  <c r="H72" i="111"/>
  <c r="I72" i="111"/>
  <c r="Y25" i="111" s="1"/>
  <c r="J72" i="111"/>
  <c r="K72" i="111"/>
  <c r="L72" i="111"/>
  <c r="M72" i="111"/>
  <c r="N72" i="111"/>
  <c r="D73" i="111"/>
  <c r="E73" i="111"/>
  <c r="F73" i="111"/>
  <c r="V25" i="111" s="1"/>
  <c r="G73" i="111"/>
  <c r="H73" i="111"/>
  <c r="I73" i="111"/>
  <c r="J73" i="111"/>
  <c r="K73" i="111"/>
  <c r="L73" i="111"/>
  <c r="M73" i="111"/>
  <c r="N73" i="111"/>
  <c r="AD25" i="111" s="1"/>
  <c r="D74" i="111"/>
  <c r="E74" i="111"/>
  <c r="F74" i="111"/>
  <c r="G74" i="111"/>
  <c r="H74" i="111"/>
  <c r="I74" i="111"/>
  <c r="J74" i="111"/>
  <c r="K74" i="111"/>
  <c r="AA26" i="111" s="1"/>
  <c r="L74" i="111"/>
  <c r="M74" i="111"/>
  <c r="N74" i="111"/>
  <c r="D75" i="111"/>
  <c r="E75" i="111"/>
  <c r="F75" i="111"/>
  <c r="G75" i="111"/>
  <c r="H75" i="111"/>
  <c r="X26" i="111" s="1"/>
  <c r="I75" i="111"/>
  <c r="J75" i="111"/>
  <c r="K75" i="111"/>
  <c r="L75" i="111"/>
  <c r="M75" i="111"/>
  <c r="N75" i="111"/>
  <c r="D76" i="111"/>
  <c r="E76" i="111"/>
  <c r="U26" i="111" s="1"/>
  <c r="F76" i="111"/>
  <c r="G76" i="111"/>
  <c r="H76" i="111"/>
  <c r="I76" i="111"/>
  <c r="J76" i="111"/>
  <c r="K76" i="111"/>
  <c r="L76" i="111"/>
  <c r="M76" i="111"/>
  <c r="AC26" i="111" s="1"/>
  <c r="N76" i="111"/>
  <c r="D77" i="111"/>
  <c r="E77" i="111"/>
  <c r="F77" i="111"/>
  <c r="G77" i="111"/>
  <c r="H77" i="111"/>
  <c r="I77" i="111"/>
  <c r="J77" i="111"/>
  <c r="Z26" i="111" s="1"/>
  <c r="K77" i="111"/>
  <c r="L77" i="111"/>
  <c r="M77" i="111"/>
  <c r="N77" i="111"/>
  <c r="D78" i="111"/>
  <c r="E78" i="111"/>
  <c r="F78" i="111"/>
  <c r="G78" i="111"/>
  <c r="W27" i="111" s="1"/>
  <c r="H78" i="111"/>
  <c r="I78" i="111"/>
  <c r="J78" i="111"/>
  <c r="K78" i="111"/>
  <c r="L78" i="111"/>
  <c r="M78" i="111"/>
  <c r="AC27" i="111" s="1"/>
  <c r="N78" i="111"/>
  <c r="D79" i="111"/>
  <c r="T27" i="111" s="1"/>
  <c r="E79" i="111"/>
  <c r="F79" i="111"/>
  <c r="G79" i="111"/>
  <c r="H79" i="111"/>
  <c r="I79" i="111"/>
  <c r="J79" i="111"/>
  <c r="Z27" i="111" s="1"/>
  <c r="K79" i="111"/>
  <c r="L79" i="111"/>
  <c r="AB27" i="111" s="1"/>
  <c r="M79" i="111"/>
  <c r="N79" i="111"/>
  <c r="D80" i="111"/>
  <c r="E80" i="111"/>
  <c r="F80" i="111"/>
  <c r="G80" i="111"/>
  <c r="H80" i="111"/>
  <c r="I80" i="111"/>
  <c r="Y27" i="111" s="1"/>
  <c r="J80" i="111"/>
  <c r="K80" i="111"/>
  <c r="L80" i="111"/>
  <c r="M80" i="111"/>
  <c r="N80" i="111"/>
  <c r="D81" i="111"/>
  <c r="E81" i="111"/>
  <c r="F81" i="111"/>
  <c r="V27" i="111" s="1"/>
  <c r="G81" i="111"/>
  <c r="H81" i="111"/>
  <c r="I81" i="111"/>
  <c r="J81" i="111"/>
  <c r="K81" i="111"/>
  <c r="L81" i="111"/>
  <c r="M81" i="111"/>
  <c r="N81" i="111"/>
  <c r="AD27" i="111" s="1"/>
  <c r="D82" i="111"/>
  <c r="E82" i="111"/>
  <c r="F82" i="111"/>
  <c r="G82" i="111"/>
  <c r="H82" i="111"/>
  <c r="I82" i="111"/>
  <c r="J82" i="111"/>
  <c r="K82" i="111"/>
  <c r="AA28" i="111" s="1"/>
  <c r="L82" i="111"/>
  <c r="M82" i="111"/>
  <c r="N82" i="111"/>
  <c r="D83" i="111"/>
  <c r="E83" i="111"/>
  <c r="F83" i="111"/>
  <c r="V28" i="111" s="1"/>
  <c r="G83" i="111"/>
  <c r="H83" i="111"/>
  <c r="X28" i="111" s="1"/>
  <c r="I83" i="111"/>
  <c r="J83" i="111"/>
  <c r="K83" i="111"/>
  <c r="L83" i="111"/>
  <c r="M83" i="111"/>
  <c r="N83" i="111"/>
  <c r="AD28" i="111" s="1"/>
  <c r="D84" i="111"/>
  <c r="E84" i="111"/>
  <c r="U28" i="111" s="1"/>
  <c r="F84" i="111"/>
  <c r="G84" i="111"/>
  <c r="H84" i="111"/>
  <c r="I84" i="111"/>
  <c r="J84" i="111"/>
  <c r="K84" i="111"/>
  <c r="L84" i="111"/>
  <c r="M84" i="111"/>
  <c r="AC28" i="111" s="1"/>
  <c r="N84" i="111"/>
  <c r="D85" i="111"/>
  <c r="E85" i="111"/>
  <c r="F85" i="111"/>
  <c r="G85" i="111"/>
  <c r="H85" i="111"/>
  <c r="I85" i="111"/>
  <c r="J85" i="111"/>
  <c r="Z28" i="111" s="1"/>
  <c r="K85" i="111"/>
  <c r="L85" i="111"/>
  <c r="M85" i="111"/>
  <c r="N85" i="111"/>
  <c r="D86" i="111"/>
  <c r="E86" i="111"/>
  <c r="U29" i="111" s="1"/>
  <c r="F86" i="111"/>
  <c r="G86" i="111"/>
  <c r="W29" i="111" s="1"/>
  <c r="H86" i="111"/>
  <c r="I86" i="111"/>
  <c r="J86" i="111"/>
  <c r="K86" i="111"/>
  <c r="L86" i="111"/>
  <c r="M86" i="111"/>
  <c r="AC29" i="111" s="1"/>
  <c r="N86" i="111"/>
  <c r="D87" i="111"/>
  <c r="T29" i="111" s="1"/>
  <c r="E87" i="111"/>
  <c r="F87" i="111"/>
  <c r="G87" i="111"/>
  <c r="H87" i="111"/>
  <c r="I87" i="111"/>
  <c r="J87" i="111"/>
  <c r="K87" i="111"/>
  <c r="L87" i="111"/>
  <c r="AB29" i="111" s="1"/>
  <c r="M87" i="111"/>
  <c r="N87" i="111"/>
  <c r="D88" i="111"/>
  <c r="E88" i="111"/>
  <c r="F88" i="111"/>
  <c r="G88" i="111"/>
  <c r="H88" i="111"/>
  <c r="I88" i="111"/>
  <c r="Y29" i="111" s="1"/>
  <c r="J88" i="111"/>
  <c r="K88" i="111"/>
  <c r="L88" i="111"/>
  <c r="M88" i="111"/>
  <c r="N88" i="111"/>
  <c r="D89" i="111"/>
  <c r="E89" i="111"/>
  <c r="F89" i="111"/>
  <c r="V29" i="111" s="1"/>
  <c r="G89" i="111"/>
  <c r="H89" i="111"/>
  <c r="I89" i="111"/>
  <c r="J89" i="111"/>
  <c r="K89" i="111"/>
  <c r="L89" i="111"/>
  <c r="M89" i="111"/>
  <c r="N89" i="111"/>
  <c r="AD29" i="111" s="1"/>
  <c r="D90" i="111"/>
  <c r="E90" i="111"/>
  <c r="F90" i="111"/>
  <c r="G90" i="111"/>
  <c r="H90" i="111"/>
  <c r="I90" i="111"/>
  <c r="Y30" i="111" s="1"/>
  <c r="J90" i="111"/>
  <c r="K90" i="111"/>
  <c r="AA30" i="111" s="1"/>
  <c r="L90" i="111"/>
  <c r="M90" i="111"/>
  <c r="N90" i="111"/>
  <c r="D91" i="111"/>
  <c r="E91" i="111"/>
  <c r="F91" i="111"/>
  <c r="V30" i="111" s="1"/>
  <c r="G91" i="111"/>
  <c r="H91" i="111"/>
  <c r="X30" i="111" s="1"/>
  <c r="I91" i="111"/>
  <c r="J91" i="111"/>
  <c r="K91" i="111"/>
  <c r="L91" i="111"/>
  <c r="M91" i="111"/>
  <c r="N91" i="111"/>
  <c r="AD30" i="111" s="1"/>
  <c r="D92" i="111"/>
  <c r="E92" i="111"/>
  <c r="U30" i="111" s="1"/>
  <c r="F92" i="111"/>
  <c r="G92" i="111"/>
  <c r="H92" i="111"/>
  <c r="I92" i="111"/>
  <c r="J92" i="111"/>
  <c r="K92" i="111"/>
  <c r="L92" i="111"/>
  <c r="M92" i="111"/>
  <c r="AC30" i="111" s="1"/>
  <c r="N92" i="111"/>
  <c r="D93" i="111"/>
  <c r="E93" i="111"/>
  <c r="F93" i="111"/>
  <c r="G93" i="111"/>
  <c r="H93" i="111"/>
  <c r="I93" i="111"/>
  <c r="J93" i="111"/>
  <c r="Z30" i="111" s="1"/>
  <c r="K93" i="111"/>
  <c r="L93" i="111"/>
  <c r="M93" i="111"/>
  <c r="N93" i="111"/>
  <c r="D94" i="111"/>
  <c r="E94" i="111"/>
  <c r="U31" i="111" s="1"/>
  <c r="F94" i="111"/>
  <c r="G94" i="111"/>
  <c r="W31" i="111" s="1"/>
  <c r="H94" i="111"/>
  <c r="I94" i="111"/>
  <c r="J94" i="111"/>
  <c r="K94" i="111"/>
  <c r="L94" i="111"/>
  <c r="M94" i="111"/>
  <c r="AC31" i="111" s="1"/>
  <c r="N94" i="111"/>
  <c r="D95" i="111"/>
  <c r="T31" i="111" s="1"/>
  <c r="E95" i="111"/>
  <c r="F95" i="111"/>
  <c r="G95" i="111"/>
  <c r="H95" i="111"/>
  <c r="I95" i="111"/>
  <c r="J95" i="111"/>
  <c r="K95" i="111"/>
  <c r="L95" i="111"/>
  <c r="AB31" i="111" s="1"/>
  <c r="M95" i="111"/>
  <c r="N95" i="111"/>
  <c r="D96" i="111"/>
  <c r="E96" i="111"/>
  <c r="F96" i="111"/>
  <c r="G96" i="111"/>
  <c r="H96" i="111"/>
  <c r="I96" i="111"/>
  <c r="Y31" i="111" s="1"/>
  <c r="J96" i="111"/>
  <c r="K96" i="111"/>
  <c r="L96" i="111"/>
  <c r="M96" i="111"/>
  <c r="N96" i="111"/>
  <c r="D97" i="111"/>
  <c r="E97" i="111"/>
  <c r="F97" i="111"/>
  <c r="V31" i="111" s="1"/>
  <c r="G97" i="111"/>
  <c r="H97" i="111"/>
  <c r="I97" i="111"/>
  <c r="J97" i="111"/>
  <c r="K97" i="111"/>
  <c r="L97" i="111"/>
  <c r="M97" i="111"/>
  <c r="N97" i="111"/>
  <c r="AD31" i="111" s="1"/>
  <c r="D98" i="111"/>
  <c r="E98" i="111"/>
  <c r="F98" i="111"/>
  <c r="G98" i="111"/>
  <c r="H98" i="111"/>
  <c r="I98" i="111"/>
  <c r="Y32" i="111" s="1"/>
  <c r="J98" i="111"/>
  <c r="K98" i="111"/>
  <c r="AA32" i="111" s="1"/>
  <c r="L98" i="111"/>
  <c r="M98" i="111"/>
  <c r="N98" i="111"/>
  <c r="D99" i="111"/>
  <c r="E99" i="111"/>
  <c r="F99" i="111"/>
  <c r="V32" i="111" s="1"/>
  <c r="G99" i="111"/>
  <c r="H99" i="111"/>
  <c r="X32" i="111" s="1"/>
  <c r="I99" i="111"/>
  <c r="J99" i="111"/>
  <c r="K99" i="111"/>
  <c r="L99" i="111"/>
  <c r="M99" i="111"/>
  <c r="N99" i="111"/>
  <c r="AD32" i="111" s="1"/>
  <c r="D100" i="111"/>
  <c r="E100" i="111"/>
  <c r="U32" i="111" s="1"/>
  <c r="F100" i="111"/>
  <c r="G100" i="111"/>
  <c r="H100" i="111"/>
  <c r="I100" i="111"/>
  <c r="J100" i="111"/>
  <c r="K100" i="111"/>
  <c r="L100" i="111"/>
  <c r="M100" i="111"/>
  <c r="AC32" i="111" s="1"/>
  <c r="N100" i="111"/>
  <c r="D101" i="111"/>
  <c r="E101" i="111"/>
  <c r="F101" i="111"/>
  <c r="G101" i="111"/>
  <c r="H101" i="111"/>
  <c r="I101" i="111"/>
  <c r="J101" i="111"/>
  <c r="Z32" i="111" s="1"/>
  <c r="K101" i="111"/>
  <c r="L101" i="111"/>
  <c r="M101" i="111"/>
  <c r="N101" i="111"/>
  <c r="D102" i="111"/>
  <c r="E102" i="111"/>
  <c r="U33" i="111" s="1"/>
  <c r="F102" i="111"/>
  <c r="G102" i="111"/>
  <c r="W33" i="111" s="1"/>
  <c r="H102" i="111"/>
  <c r="I102" i="111"/>
  <c r="J102" i="111"/>
  <c r="K102" i="111"/>
  <c r="L102" i="111"/>
  <c r="M102" i="111"/>
  <c r="AC33" i="111" s="1"/>
  <c r="N102" i="111"/>
  <c r="D103" i="111"/>
  <c r="T33" i="111" s="1"/>
  <c r="E103" i="111"/>
  <c r="F103" i="111"/>
  <c r="G103" i="111"/>
  <c r="H103" i="111"/>
  <c r="I103" i="111"/>
  <c r="J103" i="111"/>
  <c r="Z33" i="111" s="1"/>
  <c r="K103" i="111"/>
  <c r="L103" i="111"/>
  <c r="AB33" i="111" s="1"/>
  <c r="M103" i="111"/>
  <c r="N103" i="111"/>
  <c r="D104" i="111"/>
  <c r="E104" i="111"/>
  <c r="F104" i="111"/>
  <c r="G104" i="111"/>
  <c r="H104" i="111"/>
  <c r="I104" i="111"/>
  <c r="Y33" i="111" s="1"/>
  <c r="J104" i="111"/>
  <c r="K104" i="111"/>
  <c r="L104" i="111"/>
  <c r="M104" i="111"/>
  <c r="N104" i="111"/>
  <c r="D105" i="111"/>
  <c r="E105" i="111"/>
  <c r="F105" i="111"/>
  <c r="V33" i="111" s="1"/>
  <c r="G105" i="111"/>
  <c r="H105" i="111"/>
  <c r="I105" i="111"/>
  <c r="J105" i="111"/>
  <c r="K105" i="111"/>
  <c r="L105" i="111"/>
  <c r="M105" i="111"/>
  <c r="N105" i="111"/>
  <c r="C59" i="111"/>
  <c r="C60" i="111"/>
  <c r="C61" i="111"/>
  <c r="C62" i="111"/>
  <c r="C63" i="111"/>
  <c r="C64" i="111"/>
  <c r="C65" i="111"/>
  <c r="C66" i="111"/>
  <c r="S24" i="111" s="1"/>
  <c r="C67" i="111"/>
  <c r="C68" i="111"/>
  <c r="C69" i="111"/>
  <c r="C70" i="111"/>
  <c r="C71" i="111"/>
  <c r="C72" i="111"/>
  <c r="S25" i="111" s="1"/>
  <c r="C73" i="111"/>
  <c r="C74" i="111"/>
  <c r="S26" i="111" s="1"/>
  <c r="C75" i="111"/>
  <c r="C76" i="111"/>
  <c r="C77" i="111"/>
  <c r="C78" i="111"/>
  <c r="C79" i="111"/>
  <c r="C80" i="111"/>
  <c r="C81" i="111"/>
  <c r="C82" i="111"/>
  <c r="S28" i="111" s="1"/>
  <c r="C83" i="111"/>
  <c r="C84" i="111"/>
  <c r="C85" i="111"/>
  <c r="C86" i="111"/>
  <c r="C87" i="111"/>
  <c r="C88" i="111"/>
  <c r="C89" i="111"/>
  <c r="C90" i="111"/>
  <c r="S30" i="111" s="1"/>
  <c r="C91" i="111"/>
  <c r="C92" i="111"/>
  <c r="C93" i="111"/>
  <c r="C94" i="111"/>
  <c r="C95" i="111"/>
  <c r="C96" i="111"/>
  <c r="C97" i="111"/>
  <c r="C98" i="111"/>
  <c r="S32" i="111" s="1"/>
  <c r="C99" i="111"/>
  <c r="C100" i="111"/>
  <c r="C101" i="111"/>
  <c r="C102" i="111"/>
  <c r="C103" i="111"/>
  <c r="C104" i="111"/>
  <c r="S33" i="111" s="1"/>
  <c r="C105" i="111"/>
  <c r="T24" i="111"/>
  <c r="C58" i="111"/>
  <c r="S22" i="111" s="1"/>
  <c r="AD33" i="111"/>
  <c r="AA33" i="111"/>
  <c r="X33" i="111"/>
  <c r="AF32" i="111"/>
  <c r="AE32" i="111"/>
  <c r="AB32" i="111"/>
  <c r="W32" i="111"/>
  <c r="T32" i="111"/>
  <c r="AA31" i="111"/>
  <c r="Z31" i="111"/>
  <c r="X31" i="111"/>
  <c r="AF30" i="111"/>
  <c r="AE30" i="111"/>
  <c r="AB30" i="111"/>
  <c r="W30" i="111"/>
  <c r="T30" i="111"/>
  <c r="AA29" i="111"/>
  <c r="Z29" i="111"/>
  <c r="X29" i="111"/>
  <c r="AF28" i="111"/>
  <c r="AE28" i="111"/>
  <c r="AB28" i="111"/>
  <c r="Y28" i="111"/>
  <c r="W28" i="111"/>
  <c r="T28" i="111"/>
  <c r="AA27" i="111"/>
  <c r="X27" i="111"/>
  <c r="AF26" i="111"/>
  <c r="AE26" i="111"/>
  <c r="AB26" i="111"/>
  <c r="Y26" i="111"/>
  <c r="W26" i="111"/>
  <c r="T26" i="111"/>
  <c r="AA25" i="111"/>
  <c r="X25" i="111"/>
  <c r="AF24" i="111"/>
  <c r="AE24" i="111"/>
  <c r="AB24" i="111"/>
  <c r="W24" i="111"/>
  <c r="AA23" i="111"/>
  <c r="X23" i="111"/>
  <c r="AF22" i="111"/>
  <c r="AE22" i="111"/>
  <c r="AD22" i="111"/>
  <c r="AB22" i="111"/>
  <c r="W22" i="111"/>
  <c r="V22" i="111"/>
  <c r="T22" i="111"/>
  <c r="AD37" i="107"/>
  <c r="AC37" i="107"/>
  <c r="V37" i="107"/>
  <c r="U37" i="107"/>
  <c r="AF33" i="107"/>
  <c r="AE33" i="107"/>
  <c r="AD33" i="107"/>
  <c r="AC33" i="107"/>
  <c r="AB33" i="107"/>
  <c r="AA33" i="107"/>
  <c r="Z33" i="107"/>
  <c r="Y33" i="107"/>
  <c r="X33" i="107"/>
  <c r="W33" i="107"/>
  <c r="V33" i="107"/>
  <c r="U33" i="107"/>
  <c r="T33" i="107"/>
  <c r="S33" i="107"/>
  <c r="AF32" i="107"/>
  <c r="AE32" i="107"/>
  <c r="AD32" i="107"/>
  <c r="AC32" i="107"/>
  <c r="AB32" i="107"/>
  <c r="AA32" i="107"/>
  <c r="Z32" i="107"/>
  <c r="Y32" i="107"/>
  <c r="X32" i="107"/>
  <c r="W32" i="107"/>
  <c r="V32" i="107"/>
  <c r="U32" i="107"/>
  <c r="T32" i="107"/>
  <c r="S32" i="107"/>
  <c r="AF31" i="107"/>
  <c r="AE31" i="107"/>
  <c r="AD31" i="107"/>
  <c r="AC31" i="107"/>
  <c r="AB31" i="107"/>
  <c r="AA31" i="107"/>
  <c r="Z31" i="107"/>
  <c r="Y31" i="107"/>
  <c r="X31" i="107"/>
  <c r="W31" i="107"/>
  <c r="V31" i="107"/>
  <c r="U31" i="107"/>
  <c r="T31" i="107"/>
  <c r="S31" i="107"/>
  <c r="AF30" i="107"/>
  <c r="AE30" i="107"/>
  <c r="AD30" i="107"/>
  <c r="AC30" i="107"/>
  <c r="AB30" i="107"/>
  <c r="AA30" i="107"/>
  <c r="Z30" i="107"/>
  <c r="Y30" i="107"/>
  <c r="X30" i="107"/>
  <c r="W30" i="107"/>
  <c r="V30" i="107"/>
  <c r="U30" i="107"/>
  <c r="T30" i="107"/>
  <c r="S30" i="107"/>
  <c r="AF29" i="107"/>
  <c r="AE29" i="107"/>
  <c r="AD29" i="107"/>
  <c r="AC29" i="107"/>
  <c r="AB29" i="107"/>
  <c r="AA29" i="107"/>
  <c r="Z29" i="107"/>
  <c r="Y29" i="107"/>
  <c r="X29" i="107"/>
  <c r="W29" i="107"/>
  <c r="V29" i="107"/>
  <c r="U29" i="107"/>
  <c r="T29" i="107"/>
  <c r="S29" i="107"/>
  <c r="AF28" i="107"/>
  <c r="AE28" i="107"/>
  <c r="AD28" i="107"/>
  <c r="AC28" i="107"/>
  <c r="AB28" i="107"/>
  <c r="AA28" i="107"/>
  <c r="Z28" i="107"/>
  <c r="Y28" i="107"/>
  <c r="X28" i="107"/>
  <c r="W28" i="107"/>
  <c r="V28" i="107"/>
  <c r="U28" i="107"/>
  <c r="T28" i="107"/>
  <c r="S28" i="107"/>
  <c r="AF27" i="107"/>
  <c r="AE27" i="107"/>
  <c r="AD27" i="107"/>
  <c r="AC27" i="107"/>
  <c r="AB27" i="107"/>
  <c r="AA27" i="107"/>
  <c r="Z27" i="107"/>
  <c r="Y27" i="107"/>
  <c r="X27" i="107"/>
  <c r="W27" i="107"/>
  <c r="V27" i="107"/>
  <c r="U27" i="107"/>
  <c r="T27" i="107"/>
  <c r="S27" i="107"/>
  <c r="AF26" i="107"/>
  <c r="AE26" i="107"/>
  <c r="AD26" i="107"/>
  <c r="AC26" i="107"/>
  <c r="AB26" i="107"/>
  <c r="AA26" i="107"/>
  <c r="Z26" i="107"/>
  <c r="Y26" i="107"/>
  <c r="X26" i="107"/>
  <c r="W26" i="107"/>
  <c r="V26" i="107"/>
  <c r="U26" i="107"/>
  <c r="T26" i="107"/>
  <c r="S26" i="107"/>
  <c r="AF25" i="107"/>
  <c r="AE25" i="107"/>
  <c r="AD25" i="107"/>
  <c r="AC25" i="107"/>
  <c r="AB25" i="107"/>
  <c r="AA25" i="107"/>
  <c r="Z25" i="107"/>
  <c r="Y25" i="107"/>
  <c r="X25" i="107"/>
  <c r="W25" i="107"/>
  <c r="V25" i="107"/>
  <c r="U25" i="107"/>
  <c r="T25" i="107"/>
  <c r="S25" i="107"/>
  <c r="AF24" i="107"/>
  <c r="AE24" i="107"/>
  <c r="AD24" i="107"/>
  <c r="AC24" i="107"/>
  <c r="AB24" i="107"/>
  <c r="AA24" i="107"/>
  <c r="Z24" i="107"/>
  <c r="Y24" i="107"/>
  <c r="X24" i="107"/>
  <c r="W24" i="107"/>
  <c r="V24" i="107"/>
  <c r="U24" i="107"/>
  <c r="T24" i="107"/>
  <c r="S24" i="107"/>
  <c r="AF23" i="107"/>
  <c r="AE23" i="107"/>
  <c r="AD23" i="107"/>
  <c r="AC23" i="107"/>
  <c r="AB23" i="107"/>
  <c r="AA23" i="107"/>
  <c r="Z23" i="107"/>
  <c r="Y23" i="107"/>
  <c r="X23" i="107"/>
  <c r="W23" i="107"/>
  <c r="V23" i="107"/>
  <c r="U23" i="107"/>
  <c r="T23" i="107"/>
  <c r="S23" i="107"/>
  <c r="AF22" i="107"/>
  <c r="AE22" i="107"/>
  <c r="AD22" i="107"/>
  <c r="AC22" i="107"/>
  <c r="AB22" i="107"/>
  <c r="AA22" i="107"/>
  <c r="Z22" i="107"/>
  <c r="Y22" i="107"/>
  <c r="X22" i="107"/>
  <c r="W22" i="107"/>
  <c r="V22" i="107"/>
  <c r="U22" i="107"/>
  <c r="T22" i="107"/>
  <c r="S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C20" i="107"/>
  <c r="AB20" i="107"/>
  <c r="AB36" i="107" s="1"/>
  <c r="AA20" i="107"/>
  <c r="AA36" i="107" s="1"/>
  <c r="Z20" i="107"/>
  <c r="Y20" i="107"/>
  <c r="X20" i="107"/>
  <c r="W20" i="107"/>
  <c r="V20" i="107"/>
  <c r="U20" i="107"/>
  <c r="T20" i="107"/>
  <c r="T36" i="107" s="1"/>
  <c r="S20" i="107"/>
  <c r="S36" i="107" s="1"/>
  <c r="AF19" i="107"/>
  <c r="AF39" i="107" s="1"/>
  <c r="AE19" i="107"/>
  <c r="AE39" i="107" s="1"/>
  <c r="AD19" i="107"/>
  <c r="AD39" i="107" s="1"/>
  <c r="AC19" i="107"/>
  <c r="AC39" i="107" s="1"/>
  <c r="AB19" i="107"/>
  <c r="AB39" i="107" s="1"/>
  <c r="AA19" i="107"/>
  <c r="AA39" i="107" s="1"/>
  <c r="Z19" i="107"/>
  <c r="Z36" i="107" s="1"/>
  <c r="Y19" i="107"/>
  <c r="Y36" i="107" s="1"/>
  <c r="X19" i="107"/>
  <c r="X39" i="107" s="1"/>
  <c r="W19" i="107"/>
  <c r="W39" i="107" s="1"/>
  <c r="V19" i="107"/>
  <c r="V39" i="107" s="1"/>
  <c r="U19" i="107"/>
  <c r="U39" i="107" s="1"/>
  <c r="T19" i="107"/>
  <c r="T39" i="107" s="1"/>
  <c r="S19" i="107"/>
  <c r="S39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Z15" i="107"/>
  <c r="Z35" i="107" s="1"/>
  <c r="Y15" i="107"/>
  <c r="Y35" i="107" s="1"/>
  <c r="X15" i="107"/>
  <c r="W15" i="107"/>
  <c r="V15" i="107"/>
  <c r="U15" i="107"/>
  <c r="T15" i="107"/>
  <c r="S15" i="107"/>
  <c r="AF14" i="107"/>
  <c r="AF38" i="107" s="1"/>
  <c r="AE14" i="107"/>
  <c r="AE38" i="107" s="1"/>
  <c r="AD14" i="107"/>
  <c r="AC14" i="107"/>
  <c r="AB14" i="107"/>
  <c r="AA14" i="107"/>
  <c r="Z14" i="107"/>
  <c r="Y14" i="107"/>
  <c r="X14" i="107"/>
  <c r="X38" i="107" s="1"/>
  <c r="W14" i="107"/>
  <c r="W38" i="107" s="1"/>
  <c r="V14" i="107"/>
  <c r="U14" i="107"/>
  <c r="T14" i="107"/>
  <c r="S14" i="107"/>
  <c r="AF13" i="107"/>
  <c r="AF35" i="107" s="1"/>
  <c r="AE13" i="107"/>
  <c r="AE35" i="107" s="1"/>
  <c r="AD13" i="107"/>
  <c r="AD38" i="107" s="1"/>
  <c r="AC13" i="107"/>
  <c r="AC38" i="107" s="1"/>
  <c r="AB13" i="107"/>
  <c r="AB38" i="107" s="1"/>
  <c r="AA13" i="107"/>
  <c r="AA38" i="107" s="1"/>
  <c r="Z13" i="107"/>
  <c r="Z38" i="107" s="1"/>
  <c r="Y13" i="107"/>
  <c r="Y38" i="107" s="1"/>
  <c r="X13" i="107"/>
  <c r="X35" i="107" s="1"/>
  <c r="W13" i="107"/>
  <c r="W35" i="107" s="1"/>
  <c r="V13" i="107"/>
  <c r="V38" i="107" s="1"/>
  <c r="U13" i="107"/>
  <c r="U38" i="107" s="1"/>
  <c r="T13" i="107"/>
  <c r="T38" i="107" s="1"/>
  <c r="S13" i="107"/>
  <c r="S38" i="107" s="1"/>
  <c r="AF12" i="107"/>
  <c r="AE12" i="107"/>
  <c r="AD12" i="107"/>
  <c r="AC12" i="107"/>
  <c r="AB12" i="107"/>
  <c r="AB40" i="107" s="1"/>
  <c r="AA12" i="107"/>
  <c r="AA40" i="107" s="1"/>
  <c r="Z12" i="107"/>
  <c r="Y12" i="107"/>
  <c r="X12" i="107"/>
  <c r="W12" i="107"/>
  <c r="V12" i="107"/>
  <c r="U12" i="107"/>
  <c r="T12" i="107"/>
  <c r="T40" i="107" s="1"/>
  <c r="S12" i="107"/>
  <c r="S40" i="107" s="1"/>
  <c r="AF11" i="107"/>
  <c r="AE11" i="107"/>
  <c r="AD11" i="107"/>
  <c r="AC11" i="107"/>
  <c r="AB11" i="107"/>
  <c r="AA11" i="107"/>
  <c r="Z11" i="107"/>
  <c r="Y11" i="107"/>
  <c r="X11" i="107"/>
  <c r="W11" i="107"/>
  <c r="V11" i="107"/>
  <c r="U11" i="107"/>
  <c r="T11" i="107"/>
  <c r="S11" i="107"/>
  <c r="AF10" i="107"/>
  <c r="AF40" i="107" s="1"/>
  <c r="AE10" i="107"/>
  <c r="AE40" i="107" s="1"/>
  <c r="AD10" i="107"/>
  <c r="AD34" i="107" s="1"/>
  <c r="AC10" i="107"/>
  <c r="AC34" i="107" s="1"/>
  <c r="AB10" i="107"/>
  <c r="AB41" i="107" s="1"/>
  <c r="AB42" i="107" s="1"/>
  <c r="AA10" i="107"/>
  <c r="AA41" i="107" s="1"/>
  <c r="Z10" i="107"/>
  <c r="Z40" i="107" s="1"/>
  <c r="Y10" i="107"/>
  <c r="Y40" i="107" s="1"/>
  <c r="X10" i="107"/>
  <c r="X40" i="107" s="1"/>
  <c r="W10" i="107"/>
  <c r="W40" i="107" s="1"/>
  <c r="V10" i="107"/>
  <c r="V34" i="107" s="1"/>
  <c r="U10" i="107"/>
  <c r="U34" i="107" s="1"/>
  <c r="T10" i="107"/>
  <c r="T41" i="107" s="1"/>
  <c r="T42" i="107" s="1"/>
  <c r="S10" i="107"/>
  <c r="S41" i="107" s="1"/>
  <c r="AD37" i="108"/>
  <c r="V37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AF31" i="108"/>
  <c r="AE31" i="108"/>
  <c r="AD31" i="108"/>
  <c r="AC31" i="108"/>
  <c r="AB31" i="108"/>
  <c r="AA31" i="108"/>
  <c r="Z31" i="108"/>
  <c r="Y31" i="108"/>
  <c r="X31" i="108"/>
  <c r="W31" i="108"/>
  <c r="V31" i="108"/>
  <c r="U31" i="108"/>
  <c r="T31" i="108"/>
  <c r="S31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D36" i="108" s="1"/>
  <c r="AC20" i="108"/>
  <c r="AC36" i="108" s="1"/>
  <c r="AB20" i="108"/>
  <c r="AB36" i="108" s="1"/>
  <c r="AA20" i="108"/>
  <c r="Z20" i="108"/>
  <c r="Y20" i="108"/>
  <c r="X20" i="108"/>
  <c r="W20" i="108"/>
  <c r="V20" i="108"/>
  <c r="V36" i="108" s="1"/>
  <c r="U20" i="108"/>
  <c r="U36" i="108" s="1"/>
  <c r="T20" i="108"/>
  <c r="T36" i="108" s="1"/>
  <c r="S20" i="108"/>
  <c r="AF19" i="108"/>
  <c r="AF39" i="108" s="1"/>
  <c r="AE19" i="108"/>
  <c r="AE39" i="108" s="1"/>
  <c r="AD19" i="108"/>
  <c r="AD39" i="108" s="1"/>
  <c r="AC19" i="108"/>
  <c r="AC39" i="108" s="1"/>
  <c r="AB19" i="108"/>
  <c r="AB39" i="108" s="1"/>
  <c r="AA19" i="108"/>
  <c r="AA36" i="108" s="1"/>
  <c r="Z19" i="108"/>
  <c r="Z36" i="108" s="1"/>
  <c r="Y19" i="108"/>
  <c r="Y39" i="108" s="1"/>
  <c r="X19" i="108"/>
  <c r="X39" i="108" s="1"/>
  <c r="W19" i="108"/>
  <c r="W39" i="108" s="1"/>
  <c r="V19" i="108"/>
  <c r="V39" i="108" s="1"/>
  <c r="U19" i="108"/>
  <c r="U39" i="108" s="1"/>
  <c r="T19" i="108"/>
  <c r="T39" i="108" s="1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B35" i="108" s="1"/>
  <c r="AA15" i="108"/>
  <c r="AA35" i="108" s="1"/>
  <c r="Z15" i="108"/>
  <c r="Z35" i="108" s="1"/>
  <c r="Y15" i="108"/>
  <c r="X15" i="108"/>
  <c r="W15" i="108"/>
  <c r="V15" i="108"/>
  <c r="U15" i="108"/>
  <c r="T15" i="108"/>
  <c r="T35" i="108" s="1"/>
  <c r="S15" i="108"/>
  <c r="S35" i="108" s="1"/>
  <c r="AF14" i="108"/>
  <c r="AF38" i="108" s="1"/>
  <c r="AE14" i="108"/>
  <c r="AD14" i="108"/>
  <c r="AC14" i="108"/>
  <c r="AB14" i="108"/>
  <c r="AA14" i="108"/>
  <c r="Z14" i="108"/>
  <c r="Y14" i="108"/>
  <c r="X14" i="108"/>
  <c r="X38" i="108" s="1"/>
  <c r="W14" i="108"/>
  <c r="V14" i="108"/>
  <c r="U14" i="108"/>
  <c r="T14" i="108"/>
  <c r="S14" i="108"/>
  <c r="AF13" i="108"/>
  <c r="AF35" i="108" s="1"/>
  <c r="AE13" i="108"/>
  <c r="AE38" i="108" s="1"/>
  <c r="AD13" i="108"/>
  <c r="AD38" i="108" s="1"/>
  <c r="AC13" i="108"/>
  <c r="AC38" i="108" s="1"/>
  <c r="AB13" i="108"/>
  <c r="AB38" i="108" s="1"/>
  <c r="AA13" i="108"/>
  <c r="AA38" i="108" s="1"/>
  <c r="Z13" i="108"/>
  <c r="Z38" i="108" s="1"/>
  <c r="Y13" i="108"/>
  <c r="Y35" i="108" s="1"/>
  <c r="X13" i="108"/>
  <c r="X35" i="108" s="1"/>
  <c r="W13" i="108"/>
  <c r="W38" i="108" s="1"/>
  <c r="V13" i="108"/>
  <c r="V38" i="108" s="1"/>
  <c r="U13" i="108"/>
  <c r="U38" i="108" s="1"/>
  <c r="T13" i="108"/>
  <c r="T38" i="108" s="1"/>
  <c r="S13" i="108"/>
  <c r="S38" i="108" s="1"/>
  <c r="AF12" i="108"/>
  <c r="AE12" i="108"/>
  <c r="AD12" i="108"/>
  <c r="AC12" i="108"/>
  <c r="AB12" i="108"/>
  <c r="AB40" i="108" s="1"/>
  <c r="AA12" i="108"/>
  <c r="Z12" i="108"/>
  <c r="Y12" i="108"/>
  <c r="X12" i="108"/>
  <c r="W12" i="108"/>
  <c r="V12" i="108"/>
  <c r="U12" i="108"/>
  <c r="T12" i="108"/>
  <c r="T40" i="108" s="1"/>
  <c r="S12" i="108"/>
  <c r="AF11" i="108"/>
  <c r="AE11" i="108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34" i="108" s="1"/>
  <c r="AE10" i="108"/>
  <c r="AE34" i="108" s="1"/>
  <c r="AD10" i="108"/>
  <c r="AD34" i="108" s="1"/>
  <c r="AC10" i="108"/>
  <c r="AC41" i="108" s="1"/>
  <c r="AB10" i="108"/>
  <c r="AB41" i="108" s="1"/>
  <c r="AA10" i="108"/>
  <c r="AA40" i="108" s="1"/>
  <c r="Z10" i="108"/>
  <c r="Z40" i="108" s="1"/>
  <c r="Y10" i="108"/>
  <c r="Y40" i="108" s="1"/>
  <c r="X10" i="108"/>
  <c r="X40" i="108" s="1"/>
  <c r="W10" i="108"/>
  <c r="W34" i="108" s="1"/>
  <c r="V10" i="108"/>
  <c r="V34" i="108" s="1"/>
  <c r="U10" i="108"/>
  <c r="U41" i="108" s="1"/>
  <c r="T10" i="108"/>
  <c r="T41" i="108" s="1"/>
  <c r="S10" i="108"/>
  <c r="S40" i="108" s="1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O62" i="107"/>
  <c r="O63" i="107"/>
  <c r="O64" i="107"/>
  <c r="O65" i="107"/>
  <c r="O66" i="107"/>
  <c r="O67" i="107"/>
  <c r="O68" i="107"/>
  <c r="O69" i="107"/>
  <c r="O70" i="107"/>
  <c r="O71" i="107"/>
  <c r="O72" i="107"/>
  <c r="O73" i="107"/>
  <c r="O74" i="107"/>
  <c r="O75" i="107"/>
  <c r="O76" i="107"/>
  <c r="O77" i="107"/>
  <c r="O78" i="107"/>
  <c r="O79" i="107"/>
  <c r="O80" i="107"/>
  <c r="O81" i="107"/>
  <c r="O82" i="107"/>
  <c r="O83" i="107"/>
  <c r="O84" i="107"/>
  <c r="O85" i="107"/>
  <c r="O86" i="107"/>
  <c r="O87" i="107"/>
  <c r="O88" i="107"/>
  <c r="O89" i="107"/>
  <c r="O90" i="107"/>
  <c r="O91" i="107"/>
  <c r="O92" i="107"/>
  <c r="O93" i="107"/>
  <c r="O94" i="107"/>
  <c r="O95" i="107"/>
  <c r="O96" i="107"/>
  <c r="O97" i="107"/>
  <c r="O98" i="107"/>
  <c r="O99" i="107"/>
  <c r="O100" i="107"/>
  <c r="O101" i="107"/>
  <c r="O102" i="107"/>
  <c r="O103" i="107"/>
  <c r="O104" i="107"/>
  <c r="O105" i="107"/>
  <c r="O58" i="107"/>
  <c r="O59" i="107"/>
  <c r="O60" i="107"/>
  <c r="O61" i="107"/>
  <c r="D58" i="107"/>
  <c r="E58" i="107"/>
  <c r="F58" i="107"/>
  <c r="G58" i="107"/>
  <c r="H58" i="107"/>
  <c r="I58" i="107"/>
  <c r="J58" i="107"/>
  <c r="K58" i="107"/>
  <c r="L58" i="107"/>
  <c r="M58" i="107"/>
  <c r="N58" i="107"/>
  <c r="D59" i="107"/>
  <c r="E59" i="107"/>
  <c r="F59" i="107"/>
  <c r="G59" i="107"/>
  <c r="H59" i="107"/>
  <c r="I59" i="107"/>
  <c r="J59" i="107"/>
  <c r="K59" i="107"/>
  <c r="L59" i="107"/>
  <c r="M59" i="107"/>
  <c r="N59" i="107"/>
  <c r="D60" i="107"/>
  <c r="E60" i="107"/>
  <c r="F60" i="107"/>
  <c r="G60" i="107"/>
  <c r="H60" i="107"/>
  <c r="I60" i="107"/>
  <c r="J60" i="107"/>
  <c r="K60" i="107"/>
  <c r="L60" i="107"/>
  <c r="M60" i="107"/>
  <c r="N60" i="107"/>
  <c r="D61" i="107"/>
  <c r="E61" i="107"/>
  <c r="F61" i="107"/>
  <c r="G61" i="107"/>
  <c r="H61" i="107"/>
  <c r="I61" i="107"/>
  <c r="J61" i="107"/>
  <c r="K61" i="107"/>
  <c r="L61" i="107"/>
  <c r="M61" i="107"/>
  <c r="N61" i="107"/>
  <c r="D62" i="107"/>
  <c r="E62" i="107"/>
  <c r="F62" i="107"/>
  <c r="G62" i="107"/>
  <c r="H62" i="107"/>
  <c r="I62" i="107"/>
  <c r="J62" i="107"/>
  <c r="K62" i="107"/>
  <c r="L62" i="107"/>
  <c r="M62" i="107"/>
  <c r="N62" i="107"/>
  <c r="D63" i="107"/>
  <c r="E63" i="107"/>
  <c r="F63" i="107"/>
  <c r="G63" i="107"/>
  <c r="H63" i="107"/>
  <c r="I63" i="107"/>
  <c r="J63" i="107"/>
  <c r="K63" i="107"/>
  <c r="L63" i="107"/>
  <c r="M63" i="107"/>
  <c r="N63" i="107"/>
  <c r="D64" i="107"/>
  <c r="E64" i="107"/>
  <c r="F64" i="107"/>
  <c r="G64" i="107"/>
  <c r="H64" i="107"/>
  <c r="I64" i="107"/>
  <c r="J64" i="107"/>
  <c r="K64" i="107"/>
  <c r="L64" i="107"/>
  <c r="M64" i="107"/>
  <c r="N64" i="107"/>
  <c r="D65" i="107"/>
  <c r="E65" i="107"/>
  <c r="F65" i="107"/>
  <c r="G65" i="107"/>
  <c r="H65" i="107"/>
  <c r="I65" i="107"/>
  <c r="J65" i="107"/>
  <c r="K65" i="107"/>
  <c r="L65" i="107"/>
  <c r="M65" i="107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E67" i="107"/>
  <c r="F67" i="107"/>
  <c r="G67" i="107"/>
  <c r="H67" i="107"/>
  <c r="I67" i="107"/>
  <c r="J67" i="107"/>
  <c r="K67" i="107"/>
  <c r="L67" i="107"/>
  <c r="M67" i="107"/>
  <c r="N67" i="107"/>
  <c r="D68" i="107"/>
  <c r="E68" i="107"/>
  <c r="F68" i="107"/>
  <c r="G68" i="107"/>
  <c r="H68" i="107"/>
  <c r="I68" i="107"/>
  <c r="J68" i="107"/>
  <c r="K68" i="107"/>
  <c r="L68" i="107"/>
  <c r="M68" i="107"/>
  <c r="N68" i="107"/>
  <c r="D69" i="107"/>
  <c r="E69" i="107"/>
  <c r="F69" i="107"/>
  <c r="G69" i="107"/>
  <c r="H69" i="107"/>
  <c r="I69" i="107"/>
  <c r="J69" i="107"/>
  <c r="K69" i="107"/>
  <c r="L69" i="107"/>
  <c r="M69" i="107"/>
  <c r="N69" i="107"/>
  <c r="D70" i="107"/>
  <c r="E70" i="107"/>
  <c r="F70" i="107"/>
  <c r="G70" i="107"/>
  <c r="H70" i="107"/>
  <c r="I70" i="107"/>
  <c r="J70" i="107"/>
  <c r="K70" i="107"/>
  <c r="L70" i="107"/>
  <c r="M70" i="107"/>
  <c r="N70" i="107"/>
  <c r="D71" i="107"/>
  <c r="E71" i="107"/>
  <c r="F71" i="107"/>
  <c r="G71" i="107"/>
  <c r="H71" i="107"/>
  <c r="I71" i="107"/>
  <c r="J71" i="107"/>
  <c r="K71" i="107"/>
  <c r="L71" i="107"/>
  <c r="M71" i="107"/>
  <c r="N71" i="107"/>
  <c r="D72" i="107"/>
  <c r="E72" i="107"/>
  <c r="F72" i="107"/>
  <c r="G72" i="107"/>
  <c r="H72" i="107"/>
  <c r="I72" i="107"/>
  <c r="J72" i="107"/>
  <c r="K72" i="107"/>
  <c r="L72" i="107"/>
  <c r="M72" i="107"/>
  <c r="N72" i="107"/>
  <c r="D73" i="107"/>
  <c r="E73" i="107"/>
  <c r="F73" i="107"/>
  <c r="G73" i="107"/>
  <c r="H73" i="107"/>
  <c r="I73" i="107"/>
  <c r="J73" i="107"/>
  <c r="K73" i="107"/>
  <c r="L73" i="107"/>
  <c r="M73" i="107"/>
  <c r="N73" i="107"/>
  <c r="D74" i="107"/>
  <c r="E74" i="107"/>
  <c r="F74" i="107"/>
  <c r="G74" i="107"/>
  <c r="H74" i="107"/>
  <c r="I74" i="107"/>
  <c r="J74" i="107"/>
  <c r="K74" i="107"/>
  <c r="L74" i="107"/>
  <c r="M74" i="107"/>
  <c r="N74" i="107"/>
  <c r="D75" i="107"/>
  <c r="E75" i="107"/>
  <c r="F75" i="107"/>
  <c r="G75" i="107"/>
  <c r="H75" i="107"/>
  <c r="I75" i="107"/>
  <c r="J75" i="107"/>
  <c r="K75" i="107"/>
  <c r="L75" i="107"/>
  <c r="M75" i="107"/>
  <c r="N75" i="107"/>
  <c r="D76" i="107"/>
  <c r="E76" i="107"/>
  <c r="F76" i="107"/>
  <c r="G76" i="107"/>
  <c r="H76" i="107"/>
  <c r="I76" i="107"/>
  <c r="J76" i="107"/>
  <c r="K76" i="107"/>
  <c r="L76" i="107"/>
  <c r="M76" i="107"/>
  <c r="N76" i="107"/>
  <c r="D77" i="107"/>
  <c r="E77" i="107"/>
  <c r="F77" i="107"/>
  <c r="G77" i="107"/>
  <c r="H77" i="107"/>
  <c r="I77" i="107"/>
  <c r="J77" i="107"/>
  <c r="K77" i="107"/>
  <c r="L77" i="107"/>
  <c r="M77" i="107"/>
  <c r="N77" i="107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F79" i="107"/>
  <c r="G79" i="107"/>
  <c r="H79" i="107"/>
  <c r="I79" i="107"/>
  <c r="J79" i="107"/>
  <c r="K79" i="107"/>
  <c r="L79" i="107"/>
  <c r="M79" i="107"/>
  <c r="N79" i="107"/>
  <c r="D80" i="107"/>
  <c r="E80" i="107"/>
  <c r="F80" i="107"/>
  <c r="G80" i="107"/>
  <c r="H80" i="107"/>
  <c r="I80" i="107"/>
  <c r="J80" i="107"/>
  <c r="K80" i="107"/>
  <c r="L80" i="107"/>
  <c r="M80" i="107"/>
  <c r="N80" i="107"/>
  <c r="D81" i="107"/>
  <c r="E81" i="107"/>
  <c r="F81" i="107"/>
  <c r="G81" i="107"/>
  <c r="H81" i="107"/>
  <c r="I81" i="107"/>
  <c r="J81" i="107"/>
  <c r="K81" i="107"/>
  <c r="L81" i="107"/>
  <c r="M81" i="107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E83" i="107"/>
  <c r="F83" i="107"/>
  <c r="G83" i="107"/>
  <c r="H83" i="107"/>
  <c r="I83" i="107"/>
  <c r="J83" i="107"/>
  <c r="K83" i="107"/>
  <c r="L83" i="107"/>
  <c r="M83" i="107"/>
  <c r="N83" i="107"/>
  <c r="D84" i="107"/>
  <c r="E84" i="107"/>
  <c r="F84" i="107"/>
  <c r="G84" i="107"/>
  <c r="H84" i="107"/>
  <c r="I84" i="107"/>
  <c r="J84" i="107"/>
  <c r="K84" i="107"/>
  <c r="L84" i="107"/>
  <c r="M84" i="107"/>
  <c r="N84" i="107"/>
  <c r="D85" i="107"/>
  <c r="E85" i="107"/>
  <c r="F85" i="107"/>
  <c r="G85" i="107"/>
  <c r="H85" i="107"/>
  <c r="I85" i="107"/>
  <c r="J85" i="107"/>
  <c r="K85" i="107"/>
  <c r="L85" i="107"/>
  <c r="M85" i="107"/>
  <c r="N85" i="107"/>
  <c r="D86" i="107"/>
  <c r="E86" i="107"/>
  <c r="F86" i="107"/>
  <c r="G86" i="107"/>
  <c r="H86" i="107"/>
  <c r="I86" i="107"/>
  <c r="J86" i="107"/>
  <c r="K86" i="107"/>
  <c r="L86" i="107"/>
  <c r="M86" i="107"/>
  <c r="N86" i="107"/>
  <c r="D87" i="107"/>
  <c r="E87" i="107"/>
  <c r="F87" i="107"/>
  <c r="G87" i="107"/>
  <c r="H87" i="107"/>
  <c r="I87" i="107"/>
  <c r="J87" i="107"/>
  <c r="K87" i="107"/>
  <c r="L87" i="107"/>
  <c r="M87" i="107"/>
  <c r="N87" i="107"/>
  <c r="D88" i="107"/>
  <c r="E88" i="107"/>
  <c r="F88" i="107"/>
  <c r="G88" i="107"/>
  <c r="H88" i="107"/>
  <c r="I88" i="107"/>
  <c r="J88" i="107"/>
  <c r="K88" i="107"/>
  <c r="L88" i="107"/>
  <c r="M88" i="107"/>
  <c r="N88" i="107"/>
  <c r="D89" i="107"/>
  <c r="E89" i="107"/>
  <c r="F89" i="107"/>
  <c r="G89" i="107"/>
  <c r="H89" i="107"/>
  <c r="I89" i="107"/>
  <c r="J89" i="107"/>
  <c r="K89" i="107"/>
  <c r="L89" i="107"/>
  <c r="M89" i="107"/>
  <c r="N89" i="107"/>
  <c r="D90" i="107"/>
  <c r="E90" i="107"/>
  <c r="F90" i="107"/>
  <c r="G90" i="107"/>
  <c r="H90" i="107"/>
  <c r="I90" i="107"/>
  <c r="J90" i="107"/>
  <c r="K90" i="107"/>
  <c r="L90" i="107"/>
  <c r="M90" i="107"/>
  <c r="N90" i="107"/>
  <c r="D91" i="107"/>
  <c r="E91" i="107"/>
  <c r="F91" i="107"/>
  <c r="G91" i="107"/>
  <c r="H91" i="107"/>
  <c r="I91" i="107"/>
  <c r="J91" i="107"/>
  <c r="K91" i="107"/>
  <c r="L91" i="107"/>
  <c r="M91" i="107"/>
  <c r="N91" i="107"/>
  <c r="D92" i="107"/>
  <c r="E92" i="107"/>
  <c r="F92" i="107"/>
  <c r="G92" i="107"/>
  <c r="H92" i="107"/>
  <c r="I92" i="107"/>
  <c r="J92" i="107"/>
  <c r="K92" i="107"/>
  <c r="L92" i="107"/>
  <c r="M92" i="107"/>
  <c r="N92" i="107"/>
  <c r="D93" i="107"/>
  <c r="E93" i="107"/>
  <c r="F93" i="107"/>
  <c r="G93" i="107"/>
  <c r="H93" i="107"/>
  <c r="I93" i="107"/>
  <c r="J93" i="107"/>
  <c r="K93" i="107"/>
  <c r="L93" i="107"/>
  <c r="M93" i="107"/>
  <c r="N93" i="107"/>
  <c r="D94" i="107"/>
  <c r="E94" i="107"/>
  <c r="F94" i="107"/>
  <c r="G94" i="107"/>
  <c r="H94" i="107"/>
  <c r="I94" i="107"/>
  <c r="J94" i="107"/>
  <c r="K94" i="107"/>
  <c r="L94" i="107"/>
  <c r="M94" i="107"/>
  <c r="N94" i="107"/>
  <c r="D95" i="107"/>
  <c r="E95" i="107"/>
  <c r="F95" i="107"/>
  <c r="G95" i="107"/>
  <c r="H95" i="107"/>
  <c r="I95" i="107"/>
  <c r="J95" i="107"/>
  <c r="K95" i="107"/>
  <c r="L95" i="107"/>
  <c r="M95" i="107"/>
  <c r="N95" i="107"/>
  <c r="D96" i="107"/>
  <c r="E96" i="107"/>
  <c r="F96" i="107"/>
  <c r="G96" i="107"/>
  <c r="H96" i="107"/>
  <c r="I96" i="107"/>
  <c r="J96" i="107"/>
  <c r="K96" i="107"/>
  <c r="L96" i="107"/>
  <c r="M96" i="107"/>
  <c r="N96" i="107"/>
  <c r="D97" i="107"/>
  <c r="E97" i="107"/>
  <c r="F97" i="107"/>
  <c r="G97" i="107"/>
  <c r="H97" i="107"/>
  <c r="I97" i="107"/>
  <c r="J97" i="107"/>
  <c r="K97" i="107"/>
  <c r="L97" i="107"/>
  <c r="M97" i="107"/>
  <c r="N97" i="107"/>
  <c r="D98" i="107"/>
  <c r="E98" i="107"/>
  <c r="F98" i="107"/>
  <c r="G98" i="107"/>
  <c r="H98" i="107"/>
  <c r="I98" i="107"/>
  <c r="J98" i="107"/>
  <c r="K98" i="107"/>
  <c r="L98" i="107"/>
  <c r="M98" i="107"/>
  <c r="N98" i="107"/>
  <c r="D99" i="107"/>
  <c r="E99" i="107"/>
  <c r="F99" i="107"/>
  <c r="G99" i="107"/>
  <c r="H99" i="107"/>
  <c r="I99" i="107"/>
  <c r="J99" i="107"/>
  <c r="K99" i="107"/>
  <c r="L99" i="107"/>
  <c r="M99" i="107"/>
  <c r="N99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D101" i="107"/>
  <c r="E101" i="107"/>
  <c r="F101" i="107"/>
  <c r="G101" i="107"/>
  <c r="H101" i="107"/>
  <c r="I101" i="107"/>
  <c r="J101" i="107"/>
  <c r="K101" i="107"/>
  <c r="L101" i="107"/>
  <c r="M101" i="107"/>
  <c r="N101" i="107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58" i="107"/>
  <c r="P58" i="108"/>
  <c r="P59" i="108"/>
  <c r="P60" i="108"/>
  <c r="P61" i="108"/>
  <c r="P62" i="108"/>
  <c r="P63" i="108"/>
  <c r="P64" i="108"/>
  <c r="P65" i="108"/>
  <c r="P66" i="108"/>
  <c r="P67" i="108"/>
  <c r="P68" i="108"/>
  <c r="P69" i="108"/>
  <c r="P70" i="108"/>
  <c r="P71" i="108"/>
  <c r="P72" i="108"/>
  <c r="P73" i="108"/>
  <c r="P74" i="108"/>
  <c r="P75" i="108"/>
  <c r="P76" i="108"/>
  <c r="P77" i="108"/>
  <c r="P78" i="108"/>
  <c r="P79" i="108"/>
  <c r="P80" i="108"/>
  <c r="P81" i="108"/>
  <c r="P82" i="108"/>
  <c r="P83" i="108"/>
  <c r="P84" i="108"/>
  <c r="P85" i="108"/>
  <c r="P86" i="108"/>
  <c r="P87" i="108"/>
  <c r="P88" i="108"/>
  <c r="P89" i="108"/>
  <c r="P90" i="108"/>
  <c r="P91" i="108"/>
  <c r="P92" i="108"/>
  <c r="P93" i="108"/>
  <c r="P94" i="108"/>
  <c r="P95" i="108"/>
  <c r="P96" i="108"/>
  <c r="P97" i="108"/>
  <c r="P98" i="108"/>
  <c r="P99" i="108"/>
  <c r="P100" i="108"/>
  <c r="P101" i="108"/>
  <c r="P102" i="108"/>
  <c r="P103" i="108"/>
  <c r="P104" i="108"/>
  <c r="P105" i="108"/>
  <c r="P57" i="108"/>
  <c r="O60" i="108"/>
  <c r="O61" i="108"/>
  <c r="O62" i="108"/>
  <c r="O63" i="108"/>
  <c r="O64" i="108"/>
  <c r="O65" i="108"/>
  <c r="O66" i="108"/>
  <c r="O67" i="108"/>
  <c r="O68" i="108"/>
  <c r="O69" i="108"/>
  <c r="O70" i="108"/>
  <c r="O71" i="108"/>
  <c r="O72" i="108"/>
  <c r="O73" i="108"/>
  <c r="O74" i="108"/>
  <c r="O75" i="108"/>
  <c r="O76" i="108"/>
  <c r="O77" i="108"/>
  <c r="O78" i="108"/>
  <c r="O79" i="108"/>
  <c r="O80" i="108"/>
  <c r="O81" i="108"/>
  <c r="O82" i="108"/>
  <c r="O83" i="108"/>
  <c r="O84" i="108"/>
  <c r="O85" i="108"/>
  <c r="O86" i="108"/>
  <c r="O87" i="108"/>
  <c r="O88" i="108"/>
  <c r="O89" i="108"/>
  <c r="O90" i="108"/>
  <c r="O91" i="108"/>
  <c r="O92" i="108"/>
  <c r="O93" i="108"/>
  <c r="O94" i="108"/>
  <c r="O95" i="108"/>
  <c r="O96" i="108"/>
  <c r="O97" i="108"/>
  <c r="O98" i="108"/>
  <c r="O99" i="108"/>
  <c r="O100" i="108"/>
  <c r="O101" i="108"/>
  <c r="O102" i="108"/>
  <c r="O103" i="108"/>
  <c r="O104" i="108"/>
  <c r="O105" i="108"/>
  <c r="O58" i="108"/>
  <c r="O59" i="108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U27" i="111" l="1"/>
  <c r="AD26" i="111"/>
  <c r="V26" i="111"/>
  <c r="Z25" i="111"/>
  <c r="AC25" i="111"/>
  <c r="U25" i="111"/>
  <c r="AD24" i="111"/>
  <c r="V24" i="111"/>
  <c r="Y24" i="111"/>
  <c r="Z23" i="111"/>
  <c r="AC23" i="111"/>
  <c r="U23" i="111"/>
  <c r="Y22" i="111"/>
  <c r="S29" i="111"/>
  <c r="S31" i="111"/>
  <c r="S27" i="111"/>
  <c r="S23" i="111"/>
  <c r="S42" i="107"/>
  <c r="AA42" i="107"/>
  <c r="AE34" i="107"/>
  <c r="U41" i="107"/>
  <c r="U42" i="107" s="1"/>
  <c r="AF34" i="107"/>
  <c r="Y34" i="107"/>
  <c r="S35" i="107"/>
  <c r="AA35" i="107"/>
  <c r="U36" i="107"/>
  <c r="AC36" i="107"/>
  <c r="W37" i="107"/>
  <c r="AE37" i="107"/>
  <c r="U40" i="107"/>
  <c r="AC40" i="107"/>
  <c r="W41" i="107"/>
  <c r="W42" i="107" s="1"/>
  <c r="AE41" i="107"/>
  <c r="AE42" i="107" s="1"/>
  <c r="Z34" i="107"/>
  <c r="T35" i="107"/>
  <c r="AB35" i="107"/>
  <c r="V36" i="107"/>
  <c r="AD36" i="107"/>
  <c r="X37" i="107"/>
  <c r="AF37" i="107"/>
  <c r="V40" i="107"/>
  <c r="AD40" i="107"/>
  <c r="X41" i="107"/>
  <c r="X42" i="107" s="1"/>
  <c r="AF41" i="107"/>
  <c r="AF42" i="107" s="1"/>
  <c r="W34" i="107"/>
  <c r="Y39" i="107"/>
  <c r="X34" i="107"/>
  <c r="AD41" i="107"/>
  <c r="AD42" i="107" s="1"/>
  <c r="S34" i="107"/>
  <c r="AA34" i="107"/>
  <c r="U35" i="107"/>
  <c r="AC35" i="107"/>
  <c r="W36" i="107"/>
  <c r="AE36" i="107"/>
  <c r="Y37" i="107"/>
  <c r="Y41" i="107"/>
  <c r="Y42" i="107" s="1"/>
  <c r="T34" i="107"/>
  <c r="AB34" i="107"/>
  <c r="V35" i="107"/>
  <c r="AD35" i="107"/>
  <c r="X36" i="107"/>
  <c r="AF36" i="107"/>
  <c r="Z37" i="107"/>
  <c r="Z41" i="107"/>
  <c r="Z42" i="107" s="1"/>
  <c r="AC41" i="107"/>
  <c r="AC42" i="107" s="1"/>
  <c r="V41" i="107"/>
  <c r="S37" i="107"/>
  <c r="AA37" i="107"/>
  <c r="Z39" i="107"/>
  <c r="T37" i="107"/>
  <c r="AB37" i="107"/>
  <c r="T42" i="108"/>
  <c r="AB42" i="108"/>
  <c r="X34" i="108"/>
  <c r="Y34" i="108"/>
  <c r="W37" i="108"/>
  <c r="AE37" i="108"/>
  <c r="Y38" i="108"/>
  <c r="S39" i="108"/>
  <c r="AA39" i="108"/>
  <c r="U40" i="108"/>
  <c r="U42" i="108" s="1"/>
  <c r="AC40" i="108"/>
  <c r="AC42" i="108" s="1"/>
  <c r="W41" i="108"/>
  <c r="AE41" i="108"/>
  <c r="Z34" i="108"/>
  <c r="X37" i="108"/>
  <c r="AF37" i="108"/>
  <c r="V40" i="108"/>
  <c r="AD40" i="108"/>
  <c r="X41" i="108"/>
  <c r="X42" i="108" s="1"/>
  <c r="AF41" i="108"/>
  <c r="AF42" i="108" s="1"/>
  <c r="S34" i="108"/>
  <c r="AA34" i="108"/>
  <c r="U35" i="108"/>
  <c r="AC35" i="108"/>
  <c r="W36" i="108"/>
  <c r="AE36" i="108"/>
  <c r="Y37" i="108"/>
  <c r="W40" i="108"/>
  <c r="AE40" i="108"/>
  <c r="Y41" i="108"/>
  <c r="Y42" i="108" s="1"/>
  <c r="Z39" i="108"/>
  <c r="T34" i="108"/>
  <c r="AB34" i="108"/>
  <c r="V35" i="108"/>
  <c r="AD35" i="108"/>
  <c r="X36" i="108"/>
  <c r="AF36" i="108"/>
  <c r="Z37" i="108"/>
  <c r="AF40" i="108"/>
  <c r="Z41" i="108"/>
  <c r="Z42" i="108" s="1"/>
  <c r="AD41" i="108"/>
  <c r="AD42" i="108" s="1"/>
  <c r="U34" i="108"/>
  <c r="AC34" i="108"/>
  <c r="W35" i="108"/>
  <c r="AE35" i="108"/>
  <c r="Y36" i="108"/>
  <c r="S37" i="108"/>
  <c r="AA37" i="108"/>
  <c r="S41" i="108"/>
  <c r="S42" i="108" s="1"/>
  <c r="AA41" i="108"/>
  <c r="AA42" i="108" s="1"/>
  <c r="V41" i="108"/>
  <c r="V42" i="108" s="1"/>
  <c r="T37" i="108"/>
  <c r="AB37" i="108"/>
  <c r="U37" i="108"/>
  <c r="AC37" i="108"/>
  <c r="O81" i="105"/>
  <c r="V42" i="107" l="1"/>
  <c r="AE42" i="108"/>
  <c r="W42" i="108"/>
  <c r="O98" i="101"/>
  <c r="O20" i="101"/>
  <c r="P20" i="101"/>
  <c r="O17" i="101"/>
  <c r="C3" i="94" l="1"/>
  <c r="K6" i="98" l="1"/>
  <c r="K6" i="99" s="1"/>
  <c r="K6" i="100" s="1"/>
  <c r="K6" i="101" s="1"/>
  <c r="K6" i="109" s="1"/>
  <c r="K6" i="105" s="1"/>
  <c r="K6" i="110" s="1"/>
  <c r="K6" i="103" s="1"/>
  <c r="K5" i="103"/>
  <c r="G5" i="98"/>
  <c r="G5" i="99" s="1"/>
  <c r="G5" i="100" s="1"/>
  <c r="G5" i="101" s="1"/>
  <c r="G5" i="109" s="1"/>
  <c r="G5" i="105" s="1"/>
  <c r="G5" i="110" s="1"/>
  <c r="G5" i="103" s="1"/>
  <c r="K6" i="97"/>
  <c r="G5" i="97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D6" i="104"/>
  <c r="D6" i="108" s="1"/>
  <c r="D6" i="110"/>
  <c r="D6" i="109"/>
  <c r="D6" i="100"/>
  <c r="D6" i="98"/>
  <c r="D6" i="103"/>
  <c r="D6" i="107" s="1"/>
  <c r="D6" i="105"/>
  <c r="D6" i="101"/>
  <c r="D6" i="99"/>
  <c r="D6" i="97"/>
  <c r="D6" i="95"/>
  <c r="D5" i="104"/>
  <c r="D5" i="110"/>
  <c r="D5" i="109"/>
  <c r="D5" i="100"/>
  <c r="D5" i="98"/>
  <c r="D5" i="96"/>
  <c r="D5" i="94"/>
  <c r="K6" i="107" l="1"/>
  <c r="K6" i="104"/>
  <c r="K6" i="108" s="1"/>
  <c r="K6" i="111" s="1"/>
  <c r="K5" i="104"/>
  <c r="K5" i="108" s="1"/>
  <c r="K5" i="111" s="1"/>
  <c r="K5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AC33" i="105"/>
  <c r="AB33" i="105"/>
  <c r="Z33" i="105"/>
  <c r="Y33" i="105"/>
  <c r="X33" i="105"/>
  <c r="W33" i="105"/>
  <c r="V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X39" i="105" s="1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X26" i="98" l="1"/>
  <c r="AA26" i="95"/>
  <c r="AA39" i="101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V39" i="109" s="1"/>
  <c r="X21" i="109"/>
  <c r="Z21" i="109"/>
  <c r="AB21" i="109"/>
  <c r="AD21" i="109"/>
  <c r="O60" i="109"/>
  <c r="P60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H106" i="105"/>
  <c r="J106" i="105"/>
  <c r="L106" i="105"/>
  <c r="N106" i="105"/>
  <c r="P17" i="105"/>
  <c r="P18" i="105"/>
  <c r="P19" i="105"/>
  <c r="P20" i="105"/>
  <c r="S32" i="105"/>
  <c r="P31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2" i="105"/>
  <c r="O83" i="105"/>
  <c r="O84" i="105"/>
  <c r="X10" i="105"/>
  <c r="Z10" i="105"/>
  <c r="AB10" i="105"/>
  <c r="AD10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AF28" i="101" s="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8" i="101"/>
  <c r="O19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S38" i="105" l="1"/>
  <c r="AB26" i="98"/>
  <c r="T36" i="105"/>
  <c r="AF33" i="101"/>
  <c r="AF32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AB11" i="111" s="1"/>
  <c r="J14" i="111"/>
  <c r="D14" i="111"/>
  <c r="T11" i="111" s="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X10" i="111" s="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W20" i="111" s="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W18" i="111" s="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W17" i="111" s="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AA10" i="111" s="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Y14" i="111" l="1"/>
  <c r="Y17" i="111"/>
  <c r="AA19" i="111"/>
  <c r="AC21" i="111"/>
  <c r="V12" i="111"/>
  <c r="V14" i="111"/>
  <c r="V16" i="111"/>
  <c r="V18" i="111"/>
  <c r="V20" i="111"/>
  <c r="AA15" i="111"/>
  <c r="T15" i="111"/>
  <c r="T17" i="111"/>
  <c r="T19" i="111"/>
  <c r="T21" i="111"/>
  <c r="AA18" i="111"/>
  <c r="W10" i="111"/>
  <c r="U15" i="111"/>
  <c r="V10" i="111"/>
  <c r="W21" i="111"/>
  <c r="Y11" i="111"/>
  <c r="AC15" i="111"/>
  <c r="AA12" i="111"/>
  <c r="AA17" i="111"/>
  <c r="Y13" i="111"/>
  <c r="Y20" i="111"/>
  <c r="S16" i="111"/>
  <c r="Z13" i="111"/>
  <c r="Z15" i="111"/>
  <c r="Z17" i="111"/>
  <c r="S18" i="111"/>
  <c r="U12" i="111"/>
  <c r="W14" i="111"/>
  <c r="W16" i="111"/>
  <c r="S19" i="111"/>
  <c r="S21" i="111"/>
  <c r="AB13" i="111"/>
  <c r="AD15" i="111"/>
  <c r="AD17" i="111"/>
  <c r="AD19" i="111"/>
  <c r="AD21" i="111"/>
  <c r="W11" i="111"/>
  <c r="W13" i="111"/>
  <c r="W15" i="111"/>
  <c r="Z12" i="111"/>
  <c r="AB14" i="111"/>
  <c r="AB16" i="111"/>
  <c r="AB18" i="111"/>
  <c r="AB20" i="111"/>
  <c r="AC10" i="111"/>
  <c r="U18" i="111"/>
  <c r="S20" i="111"/>
  <c r="T10" i="111"/>
  <c r="Y12" i="111"/>
  <c r="AC16" i="111"/>
  <c r="Y19" i="111"/>
  <c r="U21" i="111"/>
  <c r="T12" i="111"/>
  <c r="AA11" i="111"/>
  <c r="AA13" i="111"/>
  <c r="Y15" i="111"/>
  <c r="S10" i="111"/>
  <c r="Y18" i="111"/>
  <c r="U20" i="111"/>
  <c r="Z10" i="111"/>
  <c r="AC12" i="111"/>
  <c r="AA20" i="111"/>
  <c r="AB10" i="111"/>
  <c r="S15" i="111"/>
  <c r="AC17" i="111"/>
  <c r="AC19" i="111"/>
  <c r="AB12" i="111"/>
  <c r="Z14" i="111"/>
  <c r="Z16" i="111"/>
  <c r="Z18" i="111"/>
  <c r="Z20" i="111"/>
  <c r="S12" i="111"/>
  <c r="S14" i="111"/>
  <c r="V11" i="111"/>
  <c r="X13" i="111"/>
  <c r="X15" i="111"/>
  <c r="X17" i="111"/>
  <c r="X19" i="111"/>
  <c r="X21" i="111"/>
  <c r="S17" i="111"/>
  <c r="AC20" i="111"/>
  <c r="AC36" i="111" s="1"/>
  <c r="U11" i="111"/>
  <c r="U13" i="111"/>
  <c r="V37" i="111"/>
  <c r="V34" i="111"/>
  <c r="AD12" i="111"/>
  <c r="AD14" i="111"/>
  <c r="AD16" i="111"/>
  <c r="AD18" i="111"/>
  <c r="AD20" i="111"/>
  <c r="W12" i="111"/>
  <c r="U14" i="111"/>
  <c r="U16" i="111"/>
  <c r="X11" i="111"/>
  <c r="AD13" i="111"/>
  <c r="AB15" i="111"/>
  <c r="AB17" i="111"/>
  <c r="AB19" i="111"/>
  <c r="AB21" i="111"/>
  <c r="U17" i="111"/>
  <c r="U19" i="111"/>
  <c r="AA34" i="111"/>
  <c r="AA37" i="111"/>
  <c r="AA14" i="111"/>
  <c r="Y16" i="111"/>
  <c r="AD11" i="111"/>
  <c r="W19" i="111"/>
  <c r="Y21" i="111"/>
  <c r="AC11" i="111"/>
  <c r="AC13" i="111"/>
  <c r="AC18" i="111"/>
  <c r="AD10" i="111"/>
  <c r="Z11" i="111"/>
  <c r="V13" i="111"/>
  <c r="V15" i="111"/>
  <c r="V17" i="111"/>
  <c r="V19" i="111"/>
  <c r="V21" i="111"/>
  <c r="AC14" i="111"/>
  <c r="AA16" i="111"/>
  <c r="T14" i="111"/>
  <c r="T16" i="111"/>
  <c r="T18" i="111"/>
  <c r="T20" i="111"/>
  <c r="T36" i="111" s="1"/>
  <c r="U10" i="111"/>
  <c r="AA21" i="111"/>
  <c r="Z19" i="111"/>
  <c r="Z21" i="111"/>
  <c r="S11" i="111"/>
  <c r="S13" i="111"/>
  <c r="X12" i="111"/>
  <c r="X37" i="111" s="1"/>
  <c r="X14" i="111"/>
  <c r="X16" i="111"/>
  <c r="X18" i="111"/>
  <c r="X20" i="111"/>
  <c r="Y10" i="111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P35" i="111"/>
  <c r="O36" i="111"/>
  <c r="P37" i="111"/>
  <c r="O38" i="111"/>
  <c r="AE17" i="111" s="1"/>
  <c r="O41" i="111"/>
  <c r="P42" i="111"/>
  <c r="P45" i="111"/>
  <c r="O46" i="111"/>
  <c r="O48" i="111"/>
  <c r="O50" i="111"/>
  <c r="O51" i="111"/>
  <c r="O53" i="111"/>
  <c r="P55" i="111"/>
  <c r="O56" i="111"/>
  <c r="P57" i="111"/>
  <c r="P14" i="111"/>
  <c r="P16" i="111"/>
  <c r="O18" i="11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P22" i="11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Z35" i="111" l="1"/>
  <c r="V40" i="111"/>
  <c r="AF11" i="111"/>
  <c r="T38" i="111"/>
  <c r="Y35" i="111"/>
  <c r="AF13" i="111"/>
  <c r="AF20" i="111"/>
  <c r="AF15" i="111"/>
  <c r="AA41" i="111"/>
  <c r="Z38" i="111"/>
  <c r="X34" i="111"/>
  <c r="Y38" i="111"/>
  <c r="AF12" i="111"/>
  <c r="X40" i="111"/>
  <c r="AA39" i="111"/>
  <c r="AE18" i="111"/>
  <c r="W34" i="111"/>
  <c r="AF14" i="111"/>
  <c r="AF18" i="111"/>
  <c r="AE15" i="111"/>
  <c r="AE16" i="111"/>
  <c r="T35" i="111"/>
  <c r="X39" i="111"/>
  <c r="X36" i="111"/>
  <c r="AD39" i="111"/>
  <c r="AD36" i="111"/>
  <c r="U40" i="111"/>
  <c r="AC38" i="111"/>
  <c r="AC35" i="111"/>
  <c r="AD38" i="111"/>
  <c r="AD35" i="111"/>
  <c r="W41" i="111"/>
  <c r="T39" i="111"/>
  <c r="S40" i="111"/>
  <c r="S34" i="111"/>
  <c r="S41" i="111"/>
  <c r="S37" i="111"/>
  <c r="U41" i="111"/>
  <c r="U34" i="111"/>
  <c r="U37" i="111"/>
  <c r="V39" i="111"/>
  <c r="V36" i="111"/>
  <c r="AA40" i="111"/>
  <c r="W40" i="111"/>
  <c r="AA35" i="111"/>
  <c r="AF16" i="111"/>
  <c r="AF17" i="111"/>
  <c r="AF38" i="111" s="1"/>
  <c r="AE11" i="111"/>
  <c r="AE12" i="111"/>
  <c r="AE21" i="111"/>
  <c r="AE10" i="111"/>
  <c r="S38" i="111"/>
  <c r="X41" i="111"/>
  <c r="X42" i="111" s="1"/>
  <c r="U39" i="111"/>
  <c r="W37" i="111"/>
  <c r="X38" i="111"/>
  <c r="X35" i="111"/>
  <c r="AA36" i="111"/>
  <c r="AA38" i="111"/>
  <c r="T40" i="111"/>
  <c r="T37" i="111"/>
  <c r="T34" i="111"/>
  <c r="T41" i="111"/>
  <c r="T42" i="111" s="1"/>
  <c r="AB38" i="111"/>
  <c r="AB35" i="111"/>
  <c r="AE20" i="111"/>
  <c r="AF21" i="111"/>
  <c r="AE13" i="111"/>
  <c r="W39" i="111"/>
  <c r="W36" i="111"/>
  <c r="AC39" i="111"/>
  <c r="AF10" i="111"/>
  <c r="Y40" i="111"/>
  <c r="Y41" i="111"/>
  <c r="Y34" i="111"/>
  <c r="Y37" i="111"/>
  <c r="V38" i="111"/>
  <c r="V35" i="111"/>
  <c r="AC40" i="111"/>
  <c r="W38" i="111"/>
  <c r="W35" i="111"/>
  <c r="S36" i="111"/>
  <c r="S39" i="111"/>
  <c r="AE19" i="111"/>
  <c r="AF19" i="111"/>
  <c r="AB36" i="111"/>
  <c r="AB39" i="111"/>
  <c r="V41" i="111"/>
  <c r="V42" i="111" s="1"/>
  <c r="S35" i="111"/>
  <c r="Z40" i="111"/>
  <c r="Z37" i="111"/>
  <c r="Z34" i="111"/>
  <c r="Z41" i="111"/>
  <c r="AC41" i="111"/>
  <c r="AC37" i="111"/>
  <c r="AC34" i="111"/>
  <c r="AD41" i="111"/>
  <c r="AD42" i="111" s="1"/>
  <c r="AD40" i="111"/>
  <c r="AD37" i="111"/>
  <c r="AD34" i="111"/>
  <c r="U38" i="111"/>
  <c r="U35" i="111"/>
  <c r="AB40" i="111"/>
  <c r="AB34" i="111"/>
  <c r="AB37" i="111"/>
  <c r="AB41" i="111"/>
  <c r="U36" i="111"/>
  <c r="Y39" i="111"/>
  <c r="Y36" i="111"/>
  <c r="Z39" i="111"/>
  <c r="Z36" i="111"/>
  <c r="AE14" i="111"/>
  <c r="K108" i="111"/>
  <c r="N107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Z42" i="111" l="1"/>
  <c r="S42" i="111"/>
  <c r="AA42" i="111"/>
  <c r="AF39" i="111"/>
  <c r="AF36" i="111"/>
  <c r="AE39" i="111"/>
  <c r="AE36" i="111"/>
  <c r="AE38" i="111"/>
  <c r="AE35" i="111"/>
  <c r="AE34" i="111"/>
  <c r="AE37" i="111"/>
  <c r="AE40" i="111"/>
  <c r="AE41" i="111"/>
  <c r="AE42" i="111" s="1"/>
  <c r="AB42" i="111"/>
  <c r="Y42" i="111"/>
  <c r="AF35" i="111"/>
  <c r="AF34" i="111"/>
  <c r="AF40" i="111"/>
  <c r="AF41" i="111"/>
  <c r="AF37" i="111"/>
  <c r="W42" i="111"/>
  <c r="AC42" i="111"/>
  <c r="U42" i="111"/>
  <c r="K107" i="111"/>
  <c r="E108" i="111"/>
  <c r="F108" i="111"/>
  <c r="H107" i="111"/>
  <c r="F107" i="111"/>
  <c r="E107" i="111"/>
  <c r="C107" i="111"/>
  <c r="I107" i="111"/>
  <c r="N108" i="111"/>
  <c r="H108" i="111"/>
  <c r="C108" i="111"/>
  <c r="M107" i="111"/>
  <c r="D107" i="111"/>
  <c r="L107" i="111"/>
  <c r="G107" i="111"/>
  <c r="J107" i="111"/>
  <c r="J108" i="111"/>
  <c r="I108" i="111"/>
  <c r="D108" i="111"/>
  <c r="L108" i="111"/>
  <c r="G108" i="111"/>
  <c r="AF42" i="111" l="1"/>
</calcChain>
</file>

<file path=xl/sharedStrings.xml><?xml version="1.0" encoding="utf-8"?>
<sst xmlns="http://schemas.openxmlformats.org/spreadsheetml/2006/main" count="2345" uniqueCount="186">
  <si>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</si>
  <si>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</si>
  <si>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</si>
  <si>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</si>
  <si>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</si>
  <si>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</si>
  <si>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</si>
  <si>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</si>
  <si>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</si>
  <si>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</si>
  <si>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</si>
  <si>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</si>
  <si>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</si>
  <si>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</si>
  <si>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</si>
  <si>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</si>
  <si>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</si>
  <si>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</si>
  <si>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</si>
  <si>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</si>
  <si>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</si>
  <si>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</si>
  <si>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</si>
  <si>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</si>
  <si>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</si>
  <si>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</si>
  <si>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</si>
  <si>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</si>
  <si>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</si>
  <si>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</si>
  <si>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</si>
  <si>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</si>
  <si>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</si>
  <si>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</si>
  <si>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</si>
  <si>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</si>
  <si>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</si>
  <si>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</si>
  <si>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</si>
  <si>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</si>
  <si>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</si>
  <si>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</si>
  <si>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</si>
  <si>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</si>
  <si>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</si>
  <si>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</si>
  <si>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</si>
  <si>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</si>
  <si>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</si>
  <si>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</si>
  <si>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</si>
  <si>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</si>
  <si>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</si>
  <si>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</si>
  <si>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</si>
  <si>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</si>
  <si>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</si>
  <si>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</si>
  <si>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</si>
  <si>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</si>
  <si>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</si>
  <si>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</si>
  <si>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</si>
  <si>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</si>
  <si>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</si>
  <si>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</si>
  <si>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</si>
  <si>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</si>
  <si>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</si>
  <si>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</si>
  <si>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</si>
  <si>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</si>
  <si>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</si>
  <si>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</si>
  <si>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</si>
  <si>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</si>
  <si>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</si>
  <si>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</si>
  <si>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</si>
  <si>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</si>
  <si>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</si>
  <si>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</si>
  <si>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</si>
  <si>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</si>
  <si>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</si>
  <si>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</si>
  <si>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</si>
  <si>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</si>
  <si>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</si>
  <si>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</si>
  <si>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</si>
  <si>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</si>
  <si>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</si>
  <si>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</si>
  <si>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</si>
  <si>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</si>
  <si>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</si>
  <si>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</si>
  <si>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</si>
  <si>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</si>
  <si>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</si>
  <si>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</si>
  <si>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</si>
  <si>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</si>
  <si>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</si>
  <si>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</si>
  <si>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</si>
  <si>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</si>
  <si>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</si>
  <si>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</si>
  <si>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</si>
  <si>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</si>
  <si>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</si>
  <si>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</si>
  <si>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</si>
  <si>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</si>
  <si>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</si>
  <si>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</si>
  <si>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</si>
  <si>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</si>
  <si>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</si>
  <si>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</si>
  <si>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</si>
  <si>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</si>
  <si>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</si>
  <si>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</si>
  <si>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</si>
  <si>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</si>
  <si>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</si>
  <si>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</si>
  <si>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</si>
  <si>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</si>
  <si>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</si>
  <si>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</si>
  <si>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</si>
  <si>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</si>
  <si>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</si>
  <si>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</si>
  <si>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</si>
  <si>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</si>
  <si>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</si>
  <si>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</si>
  <si>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</si>
  <si>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</si>
  <si>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</si>
  <si>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</si>
  <si>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</si>
  <si>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</si>
  <si>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</si>
  <si>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</si>
  <si>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</si>
  <si>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</si>
  <si>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</si>
  <si>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</si>
  <si>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</si>
  <si>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</si>
  <si>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</si>
  <si>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</si>
  <si>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</si>
  <si>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</si>
  <si>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</si>
  <si>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</si>
  <si>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22.07.19</t>
  </si>
  <si>
    <t>23.07.19</t>
  </si>
  <si>
    <t>24.07.19</t>
  </si>
  <si>
    <t>25.07.19</t>
  </si>
  <si>
    <t>26.07.19</t>
  </si>
  <si>
    <t>27.07.19</t>
  </si>
  <si>
    <t>28.07.19</t>
  </si>
  <si>
    <t>AVERAGE WEEK</t>
  </si>
  <si>
    <t>Sentema</t>
  </si>
  <si>
    <t>Ku roofings</t>
  </si>
  <si>
    <t>Naido Grace</t>
  </si>
  <si>
    <t>Isaac</t>
  </si>
  <si>
    <t>MCC - C1 - STN15 - SENTEMA ROAD</t>
  </si>
  <si>
    <t>68s</t>
  </si>
  <si>
    <t>Mbaha James</t>
  </si>
  <si>
    <t xml:space="preserve">Ku roofings </t>
  </si>
  <si>
    <t xml:space="preserve">Sentema </t>
  </si>
  <si>
    <t>Ngugo Hamuza</t>
  </si>
  <si>
    <t>Sentema RBT</t>
  </si>
  <si>
    <t>Weere Junior</t>
  </si>
  <si>
    <t>Ismael Usaama</t>
  </si>
  <si>
    <t>Peter N</t>
  </si>
  <si>
    <t>Nawaja Brenda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</si>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</sst>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SentemaRBT-Sentema'!$AE$9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SentemaRBT-Sentema'!$AE$10:$AE$21</c:f>
              <c:numCache>
                <c:formatCode>0</c:formatCode>
                <c:ptCount val="12"/>
                <c:pt idx="0">
                  <c:v>109</c:v>
                </c:pt>
                <c:pt idx="1">
                  <c:v>103</c:v>
                </c:pt>
                <c:pt idx="2">
                  <c:v>148</c:v>
                </c:pt>
                <c:pt idx="3">
                  <c:v>112</c:v>
                </c:pt>
                <c:pt idx="4">
                  <c:v>88</c:v>
                </c:pt>
                <c:pt idx="5">
                  <c:v>83</c:v>
                </c:pt>
                <c:pt idx="6">
                  <c:v>82</c:v>
                </c:pt>
                <c:pt idx="7">
                  <c:v>105</c:v>
                </c:pt>
                <c:pt idx="8">
                  <c:v>92</c:v>
                </c:pt>
                <c:pt idx="9">
                  <c:v>109</c:v>
                </c:pt>
                <c:pt idx="10">
                  <c:v>189</c:v>
                </c:pt>
                <c:pt idx="11">
                  <c:v>246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'22.07 SentemaRBT-Sentema'!$AF$9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SentemaRBT-Sentema'!$AF$10:$AF$21</c:f>
              <c:numCache>
                <c:formatCode>0</c:formatCode>
                <c:ptCount val="12"/>
                <c:pt idx="0">
                  <c:v>291</c:v>
                </c:pt>
                <c:pt idx="1">
                  <c:v>303</c:v>
                </c:pt>
                <c:pt idx="2">
                  <c:v>365</c:v>
                </c:pt>
                <c:pt idx="3">
                  <c:v>339</c:v>
                </c:pt>
                <c:pt idx="4">
                  <c:v>262</c:v>
                </c:pt>
                <c:pt idx="5">
                  <c:v>232</c:v>
                </c:pt>
                <c:pt idx="6">
                  <c:v>229</c:v>
                </c:pt>
                <c:pt idx="7">
                  <c:v>262</c:v>
                </c:pt>
                <c:pt idx="8">
                  <c:v>204</c:v>
                </c:pt>
                <c:pt idx="9">
                  <c:v>293</c:v>
                </c:pt>
                <c:pt idx="10">
                  <c:v>419</c:v>
                </c:pt>
                <c:pt idx="11">
                  <c:v>520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95006064"/>
        <c:axId val="-494993008"/>
      </c:lineChart>
      <c:catAx>
        <c:axId val="-4950060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494993008"/>
        <c:crosses val="autoZero"/>
        <c:auto val="1"/>
        <c:lblAlgn val="ctr"/>
        <c:lblOffset val="100"/>
        <c:noMultiLvlLbl val="0"/>
      </c:catAx>
      <c:valAx>
        <c:axId val="-494993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49500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SentemaRBT-Sentema'!$C$9:$N$9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SentemaRBT-Sentema'!$C$59:$N$59</c:f>
              <c:numCache>
                <c:formatCode>0.0%</c:formatCode>
                <c:ptCount val="12"/>
                <c:pt idx="0">
                  <c:v>0.14788921753159451</c:v>
                </c:pt>
                <c:pt idx="1">
                  <c:v>4.1408980908846461E-2</c:v>
                </c:pt>
                <c:pt idx="2">
                  <c:v>1.5326700726001613E-2</c:v>
                </c:pt>
                <c:pt idx="3">
                  <c:v>0.12422694272653939</c:v>
                </c:pt>
                <c:pt idx="4">
                  <c:v>1.3444474321054048E-3</c:v>
                </c:pt>
                <c:pt idx="5">
                  <c:v>1.3444474321054048E-3</c:v>
                </c:pt>
                <c:pt idx="6">
                  <c:v>4.1677870395267547E-2</c:v>
                </c:pt>
                <c:pt idx="7">
                  <c:v>1.6133369185264857E-2</c:v>
                </c:pt>
                <c:pt idx="8">
                  <c:v>3.2266738370529714E-3</c:v>
                </c:pt>
                <c:pt idx="9">
                  <c:v>1.0755579456843238E-3</c:v>
                </c:pt>
                <c:pt idx="10">
                  <c:v>0.60580801290669539</c:v>
                </c:pt>
                <c:pt idx="11">
                  <c:v>5.377789728421619E-4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SentemaRBT-Sentema'!$C$9:$N$9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SentemaRBT-Sentema'!$C$60:$N$60</c:f>
              <c:numCache>
                <c:formatCode>0.00%</c:formatCode>
                <c:ptCount val="12"/>
                <c:pt idx="0">
                  <c:v>0.37517053206002726</c:v>
                </c:pt>
                <c:pt idx="1">
                  <c:v>0.10504774897680765</c:v>
                </c:pt>
                <c:pt idx="2">
                  <c:v>3.8881309686221006E-2</c:v>
                </c:pt>
                <c:pt idx="3">
                  <c:v>0.31514324693042289</c:v>
                </c:pt>
                <c:pt idx="4">
                  <c:v>3.4106412005457027E-3</c:v>
                </c:pt>
                <c:pt idx="5">
                  <c:v>3.4106412005457027E-3</c:v>
                </c:pt>
                <c:pt idx="6">
                  <c:v>0.10572987721691678</c:v>
                </c:pt>
                <c:pt idx="7">
                  <c:v>4.0927694406548434E-2</c:v>
                </c:pt>
                <c:pt idx="8">
                  <c:v>8.1855388813096858E-3</c:v>
                </c:pt>
                <c:pt idx="9">
                  <c:v>2.7285129604365621E-3</c:v>
                </c:pt>
                <c:pt idx="11">
                  <c:v>1.364256480218281E-3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Sentema-Sentema RBT'!$AE$9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'22.07 Sentema-Sentema 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Sentema-Sentema RBT'!$AE$10:$AE$21</c:f>
              <c:numCache>
                <c:formatCode>0</c:formatCode>
                <c:ptCount val="12"/>
                <c:pt idx="0">
                  <c:v>473</c:v>
                </c:pt>
                <c:pt idx="1">
                  <c:v>253</c:v>
                </c:pt>
                <c:pt idx="2">
                  <c:v>234</c:v>
                </c:pt>
                <c:pt idx="3">
                  <c:v>147</c:v>
                </c:pt>
                <c:pt idx="4">
                  <c:v>117</c:v>
                </c:pt>
                <c:pt idx="5">
                  <c:v>109</c:v>
                </c:pt>
                <c:pt idx="6">
                  <c:v>75</c:v>
                </c:pt>
                <c:pt idx="7">
                  <c:v>102</c:v>
                </c:pt>
                <c:pt idx="8">
                  <c:v>93</c:v>
                </c:pt>
                <c:pt idx="9">
                  <c:v>85</c:v>
                </c:pt>
                <c:pt idx="10">
                  <c:v>128</c:v>
                </c:pt>
                <c:pt idx="11">
                  <c:v>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'22.07 Sentema-Sentema RBT'!$AF$9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'22.07 Sentema-Sentema 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Sentema-Sentema RBT'!$AF$10:$AF$21</c:f>
              <c:numCache>
                <c:formatCode>0</c:formatCode>
                <c:ptCount val="12"/>
                <c:pt idx="0">
                  <c:v>833</c:v>
                </c:pt>
                <c:pt idx="1">
                  <c:v>629</c:v>
                </c:pt>
                <c:pt idx="2">
                  <c:v>516</c:v>
                </c:pt>
                <c:pt idx="3">
                  <c:v>310</c:v>
                </c:pt>
                <c:pt idx="4">
                  <c:v>272</c:v>
                </c:pt>
                <c:pt idx="5">
                  <c:v>240</c:v>
                </c:pt>
                <c:pt idx="6">
                  <c:v>180</c:v>
                </c:pt>
                <c:pt idx="7">
                  <c:v>281</c:v>
                </c:pt>
                <c:pt idx="8">
                  <c:v>238</c:v>
                </c:pt>
                <c:pt idx="9">
                  <c:v>273</c:v>
                </c:pt>
                <c:pt idx="10">
                  <c:v>366</c:v>
                </c:pt>
                <c:pt idx="11">
                  <c:v>382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95000080"/>
        <c:axId val="-494998448"/>
      </c:lineChart>
      <c:catAx>
        <c:axId val="-495000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494998448"/>
        <c:crosses val="autoZero"/>
        <c:auto val="1"/>
        <c:lblAlgn val="ctr"/>
        <c:lblOffset val="100"/>
        <c:noMultiLvlLbl val="0"/>
      </c:catAx>
      <c:valAx>
        <c:axId val="-4949984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49500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Sentema-Sentema 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Sentema-Sentema RBT'!$C$59:$N$59</c:f>
              <c:numCache>
                <c:formatCode>0.0%</c:formatCode>
                <c:ptCount val="12"/>
                <c:pt idx="0">
                  <c:v>0.21460176991150443</c:v>
                </c:pt>
                <c:pt idx="1">
                  <c:v>3.4734513274336284E-2</c:v>
                </c:pt>
                <c:pt idx="2">
                  <c:v>2.4115044247787612E-2</c:v>
                </c:pt>
                <c:pt idx="3">
                  <c:v>0.10685840707964601</c:v>
                </c:pt>
                <c:pt idx="4">
                  <c:v>1.1061946902654867E-3</c:v>
                </c:pt>
                <c:pt idx="5">
                  <c:v>6.6371681415929203E-4</c:v>
                </c:pt>
                <c:pt idx="6">
                  <c:v>3.6283185840707964E-2</c:v>
                </c:pt>
                <c:pt idx="7">
                  <c:v>9.5132743362831857E-3</c:v>
                </c:pt>
                <c:pt idx="8">
                  <c:v>2.8761061946902654E-3</c:v>
                </c:pt>
                <c:pt idx="9">
                  <c:v>1.3274336283185841E-3</c:v>
                </c:pt>
                <c:pt idx="10">
                  <c:v>0.5679203539823009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'22.07 Sentema-Sentema RBT'!$S$9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'22.07 Sentema-Sentema 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Sentema-Sentema RBT'!$S$10:$S$21</c:f>
              <c:numCache>
                <c:formatCode>0</c:formatCode>
                <c:ptCount val="12"/>
                <c:pt idx="0">
                  <c:v>289</c:v>
                </c:pt>
                <c:pt idx="1">
                  <c:v>152</c:v>
                </c:pt>
                <c:pt idx="2">
                  <c:v>136</c:v>
                </c:pt>
                <c:pt idx="3">
                  <c:v>62</c:v>
                </c:pt>
                <c:pt idx="4">
                  <c:v>34</c:v>
                </c:pt>
                <c:pt idx="5">
                  <c:v>50</c:v>
                </c:pt>
                <c:pt idx="6">
                  <c:v>35</c:v>
                </c:pt>
                <c:pt idx="7">
                  <c:v>37</c:v>
                </c:pt>
                <c:pt idx="8">
                  <c:v>38</c:v>
                </c:pt>
                <c:pt idx="9">
                  <c:v>40</c:v>
                </c:pt>
                <c:pt idx="10">
                  <c:v>49</c:v>
                </c:pt>
                <c:pt idx="11">
                  <c:v>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'22.07 Sentema-Sentema RBT'!$T$9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'22.07 Sentema-Sentema 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'22.07 Sentema-Sentema RBT'!$T$10:$T$21</c:f>
              <c:numCache>
                <c:formatCode>0</c:formatCode>
                <c:ptCount val="12"/>
                <c:pt idx="0">
                  <c:v>14</c:v>
                </c:pt>
                <c:pt idx="1">
                  <c:v>18</c:v>
                </c:pt>
                <c:pt idx="2">
                  <c:v>13</c:v>
                </c:pt>
                <c:pt idx="3">
                  <c:v>15</c:v>
                </c:pt>
                <c:pt idx="4">
                  <c:v>20</c:v>
                </c:pt>
                <c:pt idx="5">
                  <c:v>11</c:v>
                </c:pt>
                <c:pt idx="6">
                  <c:v>6</c:v>
                </c:pt>
                <c:pt idx="7">
                  <c:v>9</c:v>
                </c:pt>
                <c:pt idx="8">
                  <c:v>12</c:v>
                </c:pt>
                <c:pt idx="9">
                  <c:v>8</c:v>
                </c:pt>
                <c:pt idx="10">
                  <c:v>17</c:v>
                </c:pt>
                <c:pt idx="11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'22.07 Sentema-Sentema RBT'!$U$9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'22.07 Sentema-Sentema RBT'!$U$10:$U$21</c:f>
              <c:numCache>
                <c:formatCode>0</c:formatCode>
                <c:ptCount val="12"/>
                <c:pt idx="0">
                  <c:v>24</c:v>
                </c:pt>
                <c:pt idx="1">
                  <c:v>15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6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  <c:pt idx="9">
                  <c:v>7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'22.07 Sentema-Sentema RBT'!$V$9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'22.07 Sentema-Sentema RBT'!$V$10:$V$21</c:f>
              <c:numCache>
                <c:formatCode>0</c:formatCode>
                <c:ptCount val="12"/>
                <c:pt idx="0">
                  <c:v>127</c:v>
                </c:pt>
                <c:pt idx="1">
                  <c:v>53</c:v>
                </c:pt>
                <c:pt idx="2">
                  <c:v>51</c:v>
                </c:pt>
                <c:pt idx="3">
                  <c:v>38</c:v>
                </c:pt>
                <c:pt idx="4">
                  <c:v>28</c:v>
                </c:pt>
                <c:pt idx="5">
                  <c:v>14</c:v>
                </c:pt>
                <c:pt idx="6">
                  <c:v>15</c:v>
                </c:pt>
                <c:pt idx="7">
                  <c:v>29</c:v>
                </c:pt>
                <c:pt idx="8">
                  <c:v>19</c:v>
                </c:pt>
                <c:pt idx="9">
                  <c:v>15</c:v>
                </c:pt>
                <c:pt idx="10">
                  <c:v>40</c:v>
                </c:pt>
                <c:pt idx="11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'22.07 Sentema-Sentema RBT'!$W$9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'22.07 Sentema-Sentema RBT'!$W$10:$W$21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'22.07 Sentema-Sentema RBT'!$X$9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'22.07 Sentema-Sentema RBT'!$X$10:$X$21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'22.07 Sentema-Sentema RBT'!$Y$9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Sentema-Sentema RBT'!$Y$10:$Y$21</c:f>
              <c:numCache>
                <c:formatCode>0</c:formatCode>
                <c:ptCount val="12"/>
                <c:pt idx="0">
                  <c:v>10</c:v>
                </c:pt>
                <c:pt idx="1">
                  <c:v>12</c:v>
                </c:pt>
                <c:pt idx="2">
                  <c:v>13</c:v>
                </c:pt>
                <c:pt idx="3">
                  <c:v>15</c:v>
                </c:pt>
                <c:pt idx="4">
                  <c:v>14</c:v>
                </c:pt>
                <c:pt idx="5">
                  <c:v>19</c:v>
                </c:pt>
                <c:pt idx="6">
                  <c:v>14</c:v>
                </c:pt>
                <c:pt idx="7">
                  <c:v>17</c:v>
                </c:pt>
                <c:pt idx="8">
                  <c:v>16</c:v>
                </c:pt>
                <c:pt idx="9">
                  <c:v>10</c:v>
                </c:pt>
                <c:pt idx="10">
                  <c:v>10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'22.07 Sentema-Sentema RBT'!$Z$9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Sentema-Sentema RBT'!$Z$10:$Z$21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'22.07 Sentema-Sentema RBT'!$AA$9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Sentema-Sentema RBT'!$AA$10:$AA$21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'22.07 Sentema-Sentema RBT'!$AB$9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Sentema-Sentema RBT'!$AB$10:$AB$21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'22.07 Sentema-Sentema RBT'!$AC$9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Sentema-Sentema RBT'!$AC$10:$AC$21</c:f>
              <c:numCache>
                <c:formatCode>0</c:formatCode>
                <c:ptCount val="12"/>
                <c:pt idx="0">
                  <c:v>360</c:v>
                </c:pt>
                <c:pt idx="1">
                  <c:v>376</c:v>
                </c:pt>
                <c:pt idx="2">
                  <c:v>282</c:v>
                </c:pt>
                <c:pt idx="3">
                  <c:v>163</c:v>
                </c:pt>
                <c:pt idx="4">
                  <c:v>155</c:v>
                </c:pt>
                <c:pt idx="5">
                  <c:v>131</c:v>
                </c:pt>
                <c:pt idx="6">
                  <c:v>105</c:v>
                </c:pt>
                <c:pt idx="7">
                  <c:v>179</c:v>
                </c:pt>
                <c:pt idx="8">
                  <c:v>145</c:v>
                </c:pt>
                <c:pt idx="9">
                  <c:v>188</c:v>
                </c:pt>
                <c:pt idx="10">
                  <c:v>238</c:v>
                </c:pt>
                <c:pt idx="11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'22.07 Sentema-Sentema RBT'!$AD$9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'22.07 Sentema-Sentema RBT'!$AD$10:$AD$21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95007152"/>
        <c:axId val="-494993552"/>
      </c:lineChart>
      <c:catAx>
        <c:axId val="-49500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494993552"/>
        <c:crosses val="autoZero"/>
        <c:auto val="1"/>
        <c:lblAlgn val="ctr"/>
        <c:lblOffset val="100"/>
        <c:noMultiLvlLbl val="0"/>
      </c:catAx>
      <c:valAx>
        <c:axId val="-49499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49500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'22.07 Sentema-Sentema 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'22.07 Sentema-Sentema RBT'!$C$60:$N$60</c:f>
              <c:numCache>
                <c:formatCode>0.00%</c:formatCode>
                <c:ptCount val="12"/>
                <c:pt idx="0">
                  <c:v>0.49667178699436765</c:v>
                </c:pt>
                <c:pt idx="1">
                  <c:v>8.0389144905273935E-2</c:v>
                </c:pt>
                <c:pt idx="2">
                  <c:v>5.5811571940604196E-2</c:v>
                </c:pt>
                <c:pt idx="3">
                  <c:v>0.24731182795698925</c:v>
                </c:pt>
                <c:pt idx="4">
                  <c:v>2.5601638504864311E-3</c:v>
                </c:pt>
                <c:pt idx="5">
                  <c:v>1.5360983102918587E-3</c:v>
                </c:pt>
                <c:pt idx="6">
                  <c:v>8.3973374295954945E-2</c:v>
                </c:pt>
                <c:pt idx="7">
                  <c:v>2.2017409114183307E-2</c:v>
                </c:pt>
                <c:pt idx="8">
                  <c:v>6.6564260112647209E-3</c:v>
                </c:pt>
                <c:pt idx="9">
                  <c:v>3.0721966205837174E-3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Sentema RBT-Sentema'!$AE$9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Sentema 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Sentema RBT-Sentema'!$AE$10:$AE$21</c:f>
              <c:numCache>
                <c:formatCode>0</c:formatCode>
                <c:ptCount val="12"/>
                <c:pt idx="0">
                  <c:v>109</c:v>
                </c:pt>
                <c:pt idx="1">
                  <c:v>107</c:v>
                </c:pt>
                <c:pt idx="2">
                  <c:v>114</c:v>
                </c:pt>
                <c:pt idx="3">
                  <c:v>101</c:v>
                </c:pt>
                <c:pt idx="4">
                  <c:v>100</c:v>
                </c:pt>
                <c:pt idx="5">
                  <c:v>75</c:v>
                </c:pt>
                <c:pt idx="6">
                  <c:v>97</c:v>
                </c:pt>
                <c:pt idx="7">
                  <c:v>96</c:v>
                </c:pt>
                <c:pt idx="8">
                  <c:v>103</c:v>
                </c:pt>
                <c:pt idx="9">
                  <c:v>125</c:v>
                </c:pt>
                <c:pt idx="10">
                  <c:v>184</c:v>
                </c:pt>
                <c:pt idx="11">
                  <c:v>235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'23.07 Sentema RBT-Sentema'!$AF$9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Sentema 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Sentema RBT-Sentema'!$AF$10:$AF$21</c:f>
              <c:numCache>
                <c:formatCode>0</c:formatCode>
                <c:ptCount val="12"/>
                <c:pt idx="0">
                  <c:v>234</c:v>
                </c:pt>
                <c:pt idx="1">
                  <c:v>274</c:v>
                </c:pt>
                <c:pt idx="2">
                  <c:v>300</c:v>
                </c:pt>
                <c:pt idx="3">
                  <c:v>272</c:v>
                </c:pt>
                <c:pt idx="4">
                  <c:v>289</c:v>
                </c:pt>
                <c:pt idx="5">
                  <c:v>266</c:v>
                </c:pt>
                <c:pt idx="6">
                  <c:v>267</c:v>
                </c:pt>
                <c:pt idx="7">
                  <c:v>257</c:v>
                </c:pt>
                <c:pt idx="8">
                  <c:v>241</c:v>
                </c:pt>
                <c:pt idx="9">
                  <c:v>279</c:v>
                </c:pt>
                <c:pt idx="10">
                  <c:v>388</c:v>
                </c:pt>
                <c:pt idx="11">
                  <c:v>469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95004432"/>
        <c:axId val="-494996272"/>
      </c:lineChart>
      <c:catAx>
        <c:axId val="-495004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494996272"/>
        <c:crosses val="autoZero"/>
        <c:auto val="1"/>
        <c:lblAlgn val="ctr"/>
        <c:lblOffset val="100"/>
        <c:noMultiLvlLbl val="0"/>
      </c:catAx>
      <c:valAx>
        <c:axId val="-4949962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49500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Sentema 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Sentema RBT-Sentema'!$C$59:$N$59</c:f>
              <c:numCache>
                <c:formatCode>0.0%</c:formatCode>
                <c:ptCount val="12"/>
                <c:pt idx="0">
                  <c:v>0.17392533936651583</c:v>
                </c:pt>
                <c:pt idx="1">
                  <c:v>2.9694570135746605E-2</c:v>
                </c:pt>
                <c:pt idx="2">
                  <c:v>2.7714932126696831E-2</c:v>
                </c:pt>
                <c:pt idx="3">
                  <c:v>0.11510180995475112</c:v>
                </c:pt>
                <c:pt idx="4">
                  <c:v>1.1312217194570137E-3</c:v>
                </c:pt>
                <c:pt idx="5">
                  <c:v>1.1312217194570137E-3</c:v>
                </c:pt>
                <c:pt idx="6">
                  <c:v>3.9309954751131221E-2</c:v>
                </c:pt>
                <c:pt idx="7">
                  <c:v>1.3009049773755657E-2</c:v>
                </c:pt>
                <c:pt idx="8">
                  <c:v>3.6764705882352941E-3</c:v>
                </c:pt>
                <c:pt idx="9">
                  <c:v>4.2420814479638006E-3</c:v>
                </c:pt>
                <c:pt idx="10">
                  <c:v>0.5910633484162896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Sentema RBT-Sentema'!$S$9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Sentema 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Sentema RBT-Sentema'!$S$10:$S$21</c:f>
              <c:numCache>
                <c:formatCode>0</c:formatCode>
                <c:ptCount val="12"/>
                <c:pt idx="0">
                  <c:v>47</c:v>
                </c:pt>
                <c:pt idx="1">
                  <c:v>28</c:v>
                </c:pt>
                <c:pt idx="2">
                  <c:v>31</c:v>
                </c:pt>
                <c:pt idx="3">
                  <c:v>29</c:v>
                </c:pt>
                <c:pt idx="4">
                  <c:v>32</c:v>
                </c:pt>
                <c:pt idx="5">
                  <c:v>29</c:v>
                </c:pt>
                <c:pt idx="6">
                  <c:v>39</c:v>
                </c:pt>
                <c:pt idx="7">
                  <c:v>44</c:v>
                </c:pt>
                <c:pt idx="8">
                  <c:v>35</c:v>
                </c:pt>
                <c:pt idx="9">
                  <c:v>61</c:v>
                </c:pt>
                <c:pt idx="10">
                  <c:v>107</c:v>
                </c:pt>
                <c:pt idx="11">
                  <c:v>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'23.07 Sentema RBT-Sentema'!$T$9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Sentema 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Sentema RBT-Sentema'!$T$10:$T$21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6</c:v>
                </c:pt>
                <c:pt idx="3">
                  <c:v>4</c:v>
                </c:pt>
                <c:pt idx="4">
                  <c:v>10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14</c:v>
                </c:pt>
                <c:pt idx="10">
                  <c:v>20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'23.07 Sentema RBT-Sentema'!$U$9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Sentema RBT-Sentema'!$U$10:$U$21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7</c:v>
                </c:pt>
                <c:pt idx="3">
                  <c:v>13</c:v>
                </c:pt>
                <c:pt idx="4">
                  <c:v>9</c:v>
                </c:pt>
                <c:pt idx="5">
                  <c:v>8</c:v>
                </c:pt>
                <c:pt idx="6">
                  <c:v>5</c:v>
                </c:pt>
                <c:pt idx="7">
                  <c:v>12</c:v>
                </c:pt>
                <c:pt idx="8">
                  <c:v>11</c:v>
                </c:pt>
                <c:pt idx="9">
                  <c:v>8</c:v>
                </c:pt>
                <c:pt idx="10">
                  <c:v>8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'23.07 Sentema RBT-Sentema'!$V$9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Sentema RBT-Sentema'!$V$10:$V$21</c:f>
              <c:numCache>
                <c:formatCode>0</c:formatCode>
                <c:ptCount val="12"/>
                <c:pt idx="0">
                  <c:v>33</c:v>
                </c:pt>
                <c:pt idx="1">
                  <c:v>55</c:v>
                </c:pt>
                <c:pt idx="2">
                  <c:v>53</c:v>
                </c:pt>
                <c:pt idx="3">
                  <c:v>29</c:v>
                </c:pt>
                <c:pt idx="4">
                  <c:v>26</c:v>
                </c:pt>
                <c:pt idx="5">
                  <c:v>17</c:v>
                </c:pt>
                <c:pt idx="6">
                  <c:v>25</c:v>
                </c:pt>
                <c:pt idx="7">
                  <c:v>23</c:v>
                </c:pt>
                <c:pt idx="8">
                  <c:v>28</c:v>
                </c:pt>
                <c:pt idx="9">
                  <c:v>27</c:v>
                </c:pt>
                <c:pt idx="10">
                  <c:v>39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'23.07 Sentema RBT-Sentema'!$W$9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Sentema RBT-Sentema'!$W$10:$W$21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'23.07 Sentema RBT-Sentema'!$X$9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Sentema RBT-Sentema'!$X$10:$X$21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'23.07 Sentema RBT-Sentema'!$Y$9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 RBT-Sentema'!$Y$10:$Y$21</c:f>
              <c:numCache>
                <c:formatCode>0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7</c:v>
                </c:pt>
                <c:pt idx="3">
                  <c:v>17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7">
                  <c:v>12</c:v>
                </c:pt>
                <c:pt idx="8">
                  <c:v>18</c:v>
                </c:pt>
                <c:pt idx="9">
                  <c:v>11</c:v>
                </c:pt>
                <c:pt idx="10">
                  <c:v>7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'23.07 Sentema RBT-Sentema'!$Z$9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 RBT-Sentema'!$Z$10:$Z$21</c:f>
              <c:numCache>
                <c:formatCode>0</c:formatCode>
                <c:ptCount val="12"/>
                <c:pt idx="0">
                  <c:v>10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9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'23.07 Sentema RBT-Sentema'!$AA$9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 RBT-Sentema'!$AA$10:$AA$21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'23.07 Sentema RBT-Sentema'!$AB$9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 RBT-Sentema'!$AB$10:$AB$21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'23.07 Sentema RBT-Sentema'!$AC$9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 RBT-Sentema'!$AC$10:$AC$21</c:f>
              <c:numCache>
                <c:formatCode>0</c:formatCode>
                <c:ptCount val="12"/>
                <c:pt idx="0">
                  <c:v>125</c:v>
                </c:pt>
                <c:pt idx="1">
                  <c:v>167</c:v>
                </c:pt>
                <c:pt idx="2">
                  <c:v>186</c:v>
                </c:pt>
                <c:pt idx="3">
                  <c:v>171</c:v>
                </c:pt>
                <c:pt idx="4">
                  <c:v>189</c:v>
                </c:pt>
                <c:pt idx="5">
                  <c:v>191</c:v>
                </c:pt>
                <c:pt idx="6">
                  <c:v>170</c:v>
                </c:pt>
                <c:pt idx="7">
                  <c:v>161</c:v>
                </c:pt>
                <c:pt idx="8">
                  <c:v>138</c:v>
                </c:pt>
                <c:pt idx="9">
                  <c:v>154</c:v>
                </c:pt>
                <c:pt idx="10">
                  <c:v>204</c:v>
                </c:pt>
                <c:pt idx="11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'23.07 Sentema RBT-Sentema'!$AD$9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 RBT-Sentema'!$AD$10:$AD$21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95681088"/>
        <c:axId val="-395676736"/>
      </c:lineChart>
      <c:catAx>
        <c:axId val="-39568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95676736"/>
        <c:crosses val="autoZero"/>
        <c:auto val="1"/>
        <c:lblAlgn val="ctr"/>
        <c:lblOffset val="100"/>
        <c:noMultiLvlLbl val="0"/>
      </c:catAx>
      <c:valAx>
        <c:axId val="-39567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9568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Sentema 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Sentema RBT-Sentema'!$C$60:$N$60</c:f>
              <c:numCache>
                <c:formatCode>0.00%</c:formatCode>
                <c:ptCount val="12"/>
                <c:pt idx="0">
                  <c:v>0.42531120331950206</c:v>
                </c:pt>
                <c:pt idx="1">
                  <c:v>7.2614107883817433E-2</c:v>
                </c:pt>
                <c:pt idx="2">
                  <c:v>6.7773167358229594E-2</c:v>
                </c:pt>
                <c:pt idx="3">
                  <c:v>0.28146611341632088</c:v>
                </c:pt>
                <c:pt idx="4">
                  <c:v>2.7662517289073307E-3</c:v>
                </c:pt>
                <c:pt idx="5">
                  <c:v>2.7662517289073307E-3</c:v>
                </c:pt>
                <c:pt idx="6">
                  <c:v>9.6127247579529743E-2</c:v>
                </c:pt>
                <c:pt idx="7">
                  <c:v>3.18118948824343E-2</c:v>
                </c:pt>
                <c:pt idx="8">
                  <c:v>8.9903181189488236E-3</c:v>
                </c:pt>
                <c:pt idx="9">
                  <c:v>1.0373443983402489E-2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Sentema-Sentema RBT'!$AE$9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'23.07 Sentema-Sentema 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Sentema-Sentema RBT'!$AE$10:$AE$21</c:f>
              <c:numCache>
                <c:formatCode>0</c:formatCode>
                <c:ptCount val="12"/>
                <c:pt idx="0">
                  <c:v>414</c:v>
                </c:pt>
                <c:pt idx="1">
                  <c:v>352</c:v>
                </c:pt>
                <c:pt idx="2">
                  <c:v>230</c:v>
                </c:pt>
                <c:pt idx="3">
                  <c:v>198</c:v>
                </c:pt>
                <c:pt idx="4">
                  <c:v>138</c:v>
                </c:pt>
                <c:pt idx="5">
                  <c:v>106</c:v>
                </c:pt>
                <c:pt idx="6">
                  <c:v>113</c:v>
                </c:pt>
                <c:pt idx="7">
                  <c:v>111</c:v>
                </c:pt>
                <c:pt idx="8">
                  <c:v>99</c:v>
                </c:pt>
                <c:pt idx="9">
                  <c:v>100</c:v>
                </c:pt>
                <c:pt idx="10">
                  <c:v>120</c:v>
                </c:pt>
                <c:pt idx="11">
                  <c:v>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'23.07 Sentema-Sentema RBT'!$AF$9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'23.07 Sentema-Sentema 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Sentema-Sentema RBT'!$AF$10:$AF$21</c:f>
              <c:numCache>
                <c:formatCode>0</c:formatCode>
                <c:ptCount val="12"/>
                <c:pt idx="0">
                  <c:v>783</c:v>
                </c:pt>
                <c:pt idx="1">
                  <c:v>690</c:v>
                </c:pt>
                <c:pt idx="2">
                  <c:v>473</c:v>
                </c:pt>
                <c:pt idx="3">
                  <c:v>364</c:v>
                </c:pt>
                <c:pt idx="4">
                  <c:v>403</c:v>
                </c:pt>
                <c:pt idx="5">
                  <c:v>308</c:v>
                </c:pt>
                <c:pt idx="6">
                  <c:v>308</c:v>
                </c:pt>
                <c:pt idx="7">
                  <c:v>312</c:v>
                </c:pt>
                <c:pt idx="8">
                  <c:v>261</c:v>
                </c:pt>
                <c:pt idx="9">
                  <c:v>322</c:v>
                </c:pt>
                <c:pt idx="10">
                  <c:v>359</c:v>
                </c:pt>
                <c:pt idx="11">
                  <c:v>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95680544"/>
        <c:axId val="-395681632"/>
      </c:lineChart>
      <c:catAx>
        <c:axId val="-3956805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95681632"/>
        <c:crosses val="autoZero"/>
        <c:auto val="1"/>
        <c:lblAlgn val="ctr"/>
        <c:lblOffset val="100"/>
        <c:noMultiLvlLbl val="0"/>
      </c:catAx>
      <c:valAx>
        <c:axId val="-395681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9568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Sentema-Sentema 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Sentema-Sentema RBT'!$C$59:$N$59</c:f>
              <c:numCache>
                <c:formatCode>0.0%</c:formatCode>
                <c:ptCount val="12"/>
                <c:pt idx="0">
                  <c:v>0.21002044989775051</c:v>
                </c:pt>
                <c:pt idx="1">
                  <c:v>2.2494887525562373E-2</c:v>
                </c:pt>
                <c:pt idx="2">
                  <c:v>3.0265848670756646E-2</c:v>
                </c:pt>
                <c:pt idx="3">
                  <c:v>0.10961145194274029</c:v>
                </c:pt>
                <c:pt idx="4">
                  <c:v>1.0224948875255625E-3</c:v>
                </c:pt>
                <c:pt idx="5">
                  <c:v>8.1799591002044991E-4</c:v>
                </c:pt>
                <c:pt idx="6">
                  <c:v>2.5766871165644172E-2</c:v>
                </c:pt>
                <c:pt idx="7">
                  <c:v>1.7177914110429449E-2</c:v>
                </c:pt>
                <c:pt idx="8">
                  <c:v>3.2719836400817996E-3</c:v>
                </c:pt>
                <c:pt idx="9">
                  <c:v>9.6114519427402869E-3</c:v>
                </c:pt>
                <c:pt idx="10">
                  <c:v>0.56973415132924332</c:v>
                </c:pt>
                <c:pt idx="11">
                  <c:v>2.0449897750511248E-4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'23.07 Sentema-Sentema RBT'!$S$9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'23.07 Sentema-Sentema 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Sentema-Sentema RBT'!$S$10:$S$21</c:f>
              <c:numCache>
                <c:formatCode>0</c:formatCode>
                <c:ptCount val="12"/>
                <c:pt idx="0">
                  <c:v>270</c:v>
                </c:pt>
                <c:pt idx="1">
                  <c:v>179</c:v>
                </c:pt>
                <c:pt idx="2">
                  <c:v>116</c:v>
                </c:pt>
                <c:pt idx="3">
                  <c:v>69</c:v>
                </c:pt>
                <c:pt idx="4">
                  <c:v>65</c:v>
                </c:pt>
                <c:pt idx="5">
                  <c:v>41</c:v>
                </c:pt>
                <c:pt idx="6">
                  <c:v>46</c:v>
                </c:pt>
                <c:pt idx="7">
                  <c:v>50</c:v>
                </c:pt>
                <c:pt idx="8">
                  <c:v>40</c:v>
                </c:pt>
                <c:pt idx="9">
                  <c:v>43</c:v>
                </c:pt>
                <c:pt idx="10">
                  <c:v>61</c:v>
                </c:pt>
                <c:pt idx="11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'23.07 Sentema-Sentema RBT'!$T$9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'23.07 Sentema-Sentema 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'23.07 Sentema-Sentema RBT'!$T$10:$T$21</c:f>
              <c:numCache>
                <c:formatCode>0</c:formatCode>
                <c:ptCount val="12"/>
                <c:pt idx="0">
                  <c:v>13</c:v>
                </c:pt>
                <c:pt idx="1">
                  <c:v>24</c:v>
                </c:pt>
                <c:pt idx="2">
                  <c:v>17</c:v>
                </c:pt>
                <c:pt idx="3">
                  <c:v>6</c:v>
                </c:pt>
                <c:pt idx="4">
                  <c:v>8</c:v>
                </c:pt>
                <c:pt idx="5">
                  <c:v>8</c:v>
                </c:pt>
                <c:pt idx="6">
                  <c:v>3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9</c:v>
                </c:pt>
                <c:pt idx="11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'23.07 Sentema-Sentema RBT'!$U$9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'23.07 Sentema-Sentema RBT'!$U$10:$U$21</c:f>
              <c:numCache>
                <c:formatCode>0</c:formatCode>
                <c:ptCount val="12"/>
                <c:pt idx="0">
                  <c:v>20</c:v>
                </c:pt>
                <c:pt idx="1">
                  <c:v>16</c:v>
                </c:pt>
                <c:pt idx="2">
                  <c:v>19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13</c:v>
                </c:pt>
                <c:pt idx="8">
                  <c:v>6</c:v>
                </c:pt>
                <c:pt idx="9">
                  <c:v>11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'23.07 Sentema-Sentema RBT'!$V$9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'23.07 Sentema-Sentema RBT'!$V$10:$V$21</c:f>
              <c:numCache>
                <c:formatCode>0</c:formatCode>
                <c:ptCount val="12"/>
                <c:pt idx="0">
                  <c:v>100</c:v>
                </c:pt>
                <c:pt idx="1">
                  <c:v>111</c:v>
                </c:pt>
                <c:pt idx="2">
                  <c:v>59</c:v>
                </c:pt>
                <c:pt idx="3">
                  <c:v>40</c:v>
                </c:pt>
                <c:pt idx="4">
                  <c:v>32</c:v>
                </c:pt>
                <c:pt idx="5">
                  <c:v>27</c:v>
                </c:pt>
                <c:pt idx="6">
                  <c:v>19</c:v>
                </c:pt>
                <c:pt idx="7">
                  <c:v>24</c:v>
                </c:pt>
                <c:pt idx="8">
                  <c:v>24</c:v>
                </c:pt>
                <c:pt idx="9">
                  <c:v>23</c:v>
                </c:pt>
                <c:pt idx="10">
                  <c:v>29</c:v>
                </c:pt>
                <c:pt idx="11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'23.07 Sentema-Sentema RBT'!$W$9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'23.07 Sentema-Sentema RBT'!$W$10:$W$21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'23.07 Sentema-Sentema RBT'!$X$9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'23.07 Sentema-Sentema RBT'!$X$10:$X$21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'23.07 Sentema-Sentema RBT'!$Y$9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Sentema-Sentema RBT'!$Y$10:$Y$21</c:f>
              <c:numCache>
                <c:formatCode>0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10</c:v>
                </c:pt>
                <c:pt idx="3">
                  <c:v>13</c:v>
                </c:pt>
                <c:pt idx="4">
                  <c:v>7</c:v>
                </c:pt>
                <c:pt idx="5">
                  <c:v>8</c:v>
                </c:pt>
                <c:pt idx="6">
                  <c:v>18</c:v>
                </c:pt>
                <c:pt idx="7">
                  <c:v>7</c:v>
                </c:pt>
                <c:pt idx="8">
                  <c:v>15</c:v>
                </c:pt>
                <c:pt idx="9">
                  <c:v>12</c:v>
                </c:pt>
                <c:pt idx="10">
                  <c:v>8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'23.07 Sentema-Sentema RBT'!$Z$9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Sentema-Sentema RBT'!$Z$10:$Z$21</c:f>
              <c:numCache>
                <c:formatCode>0</c:formatCode>
                <c:ptCount val="12"/>
                <c:pt idx="0">
                  <c:v>2</c:v>
                </c:pt>
                <c:pt idx="1">
                  <c:v>9</c:v>
                </c:pt>
                <c:pt idx="2">
                  <c:v>8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  <c:pt idx="6">
                  <c:v>13</c:v>
                </c:pt>
                <c:pt idx="7">
                  <c:v>8</c:v>
                </c:pt>
                <c:pt idx="8">
                  <c:v>6</c:v>
                </c:pt>
                <c:pt idx="9">
                  <c:v>3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'23.07 Sentema-Sentema RBT'!$AA$9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Sentema-Sentema RBT'!$AA$10:$AA$21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'23.07 Sentema-Sentema RBT'!$AB$9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Sentema-Sentema RBT'!$AB$10:$AB$21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'23.07 Sentema-Sentema RBT'!$AC$9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Sentema-Sentema RBT'!$AC$10:$AC$21</c:f>
              <c:numCache>
                <c:formatCode>0</c:formatCode>
                <c:ptCount val="12"/>
                <c:pt idx="0">
                  <c:v>369</c:v>
                </c:pt>
                <c:pt idx="1">
                  <c:v>338</c:v>
                </c:pt>
                <c:pt idx="2">
                  <c:v>243</c:v>
                </c:pt>
                <c:pt idx="3">
                  <c:v>166</c:v>
                </c:pt>
                <c:pt idx="4">
                  <c:v>265</c:v>
                </c:pt>
                <c:pt idx="5">
                  <c:v>202</c:v>
                </c:pt>
                <c:pt idx="6">
                  <c:v>195</c:v>
                </c:pt>
                <c:pt idx="7">
                  <c:v>201</c:v>
                </c:pt>
                <c:pt idx="8">
                  <c:v>162</c:v>
                </c:pt>
                <c:pt idx="9">
                  <c:v>222</c:v>
                </c:pt>
                <c:pt idx="10">
                  <c:v>239</c:v>
                </c:pt>
                <c:pt idx="11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'23.07 Sentema-Sentema RBT'!$AD$9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'23.07 Sentema-Sentema RBT'!$AD$10:$AD$21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95678368"/>
        <c:axId val="-395683808"/>
      </c:lineChart>
      <c:catAx>
        <c:axId val="-39567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95683808"/>
        <c:crosses val="autoZero"/>
        <c:auto val="1"/>
        <c:lblAlgn val="ctr"/>
        <c:lblOffset val="100"/>
        <c:noMultiLvlLbl val="0"/>
      </c:catAx>
      <c:valAx>
        <c:axId val="-39568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9567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'23.07 Sentema-Sentema 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'23.07 Sentema-Sentema RBT'!$C$60:$N$60</c:f>
              <c:numCache>
                <c:formatCode>0.00%</c:formatCode>
                <c:ptCount val="12"/>
                <c:pt idx="0">
                  <c:v>0.48811787072243346</c:v>
                </c:pt>
                <c:pt idx="1">
                  <c:v>5.2281368821292779E-2</c:v>
                </c:pt>
                <c:pt idx="2">
                  <c:v>7.0342205323193921E-2</c:v>
                </c:pt>
                <c:pt idx="3">
                  <c:v>0.25475285171102663</c:v>
                </c:pt>
                <c:pt idx="4">
                  <c:v>2.3764258555133079E-3</c:v>
                </c:pt>
                <c:pt idx="5">
                  <c:v>1.9011406844106464E-3</c:v>
                </c:pt>
                <c:pt idx="6">
                  <c:v>5.988593155893536E-2</c:v>
                </c:pt>
                <c:pt idx="7">
                  <c:v>3.9923954372623575E-2</c:v>
                </c:pt>
                <c:pt idx="8">
                  <c:v>7.6045627376425855E-3</c:v>
                </c:pt>
                <c:pt idx="9">
                  <c:v>2.2338403041825095E-2</c:v>
                </c:pt>
                <c:pt idx="11">
                  <c:v>4.7528517110266159E-4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SentemaRBT-Sentema'!$AE$9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SentemaRBT-Sentema'!$AE$10:$AE$21</c:f>
              <c:numCache>
                <c:formatCode>0</c:formatCode>
                <c:ptCount val="12"/>
                <c:pt idx="0">
                  <c:v>74</c:v>
                </c:pt>
                <c:pt idx="1">
                  <c:v>133</c:v>
                </c:pt>
                <c:pt idx="2">
                  <c:v>87</c:v>
                </c:pt>
                <c:pt idx="3">
                  <c:v>100</c:v>
                </c:pt>
                <c:pt idx="4">
                  <c:v>173</c:v>
                </c:pt>
                <c:pt idx="5">
                  <c:v>103</c:v>
                </c:pt>
                <c:pt idx="6">
                  <c:v>91</c:v>
                </c:pt>
                <c:pt idx="7">
                  <c:v>83</c:v>
                </c:pt>
                <c:pt idx="8">
                  <c:v>101</c:v>
                </c:pt>
                <c:pt idx="9">
                  <c:v>129</c:v>
                </c:pt>
                <c:pt idx="10">
                  <c:v>187</c:v>
                </c:pt>
                <c:pt idx="11">
                  <c:v>232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'24.07 SentemaRBT-Sentema'!$AF$9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SentemaRBT-Sentema'!$AF$10:$AF$21</c:f>
              <c:numCache>
                <c:formatCode>0</c:formatCode>
                <c:ptCount val="12"/>
                <c:pt idx="0">
                  <c:v>229</c:v>
                </c:pt>
                <c:pt idx="1">
                  <c:v>338</c:v>
                </c:pt>
                <c:pt idx="2">
                  <c:v>280</c:v>
                </c:pt>
                <c:pt idx="3">
                  <c:v>289</c:v>
                </c:pt>
                <c:pt idx="4">
                  <c:v>437</c:v>
                </c:pt>
                <c:pt idx="5">
                  <c:v>347</c:v>
                </c:pt>
                <c:pt idx="6">
                  <c:v>313</c:v>
                </c:pt>
                <c:pt idx="7">
                  <c:v>269</c:v>
                </c:pt>
                <c:pt idx="8">
                  <c:v>304</c:v>
                </c:pt>
                <c:pt idx="9">
                  <c:v>348</c:v>
                </c:pt>
                <c:pt idx="10">
                  <c:v>424</c:v>
                </c:pt>
                <c:pt idx="11">
                  <c:v>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95690880"/>
        <c:axId val="-395677824"/>
      </c:lineChart>
      <c:catAx>
        <c:axId val="-395690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95677824"/>
        <c:crosses val="autoZero"/>
        <c:auto val="1"/>
        <c:lblAlgn val="ctr"/>
        <c:lblOffset val="100"/>
        <c:noMultiLvlLbl val="0"/>
      </c:catAx>
      <c:valAx>
        <c:axId val="-395677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9569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SentemaRBT-Sentema'!$C$9:$N$9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SentemaRBT-Sentema'!$C$59:$N$59</c:f>
              <c:numCache>
                <c:formatCode>0.0%</c:formatCode>
                <c:ptCount val="12"/>
                <c:pt idx="0">
                  <c:v>0.14045082982412682</c:v>
                </c:pt>
                <c:pt idx="1">
                  <c:v>3.0963586821897447E-2</c:v>
                </c:pt>
                <c:pt idx="2">
                  <c:v>2.3284617290066881E-2</c:v>
                </c:pt>
                <c:pt idx="3">
                  <c:v>0.10923953430765419</c:v>
                </c:pt>
                <c:pt idx="4">
                  <c:v>4.2110478077780527E-3</c:v>
                </c:pt>
                <c:pt idx="5">
                  <c:v>1.4862521674510775E-3</c:v>
                </c:pt>
                <c:pt idx="6">
                  <c:v>4.0624225910329451E-2</c:v>
                </c:pt>
                <c:pt idx="7">
                  <c:v>1.6596482536537033E-2</c:v>
                </c:pt>
                <c:pt idx="8">
                  <c:v>2.972504334902155E-3</c:v>
                </c:pt>
                <c:pt idx="9">
                  <c:v>0</c:v>
                </c:pt>
                <c:pt idx="10">
                  <c:v>0.63017091899925692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SentemaRBT-Sentema'!$S$9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SentemaRBT-Sentema'!$S$10:$S$21</c:f>
              <c:numCache>
                <c:formatCode>0</c:formatCode>
                <c:ptCount val="12"/>
                <c:pt idx="0">
                  <c:v>22</c:v>
                </c:pt>
                <c:pt idx="1">
                  <c:v>49</c:v>
                </c:pt>
                <c:pt idx="2">
                  <c:v>18</c:v>
                </c:pt>
                <c:pt idx="3">
                  <c:v>25</c:v>
                </c:pt>
                <c:pt idx="4">
                  <c:v>95</c:v>
                </c:pt>
                <c:pt idx="5">
                  <c:v>33</c:v>
                </c:pt>
                <c:pt idx="6">
                  <c:v>25</c:v>
                </c:pt>
                <c:pt idx="7">
                  <c:v>25</c:v>
                </c:pt>
                <c:pt idx="8">
                  <c:v>37</c:v>
                </c:pt>
                <c:pt idx="9">
                  <c:v>43</c:v>
                </c:pt>
                <c:pt idx="10">
                  <c:v>86</c:v>
                </c:pt>
                <c:pt idx="11">
                  <c:v>109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'24.07 SentemaRBT-Sentema'!$T$9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SentemaRBT-Sentema'!$T$10:$T$21</c:f>
              <c:numCache>
                <c:formatCode>0</c:formatCode>
                <c:ptCount val="12"/>
                <c:pt idx="0">
                  <c:v>0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6</c:v>
                </c:pt>
                <c:pt idx="8">
                  <c:v>8</c:v>
                </c:pt>
                <c:pt idx="9">
                  <c:v>16</c:v>
                </c:pt>
                <c:pt idx="10">
                  <c:v>18</c:v>
                </c:pt>
                <c:pt idx="11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'24.07 SentemaRBT-Sentema'!$U$9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'24.07 SentemaRBT-Sentema'!$U$10:$U$21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12</c:v>
                </c:pt>
                <c:pt idx="5">
                  <c:v>4</c:v>
                </c:pt>
                <c:pt idx="6">
                  <c:v>9</c:v>
                </c:pt>
                <c:pt idx="7">
                  <c:v>6</c:v>
                </c:pt>
                <c:pt idx="8">
                  <c:v>4</c:v>
                </c:pt>
                <c:pt idx="9">
                  <c:v>6</c:v>
                </c:pt>
                <c:pt idx="10">
                  <c:v>16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'24.07 SentemaRBT-Sentema'!$V$9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'24.07 SentemaRBT-Sentema'!$V$10:$V$21</c:f>
              <c:numCache>
                <c:formatCode>0</c:formatCode>
                <c:ptCount val="12"/>
                <c:pt idx="0">
                  <c:v>31</c:v>
                </c:pt>
                <c:pt idx="1">
                  <c:v>52</c:v>
                </c:pt>
                <c:pt idx="2">
                  <c:v>42</c:v>
                </c:pt>
                <c:pt idx="3">
                  <c:v>40</c:v>
                </c:pt>
                <c:pt idx="4">
                  <c:v>33</c:v>
                </c:pt>
                <c:pt idx="5">
                  <c:v>23</c:v>
                </c:pt>
                <c:pt idx="6">
                  <c:v>24</c:v>
                </c:pt>
                <c:pt idx="7">
                  <c:v>28</c:v>
                </c:pt>
                <c:pt idx="8">
                  <c:v>31</c:v>
                </c:pt>
                <c:pt idx="9">
                  <c:v>37</c:v>
                </c:pt>
                <c:pt idx="10">
                  <c:v>43</c:v>
                </c:pt>
                <c:pt idx="11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'24.07 SentemaRBT-Sentema'!$W$9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'24.07 SentemaRBT-Sentema'!$W$10:$W$21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'24.07 SentemaRBT-Sentema'!$X$9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'24.07 SentemaRBT-Sentema'!$X$10:$X$21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'24.07 SentemaRBT-Sentema'!$Y$9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SentemaRBT-Sentema'!$Y$10:$Y$21</c:f>
              <c:numCache>
                <c:formatCode>0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10</c:v>
                </c:pt>
                <c:pt idx="3">
                  <c:v>16</c:v>
                </c:pt>
                <c:pt idx="4">
                  <c:v>21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13</c:v>
                </c:pt>
                <c:pt idx="10">
                  <c:v>14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'24.07 SentemaRBT-Sentema'!$Z$9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SentemaRBT-Sentema'!$Z$10:$Z$21</c:f>
              <c:numCache>
                <c:formatCode>0</c:formatCode>
                <c:ptCount val="12"/>
                <c:pt idx="0">
                  <c:v>9</c:v>
                </c:pt>
                <c:pt idx="1">
                  <c:v>8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8</c:v>
                </c:pt>
                <c:pt idx="6">
                  <c:v>7</c:v>
                </c:pt>
                <c:pt idx="7">
                  <c:v>2</c:v>
                </c:pt>
                <c:pt idx="8">
                  <c:v>4</c:v>
                </c:pt>
                <c:pt idx="9">
                  <c:v>7</c:v>
                </c:pt>
                <c:pt idx="10">
                  <c:v>6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'24.07 SentemaRBT-Sentema'!$AA$9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SentemaRBT-Sentema'!$AA$10:$AA$21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'24.07 SentemaRBT-Sentema'!$AB$9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SentemaRBT-Sentema'!$AB$10:$AB$21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'24.07 SentemaRBT-Sentema'!$AC$9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SentemaRBT-Sentema'!$AC$10:$AC$21</c:f>
              <c:numCache>
                <c:formatCode>0</c:formatCode>
                <c:ptCount val="12"/>
                <c:pt idx="0">
                  <c:v>155</c:v>
                </c:pt>
                <c:pt idx="1">
                  <c:v>205</c:v>
                </c:pt>
                <c:pt idx="2">
                  <c:v>193</c:v>
                </c:pt>
                <c:pt idx="3">
                  <c:v>189</c:v>
                </c:pt>
                <c:pt idx="4">
                  <c:v>264</c:v>
                </c:pt>
                <c:pt idx="5">
                  <c:v>244</c:v>
                </c:pt>
                <c:pt idx="6">
                  <c:v>222</c:v>
                </c:pt>
                <c:pt idx="7">
                  <c:v>186</c:v>
                </c:pt>
                <c:pt idx="8">
                  <c:v>203</c:v>
                </c:pt>
                <c:pt idx="9">
                  <c:v>219</c:v>
                </c:pt>
                <c:pt idx="10">
                  <c:v>237</c:v>
                </c:pt>
                <c:pt idx="11">
                  <c:v>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'24.07 SentemaRBT-Sentema'!$AD$9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'24.07 SentemaRBT-Sentema'!$AD$10:$AD$21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95687616"/>
        <c:axId val="-395687072"/>
      </c:lineChart>
      <c:catAx>
        <c:axId val="-39568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95687072"/>
        <c:crosses val="autoZero"/>
        <c:auto val="1"/>
        <c:lblAlgn val="ctr"/>
        <c:lblOffset val="100"/>
        <c:noMultiLvlLbl val="0"/>
      </c:catAx>
      <c:valAx>
        <c:axId val="-39568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9568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SentemaRBT-Sentema'!$C$9:$N$9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SentemaRBT-Sentema'!$C$60:$N$60</c:f>
              <c:numCache>
                <c:formatCode>0.00%</c:formatCode>
                <c:ptCount val="12"/>
                <c:pt idx="0">
                  <c:v>0.37977227059611518</c:v>
                </c:pt>
                <c:pt idx="1">
                  <c:v>8.3724045545880782E-2</c:v>
                </c:pt>
                <c:pt idx="2">
                  <c:v>6.2960482250502339E-2</c:v>
                </c:pt>
                <c:pt idx="3">
                  <c:v>0.29537843268586739</c:v>
                </c:pt>
                <c:pt idx="4">
                  <c:v>1.1386470194239785E-2</c:v>
                </c:pt>
                <c:pt idx="5">
                  <c:v>4.0187541862022769E-3</c:v>
                </c:pt>
                <c:pt idx="6">
                  <c:v>0.10984594775619558</c:v>
                </c:pt>
                <c:pt idx="7">
                  <c:v>4.4876088412592094E-2</c:v>
                </c:pt>
                <c:pt idx="8">
                  <c:v>8.0375083724045539E-3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'24.07 Sentema-SentemaRBT'!$AE$9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'24.07 Sentema-SentemaRBT'!$R$10:$R$21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Sentema-SentemaRBT'!$AE$10:$AE$21</c:f>
              <c:numCache>
                <c:formatCode>0</c:formatCode>
                <c:ptCount val="12"/>
                <c:pt idx="0">
                  <c:v>374</c:v>
                </c:pt>
                <c:pt idx="1">
                  <c:v>279</c:v>
                </c:pt>
                <c:pt idx="2">
                  <c:v>210</c:v>
                </c:pt>
                <c:pt idx="3">
                  <c:v>179</c:v>
                </c:pt>
                <c:pt idx="4">
                  <c:v>148</c:v>
                </c:pt>
                <c:pt idx="5">
                  <c:v>118</c:v>
                </c:pt>
                <c:pt idx="6">
                  <c:v>100</c:v>
                </c:pt>
                <c:pt idx="7">
                  <c:v>86</c:v>
                </c:pt>
                <c:pt idx="8">
                  <c:v>107</c:v>
                </c:pt>
                <c:pt idx="9">
                  <c:v>104</c:v>
                </c:pt>
                <c:pt idx="10">
                  <c:v>106</c:v>
                </c:pt>
                <c:pt idx="11">
                  <c:v>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'24.07 Sentema-SentemaRBT'!$AF$9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'24.07 Sentema-SentemaRBT'!$R$10:$R$21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'24.07 Sentema-SentemaRBT'!$AF$10:$AF$21</c:f>
              <c:numCache>
                <c:formatCode>0</c:formatCode>
                <c:ptCount val="12"/>
                <c:pt idx="0">
                  <c:v>790</c:v>
                </c:pt>
                <c:pt idx="1">
                  <c:v>643</c:v>
                </c:pt>
                <c:pt idx="2">
                  <c:v>515</c:v>
                </c:pt>
                <c:pt idx="3">
                  <c:v>410</c:v>
                </c:pt>
                <c:pt idx="4">
                  <c:v>413</c:v>
                </c:pt>
                <c:pt idx="5">
                  <c:v>354</c:v>
                </c:pt>
                <c:pt idx="6">
                  <c:v>338</c:v>
                </c:pt>
                <c:pt idx="7">
                  <c:v>280</c:v>
                </c:pt>
                <c:pt idx="8">
                  <c:v>310</c:v>
                </c:pt>
                <c:pt idx="9">
                  <c:v>352</c:v>
                </c:pt>
                <c:pt idx="10">
                  <c:v>351</c:v>
                </c:pt>
                <c:pt idx="11">
                  <c:v>362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4753568"/>
        <c:axId val="-354745408"/>
      </c:lineChart>
      <c:catAx>
        <c:axId val="-3547535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4745408"/>
        <c:crosses val="autoZero"/>
        <c:auto val="1"/>
        <c:lblAlgn val="ctr"/>
        <c:lblOffset val="100"/>
        <c:noMultiLvlLbl val="0"/>
      </c:catAx>
      <c:valAx>
        <c:axId val="-3547454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47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Sentema-SentemaRBT'!$C$9:$N$9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Sentema-SentemaRBT'!$C$59:$N$59</c:f>
              <c:numCache>
                <c:formatCode>0.0%</c:formatCode>
                <c:ptCount val="12"/>
                <c:pt idx="0">
                  <c:v>0.18307932786244627</c:v>
                </c:pt>
                <c:pt idx="1">
                  <c:v>2.5986713559984369E-2</c:v>
                </c:pt>
                <c:pt idx="2">
                  <c:v>2.5205158264947247E-2</c:v>
                </c:pt>
                <c:pt idx="3">
                  <c:v>9.4568190699491989E-2</c:v>
                </c:pt>
                <c:pt idx="4">
                  <c:v>7.8155529503712393E-4</c:v>
                </c:pt>
                <c:pt idx="5">
                  <c:v>9.7694411879640478E-4</c:v>
                </c:pt>
                <c:pt idx="6">
                  <c:v>3.048065650644783E-2</c:v>
                </c:pt>
                <c:pt idx="7">
                  <c:v>1.3872606486908948E-2</c:v>
                </c:pt>
                <c:pt idx="8">
                  <c:v>2.1492770613520907E-3</c:v>
                </c:pt>
                <c:pt idx="9">
                  <c:v>5.8616647127784287E-4</c:v>
                </c:pt>
                <c:pt idx="10">
                  <c:v>0.6223134036733099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'24.07 Sentema-SentemaRBT'!$C$9:$N$9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'24.07 Sentema-SentemaRBT'!$C$60:$N$60</c:f>
              <c:numCache>
                <c:formatCode>0.00%</c:formatCode>
                <c:ptCount val="12"/>
                <c:pt idx="0">
                  <c:v>0.48473874806001033</c:v>
                </c:pt>
                <c:pt idx="1">
                  <c:v>6.8804966373512674E-2</c:v>
                </c:pt>
                <c:pt idx="2">
                  <c:v>6.6735644076564932E-2</c:v>
                </c:pt>
                <c:pt idx="3">
                  <c:v>0.25038799793067773</c:v>
                </c:pt>
                <c:pt idx="4">
                  <c:v>2.0693222969477496E-3</c:v>
                </c:pt>
                <c:pt idx="5">
                  <c:v>2.5866528711846869E-3</c:v>
                </c:pt>
                <c:pt idx="6">
                  <c:v>8.0703569580962239E-2</c:v>
                </c:pt>
                <c:pt idx="7">
                  <c:v>3.6730470770822553E-2</c:v>
                </c:pt>
                <c:pt idx="8">
                  <c:v>5.6906363166063113E-3</c:v>
                </c:pt>
                <c:pt idx="9">
                  <c:v>1.5519917227108122E-3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SentemaRBT-Sentema'!$AE$9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SentemaRBT-Sentema'!$AE$10:$AE$21</c:f>
              <c:numCache>
                <c:formatCode>0</c:formatCode>
                <c:ptCount val="12"/>
                <c:pt idx="0">
                  <c:v>118</c:v>
                </c:pt>
                <c:pt idx="1">
                  <c:v>100</c:v>
                </c:pt>
                <c:pt idx="2">
                  <c:v>122</c:v>
                </c:pt>
                <c:pt idx="3">
                  <c:v>118</c:v>
                </c:pt>
                <c:pt idx="4">
                  <c:v>116</c:v>
                </c:pt>
                <c:pt idx="5">
                  <c:v>98</c:v>
                </c:pt>
                <c:pt idx="6">
                  <c:v>108</c:v>
                </c:pt>
                <c:pt idx="7">
                  <c:v>98</c:v>
                </c:pt>
                <c:pt idx="8">
                  <c:v>98</c:v>
                </c:pt>
                <c:pt idx="9">
                  <c:v>129</c:v>
                </c:pt>
                <c:pt idx="10">
                  <c:v>172</c:v>
                </c:pt>
                <c:pt idx="11">
                  <c:v>238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'25.07 SentemaRBT-Sentema'!$AF$9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SentemaRBT-Sentema'!$AF$10:$AF$21</c:f>
              <c:numCache>
                <c:formatCode>0</c:formatCode>
                <c:ptCount val="12"/>
                <c:pt idx="0">
                  <c:v>301</c:v>
                </c:pt>
                <c:pt idx="1">
                  <c:v>284</c:v>
                </c:pt>
                <c:pt idx="2">
                  <c:v>342</c:v>
                </c:pt>
                <c:pt idx="3">
                  <c:v>334</c:v>
                </c:pt>
                <c:pt idx="4">
                  <c:v>360</c:v>
                </c:pt>
                <c:pt idx="5">
                  <c:v>312</c:v>
                </c:pt>
                <c:pt idx="6">
                  <c:v>340</c:v>
                </c:pt>
                <c:pt idx="7">
                  <c:v>313</c:v>
                </c:pt>
                <c:pt idx="8">
                  <c:v>273</c:v>
                </c:pt>
                <c:pt idx="9">
                  <c:v>317</c:v>
                </c:pt>
                <c:pt idx="10">
                  <c:v>420</c:v>
                </c:pt>
                <c:pt idx="11">
                  <c:v>495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4749216"/>
        <c:axId val="-354755200"/>
      </c:lineChart>
      <c:catAx>
        <c:axId val="-354749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4755200"/>
        <c:crosses val="autoZero"/>
        <c:auto val="1"/>
        <c:lblAlgn val="ctr"/>
        <c:lblOffset val="100"/>
        <c:noMultiLvlLbl val="0"/>
      </c:catAx>
      <c:valAx>
        <c:axId val="-354755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474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SentemaRBT-Sentema'!$C$9:$N$9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SentemaRBT-Sentema'!$C$59:$N$59</c:f>
              <c:numCache>
                <c:formatCode>0.0%</c:formatCode>
                <c:ptCount val="12"/>
                <c:pt idx="0">
                  <c:v>0.14006355414324126</c:v>
                </c:pt>
                <c:pt idx="1">
                  <c:v>3.7154729894891228E-2</c:v>
                </c:pt>
                <c:pt idx="2">
                  <c:v>2.4443901246638963E-2</c:v>
                </c:pt>
                <c:pt idx="3">
                  <c:v>0.1156196528966023</c:v>
                </c:pt>
                <c:pt idx="4">
                  <c:v>1.7110730872647274E-3</c:v>
                </c:pt>
                <c:pt idx="5">
                  <c:v>1.2221950623319481E-3</c:v>
                </c:pt>
                <c:pt idx="6">
                  <c:v>3.1043754583231484E-2</c:v>
                </c:pt>
                <c:pt idx="7">
                  <c:v>1.1977511610853092E-2</c:v>
                </c:pt>
                <c:pt idx="8">
                  <c:v>7.0887313615252993E-3</c:v>
                </c:pt>
                <c:pt idx="9">
                  <c:v>0</c:v>
                </c:pt>
                <c:pt idx="10">
                  <c:v>0.62967489611341965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SentemaRBT-Sentema'!$S$9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SentemaRBT-Sentema'!$S$10:$S$21</c:f>
              <c:numCache>
                <c:formatCode>0</c:formatCode>
                <c:ptCount val="12"/>
                <c:pt idx="0">
                  <c:v>43</c:v>
                </c:pt>
                <c:pt idx="1">
                  <c:v>27</c:v>
                </c:pt>
                <c:pt idx="2">
                  <c:v>29</c:v>
                </c:pt>
                <c:pt idx="3">
                  <c:v>39</c:v>
                </c:pt>
                <c:pt idx="4">
                  <c:v>43</c:v>
                </c:pt>
                <c:pt idx="5">
                  <c:v>29</c:v>
                </c:pt>
                <c:pt idx="6">
                  <c:v>39</c:v>
                </c:pt>
                <c:pt idx="7">
                  <c:v>33</c:v>
                </c:pt>
                <c:pt idx="8">
                  <c:v>46</c:v>
                </c:pt>
                <c:pt idx="9">
                  <c:v>52</c:v>
                </c:pt>
                <c:pt idx="10">
                  <c:v>69</c:v>
                </c:pt>
                <c:pt idx="11">
                  <c:v>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'25.07 SentemaRBT-Sentema'!$T$9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SentemaRBT-Sentema'!$T$10:$T$21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20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15</c:v>
                </c:pt>
                <c:pt idx="10">
                  <c:v>32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'25.07 SentemaRBT-Sentema'!$U$9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SentemaRBT-Sentema'!$U$10:$U$21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10</c:v>
                </c:pt>
                <c:pt idx="6">
                  <c:v>8</c:v>
                </c:pt>
                <c:pt idx="7">
                  <c:v>9</c:v>
                </c:pt>
                <c:pt idx="8">
                  <c:v>12</c:v>
                </c:pt>
                <c:pt idx="9">
                  <c:v>8</c:v>
                </c:pt>
                <c:pt idx="10">
                  <c:v>9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'25.07 SentemaRBT-Sentema'!$V$9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SentemaRBT-Sentema'!$V$10:$V$21</c:f>
              <c:numCache>
                <c:formatCode>0</c:formatCode>
                <c:ptCount val="12"/>
                <c:pt idx="0">
                  <c:v>48</c:v>
                </c:pt>
                <c:pt idx="1">
                  <c:v>44</c:v>
                </c:pt>
                <c:pt idx="2">
                  <c:v>70</c:v>
                </c:pt>
                <c:pt idx="3">
                  <c:v>49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30</c:v>
                </c:pt>
                <c:pt idx="8">
                  <c:v>18</c:v>
                </c:pt>
                <c:pt idx="9">
                  <c:v>33</c:v>
                </c:pt>
                <c:pt idx="10">
                  <c:v>48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'25.07 SentemaRBT-Sentema'!$W$9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SentemaRBT-Sentema'!$W$10:$W$21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'25.07 SentemaRBT-Sentema'!$X$9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SentemaRBT-Sentema'!$X$10:$X$21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'25.07 SentemaRBT-Sentema'!$Y$9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SentemaRBT-Sentema'!$Y$10:$Y$21</c:f>
              <c:numCache>
                <c:formatCode>0</c:formatCode>
                <c:ptCount val="12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12</c:v>
                </c:pt>
                <c:pt idx="4">
                  <c:v>10</c:v>
                </c:pt>
                <c:pt idx="5">
                  <c:v>17</c:v>
                </c:pt>
                <c:pt idx="6">
                  <c:v>18</c:v>
                </c:pt>
                <c:pt idx="7">
                  <c:v>12</c:v>
                </c:pt>
                <c:pt idx="8">
                  <c:v>7</c:v>
                </c:pt>
                <c:pt idx="9">
                  <c:v>12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'25.07 SentemaRBT-Sentema'!$Z$9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SentemaRBT-Sentema'!$Z$10:$Z$21</c:f>
              <c:numCache>
                <c:formatCode>0</c:formatCode>
                <c:ptCount val="12"/>
                <c:pt idx="0">
                  <c:v>10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'25.07 SentemaRBT-Sentema'!$AA$9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SentemaRBT-Sentema'!$AA$10:$AA$21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'25.07 SentemaRBT-Sentema'!$AB$9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SentemaRBT-Sentema'!$AB$10:$AB$21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'25.07 SentemaRBT-Sentema'!$AC$9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SentemaRBT-Sentema'!$AC$10:$AC$21</c:f>
              <c:numCache>
                <c:formatCode>0</c:formatCode>
                <c:ptCount val="12"/>
                <c:pt idx="0">
                  <c:v>183</c:v>
                </c:pt>
                <c:pt idx="1">
                  <c:v>184</c:v>
                </c:pt>
                <c:pt idx="2">
                  <c:v>220</c:v>
                </c:pt>
                <c:pt idx="3">
                  <c:v>216</c:v>
                </c:pt>
                <c:pt idx="4">
                  <c:v>244</c:v>
                </c:pt>
                <c:pt idx="5">
                  <c:v>214</c:v>
                </c:pt>
                <c:pt idx="6">
                  <c:v>232</c:v>
                </c:pt>
                <c:pt idx="7">
                  <c:v>215</c:v>
                </c:pt>
                <c:pt idx="8">
                  <c:v>175</c:v>
                </c:pt>
                <c:pt idx="9">
                  <c:v>188</c:v>
                </c:pt>
                <c:pt idx="10">
                  <c:v>248</c:v>
                </c:pt>
                <c:pt idx="11">
                  <c:v>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'25.07 SentemaRBT-Sentema'!$AD$9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SentemaRBT-Sentema'!$AD$10:$AD$21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54747040"/>
        <c:axId val="-354759552"/>
      </c:lineChart>
      <c:catAx>
        <c:axId val="-35474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4759552"/>
        <c:crosses val="autoZero"/>
        <c:auto val="1"/>
        <c:lblAlgn val="ctr"/>
        <c:lblOffset val="100"/>
        <c:noMultiLvlLbl val="0"/>
      </c:catAx>
      <c:valAx>
        <c:axId val="-3547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474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SentemaRBT-Sentema'!$C$9:$N$9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SentemaRBT-Sentema'!$C$60:$N$60</c:f>
              <c:numCache>
                <c:formatCode>0.00%</c:formatCode>
                <c:ptCount val="12"/>
                <c:pt idx="0">
                  <c:v>0.37821782178217822</c:v>
                </c:pt>
                <c:pt idx="1">
                  <c:v>0.10033003300330033</c:v>
                </c:pt>
                <c:pt idx="2">
                  <c:v>6.6006600660066E-2</c:v>
                </c:pt>
                <c:pt idx="3">
                  <c:v>0.31221122112211219</c:v>
                </c:pt>
                <c:pt idx="4">
                  <c:v>4.6204620462046205E-3</c:v>
                </c:pt>
                <c:pt idx="5">
                  <c:v>3.3003300330033004E-3</c:v>
                </c:pt>
                <c:pt idx="6">
                  <c:v>8.3828382838283824E-2</c:v>
                </c:pt>
                <c:pt idx="7">
                  <c:v>3.2343234323432342E-2</c:v>
                </c:pt>
                <c:pt idx="8">
                  <c:v>1.914191419141914E-2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Sentema-SentemaRBT'!$AE$9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'25.07 Sentema-SentemaRBT'!$R$10:$R$21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Sentema-SentemaRBT'!$AE$10:$AE$21</c:f>
              <c:numCache>
                <c:formatCode>0</c:formatCode>
                <c:ptCount val="12"/>
                <c:pt idx="0">
                  <c:v>499</c:v>
                </c:pt>
                <c:pt idx="1">
                  <c:v>381</c:v>
                </c:pt>
                <c:pt idx="2">
                  <c:v>339</c:v>
                </c:pt>
                <c:pt idx="3">
                  <c:v>289</c:v>
                </c:pt>
                <c:pt idx="4">
                  <c:v>191</c:v>
                </c:pt>
                <c:pt idx="5">
                  <c:v>130</c:v>
                </c:pt>
                <c:pt idx="6">
                  <c:v>103</c:v>
                </c:pt>
                <c:pt idx="7">
                  <c:v>125</c:v>
                </c:pt>
                <c:pt idx="8">
                  <c:v>127</c:v>
                </c:pt>
                <c:pt idx="9">
                  <c:v>112</c:v>
                </c:pt>
                <c:pt idx="10">
                  <c:v>154</c:v>
                </c:pt>
                <c:pt idx="11">
                  <c:v>125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'25.07 Sentema-SentemaRBT'!$AF$9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'25.07 Sentema-SentemaRBT'!$R$10:$R$21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Sentema-SentemaRBT'!$AF$10:$AF$21</c:f>
              <c:numCache>
                <c:formatCode>0</c:formatCode>
                <c:ptCount val="12"/>
                <c:pt idx="0">
                  <c:v>870</c:v>
                </c:pt>
                <c:pt idx="1">
                  <c:v>857</c:v>
                </c:pt>
                <c:pt idx="2">
                  <c:v>706</c:v>
                </c:pt>
                <c:pt idx="3">
                  <c:v>689</c:v>
                </c:pt>
                <c:pt idx="4">
                  <c:v>439</c:v>
                </c:pt>
                <c:pt idx="5">
                  <c:v>434</c:v>
                </c:pt>
                <c:pt idx="6">
                  <c:v>339</c:v>
                </c:pt>
                <c:pt idx="7">
                  <c:v>354</c:v>
                </c:pt>
                <c:pt idx="8">
                  <c:v>398</c:v>
                </c:pt>
                <c:pt idx="9">
                  <c:v>391</c:v>
                </c:pt>
                <c:pt idx="10">
                  <c:v>420</c:v>
                </c:pt>
                <c:pt idx="11">
                  <c:v>450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4758464"/>
        <c:axId val="-354752480"/>
      </c:lineChart>
      <c:catAx>
        <c:axId val="-3547584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4752480"/>
        <c:crosses val="autoZero"/>
        <c:auto val="1"/>
        <c:lblAlgn val="ctr"/>
        <c:lblOffset val="100"/>
        <c:noMultiLvlLbl val="0"/>
      </c:catAx>
      <c:valAx>
        <c:axId val="-354752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475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Sentema-SentemaRBT'!$C$9:$N$9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Sentema-SentemaRBT'!$C$59:$N$59</c:f>
              <c:numCache>
                <c:formatCode>0.0%</c:formatCode>
                <c:ptCount val="12"/>
                <c:pt idx="0">
                  <c:v>0.20482117535843705</c:v>
                </c:pt>
                <c:pt idx="1">
                  <c:v>3.2771388057349929E-2</c:v>
                </c:pt>
                <c:pt idx="2">
                  <c:v>1.8433905782259334E-2</c:v>
                </c:pt>
                <c:pt idx="3">
                  <c:v>0.10697967543721443</c:v>
                </c:pt>
                <c:pt idx="4">
                  <c:v>1.8906570033086498E-3</c:v>
                </c:pt>
                <c:pt idx="5">
                  <c:v>7.8777375137860405E-4</c:v>
                </c:pt>
                <c:pt idx="6">
                  <c:v>2.5838979045218213E-2</c:v>
                </c:pt>
                <c:pt idx="7">
                  <c:v>1.1343942019851899E-2</c:v>
                </c:pt>
                <c:pt idx="8">
                  <c:v>1.1028832519300457E-3</c:v>
                </c:pt>
                <c:pt idx="9">
                  <c:v>1.7331022530329288E-3</c:v>
                </c:pt>
                <c:pt idx="10">
                  <c:v>0.59429651804001893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'25.07 Sentema-SentemaRBT'!$S$9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'25.07 Sentema-SentemaRBT'!$R$10:$R$21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Sentema-SentemaRBT'!$S$10:$S$21</c:f>
              <c:numCache>
                <c:formatCode>0</c:formatCode>
                <c:ptCount val="12"/>
                <c:pt idx="0">
                  <c:v>263</c:v>
                </c:pt>
                <c:pt idx="1">
                  <c:v>184</c:v>
                </c:pt>
                <c:pt idx="2">
                  <c:v>192</c:v>
                </c:pt>
                <c:pt idx="3">
                  <c:v>163</c:v>
                </c:pt>
                <c:pt idx="4">
                  <c:v>102</c:v>
                </c:pt>
                <c:pt idx="5">
                  <c:v>73</c:v>
                </c:pt>
                <c:pt idx="6">
                  <c:v>44</c:v>
                </c:pt>
                <c:pt idx="7">
                  <c:v>42</c:v>
                </c:pt>
                <c:pt idx="8">
                  <c:v>61</c:v>
                </c:pt>
                <c:pt idx="9">
                  <c:v>51</c:v>
                </c:pt>
                <c:pt idx="10">
                  <c:v>86</c:v>
                </c:pt>
                <c:pt idx="11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'25.07 Sentema-SentemaRBT'!$T$9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'25.07 Sentema-SentemaRBT'!$R$10:$R$21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'25.07 Sentema-SentemaRBT'!$T$10:$T$21</c:f>
              <c:numCache>
                <c:formatCode>0</c:formatCode>
                <c:ptCount val="12"/>
                <c:pt idx="0">
                  <c:v>32</c:v>
                </c:pt>
                <c:pt idx="1">
                  <c:v>34</c:v>
                </c:pt>
                <c:pt idx="2">
                  <c:v>18</c:v>
                </c:pt>
                <c:pt idx="3">
                  <c:v>18</c:v>
                </c:pt>
                <c:pt idx="4">
                  <c:v>15</c:v>
                </c:pt>
                <c:pt idx="5">
                  <c:v>6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  <c:pt idx="9">
                  <c:v>13</c:v>
                </c:pt>
                <c:pt idx="10">
                  <c:v>15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'25.07 Sentema-SentemaRBT'!$U$9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'25.07 Sentema-SentemaRBT'!$U$10:$U$21</c:f>
              <c:numCache>
                <c:formatCode>0</c:formatCode>
                <c:ptCount val="12"/>
                <c:pt idx="0">
                  <c:v>23</c:v>
                </c:pt>
                <c:pt idx="1">
                  <c:v>17</c:v>
                </c:pt>
                <c:pt idx="2">
                  <c:v>15</c:v>
                </c:pt>
                <c:pt idx="3">
                  <c:v>11</c:v>
                </c:pt>
                <c:pt idx="4">
                  <c:v>9</c:v>
                </c:pt>
                <c:pt idx="5">
                  <c:v>8</c:v>
                </c:pt>
                <c:pt idx="6">
                  <c:v>3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'25.07 Sentema-SentemaRBT'!$V$9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'25.07 Sentema-SentemaRBT'!$V$10:$V$21</c:f>
              <c:numCache>
                <c:formatCode>0</c:formatCode>
                <c:ptCount val="12"/>
                <c:pt idx="0">
                  <c:v>167</c:v>
                </c:pt>
                <c:pt idx="1">
                  <c:v>118</c:v>
                </c:pt>
                <c:pt idx="2">
                  <c:v>89</c:v>
                </c:pt>
                <c:pt idx="3">
                  <c:v>61</c:v>
                </c:pt>
                <c:pt idx="4">
                  <c:v>42</c:v>
                </c:pt>
                <c:pt idx="5">
                  <c:v>28</c:v>
                </c:pt>
                <c:pt idx="6">
                  <c:v>20</c:v>
                </c:pt>
                <c:pt idx="7">
                  <c:v>34</c:v>
                </c:pt>
                <c:pt idx="8">
                  <c:v>17</c:v>
                </c:pt>
                <c:pt idx="9">
                  <c:v>20</c:v>
                </c:pt>
                <c:pt idx="10">
                  <c:v>38</c:v>
                </c:pt>
                <c:pt idx="11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'25.07 Sentema-SentemaRBT'!$W$9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'25.07 Sentema-SentemaRBT'!$W$10:$W$21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'25.07 Sentema-SentemaRBT'!$X$9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'25.07 Sentema-SentemaRBT'!$X$10:$X$21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'25.07 Sentema-SentemaRBT'!$Y$9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Sentema-SentemaRBT'!$Y$10:$Y$21</c:f>
              <c:numCache>
                <c:formatCode>0</c:formatCode>
                <c:ptCount val="12"/>
                <c:pt idx="0">
                  <c:v>11</c:v>
                </c:pt>
                <c:pt idx="1">
                  <c:v>20</c:v>
                </c:pt>
                <c:pt idx="2">
                  <c:v>13</c:v>
                </c:pt>
                <c:pt idx="3">
                  <c:v>22</c:v>
                </c:pt>
                <c:pt idx="4">
                  <c:v>15</c:v>
                </c:pt>
                <c:pt idx="5">
                  <c:v>11</c:v>
                </c:pt>
                <c:pt idx="6">
                  <c:v>13</c:v>
                </c:pt>
                <c:pt idx="7">
                  <c:v>10</c:v>
                </c:pt>
                <c:pt idx="8">
                  <c:v>21</c:v>
                </c:pt>
                <c:pt idx="9">
                  <c:v>13</c:v>
                </c:pt>
                <c:pt idx="10">
                  <c:v>10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'25.07 Sentema-SentemaRBT'!$Z$9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Sentema-SentemaRBT'!$Z$10:$Z$21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10</c:v>
                </c:pt>
                <c:pt idx="7">
                  <c:v>12</c:v>
                </c:pt>
                <c:pt idx="8">
                  <c:v>8</c:v>
                </c:pt>
                <c:pt idx="9">
                  <c:v>6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'25.07 Sentema-SentemaRBT'!$AA$9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Sentema-SentemaRBT'!$AA$10:$AA$21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'25.07 Sentema-SentemaRBT'!$AB$9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Sentema-SentemaRBT'!$AB$10:$AB$21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'25.07 Sentema-SentemaRBT'!$AC$9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Sentema-SentemaRBT'!$AC$10:$AC$21</c:f>
              <c:numCache>
                <c:formatCode>0</c:formatCode>
                <c:ptCount val="12"/>
                <c:pt idx="0">
                  <c:v>371</c:v>
                </c:pt>
                <c:pt idx="1">
                  <c:v>476</c:v>
                </c:pt>
                <c:pt idx="2">
                  <c:v>367</c:v>
                </c:pt>
                <c:pt idx="3">
                  <c:v>400</c:v>
                </c:pt>
                <c:pt idx="4">
                  <c:v>248</c:v>
                </c:pt>
                <c:pt idx="5">
                  <c:v>304</c:v>
                </c:pt>
                <c:pt idx="6">
                  <c:v>236</c:v>
                </c:pt>
                <c:pt idx="7">
                  <c:v>229</c:v>
                </c:pt>
                <c:pt idx="8">
                  <c:v>271</c:v>
                </c:pt>
                <c:pt idx="9">
                  <c:v>279</c:v>
                </c:pt>
                <c:pt idx="10">
                  <c:v>266</c:v>
                </c:pt>
                <c:pt idx="11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'25.07 Sentema-SentemaRBT'!$AD$9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'25.07 Sentema-SentemaRBT'!$AD$10:$AD$21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54756288"/>
        <c:axId val="-353253136"/>
      </c:lineChart>
      <c:catAx>
        <c:axId val="-35475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3253136"/>
        <c:crosses val="autoZero"/>
        <c:auto val="1"/>
        <c:lblAlgn val="ctr"/>
        <c:lblOffset val="100"/>
        <c:noMultiLvlLbl val="0"/>
      </c:catAx>
      <c:valAx>
        <c:axId val="-35325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475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'25.07 Sentema-SentemaRBT'!$C$9:$N$9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'25.07 Sentema-SentemaRBT'!$C$60:$N$60</c:f>
              <c:numCache>
                <c:formatCode>0.00%</c:formatCode>
                <c:ptCount val="12"/>
                <c:pt idx="0">
                  <c:v>0.50485436893203883</c:v>
                </c:pt>
                <c:pt idx="1">
                  <c:v>8.0776699029126209E-2</c:v>
                </c:pt>
                <c:pt idx="2">
                  <c:v>4.5436893203883492E-2</c:v>
                </c:pt>
                <c:pt idx="3">
                  <c:v>0.26368932038834952</c:v>
                </c:pt>
                <c:pt idx="4">
                  <c:v>4.6601941747572819E-3</c:v>
                </c:pt>
                <c:pt idx="5">
                  <c:v>1.9417475728155339E-3</c:v>
                </c:pt>
                <c:pt idx="6">
                  <c:v>6.3689320388349513E-2</c:v>
                </c:pt>
                <c:pt idx="7">
                  <c:v>2.796116504854369E-2</c:v>
                </c:pt>
                <c:pt idx="8">
                  <c:v>2.7184466019417475E-3</c:v>
                </c:pt>
                <c:pt idx="9">
                  <c:v>4.2718446601941748E-3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SentemaRBT-Sentema-24h'!$AE$9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SentemaRBT-Sentema-24h'!$R$10:$R$33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SentemaRBT-Sentema-24h'!$AE$10:$AE$33</c:f>
              <c:numCache>
                <c:formatCode>0</c:formatCode>
                <c:ptCount val="24"/>
                <c:pt idx="0">
                  <c:v>122</c:v>
                </c:pt>
                <c:pt idx="1">
                  <c:v>115</c:v>
                </c:pt>
                <c:pt idx="2">
                  <c:v>139</c:v>
                </c:pt>
                <c:pt idx="3">
                  <c:v>116</c:v>
                </c:pt>
                <c:pt idx="4">
                  <c:v>105</c:v>
                </c:pt>
                <c:pt idx="5">
                  <c:v>107</c:v>
                </c:pt>
                <c:pt idx="6">
                  <c:v>89</c:v>
                </c:pt>
                <c:pt idx="7">
                  <c:v>112</c:v>
                </c:pt>
                <c:pt idx="8">
                  <c:v>121</c:v>
                </c:pt>
                <c:pt idx="9">
                  <c:v>135</c:v>
                </c:pt>
                <c:pt idx="10">
                  <c:v>194</c:v>
                </c:pt>
                <c:pt idx="11">
                  <c:v>219</c:v>
                </c:pt>
                <c:pt idx="12">
                  <c:v>210</c:v>
                </c:pt>
                <c:pt idx="13">
                  <c:v>161</c:v>
                </c:pt>
                <c:pt idx="14">
                  <c:v>110</c:v>
                </c:pt>
                <c:pt idx="15">
                  <c:v>54</c:v>
                </c:pt>
                <c:pt idx="16">
                  <c:v>25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8</c:v>
                </c:pt>
                <c:pt idx="21">
                  <c:v>6</c:v>
                </c:pt>
                <c:pt idx="22">
                  <c:v>40</c:v>
                </c:pt>
                <c:pt idx="23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'26.07 SentemaRBT-Sentema-24h'!$AF$9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SentemaRBT-Sentema-24h'!$R$10:$R$33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SentemaRBT-Sentema-24h'!$AF$10:$AF$33</c:f>
              <c:numCache>
                <c:formatCode>0</c:formatCode>
                <c:ptCount val="24"/>
                <c:pt idx="0">
                  <c:v>296</c:v>
                </c:pt>
                <c:pt idx="1">
                  <c:v>328</c:v>
                </c:pt>
                <c:pt idx="2">
                  <c:v>367</c:v>
                </c:pt>
                <c:pt idx="3">
                  <c:v>310</c:v>
                </c:pt>
                <c:pt idx="4">
                  <c:v>340</c:v>
                </c:pt>
                <c:pt idx="5">
                  <c:v>311</c:v>
                </c:pt>
                <c:pt idx="6">
                  <c:v>209</c:v>
                </c:pt>
                <c:pt idx="7">
                  <c:v>295</c:v>
                </c:pt>
                <c:pt idx="8">
                  <c:v>310</c:v>
                </c:pt>
                <c:pt idx="9">
                  <c:v>324</c:v>
                </c:pt>
                <c:pt idx="10">
                  <c:v>426</c:v>
                </c:pt>
                <c:pt idx="11">
                  <c:v>507</c:v>
                </c:pt>
                <c:pt idx="12">
                  <c:v>457</c:v>
                </c:pt>
                <c:pt idx="13">
                  <c:v>423</c:v>
                </c:pt>
                <c:pt idx="14">
                  <c:v>261</c:v>
                </c:pt>
                <c:pt idx="15">
                  <c:v>114</c:v>
                </c:pt>
                <c:pt idx="16">
                  <c:v>51</c:v>
                </c:pt>
                <c:pt idx="17">
                  <c:v>23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7</c:v>
                </c:pt>
                <c:pt idx="22">
                  <c:v>65</c:v>
                </c:pt>
                <c:pt idx="23">
                  <c:v>116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3262384"/>
        <c:axId val="-353261296"/>
      </c:lineChart>
      <c:catAx>
        <c:axId val="-3532623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3261296"/>
        <c:crosses val="autoZero"/>
        <c:auto val="1"/>
        <c:lblAlgn val="ctr"/>
        <c:lblOffset val="100"/>
        <c:noMultiLvlLbl val="0"/>
      </c:catAx>
      <c:valAx>
        <c:axId val="-353261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326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SentemaRBT-Sentema-24h'!$C$9:$N$9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SentemaRBT-Sentema-24h'!$C$107:$N$107</c:f>
              <c:numCache>
                <c:formatCode>0.0%</c:formatCode>
                <c:ptCount val="12"/>
                <c:pt idx="0">
                  <c:v>0.15369369369369371</c:v>
                </c:pt>
                <c:pt idx="1">
                  <c:v>4.4144144144144144E-2</c:v>
                </c:pt>
                <c:pt idx="2">
                  <c:v>2.6306306306306305E-2</c:v>
                </c:pt>
                <c:pt idx="3">
                  <c:v>0.1136936936936937</c:v>
                </c:pt>
                <c:pt idx="4">
                  <c:v>2.7027027027027029E-3</c:v>
                </c:pt>
                <c:pt idx="5">
                  <c:v>1.0810810810810811E-3</c:v>
                </c:pt>
                <c:pt idx="6">
                  <c:v>3.9279279279279281E-2</c:v>
                </c:pt>
                <c:pt idx="7">
                  <c:v>1.4954954954954955E-2</c:v>
                </c:pt>
                <c:pt idx="8">
                  <c:v>7.2072072072072073E-3</c:v>
                </c:pt>
                <c:pt idx="9">
                  <c:v>2.8828828828828829E-3</c:v>
                </c:pt>
                <c:pt idx="10">
                  <c:v>0.59387387387387391</c:v>
                </c:pt>
                <c:pt idx="11">
                  <c:v>1.8018018018018018E-4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SentemaRBT-Sentema-24h'!$C$9:$N$9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SentemaRBT-Sentema-24h'!$C$108:$N$108</c:f>
              <c:numCache>
                <c:formatCode>0.00%</c:formatCode>
                <c:ptCount val="12"/>
                <c:pt idx="0">
                  <c:v>0.37843833185448095</c:v>
                </c:pt>
                <c:pt idx="1">
                  <c:v>0.10869565217391304</c:v>
                </c:pt>
                <c:pt idx="2">
                  <c:v>6.4773735581188999E-2</c:v>
                </c:pt>
                <c:pt idx="3">
                  <c:v>0.27994676131322094</c:v>
                </c:pt>
                <c:pt idx="4">
                  <c:v>6.6548358473824312E-3</c:v>
                </c:pt>
                <c:pt idx="5">
                  <c:v>2.6619343389529724E-3</c:v>
                </c:pt>
                <c:pt idx="6">
                  <c:v>9.6716947648624665E-2</c:v>
                </c:pt>
                <c:pt idx="7">
                  <c:v>3.6823425022182783E-2</c:v>
                </c:pt>
                <c:pt idx="8">
                  <c:v>1.774622892635315E-2</c:v>
                </c:pt>
                <c:pt idx="9">
                  <c:v>7.0984915705412602E-3</c:v>
                </c:pt>
                <c:pt idx="11">
                  <c:v>4.4365572315882877E-4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'26.07 Sentema-Sentema RBT-24h'!$AE$9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'26.07 Sentema-Sentema RBT-24h'!$R$10:$R$33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Sentema-Sentema RBT-24h'!$AE$10:$AE$33</c:f>
              <c:numCache>
                <c:formatCode>0</c:formatCode>
                <c:ptCount val="24"/>
                <c:pt idx="0">
                  <c:v>386</c:v>
                </c:pt>
                <c:pt idx="1">
                  <c:v>242</c:v>
                </c:pt>
                <c:pt idx="2">
                  <c:v>216</c:v>
                </c:pt>
                <c:pt idx="3">
                  <c:v>163</c:v>
                </c:pt>
                <c:pt idx="4">
                  <c:v>123</c:v>
                </c:pt>
                <c:pt idx="5">
                  <c:v>110</c:v>
                </c:pt>
                <c:pt idx="6">
                  <c:v>92</c:v>
                </c:pt>
                <c:pt idx="7">
                  <c:v>91</c:v>
                </c:pt>
                <c:pt idx="8">
                  <c:v>88</c:v>
                </c:pt>
                <c:pt idx="9">
                  <c:v>98</c:v>
                </c:pt>
                <c:pt idx="10">
                  <c:v>112</c:v>
                </c:pt>
                <c:pt idx="11">
                  <c:v>108</c:v>
                </c:pt>
                <c:pt idx="12">
                  <c:v>85</c:v>
                </c:pt>
                <c:pt idx="13">
                  <c:v>118</c:v>
                </c:pt>
                <c:pt idx="14">
                  <c:v>0</c:v>
                </c:pt>
                <c:pt idx="15">
                  <c:v>0</c:v>
                </c:pt>
                <c:pt idx="16">
                  <c:v>29</c:v>
                </c:pt>
                <c:pt idx="17">
                  <c:v>9</c:v>
                </c:pt>
                <c:pt idx="18">
                  <c:v>6</c:v>
                </c:pt>
                <c:pt idx="19">
                  <c:v>4</c:v>
                </c:pt>
                <c:pt idx="20">
                  <c:v>3</c:v>
                </c:pt>
                <c:pt idx="21">
                  <c:v>8</c:v>
                </c:pt>
                <c:pt idx="22">
                  <c:v>57</c:v>
                </c:pt>
                <c:pt idx="23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'26.07 Sentema-Sentema RBT-24h'!$AF$9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'26.07 Sentema-Sentema RBT-24h'!$R$10:$R$33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'26.07 Sentema-Sentema RBT-24h'!$AF$10:$AF$33</c:f>
              <c:numCache>
                <c:formatCode>0</c:formatCode>
                <c:ptCount val="24"/>
                <c:pt idx="0">
                  <c:v>692</c:v>
                </c:pt>
                <c:pt idx="1">
                  <c:v>439</c:v>
                </c:pt>
                <c:pt idx="2">
                  <c:v>393</c:v>
                </c:pt>
                <c:pt idx="3">
                  <c:v>312</c:v>
                </c:pt>
                <c:pt idx="4">
                  <c:v>278</c:v>
                </c:pt>
                <c:pt idx="5">
                  <c:v>245</c:v>
                </c:pt>
                <c:pt idx="6">
                  <c:v>218</c:v>
                </c:pt>
                <c:pt idx="7">
                  <c:v>183</c:v>
                </c:pt>
                <c:pt idx="8">
                  <c:v>192</c:v>
                </c:pt>
                <c:pt idx="9">
                  <c:v>216</c:v>
                </c:pt>
                <c:pt idx="10">
                  <c:v>228</c:v>
                </c:pt>
                <c:pt idx="11">
                  <c:v>237</c:v>
                </c:pt>
                <c:pt idx="12">
                  <c:v>212</c:v>
                </c:pt>
                <c:pt idx="13">
                  <c:v>255</c:v>
                </c:pt>
                <c:pt idx="14">
                  <c:v>0</c:v>
                </c:pt>
                <c:pt idx="15">
                  <c:v>0</c:v>
                </c:pt>
                <c:pt idx="16">
                  <c:v>82</c:v>
                </c:pt>
                <c:pt idx="17">
                  <c:v>29</c:v>
                </c:pt>
                <c:pt idx="18">
                  <c:v>16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87</c:v>
                </c:pt>
                <c:pt idx="23">
                  <c:v>181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3258032"/>
        <c:axId val="-353265104"/>
      </c:lineChart>
      <c:catAx>
        <c:axId val="-353258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3265104"/>
        <c:crosses val="autoZero"/>
        <c:auto val="1"/>
        <c:lblAlgn val="ctr"/>
        <c:lblOffset val="100"/>
        <c:noMultiLvlLbl val="0"/>
      </c:catAx>
      <c:valAx>
        <c:axId val="-353265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325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Sentema-Sentema RBT-24h'!$C$9:$N$9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Sentema-Sentema RBT-24h'!$C$107:$N$107</c:f>
              <c:numCache>
                <c:formatCode>0.0%</c:formatCode>
                <c:ptCount val="12"/>
                <c:pt idx="0">
                  <c:v>0.23398144056562087</c:v>
                </c:pt>
                <c:pt idx="1">
                  <c:v>3.8002651347768451E-2</c:v>
                </c:pt>
                <c:pt idx="2">
                  <c:v>3.6235086168802472E-2</c:v>
                </c:pt>
                <c:pt idx="3">
                  <c:v>0.13499779054352629</c:v>
                </c:pt>
                <c:pt idx="4">
                  <c:v>1.7675651789659744E-3</c:v>
                </c:pt>
                <c:pt idx="5">
                  <c:v>8.8378258948298722E-4</c:v>
                </c:pt>
                <c:pt idx="6">
                  <c:v>3.4688466637207246E-2</c:v>
                </c:pt>
                <c:pt idx="7">
                  <c:v>1.7454706142288997E-2</c:v>
                </c:pt>
                <c:pt idx="8">
                  <c:v>3.3141847105612019E-3</c:v>
                </c:pt>
                <c:pt idx="9">
                  <c:v>1.3256738842244808E-3</c:v>
                </c:pt>
                <c:pt idx="10">
                  <c:v>0.51038444542642514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'26.07 Sentema-Sentema RBT-24h'!$C$9:$N$9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'26.07 Sentema-Sentema RBT-24h'!$C$108:$N$108</c:f>
              <c:numCache>
                <c:formatCode>0.00%</c:formatCode>
                <c:ptCount val="12"/>
                <c:pt idx="0">
                  <c:v>0.47192513368983957</c:v>
                </c:pt>
                <c:pt idx="1">
                  <c:v>7.6648841354723704E-2</c:v>
                </c:pt>
                <c:pt idx="2">
                  <c:v>7.3083778966131913E-2</c:v>
                </c:pt>
                <c:pt idx="3">
                  <c:v>0.27228163992869875</c:v>
                </c:pt>
                <c:pt idx="4">
                  <c:v>3.5650623885918001E-3</c:v>
                </c:pt>
                <c:pt idx="5">
                  <c:v>1.7825311942959001E-3</c:v>
                </c:pt>
                <c:pt idx="6">
                  <c:v>6.9964349376114079E-2</c:v>
                </c:pt>
                <c:pt idx="7">
                  <c:v>3.5204991087344026E-2</c:v>
                </c:pt>
                <c:pt idx="8">
                  <c:v>6.6844919786096255E-3</c:v>
                </c:pt>
                <c:pt idx="9">
                  <c:v>2.6737967914438501E-3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SentemaRBT-Sentema-24h'!$AE$9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SentemaRBT-Sentema-24h'!$R$10:$R$33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SentemaRBT-Sentema-24h'!$AE$10:$AE$33</c:f>
              <c:numCache>
                <c:formatCode>0</c:formatCode>
                <c:ptCount val="24"/>
                <c:pt idx="0">
                  <c:v>28</c:v>
                </c:pt>
                <c:pt idx="1">
                  <c:v>71</c:v>
                </c:pt>
                <c:pt idx="2">
                  <c:v>198</c:v>
                </c:pt>
                <c:pt idx="3">
                  <c:v>258</c:v>
                </c:pt>
                <c:pt idx="4">
                  <c:v>333</c:v>
                </c:pt>
                <c:pt idx="5">
                  <c:v>321</c:v>
                </c:pt>
                <c:pt idx="6">
                  <c:v>198</c:v>
                </c:pt>
                <c:pt idx="7">
                  <c:v>175</c:v>
                </c:pt>
                <c:pt idx="8">
                  <c:v>171</c:v>
                </c:pt>
                <c:pt idx="9">
                  <c:v>145</c:v>
                </c:pt>
                <c:pt idx="10">
                  <c:v>129</c:v>
                </c:pt>
                <c:pt idx="11">
                  <c:v>180</c:v>
                </c:pt>
                <c:pt idx="12">
                  <c:v>246</c:v>
                </c:pt>
                <c:pt idx="13">
                  <c:v>342</c:v>
                </c:pt>
                <c:pt idx="14">
                  <c:v>158</c:v>
                </c:pt>
                <c:pt idx="15">
                  <c:v>130</c:v>
                </c:pt>
                <c:pt idx="16">
                  <c:v>93</c:v>
                </c:pt>
                <c:pt idx="17">
                  <c:v>37</c:v>
                </c:pt>
                <c:pt idx="18">
                  <c:v>17</c:v>
                </c:pt>
                <c:pt idx="19">
                  <c:v>13</c:v>
                </c:pt>
                <c:pt idx="20">
                  <c:v>8</c:v>
                </c:pt>
                <c:pt idx="21">
                  <c:v>1</c:v>
                </c:pt>
                <c:pt idx="22">
                  <c:v>20</c:v>
                </c:pt>
                <c:pt idx="23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'27.07 SentemaRBT-Sentema-24h'!$AF$9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SentemaRBT-Sentema-24h'!$R$10:$R$33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SentemaRBT-Sentema-24h'!$AF$10:$AF$33</c:f>
              <c:numCache>
                <c:formatCode>0</c:formatCode>
                <c:ptCount val="24"/>
                <c:pt idx="0">
                  <c:v>50</c:v>
                </c:pt>
                <c:pt idx="1">
                  <c:v>168</c:v>
                </c:pt>
                <c:pt idx="2">
                  <c:v>380</c:v>
                </c:pt>
                <c:pt idx="3">
                  <c:v>448</c:v>
                </c:pt>
                <c:pt idx="4">
                  <c:v>543</c:v>
                </c:pt>
                <c:pt idx="5">
                  <c:v>506</c:v>
                </c:pt>
                <c:pt idx="6">
                  <c:v>363</c:v>
                </c:pt>
                <c:pt idx="7">
                  <c:v>328</c:v>
                </c:pt>
                <c:pt idx="8">
                  <c:v>341</c:v>
                </c:pt>
                <c:pt idx="9">
                  <c:v>295</c:v>
                </c:pt>
                <c:pt idx="10">
                  <c:v>268</c:v>
                </c:pt>
                <c:pt idx="11">
                  <c:v>305</c:v>
                </c:pt>
                <c:pt idx="12">
                  <c:v>387</c:v>
                </c:pt>
                <c:pt idx="13">
                  <c:v>532</c:v>
                </c:pt>
                <c:pt idx="14">
                  <c:v>303</c:v>
                </c:pt>
                <c:pt idx="15">
                  <c:v>221</c:v>
                </c:pt>
                <c:pt idx="16">
                  <c:v>159</c:v>
                </c:pt>
                <c:pt idx="17">
                  <c:v>64</c:v>
                </c:pt>
                <c:pt idx="18">
                  <c:v>36</c:v>
                </c:pt>
                <c:pt idx="19">
                  <c:v>30</c:v>
                </c:pt>
                <c:pt idx="20">
                  <c:v>17</c:v>
                </c:pt>
                <c:pt idx="21">
                  <c:v>8</c:v>
                </c:pt>
                <c:pt idx="22">
                  <c:v>29</c:v>
                </c:pt>
                <c:pt idx="23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3255312"/>
        <c:axId val="-353256944"/>
      </c:lineChart>
      <c:catAx>
        <c:axId val="-3532553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3256944"/>
        <c:crosses val="autoZero"/>
        <c:auto val="1"/>
        <c:lblAlgn val="ctr"/>
        <c:lblOffset val="100"/>
        <c:noMultiLvlLbl val="0"/>
      </c:catAx>
      <c:valAx>
        <c:axId val="-353256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325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SentemaRBT-Sentema-24h'!$C$9:$N$9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SentemaRBT-Sentema-24h'!$C$107:$N$107</c:f>
              <c:numCache>
                <c:formatCode>0.0%</c:formatCode>
                <c:ptCount val="12"/>
                <c:pt idx="0">
                  <c:v>0.23229023383768913</c:v>
                </c:pt>
                <c:pt idx="1">
                  <c:v>2.6134800550206328E-2</c:v>
                </c:pt>
                <c:pt idx="2">
                  <c:v>5.3301237964236588E-2</c:v>
                </c:pt>
                <c:pt idx="3">
                  <c:v>0.19841815680880331</c:v>
                </c:pt>
                <c:pt idx="4">
                  <c:v>2.751031636863824E-3</c:v>
                </c:pt>
                <c:pt idx="5">
                  <c:v>1.0316368638239339E-3</c:v>
                </c:pt>
                <c:pt idx="6">
                  <c:v>4.4016506189821183E-2</c:v>
                </c:pt>
                <c:pt idx="7">
                  <c:v>7.2214580467675378E-3</c:v>
                </c:pt>
                <c:pt idx="8">
                  <c:v>8.253094910591471E-3</c:v>
                </c:pt>
                <c:pt idx="9">
                  <c:v>1.375515818431912E-3</c:v>
                </c:pt>
                <c:pt idx="10">
                  <c:v>0.44050894085281983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SentemaRBT-Sentema-24h'!$C$9:$N$9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SentemaRBT-Sentema-24h'!$C$108:$N$108</c:f>
              <c:numCache>
                <c:formatCode>0.00%</c:formatCode>
                <c:ptCount val="12"/>
                <c:pt idx="0">
                  <c:v>0.4107631498935847</c:v>
                </c:pt>
                <c:pt idx="1">
                  <c:v>4.6214654910307087E-2</c:v>
                </c:pt>
                <c:pt idx="2">
                  <c:v>9.425357251444208E-2</c:v>
                </c:pt>
                <c:pt idx="3">
                  <c:v>0.35086652477956826</c:v>
                </c:pt>
                <c:pt idx="4">
                  <c:v>4.86470051687443E-3</c:v>
                </c:pt>
                <c:pt idx="5">
                  <c:v>1.8242626938279112E-3</c:v>
                </c:pt>
                <c:pt idx="6">
                  <c:v>7.783520826999088E-2</c:v>
                </c:pt>
                <c:pt idx="7">
                  <c:v>1.2769838856795378E-2</c:v>
                </c:pt>
                <c:pt idx="8">
                  <c:v>1.459410155062329E-2</c:v>
                </c:pt>
                <c:pt idx="9">
                  <c:v>2.432350258437215E-3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'27.07 Sentema-SentemaRBT-24h'!$AE$9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'27.07 Sentema-SentemaRBT-24h'!$R$10:$R$33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Sentema-SentemaRBT-24h'!$AE$10:$AE$33</c:f>
              <c:numCache>
                <c:formatCode>0</c:formatCode>
                <c:ptCount val="24"/>
                <c:pt idx="0">
                  <c:v>19</c:v>
                </c:pt>
                <c:pt idx="1">
                  <c:v>224</c:v>
                </c:pt>
                <c:pt idx="2">
                  <c:v>251</c:v>
                </c:pt>
                <c:pt idx="3">
                  <c:v>224</c:v>
                </c:pt>
                <c:pt idx="4">
                  <c:v>145</c:v>
                </c:pt>
                <c:pt idx="5">
                  <c:v>95</c:v>
                </c:pt>
                <c:pt idx="6">
                  <c:v>115</c:v>
                </c:pt>
                <c:pt idx="7">
                  <c:v>104</c:v>
                </c:pt>
                <c:pt idx="8">
                  <c:v>123</c:v>
                </c:pt>
                <c:pt idx="9">
                  <c:v>113</c:v>
                </c:pt>
                <c:pt idx="10">
                  <c:v>101</c:v>
                </c:pt>
                <c:pt idx="11">
                  <c:v>141</c:v>
                </c:pt>
                <c:pt idx="12">
                  <c:v>113</c:v>
                </c:pt>
                <c:pt idx="13">
                  <c:v>136</c:v>
                </c:pt>
                <c:pt idx="14">
                  <c:v>52</c:v>
                </c:pt>
                <c:pt idx="15">
                  <c:v>33</c:v>
                </c:pt>
                <c:pt idx="16">
                  <c:v>36</c:v>
                </c:pt>
                <c:pt idx="17">
                  <c:v>12</c:v>
                </c:pt>
                <c:pt idx="18">
                  <c:v>3</c:v>
                </c:pt>
                <c:pt idx="19">
                  <c:v>7</c:v>
                </c:pt>
                <c:pt idx="20">
                  <c:v>9</c:v>
                </c:pt>
                <c:pt idx="21">
                  <c:v>3</c:v>
                </c:pt>
                <c:pt idx="22">
                  <c:v>24</c:v>
                </c:pt>
                <c:pt idx="23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'27.07 Sentema-SentemaRBT-24h'!$AF$9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'27.07 Sentema-SentemaRBT-24h'!$R$10:$R$33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'27.07 Sentema-SentemaRBT-24h'!$AF$10:$AF$33</c:f>
              <c:numCache>
                <c:formatCode>0</c:formatCode>
                <c:ptCount val="24"/>
                <c:pt idx="0">
                  <c:v>31</c:v>
                </c:pt>
                <c:pt idx="1">
                  <c:v>388</c:v>
                </c:pt>
                <c:pt idx="2">
                  <c:v>507</c:v>
                </c:pt>
                <c:pt idx="3">
                  <c:v>459</c:v>
                </c:pt>
                <c:pt idx="4">
                  <c:v>340</c:v>
                </c:pt>
                <c:pt idx="5">
                  <c:v>257</c:v>
                </c:pt>
                <c:pt idx="6">
                  <c:v>278</c:v>
                </c:pt>
                <c:pt idx="7">
                  <c:v>294</c:v>
                </c:pt>
                <c:pt idx="8">
                  <c:v>286</c:v>
                </c:pt>
                <c:pt idx="9">
                  <c:v>264</c:v>
                </c:pt>
                <c:pt idx="10">
                  <c:v>263</c:v>
                </c:pt>
                <c:pt idx="11">
                  <c:v>384</c:v>
                </c:pt>
                <c:pt idx="12">
                  <c:v>259</c:v>
                </c:pt>
                <c:pt idx="13">
                  <c:v>229</c:v>
                </c:pt>
                <c:pt idx="14">
                  <c:v>129</c:v>
                </c:pt>
                <c:pt idx="15">
                  <c:v>98</c:v>
                </c:pt>
                <c:pt idx="16">
                  <c:v>65</c:v>
                </c:pt>
                <c:pt idx="17">
                  <c:v>20</c:v>
                </c:pt>
                <c:pt idx="18">
                  <c:v>7</c:v>
                </c:pt>
                <c:pt idx="19">
                  <c:v>21</c:v>
                </c:pt>
                <c:pt idx="20">
                  <c:v>16</c:v>
                </c:pt>
                <c:pt idx="21">
                  <c:v>5</c:v>
                </c:pt>
                <c:pt idx="22">
                  <c:v>38</c:v>
                </c:pt>
                <c:pt idx="23">
                  <c:v>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0262432"/>
        <c:axId val="-350253728"/>
      </c:lineChart>
      <c:catAx>
        <c:axId val="-350262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0253728"/>
        <c:crosses val="autoZero"/>
        <c:auto val="1"/>
        <c:lblAlgn val="ctr"/>
        <c:lblOffset val="100"/>
        <c:noMultiLvlLbl val="0"/>
      </c:catAx>
      <c:valAx>
        <c:axId val="-3502537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026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Sentema-SentemaRBT-24h'!$C$9:$N$9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Sentema-SentemaRBT-24h'!$C$107:$N$107</c:f>
              <c:numCache>
                <c:formatCode>0.0%</c:formatCode>
                <c:ptCount val="12"/>
                <c:pt idx="0">
                  <c:v>0.18145331643430504</c:v>
                </c:pt>
                <c:pt idx="1">
                  <c:v>6.9286016054076888E-2</c:v>
                </c:pt>
                <c:pt idx="2">
                  <c:v>2.8728348119983101E-2</c:v>
                </c:pt>
                <c:pt idx="3">
                  <c:v>0.11301225179552175</c:v>
                </c:pt>
                <c:pt idx="4">
                  <c:v>4.4359949302915083E-3</c:v>
                </c:pt>
                <c:pt idx="5">
                  <c:v>1.2674271229404308E-3</c:v>
                </c:pt>
                <c:pt idx="6">
                  <c:v>2.8728348119983101E-2</c:v>
                </c:pt>
                <c:pt idx="7">
                  <c:v>1.9011406844106463E-2</c:v>
                </c:pt>
                <c:pt idx="8">
                  <c:v>2.957329953527672E-3</c:v>
                </c:pt>
                <c:pt idx="9">
                  <c:v>1.9011406844106464E-3</c:v>
                </c:pt>
                <c:pt idx="10">
                  <c:v>0.54921841994085341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'27.07 Sentema-SentemaRBT-24h'!$C$9:$N$9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'27.07 Sentema-SentemaRBT-24h'!$C$108:$N$108</c:f>
              <c:numCache>
                <c:formatCode>0.00%</c:formatCode>
                <c:ptCount val="12"/>
                <c:pt idx="0">
                  <c:v>0.40253045923149017</c:v>
                </c:pt>
                <c:pt idx="1">
                  <c:v>0.15370196813495782</c:v>
                </c:pt>
                <c:pt idx="2">
                  <c:v>6.3730084348641053E-2</c:v>
                </c:pt>
                <c:pt idx="3">
                  <c:v>0.25070290534208062</c:v>
                </c:pt>
                <c:pt idx="4">
                  <c:v>9.840674789128397E-3</c:v>
                </c:pt>
                <c:pt idx="5">
                  <c:v>2.8116213683223993E-3</c:v>
                </c:pt>
                <c:pt idx="6">
                  <c:v>6.3730084348641053E-2</c:v>
                </c:pt>
                <c:pt idx="7">
                  <c:v>4.2174320524835988E-2</c:v>
                </c:pt>
                <c:pt idx="8">
                  <c:v>6.5604498594189313E-3</c:v>
                </c:pt>
                <c:pt idx="9">
                  <c:v>4.2174320524835992E-3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SentemaRBT-Sentema'!$AE$9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SentemaRBT-Sentema'!$AE$10:$AE$21</c:f>
              <c:numCache>
                <c:formatCode>0</c:formatCode>
                <c:ptCount val="12"/>
                <c:pt idx="0">
                  <c:v>40</c:v>
                </c:pt>
                <c:pt idx="1">
                  <c:v>72</c:v>
                </c:pt>
                <c:pt idx="2">
                  <c:v>132</c:v>
                </c:pt>
                <c:pt idx="3">
                  <c:v>99</c:v>
                </c:pt>
                <c:pt idx="4">
                  <c:v>97</c:v>
                </c:pt>
                <c:pt idx="5">
                  <c:v>68</c:v>
                </c:pt>
                <c:pt idx="6">
                  <c:v>103</c:v>
                </c:pt>
                <c:pt idx="7">
                  <c:v>161</c:v>
                </c:pt>
                <c:pt idx="8">
                  <c:v>180</c:v>
                </c:pt>
                <c:pt idx="9">
                  <c:v>146</c:v>
                </c:pt>
                <c:pt idx="10">
                  <c:v>124</c:v>
                </c:pt>
                <c:pt idx="11">
                  <c:v>119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'28.07 SentemaRBT-Sentema'!$AF$9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SentemaRBT-Sentema'!$AF$10:$AF$21</c:f>
              <c:numCache>
                <c:formatCode>0</c:formatCode>
                <c:ptCount val="12"/>
                <c:pt idx="0">
                  <c:v>84</c:v>
                </c:pt>
                <c:pt idx="1">
                  <c:v>144</c:v>
                </c:pt>
                <c:pt idx="2">
                  <c:v>260</c:v>
                </c:pt>
                <c:pt idx="3">
                  <c:v>199</c:v>
                </c:pt>
                <c:pt idx="4">
                  <c:v>198</c:v>
                </c:pt>
                <c:pt idx="5">
                  <c:v>150</c:v>
                </c:pt>
                <c:pt idx="6">
                  <c:v>187</c:v>
                </c:pt>
                <c:pt idx="7">
                  <c:v>289</c:v>
                </c:pt>
                <c:pt idx="8">
                  <c:v>313</c:v>
                </c:pt>
                <c:pt idx="9">
                  <c:v>252</c:v>
                </c:pt>
                <c:pt idx="10">
                  <c:v>209</c:v>
                </c:pt>
                <c:pt idx="11">
                  <c:v>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0263520"/>
        <c:axId val="-350252640"/>
      </c:lineChart>
      <c:catAx>
        <c:axId val="-3502635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0252640"/>
        <c:crosses val="autoZero"/>
        <c:auto val="1"/>
        <c:lblAlgn val="ctr"/>
        <c:lblOffset val="100"/>
        <c:noMultiLvlLbl val="0"/>
      </c:catAx>
      <c:valAx>
        <c:axId val="-350252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026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SentemaRBT-Sentema'!$C$9:$N$9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SentemaRBT-Sentema'!$C$59:$N$59</c:f>
              <c:numCache>
                <c:formatCode>0.0%</c:formatCode>
                <c:ptCount val="12"/>
                <c:pt idx="0">
                  <c:v>0.23470209339774556</c:v>
                </c:pt>
                <c:pt idx="1">
                  <c:v>1.570048309178744E-2</c:v>
                </c:pt>
                <c:pt idx="2">
                  <c:v>4.5491143317230275E-2</c:v>
                </c:pt>
                <c:pt idx="3">
                  <c:v>0.15740740740740741</c:v>
                </c:pt>
                <c:pt idx="4">
                  <c:v>9.6618357487922701E-3</c:v>
                </c:pt>
                <c:pt idx="5">
                  <c:v>2.0128824476650562E-3</c:v>
                </c:pt>
                <c:pt idx="6">
                  <c:v>4.4685990338164248E-2</c:v>
                </c:pt>
                <c:pt idx="7">
                  <c:v>1.8921095008051531E-2</c:v>
                </c:pt>
                <c:pt idx="8">
                  <c:v>7.246376811594203E-3</c:v>
                </c:pt>
                <c:pt idx="9">
                  <c:v>4.0257648953301124E-3</c:v>
                </c:pt>
                <c:pt idx="10">
                  <c:v>0.46014492753623187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SentemaRBT-Sentema'!$S$9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SentemaRBT-Sentema'!$S$10:$S$21</c:f>
              <c:numCache>
                <c:formatCode>0</c:formatCode>
                <c:ptCount val="12"/>
                <c:pt idx="0">
                  <c:v>11</c:v>
                </c:pt>
                <c:pt idx="1">
                  <c:v>18</c:v>
                </c:pt>
                <c:pt idx="2">
                  <c:v>47</c:v>
                </c:pt>
                <c:pt idx="3">
                  <c:v>37</c:v>
                </c:pt>
                <c:pt idx="4">
                  <c:v>25</c:v>
                </c:pt>
                <c:pt idx="5">
                  <c:v>20</c:v>
                </c:pt>
                <c:pt idx="6">
                  <c:v>46</c:v>
                </c:pt>
                <c:pt idx="7">
                  <c:v>75</c:v>
                </c:pt>
                <c:pt idx="8">
                  <c:v>99</c:v>
                </c:pt>
                <c:pt idx="9">
                  <c:v>68</c:v>
                </c:pt>
                <c:pt idx="10">
                  <c:v>61</c:v>
                </c:pt>
                <c:pt idx="11">
                  <c:v>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'28.07 SentemaRBT-Sentema'!$T$9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SentemaRBT-Sentema'!$R$10:$R$21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SentemaRBT-Sentema'!$T$10:$T$21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  <c:pt idx="4">
                  <c:v>2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'28.07 SentemaRBT-Sentema'!$U$9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SentemaRBT-Sentema'!$U$10:$U$21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19</c:v>
                </c:pt>
                <c:pt idx="3">
                  <c:v>9</c:v>
                </c:pt>
                <c:pt idx="4">
                  <c:v>5</c:v>
                </c:pt>
                <c:pt idx="5">
                  <c:v>6</c:v>
                </c:pt>
                <c:pt idx="6">
                  <c:v>11</c:v>
                </c:pt>
                <c:pt idx="7">
                  <c:v>17</c:v>
                </c:pt>
                <c:pt idx="8">
                  <c:v>14</c:v>
                </c:pt>
                <c:pt idx="9">
                  <c:v>11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'28.07 SentemaRBT-Sentema'!$V$9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SentemaRBT-Sentema'!$V$10:$V$21</c:f>
              <c:numCache>
                <c:formatCode>0</c:formatCode>
                <c:ptCount val="12"/>
                <c:pt idx="0">
                  <c:v>19</c:v>
                </c:pt>
                <c:pt idx="1">
                  <c:v>24</c:v>
                </c:pt>
                <c:pt idx="2">
                  <c:v>44</c:v>
                </c:pt>
                <c:pt idx="3">
                  <c:v>35</c:v>
                </c:pt>
                <c:pt idx="4">
                  <c:v>50</c:v>
                </c:pt>
                <c:pt idx="5">
                  <c:v>24</c:v>
                </c:pt>
                <c:pt idx="6">
                  <c:v>21</c:v>
                </c:pt>
                <c:pt idx="7">
                  <c:v>41</c:v>
                </c:pt>
                <c:pt idx="8">
                  <c:v>41</c:v>
                </c:pt>
                <c:pt idx="9">
                  <c:v>40</c:v>
                </c:pt>
                <c:pt idx="10">
                  <c:v>32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'28.07 SentemaRBT-Sentema'!$W$9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SentemaRBT-Sentema'!$W$10:$W$21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'28.07 SentemaRBT-Sentema'!$X$9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SentemaRBT-Sentema'!$X$10:$X$21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'28.07 SentemaRBT-Sentema'!$Y$9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SentemaRBT-Sentema'!$Y$10:$Y$21</c:f>
              <c:numCache>
                <c:formatCode>0</c:formatCode>
                <c:ptCount val="12"/>
                <c:pt idx="0">
                  <c:v>3</c:v>
                </c:pt>
                <c:pt idx="1">
                  <c:v>9</c:v>
                </c:pt>
                <c:pt idx="2">
                  <c:v>10</c:v>
                </c:pt>
                <c:pt idx="3">
                  <c:v>3</c:v>
                </c:pt>
                <c:pt idx="4">
                  <c:v>12</c:v>
                </c:pt>
                <c:pt idx="5">
                  <c:v>3</c:v>
                </c:pt>
                <c:pt idx="6">
                  <c:v>12</c:v>
                </c:pt>
                <c:pt idx="7">
                  <c:v>10</c:v>
                </c:pt>
                <c:pt idx="8">
                  <c:v>15</c:v>
                </c:pt>
                <c:pt idx="9">
                  <c:v>7</c:v>
                </c:pt>
                <c:pt idx="10">
                  <c:v>19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'28.07 SentemaRBT-Sentema'!$Z$9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SentemaRBT-Sentema'!$Z$10:$Z$21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6</c:v>
                </c:pt>
                <c:pt idx="7">
                  <c:v>11</c:v>
                </c:pt>
                <c:pt idx="8">
                  <c:v>5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'28.07 SentemaRBT-Sentema'!$AA$9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SentemaRBT-Sentema'!$AA$10:$AA$21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'28.07 SentemaRBT-Sentema'!$AB$9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SentemaRBT-Sentema'!$AB$10:$AB$21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'28.07 SentemaRBT-Sentema'!$AC$9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SentemaRBT-Sentema'!$AC$10:$AC$21</c:f>
              <c:numCache>
                <c:formatCode>0</c:formatCode>
                <c:ptCount val="12"/>
                <c:pt idx="0">
                  <c:v>44</c:v>
                </c:pt>
                <c:pt idx="1">
                  <c:v>72</c:v>
                </c:pt>
                <c:pt idx="2">
                  <c:v>128</c:v>
                </c:pt>
                <c:pt idx="3">
                  <c:v>100</c:v>
                </c:pt>
                <c:pt idx="4">
                  <c:v>101</c:v>
                </c:pt>
                <c:pt idx="5">
                  <c:v>82</c:v>
                </c:pt>
                <c:pt idx="6">
                  <c:v>84</c:v>
                </c:pt>
                <c:pt idx="7">
                  <c:v>128</c:v>
                </c:pt>
                <c:pt idx="8">
                  <c:v>133</c:v>
                </c:pt>
                <c:pt idx="9">
                  <c:v>106</c:v>
                </c:pt>
                <c:pt idx="10">
                  <c:v>85</c:v>
                </c:pt>
                <c:pt idx="1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'28.07 SentemaRBT-Sentema'!$AD$9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SentemaRBT-Sentema'!$AD$10:$AD$21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50249920"/>
        <c:axId val="-350252096"/>
      </c:lineChart>
      <c:catAx>
        <c:axId val="-35024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0252096"/>
        <c:crosses val="autoZero"/>
        <c:auto val="1"/>
        <c:lblAlgn val="ctr"/>
        <c:lblOffset val="100"/>
        <c:noMultiLvlLbl val="0"/>
      </c:catAx>
      <c:valAx>
        <c:axId val="-3502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024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SentemaRBT-Sentema'!$C$9:$N$9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SentemaRBT-Sentema'!$C$60:$N$60</c:f>
              <c:numCache>
                <c:formatCode>0.00%</c:formatCode>
                <c:ptCount val="12"/>
                <c:pt idx="0">
                  <c:v>0.43475018642803875</c:v>
                </c:pt>
                <c:pt idx="1">
                  <c:v>2.9082774049217001E-2</c:v>
                </c:pt>
                <c:pt idx="2">
                  <c:v>8.4265473527218498E-2</c:v>
                </c:pt>
                <c:pt idx="3">
                  <c:v>0.29157345264727813</c:v>
                </c:pt>
                <c:pt idx="4">
                  <c:v>1.7897091722595078E-2</c:v>
                </c:pt>
                <c:pt idx="5">
                  <c:v>3.7285607755406414E-3</c:v>
                </c:pt>
                <c:pt idx="6">
                  <c:v>8.2774049217002238E-2</c:v>
                </c:pt>
                <c:pt idx="7">
                  <c:v>3.5048471290082026E-2</c:v>
                </c:pt>
                <c:pt idx="8">
                  <c:v>1.3422818791946308E-2</c:v>
                </c:pt>
                <c:pt idx="9">
                  <c:v>7.4571215510812828E-3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Sentema-SentemaRBT'!$AE$9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'28.07 Sentema-SentemaRBT'!$R$10:$R$21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Sentema-SentemaRBT'!$AE$10:$AE$21</c:f>
              <c:numCache>
                <c:formatCode>0</c:formatCode>
                <c:ptCount val="12"/>
                <c:pt idx="0">
                  <c:v>125</c:v>
                </c:pt>
                <c:pt idx="1">
                  <c:v>160</c:v>
                </c:pt>
                <c:pt idx="2">
                  <c:v>147</c:v>
                </c:pt>
                <c:pt idx="3">
                  <c:v>221</c:v>
                </c:pt>
                <c:pt idx="4">
                  <c:v>230</c:v>
                </c:pt>
                <c:pt idx="5">
                  <c:v>193</c:v>
                </c:pt>
                <c:pt idx="6">
                  <c:v>92</c:v>
                </c:pt>
                <c:pt idx="7">
                  <c:v>133</c:v>
                </c:pt>
                <c:pt idx="8">
                  <c:v>126</c:v>
                </c:pt>
                <c:pt idx="9">
                  <c:v>155</c:v>
                </c:pt>
                <c:pt idx="10">
                  <c:v>158</c:v>
                </c:pt>
                <c:pt idx="11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'28.07 Sentema-SentemaRBT'!$AF$9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'28.07 Sentema-SentemaRBT'!$R$10:$R$21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Sentema-SentemaRBT'!$AF$10:$AF$21</c:f>
              <c:numCache>
                <c:formatCode>0</c:formatCode>
                <c:ptCount val="12"/>
                <c:pt idx="0">
                  <c:v>286</c:v>
                </c:pt>
                <c:pt idx="1">
                  <c:v>383</c:v>
                </c:pt>
                <c:pt idx="2">
                  <c:v>331</c:v>
                </c:pt>
                <c:pt idx="3">
                  <c:v>386</c:v>
                </c:pt>
                <c:pt idx="4">
                  <c:v>455</c:v>
                </c:pt>
                <c:pt idx="5">
                  <c:v>341</c:v>
                </c:pt>
                <c:pt idx="6">
                  <c:v>214</c:v>
                </c:pt>
                <c:pt idx="7">
                  <c:v>267</c:v>
                </c:pt>
                <c:pt idx="8">
                  <c:v>276</c:v>
                </c:pt>
                <c:pt idx="9">
                  <c:v>369</c:v>
                </c:pt>
                <c:pt idx="10">
                  <c:v>385</c:v>
                </c:pt>
                <c:pt idx="11">
                  <c:v>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0254272"/>
        <c:axId val="-350260256"/>
      </c:lineChart>
      <c:catAx>
        <c:axId val="-3502542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0260256"/>
        <c:crosses val="autoZero"/>
        <c:auto val="1"/>
        <c:lblAlgn val="ctr"/>
        <c:lblOffset val="100"/>
        <c:noMultiLvlLbl val="0"/>
      </c:catAx>
      <c:valAx>
        <c:axId val="-3502602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025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Sentema-SentemaRBT'!$C$9:$N$9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Sentema-SentemaRBT'!$C$59:$N$59</c:f>
              <c:numCache>
                <c:formatCode>0.0%</c:formatCode>
                <c:ptCount val="12"/>
                <c:pt idx="0">
                  <c:v>0.17315802530389482</c:v>
                </c:pt>
                <c:pt idx="1">
                  <c:v>9.4021334656412797E-2</c:v>
                </c:pt>
                <c:pt idx="2">
                  <c:v>2.5303894815182335E-2</c:v>
                </c:pt>
                <c:pt idx="3">
                  <c:v>0.11659637806995783</c:v>
                </c:pt>
                <c:pt idx="4">
                  <c:v>2.232696601339618E-3</c:v>
                </c:pt>
                <c:pt idx="5">
                  <c:v>1.7365418010419251E-3</c:v>
                </c:pt>
                <c:pt idx="6">
                  <c:v>2.9521210617712727E-2</c:v>
                </c:pt>
                <c:pt idx="7">
                  <c:v>2.1830811213098485E-2</c:v>
                </c:pt>
                <c:pt idx="8">
                  <c:v>9.9230960059538574E-4</c:v>
                </c:pt>
                <c:pt idx="9">
                  <c:v>9.9230960059538574E-4</c:v>
                </c:pt>
                <c:pt idx="10">
                  <c:v>0.53361448772016873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'28.07 Sentema-SentemaRBT'!$S$9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'28.07 Sentema-SentemaRBT'!$R$10:$R$21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Sentema-SentemaRBT'!$S$10:$S$21</c:f>
              <c:numCache>
                <c:formatCode>0</c:formatCode>
                <c:ptCount val="12"/>
                <c:pt idx="0">
                  <c:v>39</c:v>
                </c:pt>
                <c:pt idx="1">
                  <c:v>49</c:v>
                </c:pt>
                <c:pt idx="2">
                  <c:v>56</c:v>
                </c:pt>
                <c:pt idx="3">
                  <c:v>106</c:v>
                </c:pt>
                <c:pt idx="4">
                  <c:v>96</c:v>
                </c:pt>
                <c:pt idx="5">
                  <c:v>63</c:v>
                </c:pt>
                <c:pt idx="6">
                  <c:v>28</c:v>
                </c:pt>
                <c:pt idx="7">
                  <c:v>46</c:v>
                </c:pt>
                <c:pt idx="8">
                  <c:v>47</c:v>
                </c:pt>
                <c:pt idx="9">
                  <c:v>56</c:v>
                </c:pt>
                <c:pt idx="10">
                  <c:v>59</c:v>
                </c:pt>
                <c:pt idx="11">
                  <c:v>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'28.07 Sentema-SentemaRBT'!$T$9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'28.07 Sentema-SentemaRBT'!$R$10:$R$21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'28.07 Sentema-SentemaRBT'!$T$10:$T$21</c:f>
              <c:numCache>
                <c:formatCode>0</c:formatCode>
                <c:ptCount val="12"/>
                <c:pt idx="0">
                  <c:v>19</c:v>
                </c:pt>
                <c:pt idx="1">
                  <c:v>30</c:v>
                </c:pt>
                <c:pt idx="2">
                  <c:v>26</c:v>
                </c:pt>
                <c:pt idx="3">
                  <c:v>39</c:v>
                </c:pt>
                <c:pt idx="4">
                  <c:v>29</c:v>
                </c:pt>
                <c:pt idx="5">
                  <c:v>42</c:v>
                </c:pt>
                <c:pt idx="6">
                  <c:v>27</c:v>
                </c:pt>
                <c:pt idx="7">
                  <c:v>36</c:v>
                </c:pt>
                <c:pt idx="8">
                  <c:v>31</c:v>
                </c:pt>
                <c:pt idx="9">
                  <c:v>35</c:v>
                </c:pt>
                <c:pt idx="10">
                  <c:v>33</c:v>
                </c:pt>
                <c:pt idx="11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'28.07 Sentema-SentemaRBT'!$U$9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'28.07 Sentema-SentemaRBT'!$U$10:$U$21</c:f>
              <c:numCache>
                <c:formatCode>0</c:formatCode>
                <c:ptCount val="12"/>
                <c:pt idx="0">
                  <c:v>7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13</c:v>
                </c:pt>
                <c:pt idx="8">
                  <c:v>2</c:v>
                </c:pt>
                <c:pt idx="9">
                  <c:v>13</c:v>
                </c:pt>
                <c:pt idx="10">
                  <c:v>12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'28.07 Sentema-SentemaRBT'!$V$9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'28.07 Sentema-SentemaRBT'!$V$10:$V$21</c:f>
              <c:numCache>
                <c:formatCode>0</c:formatCode>
                <c:ptCount val="12"/>
                <c:pt idx="0">
                  <c:v>53</c:v>
                </c:pt>
                <c:pt idx="1">
                  <c:v>53</c:v>
                </c:pt>
                <c:pt idx="2">
                  <c:v>34</c:v>
                </c:pt>
                <c:pt idx="3">
                  <c:v>45</c:v>
                </c:pt>
                <c:pt idx="4">
                  <c:v>66</c:v>
                </c:pt>
                <c:pt idx="5">
                  <c:v>47</c:v>
                </c:pt>
                <c:pt idx="6">
                  <c:v>20</c:v>
                </c:pt>
                <c:pt idx="7">
                  <c:v>28</c:v>
                </c:pt>
                <c:pt idx="8">
                  <c:v>22</c:v>
                </c:pt>
                <c:pt idx="9">
                  <c:v>31</c:v>
                </c:pt>
                <c:pt idx="10">
                  <c:v>44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'28.07 Sentema-SentemaRBT'!$W$9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'28.07 Sentema-SentemaRBT'!$W$10:$W$21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'28.07 Sentema-SentemaRBT'!$X$9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'28.07 Sentema-SentemaRBT'!$X$10:$X$21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'28.07 Sentema-SentemaRBT'!$Y$9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Sentema-SentemaRBT'!$Y$10:$Y$21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16</c:v>
                </c:pt>
                <c:pt idx="4">
                  <c:v>13</c:v>
                </c:pt>
                <c:pt idx="5">
                  <c:v>18</c:v>
                </c:pt>
                <c:pt idx="6">
                  <c:v>6</c:v>
                </c:pt>
                <c:pt idx="7">
                  <c:v>5</c:v>
                </c:pt>
                <c:pt idx="8">
                  <c:v>8</c:v>
                </c:pt>
                <c:pt idx="9">
                  <c:v>11</c:v>
                </c:pt>
                <c:pt idx="10">
                  <c:v>7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'28.07 Sentema-SentemaRBT'!$Z$9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Sentema-SentemaRBT'!$Z$10:$Z$21</c:f>
              <c:numCache>
                <c:formatCode>0</c:formatCode>
                <c:ptCount val="12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11</c:v>
                </c:pt>
                <c:pt idx="5">
                  <c:v>11</c:v>
                </c:pt>
                <c:pt idx="6">
                  <c:v>4</c:v>
                </c:pt>
                <c:pt idx="7">
                  <c:v>2</c:v>
                </c:pt>
                <c:pt idx="8">
                  <c:v>15</c:v>
                </c:pt>
                <c:pt idx="9">
                  <c:v>6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'28.07 Sentema-SentemaRBT'!$AA$9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Sentema-SentemaRBT'!$AA$10:$AA$21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'28.07 Sentema-SentemaRBT'!$AB$9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Sentema-SentemaRBT'!$AB$10:$AB$21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'28.07 Sentema-SentemaRBT'!$AC$9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Sentema-SentemaRBT'!$AC$10:$AC$21</c:f>
              <c:numCache>
                <c:formatCode>0</c:formatCode>
                <c:ptCount val="12"/>
                <c:pt idx="0">
                  <c:v>161</c:v>
                </c:pt>
                <c:pt idx="1">
                  <c:v>223</c:v>
                </c:pt>
                <c:pt idx="2">
                  <c:v>184</c:v>
                </c:pt>
                <c:pt idx="3">
                  <c:v>165</c:v>
                </c:pt>
                <c:pt idx="4">
                  <c:v>225</c:v>
                </c:pt>
                <c:pt idx="5">
                  <c:v>148</c:v>
                </c:pt>
                <c:pt idx="6">
                  <c:v>122</c:v>
                </c:pt>
                <c:pt idx="7">
                  <c:v>134</c:v>
                </c:pt>
                <c:pt idx="8">
                  <c:v>150</c:v>
                </c:pt>
                <c:pt idx="9">
                  <c:v>214</c:v>
                </c:pt>
                <c:pt idx="10">
                  <c:v>227</c:v>
                </c:pt>
                <c:pt idx="11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'28.07 Sentema-SentemaRBT'!$AD$9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'28.07 Sentema-SentemaRBT'!$AD$10:$AD$21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350251552"/>
        <c:axId val="-347877840"/>
      </c:lineChart>
      <c:catAx>
        <c:axId val="-35025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47877840"/>
        <c:crosses val="autoZero"/>
        <c:auto val="1"/>
        <c:lblAlgn val="ctr"/>
        <c:lblOffset val="100"/>
        <c:noMultiLvlLbl val="0"/>
      </c:catAx>
      <c:valAx>
        <c:axId val="-34787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5025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'28.07 Sentema-SentemaRBT'!$C$9:$N$9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'28.07 Sentema-SentemaRBT'!$C$60:$N$60</c:f>
              <c:numCache>
                <c:formatCode>0.00%</c:formatCode>
                <c:ptCount val="12"/>
                <c:pt idx="0">
                  <c:v>0.37127659574468086</c:v>
                </c:pt>
                <c:pt idx="1">
                  <c:v>0.20159574468085106</c:v>
                </c:pt>
                <c:pt idx="2">
                  <c:v>5.4255319148936172E-2</c:v>
                </c:pt>
                <c:pt idx="3">
                  <c:v>0.25</c:v>
                </c:pt>
                <c:pt idx="4">
                  <c:v>4.7872340425531915E-3</c:v>
                </c:pt>
                <c:pt idx="5">
                  <c:v>3.7234042553191491E-3</c:v>
                </c:pt>
                <c:pt idx="6">
                  <c:v>6.3297872340425526E-2</c:v>
                </c:pt>
                <c:pt idx="7">
                  <c:v>4.6808510638297871E-2</c:v>
                </c:pt>
                <c:pt idx="8">
                  <c:v>2.1276595744680851E-3</c:v>
                </c:pt>
                <c:pt idx="9">
                  <c:v>2.1276595744680851E-3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SentemaRBT-Sentema'!$AE$9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SentemaRBT-Sentema'!$R$10:$R$33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SentemaRBT-Sentema'!$AE$10:$AE$33</c:f>
              <c:numCache>
                <c:formatCode>0</c:formatCode>
                <c:ptCount val="24"/>
                <c:pt idx="0">
                  <c:v>85.714285714285708</c:v>
                </c:pt>
                <c:pt idx="1">
                  <c:v>100.14285714285714</c:v>
                </c:pt>
                <c:pt idx="2">
                  <c:v>134.28571428571428</c:v>
                </c:pt>
                <c:pt idx="3">
                  <c:v>129.14285714285717</c:v>
                </c:pt>
                <c:pt idx="4">
                  <c:v>144.57142857142856</c:v>
                </c:pt>
                <c:pt idx="5">
                  <c:v>129.85714285714286</c:v>
                </c:pt>
                <c:pt idx="6">
                  <c:v>109.71428571428571</c:v>
                </c:pt>
                <c:pt idx="7">
                  <c:v>118.57142857142856</c:v>
                </c:pt>
                <c:pt idx="8">
                  <c:v>123.71428571428569</c:v>
                </c:pt>
                <c:pt idx="9">
                  <c:v>131.14285714285717</c:v>
                </c:pt>
                <c:pt idx="10">
                  <c:v>168.42857142857142</c:v>
                </c:pt>
                <c:pt idx="11">
                  <c:v>209.85714285714286</c:v>
                </c:pt>
                <c:pt idx="12">
                  <c:v>228</c:v>
                </c:pt>
                <c:pt idx="13">
                  <c:v>251.5</c:v>
                </c:pt>
                <c:pt idx="14">
                  <c:v>134</c:v>
                </c:pt>
                <c:pt idx="15">
                  <c:v>92</c:v>
                </c:pt>
                <c:pt idx="16">
                  <c:v>59</c:v>
                </c:pt>
                <c:pt idx="17">
                  <c:v>23</c:v>
                </c:pt>
                <c:pt idx="18">
                  <c:v>8.5</c:v>
                </c:pt>
                <c:pt idx="19">
                  <c:v>6.5</c:v>
                </c:pt>
                <c:pt idx="20">
                  <c:v>8</c:v>
                </c:pt>
                <c:pt idx="21">
                  <c:v>3.5</c:v>
                </c:pt>
                <c:pt idx="22">
                  <c:v>30</c:v>
                </c:pt>
                <c:pt idx="23">
                  <c:v>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SentemaRBT-Sentema'!$AF$9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SentemaRBT-Sentema'!$R$10:$R$33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SentemaRBT-Sentema'!$AF$10:$AF$33</c:f>
              <c:numCache>
                <c:formatCode>0</c:formatCode>
                <c:ptCount val="24"/>
                <c:pt idx="0">
                  <c:v>212.14285714285714</c:v>
                </c:pt>
                <c:pt idx="1">
                  <c:v>262.71428571428567</c:v>
                </c:pt>
                <c:pt idx="2">
                  <c:v>327.71428571428572</c:v>
                </c:pt>
                <c:pt idx="3">
                  <c:v>313</c:v>
                </c:pt>
                <c:pt idx="4">
                  <c:v>347</c:v>
                </c:pt>
                <c:pt idx="5">
                  <c:v>316.14285714285711</c:v>
                </c:pt>
                <c:pt idx="6">
                  <c:v>272.57142857142856</c:v>
                </c:pt>
                <c:pt idx="7">
                  <c:v>287.57142857142856</c:v>
                </c:pt>
                <c:pt idx="8">
                  <c:v>283.71428571428572</c:v>
                </c:pt>
                <c:pt idx="9">
                  <c:v>301.14285714285711</c:v>
                </c:pt>
                <c:pt idx="10">
                  <c:v>364.85714285714289</c:v>
                </c:pt>
                <c:pt idx="11">
                  <c:v>422</c:v>
                </c:pt>
                <c:pt idx="12">
                  <c:v>422</c:v>
                </c:pt>
                <c:pt idx="13">
                  <c:v>477.5</c:v>
                </c:pt>
                <c:pt idx="14">
                  <c:v>282</c:v>
                </c:pt>
                <c:pt idx="15">
                  <c:v>167.5</c:v>
                </c:pt>
                <c:pt idx="16">
                  <c:v>105</c:v>
                </c:pt>
                <c:pt idx="17">
                  <c:v>43.5</c:v>
                </c:pt>
                <c:pt idx="18">
                  <c:v>18</c:v>
                </c:pt>
                <c:pt idx="19">
                  <c:v>15</c:v>
                </c:pt>
                <c:pt idx="20">
                  <c:v>13.5</c:v>
                </c:pt>
                <c:pt idx="21">
                  <c:v>7.5</c:v>
                </c:pt>
                <c:pt idx="22">
                  <c:v>47</c:v>
                </c:pt>
                <c:pt idx="23">
                  <c:v>75.5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47871856"/>
        <c:axId val="-347880016"/>
      </c:lineChart>
      <c:catAx>
        <c:axId val="-347871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47880016"/>
        <c:crosses val="autoZero"/>
        <c:auto val="1"/>
        <c:lblAlgn val="ctr"/>
        <c:lblOffset val="100"/>
        <c:noMultiLvlLbl val="0"/>
      </c:catAx>
      <c:valAx>
        <c:axId val="-3478800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4787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2499815039898536E-2"/>
          <c:y val="6.0791089130387638E-2"/>
          <c:w val="0.8750003699202028"/>
          <c:h val="0.8145198585713976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SentemaRBT-Sentema'!$C$9:$N$9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SentemaRBT-Sentema'!$C$107:$N$107</c:f>
              <c:numCache>
                <c:formatCode>0.0%</c:formatCode>
                <c:ptCount val="12"/>
                <c:pt idx="0">
                  <c:v>0.18603417170752412</c:v>
                </c:pt>
                <c:pt idx="1">
                  <c:v>3.5538045208532307E-2</c:v>
                </c:pt>
                <c:pt idx="2">
                  <c:v>3.1186989281545154E-2</c:v>
                </c:pt>
                <c:pt idx="3">
                  <c:v>0.14171442215854818</c:v>
                </c:pt>
                <c:pt idx="4">
                  <c:v>3.1969648731826378E-3</c:v>
                </c:pt>
                <c:pt idx="5">
                  <c:v>1.3132760267430751E-3</c:v>
                </c:pt>
                <c:pt idx="6">
                  <c:v>3.7673776928791258E-2</c:v>
                </c:pt>
                <c:pt idx="7">
                  <c:v>1.2177650429799425E-2</c:v>
                </c:pt>
                <c:pt idx="8">
                  <c:v>6.6194417913615607E-3</c:v>
                </c:pt>
                <c:pt idx="9">
                  <c:v>2.4673670805475958E-3</c:v>
                </c:pt>
                <c:pt idx="10">
                  <c:v>0.54199830202695509</c:v>
                </c:pt>
                <c:pt idx="11">
                  <c:v>7.9592486469277289E-5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083835668577681"/>
          <c:y val="0.20123346865378852"/>
          <c:w val="0.8846676975045793"/>
          <c:h val="0.7977015502819933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SentemaRBT-Sentema'!$C$9:$N$9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SentemaRBT-Sentema'!$C$108:$N$108</c:f>
              <c:numCache>
                <c:formatCode>0.00%</c:formatCode>
                <c:ptCount val="12"/>
                <c:pt idx="0">
                  <c:v>0.40618664195099341</c:v>
                </c:pt>
                <c:pt idx="1">
                  <c:v>7.7593697503330811E-2</c:v>
                </c:pt>
                <c:pt idx="2">
                  <c:v>6.8093610612292188E-2</c:v>
                </c:pt>
                <c:pt idx="3">
                  <c:v>0.30941898858831018</c:v>
                </c:pt>
                <c:pt idx="4">
                  <c:v>6.9802467705497306E-3</c:v>
                </c:pt>
                <c:pt idx="5">
                  <c:v>2.8674042750391005E-3</c:v>
                </c:pt>
                <c:pt idx="6">
                  <c:v>8.2256849910212607E-2</c:v>
                </c:pt>
                <c:pt idx="7">
                  <c:v>2.6588657823089841E-2</c:v>
                </c:pt>
                <c:pt idx="8">
                  <c:v>1.44528760933789E-2</c:v>
                </c:pt>
                <c:pt idx="9">
                  <c:v>5.3872443955280073E-3</c:v>
                </c:pt>
                <c:pt idx="11">
                  <c:v>1.73782077275097E-4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Sentema-SentemaRBT'!$AE$9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Sentema-SentemaRBT'!$R$10:$R$33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Sentema-SentemaRBT'!$AE$10:$AE$33</c:f>
              <c:numCache>
                <c:formatCode>0</c:formatCode>
                <c:ptCount val="24"/>
                <c:pt idx="0">
                  <c:v>327.14285714285711</c:v>
                </c:pt>
                <c:pt idx="1">
                  <c:v>270.14285714285711</c:v>
                </c:pt>
                <c:pt idx="2">
                  <c:v>232.42857142857144</c:v>
                </c:pt>
                <c:pt idx="3">
                  <c:v>203</c:v>
                </c:pt>
                <c:pt idx="4">
                  <c:v>156</c:v>
                </c:pt>
                <c:pt idx="5">
                  <c:v>123</c:v>
                </c:pt>
                <c:pt idx="6">
                  <c:v>98.571428571428569</c:v>
                </c:pt>
                <c:pt idx="7">
                  <c:v>107.42857142857142</c:v>
                </c:pt>
                <c:pt idx="8">
                  <c:v>109</c:v>
                </c:pt>
                <c:pt idx="9">
                  <c:v>109.57142857142856</c:v>
                </c:pt>
                <c:pt idx="10">
                  <c:v>125.57142857142858</c:v>
                </c:pt>
                <c:pt idx="11">
                  <c:v>128</c:v>
                </c:pt>
                <c:pt idx="12">
                  <c:v>114.5</c:v>
                </c:pt>
                <c:pt idx="13">
                  <c:v>127</c:v>
                </c:pt>
                <c:pt idx="14">
                  <c:v>26</c:v>
                </c:pt>
                <c:pt idx="15">
                  <c:v>16.5</c:v>
                </c:pt>
                <c:pt idx="16">
                  <c:v>32.5</c:v>
                </c:pt>
                <c:pt idx="17">
                  <c:v>10.5</c:v>
                </c:pt>
                <c:pt idx="18">
                  <c:v>4.5</c:v>
                </c:pt>
                <c:pt idx="19">
                  <c:v>5.5</c:v>
                </c:pt>
                <c:pt idx="20">
                  <c:v>6</c:v>
                </c:pt>
                <c:pt idx="21">
                  <c:v>5.5</c:v>
                </c:pt>
                <c:pt idx="22">
                  <c:v>40.5</c:v>
                </c:pt>
                <c:pt idx="23">
                  <c:v>73.5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Sentema-SentemaRBT'!$AF$9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Sentema-SentemaRBT'!$R$10:$R$33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Sentema-SentemaRBT'!$AF$10:$AF$33</c:f>
              <c:numCache>
                <c:formatCode>0</c:formatCode>
                <c:ptCount val="24"/>
                <c:pt idx="0">
                  <c:v>612.14285714285711</c:v>
                </c:pt>
                <c:pt idx="1">
                  <c:v>575.57142857142856</c:v>
                </c:pt>
                <c:pt idx="2">
                  <c:v>491.57142857142861</c:v>
                </c:pt>
                <c:pt idx="3">
                  <c:v>418.57142857142861</c:v>
                </c:pt>
                <c:pt idx="4">
                  <c:v>371.42857142857144</c:v>
                </c:pt>
                <c:pt idx="5">
                  <c:v>311.28571428571433</c:v>
                </c:pt>
                <c:pt idx="6">
                  <c:v>267.85714285714289</c:v>
                </c:pt>
                <c:pt idx="7">
                  <c:v>281.57142857142856</c:v>
                </c:pt>
                <c:pt idx="8">
                  <c:v>280.14285714285717</c:v>
                </c:pt>
                <c:pt idx="9">
                  <c:v>312.42857142857144</c:v>
                </c:pt>
                <c:pt idx="10">
                  <c:v>338.85714285714289</c:v>
                </c:pt>
                <c:pt idx="11">
                  <c:v>359.47619047619048</c:v>
                </c:pt>
                <c:pt idx="12">
                  <c:v>265</c:v>
                </c:pt>
                <c:pt idx="13">
                  <c:v>242</c:v>
                </c:pt>
                <c:pt idx="14">
                  <c:v>64.5</c:v>
                </c:pt>
                <c:pt idx="15">
                  <c:v>49</c:v>
                </c:pt>
                <c:pt idx="16">
                  <c:v>73.5</c:v>
                </c:pt>
                <c:pt idx="17">
                  <c:v>24.5</c:v>
                </c:pt>
                <c:pt idx="18">
                  <c:v>11.5</c:v>
                </c:pt>
                <c:pt idx="19">
                  <c:v>15.5</c:v>
                </c:pt>
                <c:pt idx="20">
                  <c:v>13</c:v>
                </c:pt>
                <c:pt idx="21">
                  <c:v>8</c:v>
                </c:pt>
                <c:pt idx="22">
                  <c:v>62.5</c:v>
                </c:pt>
                <c:pt idx="23">
                  <c:v>138.5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47877296"/>
        <c:axId val="-347875120"/>
      </c:lineChart>
      <c:catAx>
        <c:axId val="-347877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47875120"/>
        <c:crosses val="autoZero"/>
        <c:auto val="1"/>
        <c:lblAlgn val="ctr"/>
        <c:lblOffset val="100"/>
        <c:noMultiLvlLbl val="0"/>
      </c:catAx>
      <c:valAx>
        <c:axId val="-3478751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-34787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0394736842105264E-2"/>
          <c:y val="7.742288759550657E-2"/>
          <c:w val="0.81710526315789478"/>
          <c:h val="0.758621721498295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Sentema-SentemaRBT'!$C$9:$N$9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Sentema-SentemaRBT'!$C$107:$N$107</c:f>
              <c:numCache>
                <c:formatCode>0.0%</c:formatCode>
                <c:ptCount val="12"/>
                <c:pt idx="0">
                  <c:v>0.2010540532480094</c:v>
                </c:pt>
                <c:pt idx="1">
                  <c:v>4.1079957224354861E-2</c:v>
                </c:pt>
                <c:pt idx="2">
                  <c:v>2.6010489406211007E-2</c:v>
                </c:pt>
                <c:pt idx="3">
                  <c:v>0.11888135723202384</c:v>
                </c:pt>
                <c:pt idx="4">
                  <c:v>2.2751189750887264E-3</c:v>
                </c:pt>
                <c:pt idx="5">
                  <c:v>1.1247779202685838E-3</c:v>
                </c:pt>
                <c:pt idx="6">
                  <c:v>2.8745744803227787E-2</c:v>
                </c:pt>
                <c:pt idx="7">
                  <c:v>1.4877744309007176E-2</c:v>
                </c:pt>
                <c:pt idx="8">
                  <c:v>2.428497782398079E-3</c:v>
                </c:pt>
                <c:pt idx="9">
                  <c:v>2.3262452441918436E-3</c:v>
                </c:pt>
                <c:pt idx="10">
                  <c:v>0.56117045072066762</c:v>
                </c:pt>
                <c:pt idx="11">
                  <c:v>2.556313455155872E-5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575296461436293"/>
          <c:y val="0.25537204724409451"/>
          <c:w val="0.82198804667488856"/>
          <c:h val="0.7418117089893036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Sentema-SentemaRBT'!$C$9:$N$9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Sentema-SentemaRBT'!$C$108:$N$108</c:f>
              <c:numCache>
                <c:formatCode>0.00%</c:formatCode>
                <c:ptCount val="12"/>
                <c:pt idx="0">
                  <c:v>0.45815978795910672</c:v>
                </c:pt>
                <c:pt idx="1">
                  <c:v>9.3612559345236393E-2</c:v>
                </c:pt>
                <c:pt idx="2">
                  <c:v>5.9272420120583737E-2</c:v>
                </c:pt>
                <c:pt idx="3">
                  <c:v>0.27090554277226003</c:v>
                </c:pt>
                <c:pt idx="4">
                  <c:v>5.1845163545277155E-3</c:v>
                </c:pt>
                <c:pt idx="5">
                  <c:v>2.5631316808901066E-3</c:v>
                </c:pt>
                <c:pt idx="6">
                  <c:v>6.5505490344566486E-2</c:v>
                </c:pt>
                <c:pt idx="7">
                  <c:v>3.3903241779046411E-2</c:v>
                </c:pt>
                <c:pt idx="8">
                  <c:v>5.5340343110127314E-3</c:v>
                </c:pt>
                <c:pt idx="9">
                  <c:v>5.3010223400227199E-3</c:v>
                </c:pt>
                <c:pt idx="11">
                  <c:v>5.8252992747502426E-5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335098006366226E-2"/>
          <c:y val="7.1875020476809326E-2"/>
          <c:w val="0.82819165689395213"/>
          <c:h val="0.7586217742199701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SenteRBT-Sentema-2Dir'!$C$9:$N$9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SenteRBT-Sentema-2Dir'!$C$107:$N$107</c:f>
              <c:numCache>
                <c:formatCode>0.0%</c:formatCode>
                <c:ptCount val="12"/>
                <c:pt idx="0">
                  <c:v>0.19368361667733491</c:v>
                </c:pt>
                <c:pt idx="1">
                  <c:v>3.8360474325453225E-2</c:v>
                </c:pt>
                <c:pt idx="2">
                  <c:v>2.8550660171633768E-2</c:v>
                </c:pt>
                <c:pt idx="3">
                  <c:v>0.13008581688780879</c:v>
                </c:pt>
                <c:pt idx="4">
                  <c:v>2.7274798476777363E-3</c:v>
                </c:pt>
                <c:pt idx="5">
                  <c:v>1.2172762088681066E-3</c:v>
                </c:pt>
                <c:pt idx="6">
                  <c:v>3.3126837577164669E-2</c:v>
                </c:pt>
                <c:pt idx="7">
                  <c:v>1.3552775758627796E-2</c:v>
                </c:pt>
                <c:pt idx="8">
                  <c:v>4.4850444273268732E-3</c:v>
                </c:pt>
                <c:pt idx="9">
                  <c:v>2.3954954270773428E-3</c:v>
                </c:pt>
                <c:pt idx="10">
                  <c:v>0.5517624467034814</c:v>
                </c:pt>
                <c:pt idx="11">
                  <c:v>5.2075987545159633E-5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039869965677016E-2"/>
          <c:y val="0.23830846144231971"/>
          <c:w val="0.82101228366016787"/>
          <c:h val="0.74181177352830896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SenteRBT-Sentema-2Dir'!$C$9:$N$9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SenteRBT-Sentema-2Dir'!$C$108:$N$108</c:f>
              <c:numCache>
                <c:formatCode>0.00%</c:formatCode>
                <c:ptCount val="12"/>
                <c:pt idx="0">
                  <c:v>0.43210037903542009</c:v>
                </c:pt>
                <c:pt idx="1">
                  <c:v>8.5580679359270426E-2</c:v>
                </c:pt>
                <c:pt idx="2">
                  <c:v>6.369537751056506E-2</c:v>
                </c:pt>
                <c:pt idx="3">
                  <c:v>0.29021623898110632</c:v>
                </c:pt>
                <c:pt idx="4">
                  <c:v>6.084898125154301E-3</c:v>
                </c:pt>
                <c:pt idx="5">
                  <c:v>2.7156943899853329E-3</c:v>
                </c:pt>
                <c:pt idx="6">
                  <c:v>7.3904645725322765E-2</c:v>
                </c:pt>
                <c:pt idx="7">
                  <c:v>3.0235699037162899E-2</c:v>
                </c:pt>
                <c:pt idx="8">
                  <c:v>1.0005954196256116E-2</c:v>
                </c:pt>
                <c:pt idx="9">
                  <c:v>5.3442542006128455E-3</c:v>
                </c:pt>
                <c:pt idx="11">
                  <c:v>1.1617943914375753E-4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SenteRBT-Sentema-2Dir'!$AE$9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SenteRBT-Sentema-2Dir'!$R$10:$R$33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SenteRBT-Sentema-2Dir'!$AE$10:$AE$33</c:f>
              <c:numCache>
                <c:formatCode>0</c:formatCode>
                <c:ptCount val="24"/>
                <c:pt idx="0">
                  <c:v>412.85714285714289</c:v>
                </c:pt>
                <c:pt idx="1">
                  <c:v>370.28571428571422</c:v>
                </c:pt>
                <c:pt idx="2">
                  <c:v>366.71428571428572</c:v>
                </c:pt>
                <c:pt idx="3">
                  <c:v>332.14285714285717</c:v>
                </c:pt>
                <c:pt idx="4">
                  <c:v>300.57142857142856</c:v>
                </c:pt>
                <c:pt idx="5">
                  <c:v>252.85714285714286</c:v>
                </c:pt>
                <c:pt idx="6">
                  <c:v>208.28571428571431</c:v>
                </c:pt>
                <c:pt idx="7">
                  <c:v>226.00000000000003</c:v>
                </c:pt>
                <c:pt idx="8">
                  <c:v>232.71428571428572</c:v>
                </c:pt>
                <c:pt idx="9">
                  <c:v>240.71428571428572</c:v>
                </c:pt>
                <c:pt idx="10">
                  <c:v>294</c:v>
                </c:pt>
                <c:pt idx="11">
                  <c:v>337.85714285714289</c:v>
                </c:pt>
                <c:pt idx="12">
                  <c:v>342.5</c:v>
                </c:pt>
                <c:pt idx="13">
                  <c:v>378.5</c:v>
                </c:pt>
                <c:pt idx="14">
                  <c:v>160</c:v>
                </c:pt>
                <c:pt idx="15">
                  <c:v>108.5</c:v>
                </c:pt>
                <c:pt idx="16">
                  <c:v>91.5</c:v>
                </c:pt>
                <c:pt idx="17">
                  <c:v>33.5</c:v>
                </c:pt>
                <c:pt idx="18">
                  <c:v>13</c:v>
                </c:pt>
                <c:pt idx="19">
                  <c:v>12</c:v>
                </c:pt>
                <c:pt idx="20">
                  <c:v>14</c:v>
                </c:pt>
                <c:pt idx="21">
                  <c:v>9</c:v>
                </c:pt>
                <c:pt idx="22">
                  <c:v>70.5</c:v>
                </c:pt>
                <c:pt idx="23">
                  <c:v>110.5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60-4E11-9A78-C7DACD17A547}"/>
            </c:ext>
          </c:extLst>
        </c:ser>
        <c:ser>
          <c:idx val="1"/>
          <c:order val="1"/>
          <c:tx>
            <c:strRef>
              <c:f>'Avg Week SenteRBT-Sentema-2Dir'!$AF$9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SenteRBT-Sentema-2Dir'!$R$10:$R$33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SenteRBT-Sentema-2Dir'!$AF$10:$AF$33</c:f>
              <c:numCache>
                <c:formatCode>0</c:formatCode>
                <c:ptCount val="24"/>
                <c:pt idx="0">
                  <c:v>824.28571428571422</c:v>
                </c:pt>
                <c:pt idx="1">
                  <c:v>838.28571428571422</c:v>
                </c:pt>
                <c:pt idx="2">
                  <c:v>819.28571428571433</c:v>
                </c:pt>
                <c:pt idx="3">
                  <c:v>731.57142857142856</c:v>
                </c:pt>
                <c:pt idx="4">
                  <c:v>718.42857142857133</c:v>
                </c:pt>
                <c:pt idx="5">
                  <c:v>627.42857142857144</c:v>
                </c:pt>
                <c:pt idx="6">
                  <c:v>540.42857142857144</c:v>
                </c:pt>
                <c:pt idx="7">
                  <c:v>569.14285714285711</c:v>
                </c:pt>
                <c:pt idx="8">
                  <c:v>563.85714285714289</c:v>
                </c:pt>
                <c:pt idx="9">
                  <c:v>613.57142857142856</c:v>
                </c:pt>
                <c:pt idx="10">
                  <c:v>703.71428571428578</c:v>
                </c:pt>
                <c:pt idx="11">
                  <c:v>781.47619047619048</c:v>
                </c:pt>
                <c:pt idx="12">
                  <c:v>687</c:v>
                </c:pt>
                <c:pt idx="13">
                  <c:v>719.5</c:v>
                </c:pt>
                <c:pt idx="14">
                  <c:v>346.5</c:v>
                </c:pt>
                <c:pt idx="15">
                  <c:v>216.5</c:v>
                </c:pt>
                <c:pt idx="16">
                  <c:v>178.5</c:v>
                </c:pt>
                <c:pt idx="17">
                  <c:v>68</c:v>
                </c:pt>
                <c:pt idx="18">
                  <c:v>29.5</c:v>
                </c:pt>
                <c:pt idx="19">
                  <c:v>30.5</c:v>
                </c:pt>
                <c:pt idx="20">
                  <c:v>26.5</c:v>
                </c:pt>
                <c:pt idx="21">
                  <c:v>15.5</c:v>
                </c:pt>
                <c:pt idx="22">
                  <c:v>109.5</c:v>
                </c:pt>
                <c:pt idx="23">
                  <c:v>214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060-4E11-9A78-C7DACD17A547}"/>
            </c:ext>
          </c:extLst>
        </c:ser>
        <c:ser>
          <c:idx val="5"/>
          <c:order val="2"/>
          <c:tx>
            <c:strRef>
              <c:f>'Avg Week SenteRBT-Sentema-2Dir'!$AC$9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SenteRBT-Sentema-2Dir'!$R$10:$R$33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SenteRBT-Sentema-2Dir'!$AC$10:$AC$33</c:f>
              <c:numCache>
                <c:formatCode>0</c:formatCode>
                <c:ptCount val="24"/>
                <c:pt idx="0">
                  <c:v>411.42857142857144</c:v>
                </c:pt>
                <c:pt idx="1">
                  <c:v>468</c:v>
                </c:pt>
                <c:pt idx="2">
                  <c:v>452.57142857142861</c:v>
                </c:pt>
                <c:pt idx="3">
                  <c:v>399.42857142857144</c:v>
                </c:pt>
                <c:pt idx="4">
                  <c:v>417.85714285714289</c:v>
                </c:pt>
                <c:pt idx="5">
                  <c:v>374.57142857142856</c:v>
                </c:pt>
                <c:pt idx="6">
                  <c:v>332.14285714285711</c:v>
                </c:pt>
                <c:pt idx="7">
                  <c:v>343.14285714285711</c:v>
                </c:pt>
                <c:pt idx="8">
                  <c:v>331.14285714285711</c:v>
                </c:pt>
                <c:pt idx="9">
                  <c:v>372.85714285714289</c:v>
                </c:pt>
                <c:pt idx="10">
                  <c:v>409.71428571428567</c:v>
                </c:pt>
                <c:pt idx="11">
                  <c:v>443.61904761904759</c:v>
                </c:pt>
                <c:pt idx="12">
                  <c:v>344.5</c:v>
                </c:pt>
                <c:pt idx="13">
                  <c:v>341</c:v>
                </c:pt>
                <c:pt idx="14">
                  <c:v>186.5</c:v>
                </c:pt>
                <c:pt idx="15">
                  <c:v>108</c:v>
                </c:pt>
                <c:pt idx="16">
                  <c:v>87</c:v>
                </c:pt>
                <c:pt idx="17">
                  <c:v>34.5</c:v>
                </c:pt>
                <c:pt idx="18">
                  <c:v>16.5</c:v>
                </c:pt>
                <c:pt idx="19">
                  <c:v>18.5</c:v>
                </c:pt>
                <c:pt idx="20">
                  <c:v>12.5</c:v>
                </c:pt>
                <c:pt idx="21">
                  <c:v>6.5</c:v>
                </c:pt>
                <c:pt idx="22">
                  <c:v>39</c:v>
                </c:pt>
                <c:pt idx="23">
                  <c:v>103.5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60-4E11-9A78-C7DACD17A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SenteRBT-Sentema-2Dir'!$S$9:$AF$9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SenteRBT-Sentema-2Dir'!$S$41:$AF$41</c:f>
              <c:numCache>
                <c:formatCode>0</c:formatCode>
                <c:ptCount val="14"/>
                <c:pt idx="0">
                  <c:v>2125.2857142857147</c:v>
                </c:pt>
                <c:pt idx="1">
                  <c:v>420.92857142857144</c:v>
                </c:pt>
                <c:pt idx="2">
                  <c:v>313.28571428571428</c:v>
                </c:pt>
                <c:pt idx="3">
                  <c:v>1427.4285714285713</c:v>
                </c:pt>
                <c:pt idx="4">
                  <c:v>29.928571428571427</c:v>
                </c:pt>
                <c:pt idx="5">
                  <c:v>13.357142857142856</c:v>
                </c:pt>
                <c:pt idx="6">
                  <c:v>363.5</c:v>
                </c:pt>
                <c:pt idx="7">
                  <c:v>148.71428571428572</c:v>
                </c:pt>
                <c:pt idx="8">
                  <c:v>49.214285714285708</c:v>
                </c:pt>
                <c:pt idx="9">
                  <c:v>26.285714285714288</c:v>
                </c:pt>
                <c:pt idx="10">
                  <c:v>6054.4761904761899</c:v>
                </c:pt>
                <c:pt idx="11">
                  <c:v>0.5714285714285714</c:v>
                </c:pt>
                <c:pt idx="12">
                  <c:v>4918.5</c:v>
                </c:pt>
                <c:pt idx="13">
                  <c:v>10972.976190476191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9-4399-9C9C-6547F2FC12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SenteRBT-Sentema-2Dir'!$S$9:$AF$9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SenteRBT-Sentema-2Dir'!$S$42:$AF$42</c:f>
              <c:numCache>
                <c:formatCode>0.000</c:formatCode>
                <c:ptCount val="14"/>
                <c:pt idx="0">
                  <c:v>1.3815936106983655</c:v>
                </c:pt>
                <c:pt idx="1">
                  <c:v>1.3014575971731448</c:v>
                </c:pt>
                <c:pt idx="2">
                  <c:v>1.3092537313432835</c:v>
                </c:pt>
                <c:pt idx="3">
                  <c:v>1.455923065714702</c:v>
                </c:pt>
                <c:pt idx="4">
                  <c:v>1.624031007751938</c:v>
                </c:pt>
                <c:pt idx="5">
                  <c:v>1.5080645161290323</c:v>
                </c:pt>
                <c:pt idx="6">
                  <c:v>1.2406143344709897</c:v>
                </c:pt>
                <c:pt idx="7">
                  <c:v>1.1924398625429555</c:v>
                </c:pt>
                <c:pt idx="8">
                  <c:v>1.602325581395349</c:v>
                </c:pt>
                <c:pt idx="9">
                  <c:v>1.5206611570247932</c:v>
                </c:pt>
                <c:pt idx="10">
                  <c:v>1.2728910958492683</c:v>
                </c:pt>
                <c:pt idx="11">
                  <c:v>1</c:v>
                </c:pt>
                <c:pt idx="12">
                  <c:v>1.3758041958041958</c:v>
                </c:pt>
                <c:pt idx="13">
                  <c:v>1.3170506570035607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2-4E6C-B5D5-BDC6976DBC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43</xdr:row>
      <xdr:rowOff>6349</xdr:rowOff>
    </xdr:from>
    <xdr:to>
      <xdr:col>28</xdr:col>
      <xdr:colOff>15875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15876</xdr:colOff>
      <xdr:row>58</xdr:row>
      <xdr:rowOff>263525</xdr:rowOff>
    </xdr:from>
    <xdr:to>
      <xdr:col>31</xdr:col>
      <xdr:colOff>460376</xdr:colOff>
      <xdr:row>75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58</xdr:row>
      <xdr:rowOff>269875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57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539751</xdr:colOff>
      <xdr:row>74</xdr:row>
      <xdr:rowOff>285749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24</xdr:col>
      <xdr:colOff>15875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72</xdr:row>
      <xdr:rowOff>279400</xdr:rowOff>
    </xdr:from>
    <xdr:to>
      <xdr:col>25</xdr:col>
      <xdr:colOff>0</xdr:colOff>
      <xdr:row>89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59</xdr:row>
      <xdr:rowOff>1</xdr:rowOff>
    </xdr:from>
    <xdr:to>
      <xdr:col>25</xdr:col>
      <xdr:colOff>0</xdr:colOff>
      <xdr:row>73</xdr:row>
      <xdr:rowOff>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8F3892B-C240-4C8A-B194-8605189EF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713177</xdr:colOff>
      <xdr:row>59</xdr:row>
      <xdr:rowOff>6785</xdr:rowOff>
    </xdr:from>
    <xdr:to>
      <xdr:col>31</xdr:col>
      <xdr:colOff>428626</xdr:colOff>
      <xdr:row>73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15464B5-FBB6-44D2-B12F-F778E043C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713177</xdr:colOff>
      <xdr:row>73</xdr:row>
      <xdr:rowOff>2454</xdr:rowOff>
    </xdr:from>
    <xdr:to>
      <xdr:col>31</xdr:col>
      <xdr:colOff>428626</xdr:colOff>
      <xdr:row>88</xdr:row>
      <xdr:rowOff>285749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1404B4B-C7BC-4F48-B55D-6A0C2EB2C8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D7" sqref="D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1" t="s">
        <v>96</v>
      </c>
      <c r="C3" s="60" t="s">
        <v>174</v>
      </c>
      <c r="D3" s="60"/>
      <c r="E3" s="60"/>
      <c r="F3" s="60"/>
      <c r="G3" s="60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162</v>
      </c>
      <c r="E5" s="3"/>
      <c r="F5" s="41" t="s">
        <v>1</v>
      </c>
      <c r="G5" s="55" t="s">
        <v>171</v>
      </c>
      <c r="H5" s="56"/>
      <c r="I5" s="14"/>
      <c r="J5" s="2" t="s">
        <v>5</v>
      </c>
      <c r="K5" s="55" t="s">
        <v>172</v>
      </c>
      <c r="L5" s="56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180</v>
      </c>
      <c r="E6" s="56"/>
      <c r="F6" s="2" t="s">
        <v>2</v>
      </c>
      <c r="G6" s="55" t="s">
        <v>170</v>
      </c>
      <c r="H6" s="56"/>
      <c r="J6" s="2" t="s">
        <v>21</v>
      </c>
      <c r="K6" s="55" t="s">
        <v>173</v>
      </c>
      <c r="L6" s="5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</v>
      </c>
      <c r="D10" s="50">
        <v>1</v>
      </c>
      <c r="E10" s="50">
        <v>0</v>
      </c>
      <c r="F10" s="50">
        <v>8</v>
      </c>
      <c r="G10" s="50">
        <v>0</v>
      </c>
      <c r="H10" s="50">
        <v>0</v>
      </c>
      <c r="I10" s="50">
        <v>1</v>
      </c>
      <c r="J10" s="50">
        <v>2</v>
      </c>
      <c r="K10" s="50">
        <v>0</v>
      </c>
      <c r="L10" s="50">
        <v>0</v>
      </c>
      <c r="M10" s="50">
        <v>33</v>
      </c>
      <c r="N10" s="50">
        <v>0</v>
      </c>
      <c r="O10" s="15">
        <f t="shared" ref="O10:O57" si="0">SUM(C10:L10,N10)</f>
        <v>19</v>
      </c>
      <c r="P10" s="15">
        <f t="shared" ref="P10:P57" si="1">SUM(C10:N10)</f>
        <v>52</v>
      </c>
      <c r="R10" s="1" t="s">
        <v>6</v>
      </c>
      <c r="S10" s="17">
        <f t="shared" ref="S10:AF10" si="2">SUM(C10:C13)</f>
        <v>38</v>
      </c>
      <c r="T10" s="17">
        <f t="shared" si="2"/>
        <v>10</v>
      </c>
      <c r="U10" s="17">
        <f t="shared" si="2"/>
        <v>3</v>
      </c>
      <c r="V10" s="17">
        <f t="shared" si="2"/>
        <v>44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5</v>
      </c>
      <c r="AA10" s="17">
        <f t="shared" si="2"/>
        <v>1</v>
      </c>
      <c r="AB10" s="17">
        <f t="shared" si="2"/>
        <v>1</v>
      </c>
      <c r="AC10" s="17">
        <f t="shared" si="2"/>
        <v>182</v>
      </c>
      <c r="AD10" s="17">
        <f t="shared" si="2"/>
        <v>0</v>
      </c>
      <c r="AE10" s="31">
        <f t="shared" si="2"/>
        <v>109</v>
      </c>
      <c r="AF10" s="31">
        <f t="shared" si="2"/>
        <v>291</v>
      </c>
    </row>
    <row r="11" spans="2:32" s="6" customFormat="1" ht="23.1" customHeight="1" x14ac:dyDescent="0.25">
      <c r="B11" s="23" t="s">
        <v>38</v>
      </c>
      <c r="C11" s="50">
        <v>13</v>
      </c>
      <c r="D11" s="50">
        <v>3</v>
      </c>
      <c r="E11" s="50">
        <v>0</v>
      </c>
      <c r="F11" s="50">
        <v>16</v>
      </c>
      <c r="G11" s="50">
        <v>1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35</v>
      </c>
      <c r="N11" s="50">
        <v>0</v>
      </c>
      <c r="O11" s="15">
        <f t="shared" si="0"/>
        <v>35</v>
      </c>
      <c r="P11" s="15">
        <f t="shared" si="1"/>
        <v>70</v>
      </c>
      <c r="R11" s="1" t="s">
        <v>7</v>
      </c>
      <c r="S11" s="17">
        <f t="shared" ref="S11:AF11" si="3">SUM(C14:C17)</f>
        <v>25</v>
      </c>
      <c r="T11" s="17">
        <f t="shared" si="3"/>
        <v>9</v>
      </c>
      <c r="U11" s="17">
        <f t="shared" si="3"/>
        <v>4</v>
      </c>
      <c r="V11" s="17">
        <f t="shared" si="3"/>
        <v>53</v>
      </c>
      <c r="W11" s="17">
        <f t="shared" si="3"/>
        <v>0</v>
      </c>
      <c r="X11" s="17">
        <f t="shared" si="3"/>
        <v>2</v>
      </c>
      <c r="Y11" s="17">
        <f t="shared" si="3"/>
        <v>5</v>
      </c>
      <c r="Z11" s="17">
        <f t="shared" si="3"/>
        <v>5</v>
      </c>
      <c r="AA11" s="17">
        <f t="shared" si="3"/>
        <v>0</v>
      </c>
      <c r="AB11" s="17">
        <f t="shared" si="3"/>
        <v>0</v>
      </c>
      <c r="AC11" s="17">
        <f t="shared" si="3"/>
        <v>200</v>
      </c>
      <c r="AD11" s="17">
        <f t="shared" si="3"/>
        <v>0</v>
      </c>
      <c r="AE11" s="31">
        <f t="shared" si="3"/>
        <v>103</v>
      </c>
      <c r="AF11" s="31">
        <f t="shared" si="3"/>
        <v>303</v>
      </c>
    </row>
    <row r="12" spans="2:32" ht="23.1" customHeight="1" x14ac:dyDescent="0.25">
      <c r="B12" s="23" t="s">
        <v>39</v>
      </c>
      <c r="C12" s="50">
        <v>11</v>
      </c>
      <c r="D12" s="50">
        <v>1</v>
      </c>
      <c r="E12" s="50">
        <v>3</v>
      </c>
      <c r="F12" s="50">
        <v>8</v>
      </c>
      <c r="G12" s="50">
        <v>0</v>
      </c>
      <c r="H12" s="50">
        <v>0</v>
      </c>
      <c r="I12" s="50">
        <v>5</v>
      </c>
      <c r="J12" s="50">
        <v>1</v>
      </c>
      <c r="K12" s="50">
        <v>1</v>
      </c>
      <c r="L12" s="50">
        <v>0</v>
      </c>
      <c r="M12" s="50">
        <v>50</v>
      </c>
      <c r="N12" s="50">
        <v>0</v>
      </c>
      <c r="O12" s="15">
        <f t="shared" si="0"/>
        <v>30</v>
      </c>
      <c r="P12" s="15">
        <f t="shared" si="1"/>
        <v>80</v>
      </c>
      <c r="R12" s="1" t="s">
        <v>8</v>
      </c>
      <c r="S12" s="17">
        <f t="shared" ref="S12:AF12" si="4">SUM(C18:C21)</f>
        <v>31</v>
      </c>
      <c r="T12" s="17">
        <f t="shared" si="4"/>
        <v>18</v>
      </c>
      <c r="U12" s="17">
        <f t="shared" si="4"/>
        <v>2</v>
      </c>
      <c r="V12" s="17">
        <f t="shared" si="4"/>
        <v>62</v>
      </c>
      <c r="W12" s="17">
        <f t="shared" si="4"/>
        <v>0</v>
      </c>
      <c r="X12" s="17">
        <f t="shared" si="4"/>
        <v>3</v>
      </c>
      <c r="Y12" s="17">
        <f t="shared" si="4"/>
        <v>22</v>
      </c>
      <c r="Z12" s="17">
        <f t="shared" si="4"/>
        <v>9</v>
      </c>
      <c r="AA12" s="17">
        <f t="shared" si="4"/>
        <v>0</v>
      </c>
      <c r="AB12" s="17">
        <f t="shared" si="4"/>
        <v>1</v>
      </c>
      <c r="AC12" s="17">
        <f t="shared" si="4"/>
        <v>217</v>
      </c>
      <c r="AD12" s="17">
        <f t="shared" si="4"/>
        <v>0</v>
      </c>
      <c r="AE12" s="31">
        <f t="shared" si="4"/>
        <v>148</v>
      </c>
      <c r="AF12" s="31">
        <f t="shared" si="4"/>
        <v>365</v>
      </c>
    </row>
    <row r="13" spans="2:32" ht="23.1" customHeight="1" x14ac:dyDescent="0.25">
      <c r="B13" s="23" t="s">
        <v>40</v>
      </c>
      <c r="C13" s="50">
        <v>7</v>
      </c>
      <c r="D13" s="50">
        <v>5</v>
      </c>
      <c r="E13" s="50">
        <v>0</v>
      </c>
      <c r="F13" s="50">
        <v>12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1</v>
      </c>
      <c r="M13" s="50">
        <v>64</v>
      </c>
      <c r="N13" s="50">
        <v>0</v>
      </c>
      <c r="O13" s="15">
        <f t="shared" si="0"/>
        <v>25</v>
      </c>
      <c r="P13" s="15">
        <f t="shared" si="1"/>
        <v>89</v>
      </c>
      <c r="R13" s="1" t="s">
        <v>9</v>
      </c>
      <c r="S13" s="17">
        <f t="shared" ref="S13:AF13" si="5">SUM(C22:C25)</f>
        <v>28</v>
      </c>
      <c r="T13" s="17">
        <f t="shared" si="5"/>
        <v>11</v>
      </c>
      <c r="U13" s="17">
        <f t="shared" si="5"/>
        <v>5</v>
      </c>
      <c r="V13" s="17">
        <f t="shared" si="5"/>
        <v>49</v>
      </c>
      <c r="W13" s="17">
        <f t="shared" si="5"/>
        <v>0</v>
      </c>
      <c r="X13" s="17">
        <f t="shared" si="5"/>
        <v>0</v>
      </c>
      <c r="Y13" s="17">
        <f t="shared" si="5"/>
        <v>14</v>
      </c>
      <c r="Z13" s="17">
        <f t="shared" si="5"/>
        <v>4</v>
      </c>
      <c r="AA13" s="17">
        <f t="shared" si="5"/>
        <v>1</v>
      </c>
      <c r="AB13" s="17">
        <f t="shared" si="5"/>
        <v>0</v>
      </c>
      <c r="AC13" s="17">
        <f t="shared" si="5"/>
        <v>227</v>
      </c>
      <c r="AD13" s="17">
        <f t="shared" si="5"/>
        <v>0</v>
      </c>
      <c r="AE13" s="31">
        <f t="shared" si="5"/>
        <v>112</v>
      </c>
      <c r="AF13" s="31">
        <f t="shared" si="5"/>
        <v>339</v>
      </c>
    </row>
    <row r="14" spans="2:32" ht="23.1" customHeight="1" x14ac:dyDescent="0.25">
      <c r="B14" s="23" t="s">
        <v>41</v>
      </c>
      <c r="C14" s="50">
        <v>7</v>
      </c>
      <c r="D14" s="50">
        <v>3</v>
      </c>
      <c r="E14" s="50">
        <v>0</v>
      </c>
      <c r="F14" s="50">
        <v>16</v>
      </c>
      <c r="G14" s="50">
        <v>0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54</v>
      </c>
      <c r="N14" s="50">
        <v>0</v>
      </c>
      <c r="O14" s="15">
        <f t="shared" si="0"/>
        <v>29</v>
      </c>
      <c r="P14" s="15">
        <f t="shared" si="1"/>
        <v>83</v>
      </c>
      <c r="R14" s="1" t="s">
        <v>10</v>
      </c>
      <c r="S14" s="17">
        <f t="shared" ref="S14:AF14" si="6">SUM(C26:C29)</f>
        <v>20</v>
      </c>
      <c r="T14" s="17">
        <f t="shared" si="6"/>
        <v>10</v>
      </c>
      <c r="U14" s="17">
        <f t="shared" si="6"/>
        <v>7</v>
      </c>
      <c r="V14" s="17">
        <f t="shared" si="6"/>
        <v>26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5</v>
      </c>
      <c r="AA14" s="17">
        <f t="shared" si="6"/>
        <v>3</v>
      </c>
      <c r="AB14" s="17">
        <f t="shared" si="6"/>
        <v>0</v>
      </c>
      <c r="AC14" s="17">
        <f t="shared" si="6"/>
        <v>174</v>
      </c>
      <c r="AD14" s="17">
        <f t="shared" si="6"/>
        <v>0</v>
      </c>
      <c r="AE14" s="31">
        <f t="shared" si="6"/>
        <v>88</v>
      </c>
      <c r="AF14" s="31">
        <f t="shared" si="6"/>
        <v>262</v>
      </c>
    </row>
    <row r="15" spans="2:32" ht="23.1" customHeight="1" x14ac:dyDescent="0.25">
      <c r="B15" s="23" t="s">
        <v>42</v>
      </c>
      <c r="C15" s="50">
        <v>11</v>
      </c>
      <c r="D15" s="50">
        <v>2</v>
      </c>
      <c r="E15" s="50">
        <v>2</v>
      </c>
      <c r="F15" s="50">
        <v>17</v>
      </c>
      <c r="G15" s="50">
        <v>0</v>
      </c>
      <c r="H15" s="50">
        <v>2</v>
      </c>
      <c r="I15" s="50">
        <v>2</v>
      </c>
      <c r="J15" s="50">
        <v>2</v>
      </c>
      <c r="K15" s="50">
        <v>0</v>
      </c>
      <c r="L15" s="50">
        <v>0</v>
      </c>
      <c r="M15" s="50">
        <v>66</v>
      </c>
      <c r="N15" s="50">
        <v>0</v>
      </c>
      <c r="O15" s="15">
        <f t="shared" si="0"/>
        <v>38</v>
      </c>
      <c r="P15" s="15">
        <f t="shared" si="1"/>
        <v>104</v>
      </c>
      <c r="R15" s="1" t="s">
        <v>11</v>
      </c>
      <c r="S15" s="17">
        <f t="shared" ref="S15:AF15" si="7">SUM(C30:C33)</f>
        <v>18</v>
      </c>
      <c r="T15" s="17">
        <f t="shared" si="7"/>
        <v>10</v>
      </c>
      <c r="U15" s="17">
        <f t="shared" si="7"/>
        <v>4</v>
      </c>
      <c r="V15" s="17">
        <f t="shared" si="7"/>
        <v>25</v>
      </c>
      <c r="W15" s="17">
        <f t="shared" si="7"/>
        <v>0</v>
      </c>
      <c r="X15" s="17">
        <f t="shared" si="7"/>
        <v>0</v>
      </c>
      <c r="Y15" s="17">
        <f t="shared" si="7"/>
        <v>22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149</v>
      </c>
      <c r="AD15" s="17">
        <f t="shared" si="7"/>
        <v>1</v>
      </c>
      <c r="AE15" s="31">
        <f t="shared" si="7"/>
        <v>83</v>
      </c>
      <c r="AF15" s="31">
        <f t="shared" si="7"/>
        <v>232</v>
      </c>
    </row>
    <row r="16" spans="2:32" ht="23.1" customHeight="1" x14ac:dyDescent="0.25">
      <c r="B16" s="23" t="s">
        <v>43</v>
      </c>
      <c r="C16" s="50">
        <v>7</v>
      </c>
      <c r="D16" s="50">
        <v>4</v>
      </c>
      <c r="E16" s="50">
        <v>2</v>
      </c>
      <c r="F16" s="50">
        <v>16</v>
      </c>
      <c r="G16" s="50">
        <v>0</v>
      </c>
      <c r="H16" s="50">
        <v>0</v>
      </c>
      <c r="I16" s="50">
        <v>1</v>
      </c>
      <c r="J16" s="50">
        <v>2</v>
      </c>
      <c r="K16" s="50">
        <v>0</v>
      </c>
      <c r="L16" s="50">
        <v>0</v>
      </c>
      <c r="M16" s="50">
        <v>70</v>
      </c>
      <c r="N16" s="50">
        <v>0</v>
      </c>
      <c r="O16" s="15">
        <f t="shared" si="0"/>
        <v>32</v>
      </c>
      <c r="P16" s="15">
        <f t="shared" si="1"/>
        <v>102</v>
      </c>
      <c r="R16" s="1" t="s">
        <v>12</v>
      </c>
      <c r="S16" s="17">
        <f t="shared" ref="S16:AF16" si="8">SUM(C34:C37)</f>
        <v>27</v>
      </c>
      <c r="T16" s="17">
        <f t="shared" si="8"/>
        <v>8</v>
      </c>
      <c r="U16" s="17">
        <f t="shared" si="8"/>
        <v>4</v>
      </c>
      <c r="V16" s="17">
        <f t="shared" si="8"/>
        <v>24</v>
      </c>
      <c r="W16" s="17">
        <f t="shared" si="8"/>
        <v>0</v>
      </c>
      <c r="X16" s="17">
        <f t="shared" si="8"/>
        <v>0</v>
      </c>
      <c r="Y16" s="17">
        <f t="shared" si="8"/>
        <v>14</v>
      </c>
      <c r="Z16" s="17">
        <f t="shared" si="8"/>
        <v>4</v>
      </c>
      <c r="AA16" s="17">
        <f t="shared" si="8"/>
        <v>0</v>
      </c>
      <c r="AB16" s="17">
        <f t="shared" si="8"/>
        <v>1</v>
      </c>
      <c r="AC16" s="17">
        <f t="shared" si="8"/>
        <v>147</v>
      </c>
      <c r="AD16" s="17">
        <f t="shared" si="8"/>
        <v>0</v>
      </c>
      <c r="AE16" s="31">
        <f t="shared" si="8"/>
        <v>82</v>
      </c>
      <c r="AF16" s="31">
        <f t="shared" si="8"/>
        <v>229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4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4</v>
      </c>
      <c r="P17" s="15">
        <f t="shared" si="1"/>
        <v>14</v>
      </c>
      <c r="R17" s="1" t="s">
        <v>13</v>
      </c>
      <c r="S17" s="17">
        <f t="shared" ref="S17:AF17" si="9">SUM(C38:C41)</f>
        <v>39</v>
      </c>
      <c r="T17" s="17">
        <f t="shared" si="9"/>
        <v>8</v>
      </c>
      <c r="U17" s="17">
        <f t="shared" si="9"/>
        <v>7</v>
      </c>
      <c r="V17" s="17">
        <f t="shared" si="9"/>
        <v>24</v>
      </c>
      <c r="W17" s="17">
        <f t="shared" si="9"/>
        <v>1</v>
      </c>
      <c r="X17" s="17">
        <f t="shared" si="9"/>
        <v>0</v>
      </c>
      <c r="Y17" s="17">
        <f t="shared" si="9"/>
        <v>19</v>
      </c>
      <c r="Z17" s="17">
        <f t="shared" si="9"/>
        <v>6</v>
      </c>
      <c r="AA17" s="17">
        <f t="shared" si="9"/>
        <v>1</v>
      </c>
      <c r="AB17" s="17">
        <f t="shared" si="9"/>
        <v>0</v>
      </c>
      <c r="AC17" s="17">
        <f t="shared" si="9"/>
        <v>157</v>
      </c>
      <c r="AD17" s="17">
        <f t="shared" si="9"/>
        <v>0</v>
      </c>
      <c r="AE17" s="31">
        <f t="shared" si="9"/>
        <v>105</v>
      </c>
      <c r="AF17" s="31">
        <f t="shared" si="9"/>
        <v>262</v>
      </c>
    </row>
    <row r="18" spans="2:32" ht="23.1" customHeight="1" x14ac:dyDescent="0.25">
      <c r="B18" s="23" t="s">
        <v>45</v>
      </c>
      <c r="C18" s="50">
        <v>8</v>
      </c>
      <c r="D18" s="50">
        <v>2</v>
      </c>
      <c r="E18" s="50">
        <v>0</v>
      </c>
      <c r="F18" s="50">
        <v>23</v>
      </c>
      <c r="G18" s="50">
        <v>0</v>
      </c>
      <c r="H18" s="50">
        <v>2</v>
      </c>
      <c r="I18" s="50">
        <v>2</v>
      </c>
      <c r="J18" s="50">
        <v>0</v>
      </c>
      <c r="K18" s="50">
        <v>0</v>
      </c>
      <c r="L18" s="50">
        <v>0</v>
      </c>
      <c r="M18" s="50">
        <v>61</v>
      </c>
      <c r="N18" s="50">
        <v>0</v>
      </c>
      <c r="O18" s="15">
        <f t="shared" si="0"/>
        <v>37</v>
      </c>
      <c r="P18" s="15">
        <f t="shared" si="1"/>
        <v>98</v>
      </c>
      <c r="R18" s="1" t="s">
        <v>14</v>
      </c>
      <c r="S18" s="17">
        <f t="shared" ref="S18:AF18" si="10">SUM(C42:C45)</f>
        <v>38</v>
      </c>
      <c r="T18" s="17">
        <f t="shared" si="10"/>
        <v>14</v>
      </c>
      <c r="U18" s="17">
        <f t="shared" si="10"/>
        <v>7</v>
      </c>
      <c r="V18" s="17">
        <f t="shared" si="10"/>
        <v>25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2</v>
      </c>
      <c r="AA18" s="17">
        <f t="shared" si="10"/>
        <v>4</v>
      </c>
      <c r="AB18" s="17">
        <f t="shared" si="10"/>
        <v>0</v>
      </c>
      <c r="AC18" s="17">
        <f t="shared" si="10"/>
        <v>112</v>
      </c>
      <c r="AD18" s="17">
        <f t="shared" si="10"/>
        <v>0</v>
      </c>
      <c r="AE18" s="31">
        <f t="shared" si="10"/>
        <v>92</v>
      </c>
      <c r="AF18" s="31">
        <f t="shared" si="10"/>
        <v>204</v>
      </c>
    </row>
    <row r="19" spans="2:32" ht="23.1" customHeight="1" x14ac:dyDescent="0.25">
      <c r="B19" s="23" t="s">
        <v>46</v>
      </c>
      <c r="C19" s="50">
        <v>6</v>
      </c>
      <c r="D19" s="50">
        <v>4</v>
      </c>
      <c r="E19" s="50">
        <v>1</v>
      </c>
      <c r="F19" s="50">
        <v>15</v>
      </c>
      <c r="G19" s="50">
        <v>0</v>
      </c>
      <c r="H19" s="50">
        <v>0</v>
      </c>
      <c r="I19" s="50">
        <v>6</v>
      </c>
      <c r="J19" s="50">
        <v>0</v>
      </c>
      <c r="K19" s="50">
        <v>0</v>
      </c>
      <c r="L19" s="50">
        <v>1</v>
      </c>
      <c r="M19" s="50">
        <v>69</v>
      </c>
      <c r="N19" s="50">
        <v>0</v>
      </c>
      <c r="O19" s="15">
        <f t="shared" si="0"/>
        <v>33</v>
      </c>
      <c r="P19" s="15">
        <f t="shared" si="1"/>
        <v>102</v>
      </c>
      <c r="R19" s="1" t="s">
        <v>15</v>
      </c>
      <c r="S19" s="17">
        <f t="shared" ref="S19:AF19" si="11">SUM(C46:C49)</f>
        <v>50</v>
      </c>
      <c r="T19" s="17">
        <f t="shared" si="11"/>
        <v>9</v>
      </c>
      <c r="U19" s="17">
        <f t="shared" si="11"/>
        <v>4</v>
      </c>
      <c r="V19" s="17">
        <f t="shared" si="11"/>
        <v>28</v>
      </c>
      <c r="W19" s="17">
        <f t="shared" si="11"/>
        <v>1</v>
      </c>
      <c r="X19" s="17">
        <f t="shared" si="11"/>
        <v>0</v>
      </c>
      <c r="Y19" s="17">
        <f t="shared" si="11"/>
        <v>10</v>
      </c>
      <c r="Z19" s="17">
        <f t="shared" si="11"/>
        <v>6</v>
      </c>
      <c r="AA19" s="17">
        <f t="shared" si="11"/>
        <v>1</v>
      </c>
      <c r="AB19" s="17">
        <f t="shared" si="11"/>
        <v>0</v>
      </c>
      <c r="AC19" s="17">
        <f t="shared" si="11"/>
        <v>184</v>
      </c>
      <c r="AD19" s="17">
        <f t="shared" si="11"/>
        <v>0</v>
      </c>
      <c r="AE19" s="31">
        <f t="shared" si="11"/>
        <v>109</v>
      </c>
      <c r="AF19" s="31">
        <f t="shared" si="11"/>
        <v>293</v>
      </c>
    </row>
    <row r="20" spans="2:32" ht="23.1" customHeight="1" x14ac:dyDescent="0.25">
      <c r="B20" s="23" t="s">
        <v>47</v>
      </c>
      <c r="C20" s="50">
        <v>12</v>
      </c>
      <c r="D20" s="50">
        <v>7</v>
      </c>
      <c r="E20" s="50">
        <v>0</v>
      </c>
      <c r="F20" s="50">
        <v>14</v>
      </c>
      <c r="G20" s="50">
        <v>0</v>
      </c>
      <c r="H20" s="50">
        <v>0</v>
      </c>
      <c r="I20" s="50">
        <v>9</v>
      </c>
      <c r="J20" s="50">
        <v>6</v>
      </c>
      <c r="K20" s="50">
        <v>0</v>
      </c>
      <c r="L20" s="50">
        <v>0</v>
      </c>
      <c r="M20" s="50">
        <v>45</v>
      </c>
      <c r="N20" s="50">
        <v>0</v>
      </c>
      <c r="O20" s="15">
        <f t="shared" si="0"/>
        <v>48</v>
      </c>
      <c r="P20" s="15">
        <f t="shared" si="1"/>
        <v>93</v>
      </c>
      <c r="R20" s="1" t="s">
        <v>16</v>
      </c>
      <c r="S20" s="17">
        <f t="shared" ref="S20:AF20" si="12">SUM(C50:C53)</f>
        <v>96</v>
      </c>
      <c r="T20" s="17">
        <f t="shared" si="12"/>
        <v>24</v>
      </c>
      <c r="U20" s="17">
        <f t="shared" si="12"/>
        <v>4</v>
      </c>
      <c r="V20" s="17">
        <f t="shared" si="12"/>
        <v>47</v>
      </c>
      <c r="W20" s="17">
        <f t="shared" si="12"/>
        <v>1</v>
      </c>
      <c r="X20" s="17">
        <f t="shared" si="12"/>
        <v>0</v>
      </c>
      <c r="Y20" s="17">
        <f t="shared" si="12"/>
        <v>13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230</v>
      </c>
      <c r="AD20" s="17">
        <f t="shared" si="12"/>
        <v>0</v>
      </c>
      <c r="AE20" s="31">
        <f t="shared" si="12"/>
        <v>189</v>
      </c>
      <c r="AF20" s="31">
        <f t="shared" si="12"/>
        <v>419</v>
      </c>
    </row>
    <row r="21" spans="2:32" ht="23.1" customHeight="1" x14ac:dyDescent="0.25">
      <c r="B21" s="23" t="s">
        <v>48</v>
      </c>
      <c r="C21" s="50">
        <v>5</v>
      </c>
      <c r="D21" s="50">
        <v>5</v>
      </c>
      <c r="E21" s="50">
        <v>1</v>
      </c>
      <c r="F21" s="50">
        <v>10</v>
      </c>
      <c r="G21" s="50">
        <v>0</v>
      </c>
      <c r="H21" s="50">
        <v>1</v>
      </c>
      <c r="I21" s="50">
        <v>5</v>
      </c>
      <c r="J21" s="50">
        <v>3</v>
      </c>
      <c r="K21" s="50">
        <v>0</v>
      </c>
      <c r="L21" s="50">
        <v>0</v>
      </c>
      <c r="M21" s="50">
        <v>42</v>
      </c>
      <c r="N21" s="50">
        <v>0</v>
      </c>
      <c r="O21" s="15">
        <f t="shared" si="0"/>
        <v>30</v>
      </c>
      <c r="P21" s="15">
        <f t="shared" si="1"/>
        <v>72</v>
      </c>
      <c r="R21" s="36" t="s">
        <v>20</v>
      </c>
      <c r="S21" s="34">
        <f t="shared" ref="S21:AF21" si="13">SUM(C54:C57)</f>
        <v>140</v>
      </c>
      <c r="T21" s="17">
        <f t="shared" si="13"/>
        <v>23</v>
      </c>
      <c r="U21" s="17">
        <f t="shared" si="13"/>
        <v>6</v>
      </c>
      <c r="V21" s="17">
        <f t="shared" si="13"/>
        <v>55</v>
      </c>
      <c r="W21" s="17">
        <f t="shared" si="13"/>
        <v>1</v>
      </c>
      <c r="X21" s="17">
        <f t="shared" si="13"/>
        <v>0</v>
      </c>
      <c r="Y21" s="17">
        <f t="shared" si="13"/>
        <v>11</v>
      </c>
      <c r="Z21" s="17">
        <f t="shared" si="13"/>
        <v>8</v>
      </c>
      <c r="AA21" s="17">
        <f t="shared" si="13"/>
        <v>0</v>
      </c>
      <c r="AB21" s="17">
        <f t="shared" si="13"/>
        <v>1</v>
      </c>
      <c r="AC21" s="17">
        <f t="shared" si="13"/>
        <v>274</v>
      </c>
      <c r="AD21" s="17">
        <f t="shared" si="13"/>
        <v>1</v>
      </c>
      <c r="AE21" s="31">
        <f t="shared" si="13"/>
        <v>246</v>
      </c>
      <c r="AF21" s="31">
        <f t="shared" si="13"/>
        <v>520</v>
      </c>
    </row>
    <row r="22" spans="2:32" ht="23.1" customHeight="1" x14ac:dyDescent="0.25">
      <c r="B22" s="23" t="s">
        <v>49</v>
      </c>
      <c r="C22" s="50">
        <v>9</v>
      </c>
      <c r="D22" s="50">
        <v>3</v>
      </c>
      <c r="E22" s="50">
        <v>1</v>
      </c>
      <c r="F22" s="50">
        <v>11</v>
      </c>
      <c r="G22" s="50">
        <v>0</v>
      </c>
      <c r="H22" s="50">
        <v>0</v>
      </c>
      <c r="I22" s="50">
        <v>8</v>
      </c>
      <c r="J22" s="50">
        <v>0</v>
      </c>
      <c r="K22" s="50">
        <v>1</v>
      </c>
      <c r="L22" s="50">
        <v>0</v>
      </c>
      <c r="M22" s="50">
        <v>67</v>
      </c>
      <c r="N22" s="50">
        <v>0</v>
      </c>
      <c r="O22" s="15">
        <f t="shared" si="0"/>
        <v>33</v>
      </c>
      <c r="P22" s="15">
        <f t="shared" si="1"/>
        <v>100</v>
      </c>
      <c r="R22" s="38" t="s">
        <v>90</v>
      </c>
      <c r="S22" s="39">
        <f>MAX(S10:S12)</f>
        <v>38</v>
      </c>
      <c r="T22" s="39">
        <f t="shared" ref="T22:AF22" si="14">MAX(T10:T12)</f>
        <v>18</v>
      </c>
      <c r="U22" s="39">
        <f t="shared" si="14"/>
        <v>4</v>
      </c>
      <c r="V22" s="39">
        <f t="shared" si="14"/>
        <v>62</v>
      </c>
      <c r="W22" s="39">
        <f t="shared" si="14"/>
        <v>1</v>
      </c>
      <c r="X22" s="39">
        <f t="shared" si="14"/>
        <v>3</v>
      </c>
      <c r="Y22" s="39">
        <f t="shared" si="14"/>
        <v>22</v>
      </c>
      <c r="Z22" s="39">
        <f t="shared" si="14"/>
        <v>9</v>
      </c>
      <c r="AA22" s="39">
        <f t="shared" si="14"/>
        <v>1</v>
      </c>
      <c r="AB22" s="39">
        <f t="shared" si="14"/>
        <v>1</v>
      </c>
      <c r="AC22" s="39">
        <f t="shared" si="14"/>
        <v>217</v>
      </c>
      <c r="AD22" s="39">
        <f t="shared" si="14"/>
        <v>0</v>
      </c>
      <c r="AE22" s="40">
        <f t="shared" si="14"/>
        <v>148</v>
      </c>
      <c r="AF22" s="40">
        <f t="shared" si="14"/>
        <v>365</v>
      </c>
    </row>
    <row r="23" spans="2:32" ht="23.1" customHeight="1" x14ac:dyDescent="0.25">
      <c r="B23" s="23" t="s">
        <v>50</v>
      </c>
      <c r="C23" s="50">
        <v>7</v>
      </c>
      <c r="D23" s="50">
        <v>3</v>
      </c>
      <c r="E23" s="50">
        <v>2</v>
      </c>
      <c r="F23" s="50">
        <v>17</v>
      </c>
      <c r="G23" s="50">
        <v>0</v>
      </c>
      <c r="H23" s="50">
        <v>0</v>
      </c>
      <c r="I23" s="50">
        <v>1</v>
      </c>
      <c r="J23" s="50">
        <v>2</v>
      </c>
      <c r="K23" s="50">
        <v>0</v>
      </c>
      <c r="L23" s="50">
        <v>0</v>
      </c>
      <c r="M23" s="50">
        <v>61</v>
      </c>
      <c r="N23" s="50">
        <v>0</v>
      </c>
      <c r="O23" s="15">
        <f t="shared" si="0"/>
        <v>32</v>
      </c>
      <c r="P23" s="15">
        <f t="shared" si="1"/>
        <v>93</v>
      </c>
      <c r="R23" s="38" t="s">
        <v>91</v>
      </c>
      <c r="S23" s="39">
        <f>MAX(S13:S18)</f>
        <v>39</v>
      </c>
      <c r="T23" s="39">
        <f t="shared" ref="T23:AF23" si="15">MAX(T13:T18)</f>
        <v>14</v>
      </c>
      <c r="U23" s="39">
        <f t="shared" si="15"/>
        <v>7</v>
      </c>
      <c r="V23" s="39">
        <f t="shared" si="15"/>
        <v>49</v>
      </c>
      <c r="W23" s="39">
        <f t="shared" si="15"/>
        <v>1</v>
      </c>
      <c r="X23" s="39">
        <f t="shared" si="15"/>
        <v>0</v>
      </c>
      <c r="Y23" s="39">
        <f t="shared" si="15"/>
        <v>22</v>
      </c>
      <c r="Z23" s="39">
        <f t="shared" si="15"/>
        <v>6</v>
      </c>
      <c r="AA23" s="39">
        <f t="shared" si="15"/>
        <v>4</v>
      </c>
      <c r="AB23" s="39">
        <f t="shared" si="15"/>
        <v>1</v>
      </c>
      <c r="AC23" s="39">
        <f t="shared" si="15"/>
        <v>227</v>
      </c>
      <c r="AD23" s="39">
        <f t="shared" si="15"/>
        <v>1</v>
      </c>
      <c r="AE23" s="40">
        <f t="shared" si="15"/>
        <v>112</v>
      </c>
      <c r="AF23" s="40">
        <f t="shared" si="15"/>
        <v>339</v>
      </c>
    </row>
    <row r="24" spans="2:32" ht="23.1" customHeight="1" x14ac:dyDescent="0.25">
      <c r="B24" s="23" t="s">
        <v>51</v>
      </c>
      <c r="C24" s="50">
        <v>7</v>
      </c>
      <c r="D24" s="50">
        <v>5</v>
      </c>
      <c r="E24" s="50">
        <v>0</v>
      </c>
      <c r="F24" s="50">
        <v>12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65</v>
      </c>
      <c r="N24" s="50">
        <v>0</v>
      </c>
      <c r="O24" s="15">
        <f t="shared" si="0"/>
        <v>26</v>
      </c>
      <c r="P24" s="15">
        <f t="shared" si="1"/>
        <v>91</v>
      </c>
      <c r="R24" s="38" t="s">
        <v>92</v>
      </c>
      <c r="S24" s="39">
        <f>MAX(S19:S21)</f>
        <v>140</v>
      </c>
      <c r="T24" s="39">
        <f t="shared" ref="T24:AF24" si="16">MAX(T19:T21)</f>
        <v>24</v>
      </c>
      <c r="U24" s="39">
        <f t="shared" si="16"/>
        <v>6</v>
      </c>
      <c r="V24" s="39">
        <f t="shared" si="16"/>
        <v>55</v>
      </c>
      <c r="W24" s="39">
        <f t="shared" si="16"/>
        <v>1</v>
      </c>
      <c r="X24" s="39">
        <f t="shared" si="16"/>
        <v>0</v>
      </c>
      <c r="Y24" s="39">
        <f t="shared" si="16"/>
        <v>13</v>
      </c>
      <c r="Z24" s="39">
        <f t="shared" si="16"/>
        <v>8</v>
      </c>
      <c r="AA24" s="39">
        <f t="shared" si="16"/>
        <v>1</v>
      </c>
      <c r="AB24" s="39">
        <f t="shared" si="16"/>
        <v>1</v>
      </c>
      <c r="AC24" s="39">
        <f t="shared" si="16"/>
        <v>274</v>
      </c>
      <c r="AD24" s="39">
        <f t="shared" si="16"/>
        <v>1</v>
      </c>
      <c r="AE24" s="40">
        <f t="shared" si="16"/>
        <v>246</v>
      </c>
      <c r="AF24" s="40">
        <f t="shared" si="16"/>
        <v>520</v>
      </c>
    </row>
    <row r="25" spans="2:32" ht="23.1" customHeight="1" x14ac:dyDescent="0.25">
      <c r="B25" s="23" t="s">
        <v>52</v>
      </c>
      <c r="C25" s="50">
        <v>5</v>
      </c>
      <c r="D25" s="50">
        <v>0</v>
      </c>
      <c r="E25" s="50">
        <v>2</v>
      </c>
      <c r="F25" s="50">
        <v>9</v>
      </c>
      <c r="G25" s="50">
        <v>0</v>
      </c>
      <c r="H25" s="50">
        <v>0</v>
      </c>
      <c r="I25" s="50">
        <v>3</v>
      </c>
      <c r="J25" s="50">
        <v>2</v>
      </c>
      <c r="K25" s="50">
        <v>0</v>
      </c>
      <c r="L25" s="50">
        <v>0</v>
      </c>
      <c r="M25" s="50">
        <v>34</v>
      </c>
      <c r="N25" s="50">
        <v>0</v>
      </c>
      <c r="O25" s="15">
        <f t="shared" si="0"/>
        <v>21</v>
      </c>
      <c r="P25" s="15">
        <f t="shared" si="1"/>
        <v>55</v>
      </c>
      <c r="R25" s="37" t="s">
        <v>85</v>
      </c>
      <c r="S25" s="35">
        <f t="shared" ref="S25:AF25" si="17">SUM(S10:S12)</f>
        <v>94</v>
      </c>
      <c r="T25" s="16">
        <f t="shared" si="17"/>
        <v>37</v>
      </c>
      <c r="U25" s="16">
        <f t="shared" si="17"/>
        <v>9</v>
      </c>
      <c r="V25" s="16">
        <f t="shared" si="17"/>
        <v>159</v>
      </c>
      <c r="W25" s="16">
        <f t="shared" si="17"/>
        <v>1</v>
      </c>
      <c r="X25" s="16">
        <f t="shared" si="17"/>
        <v>5</v>
      </c>
      <c r="Y25" s="16">
        <f t="shared" si="17"/>
        <v>33</v>
      </c>
      <c r="Z25" s="16">
        <f t="shared" si="17"/>
        <v>19</v>
      </c>
      <c r="AA25" s="16">
        <f t="shared" si="17"/>
        <v>1</v>
      </c>
      <c r="AB25" s="16">
        <f t="shared" si="17"/>
        <v>2</v>
      </c>
      <c r="AC25" s="16">
        <f t="shared" si="17"/>
        <v>599</v>
      </c>
      <c r="AD25" s="16">
        <f t="shared" si="17"/>
        <v>0</v>
      </c>
      <c r="AE25" s="32">
        <f t="shared" si="17"/>
        <v>360</v>
      </c>
      <c r="AF25" s="32">
        <f t="shared" si="17"/>
        <v>959</v>
      </c>
    </row>
    <row r="26" spans="2:32" ht="23.1" customHeight="1" x14ac:dyDescent="0.25">
      <c r="B26" s="23" t="s">
        <v>53</v>
      </c>
      <c r="C26" s="50">
        <v>5</v>
      </c>
      <c r="D26" s="50">
        <v>4</v>
      </c>
      <c r="E26" s="50">
        <v>1</v>
      </c>
      <c r="F26" s="50">
        <v>10</v>
      </c>
      <c r="G26" s="50">
        <v>0</v>
      </c>
      <c r="H26" s="50">
        <v>0</v>
      </c>
      <c r="I26" s="50">
        <v>2</v>
      </c>
      <c r="J26" s="50">
        <v>0</v>
      </c>
      <c r="K26" s="50">
        <v>2</v>
      </c>
      <c r="L26" s="50">
        <v>0</v>
      </c>
      <c r="M26" s="50">
        <v>43</v>
      </c>
      <c r="N26" s="50">
        <v>0</v>
      </c>
      <c r="O26" s="15">
        <f t="shared" si="0"/>
        <v>24</v>
      </c>
      <c r="P26" s="15">
        <f t="shared" si="1"/>
        <v>67</v>
      </c>
      <c r="R26" s="28" t="s">
        <v>86</v>
      </c>
      <c r="S26" s="16">
        <f t="shared" ref="S26:AF26" si="18">SUM(S13:S18)</f>
        <v>170</v>
      </c>
      <c r="T26" s="16">
        <f t="shared" si="18"/>
        <v>61</v>
      </c>
      <c r="U26" s="16">
        <f t="shared" si="18"/>
        <v>34</v>
      </c>
      <c r="V26" s="16">
        <f t="shared" si="18"/>
        <v>173</v>
      </c>
      <c r="W26" s="16">
        <f t="shared" si="18"/>
        <v>1</v>
      </c>
      <c r="X26" s="16">
        <f t="shared" si="18"/>
        <v>0</v>
      </c>
      <c r="Y26" s="16">
        <f t="shared" si="18"/>
        <v>88</v>
      </c>
      <c r="Z26" s="16">
        <f t="shared" si="18"/>
        <v>24</v>
      </c>
      <c r="AA26" s="16">
        <f t="shared" si="18"/>
        <v>9</v>
      </c>
      <c r="AB26" s="16">
        <f t="shared" si="18"/>
        <v>1</v>
      </c>
      <c r="AC26" s="16">
        <f t="shared" si="18"/>
        <v>966</v>
      </c>
      <c r="AD26" s="16">
        <f t="shared" si="18"/>
        <v>1</v>
      </c>
      <c r="AE26" s="32">
        <f t="shared" si="18"/>
        <v>562</v>
      </c>
      <c r="AF26" s="32">
        <f t="shared" si="18"/>
        <v>1528</v>
      </c>
    </row>
    <row r="27" spans="2:32" ht="23.1" customHeight="1" x14ac:dyDescent="0.25">
      <c r="B27" s="23" t="s">
        <v>54</v>
      </c>
      <c r="C27" s="50">
        <v>6</v>
      </c>
      <c r="D27" s="50">
        <v>1</v>
      </c>
      <c r="E27" s="50">
        <v>0</v>
      </c>
      <c r="F27" s="50">
        <v>8</v>
      </c>
      <c r="G27" s="50">
        <v>0</v>
      </c>
      <c r="H27" s="50">
        <v>0</v>
      </c>
      <c r="I27" s="50">
        <v>6</v>
      </c>
      <c r="J27" s="50">
        <v>1</v>
      </c>
      <c r="K27" s="50">
        <v>0</v>
      </c>
      <c r="L27" s="50">
        <v>0</v>
      </c>
      <c r="M27" s="50">
        <v>31</v>
      </c>
      <c r="N27" s="50">
        <v>0</v>
      </c>
      <c r="O27" s="15">
        <f t="shared" si="0"/>
        <v>22</v>
      </c>
      <c r="P27" s="15">
        <f t="shared" si="1"/>
        <v>53</v>
      </c>
      <c r="R27" s="29" t="s">
        <v>87</v>
      </c>
      <c r="S27" s="16">
        <f t="shared" ref="S27:AF27" si="19">SUM(S19:S21)</f>
        <v>286</v>
      </c>
      <c r="T27" s="16">
        <f t="shared" si="19"/>
        <v>56</v>
      </c>
      <c r="U27" s="16">
        <f t="shared" si="19"/>
        <v>14</v>
      </c>
      <c r="V27" s="16">
        <f t="shared" si="19"/>
        <v>130</v>
      </c>
      <c r="W27" s="16">
        <f t="shared" si="19"/>
        <v>3</v>
      </c>
      <c r="X27" s="16">
        <f t="shared" si="19"/>
        <v>0</v>
      </c>
      <c r="Y27" s="16">
        <f t="shared" si="19"/>
        <v>34</v>
      </c>
      <c r="Z27" s="16">
        <f t="shared" si="19"/>
        <v>17</v>
      </c>
      <c r="AA27" s="16">
        <f t="shared" si="19"/>
        <v>2</v>
      </c>
      <c r="AB27" s="16">
        <f t="shared" si="19"/>
        <v>1</v>
      </c>
      <c r="AC27" s="16">
        <f t="shared" si="19"/>
        <v>688</v>
      </c>
      <c r="AD27" s="16">
        <f t="shared" si="19"/>
        <v>1</v>
      </c>
      <c r="AE27" s="32">
        <f t="shared" si="19"/>
        <v>544</v>
      </c>
      <c r="AF27" s="32">
        <f t="shared" si="19"/>
        <v>1232</v>
      </c>
    </row>
    <row r="28" spans="2:32" ht="23.1" customHeight="1" x14ac:dyDescent="0.25">
      <c r="B28" s="23" t="s">
        <v>55</v>
      </c>
      <c r="C28" s="50">
        <v>6</v>
      </c>
      <c r="D28" s="50">
        <v>1</v>
      </c>
      <c r="E28" s="50">
        <v>1</v>
      </c>
      <c r="F28" s="50">
        <v>5</v>
      </c>
      <c r="G28" s="50">
        <v>0</v>
      </c>
      <c r="H28" s="50">
        <v>0</v>
      </c>
      <c r="I28" s="50">
        <v>5</v>
      </c>
      <c r="J28" s="50">
        <v>1</v>
      </c>
      <c r="K28" s="50">
        <v>1</v>
      </c>
      <c r="L28" s="50">
        <v>0</v>
      </c>
      <c r="M28" s="50">
        <v>59</v>
      </c>
      <c r="N28" s="50">
        <v>0</v>
      </c>
      <c r="O28" s="15">
        <f t="shared" si="0"/>
        <v>20</v>
      </c>
      <c r="P28" s="15">
        <f t="shared" si="1"/>
        <v>79</v>
      </c>
      <c r="R28" s="5" t="s">
        <v>17</v>
      </c>
      <c r="S28" s="16">
        <f t="shared" ref="S28:AF28" si="20">SUM(S10:S21)</f>
        <v>550</v>
      </c>
      <c r="T28" s="16">
        <f t="shared" si="20"/>
        <v>154</v>
      </c>
      <c r="U28" s="16">
        <f t="shared" si="20"/>
        <v>57</v>
      </c>
      <c r="V28" s="16">
        <f t="shared" si="20"/>
        <v>462</v>
      </c>
      <c r="W28" s="16">
        <f t="shared" si="20"/>
        <v>5</v>
      </c>
      <c r="X28" s="16">
        <f t="shared" si="20"/>
        <v>5</v>
      </c>
      <c r="Y28" s="16">
        <f t="shared" si="20"/>
        <v>155</v>
      </c>
      <c r="Z28" s="16">
        <f t="shared" si="20"/>
        <v>60</v>
      </c>
      <c r="AA28" s="16">
        <f t="shared" si="20"/>
        <v>12</v>
      </c>
      <c r="AB28" s="16">
        <f t="shared" si="20"/>
        <v>4</v>
      </c>
      <c r="AC28" s="16">
        <f t="shared" si="20"/>
        <v>2253</v>
      </c>
      <c r="AD28" s="16">
        <f t="shared" si="20"/>
        <v>2</v>
      </c>
      <c r="AE28" s="32">
        <f t="shared" si="20"/>
        <v>1466</v>
      </c>
      <c r="AF28" s="32">
        <f t="shared" si="20"/>
        <v>3719</v>
      </c>
    </row>
    <row r="29" spans="2:32" ht="23.1" customHeight="1" x14ac:dyDescent="0.25">
      <c r="B29" s="23" t="s">
        <v>56</v>
      </c>
      <c r="C29" s="50">
        <v>3</v>
      </c>
      <c r="D29" s="50">
        <v>4</v>
      </c>
      <c r="E29" s="50">
        <v>5</v>
      </c>
      <c r="F29" s="50">
        <v>3</v>
      </c>
      <c r="G29" s="50">
        <v>0</v>
      </c>
      <c r="H29" s="50">
        <v>0</v>
      </c>
      <c r="I29" s="50">
        <v>4</v>
      </c>
      <c r="J29" s="50">
        <v>3</v>
      </c>
      <c r="K29" s="50">
        <v>0</v>
      </c>
      <c r="L29" s="50">
        <v>0</v>
      </c>
      <c r="M29" s="50">
        <v>41</v>
      </c>
      <c r="N29" s="50">
        <v>0</v>
      </c>
      <c r="O29" s="15">
        <f t="shared" si="0"/>
        <v>22</v>
      </c>
      <c r="P29" s="15">
        <f t="shared" si="1"/>
        <v>63</v>
      </c>
      <c r="R29"/>
      <c r="S29" s="20"/>
      <c r="T29" s="19"/>
    </row>
    <row r="30" spans="2:32" ht="23.1" customHeight="1" x14ac:dyDescent="0.25">
      <c r="B30" s="23" t="s">
        <v>57</v>
      </c>
      <c r="C30" s="50">
        <v>6</v>
      </c>
      <c r="D30" s="50">
        <v>1</v>
      </c>
      <c r="E30" s="50">
        <v>1</v>
      </c>
      <c r="F30" s="50">
        <v>10</v>
      </c>
      <c r="G30" s="50">
        <v>0</v>
      </c>
      <c r="H30" s="50">
        <v>0</v>
      </c>
      <c r="I30" s="50">
        <v>4</v>
      </c>
      <c r="J30" s="50">
        <v>1</v>
      </c>
      <c r="K30" s="50">
        <v>0</v>
      </c>
      <c r="L30" s="50">
        <v>0</v>
      </c>
      <c r="M30" s="50">
        <v>24</v>
      </c>
      <c r="N30" s="50">
        <v>0</v>
      </c>
      <c r="O30" s="15">
        <f t="shared" si="0"/>
        <v>23</v>
      </c>
      <c r="P30" s="15">
        <f t="shared" si="1"/>
        <v>47</v>
      </c>
    </row>
    <row r="31" spans="2:32" ht="23.1" customHeight="1" x14ac:dyDescent="0.25">
      <c r="B31" s="24" t="s">
        <v>58</v>
      </c>
      <c r="C31" s="50">
        <v>1</v>
      </c>
      <c r="D31" s="50">
        <v>3</v>
      </c>
      <c r="E31" s="50">
        <v>1</v>
      </c>
      <c r="F31" s="50">
        <v>3</v>
      </c>
      <c r="G31" s="50">
        <v>0</v>
      </c>
      <c r="H31" s="50">
        <v>0</v>
      </c>
      <c r="I31" s="50">
        <v>7</v>
      </c>
      <c r="J31" s="50">
        <v>1</v>
      </c>
      <c r="K31" s="50">
        <v>0</v>
      </c>
      <c r="L31" s="50">
        <v>0</v>
      </c>
      <c r="M31" s="50">
        <v>40</v>
      </c>
      <c r="N31" s="50">
        <v>0</v>
      </c>
      <c r="O31" s="15">
        <f t="shared" si="0"/>
        <v>16</v>
      </c>
      <c r="P31" s="15">
        <f t="shared" si="1"/>
        <v>56</v>
      </c>
    </row>
    <row r="32" spans="2:32" ht="23.1" customHeight="1" x14ac:dyDescent="0.25">
      <c r="B32" s="24" t="s">
        <v>59</v>
      </c>
      <c r="C32" s="50">
        <v>7</v>
      </c>
      <c r="D32" s="50">
        <v>3</v>
      </c>
      <c r="E32" s="50">
        <v>0</v>
      </c>
      <c r="F32" s="50">
        <v>8</v>
      </c>
      <c r="G32" s="50">
        <v>0</v>
      </c>
      <c r="H32" s="50">
        <v>0</v>
      </c>
      <c r="I32" s="50">
        <v>4</v>
      </c>
      <c r="J32" s="50">
        <v>1</v>
      </c>
      <c r="K32" s="50">
        <v>0</v>
      </c>
      <c r="L32" s="50">
        <v>0</v>
      </c>
      <c r="M32" s="50">
        <v>46</v>
      </c>
      <c r="N32" s="50">
        <v>0</v>
      </c>
      <c r="O32" s="15">
        <f t="shared" si="0"/>
        <v>23</v>
      </c>
      <c r="P32" s="15">
        <f t="shared" si="1"/>
        <v>69</v>
      </c>
    </row>
    <row r="33" spans="2:20" ht="23.1" customHeight="1" x14ac:dyDescent="0.25">
      <c r="B33" s="23" t="s">
        <v>60</v>
      </c>
      <c r="C33" s="50">
        <v>4</v>
      </c>
      <c r="D33" s="50">
        <v>3</v>
      </c>
      <c r="E33" s="50">
        <v>2</v>
      </c>
      <c r="F33" s="50">
        <v>4</v>
      </c>
      <c r="G33" s="50">
        <v>0</v>
      </c>
      <c r="H33" s="50">
        <v>0</v>
      </c>
      <c r="I33" s="50">
        <v>7</v>
      </c>
      <c r="J33" s="50">
        <v>0</v>
      </c>
      <c r="K33" s="50">
        <v>0</v>
      </c>
      <c r="L33" s="50">
        <v>0</v>
      </c>
      <c r="M33" s="50">
        <v>39</v>
      </c>
      <c r="N33" s="50">
        <v>1</v>
      </c>
      <c r="O33" s="15">
        <f t="shared" si="0"/>
        <v>21</v>
      </c>
      <c r="P33" s="15">
        <f t="shared" si="1"/>
        <v>60</v>
      </c>
    </row>
    <row r="34" spans="2:20" ht="23.1" customHeight="1" x14ac:dyDescent="0.25">
      <c r="B34" s="24" t="s">
        <v>61</v>
      </c>
      <c r="C34" s="50">
        <v>9</v>
      </c>
      <c r="D34" s="50">
        <v>0</v>
      </c>
      <c r="E34" s="50">
        <v>2</v>
      </c>
      <c r="F34" s="50">
        <v>7</v>
      </c>
      <c r="G34" s="50">
        <v>0</v>
      </c>
      <c r="H34" s="50">
        <v>0</v>
      </c>
      <c r="I34" s="50">
        <v>5</v>
      </c>
      <c r="J34" s="50">
        <v>0</v>
      </c>
      <c r="K34" s="50">
        <v>0</v>
      </c>
      <c r="L34" s="50">
        <v>0</v>
      </c>
      <c r="M34" s="50">
        <v>44</v>
      </c>
      <c r="N34" s="50">
        <v>0</v>
      </c>
      <c r="O34" s="15">
        <f t="shared" si="0"/>
        <v>23</v>
      </c>
      <c r="P34" s="15">
        <f t="shared" si="1"/>
        <v>67</v>
      </c>
    </row>
    <row r="35" spans="2:20" ht="23.1" customHeight="1" x14ac:dyDescent="0.25">
      <c r="B35" s="24" t="s">
        <v>62</v>
      </c>
      <c r="C35" s="50">
        <v>6</v>
      </c>
      <c r="D35" s="50">
        <v>2</v>
      </c>
      <c r="E35" s="50">
        <v>0</v>
      </c>
      <c r="F35" s="50">
        <v>7</v>
      </c>
      <c r="G35" s="50">
        <v>0</v>
      </c>
      <c r="H35" s="50">
        <v>0</v>
      </c>
      <c r="I35" s="50">
        <v>4</v>
      </c>
      <c r="J35" s="50">
        <v>1</v>
      </c>
      <c r="K35" s="50">
        <v>0</v>
      </c>
      <c r="L35" s="50">
        <v>0</v>
      </c>
      <c r="M35" s="50">
        <v>40</v>
      </c>
      <c r="N35" s="50">
        <v>0</v>
      </c>
      <c r="O35" s="15">
        <f t="shared" si="0"/>
        <v>20</v>
      </c>
      <c r="P35" s="15">
        <f t="shared" si="1"/>
        <v>60</v>
      </c>
    </row>
    <row r="36" spans="2:20" ht="23.1" customHeight="1" x14ac:dyDescent="0.25">
      <c r="B36" s="24" t="s">
        <v>63</v>
      </c>
      <c r="C36" s="50">
        <v>7</v>
      </c>
      <c r="D36" s="50">
        <v>3</v>
      </c>
      <c r="E36" s="50">
        <v>1</v>
      </c>
      <c r="F36" s="50">
        <v>3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28</v>
      </c>
      <c r="N36" s="50">
        <v>0</v>
      </c>
      <c r="O36" s="15">
        <f t="shared" si="0"/>
        <v>17</v>
      </c>
      <c r="P36" s="15">
        <f t="shared" si="1"/>
        <v>45</v>
      </c>
    </row>
    <row r="37" spans="2:20" ht="23.1" customHeight="1" x14ac:dyDescent="0.25">
      <c r="B37" s="23" t="s">
        <v>64</v>
      </c>
      <c r="C37" s="50">
        <v>5</v>
      </c>
      <c r="D37" s="50">
        <v>3</v>
      </c>
      <c r="E37" s="50">
        <v>1</v>
      </c>
      <c r="F37" s="50">
        <v>7</v>
      </c>
      <c r="G37" s="50">
        <v>0</v>
      </c>
      <c r="H37" s="50">
        <v>0</v>
      </c>
      <c r="I37" s="50">
        <v>3</v>
      </c>
      <c r="J37" s="50">
        <v>2</v>
      </c>
      <c r="K37" s="50">
        <v>0</v>
      </c>
      <c r="L37" s="50">
        <v>1</v>
      </c>
      <c r="M37" s="50">
        <v>35</v>
      </c>
      <c r="N37" s="50">
        <v>0</v>
      </c>
      <c r="O37" s="15">
        <f t="shared" si="0"/>
        <v>22</v>
      </c>
      <c r="P37" s="15">
        <f t="shared" si="1"/>
        <v>57</v>
      </c>
    </row>
    <row r="38" spans="2:20" ht="23.1" customHeight="1" x14ac:dyDescent="0.25">
      <c r="B38" s="24" t="s">
        <v>65</v>
      </c>
      <c r="C38" s="50">
        <v>6</v>
      </c>
      <c r="D38" s="50">
        <v>2</v>
      </c>
      <c r="E38" s="50">
        <v>4</v>
      </c>
      <c r="F38" s="50">
        <v>6</v>
      </c>
      <c r="G38" s="50">
        <v>1</v>
      </c>
      <c r="H38" s="50">
        <v>0</v>
      </c>
      <c r="I38" s="50">
        <v>6</v>
      </c>
      <c r="J38" s="50">
        <v>3</v>
      </c>
      <c r="K38" s="50">
        <v>1</v>
      </c>
      <c r="L38" s="50">
        <v>0</v>
      </c>
      <c r="M38" s="50">
        <v>37</v>
      </c>
      <c r="N38" s="50">
        <v>0</v>
      </c>
      <c r="O38" s="15">
        <f t="shared" si="0"/>
        <v>29</v>
      </c>
      <c r="P38" s="15">
        <f t="shared" si="1"/>
        <v>66</v>
      </c>
    </row>
    <row r="39" spans="2:20" ht="23.1" customHeight="1" x14ac:dyDescent="0.25">
      <c r="B39" s="24" t="s">
        <v>66</v>
      </c>
      <c r="C39" s="50">
        <v>13</v>
      </c>
      <c r="D39" s="50">
        <v>1</v>
      </c>
      <c r="E39" s="50">
        <v>1</v>
      </c>
      <c r="F39" s="50">
        <v>7</v>
      </c>
      <c r="G39" s="50">
        <v>0</v>
      </c>
      <c r="H39" s="50">
        <v>0</v>
      </c>
      <c r="I39" s="50">
        <v>4</v>
      </c>
      <c r="J39" s="50">
        <v>1</v>
      </c>
      <c r="K39" s="50">
        <v>0</v>
      </c>
      <c r="L39" s="50">
        <v>0</v>
      </c>
      <c r="M39" s="50">
        <v>33</v>
      </c>
      <c r="N39" s="50">
        <v>0</v>
      </c>
      <c r="O39" s="15">
        <f t="shared" si="0"/>
        <v>27</v>
      </c>
      <c r="P39" s="15">
        <f t="shared" si="1"/>
        <v>60</v>
      </c>
    </row>
    <row r="40" spans="2:20" ht="23.1" customHeight="1" x14ac:dyDescent="0.25">
      <c r="B40" s="24" t="s">
        <v>67</v>
      </c>
      <c r="C40" s="50">
        <v>8</v>
      </c>
      <c r="D40" s="50">
        <v>2</v>
      </c>
      <c r="E40" s="50">
        <v>1</v>
      </c>
      <c r="F40" s="50">
        <v>4</v>
      </c>
      <c r="G40" s="50">
        <v>0</v>
      </c>
      <c r="H40" s="50">
        <v>0</v>
      </c>
      <c r="I40" s="50">
        <v>3</v>
      </c>
      <c r="J40" s="50">
        <v>2</v>
      </c>
      <c r="K40" s="50">
        <v>0</v>
      </c>
      <c r="L40" s="50">
        <v>0</v>
      </c>
      <c r="M40" s="50">
        <v>41</v>
      </c>
      <c r="N40" s="50">
        <v>0</v>
      </c>
      <c r="O40" s="15">
        <f t="shared" si="0"/>
        <v>20</v>
      </c>
      <c r="P40" s="15">
        <f t="shared" si="1"/>
        <v>61</v>
      </c>
    </row>
    <row r="41" spans="2:20" ht="23.1" customHeight="1" x14ac:dyDescent="0.25">
      <c r="B41" s="23" t="s">
        <v>68</v>
      </c>
      <c r="C41" s="50">
        <v>12</v>
      </c>
      <c r="D41" s="50">
        <v>3</v>
      </c>
      <c r="E41" s="50">
        <v>1</v>
      </c>
      <c r="F41" s="50">
        <v>7</v>
      </c>
      <c r="G41" s="50">
        <v>0</v>
      </c>
      <c r="H41" s="50">
        <v>0</v>
      </c>
      <c r="I41" s="50">
        <v>6</v>
      </c>
      <c r="J41" s="50">
        <v>0</v>
      </c>
      <c r="K41" s="50">
        <v>0</v>
      </c>
      <c r="L41" s="50">
        <v>0</v>
      </c>
      <c r="M41" s="50">
        <v>46</v>
      </c>
      <c r="N41" s="50">
        <v>0</v>
      </c>
      <c r="O41" s="15">
        <f t="shared" si="0"/>
        <v>29</v>
      </c>
      <c r="P41" s="15">
        <f t="shared" si="1"/>
        <v>75</v>
      </c>
    </row>
    <row r="42" spans="2:20" ht="23.1" customHeight="1" x14ac:dyDescent="0.25">
      <c r="B42" s="24" t="s">
        <v>69</v>
      </c>
      <c r="C42" s="50">
        <v>14</v>
      </c>
      <c r="D42" s="50">
        <v>2</v>
      </c>
      <c r="E42" s="50">
        <v>2</v>
      </c>
      <c r="F42" s="50">
        <v>8</v>
      </c>
      <c r="G42" s="50">
        <v>0</v>
      </c>
      <c r="H42" s="50">
        <v>0</v>
      </c>
      <c r="I42" s="50">
        <v>0</v>
      </c>
      <c r="J42" s="50">
        <v>0</v>
      </c>
      <c r="K42" s="50">
        <v>1</v>
      </c>
      <c r="L42" s="50">
        <v>0</v>
      </c>
      <c r="M42" s="50">
        <v>54</v>
      </c>
      <c r="N42" s="50">
        <v>0</v>
      </c>
      <c r="O42" s="15">
        <f t="shared" si="0"/>
        <v>27</v>
      </c>
      <c r="P42" s="15">
        <f t="shared" si="1"/>
        <v>81</v>
      </c>
    </row>
    <row r="43" spans="2:20" ht="23.1" customHeight="1" x14ac:dyDescent="0.25">
      <c r="B43" s="23" t="s">
        <v>70</v>
      </c>
      <c r="C43" s="50">
        <v>8</v>
      </c>
      <c r="D43" s="50">
        <v>4</v>
      </c>
      <c r="E43" s="50">
        <v>3</v>
      </c>
      <c r="F43" s="50">
        <v>12</v>
      </c>
      <c r="G43" s="50">
        <v>0</v>
      </c>
      <c r="H43" s="50">
        <v>0</v>
      </c>
      <c r="I43" s="50">
        <v>0</v>
      </c>
      <c r="J43" s="50">
        <v>1</v>
      </c>
      <c r="K43" s="50">
        <v>2</v>
      </c>
      <c r="L43" s="50">
        <v>0</v>
      </c>
      <c r="M43" s="50">
        <v>20</v>
      </c>
      <c r="N43" s="50">
        <v>0</v>
      </c>
      <c r="O43" s="15">
        <f t="shared" si="0"/>
        <v>30</v>
      </c>
      <c r="P43" s="15">
        <f t="shared" si="1"/>
        <v>50</v>
      </c>
    </row>
    <row r="44" spans="2:20" ht="23.1" customHeight="1" x14ac:dyDescent="0.25">
      <c r="B44" s="25" t="s">
        <v>71</v>
      </c>
      <c r="C44" s="50">
        <v>9</v>
      </c>
      <c r="D44" s="50">
        <v>6</v>
      </c>
      <c r="E44" s="50">
        <v>0</v>
      </c>
      <c r="F44" s="50">
        <v>3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50">
        <v>22</v>
      </c>
      <c r="N44" s="50">
        <v>0</v>
      </c>
      <c r="O44" s="15">
        <f t="shared" si="0"/>
        <v>21</v>
      </c>
      <c r="P44" s="15">
        <f t="shared" si="1"/>
        <v>43</v>
      </c>
    </row>
    <row r="45" spans="2:20" ht="23.1" customHeight="1" x14ac:dyDescent="0.25">
      <c r="B45" s="23" t="s">
        <v>72</v>
      </c>
      <c r="C45" s="50">
        <v>7</v>
      </c>
      <c r="D45" s="50">
        <v>2</v>
      </c>
      <c r="E45" s="50">
        <v>2</v>
      </c>
      <c r="F45" s="50">
        <v>2</v>
      </c>
      <c r="G45" s="50">
        <v>0</v>
      </c>
      <c r="H45" s="50">
        <v>0</v>
      </c>
      <c r="I45" s="50">
        <v>0</v>
      </c>
      <c r="J45" s="50">
        <v>0</v>
      </c>
      <c r="K45" s="50">
        <v>1</v>
      </c>
      <c r="L45" s="50">
        <v>0</v>
      </c>
      <c r="M45" s="50">
        <v>16</v>
      </c>
      <c r="N45" s="50">
        <v>0</v>
      </c>
      <c r="O45" s="15">
        <f t="shared" si="0"/>
        <v>14</v>
      </c>
      <c r="P45" s="15">
        <f t="shared" si="1"/>
        <v>30</v>
      </c>
    </row>
    <row r="46" spans="2:20" ht="23.1" customHeight="1" x14ac:dyDescent="0.25">
      <c r="B46" s="24" t="s">
        <v>73</v>
      </c>
      <c r="C46" s="50">
        <v>9</v>
      </c>
      <c r="D46" s="50">
        <v>1</v>
      </c>
      <c r="E46" s="50">
        <v>0</v>
      </c>
      <c r="F46" s="50">
        <v>1</v>
      </c>
      <c r="G46" s="50">
        <v>1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38</v>
      </c>
      <c r="N46" s="50">
        <v>0</v>
      </c>
      <c r="O46" s="15">
        <f t="shared" si="0"/>
        <v>15</v>
      </c>
      <c r="P46" s="15">
        <f t="shared" si="1"/>
        <v>53</v>
      </c>
      <c r="R46" s="8"/>
      <c r="T46"/>
    </row>
    <row r="47" spans="2:20" ht="23.1" customHeight="1" x14ac:dyDescent="0.25">
      <c r="B47" s="24" t="s">
        <v>74</v>
      </c>
      <c r="C47" s="50">
        <v>13</v>
      </c>
      <c r="D47" s="50">
        <v>2</v>
      </c>
      <c r="E47" s="50">
        <v>2</v>
      </c>
      <c r="F47" s="50">
        <v>7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50</v>
      </c>
      <c r="N47" s="50">
        <v>0</v>
      </c>
      <c r="O47" s="15">
        <f t="shared" si="0"/>
        <v>26</v>
      </c>
      <c r="P47" s="15">
        <f t="shared" si="1"/>
        <v>76</v>
      </c>
      <c r="R47" s="8"/>
      <c r="T47"/>
    </row>
    <row r="48" spans="2:20" ht="23.1" customHeight="1" x14ac:dyDescent="0.25">
      <c r="B48" s="24" t="s">
        <v>75</v>
      </c>
      <c r="C48" s="50">
        <v>11</v>
      </c>
      <c r="D48" s="50">
        <v>2</v>
      </c>
      <c r="E48" s="50">
        <v>1</v>
      </c>
      <c r="F48" s="50">
        <v>13</v>
      </c>
      <c r="G48" s="50">
        <v>0</v>
      </c>
      <c r="H48" s="50">
        <v>0</v>
      </c>
      <c r="I48" s="50">
        <v>2</v>
      </c>
      <c r="J48" s="50">
        <v>3</v>
      </c>
      <c r="K48" s="50">
        <v>0</v>
      </c>
      <c r="L48" s="50">
        <v>0</v>
      </c>
      <c r="M48" s="50">
        <v>46</v>
      </c>
      <c r="N48" s="50">
        <v>0</v>
      </c>
      <c r="O48" s="15">
        <f t="shared" si="0"/>
        <v>32</v>
      </c>
      <c r="P48" s="15">
        <f t="shared" si="1"/>
        <v>78</v>
      </c>
      <c r="R48" s="8"/>
      <c r="T48"/>
    </row>
    <row r="49" spans="2:20" ht="23.1" customHeight="1" x14ac:dyDescent="0.25">
      <c r="B49" s="23" t="s">
        <v>76</v>
      </c>
      <c r="C49" s="50">
        <v>17</v>
      </c>
      <c r="D49" s="50">
        <v>4</v>
      </c>
      <c r="E49" s="50">
        <v>1</v>
      </c>
      <c r="F49" s="50">
        <v>7</v>
      </c>
      <c r="G49" s="50">
        <v>0</v>
      </c>
      <c r="H49" s="50">
        <v>0</v>
      </c>
      <c r="I49" s="50">
        <v>4</v>
      </c>
      <c r="J49" s="50">
        <v>2</v>
      </c>
      <c r="K49" s="50">
        <v>1</v>
      </c>
      <c r="L49" s="50">
        <v>0</v>
      </c>
      <c r="M49" s="50">
        <v>50</v>
      </c>
      <c r="N49" s="50">
        <v>0</v>
      </c>
      <c r="O49" s="15">
        <f t="shared" si="0"/>
        <v>36</v>
      </c>
      <c r="P49" s="15">
        <f t="shared" si="1"/>
        <v>86</v>
      </c>
      <c r="R49" s="8"/>
      <c r="T49"/>
    </row>
    <row r="50" spans="2:20" ht="23.1" customHeight="1" x14ac:dyDescent="0.25">
      <c r="B50" s="24" t="s">
        <v>77</v>
      </c>
      <c r="C50" s="50">
        <v>18</v>
      </c>
      <c r="D50" s="50">
        <v>13</v>
      </c>
      <c r="E50" s="50">
        <v>1</v>
      </c>
      <c r="F50" s="50">
        <v>8</v>
      </c>
      <c r="G50" s="50">
        <v>0</v>
      </c>
      <c r="H50" s="50">
        <v>0</v>
      </c>
      <c r="I50" s="50">
        <v>4</v>
      </c>
      <c r="J50" s="50">
        <v>0</v>
      </c>
      <c r="K50" s="50">
        <v>1</v>
      </c>
      <c r="L50" s="50">
        <v>0</v>
      </c>
      <c r="M50" s="50">
        <v>41</v>
      </c>
      <c r="N50" s="50">
        <v>0</v>
      </c>
      <c r="O50" s="15">
        <f t="shared" si="0"/>
        <v>45</v>
      </c>
      <c r="P50" s="15">
        <f t="shared" si="1"/>
        <v>86</v>
      </c>
      <c r="R50" s="8"/>
      <c r="T50"/>
    </row>
    <row r="51" spans="2:20" ht="23.1" customHeight="1" x14ac:dyDescent="0.25">
      <c r="B51" s="24" t="s">
        <v>78</v>
      </c>
      <c r="C51" s="50">
        <v>19</v>
      </c>
      <c r="D51" s="50">
        <v>3</v>
      </c>
      <c r="E51" s="50">
        <v>2</v>
      </c>
      <c r="F51" s="50">
        <v>13</v>
      </c>
      <c r="G51" s="50">
        <v>0</v>
      </c>
      <c r="H51" s="50">
        <v>0</v>
      </c>
      <c r="I51" s="50">
        <v>5</v>
      </c>
      <c r="J51" s="50">
        <v>2</v>
      </c>
      <c r="K51" s="50">
        <v>0</v>
      </c>
      <c r="L51" s="50">
        <v>0</v>
      </c>
      <c r="M51" s="50">
        <v>58</v>
      </c>
      <c r="N51" s="50">
        <v>0</v>
      </c>
      <c r="O51" s="15">
        <f t="shared" si="0"/>
        <v>44</v>
      </c>
      <c r="P51" s="15">
        <f t="shared" si="1"/>
        <v>102</v>
      </c>
      <c r="R51" s="8"/>
      <c r="T51"/>
    </row>
    <row r="52" spans="2:20" ht="23.1" customHeight="1" x14ac:dyDescent="0.25">
      <c r="B52" s="24" t="s">
        <v>79</v>
      </c>
      <c r="C52" s="50">
        <v>33</v>
      </c>
      <c r="D52" s="50">
        <v>1</v>
      </c>
      <c r="E52" s="50">
        <v>1</v>
      </c>
      <c r="F52" s="50">
        <v>14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65</v>
      </c>
      <c r="N52" s="50">
        <v>0</v>
      </c>
      <c r="O52" s="15">
        <f t="shared" si="0"/>
        <v>52</v>
      </c>
      <c r="P52" s="15">
        <f t="shared" si="1"/>
        <v>117</v>
      </c>
      <c r="R52" s="8"/>
      <c r="T52"/>
    </row>
    <row r="53" spans="2:20" ht="23.1" customHeight="1" x14ac:dyDescent="0.25">
      <c r="B53" s="23" t="s">
        <v>80</v>
      </c>
      <c r="C53" s="50">
        <v>26</v>
      </c>
      <c r="D53" s="50">
        <v>7</v>
      </c>
      <c r="E53" s="50">
        <v>0</v>
      </c>
      <c r="F53" s="50">
        <v>12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66</v>
      </c>
      <c r="N53" s="50">
        <v>0</v>
      </c>
      <c r="O53" s="15">
        <f t="shared" si="0"/>
        <v>48</v>
      </c>
      <c r="P53" s="15">
        <f t="shared" si="1"/>
        <v>114</v>
      </c>
      <c r="R53" s="8"/>
      <c r="T53"/>
    </row>
    <row r="54" spans="2:20" ht="23.1" customHeight="1" x14ac:dyDescent="0.25">
      <c r="B54" s="23" t="s">
        <v>81</v>
      </c>
      <c r="C54" s="50">
        <v>32</v>
      </c>
      <c r="D54" s="50">
        <v>5</v>
      </c>
      <c r="E54" s="50">
        <v>0</v>
      </c>
      <c r="F54" s="50">
        <v>9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65</v>
      </c>
      <c r="N54" s="50">
        <v>0</v>
      </c>
      <c r="O54" s="15">
        <f t="shared" si="0"/>
        <v>48</v>
      </c>
      <c r="P54" s="15">
        <f t="shared" si="1"/>
        <v>113</v>
      </c>
      <c r="R54" s="8"/>
      <c r="T54"/>
    </row>
    <row r="55" spans="2:20" ht="23.1" customHeight="1" x14ac:dyDescent="0.25">
      <c r="B55" s="23" t="s">
        <v>82</v>
      </c>
      <c r="C55" s="50">
        <v>38</v>
      </c>
      <c r="D55" s="50">
        <v>6</v>
      </c>
      <c r="E55" s="50">
        <v>2</v>
      </c>
      <c r="F55" s="50">
        <v>13</v>
      </c>
      <c r="G55" s="50">
        <v>0</v>
      </c>
      <c r="H55" s="50">
        <v>0</v>
      </c>
      <c r="I55" s="50">
        <v>1</v>
      </c>
      <c r="J55" s="50">
        <v>2</v>
      </c>
      <c r="K55" s="50">
        <v>0</v>
      </c>
      <c r="L55" s="50">
        <v>0</v>
      </c>
      <c r="M55" s="50">
        <v>64</v>
      </c>
      <c r="N55" s="50">
        <v>0</v>
      </c>
      <c r="O55" s="15">
        <f t="shared" si="0"/>
        <v>62</v>
      </c>
      <c r="P55" s="15">
        <f t="shared" si="1"/>
        <v>126</v>
      </c>
      <c r="R55" s="8"/>
      <c r="T55"/>
    </row>
    <row r="56" spans="2:20" ht="23.1" customHeight="1" x14ac:dyDescent="0.25">
      <c r="B56" s="23" t="s">
        <v>83</v>
      </c>
      <c r="C56" s="50">
        <v>39</v>
      </c>
      <c r="D56" s="50">
        <v>10</v>
      </c>
      <c r="E56" s="50">
        <v>1</v>
      </c>
      <c r="F56" s="50">
        <v>18</v>
      </c>
      <c r="G56" s="50">
        <v>1</v>
      </c>
      <c r="H56" s="50">
        <v>0</v>
      </c>
      <c r="I56" s="50">
        <v>5</v>
      </c>
      <c r="J56" s="50">
        <v>3</v>
      </c>
      <c r="K56" s="50">
        <v>0</v>
      </c>
      <c r="L56" s="50">
        <v>1</v>
      </c>
      <c r="M56" s="50">
        <v>65</v>
      </c>
      <c r="N56" s="50">
        <v>0</v>
      </c>
      <c r="O56" s="15">
        <f t="shared" si="0"/>
        <v>78</v>
      </c>
      <c r="P56" s="15">
        <f t="shared" si="1"/>
        <v>143</v>
      </c>
      <c r="R56" s="8"/>
      <c r="T56"/>
    </row>
    <row r="57" spans="2:20" ht="23.1" customHeight="1" x14ac:dyDescent="0.25">
      <c r="B57" s="23" t="s">
        <v>84</v>
      </c>
      <c r="C57" s="50">
        <v>31</v>
      </c>
      <c r="D57" s="50">
        <v>2</v>
      </c>
      <c r="E57" s="50">
        <v>3</v>
      </c>
      <c r="F57" s="50">
        <v>15</v>
      </c>
      <c r="G57" s="50">
        <v>0</v>
      </c>
      <c r="H57" s="50">
        <v>0</v>
      </c>
      <c r="I57" s="50">
        <v>3</v>
      </c>
      <c r="J57" s="50">
        <v>3</v>
      </c>
      <c r="K57" s="50">
        <v>0</v>
      </c>
      <c r="L57" s="50">
        <v>0</v>
      </c>
      <c r="M57" s="50">
        <v>80</v>
      </c>
      <c r="N57" s="50">
        <v>1</v>
      </c>
      <c r="O57" s="15">
        <f t="shared" si="0"/>
        <v>58</v>
      </c>
      <c r="P57" s="15">
        <f t="shared" si="1"/>
        <v>138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550</v>
      </c>
      <c r="D58" s="16">
        <f t="shared" si="21"/>
        <v>154</v>
      </c>
      <c r="E58" s="16">
        <f t="shared" si="21"/>
        <v>57</v>
      </c>
      <c r="F58" s="16">
        <f t="shared" si="21"/>
        <v>462</v>
      </c>
      <c r="G58" s="16">
        <f t="shared" si="21"/>
        <v>5</v>
      </c>
      <c r="H58" s="16">
        <f t="shared" si="21"/>
        <v>5</v>
      </c>
      <c r="I58" s="16">
        <f t="shared" si="21"/>
        <v>155</v>
      </c>
      <c r="J58" s="16">
        <f t="shared" si="21"/>
        <v>60</v>
      </c>
      <c r="K58" s="16">
        <f t="shared" si="21"/>
        <v>12</v>
      </c>
      <c r="L58" s="16">
        <f t="shared" si="21"/>
        <v>4</v>
      </c>
      <c r="M58" s="16">
        <f t="shared" si="21"/>
        <v>2253</v>
      </c>
      <c r="N58" s="16">
        <f t="shared" si="21"/>
        <v>2</v>
      </c>
      <c r="O58" s="16">
        <f t="shared" si="21"/>
        <v>1466</v>
      </c>
      <c r="P58" s="16">
        <f t="shared" si="21"/>
        <v>3719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0.14788921753159451</v>
      </c>
      <c r="D59" s="43">
        <f t="shared" si="22"/>
        <v>4.1408980908846461E-2</v>
      </c>
      <c r="E59" s="43">
        <f t="shared" si="22"/>
        <v>1.5326700726001613E-2</v>
      </c>
      <c r="F59" s="43">
        <f t="shared" si="22"/>
        <v>0.12422694272653939</v>
      </c>
      <c r="G59" s="43">
        <f t="shared" si="22"/>
        <v>1.3444474321054048E-3</v>
      </c>
      <c r="H59" s="43">
        <f t="shared" si="22"/>
        <v>1.3444474321054048E-3</v>
      </c>
      <c r="I59" s="43">
        <f t="shared" si="22"/>
        <v>4.1677870395267547E-2</v>
      </c>
      <c r="J59" s="43">
        <f t="shared" si="22"/>
        <v>1.6133369185264857E-2</v>
      </c>
      <c r="K59" s="43">
        <f t="shared" si="22"/>
        <v>3.2266738370529714E-3</v>
      </c>
      <c r="L59" s="43">
        <f t="shared" si="22"/>
        <v>1.0755579456843238E-3</v>
      </c>
      <c r="M59" s="43">
        <f t="shared" si="22"/>
        <v>0.60580801290669539</v>
      </c>
      <c r="N59" s="43">
        <f t="shared" si="22"/>
        <v>5.377789728421619E-4</v>
      </c>
      <c r="R59" s="8"/>
      <c r="T59"/>
    </row>
    <row r="60" spans="2:20" ht="23.1" customHeight="1" x14ac:dyDescent="0.25">
      <c r="B60" s="42" t="s">
        <v>94</v>
      </c>
      <c r="C60" s="44">
        <f>C58/$O$58</f>
        <v>0.37517053206002726</v>
      </c>
      <c r="D60" s="44">
        <f t="shared" ref="D60:N60" si="23">D58/$O$58</f>
        <v>0.10504774897680765</v>
      </c>
      <c r="E60" s="44">
        <f t="shared" si="23"/>
        <v>3.8881309686221006E-2</v>
      </c>
      <c r="F60" s="44">
        <f t="shared" si="23"/>
        <v>0.31514324693042289</v>
      </c>
      <c r="G60" s="44">
        <f t="shared" si="23"/>
        <v>3.4106412005457027E-3</v>
      </c>
      <c r="H60" s="44">
        <f t="shared" si="23"/>
        <v>3.4106412005457027E-3</v>
      </c>
      <c r="I60" s="44">
        <f t="shared" si="23"/>
        <v>0.10572987721691678</v>
      </c>
      <c r="J60" s="44">
        <f t="shared" si="23"/>
        <v>4.0927694406548434E-2</v>
      </c>
      <c r="K60" s="44">
        <f t="shared" si="23"/>
        <v>8.1855388813096858E-3</v>
      </c>
      <c r="L60" s="44">
        <f t="shared" si="23"/>
        <v>2.7285129604365621E-3</v>
      </c>
      <c r="M60" s="44"/>
      <c r="N60" s="44">
        <f t="shared" si="23"/>
        <v>1.364256480218281E-3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B1" zoomScale="60" workbookViewId="0">
      <selection activeCell="G7" sqref="G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SentemaRBT-Sentema'!C3:G3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'22.07 SentemaRBT-Sentema'!D5</f>
        <v>22.07.19</v>
      </c>
      <c r="E5" s="3"/>
      <c r="F5" s="41" t="s">
        <v>1</v>
      </c>
      <c r="G5" s="61" t="str">
        <f>'22.07 SentemaRBT-Sentema'!G5:H5</f>
        <v>Ku roofings</v>
      </c>
      <c r="H5" s="62"/>
      <c r="I5" s="14"/>
      <c r="J5" s="2" t="s">
        <v>5</v>
      </c>
      <c r="K5" s="61" t="s">
        <v>176</v>
      </c>
      <c r="L5" s="62"/>
      <c r="M5" s="10"/>
      <c r="N5" s="10"/>
      <c r="O5" s="3"/>
      <c r="P5" s="3"/>
    </row>
    <row r="6" spans="2:32" ht="23.25" customHeight="1" x14ac:dyDescent="0.25">
      <c r="C6" s="2" t="s">
        <v>4</v>
      </c>
      <c r="D6" s="55" t="s">
        <v>170</v>
      </c>
      <c r="E6" s="56"/>
      <c r="F6" s="2" t="s">
        <v>2</v>
      </c>
      <c r="G6" s="55" t="s">
        <v>180</v>
      </c>
      <c r="H6" s="56"/>
      <c r="J6" s="2" t="s">
        <v>21</v>
      </c>
      <c r="K6" s="61" t="s">
        <v>173</v>
      </c>
      <c r="L6" s="62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63</v>
      </c>
      <c r="D10" s="50">
        <v>3</v>
      </c>
      <c r="E10" s="50">
        <v>10</v>
      </c>
      <c r="F10" s="50">
        <v>31</v>
      </c>
      <c r="G10" s="50">
        <v>0</v>
      </c>
      <c r="H10" s="50">
        <v>0</v>
      </c>
      <c r="I10" s="50">
        <v>1</v>
      </c>
      <c r="J10" s="50">
        <v>2</v>
      </c>
      <c r="K10" s="50">
        <v>1</v>
      </c>
      <c r="L10" s="50">
        <v>1</v>
      </c>
      <c r="M10" s="50">
        <v>59</v>
      </c>
      <c r="N10" s="50">
        <v>0</v>
      </c>
      <c r="O10" s="15">
        <f t="shared" ref="O10:O57" si="0">SUM(C10:L10,N10)</f>
        <v>112</v>
      </c>
      <c r="P10" s="15">
        <f t="shared" ref="P10:P57" si="1">SUM(C10:N10)</f>
        <v>171</v>
      </c>
      <c r="R10" s="1" t="s">
        <v>6</v>
      </c>
      <c r="S10" s="17">
        <f t="shared" ref="S10:AF10" si="2">SUM(C10:C13)</f>
        <v>289</v>
      </c>
      <c r="T10" s="17">
        <f t="shared" si="2"/>
        <v>14</v>
      </c>
      <c r="U10" s="17">
        <f t="shared" si="2"/>
        <v>24</v>
      </c>
      <c r="V10" s="17">
        <f t="shared" si="2"/>
        <v>127</v>
      </c>
      <c r="W10" s="17">
        <f t="shared" si="2"/>
        <v>1</v>
      </c>
      <c r="X10" s="17">
        <f t="shared" si="2"/>
        <v>0</v>
      </c>
      <c r="Y10" s="17">
        <f t="shared" si="2"/>
        <v>10</v>
      </c>
      <c r="Z10" s="17">
        <f t="shared" si="2"/>
        <v>3</v>
      </c>
      <c r="AA10" s="17">
        <f t="shared" si="2"/>
        <v>2</v>
      </c>
      <c r="AB10" s="17">
        <f t="shared" si="2"/>
        <v>3</v>
      </c>
      <c r="AC10" s="17">
        <f t="shared" si="2"/>
        <v>360</v>
      </c>
      <c r="AD10" s="17">
        <f t="shared" si="2"/>
        <v>0</v>
      </c>
      <c r="AE10" s="31">
        <f t="shared" si="2"/>
        <v>473</v>
      </c>
      <c r="AF10" s="31">
        <f t="shared" si="2"/>
        <v>833</v>
      </c>
    </row>
    <row r="11" spans="2:32" s="6" customFormat="1" ht="23.1" customHeight="1" x14ac:dyDescent="0.25">
      <c r="B11" s="23" t="s">
        <v>38</v>
      </c>
      <c r="C11" s="50">
        <v>71</v>
      </c>
      <c r="D11" s="50">
        <v>4</v>
      </c>
      <c r="E11" s="50">
        <v>6</v>
      </c>
      <c r="F11" s="50">
        <v>42</v>
      </c>
      <c r="G11" s="50">
        <v>0</v>
      </c>
      <c r="H11" s="50">
        <v>0</v>
      </c>
      <c r="I11" s="50">
        <v>5</v>
      </c>
      <c r="J11" s="50">
        <v>0</v>
      </c>
      <c r="K11" s="50">
        <v>1</v>
      </c>
      <c r="L11" s="50">
        <v>0</v>
      </c>
      <c r="M11" s="50">
        <v>91</v>
      </c>
      <c r="N11" s="50">
        <v>0</v>
      </c>
      <c r="O11" s="15">
        <f t="shared" si="0"/>
        <v>129</v>
      </c>
      <c r="P11" s="15">
        <f t="shared" si="1"/>
        <v>220</v>
      </c>
      <c r="R11" s="1" t="s">
        <v>7</v>
      </c>
      <c r="S11" s="17">
        <f t="shared" ref="S11:AF11" si="3">SUM(C14:C17)</f>
        <v>152</v>
      </c>
      <c r="T11" s="17">
        <f t="shared" si="3"/>
        <v>18</v>
      </c>
      <c r="U11" s="17">
        <f t="shared" si="3"/>
        <v>15</v>
      </c>
      <c r="V11" s="17">
        <f t="shared" si="3"/>
        <v>53</v>
      </c>
      <c r="W11" s="17">
        <f t="shared" si="3"/>
        <v>0</v>
      </c>
      <c r="X11" s="17">
        <f t="shared" si="3"/>
        <v>0</v>
      </c>
      <c r="Y11" s="17">
        <f t="shared" si="3"/>
        <v>12</v>
      </c>
      <c r="Z11" s="17">
        <f t="shared" si="3"/>
        <v>3</v>
      </c>
      <c r="AA11" s="17">
        <f t="shared" si="3"/>
        <v>0</v>
      </c>
      <c r="AB11" s="17">
        <f t="shared" si="3"/>
        <v>0</v>
      </c>
      <c r="AC11" s="17">
        <f t="shared" si="3"/>
        <v>376</v>
      </c>
      <c r="AD11" s="17">
        <f t="shared" si="3"/>
        <v>0</v>
      </c>
      <c r="AE11" s="31">
        <f t="shared" si="3"/>
        <v>253</v>
      </c>
      <c r="AF11" s="31">
        <f t="shared" si="3"/>
        <v>629</v>
      </c>
    </row>
    <row r="12" spans="2:32" ht="23.1" customHeight="1" x14ac:dyDescent="0.25">
      <c r="B12" s="23" t="s">
        <v>39</v>
      </c>
      <c r="C12" s="50">
        <v>73</v>
      </c>
      <c r="D12" s="50">
        <v>1</v>
      </c>
      <c r="E12" s="50">
        <v>2</v>
      </c>
      <c r="F12" s="50">
        <v>24</v>
      </c>
      <c r="G12" s="50">
        <v>1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114</v>
      </c>
      <c r="N12" s="50">
        <v>0</v>
      </c>
      <c r="O12" s="15">
        <f t="shared" si="0"/>
        <v>103</v>
      </c>
      <c r="P12" s="15">
        <f t="shared" si="1"/>
        <v>217</v>
      </c>
      <c r="R12" s="1" t="s">
        <v>8</v>
      </c>
      <c r="S12" s="17">
        <f t="shared" ref="S12:AF12" si="4">SUM(C18:C21)</f>
        <v>136</v>
      </c>
      <c r="T12" s="17">
        <f t="shared" si="4"/>
        <v>13</v>
      </c>
      <c r="U12" s="17">
        <f t="shared" si="4"/>
        <v>14</v>
      </c>
      <c r="V12" s="17">
        <f t="shared" si="4"/>
        <v>51</v>
      </c>
      <c r="W12" s="17">
        <f t="shared" si="4"/>
        <v>0</v>
      </c>
      <c r="X12" s="17">
        <f t="shared" si="4"/>
        <v>0</v>
      </c>
      <c r="Y12" s="17">
        <f t="shared" si="4"/>
        <v>13</v>
      </c>
      <c r="Z12" s="17">
        <f t="shared" si="4"/>
        <v>6</v>
      </c>
      <c r="AA12" s="17">
        <f t="shared" si="4"/>
        <v>0</v>
      </c>
      <c r="AB12" s="17">
        <f t="shared" si="4"/>
        <v>1</v>
      </c>
      <c r="AC12" s="17">
        <f t="shared" si="4"/>
        <v>282</v>
      </c>
      <c r="AD12" s="17">
        <f t="shared" si="4"/>
        <v>0</v>
      </c>
      <c r="AE12" s="31">
        <f t="shared" si="4"/>
        <v>234</v>
      </c>
      <c r="AF12" s="31">
        <f t="shared" si="4"/>
        <v>516</v>
      </c>
    </row>
    <row r="13" spans="2:32" ht="23.1" customHeight="1" x14ac:dyDescent="0.25">
      <c r="B13" s="23" t="s">
        <v>40</v>
      </c>
      <c r="C13" s="50">
        <v>82</v>
      </c>
      <c r="D13" s="50">
        <v>6</v>
      </c>
      <c r="E13" s="50">
        <v>6</v>
      </c>
      <c r="F13" s="50">
        <v>30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2</v>
      </c>
      <c r="M13" s="50">
        <v>96</v>
      </c>
      <c r="N13" s="50">
        <v>0</v>
      </c>
      <c r="O13" s="15">
        <f t="shared" si="0"/>
        <v>129</v>
      </c>
      <c r="P13" s="15">
        <f t="shared" si="1"/>
        <v>225</v>
      </c>
      <c r="R13" s="1" t="s">
        <v>9</v>
      </c>
      <c r="S13" s="17">
        <f t="shared" ref="S13:AF13" si="5">SUM(C22:C25)</f>
        <v>62</v>
      </c>
      <c r="T13" s="17">
        <f t="shared" si="5"/>
        <v>15</v>
      </c>
      <c r="U13" s="17">
        <f t="shared" si="5"/>
        <v>12</v>
      </c>
      <c r="V13" s="17">
        <f t="shared" si="5"/>
        <v>38</v>
      </c>
      <c r="W13" s="17">
        <f t="shared" si="5"/>
        <v>1</v>
      </c>
      <c r="X13" s="17">
        <f t="shared" si="5"/>
        <v>0</v>
      </c>
      <c r="Y13" s="17">
        <f t="shared" si="5"/>
        <v>15</v>
      </c>
      <c r="Z13" s="17">
        <f t="shared" si="5"/>
        <v>3</v>
      </c>
      <c r="AA13" s="17">
        <f t="shared" si="5"/>
        <v>1</v>
      </c>
      <c r="AB13" s="17">
        <f t="shared" si="5"/>
        <v>0</v>
      </c>
      <c r="AC13" s="17">
        <f t="shared" si="5"/>
        <v>163</v>
      </c>
      <c r="AD13" s="17">
        <f t="shared" si="5"/>
        <v>0</v>
      </c>
      <c r="AE13" s="31">
        <f t="shared" si="5"/>
        <v>147</v>
      </c>
      <c r="AF13" s="31">
        <f t="shared" si="5"/>
        <v>310</v>
      </c>
    </row>
    <row r="14" spans="2:32" ht="23.1" customHeight="1" x14ac:dyDescent="0.25">
      <c r="B14" s="23" t="s">
        <v>41</v>
      </c>
      <c r="C14" s="50">
        <v>73</v>
      </c>
      <c r="D14" s="50">
        <v>4</v>
      </c>
      <c r="E14" s="50">
        <v>4</v>
      </c>
      <c r="F14" s="50">
        <v>23</v>
      </c>
      <c r="G14" s="50">
        <v>0</v>
      </c>
      <c r="H14" s="50">
        <v>0</v>
      </c>
      <c r="I14" s="50">
        <v>4</v>
      </c>
      <c r="J14" s="50">
        <v>3</v>
      </c>
      <c r="K14" s="50">
        <v>0</v>
      </c>
      <c r="L14" s="50">
        <v>0</v>
      </c>
      <c r="M14" s="50">
        <v>117</v>
      </c>
      <c r="N14" s="50">
        <v>0</v>
      </c>
      <c r="O14" s="15">
        <f t="shared" si="0"/>
        <v>111</v>
      </c>
      <c r="P14" s="15">
        <f t="shared" si="1"/>
        <v>228</v>
      </c>
      <c r="R14" s="1" t="s">
        <v>10</v>
      </c>
      <c r="S14" s="17">
        <f t="shared" ref="S14:AF14" si="6">SUM(C26:C29)</f>
        <v>34</v>
      </c>
      <c r="T14" s="17">
        <f t="shared" si="6"/>
        <v>20</v>
      </c>
      <c r="U14" s="17">
        <f t="shared" si="6"/>
        <v>12</v>
      </c>
      <c r="V14" s="17">
        <f t="shared" si="6"/>
        <v>28</v>
      </c>
      <c r="W14" s="17">
        <f t="shared" si="6"/>
        <v>0</v>
      </c>
      <c r="X14" s="17">
        <f t="shared" si="6"/>
        <v>0</v>
      </c>
      <c r="Y14" s="17">
        <f t="shared" si="6"/>
        <v>14</v>
      </c>
      <c r="Z14" s="17">
        <f t="shared" si="6"/>
        <v>2</v>
      </c>
      <c r="AA14" s="17">
        <f t="shared" si="6"/>
        <v>6</v>
      </c>
      <c r="AB14" s="17">
        <f t="shared" si="6"/>
        <v>1</v>
      </c>
      <c r="AC14" s="17">
        <f t="shared" si="6"/>
        <v>155</v>
      </c>
      <c r="AD14" s="17">
        <f t="shared" si="6"/>
        <v>0</v>
      </c>
      <c r="AE14" s="31">
        <f t="shared" si="6"/>
        <v>117</v>
      </c>
      <c r="AF14" s="31">
        <f t="shared" si="6"/>
        <v>272</v>
      </c>
    </row>
    <row r="15" spans="2:32" ht="23.1" customHeight="1" x14ac:dyDescent="0.25">
      <c r="B15" s="23" t="s">
        <v>42</v>
      </c>
      <c r="C15" s="50">
        <v>45</v>
      </c>
      <c r="D15" s="50">
        <v>9</v>
      </c>
      <c r="E15" s="50">
        <v>7</v>
      </c>
      <c r="F15" s="50">
        <v>16</v>
      </c>
      <c r="G15" s="50">
        <v>0</v>
      </c>
      <c r="H15" s="50">
        <v>0</v>
      </c>
      <c r="I15" s="50">
        <v>4</v>
      </c>
      <c r="J15" s="50">
        <v>0</v>
      </c>
      <c r="K15" s="50">
        <v>0</v>
      </c>
      <c r="L15" s="50">
        <v>0</v>
      </c>
      <c r="M15" s="50">
        <v>145</v>
      </c>
      <c r="N15" s="50">
        <v>0</v>
      </c>
      <c r="O15" s="15">
        <f t="shared" si="0"/>
        <v>81</v>
      </c>
      <c r="P15" s="15">
        <f t="shared" si="1"/>
        <v>226</v>
      </c>
      <c r="R15" s="1" t="s">
        <v>11</v>
      </c>
      <c r="S15" s="17">
        <f t="shared" ref="S15:AF15" si="7">SUM(C30:C33)</f>
        <v>50</v>
      </c>
      <c r="T15" s="17">
        <f t="shared" si="7"/>
        <v>11</v>
      </c>
      <c r="U15" s="17">
        <f t="shared" si="7"/>
        <v>6</v>
      </c>
      <c r="V15" s="17">
        <f t="shared" si="7"/>
        <v>14</v>
      </c>
      <c r="W15" s="17">
        <f t="shared" si="7"/>
        <v>0</v>
      </c>
      <c r="X15" s="17">
        <f t="shared" si="7"/>
        <v>0</v>
      </c>
      <c r="Y15" s="17">
        <f t="shared" si="7"/>
        <v>19</v>
      </c>
      <c r="Z15" s="17">
        <f t="shared" si="7"/>
        <v>7</v>
      </c>
      <c r="AA15" s="17">
        <f t="shared" si="7"/>
        <v>2</v>
      </c>
      <c r="AB15" s="17">
        <f t="shared" si="7"/>
        <v>0</v>
      </c>
      <c r="AC15" s="17">
        <f t="shared" si="7"/>
        <v>131</v>
      </c>
      <c r="AD15" s="17">
        <f t="shared" si="7"/>
        <v>0</v>
      </c>
      <c r="AE15" s="31">
        <f t="shared" si="7"/>
        <v>109</v>
      </c>
      <c r="AF15" s="31">
        <f t="shared" si="7"/>
        <v>240</v>
      </c>
    </row>
    <row r="16" spans="2:32" ht="23.1" customHeight="1" x14ac:dyDescent="0.25">
      <c r="B16" s="23" t="s">
        <v>43</v>
      </c>
      <c r="C16" s="50">
        <v>29</v>
      </c>
      <c r="D16" s="50">
        <v>4</v>
      </c>
      <c r="E16" s="50">
        <v>4</v>
      </c>
      <c r="F16" s="50">
        <v>11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89</v>
      </c>
      <c r="N16" s="50">
        <v>0</v>
      </c>
      <c r="O16" s="15">
        <f t="shared" si="0"/>
        <v>51</v>
      </c>
      <c r="P16" s="15">
        <f t="shared" si="1"/>
        <v>140</v>
      </c>
      <c r="R16" s="1" t="s">
        <v>12</v>
      </c>
      <c r="S16" s="17">
        <f t="shared" ref="S16:AF16" si="8">SUM(C34:C37)</f>
        <v>35</v>
      </c>
      <c r="T16" s="17">
        <f t="shared" si="8"/>
        <v>6</v>
      </c>
      <c r="U16" s="17">
        <f t="shared" si="8"/>
        <v>2</v>
      </c>
      <c r="V16" s="17">
        <f t="shared" si="8"/>
        <v>15</v>
      </c>
      <c r="W16" s="17">
        <f t="shared" si="8"/>
        <v>0</v>
      </c>
      <c r="X16" s="17">
        <f t="shared" si="8"/>
        <v>0</v>
      </c>
      <c r="Y16" s="17">
        <f t="shared" si="8"/>
        <v>14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105</v>
      </c>
      <c r="AD16" s="17">
        <f t="shared" si="8"/>
        <v>0</v>
      </c>
      <c r="AE16" s="31">
        <f t="shared" si="8"/>
        <v>75</v>
      </c>
      <c r="AF16" s="31">
        <f t="shared" si="8"/>
        <v>180</v>
      </c>
    </row>
    <row r="17" spans="2:32" ht="23.1" customHeight="1" x14ac:dyDescent="0.25">
      <c r="B17" s="23" t="s">
        <v>44</v>
      </c>
      <c r="C17" s="50">
        <v>5</v>
      </c>
      <c r="D17" s="50">
        <v>1</v>
      </c>
      <c r="E17" s="50">
        <v>0</v>
      </c>
      <c r="F17" s="50">
        <v>3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25</v>
      </c>
      <c r="N17" s="50">
        <v>0</v>
      </c>
      <c r="O17" s="15">
        <f t="shared" si="0"/>
        <v>10</v>
      </c>
      <c r="P17" s="15">
        <f t="shared" si="1"/>
        <v>35</v>
      </c>
      <c r="R17" s="1" t="s">
        <v>13</v>
      </c>
      <c r="S17" s="17">
        <f t="shared" ref="S17:AF17" si="9">SUM(C38:C41)</f>
        <v>37</v>
      </c>
      <c r="T17" s="17">
        <f t="shared" si="9"/>
        <v>9</v>
      </c>
      <c r="U17" s="17">
        <f t="shared" si="9"/>
        <v>5</v>
      </c>
      <c r="V17" s="17">
        <f t="shared" si="9"/>
        <v>29</v>
      </c>
      <c r="W17" s="17">
        <f t="shared" si="9"/>
        <v>0</v>
      </c>
      <c r="X17" s="17">
        <f t="shared" si="9"/>
        <v>1</v>
      </c>
      <c r="Y17" s="17">
        <f t="shared" si="9"/>
        <v>17</v>
      </c>
      <c r="Z17" s="17">
        <f t="shared" si="9"/>
        <v>3</v>
      </c>
      <c r="AA17" s="17">
        <f t="shared" si="9"/>
        <v>1</v>
      </c>
      <c r="AB17" s="17">
        <f t="shared" si="9"/>
        <v>0</v>
      </c>
      <c r="AC17" s="17">
        <f t="shared" si="9"/>
        <v>179</v>
      </c>
      <c r="AD17" s="17">
        <f t="shared" si="9"/>
        <v>0</v>
      </c>
      <c r="AE17" s="31">
        <f t="shared" si="9"/>
        <v>102</v>
      </c>
      <c r="AF17" s="31">
        <f t="shared" si="9"/>
        <v>281</v>
      </c>
    </row>
    <row r="18" spans="2:32" ht="23.1" customHeight="1" x14ac:dyDescent="0.25">
      <c r="B18" s="23" t="s">
        <v>45</v>
      </c>
      <c r="C18" s="50">
        <v>35</v>
      </c>
      <c r="D18" s="50">
        <v>2</v>
      </c>
      <c r="E18" s="50">
        <v>7</v>
      </c>
      <c r="F18" s="50">
        <v>16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90</v>
      </c>
      <c r="N18" s="50">
        <v>0</v>
      </c>
      <c r="O18" s="15">
        <f t="shared" si="0"/>
        <v>65</v>
      </c>
      <c r="P18" s="15">
        <f t="shared" si="1"/>
        <v>155</v>
      </c>
      <c r="R18" s="1" t="s">
        <v>14</v>
      </c>
      <c r="S18" s="17">
        <f t="shared" ref="S18:AF18" si="10">SUM(C42:C45)</f>
        <v>38</v>
      </c>
      <c r="T18" s="17">
        <f t="shared" si="10"/>
        <v>12</v>
      </c>
      <c r="U18" s="17">
        <f t="shared" si="10"/>
        <v>4</v>
      </c>
      <c r="V18" s="17">
        <f t="shared" si="10"/>
        <v>19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145</v>
      </c>
      <c r="AD18" s="17">
        <f t="shared" si="10"/>
        <v>0</v>
      </c>
      <c r="AE18" s="31">
        <f t="shared" si="10"/>
        <v>93</v>
      </c>
      <c r="AF18" s="31">
        <f t="shared" si="10"/>
        <v>238</v>
      </c>
    </row>
    <row r="19" spans="2:32" ht="23.1" customHeight="1" x14ac:dyDescent="0.25">
      <c r="B19" s="23" t="s">
        <v>46</v>
      </c>
      <c r="C19" s="50">
        <v>29</v>
      </c>
      <c r="D19" s="50">
        <v>3</v>
      </c>
      <c r="E19" s="50">
        <v>0</v>
      </c>
      <c r="F19" s="50">
        <v>13</v>
      </c>
      <c r="G19" s="50">
        <v>0</v>
      </c>
      <c r="H19" s="50">
        <v>0</v>
      </c>
      <c r="I19" s="50">
        <v>2</v>
      </c>
      <c r="J19" s="50">
        <v>3</v>
      </c>
      <c r="K19" s="50">
        <v>0</v>
      </c>
      <c r="L19" s="50">
        <v>0</v>
      </c>
      <c r="M19" s="50">
        <v>81</v>
      </c>
      <c r="N19" s="50">
        <v>0</v>
      </c>
      <c r="O19" s="15">
        <f t="shared" si="0"/>
        <v>50</v>
      </c>
      <c r="P19" s="15">
        <f t="shared" si="1"/>
        <v>131</v>
      </c>
      <c r="R19" s="1" t="s">
        <v>15</v>
      </c>
      <c r="S19" s="17">
        <f t="shared" ref="S19:AF19" si="11">SUM(C46:C49)</f>
        <v>40</v>
      </c>
      <c r="T19" s="17">
        <f t="shared" si="11"/>
        <v>8</v>
      </c>
      <c r="U19" s="17">
        <f t="shared" si="11"/>
        <v>7</v>
      </c>
      <c r="V19" s="17">
        <f t="shared" si="11"/>
        <v>15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5</v>
      </c>
      <c r="AA19" s="17">
        <f t="shared" si="11"/>
        <v>0</v>
      </c>
      <c r="AB19" s="17">
        <f t="shared" si="11"/>
        <v>0</v>
      </c>
      <c r="AC19" s="17">
        <f t="shared" si="11"/>
        <v>188</v>
      </c>
      <c r="AD19" s="17">
        <f t="shared" si="11"/>
        <v>0</v>
      </c>
      <c r="AE19" s="31">
        <f t="shared" si="11"/>
        <v>85</v>
      </c>
      <c r="AF19" s="31">
        <f t="shared" si="11"/>
        <v>273</v>
      </c>
    </row>
    <row r="20" spans="2:32" ht="23.1" customHeight="1" x14ac:dyDescent="0.25">
      <c r="B20" s="23" t="s">
        <v>47</v>
      </c>
      <c r="C20" s="50">
        <v>38</v>
      </c>
      <c r="D20" s="50">
        <v>4</v>
      </c>
      <c r="E20" s="50">
        <v>4</v>
      </c>
      <c r="F20" s="50">
        <v>9</v>
      </c>
      <c r="G20" s="50">
        <v>0</v>
      </c>
      <c r="H20" s="50">
        <v>0</v>
      </c>
      <c r="I20" s="50">
        <v>2</v>
      </c>
      <c r="J20" s="50">
        <v>3</v>
      </c>
      <c r="K20" s="50">
        <v>0</v>
      </c>
      <c r="L20" s="50">
        <v>1</v>
      </c>
      <c r="M20" s="50">
        <v>67</v>
      </c>
      <c r="N20" s="50">
        <v>0</v>
      </c>
      <c r="O20" s="15">
        <f t="shared" si="0"/>
        <v>61</v>
      </c>
      <c r="P20" s="15">
        <f t="shared" si="1"/>
        <v>128</v>
      </c>
      <c r="R20" s="1" t="s">
        <v>16</v>
      </c>
      <c r="S20" s="17">
        <f t="shared" ref="S20:AF20" si="12">SUM(C50:C53)</f>
        <v>49</v>
      </c>
      <c r="T20" s="17">
        <f t="shared" si="12"/>
        <v>17</v>
      </c>
      <c r="U20" s="17">
        <f t="shared" si="12"/>
        <v>5</v>
      </c>
      <c r="V20" s="17">
        <f t="shared" si="12"/>
        <v>40</v>
      </c>
      <c r="W20" s="17">
        <f t="shared" si="12"/>
        <v>2</v>
      </c>
      <c r="X20" s="17">
        <f t="shared" si="12"/>
        <v>1</v>
      </c>
      <c r="Y20" s="17">
        <f t="shared" si="12"/>
        <v>10</v>
      </c>
      <c r="Z20" s="17">
        <f t="shared" si="12"/>
        <v>3</v>
      </c>
      <c r="AA20" s="17">
        <f t="shared" si="12"/>
        <v>0</v>
      </c>
      <c r="AB20" s="17">
        <f t="shared" si="12"/>
        <v>1</v>
      </c>
      <c r="AC20" s="17">
        <f t="shared" si="12"/>
        <v>238</v>
      </c>
      <c r="AD20" s="17">
        <f t="shared" si="12"/>
        <v>0</v>
      </c>
      <c r="AE20" s="31">
        <f t="shared" si="12"/>
        <v>128</v>
      </c>
      <c r="AF20" s="31">
        <f t="shared" si="12"/>
        <v>366</v>
      </c>
    </row>
    <row r="21" spans="2:32" ht="23.1" customHeight="1" x14ac:dyDescent="0.25">
      <c r="B21" s="23" t="s">
        <v>48</v>
      </c>
      <c r="C21" s="50">
        <v>34</v>
      </c>
      <c r="D21" s="50">
        <v>4</v>
      </c>
      <c r="E21" s="50">
        <v>3</v>
      </c>
      <c r="F21" s="50">
        <v>13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44</v>
      </c>
      <c r="N21" s="50">
        <v>0</v>
      </c>
      <c r="O21" s="15">
        <f t="shared" si="0"/>
        <v>58</v>
      </c>
      <c r="P21" s="15">
        <f t="shared" si="1"/>
        <v>102</v>
      </c>
      <c r="R21" s="36" t="s">
        <v>20</v>
      </c>
      <c r="S21" s="34">
        <f t="shared" ref="S21:AF21" si="13">SUM(C54:C57)</f>
        <v>48</v>
      </c>
      <c r="T21" s="17">
        <f t="shared" si="13"/>
        <v>14</v>
      </c>
      <c r="U21" s="17">
        <f t="shared" si="13"/>
        <v>3</v>
      </c>
      <c r="V21" s="17">
        <f t="shared" si="13"/>
        <v>54</v>
      </c>
      <c r="W21" s="17">
        <f t="shared" si="13"/>
        <v>1</v>
      </c>
      <c r="X21" s="17">
        <f t="shared" si="13"/>
        <v>1</v>
      </c>
      <c r="Y21" s="17">
        <f t="shared" si="13"/>
        <v>14</v>
      </c>
      <c r="Z21" s="17">
        <f t="shared" si="13"/>
        <v>1</v>
      </c>
      <c r="AA21" s="17">
        <f t="shared" si="13"/>
        <v>1</v>
      </c>
      <c r="AB21" s="17">
        <f t="shared" si="13"/>
        <v>0</v>
      </c>
      <c r="AC21" s="17">
        <f t="shared" si="13"/>
        <v>245</v>
      </c>
      <c r="AD21" s="17">
        <f t="shared" si="13"/>
        <v>0</v>
      </c>
      <c r="AE21" s="31">
        <f t="shared" si="13"/>
        <v>137</v>
      </c>
      <c r="AF21" s="31">
        <f t="shared" si="13"/>
        <v>382</v>
      </c>
    </row>
    <row r="22" spans="2:32" ht="23.1" customHeight="1" x14ac:dyDescent="0.25">
      <c r="B22" s="23" t="s">
        <v>49</v>
      </c>
      <c r="C22" s="50">
        <v>26</v>
      </c>
      <c r="D22" s="50">
        <v>4</v>
      </c>
      <c r="E22" s="50">
        <v>5</v>
      </c>
      <c r="F22" s="50">
        <v>10</v>
      </c>
      <c r="G22" s="50">
        <v>1</v>
      </c>
      <c r="H22" s="50">
        <v>0</v>
      </c>
      <c r="I22" s="50">
        <v>4</v>
      </c>
      <c r="J22" s="50">
        <v>1</v>
      </c>
      <c r="K22" s="50">
        <v>0</v>
      </c>
      <c r="L22" s="50">
        <v>0</v>
      </c>
      <c r="M22" s="50">
        <v>63</v>
      </c>
      <c r="N22" s="50">
        <v>0</v>
      </c>
      <c r="O22" s="15">
        <f t="shared" si="0"/>
        <v>51</v>
      </c>
      <c r="P22" s="15">
        <f t="shared" si="1"/>
        <v>114</v>
      </c>
      <c r="R22" s="38" t="s">
        <v>90</v>
      </c>
      <c r="S22" s="39">
        <f>MAX(S10:S12)</f>
        <v>289</v>
      </c>
      <c r="T22" s="39">
        <f t="shared" ref="T22:AF22" si="14">MAX(T10:T12)</f>
        <v>18</v>
      </c>
      <c r="U22" s="39">
        <f t="shared" si="14"/>
        <v>24</v>
      </c>
      <c r="V22" s="39">
        <f t="shared" si="14"/>
        <v>127</v>
      </c>
      <c r="W22" s="39">
        <f t="shared" si="14"/>
        <v>1</v>
      </c>
      <c r="X22" s="39">
        <f t="shared" si="14"/>
        <v>0</v>
      </c>
      <c r="Y22" s="39">
        <f t="shared" si="14"/>
        <v>13</v>
      </c>
      <c r="Z22" s="39">
        <f t="shared" si="14"/>
        <v>6</v>
      </c>
      <c r="AA22" s="39">
        <f t="shared" si="14"/>
        <v>2</v>
      </c>
      <c r="AB22" s="39">
        <f t="shared" si="14"/>
        <v>3</v>
      </c>
      <c r="AC22" s="39">
        <f t="shared" si="14"/>
        <v>376</v>
      </c>
      <c r="AD22" s="39">
        <f t="shared" si="14"/>
        <v>0</v>
      </c>
      <c r="AE22" s="40">
        <f t="shared" si="14"/>
        <v>473</v>
      </c>
      <c r="AF22" s="40">
        <f t="shared" si="14"/>
        <v>833</v>
      </c>
    </row>
    <row r="23" spans="2:32" ht="23.1" customHeight="1" x14ac:dyDescent="0.25">
      <c r="B23" s="23" t="s">
        <v>50</v>
      </c>
      <c r="C23" s="50">
        <v>18</v>
      </c>
      <c r="D23" s="50">
        <v>2</v>
      </c>
      <c r="E23" s="50">
        <v>1</v>
      </c>
      <c r="F23" s="50">
        <v>12</v>
      </c>
      <c r="G23" s="50">
        <v>0</v>
      </c>
      <c r="H23" s="50">
        <v>0</v>
      </c>
      <c r="I23" s="50">
        <v>5</v>
      </c>
      <c r="J23" s="50">
        <v>1</v>
      </c>
      <c r="K23" s="50">
        <v>1</v>
      </c>
      <c r="L23" s="50">
        <v>0</v>
      </c>
      <c r="M23" s="50">
        <v>29</v>
      </c>
      <c r="N23" s="50">
        <v>0</v>
      </c>
      <c r="O23" s="15">
        <f t="shared" si="0"/>
        <v>40</v>
      </c>
      <c r="P23" s="15">
        <f t="shared" si="1"/>
        <v>69</v>
      </c>
      <c r="R23" s="38" t="s">
        <v>91</v>
      </c>
      <c r="S23" s="39">
        <f>MAX(S13:S18)</f>
        <v>62</v>
      </c>
      <c r="T23" s="39">
        <f t="shared" ref="T23:AF23" si="15">MAX(T13:T18)</f>
        <v>20</v>
      </c>
      <c r="U23" s="39">
        <f t="shared" si="15"/>
        <v>12</v>
      </c>
      <c r="V23" s="39">
        <f t="shared" si="15"/>
        <v>38</v>
      </c>
      <c r="W23" s="39">
        <f t="shared" si="15"/>
        <v>1</v>
      </c>
      <c r="X23" s="39">
        <f t="shared" si="15"/>
        <v>1</v>
      </c>
      <c r="Y23" s="39">
        <f t="shared" si="15"/>
        <v>19</v>
      </c>
      <c r="Z23" s="39">
        <f t="shared" si="15"/>
        <v>7</v>
      </c>
      <c r="AA23" s="39">
        <f t="shared" si="15"/>
        <v>6</v>
      </c>
      <c r="AB23" s="39">
        <f t="shared" si="15"/>
        <v>1</v>
      </c>
      <c r="AC23" s="39">
        <f t="shared" si="15"/>
        <v>179</v>
      </c>
      <c r="AD23" s="39">
        <f t="shared" si="15"/>
        <v>0</v>
      </c>
      <c r="AE23" s="40">
        <f t="shared" si="15"/>
        <v>147</v>
      </c>
      <c r="AF23" s="40">
        <f t="shared" si="15"/>
        <v>310</v>
      </c>
    </row>
    <row r="24" spans="2:32" ht="23.1" customHeight="1" x14ac:dyDescent="0.25">
      <c r="B24" s="23" t="s">
        <v>51</v>
      </c>
      <c r="C24" s="50">
        <v>9</v>
      </c>
      <c r="D24" s="50">
        <v>4</v>
      </c>
      <c r="E24" s="50">
        <v>2</v>
      </c>
      <c r="F24" s="50">
        <v>10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0</v>
      </c>
      <c r="M24" s="50">
        <v>40</v>
      </c>
      <c r="N24" s="50">
        <v>0</v>
      </c>
      <c r="O24" s="15">
        <f t="shared" si="0"/>
        <v>30</v>
      </c>
      <c r="P24" s="15">
        <f t="shared" si="1"/>
        <v>70</v>
      </c>
      <c r="R24" s="38" t="s">
        <v>92</v>
      </c>
      <c r="S24" s="39">
        <f>MAX(S19:S21)</f>
        <v>49</v>
      </c>
      <c r="T24" s="39">
        <f t="shared" ref="T24:AF24" si="16">MAX(T19:T21)</f>
        <v>17</v>
      </c>
      <c r="U24" s="39">
        <f t="shared" si="16"/>
        <v>7</v>
      </c>
      <c r="V24" s="39">
        <f t="shared" si="16"/>
        <v>54</v>
      </c>
      <c r="W24" s="39">
        <f t="shared" si="16"/>
        <v>2</v>
      </c>
      <c r="X24" s="39">
        <f t="shared" si="16"/>
        <v>1</v>
      </c>
      <c r="Y24" s="39">
        <f t="shared" si="16"/>
        <v>14</v>
      </c>
      <c r="Z24" s="39">
        <f t="shared" si="16"/>
        <v>5</v>
      </c>
      <c r="AA24" s="39">
        <f t="shared" si="16"/>
        <v>1</v>
      </c>
      <c r="AB24" s="39">
        <f t="shared" si="16"/>
        <v>1</v>
      </c>
      <c r="AC24" s="39">
        <f t="shared" si="16"/>
        <v>245</v>
      </c>
      <c r="AD24" s="39">
        <f t="shared" si="16"/>
        <v>0</v>
      </c>
      <c r="AE24" s="40">
        <f t="shared" si="16"/>
        <v>137</v>
      </c>
      <c r="AF24" s="40">
        <f t="shared" si="16"/>
        <v>382</v>
      </c>
    </row>
    <row r="25" spans="2:32" ht="23.1" customHeight="1" x14ac:dyDescent="0.25">
      <c r="B25" s="23" t="s">
        <v>52</v>
      </c>
      <c r="C25" s="50">
        <v>9</v>
      </c>
      <c r="D25" s="50">
        <v>5</v>
      </c>
      <c r="E25" s="50">
        <v>4</v>
      </c>
      <c r="F25" s="50">
        <v>6</v>
      </c>
      <c r="G25" s="50">
        <v>0</v>
      </c>
      <c r="H25" s="50">
        <v>0</v>
      </c>
      <c r="I25" s="50">
        <v>1</v>
      </c>
      <c r="J25" s="50">
        <v>1</v>
      </c>
      <c r="K25" s="50">
        <v>0</v>
      </c>
      <c r="L25" s="50">
        <v>0</v>
      </c>
      <c r="M25" s="50">
        <v>31</v>
      </c>
      <c r="N25" s="50">
        <v>0</v>
      </c>
      <c r="O25" s="15">
        <f t="shared" si="0"/>
        <v>26</v>
      </c>
      <c r="P25" s="15">
        <f t="shared" si="1"/>
        <v>57</v>
      </c>
      <c r="R25" s="37" t="s">
        <v>85</v>
      </c>
      <c r="S25" s="35">
        <f t="shared" ref="S25:AF25" si="17">SUM(S10:S12)</f>
        <v>577</v>
      </c>
      <c r="T25" s="16">
        <f t="shared" si="17"/>
        <v>45</v>
      </c>
      <c r="U25" s="16">
        <f t="shared" si="17"/>
        <v>53</v>
      </c>
      <c r="V25" s="16">
        <f t="shared" si="17"/>
        <v>231</v>
      </c>
      <c r="W25" s="16">
        <f t="shared" si="17"/>
        <v>1</v>
      </c>
      <c r="X25" s="16">
        <f t="shared" si="17"/>
        <v>0</v>
      </c>
      <c r="Y25" s="16">
        <f t="shared" si="17"/>
        <v>35</v>
      </c>
      <c r="Z25" s="16">
        <f t="shared" si="17"/>
        <v>12</v>
      </c>
      <c r="AA25" s="16">
        <f t="shared" si="17"/>
        <v>2</v>
      </c>
      <c r="AB25" s="16">
        <f t="shared" si="17"/>
        <v>4</v>
      </c>
      <c r="AC25" s="16">
        <f t="shared" si="17"/>
        <v>1018</v>
      </c>
      <c r="AD25" s="16">
        <f t="shared" si="17"/>
        <v>0</v>
      </c>
      <c r="AE25" s="32">
        <f t="shared" si="17"/>
        <v>960</v>
      </c>
      <c r="AF25" s="32">
        <f t="shared" si="17"/>
        <v>1978</v>
      </c>
    </row>
    <row r="26" spans="2:32" ht="23.1" customHeight="1" x14ac:dyDescent="0.25">
      <c r="B26" s="23" t="s">
        <v>53</v>
      </c>
      <c r="C26" s="50">
        <v>8</v>
      </c>
      <c r="D26" s="50">
        <v>4</v>
      </c>
      <c r="E26" s="50">
        <v>1</v>
      </c>
      <c r="F26" s="50">
        <v>5</v>
      </c>
      <c r="G26" s="50">
        <v>0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38</v>
      </c>
      <c r="N26" s="50">
        <v>0</v>
      </c>
      <c r="O26" s="15">
        <f t="shared" si="0"/>
        <v>23</v>
      </c>
      <c r="P26" s="15">
        <f t="shared" si="1"/>
        <v>61</v>
      </c>
      <c r="R26" s="28" t="s">
        <v>86</v>
      </c>
      <c r="S26" s="16">
        <f t="shared" ref="S26:AF26" si="18">SUM(S13:S18)</f>
        <v>256</v>
      </c>
      <c r="T26" s="16">
        <f t="shared" si="18"/>
        <v>73</v>
      </c>
      <c r="U26" s="16">
        <f t="shared" si="18"/>
        <v>41</v>
      </c>
      <c r="V26" s="16">
        <f t="shared" si="18"/>
        <v>143</v>
      </c>
      <c r="W26" s="16">
        <f t="shared" si="18"/>
        <v>1</v>
      </c>
      <c r="X26" s="16">
        <f t="shared" si="18"/>
        <v>1</v>
      </c>
      <c r="Y26" s="16">
        <f t="shared" si="18"/>
        <v>95</v>
      </c>
      <c r="Z26" s="16">
        <f t="shared" si="18"/>
        <v>22</v>
      </c>
      <c r="AA26" s="16">
        <f t="shared" si="18"/>
        <v>10</v>
      </c>
      <c r="AB26" s="16">
        <f t="shared" si="18"/>
        <v>1</v>
      </c>
      <c r="AC26" s="16">
        <f t="shared" si="18"/>
        <v>878</v>
      </c>
      <c r="AD26" s="16">
        <f t="shared" si="18"/>
        <v>0</v>
      </c>
      <c r="AE26" s="32">
        <f t="shared" si="18"/>
        <v>643</v>
      </c>
      <c r="AF26" s="32">
        <f t="shared" si="18"/>
        <v>1521</v>
      </c>
    </row>
    <row r="27" spans="2:32" ht="23.1" customHeight="1" x14ac:dyDescent="0.25">
      <c r="B27" s="23" t="s">
        <v>54</v>
      </c>
      <c r="C27" s="50">
        <v>7</v>
      </c>
      <c r="D27" s="50">
        <v>5</v>
      </c>
      <c r="E27" s="50">
        <v>4</v>
      </c>
      <c r="F27" s="50">
        <v>11</v>
      </c>
      <c r="G27" s="50">
        <v>0</v>
      </c>
      <c r="H27" s="50">
        <v>0</v>
      </c>
      <c r="I27" s="50">
        <v>4</v>
      </c>
      <c r="J27" s="50">
        <v>1</v>
      </c>
      <c r="K27" s="50">
        <v>4</v>
      </c>
      <c r="L27" s="50">
        <v>0</v>
      </c>
      <c r="M27" s="50">
        <v>33</v>
      </c>
      <c r="N27" s="50">
        <v>0</v>
      </c>
      <c r="O27" s="15">
        <f t="shared" si="0"/>
        <v>36</v>
      </c>
      <c r="P27" s="15">
        <f t="shared" si="1"/>
        <v>69</v>
      </c>
      <c r="R27" s="29" t="s">
        <v>87</v>
      </c>
      <c r="S27" s="16">
        <f t="shared" ref="S27:AF27" si="19">SUM(S19:S21)</f>
        <v>137</v>
      </c>
      <c r="T27" s="16">
        <f t="shared" si="19"/>
        <v>39</v>
      </c>
      <c r="U27" s="16">
        <f t="shared" si="19"/>
        <v>15</v>
      </c>
      <c r="V27" s="16">
        <f t="shared" si="19"/>
        <v>109</v>
      </c>
      <c r="W27" s="16">
        <f t="shared" si="19"/>
        <v>3</v>
      </c>
      <c r="X27" s="16">
        <f t="shared" si="19"/>
        <v>2</v>
      </c>
      <c r="Y27" s="16">
        <f t="shared" si="19"/>
        <v>34</v>
      </c>
      <c r="Z27" s="16">
        <f t="shared" si="19"/>
        <v>9</v>
      </c>
      <c r="AA27" s="16">
        <f t="shared" si="19"/>
        <v>1</v>
      </c>
      <c r="AB27" s="16">
        <f t="shared" si="19"/>
        <v>1</v>
      </c>
      <c r="AC27" s="16">
        <f t="shared" si="19"/>
        <v>671</v>
      </c>
      <c r="AD27" s="16">
        <f t="shared" si="19"/>
        <v>0</v>
      </c>
      <c r="AE27" s="32">
        <f t="shared" si="19"/>
        <v>350</v>
      </c>
      <c r="AF27" s="32">
        <f t="shared" si="19"/>
        <v>1021</v>
      </c>
    </row>
    <row r="28" spans="2:32" ht="23.1" customHeight="1" x14ac:dyDescent="0.25">
      <c r="B28" s="23" t="s">
        <v>55</v>
      </c>
      <c r="C28" s="50">
        <v>12</v>
      </c>
      <c r="D28" s="50">
        <v>4</v>
      </c>
      <c r="E28" s="50">
        <v>5</v>
      </c>
      <c r="F28" s="50">
        <v>6</v>
      </c>
      <c r="G28" s="50">
        <v>0</v>
      </c>
      <c r="H28" s="50">
        <v>0</v>
      </c>
      <c r="I28" s="50">
        <v>2</v>
      </c>
      <c r="J28" s="50">
        <v>0</v>
      </c>
      <c r="K28" s="50">
        <v>1</v>
      </c>
      <c r="L28" s="50">
        <v>0</v>
      </c>
      <c r="M28" s="50">
        <v>43</v>
      </c>
      <c r="N28" s="50">
        <v>0</v>
      </c>
      <c r="O28" s="15">
        <f t="shared" si="0"/>
        <v>30</v>
      </c>
      <c r="P28" s="15">
        <f t="shared" si="1"/>
        <v>73</v>
      </c>
      <c r="R28" s="5" t="s">
        <v>17</v>
      </c>
      <c r="S28" s="16">
        <f t="shared" ref="S28:AF28" si="20">SUM(S10:S21)</f>
        <v>970</v>
      </c>
      <c r="T28" s="16">
        <f t="shared" si="20"/>
        <v>157</v>
      </c>
      <c r="U28" s="16">
        <f t="shared" si="20"/>
        <v>109</v>
      </c>
      <c r="V28" s="16">
        <f t="shared" si="20"/>
        <v>483</v>
      </c>
      <c r="W28" s="16">
        <f t="shared" si="20"/>
        <v>5</v>
      </c>
      <c r="X28" s="16">
        <f t="shared" si="20"/>
        <v>3</v>
      </c>
      <c r="Y28" s="16">
        <f t="shared" si="20"/>
        <v>164</v>
      </c>
      <c r="Z28" s="16">
        <f t="shared" si="20"/>
        <v>43</v>
      </c>
      <c r="AA28" s="16">
        <f t="shared" si="20"/>
        <v>13</v>
      </c>
      <c r="AB28" s="16">
        <f t="shared" si="20"/>
        <v>6</v>
      </c>
      <c r="AC28" s="16">
        <f t="shared" si="20"/>
        <v>2567</v>
      </c>
      <c r="AD28" s="16">
        <f t="shared" si="20"/>
        <v>0</v>
      </c>
      <c r="AE28" s="32">
        <f t="shared" si="20"/>
        <v>1953</v>
      </c>
      <c r="AF28" s="32">
        <f t="shared" si="20"/>
        <v>4520</v>
      </c>
    </row>
    <row r="29" spans="2:32" ht="23.1" customHeight="1" x14ac:dyDescent="0.25">
      <c r="B29" s="23" t="s">
        <v>56</v>
      </c>
      <c r="C29" s="50">
        <v>7</v>
      </c>
      <c r="D29" s="50">
        <v>7</v>
      </c>
      <c r="E29" s="50">
        <v>2</v>
      </c>
      <c r="F29" s="50">
        <v>6</v>
      </c>
      <c r="G29" s="50">
        <v>0</v>
      </c>
      <c r="H29" s="50">
        <v>0</v>
      </c>
      <c r="I29" s="50">
        <v>3</v>
      </c>
      <c r="J29" s="50">
        <v>1</v>
      </c>
      <c r="K29" s="50">
        <v>1</v>
      </c>
      <c r="L29" s="50">
        <v>1</v>
      </c>
      <c r="M29" s="50">
        <v>41</v>
      </c>
      <c r="N29" s="50">
        <v>0</v>
      </c>
      <c r="O29" s="15">
        <f t="shared" si="0"/>
        <v>28</v>
      </c>
      <c r="P29" s="15">
        <f t="shared" si="1"/>
        <v>69</v>
      </c>
      <c r="R29"/>
      <c r="S29" s="20"/>
      <c r="T29" s="19"/>
    </row>
    <row r="30" spans="2:32" ht="23.1" customHeight="1" x14ac:dyDescent="0.25">
      <c r="B30" s="23" t="s">
        <v>57</v>
      </c>
      <c r="C30" s="50">
        <v>20</v>
      </c>
      <c r="D30" s="50">
        <v>6</v>
      </c>
      <c r="E30" s="50">
        <v>3</v>
      </c>
      <c r="F30" s="50">
        <v>5</v>
      </c>
      <c r="G30" s="50">
        <v>0</v>
      </c>
      <c r="H30" s="50">
        <v>0</v>
      </c>
      <c r="I30" s="50">
        <v>4</v>
      </c>
      <c r="J30" s="50">
        <v>5</v>
      </c>
      <c r="K30" s="50">
        <v>1</v>
      </c>
      <c r="L30" s="50">
        <v>0</v>
      </c>
      <c r="M30" s="50">
        <v>46</v>
      </c>
      <c r="N30" s="50">
        <v>0</v>
      </c>
      <c r="O30" s="15">
        <f t="shared" si="0"/>
        <v>44</v>
      </c>
      <c r="P30" s="15">
        <f t="shared" si="1"/>
        <v>90</v>
      </c>
    </row>
    <row r="31" spans="2:32" ht="23.1" customHeight="1" x14ac:dyDescent="0.25">
      <c r="B31" s="24" t="s">
        <v>58</v>
      </c>
      <c r="C31" s="50">
        <v>14</v>
      </c>
      <c r="D31" s="50">
        <v>2</v>
      </c>
      <c r="E31" s="50">
        <v>0</v>
      </c>
      <c r="F31" s="50">
        <v>0</v>
      </c>
      <c r="G31" s="50">
        <v>0</v>
      </c>
      <c r="H31" s="50">
        <v>0</v>
      </c>
      <c r="I31" s="50">
        <v>4</v>
      </c>
      <c r="J31" s="50">
        <v>0</v>
      </c>
      <c r="K31" s="50">
        <v>0</v>
      </c>
      <c r="L31" s="50">
        <v>0</v>
      </c>
      <c r="M31" s="50">
        <v>32</v>
      </c>
      <c r="N31" s="50">
        <v>0</v>
      </c>
      <c r="O31" s="15">
        <f t="shared" si="0"/>
        <v>20</v>
      </c>
      <c r="P31" s="15">
        <f t="shared" si="1"/>
        <v>52</v>
      </c>
    </row>
    <row r="32" spans="2:32" ht="23.1" customHeight="1" x14ac:dyDescent="0.25">
      <c r="B32" s="24" t="s">
        <v>59</v>
      </c>
      <c r="C32" s="50">
        <v>8</v>
      </c>
      <c r="D32" s="50">
        <v>2</v>
      </c>
      <c r="E32" s="50">
        <v>2</v>
      </c>
      <c r="F32" s="50">
        <v>6</v>
      </c>
      <c r="G32" s="50">
        <v>0</v>
      </c>
      <c r="H32" s="50">
        <v>0</v>
      </c>
      <c r="I32" s="50">
        <v>5</v>
      </c>
      <c r="J32" s="50">
        <v>1</v>
      </c>
      <c r="K32" s="50">
        <v>1</v>
      </c>
      <c r="L32" s="50">
        <v>0</v>
      </c>
      <c r="M32" s="50">
        <v>31</v>
      </c>
      <c r="N32" s="50">
        <v>0</v>
      </c>
      <c r="O32" s="15">
        <f t="shared" si="0"/>
        <v>25</v>
      </c>
      <c r="P32" s="15">
        <f t="shared" si="1"/>
        <v>56</v>
      </c>
    </row>
    <row r="33" spans="2:20" ht="23.1" customHeight="1" x14ac:dyDescent="0.25">
      <c r="B33" s="23" t="s">
        <v>60</v>
      </c>
      <c r="C33" s="50">
        <v>8</v>
      </c>
      <c r="D33" s="50">
        <v>1</v>
      </c>
      <c r="E33" s="50">
        <v>1</v>
      </c>
      <c r="F33" s="50">
        <v>3</v>
      </c>
      <c r="G33" s="50">
        <v>0</v>
      </c>
      <c r="H33" s="50">
        <v>0</v>
      </c>
      <c r="I33" s="50">
        <v>6</v>
      </c>
      <c r="J33" s="50">
        <v>1</v>
      </c>
      <c r="K33" s="50">
        <v>0</v>
      </c>
      <c r="L33" s="50">
        <v>0</v>
      </c>
      <c r="M33" s="50">
        <v>22</v>
      </c>
      <c r="N33" s="50">
        <v>0</v>
      </c>
      <c r="O33" s="15">
        <f t="shared" si="0"/>
        <v>20</v>
      </c>
      <c r="P33" s="15">
        <f t="shared" si="1"/>
        <v>42</v>
      </c>
    </row>
    <row r="34" spans="2:20" ht="23.1" customHeight="1" x14ac:dyDescent="0.25">
      <c r="B34" s="24" t="s">
        <v>61</v>
      </c>
      <c r="C34" s="50">
        <v>9</v>
      </c>
      <c r="D34" s="50">
        <v>4</v>
      </c>
      <c r="E34" s="50">
        <v>0</v>
      </c>
      <c r="F34" s="50">
        <v>4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40</v>
      </c>
      <c r="N34" s="50">
        <v>0</v>
      </c>
      <c r="O34" s="15">
        <f t="shared" si="0"/>
        <v>20</v>
      </c>
      <c r="P34" s="15">
        <f t="shared" si="1"/>
        <v>60</v>
      </c>
    </row>
    <row r="35" spans="2:20" ht="23.1" customHeight="1" x14ac:dyDescent="0.25">
      <c r="B35" s="24" t="s">
        <v>62</v>
      </c>
      <c r="C35" s="50">
        <v>6</v>
      </c>
      <c r="D35" s="50">
        <v>1</v>
      </c>
      <c r="E35" s="50">
        <v>1</v>
      </c>
      <c r="F35" s="50">
        <v>4</v>
      </c>
      <c r="G35" s="50">
        <v>0</v>
      </c>
      <c r="H35" s="50">
        <v>0</v>
      </c>
      <c r="I35" s="50">
        <v>4</v>
      </c>
      <c r="J35" s="50">
        <v>1</v>
      </c>
      <c r="K35" s="50">
        <v>0</v>
      </c>
      <c r="L35" s="50">
        <v>0</v>
      </c>
      <c r="M35" s="50">
        <v>30</v>
      </c>
      <c r="N35" s="50">
        <v>0</v>
      </c>
      <c r="O35" s="15">
        <f t="shared" si="0"/>
        <v>17</v>
      </c>
      <c r="P35" s="15">
        <f t="shared" si="1"/>
        <v>47</v>
      </c>
    </row>
    <row r="36" spans="2:20" ht="23.1" customHeight="1" x14ac:dyDescent="0.25">
      <c r="B36" s="24" t="s">
        <v>63</v>
      </c>
      <c r="C36" s="50">
        <v>7</v>
      </c>
      <c r="D36" s="50">
        <v>1</v>
      </c>
      <c r="E36" s="50">
        <v>0</v>
      </c>
      <c r="F36" s="50">
        <v>7</v>
      </c>
      <c r="G36" s="50">
        <v>0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15</v>
      </c>
      <c r="N36" s="50">
        <v>0</v>
      </c>
      <c r="O36" s="15">
        <f t="shared" si="0"/>
        <v>18</v>
      </c>
      <c r="P36" s="15">
        <f t="shared" si="1"/>
        <v>33</v>
      </c>
    </row>
    <row r="37" spans="2:20" ht="23.1" customHeight="1" x14ac:dyDescent="0.25">
      <c r="B37" s="23" t="s">
        <v>64</v>
      </c>
      <c r="C37" s="50">
        <v>13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5</v>
      </c>
      <c r="J37" s="50">
        <v>1</v>
      </c>
      <c r="K37" s="50">
        <v>0</v>
      </c>
      <c r="L37" s="50">
        <v>0</v>
      </c>
      <c r="M37" s="50">
        <v>20</v>
      </c>
      <c r="N37" s="50">
        <v>0</v>
      </c>
      <c r="O37" s="15">
        <f t="shared" si="0"/>
        <v>20</v>
      </c>
      <c r="P37" s="15">
        <f t="shared" si="1"/>
        <v>40</v>
      </c>
    </row>
    <row r="38" spans="2:20" ht="23.1" customHeight="1" x14ac:dyDescent="0.25">
      <c r="B38" s="24" t="s">
        <v>65</v>
      </c>
      <c r="C38" s="50">
        <v>6</v>
      </c>
      <c r="D38" s="50">
        <v>4</v>
      </c>
      <c r="E38" s="50">
        <v>1</v>
      </c>
      <c r="F38" s="50">
        <v>12</v>
      </c>
      <c r="G38" s="50">
        <v>0</v>
      </c>
      <c r="H38" s="50">
        <v>1</v>
      </c>
      <c r="I38" s="50">
        <v>4</v>
      </c>
      <c r="J38" s="50">
        <v>1</v>
      </c>
      <c r="K38" s="50">
        <v>0</v>
      </c>
      <c r="L38" s="50">
        <v>0</v>
      </c>
      <c r="M38" s="50">
        <v>40</v>
      </c>
      <c r="N38" s="50">
        <v>0</v>
      </c>
      <c r="O38" s="15">
        <f t="shared" si="0"/>
        <v>29</v>
      </c>
      <c r="P38" s="15">
        <f t="shared" si="1"/>
        <v>69</v>
      </c>
    </row>
    <row r="39" spans="2:20" ht="23.1" customHeight="1" x14ac:dyDescent="0.25">
      <c r="B39" s="24" t="s">
        <v>66</v>
      </c>
      <c r="C39" s="50">
        <v>9</v>
      </c>
      <c r="D39" s="50">
        <v>1</v>
      </c>
      <c r="E39" s="50">
        <v>2</v>
      </c>
      <c r="F39" s="50">
        <v>3</v>
      </c>
      <c r="G39" s="50">
        <v>0</v>
      </c>
      <c r="H39" s="50">
        <v>0</v>
      </c>
      <c r="I39" s="50">
        <v>6</v>
      </c>
      <c r="J39" s="50">
        <v>1</v>
      </c>
      <c r="K39" s="50">
        <v>1</v>
      </c>
      <c r="L39" s="50">
        <v>0</v>
      </c>
      <c r="M39" s="50">
        <v>47</v>
      </c>
      <c r="N39" s="50">
        <v>0</v>
      </c>
      <c r="O39" s="15">
        <f t="shared" si="0"/>
        <v>23</v>
      </c>
      <c r="P39" s="15">
        <f t="shared" si="1"/>
        <v>70</v>
      </c>
    </row>
    <row r="40" spans="2:20" ht="23.1" customHeight="1" x14ac:dyDescent="0.25">
      <c r="B40" s="24" t="s">
        <v>67</v>
      </c>
      <c r="C40" s="50">
        <v>13</v>
      </c>
      <c r="D40" s="50">
        <v>3</v>
      </c>
      <c r="E40" s="50">
        <v>2</v>
      </c>
      <c r="F40" s="50">
        <v>8</v>
      </c>
      <c r="G40" s="50">
        <v>0</v>
      </c>
      <c r="H40" s="50">
        <v>0</v>
      </c>
      <c r="I40" s="50">
        <v>3</v>
      </c>
      <c r="J40" s="50">
        <v>1</v>
      </c>
      <c r="K40" s="50">
        <v>0</v>
      </c>
      <c r="L40" s="50">
        <v>0</v>
      </c>
      <c r="M40" s="50">
        <v>46</v>
      </c>
      <c r="N40" s="50">
        <v>0</v>
      </c>
      <c r="O40" s="15">
        <f t="shared" si="0"/>
        <v>30</v>
      </c>
      <c r="P40" s="15">
        <f t="shared" si="1"/>
        <v>76</v>
      </c>
    </row>
    <row r="41" spans="2:20" ht="23.1" customHeight="1" x14ac:dyDescent="0.25">
      <c r="B41" s="23" t="s">
        <v>68</v>
      </c>
      <c r="C41" s="50">
        <v>9</v>
      </c>
      <c r="D41" s="50">
        <v>1</v>
      </c>
      <c r="E41" s="50">
        <v>0</v>
      </c>
      <c r="F41" s="50">
        <v>6</v>
      </c>
      <c r="G41" s="50">
        <v>0</v>
      </c>
      <c r="H41" s="50">
        <v>0</v>
      </c>
      <c r="I41" s="50">
        <v>4</v>
      </c>
      <c r="J41" s="50">
        <v>0</v>
      </c>
      <c r="K41" s="50">
        <v>0</v>
      </c>
      <c r="L41" s="50">
        <v>0</v>
      </c>
      <c r="M41" s="50">
        <v>46</v>
      </c>
      <c r="N41" s="50">
        <v>0</v>
      </c>
      <c r="O41" s="15">
        <f t="shared" si="0"/>
        <v>20</v>
      </c>
      <c r="P41" s="15">
        <f t="shared" si="1"/>
        <v>66</v>
      </c>
    </row>
    <row r="42" spans="2:20" ht="23.1" customHeight="1" x14ac:dyDescent="0.25">
      <c r="B42" s="24" t="s">
        <v>69</v>
      </c>
      <c r="C42" s="50">
        <v>4</v>
      </c>
      <c r="D42" s="50">
        <v>2</v>
      </c>
      <c r="E42" s="50">
        <v>1</v>
      </c>
      <c r="F42" s="50">
        <v>3</v>
      </c>
      <c r="G42" s="50">
        <v>0</v>
      </c>
      <c r="H42" s="50">
        <v>0</v>
      </c>
      <c r="I42" s="50">
        <v>7</v>
      </c>
      <c r="J42" s="50">
        <v>2</v>
      </c>
      <c r="K42" s="50">
        <v>0</v>
      </c>
      <c r="L42" s="50">
        <v>0</v>
      </c>
      <c r="M42" s="50">
        <v>58</v>
      </c>
      <c r="N42" s="50">
        <v>0</v>
      </c>
      <c r="O42" s="15">
        <f t="shared" si="0"/>
        <v>19</v>
      </c>
      <c r="P42" s="15">
        <f t="shared" si="1"/>
        <v>77</v>
      </c>
    </row>
    <row r="43" spans="2:20" ht="23.1" customHeight="1" x14ac:dyDescent="0.25">
      <c r="B43" s="23" t="s">
        <v>70</v>
      </c>
      <c r="C43" s="50">
        <v>14</v>
      </c>
      <c r="D43" s="50">
        <v>4</v>
      </c>
      <c r="E43" s="50">
        <v>0</v>
      </c>
      <c r="F43" s="50">
        <v>8</v>
      </c>
      <c r="G43" s="50">
        <v>0</v>
      </c>
      <c r="H43" s="50">
        <v>0</v>
      </c>
      <c r="I43" s="50">
        <v>5</v>
      </c>
      <c r="J43" s="50">
        <v>1</v>
      </c>
      <c r="K43" s="50">
        <v>0</v>
      </c>
      <c r="L43" s="50">
        <v>0</v>
      </c>
      <c r="M43" s="50">
        <v>42</v>
      </c>
      <c r="N43" s="50">
        <v>0</v>
      </c>
      <c r="O43" s="15">
        <f t="shared" si="0"/>
        <v>32</v>
      </c>
      <c r="P43" s="15">
        <f t="shared" si="1"/>
        <v>74</v>
      </c>
    </row>
    <row r="44" spans="2:20" ht="23.1" customHeight="1" x14ac:dyDescent="0.25">
      <c r="B44" s="25" t="s">
        <v>71</v>
      </c>
      <c r="C44" s="50">
        <v>9</v>
      </c>
      <c r="D44" s="50">
        <v>2</v>
      </c>
      <c r="E44" s="50">
        <v>2</v>
      </c>
      <c r="F44" s="50">
        <v>4</v>
      </c>
      <c r="G44" s="50">
        <v>0</v>
      </c>
      <c r="H44" s="50">
        <v>0</v>
      </c>
      <c r="I44" s="50">
        <v>4</v>
      </c>
      <c r="J44" s="50">
        <v>1</v>
      </c>
      <c r="K44" s="50">
        <v>0</v>
      </c>
      <c r="L44" s="50">
        <v>0</v>
      </c>
      <c r="M44" s="50">
        <v>23</v>
      </c>
      <c r="N44" s="50">
        <v>0</v>
      </c>
      <c r="O44" s="15">
        <f t="shared" si="0"/>
        <v>22</v>
      </c>
      <c r="P44" s="15">
        <f t="shared" si="1"/>
        <v>45</v>
      </c>
    </row>
    <row r="45" spans="2:20" ht="23.1" customHeight="1" x14ac:dyDescent="0.25">
      <c r="B45" s="23" t="s">
        <v>72</v>
      </c>
      <c r="C45" s="50">
        <v>11</v>
      </c>
      <c r="D45" s="50">
        <v>4</v>
      </c>
      <c r="E45" s="50">
        <v>1</v>
      </c>
      <c r="F45" s="50">
        <v>4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22</v>
      </c>
      <c r="N45" s="50">
        <v>0</v>
      </c>
      <c r="O45" s="15">
        <f t="shared" si="0"/>
        <v>20</v>
      </c>
      <c r="P45" s="15">
        <f t="shared" si="1"/>
        <v>42</v>
      </c>
    </row>
    <row r="46" spans="2:20" ht="23.1" customHeight="1" x14ac:dyDescent="0.25">
      <c r="B46" s="24" t="s">
        <v>73</v>
      </c>
      <c r="C46" s="50">
        <v>6</v>
      </c>
      <c r="D46" s="50">
        <v>3</v>
      </c>
      <c r="E46" s="50">
        <v>0</v>
      </c>
      <c r="F46" s="50">
        <v>2</v>
      </c>
      <c r="G46" s="50">
        <v>0</v>
      </c>
      <c r="H46" s="50">
        <v>0</v>
      </c>
      <c r="I46" s="50">
        <v>3</v>
      </c>
      <c r="J46" s="50">
        <v>2</v>
      </c>
      <c r="K46" s="50">
        <v>0</v>
      </c>
      <c r="L46" s="50">
        <v>0</v>
      </c>
      <c r="M46" s="50">
        <v>31</v>
      </c>
      <c r="N46" s="50">
        <v>0</v>
      </c>
      <c r="O46" s="15">
        <f t="shared" si="0"/>
        <v>16</v>
      </c>
      <c r="P46" s="15">
        <f t="shared" si="1"/>
        <v>47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2</v>
      </c>
      <c r="E47" s="50">
        <v>1</v>
      </c>
      <c r="F47" s="50">
        <v>4</v>
      </c>
      <c r="G47" s="50">
        <v>0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40</v>
      </c>
      <c r="N47" s="50">
        <v>0</v>
      </c>
      <c r="O47" s="15">
        <f t="shared" si="0"/>
        <v>16</v>
      </c>
      <c r="P47" s="15">
        <f t="shared" si="1"/>
        <v>56</v>
      </c>
      <c r="R47" s="8"/>
      <c r="T47"/>
    </row>
    <row r="48" spans="2:20" ht="23.1" customHeight="1" x14ac:dyDescent="0.25">
      <c r="B48" s="24" t="s">
        <v>75</v>
      </c>
      <c r="C48" s="50">
        <v>15</v>
      </c>
      <c r="D48" s="50">
        <v>1</v>
      </c>
      <c r="E48" s="50">
        <v>2</v>
      </c>
      <c r="F48" s="50">
        <v>4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61</v>
      </c>
      <c r="N48" s="50">
        <v>0</v>
      </c>
      <c r="O48" s="15">
        <f t="shared" si="0"/>
        <v>24</v>
      </c>
      <c r="P48" s="15">
        <f t="shared" si="1"/>
        <v>85</v>
      </c>
      <c r="R48" s="8"/>
      <c r="T48"/>
    </row>
    <row r="49" spans="2:20" ht="23.1" customHeight="1" x14ac:dyDescent="0.25">
      <c r="B49" s="23" t="s">
        <v>76</v>
      </c>
      <c r="C49" s="50">
        <v>14</v>
      </c>
      <c r="D49" s="50">
        <v>2</v>
      </c>
      <c r="E49" s="50">
        <v>4</v>
      </c>
      <c r="F49" s="50">
        <v>5</v>
      </c>
      <c r="G49" s="50">
        <v>0</v>
      </c>
      <c r="H49" s="50">
        <v>0</v>
      </c>
      <c r="I49" s="50">
        <v>2</v>
      </c>
      <c r="J49" s="50">
        <v>2</v>
      </c>
      <c r="K49" s="50">
        <v>0</v>
      </c>
      <c r="L49" s="50">
        <v>0</v>
      </c>
      <c r="M49" s="50">
        <v>56</v>
      </c>
      <c r="N49" s="50">
        <v>0</v>
      </c>
      <c r="O49" s="15">
        <f t="shared" si="0"/>
        <v>29</v>
      </c>
      <c r="P49" s="15">
        <f t="shared" si="1"/>
        <v>85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3</v>
      </c>
      <c r="E50" s="50">
        <v>1</v>
      </c>
      <c r="F50" s="50">
        <v>7</v>
      </c>
      <c r="G50" s="50">
        <v>1</v>
      </c>
      <c r="H50" s="50">
        <v>0</v>
      </c>
      <c r="I50" s="50">
        <v>3</v>
      </c>
      <c r="J50" s="50">
        <v>1</v>
      </c>
      <c r="K50" s="50">
        <v>0</v>
      </c>
      <c r="L50" s="50">
        <v>0</v>
      </c>
      <c r="M50" s="50">
        <v>49</v>
      </c>
      <c r="N50" s="50">
        <v>0</v>
      </c>
      <c r="O50" s="15">
        <f t="shared" si="0"/>
        <v>25</v>
      </c>
      <c r="P50" s="15">
        <f t="shared" si="1"/>
        <v>74</v>
      </c>
      <c r="R50" s="8"/>
      <c r="T50"/>
    </row>
    <row r="51" spans="2:20" ht="23.1" customHeight="1" x14ac:dyDescent="0.25">
      <c r="B51" s="24" t="s">
        <v>78</v>
      </c>
      <c r="C51" s="50">
        <v>15</v>
      </c>
      <c r="D51" s="50">
        <v>3</v>
      </c>
      <c r="E51" s="50">
        <v>1</v>
      </c>
      <c r="F51" s="50">
        <v>14</v>
      </c>
      <c r="G51" s="50">
        <v>1</v>
      </c>
      <c r="H51" s="50">
        <v>0</v>
      </c>
      <c r="I51" s="50">
        <v>2</v>
      </c>
      <c r="J51" s="50">
        <v>0</v>
      </c>
      <c r="K51" s="50">
        <v>0</v>
      </c>
      <c r="L51" s="50">
        <v>1</v>
      </c>
      <c r="M51" s="50">
        <v>44</v>
      </c>
      <c r="N51" s="50">
        <v>0</v>
      </c>
      <c r="O51" s="15">
        <f t="shared" si="0"/>
        <v>37</v>
      </c>
      <c r="P51" s="15">
        <f t="shared" si="1"/>
        <v>81</v>
      </c>
      <c r="R51" s="8"/>
      <c r="T51"/>
    </row>
    <row r="52" spans="2:20" ht="23.1" customHeight="1" x14ac:dyDescent="0.25">
      <c r="B52" s="24" t="s">
        <v>79</v>
      </c>
      <c r="C52" s="50">
        <v>7</v>
      </c>
      <c r="D52" s="50">
        <v>6</v>
      </c>
      <c r="E52" s="50">
        <v>1</v>
      </c>
      <c r="F52" s="50">
        <v>12</v>
      </c>
      <c r="G52" s="50">
        <v>0</v>
      </c>
      <c r="H52" s="50">
        <v>1</v>
      </c>
      <c r="I52" s="50">
        <v>4</v>
      </c>
      <c r="J52" s="50">
        <v>2</v>
      </c>
      <c r="K52" s="50">
        <v>0</v>
      </c>
      <c r="L52" s="50">
        <v>0</v>
      </c>
      <c r="M52" s="50">
        <v>77</v>
      </c>
      <c r="N52" s="50">
        <v>0</v>
      </c>
      <c r="O52" s="15">
        <f t="shared" si="0"/>
        <v>33</v>
      </c>
      <c r="P52" s="15">
        <f t="shared" si="1"/>
        <v>110</v>
      </c>
      <c r="R52" s="8"/>
      <c r="T52"/>
    </row>
    <row r="53" spans="2:20" ht="23.1" customHeight="1" x14ac:dyDescent="0.25">
      <c r="B53" s="23" t="s">
        <v>80</v>
      </c>
      <c r="C53" s="50">
        <v>18</v>
      </c>
      <c r="D53" s="50">
        <v>5</v>
      </c>
      <c r="E53" s="50">
        <v>2</v>
      </c>
      <c r="F53" s="50">
        <v>7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68</v>
      </c>
      <c r="N53" s="50">
        <v>0</v>
      </c>
      <c r="O53" s="15">
        <f t="shared" si="0"/>
        <v>33</v>
      </c>
      <c r="P53" s="15">
        <f t="shared" si="1"/>
        <v>101</v>
      </c>
      <c r="R53" s="8"/>
      <c r="T53"/>
    </row>
    <row r="54" spans="2:20" ht="23.1" customHeight="1" x14ac:dyDescent="0.25">
      <c r="B54" s="23" t="s">
        <v>81</v>
      </c>
      <c r="C54" s="50">
        <v>20</v>
      </c>
      <c r="D54" s="50">
        <v>3</v>
      </c>
      <c r="E54" s="50">
        <v>0</v>
      </c>
      <c r="F54" s="50">
        <v>15</v>
      </c>
      <c r="G54" s="50">
        <v>1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75</v>
      </c>
      <c r="N54" s="50">
        <v>0</v>
      </c>
      <c r="O54" s="15">
        <f t="shared" si="0"/>
        <v>42</v>
      </c>
      <c r="P54" s="15">
        <f t="shared" si="1"/>
        <v>117</v>
      </c>
      <c r="R54" s="8"/>
      <c r="T54"/>
    </row>
    <row r="55" spans="2:20" ht="23.1" customHeight="1" x14ac:dyDescent="0.25">
      <c r="B55" s="23" t="s">
        <v>82</v>
      </c>
      <c r="C55" s="50">
        <v>9</v>
      </c>
      <c r="D55" s="50">
        <v>5</v>
      </c>
      <c r="E55" s="50">
        <v>2</v>
      </c>
      <c r="F55" s="50">
        <v>7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62</v>
      </c>
      <c r="N55" s="50">
        <v>0</v>
      </c>
      <c r="O55" s="15">
        <f t="shared" si="0"/>
        <v>26</v>
      </c>
      <c r="P55" s="15">
        <f t="shared" si="1"/>
        <v>88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1</v>
      </c>
      <c r="E56" s="50">
        <v>0</v>
      </c>
      <c r="F56" s="50">
        <v>18</v>
      </c>
      <c r="G56" s="50">
        <v>0</v>
      </c>
      <c r="H56" s="50">
        <v>1</v>
      </c>
      <c r="I56" s="50">
        <v>5</v>
      </c>
      <c r="J56" s="50">
        <v>0</v>
      </c>
      <c r="K56" s="50">
        <v>1</v>
      </c>
      <c r="L56" s="50">
        <v>0</v>
      </c>
      <c r="M56" s="50">
        <v>49</v>
      </c>
      <c r="N56" s="50">
        <v>0</v>
      </c>
      <c r="O56" s="15">
        <f t="shared" si="0"/>
        <v>33</v>
      </c>
      <c r="P56" s="15">
        <f t="shared" si="1"/>
        <v>82</v>
      </c>
      <c r="R56" s="8"/>
      <c r="T56"/>
    </row>
    <row r="57" spans="2:20" ht="23.1" customHeight="1" x14ac:dyDescent="0.25">
      <c r="B57" s="23" t="s">
        <v>84</v>
      </c>
      <c r="C57" s="50">
        <v>12</v>
      </c>
      <c r="D57" s="50">
        <v>5</v>
      </c>
      <c r="E57" s="50">
        <v>1</v>
      </c>
      <c r="F57" s="50">
        <v>14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59</v>
      </c>
      <c r="N57" s="50">
        <v>0</v>
      </c>
      <c r="O57" s="15">
        <f t="shared" si="0"/>
        <v>36</v>
      </c>
      <c r="P57" s="15">
        <f t="shared" si="1"/>
        <v>95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970</v>
      </c>
      <c r="D58" s="16">
        <f t="shared" si="21"/>
        <v>157</v>
      </c>
      <c r="E58" s="16">
        <f t="shared" si="21"/>
        <v>109</v>
      </c>
      <c r="F58" s="16">
        <f t="shared" si="21"/>
        <v>483</v>
      </c>
      <c r="G58" s="16">
        <f t="shared" si="21"/>
        <v>5</v>
      </c>
      <c r="H58" s="16">
        <f t="shared" si="21"/>
        <v>3</v>
      </c>
      <c r="I58" s="16">
        <f t="shared" si="21"/>
        <v>164</v>
      </c>
      <c r="J58" s="16">
        <f t="shared" si="21"/>
        <v>43</v>
      </c>
      <c r="K58" s="16">
        <f t="shared" si="21"/>
        <v>13</v>
      </c>
      <c r="L58" s="16">
        <f t="shared" si="21"/>
        <v>6</v>
      </c>
      <c r="M58" s="16">
        <f t="shared" si="21"/>
        <v>2567</v>
      </c>
      <c r="N58" s="16">
        <f t="shared" si="21"/>
        <v>0</v>
      </c>
      <c r="O58" s="16">
        <f t="shared" si="21"/>
        <v>1953</v>
      </c>
      <c r="P58" s="16">
        <f t="shared" si="21"/>
        <v>4520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0.21460176991150443</v>
      </c>
      <c r="D59" s="43">
        <f t="shared" si="22"/>
        <v>3.4734513274336284E-2</v>
      </c>
      <c r="E59" s="43">
        <f t="shared" si="22"/>
        <v>2.4115044247787612E-2</v>
      </c>
      <c r="F59" s="43">
        <f t="shared" si="22"/>
        <v>0.10685840707964601</v>
      </c>
      <c r="G59" s="43">
        <f t="shared" si="22"/>
        <v>1.1061946902654867E-3</v>
      </c>
      <c r="H59" s="43">
        <f t="shared" si="22"/>
        <v>6.6371681415929203E-4</v>
      </c>
      <c r="I59" s="43">
        <f t="shared" si="22"/>
        <v>3.6283185840707964E-2</v>
      </c>
      <c r="J59" s="43">
        <f t="shared" si="22"/>
        <v>9.5132743362831857E-3</v>
      </c>
      <c r="K59" s="43">
        <f t="shared" si="22"/>
        <v>2.8761061946902654E-3</v>
      </c>
      <c r="L59" s="43">
        <f t="shared" si="22"/>
        <v>1.3274336283185841E-3</v>
      </c>
      <c r="M59" s="43">
        <f t="shared" si="22"/>
        <v>0.5679203539823009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0.49667178699436765</v>
      </c>
      <c r="D60" s="44">
        <f t="shared" ref="D60:N60" si="23">D58/$O$58</f>
        <v>8.0389144905273935E-2</v>
      </c>
      <c r="E60" s="44">
        <f t="shared" si="23"/>
        <v>5.5811571940604196E-2</v>
      </c>
      <c r="F60" s="44">
        <f t="shared" si="23"/>
        <v>0.24731182795698925</v>
      </c>
      <c r="G60" s="44">
        <f t="shared" si="23"/>
        <v>2.5601638504864311E-3</v>
      </c>
      <c r="H60" s="44">
        <f t="shared" si="23"/>
        <v>1.5360983102918587E-3</v>
      </c>
      <c r="I60" s="44">
        <f t="shared" si="23"/>
        <v>8.3973374295954945E-2</v>
      </c>
      <c r="J60" s="44">
        <f t="shared" si="23"/>
        <v>2.2017409114183307E-2</v>
      </c>
      <c r="K60" s="44">
        <f t="shared" si="23"/>
        <v>6.6564260112647209E-3</v>
      </c>
      <c r="L60" s="44">
        <f t="shared" si="23"/>
        <v>3.0721966205837174E-3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59" zoomScaleSheetLayoutView="59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">
        <v>174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64" t="s">
        <v>177</v>
      </c>
      <c r="H5" s="65"/>
      <c r="I5" s="14"/>
      <c r="J5" s="2" t="s">
        <v>5</v>
      </c>
      <c r="K5" s="64" t="s">
        <v>172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SentemaRBT-Sentema'!D6:E6</f>
        <v>Sentema RBT</v>
      </c>
      <c r="E6" s="65"/>
      <c r="F6" s="2" t="s">
        <v>2</v>
      </c>
      <c r="G6" s="64" t="s">
        <v>170</v>
      </c>
      <c r="H6" s="65"/>
      <c r="J6" s="2" t="s">
        <v>21</v>
      </c>
      <c r="K6" s="64" t="s">
        <v>173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</v>
      </c>
      <c r="D10" s="50">
        <v>1</v>
      </c>
      <c r="E10" s="50">
        <v>1</v>
      </c>
      <c r="F10" s="50">
        <v>4</v>
      </c>
      <c r="G10" s="50">
        <v>0</v>
      </c>
      <c r="H10" s="50">
        <v>0</v>
      </c>
      <c r="I10" s="50">
        <v>2</v>
      </c>
      <c r="J10" s="50">
        <v>1</v>
      </c>
      <c r="K10" s="50">
        <v>0</v>
      </c>
      <c r="L10" s="50">
        <v>1</v>
      </c>
      <c r="M10" s="50">
        <v>26</v>
      </c>
      <c r="N10" s="50">
        <v>0</v>
      </c>
      <c r="O10" s="15">
        <f t="shared" ref="O10:O57" si="0">SUM(C10:L10,N10)</f>
        <v>19</v>
      </c>
      <c r="P10" s="15">
        <f t="shared" ref="P10:P57" si="1">SUM(C10:N10)</f>
        <v>45</v>
      </c>
      <c r="R10" s="1" t="s">
        <v>6</v>
      </c>
      <c r="S10" s="17">
        <f t="shared" ref="S10:AF10" si="2">SUM(C10:C13)</f>
        <v>47</v>
      </c>
      <c r="T10" s="17">
        <f t="shared" si="2"/>
        <v>7</v>
      </c>
      <c r="U10" s="17">
        <f t="shared" si="2"/>
        <v>4</v>
      </c>
      <c r="V10" s="17">
        <f t="shared" si="2"/>
        <v>33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10</v>
      </c>
      <c r="AA10" s="17">
        <f t="shared" si="2"/>
        <v>0</v>
      </c>
      <c r="AB10" s="17">
        <f t="shared" si="2"/>
        <v>1</v>
      </c>
      <c r="AC10" s="17">
        <f t="shared" si="2"/>
        <v>125</v>
      </c>
      <c r="AD10" s="17">
        <f t="shared" si="2"/>
        <v>0</v>
      </c>
      <c r="AE10" s="31">
        <f t="shared" si="2"/>
        <v>109</v>
      </c>
      <c r="AF10" s="31">
        <f t="shared" si="2"/>
        <v>234</v>
      </c>
    </row>
    <row r="11" spans="2:32" s="6" customFormat="1" ht="23.1" customHeight="1" x14ac:dyDescent="0.25">
      <c r="B11" s="23" t="s">
        <v>38</v>
      </c>
      <c r="C11" s="50">
        <v>13</v>
      </c>
      <c r="D11" s="50">
        <v>5</v>
      </c>
      <c r="E11" s="50">
        <v>0</v>
      </c>
      <c r="F11" s="50">
        <v>11</v>
      </c>
      <c r="G11" s="50">
        <v>1</v>
      </c>
      <c r="H11" s="50">
        <v>0</v>
      </c>
      <c r="I11" s="50">
        <v>1</v>
      </c>
      <c r="J11" s="50">
        <v>3</v>
      </c>
      <c r="K11" s="50">
        <v>0</v>
      </c>
      <c r="L11" s="50">
        <v>0</v>
      </c>
      <c r="M11" s="50">
        <v>36</v>
      </c>
      <c r="N11" s="50">
        <v>0</v>
      </c>
      <c r="O11" s="15">
        <f t="shared" si="0"/>
        <v>34</v>
      </c>
      <c r="P11" s="15">
        <f t="shared" si="1"/>
        <v>70</v>
      </c>
      <c r="R11" s="1" t="s">
        <v>7</v>
      </c>
      <c r="S11" s="17">
        <f t="shared" ref="S11:AF11" si="3">SUM(C14:C17)</f>
        <v>28</v>
      </c>
      <c r="T11" s="17">
        <f t="shared" si="3"/>
        <v>9</v>
      </c>
      <c r="U11" s="17">
        <f t="shared" si="3"/>
        <v>2</v>
      </c>
      <c r="V11" s="17">
        <f t="shared" si="3"/>
        <v>55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5</v>
      </c>
      <c r="AA11" s="17">
        <f t="shared" si="3"/>
        <v>1</v>
      </c>
      <c r="AB11" s="17">
        <f t="shared" si="3"/>
        <v>1</v>
      </c>
      <c r="AC11" s="17">
        <f t="shared" si="3"/>
        <v>167</v>
      </c>
      <c r="AD11" s="17">
        <f t="shared" si="3"/>
        <v>0</v>
      </c>
      <c r="AE11" s="31">
        <f t="shared" si="3"/>
        <v>107</v>
      </c>
      <c r="AF11" s="31">
        <f t="shared" si="3"/>
        <v>274</v>
      </c>
    </row>
    <row r="12" spans="2:32" ht="23.1" customHeight="1" x14ac:dyDescent="0.25">
      <c r="B12" s="23" t="s">
        <v>39</v>
      </c>
      <c r="C12" s="50">
        <v>15</v>
      </c>
      <c r="D12" s="50">
        <v>1</v>
      </c>
      <c r="E12" s="50">
        <v>2</v>
      </c>
      <c r="F12" s="50">
        <v>10</v>
      </c>
      <c r="G12" s="50">
        <v>0</v>
      </c>
      <c r="H12" s="50">
        <v>0</v>
      </c>
      <c r="I12" s="50">
        <v>1</v>
      </c>
      <c r="J12" s="50">
        <v>3</v>
      </c>
      <c r="K12" s="50">
        <v>0</v>
      </c>
      <c r="L12" s="50">
        <v>0</v>
      </c>
      <c r="M12" s="50">
        <v>36</v>
      </c>
      <c r="N12" s="50">
        <v>0</v>
      </c>
      <c r="O12" s="15">
        <f t="shared" si="0"/>
        <v>32</v>
      </c>
      <c r="P12" s="15">
        <f t="shared" si="1"/>
        <v>68</v>
      </c>
      <c r="R12" s="1" t="s">
        <v>8</v>
      </c>
      <c r="S12" s="17">
        <f t="shared" ref="S12:AF12" si="4">SUM(C18:C21)</f>
        <v>31</v>
      </c>
      <c r="T12" s="17">
        <f t="shared" si="4"/>
        <v>6</v>
      </c>
      <c r="U12" s="17">
        <f t="shared" si="4"/>
        <v>7</v>
      </c>
      <c r="V12" s="17">
        <f t="shared" si="4"/>
        <v>53</v>
      </c>
      <c r="W12" s="17">
        <f t="shared" si="4"/>
        <v>0</v>
      </c>
      <c r="X12" s="17">
        <f t="shared" si="4"/>
        <v>1</v>
      </c>
      <c r="Y12" s="17">
        <f t="shared" si="4"/>
        <v>7</v>
      </c>
      <c r="Z12" s="17">
        <f t="shared" si="4"/>
        <v>5</v>
      </c>
      <c r="AA12" s="17">
        <f t="shared" si="4"/>
        <v>1</v>
      </c>
      <c r="AB12" s="17">
        <f t="shared" si="4"/>
        <v>3</v>
      </c>
      <c r="AC12" s="17">
        <f t="shared" si="4"/>
        <v>186</v>
      </c>
      <c r="AD12" s="17">
        <f t="shared" si="4"/>
        <v>0</v>
      </c>
      <c r="AE12" s="31">
        <f t="shared" si="4"/>
        <v>114</v>
      </c>
      <c r="AF12" s="31">
        <f t="shared" si="4"/>
        <v>300</v>
      </c>
    </row>
    <row r="13" spans="2:32" ht="23.1" customHeight="1" x14ac:dyDescent="0.25">
      <c r="B13" s="23" t="s">
        <v>40</v>
      </c>
      <c r="C13" s="50">
        <v>10</v>
      </c>
      <c r="D13" s="50">
        <v>0</v>
      </c>
      <c r="E13" s="50">
        <v>1</v>
      </c>
      <c r="F13" s="50">
        <v>8</v>
      </c>
      <c r="G13" s="50">
        <v>0</v>
      </c>
      <c r="H13" s="50">
        <v>0</v>
      </c>
      <c r="I13" s="50">
        <v>2</v>
      </c>
      <c r="J13" s="50">
        <v>3</v>
      </c>
      <c r="K13" s="50">
        <v>0</v>
      </c>
      <c r="L13" s="50">
        <v>0</v>
      </c>
      <c r="M13" s="50">
        <v>27</v>
      </c>
      <c r="N13" s="50">
        <v>0</v>
      </c>
      <c r="O13" s="15">
        <f t="shared" si="0"/>
        <v>24</v>
      </c>
      <c r="P13" s="15">
        <f t="shared" si="1"/>
        <v>51</v>
      </c>
      <c r="R13" s="1" t="s">
        <v>9</v>
      </c>
      <c r="S13" s="17">
        <f t="shared" ref="S13:AF13" si="5">SUM(C22:C25)</f>
        <v>29</v>
      </c>
      <c r="T13" s="17">
        <f t="shared" si="5"/>
        <v>4</v>
      </c>
      <c r="U13" s="17">
        <f t="shared" si="5"/>
        <v>13</v>
      </c>
      <c r="V13" s="17">
        <f t="shared" si="5"/>
        <v>29</v>
      </c>
      <c r="W13" s="17">
        <f t="shared" si="5"/>
        <v>0</v>
      </c>
      <c r="X13" s="17">
        <f t="shared" si="5"/>
        <v>2</v>
      </c>
      <c r="Y13" s="17">
        <f t="shared" si="5"/>
        <v>17</v>
      </c>
      <c r="Z13" s="17">
        <f t="shared" si="5"/>
        <v>3</v>
      </c>
      <c r="AA13" s="17">
        <f t="shared" si="5"/>
        <v>0</v>
      </c>
      <c r="AB13" s="17">
        <f t="shared" si="5"/>
        <v>4</v>
      </c>
      <c r="AC13" s="17">
        <f t="shared" si="5"/>
        <v>171</v>
      </c>
      <c r="AD13" s="17">
        <f t="shared" si="5"/>
        <v>0</v>
      </c>
      <c r="AE13" s="31">
        <f t="shared" si="5"/>
        <v>101</v>
      </c>
      <c r="AF13" s="31">
        <f t="shared" si="5"/>
        <v>272</v>
      </c>
    </row>
    <row r="14" spans="2:32" ht="23.1" customHeight="1" x14ac:dyDescent="0.25">
      <c r="B14" s="23" t="s">
        <v>41</v>
      </c>
      <c r="C14" s="50">
        <v>6</v>
      </c>
      <c r="D14" s="50">
        <v>3</v>
      </c>
      <c r="E14" s="50">
        <v>1</v>
      </c>
      <c r="F14" s="50">
        <v>20</v>
      </c>
      <c r="G14" s="50">
        <v>0</v>
      </c>
      <c r="H14" s="50">
        <v>0</v>
      </c>
      <c r="I14" s="50">
        <v>1</v>
      </c>
      <c r="J14" s="50">
        <v>3</v>
      </c>
      <c r="K14" s="50">
        <v>0</v>
      </c>
      <c r="L14" s="50">
        <v>0</v>
      </c>
      <c r="M14" s="50">
        <v>38</v>
      </c>
      <c r="N14" s="50">
        <v>0</v>
      </c>
      <c r="O14" s="15">
        <f t="shared" si="0"/>
        <v>34</v>
      </c>
      <c r="P14" s="15">
        <f t="shared" si="1"/>
        <v>72</v>
      </c>
      <c r="R14" s="1" t="s">
        <v>10</v>
      </c>
      <c r="S14" s="17">
        <f t="shared" ref="S14:AF14" si="6">SUM(C26:C29)</f>
        <v>32</v>
      </c>
      <c r="T14" s="17">
        <f t="shared" si="6"/>
        <v>10</v>
      </c>
      <c r="U14" s="17">
        <f t="shared" si="6"/>
        <v>9</v>
      </c>
      <c r="V14" s="17">
        <f t="shared" si="6"/>
        <v>26</v>
      </c>
      <c r="W14" s="17">
        <f t="shared" si="6"/>
        <v>0</v>
      </c>
      <c r="X14" s="17">
        <f t="shared" si="6"/>
        <v>0</v>
      </c>
      <c r="Y14" s="17">
        <f t="shared" si="6"/>
        <v>12</v>
      </c>
      <c r="Z14" s="17">
        <f t="shared" si="6"/>
        <v>9</v>
      </c>
      <c r="AA14" s="17">
        <f t="shared" si="6"/>
        <v>2</v>
      </c>
      <c r="AB14" s="17">
        <f t="shared" si="6"/>
        <v>0</v>
      </c>
      <c r="AC14" s="17">
        <f t="shared" si="6"/>
        <v>189</v>
      </c>
      <c r="AD14" s="17">
        <f t="shared" si="6"/>
        <v>0</v>
      </c>
      <c r="AE14" s="31">
        <f t="shared" si="6"/>
        <v>100</v>
      </c>
      <c r="AF14" s="31">
        <f t="shared" si="6"/>
        <v>289</v>
      </c>
    </row>
    <row r="15" spans="2:32" ht="23.1" customHeight="1" x14ac:dyDescent="0.25">
      <c r="B15" s="23" t="s">
        <v>42</v>
      </c>
      <c r="C15" s="50">
        <v>7</v>
      </c>
      <c r="D15" s="50">
        <v>1</v>
      </c>
      <c r="E15" s="50">
        <v>0</v>
      </c>
      <c r="F15" s="50">
        <v>14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39</v>
      </c>
      <c r="N15" s="50">
        <v>0</v>
      </c>
      <c r="O15" s="15">
        <f t="shared" si="0"/>
        <v>22</v>
      </c>
      <c r="P15" s="15">
        <f t="shared" si="1"/>
        <v>61</v>
      </c>
      <c r="R15" s="1" t="s">
        <v>11</v>
      </c>
      <c r="S15" s="17">
        <f t="shared" ref="S15:AF15" si="7">SUM(C30:C33)</f>
        <v>29</v>
      </c>
      <c r="T15" s="17">
        <f t="shared" si="7"/>
        <v>2</v>
      </c>
      <c r="U15" s="17">
        <f t="shared" si="7"/>
        <v>8</v>
      </c>
      <c r="V15" s="17">
        <f t="shared" si="7"/>
        <v>17</v>
      </c>
      <c r="W15" s="17">
        <f t="shared" si="7"/>
        <v>1</v>
      </c>
      <c r="X15" s="17">
        <f t="shared" si="7"/>
        <v>0</v>
      </c>
      <c r="Y15" s="17">
        <f t="shared" si="7"/>
        <v>14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191</v>
      </c>
      <c r="AD15" s="17">
        <f t="shared" si="7"/>
        <v>0</v>
      </c>
      <c r="AE15" s="31">
        <f t="shared" si="7"/>
        <v>75</v>
      </c>
      <c r="AF15" s="31">
        <f t="shared" si="7"/>
        <v>266</v>
      </c>
    </row>
    <row r="16" spans="2:32" ht="23.1" customHeight="1" x14ac:dyDescent="0.25">
      <c r="B16" s="23" t="s">
        <v>43</v>
      </c>
      <c r="C16" s="50">
        <v>5</v>
      </c>
      <c r="D16" s="50">
        <v>1</v>
      </c>
      <c r="E16" s="50">
        <v>0</v>
      </c>
      <c r="F16" s="50">
        <v>10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47</v>
      </c>
      <c r="N16" s="50">
        <v>0</v>
      </c>
      <c r="O16" s="15">
        <f t="shared" si="0"/>
        <v>18</v>
      </c>
      <c r="P16" s="15">
        <f t="shared" si="1"/>
        <v>65</v>
      </c>
      <c r="R16" s="1" t="s">
        <v>12</v>
      </c>
      <c r="S16" s="17">
        <f t="shared" ref="S16:AF16" si="8">SUM(C34:C37)</f>
        <v>39</v>
      </c>
      <c r="T16" s="17">
        <f t="shared" si="8"/>
        <v>4</v>
      </c>
      <c r="U16" s="17">
        <f t="shared" si="8"/>
        <v>5</v>
      </c>
      <c r="V16" s="17">
        <f t="shared" si="8"/>
        <v>25</v>
      </c>
      <c r="W16" s="17">
        <f t="shared" si="8"/>
        <v>1</v>
      </c>
      <c r="X16" s="17">
        <f t="shared" si="8"/>
        <v>0</v>
      </c>
      <c r="Y16" s="17">
        <f t="shared" si="8"/>
        <v>14</v>
      </c>
      <c r="Z16" s="17">
        <f t="shared" si="8"/>
        <v>4</v>
      </c>
      <c r="AA16" s="17">
        <f t="shared" si="8"/>
        <v>1</v>
      </c>
      <c r="AB16" s="17">
        <f t="shared" si="8"/>
        <v>4</v>
      </c>
      <c r="AC16" s="17">
        <f t="shared" si="8"/>
        <v>170</v>
      </c>
      <c r="AD16" s="17">
        <f t="shared" si="8"/>
        <v>0</v>
      </c>
      <c r="AE16" s="31">
        <f t="shared" si="8"/>
        <v>97</v>
      </c>
      <c r="AF16" s="31">
        <f t="shared" si="8"/>
        <v>267</v>
      </c>
    </row>
    <row r="17" spans="2:32" ht="23.1" customHeight="1" x14ac:dyDescent="0.25">
      <c r="B17" s="23" t="s">
        <v>44</v>
      </c>
      <c r="C17" s="50">
        <v>10</v>
      </c>
      <c r="D17" s="50">
        <v>4</v>
      </c>
      <c r="E17" s="50">
        <v>1</v>
      </c>
      <c r="F17" s="50">
        <v>11</v>
      </c>
      <c r="G17" s="50">
        <v>0</v>
      </c>
      <c r="H17" s="50">
        <v>0</v>
      </c>
      <c r="I17" s="50">
        <v>4</v>
      </c>
      <c r="J17" s="50">
        <v>1</v>
      </c>
      <c r="K17" s="50">
        <v>1</v>
      </c>
      <c r="L17" s="50">
        <v>1</v>
      </c>
      <c r="M17" s="50">
        <v>43</v>
      </c>
      <c r="N17" s="50">
        <v>0</v>
      </c>
      <c r="O17" s="15">
        <f t="shared" si="0"/>
        <v>33</v>
      </c>
      <c r="P17" s="15">
        <f t="shared" si="1"/>
        <v>76</v>
      </c>
      <c r="R17" s="1" t="s">
        <v>13</v>
      </c>
      <c r="S17" s="17">
        <f t="shared" ref="S17:AF17" si="9">SUM(C38:C41)</f>
        <v>44</v>
      </c>
      <c r="T17" s="17">
        <f t="shared" si="9"/>
        <v>4</v>
      </c>
      <c r="U17" s="17">
        <f t="shared" si="9"/>
        <v>12</v>
      </c>
      <c r="V17" s="17">
        <f t="shared" si="9"/>
        <v>23</v>
      </c>
      <c r="W17" s="17">
        <f t="shared" si="9"/>
        <v>0</v>
      </c>
      <c r="X17" s="17">
        <f t="shared" si="9"/>
        <v>1</v>
      </c>
      <c r="Y17" s="17">
        <f t="shared" si="9"/>
        <v>12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161</v>
      </c>
      <c r="AD17" s="17">
        <f t="shared" si="9"/>
        <v>0</v>
      </c>
      <c r="AE17" s="31">
        <f t="shared" si="9"/>
        <v>96</v>
      </c>
      <c r="AF17" s="31">
        <f t="shared" si="9"/>
        <v>257</v>
      </c>
    </row>
    <row r="18" spans="2:32" ht="23.1" customHeight="1" x14ac:dyDescent="0.25">
      <c r="B18" s="23" t="s">
        <v>45</v>
      </c>
      <c r="C18" s="50">
        <v>7</v>
      </c>
      <c r="D18" s="50">
        <v>1</v>
      </c>
      <c r="E18" s="50">
        <v>2</v>
      </c>
      <c r="F18" s="50">
        <v>17</v>
      </c>
      <c r="G18" s="50">
        <v>0</v>
      </c>
      <c r="H18" s="50">
        <v>0</v>
      </c>
      <c r="I18" s="50">
        <v>2</v>
      </c>
      <c r="J18" s="50">
        <v>2</v>
      </c>
      <c r="K18" s="50">
        <v>1</v>
      </c>
      <c r="L18" s="50">
        <v>1</v>
      </c>
      <c r="M18" s="50">
        <v>12</v>
      </c>
      <c r="N18" s="50">
        <v>0</v>
      </c>
      <c r="O18" s="15">
        <f t="shared" si="0"/>
        <v>33</v>
      </c>
      <c r="P18" s="15">
        <f t="shared" si="1"/>
        <v>45</v>
      </c>
      <c r="R18" s="1" t="s">
        <v>14</v>
      </c>
      <c r="S18" s="17">
        <f t="shared" ref="S18:AF18" si="10">SUM(C42:C45)</f>
        <v>35</v>
      </c>
      <c r="T18" s="17">
        <f t="shared" si="10"/>
        <v>8</v>
      </c>
      <c r="U18" s="17">
        <f t="shared" si="10"/>
        <v>11</v>
      </c>
      <c r="V18" s="17">
        <f t="shared" si="10"/>
        <v>28</v>
      </c>
      <c r="W18" s="17">
        <f t="shared" si="10"/>
        <v>0</v>
      </c>
      <c r="X18" s="17">
        <f t="shared" si="10"/>
        <v>0</v>
      </c>
      <c r="Y18" s="17">
        <f t="shared" si="10"/>
        <v>18</v>
      </c>
      <c r="Z18" s="17">
        <f t="shared" si="10"/>
        <v>3</v>
      </c>
      <c r="AA18" s="17">
        <f t="shared" si="10"/>
        <v>0</v>
      </c>
      <c r="AB18" s="17">
        <f t="shared" si="10"/>
        <v>0</v>
      </c>
      <c r="AC18" s="17">
        <f t="shared" si="10"/>
        <v>138</v>
      </c>
      <c r="AD18" s="17">
        <f t="shared" si="10"/>
        <v>0</v>
      </c>
      <c r="AE18" s="31">
        <f t="shared" si="10"/>
        <v>103</v>
      </c>
      <c r="AF18" s="31">
        <f t="shared" si="10"/>
        <v>241</v>
      </c>
    </row>
    <row r="19" spans="2:32" ht="23.1" customHeight="1" x14ac:dyDescent="0.25">
      <c r="B19" s="23" t="s">
        <v>46</v>
      </c>
      <c r="C19" s="50">
        <v>9</v>
      </c>
      <c r="D19" s="50">
        <v>2</v>
      </c>
      <c r="E19" s="50">
        <v>2</v>
      </c>
      <c r="F19" s="50">
        <v>9</v>
      </c>
      <c r="G19" s="50">
        <v>0</v>
      </c>
      <c r="H19" s="50">
        <v>0</v>
      </c>
      <c r="I19" s="50">
        <v>1</v>
      </c>
      <c r="J19" s="50">
        <v>2</v>
      </c>
      <c r="K19" s="50">
        <v>0</v>
      </c>
      <c r="L19" s="50">
        <v>0</v>
      </c>
      <c r="M19" s="50">
        <v>60</v>
      </c>
      <c r="N19" s="50">
        <v>0</v>
      </c>
      <c r="O19" s="15">
        <f t="shared" si="0"/>
        <v>25</v>
      </c>
      <c r="P19" s="15">
        <f t="shared" si="1"/>
        <v>85</v>
      </c>
      <c r="R19" s="1" t="s">
        <v>15</v>
      </c>
      <c r="S19" s="17">
        <f t="shared" ref="S19:AF19" si="11">SUM(C46:C49)</f>
        <v>61</v>
      </c>
      <c r="T19" s="17">
        <f t="shared" si="11"/>
        <v>14</v>
      </c>
      <c r="U19" s="17">
        <f t="shared" si="11"/>
        <v>8</v>
      </c>
      <c r="V19" s="17">
        <f t="shared" si="11"/>
        <v>27</v>
      </c>
      <c r="W19" s="17">
        <f t="shared" si="11"/>
        <v>1</v>
      </c>
      <c r="X19" s="17">
        <f t="shared" si="11"/>
        <v>0</v>
      </c>
      <c r="Y19" s="17">
        <f t="shared" si="11"/>
        <v>11</v>
      </c>
      <c r="Z19" s="17">
        <f t="shared" si="11"/>
        <v>2</v>
      </c>
      <c r="AA19" s="17">
        <f t="shared" si="11"/>
        <v>1</v>
      </c>
      <c r="AB19" s="17">
        <f t="shared" si="11"/>
        <v>0</v>
      </c>
      <c r="AC19" s="17">
        <f t="shared" si="11"/>
        <v>154</v>
      </c>
      <c r="AD19" s="17">
        <f t="shared" si="11"/>
        <v>0</v>
      </c>
      <c r="AE19" s="31">
        <f t="shared" si="11"/>
        <v>125</v>
      </c>
      <c r="AF19" s="31">
        <f t="shared" si="11"/>
        <v>279</v>
      </c>
    </row>
    <row r="20" spans="2:32" ht="23.1" customHeight="1" x14ac:dyDescent="0.25">
      <c r="B20" s="23" t="s">
        <v>47</v>
      </c>
      <c r="C20" s="50">
        <v>12</v>
      </c>
      <c r="D20" s="50">
        <v>1</v>
      </c>
      <c r="E20" s="50">
        <v>2</v>
      </c>
      <c r="F20" s="50">
        <v>10</v>
      </c>
      <c r="G20" s="50">
        <v>0</v>
      </c>
      <c r="H20" s="50">
        <v>1</v>
      </c>
      <c r="I20" s="50">
        <v>4</v>
      </c>
      <c r="J20" s="50">
        <v>1</v>
      </c>
      <c r="K20" s="50">
        <v>0</v>
      </c>
      <c r="L20" s="50">
        <v>0</v>
      </c>
      <c r="M20" s="50">
        <v>62</v>
      </c>
      <c r="N20" s="50">
        <v>0</v>
      </c>
      <c r="O20" s="15">
        <f t="shared" si="0"/>
        <v>31</v>
      </c>
      <c r="P20" s="15">
        <f t="shared" si="1"/>
        <v>93</v>
      </c>
      <c r="R20" s="1" t="s">
        <v>16</v>
      </c>
      <c r="S20" s="17">
        <f t="shared" ref="S20:AF20" si="12">SUM(C50:C53)</f>
        <v>107</v>
      </c>
      <c r="T20" s="17">
        <f t="shared" si="12"/>
        <v>20</v>
      </c>
      <c r="U20" s="17">
        <f t="shared" si="12"/>
        <v>8</v>
      </c>
      <c r="V20" s="17">
        <f t="shared" si="12"/>
        <v>39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0</v>
      </c>
      <c r="AA20" s="17">
        <f t="shared" si="12"/>
        <v>2</v>
      </c>
      <c r="AB20" s="17">
        <f t="shared" si="12"/>
        <v>1</v>
      </c>
      <c r="AC20" s="17">
        <f t="shared" si="12"/>
        <v>204</v>
      </c>
      <c r="AD20" s="17">
        <f t="shared" si="12"/>
        <v>0</v>
      </c>
      <c r="AE20" s="31">
        <f t="shared" si="12"/>
        <v>184</v>
      </c>
      <c r="AF20" s="31">
        <f t="shared" si="12"/>
        <v>388</v>
      </c>
    </row>
    <row r="21" spans="2:32" ht="23.1" customHeight="1" x14ac:dyDescent="0.25">
      <c r="B21" s="23" t="s">
        <v>48</v>
      </c>
      <c r="C21" s="50">
        <v>3</v>
      </c>
      <c r="D21" s="50">
        <v>2</v>
      </c>
      <c r="E21" s="50">
        <v>1</v>
      </c>
      <c r="F21" s="50">
        <v>17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2</v>
      </c>
      <c r="M21" s="50">
        <v>52</v>
      </c>
      <c r="N21" s="50">
        <v>0</v>
      </c>
      <c r="O21" s="15">
        <f t="shared" si="0"/>
        <v>25</v>
      </c>
      <c r="P21" s="15">
        <f t="shared" si="1"/>
        <v>77</v>
      </c>
      <c r="R21" s="36" t="s">
        <v>20</v>
      </c>
      <c r="S21" s="34">
        <f t="shared" ref="S21:AF21" si="13">SUM(C54:C57)</f>
        <v>133</v>
      </c>
      <c r="T21" s="17">
        <f t="shared" si="13"/>
        <v>17</v>
      </c>
      <c r="U21" s="17">
        <f t="shared" si="13"/>
        <v>11</v>
      </c>
      <c r="V21" s="17">
        <f t="shared" si="13"/>
        <v>52</v>
      </c>
      <c r="W21" s="17">
        <f t="shared" si="13"/>
        <v>0</v>
      </c>
      <c r="X21" s="17">
        <f t="shared" si="13"/>
        <v>0</v>
      </c>
      <c r="Y21" s="17">
        <f t="shared" si="13"/>
        <v>15</v>
      </c>
      <c r="Z21" s="17">
        <f t="shared" si="13"/>
        <v>1</v>
      </c>
      <c r="AA21" s="17">
        <f t="shared" si="13"/>
        <v>5</v>
      </c>
      <c r="AB21" s="17">
        <f t="shared" si="13"/>
        <v>1</v>
      </c>
      <c r="AC21" s="17">
        <f t="shared" si="13"/>
        <v>234</v>
      </c>
      <c r="AD21" s="17">
        <f t="shared" si="13"/>
        <v>0</v>
      </c>
      <c r="AE21" s="31">
        <f t="shared" si="13"/>
        <v>235</v>
      </c>
      <c r="AF21" s="31">
        <f t="shared" si="13"/>
        <v>469</v>
      </c>
    </row>
    <row r="22" spans="2:32" ht="23.1" customHeight="1" x14ac:dyDescent="0.25">
      <c r="B22" s="23" t="s">
        <v>49</v>
      </c>
      <c r="C22" s="50">
        <v>4</v>
      </c>
      <c r="D22" s="50">
        <v>2</v>
      </c>
      <c r="E22" s="50">
        <v>1</v>
      </c>
      <c r="F22" s="50">
        <v>10</v>
      </c>
      <c r="G22" s="50">
        <v>0</v>
      </c>
      <c r="H22" s="50">
        <v>2</v>
      </c>
      <c r="I22" s="50">
        <v>5</v>
      </c>
      <c r="J22" s="50">
        <v>0</v>
      </c>
      <c r="K22" s="50">
        <v>0</v>
      </c>
      <c r="L22" s="50">
        <v>2</v>
      </c>
      <c r="M22" s="50">
        <v>35</v>
      </c>
      <c r="N22" s="50">
        <v>0</v>
      </c>
      <c r="O22" s="15">
        <f t="shared" si="0"/>
        <v>26</v>
      </c>
      <c r="P22" s="15">
        <f t="shared" si="1"/>
        <v>61</v>
      </c>
      <c r="R22" s="38" t="s">
        <v>90</v>
      </c>
      <c r="S22" s="39">
        <f>MAX(S10:S12)</f>
        <v>47</v>
      </c>
      <c r="T22" s="39">
        <f t="shared" ref="T22:AF22" si="14">MAX(T10:T12)</f>
        <v>9</v>
      </c>
      <c r="U22" s="39">
        <f t="shared" si="14"/>
        <v>7</v>
      </c>
      <c r="V22" s="39">
        <f t="shared" si="14"/>
        <v>55</v>
      </c>
      <c r="W22" s="39">
        <f t="shared" si="14"/>
        <v>1</v>
      </c>
      <c r="X22" s="39">
        <f t="shared" si="14"/>
        <v>1</v>
      </c>
      <c r="Y22" s="39">
        <f t="shared" si="14"/>
        <v>7</v>
      </c>
      <c r="Z22" s="39">
        <f t="shared" si="14"/>
        <v>10</v>
      </c>
      <c r="AA22" s="39">
        <f t="shared" si="14"/>
        <v>1</v>
      </c>
      <c r="AB22" s="39">
        <f t="shared" si="14"/>
        <v>3</v>
      </c>
      <c r="AC22" s="39">
        <f t="shared" si="14"/>
        <v>186</v>
      </c>
      <c r="AD22" s="39">
        <f t="shared" si="14"/>
        <v>0</v>
      </c>
      <c r="AE22" s="40">
        <f t="shared" si="14"/>
        <v>114</v>
      </c>
      <c r="AF22" s="40">
        <f t="shared" si="14"/>
        <v>300</v>
      </c>
    </row>
    <row r="23" spans="2:32" ht="23.1" customHeight="1" x14ac:dyDescent="0.25">
      <c r="B23" s="23" t="s">
        <v>50</v>
      </c>
      <c r="C23" s="50">
        <v>8</v>
      </c>
      <c r="D23" s="50">
        <v>1</v>
      </c>
      <c r="E23" s="50">
        <v>4</v>
      </c>
      <c r="F23" s="50">
        <v>9</v>
      </c>
      <c r="G23" s="50">
        <v>0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41</v>
      </c>
      <c r="N23" s="50">
        <v>0</v>
      </c>
      <c r="O23" s="15">
        <f t="shared" si="0"/>
        <v>27</v>
      </c>
      <c r="P23" s="15">
        <f t="shared" si="1"/>
        <v>68</v>
      </c>
      <c r="R23" s="38" t="s">
        <v>91</v>
      </c>
      <c r="S23" s="39">
        <f>MAX(S13:S18)</f>
        <v>44</v>
      </c>
      <c r="T23" s="39">
        <f t="shared" ref="T23:AF23" si="15">MAX(T13:T18)</f>
        <v>10</v>
      </c>
      <c r="U23" s="39">
        <f t="shared" si="15"/>
        <v>13</v>
      </c>
      <c r="V23" s="39">
        <f t="shared" si="15"/>
        <v>29</v>
      </c>
      <c r="W23" s="39">
        <f t="shared" si="15"/>
        <v>1</v>
      </c>
      <c r="X23" s="39">
        <f t="shared" si="15"/>
        <v>2</v>
      </c>
      <c r="Y23" s="39">
        <f t="shared" si="15"/>
        <v>18</v>
      </c>
      <c r="Z23" s="39">
        <f t="shared" si="15"/>
        <v>9</v>
      </c>
      <c r="AA23" s="39">
        <f t="shared" si="15"/>
        <v>2</v>
      </c>
      <c r="AB23" s="39">
        <f t="shared" si="15"/>
        <v>4</v>
      </c>
      <c r="AC23" s="39">
        <f t="shared" si="15"/>
        <v>191</v>
      </c>
      <c r="AD23" s="39">
        <f t="shared" si="15"/>
        <v>0</v>
      </c>
      <c r="AE23" s="40">
        <f t="shared" si="15"/>
        <v>103</v>
      </c>
      <c r="AF23" s="40">
        <f t="shared" si="15"/>
        <v>289</v>
      </c>
    </row>
    <row r="24" spans="2:32" ht="23.1" customHeight="1" x14ac:dyDescent="0.25">
      <c r="B24" s="23" t="s">
        <v>51</v>
      </c>
      <c r="C24" s="50">
        <v>5</v>
      </c>
      <c r="D24" s="50">
        <v>1</v>
      </c>
      <c r="E24" s="50">
        <v>3</v>
      </c>
      <c r="F24" s="50">
        <v>6</v>
      </c>
      <c r="G24" s="50">
        <v>0</v>
      </c>
      <c r="H24" s="50">
        <v>0</v>
      </c>
      <c r="I24" s="50">
        <v>5</v>
      </c>
      <c r="J24" s="50">
        <v>0</v>
      </c>
      <c r="K24" s="50">
        <v>0</v>
      </c>
      <c r="L24" s="50">
        <v>1</v>
      </c>
      <c r="M24" s="50">
        <v>56</v>
      </c>
      <c r="N24" s="50">
        <v>0</v>
      </c>
      <c r="O24" s="15">
        <f t="shared" si="0"/>
        <v>21</v>
      </c>
      <c r="P24" s="15">
        <f t="shared" si="1"/>
        <v>77</v>
      </c>
      <c r="R24" s="38" t="s">
        <v>92</v>
      </c>
      <c r="S24" s="39">
        <f>MAX(S19:S21)</f>
        <v>133</v>
      </c>
      <c r="T24" s="39">
        <f t="shared" ref="T24:AF24" si="16">MAX(T19:T21)</f>
        <v>20</v>
      </c>
      <c r="U24" s="39">
        <f t="shared" si="16"/>
        <v>11</v>
      </c>
      <c r="V24" s="39">
        <f t="shared" si="16"/>
        <v>52</v>
      </c>
      <c r="W24" s="39">
        <f t="shared" si="16"/>
        <v>1</v>
      </c>
      <c r="X24" s="39">
        <f t="shared" si="16"/>
        <v>0</v>
      </c>
      <c r="Y24" s="39">
        <f t="shared" si="16"/>
        <v>15</v>
      </c>
      <c r="Z24" s="39">
        <f t="shared" si="16"/>
        <v>2</v>
      </c>
      <c r="AA24" s="39">
        <f t="shared" si="16"/>
        <v>5</v>
      </c>
      <c r="AB24" s="39">
        <f t="shared" si="16"/>
        <v>1</v>
      </c>
      <c r="AC24" s="39">
        <f t="shared" si="16"/>
        <v>234</v>
      </c>
      <c r="AD24" s="39">
        <f t="shared" si="16"/>
        <v>0</v>
      </c>
      <c r="AE24" s="40">
        <f t="shared" si="16"/>
        <v>235</v>
      </c>
      <c r="AF24" s="40">
        <f t="shared" si="16"/>
        <v>469</v>
      </c>
    </row>
    <row r="25" spans="2:32" ht="23.1" customHeight="1" x14ac:dyDescent="0.25">
      <c r="B25" s="23" t="s">
        <v>52</v>
      </c>
      <c r="C25" s="50">
        <v>12</v>
      </c>
      <c r="D25" s="50">
        <v>0</v>
      </c>
      <c r="E25" s="50">
        <v>5</v>
      </c>
      <c r="F25" s="50">
        <v>4</v>
      </c>
      <c r="G25" s="50">
        <v>0</v>
      </c>
      <c r="H25" s="50">
        <v>0</v>
      </c>
      <c r="I25" s="50">
        <v>3</v>
      </c>
      <c r="J25" s="50">
        <v>2</v>
      </c>
      <c r="K25" s="50">
        <v>0</v>
      </c>
      <c r="L25" s="50">
        <v>1</v>
      </c>
      <c r="M25" s="50">
        <v>39</v>
      </c>
      <c r="N25" s="50">
        <v>0</v>
      </c>
      <c r="O25" s="15">
        <f t="shared" si="0"/>
        <v>27</v>
      </c>
      <c r="P25" s="15">
        <f t="shared" si="1"/>
        <v>66</v>
      </c>
      <c r="R25" s="37" t="s">
        <v>85</v>
      </c>
      <c r="S25" s="35">
        <f t="shared" ref="S25:AF25" si="17">SUM(S10:S12)</f>
        <v>106</v>
      </c>
      <c r="T25" s="16">
        <f t="shared" si="17"/>
        <v>22</v>
      </c>
      <c r="U25" s="16">
        <f t="shared" si="17"/>
        <v>13</v>
      </c>
      <c r="V25" s="16">
        <f t="shared" si="17"/>
        <v>141</v>
      </c>
      <c r="W25" s="16">
        <f t="shared" si="17"/>
        <v>1</v>
      </c>
      <c r="X25" s="16">
        <f t="shared" si="17"/>
        <v>1</v>
      </c>
      <c r="Y25" s="16">
        <f t="shared" si="17"/>
        <v>19</v>
      </c>
      <c r="Z25" s="16">
        <f t="shared" si="17"/>
        <v>20</v>
      </c>
      <c r="AA25" s="16">
        <f t="shared" si="17"/>
        <v>2</v>
      </c>
      <c r="AB25" s="16">
        <f t="shared" si="17"/>
        <v>5</v>
      </c>
      <c r="AC25" s="16">
        <f t="shared" si="17"/>
        <v>478</v>
      </c>
      <c r="AD25" s="16">
        <f t="shared" si="17"/>
        <v>0</v>
      </c>
      <c r="AE25" s="32">
        <f t="shared" si="17"/>
        <v>330</v>
      </c>
      <c r="AF25" s="32">
        <f t="shared" si="17"/>
        <v>808</v>
      </c>
    </row>
    <row r="26" spans="2:32" ht="23.1" customHeight="1" x14ac:dyDescent="0.25">
      <c r="B26" s="23" t="s">
        <v>53</v>
      </c>
      <c r="C26" s="50">
        <v>8</v>
      </c>
      <c r="D26" s="50">
        <v>2</v>
      </c>
      <c r="E26" s="50">
        <v>0</v>
      </c>
      <c r="F26" s="50">
        <v>6</v>
      </c>
      <c r="G26" s="50">
        <v>0</v>
      </c>
      <c r="H26" s="50">
        <v>0</v>
      </c>
      <c r="I26" s="50">
        <v>3</v>
      </c>
      <c r="J26" s="50">
        <v>4</v>
      </c>
      <c r="K26" s="50">
        <v>0</v>
      </c>
      <c r="L26" s="50">
        <v>0</v>
      </c>
      <c r="M26" s="50">
        <v>45</v>
      </c>
      <c r="N26" s="50">
        <v>0</v>
      </c>
      <c r="O26" s="15">
        <f t="shared" si="0"/>
        <v>23</v>
      </c>
      <c r="P26" s="15">
        <f t="shared" si="1"/>
        <v>68</v>
      </c>
      <c r="R26" s="28" t="s">
        <v>86</v>
      </c>
      <c r="S26" s="16">
        <f t="shared" ref="S26:AF26" si="18">SUM(S13:S18)</f>
        <v>208</v>
      </c>
      <c r="T26" s="16">
        <f t="shared" si="18"/>
        <v>32</v>
      </c>
      <c r="U26" s="16">
        <f t="shared" si="18"/>
        <v>58</v>
      </c>
      <c r="V26" s="16">
        <f t="shared" si="18"/>
        <v>148</v>
      </c>
      <c r="W26" s="16">
        <f t="shared" si="18"/>
        <v>2</v>
      </c>
      <c r="X26" s="16">
        <f t="shared" si="18"/>
        <v>3</v>
      </c>
      <c r="Y26" s="16">
        <f t="shared" si="18"/>
        <v>87</v>
      </c>
      <c r="Z26" s="16">
        <f t="shared" si="18"/>
        <v>23</v>
      </c>
      <c r="AA26" s="16">
        <f t="shared" si="18"/>
        <v>3</v>
      </c>
      <c r="AB26" s="16">
        <f t="shared" si="18"/>
        <v>8</v>
      </c>
      <c r="AC26" s="16">
        <f t="shared" si="18"/>
        <v>1020</v>
      </c>
      <c r="AD26" s="16">
        <f t="shared" si="18"/>
        <v>0</v>
      </c>
      <c r="AE26" s="32">
        <f t="shared" si="18"/>
        <v>572</v>
      </c>
      <c r="AF26" s="32">
        <f t="shared" si="18"/>
        <v>1592</v>
      </c>
    </row>
    <row r="27" spans="2:32" ht="23.1" customHeight="1" x14ac:dyDescent="0.25">
      <c r="B27" s="23" t="s">
        <v>54</v>
      </c>
      <c r="C27" s="50">
        <v>10</v>
      </c>
      <c r="D27" s="50">
        <v>1</v>
      </c>
      <c r="E27" s="50">
        <v>3</v>
      </c>
      <c r="F27" s="50">
        <v>9</v>
      </c>
      <c r="G27" s="50">
        <v>0</v>
      </c>
      <c r="H27" s="50">
        <v>0</v>
      </c>
      <c r="I27" s="50">
        <v>2</v>
      </c>
      <c r="J27" s="50">
        <v>2</v>
      </c>
      <c r="K27" s="50">
        <v>0</v>
      </c>
      <c r="L27" s="50">
        <v>0</v>
      </c>
      <c r="M27" s="50">
        <v>48</v>
      </c>
      <c r="N27" s="50">
        <v>0</v>
      </c>
      <c r="O27" s="15">
        <f t="shared" si="0"/>
        <v>27</v>
      </c>
      <c r="P27" s="15">
        <f t="shared" si="1"/>
        <v>75</v>
      </c>
      <c r="R27" s="29" t="s">
        <v>87</v>
      </c>
      <c r="S27" s="16">
        <f t="shared" ref="S27:AF27" si="19">SUM(S19:S21)</f>
        <v>301</v>
      </c>
      <c r="T27" s="16">
        <f t="shared" si="19"/>
        <v>51</v>
      </c>
      <c r="U27" s="16">
        <f t="shared" si="19"/>
        <v>27</v>
      </c>
      <c r="V27" s="16">
        <f t="shared" si="19"/>
        <v>118</v>
      </c>
      <c r="W27" s="16">
        <f t="shared" si="19"/>
        <v>1</v>
      </c>
      <c r="X27" s="16">
        <f t="shared" si="19"/>
        <v>0</v>
      </c>
      <c r="Y27" s="16">
        <f t="shared" si="19"/>
        <v>33</v>
      </c>
      <c r="Z27" s="16">
        <f t="shared" si="19"/>
        <v>3</v>
      </c>
      <c r="AA27" s="16">
        <f t="shared" si="19"/>
        <v>8</v>
      </c>
      <c r="AB27" s="16">
        <f t="shared" si="19"/>
        <v>2</v>
      </c>
      <c r="AC27" s="16">
        <f t="shared" si="19"/>
        <v>592</v>
      </c>
      <c r="AD27" s="16">
        <f t="shared" si="19"/>
        <v>0</v>
      </c>
      <c r="AE27" s="32">
        <f t="shared" si="19"/>
        <v>544</v>
      </c>
      <c r="AF27" s="32">
        <f t="shared" si="19"/>
        <v>1136</v>
      </c>
    </row>
    <row r="28" spans="2:32" ht="23.1" customHeight="1" x14ac:dyDescent="0.25">
      <c r="B28" s="23" t="s">
        <v>55</v>
      </c>
      <c r="C28" s="50">
        <v>9</v>
      </c>
      <c r="D28" s="50">
        <v>3</v>
      </c>
      <c r="E28" s="50">
        <v>3</v>
      </c>
      <c r="F28" s="50">
        <v>6</v>
      </c>
      <c r="G28" s="50">
        <v>0</v>
      </c>
      <c r="H28" s="50">
        <v>0</v>
      </c>
      <c r="I28" s="50">
        <v>3</v>
      </c>
      <c r="J28" s="50">
        <v>1</v>
      </c>
      <c r="K28" s="50">
        <v>1</v>
      </c>
      <c r="L28" s="50">
        <v>0</v>
      </c>
      <c r="M28" s="50">
        <v>51</v>
      </c>
      <c r="N28" s="50">
        <v>0</v>
      </c>
      <c r="O28" s="15">
        <f t="shared" si="0"/>
        <v>26</v>
      </c>
      <c r="P28" s="15">
        <f t="shared" si="1"/>
        <v>77</v>
      </c>
      <c r="R28" s="5" t="s">
        <v>17</v>
      </c>
      <c r="S28" s="16">
        <f t="shared" ref="S28:AF28" si="20">SUM(S10:S21)</f>
        <v>615</v>
      </c>
      <c r="T28" s="16">
        <f t="shared" si="20"/>
        <v>105</v>
      </c>
      <c r="U28" s="16">
        <f t="shared" si="20"/>
        <v>98</v>
      </c>
      <c r="V28" s="16">
        <f t="shared" si="20"/>
        <v>407</v>
      </c>
      <c r="W28" s="16">
        <f t="shared" si="20"/>
        <v>4</v>
      </c>
      <c r="X28" s="16">
        <f t="shared" si="20"/>
        <v>4</v>
      </c>
      <c r="Y28" s="16">
        <f t="shared" si="20"/>
        <v>139</v>
      </c>
      <c r="Z28" s="16">
        <f t="shared" si="20"/>
        <v>46</v>
      </c>
      <c r="AA28" s="16">
        <f t="shared" si="20"/>
        <v>13</v>
      </c>
      <c r="AB28" s="16">
        <f t="shared" si="20"/>
        <v>15</v>
      </c>
      <c r="AC28" s="16">
        <f t="shared" si="20"/>
        <v>2090</v>
      </c>
      <c r="AD28" s="16">
        <f t="shared" si="20"/>
        <v>0</v>
      </c>
      <c r="AE28" s="32">
        <f t="shared" si="20"/>
        <v>1446</v>
      </c>
      <c r="AF28" s="32">
        <f t="shared" si="20"/>
        <v>3536</v>
      </c>
    </row>
    <row r="29" spans="2:32" ht="23.1" customHeight="1" x14ac:dyDescent="0.25">
      <c r="B29" s="23" t="s">
        <v>56</v>
      </c>
      <c r="C29" s="50">
        <v>5</v>
      </c>
      <c r="D29" s="50">
        <v>4</v>
      </c>
      <c r="E29" s="50">
        <v>3</v>
      </c>
      <c r="F29" s="50">
        <v>5</v>
      </c>
      <c r="G29" s="50">
        <v>0</v>
      </c>
      <c r="H29" s="50">
        <v>0</v>
      </c>
      <c r="I29" s="50">
        <v>4</v>
      </c>
      <c r="J29" s="50">
        <v>2</v>
      </c>
      <c r="K29" s="50">
        <v>1</v>
      </c>
      <c r="L29" s="50">
        <v>0</v>
      </c>
      <c r="M29" s="50">
        <v>45</v>
      </c>
      <c r="N29" s="50">
        <v>0</v>
      </c>
      <c r="O29" s="15">
        <f t="shared" si="0"/>
        <v>24</v>
      </c>
      <c r="P29" s="15">
        <f t="shared" si="1"/>
        <v>69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1</v>
      </c>
      <c r="E30" s="50">
        <v>4</v>
      </c>
      <c r="F30" s="50">
        <v>5</v>
      </c>
      <c r="G30" s="50">
        <v>0</v>
      </c>
      <c r="H30" s="50">
        <v>0</v>
      </c>
      <c r="I30" s="50">
        <v>6</v>
      </c>
      <c r="J30" s="50">
        <v>0</v>
      </c>
      <c r="K30" s="50">
        <v>0</v>
      </c>
      <c r="L30" s="50">
        <v>0</v>
      </c>
      <c r="M30" s="50">
        <v>42</v>
      </c>
      <c r="N30" s="50">
        <v>0</v>
      </c>
      <c r="O30" s="15">
        <f t="shared" si="0"/>
        <v>19</v>
      </c>
      <c r="P30" s="15">
        <f t="shared" si="1"/>
        <v>61</v>
      </c>
    </row>
    <row r="31" spans="2:32" ht="23.1" customHeight="1" x14ac:dyDescent="0.25">
      <c r="B31" s="24" t="s">
        <v>58</v>
      </c>
      <c r="C31" s="50">
        <v>8</v>
      </c>
      <c r="D31" s="50">
        <v>0</v>
      </c>
      <c r="E31" s="50">
        <v>0</v>
      </c>
      <c r="F31" s="50">
        <v>8</v>
      </c>
      <c r="G31" s="50">
        <v>0</v>
      </c>
      <c r="H31" s="50">
        <v>0</v>
      </c>
      <c r="I31" s="50">
        <v>4</v>
      </c>
      <c r="J31" s="50">
        <v>2</v>
      </c>
      <c r="K31" s="50">
        <v>0</v>
      </c>
      <c r="L31" s="50">
        <v>0</v>
      </c>
      <c r="M31" s="50">
        <v>60</v>
      </c>
      <c r="N31" s="50">
        <v>0</v>
      </c>
      <c r="O31" s="15">
        <f t="shared" si="0"/>
        <v>22</v>
      </c>
      <c r="P31" s="15">
        <f t="shared" si="1"/>
        <v>82</v>
      </c>
    </row>
    <row r="32" spans="2:32" ht="23.1" customHeight="1" x14ac:dyDescent="0.25">
      <c r="B32" s="24" t="s">
        <v>59</v>
      </c>
      <c r="C32" s="50">
        <v>9</v>
      </c>
      <c r="D32" s="50">
        <v>1</v>
      </c>
      <c r="E32" s="50">
        <v>1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40</v>
      </c>
      <c r="N32" s="50">
        <v>0</v>
      </c>
      <c r="O32" s="15">
        <f t="shared" si="0"/>
        <v>13</v>
      </c>
      <c r="P32" s="15">
        <f t="shared" si="1"/>
        <v>53</v>
      </c>
    </row>
    <row r="33" spans="2:20" ht="23.1" customHeight="1" x14ac:dyDescent="0.25">
      <c r="B33" s="23" t="s">
        <v>60</v>
      </c>
      <c r="C33" s="50">
        <v>9</v>
      </c>
      <c r="D33" s="50">
        <v>0</v>
      </c>
      <c r="E33" s="50">
        <v>3</v>
      </c>
      <c r="F33" s="50">
        <v>2</v>
      </c>
      <c r="G33" s="50">
        <v>1</v>
      </c>
      <c r="H33" s="50">
        <v>0</v>
      </c>
      <c r="I33" s="50">
        <v>4</v>
      </c>
      <c r="J33" s="50">
        <v>2</v>
      </c>
      <c r="K33" s="50">
        <v>0</v>
      </c>
      <c r="L33" s="50">
        <v>0</v>
      </c>
      <c r="M33" s="50">
        <v>49</v>
      </c>
      <c r="N33" s="50">
        <v>0</v>
      </c>
      <c r="O33" s="15">
        <f t="shared" si="0"/>
        <v>21</v>
      </c>
      <c r="P33" s="15">
        <f t="shared" si="1"/>
        <v>70</v>
      </c>
    </row>
    <row r="34" spans="2:20" ht="23.1" customHeight="1" x14ac:dyDescent="0.25">
      <c r="B34" s="24" t="s">
        <v>61</v>
      </c>
      <c r="C34" s="50">
        <v>7</v>
      </c>
      <c r="D34" s="50">
        <v>0</v>
      </c>
      <c r="E34" s="50">
        <v>3</v>
      </c>
      <c r="F34" s="50">
        <v>7</v>
      </c>
      <c r="G34" s="50">
        <v>0</v>
      </c>
      <c r="H34" s="50">
        <v>0</v>
      </c>
      <c r="I34" s="50">
        <v>6</v>
      </c>
      <c r="J34" s="50">
        <v>2</v>
      </c>
      <c r="K34" s="50">
        <v>0</v>
      </c>
      <c r="L34" s="50">
        <v>2</v>
      </c>
      <c r="M34" s="50">
        <v>51</v>
      </c>
      <c r="N34" s="50">
        <v>0</v>
      </c>
      <c r="O34" s="15">
        <f t="shared" si="0"/>
        <v>27</v>
      </c>
      <c r="P34" s="15">
        <f t="shared" si="1"/>
        <v>78</v>
      </c>
    </row>
    <row r="35" spans="2:20" ht="23.1" customHeight="1" x14ac:dyDescent="0.25">
      <c r="B35" s="24" t="s">
        <v>62</v>
      </c>
      <c r="C35" s="50">
        <v>7</v>
      </c>
      <c r="D35" s="50">
        <v>2</v>
      </c>
      <c r="E35" s="50">
        <v>0</v>
      </c>
      <c r="F35" s="50">
        <v>5</v>
      </c>
      <c r="G35" s="50">
        <v>1</v>
      </c>
      <c r="H35" s="50">
        <v>0</v>
      </c>
      <c r="I35" s="50">
        <v>1</v>
      </c>
      <c r="J35" s="50">
        <v>1</v>
      </c>
      <c r="K35" s="50">
        <v>0</v>
      </c>
      <c r="L35" s="50">
        <v>0</v>
      </c>
      <c r="M35" s="50">
        <v>48</v>
      </c>
      <c r="N35" s="50">
        <v>0</v>
      </c>
      <c r="O35" s="15">
        <f t="shared" si="0"/>
        <v>17</v>
      </c>
      <c r="P35" s="15">
        <f t="shared" si="1"/>
        <v>65</v>
      </c>
    </row>
    <row r="36" spans="2:20" ht="23.1" customHeight="1" x14ac:dyDescent="0.25">
      <c r="B36" s="24" t="s">
        <v>63</v>
      </c>
      <c r="C36" s="50">
        <v>20</v>
      </c>
      <c r="D36" s="50">
        <v>0</v>
      </c>
      <c r="E36" s="50">
        <v>1</v>
      </c>
      <c r="F36" s="50">
        <v>5</v>
      </c>
      <c r="G36" s="50">
        <v>0</v>
      </c>
      <c r="H36" s="50">
        <v>0</v>
      </c>
      <c r="I36" s="50">
        <v>7</v>
      </c>
      <c r="J36" s="50">
        <v>0</v>
      </c>
      <c r="K36" s="50">
        <v>0</v>
      </c>
      <c r="L36" s="50">
        <v>0</v>
      </c>
      <c r="M36" s="50">
        <v>41</v>
      </c>
      <c r="N36" s="50">
        <v>0</v>
      </c>
      <c r="O36" s="15">
        <f t="shared" si="0"/>
        <v>33</v>
      </c>
      <c r="P36" s="15">
        <f t="shared" si="1"/>
        <v>74</v>
      </c>
    </row>
    <row r="37" spans="2:20" ht="23.1" customHeight="1" x14ac:dyDescent="0.25">
      <c r="B37" s="23" t="s">
        <v>64</v>
      </c>
      <c r="C37" s="50">
        <v>5</v>
      </c>
      <c r="D37" s="50">
        <v>2</v>
      </c>
      <c r="E37" s="50">
        <v>1</v>
      </c>
      <c r="F37" s="50">
        <v>8</v>
      </c>
      <c r="G37" s="50">
        <v>0</v>
      </c>
      <c r="H37" s="50">
        <v>0</v>
      </c>
      <c r="I37" s="50">
        <v>0</v>
      </c>
      <c r="J37" s="50">
        <v>1</v>
      </c>
      <c r="K37" s="50">
        <v>1</v>
      </c>
      <c r="L37" s="50">
        <v>2</v>
      </c>
      <c r="M37" s="50">
        <v>30</v>
      </c>
      <c r="N37" s="50">
        <v>0</v>
      </c>
      <c r="O37" s="15">
        <f t="shared" si="0"/>
        <v>20</v>
      </c>
      <c r="P37" s="15">
        <f t="shared" si="1"/>
        <v>50</v>
      </c>
    </row>
    <row r="38" spans="2:20" ht="23.1" customHeight="1" x14ac:dyDescent="0.25">
      <c r="B38" s="24" t="s">
        <v>65</v>
      </c>
      <c r="C38" s="50">
        <v>11</v>
      </c>
      <c r="D38" s="50">
        <v>0</v>
      </c>
      <c r="E38" s="50">
        <v>4</v>
      </c>
      <c r="F38" s="50">
        <v>4</v>
      </c>
      <c r="G38" s="50">
        <v>0</v>
      </c>
      <c r="H38" s="50">
        <v>1</v>
      </c>
      <c r="I38" s="50">
        <v>3</v>
      </c>
      <c r="J38" s="50">
        <v>0</v>
      </c>
      <c r="K38" s="50">
        <v>0</v>
      </c>
      <c r="L38" s="50">
        <v>0</v>
      </c>
      <c r="M38" s="50">
        <v>39</v>
      </c>
      <c r="N38" s="50">
        <v>0</v>
      </c>
      <c r="O38" s="15">
        <f t="shared" si="0"/>
        <v>23</v>
      </c>
      <c r="P38" s="15">
        <f t="shared" si="1"/>
        <v>62</v>
      </c>
    </row>
    <row r="39" spans="2:20" ht="23.1" customHeight="1" x14ac:dyDescent="0.25">
      <c r="B39" s="24" t="s">
        <v>66</v>
      </c>
      <c r="C39" s="50">
        <v>13</v>
      </c>
      <c r="D39" s="50">
        <v>1</v>
      </c>
      <c r="E39" s="50">
        <v>4</v>
      </c>
      <c r="F39" s="50">
        <v>9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47</v>
      </c>
      <c r="N39" s="50">
        <v>0</v>
      </c>
      <c r="O39" s="15">
        <f t="shared" si="0"/>
        <v>30</v>
      </c>
      <c r="P39" s="15">
        <f t="shared" si="1"/>
        <v>77</v>
      </c>
    </row>
    <row r="40" spans="2:20" ht="23.1" customHeight="1" x14ac:dyDescent="0.25">
      <c r="B40" s="24" t="s">
        <v>67</v>
      </c>
      <c r="C40" s="50">
        <v>9</v>
      </c>
      <c r="D40" s="50">
        <v>1</v>
      </c>
      <c r="E40" s="50">
        <v>1</v>
      </c>
      <c r="F40" s="50">
        <v>5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39</v>
      </c>
      <c r="N40" s="50">
        <v>0</v>
      </c>
      <c r="O40" s="15">
        <f t="shared" si="0"/>
        <v>19</v>
      </c>
      <c r="P40" s="15">
        <f t="shared" si="1"/>
        <v>58</v>
      </c>
    </row>
    <row r="41" spans="2:20" ht="23.1" customHeight="1" x14ac:dyDescent="0.25">
      <c r="B41" s="23" t="s">
        <v>68</v>
      </c>
      <c r="C41" s="50">
        <v>11</v>
      </c>
      <c r="D41" s="50">
        <v>2</v>
      </c>
      <c r="E41" s="50">
        <v>3</v>
      </c>
      <c r="F41" s="50">
        <v>5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36</v>
      </c>
      <c r="N41" s="50">
        <v>0</v>
      </c>
      <c r="O41" s="15">
        <f t="shared" si="0"/>
        <v>24</v>
      </c>
      <c r="P41" s="15">
        <f t="shared" si="1"/>
        <v>60</v>
      </c>
    </row>
    <row r="42" spans="2:20" ht="23.1" customHeight="1" x14ac:dyDescent="0.25">
      <c r="B42" s="24" t="s">
        <v>69</v>
      </c>
      <c r="C42" s="50">
        <v>8</v>
      </c>
      <c r="D42" s="50">
        <v>0</v>
      </c>
      <c r="E42" s="50">
        <v>2</v>
      </c>
      <c r="F42" s="50">
        <v>6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19</v>
      </c>
      <c r="P42" s="15">
        <f t="shared" si="1"/>
        <v>39</v>
      </c>
    </row>
    <row r="43" spans="2:20" ht="23.1" customHeight="1" x14ac:dyDescent="0.25">
      <c r="B43" s="23" t="s">
        <v>70</v>
      </c>
      <c r="C43" s="50">
        <v>9</v>
      </c>
      <c r="D43" s="50">
        <v>6</v>
      </c>
      <c r="E43" s="50">
        <v>3</v>
      </c>
      <c r="F43" s="50">
        <v>9</v>
      </c>
      <c r="G43" s="50">
        <v>0</v>
      </c>
      <c r="H43" s="50">
        <v>0</v>
      </c>
      <c r="I43" s="50">
        <v>5</v>
      </c>
      <c r="J43" s="50">
        <v>0</v>
      </c>
      <c r="K43" s="50">
        <v>0</v>
      </c>
      <c r="L43" s="50">
        <v>0</v>
      </c>
      <c r="M43" s="50">
        <v>43</v>
      </c>
      <c r="N43" s="50">
        <v>0</v>
      </c>
      <c r="O43" s="15">
        <f t="shared" si="0"/>
        <v>32</v>
      </c>
      <c r="P43" s="15">
        <f t="shared" si="1"/>
        <v>75</v>
      </c>
    </row>
    <row r="44" spans="2:20" ht="23.1" customHeight="1" x14ac:dyDescent="0.25">
      <c r="B44" s="25" t="s">
        <v>71</v>
      </c>
      <c r="C44" s="50">
        <v>7</v>
      </c>
      <c r="D44" s="50">
        <v>1</v>
      </c>
      <c r="E44" s="50">
        <v>4</v>
      </c>
      <c r="F44" s="50">
        <v>5</v>
      </c>
      <c r="G44" s="50">
        <v>0</v>
      </c>
      <c r="H44" s="50">
        <v>0</v>
      </c>
      <c r="I44" s="50">
        <v>7</v>
      </c>
      <c r="J44" s="50">
        <v>2</v>
      </c>
      <c r="K44" s="50">
        <v>0</v>
      </c>
      <c r="L44" s="50">
        <v>0</v>
      </c>
      <c r="M44" s="50">
        <v>39</v>
      </c>
      <c r="N44" s="50">
        <v>0</v>
      </c>
      <c r="O44" s="15">
        <f t="shared" si="0"/>
        <v>26</v>
      </c>
      <c r="P44" s="15">
        <f t="shared" si="1"/>
        <v>65</v>
      </c>
    </row>
    <row r="45" spans="2:20" ht="23.1" customHeight="1" x14ac:dyDescent="0.25">
      <c r="B45" s="23" t="s">
        <v>72</v>
      </c>
      <c r="C45" s="50">
        <v>11</v>
      </c>
      <c r="D45" s="50">
        <v>1</v>
      </c>
      <c r="E45" s="50">
        <v>2</v>
      </c>
      <c r="F45" s="50">
        <v>8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36</v>
      </c>
      <c r="N45" s="50">
        <v>0</v>
      </c>
      <c r="O45" s="15">
        <f t="shared" si="0"/>
        <v>26</v>
      </c>
      <c r="P45" s="15">
        <f t="shared" si="1"/>
        <v>62</v>
      </c>
    </row>
    <row r="46" spans="2:20" ht="23.1" customHeight="1" x14ac:dyDescent="0.25">
      <c r="B46" s="24" t="s">
        <v>73</v>
      </c>
      <c r="C46" s="50">
        <v>10</v>
      </c>
      <c r="D46" s="50">
        <v>2</v>
      </c>
      <c r="E46" s="50">
        <v>2</v>
      </c>
      <c r="F46" s="50">
        <v>4</v>
      </c>
      <c r="G46" s="50">
        <v>1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39</v>
      </c>
      <c r="N46" s="50">
        <v>0</v>
      </c>
      <c r="O46" s="15">
        <f t="shared" si="0"/>
        <v>21</v>
      </c>
      <c r="P46" s="15">
        <f t="shared" si="1"/>
        <v>60</v>
      </c>
      <c r="R46" s="8"/>
      <c r="T46"/>
    </row>
    <row r="47" spans="2:20" ht="23.1" customHeight="1" x14ac:dyDescent="0.25">
      <c r="B47" s="24" t="s">
        <v>74</v>
      </c>
      <c r="C47" s="50">
        <v>10</v>
      </c>
      <c r="D47" s="50">
        <v>2</v>
      </c>
      <c r="E47" s="50">
        <v>1</v>
      </c>
      <c r="F47" s="50">
        <v>8</v>
      </c>
      <c r="G47" s="50">
        <v>0</v>
      </c>
      <c r="H47" s="50">
        <v>0</v>
      </c>
      <c r="I47" s="50">
        <v>5</v>
      </c>
      <c r="J47" s="50">
        <v>1</v>
      </c>
      <c r="K47" s="50">
        <v>1</v>
      </c>
      <c r="L47" s="50">
        <v>0</v>
      </c>
      <c r="M47" s="50">
        <v>35</v>
      </c>
      <c r="N47" s="50">
        <v>0</v>
      </c>
      <c r="O47" s="15">
        <f t="shared" si="0"/>
        <v>28</v>
      </c>
      <c r="P47" s="15">
        <f t="shared" si="1"/>
        <v>63</v>
      </c>
      <c r="R47" s="8"/>
      <c r="T47"/>
    </row>
    <row r="48" spans="2:20" ht="23.1" customHeight="1" x14ac:dyDescent="0.25">
      <c r="B48" s="24" t="s">
        <v>75</v>
      </c>
      <c r="C48" s="50">
        <v>19</v>
      </c>
      <c r="D48" s="50">
        <v>3</v>
      </c>
      <c r="E48" s="50">
        <v>2</v>
      </c>
      <c r="F48" s="50">
        <v>7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46</v>
      </c>
      <c r="N48" s="50">
        <v>0</v>
      </c>
      <c r="O48" s="15">
        <f t="shared" si="0"/>
        <v>33</v>
      </c>
      <c r="P48" s="15">
        <f t="shared" si="1"/>
        <v>79</v>
      </c>
      <c r="R48" s="8"/>
      <c r="T48"/>
    </row>
    <row r="49" spans="2:20" ht="23.1" customHeight="1" x14ac:dyDescent="0.25">
      <c r="B49" s="23" t="s">
        <v>76</v>
      </c>
      <c r="C49" s="50">
        <v>22</v>
      </c>
      <c r="D49" s="50">
        <v>7</v>
      </c>
      <c r="E49" s="50">
        <v>3</v>
      </c>
      <c r="F49" s="50">
        <v>8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34</v>
      </c>
      <c r="N49" s="50">
        <v>0</v>
      </c>
      <c r="O49" s="15">
        <f t="shared" si="0"/>
        <v>43</v>
      </c>
      <c r="P49" s="15">
        <f t="shared" si="1"/>
        <v>77</v>
      </c>
      <c r="R49" s="8"/>
      <c r="T49"/>
    </row>
    <row r="50" spans="2:20" ht="23.1" customHeight="1" x14ac:dyDescent="0.25">
      <c r="B50" s="24" t="s">
        <v>77</v>
      </c>
      <c r="C50" s="50">
        <v>25</v>
      </c>
      <c r="D50" s="50">
        <v>4</v>
      </c>
      <c r="E50" s="50">
        <v>5</v>
      </c>
      <c r="F50" s="50">
        <v>6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48</v>
      </c>
      <c r="N50" s="50">
        <v>0</v>
      </c>
      <c r="O50" s="15">
        <f t="shared" si="0"/>
        <v>42</v>
      </c>
      <c r="P50" s="15">
        <f t="shared" si="1"/>
        <v>90</v>
      </c>
      <c r="R50" s="8"/>
      <c r="T50"/>
    </row>
    <row r="51" spans="2:20" ht="23.1" customHeight="1" x14ac:dyDescent="0.25">
      <c r="B51" s="24" t="s">
        <v>78</v>
      </c>
      <c r="C51" s="50">
        <v>27</v>
      </c>
      <c r="D51" s="50">
        <v>3</v>
      </c>
      <c r="E51" s="50">
        <v>0</v>
      </c>
      <c r="F51" s="50">
        <v>10</v>
      </c>
      <c r="G51" s="50">
        <v>0</v>
      </c>
      <c r="H51" s="50">
        <v>0</v>
      </c>
      <c r="I51" s="50">
        <v>4</v>
      </c>
      <c r="J51" s="50">
        <v>0</v>
      </c>
      <c r="K51" s="50">
        <v>1</v>
      </c>
      <c r="L51" s="50">
        <v>0</v>
      </c>
      <c r="M51" s="50">
        <v>58</v>
      </c>
      <c r="N51" s="50">
        <v>0</v>
      </c>
      <c r="O51" s="15">
        <f t="shared" si="0"/>
        <v>45</v>
      </c>
      <c r="P51" s="15">
        <f t="shared" si="1"/>
        <v>103</v>
      </c>
      <c r="R51" s="8"/>
      <c r="T51"/>
    </row>
    <row r="52" spans="2:20" ht="23.1" customHeight="1" x14ac:dyDescent="0.25">
      <c r="B52" s="24" t="s">
        <v>79</v>
      </c>
      <c r="C52" s="50">
        <v>31</v>
      </c>
      <c r="D52" s="50">
        <v>5</v>
      </c>
      <c r="E52" s="50">
        <v>2</v>
      </c>
      <c r="F52" s="50">
        <v>12</v>
      </c>
      <c r="G52" s="50">
        <v>0</v>
      </c>
      <c r="H52" s="50">
        <v>0</v>
      </c>
      <c r="I52" s="50">
        <v>0</v>
      </c>
      <c r="J52" s="50">
        <v>0</v>
      </c>
      <c r="K52" s="50">
        <v>1</v>
      </c>
      <c r="L52" s="50">
        <v>0</v>
      </c>
      <c r="M52" s="50">
        <v>48</v>
      </c>
      <c r="N52" s="50">
        <v>0</v>
      </c>
      <c r="O52" s="15">
        <f t="shared" si="0"/>
        <v>51</v>
      </c>
      <c r="P52" s="15">
        <f t="shared" si="1"/>
        <v>99</v>
      </c>
      <c r="R52" s="8"/>
      <c r="T52"/>
    </row>
    <row r="53" spans="2:20" ht="23.1" customHeight="1" x14ac:dyDescent="0.25">
      <c r="B53" s="23" t="s">
        <v>80</v>
      </c>
      <c r="C53" s="50">
        <v>24</v>
      </c>
      <c r="D53" s="50">
        <v>8</v>
      </c>
      <c r="E53" s="50">
        <v>1</v>
      </c>
      <c r="F53" s="50">
        <v>11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1</v>
      </c>
      <c r="M53" s="50">
        <v>50</v>
      </c>
      <c r="N53" s="50">
        <v>0</v>
      </c>
      <c r="O53" s="15">
        <f t="shared" si="0"/>
        <v>46</v>
      </c>
      <c r="P53" s="15">
        <f t="shared" si="1"/>
        <v>96</v>
      </c>
      <c r="R53" s="8"/>
      <c r="T53"/>
    </row>
    <row r="54" spans="2:20" ht="23.1" customHeight="1" x14ac:dyDescent="0.25">
      <c r="B54" s="23" t="s">
        <v>81</v>
      </c>
      <c r="C54" s="50">
        <v>38</v>
      </c>
      <c r="D54" s="50">
        <v>4</v>
      </c>
      <c r="E54" s="50">
        <v>1</v>
      </c>
      <c r="F54" s="50">
        <v>18</v>
      </c>
      <c r="G54" s="50">
        <v>0</v>
      </c>
      <c r="H54" s="50">
        <v>0</v>
      </c>
      <c r="I54" s="50">
        <v>3</v>
      </c>
      <c r="J54" s="50">
        <v>0</v>
      </c>
      <c r="K54" s="50">
        <v>1</v>
      </c>
      <c r="L54" s="50">
        <v>0</v>
      </c>
      <c r="M54" s="50">
        <v>58</v>
      </c>
      <c r="N54" s="50">
        <v>0</v>
      </c>
      <c r="O54" s="15">
        <f t="shared" si="0"/>
        <v>65</v>
      </c>
      <c r="P54" s="15">
        <f t="shared" si="1"/>
        <v>123</v>
      </c>
      <c r="R54" s="8"/>
      <c r="T54"/>
    </row>
    <row r="55" spans="2:20" ht="23.1" customHeight="1" x14ac:dyDescent="0.25">
      <c r="B55" s="23" t="s">
        <v>82</v>
      </c>
      <c r="C55" s="50">
        <v>32</v>
      </c>
      <c r="D55" s="50">
        <v>4</v>
      </c>
      <c r="E55" s="50">
        <v>6</v>
      </c>
      <c r="F55" s="50">
        <v>9</v>
      </c>
      <c r="G55" s="50">
        <v>0</v>
      </c>
      <c r="H55" s="50">
        <v>0</v>
      </c>
      <c r="I55" s="50">
        <v>1</v>
      </c>
      <c r="J55" s="50">
        <v>1</v>
      </c>
      <c r="K55" s="50">
        <v>3</v>
      </c>
      <c r="L55" s="50">
        <v>1</v>
      </c>
      <c r="M55" s="50">
        <v>52</v>
      </c>
      <c r="N55" s="50">
        <v>0</v>
      </c>
      <c r="O55" s="15">
        <f t="shared" si="0"/>
        <v>57</v>
      </c>
      <c r="P55" s="15">
        <f t="shared" si="1"/>
        <v>109</v>
      </c>
      <c r="R55" s="8"/>
      <c r="T55"/>
    </row>
    <row r="56" spans="2:20" ht="23.1" customHeight="1" x14ac:dyDescent="0.25">
      <c r="B56" s="23" t="s">
        <v>83</v>
      </c>
      <c r="C56" s="50">
        <v>34</v>
      </c>
      <c r="D56" s="50">
        <v>6</v>
      </c>
      <c r="E56" s="50">
        <v>2</v>
      </c>
      <c r="F56" s="50">
        <v>12</v>
      </c>
      <c r="G56" s="50">
        <v>0</v>
      </c>
      <c r="H56" s="50">
        <v>0</v>
      </c>
      <c r="I56" s="50">
        <v>5</v>
      </c>
      <c r="J56" s="50">
        <v>0</v>
      </c>
      <c r="K56" s="50">
        <v>0</v>
      </c>
      <c r="L56" s="50">
        <v>0</v>
      </c>
      <c r="M56" s="50">
        <v>65</v>
      </c>
      <c r="N56" s="50">
        <v>0</v>
      </c>
      <c r="O56" s="15">
        <f t="shared" si="0"/>
        <v>59</v>
      </c>
      <c r="P56" s="15">
        <f t="shared" si="1"/>
        <v>124</v>
      </c>
      <c r="R56" s="8"/>
      <c r="T56"/>
    </row>
    <row r="57" spans="2:20" ht="23.1" customHeight="1" x14ac:dyDescent="0.25">
      <c r="B57" s="23" t="s">
        <v>84</v>
      </c>
      <c r="C57" s="50">
        <v>29</v>
      </c>
      <c r="D57" s="50">
        <v>3</v>
      </c>
      <c r="E57" s="50">
        <v>2</v>
      </c>
      <c r="F57" s="50">
        <v>13</v>
      </c>
      <c r="G57" s="50">
        <v>0</v>
      </c>
      <c r="H57" s="50">
        <v>0</v>
      </c>
      <c r="I57" s="50">
        <v>6</v>
      </c>
      <c r="J57" s="50">
        <v>0</v>
      </c>
      <c r="K57" s="50">
        <v>1</v>
      </c>
      <c r="L57" s="50">
        <v>0</v>
      </c>
      <c r="M57" s="50">
        <v>59</v>
      </c>
      <c r="N57" s="50">
        <v>0</v>
      </c>
      <c r="O57" s="15">
        <f t="shared" si="0"/>
        <v>54</v>
      </c>
      <c r="P57" s="15">
        <f t="shared" si="1"/>
        <v>113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615</v>
      </c>
      <c r="D58" s="16">
        <f t="shared" si="21"/>
        <v>105</v>
      </c>
      <c r="E58" s="16">
        <f t="shared" si="21"/>
        <v>98</v>
      </c>
      <c r="F58" s="16">
        <f t="shared" si="21"/>
        <v>407</v>
      </c>
      <c r="G58" s="16">
        <f t="shared" si="21"/>
        <v>4</v>
      </c>
      <c r="H58" s="16">
        <f t="shared" si="21"/>
        <v>4</v>
      </c>
      <c r="I58" s="16">
        <f t="shared" si="21"/>
        <v>139</v>
      </c>
      <c r="J58" s="16">
        <f t="shared" si="21"/>
        <v>46</v>
      </c>
      <c r="K58" s="16">
        <f t="shared" si="21"/>
        <v>13</v>
      </c>
      <c r="L58" s="16">
        <f t="shared" si="21"/>
        <v>15</v>
      </c>
      <c r="M58" s="16">
        <f t="shared" si="21"/>
        <v>2090</v>
      </c>
      <c r="N58" s="16">
        <f t="shared" si="21"/>
        <v>0</v>
      </c>
      <c r="O58" s="16">
        <f t="shared" si="21"/>
        <v>1446</v>
      </c>
      <c r="P58" s="16">
        <f t="shared" si="21"/>
        <v>3536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0.17392533936651583</v>
      </c>
      <c r="D59" s="43">
        <f t="shared" si="22"/>
        <v>2.9694570135746605E-2</v>
      </c>
      <c r="E59" s="43">
        <f t="shared" si="22"/>
        <v>2.7714932126696831E-2</v>
      </c>
      <c r="F59" s="43">
        <f t="shared" si="22"/>
        <v>0.11510180995475112</v>
      </c>
      <c r="G59" s="43">
        <f t="shared" si="22"/>
        <v>1.1312217194570137E-3</v>
      </c>
      <c r="H59" s="43">
        <f t="shared" si="22"/>
        <v>1.1312217194570137E-3</v>
      </c>
      <c r="I59" s="43">
        <f t="shared" si="22"/>
        <v>3.9309954751131221E-2</v>
      </c>
      <c r="J59" s="43">
        <f t="shared" si="22"/>
        <v>1.3009049773755657E-2</v>
      </c>
      <c r="K59" s="43">
        <f t="shared" si="22"/>
        <v>3.6764705882352941E-3</v>
      </c>
      <c r="L59" s="43">
        <f t="shared" si="22"/>
        <v>4.2420814479638006E-3</v>
      </c>
      <c r="M59" s="43">
        <f t="shared" si="22"/>
        <v>0.5910633484162896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0.42531120331950206</v>
      </c>
      <c r="D60" s="44">
        <f t="shared" ref="D60:N60" si="23">D58/$O$58</f>
        <v>7.2614107883817433E-2</v>
      </c>
      <c r="E60" s="44">
        <f t="shared" si="23"/>
        <v>6.7773167358229594E-2</v>
      </c>
      <c r="F60" s="44">
        <f t="shared" si="23"/>
        <v>0.28146611341632088</v>
      </c>
      <c r="G60" s="44">
        <f t="shared" si="23"/>
        <v>2.7662517289073307E-3</v>
      </c>
      <c r="H60" s="44">
        <f t="shared" si="23"/>
        <v>2.7662517289073307E-3</v>
      </c>
      <c r="I60" s="44">
        <f t="shared" si="23"/>
        <v>9.6127247579529743E-2</v>
      </c>
      <c r="J60" s="44">
        <f t="shared" si="23"/>
        <v>3.18118948824343E-2</v>
      </c>
      <c r="K60" s="44">
        <f t="shared" si="23"/>
        <v>8.9903181189488236E-3</v>
      </c>
      <c r="L60" s="44">
        <f t="shared" si="23"/>
        <v>1.0373443983402489E-2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0" t="s">
        <v>174</v>
      </c>
      <c r="D3" s="60"/>
      <c r="E3" s="60"/>
      <c r="F3" s="60"/>
      <c r="G3" s="60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'23.07 Sentema RBT-Sentema'!D5</f>
        <v>23.07.19</v>
      </c>
      <c r="E5" s="3"/>
      <c r="F5" s="41" t="s">
        <v>1</v>
      </c>
      <c r="G5" s="64" t="s">
        <v>171</v>
      </c>
      <c r="H5" s="65"/>
      <c r="I5" s="14"/>
      <c r="J5" s="2" t="s">
        <v>5</v>
      </c>
      <c r="K5" s="64" t="s">
        <v>179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">
        <v>178</v>
      </c>
      <c r="E6" s="65"/>
      <c r="F6" s="2" t="s">
        <v>2</v>
      </c>
      <c r="G6" s="64" t="str">
        <f>'22.07 Sentema-Sentema RBT'!G6:H6</f>
        <v>Sentema RBT</v>
      </c>
      <c r="H6" s="65"/>
      <c r="J6" s="2" t="s">
        <v>21</v>
      </c>
      <c r="K6" s="64" t="s">
        <v>173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70</v>
      </c>
      <c r="D10" s="50">
        <v>6</v>
      </c>
      <c r="E10" s="50">
        <v>2</v>
      </c>
      <c r="F10" s="50">
        <v>26</v>
      </c>
      <c r="G10" s="50">
        <v>0</v>
      </c>
      <c r="H10" s="50">
        <v>0</v>
      </c>
      <c r="I10" s="50">
        <v>1</v>
      </c>
      <c r="J10" s="50">
        <v>1</v>
      </c>
      <c r="K10" s="50">
        <v>2</v>
      </c>
      <c r="L10" s="50">
        <v>1</v>
      </c>
      <c r="M10" s="50">
        <v>95</v>
      </c>
      <c r="N10" s="50">
        <v>0</v>
      </c>
      <c r="O10" s="15">
        <f t="shared" ref="O10:O57" si="0">SUM(C10:L10,N10)</f>
        <v>109</v>
      </c>
      <c r="P10" s="15">
        <f t="shared" ref="P10:P57" si="1">SUM(C10:N10)</f>
        <v>204</v>
      </c>
      <c r="R10" s="1" t="s">
        <v>6</v>
      </c>
      <c r="S10" s="17">
        <f t="shared" ref="S10:AF10" si="2">SUM(C10:C13)</f>
        <v>270</v>
      </c>
      <c r="T10" s="17">
        <f t="shared" si="2"/>
        <v>13</v>
      </c>
      <c r="U10" s="17">
        <f t="shared" si="2"/>
        <v>20</v>
      </c>
      <c r="V10" s="17">
        <f t="shared" si="2"/>
        <v>100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2</v>
      </c>
      <c r="AA10" s="17">
        <f t="shared" si="2"/>
        <v>2</v>
      </c>
      <c r="AB10" s="17">
        <f t="shared" si="2"/>
        <v>1</v>
      </c>
      <c r="AC10" s="17">
        <f t="shared" si="2"/>
        <v>369</v>
      </c>
      <c r="AD10" s="17">
        <f t="shared" si="2"/>
        <v>0</v>
      </c>
      <c r="AE10" s="31">
        <f t="shared" si="2"/>
        <v>414</v>
      </c>
      <c r="AF10" s="31">
        <f t="shared" si="2"/>
        <v>783</v>
      </c>
    </row>
    <row r="11" spans="2:32" s="6" customFormat="1" ht="23.1" customHeight="1" x14ac:dyDescent="0.25">
      <c r="B11" s="23" t="s">
        <v>38</v>
      </c>
      <c r="C11" s="50">
        <v>76</v>
      </c>
      <c r="D11" s="50">
        <v>1</v>
      </c>
      <c r="E11" s="50">
        <v>7</v>
      </c>
      <c r="F11" s="50">
        <v>21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85</v>
      </c>
      <c r="N11" s="50">
        <v>0</v>
      </c>
      <c r="O11" s="15">
        <f t="shared" si="0"/>
        <v>107</v>
      </c>
      <c r="P11" s="15">
        <f t="shared" si="1"/>
        <v>192</v>
      </c>
      <c r="R11" s="1" t="s">
        <v>7</v>
      </c>
      <c r="S11" s="17">
        <f t="shared" ref="S11:AF11" si="3">SUM(C14:C17)</f>
        <v>179</v>
      </c>
      <c r="T11" s="17">
        <f t="shared" si="3"/>
        <v>24</v>
      </c>
      <c r="U11" s="17">
        <f t="shared" si="3"/>
        <v>16</v>
      </c>
      <c r="V11" s="17">
        <f t="shared" si="3"/>
        <v>111</v>
      </c>
      <c r="W11" s="17">
        <f t="shared" si="3"/>
        <v>0</v>
      </c>
      <c r="X11" s="17">
        <f t="shared" si="3"/>
        <v>0</v>
      </c>
      <c r="Y11" s="17">
        <f t="shared" si="3"/>
        <v>11</v>
      </c>
      <c r="Z11" s="17">
        <f t="shared" si="3"/>
        <v>9</v>
      </c>
      <c r="AA11" s="17">
        <f t="shared" si="3"/>
        <v>2</v>
      </c>
      <c r="AB11" s="17">
        <f t="shared" si="3"/>
        <v>0</v>
      </c>
      <c r="AC11" s="17">
        <f t="shared" si="3"/>
        <v>338</v>
      </c>
      <c r="AD11" s="17">
        <f t="shared" si="3"/>
        <v>0</v>
      </c>
      <c r="AE11" s="31">
        <f t="shared" si="3"/>
        <v>352</v>
      </c>
      <c r="AF11" s="31">
        <f t="shared" si="3"/>
        <v>690</v>
      </c>
    </row>
    <row r="12" spans="2:32" ht="23.1" customHeight="1" x14ac:dyDescent="0.25">
      <c r="B12" s="23" t="s">
        <v>39</v>
      </c>
      <c r="C12" s="50">
        <v>68</v>
      </c>
      <c r="D12" s="50">
        <v>5</v>
      </c>
      <c r="E12" s="50">
        <v>6</v>
      </c>
      <c r="F12" s="50">
        <v>30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111</v>
      </c>
      <c r="N12" s="50">
        <v>0</v>
      </c>
      <c r="O12" s="15">
        <f t="shared" si="0"/>
        <v>112</v>
      </c>
      <c r="P12" s="15">
        <f t="shared" si="1"/>
        <v>223</v>
      </c>
      <c r="R12" s="1" t="s">
        <v>8</v>
      </c>
      <c r="S12" s="17">
        <f t="shared" ref="S12:AF12" si="4">SUM(C18:C21)</f>
        <v>116</v>
      </c>
      <c r="T12" s="17">
        <f t="shared" si="4"/>
        <v>17</v>
      </c>
      <c r="U12" s="17">
        <f t="shared" si="4"/>
        <v>19</v>
      </c>
      <c r="V12" s="17">
        <f t="shared" si="4"/>
        <v>59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8</v>
      </c>
      <c r="AA12" s="17">
        <f t="shared" si="4"/>
        <v>1</v>
      </c>
      <c r="AB12" s="17">
        <f t="shared" si="4"/>
        <v>0</v>
      </c>
      <c r="AC12" s="17">
        <f t="shared" si="4"/>
        <v>243</v>
      </c>
      <c r="AD12" s="17">
        <f t="shared" si="4"/>
        <v>0</v>
      </c>
      <c r="AE12" s="31">
        <f t="shared" si="4"/>
        <v>230</v>
      </c>
      <c r="AF12" s="31">
        <f t="shared" si="4"/>
        <v>473</v>
      </c>
    </row>
    <row r="13" spans="2:32" ht="23.1" customHeight="1" x14ac:dyDescent="0.25">
      <c r="B13" s="23" t="s">
        <v>40</v>
      </c>
      <c r="C13" s="50">
        <v>56</v>
      </c>
      <c r="D13" s="50">
        <v>1</v>
      </c>
      <c r="E13" s="50">
        <v>5</v>
      </c>
      <c r="F13" s="50">
        <v>23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78</v>
      </c>
      <c r="N13" s="50">
        <v>0</v>
      </c>
      <c r="O13" s="15">
        <f t="shared" si="0"/>
        <v>86</v>
      </c>
      <c r="P13" s="15">
        <f t="shared" si="1"/>
        <v>164</v>
      </c>
      <c r="R13" s="1" t="s">
        <v>9</v>
      </c>
      <c r="S13" s="17">
        <f t="shared" ref="S13:AF13" si="5">SUM(C22:C25)</f>
        <v>69</v>
      </c>
      <c r="T13" s="17">
        <f t="shared" si="5"/>
        <v>6</v>
      </c>
      <c r="U13" s="17">
        <f t="shared" si="5"/>
        <v>13</v>
      </c>
      <c r="V13" s="17">
        <f t="shared" si="5"/>
        <v>40</v>
      </c>
      <c r="W13" s="17">
        <f t="shared" si="5"/>
        <v>0</v>
      </c>
      <c r="X13" s="17">
        <f t="shared" si="5"/>
        <v>0</v>
      </c>
      <c r="Y13" s="17">
        <f t="shared" si="5"/>
        <v>13</v>
      </c>
      <c r="Z13" s="17">
        <f t="shared" si="5"/>
        <v>12</v>
      </c>
      <c r="AA13" s="17">
        <f t="shared" si="5"/>
        <v>2</v>
      </c>
      <c r="AB13" s="17">
        <f t="shared" si="5"/>
        <v>43</v>
      </c>
      <c r="AC13" s="17">
        <f t="shared" si="5"/>
        <v>166</v>
      </c>
      <c r="AD13" s="17">
        <f t="shared" si="5"/>
        <v>0</v>
      </c>
      <c r="AE13" s="31">
        <f t="shared" si="5"/>
        <v>198</v>
      </c>
      <c r="AF13" s="31">
        <f t="shared" si="5"/>
        <v>364</v>
      </c>
    </row>
    <row r="14" spans="2:32" ht="23.1" customHeight="1" x14ac:dyDescent="0.25">
      <c r="B14" s="23" t="s">
        <v>41</v>
      </c>
      <c r="C14" s="50">
        <v>68</v>
      </c>
      <c r="D14" s="50">
        <v>5</v>
      </c>
      <c r="E14" s="50">
        <v>7</v>
      </c>
      <c r="F14" s="50">
        <v>37</v>
      </c>
      <c r="G14" s="50">
        <v>0</v>
      </c>
      <c r="H14" s="50">
        <v>0</v>
      </c>
      <c r="I14" s="50">
        <v>3</v>
      </c>
      <c r="J14" s="50">
        <v>5</v>
      </c>
      <c r="K14" s="50">
        <v>1</v>
      </c>
      <c r="L14" s="50">
        <v>0</v>
      </c>
      <c r="M14" s="50">
        <v>112</v>
      </c>
      <c r="N14" s="50">
        <v>0</v>
      </c>
      <c r="O14" s="15">
        <f t="shared" si="0"/>
        <v>126</v>
      </c>
      <c r="P14" s="15">
        <f t="shared" si="1"/>
        <v>238</v>
      </c>
      <c r="R14" s="1" t="s">
        <v>10</v>
      </c>
      <c r="S14" s="17">
        <f t="shared" ref="S14:AF14" si="6">SUM(C26:C29)</f>
        <v>65</v>
      </c>
      <c r="T14" s="17">
        <f t="shared" si="6"/>
        <v>8</v>
      </c>
      <c r="U14" s="17">
        <f t="shared" si="6"/>
        <v>12</v>
      </c>
      <c r="V14" s="17">
        <f t="shared" si="6"/>
        <v>32</v>
      </c>
      <c r="W14" s="17">
        <f t="shared" si="6"/>
        <v>1</v>
      </c>
      <c r="X14" s="17">
        <f t="shared" si="6"/>
        <v>1</v>
      </c>
      <c r="Y14" s="17">
        <f t="shared" si="6"/>
        <v>7</v>
      </c>
      <c r="Z14" s="17">
        <f t="shared" si="6"/>
        <v>11</v>
      </c>
      <c r="AA14" s="17">
        <f t="shared" si="6"/>
        <v>0</v>
      </c>
      <c r="AB14" s="17">
        <f t="shared" si="6"/>
        <v>1</v>
      </c>
      <c r="AC14" s="17">
        <f t="shared" si="6"/>
        <v>265</v>
      </c>
      <c r="AD14" s="17">
        <f t="shared" si="6"/>
        <v>0</v>
      </c>
      <c r="AE14" s="31">
        <f t="shared" si="6"/>
        <v>138</v>
      </c>
      <c r="AF14" s="31">
        <f t="shared" si="6"/>
        <v>403</v>
      </c>
    </row>
    <row r="15" spans="2:32" ht="23.1" customHeight="1" x14ac:dyDescent="0.25">
      <c r="B15" s="23" t="s">
        <v>42</v>
      </c>
      <c r="C15" s="50">
        <v>37</v>
      </c>
      <c r="D15" s="50">
        <v>7</v>
      </c>
      <c r="E15" s="50">
        <v>6</v>
      </c>
      <c r="F15" s="50">
        <v>37</v>
      </c>
      <c r="G15" s="50">
        <v>0</v>
      </c>
      <c r="H15" s="50">
        <v>0</v>
      </c>
      <c r="I15" s="50">
        <v>2</v>
      </c>
      <c r="J15" s="50">
        <v>2</v>
      </c>
      <c r="K15" s="50">
        <v>0</v>
      </c>
      <c r="L15" s="50">
        <v>0</v>
      </c>
      <c r="M15" s="50">
        <v>73</v>
      </c>
      <c r="N15" s="50">
        <v>0</v>
      </c>
      <c r="O15" s="15">
        <f t="shared" si="0"/>
        <v>91</v>
      </c>
      <c r="P15" s="15">
        <f t="shared" si="1"/>
        <v>164</v>
      </c>
      <c r="R15" s="1" t="s">
        <v>11</v>
      </c>
      <c r="S15" s="17">
        <f t="shared" ref="S15:AF15" si="7">SUM(C30:C33)</f>
        <v>41</v>
      </c>
      <c r="T15" s="17">
        <f t="shared" si="7"/>
        <v>8</v>
      </c>
      <c r="U15" s="17">
        <f t="shared" si="7"/>
        <v>11</v>
      </c>
      <c r="V15" s="17">
        <f t="shared" si="7"/>
        <v>27</v>
      </c>
      <c r="W15" s="17">
        <f t="shared" si="7"/>
        <v>0</v>
      </c>
      <c r="X15" s="17">
        <f t="shared" si="7"/>
        <v>1</v>
      </c>
      <c r="Y15" s="17">
        <f t="shared" si="7"/>
        <v>8</v>
      </c>
      <c r="Z15" s="17">
        <f t="shared" si="7"/>
        <v>9</v>
      </c>
      <c r="AA15" s="17">
        <f t="shared" si="7"/>
        <v>1</v>
      </c>
      <c r="AB15" s="17">
        <f t="shared" si="7"/>
        <v>0</v>
      </c>
      <c r="AC15" s="17">
        <f t="shared" si="7"/>
        <v>202</v>
      </c>
      <c r="AD15" s="17">
        <f t="shared" si="7"/>
        <v>0</v>
      </c>
      <c r="AE15" s="31">
        <f t="shared" si="7"/>
        <v>106</v>
      </c>
      <c r="AF15" s="31">
        <f t="shared" si="7"/>
        <v>308</v>
      </c>
    </row>
    <row r="16" spans="2:32" ht="23.1" customHeight="1" x14ac:dyDescent="0.25">
      <c r="B16" s="23" t="s">
        <v>43</v>
      </c>
      <c r="C16" s="50">
        <v>39</v>
      </c>
      <c r="D16" s="50">
        <v>5</v>
      </c>
      <c r="E16" s="50">
        <v>2</v>
      </c>
      <c r="F16" s="50">
        <v>21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62</v>
      </c>
      <c r="N16" s="50">
        <v>0</v>
      </c>
      <c r="O16" s="15">
        <f t="shared" si="0"/>
        <v>70</v>
      </c>
      <c r="P16" s="15">
        <f t="shared" si="1"/>
        <v>132</v>
      </c>
      <c r="R16" s="1" t="s">
        <v>12</v>
      </c>
      <c r="S16" s="17">
        <f t="shared" ref="S16:AF16" si="8">SUM(C34:C37)</f>
        <v>46</v>
      </c>
      <c r="T16" s="17">
        <f t="shared" si="8"/>
        <v>3</v>
      </c>
      <c r="U16" s="17">
        <f t="shared" si="8"/>
        <v>10</v>
      </c>
      <c r="V16" s="17">
        <f t="shared" si="8"/>
        <v>19</v>
      </c>
      <c r="W16" s="17">
        <f t="shared" si="8"/>
        <v>0</v>
      </c>
      <c r="X16" s="17">
        <f t="shared" si="8"/>
        <v>0</v>
      </c>
      <c r="Y16" s="17">
        <f t="shared" si="8"/>
        <v>18</v>
      </c>
      <c r="Z16" s="17">
        <f t="shared" si="8"/>
        <v>13</v>
      </c>
      <c r="AA16" s="17">
        <f t="shared" si="8"/>
        <v>2</v>
      </c>
      <c r="AB16" s="17">
        <f t="shared" si="8"/>
        <v>2</v>
      </c>
      <c r="AC16" s="17">
        <f t="shared" si="8"/>
        <v>195</v>
      </c>
      <c r="AD16" s="17">
        <f t="shared" si="8"/>
        <v>0</v>
      </c>
      <c r="AE16" s="31">
        <f t="shared" si="8"/>
        <v>113</v>
      </c>
      <c r="AF16" s="31">
        <f t="shared" si="8"/>
        <v>308</v>
      </c>
    </row>
    <row r="17" spans="2:32" ht="23.1" customHeight="1" x14ac:dyDescent="0.25">
      <c r="B17" s="23" t="s">
        <v>44</v>
      </c>
      <c r="C17" s="50">
        <v>35</v>
      </c>
      <c r="D17" s="50">
        <v>7</v>
      </c>
      <c r="E17" s="50">
        <v>1</v>
      </c>
      <c r="F17" s="50">
        <v>16</v>
      </c>
      <c r="G17" s="50">
        <v>0</v>
      </c>
      <c r="H17" s="50">
        <v>0</v>
      </c>
      <c r="I17" s="50">
        <v>4</v>
      </c>
      <c r="J17" s="50">
        <v>1</v>
      </c>
      <c r="K17" s="50">
        <v>1</v>
      </c>
      <c r="L17" s="50">
        <v>0</v>
      </c>
      <c r="M17" s="50">
        <v>91</v>
      </c>
      <c r="N17" s="50">
        <v>0</v>
      </c>
      <c r="O17" s="15">
        <f t="shared" si="0"/>
        <v>65</v>
      </c>
      <c r="P17" s="15">
        <f t="shared" si="1"/>
        <v>156</v>
      </c>
      <c r="R17" s="1" t="s">
        <v>13</v>
      </c>
      <c r="S17" s="17">
        <f t="shared" ref="S17:AF17" si="9">SUM(C38:C41)</f>
        <v>50</v>
      </c>
      <c r="T17" s="17">
        <f t="shared" si="9"/>
        <v>5</v>
      </c>
      <c r="U17" s="17">
        <f t="shared" si="9"/>
        <v>13</v>
      </c>
      <c r="V17" s="17">
        <f t="shared" si="9"/>
        <v>24</v>
      </c>
      <c r="W17" s="17">
        <f t="shared" si="9"/>
        <v>1</v>
      </c>
      <c r="X17" s="17">
        <f t="shared" si="9"/>
        <v>0</v>
      </c>
      <c r="Y17" s="17">
        <f t="shared" si="9"/>
        <v>7</v>
      </c>
      <c r="Z17" s="17">
        <f t="shared" si="9"/>
        <v>8</v>
      </c>
      <c r="AA17" s="17">
        <f t="shared" si="9"/>
        <v>3</v>
      </c>
      <c r="AB17" s="17">
        <f t="shared" si="9"/>
        <v>0</v>
      </c>
      <c r="AC17" s="17">
        <f t="shared" si="9"/>
        <v>201</v>
      </c>
      <c r="AD17" s="17">
        <f t="shared" si="9"/>
        <v>0</v>
      </c>
      <c r="AE17" s="31">
        <f t="shared" si="9"/>
        <v>111</v>
      </c>
      <c r="AF17" s="31">
        <f t="shared" si="9"/>
        <v>312</v>
      </c>
    </row>
    <row r="18" spans="2:32" ht="23.1" customHeight="1" x14ac:dyDescent="0.25">
      <c r="B18" s="23" t="s">
        <v>45</v>
      </c>
      <c r="C18" s="50">
        <v>28</v>
      </c>
      <c r="D18" s="50">
        <v>7</v>
      </c>
      <c r="E18" s="50">
        <v>7</v>
      </c>
      <c r="F18" s="50">
        <v>13</v>
      </c>
      <c r="G18" s="50">
        <v>0</v>
      </c>
      <c r="H18" s="50">
        <v>0</v>
      </c>
      <c r="I18" s="50">
        <v>1</v>
      </c>
      <c r="J18" s="50">
        <v>1</v>
      </c>
      <c r="K18" s="50">
        <v>0</v>
      </c>
      <c r="L18" s="50">
        <v>0</v>
      </c>
      <c r="M18" s="50">
        <v>76</v>
      </c>
      <c r="N18" s="50">
        <v>0</v>
      </c>
      <c r="O18" s="15">
        <f t="shared" si="0"/>
        <v>57</v>
      </c>
      <c r="P18" s="15">
        <f t="shared" si="1"/>
        <v>133</v>
      </c>
      <c r="R18" s="1" t="s">
        <v>14</v>
      </c>
      <c r="S18" s="17">
        <f t="shared" ref="S18:AF18" si="10">SUM(C42:C45)</f>
        <v>40</v>
      </c>
      <c r="T18" s="17">
        <f t="shared" si="10"/>
        <v>5</v>
      </c>
      <c r="U18" s="17">
        <f t="shared" si="10"/>
        <v>6</v>
      </c>
      <c r="V18" s="17">
        <f t="shared" si="10"/>
        <v>24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6</v>
      </c>
      <c r="AA18" s="17">
        <f t="shared" si="10"/>
        <v>3</v>
      </c>
      <c r="AB18" s="17">
        <f t="shared" si="10"/>
        <v>0</v>
      </c>
      <c r="AC18" s="17">
        <f t="shared" si="10"/>
        <v>162</v>
      </c>
      <c r="AD18" s="17">
        <f t="shared" si="10"/>
        <v>0</v>
      </c>
      <c r="AE18" s="31">
        <f t="shared" si="10"/>
        <v>99</v>
      </c>
      <c r="AF18" s="31">
        <f t="shared" si="10"/>
        <v>261</v>
      </c>
    </row>
    <row r="19" spans="2:32" ht="23.1" customHeight="1" x14ac:dyDescent="0.25">
      <c r="B19" s="23" t="s">
        <v>46</v>
      </c>
      <c r="C19" s="50">
        <v>40</v>
      </c>
      <c r="D19" s="50">
        <v>1</v>
      </c>
      <c r="E19" s="50">
        <v>5</v>
      </c>
      <c r="F19" s="50">
        <v>18</v>
      </c>
      <c r="G19" s="50">
        <v>0</v>
      </c>
      <c r="H19" s="50">
        <v>0</v>
      </c>
      <c r="I19" s="50">
        <v>3</v>
      </c>
      <c r="J19" s="50">
        <v>2</v>
      </c>
      <c r="K19" s="50">
        <v>0</v>
      </c>
      <c r="L19" s="50">
        <v>0</v>
      </c>
      <c r="M19" s="50">
        <v>72</v>
      </c>
      <c r="N19" s="50">
        <v>0</v>
      </c>
      <c r="O19" s="15">
        <f t="shared" si="0"/>
        <v>69</v>
      </c>
      <c r="P19" s="15">
        <f t="shared" si="1"/>
        <v>141</v>
      </c>
      <c r="R19" s="1" t="s">
        <v>15</v>
      </c>
      <c r="S19" s="17">
        <f t="shared" ref="S19:AF19" si="11">SUM(C46:C49)</f>
        <v>43</v>
      </c>
      <c r="T19" s="17">
        <f t="shared" si="11"/>
        <v>6</v>
      </c>
      <c r="U19" s="17">
        <f t="shared" si="11"/>
        <v>11</v>
      </c>
      <c r="V19" s="17">
        <f t="shared" si="11"/>
        <v>23</v>
      </c>
      <c r="W19" s="17">
        <f t="shared" si="11"/>
        <v>1</v>
      </c>
      <c r="X19" s="17">
        <f t="shared" si="11"/>
        <v>1</v>
      </c>
      <c r="Y19" s="17">
        <f t="shared" si="11"/>
        <v>12</v>
      </c>
      <c r="Z19" s="17">
        <f t="shared" si="11"/>
        <v>3</v>
      </c>
      <c r="AA19" s="17">
        <f t="shared" si="11"/>
        <v>0</v>
      </c>
      <c r="AB19" s="17">
        <f t="shared" si="11"/>
        <v>0</v>
      </c>
      <c r="AC19" s="17">
        <f t="shared" si="11"/>
        <v>222</v>
      </c>
      <c r="AD19" s="17">
        <f t="shared" si="11"/>
        <v>0</v>
      </c>
      <c r="AE19" s="31">
        <f t="shared" si="11"/>
        <v>100</v>
      </c>
      <c r="AF19" s="31">
        <f t="shared" si="11"/>
        <v>322</v>
      </c>
    </row>
    <row r="20" spans="2:32" ht="23.1" customHeight="1" x14ac:dyDescent="0.25">
      <c r="B20" s="23" t="s">
        <v>47</v>
      </c>
      <c r="C20" s="50">
        <v>17</v>
      </c>
      <c r="D20" s="50">
        <v>5</v>
      </c>
      <c r="E20" s="50">
        <v>2</v>
      </c>
      <c r="F20" s="50">
        <v>14</v>
      </c>
      <c r="G20" s="50">
        <v>0</v>
      </c>
      <c r="H20" s="50">
        <v>0</v>
      </c>
      <c r="I20" s="50">
        <v>3</v>
      </c>
      <c r="J20" s="50">
        <v>2</v>
      </c>
      <c r="K20" s="50">
        <v>1</v>
      </c>
      <c r="L20" s="50">
        <v>0</v>
      </c>
      <c r="M20" s="50">
        <v>58</v>
      </c>
      <c r="N20" s="50">
        <v>0</v>
      </c>
      <c r="O20" s="15">
        <f t="shared" si="0"/>
        <v>44</v>
      </c>
      <c r="P20" s="15">
        <f t="shared" si="1"/>
        <v>102</v>
      </c>
      <c r="R20" s="1" t="s">
        <v>16</v>
      </c>
      <c r="S20" s="17">
        <f t="shared" ref="S20:AF20" si="12">SUM(C50:C53)</f>
        <v>61</v>
      </c>
      <c r="T20" s="17">
        <f t="shared" si="12"/>
        <v>9</v>
      </c>
      <c r="U20" s="17">
        <f t="shared" si="12"/>
        <v>8</v>
      </c>
      <c r="V20" s="17">
        <f t="shared" si="12"/>
        <v>29</v>
      </c>
      <c r="W20" s="17">
        <f t="shared" si="12"/>
        <v>1</v>
      </c>
      <c r="X20" s="17">
        <f t="shared" si="12"/>
        <v>0</v>
      </c>
      <c r="Y20" s="17">
        <f t="shared" si="12"/>
        <v>8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239</v>
      </c>
      <c r="AD20" s="17">
        <f t="shared" si="12"/>
        <v>1</v>
      </c>
      <c r="AE20" s="31">
        <f t="shared" si="12"/>
        <v>120</v>
      </c>
      <c r="AF20" s="31">
        <f t="shared" si="12"/>
        <v>359</v>
      </c>
    </row>
    <row r="21" spans="2:32" ht="23.1" customHeight="1" x14ac:dyDescent="0.25">
      <c r="B21" s="23" t="s">
        <v>48</v>
      </c>
      <c r="C21" s="50">
        <v>31</v>
      </c>
      <c r="D21" s="50">
        <v>4</v>
      </c>
      <c r="E21" s="50">
        <v>5</v>
      </c>
      <c r="F21" s="50">
        <v>14</v>
      </c>
      <c r="G21" s="50">
        <v>0</v>
      </c>
      <c r="H21" s="50">
        <v>0</v>
      </c>
      <c r="I21" s="50">
        <v>3</v>
      </c>
      <c r="J21" s="50">
        <v>3</v>
      </c>
      <c r="K21" s="50">
        <v>0</v>
      </c>
      <c r="L21" s="50">
        <v>0</v>
      </c>
      <c r="M21" s="50">
        <v>37</v>
      </c>
      <c r="N21" s="50">
        <v>0</v>
      </c>
      <c r="O21" s="15">
        <f t="shared" si="0"/>
        <v>60</v>
      </c>
      <c r="P21" s="15">
        <f t="shared" si="1"/>
        <v>97</v>
      </c>
      <c r="R21" s="36" t="s">
        <v>20</v>
      </c>
      <c r="S21" s="34">
        <f t="shared" ref="S21:AF21" si="13">SUM(C54:C57)</f>
        <v>47</v>
      </c>
      <c r="T21" s="17">
        <f t="shared" si="13"/>
        <v>6</v>
      </c>
      <c r="U21" s="17">
        <f t="shared" si="13"/>
        <v>9</v>
      </c>
      <c r="V21" s="17">
        <f t="shared" si="13"/>
        <v>48</v>
      </c>
      <c r="W21" s="17">
        <f t="shared" si="13"/>
        <v>1</v>
      </c>
      <c r="X21" s="17">
        <f t="shared" si="13"/>
        <v>1</v>
      </c>
      <c r="Y21" s="17">
        <f t="shared" si="13"/>
        <v>11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184</v>
      </c>
      <c r="AD21" s="17">
        <f t="shared" si="13"/>
        <v>0</v>
      </c>
      <c r="AE21" s="31">
        <f t="shared" si="13"/>
        <v>123</v>
      </c>
      <c r="AF21" s="31">
        <f t="shared" si="13"/>
        <v>307</v>
      </c>
    </row>
    <row r="22" spans="2:32" ht="23.1" customHeight="1" x14ac:dyDescent="0.25">
      <c r="B22" s="23" t="s">
        <v>49</v>
      </c>
      <c r="C22" s="50">
        <v>9</v>
      </c>
      <c r="D22" s="50">
        <v>3</v>
      </c>
      <c r="E22" s="50">
        <v>3</v>
      </c>
      <c r="F22" s="50">
        <v>10</v>
      </c>
      <c r="G22" s="50">
        <v>0</v>
      </c>
      <c r="H22" s="50">
        <v>0</v>
      </c>
      <c r="I22" s="50">
        <v>3</v>
      </c>
      <c r="J22" s="50">
        <v>2</v>
      </c>
      <c r="K22" s="50">
        <v>0</v>
      </c>
      <c r="L22" s="50">
        <v>0</v>
      </c>
      <c r="M22" s="50">
        <v>44</v>
      </c>
      <c r="N22" s="50">
        <v>0</v>
      </c>
      <c r="O22" s="15">
        <f t="shared" si="0"/>
        <v>30</v>
      </c>
      <c r="P22" s="15">
        <f t="shared" si="1"/>
        <v>74</v>
      </c>
      <c r="R22" s="38" t="s">
        <v>90</v>
      </c>
      <c r="S22" s="39">
        <f>MAX(S10:S12)</f>
        <v>270</v>
      </c>
      <c r="T22" s="39">
        <f t="shared" ref="T22:AF22" si="14">MAX(T10:T12)</f>
        <v>24</v>
      </c>
      <c r="U22" s="39">
        <f t="shared" si="14"/>
        <v>20</v>
      </c>
      <c r="V22" s="39">
        <f t="shared" si="14"/>
        <v>111</v>
      </c>
      <c r="W22" s="39">
        <f t="shared" si="14"/>
        <v>0</v>
      </c>
      <c r="X22" s="39">
        <f t="shared" si="14"/>
        <v>0</v>
      </c>
      <c r="Y22" s="39">
        <f t="shared" si="14"/>
        <v>11</v>
      </c>
      <c r="Z22" s="39">
        <f t="shared" si="14"/>
        <v>9</v>
      </c>
      <c r="AA22" s="39">
        <f t="shared" si="14"/>
        <v>2</v>
      </c>
      <c r="AB22" s="39">
        <f t="shared" si="14"/>
        <v>1</v>
      </c>
      <c r="AC22" s="39">
        <f t="shared" si="14"/>
        <v>369</v>
      </c>
      <c r="AD22" s="39">
        <f t="shared" si="14"/>
        <v>0</v>
      </c>
      <c r="AE22" s="40">
        <f t="shared" si="14"/>
        <v>414</v>
      </c>
      <c r="AF22" s="40">
        <f t="shared" si="14"/>
        <v>783</v>
      </c>
    </row>
    <row r="23" spans="2:32" ht="23.1" customHeight="1" x14ac:dyDescent="0.25">
      <c r="B23" s="23" t="s">
        <v>50</v>
      </c>
      <c r="C23" s="50">
        <v>21</v>
      </c>
      <c r="D23" s="50">
        <v>0</v>
      </c>
      <c r="E23" s="50">
        <v>6</v>
      </c>
      <c r="F23" s="50">
        <v>13</v>
      </c>
      <c r="G23" s="50">
        <v>0</v>
      </c>
      <c r="H23" s="50">
        <v>0</v>
      </c>
      <c r="I23" s="50">
        <v>3</v>
      </c>
      <c r="J23" s="50">
        <v>5</v>
      </c>
      <c r="K23" s="50">
        <v>0</v>
      </c>
      <c r="L23" s="50">
        <v>0</v>
      </c>
      <c r="M23" s="50">
        <v>61</v>
      </c>
      <c r="N23" s="50">
        <v>0</v>
      </c>
      <c r="O23" s="15">
        <f t="shared" si="0"/>
        <v>48</v>
      </c>
      <c r="P23" s="15">
        <f t="shared" si="1"/>
        <v>109</v>
      </c>
      <c r="R23" s="38" t="s">
        <v>91</v>
      </c>
      <c r="S23" s="39">
        <f>MAX(S13:S18)</f>
        <v>69</v>
      </c>
      <c r="T23" s="39">
        <f t="shared" ref="T23:AF23" si="15">MAX(T13:T18)</f>
        <v>8</v>
      </c>
      <c r="U23" s="39">
        <f t="shared" si="15"/>
        <v>13</v>
      </c>
      <c r="V23" s="39">
        <f t="shared" si="15"/>
        <v>40</v>
      </c>
      <c r="W23" s="39">
        <f t="shared" si="15"/>
        <v>1</v>
      </c>
      <c r="X23" s="39">
        <f t="shared" si="15"/>
        <v>1</v>
      </c>
      <c r="Y23" s="39">
        <f t="shared" si="15"/>
        <v>18</v>
      </c>
      <c r="Z23" s="39">
        <f t="shared" si="15"/>
        <v>13</v>
      </c>
      <c r="AA23" s="39">
        <f t="shared" si="15"/>
        <v>3</v>
      </c>
      <c r="AB23" s="39">
        <f t="shared" si="15"/>
        <v>43</v>
      </c>
      <c r="AC23" s="39">
        <f t="shared" si="15"/>
        <v>265</v>
      </c>
      <c r="AD23" s="39">
        <f t="shared" si="15"/>
        <v>0</v>
      </c>
      <c r="AE23" s="40">
        <f t="shared" si="15"/>
        <v>198</v>
      </c>
      <c r="AF23" s="40">
        <f t="shared" si="15"/>
        <v>403</v>
      </c>
    </row>
    <row r="24" spans="2:32" ht="23.1" customHeight="1" x14ac:dyDescent="0.25">
      <c r="B24" s="23" t="s">
        <v>51</v>
      </c>
      <c r="C24" s="50">
        <v>23</v>
      </c>
      <c r="D24" s="50">
        <v>2</v>
      </c>
      <c r="E24" s="50">
        <v>2</v>
      </c>
      <c r="F24" s="50">
        <v>10</v>
      </c>
      <c r="G24" s="50">
        <v>0</v>
      </c>
      <c r="H24" s="50">
        <v>0</v>
      </c>
      <c r="I24" s="50">
        <v>2</v>
      </c>
      <c r="J24" s="50">
        <v>2</v>
      </c>
      <c r="K24" s="50">
        <v>1</v>
      </c>
      <c r="L24" s="50">
        <v>1</v>
      </c>
      <c r="M24" s="50">
        <v>61</v>
      </c>
      <c r="N24" s="50">
        <v>0</v>
      </c>
      <c r="O24" s="15">
        <f t="shared" si="0"/>
        <v>43</v>
      </c>
      <c r="P24" s="15">
        <f t="shared" si="1"/>
        <v>104</v>
      </c>
      <c r="R24" s="38" t="s">
        <v>92</v>
      </c>
      <c r="S24" s="39">
        <f>MAX(S19:S21)</f>
        <v>61</v>
      </c>
      <c r="T24" s="39">
        <f t="shared" ref="T24:AF24" si="16">MAX(T19:T21)</f>
        <v>9</v>
      </c>
      <c r="U24" s="39">
        <f t="shared" si="16"/>
        <v>11</v>
      </c>
      <c r="V24" s="39">
        <f t="shared" si="16"/>
        <v>48</v>
      </c>
      <c r="W24" s="39">
        <f t="shared" si="16"/>
        <v>1</v>
      </c>
      <c r="X24" s="39">
        <f t="shared" si="16"/>
        <v>1</v>
      </c>
      <c r="Y24" s="39">
        <f t="shared" si="16"/>
        <v>12</v>
      </c>
      <c r="Z24" s="39">
        <f t="shared" si="16"/>
        <v>3</v>
      </c>
      <c r="AA24" s="39">
        <f t="shared" si="16"/>
        <v>0</v>
      </c>
      <c r="AB24" s="39">
        <f t="shared" si="16"/>
        <v>0</v>
      </c>
      <c r="AC24" s="39">
        <f t="shared" si="16"/>
        <v>239</v>
      </c>
      <c r="AD24" s="39">
        <f t="shared" si="16"/>
        <v>1</v>
      </c>
      <c r="AE24" s="40">
        <f t="shared" si="16"/>
        <v>123</v>
      </c>
      <c r="AF24" s="40">
        <f t="shared" si="16"/>
        <v>359</v>
      </c>
    </row>
    <row r="25" spans="2:32" ht="23.1" customHeight="1" x14ac:dyDescent="0.25">
      <c r="B25" s="23" t="s">
        <v>52</v>
      </c>
      <c r="C25" s="50">
        <v>16</v>
      </c>
      <c r="D25" s="50">
        <v>1</v>
      </c>
      <c r="E25" s="50">
        <v>2</v>
      </c>
      <c r="F25" s="50">
        <v>7</v>
      </c>
      <c r="G25" s="50">
        <v>0</v>
      </c>
      <c r="H25" s="50">
        <v>0</v>
      </c>
      <c r="I25" s="50">
        <v>5</v>
      </c>
      <c r="J25" s="50">
        <v>3</v>
      </c>
      <c r="K25" s="50">
        <v>1</v>
      </c>
      <c r="L25" s="50">
        <v>42</v>
      </c>
      <c r="M25" s="50">
        <v>0</v>
      </c>
      <c r="N25" s="50">
        <v>0</v>
      </c>
      <c r="O25" s="15">
        <f t="shared" si="0"/>
        <v>77</v>
      </c>
      <c r="P25" s="15">
        <f t="shared" si="1"/>
        <v>77</v>
      </c>
      <c r="R25" s="37" t="s">
        <v>85</v>
      </c>
      <c r="S25" s="35">
        <f t="shared" ref="S25:AF25" si="17">SUM(S10:S12)</f>
        <v>565</v>
      </c>
      <c r="T25" s="16">
        <f t="shared" si="17"/>
        <v>54</v>
      </c>
      <c r="U25" s="16">
        <f t="shared" si="17"/>
        <v>55</v>
      </c>
      <c r="V25" s="16">
        <f t="shared" si="17"/>
        <v>270</v>
      </c>
      <c r="W25" s="16">
        <f t="shared" si="17"/>
        <v>0</v>
      </c>
      <c r="X25" s="16">
        <f t="shared" si="17"/>
        <v>0</v>
      </c>
      <c r="Y25" s="16">
        <f t="shared" si="17"/>
        <v>27</v>
      </c>
      <c r="Z25" s="16">
        <f t="shared" si="17"/>
        <v>19</v>
      </c>
      <c r="AA25" s="16">
        <f t="shared" si="17"/>
        <v>5</v>
      </c>
      <c r="AB25" s="16">
        <f t="shared" si="17"/>
        <v>1</v>
      </c>
      <c r="AC25" s="16">
        <f t="shared" si="17"/>
        <v>950</v>
      </c>
      <c r="AD25" s="16">
        <f t="shared" si="17"/>
        <v>0</v>
      </c>
      <c r="AE25" s="32">
        <f t="shared" si="17"/>
        <v>996</v>
      </c>
      <c r="AF25" s="32">
        <f t="shared" si="17"/>
        <v>1946</v>
      </c>
    </row>
    <row r="26" spans="2:32" ht="23.1" customHeight="1" x14ac:dyDescent="0.25">
      <c r="B26" s="23" t="s">
        <v>53</v>
      </c>
      <c r="C26" s="50">
        <v>19</v>
      </c>
      <c r="D26" s="50">
        <v>2</v>
      </c>
      <c r="E26" s="50">
        <v>3</v>
      </c>
      <c r="F26" s="50">
        <v>7</v>
      </c>
      <c r="G26" s="50">
        <v>0</v>
      </c>
      <c r="H26" s="50">
        <v>0</v>
      </c>
      <c r="I26" s="50">
        <v>3</v>
      </c>
      <c r="J26" s="50">
        <v>2</v>
      </c>
      <c r="K26" s="50">
        <v>0</v>
      </c>
      <c r="L26" s="50">
        <v>1</v>
      </c>
      <c r="M26" s="50">
        <v>52</v>
      </c>
      <c r="N26" s="50">
        <v>0</v>
      </c>
      <c r="O26" s="15">
        <f t="shared" si="0"/>
        <v>37</v>
      </c>
      <c r="P26" s="15">
        <f t="shared" si="1"/>
        <v>89</v>
      </c>
      <c r="R26" s="28" t="s">
        <v>86</v>
      </c>
      <c r="S26" s="16">
        <f t="shared" ref="S26:AF26" si="18">SUM(S13:S18)</f>
        <v>311</v>
      </c>
      <c r="T26" s="16">
        <f t="shared" si="18"/>
        <v>35</v>
      </c>
      <c r="U26" s="16">
        <f t="shared" si="18"/>
        <v>65</v>
      </c>
      <c r="V26" s="16">
        <f t="shared" si="18"/>
        <v>166</v>
      </c>
      <c r="W26" s="16">
        <f t="shared" si="18"/>
        <v>2</v>
      </c>
      <c r="X26" s="16">
        <f t="shared" si="18"/>
        <v>2</v>
      </c>
      <c r="Y26" s="16">
        <f t="shared" si="18"/>
        <v>68</v>
      </c>
      <c r="Z26" s="16">
        <f t="shared" si="18"/>
        <v>59</v>
      </c>
      <c r="AA26" s="16">
        <f t="shared" si="18"/>
        <v>11</v>
      </c>
      <c r="AB26" s="16">
        <f t="shared" si="18"/>
        <v>46</v>
      </c>
      <c r="AC26" s="16">
        <f t="shared" si="18"/>
        <v>1191</v>
      </c>
      <c r="AD26" s="16">
        <f t="shared" si="18"/>
        <v>0</v>
      </c>
      <c r="AE26" s="32">
        <f t="shared" si="18"/>
        <v>765</v>
      </c>
      <c r="AF26" s="32">
        <f t="shared" si="18"/>
        <v>1956</v>
      </c>
    </row>
    <row r="27" spans="2:32" ht="23.1" customHeight="1" x14ac:dyDescent="0.25">
      <c r="B27" s="23" t="s">
        <v>54</v>
      </c>
      <c r="C27" s="50">
        <v>11</v>
      </c>
      <c r="D27" s="50">
        <v>0</v>
      </c>
      <c r="E27" s="50">
        <v>1</v>
      </c>
      <c r="F27" s="50">
        <v>12</v>
      </c>
      <c r="G27" s="50">
        <v>1</v>
      </c>
      <c r="H27" s="50">
        <v>0</v>
      </c>
      <c r="I27" s="50">
        <v>0</v>
      </c>
      <c r="J27" s="50">
        <v>5</v>
      </c>
      <c r="K27" s="50">
        <v>0</v>
      </c>
      <c r="L27" s="50">
        <v>0</v>
      </c>
      <c r="M27" s="50">
        <v>83</v>
      </c>
      <c r="N27" s="50">
        <v>0</v>
      </c>
      <c r="O27" s="15">
        <f t="shared" si="0"/>
        <v>30</v>
      </c>
      <c r="P27" s="15">
        <f t="shared" si="1"/>
        <v>113</v>
      </c>
      <c r="R27" s="29" t="s">
        <v>87</v>
      </c>
      <c r="S27" s="16">
        <f t="shared" ref="S27:AF27" si="19">SUM(S19:S21)</f>
        <v>151</v>
      </c>
      <c r="T27" s="16">
        <f t="shared" si="19"/>
        <v>21</v>
      </c>
      <c r="U27" s="16">
        <f t="shared" si="19"/>
        <v>28</v>
      </c>
      <c r="V27" s="16">
        <f t="shared" si="19"/>
        <v>100</v>
      </c>
      <c r="W27" s="16">
        <f t="shared" si="19"/>
        <v>3</v>
      </c>
      <c r="X27" s="16">
        <f t="shared" si="19"/>
        <v>2</v>
      </c>
      <c r="Y27" s="16">
        <f t="shared" si="19"/>
        <v>31</v>
      </c>
      <c r="Z27" s="16">
        <f t="shared" si="19"/>
        <v>6</v>
      </c>
      <c r="AA27" s="16">
        <f t="shared" si="19"/>
        <v>0</v>
      </c>
      <c r="AB27" s="16">
        <f t="shared" si="19"/>
        <v>0</v>
      </c>
      <c r="AC27" s="16">
        <f t="shared" si="19"/>
        <v>645</v>
      </c>
      <c r="AD27" s="16">
        <f t="shared" si="19"/>
        <v>1</v>
      </c>
      <c r="AE27" s="32">
        <f t="shared" si="19"/>
        <v>343</v>
      </c>
      <c r="AF27" s="32">
        <f t="shared" si="19"/>
        <v>988</v>
      </c>
    </row>
    <row r="28" spans="2:32" ht="23.1" customHeight="1" x14ac:dyDescent="0.25">
      <c r="B28" s="23" t="s">
        <v>55</v>
      </c>
      <c r="C28" s="50">
        <v>13</v>
      </c>
      <c r="D28" s="50">
        <v>3</v>
      </c>
      <c r="E28" s="50">
        <v>6</v>
      </c>
      <c r="F28" s="50">
        <v>4</v>
      </c>
      <c r="G28" s="50">
        <v>0</v>
      </c>
      <c r="H28" s="50">
        <v>0</v>
      </c>
      <c r="I28" s="50">
        <v>3</v>
      </c>
      <c r="J28" s="50">
        <v>2</v>
      </c>
      <c r="K28" s="50">
        <v>0</v>
      </c>
      <c r="L28" s="50">
        <v>0</v>
      </c>
      <c r="M28" s="50">
        <v>62</v>
      </c>
      <c r="N28" s="50">
        <v>0</v>
      </c>
      <c r="O28" s="15">
        <f t="shared" si="0"/>
        <v>31</v>
      </c>
      <c r="P28" s="15">
        <f t="shared" si="1"/>
        <v>93</v>
      </c>
      <c r="R28" s="5" t="s">
        <v>17</v>
      </c>
      <c r="S28" s="16">
        <f t="shared" ref="S28:AF28" si="20">SUM(S10:S21)</f>
        <v>1027</v>
      </c>
      <c r="T28" s="16">
        <f t="shared" si="20"/>
        <v>110</v>
      </c>
      <c r="U28" s="16">
        <f t="shared" si="20"/>
        <v>148</v>
      </c>
      <c r="V28" s="16">
        <f t="shared" si="20"/>
        <v>536</v>
      </c>
      <c r="W28" s="16">
        <f t="shared" si="20"/>
        <v>5</v>
      </c>
      <c r="X28" s="16">
        <f t="shared" si="20"/>
        <v>4</v>
      </c>
      <c r="Y28" s="16">
        <f t="shared" si="20"/>
        <v>126</v>
      </c>
      <c r="Z28" s="16">
        <f t="shared" si="20"/>
        <v>84</v>
      </c>
      <c r="AA28" s="16">
        <f t="shared" si="20"/>
        <v>16</v>
      </c>
      <c r="AB28" s="16">
        <f t="shared" si="20"/>
        <v>47</v>
      </c>
      <c r="AC28" s="16">
        <f t="shared" si="20"/>
        <v>2786</v>
      </c>
      <c r="AD28" s="16">
        <f t="shared" si="20"/>
        <v>1</v>
      </c>
      <c r="AE28" s="32">
        <f t="shared" si="20"/>
        <v>2104</v>
      </c>
      <c r="AF28" s="32">
        <f t="shared" si="20"/>
        <v>4890</v>
      </c>
    </row>
    <row r="29" spans="2:32" ht="23.1" customHeight="1" x14ac:dyDescent="0.25">
      <c r="B29" s="23" t="s">
        <v>56</v>
      </c>
      <c r="C29" s="50">
        <v>22</v>
      </c>
      <c r="D29" s="50">
        <v>3</v>
      </c>
      <c r="E29" s="50">
        <v>2</v>
      </c>
      <c r="F29" s="50">
        <v>9</v>
      </c>
      <c r="G29" s="50">
        <v>0</v>
      </c>
      <c r="H29" s="50">
        <v>1</v>
      </c>
      <c r="I29" s="50">
        <v>1</v>
      </c>
      <c r="J29" s="50">
        <v>2</v>
      </c>
      <c r="K29" s="50">
        <v>0</v>
      </c>
      <c r="L29" s="50">
        <v>0</v>
      </c>
      <c r="M29" s="50">
        <v>68</v>
      </c>
      <c r="N29" s="50">
        <v>0</v>
      </c>
      <c r="O29" s="15">
        <f t="shared" si="0"/>
        <v>40</v>
      </c>
      <c r="P29" s="15">
        <f t="shared" si="1"/>
        <v>108</v>
      </c>
      <c r="R29"/>
      <c r="S29" s="20"/>
      <c r="T29" s="19"/>
    </row>
    <row r="30" spans="2:32" ht="23.1" customHeight="1" x14ac:dyDescent="0.25">
      <c r="B30" s="23" t="s">
        <v>57</v>
      </c>
      <c r="C30" s="50">
        <v>10</v>
      </c>
      <c r="D30" s="50">
        <v>5</v>
      </c>
      <c r="E30" s="50">
        <v>2</v>
      </c>
      <c r="F30" s="50">
        <v>7</v>
      </c>
      <c r="G30" s="50">
        <v>0</v>
      </c>
      <c r="H30" s="50">
        <v>0</v>
      </c>
      <c r="I30" s="50">
        <v>2</v>
      </c>
      <c r="J30" s="50">
        <v>4</v>
      </c>
      <c r="K30" s="50">
        <v>0</v>
      </c>
      <c r="L30" s="50">
        <v>0</v>
      </c>
      <c r="M30" s="50">
        <v>45</v>
      </c>
      <c r="N30" s="50">
        <v>0</v>
      </c>
      <c r="O30" s="15">
        <f t="shared" si="0"/>
        <v>30</v>
      </c>
      <c r="P30" s="15">
        <f t="shared" si="1"/>
        <v>75</v>
      </c>
    </row>
    <row r="31" spans="2:32" ht="23.1" customHeight="1" x14ac:dyDescent="0.25">
      <c r="B31" s="24" t="s">
        <v>58</v>
      </c>
      <c r="C31" s="50">
        <v>13</v>
      </c>
      <c r="D31" s="50">
        <v>1</v>
      </c>
      <c r="E31" s="50">
        <v>2</v>
      </c>
      <c r="F31" s="50">
        <v>8</v>
      </c>
      <c r="G31" s="50">
        <v>0</v>
      </c>
      <c r="H31" s="50">
        <v>0</v>
      </c>
      <c r="I31" s="50">
        <v>2</v>
      </c>
      <c r="J31" s="50">
        <v>1</v>
      </c>
      <c r="K31" s="50">
        <v>1</v>
      </c>
      <c r="L31" s="50">
        <v>0</v>
      </c>
      <c r="M31" s="50">
        <v>47</v>
      </c>
      <c r="N31" s="50">
        <v>0</v>
      </c>
      <c r="O31" s="15">
        <f t="shared" si="0"/>
        <v>28</v>
      </c>
      <c r="P31" s="15">
        <f t="shared" si="1"/>
        <v>75</v>
      </c>
    </row>
    <row r="32" spans="2:32" ht="23.1" customHeight="1" x14ac:dyDescent="0.25">
      <c r="B32" s="24" t="s">
        <v>59</v>
      </c>
      <c r="C32" s="50">
        <v>12</v>
      </c>
      <c r="D32" s="50">
        <v>0</v>
      </c>
      <c r="E32" s="50">
        <v>5</v>
      </c>
      <c r="F32" s="50">
        <v>5</v>
      </c>
      <c r="G32" s="50">
        <v>0</v>
      </c>
      <c r="H32" s="50">
        <v>1</v>
      </c>
      <c r="I32" s="50">
        <v>2</v>
      </c>
      <c r="J32" s="50">
        <v>2</v>
      </c>
      <c r="K32" s="50">
        <v>0</v>
      </c>
      <c r="L32" s="50">
        <v>0</v>
      </c>
      <c r="M32" s="50">
        <v>55</v>
      </c>
      <c r="N32" s="50">
        <v>0</v>
      </c>
      <c r="O32" s="15">
        <f t="shared" si="0"/>
        <v>27</v>
      </c>
      <c r="P32" s="15">
        <f t="shared" si="1"/>
        <v>82</v>
      </c>
    </row>
    <row r="33" spans="2:20" ht="23.1" customHeight="1" x14ac:dyDescent="0.25">
      <c r="B33" s="23" t="s">
        <v>60</v>
      </c>
      <c r="C33" s="50">
        <v>6</v>
      </c>
      <c r="D33" s="50">
        <v>2</v>
      </c>
      <c r="E33" s="50">
        <v>2</v>
      </c>
      <c r="F33" s="50">
        <v>7</v>
      </c>
      <c r="G33" s="50">
        <v>0</v>
      </c>
      <c r="H33" s="50">
        <v>0</v>
      </c>
      <c r="I33" s="50">
        <v>2</v>
      </c>
      <c r="J33" s="50">
        <v>2</v>
      </c>
      <c r="K33" s="50">
        <v>0</v>
      </c>
      <c r="L33" s="50">
        <v>0</v>
      </c>
      <c r="M33" s="50">
        <v>55</v>
      </c>
      <c r="N33" s="50">
        <v>0</v>
      </c>
      <c r="O33" s="15">
        <f t="shared" si="0"/>
        <v>21</v>
      </c>
      <c r="P33" s="15">
        <f t="shared" si="1"/>
        <v>76</v>
      </c>
    </row>
    <row r="34" spans="2:20" ht="23.1" customHeight="1" x14ac:dyDescent="0.25">
      <c r="B34" s="24" t="s">
        <v>61</v>
      </c>
      <c r="C34" s="50">
        <v>10</v>
      </c>
      <c r="D34" s="50">
        <v>1</v>
      </c>
      <c r="E34" s="50">
        <v>1</v>
      </c>
      <c r="F34" s="50">
        <v>5</v>
      </c>
      <c r="G34" s="50">
        <v>0</v>
      </c>
      <c r="H34" s="50">
        <v>0</v>
      </c>
      <c r="I34" s="50">
        <v>3</v>
      </c>
      <c r="J34" s="50">
        <v>3</v>
      </c>
      <c r="K34" s="50">
        <v>0</v>
      </c>
      <c r="L34" s="50">
        <v>0</v>
      </c>
      <c r="M34" s="50">
        <v>55</v>
      </c>
      <c r="N34" s="50">
        <v>0</v>
      </c>
      <c r="O34" s="15">
        <f t="shared" si="0"/>
        <v>23</v>
      </c>
      <c r="P34" s="15">
        <f t="shared" si="1"/>
        <v>78</v>
      </c>
    </row>
    <row r="35" spans="2:20" ht="23.1" customHeight="1" x14ac:dyDescent="0.25">
      <c r="B35" s="24" t="s">
        <v>62</v>
      </c>
      <c r="C35" s="50">
        <v>17</v>
      </c>
      <c r="D35" s="50">
        <v>1</v>
      </c>
      <c r="E35" s="50">
        <v>2</v>
      </c>
      <c r="F35" s="50">
        <v>8</v>
      </c>
      <c r="G35" s="50">
        <v>0</v>
      </c>
      <c r="H35" s="50">
        <v>0</v>
      </c>
      <c r="I35" s="50">
        <v>3</v>
      </c>
      <c r="J35" s="50">
        <v>6</v>
      </c>
      <c r="K35" s="50">
        <v>0</v>
      </c>
      <c r="L35" s="50">
        <v>1</v>
      </c>
      <c r="M35" s="50">
        <v>57</v>
      </c>
      <c r="N35" s="50">
        <v>0</v>
      </c>
      <c r="O35" s="15">
        <f t="shared" si="0"/>
        <v>38</v>
      </c>
      <c r="P35" s="15">
        <f t="shared" si="1"/>
        <v>95</v>
      </c>
    </row>
    <row r="36" spans="2:20" ht="23.1" customHeight="1" x14ac:dyDescent="0.25">
      <c r="B36" s="24" t="s">
        <v>63</v>
      </c>
      <c r="C36" s="50">
        <v>8</v>
      </c>
      <c r="D36" s="50">
        <v>1</v>
      </c>
      <c r="E36" s="50">
        <v>2</v>
      </c>
      <c r="F36" s="50">
        <v>4</v>
      </c>
      <c r="G36" s="50">
        <v>0</v>
      </c>
      <c r="H36" s="50">
        <v>0</v>
      </c>
      <c r="I36" s="50">
        <v>5</v>
      </c>
      <c r="J36" s="50">
        <v>2</v>
      </c>
      <c r="K36" s="50">
        <v>1</v>
      </c>
      <c r="L36" s="50">
        <v>0</v>
      </c>
      <c r="M36" s="50">
        <v>52</v>
      </c>
      <c r="N36" s="50">
        <v>0</v>
      </c>
      <c r="O36" s="15">
        <f t="shared" si="0"/>
        <v>23</v>
      </c>
      <c r="P36" s="15">
        <f t="shared" si="1"/>
        <v>75</v>
      </c>
    </row>
    <row r="37" spans="2:20" ht="23.1" customHeight="1" x14ac:dyDescent="0.25">
      <c r="B37" s="23" t="s">
        <v>64</v>
      </c>
      <c r="C37" s="50">
        <v>11</v>
      </c>
      <c r="D37" s="50">
        <v>0</v>
      </c>
      <c r="E37" s="50">
        <v>5</v>
      </c>
      <c r="F37" s="50">
        <v>2</v>
      </c>
      <c r="G37" s="50">
        <v>0</v>
      </c>
      <c r="H37" s="50">
        <v>0</v>
      </c>
      <c r="I37" s="50">
        <v>7</v>
      </c>
      <c r="J37" s="50">
        <v>2</v>
      </c>
      <c r="K37" s="50">
        <v>1</v>
      </c>
      <c r="L37" s="50">
        <v>1</v>
      </c>
      <c r="M37" s="50">
        <v>31</v>
      </c>
      <c r="N37" s="50">
        <v>0</v>
      </c>
      <c r="O37" s="15">
        <f t="shared" si="0"/>
        <v>29</v>
      </c>
      <c r="P37" s="15">
        <f t="shared" si="1"/>
        <v>60</v>
      </c>
    </row>
    <row r="38" spans="2:20" ht="23.1" customHeight="1" x14ac:dyDescent="0.25">
      <c r="B38" s="24" t="s">
        <v>65</v>
      </c>
      <c r="C38" s="50">
        <v>10</v>
      </c>
      <c r="D38" s="50">
        <v>0</v>
      </c>
      <c r="E38" s="50">
        <v>0</v>
      </c>
      <c r="F38" s="50">
        <v>4</v>
      </c>
      <c r="G38" s="50">
        <v>0</v>
      </c>
      <c r="H38" s="50">
        <v>0</v>
      </c>
      <c r="I38" s="50">
        <v>1</v>
      </c>
      <c r="J38" s="50">
        <v>1</v>
      </c>
      <c r="K38" s="50">
        <v>0</v>
      </c>
      <c r="L38" s="50">
        <v>0</v>
      </c>
      <c r="M38" s="50">
        <v>38</v>
      </c>
      <c r="N38" s="50">
        <v>0</v>
      </c>
      <c r="O38" s="15">
        <f t="shared" si="0"/>
        <v>16</v>
      </c>
      <c r="P38" s="15">
        <f t="shared" si="1"/>
        <v>54</v>
      </c>
    </row>
    <row r="39" spans="2:20" ht="23.1" customHeight="1" x14ac:dyDescent="0.25">
      <c r="B39" s="24" t="s">
        <v>66</v>
      </c>
      <c r="C39" s="50">
        <v>15</v>
      </c>
      <c r="D39" s="50">
        <v>1</v>
      </c>
      <c r="E39" s="50">
        <v>4</v>
      </c>
      <c r="F39" s="50">
        <v>10</v>
      </c>
      <c r="G39" s="50">
        <v>1</v>
      </c>
      <c r="H39" s="50">
        <v>0</v>
      </c>
      <c r="I39" s="50">
        <v>3</v>
      </c>
      <c r="J39" s="50">
        <v>2</v>
      </c>
      <c r="K39" s="50">
        <v>1</v>
      </c>
      <c r="L39" s="50">
        <v>0</v>
      </c>
      <c r="M39" s="50">
        <v>47</v>
      </c>
      <c r="N39" s="50">
        <v>0</v>
      </c>
      <c r="O39" s="15">
        <f t="shared" si="0"/>
        <v>37</v>
      </c>
      <c r="P39" s="15">
        <f t="shared" si="1"/>
        <v>84</v>
      </c>
    </row>
    <row r="40" spans="2:20" ht="23.1" customHeight="1" x14ac:dyDescent="0.25">
      <c r="B40" s="24" t="s">
        <v>67</v>
      </c>
      <c r="C40" s="50">
        <v>10</v>
      </c>
      <c r="D40" s="50">
        <v>4</v>
      </c>
      <c r="E40" s="50">
        <v>5</v>
      </c>
      <c r="F40" s="50">
        <v>4</v>
      </c>
      <c r="G40" s="50">
        <v>0</v>
      </c>
      <c r="H40" s="50">
        <v>0</v>
      </c>
      <c r="I40" s="50">
        <v>1</v>
      </c>
      <c r="J40" s="50">
        <v>3</v>
      </c>
      <c r="K40" s="50">
        <v>0</v>
      </c>
      <c r="L40" s="50">
        <v>0</v>
      </c>
      <c r="M40" s="50">
        <v>60</v>
      </c>
      <c r="N40" s="50">
        <v>0</v>
      </c>
      <c r="O40" s="15">
        <f t="shared" si="0"/>
        <v>27</v>
      </c>
      <c r="P40" s="15">
        <f t="shared" si="1"/>
        <v>87</v>
      </c>
    </row>
    <row r="41" spans="2:20" ht="23.1" customHeight="1" x14ac:dyDescent="0.25">
      <c r="B41" s="23" t="s">
        <v>68</v>
      </c>
      <c r="C41" s="50">
        <v>15</v>
      </c>
      <c r="D41" s="50">
        <v>0</v>
      </c>
      <c r="E41" s="50">
        <v>4</v>
      </c>
      <c r="F41" s="50">
        <v>6</v>
      </c>
      <c r="G41" s="50">
        <v>0</v>
      </c>
      <c r="H41" s="50">
        <v>0</v>
      </c>
      <c r="I41" s="50">
        <v>2</v>
      </c>
      <c r="J41" s="50">
        <v>2</v>
      </c>
      <c r="K41" s="50">
        <v>2</v>
      </c>
      <c r="L41" s="50">
        <v>0</v>
      </c>
      <c r="M41" s="50">
        <v>56</v>
      </c>
      <c r="N41" s="50">
        <v>0</v>
      </c>
      <c r="O41" s="15">
        <f t="shared" si="0"/>
        <v>31</v>
      </c>
      <c r="P41" s="15">
        <f t="shared" si="1"/>
        <v>87</v>
      </c>
    </row>
    <row r="42" spans="2:20" ht="23.1" customHeight="1" x14ac:dyDescent="0.25">
      <c r="B42" s="24" t="s">
        <v>69</v>
      </c>
      <c r="C42" s="50">
        <v>11</v>
      </c>
      <c r="D42" s="50">
        <v>0</v>
      </c>
      <c r="E42" s="50">
        <v>1</v>
      </c>
      <c r="F42" s="50">
        <v>5</v>
      </c>
      <c r="G42" s="50">
        <v>0</v>
      </c>
      <c r="H42" s="50">
        <v>0</v>
      </c>
      <c r="I42" s="50">
        <v>3</v>
      </c>
      <c r="J42" s="50">
        <v>0</v>
      </c>
      <c r="K42" s="50">
        <v>1</v>
      </c>
      <c r="L42" s="50">
        <v>0</v>
      </c>
      <c r="M42" s="50">
        <v>29</v>
      </c>
      <c r="N42" s="50">
        <v>0</v>
      </c>
      <c r="O42" s="15">
        <f t="shared" si="0"/>
        <v>21</v>
      </c>
      <c r="P42" s="15">
        <f t="shared" si="1"/>
        <v>50</v>
      </c>
    </row>
    <row r="43" spans="2:20" ht="23.1" customHeight="1" x14ac:dyDescent="0.25">
      <c r="B43" s="23" t="s">
        <v>70</v>
      </c>
      <c r="C43" s="50">
        <v>9</v>
      </c>
      <c r="D43" s="50">
        <v>2</v>
      </c>
      <c r="E43" s="50">
        <v>1</v>
      </c>
      <c r="F43" s="50">
        <v>6</v>
      </c>
      <c r="G43" s="50">
        <v>0</v>
      </c>
      <c r="H43" s="50">
        <v>0</v>
      </c>
      <c r="I43" s="50">
        <v>1</v>
      </c>
      <c r="J43" s="50">
        <v>2</v>
      </c>
      <c r="K43" s="50">
        <v>2</v>
      </c>
      <c r="L43" s="50">
        <v>0</v>
      </c>
      <c r="M43" s="50">
        <v>27</v>
      </c>
      <c r="N43" s="50">
        <v>0</v>
      </c>
      <c r="O43" s="15">
        <f t="shared" si="0"/>
        <v>23</v>
      </c>
      <c r="P43" s="15">
        <f t="shared" si="1"/>
        <v>50</v>
      </c>
    </row>
    <row r="44" spans="2:20" ht="23.1" customHeight="1" x14ac:dyDescent="0.25">
      <c r="B44" s="25" t="s">
        <v>71</v>
      </c>
      <c r="C44" s="50">
        <v>12</v>
      </c>
      <c r="D44" s="50">
        <v>3</v>
      </c>
      <c r="E44" s="50">
        <v>1</v>
      </c>
      <c r="F44" s="50">
        <v>10</v>
      </c>
      <c r="G44" s="50">
        <v>0</v>
      </c>
      <c r="H44" s="50">
        <v>0</v>
      </c>
      <c r="I44" s="50">
        <v>8</v>
      </c>
      <c r="J44" s="50">
        <v>4</v>
      </c>
      <c r="K44" s="50">
        <v>0</v>
      </c>
      <c r="L44" s="50">
        <v>0</v>
      </c>
      <c r="M44" s="50">
        <v>47</v>
      </c>
      <c r="N44" s="50">
        <v>0</v>
      </c>
      <c r="O44" s="15">
        <f t="shared" si="0"/>
        <v>38</v>
      </c>
      <c r="P44" s="15">
        <f t="shared" si="1"/>
        <v>85</v>
      </c>
    </row>
    <row r="45" spans="2:20" ht="23.1" customHeight="1" x14ac:dyDescent="0.25">
      <c r="B45" s="23" t="s">
        <v>72</v>
      </c>
      <c r="C45" s="50">
        <v>8</v>
      </c>
      <c r="D45" s="50">
        <v>0</v>
      </c>
      <c r="E45" s="50">
        <v>3</v>
      </c>
      <c r="F45" s="50">
        <v>3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59</v>
      </c>
      <c r="N45" s="50">
        <v>0</v>
      </c>
      <c r="O45" s="15">
        <f t="shared" si="0"/>
        <v>17</v>
      </c>
      <c r="P45" s="15">
        <f t="shared" si="1"/>
        <v>76</v>
      </c>
    </row>
    <row r="46" spans="2:20" ht="23.1" customHeight="1" x14ac:dyDescent="0.25">
      <c r="B46" s="24" t="s">
        <v>73</v>
      </c>
      <c r="C46" s="50">
        <v>8</v>
      </c>
      <c r="D46" s="50">
        <v>2</v>
      </c>
      <c r="E46" s="50">
        <v>4</v>
      </c>
      <c r="F46" s="50">
        <v>4</v>
      </c>
      <c r="G46" s="50">
        <v>0</v>
      </c>
      <c r="H46" s="50">
        <v>1</v>
      </c>
      <c r="I46" s="50">
        <v>4</v>
      </c>
      <c r="J46" s="50">
        <v>1</v>
      </c>
      <c r="K46" s="50">
        <v>0</v>
      </c>
      <c r="L46" s="50">
        <v>0</v>
      </c>
      <c r="M46" s="50">
        <v>45</v>
      </c>
      <c r="N46" s="50">
        <v>0</v>
      </c>
      <c r="O46" s="15">
        <f t="shared" si="0"/>
        <v>24</v>
      </c>
      <c r="P46" s="15">
        <f t="shared" si="1"/>
        <v>69</v>
      </c>
      <c r="R46" s="8"/>
      <c r="T46"/>
    </row>
    <row r="47" spans="2:20" ht="23.1" customHeight="1" x14ac:dyDescent="0.25">
      <c r="B47" s="24" t="s">
        <v>74</v>
      </c>
      <c r="C47" s="50">
        <v>17</v>
      </c>
      <c r="D47" s="50">
        <v>0</v>
      </c>
      <c r="E47" s="50">
        <v>1</v>
      </c>
      <c r="F47" s="50">
        <v>4</v>
      </c>
      <c r="G47" s="50">
        <v>0</v>
      </c>
      <c r="H47" s="50">
        <v>0</v>
      </c>
      <c r="I47" s="50">
        <v>2</v>
      </c>
      <c r="J47" s="50">
        <v>1</v>
      </c>
      <c r="K47" s="50">
        <v>0</v>
      </c>
      <c r="L47" s="50">
        <v>0</v>
      </c>
      <c r="M47" s="50">
        <v>59</v>
      </c>
      <c r="N47" s="50">
        <v>0</v>
      </c>
      <c r="O47" s="15">
        <f t="shared" si="0"/>
        <v>25</v>
      </c>
      <c r="P47" s="15">
        <f t="shared" si="1"/>
        <v>84</v>
      </c>
      <c r="R47" s="8"/>
      <c r="T47"/>
    </row>
    <row r="48" spans="2:20" ht="23.1" customHeight="1" x14ac:dyDescent="0.25">
      <c r="B48" s="24" t="s">
        <v>75</v>
      </c>
      <c r="C48" s="50">
        <v>13</v>
      </c>
      <c r="D48" s="50">
        <v>2</v>
      </c>
      <c r="E48" s="50">
        <v>3</v>
      </c>
      <c r="F48" s="50">
        <v>5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63</v>
      </c>
      <c r="N48" s="50">
        <v>0</v>
      </c>
      <c r="O48" s="15">
        <f t="shared" si="0"/>
        <v>25</v>
      </c>
      <c r="P48" s="15">
        <f t="shared" si="1"/>
        <v>88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2</v>
      </c>
      <c r="E49" s="50">
        <v>3</v>
      </c>
      <c r="F49" s="50">
        <v>10</v>
      </c>
      <c r="G49" s="50">
        <v>1</v>
      </c>
      <c r="H49" s="50">
        <v>0</v>
      </c>
      <c r="I49" s="50">
        <v>4</v>
      </c>
      <c r="J49" s="50">
        <v>1</v>
      </c>
      <c r="K49" s="50">
        <v>0</v>
      </c>
      <c r="L49" s="50">
        <v>0</v>
      </c>
      <c r="M49" s="50">
        <v>55</v>
      </c>
      <c r="N49" s="50">
        <v>0</v>
      </c>
      <c r="O49" s="15">
        <f t="shared" si="0"/>
        <v>26</v>
      </c>
      <c r="P49" s="15">
        <f t="shared" si="1"/>
        <v>81</v>
      </c>
      <c r="R49" s="8"/>
      <c r="T49"/>
    </row>
    <row r="50" spans="2:20" ht="23.1" customHeight="1" x14ac:dyDescent="0.25">
      <c r="B50" s="24" t="s">
        <v>77</v>
      </c>
      <c r="C50" s="50">
        <v>19</v>
      </c>
      <c r="D50" s="50">
        <v>1</v>
      </c>
      <c r="E50" s="50">
        <v>0</v>
      </c>
      <c r="F50" s="50">
        <v>9</v>
      </c>
      <c r="G50" s="50">
        <v>1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72</v>
      </c>
      <c r="N50" s="50">
        <v>0</v>
      </c>
      <c r="O50" s="15">
        <f t="shared" si="0"/>
        <v>32</v>
      </c>
      <c r="P50" s="15">
        <f t="shared" si="1"/>
        <v>104</v>
      </c>
      <c r="R50" s="8"/>
      <c r="T50"/>
    </row>
    <row r="51" spans="2:20" ht="23.1" customHeight="1" x14ac:dyDescent="0.25">
      <c r="B51" s="24" t="s">
        <v>78</v>
      </c>
      <c r="C51" s="50">
        <v>13</v>
      </c>
      <c r="D51" s="50">
        <v>4</v>
      </c>
      <c r="E51" s="50">
        <v>2</v>
      </c>
      <c r="F51" s="50">
        <v>3</v>
      </c>
      <c r="G51" s="50">
        <v>0</v>
      </c>
      <c r="H51" s="50">
        <v>0</v>
      </c>
      <c r="I51" s="50">
        <v>5</v>
      </c>
      <c r="J51" s="50">
        <v>1</v>
      </c>
      <c r="K51" s="50">
        <v>0</v>
      </c>
      <c r="L51" s="50">
        <v>0</v>
      </c>
      <c r="M51" s="50">
        <v>67</v>
      </c>
      <c r="N51" s="50">
        <v>0</v>
      </c>
      <c r="O51" s="15">
        <f t="shared" si="0"/>
        <v>28</v>
      </c>
      <c r="P51" s="15">
        <f t="shared" si="1"/>
        <v>95</v>
      </c>
      <c r="R51" s="8"/>
      <c r="T51"/>
    </row>
    <row r="52" spans="2:20" ht="23.1" customHeight="1" x14ac:dyDescent="0.25">
      <c r="B52" s="24" t="s">
        <v>79</v>
      </c>
      <c r="C52" s="50">
        <v>13</v>
      </c>
      <c r="D52" s="50">
        <v>1</v>
      </c>
      <c r="E52" s="50">
        <v>5</v>
      </c>
      <c r="F52" s="50">
        <v>10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57</v>
      </c>
      <c r="N52" s="50">
        <v>0</v>
      </c>
      <c r="O52" s="15">
        <f t="shared" si="0"/>
        <v>30</v>
      </c>
      <c r="P52" s="15">
        <f t="shared" si="1"/>
        <v>87</v>
      </c>
      <c r="R52" s="8"/>
      <c r="T52"/>
    </row>
    <row r="53" spans="2:20" ht="23.1" customHeight="1" x14ac:dyDescent="0.25">
      <c r="B53" s="23" t="s">
        <v>80</v>
      </c>
      <c r="C53" s="50">
        <v>16</v>
      </c>
      <c r="D53" s="50">
        <v>3</v>
      </c>
      <c r="E53" s="50">
        <v>1</v>
      </c>
      <c r="F53" s="50">
        <v>7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43</v>
      </c>
      <c r="N53" s="50">
        <v>1</v>
      </c>
      <c r="O53" s="15">
        <f t="shared" si="0"/>
        <v>30</v>
      </c>
      <c r="P53" s="15">
        <f t="shared" si="1"/>
        <v>73</v>
      </c>
      <c r="R53" s="8"/>
      <c r="T53"/>
    </row>
    <row r="54" spans="2:20" ht="23.1" customHeight="1" x14ac:dyDescent="0.25">
      <c r="B54" s="23" t="s">
        <v>81</v>
      </c>
      <c r="C54" s="50">
        <v>11</v>
      </c>
      <c r="D54" s="50">
        <v>2</v>
      </c>
      <c r="E54" s="50">
        <v>1</v>
      </c>
      <c r="F54" s="50">
        <v>7</v>
      </c>
      <c r="G54" s="50">
        <v>1</v>
      </c>
      <c r="H54" s="50">
        <v>0</v>
      </c>
      <c r="I54" s="50">
        <v>3</v>
      </c>
      <c r="J54" s="50">
        <v>0</v>
      </c>
      <c r="K54" s="50">
        <v>0</v>
      </c>
      <c r="L54" s="50">
        <v>0</v>
      </c>
      <c r="M54" s="50">
        <v>58</v>
      </c>
      <c r="N54" s="50">
        <v>0</v>
      </c>
      <c r="O54" s="15">
        <f t="shared" si="0"/>
        <v>25</v>
      </c>
      <c r="P54" s="15">
        <f t="shared" si="1"/>
        <v>83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2</v>
      </c>
      <c r="E55" s="50">
        <v>3</v>
      </c>
      <c r="F55" s="50">
        <v>17</v>
      </c>
      <c r="G55" s="50">
        <v>0</v>
      </c>
      <c r="H55" s="50">
        <v>1</v>
      </c>
      <c r="I55" s="50">
        <v>4</v>
      </c>
      <c r="J55" s="50">
        <v>0</v>
      </c>
      <c r="K55" s="50">
        <v>0</v>
      </c>
      <c r="L55" s="50">
        <v>0</v>
      </c>
      <c r="M55" s="50">
        <v>54</v>
      </c>
      <c r="N55" s="50">
        <v>0</v>
      </c>
      <c r="O55" s="15">
        <f t="shared" si="0"/>
        <v>39</v>
      </c>
      <c r="P55" s="15">
        <f t="shared" si="1"/>
        <v>93</v>
      </c>
      <c r="R55" s="8"/>
      <c r="T55"/>
    </row>
    <row r="56" spans="2:20" ht="23.1" customHeight="1" x14ac:dyDescent="0.25">
      <c r="B56" s="23" t="s">
        <v>83</v>
      </c>
      <c r="C56" s="50">
        <v>11</v>
      </c>
      <c r="D56" s="50">
        <v>1</v>
      </c>
      <c r="E56" s="50">
        <v>2</v>
      </c>
      <c r="F56" s="50">
        <v>9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72</v>
      </c>
      <c r="N56" s="50">
        <v>0</v>
      </c>
      <c r="O56" s="15">
        <f t="shared" si="0"/>
        <v>25</v>
      </c>
      <c r="P56" s="15">
        <f t="shared" si="1"/>
        <v>97</v>
      </c>
      <c r="R56" s="8"/>
      <c r="T56"/>
    </row>
    <row r="57" spans="2:20" ht="23.1" customHeight="1" x14ac:dyDescent="0.25">
      <c r="B57" s="23" t="s">
        <v>84</v>
      </c>
      <c r="C57" s="50">
        <v>13</v>
      </c>
      <c r="D57" s="50">
        <v>1</v>
      </c>
      <c r="E57" s="50">
        <v>3</v>
      </c>
      <c r="F57" s="50">
        <v>15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 t="s">
        <v>175</v>
      </c>
      <c r="N57" s="50">
        <v>0</v>
      </c>
      <c r="O57" s="15">
        <f t="shared" si="0"/>
        <v>34</v>
      </c>
      <c r="P57" s="15">
        <f t="shared" si="1"/>
        <v>34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1027</v>
      </c>
      <c r="D58" s="16">
        <f t="shared" si="21"/>
        <v>110</v>
      </c>
      <c r="E58" s="16">
        <f t="shared" si="21"/>
        <v>148</v>
      </c>
      <c r="F58" s="16">
        <f t="shared" si="21"/>
        <v>536</v>
      </c>
      <c r="G58" s="16">
        <f t="shared" si="21"/>
        <v>5</v>
      </c>
      <c r="H58" s="16">
        <f t="shared" si="21"/>
        <v>4</v>
      </c>
      <c r="I58" s="16">
        <f t="shared" si="21"/>
        <v>126</v>
      </c>
      <c r="J58" s="16">
        <f t="shared" si="21"/>
        <v>84</v>
      </c>
      <c r="K58" s="16">
        <f t="shared" si="21"/>
        <v>16</v>
      </c>
      <c r="L58" s="16">
        <f t="shared" si="21"/>
        <v>47</v>
      </c>
      <c r="M58" s="16">
        <f t="shared" si="21"/>
        <v>2786</v>
      </c>
      <c r="N58" s="16">
        <f t="shared" si="21"/>
        <v>1</v>
      </c>
      <c r="O58" s="16">
        <f t="shared" si="21"/>
        <v>2104</v>
      </c>
      <c r="P58" s="16">
        <f t="shared" si="21"/>
        <v>4890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0.21002044989775051</v>
      </c>
      <c r="D59" s="43">
        <f t="shared" si="22"/>
        <v>2.2494887525562373E-2</v>
      </c>
      <c r="E59" s="43">
        <f t="shared" si="22"/>
        <v>3.0265848670756646E-2</v>
      </c>
      <c r="F59" s="43">
        <f t="shared" si="22"/>
        <v>0.10961145194274029</v>
      </c>
      <c r="G59" s="43">
        <f t="shared" si="22"/>
        <v>1.0224948875255625E-3</v>
      </c>
      <c r="H59" s="43">
        <f t="shared" si="22"/>
        <v>8.1799591002044991E-4</v>
      </c>
      <c r="I59" s="43">
        <f t="shared" si="22"/>
        <v>2.5766871165644172E-2</v>
      </c>
      <c r="J59" s="43">
        <f t="shared" si="22"/>
        <v>1.7177914110429449E-2</v>
      </c>
      <c r="K59" s="43">
        <f t="shared" si="22"/>
        <v>3.2719836400817996E-3</v>
      </c>
      <c r="L59" s="43">
        <f t="shared" si="22"/>
        <v>9.6114519427402869E-3</v>
      </c>
      <c r="M59" s="43">
        <f t="shared" si="22"/>
        <v>0.56973415132924332</v>
      </c>
      <c r="N59" s="43">
        <f t="shared" si="22"/>
        <v>2.0449897750511248E-4</v>
      </c>
      <c r="R59" s="8"/>
      <c r="T59"/>
    </row>
    <row r="60" spans="2:20" ht="23.1" customHeight="1" x14ac:dyDescent="0.25">
      <c r="B60" s="42" t="s">
        <v>94</v>
      </c>
      <c r="C60" s="44">
        <f>C58/$O$58</f>
        <v>0.48811787072243346</v>
      </c>
      <c r="D60" s="44">
        <f t="shared" ref="D60:N60" si="23">D58/$O$58</f>
        <v>5.2281368821292779E-2</v>
      </c>
      <c r="E60" s="44">
        <f t="shared" si="23"/>
        <v>7.0342205323193921E-2</v>
      </c>
      <c r="F60" s="44">
        <f t="shared" si="23"/>
        <v>0.25475285171102663</v>
      </c>
      <c r="G60" s="44">
        <f t="shared" si="23"/>
        <v>2.3764258555133079E-3</v>
      </c>
      <c r="H60" s="44">
        <f t="shared" si="23"/>
        <v>1.9011406844106464E-3</v>
      </c>
      <c r="I60" s="44">
        <f t="shared" si="23"/>
        <v>5.988593155893536E-2</v>
      </c>
      <c r="J60" s="44">
        <f t="shared" si="23"/>
        <v>3.9923954372623575E-2</v>
      </c>
      <c r="K60" s="44">
        <f t="shared" si="23"/>
        <v>7.6045627376425855E-3</v>
      </c>
      <c r="L60" s="44">
        <f t="shared" si="23"/>
        <v>2.2338403041825095E-2</v>
      </c>
      <c r="M60" s="44"/>
      <c r="N60" s="44">
        <f t="shared" si="23"/>
        <v>4.7528517110266159E-4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SentemaRBT-Sentema'!C3:G3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164</v>
      </c>
      <c r="E5" s="3"/>
      <c r="F5" s="41" t="s">
        <v>1</v>
      </c>
      <c r="G5" s="64" t="str">
        <f>'22.07 SentemaRBT-Sentema'!G5:H5</f>
        <v>Ku roofings</v>
      </c>
      <c r="H5" s="65"/>
      <c r="I5" s="14"/>
      <c r="J5" s="2" t="s">
        <v>5</v>
      </c>
      <c r="K5" s="64" t="s">
        <v>181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SentemaRBT-Sentema'!D6:E6</f>
        <v>Sentema RBT</v>
      </c>
      <c r="E6" s="65"/>
      <c r="F6" s="2" t="s">
        <v>2</v>
      </c>
      <c r="G6" s="64" t="str">
        <f>'22.07 SentemaRBT-Sentema'!G6:H6</f>
        <v>Sentema</v>
      </c>
      <c r="H6" s="65"/>
      <c r="J6" s="2" t="s">
        <v>21</v>
      </c>
      <c r="K6" s="64" t="str">
        <f>'22.07 SentemaRBT-Sentema'!K6:L6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0</v>
      </c>
      <c r="E10" s="50">
        <v>1</v>
      </c>
      <c r="F10" s="50">
        <v>1</v>
      </c>
      <c r="G10" s="50">
        <v>0</v>
      </c>
      <c r="H10" s="50">
        <v>1</v>
      </c>
      <c r="I10" s="50">
        <v>1</v>
      </c>
      <c r="J10" s="50">
        <v>0</v>
      </c>
      <c r="K10" s="50">
        <v>1</v>
      </c>
      <c r="L10" s="50">
        <v>0</v>
      </c>
      <c r="M10" s="50">
        <v>23</v>
      </c>
      <c r="N10" s="50">
        <v>0</v>
      </c>
      <c r="O10" s="15">
        <f t="shared" ref="O10:O57" si="0">SUM(C10:L10,N10)</f>
        <v>8</v>
      </c>
      <c r="P10" s="15">
        <f t="shared" ref="P10:P57" si="1">SUM(C10:N10)</f>
        <v>31</v>
      </c>
      <c r="R10" s="1" t="s">
        <v>6</v>
      </c>
      <c r="S10" s="17">
        <f t="shared" ref="S10:AF10" si="2">SUM(C10:C13)</f>
        <v>22</v>
      </c>
      <c r="T10" s="17">
        <f t="shared" si="2"/>
        <v>0</v>
      </c>
      <c r="U10" s="17">
        <f t="shared" si="2"/>
        <v>2</v>
      </c>
      <c r="V10" s="17">
        <f t="shared" si="2"/>
        <v>31</v>
      </c>
      <c r="W10" s="17">
        <f t="shared" si="2"/>
        <v>0</v>
      </c>
      <c r="X10" s="17">
        <f t="shared" si="2"/>
        <v>1</v>
      </c>
      <c r="Y10" s="17">
        <f t="shared" si="2"/>
        <v>8</v>
      </c>
      <c r="Z10" s="17">
        <f t="shared" si="2"/>
        <v>9</v>
      </c>
      <c r="AA10" s="17">
        <f t="shared" si="2"/>
        <v>1</v>
      </c>
      <c r="AB10" s="17">
        <f t="shared" si="2"/>
        <v>0</v>
      </c>
      <c r="AC10" s="17">
        <f t="shared" si="2"/>
        <v>155</v>
      </c>
      <c r="AD10" s="17">
        <f t="shared" si="2"/>
        <v>0</v>
      </c>
      <c r="AE10" s="31">
        <f t="shared" si="2"/>
        <v>74</v>
      </c>
      <c r="AF10" s="31">
        <f t="shared" si="2"/>
        <v>229</v>
      </c>
    </row>
    <row r="11" spans="2:32" s="6" customFormat="1" ht="23.1" customHeight="1" x14ac:dyDescent="0.25">
      <c r="B11" s="23" t="s">
        <v>38</v>
      </c>
      <c r="C11" s="50">
        <v>7</v>
      </c>
      <c r="D11" s="50">
        <v>0</v>
      </c>
      <c r="E11" s="50">
        <v>0</v>
      </c>
      <c r="F11" s="50">
        <v>4</v>
      </c>
      <c r="G11" s="50">
        <v>0</v>
      </c>
      <c r="H11" s="50">
        <v>0</v>
      </c>
      <c r="I11" s="50">
        <v>3</v>
      </c>
      <c r="J11" s="50">
        <v>2</v>
      </c>
      <c r="K11" s="50">
        <v>0</v>
      </c>
      <c r="L11" s="50">
        <v>0</v>
      </c>
      <c r="M11" s="50">
        <v>26</v>
      </c>
      <c r="N11" s="50">
        <v>0</v>
      </c>
      <c r="O11" s="15">
        <f t="shared" si="0"/>
        <v>16</v>
      </c>
      <c r="P11" s="15">
        <f t="shared" si="1"/>
        <v>42</v>
      </c>
      <c r="R11" s="1" t="s">
        <v>7</v>
      </c>
      <c r="S11" s="17">
        <f t="shared" ref="S11:AF11" si="3">SUM(C14:C17)</f>
        <v>49</v>
      </c>
      <c r="T11" s="17">
        <f t="shared" si="3"/>
        <v>8</v>
      </c>
      <c r="U11" s="17">
        <f t="shared" si="3"/>
        <v>5</v>
      </c>
      <c r="V11" s="17">
        <f t="shared" si="3"/>
        <v>52</v>
      </c>
      <c r="W11" s="17">
        <f t="shared" si="3"/>
        <v>1</v>
      </c>
      <c r="X11" s="17">
        <f t="shared" si="3"/>
        <v>3</v>
      </c>
      <c r="Y11" s="17">
        <f t="shared" si="3"/>
        <v>6</v>
      </c>
      <c r="Z11" s="17">
        <f t="shared" si="3"/>
        <v>8</v>
      </c>
      <c r="AA11" s="17">
        <f t="shared" si="3"/>
        <v>1</v>
      </c>
      <c r="AB11" s="17">
        <f t="shared" si="3"/>
        <v>0</v>
      </c>
      <c r="AC11" s="17">
        <f t="shared" si="3"/>
        <v>205</v>
      </c>
      <c r="AD11" s="17">
        <f t="shared" si="3"/>
        <v>0</v>
      </c>
      <c r="AE11" s="31">
        <f t="shared" si="3"/>
        <v>133</v>
      </c>
      <c r="AF11" s="31">
        <f t="shared" si="3"/>
        <v>338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0</v>
      </c>
      <c r="F12" s="50">
        <v>6</v>
      </c>
      <c r="G12" s="50">
        <v>0</v>
      </c>
      <c r="H12" s="50">
        <v>0</v>
      </c>
      <c r="I12" s="50">
        <v>0</v>
      </c>
      <c r="J12" s="50">
        <v>3</v>
      </c>
      <c r="K12" s="50">
        <v>0</v>
      </c>
      <c r="L12" s="50">
        <v>0</v>
      </c>
      <c r="M12" s="50">
        <v>50</v>
      </c>
      <c r="N12" s="50">
        <v>0</v>
      </c>
      <c r="O12" s="15">
        <f t="shared" si="0"/>
        <v>12</v>
      </c>
      <c r="P12" s="15">
        <f t="shared" si="1"/>
        <v>62</v>
      </c>
      <c r="R12" s="1" t="s">
        <v>8</v>
      </c>
      <c r="S12" s="17">
        <f t="shared" ref="S12:AF12" si="4">SUM(C18:C21)</f>
        <v>18</v>
      </c>
      <c r="T12" s="17">
        <f t="shared" si="4"/>
        <v>4</v>
      </c>
      <c r="U12" s="17">
        <f t="shared" si="4"/>
        <v>7</v>
      </c>
      <c r="V12" s="17">
        <f t="shared" si="4"/>
        <v>42</v>
      </c>
      <c r="W12" s="17">
        <f t="shared" si="4"/>
        <v>0</v>
      </c>
      <c r="X12" s="17">
        <f t="shared" si="4"/>
        <v>1</v>
      </c>
      <c r="Y12" s="17">
        <f t="shared" si="4"/>
        <v>10</v>
      </c>
      <c r="Z12" s="17">
        <f t="shared" si="4"/>
        <v>5</v>
      </c>
      <c r="AA12" s="17">
        <f t="shared" si="4"/>
        <v>0</v>
      </c>
      <c r="AB12" s="17">
        <f t="shared" si="4"/>
        <v>0</v>
      </c>
      <c r="AC12" s="17">
        <f t="shared" si="4"/>
        <v>193</v>
      </c>
      <c r="AD12" s="17">
        <f t="shared" si="4"/>
        <v>0</v>
      </c>
      <c r="AE12" s="31">
        <f t="shared" si="4"/>
        <v>87</v>
      </c>
      <c r="AF12" s="31">
        <f t="shared" si="4"/>
        <v>280</v>
      </c>
    </row>
    <row r="13" spans="2:32" ht="23.1" customHeight="1" x14ac:dyDescent="0.25">
      <c r="B13" s="23" t="s">
        <v>40</v>
      </c>
      <c r="C13" s="50">
        <v>9</v>
      </c>
      <c r="D13" s="50">
        <v>0</v>
      </c>
      <c r="E13" s="50">
        <v>1</v>
      </c>
      <c r="F13" s="50">
        <v>20</v>
      </c>
      <c r="G13" s="50">
        <v>0</v>
      </c>
      <c r="H13" s="50">
        <v>0</v>
      </c>
      <c r="I13" s="50">
        <v>4</v>
      </c>
      <c r="J13" s="50">
        <v>4</v>
      </c>
      <c r="K13" s="50">
        <v>0</v>
      </c>
      <c r="L13" s="50">
        <v>0</v>
      </c>
      <c r="M13" s="50">
        <v>56</v>
      </c>
      <c r="N13" s="50">
        <v>0</v>
      </c>
      <c r="O13" s="15">
        <f t="shared" si="0"/>
        <v>38</v>
      </c>
      <c r="P13" s="15">
        <f t="shared" si="1"/>
        <v>94</v>
      </c>
      <c r="R13" s="1" t="s">
        <v>9</v>
      </c>
      <c r="S13" s="17">
        <f t="shared" ref="S13:AF13" si="5">SUM(C22:C25)</f>
        <v>25</v>
      </c>
      <c r="T13" s="17">
        <f t="shared" si="5"/>
        <v>5</v>
      </c>
      <c r="U13" s="17">
        <f t="shared" si="5"/>
        <v>8</v>
      </c>
      <c r="V13" s="17">
        <f t="shared" si="5"/>
        <v>40</v>
      </c>
      <c r="W13" s="17">
        <f t="shared" si="5"/>
        <v>0</v>
      </c>
      <c r="X13" s="17">
        <f t="shared" si="5"/>
        <v>0</v>
      </c>
      <c r="Y13" s="17">
        <f t="shared" si="5"/>
        <v>16</v>
      </c>
      <c r="Z13" s="17">
        <f t="shared" si="5"/>
        <v>6</v>
      </c>
      <c r="AA13" s="17">
        <f t="shared" si="5"/>
        <v>0</v>
      </c>
      <c r="AB13" s="17">
        <f t="shared" si="5"/>
        <v>0</v>
      </c>
      <c r="AC13" s="17">
        <f t="shared" si="5"/>
        <v>189</v>
      </c>
      <c r="AD13" s="17">
        <f t="shared" si="5"/>
        <v>0</v>
      </c>
      <c r="AE13" s="31">
        <f t="shared" si="5"/>
        <v>100</v>
      </c>
      <c r="AF13" s="31">
        <f t="shared" si="5"/>
        <v>289</v>
      </c>
    </row>
    <row r="14" spans="2:32" ht="23.1" customHeight="1" x14ac:dyDescent="0.25">
      <c r="B14" s="23" t="s">
        <v>41</v>
      </c>
      <c r="C14" s="50">
        <v>10</v>
      </c>
      <c r="D14" s="50">
        <v>2</v>
      </c>
      <c r="E14" s="50">
        <v>1</v>
      </c>
      <c r="F14" s="50">
        <v>10</v>
      </c>
      <c r="G14" s="50">
        <v>1</v>
      </c>
      <c r="H14" s="50">
        <v>1</v>
      </c>
      <c r="I14" s="50">
        <v>3</v>
      </c>
      <c r="J14" s="50">
        <v>3</v>
      </c>
      <c r="K14" s="50">
        <v>0</v>
      </c>
      <c r="L14" s="50">
        <v>0</v>
      </c>
      <c r="M14" s="50">
        <v>41</v>
      </c>
      <c r="N14" s="50">
        <v>0</v>
      </c>
      <c r="O14" s="15">
        <f t="shared" si="0"/>
        <v>31</v>
      </c>
      <c r="P14" s="15">
        <f t="shared" si="1"/>
        <v>72</v>
      </c>
      <c r="R14" s="1" t="s">
        <v>10</v>
      </c>
      <c r="S14" s="17">
        <f t="shared" ref="S14:AF14" si="6">SUM(C26:C29)</f>
        <v>95</v>
      </c>
      <c r="T14" s="17">
        <f t="shared" si="6"/>
        <v>9</v>
      </c>
      <c r="U14" s="17">
        <f t="shared" si="6"/>
        <v>12</v>
      </c>
      <c r="V14" s="17">
        <f t="shared" si="6"/>
        <v>33</v>
      </c>
      <c r="W14" s="17">
        <f t="shared" si="6"/>
        <v>0</v>
      </c>
      <c r="X14" s="17">
        <f t="shared" si="6"/>
        <v>0</v>
      </c>
      <c r="Y14" s="17">
        <f t="shared" si="6"/>
        <v>21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264</v>
      </c>
      <c r="AD14" s="17">
        <f t="shared" si="6"/>
        <v>0</v>
      </c>
      <c r="AE14" s="31">
        <f t="shared" si="6"/>
        <v>173</v>
      </c>
      <c r="AF14" s="31">
        <f t="shared" si="6"/>
        <v>437</v>
      </c>
    </row>
    <row r="15" spans="2:32" ht="23.1" customHeight="1" x14ac:dyDescent="0.25">
      <c r="B15" s="23" t="s">
        <v>42</v>
      </c>
      <c r="C15" s="50">
        <v>14</v>
      </c>
      <c r="D15" s="50">
        <v>1</v>
      </c>
      <c r="E15" s="50">
        <v>1</v>
      </c>
      <c r="F15" s="50">
        <v>15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53</v>
      </c>
      <c r="N15" s="50">
        <v>0</v>
      </c>
      <c r="O15" s="15">
        <f t="shared" si="0"/>
        <v>34</v>
      </c>
      <c r="P15" s="15">
        <f t="shared" si="1"/>
        <v>87</v>
      </c>
      <c r="R15" s="1" t="s">
        <v>11</v>
      </c>
      <c r="S15" s="17">
        <f t="shared" ref="S15:AF15" si="7">SUM(C30:C33)</f>
        <v>33</v>
      </c>
      <c r="T15" s="17">
        <f t="shared" si="7"/>
        <v>8</v>
      </c>
      <c r="U15" s="17">
        <f t="shared" si="7"/>
        <v>4</v>
      </c>
      <c r="V15" s="17">
        <f t="shared" si="7"/>
        <v>23</v>
      </c>
      <c r="W15" s="17">
        <f t="shared" si="7"/>
        <v>8</v>
      </c>
      <c r="X15" s="17">
        <f t="shared" si="7"/>
        <v>0</v>
      </c>
      <c r="Y15" s="17">
        <f t="shared" si="7"/>
        <v>17</v>
      </c>
      <c r="Z15" s="17">
        <f t="shared" si="7"/>
        <v>8</v>
      </c>
      <c r="AA15" s="17">
        <f t="shared" si="7"/>
        <v>2</v>
      </c>
      <c r="AB15" s="17">
        <f t="shared" si="7"/>
        <v>0</v>
      </c>
      <c r="AC15" s="17">
        <f t="shared" si="7"/>
        <v>244</v>
      </c>
      <c r="AD15" s="17">
        <f t="shared" si="7"/>
        <v>0</v>
      </c>
      <c r="AE15" s="31">
        <f t="shared" si="7"/>
        <v>103</v>
      </c>
      <c r="AF15" s="31">
        <f t="shared" si="7"/>
        <v>347</v>
      </c>
    </row>
    <row r="16" spans="2:32" ht="23.1" customHeight="1" x14ac:dyDescent="0.25">
      <c r="B16" s="23" t="s">
        <v>43</v>
      </c>
      <c r="C16" s="50">
        <v>11</v>
      </c>
      <c r="D16" s="50">
        <v>2</v>
      </c>
      <c r="E16" s="50">
        <v>2</v>
      </c>
      <c r="F16" s="50">
        <v>7</v>
      </c>
      <c r="G16" s="50">
        <v>0</v>
      </c>
      <c r="H16" s="50">
        <v>0</v>
      </c>
      <c r="I16" s="50">
        <v>0</v>
      </c>
      <c r="J16" s="50">
        <v>4</v>
      </c>
      <c r="K16" s="50">
        <v>1</v>
      </c>
      <c r="L16" s="50">
        <v>0</v>
      </c>
      <c r="M16" s="50">
        <v>50</v>
      </c>
      <c r="N16" s="50">
        <v>0</v>
      </c>
      <c r="O16" s="15">
        <f t="shared" si="0"/>
        <v>27</v>
      </c>
      <c r="P16" s="15">
        <f t="shared" si="1"/>
        <v>77</v>
      </c>
      <c r="R16" s="1" t="s">
        <v>12</v>
      </c>
      <c r="S16" s="17">
        <f t="shared" ref="S16:AF16" si="8">SUM(C34:C37)</f>
        <v>25</v>
      </c>
      <c r="T16" s="17">
        <f t="shared" si="8"/>
        <v>10</v>
      </c>
      <c r="U16" s="17">
        <f t="shared" si="8"/>
        <v>9</v>
      </c>
      <c r="V16" s="17">
        <f t="shared" si="8"/>
        <v>24</v>
      </c>
      <c r="W16" s="17">
        <f t="shared" si="8"/>
        <v>0</v>
      </c>
      <c r="X16" s="17">
        <f t="shared" si="8"/>
        <v>0</v>
      </c>
      <c r="Y16" s="17">
        <f t="shared" si="8"/>
        <v>16</v>
      </c>
      <c r="Z16" s="17">
        <f t="shared" si="8"/>
        <v>7</v>
      </c>
      <c r="AA16" s="17">
        <f t="shared" si="8"/>
        <v>0</v>
      </c>
      <c r="AB16" s="17">
        <f t="shared" si="8"/>
        <v>0</v>
      </c>
      <c r="AC16" s="17">
        <f t="shared" si="8"/>
        <v>222</v>
      </c>
      <c r="AD16" s="17">
        <f t="shared" si="8"/>
        <v>0</v>
      </c>
      <c r="AE16" s="31">
        <f t="shared" si="8"/>
        <v>91</v>
      </c>
      <c r="AF16" s="31">
        <f t="shared" si="8"/>
        <v>313</v>
      </c>
    </row>
    <row r="17" spans="2:32" ht="23.1" customHeight="1" x14ac:dyDescent="0.25">
      <c r="B17" s="23" t="s">
        <v>44</v>
      </c>
      <c r="C17" s="50">
        <v>14</v>
      </c>
      <c r="D17" s="50">
        <v>3</v>
      </c>
      <c r="E17" s="50">
        <v>1</v>
      </c>
      <c r="F17" s="50">
        <v>20</v>
      </c>
      <c r="G17" s="50">
        <v>0</v>
      </c>
      <c r="H17" s="50">
        <v>2</v>
      </c>
      <c r="I17" s="50">
        <v>1</v>
      </c>
      <c r="J17" s="50">
        <v>0</v>
      </c>
      <c r="K17" s="50">
        <v>0</v>
      </c>
      <c r="L17" s="50">
        <v>0</v>
      </c>
      <c r="M17" s="50">
        <v>61</v>
      </c>
      <c r="N17" s="50">
        <v>0</v>
      </c>
      <c r="O17" s="15">
        <f t="shared" si="0"/>
        <v>41</v>
      </c>
      <c r="P17" s="15">
        <f t="shared" si="1"/>
        <v>102</v>
      </c>
      <c r="R17" s="1" t="s">
        <v>13</v>
      </c>
      <c r="S17" s="17">
        <f t="shared" ref="S17:AF17" si="9">SUM(C38:C41)</f>
        <v>25</v>
      </c>
      <c r="T17" s="17">
        <f t="shared" si="9"/>
        <v>6</v>
      </c>
      <c r="U17" s="17">
        <f t="shared" si="9"/>
        <v>6</v>
      </c>
      <c r="V17" s="17">
        <f t="shared" si="9"/>
        <v>28</v>
      </c>
      <c r="W17" s="17">
        <f t="shared" si="9"/>
        <v>0</v>
      </c>
      <c r="X17" s="17">
        <f t="shared" si="9"/>
        <v>0</v>
      </c>
      <c r="Y17" s="17">
        <f t="shared" si="9"/>
        <v>16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186</v>
      </c>
      <c r="AD17" s="17">
        <f t="shared" si="9"/>
        <v>0</v>
      </c>
      <c r="AE17" s="31">
        <f t="shared" si="9"/>
        <v>83</v>
      </c>
      <c r="AF17" s="31">
        <f t="shared" si="9"/>
        <v>269</v>
      </c>
    </row>
    <row r="18" spans="2:32" ht="23.1" customHeight="1" x14ac:dyDescent="0.25">
      <c r="B18" s="23" t="s">
        <v>45</v>
      </c>
      <c r="C18" s="50">
        <v>6</v>
      </c>
      <c r="D18" s="50">
        <v>3</v>
      </c>
      <c r="E18" s="50">
        <v>1</v>
      </c>
      <c r="F18" s="50">
        <v>14</v>
      </c>
      <c r="G18" s="50">
        <v>0</v>
      </c>
      <c r="H18" s="50">
        <v>0</v>
      </c>
      <c r="I18" s="50">
        <v>2</v>
      </c>
      <c r="J18" s="50">
        <v>3</v>
      </c>
      <c r="K18" s="50">
        <v>0</v>
      </c>
      <c r="L18" s="50">
        <v>0</v>
      </c>
      <c r="M18" s="50">
        <v>52</v>
      </c>
      <c r="N18" s="50">
        <v>0</v>
      </c>
      <c r="O18" s="15">
        <f t="shared" si="0"/>
        <v>29</v>
      </c>
      <c r="P18" s="15">
        <f t="shared" si="1"/>
        <v>81</v>
      </c>
      <c r="R18" s="1" t="s">
        <v>14</v>
      </c>
      <c r="S18" s="17">
        <f t="shared" ref="S18:AF18" si="10">SUM(C42:C45)</f>
        <v>37</v>
      </c>
      <c r="T18" s="17">
        <f t="shared" si="10"/>
        <v>8</v>
      </c>
      <c r="U18" s="17">
        <f t="shared" si="10"/>
        <v>4</v>
      </c>
      <c r="V18" s="17">
        <f t="shared" si="10"/>
        <v>31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4</v>
      </c>
      <c r="AA18" s="17">
        <f t="shared" si="10"/>
        <v>1</v>
      </c>
      <c r="AB18" s="17">
        <f t="shared" si="10"/>
        <v>0</v>
      </c>
      <c r="AC18" s="17">
        <f t="shared" si="10"/>
        <v>203</v>
      </c>
      <c r="AD18" s="17">
        <f t="shared" si="10"/>
        <v>0</v>
      </c>
      <c r="AE18" s="31">
        <f t="shared" si="10"/>
        <v>101</v>
      </c>
      <c r="AF18" s="31">
        <f t="shared" si="10"/>
        <v>304</v>
      </c>
    </row>
    <row r="19" spans="2:32" ht="23.1" customHeight="1" x14ac:dyDescent="0.25">
      <c r="B19" s="23" t="s">
        <v>46</v>
      </c>
      <c r="C19" s="50">
        <v>7</v>
      </c>
      <c r="D19" s="50">
        <v>1</v>
      </c>
      <c r="E19" s="50">
        <v>3</v>
      </c>
      <c r="F19" s="50">
        <v>11</v>
      </c>
      <c r="G19" s="50">
        <v>0</v>
      </c>
      <c r="H19" s="50">
        <v>1</v>
      </c>
      <c r="I19" s="50">
        <v>4</v>
      </c>
      <c r="J19" s="50">
        <v>0</v>
      </c>
      <c r="K19" s="50">
        <v>0</v>
      </c>
      <c r="L19" s="50">
        <v>0</v>
      </c>
      <c r="M19" s="50">
        <v>42</v>
      </c>
      <c r="N19" s="50">
        <v>0</v>
      </c>
      <c r="O19" s="15">
        <f t="shared" si="0"/>
        <v>27</v>
      </c>
      <c r="P19" s="15">
        <f t="shared" si="1"/>
        <v>69</v>
      </c>
      <c r="R19" s="1" t="s">
        <v>15</v>
      </c>
      <c r="S19" s="17">
        <f t="shared" ref="S19:AF19" si="11">SUM(C46:C49)</f>
        <v>43</v>
      </c>
      <c r="T19" s="17">
        <f t="shared" si="11"/>
        <v>16</v>
      </c>
      <c r="U19" s="17">
        <f t="shared" si="11"/>
        <v>6</v>
      </c>
      <c r="V19" s="17">
        <f t="shared" si="11"/>
        <v>37</v>
      </c>
      <c r="W19" s="17">
        <f t="shared" si="11"/>
        <v>2</v>
      </c>
      <c r="X19" s="17">
        <f t="shared" si="11"/>
        <v>1</v>
      </c>
      <c r="Y19" s="17">
        <f t="shared" si="11"/>
        <v>13</v>
      </c>
      <c r="Z19" s="17">
        <f t="shared" si="11"/>
        <v>7</v>
      </c>
      <c r="AA19" s="17">
        <f t="shared" si="11"/>
        <v>4</v>
      </c>
      <c r="AB19" s="17">
        <f t="shared" si="11"/>
        <v>0</v>
      </c>
      <c r="AC19" s="17">
        <f t="shared" si="11"/>
        <v>219</v>
      </c>
      <c r="AD19" s="17">
        <f t="shared" si="11"/>
        <v>0</v>
      </c>
      <c r="AE19" s="31">
        <f t="shared" si="11"/>
        <v>129</v>
      </c>
      <c r="AF19" s="31">
        <f t="shared" si="11"/>
        <v>348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0</v>
      </c>
      <c r="F20" s="50">
        <v>7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45</v>
      </c>
      <c r="N20" s="50">
        <v>0</v>
      </c>
      <c r="O20" s="15">
        <f t="shared" si="0"/>
        <v>11</v>
      </c>
      <c r="P20" s="15">
        <f t="shared" si="1"/>
        <v>56</v>
      </c>
      <c r="R20" s="1" t="s">
        <v>16</v>
      </c>
      <c r="S20" s="17">
        <f t="shared" ref="S20:AF20" si="12">SUM(C50:C53)</f>
        <v>86</v>
      </c>
      <c r="T20" s="17">
        <f t="shared" si="12"/>
        <v>18</v>
      </c>
      <c r="U20" s="17">
        <f t="shared" si="12"/>
        <v>16</v>
      </c>
      <c r="V20" s="17">
        <f t="shared" si="12"/>
        <v>43</v>
      </c>
      <c r="W20" s="17">
        <f t="shared" si="12"/>
        <v>3</v>
      </c>
      <c r="X20" s="17">
        <f t="shared" si="12"/>
        <v>0</v>
      </c>
      <c r="Y20" s="17">
        <f t="shared" si="12"/>
        <v>14</v>
      </c>
      <c r="Z20" s="17">
        <f t="shared" si="12"/>
        <v>6</v>
      </c>
      <c r="AA20" s="17">
        <f t="shared" si="12"/>
        <v>1</v>
      </c>
      <c r="AB20" s="17">
        <f t="shared" si="12"/>
        <v>0</v>
      </c>
      <c r="AC20" s="17">
        <f t="shared" si="12"/>
        <v>237</v>
      </c>
      <c r="AD20" s="17">
        <f t="shared" si="12"/>
        <v>0</v>
      </c>
      <c r="AE20" s="31">
        <f t="shared" si="12"/>
        <v>187</v>
      </c>
      <c r="AF20" s="31">
        <f t="shared" si="12"/>
        <v>424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3</v>
      </c>
      <c r="F21" s="50">
        <v>10</v>
      </c>
      <c r="G21" s="50">
        <v>0</v>
      </c>
      <c r="H21" s="50">
        <v>0</v>
      </c>
      <c r="I21" s="50">
        <v>3</v>
      </c>
      <c r="J21" s="50">
        <v>2</v>
      </c>
      <c r="K21" s="50">
        <v>0</v>
      </c>
      <c r="L21" s="50">
        <v>0</v>
      </c>
      <c r="M21" s="50">
        <v>54</v>
      </c>
      <c r="N21" s="50">
        <v>0</v>
      </c>
      <c r="O21" s="15">
        <f t="shared" si="0"/>
        <v>20</v>
      </c>
      <c r="P21" s="15">
        <f t="shared" si="1"/>
        <v>74</v>
      </c>
      <c r="R21" s="36" t="s">
        <v>20</v>
      </c>
      <c r="S21" s="34">
        <f t="shared" ref="S21:AF21" si="13">SUM(C54:C57)</f>
        <v>109</v>
      </c>
      <c r="T21" s="17">
        <f t="shared" si="13"/>
        <v>33</v>
      </c>
      <c r="U21" s="17">
        <f t="shared" si="13"/>
        <v>15</v>
      </c>
      <c r="V21" s="17">
        <f t="shared" si="13"/>
        <v>57</v>
      </c>
      <c r="W21" s="17">
        <f t="shared" si="13"/>
        <v>3</v>
      </c>
      <c r="X21" s="17">
        <f t="shared" si="13"/>
        <v>0</v>
      </c>
      <c r="Y21" s="17">
        <f t="shared" si="13"/>
        <v>11</v>
      </c>
      <c r="Z21" s="17">
        <f t="shared" si="13"/>
        <v>2</v>
      </c>
      <c r="AA21" s="17">
        <f t="shared" si="13"/>
        <v>2</v>
      </c>
      <c r="AB21" s="17">
        <f t="shared" si="13"/>
        <v>0</v>
      </c>
      <c r="AC21" s="17">
        <f t="shared" si="13"/>
        <v>227</v>
      </c>
      <c r="AD21" s="17">
        <f t="shared" si="13"/>
        <v>0</v>
      </c>
      <c r="AE21" s="31">
        <f t="shared" si="13"/>
        <v>232</v>
      </c>
      <c r="AF21" s="31">
        <f t="shared" si="13"/>
        <v>459</v>
      </c>
    </row>
    <row r="22" spans="2:32" ht="23.1" customHeight="1" x14ac:dyDescent="0.25">
      <c r="B22" s="23" t="s">
        <v>49</v>
      </c>
      <c r="C22" s="50">
        <v>8</v>
      </c>
      <c r="D22" s="50">
        <v>2</v>
      </c>
      <c r="E22" s="50">
        <v>3</v>
      </c>
      <c r="F22" s="50">
        <v>13</v>
      </c>
      <c r="G22" s="50">
        <v>0</v>
      </c>
      <c r="H22" s="50">
        <v>0</v>
      </c>
      <c r="I22" s="50">
        <v>3</v>
      </c>
      <c r="J22" s="50">
        <v>1</v>
      </c>
      <c r="K22" s="50">
        <v>0</v>
      </c>
      <c r="L22" s="50">
        <v>0</v>
      </c>
      <c r="M22" s="50">
        <v>39</v>
      </c>
      <c r="N22" s="50">
        <v>0</v>
      </c>
      <c r="O22" s="15">
        <f t="shared" si="0"/>
        <v>30</v>
      </c>
      <c r="P22" s="15">
        <f t="shared" si="1"/>
        <v>69</v>
      </c>
      <c r="R22" s="38" t="s">
        <v>90</v>
      </c>
      <c r="S22" s="39">
        <f>MAX(S10:S12)</f>
        <v>49</v>
      </c>
      <c r="T22" s="39">
        <f t="shared" ref="T22:AF22" si="14">MAX(T10:T12)</f>
        <v>8</v>
      </c>
      <c r="U22" s="39">
        <f t="shared" si="14"/>
        <v>7</v>
      </c>
      <c r="V22" s="39">
        <f t="shared" si="14"/>
        <v>52</v>
      </c>
      <c r="W22" s="39">
        <f t="shared" si="14"/>
        <v>1</v>
      </c>
      <c r="X22" s="39">
        <f t="shared" si="14"/>
        <v>3</v>
      </c>
      <c r="Y22" s="39">
        <f t="shared" si="14"/>
        <v>10</v>
      </c>
      <c r="Z22" s="39">
        <f t="shared" si="14"/>
        <v>9</v>
      </c>
      <c r="AA22" s="39">
        <f t="shared" si="14"/>
        <v>1</v>
      </c>
      <c r="AB22" s="39">
        <f t="shared" si="14"/>
        <v>0</v>
      </c>
      <c r="AC22" s="39">
        <f t="shared" si="14"/>
        <v>205</v>
      </c>
      <c r="AD22" s="39">
        <f t="shared" si="14"/>
        <v>0</v>
      </c>
      <c r="AE22" s="40">
        <f t="shared" si="14"/>
        <v>133</v>
      </c>
      <c r="AF22" s="40">
        <f t="shared" si="14"/>
        <v>338</v>
      </c>
    </row>
    <row r="23" spans="2:32" ht="23.1" customHeight="1" x14ac:dyDescent="0.25">
      <c r="B23" s="23" t="s">
        <v>50</v>
      </c>
      <c r="C23" s="50">
        <v>9</v>
      </c>
      <c r="D23" s="50">
        <v>1</v>
      </c>
      <c r="E23" s="50">
        <v>2</v>
      </c>
      <c r="F23" s="50">
        <v>4</v>
      </c>
      <c r="G23" s="50">
        <v>0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56</v>
      </c>
      <c r="N23" s="50">
        <v>0</v>
      </c>
      <c r="O23" s="15">
        <f t="shared" si="0"/>
        <v>21</v>
      </c>
      <c r="P23" s="15">
        <f t="shared" si="1"/>
        <v>77</v>
      </c>
      <c r="R23" s="38" t="s">
        <v>91</v>
      </c>
      <c r="S23" s="39">
        <f>MAX(S13:S18)</f>
        <v>95</v>
      </c>
      <c r="T23" s="39">
        <f t="shared" ref="T23:AF23" si="15">MAX(T13:T18)</f>
        <v>10</v>
      </c>
      <c r="U23" s="39">
        <f t="shared" si="15"/>
        <v>12</v>
      </c>
      <c r="V23" s="39">
        <f t="shared" si="15"/>
        <v>40</v>
      </c>
      <c r="W23" s="39">
        <f t="shared" si="15"/>
        <v>8</v>
      </c>
      <c r="X23" s="39">
        <f t="shared" si="15"/>
        <v>0</v>
      </c>
      <c r="Y23" s="39">
        <f t="shared" si="15"/>
        <v>21</v>
      </c>
      <c r="Z23" s="39">
        <f t="shared" si="15"/>
        <v>8</v>
      </c>
      <c r="AA23" s="39">
        <f t="shared" si="15"/>
        <v>2</v>
      </c>
      <c r="AB23" s="39">
        <f t="shared" si="15"/>
        <v>0</v>
      </c>
      <c r="AC23" s="39">
        <f t="shared" si="15"/>
        <v>264</v>
      </c>
      <c r="AD23" s="39">
        <f t="shared" si="15"/>
        <v>0</v>
      </c>
      <c r="AE23" s="40">
        <f t="shared" si="15"/>
        <v>173</v>
      </c>
      <c r="AF23" s="40">
        <f t="shared" si="15"/>
        <v>437</v>
      </c>
    </row>
    <row r="24" spans="2:32" ht="23.1" customHeight="1" x14ac:dyDescent="0.25">
      <c r="B24" s="23" t="s">
        <v>51</v>
      </c>
      <c r="C24" s="50">
        <v>4</v>
      </c>
      <c r="D24" s="50">
        <v>2</v>
      </c>
      <c r="E24" s="50">
        <v>2</v>
      </c>
      <c r="F24" s="50">
        <v>9</v>
      </c>
      <c r="G24" s="50">
        <v>0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43</v>
      </c>
      <c r="N24" s="50">
        <v>0</v>
      </c>
      <c r="O24" s="15">
        <f t="shared" si="0"/>
        <v>21</v>
      </c>
      <c r="P24" s="15">
        <f t="shared" si="1"/>
        <v>64</v>
      </c>
      <c r="R24" s="38" t="s">
        <v>92</v>
      </c>
      <c r="S24" s="39">
        <f>MAX(S19:S21)</f>
        <v>109</v>
      </c>
      <c r="T24" s="39">
        <f t="shared" ref="T24:AF24" si="16">MAX(T19:T21)</f>
        <v>33</v>
      </c>
      <c r="U24" s="39">
        <f t="shared" si="16"/>
        <v>16</v>
      </c>
      <c r="V24" s="39">
        <f t="shared" si="16"/>
        <v>57</v>
      </c>
      <c r="W24" s="39">
        <f t="shared" si="16"/>
        <v>3</v>
      </c>
      <c r="X24" s="39">
        <f t="shared" si="16"/>
        <v>1</v>
      </c>
      <c r="Y24" s="39">
        <f t="shared" si="16"/>
        <v>14</v>
      </c>
      <c r="Z24" s="39">
        <f t="shared" si="16"/>
        <v>7</v>
      </c>
      <c r="AA24" s="39">
        <f t="shared" si="16"/>
        <v>4</v>
      </c>
      <c r="AB24" s="39">
        <f t="shared" si="16"/>
        <v>0</v>
      </c>
      <c r="AC24" s="39">
        <f t="shared" si="16"/>
        <v>237</v>
      </c>
      <c r="AD24" s="39">
        <f t="shared" si="16"/>
        <v>0</v>
      </c>
      <c r="AE24" s="40">
        <f t="shared" si="16"/>
        <v>232</v>
      </c>
      <c r="AF24" s="40">
        <f t="shared" si="16"/>
        <v>459</v>
      </c>
    </row>
    <row r="25" spans="2:32" ht="23.1" customHeight="1" x14ac:dyDescent="0.25">
      <c r="B25" s="23" t="s">
        <v>52</v>
      </c>
      <c r="C25" s="50">
        <v>4</v>
      </c>
      <c r="D25" s="50">
        <v>0</v>
      </c>
      <c r="E25" s="50">
        <v>1</v>
      </c>
      <c r="F25" s="50">
        <v>14</v>
      </c>
      <c r="G25" s="50">
        <v>0</v>
      </c>
      <c r="H25" s="50">
        <v>0</v>
      </c>
      <c r="I25" s="50">
        <v>6</v>
      </c>
      <c r="J25" s="50">
        <v>3</v>
      </c>
      <c r="K25" s="50">
        <v>0</v>
      </c>
      <c r="L25" s="50">
        <v>0</v>
      </c>
      <c r="M25" s="50">
        <v>51</v>
      </c>
      <c r="N25" s="50">
        <v>0</v>
      </c>
      <c r="O25" s="15">
        <f t="shared" si="0"/>
        <v>28</v>
      </c>
      <c r="P25" s="15">
        <f t="shared" si="1"/>
        <v>79</v>
      </c>
      <c r="R25" s="37" t="s">
        <v>85</v>
      </c>
      <c r="S25" s="35">
        <f t="shared" ref="S25:AF25" si="17">SUM(S10:S12)</f>
        <v>89</v>
      </c>
      <c r="T25" s="16">
        <f t="shared" si="17"/>
        <v>12</v>
      </c>
      <c r="U25" s="16">
        <f t="shared" si="17"/>
        <v>14</v>
      </c>
      <c r="V25" s="16">
        <f t="shared" si="17"/>
        <v>125</v>
      </c>
      <c r="W25" s="16">
        <f t="shared" si="17"/>
        <v>1</v>
      </c>
      <c r="X25" s="16">
        <f t="shared" si="17"/>
        <v>5</v>
      </c>
      <c r="Y25" s="16">
        <f t="shared" si="17"/>
        <v>24</v>
      </c>
      <c r="Z25" s="16">
        <f t="shared" si="17"/>
        <v>22</v>
      </c>
      <c r="AA25" s="16">
        <f t="shared" si="17"/>
        <v>2</v>
      </c>
      <c r="AB25" s="16">
        <f t="shared" si="17"/>
        <v>0</v>
      </c>
      <c r="AC25" s="16">
        <f t="shared" si="17"/>
        <v>553</v>
      </c>
      <c r="AD25" s="16">
        <f t="shared" si="17"/>
        <v>0</v>
      </c>
      <c r="AE25" s="32">
        <f t="shared" si="17"/>
        <v>294</v>
      </c>
      <c r="AF25" s="32">
        <f t="shared" si="17"/>
        <v>847</v>
      </c>
    </row>
    <row r="26" spans="2:32" ht="23.1" customHeight="1" x14ac:dyDescent="0.25">
      <c r="B26" s="23" t="s">
        <v>53</v>
      </c>
      <c r="C26" s="50">
        <v>10</v>
      </c>
      <c r="D26" s="50">
        <v>1</v>
      </c>
      <c r="E26" s="50">
        <v>4</v>
      </c>
      <c r="F26" s="50">
        <v>6</v>
      </c>
      <c r="G26" s="50">
        <v>0</v>
      </c>
      <c r="H26" s="50">
        <v>0</v>
      </c>
      <c r="I26" s="50">
        <v>5</v>
      </c>
      <c r="J26" s="50">
        <v>0</v>
      </c>
      <c r="K26" s="50">
        <v>0</v>
      </c>
      <c r="L26" s="50">
        <v>0</v>
      </c>
      <c r="M26" s="50">
        <v>60</v>
      </c>
      <c r="N26" s="50">
        <v>0</v>
      </c>
      <c r="O26" s="15">
        <f t="shared" si="0"/>
        <v>26</v>
      </c>
      <c r="P26" s="15">
        <f t="shared" si="1"/>
        <v>86</v>
      </c>
      <c r="R26" s="28" t="s">
        <v>86</v>
      </c>
      <c r="S26" s="16">
        <f t="shared" ref="S26:AF26" si="18">SUM(S13:S18)</f>
        <v>240</v>
      </c>
      <c r="T26" s="16">
        <f t="shared" si="18"/>
        <v>46</v>
      </c>
      <c r="U26" s="16">
        <f t="shared" si="18"/>
        <v>43</v>
      </c>
      <c r="V26" s="16">
        <f t="shared" si="18"/>
        <v>179</v>
      </c>
      <c r="W26" s="16">
        <f t="shared" si="18"/>
        <v>8</v>
      </c>
      <c r="X26" s="16">
        <f t="shared" si="18"/>
        <v>0</v>
      </c>
      <c r="Y26" s="16">
        <f t="shared" si="18"/>
        <v>102</v>
      </c>
      <c r="Z26" s="16">
        <f t="shared" si="18"/>
        <v>30</v>
      </c>
      <c r="AA26" s="16">
        <f t="shared" si="18"/>
        <v>3</v>
      </c>
      <c r="AB26" s="16">
        <f t="shared" si="18"/>
        <v>0</v>
      </c>
      <c r="AC26" s="16">
        <f t="shared" si="18"/>
        <v>1308</v>
      </c>
      <c r="AD26" s="16">
        <f t="shared" si="18"/>
        <v>0</v>
      </c>
      <c r="AE26" s="32">
        <f t="shared" si="18"/>
        <v>651</v>
      </c>
      <c r="AF26" s="32">
        <f t="shared" si="18"/>
        <v>1959</v>
      </c>
    </row>
    <row r="27" spans="2:32" ht="23.1" customHeight="1" x14ac:dyDescent="0.25">
      <c r="B27" s="23" t="s">
        <v>54</v>
      </c>
      <c r="C27" s="50">
        <v>61</v>
      </c>
      <c r="D27" s="50">
        <v>2</v>
      </c>
      <c r="E27" s="50">
        <v>4</v>
      </c>
      <c r="F27" s="50">
        <v>9</v>
      </c>
      <c r="G27" s="50">
        <v>0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50">
        <v>81</v>
      </c>
      <c r="N27" s="50">
        <v>0</v>
      </c>
      <c r="O27" s="15">
        <f t="shared" si="0"/>
        <v>81</v>
      </c>
      <c r="P27" s="15">
        <f t="shared" si="1"/>
        <v>162</v>
      </c>
      <c r="R27" s="29" t="s">
        <v>87</v>
      </c>
      <c r="S27" s="16">
        <f t="shared" ref="S27:AF27" si="19">SUM(S19:S21)</f>
        <v>238</v>
      </c>
      <c r="T27" s="16">
        <f t="shared" si="19"/>
        <v>67</v>
      </c>
      <c r="U27" s="16">
        <f t="shared" si="19"/>
        <v>37</v>
      </c>
      <c r="V27" s="16">
        <f t="shared" si="19"/>
        <v>137</v>
      </c>
      <c r="W27" s="16">
        <f t="shared" si="19"/>
        <v>8</v>
      </c>
      <c r="X27" s="16">
        <f t="shared" si="19"/>
        <v>1</v>
      </c>
      <c r="Y27" s="16">
        <f t="shared" si="19"/>
        <v>38</v>
      </c>
      <c r="Z27" s="16">
        <f t="shared" si="19"/>
        <v>15</v>
      </c>
      <c r="AA27" s="16">
        <f t="shared" si="19"/>
        <v>7</v>
      </c>
      <c r="AB27" s="16">
        <f t="shared" si="19"/>
        <v>0</v>
      </c>
      <c r="AC27" s="16">
        <f t="shared" si="19"/>
        <v>683</v>
      </c>
      <c r="AD27" s="16">
        <f t="shared" si="19"/>
        <v>0</v>
      </c>
      <c r="AE27" s="32">
        <f t="shared" si="19"/>
        <v>548</v>
      </c>
      <c r="AF27" s="32">
        <f t="shared" si="19"/>
        <v>1231</v>
      </c>
    </row>
    <row r="28" spans="2:32" ht="23.1" customHeight="1" x14ac:dyDescent="0.25">
      <c r="B28" s="23" t="s">
        <v>55</v>
      </c>
      <c r="C28" s="50">
        <v>10</v>
      </c>
      <c r="D28" s="50">
        <v>4</v>
      </c>
      <c r="E28" s="50">
        <v>3</v>
      </c>
      <c r="F28" s="50">
        <v>7</v>
      </c>
      <c r="G28" s="50">
        <v>0</v>
      </c>
      <c r="H28" s="50">
        <v>0</v>
      </c>
      <c r="I28" s="50">
        <v>7</v>
      </c>
      <c r="J28" s="50">
        <v>1</v>
      </c>
      <c r="K28" s="50">
        <v>0</v>
      </c>
      <c r="L28" s="50">
        <v>0</v>
      </c>
      <c r="M28" s="50">
        <v>63</v>
      </c>
      <c r="N28" s="50">
        <v>0</v>
      </c>
      <c r="O28" s="15">
        <f t="shared" si="0"/>
        <v>32</v>
      </c>
      <c r="P28" s="15">
        <f t="shared" si="1"/>
        <v>95</v>
      </c>
      <c r="R28" s="5" t="s">
        <v>17</v>
      </c>
      <c r="S28" s="16">
        <f t="shared" ref="S28:AF28" si="20">SUM(S10:S21)</f>
        <v>567</v>
      </c>
      <c r="T28" s="16">
        <f t="shared" si="20"/>
        <v>125</v>
      </c>
      <c r="U28" s="16">
        <f t="shared" si="20"/>
        <v>94</v>
      </c>
      <c r="V28" s="16">
        <f t="shared" si="20"/>
        <v>441</v>
      </c>
      <c r="W28" s="16">
        <f t="shared" si="20"/>
        <v>17</v>
      </c>
      <c r="X28" s="16">
        <f t="shared" si="20"/>
        <v>6</v>
      </c>
      <c r="Y28" s="16">
        <f t="shared" si="20"/>
        <v>164</v>
      </c>
      <c r="Z28" s="16">
        <f t="shared" si="20"/>
        <v>67</v>
      </c>
      <c r="AA28" s="16">
        <f t="shared" si="20"/>
        <v>12</v>
      </c>
      <c r="AB28" s="16">
        <f t="shared" si="20"/>
        <v>0</v>
      </c>
      <c r="AC28" s="16">
        <f t="shared" si="20"/>
        <v>2544</v>
      </c>
      <c r="AD28" s="16">
        <f t="shared" si="20"/>
        <v>0</v>
      </c>
      <c r="AE28" s="32">
        <f t="shared" si="20"/>
        <v>1493</v>
      </c>
      <c r="AF28" s="32">
        <f t="shared" si="20"/>
        <v>4037</v>
      </c>
    </row>
    <row r="29" spans="2:32" ht="23.1" customHeight="1" x14ac:dyDescent="0.25">
      <c r="B29" s="23" t="s">
        <v>56</v>
      </c>
      <c r="C29" s="50">
        <v>14</v>
      </c>
      <c r="D29" s="50">
        <v>2</v>
      </c>
      <c r="E29" s="50">
        <v>1</v>
      </c>
      <c r="F29" s="50">
        <v>11</v>
      </c>
      <c r="G29" s="50">
        <v>0</v>
      </c>
      <c r="H29" s="50">
        <v>0</v>
      </c>
      <c r="I29" s="50">
        <v>4</v>
      </c>
      <c r="J29" s="50">
        <v>2</v>
      </c>
      <c r="K29" s="50">
        <v>0</v>
      </c>
      <c r="L29" s="50">
        <v>0</v>
      </c>
      <c r="M29" s="50">
        <v>60</v>
      </c>
      <c r="N29" s="50">
        <v>0</v>
      </c>
      <c r="O29" s="15">
        <f t="shared" si="0"/>
        <v>34</v>
      </c>
      <c r="P29" s="15">
        <f t="shared" si="1"/>
        <v>94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1</v>
      </c>
      <c r="E30" s="50">
        <v>0</v>
      </c>
      <c r="F30" s="50">
        <v>7</v>
      </c>
      <c r="G30" s="50">
        <v>0</v>
      </c>
      <c r="H30" s="50">
        <v>0</v>
      </c>
      <c r="I30" s="50">
        <v>8</v>
      </c>
      <c r="J30" s="50">
        <v>0</v>
      </c>
      <c r="K30" s="50">
        <v>0</v>
      </c>
      <c r="L30" s="50">
        <v>0</v>
      </c>
      <c r="M30" s="50">
        <v>59</v>
      </c>
      <c r="N30" s="50">
        <v>0</v>
      </c>
      <c r="O30" s="15">
        <f t="shared" si="0"/>
        <v>27</v>
      </c>
      <c r="P30" s="15">
        <f t="shared" si="1"/>
        <v>86</v>
      </c>
    </row>
    <row r="31" spans="2:32" ht="23.1" customHeight="1" x14ac:dyDescent="0.25">
      <c r="B31" s="24" t="s">
        <v>58</v>
      </c>
      <c r="C31" s="50">
        <v>10</v>
      </c>
      <c r="D31" s="50">
        <v>1</v>
      </c>
      <c r="E31" s="50">
        <v>3</v>
      </c>
      <c r="F31" s="50">
        <v>0</v>
      </c>
      <c r="G31" s="50">
        <v>7</v>
      </c>
      <c r="H31" s="50">
        <v>0</v>
      </c>
      <c r="I31" s="50">
        <v>0</v>
      </c>
      <c r="J31" s="50">
        <v>4</v>
      </c>
      <c r="K31" s="50">
        <v>1</v>
      </c>
      <c r="L31" s="50">
        <v>0</v>
      </c>
      <c r="M31" s="50">
        <v>67</v>
      </c>
      <c r="N31" s="50">
        <v>0</v>
      </c>
      <c r="O31" s="15">
        <f t="shared" si="0"/>
        <v>26</v>
      </c>
      <c r="P31" s="15">
        <f t="shared" si="1"/>
        <v>93</v>
      </c>
    </row>
    <row r="32" spans="2:32" ht="23.1" customHeight="1" x14ac:dyDescent="0.25">
      <c r="B32" s="24" t="s">
        <v>59</v>
      </c>
      <c r="C32" s="50">
        <v>5</v>
      </c>
      <c r="D32" s="50">
        <v>3</v>
      </c>
      <c r="E32" s="50">
        <v>0</v>
      </c>
      <c r="F32" s="50">
        <v>8</v>
      </c>
      <c r="G32" s="50">
        <v>0</v>
      </c>
      <c r="H32" s="50">
        <v>0</v>
      </c>
      <c r="I32" s="50">
        <v>5</v>
      </c>
      <c r="J32" s="50">
        <v>1</v>
      </c>
      <c r="K32" s="50">
        <v>1</v>
      </c>
      <c r="L32" s="50">
        <v>0</v>
      </c>
      <c r="M32" s="50">
        <v>47</v>
      </c>
      <c r="N32" s="50">
        <v>0</v>
      </c>
      <c r="O32" s="15">
        <f t="shared" si="0"/>
        <v>23</v>
      </c>
      <c r="P32" s="15">
        <f t="shared" si="1"/>
        <v>70</v>
      </c>
    </row>
    <row r="33" spans="2:20" ht="23.1" customHeight="1" x14ac:dyDescent="0.25">
      <c r="B33" s="23" t="s">
        <v>60</v>
      </c>
      <c r="C33" s="50">
        <v>7</v>
      </c>
      <c r="D33" s="50">
        <v>3</v>
      </c>
      <c r="E33" s="50">
        <v>1</v>
      </c>
      <c r="F33" s="50">
        <v>8</v>
      </c>
      <c r="G33" s="50">
        <v>1</v>
      </c>
      <c r="H33" s="50">
        <v>0</v>
      </c>
      <c r="I33" s="50">
        <v>4</v>
      </c>
      <c r="J33" s="50">
        <v>3</v>
      </c>
      <c r="K33" s="50">
        <v>0</v>
      </c>
      <c r="L33" s="50">
        <v>0</v>
      </c>
      <c r="M33" s="50">
        <v>71</v>
      </c>
      <c r="N33" s="50">
        <v>0</v>
      </c>
      <c r="O33" s="15">
        <f t="shared" si="0"/>
        <v>27</v>
      </c>
      <c r="P33" s="15">
        <f t="shared" si="1"/>
        <v>98</v>
      </c>
    </row>
    <row r="34" spans="2:20" ht="23.1" customHeight="1" x14ac:dyDescent="0.25">
      <c r="B34" s="24" t="s">
        <v>61</v>
      </c>
      <c r="C34" s="50">
        <v>9</v>
      </c>
      <c r="D34" s="50">
        <v>2</v>
      </c>
      <c r="E34" s="50">
        <v>2</v>
      </c>
      <c r="F34" s="50">
        <v>4</v>
      </c>
      <c r="G34" s="50">
        <v>0</v>
      </c>
      <c r="H34" s="50">
        <v>0</v>
      </c>
      <c r="I34" s="50">
        <v>2</v>
      </c>
      <c r="J34" s="50">
        <v>2</v>
      </c>
      <c r="K34" s="50">
        <v>0</v>
      </c>
      <c r="L34" s="50">
        <v>0</v>
      </c>
      <c r="M34" s="50">
        <v>45</v>
      </c>
      <c r="N34" s="50">
        <v>0</v>
      </c>
      <c r="O34" s="15">
        <f t="shared" si="0"/>
        <v>21</v>
      </c>
      <c r="P34" s="15">
        <f t="shared" si="1"/>
        <v>66</v>
      </c>
    </row>
    <row r="35" spans="2:20" ht="23.1" customHeight="1" x14ac:dyDescent="0.25">
      <c r="B35" s="24" t="s">
        <v>62</v>
      </c>
      <c r="C35" s="50">
        <v>4</v>
      </c>
      <c r="D35" s="50">
        <v>3</v>
      </c>
      <c r="E35" s="50">
        <v>1</v>
      </c>
      <c r="F35" s="50">
        <v>5</v>
      </c>
      <c r="G35" s="50">
        <v>0</v>
      </c>
      <c r="H35" s="50">
        <v>0</v>
      </c>
      <c r="I35" s="50">
        <v>4</v>
      </c>
      <c r="J35" s="50">
        <v>2</v>
      </c>
      <c r="K35" s="50">
        <v>0</v>
      </c>
      <c r="L35" s="50">
        <v>0</v>
      </c>
      <c r="M35" s="50">
        <v>64</v>
      </c>
      <c r="N35" s="50">
        <v>0</v>
      </c>
      <c r="O35" s="15">
        <f t="shared" si="0"/>
        <v>19</v>
      </c>
      <c r="P35" s="15">
        <f t="shared" si="1"/>
        <v>83</v>
      </c>
    </row>
    <row r="36" spans="2:20" ht="23.1" customHeight="1" x14ac:dyDescent="0.25">
      <c r="B36" s="24" t="s">
        <v>63</v>
      </c>
      <c r="C36" s="50">
        <v>8</v>
      </c>
      <c r="D36" s="50">
        <v>2</v>
      </c>
      <c r="E36" s="50">
        <v>2</v>
      </c>
      <c r="F36" s="50">
        <v>11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48</v>
      </c>
      <c r="N36" s="50">
        <v>0</v>
      </c>
      <c r="O36" s="15">
        <f t="shared" si="0"/>
        <v>27</v>
      </c>
      <c r="P36" s="15">
        <f t="shared" si="1"/>
        <v>75</v>
      </c>
    </row>
    <row r="37" spans="2:20" ht="23.1" customHeight="1" x14ac:dyDescent="0.25">
      <c r="B37" s="23" t="s">
        <v>64</v>
      </c>
      <c r="C37" s="50">
        <v>4</v>
      </c>
      <c r="D37" s="50">
        <v>3</v>
      </c>
      <c r="E37" s="50">
        <v>4</v>
      </c>
      <c r="F37" s="50">
        <v>4</v>
      </c>
      <c r="G37" s="50">
        <v>0</v>
      </c>
      <c r="H37" s="50">
        <v>0</v>
      </c>
      <c r="I37" s="50">
        <v>7</v>
      </c>
      <c r="J37" s="50">
        <v>2</v>
      </c>
      <c r="K37" s="50">
        <v>0</v>
      </c>
      <c r="L37" s="50">
        <v>0</v>
      </c>
      <c r="M37" s="50">
        <v>65</v>
      </c>
      <c r="N37" s="50">
        <v>0</v>
      </c>
      <c r="O37" s="15">
        <f t="shared" si="0"/>
        <v>24</v>
      </c>
      <c r="P37" s="15">
        <f t="shared" si="1"/>
        <v>89</v>
      </c>
    </row>
    <row r="38" spans="2:20" ht="23.1" customHeight="1" x14ac:dyDescent="0.25">
      <c r="B38" s="24" t="s">
        <v>65</v>
      </c>
      <c r="C38" s="50">
        <v>7</v>
      </c>
      <c r="D38" s="50">
        <v>3</v>
      </c>
      <c r="E38" s="50">
        <v>1</v>
      </c>
      <c r="F38" s="50">
        <v>7</v>
      </c>
      <c r="G38" s="50">
        <v>0</v>
      </c>
      <c r="H38" s="50">
        <v>0</v>
      </c>
      <c r="I38" s="50">
        <v>4</v>
      </c>
      <c r="J38" s="50">
        <v>2</v>
      </c>
      <c r="K38" s="50">
        <v>0</v>
      </c>
      <c r="L38" s="50">
        <v>0</v>
      </c>
      <c r="M38" s="50">
        <v>51</v>
      </c>
      <c r="N38" s="50">
        <v>0</v>
      </c>
      <c r="O38" s="15">
        <f t="shared" si="0"/>
        <v>24</v>
      </c>
      <c r="P38" s="15">
        <f t="shared" si="1"/>
        <v>75</v>
      </c>
    </row>
    <row r="39" spans="2:20" ht="23.1" customHeight="1" x14ac:dyDescent="0.25">
      <c r="B39" s="24" t="s">
        <v>66</v>
      </c>
      <c r="C39" s="50">
        <v>5</v>
      </c>
      <c r="D39" s="50">
        <v>0</v>
      </c>
      <c r="E39" s="50">
        <v>2</v>
      </c>
      <c r="F39" s="50">
        <v>5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45</v>
      </c>
      <c r="N39" s="50">
        <v>0</v>
      </c>
      <c r="O39" s="15">
        <f t="shared" si="0"/>
        <v>16</v>
      </c>
      <c r="P39" s="15">
        <f t="shared" si="1"/>
        <v>61</v>
      </c>
    </row>
    <row r="40" spans="2:20" ht="23.1" customHeight="1" x14ac:dyDescent="0.25">
      <c r="B40" s="24" t="s">
        <v>67</v>
      </c>
      <c r="C40" s="50">
        <v>5</v>
      </c>
      <c r="D40" s="50">
        <v>2</v>
      </c>
      <c r="E40" s="50">
        <v>2</v>
      </c>
      <c r="F40" s="50">
        <v>8</v>
      </c>
      <c r="G40" s="50">
        <v>0</v>
      </c>
      <c r="H40" s="50">
        <v>0</v>
      </c>
      <c r="I40" s="50">
        <v>7</v>
      </c>
      <c r="J40" s="50">
        <v>0</v>
      </c>
      <c r="K40" s="50">
        <v>0</v>
      </c>
      <c r="L40" s="50">
        <v>0</v>
      </c>
      <c r="M40" s="50">
        <v>49</v>
      </c>
      <c r="N40" s="50">
        <v>0</v>
      </c>
      <c r="O40" s="15">
        <f t="shared" si="0"/>
        <v>24</v>
      </c>
      <c r="P40" s="15">
        <f t="shared" si="1"/>
        <v>73</v>
      </c>
    </row>
    <row r="41" spans="2:20" ht="23.1" customHeight="1" x14ac:dyDescent="0.25">
      <c r="B41" s="23" t="s">
        <v>68</v>
      </c>
      <c r="C41" s="50">
        <v>8</v>
      </c>
      <c r="D41" s="50">
        <v>1</v>
      </c>
      <c r="E41" s="50">
        <v>1</v>
      </c>
      <c r="F41" s="50">
        <v>8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41</v>
      </c>
      <c r="N41" s="50">
        <v>0</v>
      </c>
      <c r="O41" s="15">
        <f t="shared" si="0"/>
        <v>19</v>
      </c>
      <c r="P41" s="15">
        <f t="shared" si="1"/>
        <v>60</v>
      </c>
    </row>
    <row r="42" spans="2:20" ht="23.1" customHeight="1" x14ac:dyDescent="0.25">
      <c r="B42" s="24" t="s">
        <v>69</v>
      </c>
      <c r="C42" s="50">
        <v>13</v>
      </c>
      <c r="D42" s="50">
        <v>5</v>
      </c>
      <c r="E42" s="50">
        <v>1</v>
      </c>
      <c r="F42" s="50">
        <v>6</v>
      </c>
      <c r="G42" s="50">
        <v>0</v>
      </c>
      <c r="H42" s="50">
        <v>0</v>
      </c>
      <c r="I42" s="50">
        <v>1</v>
      </c>
      <c r="J42" s="50">
        <v>2</v>
      </c>
      <c r="K42" s="50">
        <v>0</v>
      </c>
      <c r="L42" s="50">
        <v>0</v>
      </c>
      <c r="M42" s="50">
        <v>39</v>
      </c>
      <c r="N42" s="50">
        <v>0</v>
      </c>
      <c r="O42" s="15">
        <f t="shared" si="0"/>
        <v>28</v>
      </c>
      <c r="P42" s="15">
        <f t="shared" si="1"/>
        <v>67</v>
      </c>
    </row>
    <row r="43" spans="2:20" ht="23.1" customHeight="1" x14ac:dyDescent="0.25">
      <c r="B43" s="23" t="s">
        <v>70</v>
      </c>
      <c r="C43" s="50">
        <v>9</v>
      </c>
      <c r="D43" s="50">
        <v>3</v>
      </c>
      <c r="E43" s="50">
        <v>3</v>
      </c>
      <c r="F43" s="50">
        <v>10</v>
      </c>
      <c r="G43" s="50">
        <v>0</v>
      </c>
      <c r="H43" s="50">
        <v>0</v>
      </c>
      <c r="I43" s="50">
        <v>7</v>
      </c>
      <c r="J43" s="50">
        <v>0</v>
      </c>
      <c r="K43" s="50">
        <v>0</v>
      </c>
      <c r="L43" s="50">
        <v>0</v>
      </c>
      <c r="M43" s="50">
        <v>45</v>
      </c>
      <c r="N43" s="50">
        <v>0</v>
      </c>
      <c r="O43" s="15">
        <f t="shared" si="0"/>
        <v>32</v>
      </c>
      <c r="P43" s="15">
        <f t="shared" si="1"/>
        <v>77</v>
      </c>
    </row>
    <row r="44" spans="2:20" ht="23.1" customHeight="1" x14ac:dyDescent="0.25">
      <c r="B44" s="25" t="s">
        <v>71</v>
      </c>
      <c r="C44" s="50">
        <v>8</v>
      </c>
      <c r="D44" s="50">
        <v>0</v>
      </c>
      <c r="E44" s="50">
        <v>0</v>
      </c>
      <c r="F44" s="50">
        <v>6</v>
      </c>
      <c r="G44" s="50">
        <v>0</v>
      </c>
      <c r="H44" s="50">
        <v>0</v>
      </c>
      <c r="I44" s="50">
        <v>4</v>
      </c>
      <c r="J44" s="50">
        <v>1</v>
      </c>
      <c r="K44" s="50">
        <v>1</v>
      </c>
      <c r="L44" s="50">
        <v>0</v>
      </c>
      <c r="M44" s="50">
        <v>78</v>
      </c>
      <c r="N44" s="50">
        <v>0</v>
      </c>
      <c r="O44" s="15">
        <f t="shared" si="0"/>
        <v>20</v>
      </c>
      <c r="P44" s="15">
        <f t="shared" si="1"/>
        <v>98</v>
      </c>
    </row>
    <row r="45" spans="2:20" ht="23.1" customHeight="1" x14ac:dyDescent="0.25">
      <c r="B45" s="23" t="s">
        <v>72</v>
      </c>
      <c r="C45" s="50">
        <v>7</v>
      </c>
      <c r="D45" s="50">
        <v>0</v>
      </c>
      <c r="E45" s="50">
        <v>0</v>
      </c>
      <c r="F45" s="50">
        <v>9</v>
      </c>
      <c r="G45" s="50">
        <v>0</v>
      </c>
      <c r="H45" s="50">
        <v>0</v>
      </c>
      <c r="I45" s="50">
        <v>4</v>
      </c>
      <c r="J45" s="50">
        <v>1</v>
      </c>
      <c r="K45" s="50">
        <v>0</v>
      </c>
      <c r="L45" s="50">
        <v>0</v>
      </c>
      <c r="M45" s="50">
        <v>41</v>
      </c>
      <c r="N45" s="50"/>
      <c r="O45" s="15">
        <f t="shared" si="0"/>
        <v>21</v>
      </c>
      <c r="P45" s="15">
        <f t="shared" si="1"/>
        <v>62</v>
      </c>
    </row>
    <row r="46" spans="2:20" ht="23.1" customHeight="1" x14ac:dyDescent="0.25">
      <c r="B46" s="24" t="s">
        <v>73</v>
      </c>
      <c r="C46" s="50">
        <v>9</v>
      </c>
      <c r="D46" s="50">
        <v>3</v>
      </c>
      <c r="E46" s="50">
        <v>0</v>
      </c>
      <c r="F46" s="50">
        <v>7</v>
      </c>
      <c r="G46" s="50">
        <v>1</v>
      </c>
      <c r="H46" s="50">
        <v>0</v>
      </c>
      <c r="I46" s="50">
        <v>8</v>
      </c>
      <c r="J46" s="50">
        <v>5</v>
      </c>
      <c r="K46" s="50">
        <v>0</v>
      </c>
      <c r="L46" s="50">
        <v>0</v>
      </c>
      <c r="M46" s="50">
        <v>56</v>
      </c>
      <c r="N46" s="50">
        <v>0</v>
      </c>
      <c r="O46" s="15">
        <f t="shared" si="0"/>
        <v>33</v>
      </c>
      <c r="P46" s="15">
        <f t="shared" si="1"/>
        <v>89</v>
      </c>
      <c r="R46" s="8"/>
      <c r="T46"/>
    </row>
    <row r="47" spans="2:20" ht="23.1" customHeight="1" x14ac:dyDescent="0.25">
      <c r="B47" s="24" t="s">
        <v>74</v>
      </c>
      <c r="C47" s="50">
        <v>13</v>
      </c>
      <c r="D47" s="50">
        <v>3</v>
      </c>
      <c r="E47" s="50">
        <v>3</v>
      </c>
      <c r="F47" s="50">
        <v>8</v>
      </c>
      <c r="G47" s="50">
        <v>1</v>
      </c>
      <c r="H47" s="50">
        <v>1</v>
      </c>
      <c r="I47" s="50">
        <v>1</v>
      </c>
      <c r="J47" s="50">
        <v>0</v>
      </c>
      <c r="K47" s="50">
        <v>1</v>
      </c>
      <c r="L47" s="50">
        <v>0</v>
      </c>
      <c r="M47" s="50">
        <v>47</v>
      </c>
      <c r="N47" s="50">
        <v>0</v>
      </c>
      <c r="O47" s="15">
        <f t="shared" si="0"/>
        <v>31</v>
      </c>
      <c r="P47" s="15">
        <f t="shared" si="1"/>
        <v>78</v>
      </c>
      <c r="R47" s="8"/>
      <c r="T47"/>
    </row>
    <row r="48" spans="2:20" ht="23.1" customHeight="1" x14ac:dyDescent="0.25">
      <c r="B48" s="24" t="s">
        <v>75</v>
      </c>
      <c r="C48" s="50">
        <v>16</v>
      </c>
      <c r="D48" s="50">
        <v>4</v>
      </c>
      <c r="E48" s="50">
        <v>1</v>
      </c>
      <c r="F48" s="50">
        <v>9</v>
      </c>
      <c r="G48" s="50">
        <v>0</v>
      </c>
      <c r="H48" s="50">
        <v>0</v>
      </c>
      <c r="I48" s="50">
        <v>1</v>
      </c>
      <c r="J48" s="50">
        <v>0</v>
      </c>
      <c r="K48" s="50">
        <v>1</v>
      </c>
      <c r="L48" s="50">
        <v>0</v>
      </c>
      <c r="M48" s="50">
        <v>56</v>
      </c>
      <c r="N48" s="50">
        <v>0</v>
      </c>
      <c r="O48" s="15">
        <f t="shared" si="0"/>
        <v>32</v>
      </c>
      <c r="P48" s="15">
        <f t="shared" si="1"/>
        <v>88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6</v>
      </c>
      <c r="E49" s="50">
        <v>2</v>
      </c>
      <c r="F49" s="50">
        <v>13</v>
      </c>
      <c r="G49" s="50">
        <v>0</v>
      </c>
      <c r="H49" s="50">
        <v>0</v>
      </c>
      <c r="I49" s="50">
        <v>3</v>
      </c>
      <c r="J49" s="50">
        <v>2</v>
      </c>
      <c r="K49" s="50">
        <v>2</v>
      </c>
      <c r="L49" s="50">
        <v>0</v>
      </c>
      <c r="M49" s="50">
        <v>60</v>
      </c>
      <c r="N49" s="50">
        <v>0</v>
      </c>
      <c r="O49" s="15">
        <f t="shared" si="0"/>
        <v>33</v>
      </c>
      <c r="P49" s="15">
        <f t="shared" si="1"/>
        <v>93</v>
      </c>
      <c r="R49" s="8"/>
      <c r="T49"/>
    </row>
    <row r="50" spans="2:20" ht="23.1" customHeight="1" x14ac:dyDescent="0.25">
      <c r="B50" s="24" t="s">
        <v>77</v>
      </c>
      <c r="C50" s="50">
        <v>16</v>
      </c>
      <c r="D50" s="50">
        <v>4</v>
      </c>
      <c r="E50" s="50">
        <v>6</v>
      </c>
      <c r="F50" s="50">
        <v>10</v>
      </c>
      <c r="G50" s="50">
        <v>0</v>
      </c>
      <c r="H50" s="50">
        <v>0</v>
      </c>
      <c r="I50" s="50">
        <v>5</v>
      </c>
      <c r="J50" s="50">
        <v>4</v>
      </c>
      <c r="K50" s="50">
        <v>0</v>
      </c>
      <c r="L50" s="50">
        <v>0</v>
      </c>
      <c r="M50" s="50">
        <v>56</v>
      </c>
      <c r="N50" s="50">
        <v>0</v>
      </c>
      <c r="O50" s="15">
        <f t="shared" si="0"/>
        <v>45</v>
      </c>
      <c r="P50" s="15">
        <f t="shared" si="1"/>
        <v>101</v>
      </c>
      <c r="R50" s="8"/>
      <c r="T50"/>
    </row>
    <row r="51" spans="2:20" ht="23.1" customHeight="1" x14ac:dyDescent="0.25">
      <c r="B51" s="24" t="s">
        <v>78</v>
      </c>
      <c r="C51" s="50">
        <v>19</v>
      </c>
      <c r="D51" s="50">
        <v>1</v>
      </c>
      <c r="E51" s="50">
        <v>0</v>
      </c>
      <c r="F51" s="50">
        <v>9</v>
      </c>
      <c r="G51" s="50">
        <v>0</v>
      </c>
      <c r="H51" s="50">
        <v>0</v>
      </c>
      <c r="I51" s="50">
        <v>2</v>
      </c>
      <c r="J51" s="50">
        <v>2</v>
      </c>
      <c r="K51" s="50">
        <v>0</v>
      </c>
      <c r="L51" s="50">
        <v>0</v>
      </c>
      <c r="M51" s="50">
        <v>55</v>
      </c>
      <c r="N51" s="50">
        <v>0</v>
      </c>
      <c r="O51" s="15">
        <f t="shared" si="0"/>
        <v>33</v>
      </c>
      <c r="P51" s="15">
        <f t="shared" si="1"/>
        <v>88</v>
      </c>
      <c r="R51" s="8"/>
      <c r="T51"/>
    </row>
    <row r="52" spans="2:20" ht="23.1" customHeight="1" x14ac:dyDescent="0.25">
      <c r="B52" s="24" t="s">
        <v>79</v>
      </c>
      <c r="C52" s="50">
        <v>19</v>
      </c>
      <c r="D52" s="50">
        <v>7</v>
      </c>
      <c r="E52" s="50">
        <v>4</v>
      </c>
      <c r="F52" s="50">
        <v>9</v>
      </c>
      <c r="G52" s="50">
        <v>2</v>
      </c>
      <c r="H52" s="50">
        <v>0</v>
      </c>
      <c r="I52" s="50">
        <v>2</v>
      </c>
      <c r="J52" s="50">
        <v>0</v>
      </c>
      <c r="K52" s="50">
        <v>1</v>
      </c>
      <c r="L52" s="50">
        <v>0</v>
      </c>
      <c r="M52" s="50">
        <v>69</v>
      </c>
      <c r="N52" s="50">
        <v>0</v>
      </c>
      <c r="O52" s="15">
        <f t="shared" si="0"/>
        <v>44</v>
      </c>
      <c r="P52" s="15">
        <f t="shared" si="1"/>
        <v>113</v>
      </c>
      <c r="R52" s="8"/>
      <c r="T52"/>
    </row>
    <row r="53" spans="2:20" ht="23.1" customHeight="1" x14ac:dyDescent="0.25">
      <c r="B53" s="23" t="s">
        <v>80</v>
      </c>
      <c r="C53" s="50">
        <v>32</v>
      </c>
      <c r="D53" s="50">
        <v>6</v>
      </c>
      <c r="E53" s="50">
        <v>6</v>
      </c>
      <c r="F53" s="50">
        <v>15</v>
      </c>
      <c r="G53" s="50">
        <v>1</v>
      </c>
      <c r="H53" s="50">
        <v>0</v>
      </c>
      <c r="I53" s="50">
        <v>5</v>
      </c>
      <c r="J53" s="50">
        <v>0</v>
      </c>
      <c r="K53" s="50">
        <v>0</v>
      </c>
      <c r="L53" s="50">
        <v>0</v>
      </c>
      <c r="M53" s="50">
        <v>57</v>
      </c>
      <c r="N53" s="50">
        <v>0</v>
      </c>
      <c r="O53" s="15">
        <f t="shared" si="0"/>
        <v>65</v>
      </c>
      <c r="P53" s="15">
        <f t="shared" si="1"/>
        <v>122</v>
      </c>
      <c r="R53" s="8"/>
      <c r="T53"/>
    </row>
    <row r="54" spans="2:20" ht="23.1" customHeight="1" x14ac:dyDescent="0.25">
      <c r="B54" s="23" t="s">
        <v>81</v>
      </c>
      <c r="C54" s="50">
        <v>23</v>
      </c>
      <c r="D54" s="50">
        <v>10</v>
      </c>
      <c r="E54" s="50">
        <v>5</v>
      </c>
      <c r="F54" s="50">
        <v>13</v>
      </c>
      <c r="G54" s="50">
        <v>0</v>
      </c>
      <c r="H54" s="50">
        <v>0</v>
      </c>
      <c r="I54" s="50">
        <v>0</v>
      </c>
      <c r="J54" s="50">
        <v>0</v>
      </c>
      <c r="K54" s="50">
        <v>1</v>
      </c>
      <c r="L54" s="50">
        <v>0</v>
      </c>
      <c r="M54" s="50">
        <v>49</v>
      </c>
      <c r="N54" s="50">
        <v>0</v>
      </c>
      <c r="O54" s="15">
        <f t="shared" si="0"/>
        <v>52</v>
      </c>
      <c r="P54" s="15">
        <f t="shared" si="1"/>
        <v>101</v>
      </c>
      <c r="R54" s="8"/>
      <c r="T54"/>
    </row>
    <row r="55" spans="2:20" ht="23.1" customHeight="1" x14ac:dyDescent="0.25">
      <c r="B55" s="23" t="s">
        <v>82</v>
      </c>
      <c r="C55" s="50">
        <v>30</v>
      </c>
      <c r="D55" s="50">
        <v>6</v>
      </c>
      <c r="E55" s="50">
        <v>3</v>
      </c>
      <c r="F55" s="50">
        <v>14</v>
      </c>
      <c r="G55" s="50">
        <v>1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78</v>
      </c>
      <c r="N55" s="50">
        <v>0</v>
      </c>
      <c r="O55" s="15">
        <f t="shared" si="0"/>
        <v>56</v>
      </c>
      <c r="P55" s="15">
        <f t="shared" si="1"/>
        <v>134</v>
      </c>
      <c r="R55" s="8"/>
      <c r="T55"/>
    </row>
    <row r="56" spans="2:20" ht="23.1" customHeight="1" x14ac:dyDescent="0.25">
      <c r="B56" s="23" t="s">
        <v>83</v>
      </c>
      <c r="C56" s="50">
        <v>35</v>
      </c>
      <c r="D56" s="50">
        <v>9</v>
      </c>
      <c r="E56" s="50">
        <v>4</v>
      </c>
      <c r="F56" s="50">
        <v>16</v>
      </c>
      <c r="G56" s="50">
        <v>1</v>
      </c>
      <c r="H56" s="50">
        <v>0</v>
      </c>
      <c r="I56" s="50">
        <v>5</v>
      </c>
      <c r="J56" s="50">
        <v>0</v>
      </c>
      <c r="K56" s="50">
        <v>1</v>
      </c>
      <c r="L56" s="50">
        <v>0</v>
      </c>
      <c r="M56" s="50">
        <v>63</v>
      </c>
      <c r="N56" s="50">
        <v>0</v>
      </c>
      <c r="O56" s="15">
        <f t="shared" si="0"/>
        <v>71</v>
      </c>
      <c r="P56" s="15">
        <f t="shared" si="1"/>
        <v>134</v>
      </c>
      <c r="R56" s="8"/>
      <c r="T56"/>
    </row>
    <row r="57" spans="2:20" ht="23.1" customHeight="1" x14ac:dyDescent="0.25">
      <c r="B57" s="23" t="s">
        <v>84</v>
      </c>
      <c r="C57" s="50">
        <v>21</v>
      </c>
      <c r="D57" s="50">
        <v>8</v>
      </c>
      <c r="E57" s="50">
        <v>3</v>
      </c>
      <c r="F57" s="50">
        <v>14</v>
      </c>
      <c r="G57" s="50">
        <v>1</v>
      </c>
      <c r="H57" s="50">
        <v>0</v>
      </c>
      <c r="I57" s="50">
        <v>4</v>
      </c>
      <c r="J57" s="50">
        <v>2</v>
      </c>
      <c r="K57" s="50">
        <v>0</v>
      </c>
      <c r="L57" s="50">
        <v>0</v>
      </c>
      <c r="M57" s="50">
        <v>37</v>
      </c>
      <c r="N57" s="50">
        <v>0</v>
      </c>
      <c r="O57" s="15">
        <f t="shared" si="0"/>
        <v>53</v>
      </c>
      <c r="P57" s="15">
        <f t="shared" si="1"/>
        <v>90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567</v>
      </c>
      <c r="D58" s="16">
        <f t="shared" si="21"/>
        <v>125</v>
      </c>
      <c r="E58" s="16">
        <f t="shared" si="21"/>
        <v>94</v>
      </c>
      <c r="F58" s="16">
        <f t="shared" si="21"/>
        <v>441</v>
      </c>
      <c r="G58" s="16">
        <f t="shared" si="21"/>
        <v>17</v>
      </c>
      <c r="H58" s="16">
        <f t="shared" si="21"/>
        <v>6</v>
      </c>
      <c r="I58" s="16">
        <f t="shared" si="21"/>
        <v>164</v>
      </c>
      <c r="J58" s="16">
        <f t="shared" si="21"/>
        <v>67</v>
      </c>
      <c r="K58" s="16">
        <f t="shared" si="21"/>
        <v>12</v>
      </c>
      <c r="L58" s="16">
        <f t="shared" si="21"/>
        <v>0</v>
      </c>
      <c r="M58" s="16">
        <f t="shared" si="21"/>
        <v>2544</v>
      </c>
      <c r="N58" s="16">
        <f t="shared" si="21"/>
        <v>0</v>
      </c>
      <c r="O58" s="16">
        <f t="shared" si="21"/>
        <v>1493</v>
      </c>
      <c r="P58" s="16">
        <f t="shared" si="21"/>
        <v>4037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0.14045082982412682</v>
      </c>
      <c r="D59" s="43">
        <f t="shared" si="22"/>
        <v>3.0963586821897447E-2</v>
      </c>
      <c r="E59" s="43">
        <f t="shared" si="22"/>
        <v>2.3284617290066881E-2</v>
      </c>
      <c r="F59" s="43">
        <f t="shared" si="22"/>
        <v>0.10923953430765419</v>
      </c>
      <c r="G59" s="43">
        <f t="shared" si="22"/>
        <v>4.2110478077780527E-3</v>
      </c>
      <c r="H59" s="43">
        <f t="shared" si="22"/>
        <v>1.4862521674510775E-3</v>
      </c>
      <c r="I59" s="43">
        <f t="shared" si="22"/>
        <v>4.0624225910329451E-2</v>
      </c>
      <c r="J59" s="43">
        <f t="shared" si="22"/>
        <v>1.6596482536537033E-2</v>
      </c>
      <c r="K59" s="43">
        <f t="shared" si="22"/>
        <v>2.972504334902155E-3</v>
      </c>
      <c r="L59" s="43">
        <f t="shared" si="22"/>
        <v>0</v>
      </c>
      <c r="M59" s="43">
        <f t="shared" si="22"/>
        <v>0.63017091899925692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0.37977227059611518</v>
      </c>
      <c r="D60" s="44">
        <f t="shared" ref="D60:N60" si="23">D58/$O$58</f>
        <v>8.3724045545880782E-2</v>
      </c>
      <c r="E60" s="44">
        <f t="shared" si="23"/>
        <v>6.2960482250502339E-2</v>
      </c>
      <c r="F60" s="44">
        <f t="shared" si="23"/>
        <v>0.29537843268586739</v>
      </c>
      <c r="G60" s="44">
        <f t="shared" si="23"/>
        <v>1.1386470194239785E-2</v>
      </c>
      <c r="H60" s="44">
        <f t="shared" si="23"/>
        <v>4.0187541862022769E-3</v>
      </c>
      <c r="I60" s="44">
        <f t="shared" si="23"/>
        <v>0.10984594775619558</v>
      </c>
      <c r="J60" s="44">
        <f t="shared" si="23"/>
        <v>4.4876088412592094E-2</v>
      </c>
      <c r="K60" s="44">
        <f t="shared" si="23"/>
        <v>8.0375083724045539E-3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Sentema-Sentema RBT'!C3:G3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'24.07 SentemaRBT-Sentema'!D5</f>
        <v>24.07.19</v>
      </c>
      <c r="E5" s="3"/>
      <c r="F5" s="41" t="s">
        <v>1</v>
      </c>
      <c r="G5" s="64" t="str">
        <f>'22.07 SentemaRBT-Sentema'!G5:H5</f>
        <v>Ku roofings</v>
      </c>
      <c r="H5" s="65"/>
      <c r="I5" s="14"/>
      <c r="J5" s="2" t="s">
        <v>5</v>
      </c>
      <c r="K5" s="64" t="s">
        <v>172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Sentema-Sentema RBT'!D6:E6</f>
        <v>Sentema</v>
      </c>
      <c r="E6" s="65"/>
      <c r="F6" s="2" t="s">
        <v>2</v>
      </c>
      <c r="G6" s="64" t="str">
        <f>'22.07 Sentema-Sentema RBT'!G6:H6</f>
        <v>Sentema RBT</v>
      </c>
      <c r="H6" s="65"/>
      <c r="J6" s="2" t="s">
        <v>21</v>
      </c>
      <c r="K6" s="64" t="str">
        <f>'22.07 SentemaRBT-Sentema'!K6:L6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41</v>
      </c>
      <c r="D10" s="50">
        <v>6</v>
      </c>
      <c r="E10" s="50">
        <v>5</v>
      </c>
      <c r="F10" s="50">
        <v>25</v>
      </c>
      <c r="G10" s="50">
        <v>0</v>
      </c>
      <c r="H10" s="50">
        <v>1</v>
      </c>
      <c r="I10" s="50">
        <v>2</v>
      </c>
      <c r="J10" s="50">
        <v>0</v>
      </c>
      <c r="K10" s="50">
        <v>2</v>
      </c>
      <c r="L10" s="50">
        <v>0</v>
      </c>
      <c r="M10" s="50">
        <v>88</v>
      </c>
      <c r="N10" s="50">
        <v>0</v>
      </c>
      <c r="O10" s="15">
        <f t="shared" ref="O10:O57" si="0">SUM(C10:L10,N10)</f>
        <v>82</v>
      </c>
      <c r="P10" s="15">
        <f t="shared" ref="P10:P57" si="1">SUM(C10:N10)</f>
        <v>170</v>
      </c>
      <c r="R10" s="1" t="s">
        <v>6</v>
      </c>
      <c r="S10" s="17">
        <f t="shared" ref="S10:AF10" si="2">SUM(C10:C13)</f>
        <v>225</v>
      </c>
      <c r="T10" s="17">
        <f t="shared" si="2"/>
        <v>13</v>
      </c>
      <c r="U10" s="17">
        <f t="shared" si="2"/>
        <v>22</v>
      </c>
      <c r="V10" s="17">
        <f t="shared" si="2"/>
        <v>92</v>
      </c>
      <c r="W10" s="17">
        <f t="shared" si="2"/>
        <v>0</v>
      </c>
      <c r="X10" s="17">
        <f t="shared" si="2"/>
        <v>1</v>
      </c>
      <c r="Y10" s="17">
        <f t="shared" si="2"/>
        <v>16</v>
      </c>
      <c r="Z10" s="17">
        <f t="shared" si="2"/>
        <v>0</v>
      </c>
      <c r="AA10" s="17">
        <f t="shared" si="2"/>
        <v>4</v>
      </c>
      <c r="AB10" s="17">
        <f t="shared" si="2"/>
        <v>1</v>
      </c>
      <c r="AC10" s="17">
        <f t="shared" si="2"/>
        <v>416</v>
      </c>
      <c r="AD10" s="17">
        <f t="shared" si="2"/>
        <v>0</v>
      </c>
      <c r="AE10" s="31">
        <f t="shared" si="2"/>
        <v>374</v>
      </c>
      <c r="AF10" s="31">
        <f t="shared" si="2"/>
        <v>790</v>
      </c>
    </row>
    <row r="11" spans="2:32" s="6" customFormat="1" ht="23.1" customHeight="1" x14ac:dyDescent="0.25">
      <c r="B11" s="23" t="s">
        <v>38</v>
      </c>
      <c r="C11" s="50">
        <v>54</v>
      </c>
      <c r="D11" s="50">
        <v>1</v>
      </c>
      <c r="E11" s="50">
        <v>6</v>
      </c>
      <c r="F11" s="50">
        <v>16</v>
      </c>
      <c r="G11" s="50">
        <v>0</v>
      </c>
      <c r="H11" s="50">
        <v>0</v>
      </c>
      <c r="I11" s="50">
        <v>6</v>
      </c>
      <c r="J11" s="50">
        <v>0</v>
      </c>
      <c r="K11" s="50">
        <v>1</v>
      </c>
      <c r="L11" s="50">
        <v>0</v>
      </c>
      <c r="M11" s="50">
        <v>92</v>
      </c>
      <c r="N11" s="50">
        <v>0</v>
      </c>
      <c r="O11" s="15">
        <f t="shared" si="0"/>
        <v>84</v>
      </c>
      <c r="P11" s="15">
        <f t="shared" si="1"/>
        <v>176</v>
      </c>
      <c r="R11" s="1" t="s">
        <v>7</v>
      </c>
      <c r="S11" s="17">
        <f t="shared" ref="S11:AF11" si="3">SUM(C14:C17)</f>
        <v>162</v>
      </c>
      <c r="T11" s="17">
        <f t="shared" si="3"/>
        <v>16</v>
      </c>
      <c r="U11" s="17">
        <f t="shared" si="3"/>
        <v>9</v>
      </c>
      <c r="V11" s="17">
        <f t="shared" si="3"/>
        <v>70</v>
      </c>
      <c r="W11" s="17">
        <f t="shared" si="3"/>
        <v>1</v>
      </c>
      <c r="X11" s="17">
        <f t="shared" si="3"/>
        <v>0</v>
      </c>
      <c r="Y11" s="17">
        <f t="shared" si="3"/>
        <v>15</v>
      </c>
      <c r="Z11" s="17">
        <f t="shared" si="3"/>
        <v>4</v>
      </c>
      <c r="AA11" s="17">
        <f t="shared" si="3"/>
        <v>1</v>
      </c>
      <c r="AB11" s="17">
        <f t="shared" si="3"/>
        <v>1</v>
      </c>
      <c r="AC11" s="17">
        <f t="shared" si="3"/>
        <v>364</v>
      </c>
      <c r="AD11" s="17">
        <f t="shared" si="3"/>
        <v>0</v>
      </c>
      <c r="AE11" s="31">
        <f t="shared" si="3"/>
        <v>279</v>
      </c>
      <c r="AF11" s="31">
        <f t="shared" si="3"/>
        <v>643</v>
      </c>
    </row>
    <row r="12" spans="2:32" ht="23.1" customHeight="1" x14ac:dyDescent="0.25">
      <c r="B12" s="23" t="s">
        <v>39</v>
      </c>
      <c r="C12" s="50">
        <v>83</v>
      </c>
      <c r="D12" s="50">
        <v>6</v>
      </c>
      <c r="E12" s="50">
        <v>6</v>
      </c>
      <c r="F12" s="50">
        <v>30</v>
      </c>
      <c r="G12" s="50">
        <v>0</v>
      </c>
      <c r="H12" s="50">
        <v>0</v>
      </c>
      <c r="I12" s="50">
        <v>2</v>
      </c>
      <c r="J12" s="50">
        <v>0</v>
      </c>
      <c r="K12" s="50">
        <v>1</v>
      </c>
      <c r="L12" s="50">
        <v>1</v>
      </c>
      <c r="M12" s="50">
        <v>94</v>
      </c>
      <c r="N12" s="50">
        <v>0</v>
      </c>
      <c r="O12" s="15">
        <f t="shared" si="0"/>
        <v>129</v>
      </c>
      <c r="P12" s="15">
        <f t="shared" si="1"/>
        <v>223</v>
      </c>
      <c r="R12" s="1" t="s">
        <v>8</v>
      </c>
      <c r="S12" s="17">
        <f t="shared" ref="S12:AF12" si="4">SUM(C18:C21)</f>
        <v>111</v>
      </c>
      <c r="T12" s="17">
        <f t="shared" si="4"/>
        <v>11</v>
      </c>
      <c r="U12" s="17">
        <f t="shared" si="4"/>
        <v>13</v>
      </c>
      <c r="V12" s="17">
        <f t="shared" si="4"/>
        <v>49</v>
      </c>
      <c r="W12" s="17">
        <f t="shared" si="4"/>
        <v>0</v>
      </c>
      <c r="X12" s="17">
        <f t="shared" si="4"/>
        <v>0</v>
      </c>
      <c r="Y12" s="17">
        <f t="shared" si="4"/>
        <v>15</v>
      </c>
      <c r="Z12" s="17">
        <f t="shared" si="4"/>
        <v>10</v>
      </c>
      <c r="AA12" s="17">
        <f t="shared" si="4"/>
        <v>1</v>
      </c>
      <c r="AB12" s="17">
        <f t="shared" si="4"/>
        <v>0</v>
      </c>
      <c r="AC12" s="17">
        <f t="shared" si="4"/>
        <v>305</v>
      </c>
      <c r="AD12" s="17">
        <f t="shared" si="4"/>
        <v>0</v>
      </c>
      <c r="AE12" s="31">
        <f t="shared" si="4"/>
        <v>210</v>
      </c>
      <c r="AF12" s="31">
        <f t="shared" si="4"/>
        <v>515</v>
      </c>
    </row>
    <row r="13" spans="2:32" ht="23.1" customHeight="1" x14ac:dyDescent="0.25">
      <c r="B13" s="23" t="s">
        <v>40</v>
      </c>
      <c r="C13" s="50">
        <v>47</v>
      </c>
      <c r="D13" s="50">
        <v>0</v>
      </c>
      <c r="E13" s="50">
        <v>5</v>
      </c>
      <c r="F13" s="50">
        <v>21</v>
      </c>
      <c r="G13" s="50">
        <v>0</v>
      </c>
      <c r="H13" s="50">
        <v>0</v>
      </c>
      <c r="I13" s="50">
        <v>6</v>
      </c>
      <c r="J13" s="50">
        <v>0</v>
      </c>
      <c r="K13" s="50">
        <v>0</v>
      </c>
      <c r="L13" s="50">
        <v>0</v>
      </c>
      <c r="M13" s="50">
        <v>142</v>
      </c>
      <c r="N13" s="50">
        <v>0</v>
      </c>
      <c r="O13" s="15">
        <f t="shared" si="0"/>
        <v>79</v>
      </c>
      <c r="P13" s="15">
        <f t="shared" si="1"/>
        <v>221</v>
      </c>
      <c r="R13" s="1" t="s">
        <v>9</v>
      </c>
      <c r="S13" s="17">
        <f t="shared" ref="S13:AF13" si="5">SUM(C22:C25)</f>
        <v>84</v>
      </c>
      <c r="T13" s="17">
        <f t="shared" si="5"/>
        <v>13</v>
      </c>
      <c r="U13" s="17">
        <f t="shared" si="5"/>
        <v>9</v>
      </c>
      <c r="V13" s="17">
        <f t="shared" si="5"/>
        <v>39</v>
      </c>
      <c r="W13" s="17">
        <f t="shared" si="5"/>
        <v>1</v>
      </c>
      <c r="X13" s="17">
        <f t="shared" si="5"/>
        <v>0</v>
      </c>
      <c r="Y13" s="17">
        <f t="shared" si="5"/>
        <v>17</v>
      </c>
      <c r="Z13" s="17">
        <f t="shared" si="5"/>
        <v>16</v>
      </c>
      <c r="AA13" s="17">
        <f t="shared" si="5"/>
        <v>0</v>
      </c>
      <c r="AB13" s="17">
        <f t="shared" si="5"/>
        <v>0</v>
      </c>
      <c r="AC13" s="17">
        <f t="shared" si="5"/>
        <v>231</v>
      </c>
      <c r="AD13" s="17">
        <f t="shared" si="5"/>
        <v>0</v>
      </c>
      <c r="AE13" s="31">
        <f t="shared" si="5"/>
        <v>179</v>
      </c>
      <c r="AF13" s="31">
        <f t="shared" si="5"/>
        <v>410</v>
      </c>
    </row>
    <row r="14" spans="2:32" ht="23.1" customHeight="1" x14ac:dyDescent="0.25">
      <c r="B14" s="23" t="s">
        <v>41</v>
      </c>
      <c r="C14" s="50">
        <v>68</v>
      </c>
      <c r="D14" s="50">
        <v>6</v>
      </c>
      <c r="E14" s="50">
        <v>3</v>
      </c>
      <c r="F14" s="50">
        <v>30</v>
      </c>
      <c r="G14" s="50">
        <v>0</v>
      </c>
      <c r="H14" s="50">
        <v>0</v>
      </c>
      <c r="I14" s="50">
        <v>7</v>
      </c>
      <c r="J14" s="50">
        <v>3</v>
      </c>
      <c r="K14" s="50">
        <v>0</v>
      </c>
      <c r="L14" s="50">
        <v>1</v>
      </c>
      <c r="M14" s="50">
        <v>83</v>
      </c>
      <c r="N14" s="50">
        <v>0</v>
      </c>
      <c r="O14" s="15">
        <f t="shared" si="0"/>
        <v>118</v>
      </c>
      <c r="P14" s="15">
        <f t="shared" si="1"/>
        <v>201</v>
      </c>
      <c r="R14" s="1" t="s">
        <v>10</v>
      </c>
      <c r="S14" s="17">
        <f t="shared" ref="S14:AF14" si="6">SUM(C26:C29)</f>
        <v>60</v>
      </c>
      <c r="T14" s="17">
        <f t="shared" si="6"/>
        <v>9</v>
      </c>
      <c r="U14" s="17">
        <f t="shared" si="6"/>
        <v>13</v>
      </c>
      <c r="V14" s="17">
        <f t="shared" si="6"/>
        <v>38</v>
      </c>
      <c r="W14" s="17">
        <f t="shared" si="6"/>
        <v>0</v>
      </c>
      <c r="X14" s="17">
        <f t="shared" si="6"/>
        <v>3</v>
      </c>
      <c r="Y14" s="17">
        <f t="shared" si="6"/>
        <v>15</v>
      </c>
      <c r="Z14" s="17">
        <f t="shared" si="6"/>
        <v>9</v>
      </c>
      <c r="AA14" s="17">
        <f t="shared" si="6"/>
        <v>1</v>
      </c>
      <c r="AB14" s="17">
        <f t="shared" si="6"/>
        <v>0</v>
      </c>
      <c r="AC14" s="17">
        <f t="shared" si="6"/>
        <v>265</v>
      </c>
      <c r="AD14" s="17">
        <f t="shared" si="6"/>
        <v>0</v>
      </c>
      <c r="AE14" s="31">
        <f t="shared" si="6"/>
        <v>148</v>
      </c>
      <c r="AF14" s="31">
        <f t="shared" si="6"/>
        <v>413</v>
      </c>
    </row>
    <row r="15" spans="2:32" ht="23.1" customHeight="1" x14ac:dyDescent="0.25">
      <c r="B15" s="23" t="s">
        <v>42</v>
      </c>
      <c r="C15" s="50">
        <v>35</v>
      </c>
      <c r="D15" s="50">
        <v>4</v>
      </c>
      <c r="E15" s="50">
        <v>0</v>
      </c>
      <c r="F15" s="50">
        <v>20</v>
      </c>
      <c r="G15" s="50">
        <v>0</v>
      </c>
      <c r="H15" s="50">
        <v>0</v>
      </c>
      <c r="I15" s="50">
        <v>3</v>
      </c>
      <c r="J15" s="50">
        <v>1</v>
      </c>
      <c r="K15" s="50">
        <v>0</v>
      </c>
      <c r="L15" s="50">
        <v>0</v>
      </c>
      <c r="M15" s="50">
        <v>93</v>
      </c>
      <c r="N15" s="50">
        <v>0</v>
      </c>
      <c r="O15" s="15">
        <f t="shared" si="0"/>
        <v>63</v>
      </c>
      <c r="P15" s="15">
        <f t="shared" si="1"/>
        <v>156</v>
      </c>
      <c r="R15" s="1" t="s">
        <v>11</v>
      </c>
      <c r="S15" s="17">
        <f t="shared" ref="S15:AF15" si="7">SUM(C30:C33)</f>
        <v>46</v>
      </c>
      <c r="T15" s="17">
        <f t="shared" si="7"/>
        <v>13</v>
      </c>
      <c r="U15" s="17">
        <f t="shared" si="7"/>
        <v>6</v>
      </c>
      <c r="V15" s="17">
        <f t="shared" si="7"/>
        <v>31</v>
      </c>
      <c r="W15" s="17">
        <f t="shared" si="7"/>
        <v>0</v>
      </c>
      <c r="X15" s="17">
        <f t="shared" si="7"/>
        <v>0</v>
      </c>
      <c r="Y15" s="17">
        <f t="shared" si="7"/>
        <v>15</v>
      </c>
      <c r="Z15" s="17">
        <f t="shared" si="7"/>
        <v>7</v>
      </c>
      <c r="AA15" s="17">
        <f t="shared" si="7"/>
        <v>0</v>
      </c>
      <c r="AB15" s="17">
        <f t="shared" si="7"/>
        <v>0</v>
      </c>
      <c r="AC15" s="17">
        <f t="shared" si="7"/>
        <v>236</v>
      </c>
      <c r="AD15" s="17">
        <f t="shared" si="7"/>
        <v>0</v>
      </c>
      <c r="AE15" s="31">
        <f t="shared" si="7"/>
        <v>118</v>
      </c>
      <c r="AF15" s="31">
        <f t="shared" si="7"/>
        <v>354</v>
      </c>
    </row>
    <row r="16" spans="2:32" ht="23.1" customHeight="1" x14ac:dyDescent="0.25">
      <c r="B16" s="23" t="s">
        <v>43</v>
      </c>
      <c r="C16" s="50">
        <v>32</v>
      </c>
      <c r="D16" s="50">
        <v>1</v>
      </c>
      <c r="E16" s="50">
        <v>4</v>
      </c>
      <c r="F16" s="50">
        <v>11</v>
      </c>
      <c r="G16" s="50">
        <v>0</v>
      </c>
      <c r="H16" s="50">
        <v>0</v>
      </c>
      <c r="I16" s="50">
        <v>4</v>
      </c>
      <c r="J16" s="50">
        <v>0</v>
      </c>
      <c r="K16" s="50">
        <v>0</v>
      </c>
      <c r="L16" s="50">
        <v>0</v>
      </c>
      <c r="M16" s="50">
        <v>91</v>
      </c>
      <c r="N16" s="50">
        <v>0</v>
      </c>
      <c r="O16" s="15">
        <f t="shared" si="0"/>
        <v>52</v>
      </c>
      <c r="P16" s="15">
        <f t="shared" si="1"/>
        <v>143</v>
      </c>
      <c r="R16" s="1" t="s">
        <v>12</v>
      </c>
      <c r="S16" s="17">
        <f t="shared" ref="S16:AF16" si="8">SUM(C34:C37)</f>
        <v>37</v>
      </c>
      <c r="T16" s="17">
        <f t="shared" si="8"/>
        <v>11</v>
      </c>
      <c r="U16" s="17">
        <f t="shared" si="8"/>
        <v>9</v>
      </c>
      <c r="V16" s="17">
        <f t="shared" si="8"/>
        <v>21</v>
      </c>
      <c r="W16" s="17">
        <f t="shared" si="8"/>
        <v>0</v>
      </c>
      <c r="X16" s="17">
        <f t="shared" si="8"/>
        <v>0</v>
      </c>
      <c r="Y16" s="17">
        <f t="shared" si="8"/>
        <v>11</v>
      </c>
      <c r="Z16" s="17">
        <f t="shared" si="8"/>
        <v>8</v>
      </c>
      <c r="AA16" s="17">
        <f t="shared" si="8"/>
        <v>2</v>
      </c>
      <c r="AB16" s="17">
        <f t="shared" si="8"/>
        <v>1</v>
      </c>
      <c r="AC16" s="17">
        <f t="shared" si="8"/>
        <v>238</v>
      </c>
      <c r="AD16" s="17">
        <f t="shared" si="8"/>
        <v>0</v>
      </c>
      <c r="AE16" s="31">
        <f t="shared" si="8"/>
        <v>100</v>
      </c>
      <c r="AF16" s="31">
        <f t="shared" si="8"/>
        <v>338</v>
      </c>
    </row>
    <row r="17" spans="2:32" ht="23.1" customHeight="1" x14ac:dyDescent="0.25">
      <c r="B17" s="23" t="s">
        <v>44</v>
      </c>
      <c r="C17" s="50">
        <v>27</v>
      </c>
      <c r="D17" s="50">
        <v>5</v>
      </c>
      <c r="E17" s="50">
        <v>2</v>
      </c>
      <c r="F17" s="50">
        <v>9</v>
      </c>
      <c r="G17" s="50">
        <v>1</v>
      </c>
      <c r="H17" s="50">
        <v>0</v>
      </c>
      <c r="I17" s="50">
        <v>1</v>
      </c>
      <c r="J17" s="50">
        <v>0</v>
      </c>
      <c r="K17" s="50">
        <v>1</v>
      </c>
      <c r="L17" s="50">
        <v>0</v>
      </c>
      <c r="M17" s="50">
        <v>97</v>
      </c>
      <c r="N17" s="50">
        <v>0</v>
      </c>
      <c r="O17" s="15">
        <f t="shared" si="0"/>
        <v>46</v>
      </c>
      <c r="P17" s="15">
        <f t="shared" si="1"/>
        <v>143</v>
      </c>
      <c r="R17" s="1" t="s">
        <v>13</v>
      </c>
      <c r="S17" s="17">
        <f t="shared" ref="S17:AF17" si="9">SUM(C38:C41)</f>
        <v>40</v>
      </c>
      <c r="T17" s="17">
        <f t="shared" si="9"/>
        <v>7</v>
      </c>
      <c r="U17" s="17">
        <f t="shared" si="9"/>
        <v>9</v>
      </c>
      <c r="V17" s="17">
        <f t="shared" si="9"/>
        <v>20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194</v>
      </c>
      <c r="AD17" s="17">
        <f t="shared" si="9"/>
        <v>0</v>
      </c>
      <c r="AE17" s="31">
        <f t="shared" si="9"/>
        <v>86</v>
      </c>
      <c r="AF17" s="31">
        <f t="shared" si="9"/>
        <v>280</v>
      </c>
    </row>
    <row r="18" spans="2:32" ht="23.1" customHeight="1" x14ac:dyDescent="0.25">
      <c r="B18" s="23" t="s">
        <v>45</v>
      </c>
      <c r="C18" s="50">
        <v>31</v>
      </c>
      <c r="D18" s="50">
        <v>2</v>
      </c>
      <c r="E18" s="50">
        <v>5</v>
      </c>
      <c r="F18" s="50">
        <v>13</v>
      </c>
      <c r="G18" s="50">
        <v>0</v>
      </c>
      <c r="H18" s="50">
        <v>0</v>
      </c>
      <c r="I18" s="50">
        <v>3</v>
      </c>
      <c r="J18" s="50">
        <v>5</v>
      </c>
      <c r="K18" s="50">
        <v>0</v>
      </c>
      <c r="L18" s="50">
        <v>0</v>
      </c>
      <c r="M18" s="50">
        <v>81</v>
      </c>
      <c r="N18" s="50">
        <v>0</v>
      </c>
      <c r="O18" s="15">
        <f t="shared" si="0"/>
        <v>59</v>
      </c>
      <c r="P18" s="15">
        <f t="shared" si="1"/>
        <v>140</v>
      </c>
      <c r="R18" s="1" t="s">
        <v>14</v>
      </c>
      <c r="S18" s="17">
        <f t="shared" ref="S18:AF18" si="10">SUM(C42:C45)</f>
        <v>48</v>
      </c>
      <c r="T18" s="17">
        <f t="shared" si="10"/>
        <v>8</v>
      </c>
      <c r="U18" s="17">
        <f t="shared" si="10"/>
        <v>7</v>
      </c>
      <c r="V18" s="17">
        <f t="shared" si="10"/>
        <v>26</v>
      </c>
      <c r="W18" s="17">
        <f t="shared" si="10"/>
        <v>0</v>
      </c>
      <c r="X18" s="17">
        <f t="shared" si="10"/>
        <v>0</v>
      </c>
      <c r="Y18" s="17">
        <f t="shared" si="10"/>
        <v>13</v>
      </c>
      <c r="Z18" s="17">
        <f t="shared" si="10"/>
        <v>4</v>
      </c>
      <c r="AA18" s="17">
        <f t="shared" si="10"/>
        <v>1</v>
      </c>
      <c r="AB18" s="17">
        <f t="shared" si="10"/>
        <v>0</v>
      </c>
      <c r="AC18" s="17">
        <f t="shared" si="10"/>
        <v>203</v>
      </c>
      <c r="AD18" s="17">
        <f t="shared" si="10"/>
        <v>0</v>
      </c>
      <c r="AE18" s="31">
        <f t="shared" si="10"/>
        <v>107</v>
      </c>
      <c r="AF18" s="31">
        <f t="shared" si="10"/>
        <v>310</v>
      </c>
    </row>
    <row r="19" spans="2:32" ht="23.1" customHeight="1" x14ac:dyDescent="0.25">
      <c r="B19" s="23" t="s">
        <v>46</v>
      </c>
      <c r="C19" s="50">
        <v>20</v>
      </c>
      <c r="D19" s="50">
        <v>0</v>
      </c>
      <c r="E19" s="50">
        <v>3</v>
      </c>
      <c r="F19" s="50">
        <v>18</v>
      </c>
      <c r="G19" s="50">
        <v>0</v>
      </c>
      <c r="H19" s="50">
        <v>0</v>
      </c>
      <c r="I19" s="50">
        <v>4</v>
      </c>
      <c r="J19" s="50">
        <v>2</v>
      </c>
      <c r="K19" s="50">
        <v>0</v>
      </c>
      <c r="L19" s="50">
        <v>0</v>
      </c>
      <c r="M19" s="50">
        <v>80</v>
      </c>
      <c r="N19" s="50">
        <v>0</v>
      </c>
      <c r="O19" s="15">
        <f t="shared" si="0"/>
        <v>47</v>
      </c>
      <c r="P19" s="15">
        <f t="shared" si="1"/>
        <v>127</v>
      </c>
      <c r="R19" s="1" t="s">
        <v>15</v>
      </c>
      <c r="S19" s="17">
        <f t="shared" ref="S19:AF19" si="11">SUM(C46:C49)</f>
        <v>45</v>
      </c>
      <c r="T19" s="17">
        <f t="shared" si="11"/>
        <v>10</v>
      </c>
      <c r="U19" s="17">
        <f t="shared" si="11"/>
        <v>9</v>
      </c>
      <c r="V19" s="17">
        <f t="shared" si="11"/>
        <v>24</v>
      </c>
      <c r="W19" s="17">
        <f t="shared" si="11"/>
        <v>1</v>
      </c>
      <c r="X19" s="17">
        <f t="shared" si="11"/>
        <v>0</v>
      </c>
      <c r="Y19" s="17">
        <f t="shared" si="11"/>
        <v>13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248</v>
      </c>
      <c r="AD19" s="17">
        <f t="shared" si="11"/>
        <v>0</v>
      </c>
      <c r="AE19" s="31">
        <f t="shared" si="11"/>
        <v>104</v>
      </c>
      <c r="AF19" s="31">
        <f t="shared" si="11"/>
        <v>352</v>
      </c>
    </row>
    <row r="20" spans="2:32" ht="23.1" customHeight="1" x14ac:dyDescent="0.25">
      <c r="B20" s="23" t="s">
        <v>47</v>
      </c>
      <c r="C20" s="50">
        <v>37</v>
      </c>
      <c r="D20" s="50">
        <v>5</v>
      </c>
      <c r="E20" s="50">
        <v>2</v>
      </c>
      <c r="F20" s="50">
        <v>11</v>
      </c>
      <c r="G20" s="50">
        <v>0</v>
      </c>
      <c r="H20" s="50">
        <v>0</v>
      </c>
      <c r="I20" s="50">
        <v>4</v>
      </c>
      <c r="J20" s="50">
        <v>1</v>
      </c>
      <c r="K20" s="50">
        <v>0</v>
      </c>
      <c r="L20" s="50">
        <v>0</v>
      </c>
      <c r="M20" s="50">
        <v>77</v>
      </c>
      <c r="N20" s="50">
        <v>0</v>
      </c>
      <c r="O20" s="15">
        <f t="shared" si="0"/>
        <v>60</v>
      </c>
      <c r="P20" s="15">
        <f t="shared" si="1"/>
        <v>137</v>
      </c>
      <c r="R20" s="1" t="s">
        <v>16</v>
      </c>
      <c r="S20" s="17">
        <f t="shared" ref="S20:AF20" si="12">SUM(C50:C53)</f>
        <v>40</v>
      </c>
      <c r="T20" s="17">
        <f t="shared" si="12"/>
        <v>10</v>
      </c>
      <c r="U20" s="17">
        <f t="shared" si="12"/>
        <v>15</v>
      </c>
      <c r="V20" s="17">
        <f t="shared" si="12"/>
        <v>24</v>
      </c>
      <c r="W20" s="17">
        <f t="shared" si="12"/>
        <v>1</v>
      </c>
      <c r="X20" s="17">
        <f t="shared" si="12"/>
        <v>1</v>
      </c>
      <c r="Y20" s="17">
        <f t="shared" si="12"/>
        <v>9</v>
      </c>
      <c r="Z20" s="17">
        <f t="shared" si="12"/>
        <v>6</v>
      </c>
      <c r="AA20" s="17">
        <f t="shared" si="12"/>
        <v>0</v>
      </c>
      <c r="AB20" s="17">
        <f t="shared" si="12"/>
        <v>0</v>
      </c>
      <c r="AC20" s="17">
        <f t="shared" si="12"/>
        <v>245</v>
      </c>
      <c r="AD20" s="17">
        <f t="shared" si="12"/>
        <v>0</v>
      </c>
      <c r="AE20" s="31">
        <f t="shared" si="12"/>
        <v>106</v>
      </c>
      <c r="AF20" s="31">
        <f t="shared" si="12"/>
        <v>351</v>
      </c>
    </row>
    <row r="21" spans="2:32" ht="23.1" customHeight="1" x14ac:dyDescent="0.25">
      <c r="B21" s="23" t="s">
        <v>48</v>
      </c>
      <c r="C21" s="50">
        <v>23</v>
      </c>
      <c r="D21" s="50">
        <v>4</v>
      </c>
      <c r="E21" s="50">
        <v>3</v>
      </c>
      <c r="F21" s="50">
        <v>7</v>
      </c>
      <c r="G21" s="50">
        <v>0</v>
      </c>
      <c r="H21" s="50">
        <v>0</v>
      </c>
      <c r="I21" s="50">
        <v>4</v>
      </c>
      <c r="J21" s="50">
        <v>2</v>
      </c>
      <c r="K21" s="50">
        <v>1</v>
      </c>
      <c r="L21" s="50">
        <v>0</v>
      </c>
      <c r="M21" s="50">
        <v>67</v>
      </c>
      <c r="N21" s="50">
        <v>0</v>
      </c>
      <c r="O21" s="15">
        <f t="shared" si="0"/>
        <v>44</v>
      </c>
      <c r="P21" s="15">
        <f t="shared" si="1"/>
        <v>111</v>
      </c>
      <c r="R21" s="36" t="s">
        <v>20</v>
      </c>
      <c r="S21" s="34">
        <f t="shared" ref="S21:AF21" si="13">SUM(C54:C57)</f>
        <v>39</v>
      </c>
      <c r="T21" s="17">
        <f t="shared" si="13"/>
        <v>12</v>
      </c>
      <c r="U21" s="17">
        <f t="shared" si="13"/>
        <v>8</v>
      </c>
      <c r="V21" s="17">
        <f t="shared" si="13"/>
        <v>50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3</v>
      </c>
      <c r="AA21" s="17">
        <f t="shared" si="13"/>
        <v>1</v>
      </c>
      <c r="AB21" s="17">
        <f t="shared" si="13"/>
        <v>0</v>
      </c>
      <c r="AC21" s="17">
        <f t="shared" si="13"/>
        <v>240</v>
      </c>
      <c r="AD21" s="17">
        <f t="shared" si="13"/>
        <v>0</v>
      </c>
      <c r="AE21" s="31">
        <f t="shared" si="13"/>
        <v>122</v>
      </c>
      <c r="AF21" s="31">
        <f t="shared" si="13"/>
        <v>362</v>
      </c>
    </row>
    <row r="22" spans="2:32" ht="23.1" customHeight="1" x14ac:dyDescent="0.25">
      <c r="B22" s="23" t="s">
        <v>49</v>
      </c>
      <c r="C22" s="50">
        <v>29</v>
      </c>
      <c r="D22" s="50">
        <v>3</v>
      </c>
      <c r="E22" s="50">
        <v>1</v>
      </c>
      <c r="F22" s="50">
        <v>10</v>
      </c>
      <c r="G22" s="50">
        <v>0</v>
      </c>
      <c r="H22" s="50">
        <v>0</v>
      </c>
      <c r="I22" s="50">
        <v>5</v>
      </c>
      <c r="J22" s="50">
        <v>2</v>
      </c>
      <c r="K22" s="50">
        <v>0</v>
      </c>
      <c r="L22" s="50">
        <v>0</v>
      </c>
      <c r="M22" s="50">
        <v>63</v>
      </c>
      <c r="N22" s="50">
        <v>0</v>
      </c>
      <c r="O22" s="15">
        <f t="shared" si="0"/>
        <v>50</v>
      </c>
      <c r="P22" s="15">
        <f t="shared" si="1"/>
        <v>113</v>
      </c>
      <c r="R22" s="38" t="s">
        <v>90</v>
      </c>
      <c r="S22" s="39">
        <f>MAX(S10:S12)</f>
        <v>225</v>
      </c>
      <c r="T22" s="39">
        <f t="shared" ref="T22:AF22" si="14">MAX(T10:T12)</f>
        <v>16</v>
      </c>
      <c r="U22" s="39">
        <f t="shared" si="14"/>
        <v>22</v>
      </c>
      <c r="V22" s="39">
        <f t="shared" si="14"/>
        <v>92</v>
      </c>
      <c r="W22" s="39">
        <f t="shared" si="14"/>
        <v>1</v>
      </c>
      <c r="X22" s="39">
        <f t="shared" si="14"/>
        <v>1</v>
      </c>
      <c r="Y22" s="39">
        <f t="shared" si="14"/>
        <v>16</v>
      </c>
      <c r="Z22" s="39">
        <f t="shared" si="14"/>
        <v>10</v>
      </c>
      <c r="AA22" s="39">
        <f t="shared" si="14"/>
        <v>4</v>
      </c>
      <c r="AB22" s="39">
        <f t="shared" si="14"/>
        <v>1</v>
      </c>
      <c r="AC22" s="39">
        <f t="shared" si="14"/>
        <v>416</v>
      </c>
      <c r="AD22" s="39">
        <f t="shared" si="14"/>
        <v>0</v>
      </c>
      <c r="AE22" s="40">
        <f t="shared" si="14"/>
        <v>374</v>
      </c>
      <c r="AF22" s="40">
        <f t="shared" si="14"/>
        <v>790</v>
      </c>
    </row>
    <row r="23" spans="2:32" ht="23.1" customHeight="1" x14ac:dyDescent="0.25">
      <c r="B23" s="23" t="s">
        <v>50</v>
      </c>
      <c r="C23" s="50">
        <v>20</v>
      </c>
      <c r="D23" s="50">
        <v>3</v>
      </c>
      <c r="E23" s="50">
        <v>4</v>
      </c>
      <c r="F23" s="50">
        <v>10</v>
      </c>
      <c r="G23" s="50">
        <v>0</v>
      </c>
      <c r="H23" s="50">
        <v>0</v>
      </c>
      <c r="I23" s="50">
        <v>7</v>
      </c>
      <c r="J23" s="50">
        <v>2</v>
      </c>
      <c r="K23" s="50">
        <v>0</v>
      </c>
      <c r="L23" s="50">
        <v>0</v>
      </c>
      <c r="M23" s="50">
        <v>55</v>
      </c>
      <c r="N23" s="50">
        <v>0</v>
      </c>
      <c r="O23" s="15">
        <f t="shared" si="0"/>
        <v>46</v>
      </c>
      <c r="P23" s="15">
        <f t="shared" si="1"/>
        <v>101</v>
      </c>
      <c r="R23" s="38" t="s">
        <v>91</v>
      </c>
      <c r="S23" s="39">
        <f>MAX(S13:S18)</f>
        <v>84</v>
      </c>
      <c r="T23" s="39">
        <f t="shared" ref="T23:AF23" si="15">MAX(T13:T18)</f>
        <v>13</v>
      </c>
      <c r="U23" s="39">
        <f t="shared" si="15"/>
        <v>13</v>
      </c>
      <c r="V23" s="39">
        <f t="shared" si="15"/>
        <v>39</v>
      </c>
      <c r="W23" s="39">
        <f t="shared" si="15"/>
        <v>1</v>
      </c>
      <c r="X23" s="39">
        <f t="shared" si="15"/>
        <v>3</v>
      </c>
      <c r="Y23" s="39">
        <f t="shared" si="15"/>
        <v>17</v>
      </c>
      <c r="Z23" s="39">
        <f t="shared" si="15"/>
        <v>16</v>
      </c>
      <c r="AA23" s="39">
        <f t="shared" si="15"/>
        <v>2</v>
      </c>
      <c r="AB23" s="39">
        <f t="shared" si="15"/>
        <v>1</v>
      </c>
      <c r="AC23" s="39">
        <f t="shared" si="15"/>
        <v>265</v>
      </c>
      <c r="AD23" s="39">
        <f t="shared" si="15"/>
        <v>0</v>
      </c>
      <c r="AE23" s="40">
        <f t="shared" si="15"/>
        <v>179</v>
      </c>
      <c r="AF23" s="40">
        <f t="shared" si="15"/>
        <v>413</v>
      </c>
    </row>
    <row r="24" spans="2:32" ht="23.1" customHeight="1" x14ac:dyDescent="0.25">
      <c r="B24" s="23" t="s">
        <v>51</v>
      </c>
      <c r="C24" s="50">
        <v>19</v>
      </c>
      <c r="D24" s="50">
        <v>3</v>
      </c>
      <c r="E24" s="50">
        <v>2</v>
      </c>
      <c r="F24" s="50">
        <v>8</v>
      </c>
      <c r="G24" s="50">
        <v>0</v>
      </c>
      <c r="H24" s="50">
        <v>0</v>
      </c>
      <c r="I24" s="50">
        <v>2</v>
      </c>
      <c r="J24" s="50">
        <v>4</v>
      </c>
      <c r="K24" s="50">
        <v>0</v>
      </c>
      <c r="L24" s="50">
        <v>0</v>
      </c>
      <c r="M24" s="50">
        <v>66</v>
      </c>
      <c r="N24" s="50">
        <v>0</v>
      </c>
      <c r="O24" s="15">
        <f t="shared" si="0"/>
        <v>38</v>
      </c>
      <c r="P24" s="15">
        <f t="shared" si="1"/>
        <v>104</v>
      </c>
      <c r="R24" s="38" t="s">
        <v>92</v>
      </c>
      <c r="S24" s="39">
        <f>MAX(S19:S21)</f>
        <v>45</v>
      </c>
      <c r="T24" s="39">
        <f t="shared" ref="T24:AF24" si="16">MAX(T19:T21)</f>
        <v>12</v>
      </c>
      <c r="U24" s="39">
        <f t="shared" si="16"/>
        <v>15</v>
      </c>
      <c r="V24" s="39">
        <f t="shared" si="16"/>
        <v>50</v>
      </c>
      <c r="W24" s="39">
        <f t="shared" si="16"/>
        <v>1</v>
      </c>
      <c r="X24" s="39">
        <f t="shared" si="16"/>
        <v>1</v>
      </c>
      <c r="Y24" s="39">
        <f t="shared" si="16"/>
        <v>13</v>
      </c>
      <c r="Z24" s="39">
        <f t="shared" si="16"/>
        <v>6</v>
      </c>
      <c r="AA24" s="39">
        <f t="shared" si="16"/>
        <v>1</v>
      </c>
      <c r="AB24" s="39">
        <f t="shared" si="16"/>
        <v>0</v>
      </c>
      <c r="AC24" s="39">
        <f t="shared" si="16"/>
        <v>248</v>
      </c>
      <c r="AD24" s="39">
        <f t="shared" si="16"/>
        <v>0</v>
      </c>
      <c r="AE24" s="40">
        <f t="shared" si="16"/>
        <v>122</v>
      </c>
      <c r="AF24" s="40">
        <f t="shared" si="16"/>
        <v>362</v>
      </c>
    </row>
    <row r="25" spans="2:32" ht="23.1" customHeight="1" x14ac:dyDescent="0.25">
      <c r="B25" s="23" t="s">
        <v>52</v>
      </c>
      <c r="C25" s="50">
        <v>16</v>
      </c>
      <c r="D25" s="50">
        <v>4</v>
      </c>
      <c r="E25" s="50">
        <v>2</v>
      </c>
      <c r="F25" s="50">
        <v>11</v>
      </c>
      <c r="G25" s="50">
        <v>1</v>
      </c>
      <c r="H25" s="50">
        <v>0</v>
      </c>
      <c r="I25" s="50">
        <v>3</v>
      </c>
      <c r="J25" s="50">
        <v>8</v>
      </c>
      <c r="K25" s="50">
        <v>0</v>
      </c>
      <c r="L25" s="50">
        <v>0</v>
      </c>
      <c r="M25" s="50">
        <v>47</v>
      </c>
      <c r="N25" s="50">
        <v>0</v>
      </c>
      <c r="O25" s="15">
        <f t="shared" si="0"/>
        <v>45</v>
      </c>
      <c r="P25" s="15">
        <f t="shared" si="1"/>
        <v>92</v>
      </c>
      <c r="R25" s="37" t="s">
        <v>85</v>
      </c>
      <c r="S25" s="35">
        <f t="shared" ref="S25:AF25" si="17">SUM(S10:S12)</f>
        <v>498</v>
      </c>
      <c r="T25" s="16">
        <f t="shared" si="17"/>
        <v>40</v>
      </c>
      <c r="U25" s="16">
        <f t="shared" si="17"/>
        <v>44</v>
      </c>
      <c r="V25" s="16">
        <f t="shared" si="17"/>
        <v>211</v>
      </c>
      <c r="W25" s="16">
        <f t="shared" si="17"/>
        <v>1</v>
      </c>
      <c r="X25" s="16">
        <f t="shared" si="17"/>
        <v>1</v>
      </c>
      <c r="Y25" s="16">
        <f t="shared" si="17"/>
        <v>46</v>
      </c>
      <c r="Z25" s="16">
        <f t="shared" si="17"/>
        <v>14</v>
      </c>
      <c r="AA25" s="16">
        <f t="shared" si="17"/>
        <v>6</v>
      </c>
      <c r="AB25" s="16">
        <f t="shared" si="17"/>
        <v>2</v>
      </c>
      <c r="AC25" s="16">
        <f t="shared" si="17"/>
        <v>1085</v>
      </c>
      <c r="AD25" s="16">
        <f t="shared" si="17"/>
        <v>0</v>
      </c>
      <c r="AE25" s="32">
        <f t="shared" si="17"/>
        <v>863</v>
      </c>
      <c r="AF25" s="32">
        <f t="shared" si="17"/>
        <v>1948</v>
      </c>
    </row>
    <row r="26" spans="2:32" ht="23.1" customHeight="1" x14ac:dyDescent="0.25">
      <c r="B26" s="23" t="s">
        <v>53</v>
      </c>
      <c r="C26" s="50">
        <v>14</v>
      </c>
      <c r="D26" s="50">
        <v>1</v>
      </c>
      <c r="E26" s="50">
        <v>2</v>
      </c>
      <c r="F26" s="50">
        <v>9</v>
      </c>
      <c r="G26" s="50">
        <v>0</v>
      </c>
      <c r="H26" s="50">
        <v>1</v>
      </c>
      <c r="I26" s="50">
        <v>5</v>
      </c>
      <c r="J26" s="50">
        <v>0</v>
      </c>
      <c r="K26" s="50">
        <v>0</v>
      </c>
      <c r="L26" s="50">
        <v>0</v>
      </c>
      <c r="M26" s="50">
        <v>82</v>
      </c>
      <c r="N26" s="50">
        <v>0</v>
      </c>
      <c r="O26" s="15">
        <f t="shared" si="0"/>
        <v>32</v>
      </c>
      <c r="P26" s="15">
        <f t="shared" si="1"/>
        <v>114</v>
      </c>
      <c r="R26" s="28" t="s">
        <v>86</v>
      </c>
      <c r="S26" s="16">
        <f t="shared" ref="S26:AF26" si="18">SUM(S13:S18)</f>
        <v>315</v>
      </c>
      <c r="T26" s="16">
        <f t="shared" si="18"/>
        <v>61</v>
      </c>
      <c r="U26" s="16">
        <f t="shared" si="18"/>
        <v>53</v>
      </c>
      <c r="V26" s="16">
        <f t="shared" si="18"/>
        <v>175</v>
      </c>
      <c r="W26" s="16">
        <f t="shared" si="18"/>
        <v>1</v>
      </c>
      <c r="X26" s="16">
        <f t="shared" si="18"/>
        <v>3</v>
      </c>
      <c r="Y26" s="16">
        <f t="shared" si="18"/>
        <v>79</v>
      </c>
      <c r="Z26" s="16">
        <f t="shared" si="18"/>
        <v>46</v>
      </c>
      <c r="AA26" s="16">
        <f t="shared" si="18"/>
        <v>4</v>
      </c>
      <c r="AB26" s="16">
        <f t="shared" si="18"/>
        <v>1</v>
      </c>
      <c r="AC26" s="16">
        <f t="shared" si="18"/>
        <v>1367</v>
      </c>
      <c r="AD26" s="16">
        <f t="shared" si="18"/>
        <v>0</v>
      </c>
      <c r="AE26" s="32">
        <f t="shared" si="18"/>
        <v>738</v>
      </c>
      <c r="AF26" s="32">
        <f t="shared" si="18"/>
        <v>2105</v>
      </c>
    </row>
    <row r="27" spans="2:32" ht="23.1" customHeight="1" x14ac:dyDescent="0.25">
      <c r="B27" s="23" t="s">
        <v>54</v>
      </c>
      <c r="C27" s="50">
        <v>13</v>
      </c>
      <c r="D27" s="50">
        <v>3</v>
      </c>
      <c r="E27" s="50">
        <v>8</v>
      </c>
      <c r="F27" s="50">
        <v>12</v>
      </c>
      <c r="G27" s="50">
        <v>0</v>
      </c>
      <c r="H27" s="50">
        <v>0</v>
      </c>
      <c r="I27" s="50">
        <v>3</v>
      </c>
      <c r="J27" s="50">
        <v>1</v>
      </c>
      <c r="K27" s="50">
        <v>0</v>
      </c>
      <c r="L27" s="50">
        <v>0</v>
      </c>
      <c r="M27" s="50">
        <v>59</v>
      </c>
      <c r="N27" s="50">
        <v>0</v>
      </c>
      <c r="O27" s="15">
        <f t="shared" si="0"/>
        <v>40</v>
      </c>
      <c r="P27" s="15">
        <f t="shared" si="1"/>
        <v>99</v>
      </c>
      <c r="R27" s="29" t="s">
        <v>87</v>
      </c>
      <c r="S27" s="16">
        <f t="shared" ref="S27:AF27" si="19">SUM(S19:S21)</f>
        <v>124</v>
      </c>
      <c r="T27" s="16">
        <f t="shared" si="19"/>
        <v>32</v>
      </c>
      <c r="U27" s="16">
        <f t="shared" si="19"/>
        <v>32</v>
      </c>
      <c r="V27" s="16">
        <f t="shared" si="19"/>
        <v>98</v>
      </c>
      <c r="W27" s="16">
        <f t="shared" si="19"/>
        <v>2</v>
      </c>
      <c r="X27" s="16">
        <f t="shared" si="19"/>
        <v>1</v>
      </c>
      <c r="Y27" s="16">
        <f t="shared" si="19"/>
        <v>31</v>
      </c>
      <c r="Z27" s="16">
        <f t="shared" si="19"/>
        <v>11</v>
      </c>
      <c r="AA27" s="16">
        <f t="shared" si="19"/>
        <v>1</v>
      </c>
      <c r="AB27" s="16">
        <f t="shared" si="19"/>
        <v>0</v>
      </c>
      <c r="AC27" s="16">
        <f t="shared" si="19"/>
        <v>733</v>
      </c>
      <c r="AD27" s="16">
        <f t="shared" si="19"/>
        <v>0</v>
      </c>
      <c r="AE27" s="32">
        <f t="shared" si="19"/>
        <v>332</v>
      </c>
      <c r="AF27" s="32">
        <f t="shared" si="19"/>
        <v>1065</v>
      </c>
    </row>
    <row r="28" spans="2:32" ht="23.1" customHeight="1" x14ac:dyDescent="0.25">
      <c r="B28" s="23" t="s">
        <v>55</v>
      </c>
      <c r="C28" s="50">
        <v>10</v>
      </c>
      <c r="D28" s="50">
        <v>2</v>
      </c>
      <c r="E28" s="50">
        <v>2</v>
      </c>
      <c r="F28" s="50">
        <v>6</v>
      </c>
      <c r="G28" s="50">
        <v>0</v>
      </c>
      <c r="H28" s="50">
        <v>1</v>
      </c>
      <c r="I28" s="50">
        <v>2</v>
      </c>
      <c r="J28" s="50">
        <v>3</v>
      </c>
      <c r="K28" s="50">
        <v>1</v>
      </c>
      <c r="L28" s="50">
        <v>0</v>
      </c>
      <c r="M28" s="50">
        <v>64</v>
      </c>
      <c r="N28" s="50">
        <v>0</v>
      </c>
      <c r="O28" s="15">
        <f t="shared" si="0"/>
        <v>27</v>
      </c>
      <c r="P28" s="15">
        <f t="shared" si="1"/>
        <v>91</v>
      </c>
      <c r="R28" s="5" t="s">
        <v>17</v>
      </c>
      <c r="S28" s="16">
        <f t="shared" ref="S28:AF28" si="20">SUM(S10:S21)</f>
        <v>937</v>
      </c>
      <c r="T28" s="16">
        <f t="shared" si="20"/>
        <v>133</v>
      </c>
      <c r="U28" s="16">
        <f t="shared" si="20"/>
        <v>129</v>
      </c>
      <c r="V28" s="16">
        <f t="shared" si="20"/>
        <v>484</v>
      </c>
      <c r="W28" s="16">
        <f t="shared" si="20"/>
        <v>4</v>
      </c>
      <c r="X28" s="16">
        <f t="shared" si="20"/>
        <v>5</v>
      </c>
      <c r="Y28" s="16">
        <f t="shared" si="20"/>
        <v>156</v>
      </c>
      <c r="Z28" s="16">
        <f t="shared" si="20"/>
        <v>71</v>
      </c>
      <c r="AA28" s="16">
        <f t="shared" si="20"/>
        <v>11</v>
      </c>
      <c r="AB28" s="16">
        <f t="shared" si="20"/>
        <v>3</v>
      </c>
      <c r="AC28" s="16">
        <f t="shared" si="20"/>
        <v>3185</v>
      </c>
      <c r="AD28" s="16">
        <f t="shared" si="20"/>
        <v>0</v>
      </c>
      <c r="AE28" s="32">
        <f t="shared" si="20"/>
        <v>1933</v>
      </c>
      <c r="AF28" s="32">
        <f t="shared" si="20"/>
        <v>5118</v>
      </c>
    </row>
    <row r="29" spans="2:32" ht="23.1" customHeight="1" x14ac:dyDescent="0.25">
      <c r="B29" s="23" t="s">
        <v>56</v>
      </c>
      <c r="C29" s="50">
        <v>23</v>
      </c>
      <c r="D29" s="50">
        <v>3</v>
      </c>
      <c r="E29" s="50">
        <v>1</v>
      </c>
      <c r="F29" s="50">
        <v>11</v>
      </c>
      <c r="G29" s="50">
        <v>0</v>
      </c>
      <c r="H29" s="50">
        <v>1</v>
      </c>
      <c r="I29" s="50">
        <v>5</v>
      </c>
      <c r="J29" s="50">
        <v>5</v>
      </c>
      <c r="K29" s="50">
        <v>0</v>
      </c>
      <c r="L29" s="50">
        <v>0</v>
      </c>
      <c r="M29" s="50">
        <v>60</v>
      </c>
      <c r="N29" s="50">
        <v>0</v>
      </c>
      <c r="O29" s="15">
        <f t="shared" si="0"/>
        <v>49</v>
      </c>
      <c r="P29" s="15">
        <f t="shared" si="1"/>
        <v>109</v>
      </c>
      <c r="R29"/>
      <c r="S29" s="20"/>
      <c r="T29" s="19"/>
    </row>
    <row r="30" spans="2:32" ht="23.1" customHeight="1" x14ac:dyDescent="0.25">
      <c r="B30" s="23" t="s">
        <v>57</v>
      </c>
      <c r="C30" s="50">
        <v>11</v>
      </c>
      <c r="D30" s="50">
        <v>6</v>
      </c>
      <c r="E30" s="50">
        <v>2</v>
      </c>
      <c r="F30" s="50">
        <v>4</v>
      </c>
      <c r="G30" s="50">
        <v>0</v>
      </c>
      <c r="H30" s="50">
        <v>0</v>
      </c>
      <c r="I30" s="50">
        <v>4</v>
      </c>
      <c r="J30" s="50">
        <v>1</v>
      </c>
      <c r="K30" s="50">
        <v>0</v>
      </c>
      <c r="L30" s="50">
        <v>0</v>
      </c>
      <c r="M30" s="50">
        <v>64</v>
      </c>
      <c r="N30" s="50">
        <v>0</v>
      </c>
      <c r="O30" s="15">
        <f t="shared" si="0"/>
        <v>28</v>
      </c>
      <c r="P30" s="15">
        <f t="shared" si="1"/>
        <v>92</v>
      </c>
    </row>
    <row r="31" spans="2:32" ht="23.1" customHeight="1" x14ac:dyDescent="0.25">
      <c r="B31" s="24" t="s">
        <v>58</v>
      </c>
      <c r="C31" s="50">
        <v>10</v>
      </c>
      <c r="D31" s="50">
        <v>1</v>
      </c>
      <c r="E31" s="50">
        <v>0</v>
      </c>
      <c r="F31" s="50">
        <v>11</v>
      </c>
      <c r="G31" s="50">
        <v>0</v>
      </c>
      <c r="H31" s="50">
        <v>0</v>
      </c>
      <c r="I31" s="50">
        <v>3</v>
      </c>
      <c r="J31" s="50">
        <v>1</v>
      </c>
      <c r="K31" s="50">
        <v>0</v>
      </c>
      <c r="L31" s="50">
        <v>0</v>
      </c>
      <c r="M31" s="50">
        <v>58</v>
      </c>
      <c r="N31" s="50">
        <v>0</v>
      </c>
      <c r="O31" s="15">
        <f t="shared" si="0"/>
        <v>26</v>
      </c>
      <c r="P31" s="15">
        <f t="shared" si="1"/>
        <v>84</v>
      </c>
    </row>
    <row r="32" spans="2:32" ht="23.1" customHeight="1" x14ac:dyDescent="0.25">
      <c r="B32" s="24" t="s">
        <v>59</v>
      </c>
      <c r="C32" s="50">
        <v>18</v>
      </c>
      <c r="D32" s="50">
        <v>2</v>
      </c>
      <c r="E32" s="50">
        <v>2</v>
      </c>
      <c r="F32" s="50">
        <v>5</v>
      </c>
      <c r="G32" s="50">
        <v>0</v>
      </c>
      <c r="H32" s="50">
        <v>0</v>
      </c>
      <c r="I32" s="50">
        <v>2</v>
      </c>
      <c r="J32" s="50">
        <v>4</v>
      </c>
      <c r="K32" s="50">
        <v>0</v>
      </c>
      <c r="L32" s="50">
        <v>0</v>
      </c>
      <c r="M32" s="50">
        <v>53</v>
      </c>
      <c r="N32" s="50">
        <v>0</v>
      </c>
      <c r="O32" s="15">
        <f t="shared" si="0"/>
        <v>33</v>
      </c>
      <c r="P32" s="15">
        <f t="shared" si="1"/>
        <v>86</v>
      </c>
    </row>
    <row r="33" spans="2:20" ht="23.1" customHeight="1" x14ac:dyDescent="0.25">
      <c r="B33" s="23" t="s">
        <v>60</v>
      </c>
      <c r="C33" s="50">
        <v>7</v>
      </c>
      <c r="D33" s="50">
        <v>4</v>
      </c>
      <c r="E33" s="50">
        <v>2</v>
      </c>
      <c r="F33" s="50">
        <v>11</v>
      </c>
      <c r="G33" s="50">
        <v>0</v>
      </c>
      <c r="H33" s="50">
        <v>0</v>
      </c>
      <c r="I33" s="50">
        <v>6</v>
      </c>
      <c r="J33" s="50">
        <v>1</v>
      </c>
      <c r="K33" s="50">
        <v>0</v>
      </c>
      <c r="L33" s="50">
        <v>0</v>
      </c>
      <c r="M33" s="50">
        <v>61</v>
      </c>
      <c r="N33" s="50">
        <v>0</v>
      </c>
      <c r="O33" s="15">
        <f t="shared" si="0"/>
        <v>31</v>
      </c>
      <c r="P33" s="15">
        <f t="shared" si="1"/>
        <v>92</v>
      </c>
    </row>
    <row r="34" spans="2:20" ht="23.1" customHeight="1" x14ac:dyDescent="0.25">
      <c r="B34" s="24" t="s">
        <v>61</v>
      </c>
      <c r="C34" s="50">
        <v>6</v>
      </c>
      <c r="D34" s="50">
        <v>5</v>
      </c>
      <c r="E34" s="50">
        <v>2</v>
      </c>
      <c r="F34" s="50">
        <v>4</v>
      </c>
      <c r="G34" s="50">
        <v>0</v>
      </c>
      <c r="H34" s="50">
        <v>0</v>
      </c>
      <c r="I34" s="50">
        <v>5</v>
      </c>
      <c r="J34" s="50">
        <v>4</v>
      </c>
      <c r="K34" s="50">
        <v>0</v>
      </c>
      <c r="L34" s="50">
        <v>0</v>
      </c>
      <c r="M34" s="50">
        <v>59</v>
      </c>
      <c r="N34" s="50">
        <v>0</v>
      </c>
      <c r="O34" s="15">
        <f t="shared" si="0"/>
        <v>26</v>
      </c>
      <c r="P34" s="15">
        <f t="shared" si="1"/>
        <v>85</v>
      </c>
    </row>
    <row r="35" spans="2:20" ht="23.1" customHeight="1" x14ac:dyDescent="0.25">
      <c r="B35" s="24" t="s">
        <v>62</v>
      </c>
      <c r="C35" s="50">
        <v>8</v>
      </c>
      <c r="D35" s="50">
        <v>1</v>
      </c>
      <c r="E35" s="50">
        <v>1</v>
      </c>
      <c r="F35" s="50">
        <v>6</v>
      </c>
      <c r="G35" s="50">
        <v>0</v>
      </c>
      <c r="H35" s="50">
        <v>0</v>
      </c>
      <c r="I35" s="50">
        <v>5</v>
      </c>
      <c r="J35" s="50">
        <v>2</v>
      </c>
      <c r="K35" s="50">
        <v>0</v>
      </c>
      <c r="L35" s="50">
        <v>1</v>
      </c>
      <c r="M35" s="50">
        <v>63</v>
      </c>
      <c r="N35" s="50">
        <v>0</v>
      </c>
      <c r="O35" s="15">
        <f t="shared" si="0"/>
        <v>24</v>
      </c>
      <c r="P35" s="15">
        <f t="shared" si="1"/>
        <v>87</v>
      </c>
    </row>
    <row r="36" spans="2:20" ht="23.1" customHeight="1" x14ac:dyDescent="0.25">
      <c r="B36" s="24" t="s">
        <v>63</v>
      </c>
      <c r="C36" s="50">
        <v>14</v>
      </c>
      <c r="D36" s="50">
        <v>4</v>
      </c>
      <c r="E36" s="50">
        <v>4</v>
      </c>
      <c r="F36" s="50">
        <v>2</v>
      </c>
      <c r="G36" s="50">
        <v>0</v>
      </c>
      <c r="H36" s="50">
        <v>0</v>
      </c>
      <c r="I36" s="50">
        <v>1</v>
      </c>
      <c r="J36" s="50">
        <v>0</v>
      </c>
      <c r="K36" s="50">
        <v>2</v>
      </c>
      <c r="L36" s="50">
        <v>0</v>
      </c>
      <c r="M36" s="50">
        <v>61</v>
      </c>
      <c r="N36" s="50">
        <v>0</v>
      </c>
      <c r="O36" s="15">
        <f t="shared" si="0"/>
        <v>27</v>
      </c>
      <c r="P36" s="15">
        <f t="shared" si="1"/>
        <v>88</v>
      </c>
    </row>
    <row r="37" spans="2:20" ht="23.1" customHeight="1" x14ac:dyDescent="0.25">
      <c r="B37" s="23" t="s">
        <v>64</v>
      </c>
      <c r="C37" s="50">
        <v>9</v>
      </c>
      <c r="D37" s="50">
        <v>1</v>
      </c>
      <c r="E37" s="50">
        <v>2</v>
      </c>
      <c r="F37" s="50">
        <v>9</v>
      </c>
      <c r="G37" s="50">
        <v>0</v>
      </c>
      <c r="H37" s="50">
        <v>0</v>
      </c>
      <c r="I37" s="50">
        <v>0</v>
      </c>
      <c r="J37" s="50">
        <v>2</v>
      </c>
      <c r="K37" s="50">
        <v>0</v>
      </c>
      <c r="L37" s="50">
        <v>0</v>
      </c>
      <c r="M37" s="50">
        <v>55</v>
      </c>
      <c r="N37" s="50">
        <v>0</v>
      </c>
      <c r="O37" s="15">
        <f t="shared" si="0"/>
        <v>23</v>
      </c>
      <c r="P37" s="15">
        <f t="shared" si="1"/>
        <v>78</v>
      </c>
    </row>
    <row r="38" spans="2:20" ht="23.1" customHeight="1" x14ac:dyDescent="0.25">
      <c r="B38" s="24" t="s">
        <v>65</v>
      </c>
      <c r="C38" s="50">
        <v>12</v>
      </c>
      <c r="D38" s="50">
        <v>1</v>
      </c>
      <c r="E38" s="50">
        <v>2</v>
      </c>
      <c r="F38" s="50">
        <v>6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48</v>
      </c>
      <c r="N38" s="50">
        <v>0</v>
      </c>
      <c r="O38" s="15">
        <f t="shared" si="0"/>
        <v>23</v>
      </c>
      <c r="P38" s="15">
        <f t="shared" si="1"/>
        <v>71</v>
      </c>
    </row>
    <row r="39" spans="2:20" ht="23.1" customHeight="1" x14ac:dyDescent="0.25">
      <c r="B39" s="24" t="s">
        <v>66</v>
      </c>
      <c r="C39" s="50">
        <v>8</v>
      </c>
      <c r="D39" s="50">
        <v>2</v>
      </c>
      <c r="E39" s="50">
        <v>2</v>
      </c>
      <c r="F39" s="50">
        <v>5</v>
      </c>
      <c r="G39" s="50">
        <v>0</v>
      </c>
      <c r="H39" s="50">
        <v>0</v>
      </c>
      <c r="I39" s="50">
        <v>3</v>
      </c>
      <c r="J39" s="50">
        <v>1</v>
      </c>
      <c r="K39" s="50">
        <v>0</v>
      </c>
      <c r="L39" s="50">
        <v>0</v>
      </c>
      <c r="M39" s="50">
        <v>56</v>
      </c>
      <c r="N39" s="50">
        <v>0</v>
      </c>
      <c r="O39" s="15">
        <f t="shared" si="0"/>
        <v>21</v>
      </c>
      <c r="P39" s="15">
        <f t="shared" si="1"/>
        <v>77</v>
      </c>
    </row>
    <row r="40" spans="2:20" ht="23.1" customHeight="1" x14ac:dyDescent="0.25">
      <c r="B40" s="24" t="s">
        <v>67</v>
      </c>
      <c r="C40" s="50">
        <v>14</v>
      </c>
      <c r="D40" s="50">
        <v>4</v>
      </c>
      <c r="E40" s="50">
        <v>4</v>
      </c>
      <c r="F40" s="50">
        <v>3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50</v>
      </c>
      <c r="N40" s="50">
        <v>0</v>
      </c>
      <c r="O40" s="15">
        <f t="shared" si="0"/>
        <v>28</v>
      </c>
      <c r="P40" s="15">
        <f t="shared" si="1"/>
        <v>78</v>
      </c>
    </row>
    <row r="41" spans="2:20" ht="23.1" customHeight="1" x14ac:dyDescent="0.25">
      <c r="B41" s="23" t="s">
        <v>68</v>
      </c>
      <c r="C41" s="50">
        <v>6</v>
      </c>
      <c r="D41" s="50">
        <v>0</v>
      </c>
      <c r="E41" s="50">
        <v>1</v>
      </c>
      <c r="F41" s="50">
        <v>6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40</v>
      </c>
      <c r="N41" s="50">
        <v>0</v>
      </c>
      <c r="O41" s="15">
        <f t="shared" si="0"/>
        <v>14</v>
      </c>
      <c r="P41" s="15">
        <f t="shared" si="1"/>
        <v>54</v>
      </c>
    </row>
    <row r="42" spans="2:20" ht="23.1" customHeight="1" x14ac:dyDescent="0.25">
      <c r="B42" s="24" t="s">
        <v>69</v>
      </c>
      <c r="C42" s="50">
        <v>12</v>
      </c>
      <c r="D42" s="50">
        <v>4</v>
      </c>
      <c r="E42" s="50">
        <v>3</v>
      </c>
      <c r="F42" s="50">
        <v>8</v>
      </c>
      <c r="G42" s="50">
        <v>0</v>
      </c>
      <c r="H42" s="50">
        <v>0</v>
      </c>
      <c r="I42" s="50">
        <v>5</v>
      </c>
      <c r="J42" s="50">
        <v>2</v>
      </c>
      <c r="K42" s="50">
        <v>0</v>
      </c>
      <c r="L42" s="50">
        <v>0</v>
      </c>
      <c r="M42" s="50">
        <v>34</v>
      </c>
      <c r="N42" s="50">
        <v>0</v>
      </c>
      <c r="O42" s="15">
        <f t="shared" si="0"/>
        <v>34</v>
      </c>
      <c r="P42" s="15">
        <f t="shared" si="1"/>
        <v>68</v>
      </c>
    </row>
    <row r="43" spans="2:20" ht="23.1" customHeight="1" x14ac:dyDescent="0.25">
      <c r="B43" s="23" t="s">
        <v>70</v>
      </c>
      <c r="C43" s="50">
        <v>10</v>
      </c>
      <c r="D43" s="50">
        <v>2</v>
      </c>
      <c r="E43" s="50">
        <v>2</v>
      </c>
      <c r="F43" s="50">
        <v>6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45</v>
      </c>
      <c r="N43" s="50">
        <v>0</v>
      </c>
      <c r="O43" s="15">
        <f t="shared" si="0"/>
        <v>21</v>
      </c>
      <c r="P43" s="15">
        <f t="shared" si="1"/>
        <v>66</v>
      </c>
    </row>
    <row r="44" spans="2:20" ht="23.1" customHeight="1" x14ac:dyDescent="0.25">
      <c r="B44" s="25" t="s">
        <v>71</v>
      </c>
      <c r="C44" s="50">
        <v>14</v>
      </c>
      <c r="D44" s="50">
        <v>0</v>
      </c>
      <c r="E44" s="50">
        <v>0</v>
      </c>
      <c r="F44" s="50">
        <v>6</v>
      </c>
      <c r="G44" s="50">
        <v>0</v>
      </c>
      <c r="H44" s="50">
        <v>0</v>
      </c>
      <c r="I44" s="50">
        <v>4</v>
      </c>
      <c r="J44" s="50">
        <v>2</v>
      </c>
      <c r="K44" s="50">
        <v>1</v>
      </c>
      <c r="L44" s="50">
        <v>0</v>
      </c>
      <c r="M44" s="50">
        <v>73</v>
      </c>
      <c r="N44" s="50">
        <v>0</v>
      </c>
      <c r="O44" s="15">
        <f t="shared" si="0"/>
        <v>27</v>
      </c>
      <c r="P44" s="15">
        <f t="shared" si="1"/>
        <v>100</v>
      </c>
    </row>
    <row r="45" spans="2:20" ht="23.1" customHeight="1" x14ac:dyDescent="0.25">
      <c r="B45" s="23" t="s">
        <v>72</v>
      </c>
      <c r="C45" s="50">
        <v>12</v>
      </c>
      <c r="D45" s="50">
        <v>2</v>
      </c>
      <c r="E45" s="50">
        <v>2</v>
      </c>
      <c r="F45" s="50">
        <v>6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51</v>
      </c>
      <c r="N45" s="50">
        <v>0</v>
      </c>
      <c r="O45" s="15">
        <f t="shared" si="0"/>
        <v>25</v>
      </c>
      <c r="P45" s="15">
        <f t="shared" si="1"/>
        <v>76</v>
      </c>
    </row>
    <row r="46" spans="2:20" ht="23.1" customHeight="1" x14ac:dyDescent="0.25">
      <c r="B46" s="24" t="s">
        <v>73</v>
      </c>
      <c r="C46" s="50">
        <v>7</v>
      </c>
      <c r="D46" s="50">
        <v>3</v>
      </c>
      <c r="E46" s="50">
        <v>2</v>
      </c>
      <c r="F46" s="50">
        <v>6</v>
      </c>
      <c r="G46" s="50">
        <v>0</v>
      </c>
      <c r="H46" s="50">
        <v>0</v>
      </c>
      <c r="I46" s="50">
        <v>5</v>
      </c>
      <c r="J46" s="50">
        <v>1</v>
      </c>
      <c r="K46" s="50">
        <v>0</v>
      </c>
      <c r="L46" s="50">
        <v>0</v>
      </c>
      <c r="M46" s="50">
        <v>45</v>
      </c>
      <c r="N46" s="50">
        <v>0</v>
      </c>
      <c r="O46" s="15">
        <f t="shared" si="0"/>
        <v>24</v>
      </c>
      <c r="P46" s="15">
        <f t="shared" si="1"/>
        <v>69</v>
      </c>
      <c r="R46" s="8"/>
      <c r="T46"/>
    </row>
    <row r="47" spans="2:20" ht="23.1" customHeight="1" x14ac:dyDescent="0.25">
      <c r="B47" s="24" t="s">
        <v>74</v>
      </c>
      <c r="C47" s="50">
        <v>17</v>
      </c>
      <c r="D47" s="50">
        <v>1</v>
      </c>
      <c r="E47" s="50">
        <v>3</v>
      </c>
      <c r="F47" s="50">
        <v>6</v>
      </c>
      <c r="G47" s="50">
        <v>0</v>
      </c>
      <c r="H47" s="50">
        <v>0</v>
      </c>
      <c r="I47" s="50">
        <v>3</v>
      </c>
      <c r="J47" s="50">
        <v>1</v>
      </c>
      <c r="K47" s="50">
        <v>0</v>
      </c>
      <c r="L47" s="50">
        <v>0</v>
      </c>
      <c r="M47" s="50">
        <v>64</v>
      </c>
      <c r="N47" s="50">
        <v>0</v>
      </c>
      <c r="O47" s="15">
        <f t="shared" si="0"/>
        <v>31</v>
      </c>
      <c r="P47" s="15">
        <f t="shared" si="1"/>
        <v>95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3</v>
      </c>
      <c r="E48" s="50">
        <v>3</v>
      </c>
      <c r="F48" s="50">
        <v>4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0</v>
      </c>
      <c r="M48" s="50">
        <v>64</v>
      </c>
      <c r="N48" s="50">
        <v>0</v>
      </c>
      <c r="O48" s="15">
        <f t="shared" si="0"/>
        <v>20</v>
      </c>
      <c r="P48" s="15">
        <f t="shared" si="1"/>
        <v>84</v>
      </c>
      <c r="R48" s="8"/>
      <c r="T48"/>
    </row>
    <row r="49" spans="2:20" ht="23.1" customHeight="1" x14ac:dyDescent="0.25">
      <c r="B49" s="23" t="s">
        <v>76</v>
      </c>
      <c r="C49" s="50">
        <v>15</v>
      </c>
      <c r="D49" s="50">
        <v>3</v>
      </c>
      <c r="E49" s="50">
        <v>1</v>
      </c>
      <c r="F49" s="50">
        <v>8</v>
      </c>
      <c r="G49" s="50">
        <v>1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75</v>
      </c>
      <c r="N49" s="50">
        <v>0</v>
      </c>
      <c r="O49" s="15">
        <f t="shared" si="0"/>
        <v>29</v>
      </c>
      <c r="P49" s="15">
        <f t="shared" si="1"/>
        <v>104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1</v>
      </c>
      <c r="E50" s="50">
        <v>1</v>
      </c>
      <c r="F50" s="50">
        <v>5</v>
      </c>
      <c r="G50" s="50">
        <v>1</v>
      </c>
      <c r="H50" s="50">
        <v>0</v>
      </c>
      <c r="I50" s="50">
        <v>2</v>
      </c>
      <c r="J50" s="50">
        <v>1</v>
      </c>
      <c r="K50" s="50">
        <v>0</v>
      </c>
      <c r="L50" s="50">
        <v>0</v>
      </c>
      <c r="M50" s="50">
        <v>70</v>
      </c>
      <c r="N50" s="50">
        <v>0</v>
      </c>
      <c r="O50" s="15">
        <f t="shared" si="0"/>
        <v>15</v>
      </c>
      <c r="P50" s="15">
        <f t="shared" si="1"/>
        <v>85</v>
      </c>
      <c r="R50" s="8"/>
      <c r="T50"/>
    </row>
    <row r="51" spans="2:20" ht="23.1" customHeight="1" x14ac:dyDescent="0.25">
      <c r="B51" s="24" t="s">
        <v>78</v>
      </c>
      <c r="C51" s="50">
        <v>14</v>
      </c>
      <c r="D51" s="50">
        <v>5</v>
      </c>
      <c r="E51" s="50">
        <v>5</v>
      </c>
      <c r="F51" s="50">
        <v>5</v>
      </c>
      <c r="G51" s="50">
        <v>0</v>
      </c>
      <c r="H51" s="50">
        <v>1</v>
      </c>
      <c r="I51" s="50">
        <v>3</v>
      </c>
      <c r="J51" s="50">
        <v>1</v>
      </c>
      <c r="K51" s="50">
        <v>0</v>
      </c>
      <c r="L51" s="50">
        <v>0</v>
      </c>
      <c r="M51" s="50">
        <v>58</v>
      </c>
      <c r="N51" s="50">
        <v>0</v>
      </c>
      <c r="O51" s="15">
        <f t="shared" si="0"/>
        <v>34</v>
      </c>
      <c r="P51" s="15">
        <f t="shared" si="1"/>
        <v>92</v>
      </c>
      <c r="R51" s="8"/>
      <c r="T51"/>
    </row>
    <row r="52" spans="2:20" ht="23.1" customHeight="1" x14ac:dyDescent="0.25">
      <c r="B52" s="24" t="s">
        <v>79</v>
      </c>
      <c r="C52" s="50">
        <v>14</v>
      </c>
      <c r="D52" s="50">
        <v>3</v>
      </c>
      <c r="E52" s="50">
        <v>2</v>
      </c>
      <c r="F52" s="50">
        <v>9</v>
      </c>
      <c r="G52" s="50">
        <v>0</v>
      </c>
      <c r="H52" s="50">
        <v>0</v>
      </c>
      <c r="I52" s="50">
        <v>2</v>
      </c>
      <c r="J52" s="50">
        <v>1</v>
      </c>
      <c r="K52" s="50">
        <v>0</v>
      </c>
      <c r="L52" s="50">
        <v>0</v>
      </c>
      <c r="M52" s="50">
        <v>59</v>
      </c>
      <c r="N52" s="50">
        <v>0</v>
      </c>
      <c r="O52" s="15">
        <f t="shared" si="0"/>
        <v>31</v>
      </c>
      <c r="P52" s="15">
        <f t="shared" si="1"/>
        <v>90</v>
      </c>
      <c r="R52" s="8"/>
      <c r="T52"/>
    </row>
    <row r="53" spans="2:20" ht="23.1" customHeight="1" x14ac:dyDescent="0.25">
      <c r="B53" s="23" t="s">
        <v>80</v>
      </c>
      <c r="C53" s="50">
        <v>8</v>
      </c>
      <c r="D53" s="50">
        <v>1</v>
      </c>
      <c r="E53" s="50">
        <v>7</v>
      </c>
      <c r="F53" s="50">
        <v>5</v>
      </c>
      <c r="G53" s="50">
        <v>0</v>
      </c>
      <c r="H53" s="50">
        <v>0</v>
      </c>
      <c r="I53" s="50">
        <v>2</v>
      </c>
      <c r="J53" s="50">
        <v>3</v>
      </c>
      <c r="K53" s="50">
        <v>0</v>
      </c>
      <c r="L53" s="50">
        <v>0</v>
      </c>
      <c r="M53" s="50">
        <v>58</v>
      </c>
      <c r="N53" s="50">
        <v>0</v>
      </c>
      <c r="O53" s="15">
        <f t="shared" si="0"/>
        <v>26</v>
      </c>
      <c r="P53" s="15">
        <f t="shared" si="1"/>
        <v>84</v>
      </c>
      <c r="R53" s="8"/>
      <c r="T53"/>
    </row>
    <row r="54" spans="2:20" ht="23.1" customHeight="1" x14ac:dyDescent="0.25">
      <c r="B54" s="23" t="s">
        <v>81</v>
      </c>
      <c r="C54" s="50">
        <v>8</v>
      </c>
      <c r="D54" s="50">
        <v>3</v>
      </c>
      <c r="E54" s="50">
        <v>4</v>
      </c>
      <c r="F54" s="50">
        <v>14</v>
      </c>
      <c r="G54" s="50">
        <v>0</v>
      </c>
      <c r="H54" s="50">
        <v>0</v>
      </c>
      <c r="I54" s="50">
        <v>5</v>
      </c>
      <c r="J54" s="50">
        <v>1</v>
      </c>
      <c r="K54" s="50">
        <v>0</v>
      </c>
      <c r="L54" s="50">
        <v>0</v>
      </c>
      <c r="M54" s="50">
        <v>69</v>
      </c>
      <c r="N54" s="50">
        <v>0</v>
      </c>
      <c r="O54" s="15">
        <f t="shared" si="0"/>
        <v>35</v>
      </c>
      <c r="P54" s="15">
        <f t="shared" si="1"/>
        <v>104</v>
      </c>
      <c r="R54" s="8"/>
      <c r="T54"/>
    </row>
    <row r="55" spans="2:20" ht="23.1" customHeight="1" x14ac:dyDescent="0.25">
      <c r="B55" s="23" t="s">
        <v>82</v>
      </c>
      <c r="C55" s="50">
        <v>13</v>
      </c>
      <c r="D55" s="50">
        <v>2</v>
      </c>
      <c r="E55" s="50">
        <v>0</v>
      </c>
      <c r="F55" s="50">
        <v>6</v>
      </c>
      <c r="G55" s="50">
        <v>0</v>
      </c>
      <c r="H55" s="50">
        <v>0</v>
      </c>
      <c r="I55" s="50">
        <v>1</v>
      </c>
      <c r="J55" s="50">
        <v>1</v>
      </c>
      <c r="K55" s="50">
        <v>1</v>
      </c>
      <c r="L55" s="50">
        <v>0</v>
      </c>
      <c r="M55" s="50">
        <v>49</v>
      </c>
      <c r="N55" s="50">
        <v>0</v>
      </c>
      <c r="O55" s="15">
        <f t="shared" si="0"/>
        <v>24</v>
      </c>
      <c r="P55" s="15">
        <f t="shared" si="1"/>
        <v>73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4</v>
      </c>
      <c r="E56" s="50">
        <v>0</v>
      </c>
      <c r="F56" s="50">
        <v>11</v>
      </c>
      <c r="G56" s="50">
        <v>0</v>
      </c>
      <c r="H56" s="50">
        <v>0</v>
      </c>
      <c r="I56" s="50">
        <v>1</v>
      </c>
      <c r="J56" s="50">
        <v>1</v>
      </c>
      <c r="K56" s="50">
        <v>0</v>
      </c>
      <c r="L56" s="50">
        <v>0</v>
      </c>
      <c r="M56" s="50">
        <v>72</v>
      </c>
      <c r="N56" s="50">
        <v>0</v>
      </c>
      <c r="O56" s="15">
        <f t="shared" si="0"/>
        <v>22</v>
      </c>
      <c r="P56" s="15">
        <f t="shared" si="1"/>
        <v>94</v>
      </c>
      <c r="R56" s="8"/>
      <c r="T56"/>
    </row>
    <row r="57" spans="2:20" ht="23.1" customHeight="1" x14ac:dyDescent="0.25">
      <c r="B57" s="23" t="s">
        <v>84</v>
      </c>
      <c r="C57" s="50">
        <v>13</v>
      </c>
      <c r="D57" s="50">
        <v>3</v>
      </c>
      <c r="E57" s="50">
        <v>4</v>
      </c>
      <c r="F57" s="50">
        <v>19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50</v>
      </c>
      <c r="N57" s="50">
        <v>0</v>
      </c>
      <c r="O57" s="15">
        <f t="shared" si="0"/>
        <v>41</v>
      </c>
      <c r="P57" s="15">
        <f t="shared" si="1"/>
        <v>91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937</v>
      </c>
      <c r="D58" s="16">
        <f t="shared" si="21"/>
        <v>133</v>
      </c>
      <c r="E58" s="16">
        <f t="shared" si="21"/>
        <v>129</v>
      </c>
      <c r="F58" s="16">
        <f t="shared" si="21"/>
        <v>484</v>
      </c>
      <c r="G58" s="16">
        <f t="shared" si="21"/>
        <v>4</v>
      </c>
      <c r="H58" s="16">
        <f t="shared" si="21"/>
        <v>5</v>
      </c>
      <c r="I58" s="16">
        <f t="shared" si="21"/>
        <v>156</v>
      </c>
      <c r="J58" s="16">
        <f t="shared" si="21"/>
        <v>71</v>
      </c>
      <c r="K58" s="16">
        <f t="shared" si="21"/>
        <v>11</v>
      </c>
      <c r="L58" s="16">
        <f t="shared" si="21"/>
        <v>3</v>
      </c>
      <c r="M58" s="16">
        <f t="shared" si="21"/>
        <v>3185</v>
      </c>
      <c r="N58" s="16">
        <f t="shared" si="21"/>
        <v>0</v>
      </c>
      <c r="O58" s="16">
        <f t="shared" si="21"/>
        <v>1933</v>
      </c>
      <c r="P58" s="16">
        <f t="shared" si="21"/>
        <v>5118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0.18307932786244627</v>
      </c>
      <c r="D59" s="43">
        <f t="shared" si="22"/>
        <v>2.5986713559984369E-2</v>
      </c>
      <c r="E59" s="43">
        <f t="shared" si="22"/>
        <v>2.5205158264947247E-2</v>
      </c>
      <c r="F59" s="43">
        <f t="shared" si="22"/>
        <v>9.4568190699491989E-2</v>
      </c>
      <c r="G59" s="43">
        <f t="shared" si="22"/>
        <v>7.8155529503712393E-4</v>
      </c>
      <c r="H59" s="43">
        <f t="shared" si="22"/>
        <v>9.7694411879640478E-4</v>
      </c>
      <c r="I59" s="43">
        <f t="shared" si="22"/>
        <v>3.048065650644783E-2</v>
      </c>
      <c r="J59" s="43">
        <f t="shared" si="22"/>
        <v>1.3872606486908948E-2</v>
      </c>
      <c r="K59" s="43">
        <f t="shared" si="22"/>
        <v>2.1492770613520907E-3</v>
      </c>
      <c r="L59" s="43">
        <f t="shared" si="22"/>
        <v>5.8616647127784287E-4</v>
      </c>
      <c r="M59" s="43">
        <f t="shared" si="22"/>
        <v>0.6223134036733099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0.48473874806001033</v>
      </c>
      <c r="D60" s="44">
        <f t="shared" ref="D60:N60" si="23">D58/$O$58</f>
        <v>6.8804966373512674E-2</v>
      </c>
      <c r="E60" s="44">
        <f t="shared" si="23"/>
        <v>6.6735644076564932E-2</v>
      </c>
      <c r="F60" s="44">
        <f t="shared" si="23"/>
        <v>0.25038799793067773</v>
      </c>
      <c r="G60" s="44">
        <f t="shared" si="23"/>
        <v>2.0693222969477496E-3</v>
      </c>
      <c r="H60" s="44">
        <f t="shared" si="23"/>
        <v>2.5866528711846869E-3</v>
      </c>
      <c r="I60" s="44">
        <f t="shared" si="23"/>
        <v>8.0703569580962239E-2</v>
      </c>
      <c r="J60" s="44">
        <f t="shared" si="23"/>
        <v>3.6730470770822553E-2</v>
      </c>
      <c r="K60" s="44">
        <f t="shared" si="23"/>
        <v>5.6906363166063113E-3</v>
      </c>
      <c r="L60" s="44">
        <f t="shared" si="23"/>
        <v>1.5519917227108122E-3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SentemaRBT-Sentema'!C3:G3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64" t="str">
        <f>'24.07 Sentema-SentemaRBT'!G5:H5</f>
        <v>Ku roofings</v>
      </c>
      <c r="H5" s="65"/>
      <c r="I5" s="14"/>
      <c r="J5" s="2" t="s">
        <v>5</v>
      </c>
      <c r="K5" s="64" t="s">
        <v>181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SentemaRBT-Sentema'!D6:E6</f>
        <v>Sentema RBT</v>
      </c>
      <c r="E6" s="65"/>
      <c r="F6" s="2" t="s">
        <v>2</v>
      </c>
      <c r="G6" s="64" t="str">
        <f>'22.07 SentemaRBT-Sentema'!G6:H6</f>
        <v>Sentema</v>
      </c>
      <c r="H6" s="65"/>
      <c r="J6" s="2" t="s">
        <v>21</v>
      </c>
      <c r="K6" s="64" t="str">
        <f>'24.07 Sentema-SentemaRBT'!K6:L6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</v>
      </c>
      <c r="D10" s="50">
        <v>0</v>
      </c>
      <c r="E10" s="50">
        <v>0</v>
      </c>
      <c r="F10" s="50">
        <v>6</v>
      </c>
      <c r="G10" s="50">
        <v>0</v>
      </c>
      <c r="H10" s="50">
        <v>0</v>
      </c>
      <c r="I10" s="50">
        <v>1</v>
      </c>
      <c r="J10" s="50">
        <v>2</v>
      </c>
      <c r="K10" s="50">
        <v>2</v>
      </c>
      <c r="L10" s="50">
        <v>0</v>
      </c>
      <c r="M10" s="50">
        <v>26</v>
      </c>
      <c r="N10" s="50">
        <v>0</v>
      </c>
      <c r="O10" s="15">
        <f t="shared" ref="O10:O57" si="0">SUM(C10:L10,N10)</f>
        <v>17</v>
      </c>
      <c r="P10" s="15">
        <f t="shared" ref="P10:P57" si="1">SUM(C10:N10)</f>
        <v>43</v>
      </c>
      <c r="R10" s="1" t="s">
        <v>6</v>
      </c>
      <c r="S10" s="17">
        <f t="shared" ref="S10:AF10" si="2">SUM(C10:C13)</f>
        <v>43</v>
      </c>
      <c r="T10" s="17">
        <f t="shared" si="2"/>
        <v>3</v>
      </c>
      <c r="U10" s="17">
        <f t="shared" si="2"/>
        <v>3</v>
      </c>
      <c r="V10" s="17">
        <f t="shared" si="2"/>
        <v>48</v>
      </c>
      <c r="W10" s="17">
        <f t="shared" si="2"/>
        <v>0</v>
      </c>
      <c r="X10" s="17">
        <f t="shared" si="2"/>
        <v>1</v>
      </c>
      <c r="Y10" s="17">
        <f t="shared" si="2"/>
        <v>8</v>
      </c>
      <c r="Z10" s="17">
        <f t="shared" si="2"/>
        <v>10</v>
      </c>
      <c r="AA10" s="17">
        <f t="shared" si="2"/>
        <v>2</v>
      </c>
      <c r="AB10" s="17">
        <f t="shared" si="2"/>
        <v>0</v>
      </c>
      <c r="AC10" s="17">
        <f t="shared" si="2"/>
        <v>183</v>
      </c>
      <c r="AD10" s="17">
        <f t="shared" si="2"/>
        <v>0</v>
      </c>
      <c r="AE10" s="31">
        <f t="shared" si="2"/>
        <v>118</v>
      </c>
      <c r="AF10" s="31">
        <f t="shared" si="2"/>
        <v>301</v>
      </c>
    </row>
    <row r="11" spans="2:32" s="6" customFormat="1" ht="23.1" customHeight="1" x14ac:dyDescent="0.25">
      <c r="B11" s="23" t="s">
        <v>38</v>
      </c>
      <c r="C11" s="50">
        <v>13</v>
      </c>
      <c r="D11" s="50">
        <v>2</v>
      </c>
      <c r="E11" s="50">
        <v>0</v>
      </c>
      <c r="F11" s="50">
        <v>12</v>
      </c>
      <c r="G11" s="50">
        <v>0</v>
      </c>
      <c r="H11" s="50">
        <v>0</v>
      </c>
      <c r="I11" s="50">
        <v>1</v>
      </c>
      <c r="J11" s="50">
        <v>1</v>
      </c>
      <c r="K11" s="50">
        <v>0</v>
      </c>
      <c r="L11" s="50">
        <v>0</v>
      </c>
      <c r="M11" s="50">
        <v>48</v>
      </c>
      <c r="N11" s="50">
        <v>0</v>
      </c>
      <c r="O11" s="15">
        <f t="shared" si="0"/>
        <v>29</v>
      </c>
      <c r="P11" s="15">
        <f t="shared" si="1"/>
        <v>77</v>
      </c>
      <c r="R11" s="1" t="s">
        <v>7</v>
      </c>
      <c r="S11" s="17">
        <f t="shared" ref="S11:AF11" si="3">SUM(C14:C17)</f>
        <v>27</v>
      </c>
      <c r="T11" s="17">
        <f t="shared" si="3"/>
        <v>8</v>
      </c>
      <c r="U11" s="17">
        <f t="shared" si="3"/>
        <v>7</v>
      </c>
      <c r="V11" s="17">
        <f t="shared" si="3"/>
        <v>44</v>
      </c>
      <c r="W11" s="17">
        <f t="shared" si="3"/>
        <v>2</v>
      </c>
      <c r="X11" s="17">
        <f t="shared" si="3"/>
        <v>0</v>
      </c>
      <c r="Y11" s="17">
        <f t="shared" si="3"/>
        <v>6</v>
      </c>
      <c r="Z11" s="17">
        <f t="shared" si="3"/>
        <v>3</v>
      </c>
      <c r="AA11" s="17">
        <f t="shared" si="3"/>
        <v>3</v>
      </c>
      <c r="AB11" s="17">
        <f t="shared" si="3"/>
        <v>0</v>
      </c>
      <c r="AC11" s="17">
        <f t="shared" si="3"/>
        <v>184</v>
      </c>
      <c r="AD11" s="17">
        <f t="shared" si="3"/>
        <v>0</v>
      </c>
      <c r="AE11" s="31">
        <f t="shared" si="3"/>
        <v>100</v>
      </c>
      <c r="AF11" s="31">
        <f t="shared" si="3"/>
        <v>284</v>
      </c>
    </row>
    <row r="12" spans="2:32" ht="23.1" customHeight="1" x14ac:dyDescent="0.25">
      <c r="B12" s="23" t="s">
        <v>39</v>
      </c>
      <c r="C12" s="50">
        <v>8</v>
      </c>
      <c r="D12" s="50">
        <v>0</v>
      </c>
      <c r="E12" s="50">
        <v>2</v>
      </c>
      <c r="F12" s="50">
        <v>12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49</v>
      </c>
      <c r="N12" s="50">
        <v>0</v>
      </c>
      <c r="O12" s="15">
        <f t="shared" si="0"/>
        <v>25</v>
      </c>
      <c r="P12" s="15">
        <f t="shared" si="1"/>
        <v>74</v>
      </c>
      <c r="R12" s="1" t="s">
        <v>8</v>
      </c>
      <c r="S12" s="17">
        <f t="shared" ref="S12:AF12" si="4">SUM(C18:C21)</f>
        <v>29</v>
      </c>
      <c r="T12" s="17">
        <f t="shared" si="4"/>
        <v>6</v>
      </c>
      <c r="U12" s="17">
        <f t="shared" si="4"/>
        <v>4</v>
      </c>
      <c r="V12" s="17">
        <f t="shared" si="4"/>
        <v>70</v>
      </c>
      <c r="W12" s="17">
        <f t="shared" si="4"/>
        <v>0</v>
      </c>
      <c r="X12" s="17">
        <f t="shared" si="4"/>
        <v>1</v>
      </c>
      <c r="Y12" s="17">
        <f t="shared" si="4"/>
        <v>7</v>
      </c>
      <c r="Z12" s="17">
        <f t="shared" si="4"/>
        <v>5</v>
      </c>
      <c r="AA12" s="17">
        <f t="shared" si="4"/>
        <v>0</v>
      </c>
      <c r="AB12" s="17">
        <f t="shared" si="4"/>
        <v>0</v>
      </c>
      <c r="AC12" s="17">
        <f t="shared" si="4"/>
        <v>220</v>
      </c>
      <c r="AD12" s="17">
        <f t="shared" si="4"/>
        <v>0</v>
      </c>
      <c r="AE12" s="31">
        <f t="shared" si="4"/>
        <v>122</v>
      </c>
      <c r="AF12" s="31">
        <f t="shared" si="4"/>
        <v>342</v>
      </c>
    </row>
    <row r="13" spans="2:32" ht="23.1" customHeight="1" x14ac:dyDescent="0.25">
      <c r="B13" s="23" t="s">
        <v>40</v>
      </c>
      <c r="C13" s="50">
        <v>16</v>
      </c>
      <c r="D13" s="50">
        <v>1</v>
      </c>
      <c r="E13" s="50">
        <v>1</v>
      </c>
      <c r="F13" s="50">
        <v>18</v>
      </c>
      <c r="G13" s="50">
        <v>0</v>
      </c>
      <c r="H13" s="50">
        <v>1</v>
      </c>
      <c r="I13" s="50">
        <v>4</v>
      </c>
      <c r="J13" s="50">
        <v>6</v>
      </c>
      <c r="K13" s="50">
        <v>0</v>
      </c>
      <c r="L13" s="50">
        <v>0</v>
      </c>
      <c r="M13" s="50">
        <v>60</v>
      </c>
      <c r="N13" s="50">
        <v>0</v>
      </c>
      <c r="O13" s="15">
        <f t="shared" si="0"/>
        <v>47</v>
      </c>
      <c r="P13" s="15">
        <f t="shared" si="1"/>
        <v>107</v>
      </c>
      <c r="R13" s="1" t="s">
        <v>9</v>
      </c>
      <c r="S13" s="17">
        <f t="shared" ref="S13:AF13" si="5">SUM(C22:C25)</f>
        <v>39</v>
      </c>
      <c r="T13" s="17">
        <f t="shared" si="5"/>
        <v>6</v>
      </c>
      <c r="U13" s="17">
        <f t="shared" si="5"/>
        <v>6</v>
      </c>
      <c r="V13" s="17">
        <f t="shared" si="5"/>
        <v>49</v>
      </c>
      <c r="W13" s="17">
        <f t="shared" si="5"/>
        <v>0</v>
      </c>
      <c r="X13" s="17">
        <f t="shared" si="5"/>
        <v>1</v>
      </c>
      <c r="Y13" s="17">
        <f t="shared" si="5"/>
        <v>12</v>
      </c>
      <c r="Z13" s="17">
        <f t="shared" si="5"/>
        <v>2</v>
      </c>
      <c r="AA13" s="17">
        <f t="shared" si="5"/>
        <v>3</v>
      </c>
      <c r="AB13" s="17">
        <f t="shared" si="5"/>
        <v>0</v>
      </c>
      <c r="AC13" s="17">
        <f t="shared" si="5"/>
        <v>216</v>
      </c>
      <c r="AD13" s="17">
        <f t="shared" si="5"/>
        <v>0</v>
      </c>
      <c r="AE13" s="31">
        <f t="shared" si="5"/>
        <v>118</v>
      </c>
      <c r="AF13" s="31">
        <f t="shared" si="5"/>
        <v>334</v>
      </c>
    </row>
    <row r="14" spans="2:32" ht="23.1" customHeight="1" x14ac:dyDescent="0.25">
      <c r="B14" s="23" t="s">
        <v>41</v>
      </c>
      <c r="C14" s="50">
        <v>5</v>
      </c>
      <c r="D14" s="50">
        <v>3</v>
      </c>
      <c r="E14" s="50">
        <v>2</v>
      </c>
      <c r="F14" s="50">
        <v>10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31</v>
      </c>
      <c r="N14" s="50">
        <v>0</v>
      </c>
      <c r="O14" s="15">
        <f t="shared" si="0"/>
        <v>20</v>
      </c>
      <c r="P14" s="15">
        <f t="shared" si="1"/>
        <v>51</v>
      </c>
      <c r="R14" s="1" t="s">
        <v>10</v>
      </c>
      <c r="S14" s="17">
        <f t="shared" ref="S14:AF14" si="6">SUM(C26:C29)</f>
        <v>43</v>
      </c>
      <c r="T14" s="17">
        <f t="shared" si="6"/>
        <v>20</v>
      </c>
      <c r="U14" s="17">
        <f t="shared" si="6"/>
        <v>9</v>
      </c>
      <c r="V14" s="17">
        <f t="shared" si="6"/>
        <v>28</v>
      </c>
      <c r="W14" s="17">
        <f t="shared" si="6"/>
        <v>0</v>
      </c>
      <c r="X14" s="17">
        <f t="shared" si="6"/>
        <v>0</v>
      </c>
      <c r="Y14" s="17">
        <f t="shared" si="6"/>
        <v>10</v>
      </c>
      <c r="Z14" s="17">
        <f t="shared" si="6"/>
        <v>4</v>
      </c>
      <c r="AA14" s="17">
        <f t="shared" si="6"/>
        <v>2</v>
      </c>
      <c r="AB14" s="17">
        <f t="shared" si="6"/>
        <v>0</v>
      </c>
      <c r="AC14" s="17">
        <f t="shared" si="6"/>
        <v>244</v>
      </c>
      <c r="AD14" s="17">
        <f t="shared" si="6"/>
        <v>0</v>
      </c>
      <c r="AE14" s="31">
        <f t="shared" si="6"/>
        <v>116</v>
      </c>
      <c r="AF14" s="31">
        <f t="shared" si="6"/>
        <v>360</v>
      </c>
    </row>
    <row r="15" spans="2:32" ht="23.1" customHeight="1" x14ac:dyDescent="0.25">
      <c r="B15" s="23" t="s">
        <v>42</v>
      </c>
      <c r="C15" s="50">
        <v>5</v>
      </c>
      <c r="D15" s="50">
        <v>2</v>
      </c>
      <c r="E15" s="50">
        <v>1</v>
      </c>
      <c r="F15" s="50">
        <v>14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0</v>
      </c>
      <c r="M15" s="50">
        <v>63</v>
      </c>
      <c r="N15" s="50">
        <v>0</v>
      </c>
      <c r="O15" s="15">
        <f t="shared" si="0"/>
        <v>25</v>
      </c>
      <c r="P15" s="15">
        <f t="shared" si="1"/>
        <v>88</v>
      </c>
      <c r="R15" s="1" t="s">
        <v>11</v>
      </c>
      <c r="S15" s="17">
        <f t="shared" ref="S15:AF15" si="7">SUM(C30:C33)</f>
        <v>29</v>
      </c>
      <c r="T15" s="17">
        <f t="shared" si="7"/>
        <v>10</v>
      </c>
      <c r="U15" s="17">
        <f t="shared" si="7"/>
        <v>10</v>
      </c>
      <c r="V15" s="17">
        <f t="shared" si="7"/>
        <v>28</v>
      </c>
      <c r="W15" s="17">
        <f t="shared" si="7"/>
        <v>0</v>
      </c>
      <c r="X15" s="17">
        <f t="shared" si="7"/>
        <v>0</v>
      </c>
      <c r="Y15" s="17">
        <f t="shared" si="7"/>
        <v>17</v>
      </c>
      <c r="Z15" s="17">
        <f t="shared" si="7"/>
        <v>3</v>
      </c>
      <c r="AA15" s="17">
        <f t="shared" si="7"/>
        <v>1</v>
      </c>
      <c r="AB15" s="17">
        <f t="shared" si="7"/>
        <v>0</v>
      </c>
      <c r="AC15" s="17">
        <f t="shared" si="7"/>
        <v>214</v>
      </c>
      <c r="AD15" s="17">
        <f t="shared" si="7"/>
        <v>0</v>
      </c>
      <c r="AE15" s="31">
        <f t="shared" si="7"/>
        <v>98</v>
      </c>
      <c r="AF15" s="31">
        <f t="shared" si="7"/>
        <v>312</v>
      </c>
    </row>
    <row r="16" spans="2:32" ht="23.1" customHeight="1" x14ac:dyDescent="0.25">
      <c r="B16" s="23" t="s">
        <v>43</v>
      </c>
      <c r="C16" s="50">
        <v>7</v>
      </c>
      <c r="D16" s="50">
        <v>2</v>
      </c>
      <c r="E16" s="50">
        <v>4</v>
      </c>
      <c r="F16" s="50">
        <v>8</v>
      </c>
      <c r="G16" s="50">
        <v>0</v>
      </c>
      <c r="H16" s="50">
        <v>0</v>
      </c>
      <c r="I16" s="50">
        <v>3</v>
      </c>
      <c r="J16" s="50">
        <v>2</v>
      </c>
      <c r="K16" s="50">
        <v>0</v>
      </c>
      <c r="L16" s="50">
        <v>0</v>
      </c>
      <c r="M16" s="50">
        <v>42</v>
      </c>
      <c r="N16" s="50">
        <v>0</v>
      </c>
      <c r="O16" s="15">
        <f t="shared" si="0"/>
        <v>26</v>
      </c>
      <c r="P16" s="15">
        <f t="shared" si="1"/>
        <v>68</v>
      </c>
      <c r="R16" s="1" t="s">
        <v>12</v>
      </c>
      <c r="S16" s="17">
        <f t="shared" ref="S16:AF16" si="8">SUM(C34:C37)</f>
        <v>39</v>
      </c>
      <c r="T16" s="17">
        <f t="shared" si="8"/>
        <v>6</v>
      </c>
      <c r="U16" s="17">
        <f t="shared" si="8"/>
        <v>8</v>
      </c>
      <c r="V16" s="17">
        <f t="shared" si="8"/>
        <v>28</v>
      </c>
      <c r="W16" s="17">
        <f t="shared" si="8"/>
        <v>0</v>
      </c>
      <c r="X16" s="17">
        <f t="shared" si="8"/>
        <v>0</v>
      </c>
      <c r="Y16" s="17">
        <f t="shared" si="8"/>
        <v>18</v>
      </c>
      <c r="Z16" s="17">
        <f t="shared" si="8"/>
        <v>6</v>
      </c>
      <c r="AA16" s="17">
        <f t="shared" si="8"/>
        <v>3</v>
      </c>
      <c r="AB16" s="17">
        <f t="shared" si="8"/>
        <v>0</v>
      </c>
      <c r="AC16" s="17">
        <f t="shared" si="8"/>
        <v>232</v>
      </c>
      <c r="AD16" s="17">
        <f t="shared" si="8"/>
        <v>0</v>
      </c>
      <c r="AE16" s="31">
        <f t="shared" si="8"/>
        <v>108</v>
      </c>
      <c r="AF16" s="31">
        <f t="shared" si="8"/>
        <v>340</v>
      </c>
    </row>
    <row r="17" spans="2:32" ht="23.1" customHeight="1" x14ac:dyDescent="0.25">
      <c r="B17" s="23" t="s">
        <v>44</v>
      </c>
      <c r="C17" s="50">
        <v>10</v>
      </c>
      <c r="D17" s="50">
        <v>1</v>
      </c>
      <c r="E17" s="50">
        <v>0</v>
      </c>
      <c r="F17" s="50">
        <v>12</v>
      </c>
      <c r="G17" s="50">
        <v>2</v>
      </c>
      <c r="H17" s="50">
        <v>0</v>
      </c>
      <c r="I17" s="50">
        <v>1</v>
      </c>
      <c r="J17" s="50">
        <v>0</v>
      </c>
      <c r="K17" s="50">
        <v>3</v>
      </c>
      <c r="L17" s="50">
        <v>0</v>
      </c>
      <c r="M17" s="50">
        <v>48</v>
      </c>
      <c r="N17" s="50">
        <v>0</v>
      </c>
      <c r="O17" s="15">
        <f t="shared" si="0"/>
        <v>29</v>
      </c>
      <c r="P17" s="15">
        <f t="shared" si="1"/>
        <v>77</v>
      </c>
      <c r="R17" s="1" t="s">
        <v>13</v>
      </c>
      <c r="S17" s="17">
        <f t="shared" ref="S17:AF17" si="9">SUM(C38:C41)</f>
        <v>33</v>
      </c>
      <c r="T17" s="17">
        <f t="shared" si="9"/>
        <v>7</v>
      </c>
      <c r="U17" s="17">
        <f t="shared" si="9"/>
        <v>9</v>
      </c>
      <c r="V17" s="17">
        <f t="shared" si="9"/>
        <v>30</v>
      </c>
      <c r="W17" s="17">
        <f t="shared" si="9"/>
        <v>0</v>
      </c>
      <c r="X17" s="17">
        <f t="shared" si="9"/>
        <v>0</v>
      </c>
      <c r="Y17" s="17">
        <f t="shared" si="9"/>
        <v>12</v>
      </c>
      <c r="Z17" s="17">
        <f t="shared" si="9"/>
        <v>4</v>
      </c>
      <c r="AA17" s="17">
        <f t="shared" si="9"/>
        <v>3</v>
      </c>
      <c r="AB17" s="17">
        <f t="shared" si="9"/>
        <v>0</v>
      </c>
      <c r="AC17" s="17">
        <f t="shared" si="9"/>
        <v>215</v>
      </c>
      <c r="AD17" s="17">
        <f t="shared" si="9"/>
        <v>0</v>
      </c>
      <c r="AE17" s="31">
        <f t="shared" si="9"/>
        <v>98</v>
      </c>
      <c r="AF17" s="31">
        <f t="shared" si="9"/>
        <v>313</v>
      </c>
    </row>
    <row r="18" spans="2:32" ht="23.1" customHeight="1" x14ac:dyDescent="0.25">
      <c r="B18" s="23" t="s">
        <v>45</v>
      </c>
      <c r="C18" s="50">
        <v>9</v>
      </c>
      <c r="D18" s="50">
        <v>4</v>
      </c>
      <c r="E18" s="50">
        <v>2</v>
      </c>
      <c r="F18" s="50">
        <v>12</v>
      </c>
      <c r="G18" s="50">
        <v>0</v>
      </c>
      <c r="H18" s="50">
        <v>1</v>
      </c>
      <c r="I18" s="50">
        <v>0</v>
      </c>
      <c r="J18" s="50">
        <v>1</v>
      </c>
      <c r="K18" s="50">
        <v>0</v>
      </c>
      <c r="L18" s="50">
        <v>0</v>
      </c>
      <c r="M18" s="50">
        <v>60</v>
      </c>
      <c r="N18" s="50">
        <v>0</v>
      </c>
      <c r="O18" s="15">
        <f t="shared" si="0"/>
        <v>29</v>
      </c>
      <c r="P18" s="15">
        <f t="shared" si="1"/>
        <v>89</v>
      </c>
      <c r="R18" s="1" t="s">
        <v>14</v>
      </c>
      <c r="S18" s="17">
        <f t="shared" ref="S18:AF18" si="10">SUM(C42:C45)</f>
        <v>46</v>
      </c>
      <c r="T18" s="17">
        <f t="shared" si="10"/>
        <v>7</v>
      </c>
      <c r="U18" s="17">
        <f t="shared" si="10"/>
        <v>12</v>
      </c>
      <c r="V18" s="17">
        <f t="shared" si="10"/>
        <v>18</v>
      </c>
      <c r="W18" s="17">
        <f t="shared" si="10"/>
        <v>0</v>
      </c>
      <c r="X18" s="17">
        <f t="shared" si="10"/>
        <v>2</v>
      </c>
      <c r="Y18" s="17">
        <f t="shared" si="10"/>
        <v>7</v>
      </c>
      <c r="Z18" s="17">
        <f t="shared" si="10"/>
        <v>3</v>
      </c>
      <c r="AA18" s="17">
        <f t="shared" si="10"/>
        <v>3</v>
      </c>
      <c r="AB18" s="17">
        <f t="shared" si="10"/>
        <v>0</v>
      </c>
      <c r="AC18" s="17">
        <f t="shared" si="10"/>
        <v>175</v>
      </c>
      <c r="AD18" s="17">
        <f t="shared" si="10"/>
        <v>0</v>
      </c>
      <c r="AE18" s="31">
        <f t="shared" si="10"/>
        <v>98</v>
      </c>
      <c r="AF18" s="31">
        <f t="shared" si="10"/>
        <v>273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1</v>
      </c>
      <c r="F19" s="50">
        <v>26</v>
      </c>
      <c r="G19" s="50">
        <v>0</v>
      </c>
      <c r="H19" s="50">
        <v>0</v>
      </c>
      <c r="I19" s="50">
        <v>5</v>
      </c>
      <c r="J19" s="50">
        <v>4</v>
      </c>
      <c r="K19" s="50">
        <v>0</v>
      </c>
      <c r="L19" s="50">
        <v>0</v>
      </c>
      <c r="M19" s="50">
        <v>51</v>
      </c>
      <c r="N19" s="50">
        <v>0</v>
      </c>
      <c r="O19" s="15">
        <f t="shared" si="0"/>
        <v>39</v>
      </c>
      <c r="P19" s="15">
        <f t="shared" si="1"/>
        <v>90</v>
      </c>
      <c r="R19" s="1" t="s">
        <v>15</v>
      </c>
      <c r="S19" s="17">
        <f t="shared" ref="S19:AF19" si="11">SUM(C46:C49)</f>
        <v>52</v>
      </c>
      <c r="T19" s="17">
        <f t="shared" si="11"/>
        <v>15</v>
      </c>
      <c r="U19" s="17">
        <f t="shared" si="11"/>
        <v>8</v>
      </c>
      <c r="V19" s="17">
        <f t="shared" si="11"/>
        <v>33</v>
      </c>
      <c r="W19" s="17">
        <f t="shared" si="11"/>
        <v>2</v>
      </c>
      <c r="X19" s="17">
        <f t="shared" si="11"/>
        <v>0</v>
      </c>
      <c r="Y19" s="17">
        <f t="shared" si="11"/>
        <v>12</v>
      </c>
      <c r="Z19" s="17">
        <f t="shared" si="11"/>
        <v>4</v>
      </c>
      <c r="AA19" s="17">
        <f t="shared" si="11"/>
        <v>3</v>
      </c>
      <c r="AB19" s="17">
        <f t="shared" si="11"/>
        <v>0</v>
      </c>
      <c r="AC19" s="17">
        <f t="shared" si="11"/>
        <v>188</v>
      </c>
      <c r="AD19" s="17">
        <f t="shared" si="11"/>
        <v>0</v>
      </c>
      <c r="AE19" s="31">
        <f t="shared" si="11"/>
        <v>129</v>
      </c>
      <c r="AF19" s="31">
        <f t="shared" si="11"/>
        <v>317</v>
      </c>
    </row>
    <row r="20" spans="2:32" ht="23.1" customHeight="1" x14ac:dyDescent="0.25">
      <c r="B20" s="23" t="s">
        <v>47</v>
      </c>
      <c r="C20" s="50">
        <v>10</v>
      </c>
      <c r="D20" s="50">
        <v>0</v>
      </c>
      <c r="E20" s="50">
        <v>1</v>
      </c>
      <c r="F20" s="50">
        <v>10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56</v>
      </c>
      <c r="N20" s="50">
        <v>0</v>
      </c>
      <c r="O20" s="15">
        <f t="shared" si="0"/>
        <v>22</v>
      </c>
      <c r="P20" s="15">
        <f t="shared" si="1"/>
        <v>78</v>
      </c>
      <c r="R20" s="1" t="s">
        <v>16</v>
      </c>
      <c r="S20" s="17">
        <f t="shared" ref="S20:AF20" si="12">SUM(C50:C53)</f>
        <v>69</v>
      </c>
      <c r="T20" s="17">
        <f t="shared" si="12"/>
        <v>32</v>
      </c>
      <c r="U20" s="17">
        <f t="shared" si="12"/>
        <v>9</v>
      </c>
      <c r="V20" s="17">
        <f t="shared" si="12"/>
        <v>48</v>
      </c>
      <c r="W20" s="17">
        <f t="shared" si="12"/>
        <v>1</v>
      </c>
      <c r="X20" s="17">
        <f t="shared" si="12"/>
        <v>0</v>
      </c>
      <c r="Y20" s="17">
        <f t="shared" si="12"/>
        <v>9</v>
      </c>
      <c r="Z20" s="17">
        <f t="shared" si="12"/>
        <v>3</v>
      </c>
      <c r="AA20" s="17">
        <f t="shared" si="12"/>
        <v>1</v>
      </c>
      <c r="AB20" s="17">
        <f t="shared" si="12"/>
        <v>0</v>
      </c>
      <c r="AC20" s="17">
        <f t="shared" si="12"/>
        <v>248</v>
      </c>
      <c r="AD20" s="17">
        <f t="shared" si="12"/>
        <v>0</v>
      </c>
      <c r="AE20" s="31">
        <f t="shared" si="12"/>
        <v>172</v>
      </c>
      <c r="AF20" s="31">
        <f t="shared" si="12"/>
        <v>420</v>
      </c>
    </row>
    <row r="21" spans="2:32" ht="23.1" customHeight="1" x14ac:dyDescent="0.25">
      <c r="B21" s="23" t="s">
        <v>48</v>
      </c>
      <c r="C21" s="50">
        <v>8</v>
      </c>
      <c r="D21" s="50">
        <v>1</v>
      </c>
      <c r="E21" s="50">
        <v>0</v>
      </c>
      <c r="F21" s="50">
        <v>22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53</v>
      </c>
      <c r="N21" s="50">
        <v>0</v>
      </c>
      <c r="O21" s="15">
        <f t="shared" si="0"/>
        <v>32</v>
      </c>
      <c r="P21" s="15">
        <f t="shared" si="1"/>
        <v>85</v>
      </c>
      <c r="R21" s="36" t="s">
        <v>20</v>
      </c>
      <c r="S21" s="34">
        <f t="shared" ref="S21:AF21" si="13">SUM(C54:C57)</f>
        <v>124</v>
      </c>
      <c r="T21" s="17">
        <f t="shared" si="13"/>
        <v>32</v>
      </c>
      <c r="U21" s="17">
        <f t="shared" si="13"/>
        <v>15</v>
      </c>
      <c r="V21" s="17">
        <f t="shared" si="13"/>
        <v>49</v>
      </c>
      <c r="W21" s="17">
        <f t="shared" si="13"/>
        <v>2</v>
      </c>
      <c r="X21" s="17">
        <f t="shared" si="13"/>
        <v>0</v>
      </c>
      <c r="Y21" s="17">
        <f t="shared" si="13"/>
        <v>9</v>
      </c>
      <c r="Z21" s="17">
        <f t="shared" si="13"/>
        <v>2</v>
      </c>
      <c r="AA21" s="17">
        <f t="shared" si="13"/>
        <v>5</v>
      </c>
      <c r="AB21" s="17">
        <f t="shared" si="13"/>
        <v>0</v>
      </c>
      <c r="AC21" s="17">
        <f t="shared" si="13"/>
        <v>257</v>
      </c>
      <c r="AD21" s="17">
        <f t="shared" si="13"/>
        <v>0</v>
      </c>
      <c r="AE21" s="31">
        <f t="shared" si="13"/>
        <v>238</v>
      </c>
      <c r="AF21" s="31">
        <f t="shared" si="13"/>
        <v>495</v>
      </c>
    </row>
    <row r="22" spans="2:32" ht="23.1" customHeight="1" x14ac:dyDescent="0.25">
      <c r="B22" s="23" t="s">
        <v>49</v>
      </c>
      <c r="C22" s="50">
        <v>5</v>
      </c>
      <c r="D22" s="50">
        <v>3</v>
      </c>
      <c r="E22" s="50">
        <v>0</v>
      </c>
      <c r="F22" s="50">
        <v>13</v>
      </c>
      <c r="G22" s="50">
        <v>0</v>
      </c>
      <c r="H22" s="50">
        <v>1</v>
      </c>
      <c r="I22" s="50">
        <v>2</v>
      </c>
      <c r="J22" s="50">
        <v>1</v>
      </c>
      <c r="K22" s="50">
        <v>0</v>
      </c>
      <c r="L22" s="50">
        <v>0</v>
      </c>
      <c r="M22" s="50">
        <v>35</v>
      </c>
      <c r="N22" s="50">
        <v>0</v>
      </c>
      <c r="O22" s="15">
        <f t="shared" si="0"/>
        <v>25</v>
      </c>
      <c r="P22" s="15">
        <f t="shared" si="1"/>
        <v>60</v>
      </c>
      <c r="R22" s="38" t="s">
        <v>90</v>
      </c>
      <c r="S22" s="39">
        <f>MAX(S10:S12)</f>
        <v>43</v>
      </c>
      <c r="T22" s="39">
        <f t="shared" ref="T22:AF22" si="14">MAX(T10:T12)</f>
        <v>8</v>
      </c>
      <c r="U22" s="39">
        <f t="shared" si="14"/>
        <v>7</v>
      </c>
      <c r="V22" s="39">
        <f t="shared" si="14"/>
        <v>70</v>
      </c>
      <c r="W22" s="39">
        <f t="shared" si="14"/>
        <v>2</v>
      </c>
      <c r="X22" s="39">
        <f t="shared" si="14"/>
        <v>1</v>
      </c>
      <c r="Y22" s="39">
        <f t="shared" si="14"/>
        <v>8</v>
      </c>
      <c r="Z22" s="39">
        <f t="shared" si="14"/>
        <v>10</v>
      </c>
      <c r="AA22" s="39">
        <f t="shared" si="14"/>
        <v>3</v>
      </c>
      <c r="AB22" s="39">
        <f t="shared" si="14"/>
        <v>0</v>
      </c>
      <c r="AC22" s="39">
        <f t="shared" si="14"/>
        <v>220</v>
      </c>
      <c r="AD22" s="39">
        <f t="shared" si="14"/>
        <v>0</v>
      </c>
      <c r="AE22" s="40">
        <f t="shared" si="14"/>
        <v>122</v>
      </c>
      <c r="AF22" s="40">
        <f t="shared" si="14"/>
        <v>342</v>
      </c>
    </row>
    <row r="23" spans="2:32" ht="23.1" customHeight="1" x14ac:dyDescent="0.25">
      <c r="B23" s="23" t="s">
        <v>50</v>
      </c>
      <c r="C23" s="50">
        <v>12</v>
      </c>
      <c r="D23" s="50">
        <v>1</v>
      </c>
      <c r="E23" s="50">
        <v>1</v>
      </c>
      <c r="F23" s="50">
        <v>9</v>
      </c>
      <c r="G23" s="50">
        <v>0</v>
      </c>
      <c r="H23" s="50">
        <v>0</v>
      </c>
      <c r="I23" s="50">
        <v>3</v>
      </c>
      <c r="J23" s="50">
        <v>0</v>
      </c>
      <c r="K23" s="50">
        <v>1</v>
      </c>
      <c r="L23" s="50">
        <v>0</v>
      </c>
      <c r="M23" s="50">
        <v>60</v>
      </c>
      <c r="N23" s="50">
        <v>0</v>
      </c>
      <c r="O23" s="15">
        <f t="shared" si="0"/>
        <v>27</v>
      </c>
      <c r="P23" s="15">
        <f t="shared" si="1"/>
        <v>87</v>
      </c>
      <c r="R23" s="38" t="s">
        <v>91</v>
      </c>
      <c r="S23" s="39">
        <f>MAX(S13:S18)</f>
        <v>46</v>
      </c>
      <c r="T23" s="39">
        <f t="shared" ref="T23:AF23" si="15">MAX(T13:T18)</f>
        <v>20</v>
      </c>
      <c r="U23" s="39">
        <f t="shared" si="15"/>
        <v>12</v>
      </c>
      <c r="V23" s="39">
        <f t="shared" si="15"/>
        <v>49</v>
      </c>
      <c r="W23" s="39">
        <f t="shared" si="15"/>
        <v>0</v>
      </c>
      <c r="X23" s="39">
        <f t="shared" si="15"/>
        <v>2</v>
      </c>
      <c r="Y23" s="39">
        <f t="shared" si="15"/>
        <v>18</v>
      </c>
      <c r="Z23" s="39">
        <f t="shared" si="15"/>
        <v>6</v>
      </c>
      <c r="AA23" s="39">
        <f t="shared" si="15"/>
        <v>3</v>
      </c>
      <c r="AB23" s="39">
        <f t="shared" si="15"/>
        <v>0</v>
      </c>
      <c r="AC23" s="39">
        <f t="shared" si="15"/>
        <v>244</v>
      </c>
      <c r="AD23" s="39">
        <f t="shared" si="15"/>
        <v>0</v>
      </c>
      <c r="AE23" s="40">
        <f t="shared" si="15"/>
        <v>118</v>
      </c>
      <c r="AF23" s="40">
        <f t="shared" si="15"/>
        <v>360</v>
      </c>
    </row>
    <row r="24" spans="2:32" ht="23.1" customHeight="1" x14ac:dyDescent="0.25">
      <c r="B24" s="23" t="s">
        <v>51</v>
      </c>
      <c r="C24" s="50">
        <v>11</v>
      </c>
      <c r="D24" s="50">
        <v>2</v>
      </c>
      <c r="E24" s="50">
        <v>2</v>
      </c>
      <c r="F24" s="50">
        <v>17</v>
      </c>
      <c r="G24" s="50">
        <v>0</v>
      </c>
      <c r="H24" s="50">
        <v>0</v>
      </c>
      <c r="I24" s="50">
        <v>3</v>
      </c>
      <c r="J24" s="50">
        <v>1</v>
      </c>
      <c r="K24" s="50">
        <v>1</v>
      </c>
      <c r="L24" s="50">
        <v>0</v>
      </c>
      <c r="M24" s="50">
        <v>63</v>
      </c>
      <c r="N24" s="50">
        <v>0</v>
      </c>
      <c r="O24" s="15">
        <f t="shared" si="0"/>
        <v>37</v>
      </c>
      <c r="P24" s="15">
        <f t="shared" si="1"/>
        <v>100</v>
      </c>
      <c r="R24" s="38" t="s">
        <v>92</v>
      </c>
      <c r="S24" s="39">
        <f>MAX(S19:S21)</f>
        <v>124</v>
      </c>
      <c r="T24" s="39">
        <f t="shared" ref="T24:AF24" si="16">MAX(T19:T21)</f>
        <v>32</v>
      </c>
      <c r="U24" s="39">
        <f t="shared" si="16"/>
        <v>15</v>
      </c>
      <c r="V24" s="39">
        <f t="shared" si="16"/>
        <v>49</v>
      </c>
      <c r="W24" s="39">
        <f t="shared" si="16"/>
        <v>2</v>
      </c>
      <c r="X24" s="39">
        <f t="shared" si="16"/>
        <v>0</v>
      </c>
      <c r="Y24" s="39">
        <f t="shared" si="16"/>
        <v>12</v>
      </c>
      <c r="Z24" s="39">
        <f t="shared" si="16"/>
        <v>4</v>
      </c>
      <c r="AA24" s="39">
        <f t="shared" si="16"/>
        <v>5</v>
      </c>
      <c r="AB24" s="39">
        <f t="shared" si="16"/>
        <v>0</v>
      </c>
      <c r="AC24" s="39">
        <f t="shared" si="16"/>
        <v>257</v>
      </c>
      <c r="AD24" s="39">
        <f t="shared" si="16"/>
        <v>0</v>
      </c>
      <c r="AE24" s="40">
        <f t="shared" si="16"/>
        <v>238</v>
      </c>
      <c r="AF24" s="40">
        <f t="shared" si="16"/>
        <v>495</v>
      </c>
    </row>
    <row r="25" spans="2:32" ht="23.1" customHeight="1" x14ac:dyDescent="0.25">
      <c r="B25" s="23" t="s">
        <v>52</v>
      </c>
      <c r="C25" s="50">
        <v>11</v>
      </c>
      <c r="D25" s="50">
        <v>0</v>
      </c>
      <c r="E25" s="50">
        <v>3</v>
      </c>
      <c r="F25" s="50">
        <v>10</v>
      </c>
      <c r="G25" s="50">
        <v>0</v>
      </c>
      <c r="H25" s="50">
        <v>0</v>
      </c>
      <c r="I25" s="50">
        <v>4</v>
      </c>
      <c r="J25" s="50">
        <v>0</v>
      </c>
      <c r="K25" s="50">
        <v>1</v>
      </c>
      <c r="L25" s="50">
        <v>0</v>
      </c>
      <c r="M25" s="50">
        <v>58</v>
      </c>
      <c r="N25" s="50">
        <v>0</v>
      </c>
      <c r="O25" s="15">
        <f t="shared" si="0"/>
        <v>29</v>
      </c>
      <c r="P25" s="15">
        <f t="shared" si="1"/>
        <v>87</v>
      </c>
      <c r="R25" s="37" t="s">
        <v>85</v>
      </c>
      <c r="S25" s="35">
        <f t="shared" ref="S25:AF25" si="17">SUM(S10:S12)</f>
        <v>99</v>
      </c>
      <c r="T25" s="16">
        <f t="shared" si="17"/>
        <v>17</v>
      </c>
      <c r="U25" s="16">
        <f t="shared" si="17"/>
        <v>14</v>
      </c>
      <c r="V25" s="16">
        <f t="shared" si="17"/>
        <v>162</v>
      </c>
      <c r="W25" s="16">
        <f t="shared" si="17"/>
        <v>2</v>
      </c>
      <c r="X25" s="16">
        <f t="shared" si="17"/>
        <v>2</v>
      </c>
      <c r="Y25" s="16">
        <f t="shared" si="17"/>
        <v>21</v>
      </c>
      <c r="Z25" s="16">
        <f t="shared" si="17"/>
        <v>18</v>
      </c>
      <c r="AA25" s="16">
        <f t="shared" si="17"/>
        <v>5</v>
      </c>
      <c r="AB25" s="16">
        <f t="shared" si="17"/>
        <v>0</v>
      </c>
      <c r="AC25" s="16">
        <f t="shared" si="17"/>
        <v>587</v>
      </c>
      <c r="AD25" s="16">
        <f t="shared" si="17"/>
        <v>0</v>
      </c>
      <c r="AE25" s="32">
        <f t="shared" si="17"/>
        <v>340</v>
      </c>
      <c r="AF25" s="32">
        <f t="shared" si="17"/>
        <v>927</v>
      </c>
    </row>
    <row r="26" spans="2:32" ht="23.1" customHeight="1" x14ac:dyDescent="0.25">
      <c r="B26" s="23" t="s">
        <v>53</v>
      </c>
      <c r="C26" s="50">
        <v>13</v>
      </c>
      <c r="D26" s="50">
        <v>6</v>
      </c>
      <c r="E26" s="50">
        <v>0</v>
      </c>
      <c r="F26" s="50">
        <v>8</v>
      </c>
      <c r="G26" s="50">
        <v>0</v>
      </c>
      <c r="H26" s="50">
        <v>0</v>
      </c>
      <c r="I26" s="50">
        <v>3</v>
      </c>
      <c r="J26" s="50">
        <v>2</v>
      </c>
      <c r="K26" s="50">
        <v>0</v>
      </c>
      <c r="L26" s="50">
        <v>0</v>
      </c>
      <c r="M26" s="50">
        <v>66</v>
      </c>
      <c r="N26" s="50">
        <v>0</v>
      </c>
      <c r="O26" s="15">
        <f t="shared" si="0"/>
        <v>32</v>
      </c>
      <c r="P26" s="15">
        <f t="shared" si="1"/>
        <v>98</v>
      </c>
      <c r="R26" s="28" t="s">
        <v>86</v>
      </c>
      <c r="S26" s="16">
        <f t="shared" ref="S26:AF26" si="18">SUM(S13:S18)</f>
        <v>229</v>
      </c>
      <c r="T26" s="16">
        <f t="shared" si="18"/>
        <v>56</v>
      </c>
      <c r="U26" s="16">
        <f t="shared" si="18"/>
        <v>54</v>
      </c>
      <c r="V26" s="16">
        <f t="shared" si="18"/>
        <v>181</v>
      </c>
      <c r="W26" s="16">
        <f t="shared" si="18"/>
        <v>0</v>
      </c>
      <c r="X26" s="16">
        <f t="shared" si="18"/>
        <v>3</v>
      </c>
      <c r="Y26" s="16">
        <f t="shared" si="18"/>
        <v>76</v>
      </c>
      <c r="Z26" s="16">
        <f t="shared" si="18"/>
        <v>22</v>
      </c>
      <c r="AA26" s="16">
        <f t="shared" si="18"/>
        <v>15</v>
      </c>
      <c r="AB26" s="16">
        <f t="shared" si="18"/>
        <v>0</v>
      </c>
      <c r="AC26" s="16">
        <f t="shared" si="18"/>
        <v>1296</v>
      </c>
      <c r="AD26" s="16">
        <f t="shared" si="18"/>
        <v>0</v>
      </c>
      <c r="AE26" s="32">
        <f t="shared" si="18"/>
        <v>636</v>
      </c>
      <c r="AF26" s="32">
        <f t="shared" si="18"/>
        <v>1932</v>
      </c>
    </row>
    <row r="27" spans="2:32" ht="23.1" customHeight="1" x14ac:dyDescent="0.25">
      <c r="B27" s="23" t="s">
        <v>54</v>
      </c>
      <c r="C27" s="50">
        <v>9</v>
      </c>
      <c r="D27" s="50">
        <v>7</v>
      </c>
      <c r="E27" s="50">
        <v>3</v>
      </c>
      <c r="F27" s="50">
        <v>10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65</v>
      </c>
      <c r="N27" s="50">
        <v>0</v>
      </c>
      <c r="O27" s="15">
        <f t="shared" si="0"/>
        <v>32</v>
      </c>
      <c r="P27" s="15">
        <f t="shared" si="1"/>
        <v>97</v>
      </c>
      <c r="R27" s="29" t="s">
        <v>87</v>
      </c>
      <c r="S27" s="16">
        <f t="shared" ref="S27:AF27" si="19">SUM(S19:S21)</f>
        <v>245</v>
      </c>
      <c r="T27" s="16">
        <f t="shared" si="19"/>
        <v>79</v>
      </c>
      <c r="U27" s="16">
        <f t="shared" si="19"/>
        <v>32</v>
      </c>
      <c r="V27" s="16">
        <f t="shared" si="19"/>
        <v>130</v>
      </c>
      <c r="W27" s="16">
        <f t="shared" si="19"/>
        <v>5</v>
      </c>
      <c r="X27" s="16">
        <f t="shared" si="19"/>
        <v>0</v>
      </c>
      <c r="Y27" s="16">
        <f t="shared" si="19"/>
        <v>30</v>
      </c>
      <c r="Z27" s="16">
        <f t="shared" si="19"/>
        <v>9</v>
      </c>
      <c r="AA27" s="16">
        <f t="shared" si="19"/>
        <v>9</v>
      </c>
      <c r="AB27" s="16">
        <f t="shared" si="19"/>
        <v>0</v>
      </c>
      <c r="AC27" s="16">
        <f t="shared" si="19"/>
        <v>693</v>
      </c>
      <c r="AD27" s="16">
        <f t="shared" si="19"/>
        <v>0</v>
      </c>
      <c r="AE27" s="32">
        <f t="shared" si="19"/>
        <v>539</v>
      </c>
      <c r="AF27" s="32">
        <f t="shared" si="19"/>
        <v>1232</v>
      </c>
    </row>
    <row r="28" spans="2:32" ht="23.1" customHeight="1" x14ac:dyDescent="0.25">
      <c r="B28" s="23" t="s">
        <v>55</v>
      </c>
      <c r="C28" s="50">
        <v>6</v>
      </c>
      <c r="D28" s="50">
        <v>3</v>
      </c>
      <c r="E28" s="50">
        <v>4</v>
      </c>
      <c r="F28" s="50">
        <v>4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65</v>
      </c>
      <c r="N28" s="50">
        <v>0</v>
      </c>
      <c r="O28" s="15">
        <f t="shared" si="0"/>
        <v>21</v>
      </c>
      <c r="P28" s="15">
        <f t="shared" si="1"/>
        <v>86</v>
      </c>
      <c r="R28" s="5" t="s">
        <v>17</v>
      </c>
      <c r="S28" s="16">
        <f t="shared" ref="S28:AF28" si="20">SUM(S10:S21)</f>
        <v>573</v>
      </c>
      <c r="T28" s="16">
        <f t="shared" si="20"/>
        <v>152</v>
      </c>
      <c r="U28" s="16">
        <f t="shared" si="20"/>
        <v>100</v>
      </c>
      <c r="V28" s="16">
        <f t="shared" si="20"/>
        <v>473</v>
      </c>
      <c r="W28" s="16">
        <f t="shared" si="20"/>
        <v>7</v>
      </c>
      <c r="X28" s="16">
        <f t="shared" si="20"/>
        <v>5</v>
      </c>
      <c r="Y28" s="16">
        <f t="shared" si="20"/>
        <v>127</v>
      </c>
      <c r="Z28" s="16">
        <f t="shared" si="20"/>
        <v>49</v>
      </c>
      <c r="AA28" s="16">
        <f t="shared" si="20"/>
        <v>29</v>
      </c>
      <c r="AB28" s="16">
        <f t="shared" si="20"/>
        <v>0</v>
      </c>
      <c r="AC28" s="16">
        <f t="shared" si="20"/>
        <v>2576</v>
      </c>
      <c r="AD28" s="16">
        <f t="shared" si="20"/>
        <v>0</v>
      </c>
      <c r="AE28" s="32">
        <f t="shared" si="20"/>
        <v>1515</v>
      </c>
      <c r="AF28" s="32">
        <f t="shared" si="20"/>
        <v>4091</v>
      </c>
    </row>
    <row r="29" spans="2:32" ht="23.1" customHeight="1" x14ac:dyDescent="0.25">
      <c r="B29" s="23" t="s">
        <v>56</v>
      </c>
      <c r="C29" s="50">
        <v>15</v>
      </c>
      <c r="D29" s="50">
        <v>4</v>
      </c>
      <c r="E29" s="50">
        <v>2</v>
      </c>
      <c r="F29" s="50">
        <v>6</v>
      </c>
      <c r="G29" s="50">
        <v>0</v>
      </c>
      <c r="H29" s="50">
        <v>0</v>
      </c>
      <c r="I29" s="50">
        <v>2</v>
      </c>
      <c r="J29" s="50">
        <v>0</v>
      </c>
      <c r="K29" s="50">
        <v>2</v>
      </c>
      <c r="L29" s="50">
        <v>0</v>
      </c>
      <c r="M29" s="50">
        <v>48</v>
      </c>
      <c r="N29" s="50">
        <v>0</v>
      </c>
      <c r="O29" s="15">
        <f t="shared" si="0"/>
        <v>31</v>
      </c>
      <c r="P29" s="15">
        <f t="shared" si="1"/>
        <v>79</v>
      </c>
      <c r="R29"/>
      <c r="S29" s="20"/>
      <c r="T29" s="19"/>
    </row>
    <row r="30" spans="2:32" ht="23.1" customHeight="1" x14ac:dyDescent="0.25">
      <c r="B30" s="23" t="s">
        <v>57</v>
      </c>
      <c r="C30" s="50">
        <v>13</v>
      </c>
      <c r="D30" s="50">
        <v>0</v>
      </c>
      <c r="E30" s="50">
        <v>3</v>
      </c>
      <c r="F30" s="50">
        <v>8</v>
      </c>
      <c r="G30" s="50">
        <v>0</v>
      </c>
      <c r="H30" s="50">
        <v>0</v>
      </c>
      <c r="I30" s="50">
        <v>6</v>
      </c>
      <c r="J30" s="50">
        <v>1</v>
      </c>
      <c r="K30" s="50">
        <v>0</v>
      </c>
      <c r="L30" s="50">
        <v>0</v>
      </c>
      <c r="M30" s="50">
        <v>52</v>
      </c>
      <c r="N30" s="50">
        <v>0</v>
      </c>
      <c r="O30" s="15">
        <f t="shared" si="0"/>
        <v>31</v>
      </c>
      <c r="P30" s="15">
        <f t="shared" si="1"/>
        <v>83</v>
      </c>
    </row>
    <row r="31" spans="2:32" ht="23.1" customHeight="1" x14ac:dyDescent="0.25">
      <c r="B31" s="24" t="s">
        <v>58</v>
      </c>
      <c r="C31" s="50">
        <v>4</v>
      </c>
      <c r="D31" s="50">
        <v>7</v>
      </c>
      <c r="E31" s="50">
        <v>4</v>
      </c>
      <c r="F31" s="50">
        <v>7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61</v>
      </c>
      <c r="N31" s="50">
        <v>0</v>
      </c>
      <c r="O31" s="15">
        <f t="shared" si="0"/>
        <v>24</v>
      </c>
      <c r="P31" s="15">
        <f t="shared" si="1"/>
        <v>85</v>
      </c>
    </row>
    <row r="32" spans="2:32" ht="23.1" customHeight="1" x14ac:dyDescent="0.25">
      <c r="B32" s="24" t="s">
        <v>59</v>
      </c>
      <c r="C32" s="50">
        <v>6</v>
      </c>
      <c r="D32" s="50">
        <v>0</v>
      </c>
      <c r="E32" s="50">
        <v>0</v>
      </c>
      <c r="F32" s="50">
        <v>6</v>
      </c>
      <c r="G32" s="50">
        <v>0</v>
      </c>
      <c r="H32" s="50">
        <v>0</v>
      </c>
      <c r="I32" s="50">
        <v>8</v>
      </c>
      <c r="J32" s="50">
        <v>0</v>
      </c>
      <c r="K32" s="50">
        <v>0</v>
      </c>
      <c r="L32" s="50">
        <v>0</v>
      </c>
      <c r="M32" s="50">
        <v>46</v>
      </c>
      <c r="N32" s="50">
        <v>0</v>
      </c>
      <c r="O32" s="15">
        <f t="shared" si="0"/>
        <v>20</v>
      </c>
      <c r="P32" s="15">
        <f t="shared" si="1"/>
        <v>66</v>
      </c>
    </row>
    <row r="33" spans="2:20" ht="23.1" customHeight="1" x14ac:dyDescent="0.25">
      <c r="B33" s="23" t="s">
        <v>60</v>
      </c>
      <c r="C33" s="50">
        <v>6</v>
      </c>
      <c r="D33" s="50">
        <v>3</v>
      </c>
      <c r="E33" s="50">
        <v>3</v>
      </c>
      <c r="F33" s="50">
        <v>7</v>
      </c>
      <c r="G33" s="50">
        <v>0</v>
      </c>
      <c r="H33" s="50">
        <v>0</v>
      </c>
      <c r="I33" s="50">
        <v>1</v>
      </c>
      <c r="J33" s="50">
        <v>2</v>
      </c>
      <c r="K33" s="50">
        <v>1</v>
      </c>
      <c r="L33" s="50">
        <v>0</v>
      </c>
      <c r="M33" s="50">
        <v>55</v>
      </c>
      <c r="N33" s="50">
        <v>0</v>
      </c>
      <c r="O33" s="15">
        <f t="shared" si="0"/>
        <v>23</v>
      </c>
      <c r="P33" s="15">
        <f t="shared" si="1"/>
        <v>78</v>
      </c>
    </row>
    <row r="34" spans="2:20" ht="23.1" customHeight="1" x14ac:dyDescent="0.25">
      <c r="B34" s="24" t="s">
        <v>61</v>
      </c>
      <c r="C34" s="50">
        <v>9</v>
      </c>
      <c r="D34" s="50">
        <v>0</v>
      </c>
      <c r="E34" s="50">
        <v>2</v>
      </c>
      <c r="F34" s="50">
        <v>6</v>
      </c>
      <c r="G34" s="50">
        <v>0</v>
      </c>
      <c r="H34" s="50">
        <v>0</v>
      </c>
      <c r="I34" s="50">
        <v>4</v>
      </c>
      <c r="J34" s="50">
        <v>0</v>
      </c>
      <c r="K34" s="50">
        <v>1</v>
      </c>
      <c r="L34" s="50">
        <v>0</v>
      </c>
      <c r="M34" s="50">
        <v>54</v>
      </c>
      <c r="N34" s="50">
        <v>0</v>
      </c>
      <c r="O34" s="15">
        <f t="shared" si="0"/>
        <v>22</v>
      </c>
      <c r="P34" s="15">
        <f t="shared" si="1"/>
        <v>76</v>
      </c>
    </row>
    <row r="35" spans="2:20" ht="23.1" customHeight="1" x14ac:dyDescent="0.25">
      <c r="B35" s="24" t="s">
        <v>62</v>
      </c>
      <c r="C35" s="50">
        <v>10</v>
      </c>
      <c r="D35" s="50">
        <v>3</v>
      </c>
      <c r="E35" s="50">
        <v>2</v>
      </c>
      <c r="F35" s="50">
        <v>4</v>
      </c>
      <c r="G35" s="50">
        <v>0</v>
      </c>
      <c r="H35" s="50">
        <v>0</v>
      </c>
      <c r="I35" s="50">
        <v>4</v>
      </c>
      <c r="J35" s="50">
        <v>5</v>
      </c>
      <c r="K35" s="50">
        <v>1</v>
      </c>
      <c r="L35" s="50">
        <v>0</v>
      </c>
      <c r="M35" s="50">
        <v>59</v>
      </c>
      <c r="N35" s="50">
        <v>0</v>
      </c>
      <c r="O35" s="15">
        <f t="shared" si="0"/>
        <v>29</v>
      </c>
      <c r="P35" s="15">
        <f t="shared" si="1"/>
        <v>88</v>
      </c>
    </row>
    <row r="36" spans="2:20" ht="23.1" customHeight="1" x14ac:dyDescent="0.25">
      <c r="B36" s="24" t="s">
        <v>63</v>
      </c>
      <c r="C36" s="50">
        <v>9</v>
      </c>
      <c r="D36" s="50">
        <v>3</v>
      </c>
      <c r="E36" s="50">
        <v>2</v>
      </c>
      <c r="F36" s="50">
        <v>11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53</v>
      </c>
      <c r="N36" s="50">
        <v>0</v>
      </c>
      <c r="O36" s="15">
        <f t="shared" si="0"/>
        <v>30</v>
      </c>
      <c r="P36" s="15">
        <f t="shared" si="1"/>
        <v>83</v>
      </c>
    </row>
    <row r="37" spans="2:20" ht="23.1" customHeight="1" x14ac:dyDescent="0.25">
      <c r="B37" s="23" t="s">
        <v>64</v>
      </c>
      <c r="C37" s="50">
        <v>11</v>
      </c>
      <c r="D37" s="50">
        <v>0</v>
      </c>
      <c r="E37" s="50">
        <v>2</v>
      </c>
      <c r="F37" s="50">
        <v>7</v>
      </c>
      <c r="G37" s="50">
        <v>0</v>
      </c>
      <c r="H37" s="50">
        <v>0</v>
      </c>
      <c r="I37" s="50">
        <v>5</v>
      </c>
      <c r="J37" s="50">
        <v>1</v>
      </c>
      <c r="K37" s="50">
        <v>1</v>
      </c>
      <c r="L37" s="50">
        <v>0</v>
      </c>
      <c r="M37" s="50">
        <v>66</v>
      </c>
      <c r="N37" s="50">
        <v>0</v>
      </c>
      <c r="O37" s="15">
        <f t="shared" si="0"/>
        <v>27</v>
      </c>
      <c r="P37" s="15">
        <f t="shared" si="1"/>
        <v>93</v>
      </c>
    </row>
    <row r="38" spans="2:20" ht="23.1" customHeight="1" x14ac:dyDescent="0.25">
      <c r="B38" s="24" t="s">
        <v>65</v>
      </c>
      <c r="C38" s="50">
        <v>11</v>
      </c>
      <c r="D38" s="50">
        <v>2</v>
      </c>
      <c r="E38" s="50">
        <v>2</v>
      </c>
      <c r="F38" s="50">
        <v>9</v>
      </c>
      <c r="G38" s="50">
        <v>0</v>
      </c>
      <c r="H38" s="50">
        <v>0</v>
      </c>
      <c r="I38" s="50">
        <v>5</v>
      </c>
      <c r="J38" s="50">
        <v>1</v>
      </c>
      <c r="K38" s="50">
        <v>3</v>
      </c>
      <c r="L38" s="50">
        <v>0</v>
      </c>
      <c r="M38" s="50">
        <v>49</v>
      </c>
      <c r="N38" s="50">
        <v>0</v>
      </c>
      <c r="O38" s="15">
        <f t="shared" si="0"/>
        <v>33</v>
      </c>
      <c r="P38" s="15">
        <f t="shared" si="1"/>
        <v>82</v>
      </c>
    </row>
    <row r="39" spans="2:20" ht="23.1" customHeight="1" x14ac:dyDescent="0.25">
      <c r="B39" s="24" t="s">
        <v>66</v>
      </c>
      <c r="C39" s="50">
        <v>8</v>
      </c>
      <c r="D39" s="50">
        <v>1</v>
      </c>
      <c r="E39" s="50">
        <v>4</v>
      </c>
      <c r="F39" s="50">
        <v>9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62</v>
      </c>
      <c r="N39" s="50">
        <v>0</v>
      </c>
      <c r="O39" s="15">
        <f t="shared" si="0"/>
        <v>25</v>
      </c>
      <c r="P39" s="15">
        <f t="shared" si="1"/>
        <v>87</v>
      </c>
    </row>
    <row r="40" spans="2:20" ht="23.1" customHeight="1" x14ac:dyDescent="0.25">
      <c r="B40" s="24" t="s">
        <v>67</v>
      </c>
      <c r="C40" s="50">
        <v>6</v>
      </c>
      <c r="D40" s="50">
        <v>1</v>
      </c>
      <c r="E40" s="50">
        <v>1</v>
      </c>
      <c r="F40" s="50">
        <v>6</v>
      </c>
      <c r="G40" s="50">
        <v>0</v>
      </c>
      <c r="H40" s="50">
        <v>0</v>
      </c>
      <c r="I40" s="50">
        <v>2</v>
      </c>
      <c r="J40" s="50">
        <v>2</v>
      </c>
      <c r="K40" s="50">
        <v>0</v>
      </c>
      <c r="L40" s="50">
        <v>0</v>
      </c>
      <c r="M40" s="50">
        <v>50</v>
      </c>
      <c r="N40" s="50">
        <v>0</v>
      </c>
      <c r="O40" s="15">
        <f t="shared" si="0"/>
        <v>18</v>
      </c>
      <c r="P40" s="15">
        <f t="shared" si="1"/>
        <v>68</v>
      </c>
    </row>
    <row r="41" spans="2:20" ht="23.1" customHeight="1" x14ac:dyDescent="0.25">
      <c r="B41" s="23" t="s">
        <v>68</v>
      </c>
      <c r="C41" s="50">
        <v>8</v>
      </c>
      <c r="D41" s="50">
        <v>3</v>
      </c>
      <c r="E41" s="50">
        <v>2</v>
      </c>
      <c r="F41" s="50">
        <v>6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54</v>
      </c>
      <c r="N41" s="50">
        <v>0</v>
      </c>
      <c r="O41" s="15">
        <f t="shared" si="0"/>
        <v>22</v>
      </c>
      <c r="P41" s="15">
        <f t="shared" si="1"/>
        <v>76</v>
      </c>
    </row>
    <row r="42" spans="2:20" ht="23.1" customHeight="1" x14ac:dyDescent="0.25">
      <c r="B42" s="24" t="s">
        <v>69</v>
      </c>
      <c r="C42" s="50">
        <v>13</v>
      </c>
      <c r="D42" s="50">
        <v>1</v>
      </c>
      <c r="E42" s="50">
        <v>6</v>
      </c>
      <c r="F42" s="50">
        <v>0</v>
      </c>
      <c r="G42" s="50">
        <v>0</v>
      </c>
      <c r="H42" s="50">
        <v>2</v>
      </c>
      <c r="I42" s="50">
        <v>0</v>
      </c>
      <c r="J42" s="50">
        <v>0</v>
      </c>
      <c r="K42" s="50">
        <v>0</v>
      </c>
      <c r="L42" s="50">
        <v>0</v>
      </c>
      <c r="M42" s="50">
        <v>43</v>
      </c>
      <c r="N42" s="50">
        <v>0</v>
      </c>
      <c r="O42" s="15">
        <f t="shared" si="0"/>
        <v>22</v>
      </c>
      <c r="P42" s="15">
        <f t="shared" si="1"/>
        <v>65</v>
      </c>
    </row>
    <row r="43" spans="2:20" ht="23.1" customHeight="1" x14ac:dyDescent="0.25">
      <c r="B43" s="23" t="s">
        <v>70</v>
      </c>
      <c r="C43" s="50">
        <v>12</v>
      </c>
      <c r="D43" s="50">
        <v>3</v>
      </c>
      <c r="E43" s="50">
        <v>0</v>
      </c>
      <c r="F43" s="50">
        <v>5</v>
      </c>
      <c r="G43" s="50">
        <v>0</v>
      </c>
      <c r="H43" s="50">
        <v>0</v>
      </c>
      <c r="I43" s="50">
        <v>3</v>
      </c>
      <c r="J43" s="50">
        <v>0</v>
      </c>
      <c r="K43" s="50">
        <v>1</v>
      </c>
      <c r="L43" s="50">
        <v>0</v>
      </c>
      <c r="M43" s="50">
        <v>44</v>
      </c>
      <c r="N43" s="50">
        <v>0</v>
      </c>
      <c r="O43" s="15">
        <f t="shared" si="0"/>
        <v>24</v>
      </c>
      <c r="P43" s="15">
        <f t="shared" si="1"/>
        <v>68</v>
      </c>
    </row>
    <row r="44" spans="2:20" ht="23.1" customHeight="1" x14ac:dyDescent="0.25">
      <c r="B44" s="25" t="s">
        <v>71</v>
      </c>
      <c r="C44" s="50">
        <v>14</v>
      </c>
      <c r="D44" s="50">
        <v>1</v>
      </c>
      <c r="E44" s="50">
        <v>1</v>
      </c>
      <c r="F44" s="50">
        <v>5</v>
      </c>
      <c r="G44" s="50">
        <v>0</v>
      </c>
      <c r="H44" s="50">
        <v>0</v>
      </c>
      <c r="I44" s="50">
        <v>2</v>
      </c>
      <c r="J44" s="50">
        <v>2</v>
      </c>
      <c r="K44" s="50">
        <v>1</v>
      </c>
      <c r="L44" s="50">
        <v>0</v>
      </c>
      <c r="M44" s="50">
        <v>48</v>
      </c>
      <c r="N44" s="50">
        <v>0</v>
      </c>
      <c r="O44" s="15">
        <f t="shared" si="0"/>
        <v>26</v>
      </c>
      <c r="P44" s="15">
        <f t="shared" si="1"/>
        <v>74</v>
      </c>
    </row>
    <row r="45" spans="2:20" ht="23.1" customHeight="1" x14ac:dyDescent="0.25">
      <c r="B45" s="23" t="s">
        <v>72</v>
      </c>
      <c r="C45" s="50">
        <v>7</v>
      </c>
      <c r="D45" s="50">
        <v>2</v>
      </c>
      <c r="E45" s="50">
        <v>5</v>
      </c>
      <c r="F45" s="50">
        <v>8</v>
      </c>
      <c r="G45" s="50">
        <v>0</v>
      </c>
      <c r="H45" s="50">
        <v>0</v>
      </c>
      <c r="I45" s="50">
        <v>2</v>
      </c>
      <c r="J45" s="50">
        <v>1</v>
      </c>
      <c r="K45" s="50">
        <v>1</v>
      </c>
      <c r="L45" s="50">
        <v>0</v>
      </c>
      <c r="M45" s="50">
        <v>40</v>
      </c>
      <c r="N45" s="50">
        <v>0</v>
      </c>
      <c r="O45" s="15">
        <f t="shared" si="0"/>
        <v>26</v>
      </c>
      <c r="P45" s="15">
        <f t="shared" si="1"/>
        <v>66</v>
      </c>
    </row>
    <row r="46" spans="2:20" ht="23.1" customHeight="1" x14ac:dyDescent="0.25">
      <c r="B46" s="24" t="s">
        <v>73</v>
      </c>
      <c r="C46" s="50">
        <v>11</v>
      </c>
      <c r="D46" s="50">
        <v>0</v>
      </c>
      <c r="E46" s="50">
        <v>3</v>
      </c>
      <c r="F46" s="50">
        <v>7</v>
      </c>
      <c r="G46" s="50">
        <v>1</v>
      </c>
      <c r="H46" s="50">
        <v>0</v>
      </c>
      <c r="I46" s="50">
        <v>3</v>
      </c>
      <c r="J46" s="50">
        <v>1</v>
      </c>
      <c r="K46" s="50">
        <v>1</v>
      </c>
      <c r="L46" s="50">
        <v>0</v>
      </c>
      <c r="M46" s="50">
        <v>39</v>
      </c>
      <c r="N46" s="50">
        <v>0</v>
      </c>
      <c r="O46" s="15">
        <f t="shared" si="0"/>
        <v>27</v>
      </c>
      <c r="P46" s="15">
        <f t="shared" si="1"/>
        <v>66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4</v>
      </c>
      <c r="E47" s="50">
        <v>0</v>
      </c>
      <c r="F47" s="50">
        <v>5</v>
      </c>
      <c r="G47" s="50">
        <v>0</v>
      </c>
      <c r="H47" s="50">
        <v>0</v>
      </c>
      <c r="I47" s="50">
        <v>3</v>
      </c>
      <c r="J47" s="50">
        <v>3</v>
      </c>
      <c r="K47" s="50">
        <v>1</v>
      </c>
      <c r="L47" s="50">
        <v>0</v>
      </c>
      <c r="M47" s="50">
        <v>38</v>
      </c>
      <c r="N47" s="50">
        <v>0</v>
      </c>
      <c r="O47" s="15">
        <f t="shared" si="0"/>
        <v>23</v>
      </c>
      <c r="P47" s="15">
        <f t="shared" si="1"/>
        <v>61</v>
      </c>
      <c r="R47" s="8"/>
      <c r="T47"/>
    </row>
    <row r="48" spans="2:20" ht="23.1" customHeight="1" x14ac:dyDescent="0.25">
      <c r="B48" s="24" t="s">
        <v>75</v>
      </c>
      <c r="C48" s="50">
        <v>14</v>
      </c>
      <c r="D48" s="50">
        <v>5</v>
      </c>
      <c r="E48" s="50">
        <v>4</v>
      </c>
      <c r="F48" s="50">
        <v>13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46</v>
      </c>
      <c r="N48" s="50">
        <v>0</v>
      </c>
      <c r="O48" s="15">
        <f t="shared" si="0"/>
        <v>39</v>
      </c>
      <c r="P48" s="15">
        <f t="shared" si="1"/>
        <v>85</v>
      </c>
      <c r="R48" s="8"/>
      <c r="T48"/>
    </row>
    <row r="49" spans="2:20" ht="23.1" customHeight="1" x14ac:dyDescent="0.25">
      <c r="B49" s="23" t="s">
        <v>76</v>
      </c>
      <c r="C49" s="50">
        <v>20</v>
      </c>
      <c r="D49" s="50">
        <v>6</v>
      </c>
      <c r="E49" s="50">
        <v>1</v>
      </c>
      <c r="F49" s="50">
        <v>8</v>
      </c>
      <c r="G49" s="50">
        <v>1</v>
      </c>
      <c r="H49" s="50">
        <v>0</v>
      </c>
      <c r="I49" s="50">
        <v>3</v>
      </c>
      <c r="J49" s="50">
        <v>0</v>
      </c>
      <c r="K49" s="50">
        <v>1</v>
      </c>
      <c r="L49" s="50">
        <v>0</v>
      </c>
      <c r="M49" s="50">
        <v>65</v>
      </c>
      <c r="N49" s="50">
        <v>0</v>
      </c>
      <c r="O49" s="15">
        <f t="shared" si="0"/>
        <v>40</v>
      </c>
      <c r="P49" s="15">
        <f t="shared" si="1"/>
        <v>105</v>
      </c>
      <c r="R49" s="8"/>
      <c r="T49"/>
    </row>
    <row r="50" spans="2:20" ht="23.1" customHeight="1" x14ac:dyDescent="0.25">
      <c r="B50" s="24" t="s">
        <v>77</v>
      </c>
      <c r="C50" s="50">
        <v>18</v>
      </c>
      <c r="D50" s="50">
        <v>10</v>
      </c>
      <c r="E50" s="50">
        <v>0</v>
      </c>
      <c r="F50" s="50">
        <v>12</v>
      </c>
      <c r="G50" s="50">
        <v>0</v>
      </c>
      <c r="H50" s="50">
        <v>0</v>
      </c>
      <c r="I50" s="50">
        <v>3</v>
      </c>
      <c r="J50" s="50">
        <v>1</v>
      </c>
      <c r="K50" s="50">
        <v>1</v>
      </c>
      <c r="L50" s="50">
        <v>0</v>
      </c>
      <c r="M50" s="50">
        <v>78</v>
      </c>
      <c r="N50" s="50">
        <v>0</v>
      </c>
      <c r="O50" s="15">
        <f t="shared" si="0"/>
        <v>45</v>
      </c>
      <c r="P50" s="15">
        <f t="shared" si="1"/>
        <v>123</v>
      </c>
      <c r="R50" s="8"/>
      <c r="T50"/>
    </row>
    <row r="51" spans="2:20" ht="23.1" customHeight="1" x14ac:dyDescent="0.25">
      <c r="B51" s="24" t="s">
        <v>78</v>
      </c>
      <c r="C51" s="50">
        <v>20</v>
      </c>
      <c r="D51" s="50">
        <v>10</v>
      </c>
      <c r="E51" s="50">
        <v>1</v>
      </c>
      <c r="F51" s="50">
        <v>7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54</v>
      </c>
      <c r="N51" s="50">
        <v>0</v>
      </c>
      <c r="O51" s="15">
        <f t="shared" si="0"/>
        <v>39</v>
      </c>
      <c r="P51" s="15">
        <f t="shared" si="1"/>
        <v>93</v>
      </c>
      <c r="R51" s="8"/>
      <c r="T51"/>
    </row>
    <row r="52" spans="2:20" ht="23.1" customHeight="1" x14ac:dyDescent="0.25">
      <c r="B52" s="24" t="s">
        <v>79</v>
      </c>
      <c r="C52" s="50">
        <v>10</v>
      </c>
      <c r="D52" s="50">
        <v>5</v>
      </c>
      <c r="E52" s="50">
        <v>4</v>
      </c>
      <c r="F52" s="50">
        <v>10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58</v>
      </c>
      <c r="N52" s="50">
        <v>0</v>
      </c>
      <c r="O52" s="15">
        <f t="shared" si="0"/>
        <v>31</v>
      </c>
      <c r="P52" s="15">
        <f t="shared" si="1"/>
        <v>89</v>
      </c>
      <c r="R52" s="8"/>
      <c r="T52"/>
    </row>
    <row r="53" spans="2:20" ht="23.1" customHeight="1" x14ac:dyDescent="0.25">
      <c r="B53" s="23" t="s">
        <v>80</v>
      </c>
      <c r="C53" s="50">
        <v>21</v>
      </c>
      <c r="D53" s="50">
        <v>7</v>
      </c>
      <c r="E53" s="50">
        <v>4</v>
      </c>
      <c r="F53" s="50">
        <v>19</v>
      </c>
      <c r="G53" s="50">
        <v>1</v>
      </c>
      <c r="H53" s="50">
        <v>0</v>
      </c>
      <c r="I53" s="50">
        <v>4</v>
      </c>
      <c r="J53" s="50">
        <v>1</v>
      </c>
      <c r="K53" s="50">
        <v>0</v>
      </c>
      <c r="L53" s="50">
        <v>0</v>
      </c>
      <c r="M53" s="50">
        <v>58</v>
      </c>
      <c r="N53" s="50">
        <v>0</v>
      </c>
      <c r="O53" s="15">
        <f t="shared" si="0"/>
        <v>57</v>
      </c>
      <c r="P53" s="15">
        <f t="shared" si="1"/>
        <v>115</v>
      </c>
      <c r="R53" s="8"/>
      <c r="T53"/>
    </row>
    <row r="54" spans="2:20" ht="23.1" customHeight="1" x14ac:dyDescent="0.25">
      <c r="B54" s="23" t="s">
        <v>81</v>
      </c>
      <c r="C54" s="50">
        <v>33</v>
      </c>
      <c r="D54" s="50">
        <v>13</v>
      </c>
      <c r="E54" s="50">
        <v>7</v>
      </c>
      <c r="F54" s="50">
        <v>15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57</v>
      </c>
      <c r="N54" s="50">
        <v>0</v>
      </c>
      <c r="O54" s="15">
        <f t="shared" si="0"/>
        <v>69</v>
      </c>
      <c r="P54" s="15">
        <f t="shared" si="1"/>
        <v>126</v>
      </c>
      <c r="R54" s="8"/>
      <c r="T54"/>
    </row>
    <row r="55" spans="2:20" ht="23.1" customHeight="1" x14ac:dyDescent="0.25">
      <c r="B55" s="23" t="s">
        <v>82</v>
      </c>
      <c r="C55" s="50">
        <v>37</v>
      </c>
      <c r="D55" s="50">
        <v>7</v>
      </c>
      <c r="E55" s="50">
        <v>4</v>
      </c>
      <c r="F55" s="50">
        <v>10</v>
      </c>
      <c r="G55" s="50">
        <v>0</v>
      </c>
      <c r="H55" s="50">
        <v>0</v>
      </c>
      <c r="I55" s="50">
        <v>1</v>
      </c>
      <c r="J55" s="50">
        <v>0</v>
      </c>
      <c r="K55" s="50">
        <v>2</v>
      </c>
      <c r="L55" s="50">
        <v>0</v>
      </c>
      <c r="M55" s="50">
        <v>75</v>
      </c>
      <c r="N55" s="50">
        <v>0</v>
      </c>
      <c r="O55" s="15">
        <f t="shared" si="0"/>
        <v>61</v>
      </c>
      <c r="P55" s="15">
        <f t="shared" si="1"/>
        <v>136</v>
      </c>
      <c r="R55" s="8"/>
      <c r="T55"/>
    </row>
    <row r="56" spans="2:20" ht="23.1" customHeight="1" x14ac:dyDescent="0.25">
      <c r="B56" s="23" t="s">
        <v>83</v>
      </c>
      <c r="C56" s="50">
        <v>25</v>
      </c>
      <c r="D56" s="50">
        <v>6</v>
      </c>
      <c r="E56" s="50">
        <v>3</v>
      </c>
      <c r="F56" s="50">
        <v>12</v>
      </c>
      <c r="G56" s="50">
        <v>0</v>
      </c>
      <c r="H56" s="50">
        <v>0</v>
      </c>
      <c r="I56" s="50">
        <v>7</v>
      </c>
      <c r="J56" s="50">
        <v>0</v>
      </c>
      <c r="K56" s="50">
        <v>2</v>
      </c>
      <c r="L56" s="50">
        <v>0</v>
      </c>
      <c r="M56" s="50">
        <v>71</v>
      </c>
      <c r="N56" s="50">
        <v>0</v>
      </c>
      <c r="O56" s="15">
        <f t="shared" si="0"/>
        <v>55</v>
      </c>
      <c r="P56" s="15">
        <f t="shared" si="1"/>
        <v>126</v>
      </c>
      <c r="R56" s="8"/>
      <c r="T56"/>
    </row>
    <row r="57" spans="2:20" ht="23.1" customHeight="1" x14ac:dyDescent="0.25">
      <c r="B57" s="23" t="s">
        <v>84</v>
      </c>
      <c r="C57" s="50">
        <v>29</v>
      </c>
      <c r="D57" s="50">
        <v>6</v>
      </c>
      <c r="E57" s="50">
        <v>1</v>
      </c>
      <c r="F57" s="50">
        <v>12</v>
      </c>
      <c r="G57" s="50">
        <v>2</v>
      </c>
      <c r="H57" s="50">
        <v>0</v>
      </c>
      <c r="I57" s="50">
        <v>1</v>
      </c>
      <c r="J57" s="50">
        <v>1</v>
      </c>
      <c r="K57" s="50">
        <v>1</v>
      </c>
      <c r="L57" s="50">
        <v>0</v>
      </c>
      <c r="M57" s="50">
        <v>54</v>
      </c>
      <c r="N57" s="50">
        <v>0</v>
      </c>
      <c r="O57" s="15">
        <f t="shared" si="0"/>
        <v>53</v>
      </c>
      <c r="P57" s="15">
        <f t="shared" si="1"/>
        <v>107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573</v>
      </c>
      <c r="D58" s="16">
        <f t="shared" si="21"/>
        <v>152</v>
      </c>
      <c r="E58" s="16">
        <f t="shared" si="21"/>
        <v>100</v>
      </c>
      <c r="F58" s="16">
        <f t="shared" si="21"/>
        <v>473</v>
      </c>
      <c r="G58" s="16">
        <f t="shared" si="21"/>
        <v>7</v>
      </c>
      <c r="H58" s="16">
        <f t="shared" si="21"/>
        <v>5</v>
      </c>
      <c r="I58" s="16">
        <f t="shared" si="21"/>
        <v>127</v>
      </c>
      <c r="J58" s="16">
        <f t="shared" si="21"/>
        <v>49</v>
      </c>
      <c r="K58" s="16">
        <f t="shared" si="21"/>
        <v>29</v>
      </c>
      <c r="L58" s="16">
        <f t="shared" si="21"/>
        <v>0</v>
      </c>
      <c r="M58" s="16">
        <f t="shared" si="21"/>
        <v>2576</v>
      </c>
      <c r="N58" s="16">
        <f t="shared" si="21"/>
        <v>0</v>
      </c>
      <c r="O58" s="16">
        <f t="shared" si="21"/>
        <v>1515</v>
      </c>
      <c r="P58" s="16">
        <f t="shared" si="21"/>
        <v>4091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0.14006355414324126</v>
      </c>
      <c r="D59" s="43">
        <f t="shared" si="22"/>
        <v>3.7154729894891228E-2</v>
      </c>
      <c r="E59" s="43">
        <f t="shared" si="22"/>
        <v>2.4443901246638963E-2</v>
      </c>
      <c r="F59" s="43">
        <f t="shared" si="22"/>
        <v>0.1156196528966023</v>
      </c>
      <c r="G59" s="43">
        <f t="shared" si="22"/>
        <v>1.7110730872647274E-3</v>
      </c>
      <c r="H59" s="43">
        <f t="shared" si="22"/>
        <v>1.2221950623319481E-3</v>
      </c>
      <c r="I59" s="43">
        <f t="shared" si="22"/>
        <v>3.1043754583231484E-2</v>
      </c>
      <c r="J59" s="43">
        <f t="shared" si="22"/>
        <v>1.1977511610853092E-2</v>
      </c>
      <c r="K59" s="43">
        <f t="shared" si="22"/>
        <v>7.0887313615252993E-3</v>
      </c>
      <c r="L59" s="43">
        <f t="shared" si="22"/>
        <v>0</v>
      </c>
      <c r="M59" s="43">
        <f t="shared" si="22"/>
        <v>0.62967489611341965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0.37821782178217822</v>
      </c>
      <c r="D60" s="44">
        <f t="shared" ref="D60:N60" si="23">D58/$O$58</f>
        <v>0.10033003300330033</v>
      </c>
      <c r="E60" s="44">
        <f t="shared" si="23"/>
        <v>6.6006600660066E-2</v>
      </c>
      <c r="F60" s="44">
        <f t="shared" si="23"/>
        <v>0.31221122112211219</v>
      </c>
      <c r="G60" s="44">
        <f t="shared" si="23"/>
        <v>4.6204620462046205E-3</v>
      </c>
      <c r="H60" s="44">
        <f t="shared" si="23"/>
        <v>3.3003300330033004E-3</v>
      </c>
      <c r="I60" s="44">
        <f t="shared" si="23"/>
        <v>8.3828382838283824E-2</v>
      </c>
      <c r="J60" s="44">
        <f t="shared" si="23"/>
        <v>3.2343234323432342E-2</v>
      </c>
      <c r="K60" s="44">
        <f t="shared" si="23"/>
        <v>1.914191419141914E-2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Sentema-Sentema RBT'!C3:G3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'25.07 SentemaRBT-Sentema'!D5</f>
        <v>25.07.19</v>
      </c>
      <c r="E5" s="3"/>
      <c r="F5" s="41" t="s">
        <v>1</v>
      </c>
      <c r="G5" s="64" t="str">
        <f>'25.07 SentemaRBT-Sentema'!G5:H5</f>
        <v>Ku roofings</v>
      </c>
      <c r="H5" s="65"/>
      <c r="I5" s="14"/>
      <c r="J5" s="2" t="s">
        <v>5</v>
      </c>
      <c r="K5" s="64" t="s">
        <v>176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Sentema-Sentema RBT'!D6:E6</f>
        <v>Sentema</v>
      </c>
      <c r="E6" s="65"/>
      <c r="F6" s="2" t="s">
        <v>2</v>
      </c>
      <c r="G6" s="64" t="str">
        <f>'22.07 Sentema-Sentema RBT'!G6:H6</f>
        <v>Sentema RBT</v>
      </c>
      <c r="H6" s="65"/>
      <c r="J6" s="2" t="s">
        <v>21</v>
      </c>
      <c r="K6" s="64" t="str">
        <f>'25.07 SentemaRBT-Sentema'!K6:L6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48</v>
      </c>
      <c r="D10" s="50">
        <v>6</v>
      </c>
      <c r="E10" s="50">
        <v>9</v>
      </c>
      <c r="F10" s="50">
        <v>62</v>
      </c>
      <c r="G10" s="50">
        <v>0</v>
      </c>
      <c r="H10" s="50">
        <v>0</v>
      </c>
      <c r="I10" s="50">
        <v>3</v>
      </c>
      <c r="J10" s="50">
        <v>1</v>
      </c>
      <c r="K10" s="50">
        <v>0</v>
      </c>
      <c r="L10" s="50">
        <v>0</v>
      </c>
      <c r="M10" s="50">
        <v>77</v>
      </c>
      <c r="N10" s="50">
        <v>0</v>
      </c>
      <c r="O10" s="15">
        <f t="shared" ref="O10:O57" si="0">SUM(C10:L10,N10)</f>
        <v>129</v>
      </c>
      <c r="P10" s="15">
        <f t="shared" ref="P10:P57" si="1">SUM(C10:N10)</f>
        <v>206</v>
      </c>
      <c r="R10" s="1" t="s">
        <v>6</v>
      </c>
      <c r="S10" s="17">
        <f t="shared" ref="S10:AF10" si="2">SUM(C10:C13)</f>
        <v>263</v>
      </c>
      <c r="T10" s="17">
        <f t="shared" si="2"/>
        <v>32</v>
      </c>
      <c r="U10" s="17">
        <f t="shared" si="2"/>
        <v>23</v>
      </c>
      <c r="V10" s="17">
        <f t="shared" si="2"/>
        <v>167</v>
      </c>
      <c r="W10" s="17">
        <f t="shared" si="2"/>
        <v>0</v>
      </c>
      <c r="X10" s="17">
        <f t="shared" si="2"/>
        <v>0</v>
      </c>
      <c r="Y10" s="17">
        <f t="shared" si="2"/>
        <v>11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371</v>
      </c>
      <c r="AD10" s="17">
        <f t="shared" si="2"/>
        <v>0</v>
      </c>
      <c r="AE10" s="31">
        <f t="shared" si="2"/>
        <v>499</v>
      </c>
      <c r="AF10" s="31">
        <f t="shared" si="2"/>
        <v>870</v>
      </c>
    </row>
    <row r="11" spans="2:32" s="6" customFormat="1" ht="23.1" customHeight="1" x14ac:dyDescent="0.25">
      <c r="B11" s="23" t="s">
        <v>38</v>
      </c>
      <c r="C11" s="50">
        <v>97</v>
      </c>
      <c r="D11" s="50">
        <v>11</v>
      </c>
      <c r="E11" s="50">
        <v>5</v>
      </c>
      <c r="F11" s="50">
        <v>41</v>
      </c>
      <c r="G11" s="50">
        <v>0</v>
      </c>
      <c r="H11" s="50">
        <v>0</v>
      </c>
      <c r="I11" s="50">
        <v>3</v>
      </c>
      <c r="J11" s="50">
        <v>1</v>
      </c>
      <c r="K11" s="50">
        <v>0</v>
      </c>
      <c r="L11" s="50">
        <v>0</v>
      </c>
      <c r="M11" s="50">
        <v>92</v>
      </c>
      <c r="N11" s="50">
        <v>0</v>
      </c>
      <c r="O11" s="15">
        <f t="shared" si="0"/>
        <v>158</v>
      </c>
      <c r="P11" s="15">
        <f t="shared" si="1"/>
        <v>250</v>
      </c>
      <c r="R11" s="1" t="s">
        <v>7</v>
      </c>
      <c r="S11" s="17">
        <f t="shared" ref="S11:AF11" si="3">SUM(C14:C17)</f>
        <v>184</v>
      </c>
      <c r="T11" s="17">
        <f t="shared" si="3"/>
        <v>34</v>
      </c>
      <c r="U11" s="17">
        <f t="shared" si="3"/>
        <v>17</v>
      </c>
      <c r="V11" s="17">
        <f t="shared" si="3"/>
        <v>118</v>
      </c>
      <c r="W11" s="17">
        <f t="shared" si="3"/>
        <v>1</v>
      </c>
      <c r="X11" s="17">
        <f t="shared" si="3"/>
        <v>0</v>
      </c>
      <c r="Y11" s="17">
        <f t="shared" si="3"/>
        <v>20</v>
      </c>
      <c r="Z11" s="17">
        <f t="shared" si="3"/>
        <v>7</v>
      </c>
      <c r="AA11" s="17">
        <f t="shared" si="3"/>
        <v>0</v>
      </c>
      <c r="AB11" s="17">
        <f t="shared" si="3"/>
        <v>0</v>
      </c>
      <c r="AC11" s="17">
        <f t="shared" si="3"/>
        <v>476</v>
      </c>
      <c r="AD11" s="17">
        <f t="shared" si="3"/>
        <v>0</v>
      </c>
      <c r="AE11" s="31">
        <f t="shared" si="3"/>
        <v>381</v>
      </c>
      <c r="AF11" s="31">
        <f t="shared" si="3"/>
        <v>857</v>
      </c>
    </row>
    <row r="12" spans="2:32" ht="23.1" customHeight="1" x14ac:dyDescent="0.25">
      <c r="B12" s="23" t="s">
        <v>39</v>
      </c>
      <c r="C12" s="50">
        <v>48</v>
      </c>
      <c r="D12" s="50">
        <v>5</v>
      </c>
      <c r="E12" s="50">
        <v>2</v>
      </c>
      <c r="F12" s="50">
        <v>35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102</v>
      </c>
      <c r="N12" s="50">
        <v>0</v>
      </c>
      <c r="O12" s="15">
        <f t="shared" si="0"/>
        <v>91</v>
      </c>
      <c r="P12" s="15">
        <f t="shared" si="1"/>
        <v>193</v>
      </c>
      <c r="R12" s="1" t="s">
        <v>8</v>
      </c>
      <c r="S12" s="17">
        <f t="shared" ref="S12:AF12" si="4">SUM(C18:C21)</f>
        <v>192</v>
      </c>
      <c r="T12" s="17">
        <f t="shared" si="4"/>
        <v>18</v>
      </c>
      <c r="U12" s="17">
        <f t="shared" si="4"/>
        <v>15</v>
      </c>
      <c r="V12" s="17">
        <f t="shared" si="4"/>
        <v>89</v>
      </c>
      <c r="W12" s="17">
        <f t="shared" si="4"/>
        <v>5</v>
      </c>
      <c r="X12" s="17">
        <f t="shared" si="4"/>
        <v>0</v>
      </c>
      <c r="Y12" s="17">
        <f t="shared" si="4"/>
        <v>13</v>
      </c>
      <c r="Z12" s="17">
        <f t="shared" si="4"/>
        <v>6</v>
      </c>
      <c r="AA12" s="17">
        <f t="shared" si="4"/>
        <v>0</v>
      </c>
      <c r="AB12" s="17">
        <f t="shared" si="4"/>
        <v>1</v>
      </c>
      <c r="AC12" s="17">
        <f t="shared" si="4"/>
        <v>367</v>
      </c>
      <c r="AD12" s="17">
        <f t="shared" si="4"/>
        <v>0</v>
      </c>
      <c r="AE12" s="31">
        <f t="shared" si="4"/>
        <v>339</v>
      </c>
      <c r="AF12" s="31">
        <f t="shared" si="4"/>
        <v>706</v>
      </c>
    </row>
    <row r="13" spans="2:32" ht="23.1" customHeight="1" x14ac:dyDescent="0.25">
      <c r="B13" s="23" t="s">
        <v>40</v>
      </c>
      <c r="C13" s="50">
        <v>70</v>
      </c>
      <c r="D13" s="50">
        <v>10</v>
      </c>
      <c r="E13" s="50">
        <v>7</v>
      </c>
      <c r="F13" s="50">
        <v>29</v>
      </c>
      <c r="G13" s="50">
        <v>0</v>
      </c>
      <c r="H13" s="50">
        <v>0</v>
      </c>
      <c r="I13" s="50">
        <v>4</v>
      </c>
      <c r="J13" s="50">
        <v>1</v>
      </c>
      <c r="K13" s="50">
        <v>0</v>
      </c>
      <c r="L13" s="50">
        <v>0</v>
      </c>
      <c r="M13" s="50">
        <v>100</v>
      </c>
      <c r="N13" s="50">
        <v>0</v>
      </c>
      <c r="O13" s="15">
        <f t="shared" si="0"/>
        <v>121</v>
      </c>
      <c r="P13" s="15">
        <f t="shared" si="1"/>
        <v>221</v>
      </c>
      <c r="R13" s="1" t="s">
        <v>9</v>
      </c>
      <c r="S13" s="17">
        <f t="shared" ref="S13:AF13" si="5">SUM(C22:C25)</f>
        <v>163</v>
      </c>
      <c r="T13" s="17">
        <f t="shared" si="5"/>
        <v>18</v>
      </c>
      <c r="U13" s="17">
        <f t="shared" si="5"/>
        <v>11</v>
      </c>
      <c r="V13" s="17">
        <f t="shared" si="5"/>
        <v>61</v>
      </c>
      <c r="W13" s="17">
        <f t="shared" si="5"/>
        <v>3</v>
      </c>
      <c r="X13" s="17">
        <f t="shared" si="5"/>
        <v>1</v>
      </c>
      <c r="Y13" s="17">
        <f t="shared" si="5"/>
        <v>22</v>
      </c>
      <c r="Z13" s="17">
        <f t="shared" si="5"/>
        <v>6</v>
      </c>
      <c r="AA13" s="17">
        <f t="shared" si="5"/>
        <v>2</v>
      </c>
      <c r="AB13" s="17">
        <f t="shared" si="5"/>
        <v>2</v>
      </c>
      <c r="AC13" s="17">
        <f t="shared" si="5"/>
        <v>400</v>
      </c>
      <c r="AD13" s="17">
        <f t="shared" si="5"/>
        <v>0</v>
      </c>
      <c r="AE13" s="31">
        <f t="shared" si="5"/>
        <v>289</v>
      </c>
      <c r="AF13" s="31">
        <f t="shared" si="5"/>
        <v>689</v>
      </c>
    </row>
    <row r="14" spans="2:32" ht="23.1" customHeight="1" x14ac:dyDescent="0.25">
      <c r="B14" s="23" t="s">
        <v>41</v>
      </c>
      <c r="C14" s="50">
        <v>54</v>
      </c>
      <c r="D14" s="50">
        <v>12</v>
      </c>
      <c r="E14" s="50">
        <v>2</v>
      </c>
      <c r="F14" s="50">
        <v>34</v>
      </c>
      <c r="G14" s="50">
        <v>0</v>
      </c>
      <c r="H14" s="50">
        <v>0</v>
      </c>
      <c r="I14" s="50">
        <v>6</v>
      </c>
      <c r="J14" s="50">
        <v>1</v>
      </c>
      <c r="K14" s="50">
        <v>0</v>
      </c>
      <c r="L14" s="50">
        <v>0</v>
      </c>
      <c r="M14" s="50">
        <v>135</v>
      </c>
      <c r="N14" s="50">
        <v>0</v>
      </c>
      <c r="O14" s="15">
        <f t="shared" si="0"/>
        <v>109</v>
      </c>
      <c r="P14" s="15">
        <f t="shared" si="1"/>
        <v>244</v>
      </c>
      <c r="R14" s="1" t="s">
        <v>10</v>
      </c>
      <c r="S14" s="17">
        <f t="shared" ref="S14:AF14" si="6">SUM(C26:C29)</f>
        <v>102</v>
      </c>
      <c r="T14" s="17">
        <f t="shared" si="6"/>
        <v>15</v>
      </c>
      <c r="U14" s="17">
        <f t="shared" si="6"/>
        <v>9</v>
      </c>
      <c r="V14" s="17">
        <f t="shared" si="6"/>
        <v>42</v>
      </c>
      <c r="W14" s="17">
        <f t="shared" si="6"/>
        <v>0</v>
      </c>
      <c r="X14" s="17">
        <f t="shared" si="6"/>
        <v>1</v>
      </c>
      <c r="Y14" s="17">
        <f t="shared" si="6"/>
        <v>15</v>
      </c>
      <c r="Z14" s="17">
        <f t="shared" si="6"/>
        <v>5</v>
      </c>
      <c r="AA14" s="17">
        <f t="shared" si="6"/>
        <v>1</v>
      </c>
      <c r="AB14" s="17">
        <f t="shared" si="6"/>
        <v>1</v>
      </c>
      <c r="AC14" s="17">
        <f t="shared" si="6"/>
        <v>248</v>
      </c>
      <c r="AD14" s="17">
        <f t="shared" si="6"/>
        <v>0</v>
      </c>
      <c r="AE14" s="31">
        <f t="shared" si="6"/>
        <v>191</v>
      </c>
      <c r="AF14" s="31">
        <f t="shared" si="6"/>
        <v>439</v>
      </c>
    </row>
    <row r="15" spans="2:32" ht="23.1" customHeight="1" x14ac:dyDescent="0.25">
      <c r="B15" s="23" t="s">
        <v>42</v>
      </c>
      <c r="C15" s="50">
        <v>61</v>
      </c>
      <c r="D15" s="50">
        <v>8</v>
      </c>
      <c r="E15" s="50">
        <v>4</v>
      </c>
      <c r="F15" s="50">
        <v>42</v>
      </c>
      <c r="G15" s="50">
        <v>1</v>
      </c>
      <c r="H15" s="50">
        <v>0</v>
      </c>
      <c r="I15" s="50">
        <v>5</v>
      </c>
      <c r="J15" s="50">
        <v>1</v>
      </c>
      <c r="K15" s="50">
        <v>0</v>
      </c>
      <c r="L15" s="50">
        <v>0</v>
      </c>
      <c r="M15" s="50">
        <v>124</v>
      </c>
      <c r="N15" s="50">
        <v>0</v>
      </c>
      <c r="O15" s="15">
        <f t="shared" si="0"/>
        <v>122</v>
      </c>
      <c r="P15" s="15">
        <f t="shared" si="1"/>
        <v>246</v>
      </c>
      <c r="R15" s="1" t="s">
        <v>11</v>
      </c>
      <c r="S15" s="17">
        <f t="shared" ref="S15:AF15" si="7">SUM(C30:C33)</f>
        <v>73</v>
      </c>
      <c r="T15" s="17">
        <f t="shared" si="7"/>
        <v>6</v>
      </c>
      <c r="U15" s="17">
        <f t="shared" si="7"/>
        <v>8</v>
      </c>
      <c r="V15" s="17">
        <f t="shared" si="7"/>
        <v>28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4</v>
      </c>
      <c r="AA15" s="17">
        <f t="shared" si="7"/>
        <v>0</v>
      </c>
      <c r="AB15" s="17">
        <f t="shared" si="7"/>
        <v>0</v>
      </c>
      <c r="AC15" s="17">
        <f t="shared" si="7"/>
        <v>304</v>
      </c>
      <c r="AD15" s="17">
        <f t="shared" si="7"/>
        <v>0</v>
      </c>
      <c r="AE15" s="31">
        <f t="shared" si="7"/>
        <v>130</v>
      </c>
      <c r="AF15" s="31">
        <f t="shared" si="7"/>
        <v>434</v>
      </c>
    </row>
    <row r="16" spans="2:32" ht="23.1" customHeight="1" x14ac:dyDescent="0.25">
      <c r="B16" s="23" t="s">
        <v>43</v>
      </c>
      <c r="C16" s="50">
        <v>27</v>
      </c>
      <c r="D16" s="50">
        <v>6</v>
      </c>
      <c r="E16" s="50">
        <v>5</v>
      </c>
      <c r="F16" s="50">
        <v>18</v>
      </c>
      <c r="G16" s="50">
        <v>0</v>
      </c>
      <c r="H16" s="50">
        <v>0</v>
      </c>
      <c r="I16" s="50">
        <v>4</v>
      </c>
      <c r="J16" s="50">
        <v>2</v>
      </c>
      <c r="K16" s="50">
        <v>0</v>
      </c>
      <c r="L16" s="50">
        <v>0</v>
      </c>
      <c r="M16" s="50">
        <v>112</v>
      </c>
      <c r="N16" s="50">
        <v>0</v>
      </c>
      <c r="O16" s="15">
        <f t="shared" si="0"/>
        <v>62</v>
      </c>
      <c r="P16" s="15">
        <f t="shared" si="1"/>
        <v>174</v>
      </c>
      <c r="R16" s="1" t="s">
        <v>12</v>
      </c>
      <c r="S16" s="17">
        <f t="shared" ref="S16:AF16" si="8">SUM(C34:C37)</f>
        <v>44</v>
      </c>
      <c r="T16" s="17">
        <f t="shared" si="8"/>
        <v>11</v>
      </c>
      <c r="U16" s="17">
        <f t="shared" si="8"/>
        <v>3</v>
      </c>
      <c r="V16" s="17">
        <f t="shared" si="8"/>
        <v>20</v>
      </c>
      <c r="W16" s="17">
        <f t="shared" si="8"/>
        <v>0</v>
      </c>
      <c r="X16" s="17">
        <f t="shared" si="8"/>
        <v>1</v>
      </c>
      <c r="Y16" s="17">
        <f t="shared" si="8"/>
        <v>13</v>
      </c>
      <c r="Z16" s="17">
        <f t="shared" si="8"/>
        <v>10</v>
      </c>
      <c r="AA16" s="17">
        <f t="shared" si="8"/>
        <v>0</v>
      </c>
      <c r="AB16" s="17">
        <f t="shared" si="8"/>
        <v>1</v>
      </c>
      <c r="AC16" s="17">
        <f t="shared" si="8"/>
        <v>236</v>
      </c>
      <c r="AD16" s="17">
        <f t="shared" si="8"/>
        <v>0</v>
      </c>
      <c r="AE16" s="31">
        <f t="shared" si="8"/>
        <v>103</v>
      </c>
      <c r="AF16" s="31">
        <f t="shared" si="8"/>
        <v>339</v>
      </c>
    </row>
    <row r="17" spans="2:32" ht="23.1" customHeight="1" x14ac:dyDescent="0.25">
      <c r="B17" s="23" t="s">
        <v>44</v>
      </c>
      <c r="C17" s="50">
        <v>42</v>
      </c>
      <c r="D17" s="50">
        <v>8</v>
      </c>
      <c r="E17" s="50">
        <v>6</v>
      </c>
      <c r="F17" s="50">
        <v>24</v>
      </c>
      <c r="G17" s="50">
        <v>0</v>
      </c>
      <c r="H17" s="50">
        <v>0</v>
      </c>
      <c r="I17" s="50">
        <v>5</v>
      </c>
      <c r="J17" s="50">
        <v>3</v>
      </c>
      <c r="K17" s="50">
        <v>0</v>
      </c>
      <c r="L17" s="50">
        <v>0</v>
      </c>
      <c r="M17" s="50">
        <v>105</v>
      </c>
      <c r="N17" s="50">
        <v>0</v>
      </c>
      <c r="O17" s="15">
        <f t="shared" si="0"/>
        <v>88</v>
      </c>
      <c r="P17" s="15">
        <f t="shared" si="1"/>
        <v>193</v>
      </c>
      <c r="R17" s="1" t="s">
        <v>13</v>
      </c>
      <c r="S17" s="17">
        <f t="shared" ref="S17:AF17" si="9">SUM(C38:C41)</f>
        <v>42</v>
      </c>
      <c r="T17" s="17">
        <f t="shared" si="9"/>
        <v>14</v>
      </c>
      <c r="U17" s="17">
        <f t="shared" si="9"/>
        <v>9</v>
      </c>
      <c r="V17" s="17">
        <f t="shared" si="9"/>
        <v>34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12</v>
      </c>
      <c r="AA17" s="17">
        <f t="shared" si="9"/>
        <v>2</v>
      </c>
      <c r="AB17" s="17">
        <f t="shared" si="9"/>
        <v>2</v>
      </c>
      <c r="AC17" s="17">
        <f t="shared" si="9"/>
        <v>229</v>
      </c>
      <c r="AD17" s="17">
        <f t="shared" si="9"/>
        <v>0</v>
      </c>
      <c r="AE17" s="31">
        <f t="shared" si="9"/>
        <v>125</v>
      </c>
      <c r="AF17" s="31">
        <f t="shared" si="9"/>
        <v>354</v>
      </c>
    </row>
    <row r="18" spans="2:32" ht="23.1" customHeight="1" x14ac:dyDescent="0.25">
      <c r="B18" s="23" t="s">
        <v>45</v>
      </c>
      <c r="C18" s="50">
        <v>63</v>
      </c>
      <c r="D18" s="50">
        <v>5</v>
      </c>
      <c r="E18" s="50">
        <v>6</v>
      </c>
      <c r="F18" s="50">
        <v>25</v>
      </c>
      <c r="G18" s="50">
        <v>5</v>
      </c>
      <c r="H18" s="50">
        <v>0</v>
      </c>
      <c r="I18" s="50">
        <v>4</v>
      </c>
      <c r="J18" s="50">
        <v>2</v>
      </c>
      <c r="K18" s="50">
        <v>0</v>
      </c>
      <c r="L18" s="50">
        <v>1</v>
      </c>
      <c r="M18" s="50">
        <v>113</v>
      </c>
      <c r="N18" s="50">
        <v>0</v>
      </c>
      <c r="O18" s="15">
        <f t="shared" si="0"/>
        <v>111</v>
      </c>
      <c r="P18" s="15">
        <f t="shared" si="1"/>
        <v>224</v>
      </c>
      <c r="R18" s="1" t="s">
        <v>14</v>
      </c>
      <c r="S18" s="17">
        <f t="shared" ref="S18:AF18" si="10">SUM(C42:C45)</f>
        <v>61</v>
      </c>
      <c r="T18" s="17">
        <f t="shared" si="10"/>
        <v>12</v>
      </c>
      <c r="U18" s="17">
        <f t="shared" si="10"/>
        <v>6</v>
      </c>
      <c r="V18" s="17">
        <f t="shared" si="10"/>
        <v>17</v>
      </c>
      <c r="W18" s="17">
        <f t="shared" si="10"/>
        <v>0</v>
      </c>
      <c r="X18" s="17">
        <f t="shared" si="10"/>
        <v>1</v>
      </c>
      <c r="Y18" s="17">
        <f t="shared" si="10"/>
        <v>21</v>
      </c>
      <c r="Z18" s="17">
        <f t="shared" si="10"/>
        <v>8</v>
      </c>
      <c r="AA18" s="17">
        <f t="shared" si="10"/>
        <v>0</v>
      </c>
      <c r="AB18" s="17">
        <f t="shared" si="10"/>
        <v>1</v>
      </c>
      <c r="AC18" s="17">
        <f t="shared" si="10"/>
        <v>271</v>
      </c>
      <c r="AD18" s="17">
        <f t="shared" si="10"/>
        <v>0</v>
      </c>
      <c r="AE18" s="31">
        <f t="shared" si="10"/>
        <v>127</v>
      </c>
      <c r="AF18" s="31">
        <f t="shared" si="10"/>
        <v>398</v>
      </c>
    </row>
    <row r="19" spans="2:32" ht="23.1" customHeight="1" x14ac:dyDescent="0.25">
      <c r="B19" s="23" t="s">
        <v>46</v>
      </c>
      <c r="C19" s="50">
        <v>56</v>
      </c>
      <c r="D19" s="50">
        <v>7</v>
      </c>
      <c r="E19" s="50">
        <v>2</v>
      </c>
      <c r="F19" s="50">
        <v>23</v>
      </c>
      <c r="G19" s="50">
        <v>0</v>
      </c>
      <c r="H19" s="50">
        <v>0</v>
      </c>
      <c r="I19" s="50">
        <v>3</v>
      </c>
      <c r="J19" s="50">
        <v>1</v>
      </c>
      <c r="K19" s="50">
        <v>0</v>
      </c>
      <c r="L19" s="50">
        <v>0</v>
      </c>
      <c r="M19" s="50">
        <v>105</v>
      </c>
      <c r="N19" s="50">
        <v>0</v>
      </c>
      <c r="O19" s="15">
        <f t="shared" si="0"/>
        <v>92</v>
      </c>
      <c r="P19" s="15">
        <f t="shared" si="1"/>
        <v>197</v>
      </c>
      <c r="R19" s="1" t="s">
        <v>15</v>
      </c>
      <c r="S19" s="17">
        <f t="shared" ref="S19:AF19" si="11">SUM(C46:C49)</f>
        <v>51</v>
      </c>
      <c r="T19" s="17">
        <f t="shared" si="11"/>
        <v>13</v>
      </c>
      <c r="U19" s="17">
        <f t="shared" si="11"/>
        <v>6</v>
      </c>
      <c r="V19" s="17">
        <f t="shared" si="11"/>
        <v>20</v>
      </c>
      <c r="W19" s="17">
        <f t="shared" si="11"/>
        <v>1</v>
      </c>
      <c r="X19" s="17">
        <f t="shared" si="11"/>
        <v>0</v>
      </c>
      <c r="Y19" s="17">
        <f t="shared" si="11"/>
        <v>13</v>
      </c>
      <c r="Z19" s="17">
        <f t="shared" si="11"/>
        <v>6</v>
      </c>
      <c r="AA19" s="17">
        <f t="shared" si="11"/>
        <v>1</v>
      </c>
      <c r="AB19" s="17">
        <f t="shared" si="11"/>
        <v>1</v>
      </c>
      <c r="AC19" s="17">
        <f t="shared" si="11"/>
        <v>279</v>
      </c>
      <c r="AD19" s="17">
        <f t="shared" si="11"/>
        <v>0</v>
      </c>
      <c r="AE19" s="31">
        <f t="shared" si="11"/>
        <v>112</v>
      </c>
      <c r="AF19" s="31">
        <f t="shared" si="11"/>
        <v>391</v>
      </c>
    </row>
    <row r="20" spans="2:32" ht="23.1" customHeight="1" x14ac:dyDescent="0.25">
      <c r="B20" s="23" t="s">
        <v>47</v>
      </c>
      <c r="C20" s="50">
        <v>45</v>
      </c>
      <c r="D20" s="50">
        <v>2</v>
      </c>
      <c r="E20" s="50">
        <v>4</v>
      </c>
      <c r="F20" s="50">
        <v>20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62</v>
      </c>
      <c r="N20" s="50">
        <v>0</v>
      </c>
      <c r="O20" s="15">
        <f t="shared" si="0"/>
        <v>72</v>
      </c>
      <c r="P20" s="15">
        <f t="shared" si="1"/>
        <v>134</v>
      </c>
      <c r="R20" s="1" t="s">
        <v>16</v>
      </c>
      <c r="S20" s="17">
        <f t="shared" ref="S20:AF20" si="12">SUM(C50:C53)</f>
        <v>86</v>
      </c>
      <c r="T20" s="17">
        <f t="shared" si="12"/>
        <v>15</v>
      </c>
      <c r="U20" s="17">
        <f t="shared" si="12"/>
        <v>2</v>
      </c>
      <c r="V20" s="17">
        <f t="shared" si="12"/>
        <v>38</v>
      </c>
      <c r="W20" s="17">
        <f t="shared" si="12"/>
        <v>1</v>
      </c>
      <c r="X20" s="17">
        <f t="shared" si="12"/>
        <v>0</v>
      </c>
      <c r="Y20" s="17">
        <f t="shared" si="12"/>
        <v>10</v>
      </c>
      <c r="Z20" s="17">
        <f t="shared" si="12"/>
        <v>1</v>
      </c>
      <c r="AA20" s="17">
        <f t="shared" si="12"/>
        <v>0</v>
      </c>
      <c r="AB20" s="17">
        <f t="shared" si="12"/>
        <v>1</v>
      </c>
      <c r="AC20" s="17">
        <f t="shared" si="12"/>
        <v>266</v>
      </c>
      <c r="AD20" s="17">
        <f t="shared" si="12"/>
        <v>0</v>
      </c>
      <c r="AE20" s="31">
        <f t="shared" si="12"/>
        <v>154</v>
      </c>
      <c r="AF20" s="31">
        <f t="shared" si="12"/>
        <v>420</v>
      </c>
    </row>
    <row r="21" spans="2:32" ht="23.1" customHeight="1" x14ac:dyDescent="0.25">
      <c r="B21" s="23" t="s">
        <v>48</v>
      </c>
      <c r="C21" s="50">
        <v>28</v>
      </c>
      <c r="D21" s="50">
        <v>4</v>
      </c>
      <c r="E21" s="50">
        <v>3</v>
      </c>
      <c r="F21" s="50">
        <v>21</v>
      </c>
      <c r="G21" s="50">
        <v>0</v>
      </c>
      <c r="H21" s="50">
        <v>0</v>
      </c>
      <c r="I21" s="50">
        <v>5</v>
      </c>
      <c r="J21" s="50">
        <v>3</v>
      </c>
      <c r="K21" s="50">
        <v>0</v>
      </c>
      <c r="L21" s="50">
        <v>0</v>
      </c>
      <c r="M21" s="50">
        <v>87</v>
      </c>
      <c r="N21" s="50">
        <v>0</v>
      </c>
      <c r="O21" s="15">
        <f t="shared" si="0"/>
        <v>64</v>
      </c>
      <c r="P21" s="15">
        <f t="shared" si="1"/>
        <v>151</v>
      </c>
      <c r="R21" s="36" t="s">
        <v>20</v>
      </c>
      <c r="S21" s="34">
        <f t="shared" ref="S21:AF21" si="13">SUM(C54:C57)</f>
        <v>39</v>
      </c>
      <c r="T21" s="17">
        <f t="shared" si="13"/>
        <v>20</v>
      </c>
      <c r="U21" s="17">
        <f t="shared" si="13"/>
        <v>8</v>
      </c>
      <c r="V21" s="17">
        <f t="shared" si="13"/>
        <v>45</v>
      </c>
      <c r="W21" s="17">
        <f t="shared" si="13"/>
        <v>1</v>
      </c>
      <c r="X21" s="17">
        <f t="shared" si="13"/>
        <v>1</v>
      </c>
      <c r="Y21" s="17">
        <f t="shared" si="13"/>
        <v>5</v>
      </c>
      <c r="Z21" s="17">
        <f t="shared" si="13"/>
        <v>4</v>
      </c>
      <c r="AA21" s="17">
        <f t="shared" si="13"/>
        <v>1</v>
      </c>
      <c r="AB21" s="17">
        <f t="shared" si="13"/>
        <v>1</v>
      </c>
      <c r="AC21" s="17">
        <f t="shared" si="13"/>
        <v>325</v>
      </c>
      <c r="AD21" s="17">
        <f t="shared" si="13"/>
        <v>0</v>
      </c>
      <c r="AE21" s="31">
        <f t="shared" si="13"/>
        <v>125</v>
      </c>
      <c r="AF21" s="31">
        <f t="shared" si="13"/>
        <v>450</v>
      </c>
    </row>
    <row r="22" spans="2:32" ht="23.1" customHeight="1" x14ac:dyDescent="0.25">
      <c r="B22" s="23" t="s">
        <v>49</v>
      </c>
      <c r="C22" s="50">
        <v>27</v>
      </c>
      <c r="D22" s="50">
        <v>5</v>
      </c>
      <c r="E22" s="50">
        <v>3</v>
      </c>
      <c r="F22" s="50">
        <v>18</v>
      </c>
      <c r="G22" s="50">
        <v>3</v>
      </c>
      <c r="H22" s="50">
        <v>1</v>
      </c>
      <c r="I22" s="50">
        <v>12</v>
      </c>
      <c r="J22" s="50">
        <v>5</v>
      </c>
      <c r="K22" s="50">
        <v>0</v>
      </c>
      <c r="L22" s="50">
        <v>0</v>
      </c>
      <c r="M22" s="50">
        <v>98</v>
      </c>
      <c r="N22" s="50">
        <v>0</v>
      </c>
      <c r="O22" s="15">
        <f t="shared" si="0"/>
        <v>74</v>
      </c>
      <c r="P22" s="15">
        <f t="shared" si="1"/>
        <v>172</v>
      </c>
      <c r="R22" s="38" t="s">
        <v>90</v>
      </c>
      <c r="S22" s="39">
        <f>MAX(S10:S12)</f>
        <v>263</v>
      </c>
      <c r="T22" s="39">
        <f t="shared" ref="T22:AF22" si="14">MAX(T10:T12)</f>
        <v>34</v>
      </c>
      <c r="U22" s="39">
        <f t="shared" si="14"/>
        <v>23</v>
      </c>
      <c r="V22" s="39">
        <f t="shared" si="14"/>
        <v>167</v>
      </c>
      <c r="W22" s="39">
        <f t="shared" si="14"/>
        <v>5</v>
      </c>
      <c r="X22" s="39">
        <f t="shared" si="14"/>
        <v>0</v>
      </c>
      <c r="Y22" s="39">
        <f t="shared" si="14"/>
        <v>20</v>
      </c>
      <c r="Z22" s="39">
        <f t="shared" si="14"/>
        <v>7</v>
      </c>
      <c r="AA22" s="39">
        <f t="shared" si="14"/>
        <v>0</v>
      </c>
      <c r="AB22" s="39">
        <f t="shared" si="14"/>
        <v>1</v>
      </c>
      <c r="AC22" s="39">
        <f t="shared" si="14"/>
        <v>476</v>
      </c>
      <c r="AD22" s="39">
        <f t="shared" si="14"/>
        <v>0</v>
      </c>
      <c r="AE22" s="40">
        <f t="shared" si="14"/>
        <v>499</v>
      </c>
      <c r="AF22" s="40">
        <f t="shared" si="14"/>
        <v>870</v>
      </c>
    </row>
    <row r="23" spans="2:32" ht="23.1" customHeight="1" x14ac:dyDescent="0.25">
      <c r="B23" s="23" t="s">
        <v>50</v>
      </c>
      <c r="C23" s="50">
        <v>42</v>
      </c>
      <c r="D23" s="50">
        <v>2</v>
      </c>
      <c r="E23" s="50">
        <v>2</v>
      </c>
      <c r="F23" s="50">
        <v>22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2</v>
      </c>
      <c r="M23" s="50">
        <v>122</v>
      </c>
      <c r="N23" s="50">
        <v>0</v>
      </c>
      <c r="O23" s="15">
        <f t="shared" si="0"/>
        <v>73</v>
      </c>
      <c r="P23" s="15">
        <f t="shared" si="1"/>
        <v>195</v>
      </c>
      <c r="R23" s="38" t="s">
        <v>91</v>
      </c>
      <c r="S23" s="39">
        <f>MAX(S13:S18)</f>
        <v>163</v>
      </c>
      <c r="T23" s="39">
        <f t="shared" ref="T23:AF23" si="15">MAX(T13:T18)</f>
        <v>18</v>
      </c>
      <c r="U23" s="39">
        <f t="shared" si="15"/>
        <v>11</v>
      </c>
      <c r="V23" s="39">
        <f t="shared" si="15"/>
        <v>61</v>
      </c>
      <c r="W23" s="39">
        <f t="shared" si="15"/>
        <v>3</v>
      </c>
      <c r="X23" s="39">
        <f t="shared" si="15"/>
        <v>1</v>
      </c>
      <c r="Y23" s="39">
        <f t="shared" si="15"/>
        <v>22</v>
      </c>
      <c r="Z23" s="39">
        <f t="shared" si="15"/>
        <v>12</v>
      </c>
      <c r="AA23" s="39">
        <f t="shared" si="15"/>
        <v>2</v>
      </c>
      <c r="AB23" s="39">
        <f t="shared" si="15"/>
        <v>2</v>
      </c>
      <c r="AC23" s="39">
        <f t="shared" si="15"/>
        <v>400</v>
      </c>
      <c r="AD23" s="39">
        <f t="shared" si="15"/>
        <v>0</v>
      </c>
      <c r="AE23" s="40">
        <f t="shared" si="15"/>
        <v>289</v>
      </c>
      <c r="AF23" s="40">
        <f t="shared" si="15"/>
        <v>689</v>
      </c>
    </row>
    <row r="24" spans="2:32" ht="23.1" customHeight="1" x14ac:dyDescent="0.25">
      <c r="B24" s="23" t="s">
        <v>51</v>
      </c>
      <c r="C24" s="50">
        <v>31</v>
      </c>
      <c r="D24" s="50">
        <v>5</v>
      </c>
      <c r="E24" s="50">
        <v>3</v>
      </c>
      <c r="F24" s="50">
        <v>9</v>
      </c>
      <c r="G24" s="50">
        <v>0</v>
      </c>
      <c r="H24" s="50">
        <v>0</v>
      </c>
      <c r="I24" s="50">
        <v>2</v>
      </c>
      <c r="J24" s="50">
        <v>0</v>
      </c>
      <c r="K24" s="50">
        <v>1</v>
      </c>
      <c r="L24" s="50">
        <v>0</v>
      </c>
      <c r="M24" s="50">
        <v>81</v>
      </c>
      <c r="N24" s="50">
        <v>0</v>
      </c>
      <c r="O24" s="15">
        <f t="shared" si="0"/>
        <v>51</v>
      </c>
      <c r="P24" s="15">
        <f t="shared" si="1"/>
        <v>132</v>
      </c>
      <c r="R24" s="38" t="s">
        <v>92</v>
      </c>
      <c r="S24" s="39">
        <f>MAX(S19:S21)</f>
        <v>86</v>
      </c>
      <c r="T24" s="39">
        <f t="shared" ref="T24:AF24" si="16">MAX(T19:T21)</f>
        <v>20</v>
      </c>
      <c r="U24" s="39">
        <f t="shared" si="16"/>
        <v>8</v>
      </c>
      <c r="V24" s="39">
        <f t="shared" si="16"/>
        <v>45</v>
      </c>
      <c r="W24" s="39">
        <f t="shared" si="16"/>
        <v>1</v>
      </c>
      <c r="X24" s="39">
        <f t="shared" si="16"/>
        <v>1</v>
      </c>
      <c r="Y24" s="39">
        <f t="shared" si="16"/>
        <v>13</v>
      </c>
      <c r="Z24" s="39">
        <f t="shared" si="16"/>
        <v>6</v>
      </c>
      <c r="AA24" s="39">
        <f t="shared" si="16"/>
        <v>1</v>
      </c>
      <c r="AB24" s="39">
        <f t="shared" si="16"/>
        <v>1</v>
      </c>
      <c r="AC24" s="39">
        <f t="shared" si="16"/>
        <v>325</v>
      </c>
      <c r="AD24" s="39">
        <f t="shared" si="16"/>
        <v>0</v>
      </c>
      <c r="AE24" s="40">
        <f t="shared" si="16"/>
        <v>154</v>
      </c>
      <c r="AF24" s="40">
        <f t="shared" si="16"/>
        <v>450</v>
      </c>
    </row>
    <row r="25" spans="2:32" ht="23.1" customHeight="1" x14ac:dyDescent="0.25">
      <c r="B25" s="23" t="s">
        <v>52</v>
      </c>
      <c r="C25" s="50">
        <v>63</v>
      </c>
      <c r="D25" s="50">
        <v>6</v>
      </c>
      <c r="E25" s="50">
        <v>3</v>
      </c>
      <c r="F25" s="50">
        <v>12</v>
      </c>
      <c r="G25" s="50">
        <v>0</v>
      </c>
      <c r="H25" s="50">
        <v>0</v>
      </c>
      <c r="I25" s="50">
        <v>5</v>
      </c>
      <c r="J25" s="50">
        <v>1</v>
      </c>
      <c r="K25" s="50">
        <v>1</v>
      </c>
      <c r="L25" s="50">
        <v>0</v>
      </c>
      <c r="M25" s="50">
        <v>99</v>
      </c>
      <c r="N25" s="50">
        <v>0</v>
      </c>
      <c r="O25" s="15">
        <f t="shared" si="0"/>
        <v>91</v>
      </c>
      <c r="P25" s="15">
        <f t="shared" si="1"/>
        <v>190</v>
      </c>
      <c r="R25" s="37" t="s">
        <v>85</v>
      </c>
      <c r="S25" s="35">
        <f t="shared" ref="S25:AF25" si="17">SUM(S10:S12)</f>
        <v>639</v>
      </c>
      <c r="T25" s="16">
        <f t="shared" si="17"/>
        <v>84</v>
      </c>
      <c r="U25" s="16">
        <f t="shared" si="17"/>
        <v>55</v>
      </c>
      <c r="V25" s="16">
        <f t="shared" si="17"/>
        <v>374</v>
      </c>
      <c r="W25" s="16">
        <f t="shared" si="17"/>
        <v>6</v>
      </c>
      <c r="X25" s="16">
        <f t="shared" si="17"/>
        <v>0</v>
      </c>
      <c r="Y25" s="16">
        <f t="shared" si="17"/>
        <v>44</v>
      </c>
      <c r="Z25" s="16">
        <f t="shared" si="17"/>
        <v>16</v>
      </c>
      <c r="AA25" s="16">
        <f t="shared" si="17"/>
        <v>0</v>
      </c>
      <c r="AB25" s="16">
        <f t="shared" si="17"/>
        <v>1</v>
      </c>
      <c r="AC25" s="16">
        <f t="shared" si="17"/>
        <v>1214</v>
      </c>
      <c r="AD25" s="16">
        <f t="shared" si="17"/>
        <v>0</v>
      </c>
      <c r="AE25" s="32">
        <f t="shared" si="17"/>
        <v>1219</v>
      </c>
      <c r="AF25" s="32">
        <f t="shared" si="17"/>
        <v>2433</v>
      </c>
    </row>
    <row r="26" spans="2:32" ht="23.1" customHeight="1" x14ac:dyDescent="0.25">
      <c r="B26" s="23" t="s">
        <v>53</v>
      </c>
      <c r="C26" s="50">
        <v>30</v>
      </c>
      <c r="D26" s="50">
        <v>9</v>
      </c>
      <c r="E26" s="50">
        <v>3</v>
      </c>
      <c r="F26" s="50">
        <v>7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54</v>
      </c>
      <c r="N26" s="50">
        <v>0</v>
      </c>
      <c r="O26" s="15">
        <f t="shared" si="0"/>
        <v>52</v>
      </c>
      <c r="P26" s="15">
        <f t="shared" si="1"/>
        <v>106</v>
      </c>
      <c r="R26" s="28" t="s">
        <v>86</v>
      </c>
      <c r="S26" s="16">
        <f t="shared" ref="S26:AF26" si="18">SUM(S13:S18)</f>
        <v>485</v>
      </c>
      <c r="T26" s="16">
        <f t="shared" si="18"/>
        <v>76</v>
      </c>
      <c r="U26" s="16">
        <f t="shared" si="18"/>
        <v>46</v>
      </c>
      <c r="V26" s="16">
        <f t="shared" si="18"/>
        <v>202</v>
      </c>
      <c r="W26" s="16">
        <f t="shared" si="18"/>
        <v>3</v>
      </c>
      <c r="X26" s="16">
        <f t="shared" si="18"/>
        <v>4</v>
      </c>
      <c r="Y26" s="16">
        <f t="shared" si="18"/>
        <v>92</v>
      </c>
      <c r="Z26" s="16">
        <f t="shared" si="18"/>
        <v>45</v>
      </c>
      <c r="AA26" s="16">
        <f t="shared" si="18"/>
        <v>5</v>
      </c>
      <c r="AB26" s="16">
        <f t="shared" si="18"/>
        <v>7</v>
      </c>
      <c r="AC26" s="16">
        <f t="shared" si="18"/>
        <v>1688</v>
      </c>
      <c r="AD26" s="16">
        <f t="shared" si="18"/>
        <v>0</v>
      </c>
      <c r="AE26" s="32">
        <f t="shared" si="18"/>
        <v>965</v>
      </c>
      <c r="AF26" s="32">
        <f t="shared" si="18"/>
        <v>2653</v>
      </c>
    </row>
    <row r="27" spans="2:32" ht="23.1" customHeight="1" x14ac:dyDescent="0.25">
      <c r="B27" s="23" t="s">
        <v>54</v>
      </c>
      <c r="C27" s="50">
        <v>32</v>
      </c>
      <c r="D27" s="50">
        <v>4</v>
      </c>
      <c r="E27" s="50">
        <v>2</v>
      </c>
      <c r="F27" s="50">
        <v>9</v>
      </c>
      <c r="G27" s="50">
        <v>0</v>
      </c>
      <c r="H27" s="50">
        <v>0</v>
      </c>
      <c r="I27" s="50">
        <v>6</v>
      </c>
      <c r="J27" s="50">
        <v>3</v>
      </c>
      <c r="K27" s="50">
        <v>0</v>
      </c>
      <c r="L27" s="50">
        <v>1</v>
      </c>
      <c r="M27" s="50">
        <v>49</v>
      </c>
      <c r="N27" s="50">
        <v>0</v>
      </c>
      <c r="O27" s="15">
        <f t="shared" si="0"/>
        <v>57</v>
      </c>
      <c r="P27" s="15">
        <f t="shared" si="1"/>
        <v>106</v>
      </c>
      <c r="R27" s="29" t="s">
        <v>87</v>
      </c>
      <c r="S27" s="16">
        <f t="shared" ref="S27:AF27" si="19">SUM(S19:S21)</f>
        <v>176</v>
      </c>
      <c r="T27" s="16">
        <f t="shared" si="19"/>
        <v>48</v>
      </c>
      <c r="U27" s="16">
        <f t="shared" si="19"/>
        <v>16</v>
      </c>
      <c r="V27" s="16">
        <f t="shared" si="19"/>
        <v>103</v>
      </c>
      <c r="W27" s="16">
        <f t="shared" si="19"/>
        <v>3</v>
      </c>
      <c r="X27" s="16">
        <f t="shared" si="19"/>
        <v>1</v>
      </c>
      <c r="Y27" s="16">
        <f t="shared" si="19"/>
        <v>28</v>
      </c>
      <c r="Z27" s="16">
        <f t="shared" si="19"/>
        <v>11</v>
      </c>
      <c r="AA27" s="16">
        <f t="shared" si="19"/>
        <v>2</v>
      </c>
      <c r="AB27" s="16">
        <f t="shared" si="19"/>
        <v>3</v>
      </c>
      <c r="AC27" s="16">
        <f t="shared" si="19"/>
        <v>870</v>
      </c>
      <c r="AD27" s="16">
        <f t="shared" si="19"/>
        <v>0</v>
      </c>
      <c r="AE27" s="32">
        <f t="shared" si="19"/>
        <v>391</v>
      </c>
      <c r="AF27" s="32">
        <f t="shared" si="19"/>
        <v>1261</v>
      </c>
    </row>
    <row r="28" spans="2:32" ht="23.1" customHeight="1" x14ac:dyDescent="0.25">
      <c r="B28" s="23" t="s">
        <v>55</v>
      </c>
      <c r="C28" s="50">
        <v>28</v>
      </c>
      <c r="D28" s="50">
        <v>1</v>
      </c>
      <c r="E28" s="50">
        <v>1</v>
      </c>
      <c r="F28" s="50">
        <v>12</v>
      </c>
      <c r="G28" s="50">
        <v>0</v>
      </c>
      <c r="H28" s="50">
        <v>0</v>
      </c>
      <c r="I28" s="50">
        <v>2</v>
      </c>
      <c r="J28" s="50">
        <v>1</v>
      </c>
      <c r="K28" s="50">
        <v>1</v>
      </c>
      <c r="L28" s="50">
        <v>0</v>
      </c>
      <c r="M28" s="50">
        <v>82</v>
      </c>
      <c r="N28" s="50">
        <v>0</v>
      </c>
      <c r="O28" s="15">
        <f t="shared" si="0"/>
        <v>46</v>
      </c>
      <c r="P28" s="15">
        <f t="shared" si="1"/>
        <v>128</v>
      </c>
      <c r="R28" s="5" t="s">
        <v>17</v>
      </c>
      <c r="S28" s="16">
        <f t="shared" ref="S28:AF28" si="20">SUM(S10:S21)</f>
        <v>1300</v>
      </c>
      <c r="T28" s="16">
        <f t="shared" si="20"/>
        <v>208</v>
      </c>
      <c r="U28" s="16">
        <f t="shared" si="20"/>
        <v>117</v>
      </c>
      <c r="V28" s="16">
        <f t="shared" si="20"/>
        <v>679</v>
      </c>
      <c r="W28" s="16">
        <f t="shared" si="20"/>
        <v>12</v>
      </c>
      <c r="X28" s="16">
        <f t="shared" si="20"/>
        <v>5</v>
      </c>
      <c r="Y28" s="16">
        <f t="shared" si="20"/>
        <v>164</v>
      </c>
      <c r="Z28" s="16">
        <f t="shared" si="20"/>
        <v>72</v>
      </c>
      <c r="AA28" s="16">
        <f t="shared" si="20"/>
        <v>7</v>
      </c>
      <c r="AB28" s="16">
        <f t="shared" si="20"/>
        <v>11</v>
      </c>
      <c r="AC28" s="16">
        <f t="shared" si="20"/>
        <v>3772</v>
      </c>
      <c r="AD28" s="16">
        <f t="shared" si="20"/>
        <v>0</v>
      </c>
      <c r="AE28" s="32">
        <f t="shared" si="20"/>
        <v>2575</v>
      </c>
      <c r="AF28" s="32">
        <f t="shared" si="20"/>
        <v>6347</v>
      </c>
    </row>
    <row r="29" spans="2:32" ht="23.1" customHeight="1" x14ac:dyDescent="0.25">
      <c r="B29" s="23" t="s">
        <v>56</v>
      </c>
      <c r="C29" s="50">
        <v>12</v>
      </c>
      <c r="D29" s="50">
        <v>1</v>
      </c>
      <c r="E29" s="50">
        <v>3</v>
      </c>
      <c r="F29" s="50">
        <v>14</v>
      </c>
      <c r="G29" s="50">
        <v>0</v>
      </c>
      <c r="H29" s="50">
        <v>1</v>
      </c>
      <c r="I29" s="50">
        <v>4</v>
      </c>
      <c r="J29" s="50">
        <v>1</v>
      </c>
      <c r="K29" s="50">
        <v>0</v>
      </c>
      <c r="L29" s="50">
        <v>0</v>
      </c>
      <c r="M29" s="50">
        <v>63</v>
      </c>
      <c r="N29" s="50">
        <v>0</v>
      </c>
      <c r="O29" s="15">
        <f t="shared" si="0"/>
        <v>36</v>
      </c>
      <c r="P29" s="15">
        <f t="shared" si="1"/>
        <v>99</v>
      </c>
      <c r="R29"/>
      <c r="S29" s="20"/>
      <c r="T29" s="19"/>
    </row>
    <row r="30" spans="2:32" ht="23.1" customHeight="1" x14ac:dyDescent="0.25">
      <c r="B30" s="23" t="s">
        <v>57</v>
      </c>
      <c r="C30" s="50">
        <v>26</v>
      </c>
      <c r="D30" s="50">
        <v>4</v>
      </c>
      <c r="E30" s="50">
        <v>5</v>
      </c>
      <c r="F30" s="50">
        <v>9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88</v>
      </c>
      <c r="N30" s="50">
        <v>0</v>
      </c>
      <c r="O30" s="15">
        <f t="shared" si="0"/>
        <v>46</v>
      </c>
      <c r="P30" s="15">
        <f t="shared" si="1"/>
        <v>134</v>
      </c>
    </row>
    <row r="31" spans="2:32" ht="23.1" customHeight="1" x14ac:dyDescent="0.25">
      <c r="B31" s="24" t="s">
        <v>58</v>
      </c>
      <c r="C31" s="50">
        <v>16</v>
      </c>
      <c r="D31" s="50">
        <v>0</v>
      </c>
      <c r="E31" s="50">
        <v>0</v>
      </c>
      <c r="F31" s="50">
        <v>10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71</v>
      </c>
      <c r="N31" s="50">
        <v>0</v>
      </c>
      <c r="O31" s="15">
        <f t="shared" si="0"/>
        <v>29</v>
      </c>
      <c r="P31" s="15">
        <f t="shared" si="1"/>
        <v>100</v>
      </c>
    </row>
    <row r="32" spans="2:32" ht="23.1" customHeight="1" x14ac:dyDescent="0.25">
      <c r="B32" s="24" t="s">
        <v>59</v>
      </c>
      <c r="C32" s="50">
        <v>13</v>
      </c>
      <c r="D32" s="50">
        <v>1</v>
      </c>
      <c r="E32" s="50">
        <v>2</v>
      </c>
      <c r="F32" s="50">
        <v>3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73</v>
      </c>
      <c r="N32" s="50">
        <v>0</v>
      </c>
      <c r="O32" s="15">
        <f t="shared" si="0"/>
        <v>23</v>
      </c>
      <c r="P32" s="15">
        <f t="shared" si="1"/>
        <v>96</v>
      </c>
    </row>
    <row r="33" spans="2:20" ht="23.1" customHeight="1" x14ac:dyDescent="0.25">
      <c r="B33" s="23" t="s">
        <v>60</v>
      </c>
      <c r="C33" s="50">
        <v>18</v>
      </c>
      <c r="D33" s="50">
        <v>1</v>
      </c>
      <c r="E33" s="50">
        <v>1</v>
      </c>
      <c r="F33" s="50">
        <v>6</v>
      </c>
      <c r="G33" s="50">
        <v>0</v>
      </c>
      <c r="H33" s="50">
        <v>0</v>
      </c>
      <c r="I33" s="50">
        <v>4</v>
      </c>
      <c r="J33" s="50">
        <v>2</v>
      </c>
      <c r="K33" s="50">
        <v>0</v>
      </c>
      <c r="L33" s="50">
        <v>0</v>
      </c>
      <c r="M33" s="50">
        <v>72</v>
      </c>
      <c r="N33" s="50">
        <v>0</v>
      </c>
      <c r="O33" s="15">
        <f t="shared" si="0"/>
        <v>32</v>
      </c>
      <c r="P33" s="15">
        <f t="shared" si="1"/>
        <v>104</v>
      </c>
    </row>
    <row r="34" spans="2:20" ht="23.1" customHeight="1" x14ac:dyDescent="0.25">
      <c r="B34" s="24" t="s">
        <v>61</v>
      </c>
      <c r="C34" s="50">
        <v>12</v>
      </c>
      <c r="D34" s="50">
        <v>3</v>
      </c>
      <c r="E34" s="50">
        <v>0</v>
      </c>
      <c r="F34" s="50">
        <v>4</v>
      </c>
      <c r="G34" s="50">
        <v>0</v>
      </c>
      <c r="H34" s="50">
        <v>0</v>
      </c>
      <c r="I34" s="50">
        <v>3</v>
      </c>
      <c r="J34" s="50">
        <v>6</v>
      </c>
      <c r="K34" s="50">
        <v>0</v>
      </c>
      <c r="L34" s="50">
        <v>0</v>
      </c>
      <c r="M34" s="50">
        <v>75</v>
      </c>
      <c r="N34" s="50">
        <v>0</v>
      </c>
      <c r="O34" s="15">
        <f t="shared" si="0"/>
        <v>28</v>
      </c>
      <c r="P34" s="15">
        <f t="shared" si="1"/>
        <v>103</v>
      </c>
    </row>
    <row r="35" spans="2:20" ht="23.1" customHeight="1" x14ac:dyDescent="0.25">
      <c r="B35" s="24" t="s">
        <v>62</v>
      </c>
      <c r="C35" s="50">
        <v>7</v>
      </c>
      <c r="D35" s="50">
        <v>3</v>
      </c>
      <c r="E35" s="50">
        <v>2</v>
      </c>
      <c r="F35" s="50">
        <v>5</v>
      </c>
      <c r="G35" s="50">
        <v>0</v>
      </c>
      <c r="H35" s="50">
        <v>0</v>
      </c>
      <c r="I35" s="50">
        <v>5</v>
      </c>
      <c r="J35" s="50">
        <v>0</v>
      </c>
      <c r="K35" s="50">
        <v>0</v>
      </c>
      <c r="L35" s="50">
        <v>0</v>
      </c>
      <c r="M35" s="50">
        <v>59</v>
      </c>
      <c r="N35" s="50">
        <v>0</v>
      </c>
      <c r="O35" s="15">
        <f t="shared" si="0"/>
        <v>22</v>
      </c>
      <c r="P35" s="15">
        <f t="shared" si="1"/>
        <v>81</v>
      </c>
    </row>
    <row r="36" spans="2:20" ht="23.1" customHeight="1" x14ac:dyDescent="0.25">
      <c r="B36" s="24" t="s">
        <v>63</v>
      </c>
      <c r="C36" s="50">
        <v>7</v>
      </c>
      <c r="D36" s="50">
        <v>3</v>
      </c>
      <c r="E36" s="50">
        <v>0</v>
      </c>
      <c r="F36" s="50">
        <v>6</v>
      </c>
      <c r="G36" s="50">
        <v>0</v>
      </c>
      <c r="H36" s="50">
        <v>1</v>
      </c>
      <c r="I36" s="50">
        <v>1</v>
      </c>
      <c r="J36" s="50">
        <v>0</v>
      </c>
      <c r="K36" s="50">
        <v>0</v>
      </c>
      <c r="L36" s="50">
        <v>0</v>
      </c>
      <c r="M36" s="50">
        <v>53</v>
      </c>
      <c r="N36" s="50">
        <v>0</v>
      </c>
      <c r="O36" s="15">
        <f t="shared" si="0"/>
        <v>18</v>
      </c>
      <c r="P36" s="15">
        <f t="shared" si="1"/>
        <v>71</v>
      </c>
    </row>
    <row r="37" spans="2:20" ht="23.1" customHeight="1" x14ac:dyDescent="0.25">
      <c r="B37" s="23" t="s">
        <v>64</v>
      </c>
      <c r="C37" s="50">
        <v>18</v>
      </c>
      <c r="D37" s="50">
        <v>2</v>
      </c>
      <c r="E37" s="50">
        <v>1</v>
      </c>
      <c r="F37" s="50">
        <v>5</v>
      </c>
      <c r="G37" s="50">
        <v>0</v>
      </c>
      <c r="H37" s="50">
        <v>0</v>
      </c>
      <c r="I37" s="50">
        <v>4</v>
      </c>
      <c r="J37" s="50">
        <v>4</v>
      </c>
      <c r="K37" s="50">
        <v>0</v>
      </c>
      <c r="L37" s="50">
        <v>1</v>
      </c>
      <c r="M37" s="50">
        <v>49</v>
      </c>
      <c r="N37" s="50">
        <v>0</v>
      </c>
      <c r="O37" s="15">
        <f t="shared" si="0"/>
        <v>35</v>
      </c>
      <c r="P37" s="15">
        <f t="shared" si="1"/>
        <v>84</v>
      </c>
    </row>
    <row r="38" spans="2:20" ht="23.1" customHeight="1" x14ac:dyDescent="0.25">
      <c r="B38" s="24" t="s">
        <v>65</v>
      </c>
      <c r="C38" s="50">
        <v>8</v>
      </c>
      <c r="D38" s="50">
        <v>3</v>
      </c>
      <c r="E38" s="50">
        <v>3</v>
      </c>
      <c r="F38" s="50">
        <v>8</v>
      </c>
      <c r="G38" s="50">
        <v>0</v>
      </c>
      <c r="H38" s="50">
        <v>0</v>
      </c>
      <c r="I38" s="50">
        <v>2</v>
      </c>
      <c r="J38" s="50">
        <v>3</v>
      </c>
      <c r="K38" s="50">
        <v>1</v>
      </c>
      <c r="L38" s="50">
        <v>0</v>
      </c>
      <c r="M38" s="50">
        <v>77</v>
      </c>
      <c r="N38" s="50">
        <v>0</v>
      </c>
      <c r="O38" s="15">
        <f t="shared" si="0"/>
        <v>28</v>
      </c>
      <c r="P38" s="15">
        <f t="shared" si="1"/>
        <v>105</v>
      </c>
    </row>
    <row r="39" spans="2:20" ht="23.1" customHeight="1" x14ac:dyDescent="0.25">
      <c r="B39" s="24" t="s">
        <v>66</v>
      </c>
      <c r="C39" s="50">
        <v>13</v>
      </c>
      <c r="D39" s="50">
        <v>3</v>
      </c>
      <c r="E39" s="50">
        <v>2</v>
      </c>
      <c r="F39" s="50">
        <v>7</v>
      </c>
      <c r="G39" s="50">
        <v>0</v>
      </c>
      <c r="H39" s="50">
        <v>0</v>
      </c>
      <c r="I39" s="50">
        <v>4</v>
      </c>
      <c r="J39" s="50">
        <v>2</v>
      </c>
      <c r="K39" s="50">
        <v>1</v>
      </c>
      <c r="L39" s="50">
        <v>1</v>
      </c>
      <c r="M39" s="50">
        <v>52</v>
      </c>
      <c r="N39" s="50">
        <v>0</v>
      </c>
      <c r="O39" s="15">
        <f t="shared" si="0"/>
        <v>33</v>
      </c>
      <c r="P39" s="15">
        <f t="shared" si="1"/>
        <v>85</v>
      </c>
    </row>
    <row r="40" spans="2:20" ht="23.1" customHeight="1" x14ac:dyDescent="0.25">
      <c r="B40" s="24" t="s">
        <v>67</v>
      </c>
      <c r="C40" s="50">
        <v>7</v>
      </c>
      <c r="D40" s="50">
        <v>2</v>
      </c>
      <c r="E40" s="50">
        <v>1</v>
      </c>
      <c r="F40" s="50">
        <v>12</v>
      </c>
      <c r="G40" s="50">
        <v>0</v>
      </c>
      <c r="H40" s="50">
        <v>0</v>
      </c>
      <c r="I40" s="50">
        <v>2</v>
      </c>
      <c r="J40" s="50">
        <v>4</v>
      </c>
      <c r="K40" s="50">
        <v>0</v>
      </c>
      <c r="L40" s="50">
        <v>1</v>
      </c>
      <c r="M40" s="50">
        <v>38</v>
      </c>
      <c r="N40" s="50">
        <v>0</v>
      </c>
      <c r="O40" s="15">
        <f t="shared" si="0"/>
        <v>29</v>
      </c>
      <c r="P40" s="15">
        <f t="shared" si="1"/>
        <v>67</v>
      </c>
    </row>
    <row r="41" spans="2:20" ht="23.1" customHeight="1" x14ac:dyDescent="0.25">
      <c r="B41" s="23" t="s">
        <v>68</v>
      </c>
      <c r="C41" s="50">
        <v>14</v>
      </c>
      <c r="D41" s="50">
        <v>6</v>
      </c>
      <c r="E41" s="50">
        <v>3</v>
      </c>
      <c r="F41" s="50">
        <v>7</v>
      </c>
      <c r="G41" s="50">
        <v>0</v>
      </c>
      <c r="H41" s="50">
        <v>0</v>
      </c>
      <c r="I41" s="50">
        <v>2</v>
      </c>
      <c r="J41" s="50">
        <v>3</v>
      </c>
      <c r="K41" s="50">
        <v>0</v>
      </c>
      <c r="L41" s="50">
        <v>0</v>
      </c>
      <c r="M41" s="50">
        <v>62</v>
      </c>
      <c r="N41" s="50">
        <v>0</v>
      </c>
      <c r="O41" s="15">
        <f t="shared" si="0"/>
        <v>35</v>
      </c>
      <c r="P41" s="15">
        <f t="shared" si="1"/>
        <v>97</v>
      </c>
    </row>
    <row r="42" spans="2:20" ht="23.1" customHeight="1" x14ac:dyDescent="0.25">
      <c r="B42" s="24" t="s">
        <v>69</v>
      </c>
      <c r="C42" s="50">
        <v>13</v>
      </c>
      <c r="D42" s="50">
        <v>5</v>
      </c>
      <c r="E42" s="50">
        <v>2</v>
      </c>
      <c r="F42" s="50">
        <v>4</v>
      </c>
      <c r="G42" s="50">
        <v>0</v>
      </c>
      <c r="H42" s="50">
        <v>0</v>
      </c>
      <c r="I42" s="50">
        <v>6</v>
      </c>
      <c r="J42" s="50">
        <v>2</v>
      </c>
      <c r="K42" s="50">
        <v>0</v>
      </c>
      <c r="L42" s="50">
        <v>0</v>
      </c>
      <c r="M42" s="50">
        <v>81</v>
      </c>
      <c r="N42" s="50">
        <v>0</v>
      </c>
      <c r="O42" s="15">
        <f t="shared" si="0"/>
        <v>32</v>
      </c>
      <c r="P42" s="15">
        <f t="shared" si="1"/>
        <v>113</v>
      </c>
    </row>
    <row r="43" spans="2:20" ht="23.1" customHeight="1" x14ac:dyDescent="0.25">
      <c r="B43" s="23" t="s">
        <v>70</v>
      </c>
      <c r="C43" s="50">
        <v>18</v>
      </c>
      <c r="D43" s="50">
        <v>2</v>
      </c>
      <c r="E43" s="50">
        <v>1</v>
      </c>
      <c r="F43" s="50">
        <v>6</v>
      </c>
      <c r="G43" s="50">
        <v>0</v>
      </c>
      <c r="H43" s="50">
        <v>0</v>
      </c>
      <c r="I43" s="50">
        <v>6</v>
      </c>
      <c r="J43" s="50">
        <v>1</v>
      </c>
      <c r="K43" s="50">
        <v>0</v>
      </c>
      <c r="L43" s="50">
        <v>0</v>
      </c>
      <c r="M43" s="50">
        <v>55</v>
      </c>
      <c r="N43" s="50">
        <v>0</v>
      </c>
      <c r="O43" s="15">
        <f t="shared" si="0"/>
        <v>34</v>
      </c>
      <c r="P43" s="15">
        <f t="shared" si="1"/>
        <v>89</v>
      </c>
    </row>
    <row r="44" spans="2:20" ht="23.1" customHeight="1" x14ac:dyDescent="0.25">
      <c r="B44" s="25" t="s">
        <v>71</v>
      </c>
      <c r="C44" s="50">
        <v>7</v>
      </c>
      <c r="D44" s="50">
        <v>3</v>
      </c>
      <c r="E44" s="50">
        <v>2</v>
      </c>
      <c r="F44" s="50">
        <v>2</v>
      </c>
      <c r="G44" s="50">
        <v>0</v>
      </c>
      <c r="H44" s="50">
        <v>0</v>
      </c>
      <c r="I44" s="50">
        <v>4</v>
      </c>
      <c r="J44" s="50">
        <v>3</v>
      </c>
      <c r="K44" s="50">
        <v>0</v>
      </c>
      <c r="L44" s="50">
        <v>0</v>
      </c>
      <c r="M44" s="50">
        <v>57</v>
      </c>
      <c r="N44" s="50">
        <v>0</v>
      </c>
      <c r="O44" s="15">
        <f t="shared" si="0"/>
        <v>21</v>
      </c>
      <c r="P44" s="15">
        <f t="shared" si="1"/>
        <v>78</v>
      </c>
    </row>
    <row r="45" spans="2:20" ht="23.1" customHeight="1" x14ac:dyDescent="0.25">
      <c r="B45" s="23" t="s">
        <v>72</v>
      </c>
      <c r="C45" s="50">
        <v>23</v>
      </c>
      <c r="D45" s="50">
        <v>2</v>
      </c>
      <c r="E45" s="50">
        <v>1</v>
      </c>
      <c r="F45" s="50">
        <v>5</v>
      </c>
      <c r="G45" s="50">
        <v>0</v>
      </c>
      <c r="H45" s="50">
        <v>1</v>
      </c>
      <c r="I45" s="50">
        <v>5</v>
      </c>
      <c r="J45" s="50">
        <v>2</v>
      </c>
      <c r="K45" s="50">
        <v>0</v>
      </c>
      <c r="L45" s="50">
        <v>1</v>
      </c>
      <c r="M45" s="50">
        <v>78</v>
      </c>
      <c r="N45" s="50">
        <v>0</v>
      </c>
      <c r="O45" s="15">
        <f t="shared" si="0"/>
        <v>40</v>
      </c>
      <c r="P45" s="15">
        <f t="shared" si="1"/>
        <v>118</v>
      </c>
    </row>
    <row r="46" spans="2:20" ht="23.1" customHeight="1" x14ac:dyDescent="0.25">
      <c r="B46" s="24" t="s">
        <v>73</v>
      </c>
      <c r="C46" s="50">
        <v>11</v>
      </c>
      <c r="D46" s="50">
        <v>5</v>
      </c>
      <c r="E46" s="50">
        <v>2</v>
      </c>
      <c r="F46" s="50">
        <v>4</v>
      </c>
      <c r="G46" s="50">
        <v>0</v>
      </c>
      <c r="H46" s="50">
        <v>0</v>
      </c>
      <c r="I46" s="50">
        <v>2</v>
      </c>
      <c r="J46" s="50">
        <v>4</v>
      </c>
      <c r="K46" s="50">
        <v>0</v>
      </c>
      <c r="L46" s="50">
        <v>0</v>
      </c>
      <c r="M46" s="50">
        <v>65</v>
      </c>
      <c r="N46" s="50">
        <v>0</v>
      </c>
      <c r="O46" s="15">
        <f t="shared" si="0"/>
        <v>28</v>
      </c>
      <c r="P46" s="15">
        <f t="shared" si="1"/>
        <v>93</v>
      </c>
      <c r="R46" s="8"/>
      <c r="T46"/>
    </row>
    <row r="47" spans="2:20" ht="23.1" customHeight="1" x14ac:dyDescent="0.25">
      <c r="B47" s="24" t="s">
        <v>74</v>
      </c>
      <c r="C47" s="50">
        <v>12</v>
      </c>
      <c r="D47" s="50">
        <v>6</v>
      </c>
      <c r="E47" s="50">
        <v>2</v>
      </c>
      <c r="F47" s="50">
        <v>5</v>
      </c>
      <c r="G47" s="50">
        <v>0</v>
      </c>
      <c r="H47" s="50">
        <v>0</v>
      </c>
      <c r="I47" s="50">
        <v>8</v>
      </c>
      <c r="J47" s="50">
        <v>1</v>
      </c>
      <c r="K47" s="50">
        <v>1</v>
      </c>
      <c r="L47" s="50">
        <v>0</v>
      </c>
      <c r="M47" s="50">
        <v>53</v>
      </c>
      <c r="N47" s="50">
        <v>0</v>
      </c>
      <c r="O47" s="15">
        <f t="shared" si="0"/>
        <v>35</v>
      </c>
      <c r="P47" s="15">
        <f t="shared" si="1"/>
        <v>88</v>
      </c>
      <c r="R47" s="8"/>
      <c r="T47"/>
    </row>
    <row r="48" spans="2:20" ht="23.1" customHeight="1" x14ac:dyDescent="0.25">
      <c r="B48" s="24" t="s">
        <v>75</v>
      </c>
      <c r="C48" s="50">
        <v>21</v>
      </c>
      <c r="D48" s="50">
        <v>1</v>
      </c>
      <c r="E48" s="50">
        <v>1</v>
      </c>
      <c r="F48" s="50">
        <v>7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1</v>
      </c>
      <c r="M48" s="50">
        <v>82</v>
      </c>
      <c r="N48" s="50">
        <v>0</v>
      </c>
      <c r="O48" s="15">
        <f t="shared" si="0"/>
        <v>34</v>
      </c>
      <c r="P48" s="15">
        <f t="shared" si="1"/>
        <v>116</v>
      </c>
      <c r="R48" s="8"/>
      <c r="T48"/>
    </row>
    <row r="49" spans="2:20" ht="23.1" customHeight="1" x14ac:dyDescent="0.25">
      <c r="B49" s="23" t="s">
        <v>76</v>
      </c>
      <c r="C49" s="50">
        <v>7</v>
      </c>
      <c r="D49" s="50">
        <v>1</v>
      </c>
      <c r="E49" s="50">
        <v>1</v>
      </c>
      <c r="F49" s="50">
        <v>4</v>
      </c>
      <c r="G49" s="50">
        <v>1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79</v>
      </c>
      <c r="N49" s="50">
        <v>0</v>
      </c>
      <c r="O49" s="15">
        <f t="shared" si="0"/>
        <v>15</v>
      </c>
      <c r="P49" s="15">
        <f t="shared" si="1"/>
        <v>94</v>
      </c>
      <c r="R49" s="8"/>
      <c r="T49"/>
    </row>
    <row r="50" spans="2:20" ht="23.1" customHeight="1" x14ac:dyDescent="0.25">
      <c r="B50" s="24" t="s">
        <v>77</v>
      </c>
      <c r="C50" s="50">
        <v>15</v>
      </c>
      <c r="D50" s="50">
        <v>3</v>
      </c>
      <c r="E50" s="50">
        <v>0</v>
      </c>
      <c r="F50" s="50">
        <v>5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48</v>
      </c>
      <c r="N50" s="50">
        <v>0</v>
      </c>
      <c r="O50" s="15">
        <f t="shared" si="0"/>
        <v>24</v>
      </c>
      <c r="P50" s="15">
        <f t="shared" si="1"/>
        <v>72</v>
      </c>
      <c r="R50" s="8"/>
      <c r="T50"/>
    </row>
    <row r="51" spans="2:20" ht="23.1" customHeight="1" x14ac:dyDescent="0.25">
      <c r="B51" s="24" t="s">
        <v>78</v>
      </c>
      <c r="C51" s="50">
        <v>19</v>
      </c>
      <c r="D51" s="50">
        <v>0</v>
      </c>
      <c r="E51" s="50">
        <v>0</v>
      </c>
      <c r="F51" s="50">
        <v>7</v>
      </c>
      <c r="G51" s="50">
        <v>1</v>
      </c>
      <c r="H51" s="50">
        <v>0</v>
      </c>
      <c r="I51" s="50">
        <v>4</v>
      </c>
      <c r="J51" s="50">
        <v>1</v>
      </c>
      <c r="K51" s="50">
        <v>0</v>
      </c>
      <c r="L51" s="50">
        <v>0</v>
      </c>
      <c r="M51" s="50">
        <v>64</v>
      </c>
      <c r="N51" s="50">
        <v>0</v>
      </c>
      <c r="O51" s="15">
        <f t="shared" si="0"/>
        <v>32</v>
      </c>
      <c r="P51" s="15">
        <f t="shared" si="1"/>
        <v>96</v>
      </c>
      <c r="R51" s="8"/>
      <c r="T51"/>
    </row>
    <row r="52" spans="2:20" ht="23.1" customHeight="1" x14ac:dyDescent="0.25">
      <c r="B52" s="24" t="s">
        <v>79</v>
      </c>
      <c r="C52" s="50">
        <v>25</v>
      </c>
      <c r="D52" s="50">
        <v>2</v>
      </c>
      <c r="E52" s="50">
        <v>1</v>
      </c>
      <c r="F52" s="50">
        <v>12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1</v>
      </c>
      <c r="M52" s="50">
        <v>97</v>
      </c>
      <c r="N52" s="50">
        <v>0</v>
      </c>
      <c r="O52" s="15">
        <f t="shared" si="0"/>
        <v>43</v>
      </c>
      <c r="P52" s="15">
        <f t="shared" si="1"/>
        <v>140</v>
      </c>
      <c r="R52" s="8"/>
      <c r="T52"/>
    </row>
    <row r="53" spans="2:20" ht="23.1" customHeight="1" x14ac:dyDescent="0.25">
      <c r="B53" s="23" t="s">
        <v>80</v>
      </c>
      <c r="C53" s="50">
        <v>27</v>
      </c>
      <c r="D53" s="50">
        <v>10</v>
      </c>
      <c r="E53" s="50">
        <v>1</v>
      </c>
      <c r="F53" s="50">
        <v>14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57</v>
      </c>
      <c r="N53" s="50">
        <v>0</v>
      </c>
      <c r="O53" s="15">
        <f t="shared" si="0"/>
        <v>55</v>
      </c>
      <c r="P53" s="15">
        <f t="shared" si="1"/>
        <v>112</v>
      </c>
      <c r="R53" s="8"/>
      <c r="T53"/>
    </row>
    <row r="54" spans="2:20" ht="23.1" customHeight="1" x14ac:dyDescent="0.25">
      <c r="B54" s="23" t="s">
        <v>81</v>
      </c>
      <c r="C54" s="50">
        <v>17</v>
      </c>
      <c r="D54" s="50">
        <v>11</v>
      </c>
      <c r="E54" s="50">
        <v>4</v>
      </c>
      <c r="F54" s="50">
        <v>7</v>
      </c>
      <c r="G54" s="50">
        <v>0</v>
      </c>
      <c r="H54" s="50">
        <v>1</v>
      </c>
      <c r="I54" s="50">
        <v>2</v>
      </c>
      <c r="J54" s="50">
        <v>2</v>
      </c>
      <c r="K54" s="50">
        <v>0</v>
      </c>
      <c r="L54" s="50">
        <v>0</v>
      </c>
      <c r="M54" s="50">
        <v>58</v>
      </c>
      <c r="N54" s="50">
        <v>0</v>
      </c>
      <c r="O54" s="15">
        <f t="shared" si="0"/>
        <v>44</v>
      </c>
      <c r="P54" s="15">
        <f t="shared" si="1"/>
        <v>102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4</v>
      </c>
      <c r="E55" s="50">
        <v>1</v>
      </c>
      <c r="F55" s="50">
        <v>10</v>
      </c>
      <c r="G55" s="50">
        <v>1</v>
      </c>
      <c r="H55" s="50">
        <v>0</v>
      </c>
      <c r="I55" s="50">
        <v>0</v>
      </c>
      <c r="J55" s="50">
        <v>2</v>
      </c>
      <c r="K55" s="50">
        <v>0</v>
      </c>
      <c r="L55" s="50">
        <v>0</v>
      </c>
      <c r="M55" s="50">
        <v>72</v>
      </c>
      <c r="N55" s="50">
        <v>0</v>
      </c>
      <c r="O55" s="15">
        <f t="shared" si="0"/>
        <v>30</v>
      </c>
      <c r="P55" s="15">
        <f t="shared" si="1"/>
        <v>102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3</v>
      </c>
      <c r="E56" s="50">
        <v>2</v>
      </c>
      <c r="F56" s="50">
        <v>20</v>
      </c>
      <c r="G56" s="50">
        <v>0</v>
      </c>
      <c r="H56" s="50">
        <v>0</v>
      </c>
      <c r="I56" s="50">
        <v>3</v>
      </c>
      <c r="J56" s="50">
        <v>0</v>
      </c>
      <c r="K56" s="50">
        <v>1</v>
      </c>
      <c r="L56" s="50">
        <v>1</v>
      </c>
      <c r="M56" s="50">
        <v>83</v>
      </c>
      <c r="N56" s="50">
        <v>0</v>
      </c>
      <c r="O56" s="15">
        <f t="shared" si="0"/>
        <v>38</v>
      </c>
      <c r="P56" s="15">
        <f t="shared" si="1"/>
        <v>121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2</v>
      </c>
      <c r="E57" s="50">
        <v>1</v>
      </c>
      <c r="F57" s="50">
        <v>8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112</v>
      </c>
      <c r="N57" s="50">
        <v>0</v>
      </c>
      <c r="O57" s="15">
        <f t="shared" si="0"/>
        <v>13</v>
      </c>
      <c r="P57" s="15">
        <f t="shared" si="1"/>
        <v>125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1300</v>
      </c>
      <c r="D58" s="16">
        <f t="shared" si="21"/>
        <v>208</v>
      </c>
      <c r="E58" s="16">
        <f t="shared" si="21"/>
        <v>117</v>
      </c>
      <c r="F58" s="16">
        <f t="shared" si="21"/>
        <v>679</v>
      </c>
      <c r="G58" s="16">
        <f t="shared" si="21"/>
        <v>12</v>
      </c>
      <c r="H58" s="16">
        <f t="shared" si="21"/>
        <v>5</v>
      </c>
      <c r="I58" s="16">
        <f t="shared" si="21"/>
        <v>164</v>
      </c>
      <c r="J58" s="16">
        <f t="shared" si="21"/>
        <v>72</v>
      </c>
      <c r="K58" s="16">
        <f t="shared" si="21"/>
        <v>7</v>
      </c>
      <c r="L58" s="16">
        <f t="shared" si="21"/>
        <v>11</v>
      </c>
      <c r="M58" s="16">
        <f t="shared" si="21"/>
        <v>3772</v>
      </c>
      <c r="N58" s="16">
        <f t="shared" si="21"/>
        <v>0</v>
      </c>
      <c r="O58" s="16">
        <f t="shared" si="21"/>
        <v>2575</v>
      </c>
      <c r="P58" s="16">
        <f t="shared" si="21"/>
        <v>6347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0.20482117535843705</v>
      </c>
      <c r="D59" s="43">
        <f t="shared" si="22"/>
        <v>3.2771388057349929E-2</v>
      </c>
      <c r="E59" s="43">
        <f t="shared" si="22"/>
        <v>1.8433905782259334E-2</v>
      </c>
      <c r="F59" s="43">
        <f t="shared" si="22"/>
        <v>0.10697967543721443</v>
      </c>
      <c r="G59" s="43">
        <f t="shared" si="22"/>
        <v>1.8906570033086498E-3</v>
      </c>
      <c r="H59" s="43">
        <f t="shared" si="22"/>
        <v>7.8777375137860405E-4</v>
      </c>
      <c r="I59" s="43">
        <f t="shared" si="22"/>
        <v>2.5838979045218213E-2</v>
      </c>
      <c r="J59" s="43">
        <f t="shared" si="22"/>
        <v>1.1343942019851899E-2</v>
      </c>
      <c r="K59" s="43">
        <f t="shared" si="22"/>
        <v>1.1028832519300457E-3</v>
      </c>
      <c r="L59" s="43">
        <f t="shared" si="22"/>
        <v>1.7331022530329288E-3</v>
      </c>
      <c r="M59" s="43">
        <f t="shared" si="22"/>
        <v>0.59429651804001893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0.50485436893203883</v>
      </c>
      <c r="D60" s="44">
        <f t="shared" ref="D60:N60" si="23">D58/$O$58</f>
        <v>8.0776699029126209E-2</v>
      </c>
      <c r="E60" s="44">
        <f t="shared" si="23"/>
        <v>4.5436893203883492E-2</v>
      </c>
      <c r="F60" s="44">
        <f t="shared" si="23"/>
        <v>0.26368932038834952</v>
      </c>
      <c r="G60" s="44">
        <f t="shared" si="23"/>
        <v>4.6601941747572819E-3</v>
      </c>
      <c r="H60" s="44">
        <f t="shared" si="23"/>
        <v>1.9417475728155339E-3</v>
      </c>
      <c r="I60" s="44">
        <f t="shared" si="23"/>
        <v>6.3689320388349513E-2</v>
      </c>
      <c r="J60" s="44">
        <f t="shared" si="23"/>
        <v>2.796116504854369E-2</v>
      </c>
      <c r="K60" s="44">
        <f t="shared" si="23"/>
        <v>2.7184466019417475E-3</v>
      </c>
      <c r="L60" s="44">
        <f t="shared" si="23"/>
        <v>4.2718446601941748E-3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SentemaRBT-Sentema'!C3:G3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166</v>
      </c>
      <c r="E5" s="3"/>
      <c r="F5" s="41" t="s">
        <v>1</v>
      </c>
      <c r="G5" s="64" t="str">
        <f>'25.07 Sentema-SentemaRBT'!G5:H5</f>
        <v>Ku roofings</v>
      </c>
      <c r="H5" s="65"/>
      <c r="I5" s="14"/>
      <c r="J5" s="2" t="s">
        <v>5</v>
      </c>
      <c r="K5" s="64" t="s">
        <v>181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SentemaRBT-Sentema'!D6:E6</f>
        <v>Sentema RBT</v>
      </c>
      <c r="E6" s="65"/>
      <c r="F6" s="2" t="s">
        <v>2</v>
      </c>
      <c r="G6" s="64" t="str">
        <f>'22.07 SentemaRBT-Sentema'!G6:H6</f>
        <v>Sentema</v>
      </c>
      <c r="H6" s="65"/>
      <c r="J6" s="2" t="s">
        <v>21</v>
      </c>
      <c r="K6" s="64" t="str">
        <f>'25.07 Sentema-SentemaRBT'!K6:L6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9</v>
      </c>
      <c r="D10" s="50">
        <v>1</v>
      </c>
      <c r="E10" s="50">
        <v>4</v>
      </c>
      <c r="F10" s="50">
        <v>1</v>
      </c>
      <c r="G10" s="50">
        <v>2</v>
      </c>
      <c r="H10" s="50">
        <v>0</v>
      </c>
      <c r="I10" s="50">
        <v>3</v>
      </c>
      <c r="J10" s="50">
        <v>2</v>
      </c>
      <c r="K10" s="50">
        <v>0</v>
      </c>
      <c r="L10" s="50">
        <v>0</v>
      </c>
      <c r="M10" s="50">
        <v>27</v>
      </c>
      <c r="N10" s="50">
        <v>0</v>
      </c>
      <c r="O10" s="15">
        <f t="shared" ref="O10:O57" si="0">SUM(C10:L10,N10)</f>
        <v>22</v>
      </c>
      <c r="P10" s="15">
        <f t="shared" ref="P10:P57" si="1">SUM(C10:N10)</f>
        <v>49</v>
      </c>
      <c r="R10" s="1" t="s">
        <v>6</v>
      </c>
      <c r="S10" s="17">
        <f t="shared" ref="S10:AF10" si="2">SUM(C10:C13)</f>
        <v>31</v>
      </c>
      <c r="T10" s="17">
        <f t="shared" si="2"/>
        <v>11</v>
      </c>
      <c r="U10" s="17">
        <f t="shared" si="2"/>
        <v>10</v>
      </c>
      <c r="V10" s="17">
        <f t="shared" si="2"/>
        <v>50</v>
      </c>
      <c r="W10" s="17">
        <f t="shared" si="2"/>
        <v>2</v>
      </c>
      <c r="X10" s="17">
        <f t="shared" si="2"/>
        <v>0</v>
      </c>
      <c r="Y10" s="17">
        <f t="shared" si="2"/>
        <v>8</v>
      </c>
      <c r="Z10" s="17">
        <f t="shared" si="2"/>
        <v>9</v>
      </c>
      <c r="AA10" s="17">
        <f t="shared" si="2"/>
        <v>1</v>
      </c>
      <c r="AB10" s="17">
        <f t="shared" si="2"/>
        <v>0</v>
      </c>
      <c r="AC10" s="17">
        <f t="shared" si="2"/>
        <v>174</v>
      </c>
      <c r="AD10" s="17">
        <f t="shared" si="2"/>
        <v>0</v>
      </c>
      <c r="AE10" s="31">
        <f t="shared" si="2"/>
        <v>122</v>
      </c>
      <c r="AF10" s="31">
        <f t="shared" si="2"/>
        <v>296</v>
      </c>
    </row>
    <row r="11" spans="2:32" s="6" customFormat="1" ht="23.1" customHeight="1" x14ac:dyDescent="0.25">
      <c r="B11" s="45" t="s">
        <v>38</v>
      </c>
      <c r="C11" s="50">
        <v>8</v>
      </c>
      <c r="D11" s="50">
        <v>1</v>
      </c>
      <c r="E11" s="50">
        <v>1</v>
      </c>
      <c r="F11" s="50">
        <v>12</v>
      </c>
      <c r="G11" s="50">
        <v>0</v>
      </c>
      <c r="H11" s="50">
        <v>0</v>
      </c>
      <c r="I11" s="50">
        <v>0</v>
      </c>
      <c r="J11" s="50">
        <v>3</v>
      </c>
      <c r="K11" s="50">
        <v>0</v>
      </c>
      <c r="L11" s="50">
        <v>0</v>
      </c>
      <c r="M11" s="50">
        <v>31</v>
      </c>
      <c r="N11" s="50">
        <v>0</v>
      </c>
      <c r="O11" s="15">
        <f t="shared" si="0"/>
        <v>25</v>
      </c>
      <c r="P11" s="15">
        <f t="shared" si="1"/>
        <v>56</v>
      </c>
      <c r="R11" s="1" t="s">
        <v>7</v>
      </c>
      <c r="S11" s="17">
        <f t="shared" ref="S11:AF11" si="3">SUM(C14:C17)</f>
        <v>27</v>
      </c>
      <c r="T11" s="17">
        <f t="shared" si="3"/>
        <v>11</v>
      </c>
      <c r="U11" s="17">
        <f t="shared" si="3"/>
        <v>0</v>
      </c>
      <c r="V11" s="17">
        <f t="shared" si="3"/>
        <v>52</v>
      </c>
      <c r="W11" s="17">
        <f t="shared" si="3"/>
        <v>2</v>
      </c>
      <c r="X11" s="17">
        <f t="shared" si="3"/>
        <v>1</v>
      </c>
      <c r="Y11" s="17">
        <f t="shared" si="3"/>
        <v>15</v>
      </c>
      <c r="Z11" s="17">
        <f t="shared" si="3"/>
        <v>5</v>
      </c>
      <c r="AA11" s="17">
        <f t="shared" si="3"/>
        <v>0</v>
      </c>
      <c r="AB11" s="17">
        <f t="shared" si="3"/>
        <v>2</v>
      </c>
      <c r="AC11" s="17">
        <f t="shared" si="3"/>
        <v>213</v>
      </c>
      <c r="AD11" s="17">
        <f t="shared" si="3"/>
        <v>0</v>
      </c>
      <c r="AE11" s="31">
        <f t="shared" si="3"/>
        <v>115</v>
      </c>
      <c r="AF11" s="31">
        <f t="shared" si="3"/>
        <v>328</v>
      </c>
    </row>
    <row r="12" spans="2:32" ht="23.1" customHeight="1" x14ac:dyDescent="0.25">
      <c r="B12" s="45" t="s">
        <v>39</v>
      </c>
      <c r="C12" s="50">
        <v>3</v>
      </c>
      <c r="D12" s="50">
        <v>1</v>
      </c>
      <c r="E12" s="50">
        <v>1</v>
      </c>
      <c r="F12" s="50">
        <v>14</v>
      </c>
      <c r="G12" s="50">
        <v>0</v>
      </c>
      <c r="H12" s="50">
        <v>0</v>
      </c>
      <c r="I12" s="50">
        <v>1</v>
      </c>
      <c r="J12" s="50">
        <v>1</v>
      </c>
      <c r="K12" s="50">
        <v>0</v>
      </c>
      <c r="L12" s="50">
        <v>0</v>
      </c>
      <c r="M12" s="50">
        <v>49</v>
      </c>
      <c r="N12" s="50">
        <v>0</v>
      </c>
      <c r="O12" s="15">
        <f t="shared" si="0"/>
        <v>21</v>
      </c>
      <c r="P12" s="15">
        <f t="shared" si="1"/>
        <v>70</v>
      </c>
      <c r="R12" s="1" t="s">
        <v>8</v>
      </c>
      <c r="S12" s="17">
        <f t="shared" ref="S12:AF12" si="4">SUM(C18:C21)</f>
        <v>39</v>
      </c>
      <c r="T12" s="17">
        <f t="shared" si="4"/>
        <v>7</v>
      </c>
      <c r="U12" s="17">
        <f t="shared" si="4"/>
        <v>14</v>
      </c>
      <c r="V12" s="17">
        <f t="shared" si="4"/>
        <v>55</v>
      </c>
      <c r="W12" s="17">
        <f t="shared" si="4"/>
        <v>0</v>
      </c>
      <c r="X12" s="17">
        <f t="shared" si="4"/>
        <v>2</v>
      </c>
      <c r="Y12" s="17">
        <f t="shared" si="4"/>
        <v>17</v>
      </c>
      <c r="Z12" s="17">
        <f t="shared" si="4"/>
        <v>5</v>
      </c>
      <c r="AA12" s="17">
        <f t="shared" si="4"/>
        <v>0</v>
      </c>
      <c r="AB12" s="17">
        <f t="shared" si="4"/>
        <v>0</v>
      </c>
      <c r="AC12" s="17">
        <f t="shared" si="4"/>
        <v>228</v>
      </c>
      <c r="AD12" s="17">
        <f t="shared" si="4"/>
        <v>0</v>
      </c>
      <c r="AE12" s="31">
        <f t="shared" si="4"/>
        <v>139</v>
      </c>
      <c r="AF12" s="31">
        <f t="shared" si="4"/>
        <v>367</v>
      </c>
    </row>
    <row r="13" spans="2:32" ht="23.1" customHeight="1" x14ac:dyDescent="0.25">
      <c r="B13" s="45" t="s">
        <v>40</v>
      </c>
      <c r="C13" s="50">
        <v>11</v>
      </c>
      <c r="D13" s="50">
        <v>8</v>
      </c>
      <c r="E13" s="50">
        <v>4</v>
      </c>
      <c r="F13" s="50">
        <v>23</v>
      </c>
      <c r="G13" s="50">
        <v>0</v>
      </c>
      <c r="H13" s="50">
        <v>0</v>
      </c>
      <c r="I13" s="50">
        <v>4</v>
      </c>
      <c r="J13" s="50">
        <v>3</v>
      </c>
      <c r="K13" s="50">
        <v>1</v>
      </c>
      <c r="L13" s="50">
        <v>0</v>
      </c>
      <c r="M13" s="50">
        <v>67</v>
      </c>
      <c r="N13" s="50">
        <v>0</v>
      </c>
      <c r="O13" s="15">
        <f t="shared" si="0"/>
        <v>54</v>
      </c>
      <c r="P13" s="15">
        <f t="shared" si="1"/>
        <v>121</v>
      </c>
      <c r="R13" s="1" t="s">
        <v>9</v>
      </c>
      <c r="S13" s="17">
        <f t="shared" ref="S13:AF13" si="5">SUM(C22:C25)</f>
        <v>25</v>
      </c>
      <c r="T13" s="17">
        <f t="shared" si="5"/>
        <v>6</v>
      </c>
      <c r="U13" s="17">
        <f t="shared" si="5"/>
        <v>11</v>
      </c>
      <c r="V13" s="17">
        <f t="shared" si="5"/>
        <v>50</v>
      </c>
      <c r="W13" s="17">
        <f t="shared" si="5"/>
        <v>0</v>
      </c>
      <c r="X13" s="17">
        <f t="shared" si="5"/>
        <v>0</v>
      </c>
      <c r="Y13" s="17">
        <f t="shared" si="5"/>
        <v>14</v>
      </c>
      <c r="Z13" s="17">
        <f t="shared" si="5"/>
        <v>6</v>
      </c>
      <c r="AA13" s="17">
        <f t="shared" si="5"/>
        <v>3</v>
      </c>
      <c r="AB13" s="17">
        <f t="shared" si="5"/>
        <v>0</v>
      </c>
      <c r="AC13" s="17">
        <f t="shared" si="5"/>
        <v>194</v>
      </c>
      <c r="AD13" s="17">
        <f t="shared" si="5"/>
        <v>1</v>
      </c>
      <c r="AE13" s="31">
        <f t="shared" si="5"/>
        <v>116</v>
      </c>
      <c r="AF13" s="31">
        <f t="shared" si="5"/>
        <v>310</v>
      </c>
    </row>
    <row r="14" spans="2:32" ht="23.1" customHeight="1" x14ac:dyDescent="0.25">
      <c r="B14" s="45" t="s">
        <v>41</v>
      </c>
      <c r="C14" s="50">
        <v>5</v>
      </c>
      <c r="D14" s="50">
        <v>2</v>
      </c>
      <c r="E14" s="50">
        <v>0</v>
      </c>
      <c r="F14" s="50">
        <v>13</v>
      </c>
      <c r="G14" s="50">
        <v>0</v>
      </c>
      <c r="H14" s="50">
        <v>0</v>
      </c>
      <c r="I14" s="50">
        <v>3</v>
      </c>
      <c r="J14" s="50">
        <v>1</v>
      </c>
      <c r="K14" s="50">
        <v>0</v>
      </c>
      <c r="L14" s="50">
        <v>0</v>
      </c>
      <c r="M14" s="50">
        <v>40</v>
      </c>
      <c r="N14" s="50">
        <v>0</v>
      </c>
      <c r="O14" s="15">
        <f t="shared" si="0"/>
        <v>24</v>
      </c>
      <c r="P14" s="15">
        <f t="shared" si="1"/>
        <v>64</v>
      </c>
      <c r="R14" s="1" t="s">
        <v>10</v>
      </c>
      <c r="S14" s="17">
        <f t="shared" ref="S14:AF14" si="6">SUM(C26:C29)</f>
        <v>25</v>
      </c>
      <c r="T14" s="17">
        <f t="shared" si="6"/>
        <v>10</v>
      </c>
      <c r="U14" s="17">
        <f t="shared" si="6"/>
        <v>9</v>
      </c>
      <c r="V14" s="17">
        <f t="shared" si="6"/>
        <v>29</v>
      </c>
      <c r="W14" s="17">
        <f t="shared" si="6"/>
        <v>1</v>
      </c>
      <c r="X14" s="17">
        <f t="shared" si="6"/>
        <v>1</v>
      </c>
      <c r="Y14" s="17">
        <f t="shared" si="6"/>
        <v>17</v>
      </c>
      <c r="Z14" s="17">
        <f t="shared" si="6"/>
        <v>9</v>
      </c>
      <c r="AA14" s="17">
        <f t="shared" si="6"/>
        <v>4</v>
      </c>
      <c r="AB14" s="17">
        <f t="shared" si="6"/>
        <v>0</v>
      </c>
      <c r="AC14" s="17">
        <f t="shared" si="6"/>
        <v>235</v>
      </c>
      <c r="AD14" s="17">
        <f t="shared" si="6"/>
        <v>0</v>
      </c>
      <c r="AE14" s="31">
        <f t="shared" si="6"/>
        <v>105</v>
      </c>
      <c r="AF14" s="31">
        <f t="shared" si="6"/>
        <v>340</v>
      </c>
    </row>
    <row r="15" spans="2:32" ht="23.1" customHeight="1" x14ac:dyDescent="0.25">
      <c r="B15" s="45" t="s">
        <v>42</v>
      </c>
      <c r="C15" s="50">
        <v>8</v>
      </c>
      <c r="D15" s="50">
        <v>3</v>
      </c>
      <c r="E15" s="50">
        <v>0</v>
      </c>
      <c r="F15" s="50">
        <v>11</v>
      </c>
      <c r="G15" s="50">
        <v>1</v>
      </c>
      <c r="H15" s="50">
        <v>1</v>
      </c>
      <c r="I15" s="50">
        <v>2</v>
      </c>
      <c r="J15" s="50">
        <v>0</v>
      </c>
      <c r="K15" s="50">
        <v>0</v>
      </c>
      <c r="L15" s="50">
        <v>2</v>
      </c>
      <c r="M15" s="50">
        <v>53</v>
      </c>
      <c r="N15" s="50">
        <v>0</v>
      </c>
      <c r="O15" s="15">
        <f t="shared" si="0"/>
        <v>28</v>
      </c>
      <c r="P15" s="15">
        <f t="shared" si="1"/>
        <v>81</v>
      </c>
      <c r="R15" s="1" t="s">
        <v>11</v>
      </c>
      <c r="S15" s="17">
        <f t="shared" ref="S15:AF15" si="7">SUM(C30:C33)</f>
        <v>38</v>
      </c>
      <c r="T15" s="17">
        <f t="shared" si="7"/>
        <v>8</v>
      </c>
      <c r="U15" s="17">
        <f t="shared" si="7"/>
        <v>11</v>
      </c>
      <c r="V15" s="17">
        <f t="shared" si="7"/>
        <v>24</v>
      </c>
      <c r="W15" s="17">
        <f t="shared" si="7"/>
        <v>0</v>
      </c>
      <c r="X15" s="17">
        <f t="shared" si="7"/>
        <v>0</v>
      </c>
      <c r="Y15" s="17">
        <f t="shared" si="7"/>
        <v>19</v>
      </c>
      <c r="Z15" s="17">
        <f t="shared" si="7"/>
        <v>7</v>
      </c>
      <c r="AA15" s="17">
        <f t="shared" si="7"/>
        <v>0</v>
      </c>
      <c r="AB15" s="17">
        <f t="shared" si="7"/>
        <v>0</v>
      </c>
      <c r="AC15" s="17">
        <f t="shared" si="7"/>
        <v>204</v>
      </c>
      <c r="AD15" s="17">
        <f t="shared" si="7"/>
        <v>0</v>
      </c>
      <c r="AE15" s="31">
        <f t="shared" si="7"/>
        <v>107</v>
      </c>
      <c r="AF15" s="31">
        <f t="shared" si="7"/>
        <v>311</v>
      </c>
    </row>
    <row r="16" spans="2:32" ht="23.1" customHeight="1" x14ac:dyDescent="0.25">
      <c r="B16" s="45" t="s">
        <v>43</v>
      </c>
      <c r="C16" s="50">
        <v>4</v>
      </c>
      <c r="D16" s="50">
        <v>6</v>
      </c>
      <c r="E16" s="50">
        <v>0</v>
      </c>
      <c r="F16" s="50">
        <v>15</v>
      </c>
      <c r="G16" s="50">
        <v>1</v>
      </c>
      <c r="H16" s="50">
        <v>0</v>
      </c>
      <c r="I16" s="50">
        <v>7</v>
      </c>
      <c r="J16" s="50">
        <v>1</v>
      </c>
      <c r="K16" s="50">
        <v>0</v>
      </c>
      <c r="L16" s="50">
        <v>0</v>
      </c>
      <c r="M16" s="50">
        <v>55</v>
      </c>
      <c r="N16" s="50">
        <v>0</v>
      </c>
      <c r="O16" s="15">
        <f t="shared" si="0"/>
        <v>34</v>
      </c>
      <c r="P16" s="15">
        <f t="shared" si="1"/>
        <v>89</v>
      </c>
      <c r="R16" s="1" t="s">
        <v>12</v>
      </c>
      <c r="S16" s="17">
        <f t="shared" ref="S16:AF16" si="8">SUM(C34:C37)</f>
        <v>29</v>
      </c>
      <c r="T16" s="17">
        <f t="shared" si="8"/>
        <v>10</v>
      </c>
      <c r="U16" s="17">
        <f t="shared" si="8"/>
        <v>2</v>
      </c>
      <c r="V16" s="17">
        <f t="shared" si="8"/>
        <v>24</v>
      </c>
      <c r="W16" s="17">
        <f t="shared" si="8"/>
        <v>0</v>
      </c>
      <c r="X16" s="17">
        <f t="shared" si="8"/>
        <v>0</v>
      </c>
      <c r="Y16" s="17">
        <f t="shared" si="8"/>
        <v>14</v>
      </c>
      <c r="Z16" s="17">
        <f t="shared" si="8"/>
        <v>2</v>
      </c>
      <c r="AA16" s="17">
        <f t="shared" si="8"/>
        <v>7</v>
      </c>
      <c r="AB16" s="17">
        <f t="shared" si="8"/>
        <v>1</v>
      </c>
      <c r="AC16" s="17">
        <f t="shared" si="8"/>
        <v>120</v>
      </c>
      <c r="AD16" s="17">
        <f t="shared" si="8"/>
        <v>0</v>
      </c>
      <c r="AE16" s="31">
        <f t="shared" si="8"/>
        <v>89</v>
      </c>
      <c r="AF16" s="31">
        <f t="shared" si="8"/>
        <v>209</v>
      </c>
    </row>
    <row r="17" spans="2:32" ht="23.1" customHeight="1" x14ac:dyDescent="0.25">
      <c r="B17" s="45" t="s">
        <v>44</v>
      </c>
      <c r="C17" s="50">
        <v>10</v>
      </c>
      <c r="D17" s="50">
        <v>0</v>
      </c>
      <c r="E17" s="50">
        <v>0</v>
      </c>
      <c r="F17" s="50">
        <v>13</v>
      </c>
      <c r="G17" s="50">
        <v>0</v>
      </c>
      <c r="H17" s="50">
        <v>0</v>
      </c>
      <c r="I17" s="50">
        <v>3</v>
      </c>
      <c r="J17" s="50">
        <v>3</v>
      </c>
      <c r="K17" s="50">
        <v>0</v>
      </c>
      <c r="L17" s="50">
        <v>0</v>
      </c>
      <c r="M17" s="50">
        <v>65</v>
      </c>
      <c r="N17" s="50">
        <v>0</v>
      </c>
      <c r="O17" s="15">
        <f t="shared" si="0"/>
        <v>29</v>
      </c>
      <c r="P17" s="15">
        <f t="shared" si="1"/>
        <v>94</v>
      </c>
      <c r="R17" s="1" t="s">
        <v>13</v>
      </c>
      <c r="S17" s="17">
        <f t="shared" ref="S17:AF17" si="9">SUM(C38:C41)</f>
        <v>35</v>
      </c>
      <c r="T17" s="17">
        <f t="shared" si="9"/>
        <v>14</v>
      </c>
      <c r="U17" s="17">
        <f t="shared" si="9"/>
        <v>13</v>
      </c>
      <c r="V17" s="17">
        <f t="shared" si="9"/>
        <v>27</v>
      </c>
      <c r="W17" s="17">
        <f t="shared" si="9"/>
        <v>0</v>
      </c>
      <c r="X17" s="17">
        <f t="shared" si="9"/>
        <v>1</v>
      </c>
      <c r="Y17" s="17">
        <f t="shared" si="9"/>
        <v>16</v>
      </c>
      <c r="Z17" s="17">
        <f t="shared" si="9"/>
        <v>2</v>
      </c>
      <c r="AA17" s="17">
        <f t="shared" si="9"/>
        <v>4</v>
      </c>
      <c r="AB17" s="17">
        <f t="shared" si="9"/>
        <v>0</v>
      </c>
      <c r="AC17" s="17">
        <f t="shared" si="9"/>
        <v>183</v>
      </c>
      <c r="AD17" s="17">
        <f t="shared" si="9"/>
        <v>0</v>
      </c>
      <c r="AE17" s="31">
        <f t="shared" si="9"/>
        <v>112</v>
      </c>
      <c r="AF17" s="31">
        <f t="shared" si="9"/>
        <v>295</v>
      </c>
    </row>
    <row r="18" spans="2:32" ht="23.1" customHeight="1" x14ac:dyDescent="0.25">
      <c r="B18" s="45" t="s">
        <v>45</v>
      </c>
      <c r="C18" s="50">
        <v>12</v>
      </c>
      <c r="D18" s="50">
        <v>1</v>
      </c>
      <c r="E18" s="50">
        <v>2</v>
      </c>
      <c r="F18" s="50">
        <v>20</v>
      </c>
      <c r="G18" s="50">
        <v>0</v>
      </c>
      <c r="H18" s="50">
        <v>0</v>
      </c>
      <c r="I18" s="50">
        <v>5</v>
      </c>
      <c r="J18" s="50">
        <v>2</v>
      </c>
      <c r="K18" s="50">
        <v>0</v>
      </c>
      <c r="L18" s="50">
        <v>0</v>
      </c>
      <c r="M18" s="50">
        <v>63</v>
      </c>
      <c r="N18" s="50">
        <v>0</v>
      </c>
      <c r="O18" s="15">
        <f t="shared" si="0"/>
        <v>42</v>
      </c>
      <c r="P18" s="15">
        <f t="shared" si="1"/>
        <v>105</v>
      </c>
      <c r="R18" s="1" t="s">
        <v>14</v>
      </c>
      <c r="S18" s="17">
        <f t="shared" ref="S18:AF18" si="10">SUM(C42:C45)</f>
        <v>45</v>
      </c>
      <c r="T18" s="17">
        <f t="shared" si="10"/>
        <v>14</v>
      </c>
      <c r="U18" s="17">
        <f t="shared" si="10"/>
        <v>14</v>
      </c>
      <c r="V18" s="17">
        <f t="shared" si="10"/>
        <v>28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189</v>
      </c>
      <c r="AD18" s="17">
        <f t="shared" si="10"/>
        <v>0</v>
      </c>
      <c r="AE18" s="31">
        <f t="shared" si="10"/>
        <v>121</v>
      </c>
      <c r="AF18" s="31">
        <f t="shared" si="10"/>
        <v>310</v>
      </c>
    </row>
    <row r="19" spans="2:32" ht="23.1" customHeight="1" x14ac:dyDescent="0.25">
      <c r="B19" s="45" t="s">
        <v>46</v>
      </c>
      <c r="C19" s="50">
        <v>7</v>
      </c>
      <c r="D19" s="50">
        <v>0</v>
      </c>
      <c r="E19" s="50">
        <v>2</v>
      </c>
      <c r="F19" s="50">
        <v>11</v>
      </c>
      <c r="G19" s="50">
        <v>0</v>
      </c>
      <c r="H19" s="50">
        <v>0</v>
      </c>
      <c r="I19" s="50">
        <v>7</v>
      </c>
      <c r="J19" s="50">
        <v>1</v>
      </c>
      <c r="K19" s="50">
        <v>0</v>
      </c>
      <c r="L19" s="50">
        <v>0</v>
      </c>
      <c r="M19" s="50">
        <v>50</v>
      </c>
      <c r="N19" s="50">
        <v>0</v>
      </c>
      <c r="O19" s="15">
        <f t="shared" si="0"/>
        <v>28</v>
      </c>
      <c r="P19" s="15">
        <f t="shared" si="1"/>
        <v>78</v>
      </c>
      <c r="R19" s="1" t="s">
        <v>15</v>
      </c>
      <c r="S19" s="17">
        <f t="shared" ref="S19:AF19" si="11">SUM(C46:C49)</f>
        <v>62</v>
      </c>
      <c r="T19" s="17">
        <f t="shared" si="11"/>
        <v>14</v>
      </c>
      <c r="U19" s="17">
        <f t="shared" si="11"/>
        <v>13</v>
      </c>
      <c r="V19" s="17">
        <f t="shared" si="11"/>
        <v>28</v>
      </c>
      <c r="W19" s="17">
        <f t="shared" si="11"/>
        <v>0</v>
      </c>
      <c r="X19" s="17">
        <f t="shared" si="11"/>
        <v>0</v>
      </c>
      <c r="Y19" s="17">
        <f t="shared" si="11"/>
        <v>11</v>
      </c>
      <c r="Z19" s="17">
        <f t="shared" si="11"/>
        <v>5</v>
      </c>
      <c r="AA19" s="17">
        <f t="shared" si="11"/>
        <v>0</v>
      </c>
      <c r="AB19" s="17">
        <f t="shared" si="11"/>
        <v>2</v>
      </c>
      <c r="AC19" s="17">
        <f t="shared" si="11"/>
        <v>189</v>
      </c>
      <c r="AD19" s="17">
        <f t="shared" si="11"/>
        <v>0</v>
      </c>
      <c r="AE19" s="31">
        <f t="shared" si="11"/>
        <v>135</v>
      </c>
      <c r="AF19" s="31">
        <f t="shared" si="11"/>
        <v>324</v>
      </c>
    </row>
    <row r="20" spans="2:32" ht="23.1" customHeight="1" x14ac:dyDescent="0.25">
      <c r="B20" s="45" t="s">
        <v>47</v>
      </c>
      <c r="C20" s="50">
        <v>6</v>
      </c>
      <c r="D20" s="50">
        <v>4</v>
      </c>
      <c r="E20" s="50">
        <v>3</v>
      </c>
      <c r="F20" s="50">
        <v>13</v>
      </c>
      <c r="G20" s="50">
        <v>0</v>
      </c>
      <c r="H20" s="50">
        <v>0</v>
      </c>
      <c r="I20" s="50">
        <v>3</v>
      </c>
      <c r="J20" s="50">
        <v>1</v>
      </c>
      <c r="K20" s="50">
        <v>0</v>
      </c>
      <c r="L20" s="50">
        <v>0</v>
      </c>
      <c r="M20" s="50">
        <v>52</v>
      </c>
      <c r="N20" s="50">
        <v>0</v>
      </c>
      <c r="O20" s="15">
        <f t="shared" si="0"/>
        <v>30</v>
      </c>
      <c r="P20" s="15">
        <f t="shared" si="1"/>
        <v>82</v>
      </c>
      <c r="R20" s="1" t="s">
        <v>16</v>
      </c>
      <c r="S20" s="17">
        <f t="shared" ref="S20:AF20" si="12">SUM(C50:C53)</f>
        <v>104</v>
      </c>
      <c r="T20" s="17">
        <f t="shared" si="12"/>
        <v>15</v>
      </c>
      <c r="U20" s="17">
        <f t="shared" si="12"/>
        <v>6</v>
      </c>
      <c r="V20" s="17">
        <f t="shared" si="12"/>
        <v>45</v>
      </c>
      <c r="W20" s="17">
        <f t="shared" si="12"/>
        <v>1</v>
      </c>
      <c r="X20" s="17">
        <f t="shared" si="12"/>
        <v>0</v>
      </c>
      <c r="Y20" s="17">
        <f t="shared" si="12"/>
        <v>12</v>
      </c>
      <c r="Z20" s="17">
        <f t="shared" si="12"/>
        <v>10</v>
      </c>
      <c r="AA20" s="17">
        <f t="shared" si="12"/>
        <v>0</v>
      </c>
      <c r="AB20" s="17">
        <f t="shared" si="12"/>
        <v>1</v>
      </c>
      <c r="AC20" s="17">
        <f t="shared" si="12"/>
        <v>232</v>
      </c>
      <c r="AD20" s="17">
        <f t="shared" si="12"/>
        <v>0</v>
      </c>
      <c r="AE20" s="31">
        <f t="shared" si="12"/>
        <v>194</v>
      </c>
      <c r="AF20" s="31">
        <f t="shared" si="12"/>
        <v>426</v>
      </c>
    </row>
    <row r="21" spans="2:32" ht="23.1" customHeight="1" x14ac:dyDescent="0.25">
      <c r="B21" s="45" t="s">
        <v>48</v>
      </c>
      <c r="C21" s="50">
        <v>14</v>
      </c>
      <c r="D21" s="50">
        <v>2</v>
      </c>
      <c r="E21" s="50">
        <v>7</v>
      </c>
      <c r="F21" s="50">
        <v>11</v>
      </c>
      <c r="G21" s="50">
        <v>0</v>
      </c>
      <c r="H21" s="50">
        <v>2</v>
      </c>
      <c r="I21" s="50">
        <v>2</v>
      </c>
      <c r="J21" s="50">
        <v>1</v>
      </c>
      <c r="K21" s="50">
        <v>0</v>
      </c>
      <c r="L21" s="50">
        <v>0</v>
      </c>
      <c r="M21" s="50">
        <v>63</v>
      </c>
      <c r="N21" s="50">
        <v>0</v>
      </c>
      <c r="O21" s="15">
        <f t="shared" si="0"/>
        <v>39</v>
      </c>
      <c r="P21" s="15">
        <f t="shared" si="1"/>
        <v>102</v>
      </c>
      <c r="R21" s="36" t="s">
        <v>20</v>
      </c>
      <c r="S21" s="34">
        <f t="shared" ref="S21:AF21" si="13">SUM(C54:C57)</f>
        <v>101</v>
      </c>
      <c r="T21" s="17">
        <f t="shared" si="13"/>
        <v>27</v>
      </c>
      <c r="U21" s="17">
        <f t="shared" si="13"/>
        <v>6</v>
      </c>
      <c r="V21" s="17">
        <f t="shared" si="13"/>
        <v>60</v>
      </c>
      <c r="W21" s="17">
        <f t="shared" si="13"/>
        <v>0</v>
      </c>
      <c r="X21" s="17">
        <f t="shared" si="13"/>
        <v>0</v>
      </c>
      <c r="Y21" s="17">
        <f t="shared" si="13"/>
        <v>20</v>
      </c>
      <c r="Z21" s="17">
        <f t="shared" si="13"/>
        <v>4</v>
      </c>
      <c r="AA21" s="17">
        <f t="shared" si="13"/>
        <v>1</v>
      </c>
      <c r="AB21" s="17">
        <f t="shared" si="13"/>
        <v>0</v>
      </c>
      <c r="AC21" s="17">
        <f t="shared" si="13"/>
        <v>288</v>
      </c>
      <c r="AD21" s="17">
        <f t="shared" si="13"/>
        <v>0</v>
      </c>
      <c r="AE21" s="31">
        <f t="shared" si="13"/>
        <v>219</v>
      </c>
      <c r="AF21" s="31">
        <f t="shared" si="13"/>
        <v>507</v>
      </c>
    </row>
    <row r="22" spans="2:32" ht="23.1" customHeight="1" x14ac:dyDescent="0.25">
      <c r="B22" s="45" t="s">
        <v>49</v>
      </c>
      <c r="C22" s="50">
        <v>8</v>
      </c>
      <c r="D22" s="50">
        <v>0</v>
      </c>
      <c r="E22" s="50">
        <v>3</v>
      </c>
      <c r="F22" s="50">
        <v>16</v>
      </c>
      <c r="G22" s="50">
        <v>0</v>
      </c>
      <c r="H22" s="50">
        <v>0</v>
      </c>
      <c r="I22" s="50">
        <v>1</v>
      </c>
      <c r="J22" s="50">
        <v>1</v>
      </c>
      <c r="K22" s="50">
        <v>1</v>
      </c>
      <c r="L22" s="50">
        <v>0</v>
      </c>
      <c r="M22" s="50">
        <v>50</v>
      </c>
      <c r="N22" s="50">
        <v>0</v>
      </c>
      <c r="O22" s="15">
        <f t="shared" si="0"/>
        <v>30</v>
      </c>
      <c r="P22" s="15">
        <f t="shared" si="1"/>
        <v>80</v>
      </c>
      <c r="R22" s="36" t="s">
        <v>146</v>
      </c>
      <c r="S22" s="34">
        <f>SUM(C58:C61)</f>
        <v>76</v>
      </c>
      <c r="T22" s="34">
        <f t="shared" ref="T22:AF22" si="14">SUM(D58:D61)</f>
        <v>41</v>
      </c>
      <c r="U22" s="34">
        <f t="shared" si="14"/>
        <v>15</v>
      </c>
      <c r="V22" s="34">
        <f t="shared" si="14"/>
        <v>60</v>
      </c>
      <c r="W22" s="34">
        <f t="shared" si="14"/>
        <v>2</v>
      </c>
      <c r="X22" s="34">
        <f t="shared" si="14"/>
        <v>1</v>
      </c>
      <c r="Y22" s="34">
        <f t="shared" si="14"/>
        <v>12</v>
      </c>
      <c r="Z22" s="34">
        <f t="shared" si="14"/>
        <v>1</v>
      </c>
      <c r="AA22" s="34">
        <f t="shared" si="14"/>
        <v>0</v>
      </c>
      <c r="AB22" s="34">
        <f t="shared" si="14"/>
        <v>2</v>
      </c>
      <c r="AC22" s="34">
        <f t="shared" si="14"/>
        <v>247</v>
      </c>
      <c r="AD22" s="34">
        <f t="shared" si="14"/>
        <v>0</v>
      </c>
      <c r="AE22" s="31">
        <f t="shared" si="14"/>
        <v>210</v>
      </c>
      <c r="AF22" s="31">
        <f t="shared" si="14"/>
        <v>457</v>
      </c>
    </row>
    <row r="23" spans="2:32" ht="23.1" customHeight="1" x14ac:dyDescent="0.25">
      <c r="B23" s="45" t="s">
        <v>50</v>
      </c>
      <c r="C23" s="50">
        <v>5</v>
      </c>
      <c r="D23" s="50">
        <v>2</v>
      </c>
      <c r="E23" s="50">
        <v>4</v>
      </c>
      <c r="F23" s="50">
        <v>10</v>
      </c>
      <c r="G23" s="50">
        <v>0</v>
      </c>
      <c r="H23" s="50">
        <v>0</v>
      </c>
      <c r="I23" s="50">
        <v>2</v>
      </c>
      <c r="J23" s="50">
        <v>2</v>
      </c>
      <c r="K23" s="50">
        <v>0</v>
      </c>
      <c r="L23" s="50">
        <v>0</v>
      </c>
      <c r="M23" s="50">
        <v>40</v>
      </c>
      <c r="N23" s="50">
        <v>0</v>
      </c>
      <c r="O23" s="15">
        <f t="shared" si="0"/>
        <v>25</v>
      </c>
      <c r="P23" s="15">
        <f t="shared" si="1"/>
        <v>65</v>
      </c>
      <c r="R23" s="36" t="s">
        <v>147</v>
      </c>
      <c r="S23" s="34">
        <f>SUM(C62:C65)</f>
        <v>78</v>
      </c>
      <c r="T23" s="34">
        <f t="shared" ref="T23:AF23" si="15">SUM(D62:D65)</f>
        <v>17</v>
      </c>
      <c r="U23" s="34">
        <f t="shared" si="15"/>
        <v>11</v>
      </c>
      <c r="V23" s="34">
        <f t="shared" si="15"/>
        <v>44</v>
      </c>
      <c r="W23" s="34">
        <f t="shared" si="15"/>
        <v>1</v>
      </c>
      <c r="X23" s="34">
        <f t="shared" si="15"/>
        <v>0</v>
      </c>
      <c r="Y23" s="34">
        <f t="shared" si="15"/>
        <v>7</v>
      </c>
      <c r="Z23" s="34">
        <f t="shared" si="15"/>
        <v>2</v>
      </c>
      <c r="AA23" s="34">
        <f t="shared" si="15"/>
        <v>0</v>
      </c>
      <c r="AB23" s="34">
        <f t="shared" si="15"/>
        <v>1</v>
      </c>
      <c r="AC23" s="34">
        <f t="shared" si="15"/>
        <v>262</v>
      </c>
      <c r="AD23" s="34">
        <f t="shared" si="15"/>
        <v>0</v>
      </c>
      <c r="AE23" s="31">
        <f t="shared" si="15"/>
        <v>161</v>
      </c>
      <c r="AF23" s="31">
        <f t="shared" si="15"/>
        <v>423</v>
      </c>
    </row>
    <row r="24" spans="2:32" ht="23.1" customHeight="1" x14ac:dyDescent="0.25">
      <c r="B24" s="45" t="s">
        <v>51</v>
      </c>
      <c r="C24" s="50">
        <v>8</v>
      </c>
      <c r="D24" s="50">
        <v>2</v>
      </c>
      <c r="E24" s="50">
        <v>2</v>
      </c>
      <c r="F24" s="50">
        <v>15</v>
      </c>
      <c r="G24" s="50">
        <v>0</v>
      </c>
      <c r="H24" s="50">
        <v>0</v>
      </c>
      <c r="I24" s="50">
        <v>4</v>
      </c>
      <c r="J24" s="50">
        <v>2</v>
      </c>
      <c r="K24" s="50">
        <v>0</v>
      </c>
      <c r="L24" s="50">
        <v>0</v>
      </c>
      <c r="M24" s="50">
        <v>52</v>
      </c>
      <c r="N24" s="50">
        <v>1</v>
      </c>
      <c r="O24" s="15">
        <f t="shared" si="0"/>
        <v>34</v>
      </c>
      <c r="P24" s="15">
        <f t="shared" si="1"/>
        <v>86</v>
      </c>
      <c r="R24" s="36" t="s">
        <v>148</v>
      </c>
      <c r="S24" s="34">
        <f>SUM(C66:C69)</f>
        <v>51</v>
      </c>
      <c r="T24" s="34">
        <f t="shared" ref="T24:AF24" si="16">SUM(D66:D69)</f>
        <v>19</v>
      </c>
      <c r="U24" s="34">
        <f t="shared" si="16"/>
        <v>5</v>
      </c>
      <c r="V24" s="34">
        <f t="shared" si="16"/>
        <v>19</v>
      </c>
      <c r="W24" s="34">
        <f t="shared" si="16"/>
        <v>3</v>
      </c>
      <c r="X24" s="34">
        <f t="shared" si="16"/>
        <v>0</v>
      </c>
      <c r="Y24" s="34">
        <f t="shared" si="16"/>
        <v>7</v>
      </c>
      <c r="Z24" s="34">
        <f t="shared" si="16"/>
        <v>2</v>
      </c>
      <c r="AA24" s="34">
        <f t="shared" si="16"/>
        <v>4</v>
      </c>
      <c r="AB24" s="34">
        <f t="shared" si="16"/>
        <v>0</v>
      </c>
      <c r="AC24" s="34">
        <f t="shared" si="16"/>
        <v>151</v>
      </c>
      <c r="AD24" s="34">
        <f t="shared" si="16"/>
        <v>0</v>
      </c>
      <c r="AE24" s="31">
        <f t="shared" si="16"/>
        <v>110</v>
      </c>
      <c r="AF24" s="31">
        <f t="shared" si="16"/>
        <v>261</v>
      </c>
    </row>
    <row r="25" spans="2:32" ht="23.1" customHeight="1" x14ac:dyDescent="0.25">
      <c r="B25" s="45" t="s">
        <v>52</v>
      </c>
      <c r="C25" s="50">
        <v>4</v>
      </c>
      <c r="D25" s="50">
        <v>2</v>
      </c>
      <c r="E25" s="50">
        <v>2</v>
      </c>
      <c r="F25" s="50">
        <v>9</v>
      </c>
      <c r="G25" s="50">
        <v>0</v>
      </c>
      <c r="H25" s="50">
        <v>0</v>
      </c>
      <c r="I25" s="50">
        <v>7</v>
      </c>
      <c r="J25" s="50">
        <v>1</v>
      </c>
      <c r="K25" s="50">
        <v>2</v>
      </c>
      <c r="L25" s="50">
        <v>0</v>
      </c>
      <c r="M25" s="50">
        <v>52</v>
      </c>
      <c r="N25" s="50">
        <v>0</v>
      </c>
      <c r="O25" s="15">
        <f t="shared" si="0"/>
        <v>27</v>
      </c>
      <c r="P25" s="15">
        <f t="shared" si="1"/>
        <v>79</v>
      </c>
      <c r="R25" s="36" t="s">
        <v>149</v>
      </c>
      <c r="S25" s="34">
        <f>SUM(C70:C73)</f>
        <v>30</v>
      </c>
      <c r="T25" s="34">
        <f t="shared" ref="T25:AF25" si="17">SUM(D70:D73)</f>
        <v>10</v>
      </c>
      <c r="U25" s="34">
        <f t="shared" si="17"/>
        <v>3</v>
      </c>
      <c r="V25" s="34">
        <f t="shared" si="17"/>
        <v>5</v>
      </c>
      <c r="W25" s="34">
        <f t="shared" si="17"/>
        <v>1</v>
      </c>
      <c r="X25" s="34">
        <f t="shared" si="17"/>
        <v>0</v>
      </c>
      <c r="Y25" s="34">
        <f t="shared" si="17"/>
        <v>1</v>
      </c>
      <c r="Z25" s="34">
        <f t="shared" si="17"/>
        <v>3</v>
      </c>
      <c r="AA25" s="34">
        <f t="shared" si="17"/>
        <v>1</v>
      </c>
      <c r="AB25" s="34">
        <f t="shared" si="17"/>
        <v>0</v>
      </c>
      <c r="AC25" s="34">
        <f t="shared" si="17"/>
        <v>60</v>
      </c>
      <c r="AD25" s="34">
        <f t="shared" si="17"/>
        <v>0</v>
      </c>
      <c r="AE25" s="31">
        <f t="shared" si="17"/>
        <v>54</v>
      </c>
      <c r="AF25" s="31">
        <f t="shared" si="17"/>
        <v>114</v>
      </c>
    </row>
    <row r="26" spans="2:32" ht="23.1" customHeight="1" x14ac:dyDescent="0.25">
      <c r="B26" s="45" t="s">
        <v>53</v>
      </c>
      <c r="C26" s="50">
        <v>8</v>
      </c>
      <c r="D26" s="50">
        <v>3</v>
      </c>
      <c r="E26" s="50">
        <v>2</v>
      </c>
      <c r="F26" s="50">
        <v>7</v>
      </c>
      <c r="G26" s="50">
        <v>0</v>
      </c>
      <c r="H26" s="50">
        <v>0</v>
      </c>
      <c r="I26" s="50">
        <v>5</v>
      </c>
      <c r="J26" s="50">
        <v>2</v>
      </c>
      <c r="K26" s="50">
        <v>2</v>
      </c>
      <c r="L26" s="50">
        <v>0</v>
      </c>
      <c r="M26" s="50">
        <v>63</v>
      </c>
      <c r="N26" s="50">
        <v>0</v>
      </c>
      <c r="O26" s="15">
        <f t="shared" si="0"/>
        <v>29</v>
      </c>
      <c r="P26" s="15">
        <f t="shared" si="1"/>
        <v>92</v>
      </c>
      <c r="R26" s="36" t="s">
        <v>150</v>
      </c>
      <c r="S26" s="34">
        <f>SUM(C74:C77)</f>
        <v>14</v>
      </c>
      <c r="T26" s="34">
        <f t="shared" ref="T26:AF26" si="18">SUM(D74:D77)</f>
        <v>4</v>
      </c>
      <c r="U26" s="34">
        <f t="shared" si="18"/>
        <v>0</v>
      </c>
      <c r="V26" s="34">
        <f t="shared" si="18"/>
        <v>2</v>
      </c>
      <c r="W26" s="34">
        <f t="shared" si="18"/>
        <v>1</v>
      </c>
      <c r="X26" s="34">
        <f t="shared" si="18"/>
        <v>0</v>
      </c>
      <c r="Y26" s="34">
        <f t="shared" si="18"/>
        <v>1</v>
      </c>
      <c r="Z26" s="34">
        <f t="shared" si="18"/>
        <v>2</v>
      </c>
      <c r="AA26" s="34">
        <f t="shared" si="18"/>
        <v>1</v>
      </c>
      <c r="AB26" s="34">
        <f t="shared" si="18"/>
        <v>0</v>
      </c>
      <c r="AC26" s="34">
        <f t="shared" si="18"/>
        <v>26</v>
      </c>
      <c r="AD26" s="34">
        <f t="shared" si="18"/>
        <v>0</v>
      </c>
      <c r="AE26" s="31">
        <f t="shared" si="18"/>
        <v>25</v>
      </c>
      <c r="AF26" s="31">
        <f t="shared" si="18"/>
        <v>51</v>
      </c>
    </row>
    <row r="27" spans="2:32" ht="23.1" customHeight="1" x14ac:dyDescent="0.25">
      <c r="B27" s="45" t="s">
        <v>54</v>
      </c>
      <c r="C27" s="50">
        <v>4</v>
      </c>
      <c r="D27" s="50">
        <v>2</v>
      </c>
      <c r="E27" s="50">
        <v>2</v>
      </c>
      <c r="F27" s="50">
        <v>12</v>
      </c>
      <c r="G27" s="50">
        <v>0</v>
      </c>
      <c r="H27" s="50">
        <v>1</v>
      </c>
      <c r="I27" s="50">
        <v>2</v>
      </c>
      <c r="J27" s="50">
        <v>2</v>
      </c>
      <c r="K27" s="50">
        <v>0</v>
      </c>
      <c r="L27" s="50">
        <v>0</v>
      </c>
      <c r="M27" s="50">
        <v>66</v>
      </c>
      <c r="N27" s="50">
        <v>0</v>
      </c>
      <c r="O27" s="15">
        <f t="shared" si="0"/>
        <v>25</v>
      </c>
      <c r="P27" s="15">
        <f t="shared" si="1"/>
        <v>91</v>
      </c>
      <c r="R27" s="36" t="s">
        <v>151</v>
      </c>
      <c r="S27" s="34">
        <f>SUM(C78:C81)</f>
        <v>7</v>
      </c>
      <c r="T27" s="34">
        <f t="shared" ref="T27:AF27" si="19">SUM(D78:D81)</f>
        <v>1</v>
      </c>
      <c r="U27" s="34">
        <f t="shared" si="19"/>
        <v>0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14</v>
      </c>
      <c r="AD27" s="34">
        <f t="shared" si="19"/>
        <v>0</v>
      </c>
      <c r="AE27" s="31">
        <f t="shared" si="19"/>
        <v>9</v>
      </c>
      <c r="AF27" s="31">
        <f t="shared" si="19"/>
        <v>23</v>
      </c>
    </row>
    <row r="28" spans="2:32" ht="23.1" customHeight="1" x14ac:dyDescent="0.25">
      <c r="B28" s="45" t="s">
        <v>55</v>
      </c>
      <c r="C28" s="50">
        <v>8</v>
      </c>
      <c r="D28" s="50">
        <v>2</v>
      </c>
      <c r="E28" s="50">
        <v>3</v>
      </c>
      <c r="F28" s="50">
        <v>3</v>
      </c>
      <c r="G28" s="50">
        <v>1</v>
      </c>
      <c r="H28" s="50">
        <v>0</v>
      </c>
      <c r="I28" s="50">
        <v>8</v>
      </c>
      <c r="J28" s="50">
        <v>1</v>
      </c>
      <c r="K28" s="50">
        <v>0</v>
      </c>
      <c r="L28" s="50">
        <v>0</v>
      </c>
      <c r="M28" s="50">
        <v>48</v>
      </c>
      <c r="N28" s="50">
        <v>0</v>
      </c>
      <c r="O28" s="15">
        <f t="shared" si="0"/>
        <v>26</v>
      </c>
      <c r="P28" s="15">
        <f t="shared" si="1"/>
        <v>74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0</v>
      </c>
      <c r="AD28" s="34">
        <f t="shared" si="20"/>
        <v>0</v>
      </c>
      <c r="AE28" s="31">
        <f t="shared" si="20"/>
        <v>0</v>
      </c>
      <c r="AF28" s="31">
        <f t="shared" si="20"/>
        <v>0</v>
      </c>
    </row>
    <row r="29" spans="2:32" ht="23.1" customHeight="1" x14ac:dyDescent="0.25">
      <c r="B29" s="45" t="s">
        <v>56</v>
      </c>
      <c r="C29" s="50">
        <v>5</v>
      </c>
      <c r="D29" s="50">
        <v>3</v>
      </c>
      <c r="E29" s="50">
        <v>2</v>
      </c>
      <c r="F29" s="50">
        <v>7</v>
      </c>
      <c r="G29" s="50">
        <v>0</v>
      </c>
      <c r="H29" s="50">
        <v>0</v>
      </c>
      <c r="I29" s="50">
        <v>2</v>
      </c>
      <c r="J29" s="50">
        <v>4</v>
      </c>
      <c r="K29" s="50">
        <v>2</v>
      </c>
      <c r="L29" s="50">
        <v>0</v>
      </c>
      <c r="M29" s="50">
        <v>58</v>
      </c>
      <c r="N29" s="50">
        <v>0</v>
      </c>
      <c r="O29" s="15">
        <f t="shared" si="0"/>
        <v>25</v>
      </c>
      <c r="P29" s="15">
        <f t="shared" si="1"/>
        <v>83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0</v>
      </c>
      <c r="AD29" s="34">
        <f t="shared" si="21"/>
        <v>0</v>
      </c>
      <c r="AE29" s="31">
        <f t="shared" si="21"/>
        <v>0</v>
      </c>
      <c r="AF29" s="31">
        <f t="shared" si="21"/>
        <v>0</v>
      </c>
    </row>
    <row r="30" spans="2:32" ht="23.1" customHeight="1" x14ac:dyDescent="0.25">
      <c r="B30" s="45" t="s">
        <v>57</v>
      </c>
      <c r="C30" s="50">
        <v>13</v>
      </c>
      <c r="D30" s="50">
        <v>2</v>
      </c>
      <c r="E30" s="50">
        <v>4</v>
      </c>
      <c r="F30" s="50">
        <v>5</v>
      </c>
      <c r="G30" s="50">
        <v>0</v>
      </c>
      <c r="H30" s="50">
        <v>0</v>
      </c>
      <c r="I30" s="50">
        <v>2</v>
      </c>
      <c r="J30" s="50">
        <v>1</v>
      </c>
      <c r="K30" s="50">
        <v>0</v>
      </c>
      <c r="L30" s="50">
        <v>0</v>
      </c>
      <c r="M30" s="50">
        <v>45</v>
      </c>
      <c r="N30" s="50">
        <v>0</v>
      </c>
      <c r="O30" s="15">
        <f t="shared" si="0"/>
        <v>27</v>
      </c>
      <c r="P30" s="15">
        <f t="shared" si="1"/>
        <v>72</v>
      </c>
      <c r="R30" s="36" t="s">
        <v>154</v>
      </c>
      <c r="S30" s="34">
        <f>SUM(C90:C93)</f>
        <v>3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2</v>
      </c>
      <c r="AB30" s="34">
        <f t="shared" si="22"/>
        <v>0</v>
      </c>
      <c r="AC30" s="34">
        <f t="shared" si="22"/>
        <v>2</v>
      </c>
      <c r="AD30" s="34">
        <f t="shared" si="22"/>
        <v>0</v>
      </c>
      <c r="AE30" s="31">
        <f t="shared" si="22"/>
        <v>8</v>
      </c>
      <c r="AF30" s="31">
        <f t="shared" si="22"/>
        <v>10</v>
      </c>
    </row>
    <row r="31" spans="2:32" ht="23.1" customHeight="1" x14ac:dyDescent="0.25">
      <c r="B31" s="46" t="s">
        <v>58</v>
      </c>
      <c r="C31" s="50">
        <v>5</v>
      </c>
      <c r="D31" s="50">
        <v>2</v>
      </c>
      <c r="E31" s="50">
        <v>3</v>
      </c>
      <c r="F31" s="50">
        <v>6</v>
      </c>
      <c r="G31" s="50">
        <v>0</v>
      </c>
      <c r="H31" s="50">
        <v>0</v>
      </c>
      <c r="I31" s="50">
        <v>8</v>
      </c>
      <c r="J31" s="50">
        <v>2</v>
      </c>
      <c r="K31" s="50">
        <v>0</v>
      </c>
      <c r="L31" s="50">
        <v>0</v>
      </c>
      <c r="M31" s="50">
        <v>47</v>
      </c>
      <c r="N31" s="50">
        <v>0</v>
      </c>
      <c r="O31" s="15">
        <f t="shared" si="0"/>
        <v>26</v>
      </c>
      <c r="P31" s="15">
        <f t="shared" si="1"/>
        <v>73</v>
      </c>
      <c r="R31" s="36" t="s">
        <v>155</v>
      </c>
      <c r="S31" s="34">
        <f>SUM(C94:C97)</f>
        <v>3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2</v>
      </c>
      <c r="AA31" s="34">
        <f t="shared" si="23"/>
        <v>0</v>
      </c>
      <c r="AB31" s="34">
        <f t="shared" si="23"/>
        <v>0</v>
      </c>
      <c r="AC31" s="34">
        <f t="shared" si="23"/>
        <v>1</v>
      </c>
      <c r="AD31" s="34">
        <f t="shared" si="23"/>
        <v>0</v>
      </c>
      <c r="AE31" s="31">
        <f t="shared" si="23"/>
        <v>6</v>
      </c>
      <c r="AF31" s="31">
        <f t="shared" si="23"/>
        <v>7</v>
      </c>
    </row>
    <row r="32" spans="2:32" ht="23.1" customHeight="1" x14ac:dyDescent="0.25">
      <c r="B32" s="46" t="s">
        <v>59</v>
      </c>
      <c r="C32" s="50">
        <v>13</v>
      </c>
      <c r="D32" s="50">
        <v>2</v>
      </c>
      <c r="E32" s="50">
        <v>3</v>
      </c>
      <c r="F32" s="50">
        <v>6</v>
      </c>
      <c r="G32" s="50">
        <v>0</v>
      </c>
      <c r="H32" s="50">
        <v>0</v>
      </c>
      <c r="I32" s="50">
        <v>7</v>
      </c>
      <c r="J32" s="50">
        <v>2</v>
      </c>
      <c r="K32" s="50">
        <v>0</v>
      </c>
      <c r="L32" s="50">
        <v>0</v>
      </c>
      <c r="M32" s="50">
        <v>50</v>
      </c>
      <c r="N32" s="50">
        <v>0</v>
      </c>
      <c r="O32" s="15">
        <f t="shared" si="0"/>
        <v>33</v>
      </c>
      <c r="P32" s="15">
        <f t="shared" si="1"/>
        <v>83</v>
      </c>
      <c r="R32" s="33" t="s">
        <v>156</v>
      </c>
      <c r="S32" s="34">
        <f>SUM(C98:C101)</f>
        <v>14</v>
      </c>
      <c r="T32" s="34">
        <f t="shared" ref="T32:AF32" si="24">SUM(D98:D101)</f>
        <v>1</v>
      </c>
      <c r="U32" s="34">
        <f t="shared" si="24"/>
        <v>0</v>
      </c>
      <c r="V32" s="34">
        <f t="shared" si="24"/>
        <v>8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0</v>
      </c>
      <c r="AA32" s="34">
        <f t="shared" si="24"/>
        <v>8</v>
      </c>
      <c r="AB32" s="34">
        <f t="shared" si="24"/>
        <v>7</v>
      </c>
      <c r="AC32" s="34">
        <f t="shared" si="24"/>
        <v>25</v>
      </c>
      <c r="AD32" s="34">
        <f t="shared" si="24"/>
        <v>0</v>
      </c>
      <c r="AE32" s="31">
        <f t="shared" si="24"/>
        <v>40</v>
      </c>
      <c r="AF32" s="31">
        <f t="shared" si="24"/>
        <v>65</v>
      </c>
    </row>
    <row r="33" spans="2:32" ht="23.1" customHeight="1" x14ac:dyDescent="0.25">
      <c r="B33" s="45" t="s">
        <v>60</v>
      </c>
      <c r="C33" s="50">
        <v>7</v>
      </c>
      <c r="D33" s="50">
        <v>2</v>
      </c>
      <c r="E33" s="50">
        <v>1</v>
      </c>
      <c r="F33" s="50">
        <v>7</v>
      </c>
      <c r="G33" s="50">
        <v>0</v>
      </c>
      <c r="H33" s="50">
        <v>0</v>
      </c>
      <c r="I33" s="50">
        <v>2</v>
      </c>
      <c r="J33" s="50">
        <v>2</v>
      </c>
      <c r="K33" s="50">
        <v>0</v>
      </c>
      <c r="L33" s="50">
        <v>0</v>
      </c>
      <c r="M33" s="50">
        <v>62</v>
      </c>
      <c r="N33" s="50">
        <v>0</v>
      </c>
      <c r="O33" s="15">
        <f t="shared" si="0"/>
        <v>21</v>
      </c>
      <c r="P33" s="15">
        <f t="shared" si="1"/>
        <v>83</v>
      </c>
      <c r="R33" s="33" t="s">
        <v>157</v>
      </c>
      <c r="S33" s="34">
        <f>SUM(C102:C105)</f>
        <v>16</v>
      </c>
      <c r="T33" s="34">
        <f t="shared" ref="T33:AF33" si="25">SUM(D102:D105)</f>
        <v>5</v>
      </c>
      <c r="U33" s="34">
        <f t="shared" si="25"/>
        <v>2</v>
      </c>
      <c r="V33" s="34">
        <f t="shared" si="25"/>
        <v>19</v>
      </c>
      <c r="W33" s="34">
        <f t="shared" si="25"/>
        <v>1</v>
      </c>
      <c r="X33" s="34">
        <f t="shared" si="25"/>
        <v>0</v>
      </c>
      <c r="Y33" s="34">
        <f t="shared" si="25"/>
        <v>9</v>
      </c>
      <c r="Z33" s="34">
        <f t="shared" si="25"/>
        <v>1</v>
      </c>
      <c r="AA33" s="34">
        <f t="shared" si="25"/>
        <v>4</v>
      </c>
      <c r="AB33" s="34">
        <f t="shared" si="25"/>
        <v>0</v>
      </c>
      <c r="AC33" s="34">
        <f t="shared" si="25"/>
        <v>59</v>
      </c>
      <c r="AD33" s="34">
        <f t="shared" si="25"/>
        <v>0</v>
      </c>
      <c r="AE33" s="31">
        <f t="shared" si="25"/>
        <v>57</v>
      </c>
      <c r="AF33" s="31">
        <f t="shared" si="25"/>
        <v>116</v>
      </c>
    </row>
    <row r="34" spans="2:32" ht="23.1" customHeight="1" x14ac:dyDescent="0.25">
      <c r="B34" s="46" t="s">
        <v>61</v>
      </c>
      <c r="C34" s="50">
        <v>12</v>
      </c>
      <c r="D34" s="50">
        <v>2</v>
      </c>
      <c r="E34" s="50">
        <v>0</v>
      </c>
      <c r="F34" s="50">
        <v>7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25</v>
      </c>
      <c r="N34" s="50">
        <v>0</v>
      </c>
      <c r="O34" s="15">
        <f t="shared" si="0"/>
        <v>24</v>
      </c>
      <c r="P34" s="15">
        <f t="shared" si="1"/>
        <v>49</v>
      </c>
      <c r="R34" s="38" t="s">
        <v>90</v>
      </c>
      <c r="S34" s="39">
        <f t="shared" ref="S34:AF34" si="26">MAX(S10:S12)</f>
        <v>39</v>
      </c>
      <c r="T34" s="39">
        <f t="shared" si="26"/>
        <v>11</v>
      </c>
      <c r="U34" s="39">
        <f t="shared" si="26"/>
        <v>14</v>
      </c>
      <c r="V34" s="39">
        <f t="shared" si="26"/>
        <v>55</v>
      </c>
      <c r="W34" s="39">
        <f t="shared" si="26"/>
        <v>2</v>
      </c>
      <c r="X34" s="39">
        <f t="shared" si="26"/>
        <v>2</v>
      </c>
      <c r="Y34" s="39">
        <f t="shared" si="26"/>
        <v>17</v>
      </c>
      <c r="Z34" s="39">
        <f t="shared" si="26"/>
        <v>9</v>
      </c>
      <c r="AA34" s="39">
        <f t="shared" si="26"/>
        <v>1</v>
      </c>
      <c r="AB34" s="39">
        <f t="shared" si="26"/>
        <v>2</v>
      </c>
      <c r="AC34" s="39">
        <f t="shared" si="26"/>
        <v>228</v>
      </c>
      <c r="AD34" s="39">
        <f t="shared" si="26"/>
        <v>0</v>
      </c>
      <c r="AE34" s="40">
        <f t="shared" si="26"/>
        <v>139</v>
      </c>
      <c r="AF34" s="40">
        <f t="shared" si="26"/>
        <v>367</v>
      </c>
    </row>
    <row r="35" spans="2:32" ht="23.1" customHeight="1" x14ac:dyDescent="0.25">
      <c r="B35" s="46" t="s">
        <v>62</v>
      </c>
      <c r="C35" s="50">
        <v>3</v>
      </c>
      <c r="D35" s="50">
        <v>4</v>
      </c>
      <c r="E35" s="50">
        <v>1</v>
      </c>
      <c r="F35" s="50">
        <v>7</v>
      </c>
      <c r="G35" s="50">
        <v>0</v>
      </c>
      <c r="H35" s="50">
        <v>0</v>
      </c>
      <c r="I35" s="50">
        <v>7</v>
      </c>
      <c r="J35" s="50">
        <v>1</v>
      </c>
      <c r="K35" s="50">
        <v>0</v>
      </c>
      <c r="L35" s="50">
        <v>0</v>
      </c>
      <c r="M35" s="50">
        <v>25</v>
      </c>
      <c r="N35" s="50">
        <v>0</v>
      </c>
      <c r="O35" s="15">
        <f t="shared" si="0"/>
        <v>23</v>
      </c>
      <c r="P35" s="15">
        <f t="shared" si="1"/>
        <v>48</v>
      </c>
      <c r="R35" s="38" t="s">
        <v>91</v>
      </c>
      <c r="S35" s="39">
        <f t="shared" ref="S35:AF35" si="27">MAX(S13:S18)</f>
        <v>45</v>
      </c>
      <c r="T35" s="39">
        <f t="shared" si="27"/>
        <v>14</v>
      </c>
      <c r="U35" s="39">
        <f t="shared" si="27"/>
        <v>14</v>
      </c>
      <c r="V35" s="39">
        <f t="shared" si="27"/>
        <v>50</v>
      </c>
      <c r="W35" s="39">
        <f t="shared" si="27"/>
        <v>1</v>
      </c>
      <c r="X35" s="39">
        <f t="shared" si="27"/>
        <v>1</v>
      </c>
      <c r="Y35" s="39">
        <f t="shared" si="27"/>
        <v>19</v>
      </c>
      <c r="Z35" s="39">
        <f t="shared" si="27"/>
        <v>9</v>
      </c>
      <c r="AA35" s="39">
        <f t="shared" si="27"/>
        <v>7</v>
      </c>
      <c r="AB35" s="39">
        <f t="shared" si="27"/>
        <v>1</v>
      </c>
      <c r="AC35" s="39">
        <f t="shared" si="27"/>
        <v>235</v>
      </c>
      <c r="AD35" s="39">
        <f t="shared" si="27"/>
        <v>1</v>
      </c>
      <c r="AE35" s="40">
        <f t="shared" si="27"/>
        <v>121</v>
      </c>
      <c r="AF35" s="40">
        <f t="shared" si="27"/>
        <v>340</v>
      </c>
    </row>
    <row r="36" spans="2:32" ht="23.1" customHeight="1" x14ac:dyDescent="0.25">
      <c r="B36" s="46" t="s">
        <v>63</v>
      </c>
      <c r="C36" s="50">
        <v>4</v>
      </c>
      <c r="D36" s="50">
        <v>1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6</v>
      </c>
      <c r="L36" s="50">
        <v>1</v>
      </c>
      <c r="M36" s="50">
        <v>12</v>
      </c>
      <c r="N36" s="50">
        <v>0</v>
      </c>
      <c r="O36" s="15">
        <f t="shared" si="0"/>
        <v>13</v>
      </c>
      <c r="P36" s="15">
        <f t="shared" si="1"/>
        <v>25</v>
      </c>
      <c r="R36" s="38" t="s">
        <v>92</v>
      </c>
      <c r="S36" s="39">
        <f t="shared" ref="S36:AF36" si="28">MAX(S19:S21)</f>
        <v>104</v>
      </c>
      <c r="T36" s="39">
        <f t="shared" si="28"/>
        <v>27</v>
      </c>
      <c r="U36" s="39">
        <f t="shared" si="28"/>
        <v>13</v>
      </c>
      <c r="V36" s="39">
        <f t="shared" si="28"/>
        <v>60</v>
      </c>
      <c r="W36" s="39">
        <f t="shared" si="28"/>
        <v>1</v>
      </c>
      <c r="X36" s="39">
        <f t="shared" si="28"/>
        <v>0</v>
      </c>
      <c r="Y36" s="39">
        <f t="shared" si="28"/>
        <v>20</v>
      </c>
      <c r="Z36" s="39">
        <f t="shared" si="28"/>
        <v>10</v>
      </c>
      <c r="AA36" s="39">
        <f t="shared" si="28"/>
        <v>1</v>
      </c>
      <c r="AB36" s="39">
        <f t="shared" si="28"/>
        <v>2</v>
      </c>
      <c r="AC36" s="39">
        <f t="shared" si="28"/>
        <v>288</v>
      </c>
      <c r="AD36" s="39">
        <f t="shared" si="28"/>
        <v>0</v>
      </c>
      <c r="AE36" s="40">
        <f t="shared" si="28"/>
        <v>219</v>
      </c>
      <c r="AF36" s="40">
        <f t="shared" si="28"/>
        <v>507</v>
      </c>
    </row>
    <row r="37" spans="2:32" ht="23.1" customHeight="1" x14ac:dyDescent="0.25">
      <c r="B37" s="45" t="s">
        <v>64</v>
      </c>
      <c r="C37" s="50">
        <v>10</v>
      </c>
      <c r="D37" s="50">
        <v>3</v>
      </c>
      <c r="E37" s="50">
        <v>1</v>
      </c>
      <c r="F37" s="50">
        <v>9</v>
      </c>
      <c r="G37" s="50">
        <v>0</v>
      </c>
      <c r="H37" s="50">
        <v>0</v>
      </c>
      <c r="I37" s="50">
        <v>4</v>
      </c>
      <c r="J37" s="50">
        <v>1</v>
      </c>
      <c r="K37" s="50">
        <v>1</v>
      </c>
      <c r="L37" s="50">
        <v>0</v>
      </c>
      <c r="M37" s="50">
        <v>58</v>
      </c>
      <c r="N37" s="50">
        <v>0</v>
      </c>
      <c r="O37" s="15">
        <f t="shared" si="0"/>
        <v>29</v>
      </c>
      <c r="P37" s="15">
        <f t="shared" si="1"/>
        <v>87</v>
      </c>
      <c r="R37" s="37" t="s">
        <v>85</v>
      </c>
      <c r="S37" s="35">
        <f t="shared" ref="S37:AF37" si="29">SUM(S10:S12)</f>
        <v>97</v>
      </c>
      <c r="T37" s="16">
        <f t="shared" si="29"/>
        <v>29</v>
      </c>
      <c r="U37" s="16">
        <f t="shared" si="29"/>
        <v>24</v>
      </c>
      <c r="V37" s="16">
        <f t="shared" si="29"/>
        <v>157</v>
      </c>
      <c r="W37" s="16">
        <f t="shared" si="29"/>
        <v>4</v>
      </c>
      <c r="X37" s="16">
        <f t="shared" si="29"/>
        <v>3</v>
      </c>
      <c r="Y37" s="16">
        <f t="shared" si="29"/>
        <v>40</v>
      </c>
      <c r="Z37" s="16">
        <f t="shared" si="29"/>
        <v>19</v>
      </c>
      <c r="AA37" s="16">
        <f t="shared" si="29"/>
        <v>1</v>
      </c>
      <c r="AB37" s="16">
        <f t="shared" si="29"/>
        <v>2</v>
      </c>
      <c r="AC37" s="16">
        <f t="shared" si="29"/>
        <v>615</v>
      </c>
      <c r="AD37" s="16">
        <f t="shared" si="29"/>
        <v>0</v>
      </c>
      <c r="AE37" s="32">
        <f t="shared" si="29"/>
        <v>376</v>
      </c>
      <c r="AF37" s="32">
        <f t="shared" si="29"/>
        <v>991</v>
      </c>
    </row>
    <row r="38" spans="2:32" ht="23.1" customHeight="1" x14ac:dyDescent="0.25">
      <c r="B38" s="46" t="s">
        <v>65</v>
      </c>
      <c r="C38" s="50">
        <v>15</v>
      </c>
      <c r="D38" s="50">
        <v>4</v>
      </c>
      <c r="E38" s="50">
        <v>5</v>
      </c>
      <c r="F38" s="50">
        <v>10</v>
      </c>
      <c r="G38" s="50">
        <v>0</v>
      </c>
      <c r="H38" s="50">
        <v>0</v>
      </c>
      <c r="I38" s="50">
        <v>3</v>
      </c>
      <c r="J38" s="50">
        <v>0</v>
      </c>
      <c r="K38" s="50">
        <v>2</v>
      </c>
      <c r="L38" s="50">
        <v>0</v>
      </c>
      <c r="M38" s="50">
        <v>45</v>
      </c>
      <c r="N38" s="50">
        <v>0</v>
      </c>
      <c r="O38" s="15">
        <f t="shared" si="0"/>
        <v>39</v>
      </c>
      <c r="P38" s="15">
        <f t="shared" si="1"/>
        <v>84</v>
      </c>
      <c r="R38" s="28" t="s">
        <v>86</v>
      </c>
      <c r="S38" s="16">
        <f t="shared" ref="S38:AF38" si="30">SUM(S13:S18)</f>
        <v>197</v>
      </c>
      <c r="T38" s="16">
        <f t="shared" si="30"/>
        <v>62</v>
      </c>
      <c r="U38" s="16">
        <f t="shared" si="30"/>
        <v>60</v>
      </c>
      <c r="V38" s="16">
        <f t="shared" si="30"/>
        <v>182</v>
      </c>
      <c r="W38" s="16">
        <f t="shared" si="30"/>
        <v>1</v>
      </c>
      <c r="X38" s="16">
        <f t="shared" si="30"/>
        <v>2</v>
      </c>
      <c r="Y38" s="16">
        <f t="shared" si="30"/>
        <v>96</v>
      </c>
      <c r="Z38" s="16">
        <f t="shared" si="30"/>
        <v>30</v>
      </c>
      <c r="AA38" s="16">
        <f t="shared" si="30"/>
        <v>18</v>
      </c>
      <c r="AB38" s="16">
        <f t="shared" si="30"/>
        <v>1</v>
      </c>
      <c r="AC38" s="16">
        <f t="shared" si="30"/>
        <v>1125</v>
      </c>
      <c r="AD38" s="16">
        <f t="shared" si="30"/>
        <v>1</v>
      </c>
      <c r="AE38" s="32">
        <f t="shared" si="30"/>
        <v>650</v>
      </c>
      <c r="AF38" s="32">
        <f t="shared" si="30"/>
        <v>1775</v>
      </c>
    </row>
    <row r="39" spans="2:32" ht="23.1" customHeight="1" x14ac:dyDescent="0.25">
      <c r="B39" s="46" t="s">
        <v>66</v>
      </c>
      <c r="C39" s="50">
        <v>9</v>
      </c>
      <c r="D39" s="50">
        <v>4</v>
      </c>
      <c r="E39" s="50">
        <v>4</v>
      </c>
      <c r="F39" s="50">
        <v>6</v>
      </c>
      <c r="G39" s="50">
        <v>0</v>
      </c>
      <c r="H39" s="50">
        <v>0</v>
      </c>
      <c r="I39" s="50">
        <v>6</v>
      </c>
      <c r="J39" s="50">
        <v>1</v>
      </c>
      <c r="K39" s="50">
        <v>1</v>
      </c>
      <c r="L39" s="50">
        <v>0</v>
      </c>
      <c r="M39" s="50">
        <v>32</v>
      </c>
      <c r="N39" s="50">
        <v>0</v>
      </c>
      <c r="O39" s="15">
        <f t="shared" si="0"/>
        <v>31</v>
      </c>
      <c r="P39" s="15">
        <f t="shared" si="1"/>
        <v>63</v>
      </c>
      <c r="R39" s="29" t="s">
        <v>87</v>
      </c>
      <c r="S39" s="16">
        <f t="shared" ref="S39:AF39" si="31">SUM(S19:S21)</f>
        <v>267</v>
      </c>
      <c r="T39" s="16">
        <f t="shared" si="31"/>
        <v>56</v>
      </c>
      <c r="U39" s="16">
        <f t="shared" si="31"/>
        <v>25</v>
      </c>
      <c r="V39" s="16">
        <f t="shared" si="31"/>
        <v>133</v>
      </c>
      <c r="W39" s="16">
        <f t="shared" si="31"/>
        <v>1</v>
      </c>
      <c r="X39" s="16">
        <f t="shared" si="31"/>
        <v>0</v>
      </c>
      <c r="Y39" s="16">
        <f t="shared" si="31"/>
        <v>43</v>
      </c>
      <c r="Z39" s="16">
        <f t="shared" si="31"/>
        <v>19</v>
      </c>
      <c r="AA39" s="16">
        <f t="shared" si="31"/>
        <v>1</v>
      </c>
      <c r="AB39" s="16">
        <f t="shared" si="31"/>
        <v>3</v>
      </c>
      <c r="AC39" s="16">
        <f t="shared" si="31"/>
        <v>709</v>
      </c>
      <c r="AD39" s="16">
        <f t="shared" si="31"/>
        <v>0</v>
      </c>
      <c r="AE39" s="32">
        <f t="shared" si="31"/>
        <v>548</v>
      </c>
      <c r="AF39" s="32">
        <f t="shared" si="31"/>
        <v>1257</v>
      </c>
    </row>
    <row r="40" spans="2:32" ht="23.1" customHeight="1" x14ac:dyDescent="0.25">
      <c r="B40" s="46" t="s">
        <v>67</v>
      </c>
      <c r="C40" s="50">
        <v>3</v>
      </c>
      <c r="D40" s="50">
        <v>3</v>
      </c>
      <c r="E40" s="50">
        <v>2</v>
      </c>
      <c r="F40" s="50">
        <v>6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46</v>
      </c>
      <c r="N40" s="50">
        <v>0</v>
      </c>
      <c r="O40" s="15">
        <f t="shared" si="0"/>
        <v>17</v>
      </c>
      <c r="P40" s="15">
        <f t="shared" si="1"/>
        <v>63</v>
      </c>
      <c r="R40" s="5" t="s">
        <v>17</v>
      </c>
      <c r="S40" s="16">
        <f t="shared" ref="S40:AF40" si="32">SUM(S10:S21)</f>
        <v>561</v>
      </c>
      <c r="T40" s="16">
        <f t="shared" si="32"/>
        <v>147</v>
      </c>
      <c r="U40" s="16">
        <f t="shared" si="32"/>
        <v>109</v>
      </c>
      <c r="V40" s="16">
        <f t="shared" si="32"/>
        <v>472</v>
      </c>
      <c r="W40" s="16">
        <f t="shared" si="32"/>
        <v>6</v>
      </c>
      <c r="X40" s="16">
        <f t="shared" si="32"/>
        <v>5</v>
      </c>
      <c r="Y40" s="16">
        <f t="shared" si="32"/>
        <v>179</v>
      </c>
      <c r="Z40" s="16">
        <f t="shared" si="32"/>
        <v>68</v>
      </c>
      <c r="AA40" s="16">
        <f t="shared" si="32"/>
        <v>20</v>
      </c>
      <c r="AB40" s="16">
        <f t="shared" si="32"/>
        <v>6</v>
      </c>
      <c r="AC40" s="16">
        <f t="shared" si="32"/>
        <v>2449</v>
      </c>
      <c r="AD40" s="16">
        <f t="shared" si="32"/>
        <v>1</v>
      </c>
      <c r="AE40" s="32">
        <f t="shared" si="32"/>
        <v>1574</v>
      </c>
      <c r="AF40" s="32">
        <f t="shared" si="32"/>
        <v>4023</v>
      </c>
    </row>
    <row r="41" spans="2:32" ht="23.1" customHeight="1" x14ac:dyDescent="0.25">
      <c r="B41" s="45" t="s">
        <v>68</v>
      </c>
      <c r="C41" s="50">
        <v>8</v>
      </c>
      <c r="D41" s="50">
        <v>3</v>
      </c>
      <c r="E41" s="50">
        <v>2</v>
      </c>
      <c r="F41" s="50">
        <v>5</v>
      </c>
      <c r="G41" s="50">
        <v>0</v>
      </c>
      <c r="H41" s="50">
        <v>1</v>
      </c>
      <c r="I41" s="50">
        <v>5</v>
      </c>
      <c r="J41" s="50">
        <v>0</v>
      </c>
      <c r="K41" s="50">
        <v>1</v>
      </c>
      <c r="L41" s="50">
        <v>0</v>
      </c>
      <c r="M41" s="50">
        <v>60</v>
      </c>
      <c r="N41" s="50">
        <v>0</v>
      </c>
      <c r="O41" s="15">
        <f t="shared" si="0"/>
        <v>25</v>
      </c>
      <c r="P41" s="15">
        <f t="shared" si="1"/>
        <v>85</v>
      </c>
      <c r="R41" s="5" t="s">
        <v>159</v>
      </c>
      <c r="S41" s="16">
        <f>SUM(S10:S33)</f>
        <v>853</v>
      </c>
      <c r="T41" s="16">
        <f t="shared" ref="T41:AF41" si="33">SUM(T10:T33)</f>
        <v>245</v>
      </c>
      <c r="U41" s="16">
        <f t="shared" si="33"/>
        <v>146</v>
      </c>
      <c r="V41" s="16">
        <f t="shared" si="33"/>
        <v>631</v>
      </c>
      <c r="W41" s="16">
        <f t="shared" si="33"/>
        <v>15</v>
      </c>
      <c r="X41" s="16">
        <f t="shared" si="33"/>
        <v>6</v>
      </c>
      <c r="Y41" s="16">
        <f t="shared" si="33"/>
        <v>218</v>
      </c>
      <c r="Z41" s="16">
        <f t="shared" si="33"/>
        <v>83</v>
      </c>
      <c r="AA41" s="16">
        <f t="shared" si="33"/>
        <v>40</v>
      </c>
      <c r="AB41" s="16">
        <f t="shared" si="33"/>
        <v>16</v>
      </c>
      <c r="AC41" s="16">
        <f t="shared" si="33"/>
        <v>3296</v>
      </c>
      <c r="AD41" s="16">
        <f t="shared" si="33"/>
        <v>1</v>
      </c>
      <c r="AE41" s="32">
        <f t="shared" si="33"/>
        <v>2254</v>
      </c>
      <c r="AF41" s="32">
        <f t="shared" si="33"/>
        <v>5550</v>
      </c>
    </row>
    <row r="42" spans="2:32" ht="23.1" customHeight="1" x14ac:dyDescent="0.25">
      <c r="B42" s="46" t="s">
        <v>69</v>
      </c>
      <c r="C42" s="50">
        <v>9</v>
      </c>
      <c r="D42" s="50">
        <v>4</v>
      </c>
      <c r="E42" s="50">
        <v>5</v>
      </c>
      <c r="F42" s="50">
        <v>10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45</v>
      </c>
      <c r="N42" s="50">
        <v>0</v>
      </c>
      <c r="O42" s="15">
        <f t="shared" si="0"/>
        <v>31</v>
      </c>
      <c r="P42" s="15">
        <f t="shared" si="1"/>
        <v>76</v>
      </c>
      <c r="R42" s="5" t="s">
        <v>160</v>
      </c>
      <c r="S42" s="48">
        <f>S41/S40</f>
        <v>1.5204991087344029</v>
      </c>
      <c r="T42" s="48">
        <f t="shared" ref="T42:AF42" si="34">T41/T40</f>
        <v>1.6666666666666667</v>
      </c>
      <c r="U42" s="48">
        <f t="shared" si="34"/>
        <v>1.3394495412844036</v>
      </c>
      <c r="V42" s="48">
        <f t="shared" si="34"/>
        <v>1.3368644067796611</v>
      </c>
      <c r="W42" s="48">
        <f t="shared" si="34"/>
        <v>2.5</v>
      </c>
      <c r="X42" s="48">
        <f t="shared" si="34"/>
        <v>1.2</v>
      </c>
      <c r="Y42" s="48">
        <f t="shared" si="34"/>
        <v>1.217877094972067</v>
      </c>
      <c r="Z42" s="48">
        <f t="shared" si="34"/>
        <v>1.2205882352941178</v>
      </c>
      <c r="AA42" s="48">
        <f t="shared" si="34"/>
        <v>2</v>
      </c>
      <c r="AB42" s="48">
        <f t="shared" si="34"/>
        <v>2.6666666666666665</v>
      </c>
      <c r="AC42" s="48">
        <f t="shared" si="34"/>
        <v>1.3458554512045733</v>
      </c>
      <c r="AD42" s="48">
        <f t="shared" si="34"/>
        <v>1</v>
      </c>
      <c r="AE42" s="48">
        <f t="shared" si="34"/>
        <v>1.432020330368488</v>
      </c>
      <c r="AF42" s="48">
        <f t="shared" si="34"/>
        <v>1.3795674869500374</v>
      </c>
    </row>
    <row r="43" spans="2:32" ht="23.1" customHeight="1" x14ac:dyDescent="0.25">
      <c r="B43" s="45" t="s">
        <v>70</v>
      </c>
      <c r="C43" s="50">
        <v>14</v>
      </c>
      <c r="D43" s="50">
        <v>5</v>
      </c>
      <c r="E43" s="50">
        <v>2</v>
      </c>
      <c r="F43" s="50">
        <v>6</v>
      </c>
      <c r="G43" s="50">
        <v>0</v>
      </c>
      <c r="H43" s="50">
        <v>0</v>
      </c>
      <c r="I43" s="50">
        <v>7</v>
      </c>
      <c r="J43" s="50">
        <v>2</v>
      </c>
      <c r="K43" s="50">
        <v>0</v>
      </c>
      <c r="L43" s="50">
        <v>0</v>
      </c>
      <c r="M43" s="50">
        <v>40</v>
      </c>
      <c r="N43" s="50">
        <v>0</v>
      </c>
      <c r="O43" s="15">
        <f t="shared" si="0"/>
        <v>36</v>
      </c>
      <c r="P43" s="15">
        <f t="shared" si="1"/>
        <v>76</v>
      </c>
    </row>
    <row r="44" spans="2:32" ht="23.1" customHeight="1" x14ac:dyDescent="0.25">
      <c r="B44" s="47" t="s">
        <v>71</v>
      </c>
      <c r="C44" s="50">
        <v>9</v>
      </c>
      <c r="D44" s="50">
        <v>2</v>
      </c>
      <c r="E44" s="50">
        <v>3</v>
      </c>
      <c r="F44" s="50">
        <v>6</v>
      </c>
      <c r="G44" s="50">
        <v>0</v>
      </c>
      <c r="H44" s="50">
        <v>0</v>
      </c>
      <c r="I44" s="50">
        <v>4</v>
      </c>
      <c r="J44" s="50">
        <v>0</v>
      </c>
      <c r="K44" s="50">
        <v>0</v>
      </c>
      <c r="L44" s="50">
        <v>0</v>
      </c>
      <c r="M44" s="50">
        <v>55</v>
      </c>
      <c r="N44" s="50">
        <v>0</v>
      </c>
      <c r="O44" s="15">
        <f t="shared" si="0"/>
        <v>24</v>
      </c>
      <c r="P44" s="15">
        <f t="shared" si="1"/>
        <v>79</v>
      </c>
    </row>
    <row r="45" spans="2:32" ht="23.1" customHeight="1" x14ac:dyDescent="0.25">
      <c r="B45" s="45" t="s">
        <v>72</v>
      </c>
      <c r="C45" s="50">
        <v>13</v>
      </c>
      <c r="D45" s="50">
        <v>3</v>
      </c>
      <c r="E45" s="50">
        <v>4</v>
      </c>
      <c r="F45" s="50">
        <v>6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49</v>
      </c>
      <c r="N45" s="50">
        <v>0</v>
      </c>
      <c r="O45" s="15">
        <f t="shared" si="0"/>
        <v>30</v>
      </c>
      <c r="P45" s="15">
        <f t="shared" si="1"/>
        <v>79</v>
      </c>
    </row>
    <row r="46" spans="2:32" ht="23.1" customHeight="1" x14ac:dyDescent="0.25">
      <c r="B46" s="46" t="s">
        <v>73</v>
      </c>
      <c r="C46" s="50">
        <v>12</v>
      </c>
      <c r="D46" s="50">
        <v>2</v>
      </c>
      <c r="E46" s="50">
        <v>1</v>
      </c>
      <c r="F46" s="50">
        <v>8</v>
      </c>
      <c r="G46" s="50">
        <v>0</v>
      </c>
      <c r="H46" s="50">
        <v>0</v>
      </c>
      <c r="I46" s="50">
        <v>5</v>
      </c>
      <c r="J46" s="50">
        <v>1</v>
      </c>
      <c r="K46" s="50">
        <v>0</v>
      </c>
      <c r="L46" s="50">
        <v>2</v>
      </c>
      <c r="M46" s="50">
        <v>47</v>
      </c>
      <c r="N46" s="50">
        <v>0</v>
      </c>
      <c r="O46" s="15">
        <f t="shared" si="0"/>
        <v>31</v>
      </c>
      <c r="P46" s="15">
        <f t="shared" si="1"/>
        <v>78</v>
      </c>
      <c r="R46" s="8"/>
      <c r="T46"/>
    </row>
    <row r="47" spans="2:32" ht="23.1" customHeight="1" x14ac:dyDescent="0.25">
      <c r="B47" s="46" t="s">
        <v>74</v>
      </c>
      <c r="C47" s="50">
        <v>16</v>
      </c>
      <c r="D47" s="50">
        <v>3</v>
      </c>
      <c r="E47" s="50">
        <v>2</v>
      </c>
      <c r="F47" s="50">
        <v>3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36</v>
      </c>
      <c r="N47" s="50">
        <v>0</v>
      </c>
      <c r="O47" s="15">
        <f t="shared" si="0"/>
        <v>26</v>
      </c>
      <c r="P47" s="15">
        <f t="shared" si="1"/>
        <v>62</v>
      </c>
      <c r="R47" s="8"/>
      <c r="T47"/>
    </row>
    <row r="48" spans="2:32" ht="23.1" customHeight="1" x14ac:dyDescent="0.25">
      <c r="B48" s="46" t="s">
        <v>75</v>
      </c>
      <c r="C48" s="50">
        <v>18</v>
      </c>
      <c r="D48" s="50">
        <v>4</v>
      </c>
      <c r="E48" s="50">
        <v>6</v>
      </c>
      <c r="F48" s="50">
        <v>9</v>
      </c>
      <c r="G48" s="50">
        <v>0</v>
      </c>
      <c r="H48" s="50">
        <v>0</v>
      </c>
      <c r="I48" s="50">
        <v>3</v>
      </c>
      <c r="J48" s="50">
        <v>2</v>
      </c>
      <c r="K48" s="50">
        <v>0</v>
      </c>
      <c r="L48" s="50">
        <v>0</v>
      </c>
      <c r="M48" s="50">
        <v>53</v>
      </c>
      <c r="N48" s="50">
        <v>0</v>
      </c>
      <c r="O48" s="15">
        <f t="shared" si="0"/>
        <v>42</v>
      </c>
      <c r="P48" s="15">
        <f t="shared" si="1"/>
        <v>95</v>
      </c>
      <c r="R48" s="8"/>
      <c r="T48"/>
    </row>
    <row r="49" spans="2:20" ht="23.1" customHeight="1" x14ac:dyDescent="0.25">
      <c r="B49" s="45" t="s">
        <v>76</v>
      </c>
      <c r="C49" s="50">
        <v>16</v>
      </c>
      <c r="D49" s="50">
        <v>5</v>
      </c>
      <c r="E49" s="50">
        <v>4</v>
      </c>
      <c r="F49" s="50">
        <v>8</v>
      </c>
      <c r="G49" s="50">
        <v>0</v>
      </c>
      <c r="H49" s="50">
        <v>0</v>
      </c>
      <c r="I49" s="50">
        <v>1</v>
      </c>
      <c r="J49" s="50">
        <v>2</v>
      </c>
      <c r="K49" s="50">
        <v>0</v>
      </c>
      <c r="L49" s="50">
        <v>0</v>
      </c>
      <c r="M49" s="50">
        <v>53</v>
      </c>
      <c r="N49" s="50">
        <v>0</v>
      </c>
      <c r="O49" s="15">
        <f t="shared" si="0"/>
        <v>36</v>
      </c>
      <c r="P49" s="15">
        <f t="shared" si="1"/>
        <v>89</v>
      </c>
      <c r="R49" s="8"/>
      <c r="T49"/>
    </row>
    <row r="50" spans="2:20" ht="23.1" customHeight="1" x14ac:dyDescent="0.25">
      <c r="B50" s="46" t="s">
        <v>77</v>
      </c>
      <c r="C50" s="50">
        <v>23</v>
      </c>
      <c r="D50" s="50">
        <v>5</v>
      </c>
      <c r="E50" s="50">
        <v>2</v>
      </c>
      <c r="F50" s="50">
        <v>10</v>
      </c>
      <c r="G50" s="50">
        <v>0</v>
      </c>
      <c r="H50" s="50">
        <v>0</v>
      </c>
      <c r="I50" s="50">
        <v>0</v>
      </c>
      <c r="J50" s="50">
        <v>2</v>
      </c>
      <c r="K50" s="50">
        <v>0</v>
      </c>
      <c r="L50" s="50">
        <v>0</v>
      </c>
      <c r="M50" s="50">
        <v>52</v>
      </c>
      <c r="N50" s="50">
        <v>0</v>
      </c>
      <c r="O50" s="15">
        <f t="shared" si="0"/>
        <v>42</v>
      </c>
      <c r="P50" s="15">
        <f t="shared" si="1"/>
        <v>94</v>
      </c>
      <c r="R50" s="8"/>
      <c r="T50"/>
    </row>
    <row r="51" spans="2:20" ht="23.1" customHeight="1" x14ac:dyDescent="0.25">
      <c r="B51" s="46" t="s">
        <v>78</v>
      </c>
      <c r="C51" s="50">
        <v>28</v>
      </c>
      <c r="D51" s="50">
        <v>2</v>
      </c>
      <c r="E51" s="50">
        <v>0</v>
      </c>
      <c r="F51" s="50">
        <v>10</v>
      </c>
      <c r="G51" s="50">
        <v>0</v>
      </c>
      <c r="H51" s="50">
        <v>0</v>
      </c>
      <c r="I51" s="50">
        <v>5</v>
      </c>
      <c r="J51" s="50">
        <v>5</v>
      </c>
      <c r="K51" s="50">
        <v>0</v>
      </c>
      <c r="L51" s="50">
        <v>0</v>
      </c>
      <c r="M51" s="50">
        <v>50</v>
      </c>
      <c r="N51" s="50">
        <v>0</v>
      </c>
      <c r="O51" s="15">
        <f t="shared" si="0"/>
        <v>50</v>
      </c>
      <c r="P51" s="15">
        <f t="shared" si="1"/>
        <v>100</v>
      </c>
      <c r="R51" s="8"/>
      <c r="T51"/>
    </row>
    <row r="52" spans="2:20" ht="23.1" customHeight="1" x14ac:dyDescent="0.25">
      <c r="B52" s="46" t="s">
        <v>79</v>
      </c>
      <c r="C52" s="50">
        <v>18</v>
      </c>
      <c r="D52" s="50">
        <v>3</v>
      </c>
      <c r="E52" s="50">
        <v>3</v>
      </c>
      <c r="F52" s="50">
        <v>12</v>
      </c>
      <c r="G52" s="50">
        <v>1</v>
      </c>
      <c r="H52" s="50">
        <v>0</v>
      </c>
      <c r="I52" s="50">
        <v>3</v>
      </c>
      <c r="J52" s="50">
        <v>2</v>
      </c>
      <c r="K52" s="50">
        <v>0</v>
      </c>
      <c r="L52" s="50">
        <v>0</v>
      </c>
      <c r="M52" s="50">
        <v>70</v>
      </c>
      <c r="N52" s="50">
        <v>0</v>
      </c>
      <c r="O52" s="15">
        <f t="shared" si="0"/>
        <v>42</v>
      </c>
      <c r="P52" s="15">
        <f t="shared" si="1"/>
        <v>112</v>
      </c>
      <c r="R52" s="8"/>
      <c r="T52"/>
    </row>
    <row r="53" spans="2:20" ht="23.1" customHeight="1" x14ac:dyDescent="0.25">
      <c r="B53" s="45" t="s">
        <v>80</v>
      </c>
      <c r="C53" s="50">
        <v>35</v>
      </c>
      <c r="D53" s="50">
        <v>5</v>
      </c>
      <c r="E53" s="50">
        <v>1</v>
      </c>
      <c r="F53" s="50">
        <v>13</v>
      </c>
      <c r="G53" s="50">
        <v>0</v>
      </c>
      <c r="H53" s="50">
        <v>0</v>
      </c>
      <c r="I53" s="50">
        <v>4</v>
      </c>
      <c r="J53" s="50">
        <v>1</v>
      </c>
      <c r="K53" s="50">
        <v>0</v>
      </c>
      <c r="L53" s="50">
        <v>1</v>
      </c>
      <c r="M53" s="50">
        <v>60</v>
      </c>
      <c r="N53" s="50">
        <v>0</v>
      </c>
      <c r="O53" s="15">
        <f t="shared" si="0"/>
        <v>60</v>
      </c>
      <c r="P53" s="15">
        <f t="shared" si="1"/>
        <v>120</v>
      </c>
      <c r="R53" s="8"/>
      <c r="T53"/>
    </row>
    <row r="54" spans="2:20" ht="23.1" customHeight="1" x14ac:dyDescent="0.25">
      <c r="B54" s="45" t="s">
        <v>81</v>
      </c>
      <c r="C54" s="50">
        <v>29</v>
      </c>
      <c r="D54" s="50">
        <v>7</v>
      </c>
      <c r="E54" s="50">
        <v>0</v>
      </c>
      <c r="F54" s="50">
        <v>13</v>
      </c>
      <c r="G54" s="50">
        <v>0</v>
      </c>
      <c r="H54" s="50">
        <v>0</v>
      </c>
      <c r="I54" s="50">
        <v>5</v>
      </c>
      <c r="J54" s="50">
        <v>0</v>
      </c>
      <c r="K54" s="50">
        <v>0</v>
      </c>
      <c r="L54" s="50">
        <v>0</v>
      </c>
      <c r="M54" s="50">
        <v>81</v>
      </c>
      <c r="N54" s="50">
        <v>0</v>
      </c>
      <c r="O54" s="15">
        <f t="shared" si="0"/>
        <v>54</v>
      </c>
      <c r="P54" s="15">
        <f t="shared" si="1"/>
        <v>135</v>
      </c>
      <c r="R54" s="8"/>
      <c r="T54"/>
    </row>
    <row r="55" spans="2:20" ht="23.1" customHeight="1" x14ac:dyDescent="0.25">
      <c r="B55" s="45" t="s">
        <v>82</v>
      </c>
      <c r="C55" s="50">
        <v>26</v>
      </c>
      <c r="D55" s="50">
        <v>8</v>
      </c>
      <c r="E55" s="50">
        <v>3</v>
      </c>
      <c r="F55" s="50">
        <v>17</v>
      </c>
      <c r="G55" s="50">
        <v>0</v>
      </c>
      <c r="H55" s="50">
        <v>0</v>
      </c>
      <c r="I55" s="50">
        <v>7</v>
      </c>
      <c r="J55" s="50">
        <v>2</v>
      </c>
      <c r="K55" s="50">
        <v>0</v>
      </c>
      <c r="L55" s="50">
        <v>0</v>
      </c>
      <c r="M55" s="50">
        <v>67</v>
      </c>
      <c r="N55" s="50">
        <v>0</v>
      </c>
      <c r="O55" s="15">
        <f t="shared" si="0"/>
        <v>63</v>
      </c>
      <c r="P55" s="15">
        <f t="shared" si="1"/>
        <v>130</v>
      </c>
      <c r="R55" s="8"/>
      <c r="T55"/>
    </row>
    <row r="56" spans="2:20" ht="23.1" customHeight="1" x14ac:dyDescent="0.25">
      <c r="B56" s="45" t="s">
        <v>83</v>
      </c>
      <c r="C56" s="50">
        <v>18</v>
      </c>
      <c r="D56" s="50">
        <v>7</v>
      </c>
      <c r="E56" s="50">
        <v>2</v>
      </c>
      <c r="F56" s="50">
        <v>14</v>
      </c>
      <c r="G56" s="50">
        <v>0</v>
      </c>
      <c r="H56" s="50">
        <v>0</v>
      </c>
      <c r="I56" s="50">
        <v>3</v>
      </c>
      <c r="J56" s="50">
        <v>0</v>
      </c>
      <c r="K56" s="50">
        <v>1</v>
      </c>
      <c r="L56" s="50">
        <v>0</v>
      </c>
      <c r="M56" s="50">
        <v>65</v>
      </c>
      <c r="N56" s="50">
        <v>0</v>
      </c>
      <c r="O56" s="15">
        <f t="shared" si="0"/>
        <v>45</v>
      </c>
      <c r="P56" s="15">
        <f t="shared" si="1"/>
        <v>110</v>
      </c>
      <c r="R56" s="8"/>
      <c r="T56"/>
    </row>
    <row r="57" spans="2:20" ht="23.1" customHeight="1" x14ac:dyDescent="0.25">
      <c r="B57" s="45" t="s">
        <v>84</v>
      </c>
      <c r="C57" s="50">
        <v>28</v>
      </c>
      <c r="D57" s="50">
        <v>5</v>
      </c>
      <c r="E57" s="50">
        <v>1</v>
      </c>
      <c r="F57" s="50">
        <v>16</v>
      </c>
      <c r="G57" s="50">
        <v>0</v>
      </c>
      <c r="H57" s="50">
        <v>0</v>
      </c>
      <c r="I57" s="50">
        <v>5</v>
      </c>
      <c r="J57" s="50">
        <v>2</v>
      </c>
      <c r="K57" s="50">
        <v>0</v>
      </c>
      <c r="L57" s="50">
        <v>0</v>
      </c>
      <c r="M57" s="50">
        <v>75</v>
      </c>
      <c r="N57" s="50">
        <v>0</v>
      </c>
      <c r="O57" s="15">
        <f t="shared" si="0"/>
        <v>57</v>
      </c>
      <c r="P57" s="15">
        <f t="shared" si="1"/>
        <v>132</v>
      </c>
      <c r="R57" s="8"/>
      <c r="T57"/>
    </row>
    <row r="58" spans="2:20" ht="23.1" customHeight="1" x14ac:dyDescent="0.25">
      <c r="B58" s="45" t="s">
        <v>99</v>
      </c>
      <c r="C58" s="50">
        <v>25</v>
      </c>
      <c r="D58" s="50">
        <v>18</v>
      </c>
      <c r="E58" s="50">
        <v>4</v>
      </c>
      <c r="F58" s="50">
        <v>20</v>
      </c>
      <c r="G58" s="50">
        <v>1</v>
      </c>
      <c r="H58" s="50">
        <v>0</v>
      </c>
      <c r="I58" s="50">
        <v>2</v>
      </c>
      <c r="J58" s="50">
        <v>1</v>
      </c>
      <c r="K58" s="50">
        <v>0</v>
      </c>
      <c r="L58" s="50">
        <v>0</v>
      </c>
      <c r="M58" s="50">
        <v>68</v>
      </c>
      <c r="N58" s="50">
        <v>0</v>
      </c>
      <c r="O58" s="15">
        <f t="shared" ref="O58:O105" si="35">SUM(C58:L58,N58)</f>
        <v>71</v>
      </c>
      <c r="P58" s="15">
        <f t="shared" ref="P58:P105" si="36">SUM(C58:N58)</f>
        <v>139</v>
      </c>
      <c r="R58" s="8"/>
      <c r="T58"/>
    </row>
    <row r="59" spans="2:20" ht="23.1" customHeight="1" x14ac:dyDescent="0.25">
      <c r="B59" s="45" t="s">
        <v>100</v>
      </c>
      <c r="C59" s="50">
        <v>19</v>
      </c>
      <c r="D59" s="50">
        <v>10</v>
      </c>
      <c r="E59" s="50">
        <v>8</v>
      </c>
      <c r="F59" s="50">
        <v>24</v>
      </c>
      <c r="G59" s="50">
        <v>1</v>
      </c>
      <c r="H59" s="50">
        <v>1</v>
      </c>
      <c r="I59" s="50">
        <v>2</v>
      </c>
      <c r="J59" s="50">
        <v>0</v>
      </c>
      <c r="K59" s="50">
        <v>0</v>
      </c>
      <c r="L59" s="50">
        <v>0</v>
      </c>
      <c r="M59" s="50">
        <v>90</v>
      </c>
      <c r="N59" s="50">
        <v>0</v>
      </c>
      <c r="O59" s="15">
        <f t="shared" si="35"/>
        <v>65</v>
      </c>
      <c r="P59" s="15">
        <f t="shared" si="36"/>
        <v>155</v>
      </c>
      <c r="R59" s="8"/>
      <c r="T59"/>
    </row>
    <row r="60" spans="2:20" ht="23.1" customHeight="1" x14ac:dyDescent="0.25">
      <c r="B60" s="45" t="s">
        <v>101</v>
      </c>
      <c r="C60" s="50">
        <v>30</v>
      </c>
      <c r="D60" s="50">
        <v>13</v>
      </c>
      <c r="E60" s="50">
        <v>3</v>
      </c>
      <c r="F60" s="50">
        <v>15</v>
      </c>
      <c r="G60" s="50">
        <v>0</v>
      </c>
      <c r="H60" s="50">
        <v>0</v>
      </c>
      <c r="I60" s="50">
        <v>8</v>
      </c>
      <c r="J60" s="50">
        <v>0</v>
      </c>
      <c r="K60" s="50">
        <v>0</v>
      </c>
      <c r="L60" s="50">
        <v>0</v>
      </c>
      <c r="M60" s="50">
        <v>69</v>
      </c>
      <c r="N60" s="50">
        <v>0</v>
      </c>
      <c r="O60" s="15">
        <f t="shared" si="35"/>
        <v>69</v>
      </c>
      <c r="P60" s="15">
        <f t="shared" si="36"/>
        <v>138</v>
      </c>
      <c r="R60" s="8"/>
      <c r="T60"/>
    </row>
    <row r="61" spans="2:20" ht="23.1" customHeight="1" x14ac:dyDescent="0.25">
      <c r="B61" s="45" t="s">
        <v>102</v>
      </c>
      <c r="C61" s="50">
        <v>2</v>
      </c>
      <c r="D61" s="50">
        <v>0</v>
      </c>
      <c r="E61" s="50">
        <v>0</v>
      </c>
      <c r="F61" s="50">
        <v>1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2</v>
      </c>
      <c r="M61" s="50">
        <v>20</v>
      </c>
      <c r="N61" s="50">
        <v>0</v>
      </c>
      <c r="O61" s="15">
        <f t="shared" si="35"/>
        <v>5</v>
      </c>
      <c r="P61" s="15">
        <f t="shared" si="36"/>
        <v>25</v>
      </c>
      <c r="R61" s="8"/>
      <c r="T61"/>
    </row>
    <row r="62" spans="2:20" ht="23.1" customHeight="1" x14ac:dyDescent="0.25">
      <c r="B62" s="45" t="s">
        <v>107</v>
      </c>
      <c r="C62" s="50">
        <v>0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0</v>
      </c>
      <c r="N62" s="50">
        <v>0</v>
      </c>
      <c r="O62" s="15">
        <f t="shared" si="35"/>
        <v>0</v>
      </c>
      <c r="P62" s="15">
        <f t="shared" si="36"/>
        <v>0</v>
      </c>
      <c r="R62" s="8"/>
      <c r="T62"/>
    </row>
    <row r="63" spans="2:20" ht="23.1" customHeight="1" x14ac:dyDescent="0.25">
      <c r="B63" s="45" t="s">
        <v>108</v>
      </c>
      <c r="C63" s="50">
        <v>11</v>
      </c>
      <c r="D63" s="50">
        <v>5</v>
      </c>
      <c r="E63" s="50">
        <v>4</v>
      </c>
      <c r="F63" s="50">
        <v>14</v>
      </c>
      <c r="G63" s="50">
        <v>0</v>
      </c>
      <c r="H63" s="50">
        <v>0</v>
      </c>
      <c r="I63" s="50">
        <v>4</v>
      </c>
      <c r="J63" s="50">
        <v>0</v>
      </c>
      <c r="K63" s="50">
        <v>0</v>
      </c>
      <c r="L63" s="50">
        <v>1</v>
      </c>
      <c r="M63" s="50">
        <v>72</v>
      </c>
      <c r="N63" s="50">
        <v>0</v>
      </c>
      <c r="O63" s="15">
        <f t="shared" si="35"/>
        <v>39</v>
      </c>
      <c r="P63" s="15">
        <f t="shared" si="36"/>
        <v>111</v>
      </c>
      <c r="R63" s="8"/>
      <c r="T63"/>
    </row>
    <row r="64" spans="2:20" ht="23.1" customHeight="1" x14ac:dyDescent="0.25">
      <c r="B64" s="45" t="s">
        <v>109</v>
      </c>
      <c r="C64" s="50">
        <v>42</v>
      </c>
      <c r="D64" s="50">
        <v>9</v>
      </c>
      <c r="E64" s="50">
        <v>6</v>
      </c>
      <c r="F64" s="50">
        <v>12</v>
      </c>
      <c r="G64" s="50">
        <v>1</v>
      </c>
      <c r="H64" s="50">
        <v>0</v>
      </c>
      <c r="I64" s="50">
        <v>2</v>
      </c>
      <c r="J64" s="50">
        <v>0</v>
      </c>
      <c r="K64" s="50">
        <v>0</v>
      </c>
      <c r="L64" s="50">
        <v>0</v>
      </c>
      <c r="M64" s="50">
        <v>110</v>
      </c>
      <c r="N64" s="50">
        <v>0</v>
      </c>
      <c r="O64" s="15">
        <f t="shared" si="35"/>
        <v>72</v>
      </c>
      <c r="P64" s="15">
        <f t="shared" si="36"/>
        <v>182</v>
      </c>
      <c r="R64" s="8"/>
      <c r="T64"/>
    </row>
    <row r="65" spans="2:20" ht="23.1" customHeight="1" x14ac:dyDescent="0.25">
      <c r="B65" s="45" t="s">
        <v>158</v>
      </c>
      <c r="C65" s="50">
        <v>25</v>
      </c>
      <c r="D65" s="50">
        <v>3</v>
      </c>
      <c r="E65" s="50">
        <v>1</v>
      </c>
      <c r="F65" s="50">
        <v>18</v>
      </c>
      <c r="G65" s="50">
        <v>0</v>
      </c>
      <c r="H65" s="50">
        <v>0</v>
      </c>
      <c r="I65" s="50">
        <v>1</v>
      </c>
      <c r="J65" s="50">
        <v>2</v>
      </c>
      <c r="K65" s="50">
        <v>0</v>
      </c>
      <c r="L65" s="50">
        <v>0</v>
      </c>
      <c r="M65" s="50">
        <v>80</v>
      </c>
      <c r="N65" s="50">
        <v>0</v>
      </c>
      <c r="O65" s="15">
        <f t="shared" si="35"/>
        <v>50</v>
      </c>
      <c r="P65" s="15">
        <f t="shared" si="36"/>
        <v>130</v>
      </c>
      <c r="R65" s="8"/>
      <c r="T65"/>
    </row>
    <row r="66" spans="2:20" ht="23.1" customHeight="1" x14ac:dyDescent="0.25">
      <c r="B66" s="45" t="s">
        <v>103</v>
      </c>
      <c r="C66" s="50">
        <v>13</v>
      </c>
      <c r="D66" s="50">
        <v>5</v>
      </c>
      <c r="E66" s="50">
        <v>0</v>
      </c>
      <c r="F66" s="50">
        <v>10</v>
      </c>
      <c r="G66" s="50">
        <v>1</v>
      </c>
      <c r="H66" s="50">
        <v>0</v>
      </c>
      <c r="I66" s="50">
        <v>2</v>
      </c>
      <c r="J66" s="50">
        <v>0</v>
      </c>
      <c r="K66" s="50">
        <v>1</v>
      </c>
      <c r="L66" s="50">
        <v>0</v>
      </c>
      <c r="M66" s="50">
        <v>46</v>
      </c>
      <c r="N66" s="50">
        <v>0</v>
      </c>
      <c r="O66" s="15">
        <f t="shared" si="35"/>
        <v>32</v>
      </c>
      <c r="P66" s="15">
        <f t="shared" si="36"/>
        <v>78</v>
      </c>
      <c r="R66" s="8"/>
      <c r="T66"/>
    </row>
    <row r="67" spans="2:20" ht="23.1" customHeight="1" x14ac:dyDescent="0.25">
      <c r="B67" s="45" t="s">
        <v>104</v>
      </c>
      <c r="C67" s="50">
        <v>9</v>
      </c>
      <c r="D67" s="50">
        <v>7</v>
      </c>
      <c r="E67" s="50">
        <v>1</v>
      </c>
      <c r="F67" s="50">
        <v>4</v>
      </c>
      <c r="G67" s="50">
        <v>0</v>
      </c>
      <c r="H67" s="50">
        <v>0</v>
      </c>
      <c r="I67" s="50">
        <v>3</v>
      </c>
      <c r="J67" s="50">
        <v>1</v>
      </c>
      <c r="K67" s="50">
        <v>1</v>
      </c>
      <c r="L67" s="50">
        <v>0</v>
      </c>
      <c r="M67" s="50">
        <v>41</v>
      </c>
      <c r="N67" s="50">
        <v>0</v>
      </c>
      <c r="O67" s="15">
        <f t="shared" si="35"/>
        <v>26</v>
      </c>
      <c r="P67" s="15">
        <f t="shared" si="36"/>
        <v>67</v>
      </c>
      <c r="R67" s="8"/>
      <c r="T67"/>
    </row>
    <row r="68" spans="2:20" ht="23.1" customHeight="1" x14ac:dyDescent="0.25">
      <c r="B68" s="45" t="s">
        <v>105</v>
      </c>
      <c r="C68" s="50">
        <v>18</v>
      </c>
      <c r="D68" s="50">
        <v>2</v>
      </c>
      <c r="E68" s="50">
        <v>2</v>
      </c>
      <c r="F68" s="50">
        <v>2</v>
      </c>
      <c r="G68" s="50">
        <v>1</v>
      </c>
      <c r="H68" s="50">
        <v>0</v>
      </c>
      <c r="I68" s="50">
        <v>2</v>
      </c>
      <c r="J68" s="50">
        <v>0</v>
      </c>
      <c r="K68" s="50">
        <v>2</v>
      </c>
      <c r="L68" s="50">
        <v>0</v>
      </c>
      <c r="M68" s="50">
        <v>37</v>
      </c>
      <c r="N68" s="50">
        <v>0</v>
      </c>
      <c r="O68" s="15">
        <f t="shared" si="35"/>
        <v>29</v>
      </c>
      <c r="P68" s="15">
        <f t="shared" si="36"/>
        <v>66</v>
      </c>
      <c r="R68" s="8"/>
      <c r="T68"/>
    </row>
    <row r="69" spans="2:20" ht="23.1" customHeight="1" x14ac:dyDescent="0.25">
      <c r="B69" s="45" t="s">
        <v>106</v>
      </c>
      <c r="C69" s="50">
        <v>11</v>
      </c>
      <c r="D69" s="50">
        <v>5</v>
      </c>
      <c r="E69" s="50">
        <v>2</v>
      </c>
      <c r="F69" s="50">
        <v>3</v>
      </c>
      <c r="G69" s="50">
        <v>1</v>
      </c>
      <c r="H69" s="50">
        <v>0</v>
      </c>
      <c r="I69" s="50">
        <v>0</v>
      </c>
      <c r="J69" s="50">
        <v>1</v>
      </c>
      <c r="K69" s="50">
        <v>0</v>
      </c>
      <c r="L69" s="50">
        <v>0</v>
      </c>
      <c r="M69" s="50">
        <v>27</v>
      </c>
      <c r="N69" s="50">
        <v>0</v>
      </c>
      <c r="O69" s="15">
        <f t="shared" si="35"/>
        <v>23</v>
      </c>
      <c r="P69" s="15">
        <f t="shared" si="36"/>
        <v>50</v>
      </c>
      <c r="R69" s="8"/>
      <c r="T69"/>
    </row>
    <row r="70" spans="2:20" ht="23.1" customHeight="1" x14ac:dyDescent="0.25">
      <c r="B70" s="45" t="s">
        <v>110</v>
      </c>
      <c r="C70" s="50">
        <v>13</v>
      </c>
      <c r="D70" s="50">
        <v>3</v>
      </c>
      <c r="E70" s="50">
        <v>2</v>
      </c>
      <c r="F70" s="50">
        <v>3</v>
      </c>
      <c r="G70" s="50">
        <v>0</v>
      </c>
      <c r="H70" s="50">
        <v>0</v>
      </c>
      <c r="I70" s="50">
        <v>1</v>
      </c>
      <c r="J70" s="50">
        <v>0</v>
      </c>
      <c r="K70" s="50">
        <v>1</v>
      </c>
      <c r="L70" s="50">
        <v>0</v>
      </c>
      <c r="M70" s="50">
        <v>19</v>
      </c>
      <c r="N70" s="50">
        <v>0</v>
      </c>
      <c r="O70" s="15">
        <f t="shared" si="35"/>
        <v>23</v>
      </c>
      <c r="P70" s="15">
        <f t="shared" si="36"/>
        <v>42</v>
      </c>
      <c r="R70" s="8"/>
      <c r="T70"/>
    </row>
    <row r="71" spans="2:20" ht="23.1" customHeight="1" x14ac:dyDescent="0.25">
      <c r="B71" s="45" t="s">
        <v>111</v>
      </c>
      <c r="C71" s="50">
        <v>4</v>
      </c>
      <c r="D71" s="50">
        <v>0</v>
      </c>
      <c r="E71" s="50">
        <v>1</v>
      </c>
      <c r="F71" s="50">
        <v>0</v>
      </c>
      <c r="G71" s="50">
        <v>1</v>
      </c>
      <c r="H71" s="50">
        <v>0</v>
      </c>
      <c r="I71" s="50">
        <v>0</v>
      </c>
      <c r="J71" s="50">
        <v>1</v>
      </c>
      <c r="K71" s="50">
        <v>0</v>
      </c>
      <c r="L71" s="50">
        <v>0</v>
      </c>
      <c r="M71" s="50">
        <v>18</v>
      </c>
      <c r="N71" s="50">
        <v>0</v>
      </c>
      <c r="O71" s="15">
        <f t="shared" si="35"/>
        <v>7</v>
      </c>
      <c r="P71" s="15">
        <f t="shared" si="36"/>
        <v>25</v>
      </c>
      <c r="R71" s="8"/>
      <c r="T71"/>
    </row>
    <row r="72" spans="2:20" ht="23.1" customHeight="1" x14ac:dyDescent="0.25">
      <c r="B72" s="45" t="s">
        <v>112</v>
      </c>
      <c r="C72" s="50">
        <v>8</v>
      </c>
      <c r="D72" s="50">
        <v>2</v>
      </c>
      <c r="E72" s="50">
        <v>0</v>
      </c>
      <c r="F72" s="50">
        <v>1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14</v>
      </c>
      <c r="N72" s="50">
        <v>0</v>
      </c>
      <c r="O72" s="15">
        <f t="shared" si="35"/>
        <v>11</v>
      </c>
      <c r="P72" s="15">
        <f t="shared" si="36"/>
        <v>25</v>
      </c>
      <c r="R72" s="8"/>
      <c r="T72"/>
    </row>
    <row r="73" spans="2:20" ht="23.1" customHeight="1" x14ac:dyDescent="0.25">
      <c r="B73" s="45" t="s">
        <v>113</v>
      </c>
      <c r="C73" s="50">
        <v>5</v>
      </c>
      <c r="D73" s="50">
        <v>5</v>
      </c>
      <c r="E73" s="50">
        <v>0</v>
      </c>
      <c r="F73" s="50">
        <v>1</v>
      </c>
      <c r="G73" s="50">
        <v>0</v>
      </c>
      <c r="H73" s="50">
        <v>0</v>
      </c>
      <c r="I73" s="50">
        <v>0</v>
      </c>
      <c r="J73" s="50">
        <v>2</v>
      </c>
      <c r="K73" s="50">
        <v>0</v>
      </c>
      <c r="L73" s="50">
        <v>0</v>
      </c>
      <c r="M73" s="50">
        <v>9</v>
      </c>
      <c r="N73" s="50">
        <v>0</v>
      </c>
      <c r="O73" s="15">
        <f t="shared" si="35"/>
        <v>13</v>
      </c>
      <c r="P73" s="15">
        <f t="shared" si="36"/>
        <v>22</v>
      </c>
      <c r="R73" s="8"/>
      <c r="T73"/>
    </row>
    <row r="74" spans="2:20" ht="23.1" customHeight="1" x14ac:dyDescent="0.25">
      <c r="B74" s="45" t="s">
        <v>114</v>
      </c>
      <c r="C74" s="50">
        <v>3</v>
      </c>
      <c r="D74" s="50">
        <v>1</v>
      </c>
      <c r="E74" s="50">
        <v>0</v>
      </c>
      <c r="F74" s="50">
        <v>1</v>
      </c>
      <c r="G74" s="50">
        <v>1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5</v>
      </c>
      <c r="N74" s="50">
        <v>0</v>
      </c>
      <c r="O74" s="15">
        <f t="shared" si="35"/>
        <v>6</v>
      </c>
      <c r="P74" s="15">
        <f t="shared" si="36"/>
        <v>11</v>
      </c>
      <c r="R74" s="8"/>
      <c r="T74"/>
    </row>
    <row r="75" spans="2:20" ht="23.1" customHeight="1" x14ac:dyDescent="0.25">
      <c r="B75" s="45" t="s">
        <v>115</v>
      </c>
      <c r="C75" s="50">
        <v>5</v>
      </c>
      <c r="D75" s="50">
        <v>3</v>
      </c>
      <c r="E75" s="50">
        <v>0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9</v>
      </c>
      <c r="N75" s="50">
        <v>0</v>
      </c>
      <c r="O75" s="15">
        <f t="shared" si="35"/>
        <v>9</v>
      </c>
      <c r="P75" s="15">
        <f t="shared" si="36"/>
        <v>18</v>
      </c>
      <c r="R75" s="8"/>
      <c r="T75"/>
    </row>
    <row r="76" spans="2:20" ht="23.1" customHeight="1" x14ac:dyDescent="0.25">
      <c r="B76" s="45" t="s">
        <v>116</v>
      </c>
      <c r="C76" s="50">
        <v>4</v>
      </c>
      <c r="D76" s="50">
        <v>0</v>
      </c>
      <c r="E76" s="50">
        <v>0</v>
      </c>
      <c r="F76" s="50">
        <v>0</v>
      </c>
      <c r="G76" s="50">
        <v>0</v>
      </c>
      <c r="H76" s="50">
        <v>0</v>
      </c>
      <c r="I76" s="50">
        <v>1</v>
      </c>
      <c r="J76" s="50">
        <v>1</v>
      </c>
      <c r="K76" s="50">
        <v>0</v>
      </c>
      <c r="L76" s="50">
        <v>0</v>
      </c>
      <c r="M76" s="50">
        <v>3</v>
      </c>
      <c r="N76" s="50">
        <v>0</v>
      </c>
      <c r="O76" s="15">
        <f t="shared" si="35"/>
        <v>6</v>
      </c>
      <c r="P76" s="15">
        <f t="shared" si="36"/>
        <v>9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1</v>
      </c>
      <c r="K77" s="50">
        <v>1</v>
      </c>
      <c r="L77" s="50">
        <v>0</v>
      </c>
      <c r="M77" s="50">
        <v>9</v>
      </c>
      <c r="N77" s="50">
        <v>0</v>
      </c>
      <c r="O77" s="15">
        <f t="shared" si="35"/>
        <v>4</v>
      </c>
      <c r="P77" s="15">
        <f t="shared" si="36"/>
        <v>13</v>
      </c>
      <c r="R77" s="8"/>
      <c r="T77"/>
    </row>
    <row r="78" spans="2:20" ht="23.1" customHeight="1" x14ac:dyDescent="0.25">
      <c r="B78" s="46" t="s">
        <v>118</v>
      </c>
      <c r="C78" s="50">
        <v>3</v>
      </c>
      <c r="D78" s="50">
        <v>1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9</v>
      </c>
      <c r="N78" s="50">
        <v>0</v>
      </c>
      <c r="O78" s="15">
        <f t="shared" si="35"/>
        <v>4</v>
      </c>
      <c r="P78" s="15">
        <f t="shared" si="36"/>
        <v>13</v>
      </c>
      <c r="R78" s="8"/>
      <c r="T78"/>
    </row>
    <row r="79" spans="2:20" ht="23.1" customHeight="1" x14ac:dyDescent="0.25">
      <c r="B79" s="45" t="s">
        <v>119</v>
      </c>
      <c r="C79" s="50">
        <v>4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5</v>
      </c>
      <c r="N79" s="50">
        <v>0</v>
      </c>
      <c r="O79" s="15">
        <f t="shared" si="35"/>
        <v>5</v>
      </c>
      <c r="P79" s="15">
        <f t="shared" si="36"/>
        <v>10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0</v>
      </c>
      <c r="P80" s="15">
        <f t="shared" si="36"/>
        <v>0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0</v>
      </c>
      <c r="P81" s="15">
        <f t="shared" si="36"/>
        <v>0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15">
        <f t="shared" si="35"/>
        <v>0</v>
      </c>
      <c r="P82" s="15">
        <f t="shared" si="36"/>
        <v>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15">
        <f t="shared" si="35"/>
        <v>0</v>
      </c>
      <c r="P83" s="15">
        <f t="shared" si="36"/>
        <v>0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15">
        <f t="shared" si="35"/>
        <v>0</v>
      </c>
      <c r="P86" s="15">
        <f t="shared" si="36"/>
        <v>0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0</v>
      </c>
      <c r="P89" s="15">
        <f t="shared" si="36"/>
        <v>0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1</v>
      </c>
      <c r="K90" s="50">
        <v>1</v>
      </c>
      <c r="L90" s="50">
        <v>0</v>
      </c>
      <c r="M90" s="50">
        <v>1</v>
      </c>
      <c r="N90" s="50">
        <v>0</v>
      </c>
      <c r="O90" s="15">
        <f t="shared" si="35"/>
        <v>4</v>
      </c>
      <c r="P90" s="15">
        <f t="shared" si="36"/>
        <v>5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1</v>
      </c>
      <c r="L91" s="50">
        <v>0</v>
      </c>
      <c r="M91" s="50">
        <v>1</v>
      </c>
      <c r="N91" s="50">
        <v>0</v>
      </c>
      <c r="O91" s="15">
        <f t="shared" si="35"/>
        <v>2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v>1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2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3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1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4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1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1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1</v>
      </c>
      <c r="P97" s="15">
        <f t="shared" si="36"/>
        <v>1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0</v>
      </c>
      <c r="G98" s="50">
        <v>0</v>
      </c>
      <c r="H98" s="50">
        <v>0</v>
      </c>
      <c r="I98" s="50">
        <v>1</v>
      </c>
      <c r="J98" s="50">
        <v>0</v>
      </c>
      <c r="K98" s="50">
        <v>3</v>
      </c>
      <c r="L98" s="50">
        <v>0</v>
      </c>
      <c r="M98" s="50">
        <v>4</v>
      </c>
      <c r="N98" s="50">
        <v>0</v>
      </c>
      <c r="O98" s="15">
        <f t="shared" si="35"/>
        <v>5</v>
      </c>
      <c r="P98" s="15">
        <f t="shared" si="36"/>
        <v>9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1</v>
      </c>
      <c r="E99" s="50">
        <v>0</v>
      </c>
      <c r="F99" s="50">
        <v>2</v>
      </c>
      <c r="G99" s="50">
        <v>0</v>
      </c>
      <c r="H99" s="50">
        <v>0</v>
      </c>
      <c r="I99" s="50">
        <v>1</v>
      </c>
      <c r="J99" s="50">
        <v>0</v>
      </c>
      <c r="K99" s="50">
        <v>1</v>
      </c>
      <c r="L99" s="50">
        <v>0</v>
      </c>
      <c r="M99" s="50">
        <v>4</v>
      </c>
      <c r="N99" s="50">
        <v>0</v>
      </c>
      <c r="O99" s="15">
        <f t="shared" si="35"/>
        <v>8</v>
      </c>
      <c r="P99" s="15">
        <f t="shared" si="36"/>
        <v>12</v>
      </c>
      <c r="R99" s="8"/>
      <c r="T99"/>
    </row>
    <row r="100" spans="2:20" ht="23.1" customHeight="1" x14ac:dyDescent="0.25">
      <c r="B100" s="47" t="s">
        <v>140</v>
      </c>
      <c r="C100" s="50">
        <v>6</v>
      </c>
      <c r="D100" s="50">
        <v>0</v>
      </c>
      <c r="E100" s="50">
        <v>0</v>
      </c>
      <c r="F100" s="50">
        <v>3</v>
      </c>
      <c r="G100" s="50">
        <v>0</v>
      </c>
      <c r="H100" s="50">
        <v>0</v>
      </c>
      <c r="I100" s="50">
        <v>0</v>
      </c>
      <c r="J100" s="50">
        <v>0</v>
      </c>
      <c r="K100" s="50">
        <v>2</v>
      </c>
      <c r="L100" s="50">
        <v>7</v>
      </c>
      <c r="M100" s="50">
        <v>10</v>
      </c>
      <c r="N100" s="50">
        <v>0</v>
      </c>
      <c r="O100" s="15">
        <f t="shared" si="35"/>
        <v>18</v>
      </c>
      <c r="P100" s="15">
        <f t="shared" si="36"/>
        <v>28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0</v>
      </c>
      <c r="E101" s="50">
        <v>0</v>
      </c>
      <c r="F101" s="50">
        <v>3</v>
      </c>
      <c r="G101" s="50">
        <v>0</v>
      </c>
      <c r="H101" s="50">
        <v>0</v>
      </c>
      <c r="I101" s="50">
        <v>0</v>
      </c>
      <c r="J101" s="50">
        <v>0</v>
      </c>
      <c r="K101" s="50">
        <v>2</v>
      </c>
      <c r="L101" s="50">
        <v>0</v>
      </c>
      <c r="M101" s="50">
        <v>7</v>
      </c>
      <c r="N101" s="50">
        <v>0</v>
      </c>
      <c r="O101" s="15">
        <f t="shared" si="35"/>
        <v>9</v>
      </c>
      <c r="P101" s="15">
        <f t="shared" si="36"/>
        <v>16</v>
      </c>
      <c r="R101" s="8"/>
      <c r="T101"/>
    </row>
    <row r="102" spans="2:20" ht="23.1" customHeight="1" x14ac:dyDescent="0.25">
      <c r="B102" s="46" t="s">
        <v>142</v>
      </c>
      <c r="C102" s="50">
        <v>6</v>
      </c>
      <c r="D102" s="50">
        <v>1</v>
      </c>
      <c r="E102" s="50">
        <v>0</v>
      </c>
      <c r="F102" s="50">
        <v>2</v>
      </c>
      <c r="G102" s="50">
        <v>0</v>
      </c>
      <c r="H102" s="50">
        <v>0</v>
      </c>
      <c r="I102" s="50">
        <v>3</v>
      </c>
      <c r="J102" s="50">
        <v>0</v>
      </c>
      <c r="K102" s="50">
        <v>0</v>
      </c>
      <c r="L102" s="50">
        <v>0</v>
      </c>
      <c r="M102" s="50">
        <v>17</v>
      </c>
      <c r="N102" s="50">
        <v>0</v>
      </c>
      <c r="O102" s="15">
        <f t="shared" si="35"/>
        <v>12</v>
      </c>
      <c r="P102" s="15">
        <f t="shared" si="36"/>
        <v>29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0</v>
      </c>
      <c r="E103" s="50">
        <v>0</v>
      </c>
      <c r="F103" s="50">
        <v>8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12</v>
      </c>
      <c r="N103" s="50">
        <v>0</v>
      </c>
      <c r="O103" s="15">
        <f t="shared" si="35"/>
        <v>12</v>
      </c>
      <c r="P103" s="15">
        <f t="shared" si="36"/>
        <v>24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3</v>
      </c>
      <c r="E104" s="50">
        <v>2</v>
      </c>
      <c r="F104" s="50">
        <v>5</v>
      </c>
      <c r="G104" s="50">
        <v>1</v>
      </c>
      <c r="H104" s="50">
        <v>0</v>
      </c>
      <c r="I104" s="50">
        <v>2</v>
      </c>
      <c r="J104" s="50">
        <v>0</v>
      </c>
      <c r="K104" s="50">
        <v>1</v>
      </c>
      <c r="L104" s="50">
        <v>0</v>
      </c>
      <c r="M104" s="50">
        <v>12</v>
      </c>
      <c r="N104" s="50">
        <v>0</v>
      </c>
      <c r="O104" s="15">
        <f t="shared" si="35"/>
        <v>19</v>
      </c>
      <c r="P104" s="15">
        <f t="shared" si="36"/>
        <v>31</v>
      </c>
      <c r="R104" s="8"/>
      <c r="T104"/>
    </row>
    <row r="105" spans="2:20" ht="23.1" customHeight="1" x14ac:dyDescent="0.25">
      <c r="B105" s="45" t="s">
        <v>145</v>
      </c>
      <c r="C105" s="50">
        <v>2</v>
      </c>
      <c r="D105" s="50">
        <v>1</v>
      </c>
      <c r="E105" s="50">
        <v>0</v>
      </c>
      <c r="F105" s="50">
        <v>4</v>
      </c>
      <c r="G105" s="50">
        <v>0</v>
      </c>
      <c r="H105" s="50">
        <v>0</v>
      </c>
      <c r="I105" s="50">
        <v>3</v>
      </c>
      <c r="J105" s="50">
        <v>1</v>
      </c>
      <c r="K105" s="50">
        <v>3</v>
      </c>
      <c r="L105" s="50">
        <v>0</v>
      </c>
      <c r="M105" s="50">
        <v>18</v>
      </c>
      <c r="N105" s="50">
        <v>0</v>
      </c>
      <c r="O105" s="15">
        <f t="shared" si="35"/>
        <v>14</v>
      </c>
      <c r="P105" s="15">
        <f t="shared" si="36"/>
        <v>32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853</v>
      </c>
      <c r="D106" s="16">
        <f t="shared" ref="D106:P106" si="37">SUM(D10:D105)</f>
        <v>245</v>
      </c>
      <c r="E106" s="16">
        <f t="shared" si="37"/>
        <v>146</v>
      </c>
      <c r="F106" s="16">
        <f t="shared" si="37"/>
        <v>631</v>
      </c>
      <c r="G106" s="16">
        <f t="shared" si="37"/>
        <v>15</v>
      </c>
      <c r="H106" s="16">
        <f t="shared" si="37"/>
        <v>6</v>
      </c>
      <c r="I106" s="16">
        <f t="shared" si="37"/>
        <v>218</v>
      </c>
      <c r="J106" s="16">
        <f t="shared" si="37"/>
        <v>83</v>
      </c>
      <c r="K106" s="16">
        <f t="shared" si="37"/>
        <v>40</v>
      </c>
      <c r="L106" s="16">
        <f t="shared" si="37"/>
        <v>16</v>
      </c>
      <c r="M106" s="16">
        <f t="shared" si="37"/>
        <v>3296</v>
      </c>
      <c r="N106" s="16">
        <f t="shared" si="37"/>
        <v>1</v>
      </c>
      <c r="O106" s="16">
        <f t="shared" si="37"/>
        <v>2254</v>
      </c>
      <c r="P106" s="16">
        <f t="shared" si="37"/>
        <v>5550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0.15369369369369371</v>
      </c>
      <c r="D107" s="43">
        <f t="shared" si="38"/>
        <v>4.4144144144144144E-2</v>
      </c>
      <c r="E107" s="43">
        <f t="shared" si="38"/>
        <v>2.6306306306306305E-2</v>
      </c>
      <c r="F107" s="43">
        <f t="shared" si="38"/>
        <v>0.1136936936936937</v>
      </c>
      <c r="G107" s="43">
        <f t="shared" si="38"/>
        <v>2.7027027027027029E-3</v>
      </c>
      <c r="H107" s="43">
        <f t="shared" si="38"/>
        <v>1.0810810810810811E-3</v>
      </c>
      <c r="I107" s="43">
        <f t="shared" si="38"/>
        <v>3.9279279279279281E-2</v>
      </c>
      <c r="J107" s="43">
        <f t="shared" si="38"/>
        <v>1.4954954954954955E-2</v>
      </c>
      <c r="K107" s="43">
        <f t="shared" si="38"/>
        <v>7.2072072072072073E-3</v>
      </c>
      <c r="L107" s="43">
        <f t="shared" si="38"/>
        <v>2.8828828828828829E-3</v>
      </c>
      <c r="M107" s="43">
        <f t="shared" si="38"/>
        <v>0.59387387387387391</v>
      </c>
      <c r="N107" s="43">
        <f t="shared" si="38"/>
        <v>1.8018018018018018E-4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0.37843833185448095</v>
      </c>
      <c r="D108" s="44">
        <f t="shared" ref="D108:N108" si="39">D106/$O$106</f>
        <v>0.10869565217391304</v>
      </c>
      <c r="E108" s="44">
        <f t="shared" si="39"/>
        <v>6.4773735581188999E-2</v>
      </c>
      <c r="F108" s="44">
        <f t="shared" si="39"/>
        <v>0.27994676131322094</v>
      </c>
      <c r="G108" s="44">
        <f t="shared" si="39"/>
        <v>6.6548358473824312E-3</v>
      </c>
      <c r="H108" s="44">
        <f t="shared" si="39"/>
        <v>2.6619343389529724E-3</v>
      </c>
      <c r="I108" s="44">
        <f t="shared" si="39"/>
        <v>9.6716947648624665E-2</v>
      </c>
      <c r="J108" s="44">
        <f t="shared" si="39"/>
        <v>3.6823425022182783E-2</v>
      </c>
      <c r="K108" s="44">
        <f t="shared" si="39"/>
        <v>1.774622892635315E-2</v>
      </c>
      <c r="L108" s="44">
        <f t="shared" si="39"/>
        <v>7.0984915705412602E-3</v>
      </c>
      <c r="M108" s="44"/>
      <c r="N108" s="44">
        <f t="shared" si="39"/>
        <v>4.4365572315882877E-4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J12" sqref="J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SentemaRBT-Sentema'!C3:G3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'26.07 SentemaRBT-Sentema-24h'!D5</f>
        <v>26.07.19</v>
      </c>
      <c r="E5" s="3"/>
      <c r="F5" s="41" t="s">
        <v>1</v>
      </c>
      <c r="G5" s="64" t="str">
        <f>'26.07 SentemaRBT-Sentema-24h'!G5:H5</f>
        <v>Ku roofings</v>
      </c>
      <c r="H5" s="65"/>
      <c r="I5" s="14"/>
      <c r="J5" s="2" t="s">
        <v>5</v>
      </c>
      <c r="K5" s="64" t="s">
        <v>182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Sentema-Sentema RBT'!D6:E6</f>
        <v>Sentema</v>
      </c>
      <c r="E6" s="65"/>
      <c r="F6" s="2" t="s">
        <v>2</v>
      </c>
      <c r="G6" s="64" t="str">
        <f>'23.07 Sentema-Sentema RBT'!G6:H6</f>
        <v>Sentema RBT</v>
      </c>
      <c r="H6" s="65"/>
      <c r="J6" s="2" t="s">
        <v>21</v>
      </c>
      <c r="K6" s="64" t="str">
        <f>'26.07 SentemaRBT-Sentema-24h'!K6:L6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65</v>
      </c>
      <c r="D10" s="50">
        <v>6</v>
      </c>
      <c r="E10" s="50">
        <v>4</v>
      </c>
      <c r="F10" s="50">
        <v>26</v>
      </c>
      <c r="G10" s="50">
        <v>0</v>
      </c>
      <c r="H10" s="50">
        <v>0</v>
      </c>
      <c r="I10" s="50">
        <v>2</v>
      </c>
      <c r="J10" s="50">
        <v>0</v>
      </c>
      <c r="K10" s="50">
        <v>1</v>
      </c>
      <c r="L10" s="50">
        <v>0</v>
      </c>
      <c r="M10" s="50">
        <v>90</v>
      </c>
      <c r="N10" s="50">
        <v>0</v>
      </c>
      <c r="O10" s="15">
        <f t="shared" ref="O10:O73" si="0">SUM(C10:L10,N10)</f>
        <v>104</v>
      </c>
      <c r="P10" s="15">
        <f t="shared" ref="P10:P73" si="1">SUM(C10:N10)</f>
        <v>194</v>
      </c>
      <c r="R10" s="1" t="s">
        <v>6</v>
      </c>
      <c r="S10" s="17">
        <f t="shared" ref="S10:AF10" si="2">SUM(C10:C13)</f>
        <v>212</v>
      </c>
      <c r="T10" s="17">
        <f t="shared" si="2"/>
        <v>59</v>
      </c>
      <c r="U10" s="17">
        <f t="shared" si="2"/>
        <v>35</v>
      </c>
      <c r="V10" s="17">
        <f t="shared" si="2"/>
        <v>70</v>
      </c>
      <c r="W10" s="17">
        <f t="shared" si="2"/>
        <v>0</v>
      </c>
      <c r="X10" s="17">
        <f t="shared" si="2"/>
        <v>0</v>
      </c>
      <c r="Y10" s="17">
        <f t="shared" si="2"/>
        <v>6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306</v>
      </c>
      <c r="AD10" s="17">
        <f t="shared" si="2"/>
        <v>0</v>
      </c>
      <c r="AE10" s="31">
        <f t="shared" si="2"/>
        <v>386</v>
      </c>
      <c r="AF10" s="31">
        <f t="shared" si="2"/>
        <v>692</v>
      </c>
    </row>
    <row r="11" spans="2:32" s="6" customFormat="1" ht="23.1" customHeight="1" x14ac:dyDescent="0.25">
      <c r="B11" s="45" t="s">
        <v>38</v>
      </c>
      <c r="C11" s="50">
        <v>36</v>
      </c>
      <c r="D11" s="50">
        <v>4</v>
      </c>
      <c r="E11" s="50">
        <v>3</v>
      </c>
      <c r="F11" s="50">
        <v>10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50</v>
      </c>
      <c r="N11" s="50">
        <v>0</v>
      </c>
      <c r="O11" s="15">
        <f t="shared" si="0"/>
        <v>54</v>
      </c>
      <c r="P11" s="15">
        <f t="shared" si="1"/>
        <v>104</v>
      </c>
      <c r="R11" s="1" t="s">
        <v>7</v>
      </c>
      <c r="S11" s="17">
        <f t="shared" ref="S11:AF11" si="3">SUM(C14:C17)</f>
        <v>127</v>
      </c>
      <c r="T11" s="17">
        <f t="shared" si="3"/>
        <v>14</v>
      </c>
      <c r="U11" s="17">
        <f t="shared" si="3"/>
        <v>18</v>
      </c>
      <c r="V11" s="17">
        <f t="shared" si="3"/>
        <v>72</v>
      </c>
      <c r="W11" s="17">
        <f t="shared" si="3"/>
        <v>0</v>
      </c>
      <c r="X11" s="17">
        <f t="shared" si="3"/>
        <v>0</v>
      </c>
      <c r="Y11" s="17">
        <f t="shared" si="3"/>
        <v>9</v>
      </c>
      <c r="Z11" s="17">
        <f t="shared" si="3"/>
        <v>1</v>
      </c>
      <c r="AA11" s="17">
        <f t="shared" si="3"/>
        <v>0</v>
      </c>
      <c r="AB11" s="17">
        <f t="shared" si="3"/>
        <v>1</v>
      </c>
      <c r="AC11" s="17">
        <f t="shared" si="3"/>
        <v>197</v>
      </c>
      <c r="AD11" s="17">
        <f t="shared" si="3"/>
        <v>0</v>
      </c>
      <c r="AE11" s="31">
        <f t="shared" si="3"/>
        <v>242</v>
      </c>
      <c r="AF11" s="31">
        <f t="shared" si="3"/>
        <v>439</v>
      </c>
    </row>
    <row r="12" spans="2:32" ht="23.1" customHeight="1" x14ac:dyDescent="0.25">
      <c r="B12" s="45" t="s">
        <v>39</v>
      </c>
      <c r="C12" s="50">
        <v>62</v>
      </c>
      <c r="D12" s="50">
        <v>13</v>
      </c>
      <c r="E12" s="50">
        <v>7</v>
      </c>
      <c r="F12" s="50">
        <v>34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101</v>
      </c>
      <c r="N12" s="50">
        <v>0</v>
      </c>
      <c r="O12" s="15">
        <f t="shared" si="0"/>
        <v>117</v>
      </c>
      <c r="P12" s="15">
        <f t="shared" si="1"/>
        <v>218</v>
      </c>
      <c r="R12" s="1" t="s">
        <v>8</v>
      </c>
      <c r="S12" s="17">
        <f t="shared" ref="S12:AF12" si="4">SUM(C18:C21)</f>
        <v>123</v>
      </c>
      <c r="T12" s="17">
        <f t="shared" si="4"/>
        <v>11</v>
      </c>
      <c r="U12" s="17">
        <f t="shared" si="4"/>
        <v>9</v>
      </c>
      <c r="V12" s="17">
        <f t="shared" si="4"/>
        <v>49</v>
      </c>
      <c r="W12" s="17">
        <f t="shared" si="4"/>
        <v>0</v>
      </c>
      <c r="X12" s="17">
        <f t="shared" si="4"/>
        <v>0</v>
      </c>
      <c r="Y12" s="17">
        <f t="shared" si="4"/>
        <v>16</v>
      </c>
      <c r="Z12" s="17">
        <f t="shared" si="4"/>
        <v>8</v>
      </c>
      <c r="AA12" s="17">
        <f t="shared" si="4"/>
        <v>0</v>
      </c>
      <c r="AB12" s="17">
        <f t="shared" si="4"/>
        <v>0</v>
      </c>
      <c r="AC12" s="17">
        <f t="shared" si="4"/>
        <v>177</v>
      </c>
      <c r="AD12" s="17">
        <f t="shared" si="4"/>
        <v>0</v>
      </c>
      <c r="AE12" s="31">
        <f t="shared" si="4"/>
        <v>216</v>
      </c>
      <c r="AF12" s="31">
        <f t="shared" si="4"/>
        <v>393</v>
      </c>
    </row>
    <row r="13" spans="2:32" ht="23.1" customHeight="1" x14ac:dyDescent="0.25">
      <c r="B13" s="45" t="s">
        <v>40</v>
      </c>
      <c r="C13" s="50">
        <v>49</v>
      </c>
      <c r="D13" s="50">
        <v>36</v>
      </c>
      <c r="E13" s="50">
        <v>21</v>
      </c>
      <c r="F13" s="50">
        <v>0</v>
      </c>
      <c r="G13" s="50">
        <v>0</v>
      </c>
      <c r="H13" s="50">
        <v>0</v>
      </c>
      <c r="I13" s="50">
        <v>3</v>
      </c>
      <c r="J13" s="50">
        <v>2</v>
      </c>
      <c r="K13" s="50">
        <v>0</v>
      </c>
      <c r="L13" s="50">
        <v>0</v>
      </c>
      <c r="M13" s="50">
        <v>65</v>
      </c>
      <c r="N13" s="50">
        <v>0</v>
      </c>
      <c r="O13" s="15">
        <f t="shared" si="0"/>
        <v>111</v>
      </c>
      <c r="P13" s="15">
        <f t="shared" si="1"/>
        <v>176</v>
      </c>
      <c r="R13" s="1" t="s">
        <v>9</v>
      </c>
      <c r="S13" s="17">
        <f t="shared" ref="S13:AF13" si="5">SUM(C22:C25)</f>
        <v>68</v>
      </c>
      <c r="T13" s="17">
        <f t="shared" si="5"/>
        <v>10</v>
      </c>
      <c r="U13" s="17">
        <f t="shared" si="5"/>
        <v>15</v>
      </c>
      <c r="V13" s="17">
        <f t="shared" si="5"/>
        <v>47</v>
      </c>
      <c r="W13" s="17">
        <f t="shared" si="5"/>
        <v>1</v>
      </c>
      <c r="X13" s="17">
        <f t="shared" si="5"/>
        <v>0</v>
      </c>
      <c r="Y13" s="17">
        <f t="shared" si="5"/>
        <v>14</v>
      </c>
      <c r="Z13" s="17">
        <f t="shared" si="5"/>
        <v>5</v>
      </c>
      <c r="AA13" s="17">
        <f t="shared" si="5"/>
        <v>2</v>
      </c>
      <c r="AB13" s="17">
        <f t="shared" si="5"/>
        <v>1</v>
      </c>
      <c r="AC13" s="17">
        <f t="shared" si="5"/>
        <v>149</v>
      </c>
      <c r="AD13" s="17">
        <f t="shared" si="5"/>
        <v>0</v>
      </c>
      <c r="AE13" s="31">
        <f t="shared" si="5"/>
        <v>163</v>
      </c>
      <c r="AF13" s="31">
        <f t="shared" si="5"/>
        <v>312</v>
      </c>
    </row>
    <row r="14" spans="2:32" ht="23.1" customHeight="1" x14ac:dyDescent="0.25">
      <c r="B14" s="45" t="s">
        <v>41</v>
      </c>
      <c r="C14" s="50">
        <v>43</v>
      </c>
      <c r="D14" s="50">
        <v>4</v>
      </c>
      <c r="E14" s="50">
        <v>8</v>
      </c>
      <c r="F14" s="50">
        <v>29</v>
      </c>
      <c r="G14" s="50">
        <v>0</v>
      </c>
      <c r="H14" s="50">
        <v>0</v>
      </c>
      <c r="I14" s="50">
        <v>6</v>
      </c>
      <c r="J14" s="50">
        <v>1</v>
      </c>
      <c r="K14" s="50">
        <v>0</v>
      </c>
      <c r="L14" s="50">
        <v>0</v>
      </c>
      <c r="M14" s="50">
        <v>67</v>
      </c>
      <c r="N14" s="50">
        <v>0</v>
      </c>
      <c r="O14" s="15">
        <f t="shared" si="0"/>
        <v>91</v>
      </c>
      <c r="P14" s="15">
        <f t="shared" si="1"/>
        <v>158</v>
      </c>
      <c r="R14" s="1" t="s">
        <v>10</v>
      </c>
      <c r="S14" s="17">
        <f t="shared" ref="S14:AF14" si="6">SUM(C26:C29)</f>
        <v>48</v>
      </c>
      <c r="T14" s="17">
        <f t="shared" si="6"/>
        <v>6</v>
      </c>
      <c r="U14" s="17">
        <f t="shared" si="6"/>
        <v>9</v>
      </c>
      <c r="V14" s="17">
        <f t="shared" si="6"/>
        <v>28</v>
      </c>
      <c r="W14" s="17">
        <f t="shared" si="6"/>
        <v>0</v>
      </c>
      <c r="X14" s="17">
        <f t="shared" si="6"/>
        <v>0</v>
      </c>
      <c r="Y14" s="17">
        <f t="shared" si="6"/>
        <v>17</v>
      </c>
      <c r="Z14" s="17">
        <f t="shared" si="6"/>
        <v>12</v>
      </c>
      <c r="AA14" s="17">
        <f t="shared" si="6"/>
        <v>2</v>
      </c>
      <c r="AB14" s="17">
        <f t="shared" si="6"/>
        <v>1</v>
      </c>
      <c r="AC14" s="17">
        <f t="shared" si="6"/>
        <v>155</v>
      </c>
      <c r="AD14" s="17">
        <f t="shared" si="6"/>
        <v>0</v>
      </c>
      <c r="AE14" s="31">
        <f t="shared" si="6"/>
        <v>123</v>
      </c>
      <c r="AF14" s="31">
        <f t="shared" si="6"/>
        <v>278</v>
      </c>
    </row>
    <row r="15" spans="2:32" ht="23.1" customHeight="1" x14ac:dyDescent="0.25">
      <c r="B15" s="45" t="s">
        <v>42</v>
      </c>
      <c r="C15" s="50">
        <v>21</v>
      </c>
      <c r="D15" s="50">
        <v>3</v>
      </c>
      <c r="E15" s="50">
        <v>2</v>
      </c>
      <c r="F15" s="50">
        <v>13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1</v>
      </c>
      <c r="M15" s="50">
        <v>40</v>
      </c>
      <c r="N15" s="50">
        <v>0</v>
      </c>
      <c r="O15" s="15">
        <f t="shared" si="0"/>
        <v>41</v>
      </c>
      <c r="P15" s="15">
        <f t="shared" si="1"/>
        <v>81</v>
      </c>
      <c r="R15" s="1" t="s">
        <v>11</v>
      </c>
      <c r="S15" s="17">
        <f t="shared" ref="S15:AF15" si="7">SUM(C30:C33)</f>
        <v>45</v>
      </c>
      <c r="T15" s="17">
        <f t="shared" si="7"/>
        <v>7</v>
      </c>
      <c r="U15" s="17">
        <f t="shared" si="7"/>
        <v>11</v>
      </c>
      <c r="V15" s="17">
        <f t="shared" si="7"/>
        <v>26</v>
      </c>
      <c r="W15" s="17">
        <f t="shared" si="7"/>
        <v>0</v>
      </c>
      <c r="X15" s="17">
        <f t="shared" si="7"/>
        <v>0</v>
      </c>
      <c r="Y15" s="17">
        <f t="shared" si="7"/>
        <v>15</v>
      </c>
      <c r="Z15" s="17">
        <f t="shared" si="7"/>
        <v>6</v>
      </c>
      <c r="AA15" s="17">
        <f t="shared" si="7"/>
        <v>0</v>
      </c>
      <c r="AB15" s="17">
        <f t="shared" si="7"/>
        <v>0</v>
      </c>
      <c r="AC15" s="17">
        <f t="shared" si="7"/>
        <v>135</v>
      </c>
      <c r="AD15" s="17">
        <f t="shared" si="7"/>
        <v>0</v>
      </c>
      <c r="AE15" s="31">
        <f t="shared" si="7"/>
        <v>110</v>
      </c>
      <c r="AF15" s="31">
        <f t="shared" si="7"/>
        <v>245</v>
      </c>
    </row>
    <row r="16" spans="2:32" ht="23.1" customHeight="1" x14ac:dyDescent="0.25">
      <c r="B16" s="45" t="s">
        <v>43</v>
      </c>
      <c r="C16" s="50">
        <v>20</v>
      </c>
      <c r="D16" s="50">
        <v>3</v>
      </c>
      <c r="E16" s="50">
        <v>3</v>
      </c>
      <c r="F16" s="50">
        <v>16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23</v>
      </c>
      <c r="N16" s="50">
        <v>0</v>
      </c>
      <c r="O16" s="15">
        <f t="shared" si="0"/>
        <v>43</v>
      </c>
      <c r="P16" s="15">
        <f t="shared" si="1"/>
        <v>66</v>
      </c>
      <c r="R16" s="1" t="s">
        <v>12</v>
      </c>
      <c r="S16" s="17">
        <f t="shared" ref="S16:AF16" si="8">SUM(C34:C37)</f>
        <v>39</v>
      </c>
      <c r="T16" s="17">
        <f t="shared" si="8"/>
        <v>10</v>
      </c>
      <c r="U16" s="17">
        <f t="shared" si="8"/>
        <v>8</v>
      </c>
      <c r="V16" s="17">
        <f t="shared" si="8"/>
        <v>17</v>
      </c>
      <c r="W16" s="17">
        <f t="shared" si="8"/>
        <v>0</v>
      </c>
      <c r="X16" s="17">
        <f t="shared" si="8"/>
        <v>0</v>
      </c>
      <c r="Y16" s="17">
        <f t="shared" si="8"/>
        <v>10</v>
      </c>
      <c r="Z16" s="17">
        <f t="shared" si="8"/>
        <v>7</v>
      </c>
      <c r="AA16" s="17">
        <f t="shared" si="8"/>
        <v>1</v>
      </c>
      <c r="AB16" s="17">
        <f t="shared" si="8"/>
        <v>0</v>
      </c>
      <c r="AC16" s="17">
        <f t="shared" si="8"/>
        <v>126</v>
      </c>
      <c r="AD16" s="17">
        <f t="shared" si="8"/>
        <v>0</v>
      </c>
      <c r="AE16" s="31">
        <f t="shared" si="8"/>
        <v>92</v>
      </c>
      <c r="AF16" s="31">
        <f t="shared" si="8"/>
        <v>218</v>
      </c>
    </row>
    <row r="17" spans="2:32" ht="23.1" customHeight="1" x14ac:dyDescent="0.25">
      <c r="B17" s="45" t="s">
        <v>44</v>
      </c>
      <c r="C17" s="50">
        <v>43</v>
      </c>
      <c r="D17" s="50">
        <v>4</v>
      </c>
      <c r="E17" s="50">
        <v>5</v>
      </c>
      <c r="F17" s="50">
        <v>14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67</v>
      </c>
      <c r="N17" s="50">
        <v>0</v>
      </c>
      <c r="O17" s="15">
        <f t="shared" si="0"/>
        <v>67</v>
      </c>
      <c r="P17" s="15">
        <f t="shared" si="1"/>
        <v>134</v>
      </c>
      <c r="R17" s="1" t="s">
        <v>13</v>
      </c>
      <c r="S17" s="17">
        <f t="shared" ref="S17:AF17" si="9">SUM(C38:C41)</f>
        <v>38</v>
      </c>
      <c r="T17" s="17">
        <f t="shared" si="9"/>
        <v>5</v>
      </c>
      <c r="U17" s="17">
        <f t="shared" si="9"/>
        <v>8</v>
      </c>
      <c r="V17" s="17">
        <f t="shared" si="9"/>
        <v>18</v>
      </c>
      <c r="W17" s="17">
        <f t="shared" si="9"/>
        <v>0</v>
      </c>
      <c r="X17" s="17">
        <f t="shared" si="9"/>
        <v>0</v>
      </c>
      <c r="Y17" s="17">
        <f t="shared" si="9"/>
        <v>14</v>
      </c>
      <c r="Z17" s="17">
        <f t="shared" si="9"/>
        <v>4</v>
      </c>
      <c r="AA17" s="17">
        <f t="shared" si="9"/>
        <v>3</v>
      </c>
      <c r="AB17" s="17">
        <f t="shared" si="9"/>
        <v>1</v>
      </c>
      <c r="AC17" s="17">
        <f t="shared" si="9"/>
        <v>92</v>
      </c>
      <c r="AD17" s="17">
        <f t="shared" si="9"/>
        <v>0</v>
      </c>
      <c r="AE17" s="31">
        <f t="shared" si="9"/>
        <v>91</v>
      </c>
      <c r="AF17" s="31">
        <f t="shared" si="9"/>
        <v>183</v>
      </c>
    </row>
    <row r="18" spans="2:32" ht="23.1" customHeight="1" x14ac:dyDescent="0.25">
      <c r="B18" s="45" t="s">
        <v>45</v>
      </c>
      <c r="C18" s="50">
        <v>44</v>
      </c>
      <c r="D18" s="50">
        <v>5</v>
      </c>
      <c r="E18" s="50">
        <v>1</v>
      </c>
      <c r="F18" s="50">
        <v>21</v>
      </c>
      <c r="G18" s="50">
        <v>0</v>
      </c>
      <c r="H18" s="50">
        <v>0</v>
      </c>
      <c r="I18" s="50">
        <v>1</v>
      </c>
      <c r="J18" s="50">
        <v>2</v>
      </c>
      <c r="K18" s="50">
        <v>0</v>
      </c>
      <c r="L18" s="50">
        <v>0</v>
      </c>
      <c r="M18" s="50">
        <v>65</v>
      </c>
      <c r="N18" s="50">
        <v>0</v>
      </c>
      <c r="O18" s="15">
        <f t="shared" si="0"/>
        <v>74</v>
      </c>
      <c r="P18" s="15">
        <f t="shared" si="1"/>
        <v>139</v>
      </c>
      <c r="R18" s="1" t="s">
        <v>14</v>
      </c>
      <c r="S18" s="17">
        <f t="shared" ref="S18:AF18" si="10">SUM(C42:C45)</f>
        <v>28</v>
      </c>
      <c r="T18" s="17">
        <f t="shared" si="10"/>
        <v>5</v>
      </c>
      <c r="U18" s="17">
        <f t="shared" si="10"/>
        <v>9</v>
      </c>
      <c r="V18" s="17">
        <f t="shared" si="10"/>
        <v>25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8</v>
      </c>
      <c r="AA18" s="17">
        <f t="shared" si="10"/>
        <v>2</v>
      </c>
      <c r="AB18" s="17">
        <f t="shared" si="10"/>
        <v>0</v>
      </c>
      <c r="AC18" s="17">
        <f t="shared" si="10"/>
        <v>104</v>
      </c>
      <c r="AD18" s="17">
        <f t="shared" si="10"/>
        <v>0</v>
      </c>
      <c r="AE18" s="31">
        <f t="shared" si="10"/>
        <v>88</v>
      </c>
      <c r="AF18" s="31">
        <f t="shared" si="10"/>
        <v>192</v>
      </c>
    </row>
    <row r="19" spans="2:32" ht="23.1" customHeight="1" x14ac:dyDescent="0.25">
      <c r="B19" s="45" t="s">
        <v>46</v>
      </c>
      <c r="C19" s="50">
        <v>44</v>
      </c>
      <c r="D19" s="50">
        <v>2</v>
      </c>
      <c r="E19" s="50">
        <v>7</v>
      </c>
      <c r="F19" s="50">
        <v>19</v>
      </c>
      <c r="G19" s="50">
        <v>0</v>
      </c>
      <c r="H19" s="50">
        <v>0</v>
      </c>
      <c r="I19" s="50">
        <v>8</v>
      </c>
      <c r="J19" s="50">
        <v>2</v>
      </c>
      <c r="K19" s="50">
        <v>0</v>
      </c>
      <c r="L19" s="50">
        <v>0</v>
      </c>
      <c r="M19" s="50">
        <v>43</v>
      </c>
      <c r="N19" s="50">
        <v>0</v>
      </c>
      <c r="O19" s="15">
        <f t="shared" si="0"/>
        <v>82</v>
      </c>
      <c r="P19" s="15">
        <f t="shared" si="1"/>
        <v>125</v>
      </c>
      <c r="R19" s="1" t="s">
        <v>15</v>
      </c>
      <c r="S19" s="17">
        <f t="shared" ref="S19:AF19" si="11">SUM(C46:C49)</f>
        <v>43</v>
      </c>
      <c r="T19" s="17">
        <f t="shared" si="11"/>
        <v>8</v>
      </c>
      <c r="U19" s="17">
        <f t="shared" si="11"/>
        <v>11</v>
      </c>
      <c r="V19" s="17">
        <f t="shared" si="11"/>
        <v>20</v>
      </c>
      <c r="W19" s="17">
        <f t="shared" si="11"/>
        <v>1</v>
      </c>
      <c r="X19" s="17">
        <f t="shared" si="11"/>
        <v>1</v>
      </c>
      <c r="Y19" s="17">
        <f t="shared" si="11"/>
        <v>9</v>
      </c>
      <c r="Z19" s="17">
        <f t="shared" si="11"/>
        <v>5</v>
      </c>
      <c r="AA19" s="17">
        <f t="shared" si="11"/>
        <v>0</v>
      </c>
      <c r="AB19" s="17">
        <f t="shared" si="11"/>
        <v>0</v>
      </c>
      <c r="AC19" s="17">
        <f t="shared" si="11"/>
        <v>118</v>
      </c>
      <c r="AD19" s="17">
        <f t="shared" si="11"/>
        <v>0</v>
      </c>
      <c r="AE19" s="31">
        <f t="shared" si="11"/>
        <v>98</v>
      </c>
      <c r="AF19" s="31">
        <f t="shared" si="11"/>
        <v>216</v>
      </c>
    </row>
    <row r="20" spans="2:32" ht="23.1" customHeight="1" x14ac:dyDescent="0.25">
      <c r="B20" s="45" t="s">
        <v>47</v>
      </c>
      <c r="C20" s="50">
        <v>13</v>
      </c>
      <c r="D20" s="50">
        <v>0</v>
      </c>
      <c r="E20" s="50">
        <v>0</v>
      </c>
      <c r="F20" s="50">
        <v>6</v>
      </c>
      <c r="G20" s="50">
        <v>0</v>
      </c>
      <c r="H20" s="50">
        <v>0</v>
      </c>
      <c r="I20" s="50">
        <v>3</v>
      </c>
      <c r="J20" s="50">
        <v>2</v>
      </c>
      <c r="K20" s="50">
        <v>0</v>
      </c>
      <c r="L20" s="50">
        <v>0</v>
      </c>
      <c r="M20" s="50">
        <v>32</v>
      </c>
      <c r="N20" s="50">
        <v>0</v>
      </c>
      <c r="O20" s="15">
        <f t="shared" si="0"/>
        <v>24</v>
      </c>
      <c r="P20" s="15">
        <f t="shared" si="1"/>
        <v>56</v>
      </c>
      <c r="R20" s="1" t="s">
        <v>16</v>
      </c>
      <c r="S20" s="17">
        <f t="shared" ref="S20:AF20" si="12">SUM(C50:C53)</f>
        <v>63</v>
      </c>
      <c r="T20" s="17">
        <f t="shared" si="12"/>
        <v>7</v>
      </c>
      <c r="U20" s="17">
        <f t="shared" si="12"/>
        <v>6</v>
      </c>
      <c r="V20" s="17">
        <f t="shared" si="12"/>
        <v>19</v>
      </c>
      <c r="W20" s="17">
        <f t="shared" si="12"/>
        <v>2</v>
      </c>
      <c r="X20" s="17">
        <f t="shared" si="12"/>
        <v>1</v>
      </c>
      <c r="Y20" s="17">
        <f t="shared" si="12"/>
        <v>7</v>
      </c>
      <c r="Z20" s="17">
        <f t="shared" si="12"/>
        <v>6</v>
      </c>
      <c r="AA20" s="17">
        <f t="shared" si="12"/>
        <v>1</v>
      </c>
      <c r="AB20" s="17">
        <f t="shared" si="12"/>
        <v>0</v>
      </c>
      <c r="AC20" s="17">
        <f t="shared" si="12"/>
        <v>116</v>
      </c>
      <c r="AD20" s="17">
        <f t="shared" si="12"/>
        <v>0</v>
      </c>
      <c r="AE20" s="31">
        <f t="shared" si="12"/>
        <v>112</v>
      </c>
      <c r="AF20" s="31">
        <f t="shared" si="12"/>
        <v>228</v>
      </c>
    </row>
    <row r="21" spans="2:32" ht="23.1" customHeight="1" x14ac:dyDescent="0.25">
      <c r="B21" s="45" t="s">
        <v>48</v>
      </c>
      <c r="C21" s="50">
        <v>22</v>
      </c>
      <c r="D21" s="50">
        <v>4</v>
      </c>
      <c r="E21" s="50">
        <v>1</v>
      </c>
      <c r="F21" s="50">
        <v>3</v>
      </c>
      <c r="G21" s="50">
        <v>0</v>
      </c>
      <c r="H21" s="50">
        <v>0</v>
      </c>
      <c r="I21" s="50">
        <v>4</v>
      </c>
      <c r="J21" s="50">
        <v>2</v>
      </c>
      <c r="K21" s="50">
        <v>0</v>
      </c>
      <c r="L21" s="50">
        <v>0</v>
      </c>
      <c r="M21" s="50">
        <v>37</v>
      </c>
      <c r="N21" s="50">
        <v>0</v>
      </c>
      <c r="O21" s="15">
        <f t="shared" si="0"/>
        <v>36</v>
      </c>
      <c r="P21" s="15">
        <f t="shared" si="1"/>
        <v>73</v>
      </c>
      <c r="R21" s="36" t="s">
        <v>20</v>
      </c>
      <c r="S21" s="34">
        <f t="shared" ref="S21:AF21" si="13">SUM(C54:C57)</f>
        <v>38</v>
      </c>
      <c r="T21" s="17">
        <f t="shared" si="13"/>
        <v>7</v>
      </c>
      <c r="U21" s="17">
        <f t="shared" si="13"/>
        <v>3</v>
      </c>
      <c r="V21" s="17">
        <f t="shared" si="13"/>
        <v>43</v>
      </c>
      <c r="W21" s="17">
        <f t="shared" si="13"/>
        <v>0</v>
      </c>
      <c r="X21" s="17">
        <f t="shared" si="13"/>
        <v>1</v>
      </c>
      <c r="Y21" s="17">
        <f t="shared" si="13"/>
        <v>10</v>
      </c>
      <c r="Z21" s="17">
        <f t="shared" si="13"/>
        <v>4</v>
      </c>
      <c r="AA21" s="17">
        <f t="shared" si="13"/>
        <v>0</v>
      </c>
      <c r="AB21" s="17">
        <f t="shared" si="13"/>
        <v>2</v>
      </c>
      <c r="AC21" s="17">
        <f t="shared" si="13"/>
        <v>129</v>
      </c>
      <c r="AD21" s="17">
        <f t="shared" si="13"/>
        <v>0</v>
      </c>
      <c r="AE21" s="31">
        <f t="shared" si="13"/>
        <v>108</v>
      </c>
      <c r="AF21" s="31">
        <f t="shared" si="13"/>
        <v>237</v>
      </c>
    </row>
    <row r="22" spans="2:32" ht="23.1" customHeight="1" x14ac:dyDescent="0.25">
      <c r="B22" s="45" t="s">
        <v>49</v>
      </c>
      <c r="C22" s="50">
        <v>23</v>
      </c>
      <c r="D22" s="50">
        <v>6</v>
      </c>
      <c r="E22" s="50">
        <v>1</v>
      </c>
      <c r="F22" s="50">
        <v>18</v>
      </c>
      <c r="G22" s="50">
        <v>1</v>
      </c>
      <c r="H22" s="50">
        <v>0</v>
      </c>
      <c r="I22" s="50">
        <v>4</v>
      </c>
      <c r="J22" s="50">
        <v>4</v>
      </c>
      <c r="K22" s="50">
        <v>0</v>
      </c>
      <c r="L22" s="50">
        <v>0</v>
      </c>
      <c r="M22" s="50">
        <v>42</v>
      </c>
      <c r="N22" s="50">
        <v>0</v>
      </c>
      <c r="O22" s="15">
        <f t="shared" si="0"/>
        <v>57</v>
      </c>
      <c r="P22" s="15">
        <f t="shared" si="1"/>
        <v>99</v>
      </c>
      <c r="R22" s="36" t="s">
        <v>146</v>
      </c>
      <c r="S22" s="34">
        <f>SUM(C58:C61)</f>
        <v>52</v>
      </c>
      <c r="T22" s="34">
        <f t="shared" ref="T22:AF22" si="14">SUM(D58:D61)</f>
        <v>6</v>
      </c>
      <c r="U22" s="34">
        <f t="shared" si="14"/>
        <v>5</v>
      </c>
      <c r="V22" s="34">
        <f t="shared" si="14"/>
        <v>43</v>
      </c>
      <c r="W22" s="34">
        <f t="shared" si="14"/>
        <v>0</v>
      </c>
      <c r="X22" s="34">
        <f t="shared" si="14"/>
        <v>1</v>
      </c>
      <c r="Y22" s="34">
        <f t="shared" si="14"/>
        <v>6</v>
      </c>
      <c r="Z22" s="34">
        <f t="shared" si="14"/>
        <v>2</v>
      </c>
      <c r="AA22" s="34">
        <f t="shared" si="14"/>
        <v>1</v>
      </c>
      <c r="AB22" s="34">
        <f t="shared" si="14"/>
        <v>0</v>
      </c>
      <c r="AC22" s="34">
        <f t="shared" si="14"/>
        <v>155</v>
      </c>
      <c r="AD22" s="34">
        <f t="shared" si="14"/>
        <v>0</v>
      </c>
      <c r="AE22" s="31">
        <f t="shared" si="14"/>
        <v>85</v>
      </c>
      <c r="AF22" s="31">
        <f t="shared" si="14"/>
        <v>212</v>
      </c>
    </row>
    <row r="23" spans="2:32" ht="23.1" customHeight="1" x14ac:dyDescent="0.25">
      <c r="B23" s="45" t="s">
        <v>50</v>
      </c>
      <c r="C23" s="50">
        <v>16</v>
      </c>
      <c r="D23" s="50">
        <v>3</v>
      </c>
      <c r="E23" s="50">
        <v>3</v>
      </c>
      <c r="F23" s="50">
        <v>8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33</v>
      </c>
      <c r="N23" s="50">
        <v>0</v>
      </c>
      <c r="O23" s="15">
        <f t="shared" si="0"/>
        <v>32</v>
      </c>
      <c r="P23" s="15">
        <f t="shared" si="1"/>
        <v>65</v>
      </c>
      <c r="R23" s="36" t="s">
        <v>147</v>
      </c>
      <c r="S23" s="34">
        <f>SUM(C62:C65)</f>
        <v>45</v>
      </c>
      <c r="T23" s="34">
        <f t="shared" ref="T23:AF23" si="15">SUM(D62:D65)</f>
        <v>7</v>
      </c>
      <c r="U23" s="34">
        <f t="shared" si="15"/>
        <v>6</v>
      </c>
      <c r="V23" s="34">
        <f t="shared" si="15"/>
        <v>53</v>
      </c>
      <c r="W23" s="34">
        <f t="shared" si="15"/>
        <v>0</v>
      </c>
      <c r="X23" s="34">
        <f t="shared" si="15"/>
        <v>0</v>
      </c>
      <c r="Y23" s="34">
        <f t="shared" si="15"/>
        <v>4</v>
      </c>
      <c r="Z23" s="34">
        <f t="shared" si="15"/>
        <v>3</v>
      </c>
      <c r="AA23" s="34">
        <f t="shared" si="15"/>
        <v>0</v>
      </c>
      <c r="AB23" s="34">
        <f t="shared" si="15"/>
        <v>0</v>
      </c>
      <c r="AC23" s="34">
        <f t="shared" si="15"/>
        <v>137</v>
      </c>
      <c r="AD23" s="34">
        <f t="shared" si="15"/>
        <v>0</v>
      </c>
      <c r="AE23" s="31">
        <f t="shared" si="15"/>
        <v>118</v>
      </c>
      <c r="AF23" s="31">
        <f t="shared" si="15"/>
        <v>255</v>
      </c>
    </row>
    <row r="24" spans="2:32" ht="23.1" customHeight="1" x14ac:dyDescent="0.25">
      <c r="B24" s="45" t="s">
        <v>51</v>
      </c>
      <c r="C24" s="50">
        <v>17</v>
      </c>
      <c r="D24" s="50">
        <v>1</v>
      </c>
      <c r="E24" s="50">
        <v>6</v>
      </c>
      <c r="F24" s="50">
        <v>8</v>
      </c>
      <c r="G24" s="50">
        <v>0</v>
      </c>
      <c r="H24" s="50">
        <v>0</v>
      </c>
      <c r="I24" s="50">
        <v>5</v>
      </c>
      <c r="J24" s="50">
        <v>0</v>
      </c>
      <c r="K24" s="50">
        <v>2</v>
      </c>
      <c r="L24" s="50">
        <v>1</v>
      </c>
      <c r="M24" s="50">
        <v>39</v>
      </c>
      <c r="N24" s="50">
        <v>0</v>
      </c>
      <c r="O24" s="15">
        <f t="shared" si="0"/>
        <v>40</v>
      </c>
      <c r="P24" s="15">
        <f t="shared" si="1"/>
        <v>79</v>
      </c>
      <c r="R24" s="36" t="s">
        <v>148</v>
      </c>
      <c r="S24" s="34">
        <f>SUM(C66:C69)</f>
        <v>0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0</v>
      </c>
      <c r="AD24" s="34">
        <f t="shared" si="16"/>
        <v>0</v>
      </c>
      <c r="AE24" s="31">
        <f t="shared" si="16"/>
        <v>0</v>
      </c>
      <c r="AF24" s="31">
        <f t="shared" si="16"/>
        <v>0</v>
      </c>
    </row>
    <row r="25" spans="2:32" ht="23.1" customHeight="1" x14ac:dyDescent="0.25">
      <c r="B25" s="45" t="s">
        <v>52</v>
      </c>
      <c r="C25" s="50">
        <v>12</v>
      </c>
      <c r="D25" s="50">
        <v>0</v>
      </c>
      <c r="E25" s="50">
        <v>5</v>
      </c>
      <c r="F25" s="50">
        <v>13</v>
      </c>
      <c r="G25" s="50">
        <v>0</v>
      </c>
      <c r="H25" s="50">
        <v>0</v>
      </c>
      <c r="I25" s="50">
        <v>3</v>
      </c>
      <c r="J25" s="50">
        <v>1</v>
      </c>
      <c r="K25" s="50">
        <v>0</v>
      </c>
      <c r="L25" s="50">
        <v>0</v>
      </c>
      <c r="M25" s="50">
        <v>35</v>
      </c>
      <c r="N25" s="50">
        <v>0</v>
      </c>
      <c r="O25" s="15">
        <f t="shared" si="0"/>
        <v>34</v>
      </c>
      <c r="P25" s="15">
        <f t="shared" si="1"/>
        <v>69</v>
      </c>
      <c r="R25" s="36" t="s">
        <v>149</v>
      </c>
      <c r="S25" s="34">
        <f>SUM(C70:C73)</f>
        <v>0</v>
      </c>
      <c r="T25" s="34">
        <f t="shared" ref="T25:AF25" si="17">SUM(D70:D73)</f>
        <v>0</v>
      </c>
      <c r="U25" s="34">
        <f t="shared" si="17"/>
        <v>0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0</v>
      </c>
      <c r="AD25" s="34">
        <f t="shared" si="17"/>
        <v>0</v>
      </c>
      <c r="AE25" s="31">
        <f t="shared" si="17"/>
        <v>0</v>
      </c>
      <c r="AF25" s="31">
        <f t="shared" si="17"/>
        <v>0</v>
      </c>
    </row>
    <row r="26" spans="2:32" ht="23.1" customHeight="1" x14ac:dyDescent="0.25">
      <c r="B26" s="45" t="s">
        <v>53</v>
      </c>
      <c r="C26" s="50">
        <v>17</v>
      </c>
      <c r="D26" s="50">
        <v>1</v>
      </c>
      <c r="E26" s="50">
        <v>2</v>
      </c>
      <c r="F26" s="50">
        <v>7</v>
      </c>
      <c r="G26" s="50">
        <v>0</v>
      </c>
      <c r="H26" s="50">
        <v>0</v>
      </c>
      <c r="I26" s="50">
        <v>1</v>
      </c>
      <c r="J26" s="50">
        <v>4</v>
      </c>
      <c r="K26" s="50">
        <v>0</v>
      </c>
      <c r="L26" s="50">
        <v>0</v>
      </c>
      <c r="M26" s="50">
        <v>33</v>
      </c>
      <c r="N26" s="50">
        <v>0</v>
      </c>
      <c r="O26" s="15">
        <f t="shared" si="0"/>
        <v>32</v>
      </c>
      <c r="P26" s="15">
        <f t="shared" si="1"/>
        <v>65</v>
      </c>
      <c r="R26" s="36" t="s">
        <v>150</v>
      </c>
      <c r="S26" s="34">
        <f>SUM(C74:C77)</f>
        <v>14</v>
      </c>
      <c r="T26" s="34">
        <f t="shared" ref="T26:AF26" si="18">SUM(D74:D77)</f>
        <v>4</v>
      </c>
      <c r="U26" s="34">
        <f t="shared" si="18"/>
        <v>4</v>
      </c>
      <c r="V26" s="34">
        <f t="shared" si="18"/>
        <v>6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1</v>
      </c>
      <c r="AA26" s="34">
        <f t="shared" si="18"/>
        <v>0</v>
      </c>
      <c r="AB26" s="34">
        <f t="shared" si="18"/>
        <v>0</v>
      </c>
      <c r="AC26" s="34">
        <f t="shared" si="18"/>
        <v>53</v>
      </c>
      <c r="AD26" s="34">
        <f t="shared" si="18"/>
        <v>0</v>
      </c>
      <c r="AE26" s="31">
        <f t="shared" si="18"/>
        <v>29</v>
      </c>
      <c r="AF26" s="31">
        <f t="shared" si="18"/>
        <v>82</v>
      </c>
    </row>
    <row r="27" spans="2:32" ht="23.1" customHeight="1" x14ac:dyDescent="0.25">
      <c r="B27" s="45" t="s">
        <v>54</v>
      </c>
      <c r="C27" s="50">
        <v>12</v>
      </c>
      <c r="D27" s="50">
        <v>3</v>
      </c>
      <c r="E27" s="50">
        <v>2</v>
      </c>
      <c r="F27" s="50">
        <v>7</v>
      </c>
      <c r="G27" s="50">
        <v>0</v>
      </c>
      <c r="H27" s="50">
        <v>0</v>
      </c>
      <c r="I27" s="50">
        <v>6</v>
      </c>
      <c r="J27" s="50">
        <v>0</v>
      </c>
      <c r="K27" s="50">
        <v>1</v>
      </c>
      <c r="L27" s="50">
        <v>1</v>
      </c>
      <c r="M27" s="50">
        <v>46</v>
      </c>
      <c r="N27" s="50">
        <v>0</v>
      </c>
      <c r="O27" s="15">
        <f t="shared" si="0"/>
        <v>32</v>
      </c>
      <c r="P27" s="15">
        <f t="shared" si="1"/>
        <v>78</v>
      </c>
      <c r="R27" s="36" t="s">
        <v>151</v>
      </c>
      <c r="S27" s="34">
        <f>SUM(C78:C81)</f>
        <v>4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1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20</v>
      </c>
      <c r="AD27" s="34">
        <f t="shared" si="19"/>
        <v>0</v>
      </c>
      <c r="AE27" s="31">
        <f t="shared" si="19"/>
        <v>9</v>
      </c>
      <c r="AF27" s="31">
        <f t="shared" si="19"/>
        <v>29</v>
      </c>
    </row>
    <row r="28" spans="2:32" ht="23.1" customHeight="1" x14ac:dyDescent="0.25">
      <c r="B28" s="45" t="s">
        <v>55</v>
      </c>
      <c r="C28" s="50">
        <v>10</v>
      </c>
      <c r="D28" s="50">
        <v>0</v>
      </c>
      <c r="E28" s="50">
        <v>2</v>
      </c>
      <c r="F28" s="50">
        <v>8</v>
      </c>
      <c r="G28" s="50">
        <v>0</v>
      </c>
      <c r="H28" s="50">
        <v>0</v>
      </c>
      <c r="I28" s="50">
        <v>4</v>
      </c>
      <c r="J28" s="50">
        <v>5</v>
      </c>
      <c r="K28" s="50">
        <v>1</v>
      </c>
      <c r="L28" s="50">
        <v>0</v>
      </c>
      <c r="M28" s="50">
        <v>33</v>
      </c>
      <c r="N28" s="50">
        <v>0</v>
      </c>
      <c r="O28" s="15">
        <f t="shared" si="0"/>
        <v>30</v>
      </c>
      <c r="P28" s="15">
        <f t="shared" si="1"/>
        <v>63</v>
      </c>
      <c r="R28" s="36" t="s">
        <v>152</v>
      </c>
      <c r="S28" s="34">
        <f>SUM(C82:C85)</f>
        <v>4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1</v>
      </c>
      <c r="AB28" s="34">
        <f t="shared" si="20"/>
        <v>0</v>
      </c>
      <c r="AC28" s="34">
        <f t="shared" si="20"/>
        <v>10</v>
      </c>
      <c r="AD28" s="34">
        <f t="shared" si="20"/>
        <v>0</v>
      </c>
      <c r="AE28" s="31">
        <f t="shared" si="20"/>
        <v>6</v>
      </c>
      <c r="AF28" s="31">
        <f t="shared" si="20"/>
        <v>16</v>
      </c>
    </row>
    <row r="29" spans="2:32" ht="23.1" customHeight="1" x14ac:dyDescent="0.25">
      <c r="B29" s="45" t="s">
        <v>56</v>
      </c>
      <c r="C29" s="50">
        <v>9</v>
      </c>
      <c r="D29" s="50">
        <v>2</v>
      </c>
      <c r="E29" s="50">
        <v>3</v>
      </c>
      <c r="F29" s="50">
        <v>6</v>
      </c>
      <c r="G29" s="50">
        <v>0</v>
      </c>
      <c r="H29" s="50">
        <v>0</v>
      </c>
      <c r="I29" s="50">
        <v>6</v>
      </c>
      <c r="J29" s="50">
        <v>3</v>
      </c>
      <c r="K29" s="50">
        <v>0</v>
      </c>
      <c r="L29" s="50">
        <v>0</v>
      </c>
      <c r="M29" s="50">
        <v>43</v>
      </c>
      <c r="N29" s="50">
        <v>0</v>
      </c>
      <c r="O29" s="15">
        <f t="shared" si="0"/>
        <v>29</v>
      </c>
      <c r="P29" s="15">
        <f t="shared" si="1"/>
        <v>72</v>
      </c>
      <c r="R29" s="36" t="s">
        <v>153</v>
      </c>
      <c r="S29" s="34">
        <f>SUM(C86:C89)</f>
        <v>2</v>
      </c>
      <c r="T29" s="34">
        <f t="shared" ref="T29:AF29" si="21">SUM(D86:D89)</f>
        <v>1</v>
      </c>
      <c r="U29" s="34">
        <f t="shared" si="21"/>
        <v>0</v>
      </c>
      <c r="V29" s="34">
        <f t="shared" si="21"/>
        <v>1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6</v>
      </c>
      <c r="AD29" s="34">
        <f t="shared" si="21"/>
        <v>0</v>
      </c>
      <c r="AE29" s="31">
        <f t="shared" si="21"/>
        <v>4</v>
      </c>
      <c r="AF29" s="31">
        <f t="shared" si="21"/>
        <v>10</v>
      </c>
    </row>
    <row r="30" spans="2:32" ht="23.1" customHeight="1" x14ac:dyDescent="0.25">
      <c r="B30" s="45" t="s">
        <v>57</v>
      </c>
      <c r="C30" s="50">
        <v>11</v>
      </c>
      <c r="D30" s="50">
        <v>2</v>
      </c>
      <c r="E30" s="50">
        <v>2</v>
      </c>
      <c r="F30" s="50">
        <v>8</v>
      </c>
      <c r="G30" s="50">
        <v>0</v>
      </c>
      <c r="H30" s="50">
        <v>0</v>
      </c>
      <c r="I30" s="50">
        <v>3</v>
      </c>
      <c r="J30" s="50">
        <v>2</v>
      </c>
      <c r="K30" s="50">
        <v>0</v>
      </c>
      <c r="L30" s="50">
        <v>0</v>
      </c>
      <c r="M30" s="50">
        <v>31</v>
      </c>
      <c r="N30" s="50">
        <v>0</v>
      </c>
      <c r="O30" s="15">
        <f t="shared" si="0"/>
        <v>28</v>
      </c>
      <c r="P30" s="15">
        <f t="shared" si="1"/>
        <v>59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7</v>
      </c>
      <c r="AD30" s="34">
        <f t="shared" si="22"/>
        <v>0</v>
      </c>
      <c r="AE30" s="31">
        <f t="shared" si="22"/>
        <v>3</v>
      </c>
      <c r="AF30" s="31">
        <f t="shared" si="22"/>
        <v>10</v>
      </c>
    </row>
    <row r="31" spans="2:32" ht="23.1" customHeight="1" x14ac:dyDescent="0.25">
      <c r="B31" s="46" t="s">
        <v>58</v>
      </c>
      <c r="C31" s="50">
        <v>16</v>
      </c>
      <c r="D31" s="50">
        <v>2</v>
      </c>
      <c r="E31" s="50">
        <v>1</v>
      </c>
      <c r="F31" s="50">
        <v>8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41</v>
      </c>
      <c r="N31" s="50">
        <v>0</v>
      </c>
      <c r="O31" s="15">
        <f t="shared" si="0"/>
        <v>30</v>
      </c>
      <c r="P31" s="15">
        <f t="shared" si="1"/>
        <v>71</v>
      </c>
      <c r="R31" s="36" t="s">
        <v>155</v>
      </c>
      <c r="S31" s="34">
        <f>SUM(C94:C97)</f>
        <v>3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5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</v>
      </c>
      <c r="AD31" s="34">
        <f t="shared" si="23"/>
        <v>0</v>
      </c>
      <c r="AE31" s="31">
        <f t="shared" si="23"/>
        <v>8</v>
      </c>
      <c r="AF31" s="31">
        <f t="shared" si="23"/>
        <v>11</v>
      </c>
    </row>
    <row r="32" spans="2:32" ht="23.1" customHeight="1" x14ac:dyDescent="0.25">
      <c r="B32" s="46" t="s">
        <v>59</v>
      </c>
      <c r="C32" s="50">
        <v>10</v>
      </c>
      <c r="D32" s="50">
        <v>1</v>
      </c>
      <c r="E32" s="50">
        <v>3</v>
      </c>
      <c r="F32" s="50">
        <v>6</v>
      </c>
      <c r="G32" s="50">
        <v>0</v>
      </c>
      <c r="H32" s="50">
        <v>0</v>
      </c>
      <c r="I32" s="50">
        <v>5</v>
      </c>
      <c r="J32" s="50">
        <v>3</v>
      </c>
      <c r="K32" s="50">
        <v>0</v>
      </c>
      <c r="L32" s="50">
        <v>0</v>
      </c>
      <c r="M32" s="50">
        <v>28</v>
      </c>
      <c r="N32" s="50">
        <v>0</v>
      </c>
      <c r="O32" s="15">
        <f t="shared" si="0"/>
        <v>28</v>
      </c>
      <c r="P32" s="15">
        <f t="shared" si="1"/>
        <v>56</v>
      </c>
      <c r="R32" s="33" t="s">
        <v>156</v>
      </c>
      <c r="S32" s="34">
        <f>SUM(C98:C101)</f>
        <v>22</v>
      </c>
      <c r="T32" s="34">
        <f t="shared" ref="T32:AF32" si="24">SUM(D98:D101)</f>
        <v>1</v>
      </c>
      <c r="U32" s="34">
        <f t="shared" si="24"/>
        <v>2</v>
      </c>
      <c r="V32" s="34">
        <f t="shared" si="24"/>
        <v>24</v>
      </c>
      <c r="W32" s="34">
        <f t="shared" si="24"/>
        <v>4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1</v>
      </c>
      <c r="AB32" s="34">
        <f t="shared" si="24"/>
        <v>0</v>
      </c>
      <c r="AC32" s="34">
        <f t="shared" si="24"/>
        <v>30</v>
      </c>
      <c r="AD32" s="34">
        <f t="shared" si="24"/>
        <v>0</v>
      </c>
      <c r="AE32" s="31">
        <f t="shared" si="24"/>
        <v>57</v>
      </c>
      <c r="AF32" s="31">
        <f t="shared" si="24"/>
        <v>87</v>
      </c>
    </row>
    <row r="33" spans="2:32" ht="23.1" customHeight="1" x14ac:dyDescent="0.25">
      <c r="B33" s="45" t="s">
        <v>60</v>
      </c>
      <c r="C33" s="50">
        <v>8</v>
      </c>
      <c r="D33" s="50">
        <v>2</v>
      </c>
      <c r="E33" s="50">
        <v>5</v>
      </c>
      <c r="F33" s="50">
        <v>4</v>
      </c>
      <c r="G33" s="50">
        <v>0</v>
      </c>
      <c r="H33" s="50">
        <v>0</v>
      </c>
      <c r="I33" s="50">
        <v>4</v>
      </c>
      <c r="J33" s="50">
        <v>1</v>
      </c>
      <c r="K33" s="50">
        <v>0</v>
      </c>
      <c r="L33" s="50">
        <v>0</v>
      </c>
      <c r="M33" s="50">
        <v>35</v>
      </c>
      <c r="N33" s="50">
        <v>0</v>
      </c>
      <c r="O33" s="15">
        <f t="shared" si="0"/>
        <v>24</v>
      </c>
      <c r="P33" s="15">
        <f t="shared" si="1"/>
        <v>59</v>
      </c>
      <c r="R33" s="33" t="s">
        <v>157</v>
      </c>
      <c r="S33" s="34">
        <f>SUM(C102:C105)</f>
        <v>41</v>
      </c>
      <c r="T33" s="34">
        <f t="shared" ref="T33:AF33" si="25">SUM(D102:D105)</f>
        <v>4</v>
      </c>
      <c r="U33" s="34">
        <f t="shared" si="25"/>
        <v>2</v>
      </c>
      <c r="V33" s="34">
        <f t="shared" si="25"/>
        <v>44</v>
      </c>
      <c r="W33" s="34">
        <f t="shared" si="25"/>
        <v>0</v>
      </c>
      <c r="X33" s="34">
        <f t="shared" si="25"/>
        <v>0</v>
      </c>
      <c r="Y33" s="34">
        <f t="shared" si="25"/>
        <v>3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85</v>
      </c>
      <c r="AD33" s="34">
        <f t="shared" si="25"/>
        <v>0</v>
      </c>
      <c r="AE33" s="31">
        <f t="shared" si="25"/>
        <v>96</v>
      </c>
      <c r="AF33" s="31">
        <f t="shared" si="25"/>
        <v>181</v>
      </c>
    </row>
    <row r="34" spans="2:32" ht="23.1" customHeight="1" x14ac:dyDescent="0.25">
      <c r="B34" s="46" t="s">
        <v>61</v>
      </c>
      <c r="C34" s="50">
        <v>10</v>
      </c>
      <c r="D34" s="50">
        <v>3</v>
      </c>
      <c r="E34" s="50">
        <v>3</v>
      </c>
      <c r="F34" s="50">
        <v>4</v>
      </c>
      <c r="G34" s="50">
        <v>0</v>
      </c>
      <c r="H34" s="50">
        <v>0</v>
      </c>
      <c r="I34" s="50">
        <v>3</v>
      </c>
      <c r="J34" s="50">
        <v>2</v>
      </c>
      <c r="K34" s="50">
        <v>0</v>
      </c>
      <c r="L34" s="50">
        <v>0</v>
      </c>
      <c r="M34" s="50">
        <v>29</v>
      </c>
      <c r="N34" s="50">
        <v>0</v>
      </c>
      <c r="O34" s="15">
        <f t="shared" si="0"/>
        <v>25</v>
      </c>
      <c r="P34" s="15">
        <f t="shared" si="1"/>
        <v>54</v>
      </c>
      <c r="R34" s="38" t="s">
        <v>90</v>
      </c>
      <c r="S34" s="39">
        <f t="shared" ref="S34:AF34" si="26">MAX(S10:S12)</f>
        <v>212</v>
      </c>
      <c r="T34" s="39">
        <f t="shared" si="26"/>
        <v>59</v>
      </c>
      <c r="U34" s="39">
        <f t="shared" si="26"/>
        <v>35</v>
      </c>
      <c r="V34" s="39">
        <f t="shared" si="26"/>
        <v>72</v>
      </c>
      <c r="W34" s="39">
        <f t="shared" si="26"/>
        <v>0</v>
      </c>
      <c r="X34" s="39">
        <f t="shared" si="26"/>
        <v>0</v>
      </c>
      <c r="Y34" s="39">
        <f t="shared" si="26"/>
        <v>16</v>
      </c>
      <c r="Z34" s="39">
        <f t="shared" si="26"/>
        <v>8</v>
      </c>
      <c r="AA34" s="39">
        <f t="shared" si="26"/>
        <v>1</v>
      </c>
      <c r="AB34" s="39">
        <f t="shared" si="26"/>
        <v>1</v>
      </c>
      <c r="AC34" s="39">
        <f t="shared" si="26"/>
        <v>306</v>
      </c>
      <c r="AD34" s="39">
        <f t="shared" si="26"/>
        <v>0</v>
      </c>
      <c r="AE34" s="40">
        <f t="shared" si="26"/>
        <v>386</v>
      </c>
      <c r="AF34" s="40">
        <f t="shared" si="26"/>
        <v>692</v>
      </c>
    </row>
    <row r="35" spans="2:32" ht="23.1" customHeight="1" x14ac:dyDescent="0.25">
      <c r="B35" s="46" t="s">
        <v>62</v>
      </c>
      <c r="C35" s="50">
        <v>13</v>
      </c>
      <c r="D35" s="50">
        <v>2</v>
      </c>
      <c r="E35" s="50">
        <v>2</v>
      </c>
      <c r="F35" s="50">
        <v>3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27</v>
      </c>
      <c r="N35" s="50">
        <v>0</v>
      </c>
      <c r="O35" s="15">
        <f t="shared" si="0"/>
        <v>21</v>
      </c>
      <c r="P35" s="15">
        <f t="shared" si="1"/>
        <v>48</v>
      </c>
      <c r="R35" s="38" t="s">
        <v>91</v>
      </c>
      <c r="S35" s="39">
        <f t="shared" ref="S35:AF35" si="27">MAX(S13:S18)</f>
        <v>68</v>
      </c>
      <c r="T35" s="39">
        <f t="shared" si="27"/>
        <v>10</v>
      </c>
      <c r="U35" s="39">
        <f t="shared" si="27"/>
        <v>15</v>
      </c>
      <c r="V35" s="39">
        <f t="shared" si="27"/>
        <v>47</v>
      </c>
      <c r="W35" s="39">
        <f t="shared" si="27"/>
        <v>1</v>
      </c>
      <c r="X35" s="39">
        <f t="shared" si="27"/>
        <v>0</v>
      </c>
      <c r="Y35" s="39">
        <f t="shared" si="27"/>
        <v>17</v>
      </c>
      <c r="Z35" s="39">
        <f t="shared" si="27"/>
        <v>12</v>
      </c>
      <c r="AA35" s="39">
        <f t="shared" si="27"/>
        <v>3</v>
      </c>
      <c r="AB35" s="39">
        <f t="shared" si="27"/>
        <v>1</v>
      </c>
      <c r="AC35" s="39">
        <f t="shared" si="27"/>
        <v>155</v>
      </c>
      <c r="AD35" s="39">
        <f t="shared" si="27"/>
        <v>0</v>
      </c>
      <c r="AE35" s="40">
        <f t="shared" si="27"/>
        <v>163</v>
      </c>
      <c r="AF35" s="40">
        <f t="shared" si="27"/>
        <v>312</v>
      </c>
    </row>
    <row r="36" spans="2:32" ht="23.1" customHeight="1" x14ac:dyDescent="0.25">
      <c r="B36" s="46" t="s">
        <v>63</v>
      </c>
      <c r="C36" s="50">
        <v>11</v>
      </c>
      <c r="D36" s="50">
        <v>4</v>
      </c>
      <c r="E36" s="50">
        <v>3</v>
      </c>
      <c r="F36" s="50">
        <v>6</v>
      </c>
      <c r="G36" s="50">
        <v>0</v>
      </c>
      <c r="H36" s="50">
        <v>0</v>
      </c>
      <c r="I36" s="50">
        <v>4</v>
      </c>
      <c r="J36" s="50">
        <v>2</v>
      </c>
      <c r="K36" s="50">
        <v>0</v>
      </c>
      <c r="L36" s="50">
        <v>0</v>
      </c>
      <c r="M36" s="50">
        <v>42</v>
      </c>
      <c r="N36" s="50">
        <v>0</v>
      </c>
      <c r="O36" s="15">
        <f t="shared" si="0"/>
        <v>30</v>
      </c>
      <c r="P36" s="15">
        <f t="shared" si="1"/>
        <v>72</v>
      </c>
      <c r="R36" s="38" t="s">
        <v>92</v>
      </c>
      <c r="S36" s="39">
        <f t="shared" ref="S36:AF36" si="28">MAX(S19:S21)</f>
        <v>63</v>
      </c>
      <c r="T36" s="39">
        <f t="shared" si="28"/>
        <v>8</v>
      </c>
      <c r="U36" s="39">
        <f t="shared" si="28"/>
        <v>11</v>
      </c>
      <c r="V36" s="39">
        <f t="shared" si="28"/>
        <v>43</v>
      </c>
      <c r="W36" s="39">
        <f t="shared" si="28"/>
        <v>2</v>
      </c>
      <c r="X36" s="39">
        <f t="shared" si="28"/>
        <v>1</v>
      </c>
      <c r="Y36" s="39">
        <f t="shared" si="28"/>
        <v>10</v>
      </c>
      <c r="Z36" s="39">
        <f t="shared" si="28"/>
        <v>6</v>
      </c>
      <c r="AA36" s="39">
        <f t="shared" si="28"/>
        <v>1</v>
      </c>
      <c r="AB36" s="39">
        <f t="shared" si="28"/>
        <v>2</v>
      </c>
      <c r="AC36" s="39">
        <f t="shared" si="28"/>
        <v>129</v>
      </c>
      <c r="AD36" s="39">
        <f t="shared" si="28"/>
        <v>0</v>
      </c>
      <c r="AE36" s="40">
        <f t="shared" si="28"/>
        <v>112</v>
      </c>
      <c r="AF36" s="40">
        <f t="shared" si="28"/>
        <v>237</v>
      </c>
    </row>
    <row r="37" spans="2:32" ht="23.1" customHeight="1" x14ac:dyDescent="0.25">
      <c r="B37" s="45" t="s">
        <v>64</v>
      </c>
      <c r="C37" s="50">
        <v>5</v>
      </c>
      <c r="D37" s="50">
        <v>1</v>
      </c>
      <c r="E37" s="50">
        <v>0</v>
      </c>
      <c r="F37" s="50">
        <v>4</v>
      </c>
      <c r="G37" s="50">
        <v>0</v>
      </c>
      <c r="H37" s="50">
        <v>0</v>
      </c>
      <c r="I37" s="50">
        <v>2</v>
      </c>
      <c r="J37" s="50">
        <v>3</v>
      </c>
      <c r="K37" s="50">
        <v>1</v>
      </c>
      <c r="L37" s="50">
        <v>0</v>
      </c>
      <c r="M37" s="50">
        <v>28</v>
      </c>
      <c r="N37" s="50">
        <v>0</v>
      </c>
      <c r="O37" s="15">
        <f t="shared" si="0"/>
        <v>16</v>
      </c>
      <c r="P37" s="15">
        <f t="shared" si="1"/>
        <v>44</v>
      </c>
      <c r="R37" s="37" t="s">
        <v>85</v>
      </c>
      <c r="S37" s="35">
        <f t="shared" ref="S37:AF37" si="29">SUM(S10:S12)</f>
        <v>462</v>
      </c>
      <c r="T37" s="16">
        <f t="shared" si="29"/>
        <v>84</v>
      </c>
      <c r="U37" s="16">
        <f t="shared" si="29"/>
        <v>62</v>
      </c>
      <c r="V37" s="16">
        <f t="shared" si="29"/>
        <v>191</v>
      </c>
      <c r="W37" s="16">
        <f t="shared" si="29"/>
        <v>0</v>
      </c>
      <c r="X37" s="16">
        <f t="shared" si="29"/>
        <v>0</v>
      </c>
      <c r="Y37" s="16">
        <f t="shared" si="29"/>
        <v>31</v>
      </c>
      <c r="Z37" s="16">
        <f t="shared" si="29"/>
        <v>12</v>
      </c>
      <c r="AA37" s="16">
        <f t="shared" si="29"/>
        <v>1</v>
      </c>
      <c r="AB37" s="16">
        <f t="shared" si="29"/>
        <v>1</v>
      </c>
      <c r="AC37" s="16">
        <f t="shared" si="29"/>
        <v>680</v>
      </c>
      <c r="AD37" s="16">
        <f t="shared" si="29"/>
        <v>0</v>
      </c>
      <c r="AE37" s="32">
        <f t="shared" si="29"/>
        <v>844</v>
      </c>
      <c r="AF37" s="32">
        <f t="shared" si="29"/>
        <v>1524</v>
      </c>
    </row>
    <row r="38" spans="2:32" ht="23.1" customHeight="1" x14ac:dyDescent="0.25">
      <c r="B38" s="46" t="s">
        <v>65</v>
      </c>
      <c r="C38" s="50">
        <v>8</v>
      </c>
      <c r="D38" s="50">
        <v>2</v>
      </c>
      <c r="E38" s="50">
        <v>2</v>
      </c>
      <c r="F38" s="50">
        <v>7</v>
      </c>
      <c r="G38" s="50">
        <v>0</v>
      </c>
      <c r="H38" s="50">
        <v>0</v>
      </c>
      <c r="I38" s="50">
        <v>6</v>
      </c>
      <c r="J38" s="50">
        <v>1</v>
      </c>
      <c r="K38" s="50">
        <v>0</v>
      </c>
      <c r="L38" s="50">
        <v>0</v>
      </c>
      <c r="M38" s="50">
        <v>18</v>
      </c>
      <c r="N38" s="50">
        <v>0</v>
      </c>
      <c r="O38" s="15">
        <f t="shared" si="0"/>
        <v>26</v>
      </c>
      <c r="P38" s="15">
        <f t="shared" si="1"/>
        <v>44</v>
      </c>
      <c r="R38" s="28" t="s">
        <v>86</v>
      </c>
      <c r="S38" s="16">
        <f t="shared" ref="S38:AF38" si="30">SUM(S13:S18)</f>
        <v>266</v>
      </c>
      <c r="T38" s="16">
        <f t="shared" si="30"/>
        <v>43</v>
      </c>
      <c r="U38" s="16">
        <f t="shared" si="30"/>
        <v>60</v>
      </c>
      <c r="V38" s="16">
        <f t="shared" si="30"/>
        <v>161</v>
      </c>
      <c r="W38" s="16">
        <f t="shared" si="30"/>
        <v>1</v>
      </c>
      <c r="X38" s="16">
        <f t="shared" si="30"/>
        <v>0</v>
      </c>
      <c r="Y38" s="16">
        <f t="shared" si="30"/>
        <v>81</v>
      </c>
      <c r="Z38" s="16">
        <f t="shared" si="30"/>
        <v>42</v>
      </c>
      <c r="AA38" s="16">
        <f t="shared" si="30"/>
        <v>10</v>
      </c>
      <c r="AB38" s="16">
        <f t="shared" si="30"/>
        <v>3</v>
      </c>
      <c r="AC38" s="16">
        <f t="shared" si="30"/>
        <v>761</v>
      </c>
      <c r="AD38" s="16">
        <f t="shared" si="30"/>
        <v>0</v>
      </c>
      <c r="AE38" s="32">
        <f t="shared" si="30"/>
        <v>667</v>
      </c>
      <c r="AF38" s="32">
        <f t="shared" si="30"/>
        <v>1428</v>
      </c>
    </row>
    <row r="39" spans="2:32" ht="23.1" customHeight="1" x14ac:dyDescent="0.25">
      <c r="B39" s="46" t="s">
        <v>66</v>
      </c>
      <c r="C39" s="50">
        <v>13</v>
      </c>
      <c r="D39" s="50">
        <v>1</v>
      </c>
      <c r="E39" s="50">
        <v>3</v>
      </c>
      <c r="F39" s="50">
        <v>2</v>
      </c>
      <c r="G39" s="50">
        <v>0</v>
      </c>
      <c r="H39" s="50">
        <v>0</v>
      </c>
      <c r="I39" s="50">
        <v>3</v>
      </c>
      <c r="J39" s="50">
        <v>0</v>
      </c>
      <c r="K39" s="50">
        <v>2</v>
      </c>
      <c r="L39" s="50">
        <v>0</v>
      </c>
      <c r="M39" s="50">
        <v>27</v>
      </c>
      <c r="N39" s="50">
        <v>0</v>
      </c>
      <c r="O39" s="15">
        <f t="shared" si="0"/>
        <v>24</v>
      </c>
      <c r="P39" s="15">
        <f t="shared" si="1"/>
        <v>51</v>
      </c>
      <c r="R39" s="29" t="s">
        <v>87</v>
      </c>
      <c r="S39" s="16">
        <f t="shared" ref="S39:AF39" si="31">SUM(S19:S21)</f>
        <v>144</v>
      </c>
      <c r="T39" s="16">
        <f t="shared" si="31"/>
        <v>22</v>
      </c>
      <c r="U39" s="16">
        <f t="shared" si="31"/>
        <v>20</v>
      </c>
      <c r="V39" s="16">
        <f t="shared" si="31"/>
        <v>82</v>
      </c>
      <c r="W39" s="16">
        <f t="shared" si="31"/>
        <v>3</v>
      </c>
      <c r="X39" s="16">
        <f t="shared" si="31"/>
        <v>3</v>
      </c>
      <c r="Y39" s="16">
        <f t="shared" si="31"/>
        <v>26</v>
      </c>
      <c r="Z39" s="16">
        <f t="shared" si="31"/>
        <v>15</v>
      </c>
      <c r="AA39" s="16">
        <f t="shared" si="31"/>
        <v>1</v>
      </c>
      <c r="AB39" s="16">
        <f t="shared" si="31"/>
        <v>2</v>
      </c>
      <c r="AC39" s="16">
        <f t="shared" si="31"/>
        <v>363</v>
      </c>
      <c r="AD39" s="16">
        <f t="shared" si="31"/>
        <v>0</v>
      </c>
      <c r="AE39" s="32">
        <f t="shared" si="31"/>
        <v>318</v>
      </c>
      <c r="AF39" s="32">
        <f t="shared" si="31"/>
        <v>681</v>
      </c>
    </row>
    <row r="40" spans="2:32" ht="23.1" customHeight="1" x14ac:dyDescent="0.25">
      <c r="B40" s="46" t="s">
        <v>67</v>
      </c>
      <c r="C40" s="50">
        <v>7</v>
      </c>
      <c r="D40" s="50">
        <v>1</v>
      </c>
      <c r="E40" s="50">
        <v>3</v>
      </c>
      <c r="F40" s="50">
        <v>6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1</v>
      </c>
      <c r="M40" s="50">
        <v>20</v>
      </c>
      <c r="N40" s="50">
        <v>0</v>
      </c>
      <c r="O40" s="15">
        <f t="shared" si="0"/>
        <v>19</v>
      </c>
      <c r="P40" s="15">
        <f t="shared" si="1"/>
        <v>39</v>
      </c>
      <c r="R40" s="5" t="s">
        <v>17</v>
      </c>
      <c r="S40" s="16">
        <f t="shared" ref="S40:AF40" si="32">SUM(S10:S21)</f>
        <v>872</v>
      </c>
      <c r="T40" s="16">
        <f t="shared" si="32"/>
        <v>149</v>
      </c>
      <c r="U40" s="16">
        <f t="shared" si="32"/>
        <v>142</v>
      </c>
      <c r="V40" s="16">
        <f t="shared" si="32"/>
        <v>434</v>
      </c>
      <c r="W40" s="16">
        <f t="shared" si="32"/>
        <v>4</v>
      </c>
      <c r="X40" s="16">
        <f t="shared" si="32"/>
        <v>3</v>
      </c>
      <c r="Y40" s="16">
        <f t="shared" si="32"/>
        <v>138</v>
      </c>
      <c r="Z40" s="16">
        <f t="shared" si="32"/>
        <v>69</v>
      </c>
      <c r="AA40" s="16">
        <f t="shared" si="32"/>
        <v>12</v>
      </c>
      <c r="AB40" s="16">
        <f t="shared" si="32"/>
        <v>6</v>
      </c>
      <c r="AC40" s="16">
        <f t="shared" si="32"/>
        <v>1804</v>
      </c>
      <c r="AD40" s="16">
        <f t="shared" si="32"/>
        <v>0</v>
      </c>
      <c r="AE40" s="32">
        <f t="shared" si="32"/>
        <v>1829</v>
      </c>
      <c r="AF40" s="32">
        <f t="shared" si="32"/>
        <v>3633</v>
      </c>
    </row>
    <row r="41" spans="2:32" ht="23.1" customHeight="1" x14ac:dyDescent="0.25">
      <c r="B41" s="45" t="s">
        <v>68</v>
      </c>
      <c r="C41" s="50">
        <v>10</v>
      </c>
      <c r="D41" s="50">
        <v>1</v>
      </c>
      <c r="E41" s="50">
        <v>0</v>
      </c>
      <c r="F41" s="50">
        <v>3</v>
      </c>
      <c r="G41" s="50">
        <v>0</v>
      </c>
      <c r="H41" s="50">
        <v>0</v>
      </c>
      <c r="I41" s="50">
        <v>4</v>
      </c>
      <c r="J41" s="50">
        <v>3</v>
      </c>
      <c r="K41" s="50">
        <v>1</v>
      </c>
      <c r="L41" s="50">
        <v>0</v>
      </c>
      <c r="M41" s="50">
        <v>27</v>
      </c>
      <c r="N41" s="50">
        <v>0</v>
      </c>
      <c r="O41" s="15">
        <f t="shared" si="0"/>
        <v>22</v>
      </c>
      <c r="P41" s="15">
        <f t="shared" si="1"/>
        <v>49</v>
      </c>
      <c r="R41" s="5" t="s">
        <v>159</v>
      </c>
      <c r="S41" s="16">
        <f>SUM(S10:S33)</f>
        <v>1059</v>
      </c>
      <c r="T41" s="16">
        <f t="shared" ref="T41:AF41" si="33">SUM(T10:T33)</f>
        <v>172</v>
      </c>
      <c r="U41" s="16">
        <f t="shared" si="33"/>
        <v>164</v>
      </c>
      <c r="V41" s="16">
        <f t="shared" si="33"/>
        <v>611</v>
      </c>
      <c r="W41" s="16">
        <f t="shared" si="33"/>
        <v>8</v>
      </c>
      <c r="X41" s="16">
        <f t="shared" si="33"/>
        <v>4</v>
      </c>
      <c r="Y41" s="16">
        <f t="shared" si="33"/>
        <v>157</v>
      </c>
      <c r="Z41" s="16">
        <f t="shared" si="33"/>
        <v>79</v>
      </c>
      <c r="AA41" s="16">
        <f t="shared" si="33"/>
        <v>15</v>
      </c>
      <c r="AB41" s="16">
        <f t="shared" si="33"/>
        <v>6</v>
      </c>
      <c r="AC41" s="16">
        <f t="shared" si="33"/>
        <v>2310</v>
      </c>
      <c r="AD41" s="16">
        <f t="shared" si="33"/>
        <v>0</v>
      </c>
      <c r="AE41" s="32">
        <f t="shared" si="33"/>
        <v>2244</v>
      </c>
      <c r="AF41" s="32">
        <f t="shared" si="33"/>
        <v>4526</v>
      </c>
    </row>
    <row r="42" spans="2:32" ht="23.1" customHeight="1" x14ac:dyDescent="0.25">
      <c r="B42" s="46" t="s">
        <v>69</v>
      </c>
      <c r="C42" s="50">
        <v>6</v>
      </c>
      <c r="D42" s="50">
        <v>3</v>
      </c>
      <c r="E42" s="50">
        <v>5</v>
      </c>
      <c r="F42" s="50">
        <v>5</v>
      </c>
      <c r="G42" s="50">
        <v>0</v>
      </c>
      <c r="H42" s="50">
        <v>0</v>
      </c>
      <c r="I42" s="50">
        <v>2</v>
      </c>
      <c r="J42" s="50">
        <v>2</v>
      </c>
      <c r="K42" s="50">
        <v>1</v>
      </c>
      <c r="L42" s="50">
        <v>0</v>
      </c>
      <c r="M42" s="50">
        <v>17</v>
      </c>
      <c r="N42" s="50">
        <v>0</v>
      </c>
      <c r="O42" s="15">
        <f t="shared" si="0"/>
        <v>24</v>
      </c>
      <c r="P42" s="15">
        <f t="shared" si="1"/>
        <v>41</v>
      </c>
      <c r="R42" s="5" t="s">
        <v>160</v>
      </c>
      <c r="S42" s="48">
        <f>S41/S40</f>
        <v>1.2144495412844036</v>
      </c>
      <c r="T42" s="48">
        <f t="shared" ref="T42:AF42" si="34">T41/T40</f>
        <v>1.1543624161073827</v>
      </c>
      <c r="U42" s="48">
        <f t="shared" si="34"/>
        <v>1.1549295774647887</v>
      </c>
      <c r="V42" s="48">
        <f t="shared" si="34"/>
        <v>1.4078341013824884</v>
      </c>
      <c r="W42" s="48">
        <f t="shared" si="34"/>
        <v>2</v>
      </c>
      <c r="X42" s="48">
        <f t="shared" si="34"/>
        <v>1.3333333333333333</v>
      </c>
      <c r="Y42" s="48">
        <f t="shared" si="34"/>
        <v>1.1376811594202898</v>
      </c>
      <c r="Z42" s="48">
        <f t="shared" si="34"/>
        <v>1.144927536231884</v>
      </c>
      <c r="AA42" s="48">
        <f t="shared" si="34"/>
        <v>1.25</v>
      </c>
      <c r="AB42" s="48">
        <f t="shared" si="34"/>
        <v>1</v>
      </c>
      <c r="AC42" s="48">
        <f t="shared" si="34"/>
        <v>1.2804878048780488</v>
      </c>
      <c r="AD42" s="48" t="e">
        <f t="shared" si="34"/>
        <v>#DIV/0!</v>
      </c>
      <c r="AE42" s="48">
        <f t="shared" si="34"/>
        <v>1.2268999453253144</v>
      </c>
      <c r="AF42" s="48">
        <f t="shared" si="34"/>
        <v>1.2458023671896503</v>
      </c>
    </row>
    <row r="43" spans="2:32" ht="23.1" customHeight="1" x14ac:dyDescent="0.25">
      <c r="B43" s="45" t="s">
        <v>70</v>
      </c>
      <c r="C43" s="50">
        <v>6</v>
      </c>
      <c r="D43" s="50">
        <v>0</v>
      </c>
      <c r="E43" s="50">
        <v>0</v>
      </c>
      <c r="F43" s="50">
        <v>11</v>
      </c>
      <c r="G43" s="50">
        <v>0</v>
      </c>
      <c r="H43" s="50">
        <v>0</v>
      </c>
      <c r="I43" s="50">
        <v>5</v>
      </c>
      <c r="J43" s="50">
        <v>1</v>
      </c>
      <c r="K43" s="50">
        <v>1</v>
      </c>
      <c r="L43" s="50">
        <v>0</v>
      </c>
      <c r="M43" s="50">
        <v>32</v>
      </c>
      <c r="N43" s="50">
        <v>0</v>
      </c>
      <c r="O43" s="15">
        <f t="shared" si="0"/>
        <v>24</v>
      </c>
      <c r="P43" s="15">
        <f t="shared" si="1"/>
        <v>56</v>
      </c>
    </row>
    <row r="44" spans="2:32" ht="23.1" customHeight="1" x14ac:dyDescent="0.25">
      <c r="B44" s="47" t="s">
        <v>71</v>
      </c>
      <c r="C44" s="50">
        <v>5</v>
      </c>
      <c r="D44" s="50">
        <v>2</v>
      </c>
      <c r="E44" s="50">
        <v>1</v>
      </c>
      <c r="F44" s="50">
        <v>2</v>
      </c>
      <c r="G44" s="50">
        <v>0</v>
      </c>
      <c r="H44" s="50">
        <v>0</v>
      </c>
      <c r="I44" s="50">
        <v>1</v>
      </c>
      <c r="J44" s="50">
        <v>3</v>
      </c>
      <c r="K44" s="50">
        <v>0</v>
      </c>
      <c r="L44" s="50">
        <v>0</v>
      </c>
      <c r="M44" s="50">
        <v>32</v>
      </c>
      <c r="N44" s="50">
        <v>0</v>
      </c>
      <c r="O44" s="15">
        <f t="shared" si="0"/>
        <v>14</v>
      </c>
      <c r="P44" s="15">
        <f t="shared" si="1"/>
        <v>46</v>
      </c>
    </row>
    <row r="45" spans="2:32" ht="23.1" customHeight="1" x14ac:dyDescent="0.25">
      <c r="B45" s="45" t="s">
        <v>72</v>
      </c>
      <c r="C45" s="50">
        <v>11</v>
      </c>
      <c r="D45" s="50">
        <v>0</v>
      </c>
      <c r="E45" s="50">
        <v>3</v>
      </c>
      <c r="F45" s="50">
        <v>7</v>
      </c>
      <c r="G45" s="50">
        <v>0</v>
      </c>
      <c r="H45" s="50">
        <v>0</v>
      </c>
      <c r="I45" s="50">
        <v>3</v>
      </c>
      <c r="J45" s="50">
        <v>2</v>
      </c>
      <c r="K45" s="50">
        <v>0</v>
      </c>
      <c r="L45" s="50">
        <v>0</v>
      </c>
      <c r="M45" s="50">
        <v>23</v>
      </c>
      <c r="N45" s="50">
        <v>0</v>
      </c>
      <c r="O45" s="15">
        <f t="shared" si="0"/>
        <v>26</v>
      </c>
      <c r="P45" s="15">
        <f t="shared" si="1"/>
        <v>49</v>
      </c>
    </row>
    <row r="46" spans="2:32" ht="23.1" customHeight="1" x14ac:dyDescent="0.25">
      <c r="B46" s="46" t="s">
        <v>73</v>
      </c>
      <c r="C46" s="50">
        <v>12</v>
      </c>
      <c r="D46" s="50">
        <v>1</v>
      </c>
      <c r="E46" s="50">
        <v>2</v>
      </c>
      <c r="F46" s="50">
        <v>6</v>
      </c>
      <c r="G46" s="50">
        <v>0</v>
      </c>
      <c r="H46" s="50">
        <v>0</v>
      </c>
      <c r="I46" s="50">
        <v>6</v>
      </c>
      <c r="J46" s="50">
        <v>1</v>
      </c>
      <c r="K46" s="50">
        <v>0</v>
      </c>
      <c r="L46" s="50">
        <v>0</v>
      </c>
      <c r="M46" s="50">
        <v>32</v>
      </c>
      <c r="N46" s="50">
        <v>0</v>
      </c>
      <c r="O46" s="15">
        <f t="shared" si="0"/>
        <v>28</v>
      </c>
      <c r="P46" s="15">
        <f t="shared" si="1"/>
        <v>60</v>
      </c>
      <c r="R46" s="8"/>
      <c r="T46"/>
    </row>
    <row r="47" spans="2:32" ht="23.1" customHeight="1" x14ac:dyDescent="0.25">
      <c r="B47" s="46" t="s">
        <v>74</v>
      </c>
      <c r="C47" s="50">
        <v>11</v>
      </c>
      <c r="D47" s="50">
        <v>3</v>
      </c>
      <c r="E47" s="50">
        <v>3</v>
      </c>
      <c r="F47" s="50">
        <v>2</v>
      </c>
      <c r="G47" s="50">
        <v>0</v>
      </c>
      <c r="H47" s="50">
        <v>1</v>
      </c>
      <c r="I47" s="50">
        <v>2</v>
      </c>
      <c r="J47" s="50">
        <v>1</v>
      </c>
      <c r="K47" s="50">
        <v>0</v>
      </c>
      <c r="L47" s="50">
        <v>0</v>
      </c>
      <c r="M47" s="50">
        <v>31</v>
      </c>
      <c r="N47" s="50">
        <v>0</v>
      </c>
      <c r="O47" s="15">
        <f t="shared" si="0"/>
        <v>23</v>
      </c>
      <c r="P47" s="15">
        <f t="shared" si="1"/>
        <v>54</v>
      </c>
      <c r="R47" s="8"/>
      <c r="T47"/>
    </row>
    <row r="48" spans="2:32" ht="23.1" customHeight="1" x14ac:dyDescent="0.25">
      <c r="B48" s="46" t="s">
        <v>75</v>
      </c>
      <c r="C48" s="50">
        <v>9</v>
      </c>
      <c r="D48" s="50">
        <v>2</v>
      </c>
      <c r="E48" s="50">
        <v>3</v>
      </c>
      <c r="F48" s="50">
        <v>5</v>
      </c>
      <c r="G48" s="50">
        <v>1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17</v>
      </c>
      <c r="N48" s="50">
        <v>0</v>
      </c>
      <c r="O48" s="15">
        <f t="shared" si="0"/>
        <v>21</v>
      </c>
      <c r="P48" s="15">
        <f t="shared" si="1"/>
        <v>38</v>
      </c>
      <c r="R48" s="8"/>
      <c r="T48"/>
    </row>
    <row r="49" spans="2:20" ht="23.1" customHeight="1" x14ac:dyDescent="0.25">
      <c r="B49" s="45" t="s">
        <v>76</v>
      </c>
      <c r="C49" s="50">
        <v>11</v>
      </c>
      <c r="D49" s="50">
        <v>2</v>
      </c>
      <c r="E49" s="50">
        <v>3</v>
      </c>
      <c r="F49" s="50">
        <v>7</v>
      </c>
      <c r="G49" s="50">
        <v>0</v>
      </c>
      <c r="H49" s="50">
        <v>0</v>
      </c>
      <c r="I49" s="50">
        <v>1</v>
      </c>
      <c r="J49" s="50">
        <v>2</v>
      </c>
      <c r="K49" s="50">
        <v>0</v>
      </c>
      <c r="L49" s="50">
        <v>0</v>
      </c>
      <c r="M49" s="50">
        <v>38</v>
      </c>
      <c r="N49" s="50">
        <v>0</v>
      </c>
      <c r="O49" s="15">
        <f t="shared" si="0"/>
        <v>26</v>
      </c>
      <c r="P49" s="15">
        <f t="shared" si="1"/>
        <v>64</v>
      </c>
      <c r="R49" s="8"/>
      <c r="T49"/>
    </row>
    <row r="50" spans="2:20" ht="23.1" customHeight="1" x14ac:dyDescent="0.25">
      <c r="B50" s="46" t="s">
        <v>77</v>
      </c>
      <c r="C50" s="50">
        <v>17</v>
      </c>
      <c r="D50" s="50">
        <v>2</v>
      </c>
      <c r="E50" s="50">
        <v>2</v>
      </c>
      <c r="F50" s="50">
        <v>2</v>
      </c>
      <c r="G50" s="50">
        <v>1</v>
      </c>
      <c r="H50" s="50">
        <v>0</v>
      </c>
      <c r="I50" s="50">
        <v>3</v>
      </c>
      <c r="J50" s="50">
        <v>3</v>
      </c>
      <c r="K50" s="50">
        <v>0</v>
      </c>
      <c r="L50" s="50">
        <v>0</v>
      </c>
      <c r="M50" s="50">
        <v>27</v>
      </c>
      <c r="N50" s="50">
        <v>0</v>
      </c>
      <c r="O50" s="15">
        <f t="shared" si="0"/>
        <v>30</v>
      </c>
      <c r="P50" s="15">
        <f t="shared" si="1"/>
        <v>57</v>
      </c>
      <c r="R50" s="8"/>
      <c r="T50"/>
    </row>
    <row r="51" spans="2:20" ht="23.1" customHeight="1" x14ac:dyDescent="0.25">
      <c r="B51" s="46" t="s">
        <v>78</v>
      </c>
      <c r="C51" s="50">
        <v>15</v>
      </c>
      <c r="D51" s="50">
        <v>3</v>
      </c>
      <c r="E51" s="50">
        <v>1</v>
      </c>
      <c r="F51" s="50">
        <v>6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28</v>
      </c>
      <c r="N51" s="50">
        <v>0</v>
      </c>
      <c r="O51" s="15">
        <f t="shared" si="0"/>
        <v>26</v>
      </c>
      <c r="P51" s="15">
        <f t="shared" si="1"/>
        <v>54</v>
      </c>
      <c r="R51" s="8"/>
      <c r="T51"/>
    </row>
    <row r="52" spans="2:20" ht="23.1" customHeight="1" x14ac:dyDescent="0.25">
      <c r="B52" s="46" t="s">
        <v>79</v>
      </c>
      <c r="C52" s="50">
        <v>14</v>
      </c>
      <c r="D52" s="50">
        <v>1</v>
      </c>
      <c r="E52" s="50">
        <v>2</v>
      </c>
      <c r="F52" s="50">
        <v>10</v>
      </c>
      <c r="G52" s="50">
        <v>0</v>
      </c>
      <c r="H52" s="50">
        <v>1</v>
      </c>
      <c r="I52" s="50">
        <v>1</v>
      </c>
      <c r="J52" s="50">
        <v>1</v>
      </c>
      <c r="K52" s="50">
        <v>0</v>
      </c>
      <c r="L52" s="50">
        <v>0</v>
      </c>
      <c r="M52" s="50">
        <v>30</v>
      </c>
      <c r="N52" s="50">
        <v>0</v>
      </c>
      <c r="O52" s="15">
        <f t="shared" si="0"/>
        <v>30</v>
      </c>
      <c r="P52" s="15">
        <f t="shared" si="1"/>
        <v>60</v>
      </c>
      <c r="R52" s="8"/>
      <c r="T52"/>
    </row>
    <row r="53" spans="2:20" ht="23.1" customHeight="1" x14ac:dyDescent="0.25">
      <c r="B53" s="45" t="s">
        <v>80</v>
      </c>
      <c r="C53" s="50">
        <v>17</v>
      </c>
      <c r="D53" s="50">
        <v>1</v>
      </c>
      <c r="E53" s="50">
        <v>1</v>
      </c>
      <c r="F53" s="50">
        <v>1</v>
      </c>
      <c r="G53" s="50">
        <v>1</v>
      </c>
      <c r="H53" s="50">
        <v>0</v>
      </c>
      <c r="I53" s="50">
        <v>3</v>
      </c>
      <c r="J53" s="50">
        <v>1</v>
      </c>
      <c r="K53" s="50">
        <v>1</v>
      </c>
      <c r="L53" s="50">
        <v>0</v>
      </c>
      <c r="M53" s="50">
        <v>31</v>
      </c>
      <c r="N53" s="50">
        <v>0</v>
      </c>
      <c r="O53" s="15">
        <f t="shared" si="0"/>
        <v>26</v>
      </c>
      <c r="P53" s="15">
        <f t="shared" si="1"/>
        <v>57</v>
      </c>
      <c r="R53" s="8"/>
      <c r="T53"/>
    </row>
    <row r="54" spans="2:20" ht="23.1" customHeight="1" x14ac:dyDescent="0.25">
      <c r="B54" s="45" t="s">
        <v>81</v>
      </c>
      <c r="C54" s="50">
        <v>8</v>
      </c>
      <c r="D54" s="50">
        <v>4</v>
      </c>
      <c r="E54" s="50">
        <v>0</v>
      </c>
      <c r="F54" s="50">
        <v>4</v>
      </c>
      <c r="G54" s="50">
        <v>0</v>
      </c>
      <c r="H54" s="50">
        <v>0</v>
      </c>
      <c r="I54" s="50">
        <v>3</v>
      </c>
      <c r="J54" s="50">
        <v>1</v>
      </c>
      <c r="K54" s="50">
        <v>0</v>
      </c>
      <c r="L54" s="50">
        <v>0</v>
      </c>
      <c r="M54" s="50">
        <v>32</v>
      </c>
      <c r="N54" s="50">
        <v>0</v>
      </c>
      <c r="O54" s="15">
        <f t="shared" si="0"/>
        <v>20</v>
      </c>
      <c r="P54" s="15">
        <f t="shared" si="1"/>
        <v>52</v>
      </c>
      <c r="R54" s="8"/>
      <c r="T54"/>
    </row>
    <row r="55" spans="2:20" ht="23.1" customHeight="1" x14ac:dyDescent="0.25">
      <c r="B55" s="45" t="s">
        <v>82</v>
      </c>
      <c r="C55" s="50">
        <v>6</v>
      </c>
      <c r="D55" s="50">
        <v>2</v>
      </c>
      <c r="E55" s="50">
        <v>0</v>
      </c>
      <c r="F55" s="50">
        <v>13</v>
      </c>
      <c r="G55" s="50">
        <v>0</v>
      </c>
      <c r="H55" s="50">
        <v>1</v>
      </c>
      <c r="I55" s="50">
        <v>1</v>
      </c>
      <c r="J55" s="50">
        <v>1</v>
      </c>
      <c r="K55" s="50">
        <v>0</v>
      </c>
      <c r="L55" s="50">
        <v>1</v>
      </c>
      <c r="M55" s="50">
        <v>28</v>
      </c>
      <c r="N55" s="50">
        <v>0</v>
      </c>
      <c r="O55" s="15">
        <f t="shared" si="0"/>
        <v>25</v>
      </c>
      <c r="P55" s="15">
        <f t="shared" si="1"/>
        <v>53</v>
      </c>
      <c r="R55" s="8"/>
      <c r="T55"/>
    </row>
    <row r="56" spans="2:20" ht="23.1" customHeight="1" x14ac:dyDescent="0.25">
      <c r="B56" s="45" t="s">
        <v>83</v>
      </c>
      <c r="C56" s="50">
        <v>6</v>
      </c>
      <c r="D56" s="50">
        <v>1</v>
      </c>
      <c r="E56" s="50">
        <v>2</v>
      </c>
      <c r="F56" s="50">
        <v>12</v>
      </c>
      <c r="G56" s="50">
        <v>0</v>
      </c>
      <c r="H56" s="50">
        <v>0</v>
      </c>
      <c r="I56" s="50">
        <v>3</v>
      </c>
      <c r="J56" s="50">
        <v>1</v>
      </c>
      <c r="K56" s="50">
        <v>0</v>
      </c>
      <c r="L56" s="50">
        <v>1</v>
      </c>
      <c r="M56" s="50">
        <v>37</v>
      </c>
      <c r="N56" s="50">
        <v>0</v>
      </c>
      <c r="O56" s="15">
        <f t="shared" si="0"/>
        <v>26</v>
      </c>
      <c r="P56" s="15">
        <f t="shared" si="1"/>
        <v>63</v>
      </c>
      <c r="R56" s="8"/>
      <c r="T56"/>
    </row>
    <row r="57" spans="2:20" ht="23.1" customHeight="1" x14ac:dyDescent="0.25">
      <c r="B57" s="45" t="s">
        <v>84</v>
      </c>
      <c r="C57" s="50">
        <v>18</v>
      </c>
      <c r="D57" s="50">
        <v>0</v>
      </c>
      <c r="E57" s="50">
        <v>1</v>
      </c>
      <c r="F57" s="50">
        <v>14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32</v>
      </c>
      <c r="N57" s="50">
        <v>0</v>
      </c>
      <c r="O57" s="15">
        <f t="shared" si="0"/>
        <v>37</v>
      </c>
      <c r="P57" s="15">
        <f t="shared" si="1"/>
        <v>69</v>
      </c>
      <c r="R57" s="8"/>
      <c r="T57"/>
    </row>
    <row r="58" spans="2:20" ht="23.1" customHeight="1" x14ac:dyDescent="0.25">
      <c r="B58" s="45" t="s">
        <v>99</v>
      </c>
      <c r="C58" s="50">
        <v>14</v>
      </c>
      <c r="D58" s="50">
        <v>2</v>
      </c>
      <c r="E58" s="50">
        <v>3</v>
      </c>
      <c r="F58" s="50">
        <v>8</v>
      </c>
      <c r="G58" s="50">
        <v>0</v>
      </c>
      <c r="H58" s="50">
        <v>0</v>
      </c>
      <c r="I58" s="50">
        <v>2</v>
      </c>
      <c r="J58" s="50">
        <v>1</v>
      </c>
      <c r="K58" s="50">
        <v>1</v>
      </c>
      <c r="L58" s="50">
        <v>0</v>
      </c>
      <c r="M58" s="50">
        <v>48</v>
      </c>
      <c r="N58" s="50">
        <v>0</v>
      </c>
      <c r="O58" s="15">
        <f t="shared" si="0"/>
        <v>31</v>
      </c>
      <c r="P58" s="15">
        <f t="shared" si="1"/>
        <v>79</v>
      </c>
      <c r="R58" s="8"/>
      <c r="T58"/>
    </row>
    <row r="59" spans="2:20" ht="23.1" customHeight="1" x14ac:dyDescent="0.25">
      <c r="B59" s="45" t="s">
        <v>100</v>
      </c>
      <c r="C59" s="50">
        <v>13</v>
      </c>
      <c r="D59" s="50">
        <v>3</v>
      </c>
      <c r="E59" s="50">
        <v>1</v>
      </c>
      <c r="F59" s="50">
        <v>8</v>
      </c>
      <c r="G59" s="50">
        <v>0</v>
      </c>
      <c r="H59" s="50">
        <v>1</v>
      </c>
      <c r="I59" s="50">
        <v>2</v>
      </c>
      <c r="J59" s="50">
        <v>0</v>
      </c>
      <c r="K59" s="50">
        <v>0</v>
      </c>
      <c r="L59" s="50">
        <v>0</v>
      </c>
      <c r="M59" s="50">
        <v>42</v>
      </c>
      <c r="N59" s="50">
        <v>0</v>
      </c>
      <c r="O59" s="15">
        <f t="shared" si="0"/>
        <v>28</v>
      </c>
      <c r="P59" s="15">
        <f t="shared" si="1"/>
        <v>70</v>
      </c>
      <c r="R59" s="8"/>
      <c r="T59"/>
    </row>
    <row r="60" spans="2:20" ht="23.1" customHeight="1" x14ac:dyDescent="0.25">
      <c r="B60" s="45" t="s">
        <v>101</v>
      </c>
      <c r="C60" s="50">
        <v>8</v>
      </c>
      <c r="D60" s="50">
        <v>1</v>
      </c>
      <c r="E60" s="50">
        <v>0</v>
      </c>
      <c r="F60" s="50">
        <v>14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28</v>
      </c>
      <c r="N60" s="50">
        <v>0</v>
      </c>
      <c r="O60" s="15">
        <f t="shared" si="0"/>
        <v>24</v>
      </c>
      <c r="P60" s="15">
        <f t="shared" si="1"/>
        <v>52</v>
      </c>
      <c r="R60" s="8"/>
      <c r="T60"/>
    </row>
    <row r="61" spans="2:20" ht="23.1" customHeight="1" x14ac:dyDescent="0.25">
      <c r="B61" s="45" t="s">
        <v>102</v>
      </c>
      <c r="C61" s="50">
        <v>17</v>
      </c>
      <c r="D61" s="50">
        <v>0</v>
      </c>
      <c r="E61" s="50">
        <v>1</v>
      </c>
      <c r="F61" s="50">
        <v>13</v>
      </c>
      <c r="G61" s="50">
        <v>0</v>
      </c>
      <c r="H61" s="50">
        <v>0</v>
      </c>
      <c r="I61" s="50">
        <v>2</v>
      </c>
      <c r="J61" s="50">
        <v>0</v>
      </c>
      <c r="K61" s="50">
        <v>0</v>
      </c>
      <c r="L61" s="50">
        <v>0</v>
      </c>
      <c r="M61" s="50">
        <v>37</v>
      </c>
      <c r="N61" s="50">
        <v>0</v>
      </c>
      <c r="O61" s="15">
        <v>2</v>
      </c>
      <c r="P61" s="15">
        <v>11</v>
      </c>
      <c r="R61" s="8"/>
      <c r="T61"/>
    </row>
    <row r="62" spans="2:20" ht="23.1" customHeight="1" x14ac:dyDescent="0.25">
      <c r="B62" s="45" t="s">
        <v>107</v>
      </c>
      <c r="C62" s="50">
        <v>11</v>
      </c>
      <c r="D62" s="50">
        <v>0</v>
      </c>
      <c r="E62" s="50">
        <v>2</v>
      </c>
      <c r="F62" s="50">
        <v>11</v>
      </c>
      <c r="G62" s="50">
        <v>0</v>
      </c>
      <c r="H62" s="50">
        <v>0</v>
      </c>
      <c r="I62" s="50">
        <v>2</v>
      </c>
      <c r="J62" s="50">
        <v>0</v>
      </c>
      <c r="K62" s="50">
        <v>0</v>
      </c>
      <c r="L62" s="50">
        <v>0</v>
      </c>
      <c r="M62" s="50">
        <v>38</v>
      </c>
      <c r="N62" s="50">
        <v>0</v>
      </c>
      <c r="O62" s="15">
        <f t="shared" si="0"/>
        <v>26</v>
      </c>
      <c r="P62" s="15">
        <f t="shared" si="1"/>
        <v>64</v>
      </c>
      <c r="R62" s="8"/>
      <c r="T62"/>
    </row>
    <row r="63" spans="2:20" ht="23.1" customHeight="1" x14ac:dyDescent="0.25">
      <c r="B63" s="45" t="s">
        <v>108</v>
      </c>
      <c r="C63" s="50">
        <v>14</v>
      </c>
      <c r="D63" s="50">
        <v>4</v>
      </c>
      <c r="E63" s="50">
        <v>0</v>
      </c>
      <c r="F63" s="50">
        <v>13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45</v>
      </c>
      <c r="N63" s="50">
        <v>0</v>
      </c>
      <c r="O63" s="15">
        <f t="shared" si="0"/>
        <v>32</v>
      </c>
      <c r="P63" s="15">
        <f t="shared" si="1"/>
        <v>77</v>
      </c>
      <c r="R63" s="8"/>
      <c r="T63"/>
    </row>
    <row r="64" spans="2:20" ht="23.1" customHeight="1" x14ac:dyDescent="0.25">
      <c r="B64" s="45" t="s">
        <v>109</v>
      </c>
      <c r="C64" s="50">
        <v>7</v>
      </c>
      <c r="D64" s="50">
        <v>0</v>
      </c>
      <c r="E64" s="50">
        <v>4</v>
      </c>
      <c r="F64" s="50">
        <v>14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29</v>
      </c>
      <c r="N64" s="50">
        <v>0</v>
      </c>
      <c r="O64" s="15">
        <f t="shared" si="0"/>
        <v>25</v>
      </c>
      <c r="P64" s="15">
        <f t="shared" si="1"/>
        <v>54</v>
      </c>
      <c r="R64" s="8"/>
      <c r="T64"/>
    </row>
    <row r="65" spans="2:20" ht="23.1" customHeight="1" x14ac:dyDescent="0.25">
      <c r="B65" s="45" t="s">
        <v>158</v>
      </c>
      <c r="C65" s="50">
        <v>13</v>
      </c>
      <c r="D65" s="50">
        <v>3</v>
      </c>
      <c r="E65" s="50">
        <v>0</v>
      </c>
      <c r="F65" s="50">
        <v>15</v>
      </c>
      <c r="G65" s="50">
        <v>0</v>
      </c>
      <c r="H65" s="50">
        <v>0</v>
      </c>
      <c r="I65" s="50">
        <v>1</v>
      </c>
      <c r="J65" s="50">
        <v>3</v>
      </c>
      <c r="K65" s="50">
        <v>0</v>
      </c>
      <c r="L65" s="50">
        <v>0</v>
      </c>
      <c r="M65" s="50">
        <v>25</v>
      </c>
      <c r="N65" s="50">
        <v>0</v>
      </c>
      <c r="O65" s="15">
        <f t="shared" si="0"/>
        <v>35</v>
      </c>
      <c r="P65" s="15">
        <f t="shared" si="1"/>
        <v>60</v>
      </c>
      <c r="R65" s="8"/>
      <c r="T65"/>
    </row>
    <row r="66" spans="2:20" ht="23.1" customHeight="1" x14ac:dyDescent="0.25">
      <c r="B66" s="45" t="s">
        <v>103</v>
      </c>
      <c r="C66" s="50">
        <v>0</v>
      </c>
      <c r="D66" s="50">
        <v>0</v>
      </c>
      <c r="E66" s="50">
        <v>0</v>
      </c>
      <c r="F66" s="50">
        <v>0</v>
      </c>
      <c r="G66" s="50">
        <v>0</v>
      </c>
      <c r="H66" s="50">
        <v>0</v>
      </c>
      <c r="I66" s="50">
        <v>0</v>
      </c>
      <c r="J66" s="50">
        <v>0</v>
      </c>
      <c r="K66" s="50">
        <v>0</v>
      </c>
      <c r="L66" s="50">
        <v>0</v>
      </c>
      <c r="M66" s="50">
        <v>0</v>
      </c>
      <c r="N66" s="50">
        <v>0</v>
      </c>
      <c r="O66" s="15">
        <f t="shared" si="0"/>
        <v>0</v>
      </c>
      <c r="P66" s="15">
        <f t="shared" si="1"/>
        <v>0</v>
      </c>
      <c r="R66" s="8"/>
      <c r="T66"/>
    </row>
    <row r="67" spans="2:20" ht="23.1" customHeight="1" x14ac:dyDescent="0.25">
      <c r="B67" s="45" t="s">
        <v>104</v>
      </c>
      <c r="C67" s="50">
        <v>0</v>
      </c>
      <c r="D67" s="50">
        <v>0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0</v>
      </c>
      <c r="P67" s="15">
        <f t="shared" si="1"/>
        <v>0</v>
      </c>
      <c r="R67" s="8"/>
      <c r="T67"/>
    </row>
    <row r="68" spans="2:20" ht="23.1" customHeight="1" x14ac:dyDescent="0.25">
      <c r="B68" s="45" t="s">
        <v>105</v>
      </c>
      <c r="C68" s="50">
        <v>0</v>
      </c>
      <c r="D68" s="50">
        <v>0</v>
      </c>
      <c r="E68" s="50">
        <v>0</v>
      </c>
      <c r="F68" s="50">
        <v>0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0</v>
      </c>
      <c r="P68" s="15">
        <f t="shared" si="1"/>
        <v>0</v>
      </c>
      <c r="R68" s="8"/>
      <c r="T68"/>
    </row>
    <row r="69" spans="2:20" ht="23.1" customHeight="1" x14ac:dyDescent="0.25">
      <c r="B69" s="45" t="s">
        <v>106</v>
      </c>
      <c r="C69" s="50">
        <v>0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0</v>
      </c>
      <c r="P69" s="15">
        <f t="shared" si="1"/>
        <v>0</v>
      </c>
      <c r="R69" s="8"/>
      <c r="T69"/>
    </row>
    <row r="70" spans="2:20" ht="23.1" customHeight="1" x14ac:dyDescent="0.25">
      <c r="B70" s="45" t="s">
        <v>110</v>
      </c>
      <c r="C70" s="50">
        <v>0</v>
      </c>
      <c r="D70" s="50">
        <v>0</v>
      </c>
      <c r="E70" s="50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0</v>
      </c>
      <c r="P70" s="15">
        <f t="shared" si="1"/>
        <v>0</v>
      </c>
      <c r="R70" s="8"/>
      <c r="T70"/>
    </row>
    <row r="71" spans="2:20" ht="23.1" customHeight="1" x14ac:dyDescent="0.25">
      <c r="B71" s="45" t="s">
        <v>111</v>
      </c>
      <c r="C71" s="50">
        <v>0</v>
      </c>
      <c r="D71" s="50">
        <v>0</v>
      </c>
      <c r="E71" s="50">
        <v>0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0</v>
      </c>
      <c r="P71" s="15">
        <f t="shared" si="1"/>
        <v>0</v>
      </c>
      <c r="R71" s="8"/>
      <c r="T71"/>
    </row>
    <row r="72" spans="2:20" ht="23.1" customHeight="1" x14ac:dyDescent="0.25">
      <c r="B72" s="45" t="s">
        <v>112</v>
      </c>
      <c r="C72" s="50">
        <v>0</v>
      </c>
      <c r="D72" s="50">
        <v>0</v>
      </c>
      <c r="E72" s="50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0</v>
      </c>
      <c r="N72" s="50">
        <v>0</v>
      </c>
      <c r="O72" s="15">
        <f t="shared" si="0"/>
        <v>0</v>
      </c>
      <c r="P72" s="15">
        <f t="shared" si="1"/>
        <v>0</v>
      </c>
      <c r="R72" s="8"/>
      <c r="T72"/>
    </row>
    <row r="73" spans="2:20" ht="23.1" customHeight="1" x14ac:dyDescent="0.25">
      <c r="B73" s="45" t="s">
        <v>113</v>
      </c>
      <c r="C73" s="50">
        <v>0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0</v>
      </c>
      <c r="P73" s="15">
        <f t="shared" si="1"/>
        <v>0</v>
      </c>
      <c r="R73" s="8"/>
      <c r="T73"/>
    </row>
    <row r="74" spans="2:20" ht="23.1" customHeight="1" x14ac:dyDescent="0.25">
      <c r="B74" s="45" t="s">
        <v>114</v>
      </c>
      <c r="C74" s="50">
        <v>4</v>
      </c>
      <c r="D74" s="50">
        <v>0</v>
      </c>
      <c r="E74" s="50">
        <v>1</v>
      </c>
      <c r="F74" s="50">
        <v>3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14</v>
      </c>
      <c r="N74" s="50">
        <v>0</v>
      </c>
      <c r="O74" s="15">
        <f t="shared" ref="O74:O105" si="35">SUM(C74:L74,N74)</f>
        <v>8</v>
      </c>
      <c r="P74" s="15">
        <f t="shared" ref="P74:P105" si="36">SUM(C74:N74)</f>
        <v>22</v>
      </c>
      <c r="R74" s="8"/>
      <c r="T74"/>
    </row>
    <row r="75" spans="2:20" ht="23.1" customHeight="1" x14ac:dyDescent="0.25">
      <c r="B75" s="45" t="s">
        <v>115</v>
      </c>
      <c r="C75" s="50">
        <v>6</v>
      </c>
      <c r="D75" s="50">
        <v>2</v>
      </c>
      <c r="E75" s="50">
        <v>0</v>
      </c>
      <c r="F75" s="50">
        <v>2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17</v>
      </c>
      <c r="N75" s="50">
        <v>0</v>
      </c>
      <c r="O75" s="15">
        <f t="shared" si="35"/>
        <v>10</v>
      </c>
      <c r="P75" s="15">
        <f t="shared" si="36"/>
        <v>27</v>
      </c>
      <c r="R75" s="8"/>
      <c r="T75"/>
    </row>
    <row r="76" spans="2:20" ht="23.1" customHeight="1" x14ac:dyDescent="0.25">
      <c r="B76" s="45" t="s">
        <v>116</v>
      </c>
      <c r="C76" s="50">
        <v>2</v>
      </c>
      <c r="D76" s="50">
        <v>0</v>
      </c>
      <c r="E76" s="50">
        <v>2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10</v>
      </c>
      <c r="N76" s="50">
        <v>0</v>
      </c>
      <c r="O76" s="15">
        <f t="shared" si="35"/>
        <v>5</v>
      </c>
      <c r="P76" s="15">
        <f t="shared" si="36"/>
        <v>15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2</v>
      </c>
      <c r="E77" s="50">
        <v>1</v>
      </c>
      <c r="F77" s="50">
        <v>0</v>
      </c>
      <c r="G77" s="50">
        <v>0</v>
      </c>
      <c r="H77" s="50">
        <v>0</v>
      </c>
      <c r="I77" s="50">
        <v>0</v>
      </c>
      <c r="J77" s="50">
        <v>1</v>
      </c>
      <c r="K77" s="50">
        <v>0</v>
      </c>
      <c r="L77" s="50">
        <v>0</v>
      </c>
      <c r="M77" s="50">
        <v>12</v>
      </c>
      <c r="N77" s="50">
        <v>0</v>
      </c>
      <c r="O77" s="15">
        <f t="shared" si="35"/>
        <v>6</v>
      </c>
      <c r="P77" s="15">
        <f t="shared" si="36"/>
        <v>18</v>
      </c>
      <c r="R77" s="8"/>
      <c r="T77"/>
    </row>
    <row r="78" spans="2:20" ht="23.1" customHeight="1" x14ac:dyDescent="0.25">
      <c r="B78" s="46" t="s">
        <v>118</v>
      </c>
      <c r="C78" s="50">
        <v>3</v>
      </c>
      <c r="D78" s="50">
        <v>0</v>
      </c>
      <c r="E78" s="50">
        <v>1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11</v>
      </c>
      <c r="N78" s="50">
        <v>0</v>
      </c>
      <c r="O78" s="15">
        <f t="shared" si="35"/>
        <v>5</v>
      </c>
      <c r="P78" s="15">
        <f t="shared" si="36"/>
        <v>16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7</v>
      </c>
      <c r="N79" s="50">
        <v>0</v>
      </c>
      <c r="O79" s="15">
        <f t="shared" si="35"/>
        <v>2</v>
      </c>
      <c r="P79" s="15">
        <f t="shared" si="36"/>
        <v>9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0</v>
      </c>
      <c r="P80" s="15">
        <f t="shared" si="36"/>
        <v>1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1</v>
      </c>
      <c r="K81" s="50">
        <v>0</v>
      </c>
      <c r="L81" s="50">
        <v>0</v>
      </c>
      <c r="M81" s="50">
        <v>1</v>
      </c>
      <c r="N81" s="50">
        <v>0</v>
      </c>
      <c r="O81" s="15">
        <f t="shared" si="35"/>
        <v>2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v>0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</v>
      </c>
      <c r="N82" s="50">
        <v>0</v>
      </c>
      <c r="O82" s="15">
        <f t="shared" si="35"/>
        <v>0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2</v>
      </c>
      <c r="N83" s="50">
        <v>0</v>
      </c>
      <c r="O83" s="15">
        <f t="shared" si="35"/>
        <v>1</v>
      </c>
      <c r="P83" s="15">
        <f t="shared" si="36"/>
        <v>3</v>
      </c>
      <c r="R83" s="8"/>
      <c r="T83"/>
    </row>
    <row r="84" spans="2:20" ht="23.1" customHeight="1" x14ac:dyDescent="0.25">
      <c r="B84" s="47" t="s">
        <v>124</v>
      </c>
      <c r="C84" s="50">
        <v>2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1</v>
      </c>
      <c r="L84" s="50">
        <v>0</v>
      </c>
      <c r="M84" s="50">
        <v>5</v>
      </c>
      <c r="N84" s="50">
        <v>0</v>
      </c>
      <c r="O84" s="15">
        <f t="shared" si="35"/>
        <v>3</v>
      </c>
      <c r="P84" s="15">
        <f t="shared" si="36"/>
        <v>8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2</v>
      </c>
      <c r="P85" s="15">
        <f t="shared" si="36"/>
        <v>3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0</v>
      </c>
      <c r="E86" s="50">
        <v>0</v>
      </c>
      <c r="F86" s="50">
        <v>1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4</v>
      </c>
      <c r="N86" s="50">
        <v>0</v>
      </c>
      <c r="O86" s="15">
        <f t="shared" si="35"/>
        <v>3</v>
      </c>
      <c r="P86" s="15">
        <f t="shared" si="36"/>
        <v>7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0</v>
      </c>
      <c r="P87" s="15">
        <f t="shared" si="36"/>
        <v>0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0</v>
      </c>
      <c r="N88" s="50">
        <v>0</v>
      </c>
      <c r="O88" s="15">
        <f t="shared" si="35"/>
        <v>0</v>
      </c>
      <c r="P88" s="15">
        <f t="shared" si="36"/>
        <v>0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1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1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2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2</v>
      </c>
      <c r="N90" s="50">
        <v>0</v>
      </c>
      <c r="O90" s="15">
        <f t="shared" si="35"/>
        <v>3</v>
      </c>
      <c r="P90" s="15">
        <f t="shared" si="36"/>
        <v>5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5</v>
      </c>
      <c r="N91" s="50">
        <v>0</v>
      </c>
      <c r="O91" s="15">
        <f t="shared" si="35"/>
        <v>0</v>
      </c>
      <c r="P91" s="15">
        <f t="shared" si="36"/>
        <v>5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0</v>
      </c>
      <c r="P92" s="15">
        <f t="shared" si="36"/>
        <v>0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0</v>
      </c>
      <c r="P93" s="15">
        <f t="shared" si="36"/>
        <v>0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0</v>
      </c>
      <c r="P94" s="15">
        <f t="shared" si="36"/>
        <v>0</v>
      </c>
      <c r="R94" s="8"/>
      <c r="T94"/>
    </row>
    <row r="95" spans="2:20" ht="23.1" customHeight="1" x14ac:dyDescent="0.25">
      <c r="B95" s="45" t="s">
        <v>135</v>
      </c>
      <c r="C95" s="50">
        <v>1</v>
      </c>
      <c r="D95" s="50">
        <v>0</v>
      </c>
      <c r="E95" s="50">
        <v>0</v>
      </c>
      <c r="F95" s="50">
        <v>1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0</v>
      </c>
      <c r="N95" s="50">
        <v>0</v>
      </c>
      <c r="O95" s="15">
        <f t="shared" si="35"/>
        <v>2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v>2</v>
      </c>
      <c r="D96" s="50">
        <v>0</v>
      </c>
      <c r="E96" s="50">
        <v>0</v>
      </c>
      <c r="F96" s="50">
        <v>2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</v>
      </c>
      <c r="N96" s="50">
        <v>0</v>
      </c>
      <c r="O96" s="15">
        <f t="shared" si="35"/>
        <v>4</v>
      </c>
      <c r="P96" s="15">
        <f t="shared" si="36"/>
        <v>5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2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2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0</v>
      </c>
      <c r="E98" s="50">
        <v>0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1</v>
      </c>
      <c r="L98" s="50">
        <v>0</v>
      </c>
      <c r="M98" s="50">
        <v>4</v>
      </c>
      <c r="N98" s="50">
        <v>0</v>
      </c>
      <c r="O98" s="15">
        <f t="shared" si="35"/>
        <v>7</v>
      </c>
      <c r="P98" s="15">
        <f t="shared" si="36"/>
        <v>11</v>
      </c>
      <c r="R98" s="8"/>
      <c r="T98"/>
    </row>
    <row r="99" spans="2:20" ht="23.1" customHeight="1" x14ac:dyDescent="0.25">
      <c r="B99" s="45" t="s">
        <v>139</v>
      </c>
      <c r="C99" s="50">
        <v>4</v>
      </c>
      <c r="D99" s="50">
        <v>1</v>
      </c>
      <c r="E99" s="50">
        <v>0</v>
      </c>
      <c r="F99" s="50">
        <v>3</v>
      </c>
      <c r="G99" s="50">
        <v>4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4</v>
      </c>
      <c r="N99" s="50">
        <v>0</v>
      </c>
      <c r="O99" s="15">
        <f t="shared" si="35"/>
        <v>12</v>
      </c>
      <c r="P99" s="15">
        <f t="shared" si="36"/>
        <v>16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0</v>
      </c>
      <c r="E100" s="50">
        <v>0</v>
      </c>
      <c r="F100" s="50">
        <v>7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0</v>
      </c>
      <c r="M100" s="50">
        <v>5</v>
      </c>
      <c r="N100" s="50">
        <v>0</v>
      </c>
      <c r="O100" s="15">
        <f t="shared" si="35"/>
        <v>14</v>
      </c>
      <c r="P100" s="15">
        <f t="shared" si="36"/>
        <v>19</v>
      </c>
      <c r="R100" s="8"/>
      <c r="T100"/>
    </row>
    <row r="101" spans="2:20" ht="23.1" customHeight="1" x14ac:dyDescent="0.25">
      <c r="B101" s="45" t="s">
        <v>141</v>
      </c>
      <c r="C101" s="50">
        <v>9</v>
      </c>
      <c r="D101" s="50">
        <v>0</v>
      </c>
      <c r="E101" s="50">
        <v>2</v>
      </c>
      <c r="F101" s="50">
        <v>12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17</v>
      </c>
      <c r="N101" s="50">
        <v>0</v>
      </c>
      <c r="O101" s="15">
        <f t="shared" si="35"/>
        <v>24</v>
      </c>
      <c r="P101" s="15">
        <f t="shared" si="36"/>
        <v>41</v>
      </c>
      <c r="R101" s="8"/>
      <c r="T101"/>
    </row>
    <row r="102" spans="2:20" ht="23.1" customHeight="1" x14ac:dyDescent="0.25">
      <c r="B102" s="46" t="s">
        <v>142</v>
      </c>
      <c r="C102" s="50">
        <v>4</v>
      </c>
      <c r="D102" s="50">
        <v>1</v>
      </c>
      <c r="E102" s="50">
        <v>1</v>
      </c>
      <c r="F102" s="50">
        <v>6</v>
      </c>
      <c r="G102" s="50">
        <v>0</v>
      </c>
      <c r="H102" s="50">
        <v>0</v>
      </c>
      <c r="I102" s="50">
        <v>2</v>
      </c>
      <c r="J102" s="50">
        <v>0</v>
      </c>
      <c r="K102" s="50">
        <v>0</v>
      </c>
      <c r="L102" s="50">
        <v>0</v>
      </c>
      <c r="M102" s="50">
        <v>20</v>
      </c>
      <c r="N102" s="50">
        <v>0</v>
      </c>
      <c r="O102" s="15">
        <f t="shared" si="35"/>
        <v>14</v>
      </c>
      <c r="P102" s="15">
        <f t="shared" si="36"/>
        <v>34</v>
      </c>
      <c r="R102" s="8"/>
      <c r="T102"/>
    </row>
    <row r="103" spans="2:20" ht="23.1" customHeight="1" x14ac:dyDescent="0.25">
      <c r="B103" s="45" t="s">
        <v>143</v>
      </c>
      <c r="C103" s="50">
        <v>15</v>
      </c>
      <c r="D103" s="50">
        <v>3</v>
      </c>
      <c r="E103" s="50">
        <v>1</v>
      </c>
      <c r="F103" s="50">
        <v>14</v>
      </c>
      <c r="G103" s="50">
        <v>0</v>
      </c>
      <c r="H103" s="50">
        <v>0</v>
      </c>
      <c r="I103" s="50">
        <v>0</v>
      </c>
      <c r="J103" s="50">
        <v>2</v>
      </c>
      <c r="K103" s="50">
        <v>0</v>
      </c>
      <c r="L103" s="50">
        <v>0</v>
      </c>
      <c r="M103" s="50">
        <v>20</v>
      </c>
      <c r="N103" s="50">
        <v>0</v>
      </c>
      <c r="O103" s="15">
        <f t="shared" si="35"/>
        <v>35</v>
      </c>
      <c r="P103" s="15">
        <f t="shared" si="36"/>
        <v>55</v>
      </c>
      <c r="R103" s="8"/>
      <c r="T103"/>
    </row>
    <row r="104" spans="2:20" ht="23.1" customHeight="1" x14ac:dyDescent="0.25">
      <c r="B104" s="47" t="s">
        <v>144</v>
      </c>
      <c r="C104" s="50">
        <v>10</v>
      </c>
      <c r="D104" s="50">
        <v>0</v>
      </c>
      <c r="E104" s="50">
        <v>0</v>
      </c>
      <c r="F104" s="50">
        <v>17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12</v>
      </c>
      <c r="N104" s="50">
        <v>0</v>
      </c>
      <c r="O104" s="15">
        <f t="shared" si="35"/>
        <v>28</v>
      </c>
      <c r="P104" s="15">
        <f t="shared" si="36"/>
        <v>40</v>
      </c>
      <c r="R104" s="8"/>
      <c r="T104"/>
    </row>
    <row r="105" spans="2:20" ht="23.1" customHeight="1" x14ac:dyDescent="0.25">
      <c r="B105" s="45" t="s">
        <v>145</v>
      </c>
      <c r="C105" s="50">
        <v>12</v>
      </c>
      <c r="D105" s="50">
        <v>0</v>
      </c>
      <c r="E105" s="50">
        <v>0</v>
      </c>
      <c r="F105" s="50">
        <v>7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33</v>
      </c>
      <c r="N105" s="50">
        <v>0</v>
      </c>
      <c r="O105" s="15">
        <f t="shared" si="35"/>
        <v>19</v>
      </c>
      <c r="P105" s="15">
        <f t="shared" si="36"/>
        <v>52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1059</v>
      </c>
      <c r="D106" s="16">
        <f t="shared" ref="D106:P106" si="37">SUM(D10:D105)</f>
        <v>172</v>
      </c>
      <c r="E106" s="16">
        <f t="shared" si="37"/>
        <v>164</v>
      </c>
      <c r="F106" s="16">
        <f t="shared" si="37"/>
        <v>611</v>
      </c>
      <c r="G106" s="16">
        <f t="shared" si="37"/>
        <v>8</v>
      </c>
      <c r="H106" s="16">
        <f t="shared" si="37"/>
        <v>4</v>
      </c>
      <c r="I106" s="16">
        <f t="shared" si="37"/>
        <v>157</v>
      </c>
      <c r="J106" s="16">
        <f t="shared" si="37"/>
        <v>79</v>
      </c>
      <c r="K106" s="16">
        <f t="shared" si="37"/>
        <v>15</v>
      </c>
      <c r="L106" s="16">
        <f t="shared" si="37"/>
        <v>6</v>
      </c>
      <c r="M106" s="16">
        <f t="shared" si="37"/>
        <v>2310</v>
      </c>
      <c r="N106" s="16">
        <f t="shared" si="37"/>
        <v>0</v>
      </c>
      <c r="O106" s="16">
        <f t="shared" si="37"/>
        <v>2244</v>
      </c>
      <c r="P106" s="16">
        <f t="shared" si="37"/>
        <v>4526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0.23398144056562087</v>
      </c>
      <c r="D107" s="43">
        <f t="shared" si="38"/>
        <v>3.8002651347768451E-2</v>
      </c>
      <c r="E107" s="43">
        <f t="shared" si="38"/>
        <v>3.6235086168802472E-2</v>
      </c>
      <c r="F107" s="43">
        <f t="shared" si="38"/>
        <v>0.13499779054352629</v>
      </c>
      <c r="G107" s="43">
        <f t="shared" si="38"/>
        <v>1.7675651789659744E-3</v>
      </c>
      <c r="H107" s="43">
        <f t="shared" si="38"/>
        <v>8.8378258948298722E-4</v>
      </c>
      <c r="I107" s="43">
        <f t="shared" si="38"/>
        <v>3.4688466637207246E-2</v>
      </c>
      <c r="J107" s="43">
        <f t="shared" si="38"/>
        <v>1.7454706142288997E-2</v>
      </c>
      <c r="K107" s="43">
        <f t="shared" si="38"/>
        <v>3.3141847105612019E-3</v>
      </c>
      <c r="L107" s="43">
        <f t="shared" si="38"/>
        <v>1.3256738842244808E-3</v>
      </c>
      <c r="M107" s="43">
        <f t="shared" si="38"/>
        <v>0.51038444542642514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0.47192513368983957</v>
      </c>
      <c r="D108" s="44">
        <f t="shared" ref="D108:N108" si="39">D106/$O$106</f>
        <v>7.6648841354723704E-2</v>
      </c>
      <c r="E108" s="44">
        <f t="shared" si="39"/>
        <v>7.3083778966131913E-2</v>
      </c>
      <c r="F108" s="44">
        <f t="shared" si="39"/>
        <v>0.27228163992869875</v>
      </c>
      <c r="G108" s="44">
        <f t="shared" si="39"/>
        <v>3.5650623885918001E-3</v>
      </c>
      <c r="H108" s="44">
        <f t="shared" si="39"/>
        <v>1.7825311942959001E-3</v>
      </c>
      <c r="I108" s="44">
        <f t="shared" si="39"/>
        <v>6.9964349376114079E-2</v>
      </c>
      <c r="J108" s="44">
        <f t="shared" si="39"/>
        <v>3.5204991087344026E-2</v>
      </c>
      <c r="K108" s="44">
        <f t="shared" si="39"/>
        <v>6.6844919786096255E-3</v>
      </c>
      <c r="L108" s="44">
        <f t="shared" si="39"/>
        <v>2.6737967914438501E-3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9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SentemaRBT-Sentema'!C3:G3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167</v>
      </c>
      <c r="E5" s="3"/>
      <c r="F5" s="41" t="s">
        <v>1</v>
      </c>
      <c r="G5" s="64" t="str">
        <f>'26.07 Sentema-Sentema RBT-24h'!G5:H5</f>
        <v>Ku roofings</v>
      </c>
      <c r="H5" s="65"/>
      <c r="I5" s="14"/>
      <c r="J5" s="2" t="s">
        <v>5</v>
      </c>
      <c r="K5" s="64" t="s">
        <v>183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SentemaRBT-Sentema'!D6:E6</f>
        <v>Sentema RBT</v>
      </c>
      <c r="E6" s="65"/>
      <c r="F6" s="2" t="s">
        <v>2</v>
      </c>
      <c r="G6" s="64" t="str">
        <f>'22.07 SentemaRBT-Sentema'!G6:H6</f>
        <v>Sentema</v>
      </c>
      <c r="H6" s="65"/>
      <c r="J6" s="2" t="s">
        <v>21</v>
      </c>
      <c r="K6" s="64" t="str">
        <f>'26.07 Sentema-Sentema RBT-24h'!K6:L6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15</v>
      </c>
      <c r="D10" s="50">
        <v>0</v>
      </c>
      <c r="E10" s="50">
        <v>1</v>
      </c>
      <c r="F10" s="50">
        <v>0</v>
      </c>
      <c r="G10" s="50">
        <v>9</v>
      </c>
      <c r="H10" s="50">
        <v>0</v>
      </c>
      <c r="I10" s="50">
        <v>1</v>
      </c>
      <c r="J10" s="50">
        <v>2</v>
      </c>
      <c r="K10" s="50">
        <v>0</v>
      </c>
      <c r="L10" s="50">
        <v>0</v>
      </c>
      <c r="M10" s="50">
        <v>22</v>
      </c>
      <c r="N10" s="50">
        <v>0</v>
      </c>
      <c r="O10" s="15">
        <f t="shared" ref="O10:O73" si="0">SUM(C10:L10,N10)</f>
        <v>28</v>
      </c>
      <c r="P10" s="15">
        <f t="shared" ref="P10:P73" si="1">SUM(C10:N10)</f>
        <v>50</v>
      </c>
      <c r="R10" s="1" t="s">
        <v>6</v>
      </c>
      <c r="S10" s="17">
        <f t="shared" ref="S10:AF10" si="2">SUM(C10:C13)</f>
        <v>15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9</v>
      </c>
      <c r="X10" s="17">
        <f t="shared" si="2"/>
        <v>0</v>
      </c>
      <c r="Y10" s="17">
        <f t="shared" si="2"/>
        <v>1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22</v>
      </c>
      <c r="AD10" s="17">
        <f t="shared" si="2"/>
        <v>0</v>
      </c>
      <c r="AE10" s="31">
        <f t="shared" si="2"/>
        <v>28</v>
      </c>
      <c r="AF10" s="31">
        <f t="shared" si="2"/>
        <v>50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18</v>
      </c>
      <c r="T11" s="17">
        <f t="shared" si="3"/>
        <v>5</v>
      </c>
      <c r="U11" s="17">
        <f t="shared" si="3"/>
        <v>3</v>
      </c>
      <c r="V11" s="17">
        <f t="shared" si="3"/>
        <v>34</v>
      </c>
      <c r="W11" s="17">
        <f t="shared" si="3"/>
        <v>1</v>
      </c>
      <c r="X11" s="17">
        <f t="shared" si="3"/>
        <v>0</v>
      </c>
      <c r="Y11" s="17">
        <f t="shared" si="3"/>
        <v>7</v>
      </c>
      <c r="Z11" s="17">
        <f t="shared" si="3"/>
        <v>1</v>
      </c>
      <c r="AA11" s="17">
        <f t="shared" si="3"/>
        <v>2</v>
      </c>
      <c r="AB11" s="17">
        <f t="shared" si="3"/>
        <v>0</v>
      </c>
      <c r="AC11" s="17">
        <f t="shared" si="3"/>
        <v>97</v>
      </c>
      <c r="AD11" s="17">
        <f t="shared" si="3"/>
        <v>0</v>
      </c>
      <c r="AE11" s="31">
        <f t="shared" si="3"/>
        <v>71</v>
      </c>
      <c r="AF11" s="31">
        <f t="shared" si="3"/>
        <v>168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82</v>
      </c>
      <c r="T12" s="17">
        <f t="shared" si="4"/>
        <v>6</v>
      </c>
      <c r="U12" s="17">
        <f t="shared" si="4"/>
        <v>21</v>
      </c>
      <c r="V12" s="17">
        <f t="shared" si="4"/>
        <v>63</v>
      </c>
      <c r="W12" s="17">
        <f t="shared" si="4"/>
        <v>0</v>
      </c>
      <c r="X12" s="17">
        <f t="shared" si="4"/>
        <v>1</v>
      </c>
      <c r="Y12" s="17">
        <f t="shared" si="4"/>
        <v>23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182</v>
      </c>
      <c r="AD12" s="17">
        <f t="shared" si="4"/>
        <v>0</v>
      </c>
      <c r="AE12" s="31">
        <f t="shared" si="4"/>
        <v>198</v>
      </c>
      <c r="AF12" s="31">
        <f t="shared" si="4"/>
        <v>380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105</v>
      </c>
      <c r="T13" s="17">
        <f t="shared" si="5"/>
        <v>21</v>
      </c>
      <c r="U13" s="17">
        <f t="shared" si="5"/>
        <v>32</v>
      </c>
      <c r="V13" s="17">
        <f t="shared" si="5"/>
        <v>68</v>
      </c>
      <c r="W13" s="17">
        <f t="shared" si="5"/>
        <v>0</v>
      </c>
      <c r="X13" s="17">
        <f t="shared" si="5"/>
        <v>0</v>
      </c>
      <c r="Y13" s="17">
        <f t="shared" si="5"/>
        <v>29</v>
      </c>
      <c r="Z13" s="17">
        <f t="shared" si="5"/>
        <v>2</v>
      </c>
      <c r="AA13" s="17">
        <f t="shared" si="5"/>
        <v>1</v>
      </c>
      <c r="AB13" s="17">
        <f t="shared" si="5"/>
        <v>0</v>
      </c>
      <c r="AC13" s="17">
        <f t="shared" si="5"/>
        <v>190</v>
      </c>
      <c r="AD13" s="17">
        <f t="shared" si="5"/>
        <v>0</v>
      </c>
      <c r="AE13" s="31">
        <f t="shared" si="5"/>
        <v>258</v>
      </c>
      <c r="AF13" s="31">
        <f t="shared" si="5"/>
        <v>448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107</v>
      </c>
      <c r="T14" s="17">
        <f t="shared" si="6"/>
        <v>16</v>
      </c>
      <c r="U14" s="17">
        <f t="shared" si="6"/>
        <v>40</v>
      </c>
      <c r="V14" s="17">
        <f t="shared" si="6"/>
        <v>123</v>
      </c>
      <c r="W14" s="17">
        <f t="shared" si="6"/>
        <v>0</v>
      </c>
      <c r="X14" s="17">
        <f t="shared" si="6"/>
        <v>1</v>
      </c>
      <c r="Y14" s="17">
        <f t="shared" si="6"/>
        <v>43</v>
      </c>
      <c r="Z14" s="17">
        <f t="shared" si="6"/>
        <v>1</v>
      </c>
      <c r="AA14" s="17">
        <f t="shared" si="6"/>
        <v>2</v>
      </c>
      <c r="AB14" s="17">
        <f t="shared" si="6"/>
        <v>0</v>
      </c>
      <c r="AC14" s="17">
        <f t="shared" si="6"/>
        <v>210</v>
      </c>
      <c r="AD14" s="17">
        <f t="shared" si="6"/>
        <v>0</v>
      </c>
      <c r="AE14" s="31">
        <f t="shared" si="6"/>
        <v>333</v>
      </c>
      <c r="AF14" s="31">
        <f t="shared" si="6"/>
        <v>543</v>
      </c>
    </row>
    <row r="15" spans="2:32" ht="23.1" customHeight="1" x14ac:dyDescent="0.25">
      <c r="B15" s="45" t="s">
        <v>42</v>
      </c>
      <c r="C15" s="50">
        <v>3</v>
      </c>
      <c r="D15" s="50">
        <v>0</v>
      </c>
      <c r="E15" s="50">
        <v>1</v>
      </c>
      <c r="F15" s="50">
        <v>12</v>
      </c>
      <c r="G15" s="50">
        <v>1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28</v>
      </c>
      <c r="N15" s="50">
        <v>0</v>
      </c>
      <c r="O15" s="15">
        <f t="shared" si="0"/>
        <v>20</v>
      </c>
      <c r="P15" s="15">
        <f t="shared" si="1"/>
        <v>48</v>
      </c>
      <c r="R15" s="1" t="s">
        <v>11</v>
      </c>
      <c r="S15" s="17">
        <f t="shared" ref="S15:AF15" si="7">SUM(C30:C33)</f>
        <v>125</v>
      </c>
      <c r="T15" s="17">
        <f t="shared" si="7"/>
        <v>26</v>
      </c>
      <c r="U15" s="17">
        <f t="shared" si="7"/>
        <v>60</v>
      </c>
      <c r="V15" s="17">
        <f t="shared" si="7"/>
        <v>130</v>
      </c>
      <c r="W15" s="17">
        <f t="shared" si="7"/>
        <v>1</v>
      </c>
      <c r="X15" s="17">
        <f t="shared" si="7"/>
        <v>0</v>
      </c>
      <c r="Y15" s="17">
        <f t="shared" si="7"/>
        <v>16</v>
      </c>
      <c r="Z15" s="17">
        <f t="shared" si="7"/>
        <v>7</v>
      </c>
      <c r="AA15" s="17">
        <f t="shared" si="7"/>
        <v>10</v>
      </c>
      <c r="AB15" s="17">
        <f t="shared" si="7"/>
        <v>0</v>
      </c>
      <c r="AC15" s="17">
        <f t="shared" si="7"/>
        <v>220</v>
      </c>
      <c r="AD15" s="17">
        <f t="shared" si="7"/>
        <v>0</v>
      </c>
      <c r="AE15" s="31">
        <f t="shared" si="7"/>
        <v>321</v>
      </c>
      <c r="AF15" s="31">
        <f t="shared" si="7"/>
        <v>506</v>
      </c>
    </row>
    <row r="16" spans="2:32" ht="23.1" customHeight="1" x14ac:dyDescent="0.25">
      <c r="B16" s="45" t="s">
        <v>43</v>
      </c>
      <c r="C16" s="50">
        <v>11</v>
      </c>
      <c r="D16" s="50">
        <v>4</v>
      </c>
      <c r="E16" s="50">
        <v>1</v>
      </c>
      <c r="F16" s="50">
        <v>9</v>
      </c>
      <c r="G16" s="50">
        <v>0</v>
      </c>
      <c r="H16" s="50">
        <v>0</v>
      </c>
      <c r="I16" s="50">
        <v>4</v>
      </c>
      <c r="J16" s="50">
        <v>0</v>
      </c>
      <c r="K16" s="50">
        <v>1</v>
      </c>
      <c r="L16" s="50">
        <v>0</v>
      </c>
      <c r="M16" s="50">
        <v>47</v>
      </c>
      <c r="N16" s="50">
        <v>0</v>
      </c>
      <c r="O16" s="15">
        <f t="shared" si="0"/>
        <v>30</v>
      </c>
      <c r="P16" s="15">
        <f t="shared" si="1"/>
        <v>77</v>
      </c>
      <c r="R16" s="1" t="s">
        <v>12</v>
      </c>
      <c r="S16" s="17">
        <f t="shared" ref="S16:AF16" si="8">SUM(C34:C37)</f>
        <v>83</v>
      </c>
      <c r="T16" s="17">
        <f t="shared" si="8"/>
        <v>9</v>
      </c>
      <c r="U16" s="17">
        <f t="shared" si="8"/>
        <v>19</v>
      </c>
      <c r="V16" s="17">
        <f t="shared" si="8"/>
        <v>65</v>
      </c>
      <c r="W16" s="17">
        <f t="shared" si="8"/>
        <v>1</v>
      </c>
      <c r="X16" s="17">
        <f t="shared" si="8"/>
        <v>0</v>
      </c>
      <c r="Y16" s="17">
        <f t="shared" si="8"/>
        <v>14</v>
      </c>
      <c r="Z16" s="17">
        <f t="shared" si="8"/>
        <v>0</v>
      </c>
      <c r="AA16" s="17">
        <f t="shared" si="8"/>
        <v>5</v>
      </c>
      <c r="AB16" s="17">
        <f t="shared" si="8"/>
        <v>2</v>
      </c>
      <c r="AC16" s="17">
        <f t="shared" si="8"/>
        <v>165</v>
      </c>
      <c r="AD16" s="17">
        <f t="shared" si="8"/>
        <v>0</v>
      </c>
      <c r="AE16" s="31">
        <f t="shared" si="8"/>
        <v>198</v>
      </c>
      <c r="AF16" s="31">
        <f t="shared" si="8"/>
        <v>363</v>
      </c>
    </row>
    <row r="17" spans="2:32" ht="23.1" customHeight="1" x14ac:dyDescent="0.25">
      <c r="B17" s="45" t="s">
        <v>44</v>
      </c>
      <c r="C17" s="50">
        <v>4</v>
      </c>
      <c r="D17" s="50">
        <v>1</v>
      </c>
      <c r="E17" s="50">
        <v>1</v>
      </c>
      <c r="F17" s="50">
        <v>13</v>
      </c>
      <c r="G17" s="50">
        <v>0</v>
      </c>
      <c r="H17" s="50">
        <v>0</v>
      </c>
      <c r="I17" s="50">
        <v>0</v>
      </c>
      <c r="J17" s="50">
        <v>1</v>
      </c>
      <c r="K17" s="50">
        <v>1</v>
      </c>
      <c r="L17" s="50">
        <v>0</v>
      </c>
      <c r="M17" s="50">
        <v>22</v>
      </c>
      <c r="N17" s="50">
        <v>0</v>
      </c>
      <c r="O17" s="15">
        <f t="shared" si="0"/>
        <v>21</v>
      </c>
      <c r="P17" s="15">
        <f t="shared" si="1"/>
        <v>43</v>
      </c>
      <c r="R17" s="1" t="s">
        <v>13</v>
      </c>
      <c r="S17" s="17">
        <f t="shared" ref="S17:AF17" si="9">SUM(C38:C41)</f>
        <v>79</v>
      </c>
      <c r="T17" s="17">
        <f t="shared" si="9"/>
        <v>5</v>
      </c>
      <c r="U17" s="17">
        <f t="shared" si="9"/>
        <v>15</v>
      </c>
      <c r="V17" s="17">
        <f t="shared" si="9"/>
        <v>63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1</v>
      </c>
      <c r="AA17" s="17">
        <f t="shared" si="9"/>
        <v>3</v>
      </c>
      <c r="AB17" s="17">
        <f t="shared" si="9"/>
        <v>0</v>
      </c>
      <c r="AC17" s="17">
        <f t="shared" si="9"/>
        <v>153</v>
      </c>
      <c r="AD17" s="17">
        <f t="shared" si="9"/>
        <v>0</v>
      </c>
      <c r="AE17" s="31">
        <f t="shared" si="9"/>
        <v>175</v>
      </c>
      <c r="AF17" s="31">
        <f t="shared" si="9"/>
        <v>328</v>
      </c>
    </row>
    <row r="18" spans="2:32" ht="23.1" customHeight="1" x14ac:dyDescent="0.25">
      <c r="B18" s="45" t="s">
        <v>45</v>
      </c>
      <c r="C18" s="50">
        <v>17</v>
      </c>
      <c r="D18" s="50">
        <v>1</v>
      </c>
      <c r="E18" s="50">
        <v>1</v>
      </c>
      <c r="F18" s="50">
        <v>7</v>
      </c>
      <c r="G18" s="50">
        <v>0</v>
      </c>
      <c r="H18" s="50">
        <v>0</v>
      </c>
      <c r="I18" s="50">
        <v>5</v>
      </c>
      <c r="J18" s="50">
        <v>0</v>
      </c>
      <c r="K18" s="50">
        <v>0</v>
      </c>
      <c r="L18" s="50">
        <v>0</v>
      </c>
      <c r="M18" s="50">
        <v>45</v>
      </c>
      <c r="N18" s="50">
        <v>0</v>
      </c>
      <c r="O18" s="15">
        <f t="shared" si="0"/>
        <v>31</v>
      </c>
      <c r="P18" s="15">
        <f t="shared" si="1"/>
        <v>76</v>
      </c>
      <c r="R18" s="1" t="s">
        <v>14</v>
      </c>
      <c r="S18" s="17">
        <f t="shared" ref="S18:AF18" si="10">SUM(C42:C45)</f>
        <v>74</v>
      </c>
      <c r="T18" s="17">
        <f t="shared" si="10"/>
        <v>1</v>
      </c>
      <c r="U18" s="17">
        <f t="shared" si="10"/>
        <v>11</v>
      </c>
      <c r="V18" s="17">
        <f t="shared" si="10"/>
        <v>62</v>
      </c>
      <c r="W18" s="17">
        <f t="shared" si="10"/>
        <v>0</v>
      </c>
      <c r="X18" s="17">
        <f t="shared" si="10"/>
        <v>0</v>
      </c>
      <c r="Y18" s="17">
        <f t="shared" si="10"/>
        <v>15</v>
      </c>
      <c r="Z18" s="17">
        <f t="shared" si="10"/>
        <v>3</v>
      </c>
      <c r="AA18" s="17">
        <f t="shared" si="10"/>
        <v>5</v>
      </c>
      <c r="AB18" s="17">
        <f t="shared" si="10"/>
        <v>0</v>
      </c>
      <c r="AC18" s="17">
        <f t="shared" si="10"/>
        <v>170</v>
      </c>
      <c r="AD18" s="17">
        <f t="shared" si="10"/>
        <v>0</v>
      </c>
      <c r="AE18" s="31">
        <f t="shared" si="10"/>
        <v>171</v>
      </c>
      <c r="AF18" s="31">
        <f t="shared" si="10"/>
        <v>341</v>
      </c>
    </row>
    <row r="19" spans="2:32" ht="23.1" customHeight="1" x14ac:dyDescent="0.25">
      <c r="B19" s="45" t="s">
        <v>46</v>
      </c>
      <c r="C19" s="50">
        <v>20</v>
      </c>
      <c r="D19" s="50">
        <v>2</v>
      </c>
      <c r="E19" s="50">
        <v>5</v>
      </c>
      <c r="F19" s="50">
        <v>25</v>
      </c>
      <c r="G19" s="50">
        <v>0</v>
      </c>
      <c r="H19" s="50">
        <v>0</v>
      </c>
      <c r="I19" s="50">
        <v>10</v>
      </c>
      <c r="J19" s="50">
        <v>1</v>
      </c>
      <c r="K19" s="50">
        <v>0</v>
      </c>
      <c r="L19" s="50">
        <v>0</v>
      </c>
      <c r="M19" s="50">
        <v>70</v>
      </c>
      <c r="N19" s="50">
        <v>0</v>
      </c>
      <c r="O19" s="15">
        <f t="shared" si="0"/>
        <v>63</v>
      </c>
      <c r="P19" s="15">
        <f t="shared" si="1"/>
        <v>133</v>
      </c>
      <c r="R19" s="1" t="s">
        <v>15</v>
      </c>
      <c r="S19" s="17">
        <f t="shared" ref="S19:AF19" si="11">SUM(C46:C49)</f>
        <v>56</v>
      </c>
      <c r="T19" s="17">
        <f t="shared" si="11"/>
        <v>4</v>
      </c>
      <c r="U19" s="17">
        <f t="shared" si="11"/>
        <v>12</v>
      </c>
      <c r="V19" s="17">
        <f t="shared" si="11"/>
        <v>51</v>
      </c>
      <c r="W19" s="17">
        <f t="shared" si="11"/>
        <v>0</v>
      </c>
      <c r="X19" s="17">
        <f t="shared" si="11"/>
        <v>0</v>
      </c>
      <c r="Y19" s="17">
        <f t="shared" si="11"/>
        <v>18</v>
      </c>
      <c r="Z19" s="17">
        <f t="shared" si="11"/>
        <v>2</v>
      </c>
      <c r="AA19" s="17">
        <f t="shared" si="11"/>
        <v>2</v>
      </c>
      <c r="AB19" s="17">
        <f t="shared" si="11"/>
        <v>0</v>
      </c>
      <c r="AC19" s="17">
        <f t="shared" si="11"/>
        <v>150</v>
      </c>
      <c r="AD19" s="17">
        <f t="shared" si="11"/>
        <v>0</v>
      </c>
      <c r="AE19" s="31">
        <f t="shared" si="11"/>
        <v>145</v>
      </c>
      <c r="AF19" s="31">
        <f t="shared" si="11"/>
        <v>295</v>
      </c>
    </row>
    <row r="20" spans="2:32" ht="23.1" customHeight="1" x14ac:dyDescent="0.25">
      <c r="B20" s="45" t="s">
        <v>47</v>
      </c>
      <c r="C20" s="50">
        <v>25</v>
      </c>
      <c r="D20" s="50">
        <v>2</v>
      </c>
      <c r="E20" s="50">
        <v>5</v>
      </c>
      <c r="F20" s="50">
        <v>15</v>
      </c>
      <c r="G20" s="50">
        <v>0</v>
      </c>
      <c r="H20" s="50">
        <v>1</v>
      </c>
      <c r="I20" s="50">
        <v>3</v>
      </c>
      <c r="J20" s="50">
        <v>1</v>
      </c>
      <c r="K20" s="50">
        <v>0</v>
      </c>
      <c r="L20" s="50">
        <v>0</v>
      </c>
      <c r="M20" s="50">
        <v>42</v>
      </c>
      <c r="N20" s="50">
        <v>0</v>
      </c>
      <c r="O20" s="15">
        <f t="shared" si="0"/>
        <v>52</v>
      </c>
      <c r="P20" s="15">
        <f t="shared" si="1"/>
        <v>94</v>
      </c>
      <c r="R20" s="1" t="s">
        <v>16</v>
      </c>
      <c r="S20" s="17">
        <f t="shared" ref="S20:AF20" si="12">SUM(C50:C53)</f>
        <v>62</v>
      </c>
      <c r="T20" s="17">
        <f t="shared" si="12"/>
        <v>4</v>
      </c>
      <c r="U20" s="17">
        <f t="shared" si="12"/>
        <v>12</v>
      </c>
      <c r="V20" s="17">
        <f t="shared" si="12"/>
        <v>33</v>
      </c>
      <c r="W20" s="17">
        <f t="shared" si="12"/>
        <v>0</v>
      </c>
      <c r="X20" s="17">
        <f t="shared" si="12"/>
        <v>0</v>
      </c>
      <c r="Y20" s="17">
        <f t="shared" si="12"/>
        <v>11</v>
      </c>
      <c r="Z20" s="17">
        <f t="shared" si="12"/>
        <v>6</v>
      </c>
      <c r="AA20" s="17">
        <f t="shared" si="12"/>
        <v>1</v>
      </c>
      <c r="AB20" s="17">
        <f t="shared" si="12"/>
        <v>0</v>
      </c>
      <c r="AC20" s="17">
        <f t="shared" si="12"/>
        <v>139</v>
      </c>
      <c r="AD20" s="17">
        <f t="shared" si="12"/>
        <v>0</v>
      </c>
      <c r="AE20" s="31">
        <f t="shared" si="12"/>
        <v>129</v>
      </c>
      <c r="AF20" s="31">
        <f t="shared" si="12"/>
        <v>268</v>
      </c>
    </row>
    <row r="21" spans="2:32" ht="23.1" customHeight="1" x14ac:dyDescent="0.25">
      <c r="B21" s="45" t="s">
        <v>48</v>
      </c>
      <c r="C21" s="50">
        <v>20</v>
      </c>
      <c r="D21" s="50">
        <v>1</v>
      </c>
      <c r="E21" s="50">
        <v>10</v>
      </c>
      <c r="F21" s="50">
        <v>16</v>
      </c>
      <c r="G21" s="50">
        <v>0</v>
      </c>
      <c r="H21" s="50">
        <v>0</v>
      </c>
      <c r="I21" s="50">
        <v>5</v>
      </c>
      <c r="J21" s="50">
        <v>0</v>
      </c>
      <c r="K21" s="50">
        <v>0</v>
      </c>
      <c r="L21" s="50">
        <v>0</v>
      </c>
      <c r="M21" s="50">
        <v>25</v>
      </c>
      <c r="N21" s="50">
        <v>0</v>
      </c>
      <c r="O21" s="15">
        <f t="shared" si="0"/>
        <v>52</v>
      </c>
      <c r="P21" s="15">
        <f t="shared" si="1"/>
        <v>77</v>
      </c>
      <c r="R21" s="36" t="s">
        <v>20</v>
      </c>
      <c r="S21" s="34">
        <f t="shared" ref="S21:AF21" si="13">SUM(C54:C57)</f>
        <v>69</v>
      </c>
      <c r="T21" s="17">
        <f t="shared" si="13"/>
        <v>6</v>
      </c>
      <c r="U21" s="17">
        <f t="shared" si="13"/>
        <v>18</v>
      </c>
      <c r="V21" s="17">
        <f t="shared" si="13"/>
        <v>68</v>
      </c>
      <c r="W21" s="17">
        <f t="shared" si="13"/>
        <v>0</v>
      </c>
      <c r="X21" s="17">
        <f t="shared" si="13"/>
        <v>0</v>
      </c>
      <c r="Y21" s="17">
        <f t="shared" si="13"/>
        <v>9</v>
      </c>
      <c r="Z21" s="17">
        <f t="shared" si="13"/>
        <v>4</v>
      </c>
      <c r="AA21" s="17">
        <f t="shared" si="13"/>
        <v>6</v>
      </c>
      <c r="AB21" s="17">
        <f t="shared" si="13"/>
        <v>0</v>
      </c>
      <c r="AC21" s="17">
        <f t="shared" si="13"/>
        <v>125</v>
      </c>
      <c r="AD21" s="17">
        <f t="shared" si="13"/>
        <v>0</v>
      </c>
      <c r="AE21" s="31">
        <f t="shared" si="13"/>
        <v>180</v>
      </c>
      <c r="AF21" s="31">
        <f t="shared" si="13"/>
        <v>305</v>
      </c>
    </row>
    <row r="22" spans="2:32" ht="23.1" customHeight="1" x14ac:dyDescent="0.25">
      <c r="B22" s="45" t="s">
        <v>49</v>
      </c>
      <c r="C22" s="50">
        <v>20</v>
      </c>
      <c r="D22" s="50">
        <v>5</v>
      </c>
      <c r="E22" s="50">
        <v>7</v>
      </c>
      <c r="F22" s="50">
        <v>15</v>
      </c>
      <c r="G22" s="50">
        <v>0</v>
      </c>
      <c r="H22" s="50">
        <v>0</v>
      </c>
      <c r="I22" s="50">
        <v>6</v>
      </c>
      <c r="J22" s="50">
        <v>2</v>
      </c>
      <c r="K22" s="50">
        <v>0</v>
      </c>
      <c r="L22" s="50">
        <v>0</v>
      </c>
      <c r="M22" s="50">
        <v>50</v>
      </c>
      <c r="N22" s="50">
        <v>0</v>
      </c>
      <c r="O22" s="15">
        <f t="shared" si="0"/>
        <v>55</v>
      </c>
      <c r="P22" s="15">
        <f t="shared" si="1"/>
        <v>105</v>
      </c>
      <c r="R22" s="36" t="s">
        <v>146</v>
      </c>
      <c r="S22" s="34">
        <f>SUM(C58:C61)</f>
        <v>93</v>
      </c>
      <c r="T22" s="34">
        <f t="shared" ref="T22:AF22" si="14">SUM(D58:D61)</f>
        <v>16</v>
      </c>
      <c r="U22" s="34">
        <f t="shared" si="14"/>
        <v>21</v>
      </c>
      <c r="V22" s="34">
        <f t="shared" si="14"/>
        <v>95</v>
      </c>
      <c r="W22" s="34">
        <f t="shared" si="14"/>
        <v>1</v>
      </c>
      <c r="X22" s="34">
        <f t="shared" si="14"/>
        <v>0</v>
      </c>
      <c r="Y22" s="34">
        <f t="shared" si="14"/>
        <v>15</v>
      </c>
      <c r="Z22" s="34">
        <f t="shared" si="14"/>
        <v>2</v>
      </c>
      <c r="AA22" s="34">
        <f t="shared" si="14"/>
        <v>1</v>
      </c>
      <c r="AB22" s="34">
        <f t="shared" si="14"/>
        <v>2</v>
      </c>
      <c r="AC22" s="34">
        <f t="shared" si="14"/>
        <v>141</v>
      </c>
      <c r="AD22" s="34">
        <f t="shared" si="14"/>
        <v>0</v>
      </c>
      <c r="AE22" s="31">
        <f t="shared" si="14"/>
        <v>246</v>
      </c>
      <c r="AF22" s="31">
        <f t="shared" si="14"/>
        <v>387</v>
      </c>
    </row>
    <row r="23" spans="2:32" ht="23.1" customHeight="1" x14ac:dyDescent="0.25">
      <c r="B23" s="45" t="s">
        <v>50</v>
      </c>
      <c r="C23" s="50">
        <v>35</v>
      </c>
      <c r="D23" s="50">
        <v>8</v>
      </c>
      <c r="E23" s="50">
        <v>3</v>
      </c>
      <c r="F23" s="50">
        <v>8</v>
      </c>
      <c r="G23" s="50">
        <v>0</v>
      </c>
      <c r="H23" s="50">
        <v>0</v>
      </c>
      <c r="I23" s="50">
        <v>6</v>
      </c>
      <c r="J23" s="50">
        <v>0</v>
      </c>
      <c r="K23" s="50">
        <v>0</v>
      </c>
      <c r="L23" s="50">
        <v>0</v>
      </c>
      <c r="M23" s="50">
        <v>45</v>
      </c>
      <c r="N23" s="50">
        <v>0</v>
      </c>
      <c r="O23" s="15">
        <f t="shared" si="0"/>
        <v>60</v>
      </c>
      <c r="P23" s="15">
        <f t="shared" si="1"/>
        <v>105</v>
      </c>
      <c r="R23" s="36" t="s">
        <v>147</v>
      </c>
      <c r="S23" s="34">
        <f>SUM(C62:C65)</f>
        <v>140</v>
      </c>
      <c r="T23" s="34">
        <f t="shared" ref="T23:AF23" si="15">SUM(D62:D65)</f>
        <v>21</v>
      </c>
      <c r="U23" s="34">
        <f t="shared" si="15"/>
        <v>16</v>
      </c>
      <c r="V23" s="34">
        <f t="shared" si="15"/>
        <v>150</v>
      </c>
      <c r="W23" s="34">
        <f t="shared" si="15"/>
        <v>0</v>
      </c>
      <c r="X23" s="34">
        <f t="shared" si="15"/>
        <v>0</v>
      </c>
      <c r="Y23" s="34">
        <f t="shared" si="15"/>
        <v>11</v>
      </c>
      <c r="Z23" s="34">
        <f t="shared" si="15"/>
        <v>2</v>
      </c>
      <c r="AA23" s="34">
        <f t="shared" si="15"/>
        <v>2</v>
      </c>
      <c r="AB23" s="34">
        <f t="shared" si="15"/>
        <v>0</v>
      </c>
      <c r="AC23" s="34">
        <f t="shared" si="15"/>
        <v>190</v>
      </c>
      <c r="AD23" s="34">
        <f t="shared" si="15"/>
        <v>0</v>
      </c>
      <c r="AE23" s="31">
        <f t="shared" si="15"/>
        <v>342</v>
      </c>
      <c r="AF23" s="31">
        <f t="shared" si="15"/>
        <v>532</v>
      </c>
    </row>
    <row r="24" spans="2:32" ht="23.1" customHeight="1" x14ac:dyDescent="0.25">
      <c r="B24" s="45" t="s">
        <v>51</v>
      </c>
      <c r="C24" s="50">
        <v>25</v>
      </c>
      <c r="D24" s="50">
        <v>5</v>
      </c>
      <c r="E24" s="50">
        <v>10</v>
      </c>
      <c r="F24" s="50">
        <v>20</v>
      </c>
      <c r="G24" s="50">
        <v>0</v>
      </c>
      <c r="H24" s="50">
        <v>0</v>
      </c>
      <c r="I24" s="50">
        <v>10</v>
      </c>
      <c r="J24" s="50">
        <v>0</v>
      </c>
      <c r="K24" s="50">
        <v>0</v>
      </c>
      <c r="L24" s="50">
        <v>0</v>
      </c>
      <c r="M24" s="50">
        <v>50</v>
      </c>
      <c r="N24" s="50">
        <v>0</v>
      </c>
      <c r="O24" s="15">
        <f t="shared" si="0"/>
        <v>70</v>
      </c>
      <c r="P24" s="15">
        <f t="shared" si="1"/>
        <v>120</v>
      </c>
      <c r="R24" s="36" t="s">
        <v>148</v>
      </c>
      <c r="S24" s="34">
        <f>SUM(C66:C69)</f>
        <v>71</v>
      </c>
      <c r="T24" s="34">
        <f t="shared" ref="T24:AF24" si="16">SUM(D66:D69)</f>
        <v>3</v>
      </c>
      <c r="U24" s="34">
        <f t="shared" si="16"/>
        <v>10</v>
      </c>
      <c r="V24" s="34">
        <f t="shared" si="16"/>
        <v>63</v>
      </c>
      <c r="W24" s="34">
        <f t="shared" si="16"/>
        <v>2</v>
      </c>
      <c r="X24" s="34">
        <f t="shared" si="16"/>
        <v>0</v>
      </c>
      <c r="Y24" s="34">
        <f t="shared" si="16"/>
        <v>6</v>
      </c>
      <c r="Z24" s="34">
        <f t="shared" si="16"/>
        <v>1</v>
      </c>
      <c r="AA24" s="34">
        <f t="shared" si="16"/>
        <v>2</v>
      </c>
      <c r="AB24" s="34">
        <f t="shared" si="16"/>
        <v>0</v>
      </c>
      <c r="AC24" s="34">
        <f t="shared" si="16"/>
        <v>145</v>
      </c>
      <c r="AD24" s="34">
        <f t="shared" si="16"/>
        <v>0</v>
      </c>
      <c r="AE24" s="31">
        <f t="shared" si="16"/>
        <v>158</v>
      </c>
      <c r="AF24" s="31">
        <f t="shared" si="16"/>
        <v>303</v>
      </c>
    </row>
    <row r="25" spans="2:32" ht="23.1" customHeight="1" x14ac:dyDescent="0.25">
      <c r="B25" s="45" t="s">
        <v>52</v>
      </c>
      <c r="C25" s="50">
        <v>25</v>
      </c>
      <c r="D25" s="50">
        <v>3</v>
      </c>
      <c r="E25" s="50">
        <v>12</v>
      </c>
      <c r="F25" s="50">
        <v>25</v>
      </c>
      <c r="G25" s="50">
        <v>0</v>
      </c>
      <c r="H25" s="50">
        <v>0</v>
      </c>
      <c r="I25" s="50">
        <v>7</v>
      </c>
      <c r="J25" s="50">
        <v>0</v>
      </c>
      <c r="K25" s="50">
        <v>1</v>
      </c>
      <c r="L25" s="50">
        <v>0</v>
      </c>
      <c r="M25" s="50">
        <v>45</v>
      </c>
      <c r="N25" s="50">
        <v>0</v>
      </c>
      <c r="O25" s="15">
        <f t="shared" si="0"/>
        <v>73</v>
      </c>
      <c r="P25" s="15">
        <f t="shared" si="1"/>
        <v>118</v>
      </c>
      <c r="R25" s="36" t="s">
        <v>149</v>
      </c>
      <c r="S25" s="34">
        <f>SUM(C70:C73)</f>
        <v>72</v>
      </c>
      <c r="T25" s="34">
        <f t="shared" ref="T25:AF25" si="17">SUM(D70:D73)</f>
        <v>4</v>
      </c>
      <c r="U25" s="34">
        <f t="shared" si="17"/>
        <v>3</v>
      </c>
      <c r="V25" s="34">
        <f t="shared" si="17"/>
        <v>45</v>
      </c>
      <c r="W25" s="34">
        <f t="shared" si="17"/>
        <v>0</v>
      </c>
      <c r="X25" s="34">
        <f t="shared" si="17"/>
        <v>0</v>
      </c>
      <c r="Y25" s="34">
        <f t="shared" si="17"/>
        <v>6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91</v>
      </c>
      <c r="AD25" s="34">
        <f t="shared" si="17"/>
        <v>0</v>
      </c>
      <c r="AE25" s="31">
        <f t="shared" si="17"/>
        <v>130</v>
      </c>
      <c r="AF25" s="31">
        <f t="shared" si="17"/>
        <v>221</v>
      </c>
    </row>
    <row r="26" spans="2:32" ht="23.1" customHeight="1" x14ac:dyDescent="0.25">
      <c r="B26" s="45" t="s">
        <v>53</v>
      </c>
      <c r="C26" s="50">
        <v>22</v>
      </c>
      <c r="D26" s="50">
        <v>6</v>
      </c>
      <c r="E26" s="50">
        <v>8</v>
      </c>
      <c r="F26" s="50">
        <v>25</v>
      </c>
      <c r="G26" s="50">
        <v>0</v>
      </c>
      <c r="H26" s="50">
        <v>0</v>
      </c>
      <c r="I26" s="50">
        <v>5</v>
      </c>
      <c r="J26" s="50">
        <v>1</v>
      </c>
      <c r="K26" s="50">
        <v>1</v>
      </c>
      <c r="L26" s="50">
        <v>0</v>
      </c>
      <c r="M26" s="50">
        <v>45</v>
      </c>
      <c r="N26" s="50">
        <v>0</v>
      </c>
      <c r="O26" s="15">
        <f t="shared" si="0"/>
        <v>68</v>
      </c>
      <c r="P26" s="15">
        <f t="shared" si="1"/>
        <v>113</v>
      </c>
      <c r="R26" s="36" t="s">
        <v>150</v>
      </c>
      <c r="S26" s="34">
        <f>SUM(C74:C77)</f>
        <v>45</v>
      </c>
      <c r="T26" s="34">
        <f t="shared" ref="T26:AF26" si="18">SUM(D74:D77)</f>
        <v>3</v>
      </c>
      <c r="U26" s="34">
        <f t="shared" si="18"/>
        <v>6</v>
      </c>
      <c r="V26" s="34">
        <f t="shared" si="18"/>
        <v>33</v>
      </c>
      <c r="W26" s="34">
        <f t="shared" si="18"/>
        <v>0</v>
      </c>
      <c r="X26" s="34">
        <f t="shared" si="18"/>
        <v>0</v>
      </c>
      <c r="Y26" s="34">
        <f t="shared" si="18"/>
        <v>4</v>
      </c>
      <c r="Z26" s="34">
        <f t="shared" si="18"/>
        <v>0</v>
      </c>
      <c r="AA26" s="34">
        <f t="shared" si="18"/>
        <v>0</v>
      </c>
      <c r="AB26" s="34">
        <f t="shared" si="18"/>
        <v>2</v>
      </c>
      <c r="AC26" s="34">
        <f t="shared" si="18"/>
        <v>66</v>
      </c>
      <c r="AD26" s="34">
        <f t="shared" si="18"/>
        <v>0</v>
      </c>
      <c r="AE26" s="31">
        <f t="shared" si="18"/>
        <v>93</v>
      </c>
      <c r="AF26" s="31">
        <f t="shared" si="18"/>
        <v>159</v>
      </c>
    </row>
    <row r="27" spans="2:32" ht="23.1" customHeight="1" x14ac:dyDescent="0.25">
      <c r="B27" s="45" t="s">
        <v>54</v>
      </c>
      <c r="C27" s="50">
        <v>30</v>
      </c>
      <c r="D27" s="50">
        <v>2</v>
      </c>
      <c r="E27" s="50">
        <v>7</v>
      </c>
      <c r="F27" s="50">
        <v>35</v>
      </c>
      <c r="G27" s="50">
        <v>0</v>
      </c>
      <c r="H27" s="50">
        <v>0</v>
      </c>
      <c r="I27" s="50">
        <v>12</v>
      </c>
      <c r="J27" s="50">
        <v>0</v>
      </c>
      <c r="K27" s="50">
        <v>1</v>
      </c>
      <c r="L27" s="50">
        <v>0</v>
      </c>
      <c r="M27" s="50">
        <v>55</v>
      </c>
      <c r="N27" s="50">
        <v>0</v>
      </c>
      <c r="O27" s="15">
        <f t="shared" si="0"/>
        <v>87</v>
      </c>
      <c r="P27" s="15">
        <f t="shared" si="1"/>
        <v>142</v>
      </c>
      <c r="R27" s="36" t="s">
        <v>151</v>
      </c>
      <c r="S27" s="34">
        <f>SUM(C78:C81)</f>
        <v>18</v>
      </c>
      <c r="T27" s="34">
        <f t="shared" ref="T27:AF27" si="19">SUM(D78:D81)</f>
        <v>1</v>
      </c>
      <c r="U27" s="34">
        <f t="shared" si="19"/>
        <v>2</v>
      </c>
      <c r="V27" s="34">
        <f t="shared" si="19"/>
        <v>5</v>
      </c>
      <c r="W27" s="34">
        <f t="shared" si="19"/>
        <v>0</v>
      </c>
      <c r="X27" s="34">
        <f t="shared" si="19"/>
        <v>3</v>
      </c>
      <c r="Y27" s="34">
        <f t="shared" si="19"/>
        <v>4</v>
      </c>
      <c r="Z27" s="34">
        <f t="shared" si="19"/>
        <v>2</v>
      </c>
      <c r="AA27" s="34">
        <f t="shared" si="19"/>
        <v>1</v>
      </c>
      <c r="AB27" s="34">
        <f t="shared" si="19"/>
        <v>1</v>
      </c>
      <c r="AC27" s="34">
        <f t="shared" si="19"/>
        <v>27</v>
      </c>
      <c r="AD27" s="34">
        <f t="shared" si="19"/>
        <v>0</v>
      </c>
      <c r="AE27" s="31">
        <f t="shared" si="19"/>
        <v>37</v>
      </c>
      <c r="AF27" s="31">
        <f t="shared" si="19"/>
        <v>64</v>
      </c>
    </row>
    <row r="28" spans="2:32" ht="23.1" customHeight="1" x14ac:dyDescent="0.25">
      <c r="B28" s="45" t="s">
        <v>55</v>
      </c>
      <c r="C28" s="50">
        <v>35</v>
      </c>
      <c r="D28" s="50">
        <v>3</v>
      </c>
      <c r="E28" s="50">
        <v>10</v>
      </c>
      <c r="F28" s="50">
        <v>38</v>
      </c>
      <c r="G28" s="50">
        <v>0</v>
      </c>
      <c r="H28" s="50">
        <v>1</v>
      </c>
      <c r="I28" s="50">
        <v>16</v>
      </c>
      <c r="J28" s="50">
        <v>0</v>
      </c>
      <c r="K28" s="50">
        <v>0</v>
      </c>
      <c r="L28" s="50">
        <v>0</v>
      </c>
      <c r="M28" s="50">
        <v>60</v>
      </c>
      <c r="N28" s="50">
        <v>0</v>
      </c>
      <c r="O28" s="15">
        <f t="shared" si="0"/>
        <v>103</v>
      </c>
      <c r="P28" s="15">
        <f t="shared" si="1"/>
        <v>163</v>
      </c>
      <c r="R28" s="36" t="s">
        <v>152</v>
      </c>
      <c r="S28" s="34">
        <f>SUM(C82:C85)</f>
        <v>6</v>
      </c>
      <c r="T28" s="34">
        <f t="shared" ref="T28:AF28" si="20">SUM(D82:D85)</f>
        <v>1</v>
      </c>
      <c r="U28" s="34">
        <f t="shared" si="20"/>
        <v>3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4</v>
      </c>
      <c r="Z28" s="34">
        <f t="shared" si="20"/>
        <v>0</v>
      </c>
      <c r="AA28" s="34">
        <f t="shared" si="20"/>
        <v>2</v>
      </c>
      <c r="AB28" s="34">
        <f t="shared" si="20"/>
        <v>1</v>
      </c>
      <c r="AC28" s="34">
        <f t="shared" si="20"/>
        <v>19</v>
      </c>
      <c r="AD28" s="34">
        <f t="shared" si="20"/>
        <v>0</v>
      </c>
      <c r="AE28" s="31">
        <f t="shared" si="20"/>
        <v>17</v>
      </c>
      <c r="AF28" s="31">
        <f t="shared" si="20"/>
        <v>36</v>
      </c>
    </row>
    <row r="29" spans="2:32" ht="23.1" customHeight="1" x14ac:dyDescent="0.25">
      <c r="B29" s="45" t="s">
        <v>56</v>
      </c>
      <c r="C29" s="50">
        <v>20</v>
      </c>
      <c r="D29" s="50">
        <v>5</v>
      </c>
      <c r="E29" s="50">
        <v>15</v>
      </c>
      <c r="F29" s="50">
        <v>25</v>
      </c>
      <c r="G29" s="50">
        <v>0</v>
      </c>
      <c r="H29" s="50">
        <v>0</v>
      </c>
      <c r="I29" s="50">
        <v>10</v>
      </c>
      <c r="J29" s="50">
        <v>0</v>
      </c>
      <c r="K29" s="50">
        <v>0</v>
      </c>
      <c r="L29" s="50">
        <v>0</v>
      </c>
      <c r="M29" s="50">
        <v>50</v>
      </c>
      <c r="N29" s="50">
        <v>0</v>
      </c>
      <c r="O29" s="15">
        <f t="shared" si="0"/>
        <v>75</v>
      </c>
      <c r="P29" s="15">
        <f t="shared" si="1"/>
        <v>125</v>
      </c>
      <c r="R29" s="36" t="s">
        <v>153</v>
      </c>
      <c r="S29" s="34">
        <f>SUM(C86:C89)</f>
        <v>8</v>
      </c>
      <c r="T29" s="34">
        <f t="shared" ref="T29:AF29" si="21">SUM(D86:D89)</f>
        <v>0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17</v>
      </c>
      <c r="AD29" s="34">
        <f t="shared" si="21"/>
        <v>0</v>
      </c>
      <c r="AE29" s="31">
        <f t="shared" si="21"/>
        <v>13</v>
      </c>
      <c r="AF29" s="31">
        <f t="shared" si="21"/>
        <v>30</v>
      </c>
    </row>
    <row r="30" spans="2:32" ht="23.1" customHeight="1" x14ac:dyDescent="0.25">
      <c r="B30" s="45" t="s">
        <v>57</v>
      </c>
      <c r="C30" s="50">
        <v>30</v>
      </c>
      <c r="D30" s="50">
        <v>10</v>
      </c>
      <c r="E30" s="50">
        <v>25</v>
      </c>
      <c r="F30" s="50">
        <v>35</v>
      </c>
      <c r="G30" s="50">
        <v>1</v>
      </c>
      <c r="H30" s="50">
        <v>0</v>
      </c>
      <c r="I30" s="50">
        <v>2</v>
      </c>
      <c r="J30" s="50">
        <v>2</v>
      </c>
      <c r="K30" s="50">
        <v>10</v>
      </c>
      <c r="L30" s="50">
        <v>0</v>
      </c>
      <c r="M30" s="50">
        <v>65</v>
      </c>
      <c r="N30" s="50">
        <v>0</v>
      </c>
      <c r="O30" s="15">
        <f t="shared" si="0"/>
        <v>115</v>
      </c>
      <c r="P30" s="15">
        <f t="shared" si="1"/>
        <v>180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3</v>
      </c>
      <c r="Z30" s="34">
        <f t="shared" si="22"/>
        <v>0</v>
      </c>
      <c r="AA30" s="34">
        <f t="shared" si="22"/>
        <v>2</v>
      </c>
      <c r="AB30" s="34">
        <f t="shared" si="22"/>
        <v>0</v>
      </c>
      <c r="AC30" s="34">
        <f t="shared" si="22"/>
        <v>9</v>
      </c>
      <c r="AD30" s="34">
        <f t="shared" si="22"/>
        <v>0</v>
      </c>
      <c r="AE30" s="31">
        <f t="shared" si="22"/>
        <v>8</v>
      </c>
      <c r="AF30" s="31">
        <f t="shared" si="22"/>
        <v>17</v>
      </c>
    </row>
    <row r="31" spans="2:32" ht="23.1" customHeight="1" x14ac:dyDescent="0.25">
      <c r="B31" s="46" t="s">
        <v>58</v>
      </c>
      <c r="C31" s="50">
        <v>35</v>
      </c>
      <c r="D31" s="50">
        <v>5</v>
      </c>
      <c r="E31" s="50">
        <v>15</v>
      </c>
      <c r="F31" s="50">
        <v>40</v>
      </c>
      <c r="G31" s="50">
        <v>0</v>
      </c>
      <c r="H31" s="50">
        <v>0</v>
      </c>
      <c r="I31" s="50">
        <v>6</v>
      </c>
      <c r="J31" s="50">
        <v>0</v>
      </c>
      <c r="K31" s="50">
        <v>0</v>
      </c>
      <c r="L31" s="50">
        <v>0</v>
      </c>
      <c r="M31" s="50">
        <v>55</v>
      </c>
      <c r="N31" s="50">
        <v>0</v>
      </c>
      <c r="O31" s="15">
        <f t="shared" si="0"/>
        <v>101</v>
      </c>
      <c r="P31" s="15">
        <f t="shared" si="1"/>
        <v>156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7</v>
      </c>
      <c r="AD31" s="34">
        <f t="shared" si="23"/>
        <v>0</v>
      </c>
      <c r="AE31" s="31">
        <f t="shared" si="23"/>
        <v>1</v>
      </c>
      <c r="AF31" s="31">
        <f t="shared" si="23"/>
        <v>8</v>
      </c>
    </row>
    <row r="32" spans="2:32" ht="23.1" customHeight="1" x14ac:dyDescent="0.25">
      <c r="B32" s="46" t="s">
        <v>59</v>
      </c>
      <c r="C32" s="50">
        <v>40</v>
      </c>
      <c r="D32" s="50">
        <v>8</v>
      </c>
      <c r="E32" s="50">
        <v>15</v>
      </c>
      <c r="F32" s="50">
        <v>30</v>
      </c>
      <c r="G32" s="50">
        <v>0</v>
      </c>
      <c r="H32" s="50">
        <v>0</v>
      </c>
      <c r="I32" s="50">
        <v>5</v>
      </c>
      <c r="J32" s="50">
        <v>2</v>
      </c>
      <c r="K32" s="50">
        <v>0</v>
      </c>
      <c r="L32" s="50">
        <v>0</v>
      </c>
      <c r="M32" s="50">
        <v>55</v>
      </c>
      <c r="N32" s="50">
        <v>0</v>
      </c>
      <c r="O32" s="15">
        <f t="shared" si="0"/>
        <v>100</v>
      </c>
      <c r="P32" s="15">
        <f t="shared" si="1"/>
        <v>155</v>
      </c>
      <c r="R32" s="33" t="s">
        <v>156</v>
      </c>
      <c r="S32" s="34">
        <f>SUM(C98:C101)</f>
        <v>14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1</v>
      </c>
      <c r="AA32" s="34">
        <f t="shared" si="24"/>
        <v>1</v>
      </c>
      <c r="AB32" s="34">
        <f t="shared" si="24"/>
        <v>0</v>
      </c>
      <c r="AC32" s="34">
        <f t="shared" si="24"/>
        <v>9</v>
      </c>
      <c r="AD32" s="34">
        <f t="shared" si="24"/>
        <v>0</v>
      </c>
      <c r="AE32" s="31">
        <f t="shared" si="24"/>
        <v>20</v>
      </c>
      <c r="AF32" s="31">
        <f t="shared" si="24"/>
        <v>29</v>
      </c>
    </row>
    <row r="33" spans="2:32" ht="23.1" customHeight="1" x14ac:dyDescent="0.25">
      <c r="B33" s="45" t="s">
        <v>60</v>
      </c>
      <c r="C33" s="50">
        <v>20</v>
      </c>
      <c r="D33" s="50">
        <v>3</v>
      </c>
      <c r="E33" s="50">
        <v>5</v>
      </c>
      <c r="F33" s="50">
        <v>25</v>
      </c>
      <c r="G33" s="50">
        <v>0</v>
      </c>
      <c r="H33" s="50">
        <v>0</v>
      </c>
      <c r="I33" s="50">
        <v>3</v>
      </c>
      <c r="J33" s="50">
        <v>3</v>
      </c>
      <c r="K33" s="50">
        <v>0</v>
      </c>
      <c r="L33" s="50">
        <v>0</v>
      </c>
      <c r="M33" s="50">
        <v>45</v>
      </c>
      <c r="N33" s="50">
        <v>0</v>
      </c>
      <c r="O33" s="15">
        <v>5</v>
      </c>
      <c r="P33" s="15">
        <v>15</v>
      </c>
      <c r="R33" s="33" t="s">
        <v>157</v>
      </c>
      <c r="S33" s="34">
        <v>4</v>
      </c>
      <c r="T33" s="34">
        <f t="shared" ref="T33:AF33" si="25">SUM(D102:D105)</f>
        <v>0</v>
      </c>
      <c r="U33" s="34">
        <v>2</v>
      </c>
      <c r="V33" s="34">
        <f t="shared" si="25"/>
        <v>1</v>
      </c>
      <c r="W33" s="34">
        <f t="shared" si="25"/>
        <v>1</v>
      </c>
      <c r="X33" s="34">
        <f t="shared" si="25"/>
        <v>1</v>
      </c>
      <c r="Y33" s="34">
        <f t="shared" si="25"/>
        <v>3</v>
      </c>
      <c r="Z33" s="34">
        <f t="shared" si="25"/>
        <v>3</v>
      </c>
      <c r="AA33" s="34">
        <f t="shared" si="25"/>
        <v>0</v>
      </c>
      <c r="AB33" s="34">
        <f t="shared" si="25"/>
        <v>0</v>
      </c>
      <c r="AC33" s="34">
        <f t="shared" si="25"/>
        <v>18</v>
      </c>
      <c r="AD33" s="34">
        <f t="shared" si="25"/>
        <v>0</v>
      </c>
      <c r="AE33" s="31">
        <f t="shared" si="25"/>
        <v>17</v>
      </c>
      <c r="AF33" s="31">
        <f t="shared" si="25"/>
        <v>35</v>
      </c>
    </row>
    <row r="34" spans="2:32" ht="23.1" customHeight="1" x14ac:dyDescent="0.25">
      <c r="B34" s="46" t="s">
        <v>61</v>
      </c>
      <c r="C34" s="50">
        <v>25</v>
      </c>
      <c r="D34" s="50">
        <v>2</v>
      </c>
      <c r="E34" s="50">
        <v>5</v>
      </c>
      <c r="F34" s="50">
        <v>15</v>
      </c>
      <c r="G34" s="50">
        <v>0</v>
      </c>
      <c r="H34" s="50">
        <v>0</v>
      </c>
      <c r="I34" s="50">
        <v>4</v>
      </c>
      <c r="J34" s="50">
        <v>0</v>
      </c>
      <c r="K34" s="50">
        <v>2</v>
      </c>
      <c r="L34" s="50">
        <v>1</v>
      </c>
      <c r="M34" s="50">
        <v>45</v>
      </c>
      <c r="N34" s="50">
        <v>0</v>
      </c>
      <c r="O34" s="15">
        <f t="shared" si="0"/>
        <v>54</v>
      </c>
      <c r="P34" s="15">
        <f t="shared" si="1"/>
        <v>99</v>
      </c>
      <c r="R34" s="38" t="s">
        <v>90</v>
      </c>
      <c r="S34" s="39">
        <f t="shared" ref="S34:AF34" si="26">MAX(S10:S12)</f>
        <v>82</v>
      </c>
      <c r="T34" s="39">
        <f t="shared" si="26"/>
        <v>6</v>
      </c>
      <c r="U34" s="39">
        <f t="shared" si="26"/>
        <v>21</v>
      </c>
      <c r="V34" s="39">
        <f t="shared" si="26"/>
        <v>63</v>
      </c>
      <c r="W34" s="39">
        <f t="shared" si="26"/>
        <v>9</v>
      </c>
      <c r="X34" s="39">
        <f t="shared" si="26"/>
        <v>1</v>
      </c>
      <c r="Y34" s="39">
        <f t="shared" si="26"/>
        <v>23</v>
      </c>
      <c r="Z34" s="39">
        <f t="shared" si="26"/>
        <v>2</v>
      </c>
      <c r="AA34" s="39">
        <f t="shared" si="26"/>
        <v>2</v>
      </c>
      <c r="AB34" s="39">
        <f t="shared" si="26"/>
        <v>0</v>
      </c>
      <c r="AC34" s="39">
        <f t="shared" si="26"/>
        <v>182</v>
      </c>
      <c r="AD34" s="39">
        <f t="shared" si="26"/>
        <v>0</v>
      </c>
      <c r="AE34" s="40">
        <f t="shared" si="26"/>
        <v>198</v>
      </c>
      <c r="AF34" s="40">
        <f t="shared" si="26"/>
        <v>380</v>
      </c>
    </row>
    <row r="35" spans="2:32" ht="23.1" customHeight="1" x14ac:dyDescent="0.25">
      <c r="B35" s="46" t="s">
        <v>62</v>
      </c>
      <c r="C35" s="50">
        <v>11</v>
      </c>
      <c r="D35" s="50">
        <v>3</v>
      </c>
      <c r="E35" s="50">
        <v>8</v>
      </c>
      <c r="F35" s="50">
        <v>10</v>
      </c>
      <c r="G35" s="50">
        <v>0</v>
      </c>
      <c r="H35" s="50">
        <v>0</v>
      </c>
      <c r="I35" s="50">
        <v>5</v>
      </c>
      <c r="J35" s="50">
        <v>0</v>
      </c>
      <c r="K35" s="50">
        <v>1</v>
      </c>
      <c r="L35" s="50">
        <v>0</v>
      </c>
      <c r="M35" s="50">
        <v>35</v>
      </c>
      <c r="N35" s="50">
        <v>0</v>
      </c>
      <c r="O35" s="15">
        <f t="shared" si="0"/>
        <v>38</v>
      </c>
      <c r="P35" s="15">
        <f t="shared" si="1"/>
        <v>73</v>
      </c>
      <c r="R35" s="38" t="s">
        <v>91</v>
      </c>
      <c r="S35" s="39">
        <f t="shared" ref="S35:AF35" si="27">MAX(S13:S18)</f>
        <v>125</v>
      </c>
      <c r="T35" s="39">
        <f t="shared" si="27"/>
        <v>26</v>
      </c>
      <c r="U35" s="39">
        <f t="shared" si="27"/>
        <v>60</v>
      </c>
      <c r="V35" s="39">
        <f t="shared" si="27"/>
        <v>130</v>
      </c>
      <c r="W35" s="39">
        <f t="shared" si="27"/>
        <v>1</v>
      </c>
      <c r="X35" s="39">
        <f t="shared" si="27"/>
        <v>1</v>
      </c>
      <c r="Y35" s="39">
        <f t="shared" si="27"/>
        <v>43</v>
      </c>
      <c r="Z35" s="39">
        <f t="shared" si="27"/>
        <v>7</v>
      </c>
      <c r="AA35" s="39">
        <f t="shared" si="27"/>
        <v>10</v>
      </c>
      <c r="AB35" s="39">
        <f t="shared" si="27"/>
        <v>2</v>
      </c>
      <c r="AC35" s="39">
        <f t="shared" si="27"/>
        <v>220</v>
      </c>
      <c r="AD35" s="39">
        <f t="shared" si="27"/>
        <v>0</v>
      </c>
      <c r="AE35" s="40">
        <f t="shared" si="27"/>
        <v>333</v>
      </c>
      <c r="AF35" s="40">
        <f t="shared" si="27"/>
        <v>543</v>
      </c>
    </row>
    <row r="36" spans="2:32" ht="23.1" customHeight="1" x14ac:dyDescent="0.25">
      <c r="B36" s="46" t="s">
        <v>63</v>
      </c>
      <c r="C36" s="50">
        <v>17</v>
      </c>
      <c r="D36" s="50">
        <v>3</v>
      </c>
      <c r="E36" s="50">
        <v>4</v>
      </c>
      <c r="F36" s="50">
        <v>20</v>
      </c>
      <c r="G36" s="50">
        <v>1</v>
      </c>
      <c r="H36" s="50">
        <v>0</v>
      </c>
      <c r="I36" s="50">
        <v>1</v>
      </c>
      <c r="J36" s="50">
        <v>0</v>
      </c>
      <c r="K36" s="50">
        <v>2</v>
      </c>
      <c r="L36" s="50">
        <v>0</v>
      </c>
      <c r="M36" s="50">
        <v>40</v>
      </c>
      <c r="N36" s="50">
        <v>0</v>
      </c>
      <c r="O36" s="15">
        <f t="shared" si="0"/>
        <v>48</v>
      </c>
      <c r="P36" s="15">
        <f t="shared" si="1"/>
        <v>88</v>
      </c>
      <c r="R36" s="38" t="s">
        <v>92</v>
      </c>
      <c r="S36" s="39">
        <f t="shared" ref="S36:AF36" si="28">MAX(S19:S21)</f>
        <v>69</v>
      </c>
      <c r="T36" s="39">
        <f t="shared" si="28"/>
        <v>6</v>
      </c>
      <c r="U36" s="39">
        <f t="shared" si="28"/>
        <v>18</v>
      </c>
      <c r="V36" s="39">
        <f t="shared" si="28"/>
        <v>68</v>
      </c>
      <c r="W36" s="39">
        <f t="shared" si="28"/>
        <v>0</v>
      </c>
      <c r="X36" s="39">
        <f t="shared" si="28"/>
        <v>0</v>
      </c>
      <c r="Y36" s="39">
        <f t="shared" si="28"/>
        <v>18</v>
      </c>
      <c r="Z36" s="39">
        <f t="shared" si="28"/>
        <v>6</v>
      </c>
      <c r="AA36" s="39">
        <f t="shared" si="28"/>
        <v>6</v>
      </c>
      <c r="AB36" s="39">
        <f t="shared" si="28"/>
        <v>0</v>
      </c>
      <c r="AC36" s="39">
        <f t="shared" si="28"/>
        <v>150</v>
      </c>
      <c r="AD36" s="39">
        <f t="shared" si="28"/>
        <v>0</v>
      </c>
      <c r="AE36" s="40">
        <f t="shared" si="28"/>
        <v>180</v>
      </c>
      <c r="AF36" s="40">
        <f t="shared" si="28"/>
        <v>305</v>
      </c>
    </row>
    <row r="37" spans="2:32" ht="23.1" customHeight="1" x14ac:dyDescent="0.25">
      <c r="B37" s="45" t="s">
        <v>64</v>
      </c>
      <c r="C37" s="50">
        <v>30</v>
      </c>
      <c r="D37" s="50">
        <v>1</v>
      </c>
      <c r="E37" s="50">
        <v>2</v>
      </c>
      <c r="F37" s="50">
        <v>20</v>
      </c>
      <c r="G37" s="50">
        <v>0</v>
      </c>
      <c r="H37" s="50">
        <v>0</v>
      </c>
      <c r="I37" s="50">
        <v>4</v>
      </c>
      <c r="J37" s="50">
        <v>0</v>
      </c>
      <c r="K37" s="50">
        <v>0</v>
      </c>
      <c r="L37" s="50">
        <v>1</v>
      </c>
      <c r="M37" s="50">
        <v>45</v>
      </c>
      <c r="N37" s="50">
        <v>0</v>
      </c>
      <c r="O37" s="15">
        <f t="shared" si="0"/>
        <v>58</v>
      </c>
      <c r="P37" s="15">
        <f t="shared" si="1"/>
        <v>103</v>
      </c>
      <c r="R37" s="37" t="s">
        <v>85</v>
      </c>
      <c r="S37" s="35">
        <f t="shared" ref="S37:AF37" si="29">SUM(S10:S12)</f>
        <v>115</v>
      </c>
      <c r="T37" s="16">
        <f t="shared" si="29"/>
        <v>11</v>
      </c>
      <c r="U37" s="16">
        <f t="shared" si="29"/>
        <v>25</v>
      </c>
      <c r="V37" s="16">
        <f t="shared" si="29"/>
        <v>97</v>
      </c>
      <c r="W37" s="16">
        <f t="shared" si="29"/>
        <v>10</v>
      </c>
      <c r="X37" s="16">
        <f t="shared" si="29"/>
        <v>1</v>
      </c>
      <c r="Y37" s="16">
        <f t="shared" si="29"/>
        <v>31</v>
      </c>
      <c r="Z37" s="16">
        <f t="shared" si="29"/>
        <v>5</v>
      </c>
      <c r="AA37" s="16">
        <f t="shared" si="29"/>
        <v>2</v>
      </c>
      <c r="AB37" s="16">
        <f t="shared" si="29"/>
        <v>0</v>
      </c>
      <c r="AC37" s="16">
        <f t="shared" si="29"/>
        <v>301</v>
      </c>
      <c r="AD37" s="16">
        <f t="shared" si="29"/>
        <v>0</v>
      </c>
      <c r="AE37" s="32">
        <f t="shared" si="29"/>
        <v>297</v>
      </c>
      <c r="AF37" s="32">
        <f t="shared" si="29"/>
        <v>598</v>
      </c>
    </row>
    <row r="38" spans="2:32" ht="23.1" customHeight="1" x14ac:dyDescent="0.25">
      <c r="B38" s="46" t="s">
        <v>65</v>
      </c>
      <c r="C38" s="50">
        <v>25</v>
      </c>
      <c r="D38" s="50">
        <v>2</v>
      </c>
      <c r="E38" s="50">
        <v>2</v>
      </c>
      <c r="F38" s="50">
        <v>15</v>
      </c>
      <c r="G38" s="50">
        <v>0</v>
      </c>
      <c r="H38" s="50">
        <v>0</v>
      </c>
      <c r="I38" s="50">
        <v>3</v>
      </c>
      <c r="J38" s="50">
        <v>0</v>
      </c>
      <c r="K38" s="50">
        <v>1</v>
      </c>
      <c r="L38" s="50">
        <v>0</v>
      </c>
      <c r="M38" s="50">
        <v>40</v>
      </c>
      <c r="N38" s="50">
        <v>0</v>
      </c>
      <c r="O38" s="15">
        <f t="shared" si="0"/>
        <v>48</v>
      </c>
      <c r="P38" s="15">
        <f t="shared" si="1"/>
        <v>88</v>
      </c>
      <c r="R38" s="28" t="s">
        <v>86</v>
      </c>
      <c r="S38" s="16">
        <f t="shared" ref="S38:AF38" si="30">SUM(S13:S18)</f>
        <v>573</v>
      </c>
      <c r="T38" s="16">
        <f t="shared" si="30"/>
        <v>78</v>
      </c>
      <c r="U38" s="16">
        <f t="shared" si="30"/>
        <v>177</v>
      </c>
      <c r="V38" s="16">
        <f t="shared" si="30"/>
        <v>511</v>
      </c>
      <c r="W38" s="16">
        <f t="shared" si="30"/>
        <v>2</v>
      </c>
      <c r="X38" s="16">
        <f t="shared" si="30"/>
        <v>1</v>
      </c>
      <c r="Y38" s="16">
        <f t="shared" si="30"/>
        <v>126</v>
      </c>
      <c r="Z38" s="16">
        <f t="shared" si="30"/>
        <v>14</v>
      </c>
      <c r="AA38" s="16">
        <f t="shared" si="30"/>
        <v>26</v>
      </c>
      <c r="AB38" s="16">
        <f t="shared" si="30"/>
        <v>2</v>
      </c>
      <c r="AC38" s="16">
        <f t="shared" si="30"/>
        <v>1108</v>
      </c>
      <c r="AD38" s="16">
        <f t="shared" si="30"/>
        <v>0</v>
      </c>
      <c r="AE38" s="32">
        <f t="shared" si="30"/>
        <v>1456</v>
      </c>
      <c r="AF38" s="32">
        <f t="shared" si="30"/>
        <v>2529</v>
      </c>
    </row>
    <row r="39" spans="2:32" ht="23.1" customHeight="1" x14ac:dyDescent="0.25">
      <c r="B39" s="46" t="s">
        <v>66</v>
      </c>
      <c r="C39" s="50">
        <v>20</v>
      </c>
      <c r="D39" s="50">
        <v>2</v>
      </c>
      <c r="E39" s="50">
        <v>1</v>
      </c>
      <c r="F39" s="50">
        <v>10</v>
      </c>
      <c r="G39" s="50">
        <v>0</v>
      </c>
      <c r="H39" s="50">
        <v>0</v>
      </c>
      <c r="I39" s="50">
        <v>2</v>
      </c>
      <c r="J39" s="50">
        <v>1</v>
      </c>
      <c r="K39" s="50">
        <v>1</v>
      </c>
      <c r="L39" s="50">
        <v>0</v>
      </c>
      <c r="M39" s="50">
        <v>35</v>
      </c>
      <c r="N39" s="50">
        <v>0</v>
      </c>
      <c r="O39" s="15">
        <f t="shared" si="0"/>
        <v>37</v>
      </c>
      <c r="P39" s="15">
        <f t="shared" si="1"/>
        <v>72</v>
      </c>
      <c r="R39" s="29" t="s">
        <v>87</v>
      </c>
      <c r="S39" s="16">
        <f t="shared" ref="S39:AF39" si="31">SUM(S19:S21)</f>
        <v>187</v>
      </c>
      <c r="T39" s="16">
        <f t="shared" si="31"/>
        <v>14</v>
      </c>
      <c r="U39" s="16">
        <f t="shared" si="31"/>
        <v>42</v>
      </c>
      <c r="V39" s="16">
        <f t="shared" si="31"/>
        <v>152</v>
      </c>
      <c r="W39" s="16">
        <f t="shared" si="31"/>
        <v>0</v>
      </c>
      <c r="X39" s="16">
        <f t="shared" si="31"/>
        <v>0</v>
      </c>
      <c r="Y39" s="16">
        <f t="shared" si="31"/>
        <v>38</v>
      </c>
      <c r="Z39" s="16">
        <f t="shared" si="31"/>
        <v>12</v>
      </c>
      <c r="AA39" s="16">
        <f t="shared" si="31"/>
        <v>9</v>
      </c>
      <c r="AB39" s="16">
        <f t="shared" si="31"/>
        <v>0</v>
      </c>
      <c r="AC39" s="16">
        <f t="shared" si="31"/>
        <v>414</v>
      </c>
      <c r="AD39" s="16">
        <f t="shared" si="31"/>
        <v>0</v>
      </c>
      <c r="AE39" s="32">
        <f t="shared" si="31"/>
        <v>454</v>
      </c>
      <c r="AF39" s="32">
        <f t="shared" si="31"/>
        <v>868</v>
      </c>
    </row>
    <row r="40" spans="2:32" ht="23.1" customHeight="1" x14ac:dyDescent="0.25">
      <c r="B40" s="46" t="s">
        <v>67</v>
      </c>
      <c r="C40" s="50">
        <v>22</v>
      </c>
      <c r="D40" s="50">
        <v>0</v>
      </c>
      <c r="E40" s="50">
        <v>5</v>
      </c>
      <c r="F40" s="50">
        <v>20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33</v>
      </c>
      <c r="N40" s="50">
        <v>0</v>
      </c>
      <c r="O40" s="15">
        <f t="shared" si="0"/>
        <v>49</v>
      </c>
      <c r="P40" s="15">
        <f t="shared" si="1"/>
        <v>82</v>
      </c>
      <c r="R40" s="5" t="s">
        <v>17</v>
      </c>
      <c r="S40" s="16">
        <f t="shared" ref="S40:AF40" si="32">SUM(S10:S21)</f>
        <v>875</v>
      </c>
      <c r="T40" s="16">
        <f t="shared" si="32"/>
        <v>103</v>
      </c>
      <c r="U40" s="16">
        <f t="shared" si="32"/>
        <v>244</v>
      </c>
      <c r="V40" s="16">
        <f t="shared" si="32"/>
        <v>760</v>
      </c>
      <c r="W40" s="16">
        <f t="shared" si="32"/>
        <v>12</v>
      </c>
      <c r="X40" s="16">
        <f t="shared" si="32"/>
        <v>2</v>
      </c>
      <c r="Y40" s="16">
        <f t="shared" si="32"/>
        <v>195</v>
      </c>
      <c r="Z40" s="16">
        <f t="shared" si="32"/>
        <v>31</v>
      </c>
      <c r="AA40" s="16">
        <f t="shared" si="32"/>
        <v>37</v>
      </c>
      <c r="AB40" s="16">
        <f t="shared" si="32"/>
        <v>2</v>
      </c>
      <c r="AC40" s="16">
        <f t="shared" si="32"/>
        <v>1823</v>
      </c>
      <c r="AD40" s="16">
        <f t="shared" si="32"/>
        <v>0</v>
      </c>
      <c r="AE40" s="32">
        <f t="shared" si="32"/>
        <v>2207</v>
      </c>
      <c r="AF40" s="32">
        <f t="shared" si="32"/>
        <v>3995</v>
      </c>
    </row>
    <row r="41" spans="2:32" ht="23.1" customHeight="1" x14ac:dyDescent="0.25">
      <c r="B41" s="45" t="s">
        <v>68</v>
      </c>
      <c r="C41" s="50">
        <v>12</v>
      </c>
      <c r="D41" s="50">
        <v>1</v>
      </c>
      <c r="E41" s="50">
        <v>7</v>
      </c>
      <c r="F41" s="50">
        <v>18</v>
      </c>
      <c r="G41" s="50">
        <v>0</v>
      </c>
      <c r="H41" s="50">
        <v>0</v>
      </c>
      <c r="I41" s="50">
        <v>2</v>
      </c>
      <c r="J41" s="50">
        <v>0</v>
      </c>
      <c r="K41" s="50">
        <v>1</v>
      </c>
      <c r="L41" s="50">
        <v>0</v>
      </c>
      <c r="M41" s="50">
        <v>45</v>
      </c>
      <c r="N41" s="50">
        <v>0</v>
      </c>
      <c r="O41" s="15">
        <f t="shared" si="0"/>
        <v>41</v>
      </c>
      <c r="P41" s="15">
        <f t="shared" si="1"/>
        <v>86</v>
      </c>
      <c r="R41" s="5" t="s">
        <v>159</v>
      </c>
      <c r="S41" s="16">
        <f>SUM(S10:S33)</f>
        <v>1348</v>
      </c>
      <c r="T41" s="16">
        <f t="shared" ref="T41:AF41" si="33">SUM(T10:T33)</f>
        <v>152</v>
      </c>
      <c r="U41" s="16">
        <f t="shared" si="33"/>
        <v>311</v>
      </c>
      <c r="V41" s="16">
        <f t="shared" si="33"/>
        <v>1154</v>
      </c>
      <c r="W41" s="16">
        <f t="shared" si="33"/>
        <v>16</v>
      </c>
      <c r="X41" s="16">
        <f t="shared" si="33"/>
        <v>6</v>
      </c>
      <c r="Y41" s="16">
        <f t="shared" si="33"/>
        <v>256</v>
      </c>
      <c r="Z41" s="16">
        <f t="shared" si="33"/>
        <v>42</v>
      </c>
      <c r="AA41" s="16">
        <f t="shared" si="33"/>
        <v>48</v>
      </c>
      <c r="AB41" s="16">
        <f t="shared" si="33"/>
        <v>8</v>
      </c>
      <c r="AC41" s="16">
        <f t="shared" si="33"/>
        <v>2562</v>
      </c>
      <c r="AD41" s="16">
        <f t="shared" si="33"/>
        <v>0</v>
      </c>
      <c r="AE41" s="32">
        <f t="shared" si="33"/>
        <v>3289</v>
      </c>
      <c r="AF41" s="32">
        <f t="shared" si="33"/>
        <v>5816</v>
      </c>
    </row>
    <row r="42" spans="2:32" ht="23.1" customHeight="1" x14ac:dyDescent="0.25">
      <c r="B42" s="46" t="s">
        <v>69</v>
      </c>
      <c r="C42" s="50">
        <v>20</v>
      </c>
      <c r="D42" s="50">
        <v>1</v>
      </c>
      <c r="E42" s="50">
        <v>3</v>
      </c>
      <c r="F42" s="50">
        <v>15</v>
      </c>
      <c r="G42" s="50">
        <v>0</v>
      </c>
      <c r="H42" s="50">
        <v>0</v>
      </c>
      <c r="I42" s="50">
        <v>1</v>
      </c>
      <c r="J42" s="50">
        <v>3</v>
      </c>
      <c r="K42" s="50">
        <v>0</v>
      </c>
      <c r="L42" s="50">
        <v>0</v>
      </c>
      <c r="M42" s="50">
        <v>35</v>
      </c>
      <c r="N42" s="50">
        <v>0</v>
      </c>
      <c r="O42" s="15">
        <f t="shared" si="0"/>
        <v>43</v>
      </c>
      <c r="P42" s="15">
        <f t="shared" si="1"/>
        <v>78</v>
      </c>
      <c r="R42" s="5" t="s">
        <v>160</v>
      </c>
      <c r="S42" s="48">
        <f>S41/S40</f>
        <v>1.5405714285714285</v>
      </c>
      <c r="T42" s="48">
        <f t="shared" ref="T42:AF42" si="34">T41/T40</f>
        <v>1.4757281553398058</v>
      </c>
      <c r="U42" s="48">
        <f t="shared" si="34"/>
        <v>1.2745901639344261</v>
      </c>
      <c r="V42" s="48">
        <f t="shared" si="34"/>
        <v>1.5184210526315789</v>
      </c>
      <c r="W42" s="48">
        <f t="shared" si="34"/>
        <v>1.3333333333333333</v>
      </c>
      <c r="X42" s="48">
        <f t="shared" si="34"/>
        <v>3</v>
      </c>
      <c r="Y42" s="48">
        <f t="shared" si="34"/>
        <v>1.3128205128205128</v>
      </c>
      <c r="Z42" s="48">
        <f t="shared" si="34"/>
        <v>1.3548387096774193</v>
      </c>
      <c r="AA42" s="48">
        <f t="shared" si="34"/>
        <v>1.2972972972972974</v>
      </c>
      <c r="AB42" s="48">
        <f t="shared" si="34"/>
        <v>4</v>
      </c>
      <c r="AC42" s="48">
        <f t="shared" si="34"/>
        <v>1.4053757542512342</v>
      </c>
      <c r="AD42" s="48" t="e">
        <f t="shared" si="34"/>
        <v>#DIV/0!</v>
      </c>
      <c r="AE42" s="48">
        <f t="shared" si="34"/>
        <v>1.4902582691436339</v>
      </c>
      <c r="AF42" s="48">
        <f t="shared" si="34"/>
        <v>1.4558197747183981</v>
      </c>
    </row>
    <row r="43" spans="2:32" ht="23.1" customHeight="1" x14ac:dyDescent="0.25">
      <c r="B43" s="45" t="s">
        <v>70</v>
      </c>
      <c r="C43" s="50">
        <v>22</v>
      </c>
      <c r="D43" s="50">
        <v>0</v>
      </c>
      <c r="E43" s="50">
        <v>6</v>
      </c>
      <c r="F43" s="50">
        <v>9</v>
      </c>
      <c r="G43" s="50">
        <v>0</v>
      </c>
      <c r="H43" s="50">
        <v>0</v>
      </c>
      <c r="I43" s="50">
        <v>10</v>
      </c>
      <c r="J43" s="50">
        <v>0</v>
      </c>
      <c r="K43" s="50">
        <v>2</v>
      </c>
      <c r="L43" s="50">
        <v>0</v>
      </c>
      <c r="M43" s="50">
        <v>45</v>
      </c>
      <c r="N43" s="50">
        <v>0</v>
      </c>
      <c r="O43" s="15">
        <f t="shared" si="0"/>
        <v>49</v>
      </c>
      <c r="P43" s="15">
        <f t="shared" si="1"/>
        <v>94</v>
      </c>
    </row>
    <row r="44" spans="2:32" ht="23.1" customHeight="1" x14ac:dyDescent="0.25">
      <c r="B44" s="47" t="s">
        <v>71</v>
      </c>
      <c r="C44" s="50">
        <v>15</v>
      </c>
      <c r="D44" s="50">
        <v>0</v>
      </c>
      <c r="E44" s="50">
        <v>1</v>
      </c>
      <c r="F44" s="50">
        <v>20</v>
      </c>
      <c r="G44" s="50">
        <v>0</v>
      </c>
      <c r="H44" s="50">
        <v>0</v>
      </c>
      <c r="I44" s="50">
        <v>3</v>
      </c>
      <c r="J44" s="50">
        <v>0</v>
      </c>
      <c r="K44" s="50">
        <v>1</v>
      </c>
      <c r="L44" s="50">
        <v>0</v>
      </c>
      <c r="M44" s="50">
        <v>50</v>
      </c>
      <c r="N44" s="50">
        <v>0</v>
      </c>
      <c r="O44" s="15">
        <f t="shared" si="0"/>
        <v>40</v>
      </c>
      <c r="P44" s="15">
        <f t="shared" si="1"/>
        <v>90</v>
      </c>
    </row>
    <row r="45" spans="2:32" ht="23.1" customHeight="1" x14ac:dyDescent="0.25">
      <c r="B45" s="45" t="s">
        <v>72</v>
      </c>
      <c r="C45" s="50">
        <v>17</v>
      </c>
      <c r="D45" s="50">
        <v>0</v>
      </c>
      <c r="E45" s="50">
        <v>1</v>
      </c>
      <c r="F45" s="50">
        <v>18</v>
      </c>
      <c r="G45" s="50">
        <v>0</v>
      </c>
      <c r="H45" s="50">
        <v>0</v>
      </c>
      <c r="I45" s="50">
        <v>1</v>
      </c>
      <c r="J45" s="50">
        <v>0</v>
      </c>
      <c r="K45" s="50">
        <v>2</v>
      </c>
      <c r="L45" s="50">
        <v>0</v>
      </c>
      <c r="M45" s="50">
        <v>40</v>
      </c>
      <c r="N45" s="50">
        <v>0</v>
      </c>
      <c r="O45" s="15">
        <f t="shared" si="0"/>
        <v>39</v>
      </c>
      <c r="P45" s="15">
        <f t="shared" si="1"/>
        <v>79</v>
      </c>
    </row>
    <row r="46" spans="2:32" ht="23.1" customHeight="1" x14ac:dyDescent="0.25">
      <c r="B46" s="46" t="s">
        <v>73</v>
      </c>
      <c r="C46" s="50">
        <v>18</v>
      </c>
      <c r="D46" s="50">
        <v>0</v>
      </c>
      <c r="E46" s="50">
        <v>2</v>
      </c>
      <c r="F46" s="50">
        <v>25</v>
      </c>
      <c r="G46" s="50">
        <v>0</v>
      </c>
      <c r="H46" s="50">
        <v>0</v>
      </c>
      <c r="I46" s="50">
        <v>10</v>
      </c>
      <c r="J46" s="50">
        <v>0</v>
      </c>
      <c r="K46" s="50">
        <v>0</v>
      </c>
      <c r="L46" s="50">
        <v>0</v>
      </c>
      <c r="M46" s="50">
        <v>35</v>
      </c>
      <c r="N46" s="50">
        <v>0</v>
      </c>
      <c r="O46" s="15">
        <f t="shared" si="0"/>
        <v>55</v>
      </c>
      <c r="P46" s="15">
        <f t="shared" si="1"/>
        <v>90</v>
      </c>
      <c r="R46" s="8"/>
      <c r="T46"/>
    </row>
    <row r="47" spans="2:32" ht="23.1" customHeight="1" x14ac:dyDescent="0.25">
      <c r="B47" s="46" t="s">
        <v>74</v>
      </c>
      <c r="C47" s="50">
        <v>18</v>
      </c>
      <c r="D47" s="50">
        <v>3</v>
      </c>
      <c r="E47" s="50">
        <v>3</v>
      </c>
      <c r="F47" s="50">
        <v>7</v>
      </c>
      <c r="G47" s="50">
        <v>0</v>
      </c>
      <c r="H47" s="50">
        <v>0</v>
      </c>
      <c r="I47" s="50">
        <v>4</v>
      </c>
      <c r="J47" s="50">
        <v>0</v>
      </c>
      <c r="K47" s="50">
        <v>1</v>
      </c>
      <c r="L47" s="50">
        <v>0</v>
      </c>
      <c r="M47" s="50">
        <v>30</v>
      </c>
      <c r="N47" s="50">
        <v>0</v>
      </c>
      <c r="O47" s="15">
        <f t="shared" si="0"/>
        <v>36</v>
      </c>
      <c r="P47" s="15">
        <f t="shared" si="1"/>
        <v>66</v>
      </c>
      <c r="R47" s="8"/>
      <c r="T47"/>
    </row>
    <row r="48" spans="2:32" ht="23.1" customHeight="1" x14ac:dyDescent="0.25">
      <c r="B48" s="46" t="s">
        <v>75</v>
      </c>
      <c r="C48" s="50">
        <v>10</v>
      </c>
      <c r="D48" s="50">
        <v>0</v>
      </c>
      <c r="E48" s="50">
        <v>6</v>
      </c>
      <c r="F48" s="50">
        <v>9</v>
      </c>
      <c r="G48" s="50">
        <v>0</v>
      </c>
      <c r="H48" s="50">
        <v>0</v>
      </c>
      <c r="I48" s="50">
        <v>2</v>
      </c>
      <c r="J48" s="50">
        <v>0</v>
      </c>
      <c r="K48" s="50">
        <v>1</v>
      </c>
      <c r="L48" s="50">
        <v>0</v>
      </c>
      <c r="M48" s="50">
        <v>50</v>
      </c>
      <c r="N48" s="50">
        <v>0</v>
      </c>
      <c r="O48" s="15">
        <f t="shared" si="0"/>
        <v>28</v>
      </c>
      <c r="P48" s="15">
        <f t="shared" si="1"/>
        <v>78</v>
      </c>
      <c r="R48" s="8"/>
      <c r="T48"/>
    </row>
    <row r="49" spans="2:20" ht="23.1" customHeight="1" x14ac:dyDescent="0.25">
      <c r="B49" s="45" t="s">
        <v>76</v>
      </c>
      <c r="C49" s="50">
        <v>10</v>
      </c>
      <c r="D49" s="50">
        <v>1</v>
      </c>
      <c r="E49" s="50">
        <v>1</v>
      </c>
      <c r="F49" s="50">
        <v>10</v>
      </c>
      <c r="G49" s="50">
        <v>0</v>
      </c>
      <c r="H49" s="50">
        <v>0</v>
      </c>
      <c r="I49" s="50">
        <v>2</v>
      </c>
      <c r="J49" s="50">
        <v>2</v>
      </c>
      <c r="K49" s="50">
        <v>0</v>
      </c>
      <c r="L49" s="50">
        <v>0</v>
      </c>
      <c r="M49" s="50">
        <v>35</v>
      </c>
      <c r="N49" s="50">
        <v>0</v>
      </c>
      <c r="O49" s="15">
        <f t="shared" si="0"/>
        <v>26</v>
      </c>
      <c r="P49" s="15">
        <f t="shared" si="1"/>
        <v>61</v>
      </c>
      <c r="R49" s="8"/>
      <c r="T49"/>
    </row>
    <row r="50" spans="2:20" ht="23.1" customHeight="1" x14ac:dyDescent="0.25">
      <c r="B50" s="46" t="s">
        <v>77</v>
      </c>
      <c r="C50" s="50">
        <v>13</v>
      </c>
      <c r="D50" s="50">
        <v>0</v>
      </c>
      <c r="E50" s="50">
        <v>4</v>
      </c>
      <c r="F50" s="50">
        <v>15</v>
      </c>
      <c r="G50" s="50">
        <v>0</v>
      </c>
      <c r="H50" s="50">
        <v>0</v>
      </c>
      <c r="I50" s="50">
        <v>3</v>
      </c>
      <c r="J50" s="50">
        <v>1</v>
      </c>
      <c r="K50" s="50">
        <v>0</v>
      </c>
      <c r="L50" s="50">
        <v>0</v>
      </c>
      <c r="M50" s="50">
        <v>20</v>
      </c>
      <c r="N50" s="50">
        <v>0</v>
      </c>
      <c r="O50" s="15">
        <f t="shared" si="0"/>
        <v>36</v>
      </c>
      <c r="P50" s="15">
        <f t="shared" si="1"/>
        <v>56</v>
      </c>
      <c r="R50" s="8"/>
      <c r="T50"/>
    </row>
    <row r="51" spans="2:20" ht="23.1" customHeight="1" x14ac:dyDescent="0.25">
      <c r="B51" s="46" t="s">
        <v>78</v>
      </c>
      <c r="C51" s="50">
        <v>19</v>
      </c>
      <c r="D51" s="50">
        <v>1</v>
      </c>
      <c r="E51" s="50">
        <v>2</v>
      </c>
      <c r="F51" s="50">
        <v>4</v>
      </c>
      <c r="G51" s="50">
        <v>0</v>
      </c>
      <c r="H51" s="50">
        <v>0</v>
      </c>
      <c r="I51" s="50">
        <v>3</v>
      </c>
      <c r="J51" s="50">
        <v>1</v>
      </c>
      <c r="K51" s="50">
        <v>0</v>
      </c>
      <c r="L51" s="50">
        <v>0</v>
      </c>
      <c r="M51" s="50">
        <v>43</v>
      </c>
      <c r="N51" s="50">
        <v>0</v>
      </c>
      <c r="O51" s="15">
        <f t="shared" si="0"/>
        <v>30</v>
      </c>
      <c r="P51" s="15">
        <f t="shared" si="1"/>
        <v>73</v>
      </c>
      <c r="R51" s="8"/>
      <c r="T51"/>
    </row>
    <row r="52" spans="2:20" ht="23.1" customHeight="1" x14ac:dyDescent="0.25">
      <c r="B52" s="46" t="s">
        <v>79</v>
      </c>
      <c r="C52" s="50">
        <v>18</v>
      </c>
      <c r="D52" s="50">
        <v>1</v>
      </c>
      <c r="E52" s="50">
        <v>3</v>
      </c>
      <c r="F52" s="50">
        <v>4</v>
      </c>
      <c r="G52" s="50">
        <v>0</v>
      </c>
      <c r="H52" s="50">
        <v>0</v>
      </c>
      <c r="I52" s="50">
        <v>3</v>
      </c>
      <c r="J52" s="50">
        <v>2</v>
      </c>
      <c r="K52" s="50">
        <v>0</v>
      </c>
      <c r="L52" s="50">
        <v>0</v>
      </c>
      <c r="M52" s="50">
        <v>30</v>
      </c>
      <c r="N52" s="50">
        <v>0</v>
      </c>
      <c r="O52" s="15">
        <f t="shared" si="0"/>
        <v>31</v>
      </c>
      <c r="P52" s="15">
        <f t="shared" si="1"/>
        <v>61</v>
      </c>
      <c r="R52" s="8"/>
      <c r="T52"/>
    </row>
    <row r="53" spans="2:20" ht="23.1" customHeight="1" x14ac:dyDescent="0.25">
      <c r="B53" s="45" t="s">
        <v>80</v>
      </c>
      <c r="C53" s="50">
        <v>12</v>
      </c>
      <c r="D53" s="50">
        <v>2</v>
      </c>
      <c r="E53" s="50">
        <v>3</v>
      </c>
      <c r="F53" s="50">
        <v>10</v>
      </c>
      <c r="G53" s="50">
        <v>0</v>
      </c>
      <c r="H53" s="50">
        <v>0</v>
      </c>
      <c r="I53" s="50">
        <v>2</v>
      </c>
      <c r="J53" s="50">
        <v>2</v>
      </c>
      <c r="K53" s="50">
        <v>1</v>
      </c>
      <c r="L53" s="50">
        <v>0</v>
      </c>
      <c r="M53" s="50">
        <v>46</v>
      </c>
      <c r="N53" s="50">
        <v>0</v>
      </c>
      <c r="O53" s="15">
        <f t="shared" si="0"/>
        <v>32</v>
      </c>
      <c r="P53" s="15">
        <f t="shared" si="1"/>
        <v>78</v>
      </c>
      <c r="R53" s="8"/>
      <c r="T53"/>
    </row>
    <row r="54" spans="2:20" ht="23.1" customHeight="1" x14ac:dyDescent="0.25">
      <c r="B54" s="45" t="s">
        <v>81</v>
      </c>
      <c r="C54" s="50">
        <v>19</v>
      </c>
      <c r="D54" s="50">
        <v>2</v>
      </c>
      <c r="E54" s="50">
        <v>2</v>
      </c>
      <c r="F54" s="50">
        <v>13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25</v>
      </c>
      <c r="N54" s="50">
        <v>0</v>
      </c>
      <c r="O54" s="15">
        <f t="shared" si="0"/>
        <v>37</v>
      </c>
      <c r="P54" s="15">
        <f t="shared" si="1"/>
        <v>62</v>
      </c>
      <c r="R54" s="8"/>
      <c r="T54"/>
    </row>
    <row r="55" spans="2:20" ht="23.1" customHeight="1" x14ac:dyDescent="0.25">
      <c r="B55" s="45" t="s">
        <v>82</v>
      </c>
      <c r="C55" s="50">
        <v>17</v>
      </c>
      <c r="D55" s="50">
        <v>1</v>
      </c>
      <c r="E55" s="50">
        <v>1</v>
      </c>
      <c r="F55" s="50">
        <v>18</v>
      </c>
      <c r="G55" s="50">
        <v>0</v>
      </c>
      <c r="H55" s="50">
        <v>0</v>
      </c>
      <c r="I55" s="50">
        <v>2</v>
      </c>
      <c r="J55" s="50">
        <v>3</v>
      </c>
      <c r="K55" s="50">
        <v>0</v>
      </c>
      <c r="L55" s="50">
        <v>0</v>
      </c>
      <c r="M55" s="50">
        <v>35</v>
      </c>
      <c r="N55" s="50">
        <v>0</v>
      </c>
      <c r="O55" s="15">
        <f t="shared" si="0"/>
        <v>42</v>
      </c>
      <c r="P55" s="15">
        <f t="shared" si="1"/>
        <v>77</v>
      </c>
      <c r="R55" s="8"/>
      <c r="T55"/>
    </row>
    <row r="56" spans="2:20" ht="23.1" customHeight="1" x14ac:dyDescent="0.25">
      <c r="B56" s="45" t="s">
        <v>83</v>
      </c>
      <c r="C56" s="50">
        <v>16</v>
      </c>
      <c r="D56" s="50">
        <v>3</v>
      </c>
      <c r="E56" s="50">
        <v>10</v>
      </c>
      <c r="F56" s="50">
        <v>27</v>
      </c>
      <c r="G56" s="50">
        <v>0</v>
      </c>
      <c r="H56" s="50">
        <v>0</v>
      </c>
      <c r="I56" s="50">
        <v>2</v>
      </c>
      <c r="J56" s="50">
        <v>1</v>
      </c>
      <c r="K56" s="50">
        <v>3</v>
      </c>
      <c r="L56" s="50">
        <v>0</v>
      </c>
      <c r="M56" s="50">
        <v>30</v>
      </c>
      <c r="N56" s="50">
        <v>0</v>
      </c>
      <c r="O56" s="15">
        <f t="shared" si="0"/>
        <v>62</v>
      </c>
      <c r="P56" s="15">
        <f t="shared" si="1"/>
        <v>92</v>
      </c>
      <c r="R56" s="8"/>
      <c r="T56"/>
    </row>
    <row r="57" spans="2:20" ht="23.1" customHeight="1" x14ac:dyDescent="0.25">
      <c r="B57" s="45" t="s">
        <v>84</v>
      </c>
      <c r="C57" s="50">
        <v>17</v>
      </c>
      <c r="D57" s="50">
        <v>0</v>
      </c>
      <c r="E57" s="50">
        <v>5</v>
      </c>
      <c r="F57" s="50">
        <v>10</v>
      </c>
      <c r="G57" s="50">
        <v>0</v>
      </c>
      <c r="H57" s="50">
        <v>0</v>
      </c>
      <c r="I57" s="50">
        <v>4</v>
      </c>
      <c r="J57" s="50">
        <v>0</v>
      </c>
      <c r="K57" s="50">
        <v>3</v>
      </c>
      <c r="L57" s="50">
        <v>0</v>
      </c>
      <c r="M57" s="50">
        <v>35</v>
      </c>
      <c r="N57" s="50">
        <v>0</v>
      </c>
      <c r="O57" s="15">
        <f t="shared" si="0"/>
        <v>39</v>
      </c>
      <c r="P57" s="15">
        <f t="shared" si="1"/>
        <v>74</v>
      </c>
      <c r="R57" s="8"/>
      <c r="T57"/>
    </row>
    <row r="58" spans="2:20" ht="23.1" customHeight="1" x14ac:dyDescent="0.25">
      <c r="B58" s="45" t="s">
        <v>99</v>
      </c>
      <c r="C58" s="50">
        <v>16</v>
      </c>
      <c r="D58" s="50">
        <v>0</v>
      </c>
      <c r="E58" s="50">
        <v>6</v>
      </c>
      <c r="F58" s="50">
        <v>12</v>
      </c>
      <c r="G58" s="50">
        <v>0</v>
      </c>
      <c r="H58" s="50">
        <v>0</v>
      </c>
      <c r="I58" s="50">
        <v>3</v>
      </c>
      <c r="J58" s="50">
        <v>2</v>
      </c>
      <c r="K58" s="50">
        <v>1</v>
      </c>
      <c r="L58" s="50">
        <v>0</v>
      </c>
      <c r="M58" s="50">
        <v>25</v>
      </c>
      <c r="N58" s="50">
        <v>0</v>
      </c>
      <c r="O58" s="15">
        <f t="shared" si="0"/>
        <v>40</v>
      </c>
      <c r="P58" s="15">
        <f t="shared" si="1"/>
        <v>65</v>
      </c>
      <c r="R58" s="8"/>
      <c r="T58"/>
    </row>
    <row r="59" spans="2:20" ht="23.1" customHeight="1" x14ac:dyDescent="0.25">
      <c r="B59" s="45" t="s">
        <v>100</v>
      </c>
      <c r="C59" s="50">
        <v>22</v>
      </c>
      <c r="D59" s="50">
        <v>1</v>
      </c>
      <c r="E59" s="50">
        <v>2</v>
      </c>
      <c r="F59" s="50">
        <v>20</v>
      </c>
      <c r="G59" s="50">
        <v>1</v>
      </c>
      <c r="H59" s="50">
        <v>0</v>
      </c>
      <c r="I59" s="50">
        <v>2</v>
      </c>
      <c r="J59" s="50">
        <v>0</v>
      </c>
      <c r="K59" s="50">
        <v>0</v>
      </c>
      <c r="L59" s="50">
        <v>2</v>
      </c>
      <c r="M59" s="50">
        <v>35</v>
      </c>
      <c r="N59" s="50">
        <v>0</v>
      </c>
      <c r="O59" s="15">
        <f t="shared" si="0"/>
        <v>50</v>
      </c>
      <c r="P59" s="15">
        <f t="shared" si="1"/>
        <v>85</v>
      </c>
      <c r="R59" s="8"/>
      <c r="T59"/>
    </row>
    <row r="60" spans="2:20" ht="23.1" customHeight="1" x14ac:dyDescent="0.25">
      <c r="B60" s="45" t="s">
        <v>101</v>
      </c>
      <c r="C60" s="50">
        <v>15</v>
      </c>
      <c r="D60" s="50">
        <v>2</v>
      </c>
      <c r="E60" s="50">
        <v>3</v>
      </c>
      <c r="F60" s="50">
        <v>20</v>
      </c>
      <c r="G60" s="50">
        <v>0</v>
      </c>
      <c r="H60" s="50">
        <v>0</v>
      </c>
      <c r="I60" s="50">
        <v>3</v>
      </c>
      <c r="J60" s="50">
        <v>0</v>
      </c>
      <c r="K60" s="50">
        <v>0</v>
      </c>
      <c r="L60" s="50">
        <v>0</v>
      </c>
      <c r="M60" s="50">
        <v>36</v>
      </c>
      <c r="N60" s="50">
        <v>0</v>
      </c>
      <c r="O60" s="15">
        <f t="shared" si="0"/>
        <v>43</v>
      </c>
      <c r="P60" s="15">
        <f t="shared" si="1"/>
        <v>79</v>
      </c>
      <c r="R60" s="8"/>
      <c r="T60"/>
    </row>
    <row r="61" spans="2:20" ht="23.1" customHeight="1" x14ac:dyDescent="0.25">
      <c r="B61" s="45" t="s">
        <v>102</v>
      </c>
      <c r="C61" s="50">
        <v>40</v>
      </c>
      <c r="D61" s="50">
        <v>13</v>
      </c>
      <c r="E61" s="50">
        <v>10</v>
      </c>
      <c r="F61" s="50">
        <v>43</v>
      </c>
      <c r="G61" s="50">
        <v>0</v>
      </c>
      <c r="H61" s="50">
        <v>0</v>
      </c>
      <c r="I61" s="50">
        <v>7</v>
      </c>
      <c r="J61" s="50">
        <v>0</v>
      </c>
      <c r="K61" s="50">
        <v>0</v>
      </c>
      <c r="L61" s="50">
        <v>0</v>
      </c>
      <c r="M61" s="50">
        <v>45</v>
      </c>
      <c r="N61" s="50">
        <v>0</v>
      </c>
      <c r="O61" s="15">
        <f t="shared" si="0"/>
        <v>113</v>
      </c>
      <c r="P61" s="15">
        <f t="shared" si="1"/>
        <v>158</v>
      </c>
      <c r="R61" s="8"/>
      <c r="T61"/>
    </row>
    <row r="62" spans="2:20" ht="23.1" customHeight="1" x14ac:dyDescent="0.25">
      <c r="B62" s="45" t="s">
        <v>107</v>
      </c>
      <c r="C62" s="50">
        <v>40</v>
      </c>
      <c r="D62" s="50">
        <v>8</v>
      </c>
      <c r="E62" s="50">
        <v>9</v>
      </c>
      <c r="F62" s="50">
        <v>50</v>
      </c>
      <c r="G62" s="50">
        <v>0</v>
      </c>
      <c r="H62" s="50">
        <v>0</v>
      </c>
      <c r="I62" s="50">
        <v>1</v>
      </c>
      <c r="J62" s="50">
        <v>1</v>
      </c>
      <c r="K62" s="50">
        <v>0</v>
      </c>
      <c r="L62" s="50">
        <v>0</v>
      </c>
      <c r="M62" s="50">
        <v>52</v>
      </c>
      <c r="N62" s="50">
        <v>0</v>
      </c>
      <c r="O62" s="15">
        <f t="shared" si="0"/>
        <v>109</v>
      </c>
      <c r="P62" s="15">
        <f t="shared" si="1"/>
        <v>161</v>
      </c>
      <c r="R62" s="8"/>
      <c r="T62"/>
    </row>
    <row r="63" spans="2:20" ht="23.1" customHeight="1" x14ac:dyDescent="0.25">
      <c r="B63" s="45" t="s">
        <v>108</v>
      </c>
      <c r="C63" s="50">
        <v>25</v>
      </c>
      <c r="D63" s="50">
        <v>9</v>
      </c>
      <c r="E63" s="50">
        <v>1</v>
      </c>
      <c r="F63" s="50">
        <v>30</v>
      </c>
      <c r="G63" s="50">
        <v>0</v>
      </c>
      <c r="H63" s="50">
        <v>0</v>
      </c>
      <c r="I63" s="50">
        <v>4</v>
      </c>
      <c r="J63" s="50">
        <v>0</v>
      </c>
      <c r="K63" s="50">
        <v>0</v>
      </c>
      <c r="L63" s="50">
        <v>0</v>
      </c>
      <c r="M63" s="50">
        <v>43</v>
      </c>
      <c r="N63" s="50">
        <v>0</v>
      </c>
      <c r="O63" s="15">
        <f t="shared" si="0"/>
        <v>69</v>
      </c>
      <c r="P63" s="15">
        <f t="shared" si="1"/>
        <v>112</v>
      </c>
      <c r="R63" s="8"/>
      <c r="T63"/>
    </row>
    <row r="64" spans="2:20" ht="23.1" customHeight="1" x14ac:dyDescent="0.25">
      <c r="B64" s="45" t="s">
        <v>109</v>
      </c>
      <c r="C64" s="50">
        <v>35</v>
      </c>
      <c r="D64" s="50">
        <v>1</v>
      </c>
      <c r="E64" s="50">
        <v>4</v>
      </c>
      <c r="F64" s="50">
        <v>40</v>
      </c>
      <c r="G64" s="50">
        <v>0</v>
      </c>
      <c r="H64" s="50">
        <v>0</v>
      </c>
      <c r="I64" s="50">
        <v>4</v>
      </c>
      <c r="J64" s="50">
        <v>1</v>
      </c>
      <c r="K64" s="50">
        <v>0</v>
      </c>
      <c r="L64" s="50">
        <v>0</v>
      </c>
      <c r="M64" s="50">
        <v>50</v>
      </c>
      <c r="N64" s="50">
        <v>0</v>
      </c>
      <c r="O64" s="15">
        <f t="shared" si="0"/>
        <v>85</v>
      </c>
      <c r="P64" s="15">
        <f t="shared" si="1"/>
        <v>135</v>
      </c>
      <c r="R64" s="8"/>
      <c r="T64"/>
    </row>
    <row r="65" spans="2:20" ht="23.1" customHeight="1" x14ac:dyDescent="0.25">
      <c r="B65" s="45" t="s">
        <v>158</v>
      </c>
      <c r="C65" s="50">
        <v>40</v>
      </c>
      <c r="D65" s="50">
        <v>3</v>
      </c>
      <c r="E65" s="50">
        <v>2</v>
      </c>
      <c r="F65" s="50">
        <v>30</v>
      </c>
      <c r="G65" s="50">
        <v>0</v>
      </c>
      <c r="H65" s="50">
        <v>0</v>
      </c>
      <c r="I65" s="50">
        <v>2</v>
      </c>
      <c r="J65" s="50">
        <v>0</v>
      </c>
      <c r="K65" s="50">
        <v>2</v>
      </c>
      <c r="L65" s="50">
        <v>0</v>
      </c>
      <c r="M65" s="50">
        <v>45</v>
      </c>
      <c r="N65" s="50">
        <v>0</v>
      </c>
      <c r="O65" s="15">
        <f t="shared" si="0"/>
        <v>79</v>
      </c>
      <c r="P65" s="15">
        <f t="shared" si="1"/>
        <v>124</v>
      </c>
      <c r="R65" s="8"/>
      <c r="T65"/>
    </row>
    <row r="66" spans="2:20" ht="23.1" customHeight="1" x14ac:dyDescent="0.25">
      <c r="B66" s="45" t="s">
        <v>103</v>
      </c>
      <c r="C66" s="50">
        <v>25</v>
      </c>
      <c r="D66" s="50">
        <v>3</v>
      </c>
      <c r="E66" s="50">
        <v>6</v>
      </c>
      <c r="F66" s="50">
        <v>22</v>
      </c>
      <c r="G66" s="50">
        <v>0</v>
      </c>
      <c r="H66" s="50">
        <v>0</v>
      </c>
      <c r="I66" s="50">
        <v>4</v>
      </c>
      <c r="J66" s="50">
        <v>0</v>
      </c>
      <c r="K66" s="50">
        <v>2</v>
      </c>
      <c r="L66" s="50">
        <v>0</v>
      </c>
      <c r="M66" s="50">
        <v>45</v>
      </c>
      <c r="N66" s="50">
        <v>0</v>
      </c>
      <c r="O66" s="15">
        <f t="shared" si="0"/>
        <v>62</v>
      </c>
      <c r="P66" s="15">
        <f t="shared" si="1"/>
        <v>107</v>
      </c>
      <c r="R66" s="8"/>
      <c r="T66"/>
    </row>
    <row r="67" spans="2:20" ht="23.1" customHeight="1" x14ac:dyDescent="0.25">
      <c r="B67" s="45" t="s">
        <v>104</v>
      </c>
      <c r="C67" s="50">
        <v>18</v>
      </c>
      <c r="D67" s="50">
        <v>0</v>
      </c>
      <c r="E67" s="50">
        <v>1</v>
      </c>
      <c r="F67" s="50">
        <v>17</v>
      </c>
      <c r="G67" s="50">
        <v>2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35</v>
      </c>
      <c r="N67" s="50">
        <v>0</v>
      </c>
      <c r="O67" s="15">
        <f t="shared" si="0"/>
        <v>40</v>
      </c>
      <c r="P67" s="15">
        <f t="shared" si="1"/>
        <v>75</v>
      </c>
      <c r="R67" s="8"/>
      <c r="T67"/>
    </row>
    <row r="68" spans="2:20" ht="23.1" customHeight="1" x14ac:dyDescent="0.25">
      <c r="B68" s="45" t="s">
        <v>105</v>
      </c>
      <c r="C68" s="50">
        <v>8</v>
      </c>
      <c r="D68" s="50">
        <v>0</v>
      </c>
      <c r="E68" s="50">
        <v>3</v>
      </c>
      <c r="F68" s="50">
        <v>14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0</v>
      </c>
      <c r="M68" s="50">
        <v>40</v>
      </c>
      <c r="N68" s="50">
        <v>0</v>
      </c>
      <c r="O68" s="15">
        <f t="shared" si="0"/>
        <v>26</v>
      </c>
      <c r="P68" s="15">
        <f t="shared" si="1"/>
        <v>66</v>
      </c>
      <c r="R68" s="8"/>
      <c r="T68"/>
    </row>
    <row r="69" spans="2:20" ht="23.1" customHeight="1" x14ac:dyDescent="0.25">
      <c r="B69" s="45" t="s">
        <v>106</v>
      </c>
      <c r="C69" s="50">
        <v>20</v>
      </c>
      <c r="D69" s="50">
        <v>0</v>
      </c>
      <c r="E69" s="50">
        <v>0</v>
      </c>
      <c r="F69" s="50">
        <v>10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25</v>
      </c>
      <c r="N69" s="50">
        <v>0</v>
      </c>
      <c r="O69" s="15">
        <f t="shared" si="0"/>
        <v>30</v>
      </c>
      <c r="P69" s="15">
        <f t="shared" si="1"/>
        <v>55</v>
      </c>
      <c r="R69" s="8"/>
      <c r="T69"/>
    </row>
    <row r="70" spans="2:20" ht="23.1" customHeight="1" x14ac:dyDescent="0.25">
      <c r="B70" s="45" t="s">
        <v>110</v>
      </c>
      <c r="C70" s="50">
        <v>20</v>
      </c>
      <c r="D70" s="50">
        <v>1</v>
      </c>
      <c r="E70" s="50">
        <v>3</v>
      </c>
      <c r="F70" s="50">
        <v>15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25</v>
      </c>
      <c r="N70" s="50">
        <v>0</v>
      </c>
      <c r="O70" s="15">
        <f t="shared" si="0"/>
        <v>40</v>
      </c>
      <c r="P70" s="15">
        <f t="shared" si="1"/>
        <v>65</v>
      </c>
      <c r="R70" s="8"/>
      <c r="T70"/>
    </row>
    <row r="71" spans="2:20" ht="23.1" customHeight="1" x14ac:dyDescent="0.25">
      <c r="B71" s="45" t="s">
        <v>111</v>
      </c>
      <c r="C71" s="50">
        <v>27</v>
      </c>
      <c r="D71" s="50">
        <v>3</v>
      </c>
      <c r="E71" s="50">
        <v>0</v>
      </c>
      <c r="F71" s="50">
        <v>9</v>
      </c>
      <c r="G71" s="50">
        <v>0</v>
      </c>
      <c r="H71" s="50">
        <v>0</v>
      </c>
      <c r="I71" s="50">
        <v>2</v>
      </c>
      <c r="J71" s="50">
        <v>0</v>
      </c>
      <c r="K71" s="50">
        <v>0</v>
      </c>
      <c r="L71" s="50">
        <v>0</v>
      </c>
      <c r="M71" s="50">
        <v>28</v>
      </c>
      <c r="N71" s="50">
        <v>0</v>
      </c>
      <c r="O71" s="15">
        <f t="shared" si="0"/>
        <v>41</v>
      </c>
      <c r="P71" s="15">
        <f t="shared" si="1"/>
        <v>69</v>
      </c>
      <c r="R71" s="8"/>
      <c r="T71"/>
    </row>
    <row r="72" spans="2:20" ht="23.1" customHeight="1" x14ac:dyDescent="0.25">
      <c r="B72" s="45" t="s">
        <v>112</v>
      </c>
      <c r="C72" s="50">
        <v>15</v>
      </c>
      <c r="D72" s="50">
        <v>0</v>
      </c>
      <c r="E72" s="50">
        <v>0</v>
      </c>
      <c r="F72" s="50">
        <v>17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20</v>
      </c>
      <c r="N72" s="50">
        <v>0</v>
      </c>
      <c r="O72" s="15">
        <f t="shared" si="0"/>
        <v>32</v>
      </c>
      <c r="P72" s="15">
        <f t="shared" si="1"/>
        <v>52</v>
      </c>
      <c r="R72" s="8"/>
      <c r="T72"/>
    </row>
    <row r="73" spans="2:20" ht="23.1" customHeight="1" x14ac:dyDescent="0.25">
      <c r="B73" s="45" t="s">
        <v>113</v>
      </c>
      <c r="C73" s="50">
        <v>10</v>
      </c>
      <c r="D73" s="50">
        <v>0</v>
      </c>
      <c r="E73" s="50">
        <v>0</v>
      </c>
      <c r="F73" s="50">
        <v>4</v>
      </c>
      <c r="G73" s="50">
        <v>0</v>
      </c>
      <c r="H73" s="50">
        <v>0</v>
      </c>
      <c r="I73" s="50">
        <v>3</v>
      </c>
      <c r="J73" s="50">
        <v>0</v>
      </c>
      <c r="K73" s="50">
        <v>0</v>
      </c>
      <c r="L73" s="50">
        <v>0</v>
      </c>
      <c r="M73" s="50">
        <v>18</v>
      </c>
      <c r="N73" s="50">
        <v>0</v>
      </c>
      <c r="O73" s="15">
        <f t="shared" si="0"/>
        <v>17</v>
      </c>
      <c r="P73" s="15">
        <f t="shared" si="1"/>
        <v>35</v>
      </c>
      <c r="R73" s="8"/>
      <c r="T73"/>
    </row>
    <row r="74" spans="2:20" ht="23.1" customHeight="1" x14ac:dyDescent="0.25">
      <c r="B74" s="45" t="s">
        <v>114</v>
      </c>
      <c r="C74" s="50">
        <v>17</v>
      </c>
      <c r="D74" s="50">
        <v>2</v>
      </c>
      <c r="E74" s="50">
        <v>2</v>
      </c>
      <c r="F74" s="50">
        <v>15</v>
      </c>
      <c r="G74" s="50">
        <v>0</v>
      </c>
      <c r="H74" s="50">
        <v>0</v>
      </c>
      <c r="I74" s="50">
        <v>2</v>
      </c>
      <c r="J74" s="50">
        <v>0</v>
      </c>
      <c r="K74" s="50">
        <v>0</v>
      </c>
      <c r="L74" s="50">
        <v>0</v>
      </c>
      <c r="M74" s="50">
        <v>30</v>
      </c>
      <c r="N74" s="50">
        <v>0</v>
      </c>
      <c r="O74" s="15">
        <f t="shared" ref="O74:O105" si="35">SUM(C74:L74,N74)</f>
        <v>38</v>
      </c>
      <c r="P74" s="15">
        <f t="shared" ref="P74:P105" si="36">SUM(C74:N74)</f>
        <v>68</v>
      </c>
      <c r="R74" s="8"/>
      <c r="T74"/>
    </row>
    <row r="75" spans="2:20" ht="23.1" customHeight="1" x14ac:dyDescent="0.25">
      <c r="B75" s="45" t="s">
        <v>115</v>
      </c>
      <c r="C75" s="50">
        <v>15</v>
      </c>
      <c r="D75" s="50">
        <v>1</v>
      </c>
      <c r="E75" s="50">
        <v>0</v>
      </c>
      <c r="F75" s="50">
        <v>6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2</v>
      </c>
      <c r="M75" s="50">
        <v>15</v>
      </c>
      <c r="N75" s="50">
        <v>0</v>
      </c>
      <c r="O75" s="15">
        <f t="shared" si="35"/>
        <v>24</v>
      </c>
      <c r="P75" s="15">
        <f t="shared" si="36"/>
        <v>39</v>
      </c>
      <c r="R75" s="8"/>
      <c r="T75"/>
    </row>
    <row r="76" spans="2:20" ht="23.1" customHeight="1" x14ac:dyDescent="0.25">
      <c r="B76" s="45" t="s">
        <v>116</v>
      </c>
      <c r="C76" s="50">
        <v>6</v>
      </c>
      <c r="D76" s="50">
        <v>0</v>
      </c>
      <c r="E76" s="50">
        <v>4</v>
      </c>
      <c r="F76" s="50">
        <v>5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9</v>
      </c>
      <c r="N76" s="50">
        <v>0</v>
      </c>
      <c r="O76" s="15">
        <f t="shared" si="35"/>
        <v>15</v>
      </c>
      <c r="P76" s="15">
        <f t="shared" si="36"/>
        <v>24</v>
      </c>
      <c r="R76" s="8"/>
      <c r="T76"/>
    </row>
    <row r="77" spans="2:20" ht="23.1" customHeight="1" x14ac:dyDescent="0.25">
      <c r="B77" s="45" t="s">
        <v>117</v>
      </c>
      <c r="C77" s="50">
        <v>7</v>
      </c>
      <c r="D77" s="50">
        <v>0</v>
      </c>
      <c r="E77" s="50">
        <v>0</v>
      </c>
      <c r="F77" s="50">
        <v>7</v>
      </c>
      <c r="G77" s="50">
        <v>0</v>
      </c>
      <c r="H77" s="50">
        <v>0</v>
      </c>
      <c r="I77" s="50">
        <v>2</v>
      </c>
      <c r="J77" s="50">
        <v>0</v>
      </c>
      <c r="K77" s="50">
        <v>0</v>
      </c>
      <c r="L77" s="50">
        <v>0</v>
      </c>
      <c r="M77" s="50">
        <v>12</v>
      </c>
      <c r="N77" s="50">
        <v>0</v>
      </c>
      <c r="O77" s="15">
        <f t="shared" si="35"/>
        <v>16</v>
      </c>
      <c r="P77" s="15">
        <f t="shared" si="36"/>
        <v>28</v>
      </c>
      <c r="R77" s="8"/>
      <c r="T77"/>
    </row>
    <row r="78" spans="2:20" ht="23.1" customHeight="1" x14ac:dyDescent="0.25">
      <c r="B78" s="46" t="s">
        <v>118</v>
      </c>
      <c r="C78" s="50">
        <v>4</v>
      </c>
      <c r="D78" s="50">
        <v>1</v>
      </c>
      <c r="E78" s="50">
        <v>2</v>
      </c>
      <c r="F78" s="50">
        <v>3</v>
      </c>
      <c r="G78" s="50">
        <v>0</v>
      </c>
      <c r="H78" s="50">
        <v>0</v>
      </c>
      <c r="I78" s="50">
        <v>4</v>
      </c>
      <c r="J78" s="50">
        <v>0</v>
      </c>
      <c r="K78" s="50">
        <v>0</v>
      </c>
      <c r="L78" s="50">
        <v>0</v>
      </c>
      <c r="M78" s="50">
        <v>9</v>
      </c>
      <c r="N78" s="50">
        <v>0</v>
      </c>
      <c r="O78" s="15">
        <f t="shared" si="35"/>
        <v>14</v>
      </c>
      <c r="P78" s="15">
        <f t="shared" si="36"/>
        <v>23</v>
      </c>
      <c r="R78" s="8"/>
      <c r="T78"/>
    </row>
    <row r="79" spans="2:20" ht="23.1" customHeight="1" x14ac:dyDescent="0.25">
      <c r="B79" s="45" t="s">
        <v>119</v>
      </c>
      <c r="C79" s="50">
        <v>6</v>
      </c>
      <c r="D79" s="50">
        <v>0</v>
      </c>
      <c r="E79" s="50">
        <v>0</v>
      </c>
      <c r="F79" s="50">
        <v>0</v>
      </c>
      <c r="G79" s="50">
        <v>0</v>
      </c>
      <c r="H79" s="50">
        <v>3</v>
      </c>
      <c r="I79" s="50">
        <v>0</v>
      </c>
      <c r="J79" s="50">
        <v>2</v>
      </c>
      <c r="K79" s="50">
        <v>0</v>
      </c>
      <c r="L79" s="50">
        <v>1</v>
      </c>
      <c r="M79" s="50">
        <v>7</v>
      </c>
      <c r="N79" s="50">
        <v>0</v>
      </c>
      <c r="O79" s="15">
        <f t="shared" si="35"/>
        <v>12</v>
      </c>
      <c r="P79" s="15">
        <f t="shared" si="36"/>
        <v>19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0</v>
      </c>
      <c r="E80" s="50">
        <v>0</v>
      </c>
      <c r="F80" s="50">
        <v>2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4</v>
      </c>
      <c r="N80" s="50">
        <v>0</v>
      </c>
      <c r="O80" s="15">
        <f t="shared" si="35"/>
        <v>5</v>
      </c>
      <c r="P80" s="15">
        <f t="shared" si="36"/>
        <v>9</v>
      </c>
      <c r="R80" s="8"/>
      <c r="T80"/>
    </row>
    <row r="81" spans="2:20" ht="23.1" customHeight="1" x14ac:dyDescent="0.25">
      <c r="B81" s="45" t="s">
        <v>121</v>
      </c>
      <c r="C81" s="50">
        <v>5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1</v>
      </c>
      <c r="L81" s="50">
        <v>0</v>
      </c>
      <c r="M81" s="50">
        <v>7</v>
      </c>
      <c r="N81" s="50">
        <v>0</v>
      </c>
      <c r="O81" s="15">
        <f t="shared" si="35"/>
        <v>6</v>
      </c>
      <c r="P81" s="15">
        <f t="shared" si="36"/>
        <v>13</v>
      </c>
      <c r="R81" s="8"/>
      <c r="T81"/>
    </row>
    <row r="82" spans="2:20" ht="23.1" customHeight="1" x14ac:dyDescent="0.25">
      <c r="B82" s="46" t="s">
        <v>122</v>
      </c>
      <c r="C82" s="50">
        <v>2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8</v>
      </c>
      <c r="N82" s="50">
        <v>0</v>
      </c>
      <c r="O82" s="15">
        <f t="shared" si="35"/>
        <v>2</v>
      </c>
      <c r="P82" s="15">
        <f t="shared" si="36"/>
        <v>10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1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3</v>
      </c>
      <c r="N83" s="50">
        <v>0</v>
      </c>
      <c r="O83" s="15">
        <f t="shared" si="35"/>
        <v>1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v>3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5</v>
      </c>
      <c r="N84" s="50">
        <v>0</v>
      </c>
      <c r="O84" s="15">
        <f t="shared" si="35"/>
        <v>3</v>
      </c>
      <c r="P84" s="15">
        <f t="shared" si="36"/>
        <v>8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3</v>
      </c>
      <c r="F85" s="50">
        <v>0</v>
      </c>
      <c r="G85" s="50">
        <v>0</v>
      </c>
      <c r="H85" s="50">
        <v>0</v>
      </c>
      <c r="I85" s="50">
        <v>4</v>
      </c>
      <c r="J85" s="50">
        <v>0</v>
      </c>
      <c r="K85" s="50">
        <v>2</v>
      </c>
      <c r="L85" s="50">
        <v>1</v>
      </c>
      <c r="M85" s="50">
        <v>3</v>
      </c>
      <c r="N85" s="50">
        <v>0</v>
      </c>
      <c r="O85" s="15">
        <f t="shared" si="35"/>
        <v>11</v>
      </c>
      <c r="P85" s="15">
        <f t="shared" si="36"/>
        <v>14</v>
      </c>
      <c r="R85" s="8"/>
      <c r="T85"/>
    </row>
    <row r="86" spans="2:20" ht="23.1" customHeight="1" x14ac:dyDescent="0.25">
      <c r="B86" s="46" t="s">
        <v>126</v>
      </c>
      <c r="C86" s="50">
        <v>4</v>
      </c>
      <c r="D86" s="50">
        <v>0</v>
      </c>
      <c r="E86" s="50">
        <v>2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0</v>
      </c>
      <c r="M86" s="50">
        <v>8</v>
      </c>
      <c r="N86" s="50">
        <v>0</v>
      </c>
      <c r="O86" s="15">
        <f t="shared" si="35"/>
        <v>7</v>
      </c>
      <c r="P86" s="15">
        <f t="shared" si="36"/>
        <v>15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3</v>
      </c>
      <c r="N87" s="50">
        <v>0</v>
      </c>
      <c r="O87" s="15">
        <f t="shared" si="35"/>
        <v>0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4</v>
      </c>
      <c r="N88" s="50">
        <v>0</v>
      </c>
      <c r="O88" s="15">
        <f t="shared" si="35"/>
        <v>1</v>
      </c>
      <c r="P88" s="15">
        <f t="shared" si="36"/>
        <v>5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2</v>
      </c>
      <c r="J89" s="50">
        <v>0</v>
      </c>
      <c r="K89" s="50">
        <v>0</v>
      </c>
      <c r="L89" s="50">
        <v>0</v>
      </c>
      <c r="M89" s="50">
        <v>2</v>
      </c>
      <c r="N89" s="50">
        <v>0</v>
      </c>
      <c r="O89" s="15">
        <f t="shared" si="35"/>
        <v>5</v>
      </c>
      <c r="P89" s="15">
        <f t="shared" si="36"/>
        <v>7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0</v>
      </c>
      <c r="E90" s="50">
        <v>0</v>
      </c>
      <c r="F90" s="50">
        <v>0</v>
      </c>
      <c r="G90" s="50">
        <v>0</v>
      </c>
      <c r="H90" s="50">
        <v>0</v>
      </c>
      <c r="I90" s="50">
        <v>3</v>
      </c>
      <c r="J90" s="50">
        <v>0</v>
      </c>
      <c r="K90" s="50">
        <v>2</v>
      </c>
      <c r="L90" s="50">
        <v>0</v>
      </c>
      <c r="M90" s="50">
        <v>4</v>
      </c>
      <c r="N90" s="50">
        <v>0</v>
      </c>
      <c r="O90" s="15">
        <f t="shared" si="35"/>
        <v>5</v>
      </c>
      <c r="P90" s="15">
        <f t="shared" si="36"/>
        <v>9</v>
      </c>
      <c r="R90" s="8"/>
      <c r="T90"/>
    </row>
    <row r="91" spans="2:20" ht="23.1" customHeight="1" x14ac:dyDescent="0.25">
      <c r="B91" s="45" t="s">
        <v>131</v>
      </c>
      <c r="C91" s="50">
        <v>1</v>
      </c>
      <c r="D91" s="50">
        <v>0</v>
      </c>
      <c r="E91" s="50">
        <v>2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2</v>
      </c>
      <c r="N91" s="50">
        <v>0</v>
      </c>
      <c r="O91" s="15">
        <f t="shared" si="35"/>
        <v>3</v>
      </c>
      <c r="P91" s="15">
        <f t="shared" si="36"/>
        <v>5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</v>
      </c>
      <c r="N92" s="50">
        <v>0</v>
      </c>
      <c r="O92" s="15">
        <f t="shared" si="35"/>
        <v>0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v>0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2</v>
      </c>
      <c r="N93" s="50">
        <v>0</v>
      </c>
      <c r="O93" s="15">
        <f t="shared" si="35"/>
        <v>0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4</v>
      </c>
      <c r="N94" s="50">
        <v>0</v>
      </c>
      <c r="O94" s="15">
        <f t="shared" si="35"/>
        <v>1</v>
      </c>
      <c r="P94" s="15">
        <f t="shared" si="36"/>
        <v>5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2</v>
      </c>
      <c r="N97" s="50">
        <v>0</v>
      </c>
      <c r="O97" s="15">
        <f t="shared" si="35"/>
        <v>0</v>
      </c>
      <c r="P97" s="15">
        <f t="shared" si="36"/>
        <v>2</v>
      </c>
      <c r="R97" s="8"/>
      <c r="T97"/>
    </row>
    <row r="98" spans="2:20" ht="23.1" customHeight="1" x14ac:dyDescent="0.25">
      <c r="B98" s="46" t="s">
        <v>138</v>
      </c>
      <c r="C98" s="50">
        <v>1</v>
      </c>
      <c r="D98" s="50">
        <v>0</v>
      </c>
      <c r="E98" s="50">
        <v>0</v>
      </c>
      <c r="F98" s="50">
        <v>2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50">
        <v>2</v>
      </c>
      <c r="N98" s="50">
        <v>0</v>
      </c>
      <c r="O98" s="15">
        <f t="shared" si="35"/>
        <v>4</v>
      </c>
      <c r="P98" s="15">
        <f t="shared" si="36"/>
        <v>6</v>
      </c>
      <c r="R98" s="8"/>
      <c r="T98"/>
    </row>
    <row r="99" spans="2:20" ht="23.1" customHeight="1" x14ac:dyDescent="0.25">
      <c r="B99" s="45" t="s">
        <v>139</v>
      </c>
      <c r="C99" s="50">
        <v>2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15">
        <f t="shared" si="35"/>
        <v>2</v>
      </c>
      <c r="P99" s="15">
        <f t="shared" si="36"/>
        <v>2</v>
      </c>
      <c r="R99" s="8"/>
      <c r="T99"/>
    </row>
    <row r="100" spans="2:20" ht="23.1" customHeight="1" x14ac:dyDescent="0.25">
      <c r="B100" s="47" t="s">
        <v>140</v>
      </c>
      <c r="C100" s="50">
        <v>4</v>
      </c>
      <c r="D100" s="50">
        <v>0</v>
      </c>
      <c r="E100" s="50">
        <v>0</v>
      </c>
      <c r="F100" s="50">
        <v>0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3</v>
      </c>
      <c r="N100" s="50">
        <v>0</v>
      </c>
      <c r="O100" s="15">
        <f t="shared" si="35"/>
        <v>5</v>
      </c>
      <c r="P100" s="15">
        <f t="shared" si="36"/>
        <v>8</v>
      </c>
      <c r="R100" s="8"/>
      <c r="T100"/>
    </row>
    <row r="101" spans="2:20" ht="23.1" customHeight="1" x14ac:dyDescent="0.25">
      <c r="B101" s="45" t="s">
        <v>141</v>
      </c>
      <c r="C101" s="50">
        <v>7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1</v>
      </c>
      <c r="K101" s="50">
        <v>1</v>
      </c>
      <c r="L101" s="50">
        <v>0</v>
      </c>
      <c r="M101" s="50">
        <v>4</v>
      </c>
      <c r="N101" s="50">
        <v>0</v>
      </c>
      <c r="O101" s="15">
        <f t="shared" si="35"/>
        <v>9</v>
      </c>
      <c r="P101" s="15">
        <f t="shared" si="36"/>
        <v>13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1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2</v>
      </c>
      <c r="P102" s="15">
        <f t="shared" si="36"/>
        <v>5</v>
      </c>
      <c r="R102" s="8"/>
      <c r="T102"/>
    </row>
    <row r="103" spans="2:20" ht="23.1" customHeight="1" x14ac:dyDescent="0.25">
      <c r="B103" s="45" t="s">
        <v>143</v>
      </c>
      <c r="C103" s="50">
        <v>4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3</v>
      </c>
      <c r="N103" s="50">
        <v>0</v>
      </c>
      <c r="O103" s="15">
        <f t="shared" si="35"/>
        <v>4</v>
      </c>
      <c r="P103" s="15">
        <f t="shared" si="36"/>
        <v>7</v>
      </c>
      <c r="R103" s="8"/>
      <c r="T103"/>
    </row>
    <row r="104" spans="2:20" ht="23.1" customHeight="1" x14ac:dyDescent="0.25">
      <c r="B104" s="47" t="s">
        <v>144</v>
      </c>
      <c r="C104" s="50">
        <v>2</v>
      </c>
      <c r="D104" s="50">
        <v>0</v>
      </c>
      <c r="E104" s="50">
        <v>1</v>
      </c>
      <c r="F104" s="50">
        <v>1</v>
      </c>
      <c r="G104" s="50">
        <v>1</v>
      </c>
      <c r="H104" s="50">
        <v>1</v>
      </c>
      <c r="I104" s="50">
        <v>2</v>
      </c>
      <c r="J104" s="50">
        <v>2</v>
      </c>
      <c r="K104" s="50">
        <v>0</v>
      </c>
      <c r="L104" s="50">
        <v>0</v>
      </c>
      <c r="M104" s="50">
        <v>3</v>
      </c>
      <c r="N104" s="50">
        <v>0</v>
      </c>
      <c r="O104" s="15">
        <f t="shared" si="35"/>
        <v>10</v>
      </c>
      <c r="P104" s="15">
        <f t="shared" si="36"/>
        <v>13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9</v>
      </c>
      <c r="N105" s="50">
        <v>0</v>
      </c>
      <c r="O105" s="15">
        <f t="shared" si="35"/>
        <v>1</v>
      </c>
      <c r="P105" s="15">
        <f t="shared" si="36"/>
        <v>10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1351</v>
      </c>
      <c r="D106" s="16">
        <f t="shared" ref="D106:P106" si="37">SUM(D10:D105)</f>
        <v>152</v>
      </c>
      <c r="E106" s="16">
        <f t="shared" si="37"/>
        <v>310</v>
      </c>
      <c r="F106" s="16">
        <f t="shared" si="37"/>
        <v>1154</v>
      </c>
      <c r="G106" s="16">
        <f t="shared" si="37"/>
        <v>16</v>
      </c>
      <c r="H106" s="16">
        <f t="shared" si="37"/>
        <v>6</v>
      </c>
      <c r="I106" s="16">
        <f t="shared" si="37"/>
        <v>256</v>
      </c>
      <c r="J106" s="16">
        <f t="shared" si="37"/>
        <v>42</v>
      </c>
      <c r="K106" s="16">
        <f t="shared" si="37"/>
        <v>48</v>
      </c>
      <c r="L106" s="16">
        <f t="shared" si="37"/>
        <v>8</v>
      </c>
      <c r="M106" s="16">
        <f t="shared" si="37"/>
        <v>2562</v>
      </c>
      <c r="N106" s="16">
        <f t="shared" si="37"/>
        <v>0</v>
      </c>
      <c r="O106" s="16">
        <f t="shared" si="37"/>
        <v>3289</v>
      </c>
      <c r="P106" s="16">
        <f t="shared" si="37"/>
        <v>5816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0.23229023383768913</v>
      </c>
      <c r="D107" s="43">
        <f t="shared" si="38"/>
        <v>2.6134800550206328E-2</v>
      </c>
      <c r="E107" s="43">
        <f t="shared" si="38"/>
        <v>5.3301237964236588E-2</v>
      </c>
      <c r="F107" s="43">
        <f t="shared" si="38"/>
        <v>0.19841815680880331</v>
      </c>
      <c r="G107" s="43">
        <f t="shared" si="38"/>
        <v>2.751031636863824E-3</v>
      </c>
      <c r="H107" s="43">
        <f t="shared" si="38"/>
        <v>1.0316368638239339E-3</v>
      </c>
      <c r="I107" s="43">
        <f t="shared" si="38"/>
        <v>4.4016506189821183E-2</v>
      </c>
      <c r="J107" s="43">
        <f t="shared" si="38"/>
        <v>7.2214580467675378E-3</v>
      </c>
      <c r="K107" s="43">
        <f t="shared" si="38"/>
        <v>8.253094910591471E-3</v>
      </c>
      <c r="L107" s="43">
        <f t="shared" si="38"/>
        <v>1.375515818431912E-3</v>
      </c>
      <c r="M107" s="43">
        <f t="shared" si="38"/>
        <v>0.44050894085281983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0.4107631498935847</v>
      </c>
      <c r="D108" s="44">
        <f t="shared" ref="D108:N108" si="39">D106/$O$106</f>
        <v>4.6214654910307087E-2</v>
      </c>
      <c r="E108" s="44">
        <f t="shared" si="39"/>
        <v>9.425357251444208E-2</v>
      </c>
      <c r="F108" s="44">
        <f t="shared" si="39"/>
        <v>0.35086652477956826</v>
      </c>
      <c r="G108" s="44">
        <f t="shared" si="39"/>
        <v>4.86470051687443E-3</v>
      </c>
      <c r="H108" s="44">
        <f t="shared" si="39"/>
        <v>1.8242626938279112E-3</v>
      </c>
      <c r="I108" s="44">
        <f t="shared" si="39"/>
        <v>7.783520826999088E-2</v>
      </c>
      <c r="J108" s="44">
        <f t="shared" si="39"/>
        <v>1.2769838856795378E-2</v>
      </c>
      <c r="K108" s="44">
        <f t="shared" si="39"/>
        <v>1.459410155062329E-2</v>
      </c>
      <c r="L108" s="44">
        <f t="shared" si="39"/>
        <v>2.432350258437215E-3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SentemaRBT-Sentema'!C3:G3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'27.07 SentemaRBT-Sentema-24h'!D5</f>
        <v>27.07.19</v>
      </c>
      <c r="E5" s="3"/>
      <c r="F5" s="41" t="s">
        <v>1</v>
      </c>
      <c r="G5" s="64" t="str">
        <f>'27.07 SentemaRBT-Sentema-24h'!G5:H5</f>
        <v>Ku roofings</v>
      </c>
      <c r="H5" s="65"/>
      <c r="I5" s="14"/>
      <c r="J5" s="2" t="s">
        <v>5</v>
      </c>
      <c r="K5" s="64" t="s">
        <v>184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Sentema-Sentema RBT'!D6:E6</f>
        <v>Sentema</v>
      </c>
      <c r="E6" s="65"/>
      <c r="F6" s="2" t="s">
        <v>2</v>
      </c>
      <c r="G6" s="64" t="str">
        <f>'22.07 Sentema-Sentema RBT'!G6:H6</f>
        <v>Sentema RBT</v>
      </c>
      <c r="H6" s="65"/>
      <c r="J6" s="2" t="s">
        <v>21</v>
      </c>
      <c r="K6" s="64" t="str">
        <f>'27.07 SentemaRBT-Sentema-24h'!K6:L6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0</v>
      </c>
      <c r="R10" s="1" t="s">
        <v>6</v>
      </c>
      <c r="S10" s="17">
        <f t="shared" ref="S10:AF10" si="2">SUM(C10:C13)</f>
        <v>10</v>
      </c>
      <c r="T10" s="17">
        <f t="shared" si="2"/>
        <v>1</v>
      </c>
      <c r="U10" s="17">
        <f t="shared" si="2"/>
        <v>1</v>
      </c>
      <c r="V10" s="17">
        <f t="shared" si="2"/>
        <v>5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12</v>
      </c>
      <c r="AD10" s="17">
        <f t="shared" si="2"/>
        <v>0</v>
      </c>
      <c r="AE10" s="31">
        <f t="shared" si="2"/>
        <v>19</v>
      </c>
      <c r="AF10" s="31">
        <f t="shared" si="2"/>
        <v>31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132</v>
      </c>
      <c r="T11" s="17">
        <f t="shared" si="3"/>
        <v>12</v>
      </c>
      <c r="U11" s="17">
        <f t="shared" si="3"/>
        <v>14</v>
      </c>
      <c r="V11" s="17">
        <f t="shared" si="3"/>
        <v>57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6</v>
      </c>
      <c r="AA11" s="17">
        <f t="shared" si="3"/>
        <v>0</v>
      </c>
      <c r="AB11" s="17">
        <f t="shared" si="3"/>
        <v>0</v>
      </c>
      <c r="AC11" s="17">
        <f t="shared" si="3"/>
        <v>164</v>
      </c>
      <c r="AD11" s="17">
        <f t="shared" si="3"/>
        <v>0</v>
      </c>
      <c r="AE11" s="31">
        <f t="shared" si="3"/>
        <v>224</v>
      </c>
      <c r="AF11" s="31">
        <f t="shared" si="3"/>
        <v>388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111</v>
      </c>
      <c r="T12" s="17">
        <f t="shared" si="4"/>
        <v>49</v>
      </c>
      <c r="U12" s="17">
        <f t="shared" si="4"/>
        <v>10</v>
      </c>
      <c r="V12" s="17">
        <f t="shared" si="4"/>
        <v>61</v>
      </c>
      <c r="W12" s="17">
        <f t="shared" si="4"/>
        <v>0</v>
      </c>
      <c r="X12" s="17">
        <f t="shared" si="4"/>
        <v>0</v>
      </c>
      <c r="Y12" s="17">
        <f t="shared" si="4"/>
        <v>11</v>
      </c>
      <c r="Z12" s="17">
        <f t="shared" si="4"/>
        <v>8</v>
      </c>
      <c r="AA12" s="17">
        <f t="shared" si="4"/>
        <v>0</v>
      </c>
      <c r="AB12" s="17">
        <f t="shared" si="4"/>
        <v>1</v>
      </c>
      <c r="AC12" s="17">
        <f t="shared" si="4"/>
        <v>256</v>
      </c>
      <c r="AD12" s="17">
        <f t="shared" si="4"/>
        <v>0</v>
      </c>
      <c r="AE12" s="31">
        <f t="shared" si="4"/>
        <v>251</v>
      </c>
      <c r="AF12" s="31">
        <f t="shared" si="4"/>
        <v>507</v>
      </c>
    </row>
    <row r="13" spans="2:32" ht="23.1" customHeight="1" x14ac:dyDescent="0.25">
      <c r="B13" s="45" t="s">
        <v>40</v>
      </c>
      <c r="C13" s="50">
        <v>10</v>
      </c>
      <c r="D13" s="50">
        <v>1</v>
      </c>
      <c r="E13" s="50">
        <v>1</v>
      </c>
      <c r="F13" s="50">
        <v>5</v>
      </c>
      <c r="G13" s="50">
        <v>0</v>
      </c>
      <c r="H13" s="50">
        <v>0</v>
      </c>
      <c r="I13" s="50">
        <v>1</v>
      </c>
      <c r="J13" s="50">
        <v>0</v>
      </c>
      <c r="K13" s="50">
        <v>1</v>
      </c>
      <c r="L13" s="50">
        <v>0</v>
      </c>
      <c r="M13" s="50">
        <v>12</v>
      </c>
      <c r="N13" s="50">
        <v>0</v>
      </c>
      <c r="O13" s="15">
        <f t="shared" si="0"/>
        <v>19</v>
      </c>
      <c r="P13" s="15">
        <f t="shared" si="1"/>
        <v>31</v>
      </c>
      <c r="R13" s="1" t="s">
        <v>9</v>
      </c>
      <c r="S13" s="17">
        <f t="shared" ref="S13:AF13" si="5">SUM(C22:C25)</f>
        <v>77</v>
      </c>
      <c r="T13" s="17">
        <f t="shared" si="5"/>
        <v>51</v>
      </c>
      <c r="U13" s="17">
        <f t="shared" si="5"/>
        <v>17</v>
      </c>
      <c r="V13" s="17">
        <f t="shared" si="5"/>
        <v>45</v>
      </c>
      <c r="W13" s="17">
        <f t="shared" si="5"/>
        <v>0</v>
      </c>
      <c r="X13" s="17">
        <f t="shared" si="5"/>
        <v>0</v>
      </c>
      <c r="Y13" s="17">
        <f t="shared" si="5"/>
        <v>22</v>
      </c>
      <c r="Z13" s="17">
        <f t="shared" si="5"/>
        <v>10</v>
      </c>
      <c r="AA13" s="17">
        <f t="shared" si="5"/>
        <v>0</v>
      </c>
      <c r="AB13" s="17">
        <f t="shared" si="5"/>
        <v>2</v>
      </c>
      <c r="AC13" s="17">
        <f t="shared" si="5"/>
        <v>235</v>
      </c>
      <c r="AD13" s="17">
        <f t="shared" si="5"/>
        <v>0</v>
      </c>
      <c r="AE13" s="31">
        <f t="shared" si="5"/>
        <v>224</v>
      </c>
      <c r="AF13" s="31">
        <f t="shared" si="5"/>
        <v>459</v>
      </c>
    </row>
    <row r="14" spans="2:32" ht="23.1" customHeight="1" x14ac:dyDescent="0.25">
      <c r="B14" s="45" t="s">
        <v>41</v>
      </c>
      <c r="C14" s="50">
        <v>42</v>
      </c>
      <c r="D14" s="50">
        <v>4</v>
      </c>
      <c r="E14" s="50">
        <v>5</v>
      </c>
      <c r="F14" s="50">
        <v>16</v>
      </c>
      <c r="G14" s="50">
        <v>0</v>
      </c>
      <c r="H14" s="50">
        <v>0</v>
      </c>
      <c r="I14" s="50">
        <v>2</v>
      </c>
      <c r="J14" s="50">
        <v>2</v>
      </c>
      <c r="K14" s="50">
        <v>0</v>
      </c>
      <c r="L14" s="50">
        <v>0</v>
      </c>
      <c r="M14" s="50">
        <v>30</v>
      </c>
      <c r="N14" s="50">
        <v>0</v>
      </c>
      <c r="O14" s="15">
        <f t="shared" si="0"/>
        <v>71</v>
      </c>
      <c r="P14" s="15">
        <f t="shared" si="1"/>
        <v>101</v>
      </c>
      <c r="R14" s="1" t="s">
        <v>10</v>
      </c>
      <c r="S14" s="17">
        <f t="shared" ref="S14:AF14" si="6">SUM(C26:C29)</f>
        <v>58</v>
      </c>
      <c r="T14" s="17">
        <f t="shared" si="6"/>
        <v>30</v>
      </c>
      <c r="U14" s="17">
        <f t="shared" si="6"/>
        <v>9</v>
      </c>
      <c r="V14" s="17">
        <f t="shared" si="6"/>
        <v>35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5</v>
      </c>
      <c r="AA14" s="17">
        <f t="shared" si="6"/>
        <v>1</v>
      </c>
      <c r="AB14" s="17">
        <f t="shared" si="6"/>
        <v>1</v>
      </c>
      <c r="AC14" s="17">
        <f t="shared" si="6"/>
        <v>195</v>
      </c>
      <c r="AD14" s="17">
        <f t="shared" si="6"/>
        <v>0</v>
      </c>
      <c r="AE14" s="31">
        <f t="shared" si="6"/>
        <v>145</v>
      </c>
      <c r="AF14" s="31">
        <f t="shared" si="6"/>
        <v>340</v>
      </c>
    </row>
    <row r="15" spans="2:32" ht="23.1" customHeight="1" x14ac:dyDescent="0.25">
      <c r="B15" s="45" t="s">
        <v>42</v>
      </c>
      <c r="C15" s="50">
        <v>35</v>
      </c>
      <c r="D15" s="50">
        <v>5</v>
      </c>
      <c r="E15" s="50">
        <v>4</v>
      </c>
      <c r="F15" s="50">
        <v>19</v>
      </c>
      <c r="G15" s="50">
        <v>0</v>
      </c>
      <c r="H15" s="50">
        <v>0</v>
      </c>
      <c r="I15" s="50">
        <v>0</v>
      </c>
      <c r="J15" s="50">
        <v>2</v>
      </c>
      <c r="K15" s="50">
        <v>0</v>
      </c>
      <c r="L15" s="50">
        <v>0</v>
      </c>
      <c r="M15" s="50">
        <v>50</v>
      </c>
      <c r="N15" s="50">
        <v>0</v>
      </c>
      <c r="O15" s="15">
        <f t="shared" si="0"/>
        <v>65</v>
      </c>
      <c r="P15" s="15">
        <f t="shared" si="1"/>
        <v>115</v>
      </c>
      <c r="R15" s="1" t="s">
        <v>11</v>
      </c>
      <c r="S15" s="17">
        <f t="shared" ref="S15:AF15" si="7">SUM(C30:C33)</f>
        <v>30</v>
      </c>
      <c r="T15" s="17">
        <f t="shared" si="7"/>
        <v>18</v>
      </c>
      <c r="U15" s="17">
        <f t="shared" si="7"/>
        <v>8</v>
      </c>
      <c r="V15" s="17">
        <f t="shared" si="7"/>
        <v>24</v>
      </c>
      <c r="W15" s="17">
        <f t="shared" si="7"/>
        <v>2</v>
      </c>
      <c r="X15" s="17">
        <f t="shared" si="7"/>
        <v>0</v>
      </c>
      <c r="Y15" s="17">
        <f t="shared" si="7"/>
        <v>5</v>
      </c>
      <c r="Z15" s="17">
        <f t="shared" si="7"/>
        <v>7</v>
      </c>
      <c r="AA15" s="17">
        <f t="shared" si="7"/>
        <v>0</v>
      </c>
      <c r="AB15" s="17">
        <f t="shared" si="7"/>
        <v>1</v>
      </c>
      <c r="AC15" s="17">
        <f t="shared" si="7"/>
        <v>162</v>
      </c>
      <c r="AD15" s="17">
        <f t="shared" si="7"/>
        <v>0</v>
      </c>
      <c r="AE15" s="31">
        <f t="shared" si="7"/>
        <v>95</v>
      </c>
      <c r="AF15" s="31">
        <f t="shared" si="7"/>
        <v>257</v>
      </c>
    </row>
    <row r="16" spans="2:32" ht="23.1" customHeight="1" x14ac:dyDescent="0.25">
      <c r="B16" s="45" t="s">
        <v>43</v>
      </c>
      <c r="C16" s="50">
        <v>31</v>
      </c>
      <c r="D16" s="50">
        <v>2</v>
      </c>
      <c r="E16" s="50">
        <v>4</v>
      </c>
      <c r="F16" s="50">
        <v>14</v>
      </c>
      <c r="G16" s="50">
        <v>0</v>
      </c>
      <c r="H16" s="50">
        <v>0</v>
      </c>
      <c r="I16" s="50">
        <v>1</v>
      </c>
      <c r="J16" s="50">
        <v>2</v>
      </c>
      <c r="K16" s="50">
        <v>0</v>
      </c>
      <c r="L16" s="50">
        <v>0</v>
      </c>
      <c r="M16" s="50">
        <v>54</v>
      </c>
      <c r="N16" s="50">
        <v>0</v>
      </c>
      <c r="O16" s="15">
        <f t="shared" si="0"/>
        <v>54</v>
      </c>
      <c r="P16" s="15">
        <f t="shared" si="1"/>
        <v>108</v>
      </c>
      <c r="R16" s="1" t="s">
        <v>12</v>
      </c>
      <c r="S16" s="17">
        <f t="shared" ref="S16:AF16" si="8">SUM(C34:C37)</f>
        <v>41</v>
      </c>
      <c r="T16" s="17">
        <f t="shared" si="8"/>
        <v>17</v>
      </c>
      <c r="U16" s="17">
        <f t="shared" si="8"/>
        <v>12</v>
      </c>
      <c r="V16" s="17">
        <f t="shared" si="8"/>
        <v>29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5</v>
      </c>
      <c r="AA16" s="17">
        <f t="shared" si="8"/>
        <v>1</v>
      </c>
      <c r="AB16" s="17">
        <f t="shared" si="8"/>
        <v>1</v>
      </c>
      <c r="AC16" s="17">
        <f t="shared" si="8"/>
        <v>163</v>
      </c>
      <c r="AD16" s="17">
        <f t="shared" si="8"/>
        <v>0</v>
      </c>
      <c r="AE16" s="31">
        <f t="shared" si="8"/>
        <v>115</v>
      </c>
      <c r="AF16" s="31">
        <f t="shared" si="8"/>
        <v>278</v>
      </c>
    </row>
    <row r="17" spans="2:32" ht="23.1" customHeight="1" x14ac:dyDescent="0.25">
      <c r="B17" s="45" t="s">
        <v>44</v>
      </c>
      <c r="C17" s="50">
        <v>24</v>
      </c>
      <c r="D17" s="50">
        <v>1</v>
      </c>
      <c r="E17" s="50">
        <v>1</v>
      </c>
      <c r="F17" s="50">
        <v>8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30</v>
      </c>
      <c r="N17" s="50">
        <v>0</v>
      </c>
      <c r="O17" s="15">
        <f t="shared" si="0"/>
        <v>34</v>
      </c>
      <c r="P17" s="15">
        <f t="shared" si="1"/>
        <v>64</v>
      </c>
      <c r="R17" s="1" t="s">
        <v>13</v>
      </c>
      <c r="S17" s="17">
        <f t="shared" ref="S17:AF17" si="9">SUM(C38:C41)</f>
        <v>43</v>
      </c>
      <c r="T17" s="17">
        <f t="shared" si="9"/>
        <v>20</v>
      </c>
      <c r="U17" s="17">
        <f t="shared" si="9"/>
        <v>12</v>
      </c>
      <c r="V17" s="17">
        <f t="shared" si="9"/>
        <v>17</v>
      </c>
      <c r="W17" s="17">
        <f t="shared" si="9"/>
        <v>0</v>
      </c>
      <c r="X17" s="17">
        <f t="shared" si="9"/>
        <v>1</v>
      </c>
      <c r="Y17" s="17">
        <f t="shared" si="9"/>
        <v>8</v>
      </c>
      <c r="Z17" s="17">
        <f t="shared" si="9"/>
        <v>2</v>
      </c>
      <c r="AA17" s="17">
        <f t="shared" si="9"/>
        <v>0</v>
      </c>
      <c r="AB17" s="17">
        <f t="shared" si="9"/>
        <v>1</v>
      </c>
      <c r="AC17" s="17">
        <f t="shared" si="9"/>
        <v>190</v>
      </c>
      <c r="AD17" s="17">
        <f t="shared" si="9"/>
        <v>0</v>
      </c>
      <c r="AE17" s="31">
        <f t="shared" si="9"/>
        <v>104</v>
      </c>
      <c r="AF17" s="31">
        <f t="shared" si="9"/>
        <v>294</v>
      </c>
    </row>
    <row r="18" spans="2:32" ht="23.1" customHeight="1" x14ac:dyDescent="0.25">
      <c r="B18" s="45" t="s">
        <v>45</v>
      </c>
      <c r="C18" s="50">
        <v>49</v>
      </c>
      <c r="D18" s="50">
        <v>22</v>
      </c>
      <c r="E18" s="50">
        <v>6</v>
      </c>
      <c r="F18" s="50">
        <v>30</v>
      </c>
      <c r="G18" s="50">
        <v>0</v>
      </c>
      <c r="H18" s="50">
        <v>0</v>
      </c>
      <c r="I18" s="50">
        <v>7</v>
      </c>
      <c r="J18" s="50">
        <v>3</v>
      </c>
      <c r="K18" s="50">
        <v>0</v>
      </c>
      <c r="L18" s="50">
        <v>0</v>
      </c>
      <c r="M18" s="50">
        <v>85</v>
      </c>
      <c r="N18" s="50">
        <v>0</v>
      </c>
      <c r="O18" s="15">
        <f t="shared" si="0"/>
        <v>117</v>
      </c>
      <c r="P18" s="15">
        <f t="shared" si="1"/>
        <v>202</v>
      </c>
      <c r="R18" s="1" t="s">
        <v>14</v>
      </c>
      <c r="S18" s="17">
        <f t="shared" ref="S18:AF18" si="10">SUM(C42:C45)</f>
        <v>33</v>
      </c>
      <c r="T18" s="17">
        <f t="shared" si="10"/>
        <v>33</v>
      </c>
      <c r="U18" s="17">
        <f t="shared" si="10"/>
        <v>7</v>
      </c>
      <c r="V18" s="17">
        <f t="shared" si="10"/>
        <v>26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8</v>
      </c>
      <c r="AA18" s="17">
        <f t="shared" si="10"/>
        <v>5</v>
      </c>
      <c r="AB18" s="17">
        <f t="shared" si="10"/>
        <v>0</v>
      </c>
      <c r="AC18" s="17">
        <f t="shared" si="10"/>
        <v>163</v>
      </c>
      <c r="AD18" s="17">
        <f t="shared" si="10"/>
        <v>0</v>
      </c>
      <c r="AE18" s="31">
        <f t="shared" si="10"/>
        <v>123</v>
      </c>
      <c r="AF18" s="31">
        <f t="shared" si="10"/>
        <v>286</v>
      </c>
    </row>
    <row r="19" spans="2:32" ht="23.1" customHeight="1" x14ac:dyDescent="0.25">
      <c r="B19" s="45" t="s">
        <v>46</v>
      </c>
      <c r="C19" s="50">
        <v>30</v>
      </c>
      <c r="D19" s="50">
        <v>10</v>
      </c>
      <c r="E19" s="50">
        <v>0</v>
      </c>
      <c r="F19" s="50">
        <v>8</v>
      </c>
      <c r="G19" s="50">
        <v>0</v>
      </c>
      <c r="H19" s="50">
        <v>0</v>
      </c>
      <c r="I19" s="50">
        <v>1</v>
      </c>
      <c r="J19" s="50">
        <v>2</v>
      </c>
      <c r="K19" s="50">
        <v>0</v>
      </c>
      <c r="L19" s="50">
        <v>0</v>
      </c>
      <c r="M19" s="50">
        <v>62</v>
      </c>
      <c r="N19" s="50">
        <v>0</v>
      </c>
      <c r="O19" s="15">
        <f t="shared" si="0"/>
        <v>51</v>
      </c>
      <c r="P19" s="15">
        <f t="shared" si="1"/>
        <v>113</v>
      </c>
      <c r="R19" s="1" t="s">
        <v>15</v>
      </c>
      <c r="S19" s="17">
        <f t="shared" ref="S19:AF19" si="11">SUM(C46:C49)</f>
        <v>35</v>
      </c>
      <c r="T19" s="17">
        <f t="shared" si="11"/>
        <v>23</v>
      </c>
      <c r="U19" s="17">
        <f t="shared" si="11"/>
        <v>5</v>
      </c>
      <c r="V19" s="17">
        <f t="shared" si="11"/>
        <v>22</v>
      </c>
      <c r="W19" s="17">
        <f t="shared" si="11"/>
        <v>0</v>
      </c>
      <c r="X19" s="17">
        <f t="shared" si="11"/>
        <v>1</v>
      </c>
      <c r="Y19" s="17">
        <f t="shared" si="11"/>
        <v>13</v>
      </c>
      <c r="Z19" s="17">
        <f t="shared" si="11"/>
        <v>13</v>
      </c>
      <c r="AA19" s="17">
        <f t="shared" si="11"/>
        <v>1</v>
      </c>
      <c r="AB19" s="17">
        <f t="shared" si="11"/>
        <v>0</v>
      </c>
      <c r="AC19" s="17">
        <f t="shared" si="11"/>
        <v>151</v>
      </c>
      <c r="AD19" s="17">
        <f t="shared" si="11"/>
        <v>0</v>
      </c>
      <c r="AE19" s="31">
        <f t="shared" si="11"/>
        <v>113</v>
      </c>
      <c r="AF19" s="31">
        <f t="shared" si="11"/>
        <v>264</v>
      </c>
    </row>
    <row r="20" spans="2:32" ht="23.1" customHeight="1" x14ac:dyDescent="0.25">
      <c r="B20" s="45" t="s">
        <v>47</v>
      </c>
      <c r="C20" s="50">
        <v>18</v>
      </c>
      <c r="D20" s="50">
        <v>11</v>
      </c>
      <c r="E20" s="50">
        <v>2</v>
      </c>
      <c r="F20" s="50">
        <v>14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1</v>
      </c>
      <c r="M20" s="50">
        <v>44</v>
      </c>
      <c r="N20" s="50">
        <v>0</v>
      </c>
      <c r="O20" s="15">
        <f t="shared" si="0"/>
        <v>47</v>
      </c>
      <c r="P20" s="15">
        <f t="shared" si="1"/>
        <v>91</v>
      </c>
      <c r="R20" s="1" t="s">
        <v>16</v>
      </c>
      <c r="S20" s="17">
        <f t="shared" ref="S20:AF20" si="12">SUM(C50:C53)</f>
        <v>31</v>
      </c>
      <c r="T20" s="17">
        <f t="shared" si="12"/>
        <v>23</v>
      </c>
      <c r="U20" s="17">
        <f t="shared" si="12"/>
        <v>9</v>
      </c>
      <c r="V20" s="17">
        <f t="shared" si="12"/>
        <v>18</v>
      </c>
      <c r="W20" s="17">
        <f t="shared" si="12"/>
        <v>0</v>
      </c>
      <c r="X20" s="17">
        <f t="shared" si="12"/>
        <v>0</v>
      </c>
      <c r="Y20" s="17">
        <f t="shared" si="12"/>
        <v>14</v>
      </c>
      <c r="Z20" s="17">
        <f t="shared" si="12"/>
        <v>5</v>
      </c>
      <c r="AA20" s="17">
        <f t="shared" si="12"/>
        <v>1</v>
      </c>
      <c r="AB20" s="17">
        <f t="shared" si="12"/>
        <v>0</v>
      </c>
      <c r="AC20" s="17">
        <f t="shared" si="12"/>
        <v>162</v>
      </c>
      <c r="AD20" s="17">
        <f t="shared" si="12"/>
        <v>0</v>
      </c>
      <c r="AE20" s="31">
        <f t="shared" si="12"/>
        <v>101</v>
      </c>
      <c r="AF20" s="31">
        <f t="shared" si="12"/>
        <v>263</v>
      </c>
    </row>
    <row r="21" spans="2:32" ht="23.1" customHeight="1" x14ac:dyDescent="0.25">
      <c r="B21" s="45" t="s">
        <v>48</v>
      </c>
      <c r="C21" s="50">
        <v>14</v>
      </c>
      <c r="D21" s="50">
        <v>6</v>
      </c>
      <c r="E21" s="50">
        <v>2</v>
      </c>
      <c r="F21" s="50">
        <v>9</v>
      </c>
      <c r="G21" s="50">
        <v>0</v>
      </c>
      <c r="H21" s="50">
        <v>0</v>
      </c>
      <c r="I21" s="50">
        <v>2</v>
      </c>
      <c r="J21" s="50">
        <v>3</v>
      </c>
      <c r="K21" s="50">
        <v>0</v>
      </c>
      <c r="L21" s="50">
        <v>0</v>
      </c>
      <c r="M21" s="50">
        <v>65</v>
      </c>
      <c r="N21" s="50">
        <v>0</v>
      </c>
      <c r="O21" s="15">
        <f t="shared" si="0"/>
        <v>36</v>
      </c>
      <c r="P21" s="15">
        <f t="shared" si="1"/>
        <v>101</v>
      </c>
      <c r="R21" s="36" t="s">
        <v>20</v>
      </c>
      <c r="S21" s="34">
        <f t="shared" ref="S21:AF21" si="13">SUM(C54:C57)</f>
        <v>39</v>
      </c>
      <c r="T21" s="17">
        <f t="shared" si="13"/>
        <v>26</v>
      </c>
      <c r="U21" s="17">
        <f t="shared" si="13"/>
        <v>9</v>
      </c>
      <c r="V21" s="17">
        <f t="shared" si="13"/>
        <v>32</v>
      </c>
      <c r="W21" s="17">
        <f t="shared" si="13"/>
        <v>13</v>
      </c>
      <c r="X21" s="17">
        <f t="shared" si="13"/>
        <v>1</v>
      </c>
      <c r="Y21" s="17">
        <f t="shared" si="13"/>
        <v>11</v>
      </c>
      <c r="Z21" s="17">
        <f t="shared" si="13"/>
        <v>9</v>
      </c>
      <c r="AA21" s="17">
        <f t="shared" si="13"/>
        <v>1</v>
      </c>
      <c r="AB21" s="17">
        <f t="shared" si="13"/>
        <v>0</v>
      </c>
      <c r="AC21" s="17">
        <f t="shared" si="13"/>
        <v>243</v>
      </c>
      <c r="AD21" s="17">
        <f t="shared" si="13"/>
        <v>0</v>
      </c>
      <c r="AE21" s="31">
        <f t="shared" si="13"/>
        <v>141</v>
      </c>
      <c r="AF21" s="31">
        <f t="shared" si="13"/>
        <v>384</v>
      </c>
    </row>
    <row r="22" spans="2:32" ht="23.1" customHeight="1" x14ac:dyDescent="0.25">
      <c r="B22" s="45" t="s">
        <v>49</v>
      </c>
      <c r="C22" s="50">
        <v>25</v>
      </c>
      <c r="D22" s="50">
        <v>8</v>
      </c>
      <c r="E22" s="50">
        <v>2</v>
      </c>
      <c r="F22" s="50">
        <v>9</v>
      </c>
      <c r="G22" s="50">
        <v>0</v>
      </c>
      <c r="H22" s="50">
        <v>0</v>
      </c>
      <c r="I22" s="50">
        <v>8</v>
      </c>
      <c r="J22" s="50">
        <v>2</v>
      </c>
      <c r="K22" s="50">
        <v>0</v>
      </c>
      <c r="L22" s="50">
        <v>0</v>
      </c>
      <c r="M22" s="50">
        <v>68</v>
      </c>
      <c r="N22" s="50">
        <v>0</v>
      </c>
      <c r="O22" s="15">
        <f t="shared" si="0"/>
        <v>54</v>
      </c>
      <c r="P22" s="15">
        <f t="shared" si="1"/>
        <v>122</v>
      </c>
      <c r="R22" s="36" t="s">
        <v>146</v>
      </c>
      <c r="S22" s="34">
        <f>SUM(C58:C61)</f>
        <v>52</v>
      </c>
      <c r="T22" s="34">
        <f t="shared" ref="T22:AF22" si="14">SUM(D58:D61)</f>
        <v>15</v>
      </c>
      <c r="U22" s="34">
        <f t="shared" si="14"/>
        <v>5</v>
      </c>
      <c r="V22" s="34">
        <f t="shared" si="14"/>
        <v>28</v>
      </c>
      <c r="W22" s="34">
        <f t="shared" si="14"/>
        <v>2</v>
      </c>
      <c r="X22" s="34">
        <f t="shared" si="14"/>
        <v>1</v>
      </c>
      <c r="Y22" s="34">
        <f t="shared" si="14"/>
        <v>6</v>
      </c>
      <c r="Z22" s="34">
        <f t="shared" si="14"/>
        <v>4</v>
      </c>
      <c r="AA22" s="34">
        <f t="shared" si="14"/>
        <v>0</v>
      </c>
      <c r="AB22" s="34">
        <f t="shared" si="14"/>
        <v>0</v>
      </c>
      <c r="AC22" s="34">
        <f t="shared" si="14"/>
        <v>146</v>
      </c>
      <c r="AD22" s="34">
        <f t="shared" si="14"/>
        <v>0</v>
      </c>
      <c r="AE22" s="31">
        <f t="shared" si="14"/>
        <v>113</v>
      </c>
      <c r="AF22" s="31">
        <f t="shared" si="14"/>
        <v>259</v>
      </c>
    </row>
    <row r="23" spans="2:32" ht="23.1" customHeight="1" x14ac:dyDescent="0.25">
      <c r="B23" s="45" t="s">
        <v>50</v>
      </c>
      <c r="C23" s="50">
        <v>18</v>
      </c>
      <c r="D23" s="50">
        <v>16</v>
      </c>
      <c r="E23" s="50">
        <v>9</v>
      </c>
      <c r="F23" s="50">
        <v>17</v>
      </c>
      <c r="G23" s="50">
        <v>0</v>
      </c>
      <c r="H23" s="50">
        <v>0</v>
      </c>
      <c r="I23" s="50">
        <v>9</v>
      </c>
      <c r="J23" s="50">
        <v>4</v>
      </c>
      <c r="K23" s="50">
        <v>0</v>
      </c>
      <c r="L23" s="50">
        <v>0</v>
      </c>
      <c r="M23" s="50">
        <v>61</v>
      </c>
      <c r="N23" s="50">
        <v>0</v>
      </c>
      <c r="O23" s="15">
        <f t="shared" si="0"/>
        <v>73</v>
      </c>
      <c r="P23" s="15">
        <f t="shared" si="1"/>
        <v>134</v>
      </c>
      <c r="R23" s="36" t="s">
        <v>147</v>
      </c>
      <c r="S23" s="34">
        <f>SUM(C62:C65)</f>
        <v>56</v>
      </c>
      <c r="T23" s="34">
        <f t="shared" ref="T23:AF23" si="15">SUM(D62:D65)</f>
        <v>4</v>
      </c>
      <c r="U23" s="34">
        <f t="shared" si="15"/>
        <v>6</v>
      </c>
      <c r="V23" s="34">
        <f t="shared" si="15"/>
        <v>57</v>
      </c>
      <c r="W23" s="34">
        <f t="shared" si="15"/>
        <v>1</v>
      </c>
      <c r="X23" s="34">
        <f t="shared" si="15"/>
        <v>2</v>
      </c>
      <c r="Y23" s="34">
        <f t="shared" si="15"/>
        <v>8</v>
      </c>
      <c r="Z23" s="34">
        <f t="shared" si="15"/>
        <v>2</v>
      </c>
      <c r="AA23" s="34">
        <f t="shared" si="15"/>
        <v>0</v>
      </c>
      <c r="AB23" s="34">
        <f t="shared" si="15"/>
        <v>0</v>
      </c>
      <c r="AC23" s="34">
        <f t="shared" si="15"/>
        <v>93</v>
      </c>
      <c r="AD23" s="34">
        <f t="shared" si="15"/>
        <v>0</v>
      </c>
      <c r="AE23" s="31">
        <f t="shared" si="15"/>
        <v>136</v>
      </c>
      <c r="AF23" s="31">
        <f t="shared" si="15"/>
        <v>229</v>
      </c>
    </row>
    <row r="24" spans="2:32" ht="23.1" customHeight="1" x14ac:dyDescent="0.25">
      <c r="B24" s="45" t="s">
        <v>51</v>
      </c>
      <c r="C24" s="50">
        <v>12</v>
      </c>
      <c r="D24" s="50">
        <v>16</v>
      </c>
      <c r="E24" s="50">
        <v>4</v>
      </c>
      <c r="F24" s="50">
        <v>7</v>
      </c>
      <c r="G24" s="50">
        <v>0</v>
      </c>
      <c r="H24" s="50">
        <v>0</v>
      </c>
      <c r="I24" s="50">
        <v>1</v>
      </c>
      <c r="J24" s="50">
        <v>4</v>
      </c>
      <c r="K24" s="50">
        <v>0</v>
      </c>
      <c r="L24" s="50">
        <v>2</v>
      </c>
      <c r="M24" s="50">
        <v>64</v>
      </c>
      <c r="N24" s="50">
        <v>0</v>
      </c>
      <c r="O24" s="15">
        <f t="shared" si="0"/>
        <v>46</v>
      </c>
      <c r="P24" s="15">
        <f t="shared" si="1"/>
        <v>110</v>
      </c>
      <c r="R24" s="36" t="s">
        <v>148</v>
      </c>
      <c r="S24" s="34">
        <f>SUM(C66:C69)</f>
        <v>25</v>
      </c>
      <c r="T24" s="34">
        <f t="shared" ref="T24:AF24" si="16">SUM(D66:D69)</f>
        <v>3</v>
      </c>
      <c r="U24" s="34">
        <f t="shared" si="16"/>
        <v>5</v>
      </c>
      <c r="V24" s="34">
        <f t="shared" si="16"/>
        <v>15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1</v>
      </c>
      <c r="AB24" s="34">
        <f t="shared" si="16"/>
        <v>1</v>
      </c>
      <c r="AC24" s="34">
        <f t="shared" si="16"/>
        <v>77</v>
      </c>
      <c r="AD24" s="34">
        <f t="shared" si="16"/>
        <v>0</v>
      </c>
      <c r="AE24" s="31">
        <f t="shared" si="16"/>
        <v>52</v>
      </c>
      <c r="AF24" s="31">
        <f t="shared" si="16"/>
        <v>129</v>
      </c>
    </row>
    <row r="25" spans="2:32" ht="23.1" customHeight="1" x14ac:dyDescent="0.25">
      <c r="B25" s="45" t="s">
        <v>52</v>
      </c>
      <c r="C25" s="50">
        <v>22</v>
      </c>
      <c r="D25" s="50">
        <v>11</v>
      </c>
      <c r="E25" s="50">
        <v>2</v>
      </c>
      <c r="F25" s="50">
        <v>12</v>
      </c>
      <c r="G25" s="50">
        <v>0</v>
      </c>
      <c r="H25" s="50">
        <v>0</v>
      </c>
      <c r="I25" s="50">
        <v>4</v>
      </c>
      <c r="J25" s="50">
        <v>0</v>
      </c>
      <c r="K25" s="50">
        <v>0</v>
      </c>
      <c r="L25" s="50">
        <v>0</v>
      </c>
      <c r="M25" s="50">
        <v>42</v>
      </c>
      <c r="N25" s="50">
        <v>0</v>
      </c>
      <c r="O25" s="15">
        <f t="shared" si="0"/>
        <v>51</v>
      </c>
      <c r="P25" s="15">
        <f t="shared" si="1"/>
        <v>93</v>
      </c>
      <c r="R25" s="36" t="s">
        <v>149</v>
      </c>
      <c r="S25" s="34">
        <f>SUM(C70:C73)</f>
        <v>22</v>
      </c>
      <c r="T25" s="34">
        <f t="shared" ref="T25:AF25" si="17">SUM(D70:D73)</f>
        <v>0</v>
      </c>
      <c r="U25" s="34">
        <f t="shared" si="17"/>
        <v>1</v>
      </c>
      <c r="V25" s="34">
        <f t="shared" si="17"/>
        <v>9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65</v>
      </c>
      <c r="AD25" s="34">
        <f t="shared" si="17"/>
        <v>0</v>
      </c>
      <c r="AE25" s="31">
        <f t="shared" si="17"/>
        <v>33</v>
      </c>
      <c r="AF25" s="31">
        <f t="shared" si="17"/>
        <v>98</v>
      </c>
    </row>
    <row r="26" spans="2:32" ht="23.1" customHeight="1" x14ac:dyDescent="0.25">
      <c r="B26" s="45" t="s">
        <v>53</v>
      </c>
      <c r="C26" s="50">
        <v>11</v>
      </c>
      <c r="D26" s="50">
        <v>5</v>
      </c>
      <c r="E26" s="50">
        <v>1</v>
      </c>
      <c r="F26" s="50">
        <v>5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56</v>
      </c>
      <c r="N26" s="50">
        <v>0</v>
      </c>
      <c r="O26" s="15">
        <f t="shared" si="0"/>
        <v>23</v>
      </c>
      <c r="P26" s="15">
        <f t="shared" si="1"/>
        <v>79</v>
      </c>
      <c r="R26" s="36" t="s">
        <v>150</v>
      </c>
      <c r="S26" s="34">
        <f>SUM(C74:C77)</f>
        <v>24</v>
      </c>
      <c r="T26" s="34">
        <f t="shared" ref="T26:AF26" si="18">SUM(D74:D77)</f>
        <v>0</v>
      </c>
      <c r="U26" s="34">
        <f t="shared" si="18"/>
        <v>2</v>
      </c>
      <c r="V26" s="34">
        <f t="shared" si="18"/>
        <v>9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29</v>
      </c>
      <c r="AD26" s="34">
        <f t="shared" si="18"/>
        <v>0</v>
      </c>
      <c r="AE26" s="31">
        <f t="shared" si="18"/>
        <v>36</v>
      </c>
      <c r="AF26" s="31">
        <f t="shared" si="18"/>
        <v>65</v>
      </c>
    </row>
    <row r="27" spans="2:32" ht="23.1" customHeight="1" x14ac:dyDescent="0.25">
      <c r="B27" s="45" t="s">
        <v>54</v>
      </c>
      <c r="C27" s="50">
        <v>21</v>
      </c>
      <c r="D27" s="50">
        <v>5</v>
      </c>
      <c r="E27" s="50">
        <v>4</v>
      </c>
      <c r="F27" s="50">
        <v>11</v>
      </c>
      <c r="G27" s="50">
        <v>0</v>
      </c>
      <c r="H27" s="50">
        <v>0</v>
      </c>
      <c r="I27" s="50">
        <v>4</v>
      </c>
      <c r="J27" s="50">
        <v>4</v>
      </c>
      <c r="K27" s="50">
        <v>0</v>
      </c>
      <c r="L27" s="50">
        <v>0</v>
      </c>
      <c r="M27" s="50">
        <v>47</v>
      </c>
      <c r="N27" s="50">
        <v>0</v>
      </c>
      <c r="O27" s="15">
        <f t="shared" si="0"/>
        <v>49</v>
      </c>
      <c r="P27" s="15">
        <f t="shared" si="1"/>
        <v>96</v>
      </c>
      <c r="R27" s="36" t="s">
        <v>151</v>
      </c>
      <c r="S27" s="34">
        <f>SUM(C78:C81)</f>
        <v>6</v>
      </c>
      <c r="T27" s="34">
        <f t="shared" ref="T27:AF27" si="19">SUM(D78:D81)</f>
        <v>3</v>
      </c>
      <c r="U27" s="34">
        <f t="shared" si="19"/>
        <v>1</v>
      </c>
      <c r="V27" s="34">
        <f t="shared" si="19"/>
        <v>0</v>
      </c>
      <c r="W27" s="34">
        <f t="shared" si="19"/>
        <v>1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1</v>
      </c>
      <c r="AC27" s="34">
        <f t="shared" si="19"/>
        <v>8</v>
      </c>
      <c r="AD27" s="34">
        <f t="shared" si="19"/>
        <v>0</v>
      </c>
      <c r="AE27" s="31">
        <f t="shared" si="19"/>
        <v>12</v>
      </c>
      <c r="AF27" s="31">
        <f t="shared" si="19"/>
        <v>20</v>
      </c>
    </row>
    <row r="28" spans="2:32" ht="23.1" customHeight="1" x14ac:dyDescent="0.25">
      <c r="B28" s="45" t="s">
        <v>55</v>
      </c>
      <c r="C28" s="50">
        <v>5</v>
      </c>
      <c r="D28" s="50">
        <v>7</v>
      </c>
      <c r="E28" s="50">
        <v>1</v>
      </c>
      <c r="F28" s="50">
        <v>8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36</v>
      </c>
      <c r="N28" s="50">
        <v>0</v>
      </c>
      <c r="O28" s="15">
        <f t="shared" si="0"/>
        <v>23</v>
      </c>
      <c r="P28" s="15">
        <f t="shared" si="1"/>
        <v>59</v>
      </c>
      <c r="R28" s="36" t="s">
        <v>152</v>
      </c>
      <c r="S28" s="34">
        <f>SUM(C82:C85)</f>
        <v>3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4</v>
      </c>
      <c r="AD28" s="34">
        <f t="shared" si="20"/>
        <v>0</v>
      </c>
      <c r="AE28" s="31">
        <f t="shared" si="20"/>
        <v>3</v>
      </c>
      <c r="AF28" s="31">
        <f t="shared" si="20"/>
        <v>7</v>
      </c>
    </row>
    <row r="29" spans="2:32" ht="23.1" customHeight="1" x14ac:dyDescent="0.25">
      <c r="B29" s="45" t="s">
        <v>56</v>
      </c>
      <c r="C29" s="50">
        <v>21</v>
      </c>
      <c r="D29" s="50">
        <v>13</v>
      </c>
      <c r="E29" s="50">
        <v>3</v>
      </c>
      <c r="F29" s="50">
        <v>11</v>
      </c>
      <c r="G29" s="50">
        <v>0</v>
      </c>
      <c r="H29" s="50">
        <v>0</v>
      </c>
      <c r="I29" s="50">
        <v>0</v>
      </c>
      <c r="J29" s="50">
        <v>0</v>
      </c>
      <c r="K29" s="50">
        <v>1</v>
      </c>
      <c r="L29" s="50">
        <v>1</v>
      </c>
      <c r="M29" s="50">
        <v>56</v>
      </c>
      <c r="N29" s="50">
        <v>0</v>
      </c>
      <c r="O29" s="15">
        <f t="shared" si="0"/>
        <v>50</v>
      </c>
      <c r="P29" s="15">
        <f t="shared" si="1"/>
        <v>106</v>
      </c>
      <c r="R29" s="36" t="s">
        <v>153</v>
      </c>
      <c r="S29" s="34">
        <f>SUM(C86:C89)</f>
        <v>5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1</v>
      </c>
      <c r="AA29" s="34">
        <f t="shared" si="21"/>
        <v>0</v>
      </c>
      <c r="AB29" s="34">
        <f t="shared" si="21"/>
        <v>0</v>
      </c>
      <c r="AC29" s="34">
        <f t="shared" si="21"/>
        <v>14</v>
      </c>
      <c r="AD29" s="34">
        <f t="shared" si="21"/>
        <v>0</v>
      </c>
      <c r="AE29" s="31">
        <f t="shared" si="21"/>
        <v>7</v>
      </c>
      <c r="AF29" s="31">
        <f t="shared" si="21"/>
        <v>21</v>
      </c>
    </row>
    <row r="30" spans="2:32" ht="23.1" customHeight="1" x14ac:dyDescent="0.25">
      <c r="B30" s="45" t="s">
        <v>57</v>
      </c>
      <c r="C30" s="50">
        <v>8</v>
      </c>
      <c r="D30" s="50">
        <v>5</v>
      </c>
      <c r="E30" s="50">
        <v>3</v>
      </c>
      <c r="F30" s="50">
        <v>8</v>
      </c>
      <c r="G30" s="50">
        <v>1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46</v>
      </c>
      <c r="N30" s="50">
        <v>0</v>
      </c>
      <c r="O30" s="15">
        <f t="shared" si="0"/>
        <v>27</v>
      </c>
      <c r="P30" s="15">
        <f t="shared" si="1"/>
        <v>73</v>
      </c>
      <c r="R30" s="36" t="s">
        <v>154</v>
      </c>
      <c r="S30" s="34">
        <f>SUM(C90:C93)</f>
        <v>4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2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3</v>
      </c>
      <c r="AA30" s="34">
        <f t="shared" si="22"/>
        <v>0</v>
      </c>
      <c r="AB30" s="34">
        <f t="shared" si="22"/>
        <v>0</v>
      </c>
      <c r="AC30" s="34">
        <f t="shared" si="22"/>
        <v>7</v>
      </c>
      <c r="AD30" s="34">
        <f t="shared" si="22"/>
        <v>0</v>
      </c>
      <c r="AE30" s="31">
        <f t="shared" si="22"/>
        <v>9</v>
      </c>
      <c r="AF30" s="31">
        <f t="shared" si="22"/>
        <v>16</v>
      </c>
    </row>
    <row r="31" spans="2:32" ht="23.1" customHeight="1" x14ac:dyDescent="0.25">
      <c r="B31" s="46" t="s">
        <v>58</v>
      </c>
      <c r="C31" s="50">
        <v>9</v>
      </c>
      <c r="D31" s="50">
        <v>4</v>
      </c>
      <c r="E31" s="50">
        <v>2</v>
      </c>
      <c r="F31" s="50">
        <v>7</v>
      </c>
      <c r="G31" s="50">
        <v>0</v>
      </c>
      <c r="H31" s="50">
        <v>0</v>
      </c>
      <c r="I31" s="50">
        <v>3</v>
      </c>
      <c r="J31" s="50">
        <v>5</v>
      </c>
      <c r="K31" s="50">
        <v>0</v>
      </c>
      <c r="L31" s="50">
        <v>1</v>
      </c>
      <c r="M31" s="50">
        <v>41</v>
      </c>
      <c r="N31" s="50">
        <v>0</v>
      </c>
      <c r="O31" s="15">
        <f t="shared" si="0"/>
        <v>31</v>
      </c>
      <c r="P31" s="15">
        <f t="shared" si="1"/>
        <v>72</v>
      </c>
      <c r="R31" s="36" t="s">
        <v>155</v>
      </c>
      <c r="S31" s="34">
        <f>SUM(C94:C97)</f>
        <v>0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</v>
      </c>
      <c r="AD31" s="34">
        <f t="shared" si="23"/>
        <v>0</v>
      </c>
      <c r="AE31" s="31">
        <f t="shared" si="23"/>
        <v>3</v>
      </c>
      <c r="AF31" s="31">
        <f t="shared" si="23"/>
        <v>5</v>
      </c>
    </row>
    <row r="32" spans="2:32" ht="23.1" customHeight="1" x14ac:dyDescent="0.25">
      <c r="B32" s="46" t="s">
        <v>59</v>
      </c>
      <c r="C32" s="50">
        <v>8</v>
      </c>
      <c r="D32" s="50">
        <v>4</v>
      </c>
      <c r="E32" s="50">
        <v>2</v>
      </c>
      <c r="F32" s="50">
        <v>5</v>
      </c>
      <c r="G32" s="50">
        <v>0</v>
      </c>
      <c r="H32" s="50">
        <v>0</v>
      </c>
      <c r="I32" s="50">
        <v>1</v>
      </c>
      <c r="J32" s="50">
        <v>1</v>
      </c>
      <c r="K32" s="50">
        <v>0</v>
      </c>
      <c r="L32" s="50">
        <v>0</v>
      </c>
      <c r="M32" s="50">
        <v>36</v>
      </c>
      <c r="N32" s="50">
        <v>0</v>
      </c>
      <c r="O32" s="15">
        <f t="shared" si="0"/>
        <v>21</v>
      </c>
      <c r="P32" s="15">
        <f t="shared" si="1"/>
        <v>57</v>
      </c>
      <c r="R32" s="33" t="s">
        <v>156</v>
      </c>
      <c r="S32" s="34">
        <f>SUM(C98:C101)</f>
        <v>6</v>
      </c>
      <c r="T32" s="34">
        <f t="shared" ref="T32:AF32" si="24">SUM(D98:D101)</f>
        <v>0</v>
      </c>
      <c r="U32" s="34">
        <f t="shared" si="24"/>
        <v>0</v>
      </c>
      <c r="V32" s="34">
        <f t="shared" si="24"/>
        <v>14</v>
      </c>
      <c r="W32" s="34">
        <f t="shared" si="24"/>
        <v>1</v>
      </c>
      <c r="X32" s="34">
        <f t="shared" si="24"/>
        <v>0</v>
      </c>
      <c r="Y32" s="34">
        <f t="shared" si="24"/>
        <v>1</v>
      </c>
      <c r="Z32" s="34">
        <f t="shared" si="24"/>
        <v>1</v>
      </c>
      <c r="AA32" s="34">
        <f t="shared" si="24"/>
        <v>1</v>
      </c>
      <c r="AB32" s="34">
        <f t="shared" si="24"/>
        <v>0</v>
      </c>
      <c r="AC32" s="34">
        <f t="shared" si="24"/>
        <v>14</v>
      </c>
      <c r="AD32" s="34">
        <f t="shared" si="24"/>
        <v>0</v>
      </c>
      <c r="AE32" s="31">
        <f t="shared" si="24"/>
        <v>24</v>
      </c>
      <c r="AF32" s="31">
        <f t="shared" si="24"/>
        <v>38</v>
      </c>
    </row>
    <row r="33" spans="2:32" ht="23.1" customHeight="1" x14ac:dyDescent="0.25">
      <c r="B33" s="45" t="s">
        <v>60</v>
      </c>
      <c r="C33" s="50">
        <v>5</v>
      </c>
      <c r="D33" s="50">
        <v>5</v>
      </c>
      <c r="E33" s="50">
        <v>1</v>
      </c>
      <c r="F33" s="50">
        <v>4</v>
      </c>
      <c r="G33" s="50">
        <v>1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39</v>
      </c>
      <c r="N33" s="50">
        <v>0</v>
      </c>
      <c r="O33" s="15">
        <f t="shared" si="0"/>
        <v>16</v>
      </c>
      <c r="P33" s="15">
        <f t="shared" si="1"/>
        <v>55</v>
      </c>
      <c r="R33" s="33" t="s">
        <v>157</v>
      </c>
      <c r="S33" s="34">
        <f>SUM(C102:C105)</f>
        <v>16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28</v>
      </c>
      <c r="W33" s="34">
        <f t="shared" si="25"/>
        <v>1</v>
      </c>
      <c r="X33" s="34">
        <f t="shared" si="25"/>
        <v>0</v>
      </c>
      <c r="Y33" s="34">
        <f t="shared" si="25"/>
        <v>3</v>
      </c>
      <c r="Z33" s="34">
        <f t="shared" si="25"/>
        <v>1</v>
      </c>
      <c r="AA33" s="34">
        <f t="shared" si="25"/>
        <v>1</v>
      </c>
      <c r="AB33" s="34">
        <f t="shared" si="25"/>
        <v>0</v>
      </c>
      <c r="AC33" s="34">
        <f t="shared" si="25"/>
        <v>45</v>
      </c>
      <c r="AD33" s="34">
        <f t="shared" si="25"/>
        <v>0</v>
      </c>
      <c r="AE33" s="31">
        <f t="shared" si="25"/>
        <v>51</v>
      </c>
      <c r="AF33" s="31">
        <f t="shared" si="25"/>
        <v>96</v>
      </c>
    </row>
    <row r="34" spans="2:32" ht="23.1" customHeight="1" x14ac:dyDescent="0.25">
      <c r="B34" s="46" t="s">
        <v>61</v>
      </c>
      <c r="C34" s="50">
        <v>10</v>
      </c>
      <c r="D34" s="50">
        <v>4</v>
      </c>
      <c r="E34" s="50">
        <v>5</v>
      </c>
      <c r="F34" s="50">
        <v>7</v>
      </c>
      <c r="G34" s="50">
        <v>0</v>
      </c>
      <c r="H34" s="50">
        <v>0</v>
      </c>
      <c r="I34" s="50">
        <v>0</v>
      </c>
      <c r="J34" s="50">
        <v>2</v>
      </c>
      <c r="K34" s="50">
        <v>1</v>
      </c>
      <c r="L34" s="50">
        <v>0</v>
      </c>
      <c r="M34" s="50">
        <v>45</v>
      </c>
      <c r="N34" s="50">
        <v>0</v>
      </c>
      <c r="O34" s="15">
        <f t="shared" si="0"/>
        <v>29</v>
      </c>
      <c r="P34" s="15">
        <f t="shared" si="1"/>
        <v>74</v>
      </c>
      <c r="R34" s="38" t="s">
        <v>90</v>
      </c>
      <c r="S34" s="39">
        <f t="shared" ref="S34:AF34" si="26">MAX(S10:S12)</f>
        <v>132</v>
      </c>
      <c r="T34" s="39">
        <f t="shared" si="26"/>
        <v>49</v>
      </c>
      <c r="U34" s="39">
        <f t="shared" si="26"/>
        <v>14</v>
      </c>
      <c r="V34" s="39">
        <f t="shared" si="26"/>
        <v>61</v>
      </c>
      <c r="W34" s="39">
        <f t="shared" si="26"/>
        <v>0</v>
      </c>
      <c r="X34" s="39">
        <f t="shared" si="26"/>
        <v>0</v>
      </c>
      <c r="Y34" s="39">
        <f t="shared" si="26"/>
        <v>11</v>
      </c>
      <c r="Z34" s="39">
        <f t="shared" si="26"/>
        <v>8</v>
      </c>
      <c r="AA34" s="39">
        <f t="shared" si="26"/>
        <v>1</v>
      </c>
      <c r="AB34" s="39">
        <f t="shared" si="26"/>
        <v>1</v>
      </c>
      <c r="AC34" s="39">
        <f t="shared" si="26"/>
        <v>256</v>
      </c>
      <c r="AD34" s="39">
        <f t="shared" si="26"/>
        <v>0</v>
      </c>
      <c r="AE34" s="40">
        <f t="shared" si="26"/>
        <v>251</v>
      </c>
      <c r="AF34" s="40">
        <f t="shared" si="26"/>
        <v>507</v>
      </c>
    </row>
    <row r="35" spans="2:32" ht="23.1" customHeight="1" x14ac:dyDescent="0.25">
      <c r="B35" s="46" t="s">
        <v>62</v>
      </c>
      <c r="C35" s="50">
        <v>5</v>
      </c>
      <c r="D35" s="50">
        <v>3</v>
      </c>
      <c r="E35" s="50">
        <v>1</v>
      </c>
      <c r="F35" s="50">
        <v>7</v>
      </c>
      <c r="G35" s="50">
        <v>0</v>
      </c>
      <c r="H35" s="50">
        <v>0</v>
      </c>
      <c r="I35" s="50">
        <v>5</v>
      </c>
      <c r="J35" s="50">
        <v>1</v>
      </c>
      <c r="K35" s="50">
        <v>0</v>
      </c>
      <c r="L35" s="50">
        <v>0</v>
      </c>
      <c r="M35" s="50">
        <v>37</v>
      </c>
      <c r="N35" s="50">
        <v>0</v>
      </c>
      <c r="O35" s="15">
        <f t="shared" si="0"/>
        <v>22</v>
      </c>
      <c r="P35" s="15">
        <f t="shared" si="1"/>
        <v>59</v>
      </c>
      <c r="R35" s="38" t="s">
        <v>91</v>
      </c>
      <c r="S35" s="39">
        <f t="shared" ref="S35:AF35" si="27">MAX(S13:S18)</f>
        <v>77</v>
      </c>
      <c r="T35" s="39">
        <f t="shared" si="27"/>
        <v>51</v>
      </c>
      <c r="U35" s="39">
        <f t="shared" si="27"/>
        <v>17</v>
      </c>
      <c r="V35" s="39">
        <f t="shared" si="27"/>
        <v>45</v>
      </c>
      <c r="W35" s="39">
        <f t="shared" si="27"/>
        <v>2</v>
      </c>
      <c r="X35" s="39">
        <f t="shared" si="27"/>
        <v>1</v>
      </c>
      <c r="Y35" s="39">
        <f t="shared" si="27"/>
        <v>22</v>
      </c>
      <c r="Z35" s="39">
        <f t="shared" si="27"/>
        <v>10</v>
      </c>
      <c r="AA35" s="39">
        <f t="shared" si="27"/>
        <v>5</v>
      </c>
      <c r="AB35" s="39">
        <f t="shared" si="27"/>
        <v>2</v>
      </c>
      <c r="AC35" s="39">
        <f t="shared" si="27"/>
        <v>235</v>
      </c>
      <c r="AD35" s="39">
        <f t="shared" si="27"/>
        <v>0</v>
      </c>
      <c r="AE35" s="40">
        <f t="shared" si="27"/>
        <v>224</v>
      </c>
      <c r="AF35" s="40">
        <f t="shared" si="27"/>
        <v>459</v>
      </c>
    </row>
    <row r="36" spans="2:32" ht="23.1" customHeight="1" x14ac:dyDescent="0.25">
      <c r="B36" s="46" t="s">
        <v>63</v>
      </c>
      <c r="C36" s="50">
        <v>15</v>
      </c>
      <c r="D36" s="50">
        <v>4</v>
      </c>
      <c r="E36" s="50">
        <v>2</v>
      </c>
      <c r="F36" s="50">
        <v>8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1</v>
      </c>
      <c r="M36" s="50">
        <v>38</v>
      </c>
      <c r="N36" s="50">
        <v>0</v>
      </c>
      <c r="O36" s="15">
        <f t="shared" si="0"/>
        <v>32</v>
      </c>
      <c r="P36" s="15">
        <f t="shared" si="1"/>
        <v>70</v>
      </c>
      <c r="R36" s="38" t="s">
        <v>92</v>
      </c>
      <c r="S36" s="39">
        <f t="shared" ref="S36:AF36" si="28">MAX(S19:S21)</f>
        <v>39</v>
      </c>
      <c r="T36" s="39">
        <f t="shared" si="28"/>
        <v>26</v>
      </c>
      <c r="U36" s="39">
        <f t="shared" si="28"/>
        <v>9</v>
      </c>
      <c r="V36" s="39">
        <f t="shared" si="28"/>
        <v>32</v>
      </c>
      <c r="W36" s="39">
        <f t="shared" si="28"/>
        <v>13</v>
      </c>
      <c r="X36" s="39">
        <f t="shared" si="28"/>
        <v>1</v>
      </c>
      <c r="Y36" s="39">
        <f t="shared" si="28"/>
        <v>14</v>
      </c>
      <c r="Z36" s="39">
        <f t="shared" si="28"/>
        <v>13</v>
      </c>
      <c r="AA36" s="39">
        <f t="shared" si="28"/>
        <v>1</v>
      </c>
      <c r="AB36" s="39">
        <f t="shared" si="28"/>
        <v>0</v>
      </c>
      <c r="AC36" s="39">
        <f t="shared" si="28"/>
        <v>243</v>
      </c>
      <c r="AD36" s="39">
        <f t="shared" si="28"/>
        <v>0</v>
      </c>
      <c r="AE36" s="40">
        <f t="shared" si="28"/>
        <v>141</v>
      </c>
      <c r="AF36" s="40">
        <f t="shared" si="28"/>
        <v>384</v>
      </c>
    </row>
    <row r="37" spans="2:32" ht="23.1" customHeight="1" x14ac:dyDescent="0.25">
      <c r="B37" s="45" t="s">
        <v>64</v>
      </c>
      <c r="C37" s="50">
        <v>11</v>
      </c>
      <c r="D37" s="50">
        <v>6</v>
      </c>
      <c r="E37" s="50">
        <v>4</v>
      </c>
      <c r="F37" s="50">
        <v>7</v>
      </c>
      <c r="G37" s="50">
        <v>0</v>
      </c>
      <c r="H37" s="50">
        <v>0</v>
      </c>
      <c r="I37" s="50">
        <v>2</v>
      </c>
      <c r="J37" s="50">
        <v>2</v>
      </c>
      <c r="K37" s="50">
        <v>0</v>
      </c>
      <c r="L37" s="50">
        <v>0</v>
      </c>
      <c r="M37" s="50">
        <v>43</v>
      </c>
      <c r="N37" s="50">
        <v>0</v>
      </c>
      <c r="O37" s="15">
        <f t="shared" si="0"/>
        <v>32</v>
      </c>
      <c r="P37" s="15">
        <f t="shared" si="1"/>
        <v>75</v>
      </c>
      <c r="R37" s="37" t="s">
        <v>85</v>
      </c>
      <c r="S37" s="35">
        <f t="shared" ref="S37:AF37" si="29">SUM(S10:S12)</f>
        <v>253</v>
      </c>
      <c r="T37" s="16">
        <f t="shared" si="29"/>
        <v>62</v>
      </c>
      <c r="U37" s="16">
        <f t="shared" si="29"/>
        <v>25</v>
      </c>
      <c r="V37" s="16">
        <f t="shared" si="29"/>
        <v>123</v>
      </c>
      <c r="W37" s="16">
        <f t="shared" si="29"/>
        <v>0</v>
      </c>
      <c r="X37" s="16">
        <f t="shared" si="29"/>
        <v>0</v>
      </c>
      <c r="Y37" s="16">
        <f t="shared" si="29"/>
        <v>15</v>
      </c>
      <c r="Z37" s="16">
        <f t="shared" si="29"/>
        <v>14</v>
      </c>
      <c r="AA37" s="16">
        <f t="shared" si="29"/>
        <v>1</v>
      </c>
      <c r="AB37" s="16">
        <f t="shared" si="29"/>
        <v>1</v>
      </c>
      <c r="AC37" s="16">
        <f t="shared" si="29"/>
        <v>432</v>
      </c>
      <c r="AD37" s="16">
        <f t="shared" si="29"/>
        <v>0</v>
      </c>
      <c r="AE37" s="32">
        <f t="shared" si="29"/>
        <v>494</v>
      </c>
      <c r="AF37" s="32">
        <f t="shared" si="29"/>
        <v>926</v>
      </c>
    </row>
    <row r="38" spans="2:32" ht="23.1" customHeight="1" x14ac:dyDescent="0.25">
      <c r="B38" s="46" t="s">
        <v>65</v>
      </c>
      <c r="C38" s="50">
        <v>15</v>
      </c>
      <c r="D38" s="50">
        <v>6</v>
      </c>
      <c r="E38" s="50">
        <v>4</v>
      </c>
      <c r="F38" s="50">
        <v>4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50</v>
      </c>
      <c r="N38" s="50">
        <v>0</v>
      </c>
      <c r="O38" s="15">
        <f t="shared" si="0"/>
        <v>30</v>
      </c>
      <c r="P38" s="15">
        <f t="shared" si="1"/>
        <v>80</v>
      </c>
      <c r="R38" s="28" t="s">
        <v>86</v>
      </c>
      <c r="S38" s="16">
        <f t="shared" ref="S38:AF38" si="30">SUM(S13:S18)</f>
        <v>282</v>
      </c>
      <c r="T38" s="16">
        <f t="shared" si="30"/>
        <v>169</v>
      </c>
      <c r="U38" s="16">
        <f t="shared" si="30"/>
        <v>65</v>
      </c>
      <c r="V38" s="16">
        <f t="shared" si="30"/>
        <v>176</v>
      </c>
      <c r="W38" s="16">
        <f t="shared" si="30"/>
        <v>2</v>
      </c>
      <c r="X38" s="16">
        <f t="shared" si="30"/>
        <v>1</v>
      </c>
      <c r="Y38" s="16">
        <f t="shared" si="30"/>
        <v>61</v>
      </c>
      <c r="Z38" s="16">
        <f t="shared" si="30"/>
        <v>37</v>
      </c>
      <c r="AA38" s="16">
        <f t="shared" si="30"/>
        <v>7</v>
      </c>
      <c r="AB38" s="16">
        <f t="shared" si="30"/>
        <v>6</v>
      </c>
      <c r="AC38" s="16">
        <f t="shared" si="30"/>
        <v>1108</v>
      </c>
      <c r="AD38" s="16">
        <f t="shared" si="30"/>
        <v>0</v>
      </c>
      <c r="AE38" s="32">
        <f t="shared" si="30"/>
        <v>806</v>
      </c>
      <c r="AF38" s="32">
        <f t="shared" si="30"/>
        <v>1914</v>
      </c>
    </row>
    <row r="39" spans="2:32" ht="23.1" customHeight="1" x14ac:dyDescent="0.25">
      <c r="B39" s="46" t="s">
        <v>66</v>
      </c>
      <c r="C39" s="50">
        <v>13</v>
      </c>
      <c r="D39" s="50">
        <v>2</v>
      </c>
      <c r="E39" s="50">
        <v>2</v>
      </c>
      <c r="F39" s="50">
        <v>5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46</v>
      </c>
      <c r="N39" s="50">
        <v>0</v>
      </c>
      <c r="O39" s="15">
        <f t="shared" si="0"/>
        <v>24</v>
      </c>
      <c r="P39" s="15">
        <f t="shared" si="1"/>
        <v>70</v>
      </c>
      <c r="R39" s="29" t="s">
        <v>87</v>
      </c>
      <c r="S39" s="16">
        <f t="shared" ref="S39:AF39" si="31">SUM(S19:S21)</f>
        <v>105</v>
      </c>
      <c r="T39" s="16">
        <f t="shared" si="31"/>
        <v>72</v>
      </c>
      <c r="U39" s="16">
        <f t="shared" si="31"/>
        <v>23</v>
      </c>
      <c r="V39" s="16">
        <f t="shared" si="31"/>
        <v>72</v>
      </c>
      <c r="W39" s="16">
        <f t="shared" si="31"/>
        <v>13</v>
      </c>
      <c r="X39" s="16">
        <f t="shared" si="31"/>
        <v>2</v>
      </c>
      <c r="Y39" s="16">
        <f t="shared" si="31"/>
        <v>38</v>
      </c>
      <c r="Z39" s="16">
        <f t="shared" si="31"/>
        <v>27</v>
      </c>
      <c r="AA39" s="16">
        <f t="shared" si="31"/>
        <v>3</v>
      </c>
      <c r="AB39" s="16">
        <f t="shared" si="31"/>
        <v>0</v>
      </c>
      <c r="AC39" s="16">
        <f t="shared" si="31"/>
        <v>556</v>
      </c>
      <c r="AD39" s="16">
        <f t="shared" si="31"/>
        <v>0</v>
      </c>
      <c r="AE39" s="32">
        <f t="shared" si="31"/>
        <v>355</v>
      </c>
      <c r="AF39" s="32">
        <f t="shared" si="31"/>
        <v>911</v>
      </c>
    </row>
    <row r="40" spans="2:32" ht="23.1" customHeight="1" x14ac:dyDescent="0.25">
      <c r="B40" s="46" t="s">
        <v>67</v>
      </c>
      <c r="C40" s="50">
        <v>13</v>
      </c>
      <c r="D40" s="50">
        <v>7</v>
      </c>
      <c r="E40" s="50">
        <v>3</v>
      </c>
      <c r="F40" s="50">
        <v>3</v>
      </c>
      <c r="G40" s="50">
        <v>0</v>
      </c>
      <c r="H40" s="50">
        <v>1</v>
      </c>
      <c r="I40" s="50">
        <v>4</v>
      </c>
      <c r="J40" s="50">
        <v>0</v>
      </c>
      <c r="K40" s="50">
        <v>0</v>
      </c>
      <c r="L40" s="50">
        <v>1</v>
      </c>
      <c r="M40" s="50">
        <v>52</v>
      </c>
      <c r="N40" s="50">
        <v>0</v>
      </c>
      <c r="O40" s="15">
        <f t="shared" si="0"/>
        <v>32</v>
      </c>
      <c r="P40" s="15">
        <f t="shared" si="1"/>
        <v>84</v>
      </c>
      <c r="R40" s="5" t="s">
        <v>17</v>
      </c>
      <c r="S40" s="16">
        <f t="shared" ref="S40:AF40" si="32">SUM(S10:S21)</f>
        <v>640</v>
      </c>
      <c r="T40" s="16">
        <f t="shared" si="32"/>
        <v>303</v>
      </c>
      <c r="U40" s="16">
        <f t="shared" si="32"/>
        <v>113</v>
      </c>
      <c r="V40" s="16">
        <f t="shared" si="32"/>
        <v>371</v>
      </c>
      <c r="W40" s="16">
        <f t="shared" si="32"/>
        <v>15</v>
      </c>
      <c r="X40" s="16">
        <f t="shared" si="32"/>
        <v>3</v>
      </c>
      <c r="Y40" s="16">
        <f t="shared" si="32"/>
        <v>114</v>
      </c>
      <c r="Z40" s="16">
        <f t="shared" si="32"/>
        <v>78</v>
      </c>
      <c r="AA40" s="16">
        <f t="shared" si="32"/>
        <v>11</v>
      </c>
      <c r="AB40" s="16">
        <f t="shared" si="32"/>
        <v>7</v>
      </c>
      <c r="AC40" s="16">
        <f t="shared" si="32"/>
        <v>2096</v>
      </c>
      <c r="AD40" s="16">
        <f t="shared" si="32"/>
        <v>0</v>
      </c>
      <c r="AE40" s="32">
        <f t="shared" si="32"/>
        <v>1655</v>
      </c>
      <c r="AF40" s="32">
        <f t="shared" si="32"/>
        <v>3751</v>
      </c>
    </row>
    <row r="41" spans="2:32" ht="23.1" customHeight="1" x14ac:dyDescent="0.25">
      <c r="B41" s="45" t="s">
        <v>68</v>
      </c>
      <c r="C41" s="50">
        <v>2</v>
      </c>
      <c r="D41" s="50">
        <v>5</v>
      </c>
      <c r="E41" s="50">
        <v>3</v>
      </c>
      <c r="F41" s="50">
        <v>5</v>
      </c>
      <c r="G41" s="50">
        <v>0</v>
      </c>
      <c r="H41" s="50">
        <v>0</v>
      </c>
      <c r="I41" s="50">
        <v>2</v>
      </c>
      <c r="J41" s="50">
        <v>1</v>
      </c>
      <c r="K41" s="50">
        <v>0</v>
      </c>
      <c r="L41" s="50">
        <v>0</v>
      </c>
      <c r="M41" s="50">
        <v>42</v>
      </c>
      <c r="N41" s="50">
        <v>0</v>
      </c>
      <c r="O41" s="15">
        <f t="shared" si="0"/>
        <v>18</v>
      </c>
      <c r="P41" s="15">
        <f t="shared" si="1"/>
        <v>60</v>
      </c>
      <c r="R41" s="5" t="s">
        <v>159</v>
      </c>
      <c r="S41" s="16">
        <f>SUM(S10:S33)</f>
        <v>859</v>
      </c>
      <c r="T41" s="16">
        <f t="shared" ref="T41:AF41" si="33">SUM(T10:T33)</f>
        <v>328</v>
      </c>
      <c r="U41" s="16">
        <f t="shared" si="33"/>
        <v>136</v>
      </c>
      <c r="V41" s="16">
        <f t="shared" si="33"/>
        <v>535</v>
      </c>
      <c r="W41" s="16">
        <f t="shared" si="33"/>
        <v>21</v>
      </c>
      <c r="X41" s="16">
        <f t="shared" si="33"/>
        <v>6</v>
      </c>
      <c r="Y41" s="16">
        <f t="shared" si="33"/>
        <v>136</v>
      </c>
      <c r="Z41" s="16">
        <f t="shared" si="33"/>
        <v>90</v>
      </c>
      <c r="AA41" s="16">
        <f t="shared" si="33"/>
        <v>14</v>
      </c>
      <c r="AB41" s="16">
        <f t="shared" si="33"/>
        <v>9</v>
      </c>
      <c r="AC41" s="16">
        <f t="shared" si="33"/>
        <v>2600</v>
      </c>
      <c r="AD41" s="16">
        <f t="shared" si="33"/>
        <v>0</v>
      </c>
      <c r="AE41" s="32">
        <f t="shared" si="33"/>
        <v>2134</v>
      </c>
      <c r="AF41" s="32">
        <f t="shared" si="33"/>
        <v>4734</v>
      </c>
    </row>
    <row r="42" spans="2:32" ht="23.1" customHeight="1" x14ac:dyDescent="0.25">
      <c r="B42" s="46" t="s">
        <v>69</v>
      </c>
      <c r="C42" s="50">
        <v>11</v>
      </c>
      <c r="D42" s="50">
        <v>5</v>
      </c>
      <c r="E42" s="50">
        <v>3</v>
      </c>
      <c r="F42" s="50">
        <v>8</v>
      </c>
      <c r="G42" s="50">
        <v>0</v>
      </c>
      <c r="H42" s="50">
        <v>0</v>
      </c>
      <c r="I42" s="50">
        <v>3</v>
      </c>
      <c r="J42" s="50">
        <v>1</v>
      </c>
      <c r="K42" s="50">
        <v>0</v>
      </c>
      <c r="L42" s="50">
        <v>0</v>
      </c>
      <c r="M42" s="50">
        <v>44</v>
      </c>
      <c r="N42" s="50">
        <v>0</v>
      </c>
      <c r="O42" s="15">
        <f t="shared" si="0"/>
        <v>31</v>
      </c>
      <c r="P42" s="15">
        <f t="shared" si="1"/>
        <v>75</v>
      </c>
      <c r="R42" s="5" t="s">
        <v>160</v>
      </c>
      <c r="S42" s="48">
        <f>S41/S40</f>
        <v>1.3421875000000001</v>
      </c>
      <c r="T42" s="48">
        <f t="shared" ref="T42:AF42" si="34">T41/T40</f>
        <v>1.0825082508250825</v>
      </c>
      <c r="U42" s="48">
        <f t="shared" si="34"/>
        <v>1.2035398230088497</v>
      </c>
      <c r="V42" s="48">
        <f t="shared" si="34"/>
        <v>1.4420485175202156</v>
      </c>
      <c r="W42" s="48">
        <f t="shared" si="34"/>
        <v>1.4</v>
      </c>
      <c r="X42" s="48">
        <f t="shared" si="34"/>
        <v>2</v>
      </c>
      <c r="Y42" s="48">
        <f t="shared" si="34"/>
        <v>1.1929824561403508</v>
      </c>
      <c r="Z42" s="48">
        <f t="shared" si="34"/>
        <v>1.1538461538461537</v>
      </c>
      <c r="AA42" s="48">
        <f t="shared" si="34"/>
        <v>1.2727272727272727</v>
      </c>
      <c r="AB42" s="48">
        <f t="shared" si="34"/>
        <v>1.2857142857142858</v>
      </c>
      <c r="AC42" s="48">
        <f t="shared" si="34"/>
        <v>1.2404580152671756</v>
      </c>
      <c r="AD42" s="48" t="e">
        <f t="shared" si="34"/>
        <v>#DIV/0!</v>
      </c>
      <c r="AE42" s="48">
        <f t="shared" si="34"/>
        <v>1.2894259818731117</v>
      </c>
      <c r="AF42" s="48">
        <f t="shared" si="34"/>
        <v>1.2620634497467342</v>
      </c>
    </row>
    <row r="43" spans="2:32" ht="23.1" customHeight="1" x14ac:dyDescent="0.25">
      <c r="B43" s="45" t="s">
        <v>70</v>
      </c>
      <c r="C43" s="50">
        <v>10</v>
      </c>
      <c r="D43" s="50">
        <v>7</v>
      </c>
      <c r="E43" s="50">
        <v>0</v>
      </c>
      <c r="F43" s="50">
        <v>4</v>
      </c>
      <c r="G43" s="50">
        <v>0</v>
      </c>
      <c r="H43" s="50">
        <v>0</v>
      </c>
      <c r="I43" s="50">
        <v>3</v>
      </c>
      <c r="J43" s="50">
        <v>2</v>
      </c>
      <c r="K43" s="50">
        <v>4</v>
      </c>
      <c r="L43" s="50">
        <v>0</v>
      </c>
      <c r="M43" s="50">
        <v>35</v>
      </c>
      <c r="N43" s="50">
        <v>0</v>
      </c>
      <c r="O43" s="15">
        <f t="shared" si="0"/>
        <v>30</v>
      </c>
      <c r="P43" s="15">
        <f t="shared" si="1"/>
        <v>65</v>
      </c>
    </row>
    <row r="44" spans="2:32" ht="23.1" customHeight="1" x14ac:dyDescent="0.25">
      <c r="B44" s="47" t="s">
        <v>71</v>
      </c>
      <c r="C44" s="50">
        <v>6</v>
      </c>
      <c r="D44" s="50">
        <v>10</v>
      </c>
      <c r="E44" s="50">
        <v>0</v>
      </c>
      <c r="F44" s="50">
        <v>6</v>
      </c>
      <c r="G44" s="50">
        <v>0</v>
      </c>
      <c r="H44" s="50">
        <v>0</v>
      </c>
      <c r="I44" s="50">
        <v>2</v>
      </c>
      <c r="J44" s="50">
        <v>3</v>
      </c>
      <c r="K44" s="50">
        <v>1</v>
      </c>
      <c r="L44" s="50">
        <v>0</v>
      </c>
      <c r="M44" s="50">
        <v>38</v>
      </c>
      <c r="N44" s="50">
        <v>0</v>
      </c>
      <c r="O44" s="15">
        <f t="shared" si="0"/>
        <v>28</v>
      </c>
      <c r="P44" s="15">
        <f t="shared" si="1"/>
        <v>66</v>
      </c>
    </row>
    <row r="45" spans="2:32" ht="23.1" customHeight="1" x14ac:dyDescent="0.25">
      <c r="B45" s="45" t="s">
        <v>72</v>
      </c>
      <c r="C45" s="50">
        <v>6</v>
      </c>
      <c r="D45" s="50">
        <v>11</v>
      </c>
      <c r="E45" s="50">
        <v>4</v>
      </c>
      <c r="F45" s="50">
        <v>8</v>
      </c>
      <c r="G45" s="50">
        <v>0</v>
      </c>
      <c r="H45" s="50">
        <v>0</v>
      </c>
      <c r="I45" s="50">
        <v>3</v>
      </c>
      <c r="J45" s="50">
        <v>2</v>
      </c>
      <c r="K45" s="50">
        <v>0</v>
      </c>
      <c r="L45" s="50">
        <v>0</v>
      </c>
      <c r="M45" s="50">
        <v>46</v>
      </c>
      <c r="N45" s="50">
        <v>0</v>
      </c>
      <c r="O45" s="15">
        <f t="shared" si="0"/>
        <v>34</v>
      </c>
      <c r="P45" s="15">
        <f t="shared" si="1"/>
        <v>80</v>
      </c>
    </row>
    <row r="46" spans="2:32" ht="23.1" customHeight="1" x14ac:dyDescent="0.25">
      <c r="B46" s="46" t="s">
        <v>73</v>
      </c>
      <c r="C46" s="50">
        <v>10</v>
      </c>
      <c r="D46" s="50">
        <v>6</v>
      </c>
      <c r="E46" s="50">
        <v>1</v>
      </c>
      <c r="F46" s="50">
        <v>2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38</v>
      </c>
      <c r="N46" s="50">
        <v>0</v>
      </c>
      <c r="O46" s="15">
        <f t="shared" si="0"/>
        <v>23</v>
      </c>
      <c r="P46" s="15">
        <f t="shared" si="1"/>
        <v>61</v>
      </c>
      <c r="R46" s="8"/>
      <c r="T46"/>
    </row>
    <row r="47" spans="2:32" ht="23.1" customHeight="1" x14ac:dyDescent="0.25">
      <c r="B47" s="46" t="s">
        <v>74</v>
      </c>
      <c r="C47" s="50">
        <v>7</v>
      </c>
      <c r="D47" s="50">
        <v>6</v>
      </c>
      <c r="E47" s="50">
        <v>2</v>
      </c>
      <c r="F47" s="50">
        <v>7</v>
      </c>
      <c r="G47" s="50">
        <v>0</v>
      </c>
      <c r="H47" s="50">
        <v>0</v>
      </c>
      <c r="I47" s="50">
        <v>2</v>
      </c>
      <c r="J47" s="50">
        <v>4</v>
      </c>
      <c r="K47" s="50">
        <v>0</v>
      </c>
      <c r="L47" s="50">
        <v>0</v>
      </c>
      <c r="M47" s="50">
        <v>39</v>
      </c>
      <c r="N47" s="50">
        <v>0</v>
      </c>
      <c r="O47" s="15">
        <f t="shared" si="0"/>
        <v>28</v>
      </c>
      <c r="P47" s="15">
        <f t="shared" si="1"/>
        <v>67</v>
      </c>
      <c r="R47" s="8"/>
      <c r="T47"/>
    </row>
    <row r="48" spans="2:32" ht="23.1" customHeight="1" x14ac:dyDescent="0.25">
      <c r="B48" s="46" t="s">
        <v>75</v>
      </c>
      <c r="C48" s="50">
        <v>6</v>
      </c>
      <c r="D48" s="50">
        <v>6</v>
      </c>
      <c r="E48" s="50">
        <v>2</v>
      </c>
      <c r="F48" s="50">
        <v>6</v>
      </c>
      <c r="G48" s="50">
        <v>0</v>
      </c>
      <c r="H48" s="50">
        <v>0</v>
      </c>
      <c r="I48" s="50">
        <v>4</v>
      </c>
      <c r="J48" s="50">
        <v>6</v>
      </c>
      <c r="K48" s="50">
        <v>1</v>
      </c>
      <c r="L48" s="50">
        <v>0</v>
      </c>
      <c r="M48" s="50">
        <v>32</v>
      </c>
      <c r="N48" s="50">
        <v>0</v>
      </c>
      <c r="O48" s="15">
        <f t="shared" si="0"/>
        <v>31</v>
      </c>
      <c r="P48" s="15">
        <f t="shared" si="1"/>
        <v>63</v>
      </c>
      <c r="R48" s="8"/>
      <c r="T48"/>
    </row>
    <row r="49" spans="2:20" ht="23.1" customHeight="1" x14ac:dyDescent="0.25">
      <c r="B49" s="45" t="s">
        <v>76</v>
      </c>
      <c r="C49" s="50">
        <v>12</v>
      </c>
      <c r="D49" s="50">
        <v>5</v>
      </c>
      <c r="E49" s="50">
        <v>0</v>
      </c>
      <c r="F49" s="50">
        <v>7</v>
      </c>
      <c r="G49" s="50">
        <v>0</v>
      </c>
      <c r="H49" s="50">
        <v>1</v>
      </c>
      <c r="I49" s="50">
        <v>4</v>
      </c>
      <c r="J49" s="50">
        <v>2</v>
      </c>
      <c r="K49" s="50">
        <v>0</v>
      </c>
      <c r="L49" s="50">
        <v>0</v>
      </c>
      <c r="M49" s="50">
        <v>42</v>
      </c>
      <c r="N49" s="50">
        <v>0</v>
      </c>
      <c r="O49" s="15">
        <f t="shared" si="0"/>
        <v>31</v>
      </c>
      <c r="P49" s="15">
        <f t="shared" si="1"/>
        <v>73</v>
      </c>
      <c r="R49" s="8"/>
      <c r="T49"/>
    </row>
    <row r="50" spans="2:20" ht="23.1" customHeight="1" x14ac:dyDescent="0.25">
      <c r="B50" s="46" t="s">
        <v>77</v>
      </c>
      <c r="C50" s="50">
        <v>3</v>
      </c>
      <c r="D50" s="50">
        <v>2</v>
      </c>
      <c r="E50" s="50">
        <v>1</v>
      </c>
      <c r="F50" s="50">
        <v>4</v>
      </c>
      <c r="G50" s="50">
        <v>0</v>
      </c>
      <c r="H50" s="50">
        <v>0</v>
      </c>
      <c r="I50" s="50">
        <v>1</v>
      </c>
      <c r="J50" s="50">
        <v>2</v>
      </c>
      <c r="K50" s="50">
        <v>0</v>
      </c>
      <c r="L50" s="50">
        <v>0</v>
      </c>
      <c r="M50" s="50">
        <v>38</v>
      </c>
      <c r="N50" s="50">
        <v>0</v>
      </c>
      <c r="O50" s="15">
        <f t="shared" si="0"/>
        <v>13</v>
      </c>
      <c r="P50" s="15">
        <f t="shared" si="1"/>
        <v>51</v>
      </c>
      <c r="R50" s="8"/>
      <c r="T50"/>
    </row>
    <row r="51" spans="2:20" ht="23.1" customHeight="1" x14ac:dyDescent="0.25">
      <c r="B51" s="46" t="s">
        <v>78</v>
      </c>
      <c r="C51" s="50">
        <v>7</v>
      </c>
      <c r="D51" s="50">
        <v>6</v>
      </c>
      <c r="E51" s="50">
        <v>2</v>
      </c>
      <c r="F51" s="50">
        <v>4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33</v>
      </c>
      <c r="N51" s="50">
        <v>0</v>
      </c>
      <c r="O51" s="15">
        <f t="shared" si="0"/>
        <v>22</v>
      </c>
      <c r="P51" s="15">
        <f t="shared" si="1"/>
        <v>55</v>
      </c>
      <c r="R51" s="8"/>
      <c r="T51"/>
    </row>
    <row r="52" spans="2:20" ht="23.1" customHeight="1" x14ac:dyDescent="0.25">
      <c r="B52" s="46" t="s">
        <v>79</v>
      </c>
      <c r="C52" s="50">
        <v>7</v>
      </c>
      <c r="D52" s="50">
        <v>8</v>
      </c>
      <c r="E52" s="50">
        <v>4</v>
      </c>
      <c r="F52" s="50">
        <v>4</v>
      </c>
      <c r="G52" s="50">
        <v>0</v>
      </c>
      <c r="H52" s="50">
        <v>0</v>
      </c>
      <c r="I52" s="50">
        <v>6</v>
      </c>
      <c r="J52" s="50">
        <v>0</v>
      </c>
      <c r="K52" s="50">
        <v>0</v>
      </c>
      <c r="L52" s="50">
        <v>0</v>
      </c>
      <c r="M52" s="50">
        <v>39</v>
      </c>
      <c r="N52" s="50">
        <v>0</v>
      </c>
      <c r="O52" s="15">
        <f t="shared" si="0"/>
        <v>29</v>
      </c>
      <c r="P52" s="15">
        <f t="shared" si="1"/>
        <v>68</v>
      </c>
      <c r="R52" s="8"/>
      <c r="T52"/>
    </row>
    <row r="53" spans="2:20" ht="23.1" customHeight="1" x14ac:dyDescent="0.25">
      <c r="B53" s="45" t="s">
        <v>80</v>
      </c>
      <c r="C53" s="50">
        <v>14</v>
      </c>
      <c r="D53" s="50">
        <v>7</v>
      </c>
      <c r="E53" s="50">
        <v>2</v>
      </c>
      <c r="F53" s="50">
        <v>6</v>
      </c>
      <c r="G53" s="50">
        <v>0</v>
      </c>
      <c r="H53" s="50">
        <v>0</v>
      </c>
      <c r="I53" s="50">
        <v>4</v>
      </c>
      <c r="J53" s="50">
        <v>3</v>
      </c>
      <c r="K53" s="50">
        <v>1</v>
      </c>
      <c r="L53" s="50">
        <v>0</v>
      </c>
      <c r="M53" s="50">
        <v>52</v>
      </c>
      <c r="N53" s="50">
        <v>0</v>
      </c>
      <c r="O53" s="15">
        <f t="shared" si="0"/>
        <v>37</v>
      </c>
      <c r="P53" s="15">
        <f t="shared" si="1"/>
        <v>89</v>
      </c>
      <c r="R53" s="8"/>
      <c r="T53"/>
    </row>
    <row r="54" spans="2:20" ht="23.1" customHeight="1" x14ac:dyDescent="0.25">
      <c r="B54" s="45" t="s">
        <v>81</v>
      </c>
      <c r="C54" s="50">
        <v>9</v>
      </c>
      <c r="D54" s="50">
        <v>7</v>
      </c>
      <c r="E54" s="50">
        <v>3</v>
      </c>
      <c r="F54" s="50">
        <v>10</v>
      </c>
      <c r="G54" s="50">
        <v>0</v>
      </c>
      <c r="H54" s="50">
        <v>1</v>
      </c>
      <c r="I54" s="50">
        <v>3</v>
      </c>
      <c r="J54" s="50">
        <v>1</v>
      </c>
      <c r="K54" s="50">
        <v>0</v>
      </c>
      <c r="L54" s="50">
        <v>0</v>
      </c>
      <c r="M54" s="50">
        <v>65</v>
      </c>
      <c r="N54" s="50">
        <v>0</v>
      </c>
      <c r="O54" s="15">
        <f t="shared" si="0"/>
        <v>34</v>
      </c>
      <c r="P54" s="15">
        <f t="shared" si="1"/>
        <v>99</v>
      </c>
      <c r="R54" s="8"/>
      <c r="T54"/>
    </row>
    <row r="55" spans="2:20" ht="23.1" customHeight="1" x14ac:dyDescent="0.25">
      <c r="B55" s="45" t="s">
        <v>82</v>
      </c>
      <c r="C55" s="50">
        <v>8</v>
      </c>
      <c r="D55" s="50">
        <v>3</v>
      </c>
      <c r="E55" s="50">
        <v>2</v>
      </c>
      <c r="F55" s="50">
        <v>12</v>
      </c>
      <c r="G55" s="50">
        <v>0</v>
      </c>
      <c r="H55" s="50">
        <v>0</v>
      </c>
      <c r="I55" s="50">
        <v>4</v>
      </c>
      <c r="J55" s="50">
        <v>3</v>
      </c>
      <c r="K55" s="50">
        <v>0</v>
      </c>
      <c r="L55" s="50">
        <v>0</v>
      </c>
      <c r="M55" s="50">
        <v>64</v>
      </c>
      <c r="N55" s="50">
        <v>0</v>
      </c>
      <c r="O55" s="15">
        <f t="shared" si="0"/>
        <v>32</v>
      </c>
      <c r="P55" s="15">
        <f t="shared" si="1"/>
        <v>96</v>
      </c>
      <c r="R55" s="8"/>
      <c r="T55"/>
    </row>
    <row r="56" spans="2:20" ht="23.1" customHeight="1" x14ac:dyDescent="0.25">
      <c r="B56" s="45" t="s">
        <v>83</v>
      </c>
      <c r="C56" s="50">
        <v>10</v>
      </c>
      <c r="D56" s="50">
        <v>9</v>
      </c>
      <c r="E56" s="50">
        <v>2</v>
      </c>
      <c r="F56" s="50">
        <v>10</v>
      </c>
      <c r="G56" s="50">
        <v>0</v>
      </c>
      <c r="H56" s="50">
        <v>0</v>
      </c>
      <c r="I56" s="50">
        <v>3</v>
      </c>
      <c r="J56" s="50">
        <v>4</v>
      </c>
      <c r="K56" s="50">
        <v>0</v>
      </c>
      <c r="L56" s="50">
        <v>0</v>
      </c>
      <c r="M56" s="50">
        <v>72</v>
      </c>
      <c r="N56" s="50">
        <v>0</v>
      </c>
      <c r="O56" s="15">
        <f t="shared" si="0"/>
        <v>38</v>
      </c>
      <c r="P56" s="15">
        <f t="shared" si="1"/>
        <v>110</v>
      </c>
      <c r="R56" s="8"/>
      <c r="T56"/>
    </row>
    <row r="57" spans="2:20" ht="23.1" customHeight="1" x14ac:dyDescent="0.25">
      <c r="B57" s="45" t="s">
        <v>84</v>
      </c>
      <c r="C57" s="50">
        <v>12</v>
      </c>
      <c r="D57" s="50">
        <v>7</v>
      </c>
      <c r="E57" s="50">
        <v>2</v>
      </c>
      <c r="F57" s="50">
        <v>0</v>
      </c>
      <c r="G57" s="50">
        <v>13</v>
      </c>
      <c r="H57" s="50">
        <v>0</v>
      </c>
      <c r="I57" s="50">
        <v>1</v>
      </c>
      <c r="J57" s="50">
        <v>1</v>
      </c>
      <c r="K57" s="50">
        <v>1</v>
      </c>
      <c r="L57" s="50">
        <v>0</v>
      </c>
      <c r="M57" s="50">
        <v>42</v>
      </c>
      <c r="N57" s="50">
        <v>0</v>
      </c>
      <c r="O57" s="15">
        <f t="shared" si="0"/>
        <v>37</v>
      </c>
      <c r="P57" s="15">
        <f t="shared" si="1"/>
        <v>79</v>
      </c>
      <c r="R57" s="8"/>
      <c r="T57"/>
    </row>
    <row r="58" spans="2:20" ht="23.1" customHeight="1" x14ac:dyDescent="0.25">
      <c r="B58" s="45" t="s">
        <v>99</v>
      </c>
      <c r="C58" s="50">
        <v>6</v>
      </c>
      <c r="D58" s="50">
        <v>5</v>
      </c>
      <c r="E58" s="50">
        <v>1</v>
      </c>
      <c r="F58" s="50">
        <v>6</v>
      </c>
      <c r="G58" s="50">
        <v>1</v>
      </c>
      <c r="H58" s="50">
        <v>0</v>
      </c>
      <c r="I58" s="50">
        <v>3</v>
      </c>
      <c r="J58" s="50">
        <v>1</v>
      </c>
      <c r="K58" s="50">
        <v>0</v>
      </c>
      <c r="L58" s="50">
        <v>0</v>
      </c>
      <c r="M58" s="50">
        <v>41</v>
      </c>
      <c r="N58" s="50">
        <v>0</v>
      </c>
      <c r="O58" s="15">
        <f t="shared" si="0"/>
        <v>23</v>
      </c>
      <c r="P58" s="15">
        <f t="shared" si="1"/>
        <v>64</v>
      </c>
      <c r="R58" s="8"/>
      <c r="T58"/>
    </row>
    <row r="59" spans="2:20" ht="23.1" customHeight="1" x14ac:dyDescent="0.25">
      <c r="B59" s="45" t="s">
        <v>100</v>
      </c>
      <c r="C59" s="50">
        <v>10</v>
      </c>
      <c r="D59" s="50">
        <v>4</v>
      </c>
      <c r="E59" s="50">
        <v>1</v>
      </c>
      <c r="F59" s="50">
        <v>8</v>
      </c>
      <c r="G59" s="50">
        <v>0</v>
      </c>
      <c r="H59" s="50">
        <v>0</v>
      </c>
      <c r="I59" s="50">
        <v>1</v>
      </c>
      <c r="J59" s="50">
        <v>1</v>
      </c>
      <c r="K59" s="50">
        <v>0</v>
      </c>
      <c r="L59" s="50">
        <v>0</v>
      </c>
      <c r="M59" s="50">
        <v>56</v>
      </c>
      <c r="N59" s="50">
        <v>0</v>
      </c>
      <c r="O59" s="15">
        <f t="shared" si="0"/>
        <v>25</v>
      </c>
      <c r="P59" s="15">
        <f t="shared" si="1"/>
        <v>81</v>
      </c>
      <c r="R59" s="8"/>
      <c r="T59"/>
    </row>
    <row r="60" spans="2:20" ht="23.1" customHeight="1" x14ac:dyDescent="0.25">
      <c r="B60" s="45" t="s">
        <v>101</v>
      </c>
      <c r="C60" s="50">
        <v>14</v>
      </c>
      <c r="D60" s="50">
        <v>5</v>
      </c>
      <c r="E60" s="50">
        <v>2</v>
      </c>
      <c r="F60" s="50">
        <v>5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23</v>
      </c>
      <c r="N60" s="50">
        <v>0</v>
      </c>
      <c r="O60" s="15">
        <f t="shared" si="0"/>
        <v>27</v>
      </c>
      <c r="P60" s="15">
        <f t="shared" si="1"/>
        <v>50</v>
      </c>
      <c r="R60" s="8"/>
      <c r="T60"/>
    </row>
    <row r="61" spans="2:20" ht="23.1" customHeight="1" x14ac:dyDescent="0.25">
      <c r="B61" s="45" t="s">
        <v>102</v>
      </c>
      <c r="C61" s="50">
        <v>22</v>
      </c>
      <c r="D61" s="50">
        <v>1</v>
      </c>
      <c r="E61" s="50">
        <v>1</v>
      </c>
      <c r="F61" s="50">
        <v>9</v>
      </c>
      <c r="G61" s="50">
        <v>1</v>
      </c>
      <c r="H61" s="50">
        <v>1</v>
      </c>
      <c r="I61" s="50">
        <v>2</v>
      </c>
      <c r="J61" s="50">
        <v>1</v>
      </c>
      <c r="K61" s="50">
        <v>0</v>
      </c>
      <c r="L61" s="50">
        <v>0</v>
      </c>
      <c r="M61" s="50">
        <v>26</v>
      </c>
      <c r="N61" s="50">
        <v>0</v>
      </c>
      <c r="O61" s="15">
        <f t="shared" si="0"/>
        <v>38</v>
      </c>
      <c r="P61" s="15">
        <f t="shared" si="1"/>
        <v>64</v>
      </c>
      <c r="R61" s="8"/>
      <c r="T61"/>
    </row>
    <row r="62" spans="2:20" ht="23.1" customHeight="1" x14ac:dyDescent="0.25">
      <c r="B62" s="45" t="s">
        <v>107</v>
      </c>
      <c r="C62" s="50">
        <v>21</v>
      </c>
      <c r="D62" s="50">
        <v>0</v>
      </c>
      <c r="E62" s="50">
        <v>1</v>
      </c>
      <c r="F62" s="50">
        <v>12</v>
      </c>
      <c r="G62" s="50">
        <v>1</v>
      </c>
      <c r="H62" s="50">
        <v>2</v>
      </c>
      <c r="I62" s="50">
        <v>0</v>
      </c>
      <c r="J62" s="50">
        <v>0</v>
      </c>
      <c r="K62" s="50">
        <v>0</v>
      </c>
      <c r="L62" s="50">
        <v>0</v>
      </c>
      <c r="M62" s="50">
        <v>34</v>
      </c>
      <c r="N62" s="50">
        <v>0</v>
      </c>
      <c r="O62" s="15">
        <f t="shared" si="0"/>
        <v>37</v>
      </c>
      <c r="P62" s="15">
        <f t="shared" si="1"/>
        <v>71</v>
      </c>
      <c r="R62" s="8"/>
      <c r="T62"/>
    </row>
    <row r="63" spans="2:20" ht="23.1" customHeight="1" x14ac:dyDescent="0.25">
      <c r="B63" s="45" t="s">
        <v>108</v>
      </c>
      <c r="C63" s="50">
        <v>13</v>
      </c>
      <c r="D63" s="50">
        <v>1</v>
      </c>
      <c r="E63" s="50">
        <v>2</v>
      </c>
      <c r="F63" s="50">
        <v>17</v>
      </c>
      <c r="G63" s="50">
        <v>0</v>
      </c>
      <c r="H63" s="50">
        <v>0</v>
      </c>
      <c r="I63" s="50">
        <v>3</v>
      </c>
      <c r="J63" s="50">
        <v>2</v>
      </c>
      <c r="K63" s="50">
        <v>0</v>
      </c>
      <c r="L63" s="50">
        <v>0</v>
      </c>
      <c r="M63" s="50">
        <v>25</v>
      </c>
      <c r="N63" s="50">
        <v>0</v>
      </c>
      <c r="O63" s="15">
        <f t="shared" si="0"/>
        <v>38</v>
      </c>
      <c r="P63" s="15">
        <f t="shared" si="1"/>
        <v>63</v>
      </c>
      <c r="R63" s="8"/>
      <c r="T63"/>
    </row>
    <row r="64" spans="2:20" ht="23.1" customHeight="1" x14ac:dyDescent="0.25">
      <c r="B64" s="45" t="s">
        <v>109</v>
      </c>
      <c r="C64" s="50">
        <v>11</v>
      </c>
      <c r="D64" s="50">
        <v>1</v>
      </c>
      <c r="E64" s="50">
        <v>0</v>
      </c>
      <c r="F64" s="50">
        <v>12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11</v>
      </c>
      <c r="N64" s="50">
        <v>0</v>
      </c>
      <c r="O64" s="15">
        <f t="shared" si="0"/>
        <v>24</v>
      </c>
      <c r="P64" s="15">
        <f t="shared" si="1"/>
        <v>35</v>
      </c>
      <c r="R64" s="8"/>
      <c r="T64"/>
    </row>
    <row r="65" spans="2:20" ht="23.1" customHeight="1" x14ac:dyDescent="0.25">
      <c r="B65" s="45" t="s">
        <v>158</v>
      </c>
      <c r="C65" s="50">
        <v>11</v>
      </c>
      <c r="D65" s="50">
        <v>2</v>
      </c>
      <c r="E65" s="50">
        <v>3</v>
      </c>
      <c r="F65" s="50">
        <v>16</v>
      </c>
      <c r="G65" s="50">
        <v>0</v>
      </c>
      <c r="H65" s="50">
        <v>0</v>
      </c>
      <c r="I65" s="50">
        <v>5</v>
      </c>
      <c r="J65" s="50">
        <v>0</v>
      </c>
      <c r="K65" s="50">
        <v>0</v>
      </c>
      <c r="L65" s="50">
        <v>0</v>
      </c>
      <c r="M65" s="50">
        <v>23</v>
      </c>
      <c r="N65" s="50">
        <v>0</v>
      </c>
      <c r="O65" s="15">
        <f t="shared" si="0"/>
        <v>37</v>
      </c>
      <c r="P65" s="15">
        <f t="shared" si="1"/>
        <v>60</v>
      </c>
      <c r="R65" s="8"/>
      <c r="T65"/>
    </row>
    <row r="66" spans="2:20" ht="23.1" customHeight="1" x14ac:dyDescent="0.25">
      <c r="B66" s="45" t="s">
        <v>103</v>
      </c>
      <c r="C66" s="50">
        <v>9</v>
      </c>
      <c r="D66" s="50">
        <v>0</v>
      </c>
      <c r="E66" s="50">
        <v>4</v>
      </c>
      <c r="F66" s="50">
        <v>4</v>
      </c>
      <c r="G66" s="50">
        <v>0</v>
      </c>
      <c r="H66" s="50">
        <v>0</v>
      </c>
      <c r="I66" s="50">
        <v>0</v>
      </c>
      <c r="J66" s="50">
        <v>0</v>
      </c>
      <c r="K66" s="50">
        <v>1</v>
      </c>
      <c r="L66" s="50">
        <v>0</v>
      </c>
      <c r="M66" s="50">
        <v>15</v>
      </c>
      <c r="N66" s="50">
        <v>0</v>
      </c>
      <c r="O66" s="15">
        <f t="shared" si="0"/>
        <v>18</v>
      </c>
      <c r="P66" s="15">
        <f t="shared" si="1"/>
        <v>33</v>
      </c>
      <c r="R66" s="8"/>
      <c r="T66"/>
    </row>
    <row r="67" spans="2:20" ht="23.1" customHeight="1" x14ac:dyDescent="0.25">
      <c r="B67" s="45" t="s">
        <v>104</v>
      </c>
      <c r="C67" s="50">
        <v>5</v>
      </c>
      <c r="D67" s="50">
        <v>2</v>
      </c>
      <c r="E67" s="50">
        <v>1</v>
      </c>
      <c r="F67" s="50">
        <v>4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20</v>
      </c>
      <c r="N67" s="50">
        <v>0</v>
      </c>
      <c r="O67" s="15">
        <f t="shared" si="0"/>
        <v>14</v>
      </c>
      <c r="P67" s="15">
        <f t="shared" si="1"/>
        <v>34</v>
      </c>
      <c r="R67" s="8"/>
      <c r="T67"/>
    </row>
    <row r="68" spans="2:20" ht="23.1" customHeight="1" x14ac:dyDescent="0.25">
      <c r="B68" s="45" t="s">
        <v>105</v>
      </c>
      <c r="C68" s="50">
        <v>6</v>
      </c>
      <c r="D68" s="50">
        <v>0</v>
      </c>
      <c r="E68" s="50">
        <v>0</v>
      </c>
      <c r="F68" s="50">
        <v>2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16</v>
      </c>
      <c r="N68" s="50">
        <v>0</v>
      </c>
      <c r="O68" s="15">
        <f t="shared" si="0"/>
        <v>8</v>
      </c>
      <c r="P68" s="15">
        <f t="shared" si="1"/>
        <v>24</v>
      </c>
      <c r="R68" s="8"/>
      <c r="T68"/>
    </row>
    <row r="69" spans="2:20" ht="23.1" customHeight="1" x14ac:dyDescent="0.25">
      <c r="B69" s="45" t="s">
        <v>106</v>
      </c>
      <c r="C69" s="50">
        <v>5</v>
      </c>
      <c r="D69" s="50">
        <v>1</v>
      </c>
      <c r="E69" s="50">
        <v>0</v>
      </c>
      <c r="F69" s="50">
        <v>5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1</v>
      </c>
      <c r="M69" s="50">
        <v>26</v>
      </c>
      <c r="N69" s="50">
        <v>0</v>
      </c>
      <c r="O69" s="15">
        <f t="shared" si="0"/>
        <v>12</v>
      </c>
      <c r="P69" s="15">
        <f t="shared" si="1"/>
        <v>38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0</v>
      </c>
      <c r="E70" s="50">
        <v>0</v>
      </c>
      <c r="F70" s="50">
        <v>4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17</v>
      </c>
      <c r="N70" s="50">
        <v>0</v>
      </c>
      <c r="O70" s="15">
        <f t="shared" si="0"/>
        <v>7</v>
      </c>
      <c r="P70" s="15">
        <f t="shared" si="1"/>
        <v>24</v>
      </c>
      <c r="R70" s="8"/>
      <c r="T70"/>
    </row>
    <row r="71" spans="2:20" ht="23.1" customHeight="1" x14ac:dyDescent="0.25">
      <c r="B71" s="45" t="s">
        <v>111</v>
      </c>
      <c r="C71" s="50">
        <v>7</v>
      </c>
      <c r="D71" s="50">
        <v>0</v>
      </c>
      <c r="E71" s="50">
        <v>0</v>
      </c>
      <c r="F71" s="50">
        <v>3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20</v>
      </c>
      <c r="N71" s="50">
        <v>0</v>
      </c>
      <c r="O71" s="15">
        <f t="shared" si="0"/>
        <v>10</v>
      </c>
      <c r="P71" s="15">
        <f t="shared" si="1"/>
        <v>30</v>
      </c>
      <c r="R71" s="8"/>
      <c r="T71"/>
    </row>
    <row r="72" spans="2:20" ht="23.1" customHeight="1" x14ac:dyDescent="0.25">
      <c r="B72" s="45" t="s">
        <v>112</v>
      </c>
      <c r="C72" s="50">
        <v>9</v>
      </c>
      <c r="D72" s="50">
        <v>0</v>
      </c>
      <c r="E72" s="50">
        <v>1</v>
      </c>
      <c r="F72" s="50">
        <v>2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18</v>
      </c>
      <c r="N72" s="50">
        <v>0</v>
      </c>
      <c r="O72" s="15">
        <f t="shared" si="0"/>
        <v>13</v>
      </c>
      <c r="P72" s="15">
        <f t="shared" si="1"/>
        <v>31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v>0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10</v>
      </c>
      <c r="N73" s="50">
        <v>0</v>
      </c>
      <c r="O73" s="15">
        <f t="shared" si="0"/>
        <v>3</v>
      </c>
      <c r="P73" s="15">
        <f t="shared" si="1"/>
        <v>13</v>
      </c>
      <c r="R73" s="8"/>
      <c r="T73"/>
    </row>
    <row r="74" spans="2:20" ht="23.1" customHeight="1" x14ac:dyDescent="0.25">
      <c r="B74" s="45" t="s">
        <v>114</v>
      </c>
      <c r="C74" s="50">
        <v>9</v>
      </c>
      <c r="D74" s="50">
        <v>0</v>
      </c>
      <c r="E74" s="50">
        <v>1</v>
      </c>
      <c r="F74" s="50">
        <v>3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1</v>
      </c>
      <c r="N74" s="50">
        <v>0</v>
      </c>
      <c r="O74" s="15">
        <f t="shared" ref="O74:O105" si="35">SUM(C74:L74,N74)</f>
        <v>13</v>
      </c>
      <c r="P74" s="15">
        <f t="shared" ref="P74:P105" si="36">SUM(C74:N74)</f>
        <v>14</v>
      </c>
      <c r="R74" s="8"/>
      <c r="T74"/>
    </row>
    <row r="75" spans="2:20" ht="23.1" customHeight="1" x14ac:dyDescent="0.25">
      <c r="B75" s="45" t="s">
        <v>115</v>
      </c>
      <c r="C75" s="50">
        <v>7</v>
      </c>
      <c r="D75" s="50">
        <v>0</v>
      </c>
      <c r="E75" s="50">
        <v>0</v>
      </c>
      <c r="F75" s="50">
        <v>2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21</v>
      </c>
      <c r="N75" s="50">
        <v>0</v>
      </c>
      <c r="O75" s="15">
        <f t="shared" si="35"/>
        <v>9</v>
      </c>
      <c r="P75" s="15">
        <f t="shared" si="36"/>
        <v>30</v>
      </c>
      <c r="R75" s="8"/>
      <c r="T75"/>
    </row>
    <row r="76" spans="2:20" ht="23.1" customHeight="1" x14ac:dyDescent="0.25">
      <c r="B76" s="45" t="s">
        <v>116</v>
      </c>
      <c r="C76" s="50">
        <v>2</v>
      </c>
      <c r="D76" s="50">
        <v>0</v>
      </c>
      <c r="E76" s="50">
        <v>1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2</v>
      </c>
      <c r="N76" s="50">
        <v>0</v>
      </c>
      <c r="O76" s="15">
        <f t="shared" si="35"/>
        <v>4</v>
      </c>
      <c r="P76" s="15">
        <f t="shared" si="36"/>
        <v>6</v>
      </c>
      <c r="R76" s="8"/>
      <c r="T76"/>
    </row>
    <row r="77" spans="2:20" ht="23.1" customHeight="1" x14ac:dyDescent="0.25">
      <c r="B77" s="45" t="s">
        <v>117</v>
      </c>
      <c r="C77" s="50">
        <v>6</v>
      </c>
      <c r="D77" s="50">
        <v>0</v>
      </c>
      <c r="E77" s="50">
        <v>0</v>
      </c>
      <c r="F77" s="50">
        <v>3</v>
      </c>
      <c r="G77" s="50">
        <v>0</v>
      </c>
      <c r="H77" s="50">
        <v>0</v>
      </c>
      <c r="I77" s="50">
        <v>1</v>
      </c>
      <c r="J77" s="50">
        <v>0</v>
      </c>
      <c r="K77" s="50">
        <v>0</v>
      </c>
      <c r="L77" s="50">
        <v>0</v>
      </c>
      <c r="M77" s="50">
        <v>5</v>
      </c>
      <c r="N77" s="50">
        <v>0</v>
      </c>
      <c r="O77" s="15">
        <f t="shared" si="35"/>
        <v>10</v>
      </c>
      <c r="P77" s="15">
        <f t="shared" si="36"/>
        <v>15</v>
      </c>
      <c r="R77" s="8"/>
      <c r="T77"/>
    </row>
    <row r="78" spans="2:20" ht="23.1" customHeight="1" x14ac:dyDescent="0.25">
      <c r="B78" s="46" t="s">
        <v>118</v>
      </c>
      <c r="C78" s="50">
        <v>1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</v>
      </c>
      <c r="N78" s="50">
        <v>0</v>
      </c>
      <c r="O78" s="15">
        <f t="shared" si="35"/>
        <v>2</v>
      </c>
      <c r="P78" s="15">
        <f t="shared" si="36"/>
        <v>4</v>
      </c>
      <c r="R78" s="8"/>
      <c r="T78"/>
    </row>
    <row r="79" spans="2:20" ht="23.1" customHeight="1" x14ac:dyDescent="0.25">
      <c r="B79" s="45" t="s">
        <v>119</v>
      </c>
      <c r="C79" s="50">
        <v>4</v>
      </c>
      <c r="D79" s="50">
        <v>3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5</v>
      </c>
      <c r="N79" s="50">
        <v>0</v>
      </c>
      <c r="O79" s="15">
        <f t="shared" si="35"/>
        <v>7</v>
      </c>
      <c r="P79" s="15">
        <f t="shared" si="36"/>
        <v>12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0</v>
      </c>
      <c r="F80" s="50">
        <v>0</v>
      </c>
      <c r="G80" s="50">
        <v>1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1</v>
      </c>
      <c r="N80" s="50">
        <v>0</v>
      </c>
      <c r="O80" s="15">
        <f t="shared" si="35"/>
        <v>1</v>
      </c>
      <c r="P80" s="15">
        <f t="shared" si="36"/>
        <v>2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1</v>
      </c>
      <c r="M81" s="50">
        <v>0</v>
      </c>
      <c r="N81" s="50">
        <v>0</v>
      </c>
      <c r="O81" s="15">
        <f t="shared" si="35"/>
        <v>2</v>
      </c>
      <c r="P81" s="15">
        <f t="shared" si="36"/>
        <v>2</v>
      </c>
      <c r="R81" s="8"/>
      <c r="T81"/>
    </row>
    <row r="82" spans="2:20" ht="23.1" customHeight="1" x14ac:dyDescent="0.25">
      <c r="B82" s="46" t="s">
        <v>122</v>
      </c>
      <c r="C82" s="50">
        <v>2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3</v>
      </c>
      <c r="N82" s="50">
        <v>0</v>
      </c>
      <c r="O82" s="15">
        <f t="shared" si="35"/>
        <v>2</v>
      </c>
      <c r="P82" s="15">
        <f t="shared" si="36"/>
        <v>5</v>
      </c>
      <c r="R82" s="8"/>
      <c r="T82"/>
    </row>
    <row r="83" spans="2:20" ht="23.1" customHeight="1" x14ac:dyDescent="0.25">
      <c r="B83" s="45" t="s">
        <v>123</v>
      </c>
      <c r="C83" s="50">
        <v>1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1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0</v>
      </c>
      <c r="N84" s="50">
        <v>0</v>
      </c>
      <c r="O84" s="15">
        <f t="shared" si="35"/>
        <v>0</v>
      </c>
      <c r="P84" s="15">
        <f t="shared" si="36"/>
        <v>0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15">
        <f t="shared" si="35"/>
        <v>0</v>
      </c>
      <c r="P85" s="15">
        <f t="shared" si="36"/>
        <v>0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3</v>
      </c>
      <c r="N86" s="50">
        <v>0</v>
      </c>
      <c r="O86" s="15">
        <f t="shared" si="35"/>
        <v>4</v>
      </c>
      <c r="P86" s="15">
        <f t="shared" si="36"/>
        <v>7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1</v>
      </c>
      <c r="K87" s="50">
        <v>0</v>
      </c>
      <c r="L87" s="50">
        <v>0</v>
      </c>
      <c r="M87" s="50">
        <v>2</v>
      </c>
      <c r="N87" s="50">
        <v>0</v>
      </c>
      <c r="O87" s="15">
        <f t="shared" si="35"/>
        <v>1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5</v>
      </c>
      <c r="N88" s="50">
        <v>0</v>
      </c>
      <c r="O88" s="15">
        <f t="shared" si="35"/>
        <v>0</v>
      </c>
      <c r="P88" s="15">
        <f t="shared" si="36"/>
        <v>5</v>
      </c>
      <c r="R88" s="8"/>
      <c r="T88"/>
    </row>
    <row r="89" spans="2:20" ht="23.1" customHeight="1" x14ac:dyDescent="0.25">
      <c r="B89" s="45" t="s">
        <v>129</v>
      </c>
      <c r="C89" s="50">
        <v>2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4</v>
      </c>
      <c r="N89" s="50">
        <v>0</v>
      </c>
      <c r="O89" s="15">
        <f t="shared" si="35"/>
        <v>2</v>
      </c>
      <c r="P89" s="15">
        <f t="shared" si="36"/>
        <v>6</v>
      </c>
      <c r="R89" s="8"/>
      <c r="T89"/>
    </row>
    <row r="90" spans="2:20" ht="23.1" customHeight="1" x14ac:dyDescent="0.25">
      <c r="B90" s="46" t="s">
        <v>130</v>
      </c>
      <c r="C90" s="50">
        <v>1</v>
      </c>
      <c r="D90" s="50">
        <v>0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1</v>
      </c>
      <c r="N90" s="50">
        <v>0</v>
      </c>
      <c r="O90" s="15">
        <f t="shared" si="35"/>
        <v>2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1</v>
      </c>
      <c r="K91" s="50">
        <v>0</v>
      </c>
      <c r="L91" s="50">
        <v>0</v>
      </c>
      <c r="M91" s="50">
        <v>0</v>
      </c>
      <c r="N91" s="50">
        <v>0</v>
      </c>
      <c r="O91" s="15">
        <f t="shared" si="35"/>
        <v>1</v>
      </c>
      <c r="P91" s="15">
        <f t="shared" si="36"/>
        <v>1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2</v>
      </c>
      <c r="K92" s="50">
        <v>0</v>
      </c>
      <c r="L92" s="50">
        <v>0</v>
      </c>
      <c r="M92" s="50">
        <v>1</v>
      </c>
      <c r="N92" s="50">
        <v>0</v>
      </c>
      <c r="O92" s="15">
        <f t="shared" si="35"/>
        <v>4</v>
      </c>
      <c r="P92" s="15">
        <f t="shared" si="36"/>
        <v>5</v>
      </c>
      <c r="R92" s="8"/>
      <c r="T92"/>
    </row>
    <row r="93" spans="2:20" ht="23.1" customHeight="1" x14ac:dyDescent="0.25">
      <c r="B93" s="45" t="s">
        <v>133</v>
      </c>
      <c r="C93" s="50">
        <v>1</v>
      </c>
      <c r="D93" s="50">
        <v>0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5</v>
      </c>
      <c r="N93" s="50">
        <v>0</v>
      </c>
      <c r="O93" s="15">
        <f t="shared" si="35"/>
        <v>2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1</v>
      </c>
      <c r="F94" s="50">
        <v>2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</v>
      </c>
      <c r="N94" s="50">
        <v>0</v>
      </c>
      <c r="O94" s="15">
        <f t="shared" si="35"/>
        <v>3</v>
      </c>
      <c r="P94" s="15">
        <f t="shared" si="36"/>
        <v>4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</v>
      </c>
      <c r="N95" s="50">
        <v>0</v>
      </c>
      <c r="O95" s="15">
        <f t="shared" si="35"/>
        <v>0</v>
      </c>
      <c r="P95" s="15">
        <f t="shared" si="36"/>
        <v>1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0</v>
      </c>
      <c r="N97" s="50">
        <v>0</v>
      </c>
      <c r="O97" s="15">
        <f t="shared" si="35"/>
        <v>0</v>
      </c>
      <c r="P97" s="15">
        <f t="shared" si="36"/>
        <v>0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1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2</v>
      </c>
      <c r="P98" s="15">
        <f t="shared" si="36"/>
        <v>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0</v>
      </c>
      <c r="E99" s="50">
        <v>0</v>
      </c>
      <c r="F99" s="50">
        <v>4</v>
      </c>
      <c r="G99" s="50">
        <v>1</v>
      </c>
      <c r="H99" s="50">
        <v>0</v>
      </c>
      <c r="I99" s="50">
        <v>0</v>
      </c>
      <c r="J99" s="50">
        <v>0</v>
      </c>
      <c r="K99" s="50">
        <v>1</v>
      </c>
      <c r="L99" s="50">
        <v>0</v>
      </c>
      <c r="M99" s="50">
        <v>1</v>
      </c>
      <c r="N99" s="50">
        <v>0</v>
      </c>
      <c r="O99" s="15">
        <f t="shared" si="35"/>
        <v>6</v>
      </c>
      <c r="P99" s="15">
        <f t="shared" si="36"/>
        <v>7</v>
      </c>
      <c r="R99" s="8"/>
      <c r="T99"/>
    </row>
    <row r="100" spans="2:20" ht="23.1" customHeight="1" x14ac:dyDescent="0.25">
      <c r="B100" s="47" t="s">
        <v>140</v>
      </c>
      <c r="C100" s="50">
        <v>1</v>
      </c>
      <c r="D100" s="50">
        <v>0</v>
      </c>
      <c r="E100" s="50">
        <v>0</v>
      </c>
      <c r="F100" s="50">
        <v>4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5</v>
      </c>
      <c r="N100" s="50">
        <v>0</v>
      </c>
      <c r="O100" s="15">
        <f t="shared" si="35"/>
        <v>5</v>
      </c>
      <c r="P100" s="15">
        <f t="shared" si="36"/>
        <v>10</v>
      </c>
      <c r="R100" s="8"/>
      <c r="T100"/>
    </row>
    <row r="101" spans="2:20" ht="23.1" customHeight="1" x14ac:dyDescent="0.25">
      <c r="B101" s="45" t="s">
        <v>141</v>
      </c>
      <c r="C101" s="50">
        <v>5</v>
      </c>
      <c r="D101" s="50">
        <v>0</v>
      </c>
      <c r="E101" s="50">
        <v>0</v>
      </c>
      <c r="F101" s="50">
        <v>5</v>
      </c>
      <c r="G101" s="50">
        <v>0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8</v>
      </c>
      <c r="N101" s="50">
        <v>0</v>
      </c>
      <c r="O101" s="15">
        <f t="shared" si="35"/>
        <v>11</v>
      </c>
      <c r="P101" s="15">
        <f t="shared" si="36"/>
        <v>19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1</v>
      </c>
      <c r="F102" s="50">
        <v>6</v>
      </c>
      <c r="G102" s="50">
        <v>1</v>
      </c>
      <c r="H102" s="50">
        <v>0</v>
      </c>
      <c r="I102" s="50">
        <v>0</v>
      </c>
      <c r="J102" s="50">
        <v>0</v>
      </c>
      <c r="K102" s="50">
        <v>1</v>
      </c>
      <c r="L102" s="50">
        <v>0</v>
      </c>
      <c r="M102" s="50">
        <v>13</v>
      </c>
      <c r="N102" s="50">
        <v>0</v>
      </c>
      <c r="O102" s="15">
        <f t="shared" si="35"/>
        <v>9</v>
      </c>
      <c r="P102" s="15">
        <f t="shared" si="36"/>
        <v>22</v>
      </c>
      <c r="R102" s="8"/>
      <c r="T102"/>
    </row>
    <row r="103" spans="2:20" ht="23.1" customHeight="1" x14ac:dyDescent="0.25">
      <c r="B103" s="45" t="s">
        <v>143</v>
      </c>
      <c r="C103" s="50">
        <v>3</v>
      </c>
      <c r="D103" s="50">
        <v>0</v>
      </c>
      <c r="E103" s="50">
        <v>0</v>
      </c>
      <c r="F103" s="50">
        <v>3</v>
      </c>
      <c r="G103" s="50">
        <v>0</v>
      </c>
      <c r="H103" s="50">
        <v>0</v>
      </c>
      <c r="I103" s="50">
        <v>1</v>
      </c>
      <c r="J103" s="50">
        <v>0</v>
      </c>
      <c r="K103" s="50">
        <v>0</v>
      </c>
      <c r="L103" s="50">
        <v>0</v>
      </c>
      <c r="M103" s="50">
        <v>7</v>
      </c>
      <c r="N103" s="50">
        <v>0</v>
      </c>
      <c r="O103" s="15">
        <f t="shared" si="35"/>
        <v>7</v>
      </c>
      <c r="P103" s="15">
        <f t="shared" si="36"/>
        <v>14</v>
      </c>
      <c r="R103" s="8"/>
      <c r="T103"/>
    </row>
    <row r="104" spans="2:20" ht="23.1" customHeight="1" x14ac:dyDescent="0.25">
      <c r="B104" s="47" t="s">
        <v>144</v>
      </c>
      <c r="C104" s="50">
        <v>8</v>
      </c>
      <c r="D104" s="50">
        <v>0</v>
      </c>
      <c r="E104" s="50">
        <v>0</v>
      </c>
      <c r="F104" s="50">
        <v>11</v>
      </c>
      <c r="G104" s="50">
        <v>0</v>
      </c>
      <c r="H104" s="50">
        <v>0</v>
      </c>
      <c r="I104" s="50">
        <v>1</v>
      </c>
      <c r="J104" s="50">
        <v>1</v>
      </c>
      <c r="K104" s="50">
        <v>0</v>
      </c>
      <c r="L104" s="50">
        <v>0</v>
      </c>
      <c r="M104" s="50">
        <v>9</v>
      </c>
      <c r="N104" s="50">
        <v>0</v>
      </c>
      <c r="O104" s="15">
        <f t="shared" si="35"/>
        <v>21</v>
      </c>
      <c r="P104" s="15">
        <f t="shared" si="36"/>
        <v>30</v>
      </c>
      <c r="R104" s="8"/>
      <c r="T104"/>
    </row>
    <row r="105" spans="2:20" ht="23.1" customHeight="1" x14ac:dyDescent="0.25">
      <c r="B105" s="45" t="s">
        <v>145</v>
      </c>
      <c r="C105" s="50">
        <v>5</v>
      </c>
      <c r="D105" s="50">
        <v>0</v>
      </c>
      <c r="E105" s="50">
        <v>0</v>
      </c>
      <c r="F105" s="50">
        <v>8</v>
      </c>
      <c r="G105" s="50">
        <v>0</v>
      </c>
      <c r="H105" s="50">
        <v>0</v>
      </c>
      <c r="I105" s="50">
        <v>1</v>
      </c>
      <c r="J105" s="50">
        <v>0</v>
      </c>
      <c r="K105" s="50">
        <v>0</v>
      </c>
      <c r="L105" s="50">
        <v>0</v>
      </c>
      <c r="M105" s="50">
        <v>16</v>
      </c>
      <c r="N105" s="50">
        <v>0</v>
      </c>
      <c r="O105" s="15">
        <f t="shared" si="35"/>
        <v>14</v>
      </c>
      <c r="P105" s="15">
        <f t="shared" si="36"/>
        <v>30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859</v>
      </c>
      <c r="D106" s="16">
        <f t="shared" ref="D106:P106" si="37">SUM(D10:D105)</f>
        <v>328</v>
      </c>
      <c r="E106" s="16">
        <f t="shared" si="37"/>
        <v>136</v>
      </c>
      <c r="F106" s="16">
        <f t="shared" si="37"/>
        <v>535</v>
      </c>
      <c r="G106" s="16">
        <f t="shared" si="37"/>
        <v>21</v>
      </c>
      <c r="H106" s="16">
        <f t="shared" si="37"/>
        <v>6</v>
      </c>
      <c r="I106" s="16">
        <f t="shared" si="37"/>
        <v>136</v>
      </c>
      <c r="J106" s="16">
        <f t="shared" si="37"/>
        <v>90</v>
      </c>
      <c r="K106" s="16">
        <f t="shared" si="37"/>
        <v>14</v>
      </c>
      <c r="L106" s="16">
        <f t="shared" si="37"/>
        <v>9</v>
      </c>
      <c r="M106" s="16">
        <f t="shared" si="37"/>
        <v>2600</v>
      </c>
      <c r="N106" s="16">
        <f t="shared" si="37"/>
        <v>0</v>
      </c>
      <c r="O106" s="16">
        <f t="shared" si="37"/>
        <v>2134</v>
      </c>
      <c r="P106" s="16">
        <f t="shared" si="37"/>
        <v>4734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0.18145331643430504</v>
      </c>
      <c r="D107" s="43">
        <f t="shared" si="38"/>
        <v>6.9286016054076888E-2</v>
      </c>
      <c r="E107" s="43">
        <f t="shared" si="38"/>
        <v>2.8728348119983101E-2</v>
      </c>
      <c r="F107" s="43">
        <f t="shared" si="38"/>
        <v>0.11301225179552175</v>
      </c>
      <c r="G107" s="43">
        <f t="shared" si="38"/>
        <v>4.4359949302915083E-3</v>
      </c>
      <c r="H107" s="43">
        <f t="shared" si="38"/>
        <v>1.2674271229404308E-3</v>
      </c>
      <c r="I107" s="43">
        <f t="shared" si="38"/>
        <v>2.8728348119983101E-2</v>
      </c>
      <c r="J107" s="43">
        <f t="shared" si="38"/>
        <v>1.9011406844106463E-2</v>
      </c>
      <c r="K107" s="43">
        <f t="shared" si="38"/>
        <v>2.957329953527672E-3</v>
      </c>
      <c r="L107" s="43">
        <f t="shared" si="38"/>
        <v>1.9011406844106464E-3</v>
      </c>
      <c r="M107" s="43">
        <f t="shared" si="38"/>
        <v>0.54921841994085341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0.40253045923149017</v>
      </c>
      <c r="D108" s="44">
        <f t="shared" ref="D108:N108" si="39">D106/$O$106</f>
        <v>0.15370196813495782</v>
      </c>
      <c r="E108" s="44">
        <f t="shared" si="39"/>
        <v>6.3730084348641053E-2</v>
      </c>
      <c r="F108" s="44">
        <f t="shared" si="39"/>
        <v>0.25070290534208062</v>
      </c>
      <c r="G108" s="44">
        <f t="shared" si="39"/>
        <v>9.840674789128397E-3</v>
      </c>
      <c r="H108" s="44">
        <f t="shared" si="39"/>
        <v>2.8116213683223993E-3</v>
      </c>
      <c r="I108" s="44">
        <f t="shared" si="39"/>
        <v>6.3730084348641053E-2</v>
      </c>
      <c r="J108" s="44">
        <f t="shared" si="39"/>
        <v>4.2174320524835988E-2</v>
      </c>
      <c r="K108" s="44">
        <f t="shared" si="39"/>
        <v>6.5604498594189313E-3</v>
      </c>
      <c r="L108" s="44">
        <f t="shared" si="39"/>
        <v>4.2174320524835992E-3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0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SentemaRBT-Sentema'!C3:G3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4" t="str">
        <f>'27.07 Sentema-SentemaRBT-24h'!G5:H5</f>
        <v>Ku roofings</v>
      </c>
      <c r="H5" s="65"/>
      <c r="I5" s="14"/>
      <c r="J5" s="2" t="s">
        <v>5</v>
      </c>
      <c r="K5" s="64" t="str">
        <f>'27.07 Sentema-SentemaRBT-24h'!K5:L5</f>
        <v>Nawaja Brenda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SentemaRBT-Sentema'!D6:E6</f>
        <v>Sentema RBT</v>
      </c>
      <c r="E6" s="65"/>
      <c r="F6" s="2" t="s">
        <v>2</v>
      </c>
      <c r="G6" s="64" t="str">
        <f>'22.07 SentemaRBT-Sentema'!G6:H6</f>
        <v>Sentema</v>
      </c>
      <c r="H6" s="65"/>
      <c r="J6" s="2" t="s">
        <v>21</v>
      </c>
      <c r="K6" s="64" t="str">
        <f>'27.07 Sentema-SentemaRBT-24h'!K6:L6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11</v>
      </c>
      <c r="T10" s="17">
        <f t="shared" si="2"/>
        <v>0</v>
      </c>
      <c r="U10" s="17">
        <f t="shared" si="2"/>
        <v>3</v>
      </c>
      <c r="V10" s="17">
        <f t="shared" si="2"/>
        <v>19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2</v>
      </c>
      <c r="AA10" s="17">
        <f t="shared" si="2"/>
        <v>2</v>
      </c>
      <c r="AB10" s="17">
        <f t="shared" si="2"/>
        <v>0</v>
      </c>
      <c r="AC10" s="17">
        <f t="shared" si="2"/>
        <v>44</v>
      </c>
      <c r="AD10" s="17">
        <f t="shared" si="2"/>
        <v>0</v>
      </c>
      <c r="AE10" s="31">
        <f t="shared" si="2"/>
        <v>40</v>
      </c>
      <c r="AF10" s="31">
        <f t="shared" si="2"/>
        <v>84</v>
      </c>
    </row>
    <row r="11" spans="2:32" s="6" customFormat="1" ht="23.1" customHeight="1" x14ac:dyDescent="0.25">
      <c r="B11" s="23" t="s">
        <v>38</v>
      </c>
      <c r="C11" s="50">
        <v>4</v>
      </c>
      <c r="D11" s="50">
        <v>0</v>
      </c>
      <c r="E11" s="50">
        <v>0</v>
      </c>
      <c r="F11" s="50">
        <v>5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19</v>
      </c>
      <c r="N11" s="50">
        <v>0</v>
      </c>
      <c r="O11" s="15">
        <f t="shared" si="0"/>
        <v>9</v>
      </c>
      <c r="P11" s="15">
        <f t="shared" si="1"/>
        <v>28</v>
      </c>
      <c r="R11" s="1" t="s">
        <v>7</v>
      </c>
      <c r="S11" s="17">
        <f t="shared" ref="S11:AF11" si="3">SUM(C14:C17)</f>
        <v>18</v>
      </c>
      <c r="T11" s="17">
        <f t="shared" si="3"/>
        <v>3</v>
      </c>
      <c r="U11" s="17">
        <f t="shared" si="3"/>
        <v>7</v>
      </c>
      <c r="V11" s="17">
        <f t="shared" si="3"/>
        <v>24</v>
      </c>
      <c r="W11" s="17">
        <f t="shared" si="3"/>
        <v>4</v>
      </c>
      <c r="X11" s="17">
        <f t="shared" si="3"/>
        <v>1</v>
      </c>
      <c r="Y11" s="17">
        <f t="shared" si="3"/>
        <v>9</v>
      </c>
      <c r="Z11" s="17">
        <f t="shared" si="3"/>
        <v>1</v>
      </c>
      <c r="AA11" s="17">
        <f t="shared" si="3"/>
        <v>5</v>
      </c>
      <c r="AB11" s="17">
        <f t="shared" si="3"/>
        <v>0</v>
      </c>
      <c r="AC11" s="17">
        <f t="shared" si="3"/>
        <v>72</v>
      </c>
      <c r="AD11" s="17">
        <f t="shared" si="3"/>
        <v>0</v>
      </c>
      <c r="AE11" s="31">
        <f t="shared" si="3"/>
        <v>72</v>
      </c>
      <c r="AF11" s="31">
        <f t="shared" si="3"/>
        <v>144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1</v>
      </c>
      <c r="F12" s="50">
        <v>4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9</v>
      </c>
      <c r="P12" s="15">
        <f t="shared" si="1"/>
        <v>20</v>
      </c>
      <c r="R12" s="1" t="s">
        <v>8</v>
      </c>
      <c r="S12" s="17">
        <f t="shared" ref="S12:AF12" si="4">SUM(C18:C21)</f>
        <v>47</v>
      </c>
      <c r="T12" s="17">
        <f t="shared" si="4"/>
        <v>3</v>
      </c>
      <c r="U12" s="17">
        <f t="shared" si="4"/>
        <v>19</v>
      </c>
      <c r="V12" s="17">
        <f t="shared" si="4"/>
        <v>44</v>
      </c>
      <c r="W12" s="17">
        <f t="shared" si="4"/>
        <v>1</v>
      </c>
      <c r="X12" s="17">
        <f t="shared" si="4"/>
        <v>2</v>
      </c>
      <c r="Y12" s="17">
        <f t="shared" si="4"/>
        <v>10</v>
      </c>
      <c r="Z12" s="17">
        <f t="shared" si="4"/>
        <v>5</v>
      </c>
      <c r="AA12" s="17">
        <f t="shared" si="4"/>
        <v>1</v>
      </c>
      <c r="AB12" s="17">
        <f t="shared" si="4"/>
        <v>0</v>
      </c>
      <c r="AC12" s="17">
        <f t="shared" si="4"/>
        <v>128</v>
      </c>
      <c r="AD12" s="17">
        <f t="shared" si="4"/>
        <v>0</v>
      </c>
      <c r="AE12" s="31">
        <f t="shared" si="4"/>
        <v>132</v>
      </c>
      <c r="AF12" s="31">
        <f t="shared" si="4"/>
        <v>260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2</v>
      </c>
      <c r="F13" s="50">
        <v>10</v>
      </c>
      <c r="G13" s="50">
        <v>0</v>
      </c>
      <c r="H13" s="50">
        <v>0</v>
      </c>
      <c r="I13" s="50">
        <v>3</v>
      </c>
      <c r="J13" s="50">
        <v>1</v>
      </c>
      <c r="K13" s="50">
        <v>2</v>
      </c>
      <c r="L13" s="50">
        <v>0</v>
      </c>
      <c r="M13" s="50">
        <v>14</v>
      </c>
      <c r="N13" s="50">
        <v>0</v>
      </c>
      <c r="O13" s="15">
        <f t="shared" si="0"/>
        <v>22</v>
      </c>
      <c r="P13" s="15">
        <f t="shared" si="1"/>
        <v>36</v>
      </c>
      <c r="R13" s="1" t="s">
        <v>9</v>
      </c>
      <c r="S13" s="17">
        <f t="shared" ref="S13:AF13" si="5">SUM(C22:C25)</f>
        <v>37</v>
      </c>
      <c r="T13" s="17">
        <f t="shared" si="5"/>
        <v>8</v>
      </c>
      <c r="U13" s="17">
        <f t="shared" si="5"/>
        <v>9</v>
      </c>
      <c r="V13" s="17">
        <f t="shared" si="5"/>
        <v>35</v>
      </c>
      <c r="W13" s="17">
        <f t="shared" si="5"/>
        <v>2</v>
      </c>
      <c r="X13" s="17">
        <f t="shared" si="5"/>
        <v>1</v>
      </c>
      <c r="Y13" s="17">
        <f t="shared" si="5"/>
        <v>3</v>
      </c>
      <c r="Z13" s="17">
        <f t="shared" si="5"/>
        <v>4</v>
      </c>
      <c r="AA13" s="17">
        <f t="shared" si="5"/>
        <v>0</v>
      </c>
      <c r="AB13" s="17">
        <f t="shared" si="5"/>
        <v>0</v>
      </c>
      <c r="AC13" s="17">
        <f t="shared" si="5"/>
        <v>100</v>
      </c>
      <c r="AD13" s="17">
        <f t="shared" si="5"/>
        <v>0</v>
      </c>
      <c r="AE13" s="31">
        <f t="shared" si="5"/>
        <v>99</v>
      </c>
      <c r="AF13" s="31">
        <f t="shared" si="5"/>
        <v>199</v>
      </c>
    </row>
    <row r="14" spans="2:32" ht="23.1" customHeight="1" x14ac:dyDescent="0.25">
      <c r="B14" s="23" t="s">
        <v>41</v>
      </c>
      <c r="C14" s="50">
        <v>6</v>
      </c>
      <c r="D14" s="50">
        <v>0</v>
      </c>
      <c r="E14" s="50">
        <v>3</v>
      </c>
      <c r="F14" s="50">
        <v>8</v>
      </c>
      <c r="G14" s="50">
        <v>0</v>
      </c>
      <c r="H14" s="50">
        <v>0</v>
      </c>
      <c r="I14" s="50">
        <v>2</v>
      </c>
      <c r="J14" s="50">
        <v>1</v>
      </c>
      <c r="K14" s="50">
        <v>0</v>
      </c>
      <c r="L14" s="50">
        <v>0</v>
      </c>
      <c r="M14" s="50">
        <v>12</v>
      </c>
      <c r="N14" s="50">
        <v>0</v>
      </c>
      <c r="O14" s="15">
        <f t="shared" si="0"/>
        <v>20</v>
      </c>
      <c r="P14" s="15">
        <f t="shared" si="1"/>
        <v>32</v>
      </c>
      <c r="R14" s="1" t="s">
        <v>10</v>
      </c>
      <c r="S14" s="17">
        <f t="shared" ref="S14:AF14" si="6">SUM(C26:C29)</f>
        <v>25</v>
      </c>
      <c r="T14" s="17">
        <f t="shared" si="6"/>
        <v>2</v>
      </c>
      <c r="U14" s="17">
        <f t="shared" si="6"/>
        <v>5</v>
      </c>
      <c r="V14" s="17">
        <f t="shared" si="6"/>
        <v>50</v>
      </c>
      <c r="W14" s="17">
        <f t="shared" si="6"/>
        <v>1</v>
      </c>
      <c r="X14" s="17">
        <f t="shared" si="6"/>
        <v>0</v>
      </c>
      <c r="Y14" s="17">
        <f t="shared" si="6"/>
        <v>12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101</v>
      </c>
      <c r="AD14" s="17">
        <f t="shared" si="6"/>
        <v>0</v>
      </c>
      <c r="AE14" s="31">
        <f t="shared" si="6"/>
        <v>97</v>
      </c>
      <c r="AF14" s="31">
        <f t="shared" si="6"/>
        <v>198</v>
      </c>
    </row>
    <row r="15" spans="2:32" ht="23.1" customHeight="1" x14ac:dyDescent="0.25">
      <c r="B15" s="23" t="s">
        <v>42</v>
      </c>
      <c r="C15" s="50">
        <v>4</v>
      </c>
      <c r="D15" s="50">
        <v>1</v>
      </c>
      <c r="E15" s="50">
        <v>1</v>
      </c>
      <c r="F15" s="50">
        <v>11</v>
      </c>
      <c r="G15" s="50">
        <v>4</v>
      </c>
      <c r="H15" s="50">
        <v>1</v>
      </c>
      <c r="I15" s="50">
        <v>2</v>
      </c>
      <c r="J15" s="50">
        <v>0</v>
      </c>
      <c r="K15" s="50">
        <v>4</v>
      </c>
      <c r="L15" s="50">
        <v>0</v>
      </c>
      <c r="M15" s="50">
        <v>13</v>
      </c>
      <c r="N15" s="50">
        <v>0</v>
      </c>
      <c r="O15" s="15">
        <f t="shared" si="0"/>
        <v>28</v>
      </c>
      <c r="P15" s="15">
        <f t="shared" si="1"/>
        <v>41</v>
      </c>
      <c r="R15" s="1" t="s">
        <v>11</v>
      </c>
      <c r="S15" s="17">
        <f t="shared" ref="S15:AF15" si="7">SUM(C30:C33)</f>
        <v>20</v>
      </c>
      <c r="T15" s="17">
        <f t="shared" si="7"/>
        <v>5</v>
      </c>
      <c r="U15" s="17">
        <f t="shared" si="7"/>
        <v>6</v>
      </c>
      <c r="V15" s="17">
        <f t="shared" si="7"/>
        <v>24</v>
      </c>
      <c r="W15" s="17">
        <f t="shared" si="7"/>
        <v>4</v>
      </c>
      <c r="X15" s="17">
        <f t="shared" si="7"/>
        <v>0</v>
      </c>
      <c r="Y15" s="17">
        <f t="shared" si="7"/>
        <v>3</v>
      </c>
      <c r="Z15" s="17">
        <f t="shared" si="7"/>
        <v>5</v>
      </c>
      <c r="AA15" s="17">
        <f t="shared" si="7"/>
        <v>0</v>
      </c>
      <c r="AB15" s="17">
        <f t="shared" si="7"/>
        <v>1</v>
      </c>
      <c r="AC15" s="17">
        <f t="shared" si="7"/>
        <v>82</v>
      </c>
      <c r="AD15" s="17">
        <f t="shared" si="7"/>
        <v>0</v>
      </c>
      <c r="AE15" s="31">
        <f t="shared" si="7"/>
        <v>68</v>
      </c>
      <c r="AF15" s="31">
        <f t="shared" si="7"/>
        <v>150</v>
      </c>
    </row>
    <row r="16" spans="2:32" ht="23.1" customHeight="1" x14ac:dyDescent="0.25">
      <c r="B16" s="23" t="s">
        <v>43</v>
      </c>
      <c r="C16" s="50">
        <v>3</v>
      </c>
      <c r="D16" s="50">
        <v>1</v>
      </c>
      <c r="E16" s="50">
        <v>3</v>
      </c>
      <c r="F16" s="50">
        <v>3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17</v>
      </c>
      <c r="N16" s="50">
        <v>0</v>
      </c>
      <c r="O16" s="15">
        <f t="shared" si="0"/>
        <v>13</v>
      </c>
      <c r="P16" s="15">
        <f t="shared" si="1"/>
        <v>30</v>
      </c>
      <c r="R16" s="1" t="s">
        <v>12</v>
      </c>
      <c r="S16" s="17">
        <f t="shared" ref="S16:AF16" si="8">SUM(C34:C37)</f>
        <v>46</v>
      </c>
      <c r="T16" s="17">
        <f t="shared" si="8"/>
        <v>3</v>
      </c>
      <c r="U16" s="17">
        <f t="shared" si="8"/>
        <v>11</v>
      </c>
      <c r="V16" s="17">
        <f t="shared" si="8"/>
        <v>21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6</v>
      </c>
      <c r="AA16" s="17">
        <f t="shared" si="8"/>
        <v>1</v>
      </c>
      <c r="AB16" s="17">
        <f t="shared" si="8"/>
        <v>3</v>
      </c>
      <c r="AC16" s="17">
        <f t="shared" si="8"/>
        <v>84</v>
      </c>
      <c r="AD16" s="17">
        <f t="shared" si="8"/>
        <v>0</v>
      </c>
      <c r="AE16" s="31">
        <f t="shared" si="8"/>
        <v>103</v>
      </c>
      <c r="AF16" s="31">
        <f t="shared" si="8"/>
        <v>187</v>
      </c>
    </row>
    <row r="17" spans="2:32" ht="23.1" customHeight="1" x14ac:dyDescent="0.25">
      <c r="B17" s="23" t="s">
        <v>44</v>
      </c>
      <c r="C17" s="50">
        <v>5</v>
      </c>
      <c r="D17" s="50">
        <v>1</v>
      </c>
      <c r="E17" s="50">
        <v>0</v>
      </c>
      <c r="F17" s="50">
        <v>2</v>
      </c>
      <c r="G17" s="50">
        <v>0</v>
      </c>
      <c r="H17" s="50">
        <v>0</v>
      </c>
      <c r="I17" s="50">
        <v>2</v>
      </c>
      <c r="J17" s="50">
        <v>0</v>
      </c>
      <c r="K17" s="50">
        <v>1</v>
      </c>
      <c r="L17" s="50">
        <v>0</v>
      </c>
      <c r="M17" s="50">
        <v>30</v>
      </c>
      <c r="N17" s="50">
        <v>0</v>
      </c>
      <c r="O17" s="15">
        <f t="shared" si="0"/>
        <v>11</v>
      </c>
      <c r="P17" s="15">
        <f t="shared" si="1"/>
        <v>41</v>
      </c>
      <c r="R17" s="1" t="s">
        <v>13</v>
      </c>
      <c r="S17" s="17">
        <f t="shared" ref="S17:AF17" si="9">SUM(C38:C41)</f>
        <v>75</v>
      </c>
      <c r="T17" s="17">
        <f t="shared" si="9"/>
        <v>4</v>
      </c>
      <c r="U17" s="17">
        <f t="shared" si="9"/>
        <v>17</v>
      </c>
      <c r="V17" s="17">
        <f t="shared" si="9"/>
        <v>41</v>
      </c>
      <c r="W17" s="17">
        <f t="shared" si="9"/>
        <v>0</v>
      </c>
      <c r="X17" s="17">
        <f t="shared" si="9"/>
        <v>1</v>
      </c>
      <c r="Y17" s="17">
        <f t="shared" si="9"/>
        <v>10</v>
      </c>
      <c r="Z17" s="17">
        <f t="shared" si="9"/>
        <v>11</v>
      </c>
      <c r="AA17" s="17">
        <f t="shared" si="9"/>
        <v>1</v>
      </c>
      <c r="AB17" s="17">
        <f t="shared" si="9"/>
        <v>1</v>
      </c>
      <c r="AC17" s="17">
        <f t="shared" si="9"/>
        <v>128</v>
      </c>
      <c r="AD17" s="17">
        <f t="shared" si="9"/>
        <v>0</v>
      </c>
      <c r="AE17" s="31">
        <f t="shared" si="9"/>
        <v>161</v>
      </c>
      <c r="AF17" s="31">
        <f t="shared" si="9"/>
        <v>289</v>
      </c>
    </row>
    <row r="18" spans="2:32" ht="23.1" customHeight="1" x14ac:dyDescent="0.25">
      <c r="B18" s="23" t="s">
        <v>45</v>
      </c>
      <c r="C18" s="50">
        <v>8</v>
      </c>
      <c r="D18" s="50">
        <v>1</v>
      </c>
      <c r="E18" s="50">
        <v>5</v>
      </c>
      <c r="F18" s="50">
        <v>10</v>
      </c>
      <c r="G18" s="50">
        <v>0</v>
      </c>
      <c r="H18" s="50">
        <v>0</v>
      </c>
      <c r="I18" s="50">
        <v>3</v>
      </c>
      <c r="J18" s="50">
        <v>0</v>
      </c>
      <c r="K18" s="50">
        <v>0</v>
      </c>
      <c r="L18" s="50">
        <v>0</v>
      </c>
      <c r="M18" s="50">
        <v>38</v>
      </c>
      <c r="N18" s="50">
        <v>0</v>
      </c>
      <c r="O18" s="15">
        <f t="shared" si="0"/>
        <v>27</v>
      </c>
      <c r="P18" s="15">
        <f t="shared" si="1"/>
        <v>65</v>
      </c>
      <c r="R18" s="1" t="s">
        <v>14</v>
      </c>
      <c r="S18" s="17">
        <f t="shared" ref="S18:AF18" si="10">SUM(C42:C45)</f>
        <v>99</v>
      </c>
      <c r="T18" s="17">
        <f t="shared" si="10"/>
        <v>3</v>
      </c>
      <c r="U18" s="17">
        <f t="shared" si="10"/>
        <v>14</v>
      </c>
      <c r="V18" s="17">
        <f t="shared" si="10"/>
        <v>41</v>
      </c>
      <c r="W18" s="17">
        <f t="shared" si="10"/>
        <v>2</v>
      </c>
      <c r="X18" s="17">
        <f t="shared" si="10"/>
        <v>0</v>
      </c>
      <c r="Y18" s="17">
        <f t="shared" si="10"/>
        <v>15</v>
      </c>
      <c r="Z18" s="17">
        <f t="shared" si="10"/>
        <v>5</v>
      </c>
      <c r="AA18" s="17">
        <f t="shared" si="10"/>
        <v>0</v>
      </c>
      <c r="AB18" s="17">
        <f t="shared" si="10"/>
        <v>1</v>
      </c>
      <c r="AC18" s="17">
        <f t="shared" si="10"/>
        <v>133</v>
      </c>
      <c r="AD18" s="17">
        <f t="shared" si="10"/>
        <v>0</v>
      </c>
      <c r="AE18" s="31">
        <f t="shared" si="10"/>
        <v>180</v>
      </c>
      <c r="AF18" s="31">
        <f t="shared" si="10"/>
        <v>313</v>
      </c>
    </row>
    <row r="19" spans="2:32" ht="23.1" customHeight="1" x14ac:dyDescent="0.25">
      <c r="B19" s="23" t="s">
        <v>46</v>
      </c>
      <c r="C19" s="50">
        <v>20</v>
      </c>
      <c r="D19" s="50">
        <v>0</v>
      </c>
      <c r="E19" s="50">
        <v>4</v>
      </c>
      <c r="F19" s="50">
        <v>13</v>
      </c>
      <c r="G19" s="50">
        <v>1</v>
      </c>
      <c r="H19" s="50">
        <v>2</v>
      </c>
      <c r="I19" s="50">
        <v>3</v>
      </c>
      <c r="J19" s="50">
        <v>2</v>
      </c>
      <c r="K19" s="50">
        <v>0</v>
      </c>
      <c r="L19" s="50">
        <v>0</v>
      </c>
      <c r="M19" s="50">
        <v>35</v>
      </c>
      <c r="N19" s="50">
        <v>0</v>
      </c>
      <c r="O19" s="15">
        <f t="shared" si="0"/>
        <v>45</v>
      </c>
      <c r="P19" s="15">
        <f t="shared" si="1"/>
        <v>80</v>
      </c>
      <c r="R19" s="1" t="s">
        <v>15</v>
      </c>
      <c r="S19" s="17">
        <f t="shared" ref="S19:AF19" si="11">SUM(C46:C49)</f>
        <v>68</v>
      </c>
      <c r="T19" s="17">
        <f t="shared" si="11"/>
        <v>1</v>
      </c>
      <c r="U19" s="17">
        <f t="shared" si="11"/>
        <v>11</v>
      </c>
      <c r="V19" s="17">
        <f t="shared" si="11"/>
        <v>40</v>
      </c>
      <c r="W19" s="17">
        <f t="shared" si="11"/>
        <v>10</v>
      </c>
      <c r="X19" s="17">
        <f t="shared" si="11"/>
        <v>0</v>
      </c>
      <c r="Y19" s="17">
        <f t="shared" si="11"/>
        <v>7</v>
      </c>
      <c r="Z19" s="17">
        <f t="shared" si="11"/>
        <v>3</v>
      </c>
      <c r="AA19" s="17">
        <f t="shared" si="11"/>
        <v>4</v>
      </c>
      <c r="AB19" s="17">
        <f t="shared" si="11"/>
        <v>2</v>
      </c>
      <c r="AC19" s="17">
        <f t="shared" si="11"/>
        <v>106</v>
      </c>
      <c r="AD19" s="17">
        <f t="shared" si="11"/>
        <v>0</v>
      </c>
      <c r="AE19" s="31">
        <f t="shared" si="11"/>
        <v>146</v>
      </c>
      <c r="AF19" s="31">
        <f t="shared" si="11"/>
        <v>252</v>
      </c>
    </row>
    <row r="20" spans="2:32" ht="23.1" customHeight="1" x14ac:dyDescent="0.25">
      <c r="B20" s="23" t="s">
        <v>47</v>
      </c>
      <c r="C20" s="50">
        <v>17</v>
      </c>
      <c r="D20" s="50">
        <v>0</v>
      </c>
      <c r="E20" s="50">
        <v>10</v>
      </c>
      <c r="F20" s="50">
        <v>15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30</v>
      </c>
      <c r="N20" s="50">
        <v>0</v>
      </c>
      <c r="O20" s="15">
        <f t="shared" si="0"/>
        <v>43</v>
      </c>
      <c r="P20" s="15">
        <f t="shared" si="1"/>
        <v>73</v>
      </c>
      <c r="R20" s="1" t="s">
        <v>16</v>
      </c>
      <c r="S20" s="17">
        <f t="shared" ref="S20:AF20" si="12">SUM(C50:C53)</f>
        <v>61</v>
      </c>
      <c r="T20" s="17">
        <f t="shared" si="12"/>
        <v>3</v>
      </c>
      <c r="U20" s="17">
        <f t="shared" si="12"/>
        <v>6</v>
      </c>
      <c r="V20" s="17">
        <f t="shared" si="12"/>
        <v>32</v>
      </c>
      <c r="W20" s="17">
        <f t="shared" si="12"/>
        <v>0</v>
      </c>
      <c r="X20" s="17">
        <f t="shared" si="12"/>
        <v>0</v>
      </c>
      <c r="Y20" s="17">
        <f t="shared" si="12"/>
        <v>19</v>
      </c>
      <c r="Z20" s="17">
        <f t="shared" si="12"/>
        <v>1</v>
      </c>
      <c r="AA20" s="17">
        <f t="shared" si="12"/>
        <v>0</v>
      </c>
      <c r="AB20" s="17">
        <f t="shared" si="12"/>
        <v>2</v>
      </c>
      <c r="AC20" s="17">
        <f t="shared" si="12"/>
        <v>85</v>
      </c>
      <c r="AD20" s="17">
        <f t="shared" si="12"/>
        <v>0</v>
      </c>
      <c r="AE20" s="31">
        <f t="shared" si="12"/>
        <v>124</v>
      </c>
      <c r="AF20" s="31">
        <f t="shared" si="12"/>
        <v>209</v>
      </c>
    </row>
    <row r="21" spans="2:32" ht="23.1" customHeight="1" x14ac:dyDescent="0.25">
      <c r="B21" s="23" t="s">
        <v>48</v>
      </c>
      <c r="C21" s="50">
        <v>2</v>
      </c>
      <c r="D21" s="50">
        <v>2</v>
      </c>
      <c r="E21" s="50">
        <v>0</v>
      </c>
      <c r="F21" s="50">
        <v>6</v>
      </c>
      <c r="G21" s="50">
        <v>0</v>
      </c>
      <c r="H21" s="50">
        <v>0</v>
      </c>
      <c r="I21" s="50">
        <v>4</v>
      </c>
      <c r="J21" s="50">
        <v>2</v>
      </c>
      <c r="K21" s="50">
        <v>1</v>
      </c>
      <c r="L21" s="50">
        <v>0</v>
      </c>
      <c r="M21" s="50">
        <v>25</v>
      </c>
      <c r="N21" s="50">
        <v>0</v>
      </c>
      <c r="O21" s="15">
        <f t="shared" si="0"/>
        <v>17</v>
      </c>
      <c r="P21" s="15">
        <f t="shared" si="1"/>
        <v>42</v>
      </c>
      <c r="R21" s="36" t="s">
        <v>20</v>
      </c>
      <c r="S21" s="34">
        <f t="shared" ref="S21:AF21" si="13">SUM(C54:C57)</f>
        <v>76</v>
      </c>
      <c r="T21" s="17">
        <f t="shared" si="13"/>
        <v>4</v>
      </c>
      <c r="U21" s="17">
        <f t="shared" si="13"/>
        <v>5</v>
      </c>
      <c r="V21" s="17">
        <f t="shared" si="13"/>
        <v>20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2</v>
      </c>
      <c r="AA21" s="17">
        <f t="shared" si="13"/>
        <v>4</v>
      </c>
      <c r="AB21" s="17">
        <f t="shared" si="13"/>
        <v>0</v>
      </c>
      <c r="AC21" s="17">
        <f t="shared" si="13"/>
        <v>80</v>
      </c>
      <c r="AD21" s="17">
        <f t="shared" si="13"/>
        <v>0</v>
      </c>
      <c r="AE21" s="31">
        <f t="shared" si="13"/>
        <v>119</v>
      </c>
      <c r="AF21" s="31">
        <f t="shared" si="13"/>
        <v>199</v>
      </c>
    </row>
    <row r="22" spans="2:32" ht="23.1" customHeight="1" x14ac:dyDescent="0.25">
      <c r="B22" s="23" t="s">
        <v>49</v>
      </c>
      <c r="C22" s="50">
        <v>10</v>
      </c>
      <c r="D22" s="50">
        <v>1</v>
      </c>
      <c r="E22" s="50">
        <v>6</v>
      </c>
      <c r="F22" s="50">
        <v>15</v>
      </c>
      <c r="G22" s="50">
        <v>1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30</v>
      </c>
      <c r="N22" s="50">
        <v>0</v>
      </c>
      <c r="O22" s="15">
        <f t="shared" si="0"/>
        <v>33</v>
      </c>
      <c r="P22" s="15">
        <f t="shared" si="1"/>
        <v>63</v>
      </c>
      <c r="R22" s="38" t="s">
        <v>90</v>
      </c>
      <c r="S22" s="39">
        <f>MAX(S10:S12)</f>
        <v>47</v>
      </c>
      <c r="T22" s="39">
        <f t="shared" ref="T22:AF22" si="14">MAX(T10:T12)</f>
        <v>3</v>
      </c>
      <c r="U22" s="39">
        <f t="shared" si="14"/>
        <v>19</v>
      </c>
      <c r="V22" s="39">
        <f t="shared" si="14"/>
        <v>44</v>
      </c>
      <c r="W22" s="39">
        <f t="shared" si="14"/>
        <v>4</v>
      </c>
      <c r="X22" s="39">
        <f t="shared" si="14"/>
        <v>2</v>
      </c>
      <c r="Y22" s="39">
        <f t="shared" si="14"/>
        <v>10</v>
      </c>
      <c r="Z22" s="39">
        <f t="shared" si="14"/>
        <v>5</v>
      </c>
      <c r="AA22" s="39">
        <f t="shared" si="14"/>
        <v>5</v>
      </c>
      <c r="AB22" s="39">
        <f t="shared" si="14"/>
        <v>0</v>
      </c>
      <c r="AC22" s="39">
        <f t="shared" si="14"/>
        <v>128</v>
      </c>
      <c r="AD22" s="39">
        <f t="shared" si="14"/>
        <v>0</v>
      </c>
      <c r="AE22" s="40">
        <f t="shared" si="14"/>
        <v>132</v>
      </c>
      <c r="AF22" s="40">
        <f t="shared" si="14"/>
        <v>260</v>
      </c>
    </row>
    <row r="23" spans="2:32" ht="23.1" customHeight="1" x14ac:dyDescent="0.25">
      <c r="B23" s="23" t="s">
        <v>50</v>
      </c>
      <c r="C23" s="50">
        <v>11</v>
      </c>
      <c r="D23" s="50">
        <v>2</v>
      </c>
      <c r="E23" s="50">
        <v>1</v>
      </c>
      <c r="F23" s="50">
        <v>17</v>
      </c>
      <c r="G23" s="50">
        <v>1</v>
      </c>
      <c r="H23" s="50">
        <v>1</v>
      </c>
      <c r="I23" s="50">
        <v>1</v>
      </c>
      <c r="J23" s="50">
        <v>1</v>
      </c>
      <c r="K23" s="50">
        <v>0</v>
      </c>
      <c r="L23" s="50">
        <v>0</v>
      </c>
      <c r="M23" s="50">
        <v>25</v>
      </c>
      <c r="N23" s="50">
        <v>0</v>
      </c>
      <c r="O23" s="15">
        <f t="shared" si="0"/>
        <v>35</v>
      </c>
      <c r="P23" s="15">
        <f t="shared" si="1"/>
        <v>60</v>
      </c>
      <c r="R23" s="38" t="s">
        <v>91</v>
      </c>
      <c r="S23" s="39">
        <f>MAX(S13:S18)</f>
        <v>99</v>
      </c>
      <c r="T23" s="39">
        <f t="shared" ref="T23:AF23" si="15">MAX(T13:T18)</f>
        <v>8</v>
      </c>
      <c r="U23" s="39">
        <f t="shared" si="15"/>
        <v>17</v>
      </c>
      <c r="V23" s="39">
        <f t="shared" si="15"/>
        <v>50</v>
      </c>
      <c r="W23" s="39">
        <f t="shared" si="15"/>
        <v>4</v>
      </c>
      <c r="X23" s="39">
        <f t="shared" si="15"/>
        <v>1</v>
      </c>
      <c r="Y23" s="39">
        <f t="shared" si="15"/>
        <v>15</v>
      </c>
      <c r="Z23" s="39">
        <f t="shared" si="15"/>
        <v>11</v>
      </c>
      <c r="AA23" s="39">
        <f t="shared" si="15"/>
        <v>1</v>
      </c>
      <c r="AB23" s="39">
        <f t="shared" si="15"/>
        <v>3</v>
      </c>
      <c r="AC23" s="39">
        <f t="shared" si="15"/>
        <v>133</v>
      </c>
      <c r="AD23" s="39">
        <f t="shared" si="15"/>
        <v>0</v>
      </c>
      <c r="AE23" s="40">
        <f t="shared" si="15"/>
        <v>180</v>
      </c>
      <c r="AF23" s="40">
        <f t="shared" si="15"/>
        <v>313</v>
      </c>
    </row>
    <row r="24" spans="2:32" ht="23.1" customHeight="1" x14ac:dyDescent="0.25">
      <c r="B24" s="23" t="s">
        <v>51</v>
      </c>
      <c r="C24" s="50">
        <v>13</v>
      </c>
      <c r="D24" s="50">
        <v>4</v>
      </c>
      <c r="E24" s="50">
        <v>0</v>
      </c>
      <c r="F24" s="50">
        <v>2</v>
      </c>
      <c r="G24" s="50">
        <v>0</v>
      </c>
      <c r="H24" s="50">
        <v>0</v>
      </c>
      <c r="I24" s="50">
        <v>0</v>
      </c>
      <c r="J24" s="50">
        <v>2</v>
      </c>
      <c r="K24" s="50">
        <v>0</v>
      </c>
      <c r="L24" s="50">
        <v>0</v>
      </c>
      <c r="M24" s="50">
        <v>25</v>
      </c>
      <c r="N24" s="50">
        <v>0</v>
      </c>
      <c r="O24" s="15">
        <f t="shared" si="0"/>
        <v>21</v>
      </c>
      <c r="P24" s="15">
        <f t="shared" si="1"/>
        <v>46</v>
      </c>
      <c r="R24" s="38" t="s">
        <v>92</v>
      </c>
      <c r="S24" s="39">
        <f>MAX(S19:S21)</f>
        <v>76</v>
      </c>
      <c r="T24" s="39">
        <f t="shared" ref="T24:AF24" si="16">MAX(T19:T21)</f>
        <v>4</v>
      </c>
      <c r="U24" s="39">
        <f t="shared" si="16"/>
        <v>11</v>
      </c>
      <c r="V24" s="39">
        <f t="shared" si="16"/>
        <v>40</v>
      </c>
      <c r="W24" s="39">
        <f t="shared" si="16"/>
        <v>10</v>
      </c>
      <c r="X24" s="39">
        <f t="shared" si="16"/>
        <v>0</v>
      </c>
      <c r="Y24" s="39">
        <f t="shared" si="16"/>
        <v>19</v>
      </c>
      <c r="Z24" s="39">
        <f t="shared" si="16"/>
        <v>3</v>
      </c>
      <c r="AA24" s="39">
        <f t="shared" si="16"/>
        <v>4</v>
      </c>
      <c r="AB24" s="39">
        <f t="shared" si="16"/>
        <v>2</v>
      </c>
      <c r="AC24" s="39">
        <f t="shared" si="16"/>
        <v>106</v>
      </c>
      <c r="AD24" s="39">
        <f t="shared" si="16"/>
        <v>0</v>
      </c>
      <c r="AE24" s="40">
        <f t="shared" si="16"/>
        <v>146</v>
      </c>
      <c r="AF24" s="40">
        <f t="shared" si="16"/>
        <v>252</v>
      </c>
    </row>
    <row r="25" spans="2:32" ht="23.1" customHeight="1" x14ac:dyDescent="0.25">
      <c r="B25" s="23" t="s">
        <v>52</v>
      </c>
      <c r="C25" s="50">
        <v>3</v>
      </c>
      <c r="D25" s="50">
        <v>1</v>
      </c>
      <c r="E25" s="50">
        <v>2</v>
      </c>
      <c r="F25" s="50">
        <v>1</v>
      </c>
      <c r="G25" s="50">
        <v>0</v>
      </c>
      <c r="H25" s="50">
        <v>0</v>
      </c>
      <c r="I25" s="50">
        <v>2</v>
      </c>
      <c r="J25" s="50">
        <v>1</v>
      </c>
      <c r="K25" s="50">
        <v>0</v>
      </c>
      <c r="L25" s="50">
        <v>0</v>
      </c>
      <c r="M25" s="50">
        <v>20</v>
      </c>
      <c r="N25" s="50">
        <v>0</v>
      </c>
      <c r="O25" s="15">
        <f t="shared" si="0"/>
        <v>10</v>
      </c>
      <c r="P25" s="15">
        <f t="shared" si="1"/>
        <v>30</v>
      </c>
      <c r="R25" s="37" t="s">
        <v>85</v>
      </c>
      <c r="S25" s="35">
        <f t="shared" ref="S25:AF25" si="17">SUM(S10:S12)</f>
        <v>76</v>
      </c>
      <c r="T25" s="16">
        <f t="shared" si="17"/>
        <v>6</v>
      </c>
      <c r="U25" s="16">
        <f t="shared" si="17"/>
        <v>29</v>
      </c>
      <c r="V25" s="16">
        <f t="shared" si="17"/>
        <v>87</v>
      </c>
      <c r="W25" s="16">
        <f t="shared" si="17"/>
        <v>5</v>
      </c>
      <c r="X25" s="16">
        <f t="shared" si="17"/>
        <v>3</v>
      </c>
      <c r="Y25" s="16">
        <f t="shared" si="17"/>
        <v>22</v>
      </c>
      <c r="Z25" s="16">
        <f t="shared" si="17"/>
        <v>8</v>
      </c>
      <c r="AA25" s="16">
        <f t="shared" si="17"/>
        <v>8</v>
      </c>
      <c r="AB25" s="16">
        <f t="shared" si="17"/>
        <v>0</v>
      </c>
      <c r="AC25" s="16">
        <f t="shared" si="17"/>
        <v>244</v>
      </c>
      <c r="AD25" s="16">
        <f t="shared" si="17"/>
        <v>0</v>
      </c>
      <c r="AE25" s="32">
        <f t="shared" si="17"/>
        <v>244</v>
      </c>
      <c r="AF25" s="32">
        <f t="shared" si="17"/>
        <v>488</v>
      </c>
    </row>
    <row r="26" spans="2:32" ht="23.1" customHeight="1" x14ac:dyDescent="0.25">
      <c r="B26" s="23" t="s">
        <v>53</v>
      </c>
      <c r="C26" s="50">
        <v>4</v>
      </c>
      <c r="D26" s="50">
        <v>0</v>
      </c>
      <c r="E26" s="50">
        <v>0</v>
      </c>
      <c r="F26" s="50">
        <v>5</v>
      </c>
      <c r="G26" s="50">
        <v>1</v>
      </c>
      <c r="H26" s="50">
        <v>0</v>
      </c>
      <c r="I26" s="50">
        <v>5</v>
      </c>
      <c r="J26" s="50">
        <v>1</v>
      </c>
      <c r="K26" s="50">
        <v>0</v>
      </c>
      <c r="L26" s="50">
        <v>0</v>
      </c>
      <c r="M26" s="50">
        <v>30</v>
      </c>
      <c r="N26" s="50">
        <v>0</v>
      </c>
      <c r="O26" s="15">
        <f t="shared" si="0"/>
        <v>16</v>
      </c>
      <c r="P26" s="15">
        <f t="shared" si="1"/>
        <v>46</v>
      </c>
      <c r="R26" s="28" t="s">
        <v>86</v>
      </c>
      <c r="S26" s="16">
        <f t="shared" ref="S26:AF26" si="18">SUM(S13:S18)</f>
        <v>302</v>
      </c>
      <c r="T26" s="16">
        <f t="shared" si="18"/>
        <v>25</v>
      </c>
      <c r="U26" s="16">
        <f t="shared" si="18"/>
        <v>62</v>
      </c>
      <c r="V26" s="16">
        <f t="shared" si="18"/>
        <v>212</v>
      </c>
      <c r="W26" s="16">
        <f t="shared" si="18"/>
        <v>9</v>
      </c>
      <c r="X26" s="16">
        <f t="shared" si="18"/>
        <v>2</v>
      </c>
      <c r="Y26" s="16">
        <f t="shared" si="18"/>
        <v>55</v>
      </c>
      <c r="Z26" s="16">
        <f t="shared" si="18"/>
        <v>33</v>
      </c>
      <c r="AA26" s="16">
        <f t="shared" si="18"/>
        <v>2</v>
      </c>
      <c r="AB26" s="16">
        <f t="shared" si="18"/>
        <v>6</v>
      </c>
      <c r="AC26" s="16">
        <f t="shared" si="18"/>
        <v>628</v>
      </c>
      <c r="AD26" s="16">
        <f t="shared" si="18"/>
        <v>0</v>
      </c>
      <c r="AE26" s="32">
        <f t="shared" si="18"/>
        <v>708</v>
      </c>
      <c r="AF26" s="32">
        <f t="shared" si="18"/>
        <v>1336</v>
      </c>
    </row>
    <row r="27" spans="2:32" ht="23.1" customHeight="1" x14ac:dyDescent="0.25">
      <c r="B27" s="23" t="s">
        <v>54</v>
      </c>
      <c r="C27" s="50">
        <v>5</v>
      </c>
      <c r="D27" s="50">
        <v>0</v>
      </c>
      <c r="E27" s="50">
        <v>3</v>
      </c>
      <c r="F27" s="50">
        <v>11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26</v>
      </c>
      <c r="N27" s="50">
        <v>0</v>
      </c>
      <c r="O27" s="15">
        <f t="shared" si="0"/>
        <v>22</v>
      </c>
      <c r="P27" s="15">
        <f t="shared" si="1"/>
        <v>48</v>
      </c>
      <c r="R27" s="29" t="s">
        <v>87</v>
      </c>
      <c r="S27" s="16">
        <f t="shared" ref="S27:AF27" si="19">SUM(S19:S21)</f>
        <v>205</v>
      </c>
      <c r="T27" s="16">
        <f t="shared" si="19"/>
        <v>8</v>
      </c>
      <c r="U27" s="16">
        <f t="shared" si="19"/>
        <v>22</v>
      </c>
      <c r="V27" s="16">
        <f t="shared" si="19"/>
        <v>92</v>
      </c>
      <c r="W27" s="16">
        <f t="shared" si="19"/>
        <v>10</v>
      </c>
      <c r="X27" s="16">
        <f t="shared" si="19"/>
        <v>0</v>
      </c>
      <c r="Y27" s="16">
        <f t="shared" si="19"/>
        <v>34</v>
      </c>
      <c r="Z27" s="16">
        <f t="shared" si="19"/>
        <v>6</v>
      </c>
      <c r="AA27" s="16">
        <f t="shared" si="19"/>
        <v>8</v>
      </c>
      <c r="AB27" s="16">
        <f t="shared" si="19"/>
        <v>4</v>
      </c>
      <c r="AC27" s="16">
        <f t="shared" si="19"/>
        <v>271</v>
      </c>
      <c r="AD27" s="16">
        <f t="shared" si="19"/>
        <v>0</v>
      </c>
      <c r="AE27" s="32">
        <f t="shared" si="19"/>
        <v>389</v>
      </c>
      <c r="AF27" s="32">
        <f t="shared" si="19"/>
        <v>660</v>
      </c>
    </row>
    <row r="28" spans="2:32" ht="23.1" customHeight="1" x14ac:dyDescent="0.25">
      <c r="B28" s="23" t="s">
        <v>55</v>
      </c>
      <c r="C28" s="50">
        <v>9</v>
      </c>
      <c r="D28" s="50">
        <v>2</v>
      </c>
      <c r="E28" s="50">
        <v>2</v>
      </c>
      <c r="F28" s="50">
        <v>19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27</v>
      </c>
      <c r="N28" s="50">
        <v>0</v>
      </c>
      <c r="O28" s="15">
        <f t="shared" si="0"/>
        <v>35</v>
      </c>
      <c r="P28" s="15">
        <f t="shared" si="1"/>
        <v>62</v>
      </c>
      <c r="R28" s="5" t="s">
        <v>17</v>
      </c>
      <c r="S28" s="16">
        <f t="shared" ref="S28:AF28" si="20">SUM(S10:S21)</f>
        <v>583</v>
      </c>
      <c r="T28" s="16">
        <f t="shared" si="20"/>
        <v>39</v>
      </c>
      <c r="U28" s="16">
        <f t="shared" si="20"/>
        <v>113</v>
      </c>
      <c r="V28" s="16">
        <f t="shared" si="20"/>
        <v>391</v>
      </c>
      <c r="W28" s="16">
        <f t="shared" si="20"/>
        <v>24</v>
      </c>
      <c r="X28" s="16">
        <f t="shared" si="20"/>
        <v>5</v>
      </c>
      <c r="Y28" s="16">
        <f t="shared" si="20"/>
        <v>111</v>
      </c>
      <c r="Z28" s="16">
        <f t="shared" si="20"/>
        <v>47</v>
      </c>
      <c r="AA28" s="16">
        <f t="shared" si="20"/>
        <v>18</v>
      </c>
      <c r="AB28" s="16">
        <f t="shared" si="20"/>
        <v>10</v>
      </c>
      <c r="AC28" s="16">
        <f t="shared" si="20"/>
        <v>1143</v>
      </c>
      <c r="AD28" s="16">
        <f t="shared" si="20"/>
        <v>0</v>
      </c>
      <c r="AE28" s="32">
        <f t="shared" si="20"/>
        <v>1341</v>
      </c>
      <c r="AF28" s="32">
        <f t="shared" si="20"/>
        <v>2484</v>
      </c>
    </row>
    <row r="29" spans="2:32" ht="23.1" customHeight="1" x14ac:dyDescent="0.25">
      <c r="B29" s="23" t="s">
        <v>56</v>
      </c>
      <c r="C29" s="50">
        <v>7</v>
      </c>
      <c r="D29" s="50">
        <v>0</v>
      </c>
      <c r="E29" s="50">
        <v>0</v>
      </c>
      <c r="F29" s="50">
        <v>15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18</v>
      </c>
      <c r="N29" s="50">
        <v>0</v>
      </c>
      <c r="O29" s="15">
        <f t="shared" si="0"/>
        <v>24</v>
      </c>
      <c r="P29" s="15">
        <f t="shared" si="1"/>
        <v>42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1</v>
      </c>
      <c r="E30" s="50">
        <v>2</v>
      </c>
      <c r="F30" s="50">
        <v>8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18</v>
      </c>
      <c r="N30" s="50">
        <v>0</v>
      </c>
      <c r="O30" s="15">
        <f t="shared" si="0"/>
        <v>16</v>
      </c>
      <c r="P30" s="15">
        <f t="shared" si="1"/>
        <v>34</v>
      </c>
    </row>
    <row r="31" spans="2:32" ht="23.1" customHeight="1" x14ac:dyDescent="0.25">
      <c r="B31" s="24" t="s">
        <v>58</v>
      </c>
      <c r="C31" s="50">
        <v>3</v>
      </c>
      <c r="D31" s="50">
        <v>2</v>
      </c>
      <c r="E31" s="50">
        <v>0</v>
      </c>
      <c r="F31" s="50">
        <v>0</v>
      </c>
      <c r="G31" s="50">
        <v>4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10</v>
      </c>
      <c r="P31" s="15">
        <f t="shared" si="1"/>
        <v>21</v>
      </c>
    </row>
    <row r="32" spans="2:32" ht="23.1" customHeight="1" x14ac:dyDescent="0.25">
      <c r="B32" s="24" t="s">
        <v>59</v>
      </c>
      <c r="C32" s="50">
        <v>7</v>
      </c>
      <c r="D32" s="50">
        <v>2</v>
      </c>
      <c r="E32" s="50">
        <v>3</v>
      </c>
      <c r="F32" s="50">
        <v>10</v>
      </c>
      <c r="G32" s="50">
        <v>0</v>
      </c>
      <c r="H32" s="50">
        <v>0</v>
      </c>
      <c r="I32" s="50">
        <v>0</v>
      </c>
      <c r="J32" s="50">
        <v>3</v>
      </c>
      <c r="K32" s="50">
        <v>0</v>
      </c>
      <c r="L32" s="50">
        <v>0</v>
      </c>
      <c r="M32" s="50">
        <v>35</v>
      </c>
      <c r="N32" s="50">
        <v>0</v>
      </c>
      <c r="O32" s="15">
        <f t="shared" si="0"/>
        <v>25</v>
      </c>
      <c r="P32" s="15">
        <f t="shared" si="1"/>
        <v>60</v>
      </c>
    </row>
    <row r="33" spans="2:20" ht="23.1" customHeight="1" x14ac:dyDescent="0.25">
      <c r="B33" s="23" t="s">
        <v>60</v>
      </c>
      <c r="C33" s="50">
        <v>7</v>
      </c>
      <c r="D33" s="50">
        <v>0</v>
      </c>
      <c r="E33" s="50">
        <v>1</v>
      </c>
      <c r="F33" s="50">
        <v>6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1</v>
      </c>
      <c r="M33" s="50">
        <v>18</v>
      </c>
      <c r="N33" s="50">
        <v>0</v>
      </c>
      <c r="O33" s="15">
        <f t="shared" si="0"/>
        <v>17</v>
      </c>
      <c r="P33" s="15">
        <f t="shared" si="1"/>
        <v>35</v>
      </c>
    </row>
    <row r="34" spans="2:20" ht="23.1" customHeight="1" x14ac:dyDescent="0.25">
      <c r="B34" s="24" t="s">
        <v>61</v>
      </c>
      <c r="C34" s="50">
        <v>7</v>
      </c>
      <c r="D34" s="50">
        <v>0</v>
      </c>
      <c r="E34" s="50">
        <v>2</v>
      </c>
      <c r="F34" s="50">
        <v>7</v>
      </c>
      <c r="G34" s="50">
        <v>0</v>
      </c>
      <c r="H34" s="50">
        <v>0</v>
      </c>
      <c r="I34" s="50">
        <v>3</v>
      </c>
      <c r="J34" s="50">
        <v>1</v>
      </c>
      <c r="K34" s="50">
        <v>1</v>
      </c>
      <c r="L34" s="50">
        <v>3</v>
      </c>
      <c r="M34" s="50">
        <v>20</v>
      </c>
      <c r="N34" s="50">
        <v>0</v>
      </c>
      <c r="O34" s="15">
        <f t="shared" si="0"/>
        <v>24</v>
      </c>
      <c r="P34" s="15">
        <f t="shared" si="1"/>
        <v>44</v>
      </c>
    </row>
    <row r="35" spans="2:20" ht="23.1" customHeight="1" x14ac:dyDescent="0.25">
      <c r="B35" s="24" t="s">
        <v>62</v>
      </c>
      <c r="C35" s="50">
        <v>11</v>
      </c>
      <c r="D35" s="50">
        <v>1</v>
      </c>
      <c r="E35" s="50">
        <v>5</v>
      </c>
      <c r="F35" s="50">
        <v>10</v>
      </c>
      <c r="G35" s="50">
        <v>0</v>
      </c>
      <c r="H35" s="50">
        <v>0</v>
      </c>
      <c r="I35" s="50">
        <v>2</v>
      </c>
      <c r="J35" s="50">
        <v>2</v>
      </c>
      <c r="K35" s="50">
        <v>0</v>
      </c>
      <c r="L35" s="50">
        <v>0</v>
      </c>
      <c r="M35" s="50">
        <v>22</v>
      </c>
      <c r="N35" s="50">
        <v>0</v>
      </c>
      <c r="O35" s="15">
        <f t="shared" si="0"/>
        <v>31</v>
      </c>
      <c r="P35" s="15">
        <f t="shared" si="1"/>
        <v>53</v>
      </c>
    </row>
    <row r="36" spans="2:20" ht="23.1" customHeight="1" x14ac:dyDescent="0.25">
      <c r="B36" s="24" t="s">
        <v>63</v>
      </c>
      <c r="C36" s="50">
        <v>13</v>
      </c>
      <c r="D36" s="50">
        <v>1</v>
      </c>
      <c r="E36" s="50">
        <v>3</v>
      </c>
      <c r="F36" s="50">
        <v>3</v>
      </c>
      <c r="G36" s="50">
        <v>0</v>
      </c>
      <c r="H36" s="50">
        <v>0</v>
      </c>
      <c r="I36" s="50">
        <v>3</v>
      </c>
      <c r="J36" s="50">
        <v>1</v>
      </c>
      <c r="K36" s="50">
        <v>0</v>
      </c>
      <c r="L36" s="50">
        <v>0</v>
      </c>
      <c r="M36" s="50">
        <v>17</v>
      </c>
      <c r="N36" s="50">
        <v>0</v>
      </c>
      <c r="O36" s="15">
        <f t="shared" si="0"/>
        <v>24</v>
      </c>
      <c r="P36" s="15">
        <f t="shared" si="1"/>
        <v>41</v>
      </c>
    </row>
    <row r="37" spans="2:20" ht="23.1" customHeight="1" x14ac:dyDescent="0.25">
      <c r="B37" s="23" t="s">
        <v>64</v>
      </c>
      <c r="C37" s="50">
        <v>15</v>
      </c>
      <c r="D37" s="50">
        <v>1</v>
      </c>
      <c r="E37" s="50">
        <v>1</v>
      </c>
      <c r="F37" s="50">
        <v>1</v>
      </c>
      <c r="G37" s="50">
        <v>0</v>
      </c>
      <c r="H37" s="50">
        <v>0</v>
      </c>
      <c r="I37" s="50">
        <v>4</v>
      </c>
      <c r="J37" s="50">
        <v>2</v>
      </c>
      <c r="K37" s="50">
        <v>0</v>
      </c>
      <c r="L37" s="50">
        <v>0</v>
      </c>
      <c r="M37" s="50">
        <v>25</v>
      </c>
      <c r="N37" s="50">
        <v>0</v>
      </c>
      <c r="O37" s="15">
        <f t="shared" si="0"/>
        <v>24</v>
      </c>
      <c r="P37" s="15">
        <f t="shared" si="1"/>
        <v>49</v>
      </c>
    </row>
    <row r="38" spans="2:20" ht="23.1" customHeight="1" x14ac:dyDescent="0.25">
      <c r="B38" s="24" t="s">
        <v>65</v>
      </c>
      <c r="C38" s="50">
        <v>27</v>
      </c>
      <c r="D38" s="50">
        <v>1</v>
      </c>
      <c r="E38" s="50">
        <v>8</v>
      </c>
      <c r="F38" s="50">
        <v>12</v>
      </c>
      <c r="G38" s="50">
        <v>0</v>
      </c>
      <c r="H38" s="50">
        <v>0</v>
      </c>
      <c r="I38" s="50">
        <v>4</v>
      </c>
      <c r="J38" s="50">
        <v>3</v>
      </c>
      <c r="K38" s="50">
        <v>1</v>
      </c>
      <c r="L38" s="50">
        <v>0</v>
      </c>
      <c r="M38" s="50">
        <v>36</v>
      </c>
      <c r="N38" s="50">
        <v>0</v>
      </c>
      <c r="O38" s="15">
        <f t="shared" si="0"/>
        <v>56</v>
      </c>
      <c r="P38" s="15">
        <f t="shared" si="1"/>
        <v>92</v>
      </c>
    </row>
    <row r="39" spans="2:20" ht="23.1" customHeight="1" x14ac:dyDescent="0.25">
      <c r="B39" s="24" t="s">
        <v>66</v>
      </c>
      <c r="C39" s="50">
        <v>15</v>
      </c>
      <c r="D39" s="50">
        <v>2</v>
      </c>
      <c r="E39" s="50">
        <v>3</v>
      </c>
      <c r="F39" s="50">
        <v>8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35</v>
      </c>
      <c r="N39" s="50">
        <v>0</v>
      </c>
      <c r="O39" s="15">
        <f t="shared" si="0"/>
        <v>29</v>
      </c>
      <c r="P39" s="15">
        <f t="shared" si="1"/>
        <v>64</v>
      </c>
    </row>
    <row r="40" spans="2:20" ht="23.1" customHeight="1" x14ac:dyDescent="0.25">
      <c r="B40" s="24" t="s">
        <v>67</v>
      </c>
      <c r="C40" s="50">
        <v>23</v>
      </c>
      <c r="D40" s="50">
        <v>1</v>
      </c>
      <c r="E40" s="50">
        <v>2</v>
      </c>
      <c r="F40" s="50">
        <v>11</v>
      </c>
      <c r="G40" s="50">
        <v>0</v>
      </c>
      <c r="H40" s="50">
        <v>1</v>
      </c>
      <c r="I40" s="50">
        <v>2</v>
      </c>
      <c r="J40" s="50">
        <v>1</v>
      </c>
      <c r="K40" s="50">
        <v>0</v>
      </c>
      <c r="L40" s="50">
        <v>0</v>
      </c>
      <c r="M40" s="50">
        <v>32</v>
      </c>
      <c r="N40" s="50">
        <v>0</v>
      </c>
      <c r="O40" s="15">
        <f t="shared" si="0"/>
        <v>41</v>
      </c>
      <c r="P40" s="15">
        <f t="shared" si="1"/>
        <v>73</v>
      </c>
    </row>
    <row r="41" spans="2:20" ht="23.1" customHeight="1" x14ac:dyDescent="0.25">
      <c r="B41" s="23" t="s">
        <v>68</v>
      </c>
      <c r="C41" s="50">
        <v>10</v>
      </c>
      <c r="D41" s="50">
        <v>0</v>
      </c>
      <c r="E41" s="50">
        <v>4</v>
      </c>
      <c r="F41" s="50">
        <v>10</v>
      </c>
      <c r="G41" s="50">
        <v>0</v>
      </c>
      <c r="H41" s="50">
        <v>0</v>
      </c>
      <c r="I41" s="50">
        <v>3</v>
      </c>
      <c r="J41" s="50">
        <v>7</v>
      </c>
      <c r="K41" s="50">
        <v>0</v>
      </c>
      <c r="L41" s="50">
        <v>1</v>
      </c>
      <c r="M41" s="50">
        <v>25</v>
      </c>
      <c r="N41" s="50">
        <v>0</v>
      </c>
      <c r="O41" s="15">
        <f t="shared" si="0"/>
        <v>35</v>
      </c>
      <c r="P41" s="15">
        <f t="shared" si="1"/>
        <v>60</v>
      </c>
    </row>
    <row r="42" spans="2:20" ht="23.1" customHeight="1" x14ac:dyDescent="0.25">
      <c r="B42" s="24" t="s">
        <v>69</v>
      </c>
      <c r="C42" s="50">
        <v>15</v>
      </c>
      <c r="D42" s="50">
        <v>2</v>
      </c>
      <c r="E42" s="50">
        <v>7</v>
      </c>
      <c r="F42" s="50">
        <v>13</v>
      </c>
      <c r="G42" s="50">
        <v>0</v>
      </c>
      <c r="H42" s="50">
        <v>0</v>
      </c>
      <c r="I42" s="50">
        <v>7</v>
      </c>
      <c r="J42" s="50">
        <v>0</v>
      </c>
      <c r="K42" s="50">
        <v>0</v>
      </c>
      <c r="L42" s="50">
        <v>0</v>
      </c>
      <c r="M42" s="50">
        <v>33</v>
      </c>
      <c r="N42" s="50">
        <v>0</v>
      </c>
      <c r="O42" s="15">
        <f t="shared" si="0"/>
        <v>44</v>
      </c>
      <c r="P42" s="15">
        <f t="shared" si="1"/>
        <v>77</v>
      </c>
    </row>
    <row r="43" spans="2:20" ht="23.1" customHeight="1" x14ac:dyDescent="0.25">
      <c r="B43" s="23" t="s">
        <v>70</v>
      </c>
      <c r="C43" s="50">
        <v>24</v>
      </c>
      <c r="D43" s="50">
        <v>1</v>
      </c>
      <c r="E43" s="50">
        <v>0</v>
      </c>
      <c r="F43" s="50">
        <v>8</v>
      </c>
      <c r="G43" s="50">
        <v>0</v>
      </c>
      <c r="H43" s="50">
        <v>0</v>
      </c>
      <c r="I43" s="50">
        <v>5</v>
      </c>
      <c r="J43" s="50">
        <v>3</v>
      </c>
      <c r="K43" s="50">
        <v>0</v>
      </c>
      <c r="L43" s="50">
        <v>1</v>
      </c>
      <c r="M43" s="50">
        <v>25</v>
      </c>
      <c r="N43" s="50">
        <v>0</v>
      </c>
      <c r="O43" s="15">
        <f t="shared" si="0"/>
        <v>42</v>
      </c>
      <c r="P43" s="15">
        <f t="shared" si="1"/>
        <v>67</v>
      </c>
    </row>
    <row r="44" spans="2:20" ht="23.1" customHeight="1" x14ac:dyDescent="0.25">
      <c r="B44" s="25" t="s">
        <v>71</v>
      </c>
      <c r="C44" s="50">
        <v>30</v>
      </c>
      <c r="D44" s="50">
        <v>0</v>
      </c>
      <c r="E44" s="50">
        <v>4</v>
      </c>
      <c r="F44" s="50">
        <v>8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50">
        <v>40</v>
      </c>
      <c r="N44" s="50">
        <v>0</v>
      </c>
      <c r="O44" s="15">
        <f t="shared" si="0"/>
        <v>45</v>
      </c>
      <c r="P44" s="15">
        <f t="shared" si="1"/>
        <v>85</v>
      </c>
    </row>
    <row r="45" spans="2:20" ht="23.1" customHeight="1" x14ac:dyDescent="0.25">
      <c r="B45" s="23" t="s">
        <v>72</v>
      </c>
      <c r="C45" s="50">
        <v>30</v>
      </c>
      <c r="D45" s="50">
        <v>0</v>
      </c>
      <c r="E45" s="50">
        <v>3</v>
      </c>
      <c r="F45" s="50">
        <v>12</v>
      </c>
      <c r="G45" s="50">
        <v>2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35</v>
      </c>
      <c r="N45" s="50">
        <v>0</v>
      </c>
      <c r="O45" s="15">
        <f t="shared" si="0"/>
        <v>49</v>
      </c>
      <c r="P45" s="15">
        <f t="shared" si="1"/>
        <v>84</v>
      </c>
    </row>
    <row r="46" spans="2:20" ht="23.1" customHeight="1" x14ac:dyDescent="0.25">
      <c r="B46" s="24" t="s">
        <v>73</v>
      </c>
      <c r="C46" s="50">
        <v>20</v>
      </c>
      <c r="D46" s="50">
        <v>0</v>
      </c>
      <c r="E46" s="50">
        <v>2</v>
      </c>
      <c r="F46" s="50">
        <v>8</v>
      </c>
      <c r="G46" s="50">
        <v>0</v>
      </c>
      <c r="H46" s="50">
        <v>0</v>
      </c>
      <c r="I46" s="50">
        <v>5</v>
      </c>
      <c r="J46" s="50">
        <v>1</v>
      </c>
      <c r="K46" s="50">
        <v>1</v>
      </c>
      <c r="L46" s="50">
        <v>2</v>
      </c>
      <c r="M46" s="50">
        <v>30</v>
      </c>
      <c r="N46" s="50">
        <v>0</v>
      </c>
      <c r="O46" s="15">
        <f t="shared" si="0"/>
        <v>39</v>
      </c>
      <c r="P46" s="15">
        <f t="shared" si="1"/>
        <v>69</v>
      </c>
      <c r="R46" s="8"/>
      <c r="T46"/>
    </row>
    <row r="47" spans="2:20" ht="23.1" customHeight="1" x14ac:dyDescent="0.25">
      <c r="B47" s="24" t="s">
        <v>74</v>
      </c>
      <c r="C47" s="50">
        <v>25</v>
      </c>
      <c r="D47" s="50">
        <v>0</v>
      </c>
      <c r="E47" s="50">
        <v>5</v>
      </c>
      <c r="F47" s="50">
        <v>25</v>
      </c>
      <c r="G47" s="50">
        <v>1</v>
      </c>
      <c r="H47" s="50">
        <v>0</v>
      </c>
      <c r="I47" s="50">
        <v>2</v>
      </c>
      <c r="J47" s="50">
        <v>2</v>
      </c>
      <c r="K47" s="50">
        <v>3</v>
      </c>
      <c r="L47" s="50">
        <v>0</v>
      </c>
      <c r="M47" s="50">
        <v>31</v>
      </c>
      <c r="N47" s="50">
        <v>0</v>
      </c>
      <c r="O47" s="15">
        <f t="shared" si="0"/>
        <v>63</v>
      </c>
      <c r="P47" s="15">
        <f t="shared" si="1"/>
        <v>94</v>
      </c>
      <c r="R47" s="8"/>
      <c r="T47"/>
    </row>
    <row r="48" spans="2:20" ht="23.1" customHeight="1" x14ac:dyDescent="0.25">
      <c r="B48" s="24" t="s">
        <v>75</v>
      </c>
      <c r="C48" s="50">
        <v>13</v>
      </c>
      <c r="D48" s="50">
        <v>1</v>
      </c>
      <c r="E48" s="50">
        <v>3</v>
      </c>
      <c r="F48" s="50">
        <v>7</v>
      </c>
      <c r="G48" s="50">
        <v>4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25</v>
      </c>
      <c r="N48" s="50">
        <v>0</v>
      </c>
      <c r="O48" s="15">
        <f t="shared" si="0"/>
        <v>28</v>
      </c>
      <c r="P48" s="15">
        <f t="shared" si="1"/>
        <v>53</v>
      </c>
      <c r="R48" s="8"/>
      <c r="T48"/>
    </row>
    <row r="49" spans="2:20" ht="23.1" customHeight="1" x14ac:dyDescent="0.25">
      <c r="B49" s="23" t="s">
        <v>76</v>
      </c>
      <c r="C49" s="50">
        <v>10</v>
      </c>
      <c r="D49" s="50">
        <v>0</v>
      </c>
      <c r="E49" s="50">
        <v>1</v>
      </c>
      <c r="F49" s="50">
        <v>0</v>
      </c>
      <c r="G49" s="50">
        <v>5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16</v>
      </c>
      <c r="P49" s="15">
        <f t="shared" si="1"/>
        <v>36</v>
      </c>
      <c r="R49" s="8"/>
      <c r="T49"/>
    </row>
    <row r="50" spans="2:20" ht="23.1" customHeight="1" x14ac:dyDescent="0.25">
      <c r="B50" s="24" t="s">
        <v>77</v>
      </c>
      <c r="C50" s="50">
        <v>12</v>
      </c>
      <c r="D50" s="50">
        <v>0</v>
      </c>
      <c r="E50" s="50">
        <v>1</v>
      </c>
      <c r="F50" s="50">
        <v>5</v>
      </c>
      <c r="G50" s="50">
        <v>0</v>
      </c>
      <c r="H50" s="50">
        <v>0</v>
      </c>
      <c r="I50" s="50">
        <v>3</v>
      </c>
      <c r="J50" s="50">
        <v>1</v>
      </c>
      <c r="K50" s="50">
        <v>0</v>
      </c>
      <c r="L50" s="50">
        <v>0</v>
      </c>
      <c r="M50" s="50">
        <v>20</v>
      </c>
      <c r="N50" s="50">
        <v>0</v>
      </c>
      <c r="O50" s="15">
        <f t="shared" si="0"/>
        <v>22</v>
      </c>
      <c r="P50" s="15">
        <f t="shared" si="1"/>
        <v>42</v>
      </c>
      <c r="R50" s="8"/>
      <c r="T50"/>
    </row>
    <row r="51" spans="2:20" ht="23.1" customHeight="1" x14ac:dyDescent="0.25">
      <c r="B51" s="24" t="s">
        <v>78</v>
      </c>
      <c r="C51" s="50">
        <v>20</v>
      </c>
      <c r="D51" s="50">
        <v>0</v>
      </c>
      <c r="E51" s="50">
        <v>1</v>
      </c>
      <c r="F51" s="50">
        <v>7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20</v>
      </c>
      <c r="N51" s="50">
        <v>0</v>
      </c>
      <c r="O51" s="15">
        <f t="shared" si="0"/>
        <v>28</v>
      </c>
      <c r="P51" s="15">
        <f t="shared" si="1"/>
        <v>48</v>
      </c>
      <c r="R51" s="8"/>
      <c r="T51"/>
    </row>
    <row r="52" spans="2:20" ht="23.1" customHeight="1" x14ac:dyDescent="0.25">
      <c r="B52" s="24" t="s">
        <v>79</v>
      </c>
      <c r="C52" s="50">
        <v>12</v>
      </c>
      <c r="D52" s="50">
        <v>0</v>
      </c>
      <c r="E52" s="50">
        <v>1</v>
      </c>
      <c r="F52" s="50">
        <v>10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15</v>
      </c>
      <c r="N52" s="50">
        <v>0</v>
      </c>
      <c r="O52" s="15">
        <f t="shared" si="0"/>
        <v>24</v>
      </c>
      <c r="P52" s="15">
        <f t="shared" si="1"/>
        <v>39</v>
      </c>
      <c r="R52" s="8"/>
      <c r="T52"/>
    </row>
    <row r="53" spans="2:20" ht="23.1" customHeight="1" x14ac:dyDescent="0.25">
      <c r="B53" s="23" t="s">
        <v>80</v>
      </c>
      <c r="C53" s="50">
        <v>17</v>
      </c>
      <c r="D53" s="50">
        <v>3</v>
      </c>
      <c r="E53" s="50">
        <v>3</v>
      </c>
      <c r="F53" s="50">
        <v>10</v>
      </c>
      <c r="G53" s="50">
        <v>0</v>
      </c>
      <c r="H53" s="50">
        <v>0</v>
      </c>
      <c r="I53" s="50">
        <v>15</v>
      </c>
      <c r="J53" s="50">
        <v>0</v>
      </c>
      <c r="K53" s="50">
        <v>0</v>
      </c>
      <c r="L53" s="50">
        <v>2</v>
      </c>
      <c r="M53" s="50">
        <v>30</v>
      </c>
      <c r="N53" s="50">
        <v>0</v>
      </c>
      <c r="O53" s="15">
        <f t="shared" si="0"/>
        <v>50</v>
      </c>
      <c r="P53" s="15">
        <f t="shared" si="1"/>
        <v>80</v>
      </c>
      <c r="R53" s="8"/>
      <c r="T53"/>
    </row>
    <row r="54" spans="2:20" ht="23.1" customHeight="1" x14ac:dyDescent="0.25">
      <c r="B54" s="23" t="s">
        <v>81</v>
      </c>
      <c r="C54" s="50">
        <v>15</v>
      </c>
      <c r="D54" s="50">
        <v>1</v>
      </c>
      <c r="E54" s="50">
        <v>3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20</v>
      </c>
      <c r="P54" s="15">
        <f t="shared" si="1"/>
        <v>35</v>
      </c>
      <c r="R54" s="8"/>
      <c r="T54"/>
    </row>
    <row r="55" spans="2:20" ht="23.1" customHeight="1" x14ac:dyDescent="0.25">
      <c r="B55" s="23" t="s">
        <v>82</v>
      </c>
      <c r="C55" s="50">
        <v>21</v>
      </c>
      <c r="D55" s="50">
        <v>3</v>
      </c>
      <c r="E55" s="50">
        <v>2</v>
      </c>
      <c r="F55" s="50">
        <v>10</v>
      </c>
      <c r="G55" s="50">
        <v>0</v>
      </c>
      <c r="H55" s="50">
        <v>0</v>
      </c>
      <c r="I55" s="50">
        <v>3</v>
      </c>
      <c r="J55" s="50">
        <v>1</v>
      </c>
      <c r="K55" s="50">
        <v>1</v>
      </c>
      <c r="L55" s="50">
        <v>0</v>
      </c>
      <c r="M55" s="50">
        <v>15</v>
      </c>
      <c r="N55" s="50">
        <v>0</v>
      </c>
      <c r="O55" s="15">
        <f t="shared" si="0"/>
        <v>41</v>
      </c>
      <c r="P55" s="15">
        <f t="shared" si="1"/>
        <v>56</v>
      </c>
      <c r="R55" s="8"/>
      <c r="T55"/>
    </row>
    <row r="56" spans="2:20" ht="23.1" customHeight="1" x14ac:dyDescent="0.25">
      <c r="B56" s="23" t="s">
        <v>83</v>
      </c>
      <c r="C56" s="50">
        <v>10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18</v>
      </c>
      <c r="N56" s="50">
        <v>0</v>
      </c>
      <c r="O56" s="15">
        <f t="shared" si="0"/>
        <v>11</v>
      </c>
      <c r="P56" s="15">
        <f t="shared" si="1"/>
        <v>29</v>
      </c>
      <c r="R56" s="8"/>
      <c r="T56"/>
    </row>
    <row r="57" spans="2:20" ht="23.1" customHeight="1" x14ac:dyDescent="0.25">
      <c r="B57" s="23" t="s">
        <v>84</v>
      </c>
      <c r="C57" s="50">
        <v>30</v>
      </c>
      <c r="D57" s="50">
        <v>0</v>
      </c>
      <c r="E57" s="50">
        <v>0</v>
      </c>
      <c r="F57" s="50">
        <v>10</v>
      </c>
      <c r="G57" s="50">
        <v>0</v>
      </c>
      <c r="H57" s="50">
        <v>0</v>
      </c>
      <c r="I57" s="50">
        <v>4</v>
      </c>
      <c r="J57" s="50">
        <v>0</v>
      </c>
      <c r="K57" s="50">
        <v>3</v>
      </c>
      <c r="L57" s="50">
        <v>0</v>
      </c>
      <c r="M57" s="50">
        <v>32</v>
      </c>
      <c r="N57" s="50">
        <v>0</v>
      </c>
      <c r="O57" s="15">
        <f t="shared" si="0"/>
        <v>47</v>
      </c>
      <c r="P57" s="15">
        <f t="shared" si="1"/>
        <v>79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583</v>
      </c>
      <c r="D58" s="16">
        <f t="shared" si="21"/>
        <v>39</v>
      </c>
      <c r="E58" s="16">
        <f t="shared" si="21"/>
        <v>113</v>
      </c>
      <c r="F58" s="16">
        <f t="shared" si="21"/>
        <v>391</v>
      </c>
      <c r="G58" s="16">
        <f t="shared" si="21"/>
        <v>24</v>
      </c>
      <c r="H58" s="16">
        <f t="shared" si="21"/>
        <v>5</v>
      </c>
      <c r="I58" s="16">
        <f t="shared" si="21"/>
        <v>111</v>
      </c>
      <c r="J58" s="16">
        <f t="shared" si="21"/>
        <v>47</v>
      </c>
      <c r="K58" s="16">
        <f t="shared" si="21"/>
        <v>18</v>
      </c>
      <c r="L58" s="16">
        <f t="shared" si="21"/>
        <v>10</v>
      </c>
      <c r="M58" s="16">
        <f t="shared" si="21"/>
        <v>1143</v>
      </c>
      <c r="N58" s="16">
        <f t="shared" si="21"/>
        <v>0</v>
      </c>
      <c r="O58" s="16">
        <f t="shared" si="21"/>
        <v>1341</v>
      </c>
      <c r="P58" s="16">
        <f t="shared" si="21"/>
        <v>2484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0.23470209339774556</v>
      </c>
      <c r="D59" s="43">
        <f t="shared" si="22"/>
        <v>1.570048309178744E-2</v>
      </c>
      <c r="E59" s="43">
        <f t="shared" si="22"/>
        <v>4.5491143317230275E-2</v>
      </c>
      <c r="F59" s="43">
        <f t="shared" si="22"/>
        <v>0.15740740740740741</v>
      </c>
      <c r="G59" s="43">
        <f t="shared" si="22"/>
        <v>9.6618357487922701E-3</v>
      </c>
      <c r="H59" s="43">
        <f t="shared" si="22"/>
        <v>2.0128824476650562E-3</v>
      </c>
      <c r="I59" s="43">
        <f t="shared" si="22"/>
        <v>4.4685990338164248E-2</v>
      </c>
      <c r="J59" s="43">
        <f t="shared" si="22"/>
        <v>1.8921095008051531E-2</v>
      </c>
      <c r="K59" s="43">
        <f t="shared" si="22"/>
        <v>7.246376811594203E-3</v>
      </c>
      <c r="L59" s="43">
        <f t="shared" si="22"/>
        <v>4.0257648953301124E-3</v>
      </c>
      <c r="M59" s="43">
        <f t="shared" si="22"/>
        <v>0.46014492753623187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0.43475018642803875</v>
      </c>
      <c r="D60" s="44">
        <f t="shared" ref="D60:N60" si="23">D58/$O$58</f>
        <v>2.9082774049217001E-2</v>
      </c>
      <c r="E60" s="44">
        <f t="shared" si="23"/>
        <v>8.4265473527218498E-2</v>
      </c>
      <c r="F60" s="44">
        <f t="shared" si="23"/>
        <v>0.29157345264727813</v>
      </c>
      <c r="G60" s="44">
        <f t="shared" si="23"/>
        <v>1.7897091722595078E-2</v>
      </c>
      <c r="H60" s="44">
        <f t="shared" si="23"/>
        <v>3.7285607755406414E-3</v>
      </c>
      <c r="I60" s="44">
        <f t="shared" si="23"/>
        <v>8.2774049217002238E-2</v>
      </c>
      <c r="J60" s="44">
        <f t="shared" si="23"/>
        <v>3.5048471290082026E-2</v>
      </c>
      <c r="K60" s="44">
        <f t="shared" si="23"/>
        <v>1.3422818791946308E-2</v>
      </c>
      <c r="L60" s="44">
        <f t="shared" si="23"/>
        <v>7.4571215510812828E-3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7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'22.07 Sentema-Sentema RBT'!C3:G3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'28.07 SentemaRBT-Sentema'!D5</f>
        <v>28.07.19</v>
      </c>
      <c r="E5" s="3"/>
      <c r="F5" s="41" t="s">
        <v>1</v>
      </c>
      <c r="G5" s="64" t="str">
        <f>'28.07 SentemaRBT-Sentema'!G5:H5</f>
        <v>Ku roofings</v>
      </c>
      <c r="H5" s="65"/>
      <c r="I5" s="14"/>
      <c r="J5" s="2" t="s">
        <v>5</v>
      </c>
      <c r="K5" s="64" t="str">
        <f>'28.07 SentemaRBT-Sentema'!K5:L5</f>
        <v>Nawaja Brenda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'22.07 Sentema-Sentema RBT'!D6:E6</f>
        <v>Sentema</v>
      </c>
      <c r="E6" s="65"/>
      <c r="F6" s="2" t="s">
        <v>2</v>
      </c>
      <c r="G6" s="64" t="str">
        <f>'22.07 Sentema-Sentema RBT'!G6:H6</f>
        <v>Sentema RBT</v>
      </c>
      <c r="H6" s="65"/>
      <c r="J6" s="2" t="s">
        <v>21</v>
      </c>
      <c r="K6" s="64" t="str">
        <f>'28.07 SentemaRBT-Sentema'!K6:L6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9</v>
      </c>
      <c r="D10" s="50">
        <v>4</v>
      </c>
      <c r="E10" s="50">
        <v>1</v>
      </c>
      <c r="F10" s="50">
        <v>14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18</v>
      </c>
      <c r="N10" s="50">
        <v>0</v>
      </c>
      <c r="O10" s="15">
        <f t="shared" ref="O10:O57" si="0">SUM(C10:L10,N10)</f>
        <v>29</v>
      </c>
      <c r="P10" s="15">
        <f t="shared" ref="P10:P57" si="1">SUM(C10:N10)</f>
        <v>47</v>
      </c>
      <c r="R10" s="1" t="s">
        <v>6</v>
      </c>
      <c r="S10" s="17">
        <f t="shared" ref="S10:AF10" si="2">SUM(C10:C13)</f>
        <v>39</v>
      </c>
      <c r="T10" s="17">
        <f t="shared" si="2"/>
        <v>19</v>
      </c>
      <c r="U10" s="17">
        <f t="shared" si="2"/>
        <v>7</v>
      </c>
      <c r="V10" s="17">
        <f t="shared" si="2"/>
        <v>53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2</v>
      </c>
      <c r="AA10" s="17">
        <f t="shared" si="2"/>
        <v>0</v>
      </c>
      <c r="AB10" s="17">
        <f t="shared" si="2"/>
        <v>0</v>
      </c>
      <c r="AC10" s="17">
        <f t="shared" si="2"/>
        <v>161</v>
      </c>
      <c r="AD10" s="17">
        <f t="shared" si="2"/>
        <v>0</v>
      </c>
      <c r="AE10" s="31">
        <f t="shared" si="2"/>
        <v>125</v>
      </c>
      <c r="AF10" s="31">
        <f t="shared" si="2"/>
        <v>286</v>
      </c>
    </row>
    <row r="11" spans="2:32" s="6" customFormat="1" ht="23.1" customHeight="1" x14ac:dyDescent="0.25">
      <c r="B11" s="23" t="s">
        <v>38</v>
      </c>
      <c r="C11" s="50">
        <v>5</v>
      </c>
      <c r="D11" s="50">
        <v>2</v>
      </c>
      <c r="E11" s="50">
        <v>1</v>
      </c>
      <c r="F11" s="50">
        <v>11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28</v>
      </c>
      <c r="N11" s="50">
        <v>0</v>
      </c>
      <c r="O11" s="15">
        <f t="shared" si="0"/>
        <v>19</v>
      </c>
      <c r="P11" s="15">
        <f t="shared" si="1"/>
        <v>47</v>
      </c>
      <c r="R11" s="1" t="s">
        <v>7</v>
      </c>
      <c r="S11" s="17">
        <f t="shared" ref="S11:AF11" si="3">SUM(C14:C17)</f>
        <v>49</v>
      </c>
      <c r="T11" s="17">
        <f t="shared" si="3"/>
        <v>30</v>
      </c>
      <c r="U11" s="17">
        <f t="shared" si="3"/>
        <v>10</v>
      </c>
      <c r="V11" s="17">
        <f t="shared" si="3"/>
        <v>53</v>
      </c>
      <c r="W11" s="17">
        <f t="shared" si="3"/>
        <v>1</v>
      </c>
      <c r="X11" s="17">
        <f t="shared" si="3"/>
        <v>0</v>
      </c>
      <c r="Y11" s="17">
        <f t="shared" si="3"/>
        <v>7</v>
      </c>
      <c r="Z11" s="17">
        <f t="shared" si="3"/>
        <v>10</v>
      </c>
      <c r="AA11" s="17">
        <f t="shared" si="3"/>
        <v>0</v>
      </c>
      <c r="AB11" s="17">
        <f t="shared" si="3"/>
        <v>0</v>
      </c>
      <c r="AC11" s="17">
        <f t="shared" si="3"/>
        <v>223</v>
      </c>
      <c r="AD11" s="17">
        <f t="shared" si="3"/>
        <v>0</v>
      </c>
      <c r="AE11" s="31">
        <f t="shared" si="3"/>
        <v>160</v>
      </c>
      <c r="AF11" s="31">
        <f t="shared" si="3"/>
        <v>383</v>
      </c>
    </row>
    <row r="12" spans="2:32" ht="23.1" customHeight="1" x14ac:dyDescent="0.25">
      <c r="B12" s="23" t="s">
        <v>39</v>
      </c>
      <c r="C12" s="50">
        <v>13</v>
      </c>
      <c r="D12" s="50">
        <v>9</v>
      </c>
      <c r="E12" s="50">
        <v>4</v>
      </c>
      <c r="F12" s="50">
        <v>10</v>
      </c>
      <c r="G12" s="50">
        <v>0</v>
      </c>
      <c r="H12" s="50">
        <v>0</v>
      </c>
      <c r="I12" s="50">
        <v>3</v>
      </c>
      <c r="J12" s="50">
        <v>2</v>
      </c>
      <c r="K12" s="50">
        <v>0</v>
      </c>
      <c r="L12" s="50">
        <v>0</v>
      </c>
      <c r="M12" s="50">
        <v>51</v>
      </c>
      <c r="N12" s="50">
        <v>0</v>
      </c>
      <c r="O12" s="15">
        <f t="shared" si="0"/>
        <v>41</v>
      </c>
      <c r="P12" s="15">
        <f t="shared" si="1"/>
        <v>92</v>
      </c>
      <c r="R12" s="1" t="s">
        <v>8</v>
      </c>
      <c r="S12" s="17">
        <f t="shared" ref="S12:AF12" si="4">SUM(C18:C21)</f>
        <v>56</v>
      </c>
      <c r="T12" s="17">
        <f t="shared" si="4"/>
        <v>26</v>
      </c>
      <c r="U12" s="17">
        <f t="shared" si="4"/>
        <v>9</v>
      </c>
      <c r="V12" s="17">
        <f t="shared" si="4"/>
        <v>34</v>
      </c>
      <c r="W12" s="17">
        <f t="shared" si="4"/>
        <v>0</v>
      </c>
      <c r="X12" s="17">
        <f t="shared" si="4"/>
        <v>1</v>
      </c>
      <c r="Y12" s="17">
        <f t="shared" si="4"/>
        <v>9</v>
      </c>
      <c r="Z12" s="17">
        <f t="shared" si="4"/>
        <v>10</v>
      </c>
      <c r="AA12" s="17">
        <f t="shared" si="4"/>
        <v>0</v>
      </c>
      <c r="AB12" s="17">
        <f t="shared" si="4"/>
        <v>2</v>
      </c>
      <c r="AC12" s="17">
        <f t="shared" si="4"/>
        <v>184</v>
      </c>
      <c r="AD12" s="17">
        <f t="shared" si="4"/>
        <v>0</v>
      </c>
      <c r="AE12" s="31">
        <f t="shared" si="4"/>
        <v>147</v>
      </c>
      <c r="AF12" s="31">
        <f t="shared" si="4"/>
        <v>331</v>
      </c>
    </row>
    <row r="13" spans="2:32" ht="23.1" customHeight="1" x14ac:dyDescent="0.25">
      <c r="B13" s="23" t="s">
        <v>40</v>
      </c>
      <c r="C13" s="50">
        <v>12</v>
      </c>
      <c r="D13" s="50">
        <v>4</v>
      </c>
      <c r="E13" s="50">
        <v>1</v>
      </c>
      <c r="F13" s="50">
        <v>18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64</v>
      </c>
      <c r="N13" s="50">
        <v>0</v>
      </c>
      <c r="O13" s="15">
        <f t="shared" si="0"/>
        <v>36</v>
      </c>
      <c r="P13" s="15">
        <f t="shared" si="1"/>
        <v>100</v>
      </c>
      <c r="R13" s="1" t="s">
        <v>9</v>
      </c>
      <c r="S13" s="17">
        <f t="shared" ref="S13:AF13" si="5">SUM(C22:C25)</f>
        <v>106</v>
      </c>
      <c r="T13" s="17">
        <f t="shared" si="5"/>
        <v>39</v>
      </c>
      <c r="U13" s="17">
        <f t="shared" si="5"/>
        <v>7</v>
      </c>
      <c r="V13" s="17">
        <f t="shared" si="5"/>
        <v>45</v>
      </c>
      <c r="W13" s="17">
        <f t="shared" si="5"/>
        <v>0</v>
      </c>
      <c r="X13" s="17">
        <f t="shared" si="5"/>
        <v>0</v>
      </c>
      <c r="Y13" s="17">
        <f t="shared" si="5"/>
        <v>16</v>
      </c>
      <c r="Z13" s="17">
        <f t="shared" si="5"/>
        <v>8</v>
      </c>
      <c r="AA13" s="17">
        <f t="shared" si="5"/>
        <v>0</v>
      </c>
      <c r="AB13" s="17">
        <f t="shared" si="5"/>
        <v>0</v>
      </c>
      <c r="AC13" s="17">
        <f t="shared" si="5"/>
        <v>165</v>
      </c>
      <c r="AD13" s="17">
        <f t="shared" si="5"/>
        <v>0</v>
      </c>
      <c r="AE13" s="31">
        <f t="shared" si="5"/>
        <v>221</v>
      </c>
      <c r="AF13" s="31">
        <f t="shared" si="5"/>
        <v>386</v>
      </c>
    </row>
    <row r="14" spans="2:32" ht="23.1" customHeight="1" x14ac:dyDescent="0.25">
      <c r="B14" s="23" t="s">
        <v>41</v>
      </c>
      <c r="C14" s="50">
        <v>10</v>
      </c>
      <c r="D14" s="50">
        <v>10</v>
      </c>
      <c r="E14" s="50">
        <v>3</v>
      </c>
      <c r="F14" s="50">
        <v>14</v>
      </c>
      <c r="G14" s="50">
        <v>0</v>
      </c>
      <c r="H14" s="50">
        <v>0</v>
      </c>
      <c r="I14" s="50">
        <v>1</v>
      </c>
      <c r="J14" s="50">
        <v>2</v>
      </c>
      <c r="K14" s="50">
        <v>0</v>
      </c>
      <c r="L14" s="50">
        <v>0</v>
      </c>
      <c r="M14" s="50">
        <v>61</v>
      </c>
      <c r="N14" s="50">
        <v>0</v>
      </c>
      <c r="O14" s="15">
        <f t="shared" si="0"/>
        <v>40</v>
      </c>
      <c r="P14" s="15">
        <f t="shared" si="1"/>
        <v>101</v>
      </c>
      <c r="R14" s="1" t="s">
        <v>10</v>
      </c>
      <c r="S14" s="17">
        <f t="shared" ref="S14:AF14" si="6">SUM(C26:C29)</f>
        <v>96</v>
      </c>
      <c r="T14" s="17">
        <f t="shared" si="6"/>
        <v>29</v>
      </c>
      <c r="U14" s="17">
        <f t="shared" si="6"/>
        <v>8</v>
      </c>
      <c r="V14" s="17">
        <f t="shared" si="6"/>
        <v>66</v>
      </c>
      <c r="W14" s="17">
        <f t="shared" si="6"/>
        <v>3</v>
      </c>
      <c r="X14" s="17">
        <f t="shared" si="6"/>
        <v>4</v>
      </c>
      <c r="Y14" s="17">
        <f t="shared" si="6"/>
        <v>13</v>
      </c>
      <c r="Z14" s="17">
        <f t="shared" si="6"/>
        <v>11</v>
      </c>
      <c r="AA14" s="17">
        <f t="shared" si="6"/>
        <v>0</v>
      </c>
      <c r="AB14" s="17">
        <f t="shared" si="6"/>
        <v>0</v>
      </c>
      <c r="AC14" s="17">
        <f t="shared" si="6"/>
        <v>225</v>
      </c>
      <c r="AD14" s="17">
        <f t="shared" si="6"/>
        <v>0</v>
      </c>
      <c r="AE14" s="31">
        <f t="shared" si="6"/>
        <v>230</v>
      </c>
      <c r="AF14" s="31">
        <f t="shared" si="6"/>
        <v>455</v>
      </c>
    </row>
    <row r="15" spans="2:32" ht="23.1" customHeight="1" x14ac:dyDescent="0.25">
      <c r="B15" s="23" t="s">
        <v>42</v>
      </c>
      <c r="C15" s="50">
        <v>11</v>
      </c>
      <c r="D15" s="50">
        <v>2</v>
      </c>
      <c r="E15" s="50">
        <v>2</v>
      </c>
      <c r="F15" s="50">
        <v>15</v>
      </c>
      <c r="G15" s="50">
        <v>1</v>
      </c>
      <c r="H15" s="50">
        <v>0</v>
      </c>
      <c r="I15" s="50">
        <v>1</v>
      </c>
      <c r="J15" s="50">
        <v>1</v>
      </c>
      <c r="K15" s="50">
        <v>0</v>
      </c>
      <c r="L15" s="50">
        <v>0</v>
      </c>
      <c r="M15" s="50">
        <v>60</v>
      </c>
      <c r="N15" s="50">
        <v>0</v>
      </c>
      <c r="O15" s="15">
        <f t="shared" si="0"/>
        <v>33</v>
      </c>
      <c r="P15" s="15">
        <f t="shared" si="1"/>
        <v>93</v>
      </c>
      <c r="R15" s="1" t="s">
        <v>11</v>
      </c>
      <c r="S15" s="17">
        <f t="shared" ref="S15:AF15" si="7">SUM(C30:C33)</f>
        <v>63</v>
      </c>
      <c r="T15" s="17">
        <f t="shared" si="7"/>
        <v>42</v>
      </c>
      <c r="U15" s="17">
        <f t="shared" si="7"/>
        <v>7</v>
      </c>
      <c r="V15" s="17">
        <f t="shared" si="7"/>
        <v>47</v>
      </c>
      <c r="W15" s="17">
        <f t="shared" si="7"/>
        <v>1</v>
      </c>
      <c r="X15" s="17">
        <f t="shared" si="7"/>
        <v>0</v>
      </c>
      <c r="Y15" s="17">
        <f t="shared" si="7"/>
        <v>18</v>
      </c>
      <c r="Z15" s="17">
        <f t="shared" si="7"/>
        <v>11</v>
      </c>
      <c r="AA15" s="17">
        <f t="shared" si="7"/>
        <v>4</v>
      </c>
      <c r="AB15" s="17">
        <f t="shared" si="7"/>
        <v>0</v>
      </c>
      <c r="AC15" s="17">
        <f t="shared" si="7"/>
        <v>148</v>
      </c>
      <c r="AD15" s="17">
        <f t="shared" si="7"/>
        <v>0</v>
      </c>
      <c r="AE15" s="31">
        <f t="shared" si="7"/>
        <v>193</v>
      </c>
      <c r="AF15" s="31">
        <f t="shared" si="7"/>
        <v>341</v>
      </c>
    </row>
    <row r="16" spans="2:32" ht="23.1" customHeight="1" x14ac:dyDescent="0.25">
      <c r="B16" s="23" t="s">
        <v>43</v>
      </c>
      <c r="C16" s="50">
        <v>15</v>
      </c>
      <c r="D16" s="50">
        <v>5</v>
      </c>
      <c r="E16" s="50">
        <v>3</v>
      </c>
      <c r="F16" s="50">
        <v>3</v>
      </c>
      <c r="G16" s="50">
        <v>0</v>
      </c>
      <c r="H16" s="50">
        <v>0</v>
      </c>
      <c r="I16" s="50">
        <v>2</v>
      </c>
      <c r="J16" s="50">
        <v>6</v>
      </c>
      <c r="K16" s="50">
        <v>0</v>
      </c>
      <c r="L16" s="50">
        <v>0</v>
      </c>
      <c r="M16" s="50">
        <v>62</v>
      </c>
      <c r="N16" s="50">
        <v>0</v>
      </c>
      <c r="O16" s="15">
        <f t="shared" si="0"/>
        <v>34</v>
      </c>
      <c r="P16" s="15">
        <f t="shared" si="1"/>
        <v>96</v>
      </c>
      <c r="R16" s="1" t="s">
        <v>12</v>
      </c>
      <c r="S16" s="17">
        <f t="shared" ref="S16:AF16" si="8">SUM(C34:C37)</f>
        <v>28</v>
      </c>
      <c r="T16" s="17">
        <f t="shared" si="8"/>
        <v>27</v>
      </c>
      <c r="U16" s="17">
        <f t="shared" si="8"/>
        <v>6</v>
      </c>
      <c r="V16" s="17">
        <f t="shared" si="8"/>
        <v>20</v>
      </c>
      <c r="W16" s="17">
        <f t="shared" si="8"/>
        <v>1</v>
      </c>
      <c r="X16" s="17">
        <f t="shared" si="8"/>
        <v>0</v>
      </c>
      <c r="Y16" s="17">
        <f t="shared" si="8"/>
        <v>6</v>
      </c>
      <c r="Z16" s="17">
        <f t="shared" si="8"/>
        <v>4</v>
      </c>
      <c r="AA16" s="17">
        <f t="shared" si="8"/>
        <v>0</v>
      </c>
      <c r="AB16" s="17">
        <f t="shared" si="8"/>
        <v>0</v>
      </c>
      <c r="AC16" s="17">
        <f t="shared" si="8"/>
        <v>122</v>
      </c>
      <c r="AD16" s="17">
        <f t="shared" si="8"/>
        <v>0</v>
      </c>
      <c r="AE16" s="31">
        <f t="shared" si="8"/>
        <v>92</v>
      </c>
      <c r="AF16" s="31">
        <f t="shared" si="8"/>
        <v>214</v>
      </c>
    </row>
    <row r="17" spans="2:32" ht="23.1" customHeight="1" x14ac:dyDescent="0.25">
      <c r="B17" s="23" t="s">
        <v>44</v>
      </c>
      <c r="C17" s="50">
        <v>13</v>
      </c>
      <c r="D17" s="50">
        <v>13</v>
      </c>
      <c r="E17" s="50">
        <v>2</v>
      </c>
      <c r="F17" s="50">
        <v>21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40</v>
      </c>
      <c r="N17" s="50">
        <v>0</v>
      </c>
      <c r="O17" s="15">
        <f t="shared" si="0"/>
        <v>53</v>
      </c>
      <c r="P17" s="15">
        <f t="shared" si="1"/>
        <v>93</v>
      </c>
      <c r="R17" s="1" t="s">
        <v>13</v>
      </c>
      <c r="S17" s="17">
        <f t="shared" ref="S17:AF17" si="9">SUM(C38:C41)</f>
        <v>46</v>
      </c>
      <c r="T17" s="17">
        <f t="shared" si="9"/>
        <v>36</v>
      </c>
      <c r="U17" s="17">
        <f t="shared" si="9"/>
        <v>13</v>
      </c>
      <c r="V17" s="17">
        <f t="shared" si="9"/>
        <v>28</v>
      </c>
      <c r="W17" s="17">
        <f t="shared" si="9"/>
        <v>2</v>
      </c>
      <c r="X17" s="17">
        <f t="shared" si="9"/>
        <v>1</v>
      </c>
      <c r="Y17" s="17">
        <f t="shared" si="9"/>
        <v>5</v>
      </c>
      <c r="Z17" s="17">
        <f t="shared" si="9"/>
        <v>2</v>
      </c>
      <c r="AA17" s="17">
        <f t="shared" si="9"/>
        <v>0</v>
      </c>
      <c r="AB17" s="17">
        <f t="shared" si="9"/>
        <v>0</v>
      </c>
      <c r="AC17" s="17">
        <f t="shared" si="9"/>
        <v>134</v>
      </c>
      <c r="AD17" s="17">
        <f t="shared" si="9"/>
        <v>0</v>
      </c>
      <c r="AE17" s="31">
        <f t="shared" si="9"/>
        <v>133</v>
      </c>
      <c r="AF17" s="31">
        <f t="shared" si="9"/>
        <v>267</v>
      </c>
    </row>
    <row r="18" spans="2:32" ht="23.1" customHeight="1" x14ac:dyDescent="0.25">
      <c r="B18" s="23" t="s">
        <v>45</v>
      </c>
      <c r="C18" s="50">
        <v>12</v>
      </c>
      <c r="D18" s="50">
        <v>4</v>
      </c>
      <c r="E18" s="50">
        <v>3</v>
      </c>
      <c r="F18" s="50">
        <v>15</v>
      </c>
      <c r="G18" s="50">
        <v>0</v>
      </c>
      <c r="H18" s="50">
        <v>1</v>
      </c>
      <c r="I18" s="50">
        <v>2</v>
      </c>
      <c r="J18" s="50">
        <v>3</v>
      </c>
      <c r="K18" s="50">
        <v>0</v>
      </c>
      <c r="L18" s="50">
        <v>0</v>
      </c>
      <c r="M18" s="50">
        <v>42</v>
      </c>
      <c r="N18" s="50">
        <v>0</v>
      </c>
      <c r="O18" s="15">
        <f t="shared" si="0"/>
        <v>40</v>
      </c>
      <c r="P18" s="15">
        <f t="shared" si="1"/>
        <v>82</v>
      </c>
      <c r="R18" s="1" t="s">
        <v>14</v>
      </c>
      <c r="S18" s="17">
        <f t="shared" ref="S18:AF18" si="10">SUM(C42:C45)</f>
        <v>47</v>
      </c>
      <c r="T18" s="17">
        <f t="shared" si="10"/>
        <v>31</v>
      </c>
      <c r="U18" s="17">
        <f t="shared" si="10"/>
        <v>2</v>
      </c>
      <c r="V18" s="17">
        <f t="shared" si="10"/>
        <v>22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15</v>
      </c>
      <c r="AA18" s="17">
        <f t="shared" si="10"/>
        <v>0</v>
      </c>
      <c r="AB18" s="17">
        <f t="shared" si="10"/>
        <v>1</v>
      </c>
      <c r="AC18" s="17">
        <f t="shared" si="10"/>
        <v>150</v>
      </c>
      <c r="AD18" s="17">
        <f t="shared" si="10"/>
        <v>0</v>
      </c>
      <c r="AE18" s="31">
        <f t="shared" si="10"/>
        <v>126</v>
      </c>
      <c r="AF18" s="31">
        <f t="shared" si="10"/>
        <v>276</v>
      </c>
    </row>
    <row r="19" spans="2:32" ht="23.1" customHeight="1" x14ac:dyDescent="0.25">
      <c r="B19" s="23" t="s">
        <v>46</v>
      </c>
      <c r="C19" s="50">
        <v>18</v>
      </c>
      <c r="D19" s="50">
        <v>10</v>
      </c>
      <c r="E19" s="50">
        <v>3</v>
      </c>
      <c r="F19" s="50">
        <v>4</v>
      </c>
      <c r="G19" s="50">
        <v>0</v>
      </c>
      <c r="H19" s="50">
        <v>0</v>
      </c>
      <c r="I19" s="50">
        <v>5</v>
      </c>
      <c r="J19" s="50">
        <v>5</v>
      </c>
      <c r="K19" s="50">
        <v>0</v>
      </c>
      <c r="L19" s="50">
        <v>1</v>
      </c>
      <c r="M19" s="50">
        <v>40</v>
      </c>
      <c r="N19" s="50">
        <v>0</v>
      </c>
      <c r="O19" s="15">
        <f t="shared" si="0"/>
        <v>46</v>
      </c>
      <c r="P19" s="15">
        <f t="shared" si="1"/>
        <v>86</v>
      </c>
      <c r="R19" s="1" t="s">
        <v>15</v>
      </c>
      <c r="S19" s="17">
        <f t="shared" ref="S19:AF19" si="11">SUM(C46:C49)</f>
        <v>56</v>
      </c>
      <c r="T19" s="17">
        <f t="shared" si="11"/>
        <v>35</v>
      </c>
      <c r="U19" s="17">
        <f t="shared" si="11"/>
        <v>13</v>
      </c>
      <c r="V19" s="17">
        <f t="shared" si="11"/>
        <v>31</v>
      </c>
      <c r="W19" s="17">
        <f t="shared" si="11"/>
        <v>1</v>
      </c>
      <c r="X19" s="17">
        <f t="shared" si="11"/>
        <v>1</v>
      </c>
      <c r="Y19" s="17">
        <f t="shared" si="11"/>
        <v>11</v>
      </c>
      <c r="Z19" s="17">
        <f t="shared" si="11"/>
        <v>6</v>
      </c>
      <c r="AA19" s="17">
        <f t="shared" si="11"/>
        <v>0</v>
      </c>
      <c r="AB19" s="17">
        <f t="shared" si="11"/>
        <v>1</v>
      </c>
      <c r="AC19" s="17">
        <f t="shared" si="11"/>
        <v>214</v>
      </c>
      <c r="AD19" s="17">
        <f t="shared" si="11"/>
        <v>0</v>
      </c>
      <c r="AE19" s="31">
        <f t="shared" si="11"/>
        <v>155</v>
      </c>
      <c r="AF19" s="31">
        <f t="shared" si="11"/>
        <v>369</v>
      </c>
    </row>
    <row r="20" spans="2:32" ht="23.1" customHeight="1" x14ac:dyDescent="0.25">
      <c r="B20" s="23" t="s">
        <v>47</v>
      </c>
      <c r="C20" s="50">
        <v>10</v>
      </c>
      <c r="D20" s="50">
        <v>5</v>
      </c>
      <c r="E20" s="50">
        <v>2</v>
      </c>
      <c r="F20" s="50">
        <v>6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1</v>
      </c>
      <c r="M20" s="50">
        <v>55</v>
      </c>
      <c r="N20" s="50">
        <v>0</v>
      </c>
      <c r="O20" s="15">
        <f t="shared" si="0"/>
        <v>26</v>
      </c>
      <c r="P20" s="15">
        <f t="shared" si="1"/>
        <v>81</v>
      </c>
      <c r="R20" s="1" t="s">
        <v>16</v>
      </c>
      <c r="S20" s="17">
        <f t="shared" ref="S20:AF20" si="12">SUM(C50:C53)</f>
        <v>59</v>
      </c>
      <c r="T20" s="17">
        <f t="shared" si="12"/>
        <v>33</v>
      </c>
      <c r="U20" s="17">
        <f t="shared" si="12"/>
        <v>12</v>
      </c>
      <c r="V20" s="17">
        <f t="shared" si="12"/>
        <v>44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3</v>
      </c>
      <c r="AA20" s="17">
        <f t="shared" si="12"/>
        <v>0</v>
      </c>
      <c r="AB20" s="17">
        <f t="shared" si="12"/>
        <v>0</v>
      </c>
      <c r="AC20" s="17">
        <f t="shared" si="12"/>
        <v>227</v>
      </c>
      <c r="AD20" s="17">
        <f t="shared" si="12"/>
        <v>0</v>
      </c>
      <c r="AE20" s="31">
        <f t="shared" si="12"/>
        <v>158</v>
      </c>
      <c r="AF20" s="31">
        <f t="shared" si="12"/>
        <v>385</v>
      </c>
    </row>
    <row r="21" spans="2:32" ht="23.1" customHeight="1" x14ac:dyDescent="0.25">
      <c r="B21" s="23" t="s">
        <v>48</v>
      </c>
      <c r="C21" s="50">
        <v>16</v>
      </c>
      <c r="D21" s="50">
        <v>7</v>
      </c>
      <c r="E21" s="50">
        <v>1</v>
      </c>
      <c r="F21" s="50">
        <v>9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47</v>
      </c>
      <c r="N21" s="50">
        <v>0</v>
      </c>
      <c r="O21" s="15">
        <f t="shared" si="0"/>
        <v>35</v>
      </c>
      <c r="P21" s="15">
        <f t="shared" si="1"/>
        <v>82</v>
      </c>
      <c r="R21" s="36" t="s">
        <v>20</v>
      </c>
      <c r="S21" s="34">
        <f t="shared" ref="S21:AF21" si="13">SUM(C54:C57)</f>
        <v>53</v>
      </c>
      <c r="T21" s="17">
        <f t="shared" si="13"/>
        <v>32</v>
      </c>
      <c r="U21" s="17">
        <f t="shared" si="13"/>
        <v>8</v>
      </c>
      <c r="V21" s="17">
        <f t="shared" si="13"/>
        <v>27</v>
      </c>
      <c r="W21" s="17">
        <f t="shared" si="13"/>
        <v>0</v>
      </c>
      <c r="X21" s="17">
        <f t="shared" si="13"/>
        <v>0</v>
      </c>
      <c r="Y21" s="17">
        <f t="shared" si="13"/>
        <v>14</v>
      </c>
      <c r="Z21" s="17">
        <f t="shared" si="13"/>
        <v>6</v>
      </c>
      <c r="AA21" s="17">
        <f t="shared" si="13"/>
        <v>0</v>
      </c>
      <c r="AB21" s="17">
        <f t="shared" si="13"/>
        <v>0</v>
      </c>
      <c r="AC21" s="17">
        <f t="shared" si="13"/>
        <v>198</v>
      </c>
      <c r="AD21" s="17">
        <f t="shared" si="13"/>
        <v>0</v>
      </c>
      <c r="AE21" s="31">
        <f t="shared" si="13"/>
        <v>140</v>
      </c>
      <c r="AF21" s="31">
        <f t="shared" si="13"/>
        <v>338</v>
      </c>
    </row>
    <row r="22" spans="2:32" ht="23.1" customHeight="1" x14ac:dyDescent="0.25">
      <c r="B22" s="23" t="s">
        <v>49</v>
      </c>
      <c r="C22" s="50">
        <v>16</v>
      </c>
      <c r="D22" s="50">
        <v>13</v>
      </c>
      <c r="E22" s="50">
        <v>1</v>
      </c>
      <c r="F22" s="50">
        <v>10</v>
      </c>
      <c r="G22" s="50">
        <v>0</v>
      </c>
      <c r="H22" s="50">
        <v>0</v>
      </c>
      <c r="I22" s="50">
        <v>3</v>
      </c>
      <c r="J22" s="50">
        <v>1</v>
      </c>
      <c r="K22" s="50">
        <v>0</v>
      </c>
      <c r="L22" s="50">
        <v>0</v>
      </c>
      <c r="M22" s="50">
        <v>45</v>
      </c>
      <c r="N22" s="50">
        <v>0</v>
      </c>
      <c r="O22" s="15">
        <f t="shared" si="0"/>
        <v>44</v>
      </c>
      <c r="P22" s="15">
        <f t="shared" si="1"/>
        <v>89</v>
      </c>
      <c r="R22" s="38" t="s">
        <v>90</v>
      </c>
      <c r="S22" s="39">
        <f>MAX(S10:S12)</f>
        <v>56</v>
      </c>
      <c r="T22" s="39">
        <f t="shared" ref="T22:AF22" si="14">MAX(T10:T12)</f>
        <v>30</v>
      </c>
      <c r="U22" s="39">
        <f t="shared" si="14"/>
        <v>10</v>
      </c>
      <c r="V22" s="39">
        <f t="shared" si="14"/>
        <v>53</v>
      </c>
      <c r="W22" s="39">
        <f t="shared" si="14"/>
        <v>1</v>
      </c>
      <c r="X22" s="39">
        <f t="shared" si="14"/>
        <v>1</v>
      </c>
      <c r="Y22" s="39">
        <f t="shared" si="14"/>
        <v>9</v>
      </c>
      <c r="Z22" s="39">
        <f t="shared" si="14"/>
        <v>10</v>
      </c>
      <c r="AA22" s="39">
        <f t="shared" si="14"/>
        <v>0</v>
      </c>
      <c r="AB22" s="39">
        <f t="shared" si="14"/>
        <v>2</v>
      </c>
      <c r="AC22" s="39">
        <f t="shared" si="14"/>
        <v>223</v>
      </c>
      <c r="AD22" s="39">
        <f t="shared" si="14"/>
        <v>0</v>
      </c>
      <c r="AE22" s="40">
        <f t="shared" si="14"/>
        <v>160</v>
      </c>
      <c r="AF22" s="40">
        <f t="shared" si="14"/>
        <v>383</v>
      </c>
    </row>
    <row r="23" spans="2:32" ht="23.1" customHeight="1" x14ac:dyDescent="0.25">
      <c r="B23" s="23" t="s">
        <v>50</v>
      </c>
      <c r="C23" s="50">
        <v>34</v>
      </c>
      <c r="D23" s="50">
        <v>11</v>
      </c>
      <c r="E23" s="50">
        <v>5</v>
      </c>
      <c r="F23" s="50">
        <v>9</v>
      </c>
      <c r="G23" s="50">
        <v>0</v>
      </c>
      <c r="H23" s="50">
        <v>0</v>
      </c>
      <c r="I23" s="50">
        <v>4</v>
      </c>
      <c r="J23" s="50">
        <v>4</v>
      </c>
      <c r="K23" s="50">
        <v>0</v>
      </c>
      <c r="L23" s="50">
        <v>0</v>
      </c>
      <c r="M23" s="50">
        <v>40</v>
      </c>
      <c r="N23" s="50">
        <v>0</v>
      </c>
      <c r="O23" s="15">
        <f t="shared" si="0"/>
        <v>67</v>
      </c>
      <c r="P23" s="15">
        <f t="shared" si="1"/>
        <v>107</v>
      </c>
      <c r="R23" s="38" t="s">
        <v>91</v>
      </c>
      <c r="S23" s="39">
        <f>MAX(S13:S18)</f>
        <v>106</v>
      </c>
      <c r="T23" s="39">
        <f t="shared" ref="T23:AF23" si="15">MAX(T13:T18)</f>
        <v>42</v>
      </c>
      <c r="U23" s="39">
        <f t="shared" si="15"/>
        <v>13</v>
      </c>
      <c r="V23" s="39">
        <f t="shared" si="15"/>
        <v>66</v>
      </c>
      <c r="W23" s="39">
        <f t="shared" si="15"/>
        <v>3</v>
      </c>
      <c r="X23" s="39">
        <f t="shared" si="15"/>
        <v>4</v>
      </c>
      <c r="Y23" s="39">
        <f t="shared" si="15"/>
        <v>18</v>
      </c>
      <c r="Z23" s="39">
        <f t="shared" si="15"/>
        <v>15</v>
      </c>
      <c r="AA23" s="39">
        <f t="shared" si="15"/>
        <v>4</v>
      </c>
      <c r="AB23" s="39">
        <f t="shared" si="15"/>
        <v>1</v>
      </c>
      <c r="AC23" s="39">
        <f t="shared" si="15"/>
        <v>225</v>
      </c>
      <c r="AD23" s="39">
        <f t="shared" si="15"/>
        <v>0</v>
      </c>
      <c r="AE23" s="40">
        <f t="shared" si="15"/>
        <v>230</v>
      </c>
      <c r="AF23" s="40">
        <f t="shared" si="15"/>
        <v>455</v>
      </c>
    </row>
    <row r="24" spans="2:32" ht="23.1" customHeight="1" x14ac:dyDescent="0.25">
      <c r="B24" s="23" t="s">
        <v>51</v>
      </c>
      <c r="C24" s="50">
        <v>27</v>
      </c>
      <c r="D24" s="50">
        <v>9</v>
      </c>
      <c r="E24" s="50">
        <v>0</v>
      </c>
      <c r="F24" s="50">
        <v>18</v>
      </c>
      <c r="G24" s="50">
        <v>0</v>
      </c>
      <c r="H24" s="50">
        <v>0</v>
      </c>
      <c r="I24" s="50">
        <v>5</v>
      </c>
      <c r="J24" s="50">
        <v>2</v>
      </c>
      <c r="K24" s="50">
        <v>0</v>
      </c>
      <c r="L24" s="50">
        <v>0</v>
      </c>
      <c r="M24" s="50">
        <v>37</v>
      </c>
      <c r="N24" s="50">
        <v>0</v>
      </c>
      <c r="O24" s="15">
        <f t="shared" si="0"/>
        <v>61</v>
      </c>
      <c r="P24" s="15">
        <f t="shared" si="1"/>
        <v>98</v>
      </c>
      <c r="R24" s="38" t="s">
        <v>92</v>
      </c>
      <c r="S24" s="39">
        <f>MAX(S19:S21)</f>
        <v>59</v>
      </c>
      <c r="T24" s="39">
        <f t="shared" ref="T24:AF24" si="16">MAX(T19:T21)</f>
        <v>35</v>
      </c>
      <c r="U24" s="39">
        <f t="shared" si="16"/>
        <v>13</v>
      </c>
      <c r="V24" s="39">
        <f t="shared" si="16"/>
        <v>44</v>
      </c>
      <c r="W24" s="39">
        <f t="shared" si="16"/>
        <v>1</v>
      </c>
      <c r="X24" s="39">
        <f t="shared" si="16"/>
        <v>1</v>
      </c>
      <c r="Y24" s="39">
        <f t="shared" si="16"/>
        <v>14</v>
      </c>
      <c r="Z24" s="39">
        <f t="shared" si="16"/>
        <v>6</v>
      </c>
      <c r="AA24" s="39">
        <f t="shared" si="16"/>
        <v>0</v>
      </c>
      <c r="AB24" s="39">
        <f t="shared" si="16"/>
        <v>1</v>
      </c>
      <c r="AC24" s="39">
        <f t="shared" si="16"/>
        <v>227</v>
      </c>
      <c r="AD24" s="39">
        <f t="shared" si="16"/>
        <v>0</v>
      </c>
      <c r="AE24" s="40">
        <f t="shared" si="16"/>
        <v>158</v>
      </c>
      <c r="AF24" s="40">
        <f t="shared" si="16"/>
        <v>385</v>
      </c>
    </row>
    <row r="25" spans="2:32" ht="23.1" customHeight="1" x14ac:dyDescent="0.25">
      <c r="B25" s="23" t="s">
        <v>52</v>
      </c>
      <c r="C25" s="50">
        <v>29</v>
      </c>
      <c r="D25" s="50">
        <v>6</v>
      </c>
      <c r="E25" s="50">
        <v>1</v>
      </c>
      <c r="F25" s="50">
        <v>8</v>
      </c>
      <c r="G25" s="50">
        <v>0</v>
      </c>
      <c r="H25" s="50">
        <v>0</v>
      </c>
      <c r="I25" s="50">
        <v>4</v>
      </c>
      <c r="J25" s="50">
        <v>1</v>
      </c>
      <c r="K25" s="50">
        <v>0</v>
      </c>
      <c r="L25" s="50">
        <v>0</v>
      </c>
      <c r="M25" s="50">
        <v>43</v>
      </c>
      <c r="N25" s="50">
        <v>0</v>
      </c>
      <c r="O25" s="15">
        <f t="shared" si="0"/>
        <v>49</v>
      </c>
      <c r="P25" s="15">
        <f t="shared" si="1"/>
        <v>92</v>
      </c>
      <c r="R25" s="37" t="s">
        <v>85</v>
      </c>
      <c r="S25" s="35">
        <f t="shared" ref="S25:AF25" si="17">SUM(S10:S12)</f>
        <v>144</v>
      </c>
      <c r="T25" s="16">
        <f t="shared" si="17"/>
        <v>75</v>
      </c>
      <c r="U25" s="16">
        <f t="shared" si="17"/>
        <v>26</v>
      </c>
      <c r="V25" s="16">
        <f t="shared" si="17"/>
        <v>140</v>
      </c>
      <c r="W25" s="16">
        <f t="shared" si="17"/>
        <v>1</v>
      </c>
      <c r="X25" s="16">
        <f t="shared" si="17"/>
        <v>1</v>
      </c>
      <c r="Y25" s="16">
        <f t="shared" si="17"/>
        <v>21</v>
      </c>
      <c r="Z25" s="16">
        <f t="shared" si="17"/>
        <v>22</v>
      </c>
      <c r="AA25" s="16">
        <f t="shared" si="17"/>
        <v>0</v>
      </c>
      <c r="AB25" s="16">
        <f t="shared" si="17"/>
        <v>2</v>
      </c>
      <c r="AC25" s="16">
        <f t="shared" si="17"/>
        <v>568</v>
      </c>
      <c r="AD25" s="16">
        <f t="shared" si="17"/>
        <v>0</v>
      </c>
      <c r="AE25" s="32">
        <f t="shared" si="17"/>
        <v>432</v>
      </c>
      <c r="AF25" s="32">
        <f t="shared" si="17"/>
        <v>1000</v>
      </c>
    </row>
    <row r="26" spans="2:32" ht="23.1" customHeight="1" x14ac:dyDescent="0.25">
      <c r="B26" s="23" t="s">
        <v>53</v>
      </c>
      <c r="C26" s="50">
        <v>44</v>
      </c>
      <c r="D26" s="50">
        <v>10</v>
      </c>
      <c r="E26" s="50">
        <v>3</v>
      </c>
      <c r="F26" s="50">
        <v>17</v>
      </c>
      <c r="G26" s="50">
        <v>0</v>
      </c>
      <c r="H26" s="50">
        <v>0</v>
      </c>
      <c r="I26" s="50">
        <v>3</v>
      </c>
      <c r="J26" s="50">
        <v>10</v>
      </c>
      <c r="K26" s="50">
        <v>0</v>
      </c>
      <c r="L26" s="50">
        <v>0</v>
      </c>
      <c r="M26" s="50">
        <v>65</v>
      </c>
      <c r="N26" s="50">
        <v>0</v>
      </c>
      <c r="O26" s="15">
        <f t="shared" si="0"/>
        <v>87</v>
      </c>
      <c r="P26" s="15">
        <f t="shared" si="1"/>
        <v>152</v>
      </c>
      <c r="R26" s="28" t="s">
        <v>86</v>
      </c>
      <c r="S26" s="16">
        <f t="shared" ref="S26:AF26" si="18">SUM(S13:S18)</f>
        <v>386</v>
      </c>
      <c r="T26" s="16">
        <f t="shared" si="18"/>
        <v>204</v>
      </c>
      <c r="U26" s="16">
        <f t="shared" si="18"/>
        <v>43</v>
      </c>
      <c r="V26" s="16">
        <f t="shared" si="18"/>
        <v>228</v>
      </c>
      <c r="W26" s="16">
        <f t="shared" si="18"/>
        <v>7</v>
      </c>
      <c r="X26" s="16">
        <f t="shared" si="18"/>
        <v>5</v>
      </c>
      <c r="Y26" s="16">
        <f t="shared" si="18"/>
        <v>66</v>
      </c>
      <c r="Z26" s="16">
        <f t="shared" si="18"/>
        <v>51</v>
      </c>
      <c r="AA26" s="16">
        <f t="shared" si="18"/>
        <v>4</v>
      </c>
      <c r="AB26" s="16">
        <f t="shared" si="18"/>
        <v>1</v>
      </c>
      <c r="AC26" s="16">
        <f t="shared" si="18"/>
        <v>944</v>
      </c>
      <c r="AD26" s="16">
        <f t="shared" si="18"/>
        <v>0</v>
      </c>
      <c r="AE26" s="32">
        <f t="shared" si="18"/>
        <v>995</v>
      </c>
      <c r="AF26" s="32">
        <f t="shared" si="18"/>
        <v>1939</v>
      </c>
    </row>
    <row r="27" spans="2:32" ht="23.1" customHeight="1" x14ac:dyDescent="0.25">
      <c r="B27" s="23" t="s">
        <v>54</v>
      </c>
      <c r="C27" s="50">
        <v>40</v>
      </c>
      <c r="D27" s="50">
        <v>17</v>
      </c>
      <c r="E27" s="50">
        <v>5</v>
      </c>
      <c r="F27" s="50">
        <v>23</v>
      </c>
      <c r="G27" s="50">
        <v>1</v>
      </c>
      <c r="H27" s="50">
        <v>1</v>
      </c>
      <c r="I27" s="50">
        <v>6</v>
      </c>
      <c r="J27" s="50">
        <v>1</v>
      </c>
      <c r="K27" s="50">
        <v>0</v>
      </c>
      <c r="L27" s="50">
        <v>0</v>
      </c>
      <c r="M27" s="50">
        <v>70</v>
      </c>
      <c r="N27" s="50">
        <v>0</v>
      </c>
      <c r="O27" s="15">
        <f t="shared" si="0"/>
        <v>94</v>
      </c>
      <c r="P27" s="15">
        <f t="shared" si="1"/>
        <v>164</v>
      </c>
      <c r="R27" s="29" t="s">
        <v>87</v>
      </c>
      <c r="S27" s="16">
        <f t="shared" ref="S27:AF27" si="19">SUM(S19:S21)</f>
        <v>168</v>
      </c>
      <c r="T27" s="16">
        <f t="shared" si="19"/>
        <v>100</v>
      </c>
      <c r="U27" s="16">
        <f t="shared" si="19"/>
        <v>33</v>
      </c>
      <c r="V27" s="16">
        <f t="shared" si="19"/>
        <v>102</v>
      </c>
      <c r="W27" s="16">
        <f t="shared" si="19"/>
        <v>1</v>
      </c>
      <c r="X27" s="16">
        <f t="shared" si="19"/>
        <v>1</v>
      </c>
      <c r="Y27" s="16">
        <f t="shared" si="19"/>
        <v>32</v>
      </c>
      <c r="Z27" s="16">
        <f t="shared" si="19"/>
        <v>15</v>
      </c>
      <c r="AA27" s="16">
        <f t="shared" si="19"/>
        <v>0</v>
      </c>
      <c r="AB27" s="16">
        <f t="shared" si="19"/>
        <v>1</v>
      </c>
      <c r="AC27" s="16">
        <f t="shared" si="19"/>
        <v>639</v>
      </c>
      <c r="AD27" s="16">
        <f t="shared" si="19"/>
        <v>0</v>
      </c>
      <c r="AE27" s="32">
        <f t="shared" si="19"/>
        <v>453</v>
      </c>
      <c r="AF27" s="32">
        <f t="shared" si="19"/>
        <v>1092</v>
      </c>
    </row>
    <row r="28" spans="2:32" ht="23.1" customHeight="1" x14ac:dyDescent="0.25">
      <c r="B28" s="23" t="s">
        <v>55</v>
      </c>
      <c r="C28" s="50">
        <v>8</v>
      </c>
      <c r="D28" s="50">
        <v>0</v>
      </c>
      <c r="E28" s="50">
        <v>0</v>
      </c>
      <c r="F28" s="50">
        <v>8</v>
      </c>
      <c r="G28" s="50">
        <v>1</v>
      </c>
      <c r="H28" s="50">
        <v>1</v>
      </c>
      <c r="I28" s="50">
        <v>1</v>
      </c>
      <c r="J28" s="50">
        <v>0</v>
      </c>
      <c r="K28" s="50">
        <v>0</v>
      </c>
      <c r="L28" s="50">
        <v>0</v>
      </c>
      <c r="M28" s="50">
        <v>47</v>
      </c>
      <c r="N28" s="50">
        <v>0</v>
      </c>
      <c r="O28" s="15">
        <f t="shared" si="0"/>
        <v>19</v>
      </c>
      <c r="P28" s="15">
        <f t="shared" si="1"/>
        <v>66</v>
      </c>
      <c r="R28" s="5" t="s">
        <v>17</v>
      </c>
      <c r="S28" s="16">
        <f t="shared" ref="S28:AF28" si="20">SUM(S10:S21)</f>
        <v>698</v>
      </c>
      <c r="T28" s="16">
        <f t="shared" si="20"/>
        <v>379</v>
      </c>
      <c r="U28" s="16">
        <f t="shared" si="20"/>
        <v>102</v>
      </c>
      <c r="V28" s="16">
        <f t="shared" si="20"/>
        <v>470</v>
      </c>
      <c r="W28" s="16">
        <f t="shared" si="20"/>
        <v>9</v>
      </c>
      <c r="X28" s="16">
        <f t="shared" si="20"/>
        <v>7</v>
      </c>
      <c r="Y28" s="16">
        <f t="shared" si="20"/>
        <v>119</v>
      </c>
      <c r="Z28" s="16">
        <f t="shared" si="20"/>
        <v>88</v>
      </c>
      <c r="AA28" s="16">
        <f t="shared" si="20"/>
        <v>4</v>
      </c>
      <c r="AB28" s="16">
        <f t="shared" si="20"/>
        <v>4</v>
      </c>
      <c r="AC28" s="16">
        <f t="shared" si="20"/>
        <v>2151</v>
      </c>
      <c r="AD28" s="16">
        <f t="shared" si="20"/>
        <v>0</v>
      </c>
      <c r="AE28" s="32">
        <f t="shared" si="20"/>
        <v>1880</v>
      </c>
      <c r="AF28" s="32">
        <f t="shared" si="20"/>
        <v>4031</v>
      </c>
    </row>
    <row r="29" spans="2:32" ht="23.1" customHeight="1" x14ac:dyDescent="0.25">
      <c r="B29" s="23" t="s">
        <v>56</v>
      </c>
      <c r="C29" s="50">
        <v>4</v>
      </c>
      <c r="D29" s="50">
        <v>2</v>
      </c>
      <c r="E29" s="50">
        <v>0</v>
      </c>
      <c r="F29" s="50">
        <v>18</v>
      </c>
      <c r="G29" s="50">
        <v>1</v>
      </c>
      <c r="H29" s="50">
        <v>2</v>
      </c>
      <c r="I29" s="50">
        <v>3</v>
      </c>
      <c r="J29" s="50">
        <v>0</v>
      </c>
      <c r="K29" s="50">
        <v>0</v>
      </c>
      <c r="L29" s="50">
        <v>0</v>
      </c>
      <c r="M29" s="50">
        <v>43</v>
      </c>
      <c r="N29" s="50">
        <v>0</v>
      </c>
      <c r="O29" s="15">
        <f t="shared" si="0"/>
        <v>30</v>
      </c>
      <c r="P29" s="15">
        <f t="shared" si="1"/>
        <v>73</v>
      </c>
      <c r="R29"/>
      <c r="S29" s="20"/>
      <c r="T29" s="19"/>
    </row>
    <row r="30" spans="2:32" ht="23.1" customHeight="1" x14ac:dyDescent="0.25">
      <c r="B30" s="23" t="s">
        <v>57</v>
      </c>
      <c r="C30" s="50">
        <v>32</v>
      </c>
      <c r="D30" s="50">
        <v>26</v>
      </c>
      <c r="E30" s="50">
        <v>1</v>
      </c>
      <c r="F30" s="50">
        <v>18</v>
      </c>
      <c r="G30" s="50">
        <v>1</v>
      </c>
      <c r="H30" s="50">
        <v>0</v>
      </c>
      <c r="I30" s="50">
        <v>12</v>
      </c>
      <c r="J30" s="50">
        <v>3</v>
      </c>
      <c r="K30" s="50">
        <v>4</v>
      </c>
      <c r="L30" s="50">
        <v>0</v>
      </c>
      <c r="M30" s="50">
        <v>47</v>
      </c>
      <c r="N30" s="50">
        <v>0</v>
      </c>
      <c r="O30" s="15">
        <f t="shared" si="0"/>
        <v>97</v>
      </c>
      <c r="P30" s="15">
        <f t="shared" si="1"/>
        <v>144</v>
      </c>
    </row>
    <row r="31" spans="2:32" ht="23.1" customHeight="1" x14ac:dyDescent="0.25">
      <c r="B31" s="24" t="s">
        <v>58</v>
      </c>
      <c r="C31" s="50">
        <v>14</v>
      </c>
      <c r="D31" s="50">
        <v>4</v>
      </c>
      <c r="E31" s="50">
        <v>2</v>
      </c>
      <c r="F31" s="50">
        <v>13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32</v>
      </c>
      <c r="N31" s="50">
        <v>0</v>
      </c>
      <c r="O31" s="15">
        <f t="shared" si="0"/>
        <v>35</v>
      </c>
      <c r="P31" s="15">
        <f t="shared" si="1"/>
        <v>67</v>
      </c>
    </row>
    <row r="32" spans="2:32" ht="23.1" customHeight="1" x14ac:dyDescent="0.25">
      <c r="B32" s="24" t="s">
        <v>59</v>
      </c>
      <c r="C32" s="50">
        <v>3</v>
      </c>
      <c r="D32" s="50">
        <v>5</v>
      </c>
      <c r="E32" s="50">
        <v>2</v>
      </c>
      <c r="F32" s="50">
        <v>7</v>
      </c>
      <c r="G32" s="50">
        <v>0</v>
      </c>
      <c r="H32" s="50">
        <v>0</v>
      </c>
      <c r="I32" s="50">
        <v>3</v>
      </c>
      <c r="J32" s="50">
        <v>4</v>
      </c>
      <c r="K32" s="50">
        <v>0</v>
      </c>
      <c r="L32" s="50">
        <v>0</v>
      </c>
      <c r="M32" s="50">
        <v>38</v>
      </c>
      <c r="N32" s="50">
        <v>0</v>
      </c>
      <c r="O32" s="15">
        <f t="shared" si="0"/>
        <v>24</v>
      </c>
      <c r="P32" s="15">
        <f t="shared" si="1"/>
        <v>62</v>
      </c>
    </row>
    <row r="33" spans="2:20" ht="23.1" customHeight="1" x14ac:dyDescent="0.25">
      <c r="B33" s="23" t="s">
        <v>60</v>
      </c>
      <c r="C33" s="50">
        <v>14</v>
      </c>
      <c r="D33" s="50">
        <v>7</v>
      </c>
      <c r="E33" s="50">
        <v>2</v>
      </c>
      <c r="F33" s="50">
        <v>9</v>
      </c>
      <c r="G33" s="50">
        <v>0</v>
      </c>
      <c r="H33" s="50">
        <v>0</v>
      </c>
      <c r="I33" s="50">
        <v>1</v>
      </c>
      <c r="J33" s="50">
        <v>4</v>
      </c>
      <c r="K33" s="50">
        <v>0</v>
      </c>
      <c r="L33" s="50">
        <v>0</v>
      </c>
      <c r="M33" s="50">
        <v>31</v>
      </c>
      <c r="N33" s="50">
        <v>0</v>
      </c>
      <c r="O33" s="15">
        <f t="shared" si="0"/>
        <v>37</v>
      </c>
      <c r="P33" s="15">
        <f t="shared" si="1"/>
        <v>68</v>
      </c>
    </row>
    <row r="34" spans="2:20" ht="23.1" customHeight="1" x14ac:dyDescent="0.25">
      <c r="B34" s="24" t="s">
        <v>61</v>
      </c>
      <c r="C34" s="50">
        <v>6</v>
      </c>
      <c r="D34" s="50">
        <v>3</v>
      </c>
      <c r="E34" s="50">
        <v>1</v>
      </c>
      <c r="F34" s="50">
        <v>4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25</v>
      </c>
      <c r="N34" s="50">
        <v>0</v>
      </c>
      <c r="O34" s="15">
        <f t="shared" si="0"/>
        <v>18</v>
      </c>
      <c r="P34" s="15">
        <f t="shared" si="1"/>
        <v>43</v>
      </c>
    </row>
    <row r="35" spans="2:20" ht="23.1" customHeight="1" x14ac:dyDescent="0.25">
      <c r="B35" s="24" t="s">
        <v>62</v>
      </c>
      <c r="C35" s="50">
        <v>7</v>
      </c>
      <c r="D35" s="50">
        <v>10</v>
      </c>
      <c r="E35" s="50">
        <v>2</v>
      </c>
      <c r="F35" s="50">
        <v>5</v>
      </c>
      <c r="G35" s="50">
        <v>0</v>
      </c>
      <c r="H35" s="50">
        <v>0</v>
      </c>
      <c r="I35" s="50">
        <v>2</v>
      </c>
      <c r="J35" s="50">
        <v>3</v>
      </c>
      <c r="K35" s="50">
        <v>0</v>
      </c>
      <c r="L35" s="50">
        <v>0</v>
      </c>
      <c r="M35" s="50">
        <v>35</v>
      </c>
      <c r="N35" s="50">
        <v>0</v>
      </c>
      <c r="O35" s="15">
        <f t="shared" si="0"/>
        <v>29</v>
      </c>
      <c r="P35" s="15">
        <f t="shared" si="1"/>
        <v>64</v>
      </c>
    </row>
    <row r="36" spans="2:20" ht="23.1" customHeight="1" x14ac:dyDescent="0.25">
      <c r="B36" s="24" t="s">
        <v>63</v>
      </c>
      <c r="C36" s="50">
        <v>8</v>
      </c>
      <c r="D36" s="50">
        <v>10</v>
      </c>
      <c r="E36" s="50">
        <v>3</v>
      </c>
      <c r="F36" s="50">
        <v>6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37</v>
      </c>
      <c r="N36" s="50">
        <v>0</v>
      </c>
      <c r="O36" s="15">
        <f t="shared" si="0"/>
        <v>28</v>
      </c>
      <c r="P36" s="15">
        <f t="shared" si="1"/>
        <v>65</v>
      </c>
    </row>
    <row r="37" spans="2:20" ht="23.1" customHeight="1" x14ac:dyDescent="0.25">
      <c r="B37" s="23" t="s">
        <v>64</v>
      </c>
      <c r="C37" s="50">
        <v>7</v>
      </c>
      <c r="D37" s="50">
        <v>4</v>
      </c>
      <c r="E37" s="50">
        <v>0</v>
      </c>
      <c r="F37" s="50">
        <v>5</v>
      </c>
      <c r="G37" s="50">
        <v>1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25</v>
      </c>
      <c r="N37" s="50">
        <v>0</v>
      </c>
      <c r="O37" s="15">
        <f t="shared" si="0"/>
        <v>17</v>
      </c>
      <c r="P37" s="15">
        <f t="shared" si="1"/>
        <v>42</v>
      </c>
    </row>
    <row r="38" spans="2:20" ht="23.1" customHeight="1" x14ac:dyDescent="0.25">
      <c r="B38" s="24" t="s">
        <v>65</v>
      </c>
      <c r="C38" s="50">
        <v>13</v>
      </c>
      <c r="D38" s="50">
        <v>12</v>
      </c>
      <c r="E38" s="50">
        <v>4</v>
      </c>
      <c r="F38" s="50">
        <v>8</v>
      </c>
      <c r="G38" s="50">
        <v>2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29</v>
      </c>
      <c r="N38" s="50">
        <v>0</v>
      </c>
      <c r="O38" s="15">
        <f t="shared" si="0"/>
        <v>40</v>
      </c>
      <c r="P38" s="15">
        <f t="shared" si="1"/>
        <v>69</v>
      </c>
    </row>
    <row r="39" spans="2:20" ht="23.1" customHeight="1" x14ac:dyDescent="0.25">
      <c r="B39" s="24" t="s">
        <v>66</v>
      </c>
      <c r="C39" s="50">
        <v>7</v>
      </c>
      <c r="D39" s="50">
        <v>7</v>
      </c>
      <c r="E39" s="50">
        <v>1</v>
      </c>
      <c r="F39" s="50">
        <v>5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28</v>
      </c>
      <c r="N39" s="50">
        <v>0</v>
      </c>
      <c r="O39" s="15">
        <f t="shared" si="0"/>
        <v>22</v>
      </c>
      <c r="P39" s="15">
        <f t="shared" si="1"/>
        <v>50</v>
      </c>
    </row>
    <row r="40" spans="2:20" ht="23.1" customHeight="1" x14ac:dyDescent="0.25">
      <c r="B40" s="24" t="s">
        <v>67</v>
      </c>
      <c r="C40" s="50">
        <v>17</v>
      </c>
      <c r="D40" s="50">
        <v>11</v>
      </c>
      <c r="E40" s="50">
        <v>4</v>
      </c>
      <c r="F40" s="50">
        <v>8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42</v>
      </c>
      <c r="N40" s="50">
        <v>0</v>
      </c>
      <c r="O40" s="15">
        <f t="shared" si="0"/>
        <v>41</v>
      </c>
      <c r="P40" s="15">
        <f t="shared" si="1"/>
        <v>83</v>
      </c>
    </row>
    <row r="41" spans="2:20" ht="23.1" customHeight="1" x14ac:dyDescent="0.25">
      <c r="B41" s="23" t="s">
        <v>68</v>
      </c>
      <c r="C41" s="50">
        <v>9</v>
      </c>
      <c r="D41" s="50">
        <v>6</v>
      </c>
      <c r="E41" s="50">
        <v>4</v>
      </c>
      <c r="F41" s="50">
        <v>7</v>
      </c>
      <c r="G41" s="50">
        <v>0</v>
      </c>
      <c r="H41" s="50">
        <v>1</v>
      </c>
      <c r="I41" s="50">
        <v>2</v>
      </c>
      <c r="J41" s="50">
        <v>1</v>
      </c>
      <c r="K41" s="50">
        <v>0</v>
      </c>
      <c r="L41" s="50">
        <v>0</v>
      </c>
      <c r="M41" s="50">
        <v>35</v>
      </c>
      <c r="N41" s="50">
        <v>0</v>
      </c>
      <c r="O41" s="15">
        <f t="shared" si="0"/>
        <v>30</v>
      </c>
      <c r="P41" s="15">
        <f t="shared" si="1"/>
        <v>65</v>
      </c>
    </row>
    <row r="42" spans="2:20" ht="23.1" customHeight="1" x14ac:dyDescent="0.25">
      <c r="B42" s="24" t="s">
        <v>69</v>
      </c>
      <c r="C42" s="50">
        <v>13</v>
      </c>
      <c r="D42" s="50">
        <v>5</v>
      </c>
      <c r="E42" s="50">
        <v>1</v>
      </c>
      <c r="F42" s="50">
        <v>8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1</v>
      </c>
      <c r="M42" s="50">
        <v>37</v>
      </c>
      <c r="N42" s="50">
        <v>0</v>
      </c>
      <c r="O42" s="15">
        <f t="shared" si="0"/>
        <v>29</v>
      </c>
      <c r="P42" s="15">
        <f t="shared" si="1"/>
        <v>66</v>
      </c>
    </row>
    <row r="43" spans="2:20" ht="23.1" customHeight="1" x14ac:dyDescent="0.25">
      <c r="B43" s="23" t="s">
        <v>70</v>
      </c>
      <c r="C43" s="50">
        <v>11</v>
      </c>
      <c r="D43" s="50">
        <v>10</v>
      </c>
      <c r="E43" s="50">
        <v>0</v>
      </c>
      <c r="F43" s="50">
        <v>5</v>
      </c>
      <c r="G43" s="50">
        <v>0</v>
      </c>
      <c r="H43" s="50">
        <v>0</v>
      </c>
      <c r="I43" s="50">
        <v>2</v>
      </c>
      <c r="J43" s="50">
        <v>7</v>
      </c>
      <c r="K43" s="50">
        <v>0</v>
      </c>
      <c r="L43" s="50">
        <v>0</v>
      </c>
      <c r="M43" s="50">
        <v>40</v>
      </c>
      <c r="N43" s="50">
        <v>0</v>
      </c>
      <c r="O43" s="15">
        <f t="shared" si="0"/>
        <v>35</v>
      </c>
      <c r="P43" s="15">
        <f t="shared" si="1"/>
        <v>75</v>
      </c>
    </row>
    <row r="44" spans="2:20" ht="23.1" customHeight="1" x14ac:dyDescent="0.25">
      <c r="B44" s="25" t="s">
        <v>71</v>
      </c>
      <c r="C44" s="50">
        <v>12</v>
      </c>
      <c r="D44" s="50">
        <v>8</v>
      </c>
      <c r="E44" s="50">
        <v>1</v>
      </c>
      <c r="F44" s="50">
        <v>5</v>
      </c>
      <c r="G44" s="50">
        <v>0</v>
      </c>
      <c r="H44" s="50">
        <v>0</v>
      </c>
      <c r="I44" s="50">
        <v>3</v>
      </c>
      <c r="J44" s="50">
        <v>3</v>
      </c>
      <c r="K44" s="50">
        <v>0</v>
      </c>
      <c r="L44" s="50">
        <v>0</v>
      </c>
      <c r="M44" s="50">
        <v>43</v>
      </c>
      <c r="N44" s="50">
        <v>0</v>
      </c>
      <c r="O44" s="15">
        <f t="shared" si="0"/>
        <v>32</v>
      </c>
      <c r="P44" s="15">
        <f t="shared" si="1"/>
        <v>75</v>
      </c>
    </row>
    <row r="45" spans="2:20" ht="23.1" customHeight="1" x14ac:dyDescent="0.25">
      <c r="B45" s="23" t="s">
        <v>72</v>
      </c>
      <c r="C45" s="50">
        <v>11</v>
      </c>
      <c r="D45" s="50">
        <v>8</v>
      </c>
      <c r="E45" s="50">
        <v>0</v>
      </c>
      <c r="F45" s="50">
        <v>4</v>
      </c>
      <c r="G45" s="50">
        <v>0</v>
      </c>
      <c r="H45" s="50">
        <v>0</v>
      </c>
      <c r="I45" s="50">
        <v>2</v>
      </c>
      <c r="J45" s="50">
        <v>5</v>
      </c>
      <c r="K45" s="50">
        <v>0</v>
      </c>
      <c r="L45" s="50">
        <v>0</v>
      </c>
      <c r="M45" s="50">
        <v>30</v>
      </c>
      <c r="N45" s="50">
        <v>0</v>
      </c>
      <c r="O45" s="15">
        <f t="shared" si="0"/>
        <v>30</v>
      </c>
      <c r="P45" s="15">
        <f t="shared" si="1"/>
        <v>60</v>
      </c>
    </row>
    <row r="46" spans="2:20" ht="23.1" customHeight="1" x14ac:dyDescent="0.25">
      <c r="B46" s="24" t="s">
        <v>73</v>
      </c>
      <c r="C46" s="50">
        <v>5</v>
      </c>
      <c r="D46" s="50">
        <v>8</v>
      </c>
      <c r="E46" s="50">
        <v>1</v>
      </c>
      <c r="F46" s="50">
        <v>6</v>
      </c>
      <c r="G46" s="50">
        <v>0</v>
      </c>
      <c r="H46" s="50">
        <v>0</v>
      </c>
      <c r="I46" s="50">
        <v>2</v>
      </c>
      <c r="J46" s="50">
        <v>2</v>
      </c>
      <c r="K46" s="50">
        <v>0</v>
      </c>
      <c r="L46" s="50">
        <v>0</v>
      </c>
      <c r="M46" s="50">
        <v>45</v>
      </c>
      <c r="N46" s="50">
        <v>0</v>
      </c>
      <c r="O46" s="15">
        <f t="shared" si="0"/>
        <v>24</v>
      </c>
      <c r="P46" s="15">
        <f t="shared" si="1"/>
        <v>69</v>
      </c>
      <c r="R46" s="8"/>
      <c r="T46"/>
    </row>
    <row r="47" spans="2:20" ht="23.1" customHeight="1" x14ac:dyDescent="0.25">
      <c r="B47" s="24" t="s">
        <v>74</v>
      </c>
      <c r="C47" s="50">
        <v>21</v>
      </c>
      <c r="D47" s="50">
        <v>8</v>
      </c>
      <c r="E47" s="50">
        <v>6</v>
      </c>
      <c r="F47" s="50">
        <v>7</v>
      </c>
      <c r="G47" s="50">
        <v>0</v>
      </c>
      <c r="H47" s="50">
        <v>0</v>
      </c>
      <c r="I47" s="50">
        <v>4</v>
      </c>
      <c r="J47" s="50">
        <v>1</v>
      </c>
      <c r="K47" s="50">
        <v>0</v>
      </c>
      <c r="L47" s="50">
        <v>0</v>
      </c>
      <c r="M47" s="50">
        <v>52</v>
      </c>
      <c r="N47" s="50">
        <v>0</v>
      </c>
      <c r="O47" s="15">
        <f t="shared" si="0"/>
        <v>47</v>
      </c>
      <c r="P47" s="15">
        <f t="shared" si="1"/>
        <v>99</v>
      </c>
      <c r="R47" s="8"/>
      <c r="T47"/>
    </row>
    <row r="48" spans="2:20" ht="23.1" customHeight="1" x14ac:dyDescent="0.25">
      <c r="B48" s="24" t="s">
        <v>75</v>
      </c>
      <c r="C48" s="50">
        <v>12</v>
      </c>
      <c r="D48" s="50">
        <v>8</v>
      </c>
      <c r="E48" s="50">
        <v>2</v>
      </c>
      <c r="F48" s="50">
        <v>5</v>
      </c>
      <c r="G48" s="50">
        <v>0</v>
      </c>
      <c r="H48" s="50">
        <v>1</v>
      </c>
      <c r="I48" s="50">
        <v>2</v>
      </c>
      <c r="J48" s="50">
        <v>0</v>
      </c>
      <c r="K48" s="50">
        <v>0</v>
      </c>
      <c r="L48" s="50">
        <v>0</v>
      </c>
      <c r="M48" s="50">
        <v>62</v>
      </c>
      <c r="N48" s="50">
        <v>0</v>
      </c>
      <c r="O48" s="15">
        <f t="shared" si="0"/>
        <v>30</v>
      </c>
      <c r="P48" s="15">
        <f t="shared" si="1"/>
        <v>92</v>
      </c>
      <c r="R48" s="8"/>
      <c r="T48"/>
    </row>
    <row r="49" spans="2:20" ht="23.1" customHeight="1" x14ac:dyDescent="0.25">
      <c r="B49" s="23" t="s">
        <v>76</v>
      </c>
      <c r="C49" s="50">
        <v>18</v>
      </c>
      <c r="D49" s="50">
        <v>11</v>
      </c>
      <c r="E49" s="50">
        <v>4</v>
      </c>
      <c r="F49" s="50">
        <v>13</v>
      </c>
      <c r="G49" s="50">
        <v>1</v>
      </c>
      <c r="H49" s="50">
        <v>0</v>
      </c>
      <c r="I49" s="50">
        <v>3</v>
      </c>
      <c r="J49" s="50">
        <v>3</v>
      </c>
      <c r="K49" s="50">
        <v>0</v>
      </c>
      <c r="L49" s="50">
        <v>1</v>
      </c>
      <c r="M49" s="50">
        <v>55</v>
      </c>
      <c r="N49" s="50">
        <v>0</v>
      </c>
      <c r="O49" s="15">
        <f t="shared" si="0"/>
        <v>54</v>
      </c>
      <c r="P49" s="15">
        <f t="shared" si="1"/>
        <v>109</v>
      </c>
      <c r="R49" s="8"/>
      <c r="T49"/>
    </row>
    <row r="50" spans="2:20" ht="23.1" customHeight="1" x14ac:dyDescent="0.25">
      <c r="B50" s="24" t="s">
        <v>77</v>
      </c>
      <c r="C50" s="50">
        <v>13</v>
      </c>
      <c r="D50" s="50">
        <v>7</v>
      </c>
      <c r="E50" s="50">
        <v>6</v>
      </c>
      <c r="F50" s="50">
        <v>7</v>
      </c>
      <c r="G50" s="50">
        <v>0</v>
      </c>
      <c r="H50" s="50">
        <v>0</v>
      </c>
      <c r="I50" s="50">
        <v>3</v>
      </c>
      <c r="J50" s="50">
        <v>2</v>
      </c>
      <c r="K50" s="50">
        <v>0</v>
      </c>
      <c r="L50" s="50">
        <v>0</v>
      </c>
      <c r="M50" s="50">
        <v>52</v>
      </c>
      <c r="N50" s="50">
        <v>0</v>
      </c>
      <c r="O50" s="15">
        <f t="shared" si="0"/>
        <v>38</v>
      </c>
      <c r="P50" s="15">
        <f t="shared" si="1"/>
        <v>90</v>
      </c>
      <c r="R50" s="8"/>
      <c r="T50"/>
    </row>
    <row r="51" spans="2:20" ht="23.1" customHeight="1" x14ac:dyDescent="0.25">
      <c r="B51" s="24" t="s">
        <v>78</v>
      </c>
      <c r="C51" s="50">
        <v>16</v>
      </c>
      <c r="D51" s="50">
        <v>9</v>
      </c>
      <c r="E51" s="50">
        <v>3</v>
      </c>
      <c r="F51" s="50">
        <v>8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58</v>
      </c>
      <c r="N51" s="50">
        <v>0</v>
      </c>
      <c r="O51" s="15">
        <f t="shared" si="0"/>
        <v>38</v>
      </c>
      <c r="P51" s="15">
        <f t="shared" si="1"/>
        <v>96</v>
      </c>
      <c r="R51" s="8"/>
      <c r="T51"/>
    </row>
    <row r="52" spans="2:20" ht="23.1" customHeight="1" x14ac:dyDescent="0.25">
      <c r="B52" s="24" t="s">
        <v>79</v>
      </c>
      <c r="C52" s="50">
        <v>12</v>
      </c>
      <c r="D52" s="50">
        <v>7</v>
      </c>
      <c r="E52" s="50">
        <v>1</v>
      </c>
      <c r="F52" s="50">
        <v>8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64</v>
      </c>
      <c r="N52" s="50">
        <v>0</v>
      </c>
      <c r="O52" s="15">
        <f t="shared" si="0"/>
        <v>30</v>
      </c>
      <c r="P52" s="15">
        <f t="shared" si="1"/>
        <v>94</v>
      </c>
      <c r="R52" s="8"/>
      <c r="T52"/>
    </row>
    <row r="53" spans="2:20" ht="23.1" customHeight="1" x14ac:dyDescent="0.25">
      <c r="B53" s="23" t="s">
        <v>80</v>
      </c>
      <c r="C53" s="50">
        <v>18</v>
      </c>
      <c r="D53" s="50">
        <v>10</v>
      </c>
      <c r="E53" s="50">
        <v>2</v>
      </c>
      <c r="F53" s="50">
        <v>21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53</v>
      </c>
      <c r="N53" s="50">
        <v>0</v>
      </c>
      <c r="O53" s="15">
        <f t="shared" si="0"/>
        <v>52</v>
      </c>
      <c r="P53" s="15">
        <f t="shared" si="1"/>
        <v>105</v>
      </c>
      <c r="R53" s="8"/>
      <c r="T53"/>
    </row>
    <row r="54" spans="2:20" ht="23.1" customHeight="1" x14ac:dyDescent="0.25">
      <c r="B54" s="23" t="s">
        <v>81</v>
      </c>
      <c r="C54" s="50">
        <v>15</v>
      </c>
      <c r="D54" s="50">
        <v>6</v>
      </c>
      <c r="E54" s="50">
        <v>2</v>
      </c>
      <c r="F54" s="50">
        <v>10</v>
      </c>
      <c r="G54" s="50">
        <v>0</v>
      </c>
      <c r="H54" s="50">
        <v>0</v>
      </c>
      <c r="I54" s="50">
        <v>5</v>
      </c>
      <c r="J54" s="50">
        <v>2</v>
      </c>
      <c r="K54" s="50">
        <v>0</v>
      </c>
      <c r="L54" s="50">
        <v>0</v>
      </c>
      <c r="M54" s="50">
        <v>65</v>
      </c>
      <c r="N54" s="50">
        <v>0</v>
      </c>
      <c r="O54" s="15">
        <f t="shared" si="0"/>
        <v>40</v>
      </c>
      <c r="P54" s="15">
        <f t="shared" si="1"/>
        <v>105</v>
      </c>
      <c r="R54" s="8"/>
      <c r="T54"/>
    </row>
    <row r="55" spans="2:20" ht="23.1" customHeight="1" x14ac:dyDescent="0.25">
      <c r="B55" s="23" t="s">
        <v>82</v>
      </c>
      <c r="C55" s="50">
        <v>12</v>
      </c>
      <c r="D55" s="50">
        <v>4</v>
      </c>
      <c r="E55" s="50">
        <v>2</v>
      </c>
      <c r="F55" s="50">
        <v>4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42</v>
      </c>
      <c r="N55" s="50">
        <v>0</v>
      </c>
      <c r="O55" s="15">
        <f t="shared" si="0"/>
        <v>25</v>
      </c>
      <c r="P55" s="15">
        <f t="shared" si="1"/>
        <v>67</v>
      </c>
      <c r="R55" s="8"/>
      <c r="T55"/>
    </row>
    <row r="56" spans="2:20" ht="23.1" customHeight="1" x14ac:dyDescent="0.25">
      <c r="B56" s="23" t="s">
        <v>83</v>
      </c>
      <c r="C56" s="50">
        <v>13</v>
      </c>
      <c r="D56" s="50">
        <v>10</v>
      </c>
      <c r="E56" s="50">
        <v>1</v>
      </c>
      <c r="F56" s="50">
        <v>5</v>
      </c>
      <c r="G56" s="50">
        <v>0</v>
      </c>
      <c r="H56" s="50">
        <v>0</v>
      </c>
      <c r="I56" s="50">
        <v>5</v>
      </c>
      <c r="J56" s="50">
        <v>2</v>
      </c>
      <c r="K56" s="50">
        <v>0</v>
      </c>
      <c r="L56" s="50">
        <v>0</v>
      </c>
      <c r="M56" s="50">
        <v>48</v>
      </c>
      <c r="N56" s="50">
        <v>0</v>
      </c>
      <c r="O56" s="15">
        <f t="shared" si="0"/>
        <v>36</v>
      </c>
      <c r="P56" s="15">
        <f t="shared" si="1"/>
        <v>84</v>
      </c>
      <c r="R56" s="8"/>
      <c r="T56"/>
    </row>
    <row r="57" spans="2:20" ht="23.1" customHeight="1" x14ac:dyDescent="0.25">
      <c r="B57" s="23" t="s">
        <v>84</v>
      </c>
      <c r="C57" s="50">
        <v>13</v>
      </c>
      <c r="D57" s="50">
        <v>12</v>
      </c>
      <c r="E57" s="50">
        <v>3</v>
      </c>
      <c r="F57" s="50">
        <v>8</v>
      </c>
      <c r="G57" s="50">
        <v>0</v>
      </c>
      <c r="H57" s="50">
        <v>0</v>
      </c>
      <c r="I57" s="50">
        <v>2</v>
      </c>
      <c r="J57" s="50">
        <v>1</v>
      </c>
      <c r="K57" s="50">
        <v>0</v>
      </c>
      <c r="L57" s="50">
        <v>0</v>
      </c>
      <c r="M57" s="50">
        <v>43</v>
      </c>
      <c r="N57" s="50">
        <v>0</v>
      </c>
      <c r="O57" s="15">
        <f t="shared" si="0"/>
        <v>39</v>
      </c>
      <c r="P57" s="15">
        <f t="shared" si="1"/>
        <v>82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698</v>
      </c>
      <c r="D58" s="16">
        <f t="shared" si="21"/>
        <v>379</v>
      </c>
      <c r="E58" s="16">
        <f t="shared" si="21"/>
        <v>102</v>
      </c>
      <c r="F58" s="16">
        <f t="shared" si="21"/>
        <v>470</v>
      </c>
      <c r="G58" s="16">
        <f t="shared" si="21"/>
        <v>9</v>
      </c>
      <c r="H58" s="16">
        <f t="shared" si="21"/>
        <v>7</v>
      </c>
      <c r="I58" s="16">
        <f t="shared" si="21"/>
        <v>119</v>
      </c>
      <c r="J58" s="16">
        <f t="shared" si="21"/>
        <v>88</v>
      </c>
      <c r="K58" s="16">
        <f t="shared" si="21"/>
        <v>4</v>
      </c>
      <c r="L58" s="16">
        <f t="shared" si="21"/>
        <v>4</v>
      </c>
      <c r="M58" s="16">
        <f t="shared" si="21"/>
        <v>2151</v>
      </c>
      <c r="N58" s="16">
        <f t="shared" si="21"/>
        <v>0</v>
      </c>
      <c r="O58" s="16">
        <f t="shared" si="21"/>
        <v>1880</v>
      </c>
      <c r="P58" s="16">
        <f t="shared" si="21"/>
        <v>4031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0.17315802530389482</v>
      </c>
      <c r="D59" s="43">
        <f t="shared" si="22"/>
        <v>9.4021334656412797E-2</v>
      </c>
      <c r="E59" s="43">
        <f t="shared" si="22"/>
        <v>2.5303894815182335E-2</v>
      </c>
      <c r="F59" s="43">
        <f t="shared" si="22"/>
        <v>0.11659637806995783</v>
      </c>
      <c r="G59" s="43">
        <f t="shared" si="22"/>
        <v>2.232696601339618E-3</v>
      </c>
      <c r="H59" s="43">
        <f t="shared" si="22"/>
        <v>1.7365418010419251E-3</v>
      </c>
      <c r="I59" s="43">
        <f t="shared" si="22"/>
        <v>2.9521210617712727E-2</v>
      </c>
      <c r="J59" s="43">
        <f t="shared" si="22"/>
        <v>2.1830811213098485E-2</v>
      </c>
      <c r="K59" s="43">
        <f t="shared" si="22"/>
        <v>9.9230960059538574E-4</v>
      </c>
      <c r="L59" s="43">
        <f t="shared" si="22"/>
        <v>9.9230960059538574E-4</v>
      </c>
      <c r="M59" s="43">
        <f t="shared" si="22"/>
        <v>0.53361448772016873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0.37127659574468086</v>
      </c>
      <c r="D60" s="44">
        <f t="shared" ref="D60:N60" si="23">D58/$O$58</f>
        <v>0.20159574468085106</v>
      </c>
      <c r="E60" s="44">
        <f t="shared" si="23"/>
        <v>5.4255319148936172E-2</v>
      </c>
      <c r="F60" s="44">
        <f t="shared" si="23"/>
        <v>0.25</v>
      </c>
      <c r="G60" s="44">
        <f t="shared" si="23"/>
        <v>4.7872340425531915E-3</v>
      </c>
      <c r="H60" s="44">
        <f t="shared" si="23"/>
        <v>3.7234042553191491E-3</v>
      </c>
      <c r="I60" s="44">
        <f t="shared" si="23"/>
        <v>6.3297872340425526E-2</v>
      </c>
      <c r="J60" s="44">
        <f t="shared" si="23"/>
        <v>4.6808510638297871E-2</v>
      </c>
      <c r="K60" s="44">
        <f t="shared" si="23"/>
        <v>2.1276595744680851E-3</v>
      </c>
      <c r="L60" s="44">
        <f t="shared" si="23"/>
        <v>2.1276595744680851E-3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H46" zoomScale="60" workbookViewId="0">
      <selection activeCell="X78" sqref="X7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'28.07 Sentema-SentemaRBT'!C3:G3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169</v>
      </c>
      <c r="E5" s="67"/>
      <c r="F5" s="41" t="s">
        <v>1</v>
      </c>
      <c r="G5" s="64" t="str">
        <f>'28.07 SentemaRBT-Sentema'!G5:H5</f>
        <v>Ku roofings</v>
      </c>
      <c r="H5" s="65"/>
      <c r="I5" s="14"/>
      <c r="J5" s="2" t="s">
        <v>5</v>
      </c>
      <c r="K5" s="64" t="str">
        <f>'28.07 SentemaRBT-Sentema'!K5:L5</f>
        <v>Nawaja Brenda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'28.07 SentemaRBT-Sentema'!D6:E6</f>
        <v>Sentema RBT</v>
      </c>
      <c r="E6" s="65"/>
      <c r="F6" s="2" t="s">
        <v>2</v>
      </c>
      <c r="G6" s="64" t="str">
        <f>'28.07 SentemaRBT-Sentema'!G6:H6</f>
        <v>Sentema</v>
      </c>
      <c r="H6" s="65"/>
      <c r="J6" s="2" t="s">
        <v>21</v>
      </c>
      <c r="K6" s="64" t="str">
        <f>'28.07 SentemaRBT-Sentema'!K6:L6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SentemaRBT-Sentema'!C10,'23.07 Sentema RBT-Sentema'!C10,'24.07 SentemaRBT-Sentema'!C10,'25.07 SentemaRBT-Sentema'!C10,'26.07 SentemaRBT-Sentema-24h'!C10,'27.07 SentemaRBT-Sentema-24h'!C10,'28.07 SentemaRBT-Sentema'!C10)</f>
        <v>7</v>
      </c>
      <c r="D10" s="49">
        <f>AVERAGE('22.07 SentemaRBT-Sentema'!D10,'23.07 Sentema RBT-Sentema'!D10,'24.07 SentemaRBT-Sentema'!D10,'25.07 SentemaRBT-Sentema'!D10,'26.07 SentemaRBT-Sentema-24h'!D10,'27.07 SentemaRBT-Sentema-24h'!D10,'28.07 SentemaRBT-Sentema'!D10)</f>
        <v>0.42857142857142855</v>
      </c>
      <c r="E10" s="49">
        <f>AVERAGE('22.07 SentemaRBT-Sentema'!E10,'23.07 Sentema RBT-Sentema'!E10,'24.07 SentemaRBT-Sentema'!E10,'25.07 SentemaRBT-Sentema'!E10,'26.07 SentemaRBT-Sentema-24h'!E10,'27.07 SentemaRBT-Sentema-24h'!E10,'28.07 SentemaRBT-Sentema'!E10)</f>
        <v>1</v>
      </c>
      <c r="F10" s="49">
        <f>AVERAGE('22.07 SentemaRBT-Sentema'!F10,'23.07 Sentema RBT-Sentema'!F10,'24.07 SentemaRBT-Sentema'!F10,'25.07 SentemaRBT-Sentema'!F10,'26.07 SentemaRBT-Sentema-24h'!F10,'27.07 SentemaRBT-Sentema-24h'!F10,'28.07 SentemaRBT-Sentema'!F10)</f>
        <v>2.8571428571428572</v>
      </c>
      <c r="G10" s="49">
        <f>AVERAGE('22.07 SentemaRBT-Sentema'!G10,'23.07 Sentema RBT-Sentema'!G10,'24.07 SentemaRBT-Sentema'!G10,'25.07 SentemaRBT-Sentema'!G10,'26.07 SentemaRBT-Sentema-24h'!G10,'27.07 SentemaRBT-Sentema-24h'!G10,'28.07 SentemaRBT-Sentema'!G10)</f>
        <v>1.5714285714285714</v>
      </c>
      <c r="H10" s="49">
        <f>AVERAGE('22.07 SentemaRBT-Sentema'!H10,'23.07 Sentema RBT-Sentema'!H10,'24.07 SentemaRBT-Sentema'!H10,'25.07 SentemaRBT-Sentema'!H10,'26.07 SentemaRBT-Sentema-24h'!H10,'27.07 SentemaRBT-Sentema-24h'!H10,'28.07 SentemaRBT-Sentema'!H10)</f>
        <v>0.14285714285714285</v>
      </c>
      <c r="I10" s="49">
        <f>AVERAGE('22.07 SentemaRBT-Sentema'!I10,'23.07 Sentema RBT-Sentema'!I10,'24.07 SentemaRBT-Sentema'!I10,'25.07 SentemaRBT-Sentema'!I10,'26.07 SentemaRBT-Sentema-24h'!I10,'27.07 SentemaRBT-Sentema-24h'!I10,'28.07 SentemaRBT-Sentema'!I10)</f>
        <v>1.2857142857142858</v>
      </c>
      <c r="J10" s="49">
        <f>AVERAGE('22.07 SentemaRBT-Sentema'!J10,'23.07 Sentema RBT-Sentema'!J10,'24.07 SentemaRBT-Sentema'!J10,'25.07 SentemaRBT-Sentema'!J10,'26.07 SentemaRBT-Sentema-24h'!J10,'27.07 SentemaRBT-Sentema-24h'!J10,'28.07 SentemaRBT-Sentema'!J10)</f>
        <v>1.2857142857142858</v>
      </c>
      <c r="K10" s="49">
        <f>AVERAGE('22.07 SentemaRBT-Sentema'!K10,'23.07 Sentema RBT-Sentema'!K10,'24.07 SentemaRBT-Sentema'!K10,'25.07 SentemaRBT-Sentema'!K10,'26.07 SentemaRBT-Sentema-24h'!K10,'27.07 SentemaRBT-Sentema-24h'!K10,'28.07 SentemaRBT-Sentema'!K10)</f>
        <v>0.42857142857142855</v>
      </c>
      <c r="L10" s="49">
        <f>AVERAGE('22.07 SentemaRBT-Sentema'!L10,'23.07 Sentema RBT-Sentema'!L10,'24.07 SentemaRBT-Sentema'!L10,'25.07 SentemaRBT-Sentema'!L10,'26.07 SentemaRBT-Sentema-24h'!L10,'27.07 SentemaRBT-Sentema-24h'!L10,'28.07 SentemaRBT-Sentema'!L10)</f>
        <v>0.14285714285714285</v>
      </c>
      <c r="M10" s="49">
        <f>AVERAGE('22.07 SentemaRBT-Sentema'!M10,'23.07 Sentema RBT-Sentema'!M10,'24.07 SentemaRBT-Sentema'!M10,'25.07 SentemaRBT-Sentema'!M10,'26.07 SentemaRBT-Sentema-24h'!M10,'27.07 SentemaRBT-Sentema-24h'!M10,'28.07 SentemaRBT-Sentema'!M10)</f>
        <v>22.428571428571427</v>
      </c>
      <c r="N10" s="49">
        <f>AVERAGE('22.07 SentemaRBT-Sentema'!N10,'23.07 Sentema RBT-Sentema'!N10,'24.07 SentemaRBT-Sentema'!N10,'25.07 SentemaRBT-Sentema'!N10,'26.07 SentemaRBT-Sentema-24h'!N10,'27.07 SentemaRBT-Sentema-24h'!N10,'28.07 SentemaRBT-Sentema'!N10)</f>
        <v>0</v>
      </c>
      <c r="O10" s="15">
        <f t="shared" ref="O10:O62" si="0">SUM(C10:L10,N10)</f>
        <v>16.142857142857142</v>
      </c>
      <c r="P10" s="15">
        <f t="shared" ref="P10:P73" si="1">SUM(C10:N10)</f>
        <v>38.571428571428569</v>
      </c>
      <c r="R10" s="1" t="s">
        <v>6</v>
      </c>
      <c r="S10" s="17">
        <f t="shared" ref="S10:AF10" si="2">SUM(C10:C13)</f>
        <v>29.571428571428573</v>
      </c>
      <c r="T10" s="17">
        <f t="shared" si="2"/>
        <v>4.4285714285714288</v>
      </c>
      <c r="U10" s="17">
        <f t="shared" si="2"/>
        <v>3.7142857142857144</v>
      </c>
      <c r="V10" s="17">
        <f t="shared" si="2"/>
        <v>32.142857142857139</v>
      </c>
      <c r="W10" s="17">
        <f t="shared" si="2"/>
        <v>1.8571428571428572</v>
      </c>
      <c r="X10" s="17">
        <f t="shared" si="2"/>
        <v>0.2857142857142857</v>
      </c>
      <c r="Y10" s="17">
        <f t="shared" si="2"/>
        <v>5.7142857142857135</v>
      </c>
      <c r="Z10" s="17">
        <f t="shared" si="2"/>
        <v>6.7142857142857135</v>
      </c>
      <c r="AA10" s="17">
        <f t="shared" si="2"/>
        <v>1</v>
      </c>
      <c r="AB10" s="17">
        <f t="shared" si="2"/>
        <v>0.2857142857142857</v>
      </c>
      <c r="AC10" s="17">
        <f t="shared" si="2"/>
        <v>126.42857142857142</v>
      </c>
      <c r="AD10" s="17">
        <f t="shared" si="2"/>
        <v>0</v>
      </c>
      <c r="AE10" s="31">
        <f t="shared" si="2"/>
        <v>85.714285714285708</v>
      </c>
      <c r="AF10" s="31">
        <f t="shared" si="2"/>
        <v>212.14285714285714</v>
      </c>
    </row>
    <row r="11" spans="2:32" s="6" customFormat="1" ht="23.1" customHeight="1" x14ac:dyDescent="0.25">
      <c r="B11" s="23" t="s">
        <v>38</v>
      </c>
      <c r="C11" s="49">
        <f>AVERAGE('22.07 SentemaRBT-Sentema'!C11,'23.07 Sentema RBT-Sentema'!C11,'24.07 SentemaRBT-Sentema'!C11,'25.07 SentemaRBT-Sentema'!C11,'26.07 SentemaRBT-Sentema-24h'!C11,'27.07 SentemaRBT-Sentema-24h'!C11,'28.07 SentemaRBT-Sentema'!C11)</f>
        <v>8.2857142857142865</v>
      </c>
      <c r="D11" s="49">
        <f>AVERAGE('22.07 SentemaRBT-Sentema'!D11,'23.07 Sentema RBT-Sentema'!D11,'24.07 SentemaRBT-Sentema'!D11,'25.07 SentemaRBT-Sentema'!D11,'26.07 SentemaRBT-Sentema-24h'!D11,'27.07 SentemaRBT-Sentema-24h'!D11,'28.07 SentemaRBT-Sentema'!D11)</f>
        <v>1.5714285714285714</v>
      </c>
      <c r="E11" s="49">
        <f>AVERAGE('22.07 SentemaRBT-Sentema'!E11,'23.07 Sentema RBT-Sentema'!E11,'24.07 SentemaRBT-Sentema'!E11,'25.07 SentemaRBT-Sentema'!E11,'26.07 SentemaRBT-Sentema-24h'!E11,'27.07 SentemaRBT-Sentema-24h'!E11,'28.07 SentemaRBT-Sentema'!E11)</f>
        <v>0.14285714285714285</v>
      </c>
      <c r="F11" s="49">
        <f>AVERAGE('22.07 SentemaRBT-Sentema'!F11,'23.07 Sentema RBT-Sentema'!F11,'24.07 SentemaRBT-Sentema'!F11,'25.07 SentemaRBT-Sentema'!F11,'26.07 SentemaRBT-Sentema-24h'!F11,'27.07 SentemaRBT-Sentema-24h'!F11,'28.07 SentemaRBT-Sentema'!F11)</f>
        <v>8.5714285714285712</v>
      </c>
      <c r="G11" s="49">
        <f>AVERAGE('22.07 SentemaRBT-Sentema'!G11,'23.07 Sentema RBT-Sentema'!G11,'24.07 SentemaRBT-Sentema'!G11,'25.07 SentemaRBT-Sentema'!G11,'26.07 SentemaRBT-Sentema-24h'!G11,'27.07 SentemaRBT-Sentema-24h'!G11,'28.07 SentemaRBT-Sentema'!G11)</f>
        <v>0.2857142857142857</v>
      </c>
      <c r="H11" s="49">
        <f>AVERAGE('22.07 SentemaRBT-Sentema'!H11,'23.07 Sentema RBT-Sentema'!H11,'24.07 SentemaRBT-Sentema'!H11,'25.07 SentemaRBT-Sentema'!H11,'26.07 SentemaRBT-Sentema-24h'!H11,'27.07 SentemaRBT-Sentema-24h'!H11,'28.07 SentemaRBT-Sentema'!H11)</f>
        <v>0</v>
      </c>
      <c r="I11" s="49">
        <f>AVERAGE('22.07 SentemaRBT-Sentema'!I11,'23.07 Sentema RBT-Sentema'!I11,'24.07 SentemaRBT-Sentema'!I11,'25.07 SentemaRBT-Sentema'!I11,'26.07 SentemaRBT-Sentema-24h'!I11,'27.07 SentemaRBT-Sentema-24h'!I11,'28.07 SentemaRBT-Sentema'!I11)</f>
        <v>0.7142857142857143</v>
      </c>
      <c r="J11" s="49">
        <f>AVERAGE('22.07 SentemaRBT-Sentema'!J11,'23.07 Sentema RBT-Sentema'!J11,'24.07 SentemaRBT-Sentema'!J11,'25.07 SentemaRBT-Sentema'!J11,'26.07 SentemaRBT-Sentema-24h'!J11,'27.07 SentemaRBT-Sentema-24h'!J11,'28.07 SentemaRBT-Sentema'!J11)</f>
        <v>1.5714285714285714</v>
      </c>
      <c r="K11" s="49">
        <f>AVERAGE('22.07 SentemaRBT-Sentema'!K11,'23.07 Sentema RBT-Sentema'!K11,'24.07 SentemaRBT-Sentema'!K11,'25.07 SentemaRBT-Sentema'!K11,'26.07 SentemaRBT-Sentema-24h'!K11,'27.07 SentemaRBT-Sentema-24h'!K11,'28.07 SentemaRBT-Sentema'!K11)</f>
        <v>0</v>
      </c>
      <c r="L11" s="49">
        <f>AVERAGE('22.07 SentemaRBT-Sentema'!L11,'23.07 Sentema RBT-Sentema'!L11,'24.07 SentemaRBT-Sentema'!L11,'25.07 SentemaRBT-Sentema'!L11,'26.07 SentemaRBT-Sentema-24h'!L11,'27.07 SentemaRBT-Sentema-24h'!L11,'28.07 SentemaRBT-Sentema'!L11)</f>
        <v>0</v>
      </c>
      <c r="M11" s="49">
        <f>AVERAGE('22.07 SentemaRBT-Sentema'!M11,'23.07 Sentema RBT-Sentema'!M11,'24.07 SentemaRBT-Sentema'!M11,'25.07 SentemaRBT-Sentema'!M11,'26.07 SentemaRBT-Sentema-24h'!M11,'27.07 SentemaRBT-Sentema-24h'!M11,'28.07 SentemaRBT-Sentema'!M11)</f>
        <v>27.857142857142858</v>
      </c>
      <c r="N11" s="49">
        <f>AVERAGE('22.07 SentemaRBT-Sentema'!N11,'23.07 Sentema RBT-Sentema'!N11,'24.07 SentemaRBT-Sentema'!N11,'25.07 SentemaRBT-Sentema'!N11,'26.07 SentemaRBT-Sentema-24h'!N11,'27.07 SentemaRBT-Sentema-24h'!N11,'28.07 SentemaRBT-Sentema'!N11)</f>
        <v>0</v>
      </c>
      <c r="O11" s="15">
        <f t="shared" si="0"/>
        <v>21.142857142857142</v>
      </c>
      <c r="P11" s="15">
        <f t="shared" si="1"/>
        <v>49</v>
      </c>
      <c r="R11" s="1" t="s">
        <v>7</v>
      </c>
      <c r="S11" s="17">
        <f t="shared" ref="S11:AF11" si="3">SUM(C14:C17)</f>
        <v>27.428571428571431</v>
      </c>
      <c r="T11" s="17">
        <f t="shared" si="3"/>
        <v>7.5714285714285712</v>
      </c>
      <c r="U11" s="17">
        <f t="shared" si="3"/>
        <v>3.9999999999999996</v>
      </c>
      <c r="V11" s="17">
        <f t="shared" si="3"/>
        <v>44.857142857142861</v>
      </c>
      <c r="W11" s="17">
        <f t="shared" si="3"/>
        <v>1.4285714285714284</v>
      </c>
      <c r="X11" s="17">
        <f t="shared" si="3"/>
        <v>0.99999999999999989</v>
      </c>
      <c r="Y11" s="17">
        <f t="shared" si="3"/>
        <v>7.7142857142857144</v>
      </c>
      <c r="Z11" s="17">
        <f t="shared" si="3"/>
        <v>4</v>
      </c>
      <c r="AA11" s="17">
        <f t="shared" si="3"/>
        <v>1.7142857142857142</v>
      </c>
      <c r="AB11" s="17">
        <f t="shared" si="3"/>
        <v>0.42857142857142855</v>
      </c>
      <c r="AC11" s="17">
        <f t="shared" si="3"/>
        <v>162.57142857142858</v>
      </c>
      <c r="AD11" s="17">
        <f t="shared" si="3"/>
        <v>0</v>
      </c>
      <c r="AE11" s="31">
        <f t="shared" si="3"/>
        <v>100.14285714285714</v>
      </c>
      <c r="AF11" s="31">
        <f t="shared" si="3"/>
        <v>262.71428571428567</v>
      </c>
    </row>
    <row r="12" spans="2:32" ht="23.1" customHeight="1" x14ac:dyDescent="0.25">
      <c r="B12" s="23" t="s">
        <v>39</v>
      </c>
      <c r="C12" s="49">
        <f>AVERAGE('22.07 SentemaRBT-Sentema'!C12,'23.07 Sentema RBT-Sentema'!C12,'24.07 SentemaRBT-Sentema'!C12,'25.07 SentemaRBT-Sentema'!C12,'26.07 SentemaRBT-Sentema-24h'!C12,'27.07 SentemaRBT-Sentema-24h'!C12,'28.07 SentemaRBT-Sentema'!C12)</f>
        <v>6.1428571428571432</v>
      </c>
      <c r="D12" s="49">
        <f>AVERAGE('22.07 SentemaRBT-Sentema'!D12,'23.07 Sentema RBT-Sentema'!D12,'24.07 SentemaRBT-Sentema'!D12,'25.07 SentemaRBT-Sentema'!D12,'26.07 SentemaRBT-Sentema-24h'!D12,'27.07 SentemaRBT-Sentema-24h'!D12,'28.07 SentemaRBT-Sentema'!D12)</f>
        <v>0.42857142857142855</v>
      </c>
      <c r="E12" s="49">
        <f>AVERAGE('22.07 SentemaRBT-Sentema'!E12,'23.07 Sentema RBT-Sentema'!E12,'24.07 SentemaRBT-Sentema'!E12,'25.07 SentemaRBT-Sentema'!E12,'26.07 SentemaRBT-Sentema-24h'!E12,'27.07 SentemaRBT-Sentema-24h'!E12,'28.07 SentemaRBT-Sentema'!E12)</f>
        <v>1.2857142857142858</v>
      </c>
      <c r="F12" s="49">
        <f>AVERAGE('22.07 SentemaRBT-Sentema'!F12,'23.07 Sentema RBT-Sentema'!F12,'24.07 SentemaRBT-Sentema'!F12,'25.07 SentemaRBT-Sentema'!F12,'26.07 SentemaRBT-Sentema-24h'!F12,'27.07 SentemaRBT-Sentema-24h'!F12,'28.07 SentemaRBT-Sentema'!F12)</f>
        <v>7.7142857142857144</v>
      </c>
      <c r="G12" s="49">
        <f>AVERAGE('22.07 SentemaRBT-Sentema'!G12,'23.07 Sentema RBT-Sentema'!G12,'24.07 SentemaRBT-Sentema'!G12,'25.07 SentemaRBT-Sentema'!G12,'26.07 SentemaRBT-Sentema-24h'!G12,'27.07 SentemaRBT-Sentema-24h'!G12,'28.07 SentemaRBT-Sentema'!G12)</f>
        <v>0</v>
      </c>
      <c r="H12" s="49">
        <f>AVERAGE('22.07 SentemaRBT-Sentema'!H12,'23.07 Sentema RBT-Sentema'!H12,'24.07 SentemaRBT-Sentema'!H12,'25.07 SentemaRBT-Sentema'!H12,'26.07 SentemaRBT-Sentema-24h'!H12,'27.07 SentemaRBT-Sentema-24h'!H12,'28.07 SentemaRBT-Sentema'!H12)</f>
        <v>0</v>
      </c>
      <c r="I12" s="49">
        <f>AVERAGE('22.07 SentemaRBT-Sentema'!I12,'23.07 Sentema RBT-Sentema'!I12,'24.07 SentemaRBT-Sentema'!I12,'25.07 SentemaRBT-Sentema'!I12,'26.07 SentemaRBT-Sentema-24h'!I12,'27.07 SentemaRBT-Sentema-24h'!I12,'28.07 SentemaRBT-Sentema'!I12)</f>
        <v>1.2857142857142858</v>
      </c>
      <c r="J12" s="49">
        <f>AVERAGE('22.07 SentemaRBT-Sentema'!J12,'23.07 Sentema RBT-Sentema'!J12,'24.07 SentemaRBT-Sentema'!J12,'25.07 SentemaRBT-Sentema'!J12,'26.07 SentemaRBT-Sentema-24h'!J12,'27.07 SentemaRBT-Sentema-24h'!J12,'28.07 SentemaRBT-Sentema'!J12)</f>
        <v>1.4285714285714286</v>
      </c>
      <c r="K12" s="49">
        <f>AVERAGE('22.07 SentemaRBT-Sentema'!K12,'23.07 Sentema RBT-Sentema'!K12,'24.07 SentemaRBT-Sentema'!K12,'25.07 SentemaRBT-Sentema'!K12,'26.07 SentemaRBT-Sentema-24h'!K12,'27.07 SentemaRBT-Sentema-24h'!K12,'28.07 SentemaRBT-Sentema'!K12)</f>
        <v>0.14285714285714285</v>
      </c>
      <c r="L12" s="49">
        <f>AVERAGE('22.07 SentemaRBT-Sentema'!L12,'23.07 Sentema RBT-Sentema'!L12,'24.07 SentemaRBT-Sentema'!L12,'25.07 SentemaRBT-Sentema'!L12,'26.07 SentemaRBT-Sentema-24h'!L12,'27.07 SentemaRBT-Sentema-24h'!L12,'28.07 SentemaRBT-Sentema'!L12)</f>
        <v>0</v>
      </c>
      <c r="M12" s="49">
        <f>AVERAGE('22.07 SentemaRBT-Sentema'!M12,'23.07 Sentema RBT-Sentema'!M12,'24.07 SentemaRBT-Sentema'!M12,'25.07 SentemaRBT-Sentema'!M12,'26.07 SentemaRBT-Sentema-24h'!M12,'27.07 SentemaRBT-Sentema-24h'!M12,'28.07 SentemaRBT-Sentema'!M12)</f>
        <v>35</v>
      </c>
      <c r="N12" s="49">
        <f>AVERAGE('22.07 SentemaRBT-Sentema'!N12,'23.07 Sentema RBT-Sentema'!N12,'24.07 SentemaRBT-Sentema'!N12,'25.07 SentemaRBT-Sentema'!N12,'26.07 SentemaRBT-Sentema-24h'!N12,'27.07 SentemaRBT-Sentema-24h'!N12,'28.07 SentemaRBT-Sentema'!N12)</f>
        <v>0</v>
      </c>
      <c r="O12" s="15">
        <f t="shared" si="0"/>
        <v>18.428571428571427</v>
      </c>
      <c r="P12" s="15">
        <f t="shared" si="1"/>
        <v>53.428571428571431</v>
      </c>
      <c r="R12" s="1" t="s">
        <v>8</v>
      </c>
      <c r="S12" s="17">
        <f t="shared" ref="S12:AF12" si="4">SUM(C18:C21)</f>
        <v>39.571428571428569</v>
      </c>
      <c r="T12" s="17">
        <f t="shared" si="4"/>
        <v>7.1428571428571423</v>
      </c>
      <c r="U12" s="17">
        <f t="shared" si="4"/>
        <v>10.571428571428571</v>
      </c>
      <c r="V12" s="17">
        <f t="shared" si="4"/>
        <v>55.571428571428569</v>
      </c>
      <c r="W12" s="17">
        <f t="shared" si="4"/>
        <v>0.14285714285714285</v>
      </c>
      <c r="X12" s="17">
        <f t="shared" si="4"/>
        <v>1.5714285714285714</v>
      </c>
      <c r="Y12" s="17">
        <f t="shared" si="4"/>
        <v>13.714285714285715</v>
      </c>
      <c r="Z12" s="17">
        <f t="shared" si="4"/>
        <v>5.1428571428571423</v>
      </c>
      <c r="AA12" s="17">
        <f t="shared" si="4"/>
        <v>0.2857142857142857</v>
      </c>
      <c r="AB12" s="17">
        <f t="shared" si="4"/>
        <v>0.5714285714285714</v>
      </c>
      <c r="AC12" s="17">
        <f t="shared" si="4"/>
        <v>193.42857142857142</v>
      </c>
      <c r="AD12" s="17">
        <f t="shared" si="4"/>
        <v>0</v>
      </c>
      <c r="AE12" s="31">
        <f t="shared" si="4"/>
        <v>134.28571428571428</v>
      </c>
      <c r="AF12" s="31">
        <f t="shared" si="4"/>
        <v>327.71428571428572</v>
      </c>
    </row>
    <row r="13" spans="2:32" ht="23.1" customHeight="1" x14ac:dyDescent="0.25">
      <c r="B13" s="23" t="s">
        <v>40</v>
      </c>
      <c r="C13" s="49">
        <f>AVERAGE('22.07 SentemaRBT-Sentema'!C13,'23.07 Sentema RBT-Sentema'!C13,'24.07 SentemaRBT-Sentema'!C13,'25.07 SentemaRBT-Sentema'!C13,'26.07 SentemaRBT-Sentema-24h'!C13,'27.07 SentemaRBT-Sentema-24h'!C13,'28.07 SentemaRBT-Sentema'!C13)</f>
        <v>8.1428571428571423</v>
      </c>
      <c r="D13" s="49">
        <f>AVERAGE('22.07 SentemaRBT-Sentema'!D13,'23.07 Sentema RBT-Sentema'!D13,'24.07 SentemaRBT-Sentema'!D13,'25.07 SentemaRBT-Sentema'!D13,'26.07 SentemaRBT-Sentema-24h'!D13,'27.07 SentemaRBT-Sentema-24h'!D13,'28.07 SentemaRBT-Sentema'!D13)</f>
        <v>2</v>
      </c>
      <c r="E13" s="49">
        <f>AVERAGE('22.07 SentemaRBT-Sentema'!E13,'23.07 Sentema RBT-Sentema'!E13,'24.07 SentemaRBT-Sentema'!E13,'25.07 SentemaRBT-Sentema'!E13,'26.07 SentemaRBT-Sentema-24h'!E13,'27.07 SentemaRBT-Sentema-24h'!E13,'28.07 SentemaRBT-Sentema'!E13)</f>
        <v>1.2857142857142858</v>
      </c>
      <c r="F13" s="49">
        <f>AVERAGE('22.07 SentemaRBT-Sentema'!F13,'23.07 Sentema RBT-Sentema'!F13,'24.07 SentemaRBT-Sentema'!F13,'25.07 SentemaRBT-Sentema'!F13,'26.07 SentemaRBT-Sentema-24h'!F13,'27.07 SentemaRBT-Sentema-24h'!F13,'28.07 SentemaRBT-Sentema'!F13)</f>
        <v>13</v>
      </c>
      <c r="G13" s="49">
        <f>AVERAGE('22.07 SentemaRBT-Sentema'!G13,'23.07 Sentema RBT-Sentema'!G13,'24.07 SentemaRBT-Sentema'!G13,'25.07 SentemaRBT-Sentema'!G13,'26.07 SentemaRBT-Sentema-24h'!G13,'27.07 SentemaRBT-Sentema-24h'!G13,'28.07 SentemaRBT-Sentema'!G13)</f>
        <v>0</v>
      </c>
      <c r="H13" s="49">
        <f>AVERAGE('22.07 SentemaRBT-Sentema'!H13,'23.07 Sentema RBT-Sentema'!H13,'24.07 SentemaRBT-Sentema'!H13,'25.07 SentemaRBT-Sentema'!H13,'26.07 SentemaRBT-Sentema-24h'!H13,'27.07 SentemaRBT-Sentema-24h'!H13,'28.07 SentemaRBT-Sentema'!H13)</f>
        <v>0.14285714285714285</v>
      </c>
      <c r="I13" s="49">
        <f>AVERAGE('22.07 SentemaRBT-Sentema'!I13,'23.07 Sentema RBT-Sentema'!I13,'24.07 SentemaRBT-Sentema'!I13,'25.07 SentemaRBT-Sentema'!I13,'26.07 SentemaRBT-Sentema-24h'!I13,'27.07 SentemaRBT-Sentema-24h'!I13,'28.07 SentemaRBT-Sentema'!I13)</f>
        <v>2.4285714285714284</v>
      </c>
      <c r="J13" s="49">
        <f>AVERAGE('22.07 SentemaRBT-Sentema'!J13,'23.07 Sentema RBT-Sentema'!J13,'24.07 SentemaRBT-Sentema'!J13,'25.07 SentemaRBT-Sentema'!J13,'26.07 SentemaRBT-Sentema-24h'!J13,'27.07 SentemaRBT-Sentema-24h'!J13,'28.07 SentemaRBT-Sentema'!J13)</f>
        <v>2.4285714285714284</v>
      </c>
      <c r="K13" s="49">
        <f>AVERAGE('22.07 SentemaRBT-Sentema'!K13,'23.07 Sentema RBT-Sentema'!K13,'24.07 SentemaRBT-Sentema'!K13,'25.07 SentemaRBT-Sentema'!K13,'26.07 SentemaRBT-Sentema-24h'!K13,'27.07 SentemaRBT-Sentema-24h'!K13,'28.07 SentemaRBT-Sentema'!K13)</f>
        <v>0.42857142857142855</v>
      </c>
      <c r="L13" s="49">
        <f>AVERAGE('22.07 SentemaRBT-Sentema'!L13,'23.07 Sentema RBT-Sentema'!L13,'24.07 SentemaRBT-Sentema'!L13,'25.07 SentemaRBT-Sentema'!L13,'26.07 SentemaRBT-Sentema-24h'!L13,'27.07 SentemaRBT-Sentema-24h'!L13,'28.07 SentemaRBT-Sentema'!L13)</f>
        <v>0.14285714285714285</v>
      </c>
      <c r="M13" s="49">
        <f>AVERAGE('22.07 SentemaRBT-Sentema'!M13,'23.07 Sentema RBT-Sentema'!M13,'24.07 SentemaRBT-Sentema'!M13,'25.07 SentemaRBT-Sentema'!M13,'26.07 SentemaRBT-Sentema-24h'!M13,'27.07 SentemaRBT-Sentema-24h'!M13,'28.07 SentemaRBT-Sentema'!M13)</f>
        <v>41.142857142857146</v>
      </c>
      <c r="N13" s="49">
        <f>AVERAGE('22.07 SentemaRBT-Sentema'!N13,'23.07 Sentema RBT-Sentema'!N13,'24.07 SentemaRBT-Sentema'!N13,'25.07 SentemaRBT-Sentema'!N13,'26.07 SentemaRBT-Sentema-24h'!N13,'27.07 SentemaRBT-Sentema-24h'!N13,'28.07 SentemaRBT-Sentema'!N13)</f>
        <v>0</v>
      </c>
      <c r="O13" s="15">
        <f t="shared" si="0"/>
        <v>29.999999999999996</v>
      </c>
      <c r="P13" s="15">
        <f t="shared" si="1"/>
        <v>71.142857142857139</v>
      </c>
      <c r="R13" s="1" t="s">
        <v>9</v>
      </c>
      <c r="S13" s="17">
        <f t="shared" ref="S13:AF13" si="5">SUM(C22:C25)</f>
        <v>41.142857142857139</v>
      </c>
      <c r="T13" s="17">
        <f t="shared" si="5"/>
        <v>8.7142857142857153</v>
      </c>
      <c r="U13" s="17">
        <f t="shared" si="5"/>
        <v>12</v>
      </c>
      <c r="V13" s="17">
        <f t="shared" si="5"/>
        <v>45.714285714285715</v>
      </c>
      <c r="W13" s="17">
        <f t="shared" si="5"/>
        <v>0.2857142857142857</v>
      </c>
      <c r="X13" s="17">
        <f t="shared" si="5"/>
        <v>0.5714285714285714</v>
      </c>
      <c r="Y13" s="17">
        <f t="shared" si="5"/>
        <v>15</v>
      </c>
      <c r="Z13" s="17">
        <f t="shared" si="5"/>
        <v>3.8571428571428577</v>
      </c>
      <c r="AA13" s="17">
        <f t="shared" si="5"/>
        <v>1.1428571428571428</v>
      </c>
      <c r="AB13" s="17">
        <f t="shared" si="5"/>
        <v>0.5714285714285714</v>
      </c>
      <c r="AC13" s="17">
        <f t="shared" si="5"/>
        <v>183.85714285714286</v>
      </c>
      <c r="AD13" s="17">
        <f t="shared" si="5"/>
        <v>0.14285714285714285</v>
      </c>
      <c r="AE13" s="31">
        <f t="shared" si="5"/>
        <v>129.14285714285717</v>
      </c>
      <c r="AF13" s="31">
        <f t="shared" si="5"/>
        <v>313</v>
      </c>
    </row>
    <row r="14" spans="2:32" ht="23.1" customHeight="1" x14ac:dyDescent="0.25">
      <c r="B14" s="23" t="s">
        <v>41</v>
      </c>
      <c r="C14" s="49">
        <f>AVERAGE('22.07 SentemaRBT-Sentema'!C14,'23.07 Sentema RBT-Sentema'!C14,'24.07 SentemaRBT-Sentema'!C14,'25.07 SentemaRBT-Sentema'!C14,'26.07 SentemaRBT-Sentema-24h'!C14,'27.07 SentemaRBT-Sentema-24h'!C14,'28.07 SentemaRBT-Sentema'!C14)</f>
        <v>5.5714285714285712</v>
      </c>
      <c r="D14" s="49">
        <f>AVERAGE('22.07 SentemaRBT-Sentema'!D14,'23.07 Sentema RBT-Sentema'!D14,'24.07 SentemaRBT-Sentema'!D14,'25.07 SentemaRBT-Sentema'!D14,'26.07 SentemaRBT-Sentema-24h'!D14,'27.07 SentemaRBT-Sentema-24h'!D14,'28.07 SentemaRBT-Sentema'!D14)</f>
        <v>1.8571428571428572</v>
      </c>
      <c r="E14" s="49">
        <f>AVERAGE('22.07 SentemaRBT-Sentema'!E14,'23.07 Sentema RBT-Sentema'!E14,'24.07 SentemaRBT-Sentema'!E14,'25.07 SentemaRBT-Sentema'!E14,'26.07 SentemaRBT-Sentema-24h'!E14,'27.07 SentemaRBT-Sentema-24h'!E14,'28.07 SentemaRBT-Sentema'!E14)</f>
        <v>1</v>
      </c>
      <c r="F14" s="49">
        <f>AVERAGE('22.07 SentemaRBT-Sentema'!F14,'23.07 Sentema RBT-Sentema'!F14,'24.07 SentemaRBT-Sentema'!F14,'25.07 SentemaRBT-Sentema'!F14,'26.07 SentemaRBT-Sentema-24h'!F14,'27.07 SentemaRBT-Sentema-24h'!F14,'28.07 SentemaRBT-Sentema'!F14)</f>
        <v>11</v>
      </c>
      <c r="G14" s="49">
        <f>AVERAGE('22.07 SentemaRBT-Sentema'!G14,'23.07 Sentema RBT-Sentema'!G14,'24.07 SentemaRBT-Sentema'!G14,'25.07 SentemaRBT-Sentema'!G14,'26.07 SentemaRBT-Sentema-24h'!G14,'27.07 SentemaRBT-Sentema-24h'!G14,'28.07 SentemaRBT-Sentema'!G14)</f>
        <v>0.14285714285714285</v>
      </c>
      <c r="H14" s="49">
        <f>AVERAGE('22.07 SentemaRBT-Sentema'!H14,'23.07 Sentema RBT-Sentema'!H14,'24.07 SentemaRBT-Sentema'!H14,'25.07 SentemaRBT-Sentema'!H14,'26.07 SentemaRBT-Sentema-24h'!H14,'27.07 SentemaRBT-Sentema-24h'!H14,'28.07 SentemaRBT-Sentema'!H14)</f>
        <v>0.14285714285714285</v>
      </c>
      <c r="I14" s="49">
        <f>AVERAGE('22.07 SentemaRBT-Sentema'!I14,'23.07 Sentema RBT-Sentema'!I14,'24.07 SentemaRBT-Sentema'!I14,'25.07 SentemaRBT-Sentema'!I14,'26.07 SentemaRBT-Sentema-24h'!I14,'27.07 SentemaRBT-Sentema-24h'!I14,'28.07 SentemaRBT-Sentema'!I14)</f>
        <v>1.5714285714285714</v>
      </c>
      <c r="J14" s="49">
        <f>AVERAGE('22.07 SentemaRBT-Sentema'!J14,'23.07 Sentema RBT-Sentema'!J14,'24.07 SentemaRBT-Sentema'!J14,'25.07 SentemaRBT-Sentema'!J14,'26.07 SentemaRBT-Sentema-24h'!J14,'27.07 SentemaRBT-Sentema-24h'!J14,'28.07 SentemaRBT-Sentema'!J14)</f>
        <v>1.2857142857142858</v>
      </c>
      <c r="K14" s="49">
        <f>AVERAGE('22.07 SentemaRBT-Sentema'!K14,'23.07 Sentema RBT-Sentema'!K14,'24.07 SentemaRBT-Sentema'!K14,'25.07 SentemaRBT-Sentema'!K14,'26.07 SentemaRBT-Sentema-24h'!K14,'27.07 SentemaRBT-Sentema-24h'!K14,'28.07 SentemaRBT-Sentema'!K14)</f>
        <v>0</v>
      </c>
      <c r="L14" s="49">
        <f>AVERAGE('22.07 SentemaRBT-Sentema'!L14,'23.07 Sentema RBT-Sentema'!L14,'24.07 SentemaRBT-Sentema'!L14,'25.07 SentemaRBT-Sentema'!L14,'26.07 SentemaRBT-Sentema-24h'!L14,'27.07 SentemaRBT-Sentema-24h'!L14,'28.07 SentemaRBT-Sentema'!L14)</f>
        <v>0</v>
      </c>
      <c r="M14" s="49">
        <f>AVERAGE('22.07 SentemaRBT-Sentema'!M14,'23.07 Sentema RBT-Sentema'!M14,'24.07 SentemaRBT-Sentema'!M14,'25.07 SentemaRBT-Sentema'!M14,'26.07 SentemaRBT-Sentema-24h'!M14,'27.07 SentemaRBT-Sentema-24h'!M14,'28.07 SentemaRBT-Sentema'!M14)</f>
        <v>30.857142857142858</v>
      </c>
      <c r="N14" s="49">
        <f>AVERAGE('22.07 SentemaRBT-Sentema'!N14,'23.07 Sentema RBT-Sentema'!N14,'24.07 SentemaRBT-Sentema'!N14,'25.07 SentemaRBT-Sentema'!N14,'26.07 SentemaRBT-Sentema-24h'!N14,'27.07 SentemaRBT-Sentema-24h'!N14,'28.07 SentemaRBT-Sentema'!N14)</f>
        <v>0</v>
      </c>
      <c r="O14" s="15">
        <f t="shared" si="0"/>
        <v>22.571428571428573</v>
      </c>
      <c r="P14" s="15">
        <f t="shared" si="1"/>
        <v>53.428571428571431</v>
      </c>
      <c r="R14" s="1" t="s">
        <v>10</v>
      </c>
      <c r="S14" s="17">
        <f t="shared" ref="S14:AF14" si="6">SUM(C26:C29)</f>
        <v>49.571428571428569</v>
      </c>
      <c r="T14" s="17">
        <f t="shared" si="6"/>
        <v>11</v>
      </c>
      <c r="U14" s="17">
        <f t="shared" si="6"/>
        <v>13</v>
      </c>
      <c r="V14" s="17">
        <f t="shared" si="6"/>
        <v>45</v>
      </c>
      <c r="W14" s="17">
        <f t="shared" si="6"/>
        <v>0.2857142857142857</v>
      </c>
      <c r="X14" s="17">
        <f t="shared" si="6"/>
        <v>0.2857142857142857</v>
      </c>
      <c r="Y14" s="17">
        <f t="shared" si="6"/>
        <v>18.857142857142858</v>
      </c>
      <c r="Z14" s="17">
        <f t="shared" si="6"/>
        <v>4.7142857142857144</v>
      </c>
      <c r="AA14" s="17">
        <f t="shared" si="6"/>
        <v>1.8571428571428572</v>
      </c>
      <c r="AB14" s="17">
        <f t="shared" si="6"/>
        <v>0</v>
      </c>
      <c r="AC14" s="17">
        <f t="shared" si="6"/>
        <v>202.42857142857144</v>
      </c>
      <c r="AD14" s="17">
        <f t="shared" si="6"/>
        <v>0</v>
      </c>
      <c r="AE14" s="31">
        <f t="shared" si="6"/>
        <v>144.57142857142856</v>
      </c>
      <c r="AF14" s="31">
        <f t="shared" si="6"/>
        <v>347</v>
      </c>
    </row>
    <row r="15" spans="2:32" ht="23.1" customHeight="1" x14ac:dyDescent="0.25">
      <c r="B15" s="23" t="s">
        <v>42</v>
      </c>
      <c r="C15" s="49">
        <f>AVERAGE('22.07 SentemaRBT-Sentema'!C15,'23.07 Sentema RBT-Sentema'!C15,'24.07 SentemaRBT-Sentema'!C15,'25.07 SentemaRBT-Sentema'!C15,'26.07 SentemaRBT-Sentema-24h'!C15,'27.07 SentemaRBT-Sentema-24h'!C15,'28.07 SentemaRBT-Sentema'!C15)</f>
        <v>7.4285714285714288</v>
      </c>
      <c r="D15" s="49">
        <f>AVERAGE('22.07 SentemaRBT-Sentema'!D15,'23.07 Sentema RBT-Sentema'!D15,'24.07 SentemaRBT-Sentema'!D15,'25.07 SentemaRBT-Sentema'!D15,'26.07 SentemaRBT-Sentema-24h'!D15,'27.07 SentemaRBT-Sentema-24h'!D15,'28.07 SentemaRBT-Sentema'!D15)</f>
        <v>1.4285714285714286</v>
      </c>
      <c r="E15" s="49">
        <f>AVERAGE('22.07 SentemaRBT-Sentema'!E15,'23.07 Sentema RBT-Sentema'!E15,'24.07 SentemaRBT-Sentema'!E15,'25.07 SentemaRBT-Sentema'!E15,'26.07 SentemaRBT-Sentema-24h'!E15,'27.07 SentemaRBT-Sentema-24h'!E15,'28.07 SentemaRBT-Sentema'!E15)</f>
        <v>0.8571428571428571</v>
      </c>
      <c r="F15" s="49">
        <f>AVERAGE('22.07 SentemaRBT-Sentema'!F15,'23.07 Sentema RBT-Sentema'!F15,'24.07 SentemaRBT-Sentema'!F15,'25.07 SentemaRBT-Sentema'!F15,'26.07 SentemaRBT-Sentema-24h'!F15,'27.07 SentemaRBT-Sentema-24h'!F15,'28.07 SentemaRBT-Sentema'!F15)</f>
        <v>13.428571428571429</v>
      </c>
      <c r="G15" s="49">
        <f>AVERAGE('22.07 SentemaRBT-Sentema'!G15,'23.07 Sentema RBT-Sentema'!G15,'24.07 SentemaRBT-Sentema'!G15,'25.07 SentemaRBT-Sentema'!G15,'26.07 SentemaRBT-Sentema-24h'!G15,'27.07 SentemaRBT-Sentema-24h'!G15,'28.07 SentemaRBT-Sentema'!G15)</f>
        <v>0.8571428571428571</v>
      </c>
      <c r="H15" s="49">
        <f>AVERAGE('22.07 SentemaRBT-Sentema'!H15,'23.07 Sentema RBT-Sentema'!H15,'24.07 SentemaRBT-Sentema'!H15,'25.07 SentemaRBT-Sentema'!H15,'26.07 SentemaRBT-Sentema-24h'!H15,'27.07 SentemaRBT-Sentema-24h'!H15,'28.07 SentemaRBT-Sentema'!H15)</f>
        <v>0.5714285714285714</v>
      </c>
      <c r="I15" s="49">
        <f>AVERAGE('22.07 SentemaRBT-Sentema'!I15,'23.07 Sentema RBT-Sentema'!I15,'24.07 SentemaRBT-Sentema'!I15,'25.07 SentemaRBT-Sentema'!I15,'26.07 SentemaRBT-Sentema-24h'!I15,'27.07 SentemaRBT-Sentema-24h'!I15,'28.07 SentemaRBT-Sentema'!I15)</f>
        <v>1.8571428571428572</v>
      </c>
      <c r="J15" s="49">
        <f>AVERAGE('22.07 SentemaRBT-Sentema'!J15,'23.07 Sentema RBT-Sentema'!J15,'24.07 SentemaRBT-Sentema'!J15,'25.07 SentemaRBT-Sentema'!J15,'26.07 SentemaRBT-Sentema-24h'!J15,'27.07 SentemaRBT-Sentema-24h'!J15,'28.07 SentemaRBT-Sentema'!J15)</f>
        <v>0.5714285714285714</v>
      </c>
      <c r="K15" s="49">
        <f>AVERAGE('22.07 SentemaRBT-Sentema'!K15,'23.07 Sentema RBT-Sentema'!K15,'24.07 SentemaRBT-Sentema'!K15,'25.07 SentemaRBT-Sentema'!K15,'26.07 SentemaRBT-Sentema-24h'!K15,'27.07 SentemaRBT-Sentema-24h'!K15,'28.07 SentemaRBT-Sentema'!K15)</f>
        <v>0.5714285714285714</v>
      </c>
      <c r="L15" s="49">
        <f>AVERAGE('22.07 SentemaRBT-Sentema'!L15,'23.07 Sentema RBT-Sentema'!L15,'24.07 SentemaRBT-Sentema'!L15,'25.07 SentemaRBT-Sentema'!L15,'26.07 SentemaRBT-Sentema-24h'!L15,'27.07 SentemaRBT-Sentema-24h'!L15,'28.07 SentemaRBT-Sentema'!L15)</f>
        <v>0.2857142857142857</v>
      </c>
      <c r="M15" s="49">
        <f>AVERAGE('22.07 SentemaRBT-Sentema'!M15,'23.07 Sentema RBT-Sentema'!M15,'24.07 SentemaRBT-Sentema'!M15,'25.07 SentemaRBT-Sentema'!M15,'26.07 SentemaRBT-Sentema-24h'!M15,'27.07 SentemaRBT-Sentema-24h'!M15,'28.07 SentemaRBT-Sentema'!M15)</f>
        <v>45</v>
      </c>
      <c r="N15" s="49">
        <f>AVERAGE('22.07 SentemaRBT-Sentema'!N15,'23.07 Sentema RBT-Sentema'!N15,'24.07 SentemaRBT-Sentema'!N15,'25.07 SentemaRBT-Sentema'!N15,'26.07 SentemaRBT-Sentema-24h'!N15,'27.07 SentemaRBT-Sentema-24h'!N15,'28.07 SentemaRBT-Sentema'!N15)</f>
        <v>0</v>
      </c>
      <c r="O15" s="15">
        <f t="shared" si="0"/>
        <v>27.857142857142865</v>
      </c>
      <c r="P15" s="15">
        <f t="shared" si="1"/>
        <v>72.857142857142861</v>
      </c>
      <c r="R15" s="1" t="s">
        <v>11</v>
      </c>
      <c r="S15" s="17">
        <f t="shared" ref="S15:AF15" si="7">SUM(C30:C33)</f>
        <v>41.714285714285715</v>
      </c>
      <c r="T15" s="17">
        <f t="shared" si="7"/>
        <v>9.8571428571428577</v>
      </c>
      <c r="U15" s="17">
        <f t="shared" si="7"/>
        <v>14.714285714285712</v>
      </c>
      <c r="V15" s="17">
        <f t="shared" si="7"/>
        <v>38.714285714285715</v>
      </c>
      <c r="W15" s="17">
        <f t="shared" si="7"/>
        <v>2</v>
      </c>
      <c r="X15" s="17">
        <f t="shared" si="7"/>
        <v>0</v>
      </c>
      <c r="Y15" s="17">
        <f t="shared" si="7"/>
        <v>15.428571428571427</v>
      </c>
      <c r="Z15" s="17">
        <f t="shared" si="7"/>
        <v>5.2857142857142865</v>
      </c>
      <c r="AA15" s="17">
        <f t="shared" si="7"/>
        <v>1.857142857142857</v>
      </c>
      <c r="AB15" s="17">
        <f t="shared" si="7"/>
        <v>0.14285714285714285</v>
      </c>
      <c r="AC15" s="17">
        <f t="shared" si="7"/>
        <v>186.28571428571428</v>
      </c>
      <c r="AD15" s="17">
        <f t="shared" si="7"/>
        <v>0.14285714285714285</v>
      </c>
      <c r="AE15" s="31">
        <f t="shared" si="7"/>
        <v>129.85714285714286</v>
      </c>
      <c r="AF15" s="31">
        <f t="shared" si="7"/>
        <v>316.14285714285711</v>
      </c>
    </row>
    <row r="16" spans="2:32" ht="23.1" customHeight="1" x14ac:dyDescent="0.25">
      <c r="B16" s="23" t="s">
        <v>43</v>
      </c>
      <c r="C16" s="49">
        <f>AVERAGE('22.07 SentemaRBT-Sentema'!C16,'23.07 Sentema RBT-Sentema'!C16,'24.07 SentemaRBT-Sentema'!C16,'25.07 SentemaRBT-Sentema'!C16,'26.07 SentemaRBT-Sentema-24h'!C16,'27.07 SentemaRBT-Sentema-24h'!C16,'28.07 SentemaRBT-Sentema'!C16)</f>
        <v>6.8571428571428568</v>
      </c>
      <c r="D16" s="49">
        <f>AVERAGE('22.07 SentemaRBT-Sentema'!D16,'23.07 Sentema RBT-Sentema'!D16,'24.07 SentemaRBT-Sentema'!D16,'25.07 SentemaRBT-Sentema'!D16,'26.07 SentemaRBT-Sentema-24h'!D16,'27.07 SentemaRBT-Sentema-24h'!D16,'28.07 SentemaRBT-Sentema'!D16)</f>
        <v>2.8571428571428572</v>
      </c>
      <c r="E16" s="49">
        <f>AVERAGE('22.07 SentemaRBT-Sentema'!E16,'23.07 Sentema RBT-Sentema'!E16,'24.07 SentemaRBT-Sentema'!E16,'25.07 SentemaRBT-Sentema'!E16,'26.07 SentemaRBT-Sentema-24h'!E16,'27.07 SentemaRBT-Sentema-24h'!E16,'28.07 SentemaRBT-Sentema'!E16)</f>
        <v>1.7142857142857142</v>
      </c>
      <c r="F16" s="49">
        <f>AVERAGE('22.07 SentemaRBT-Sentema'!F16,'23.07 Sentema RBT-Sentema'!F16,'24.07 SentemaRBT-Sentema'!F16,'25.07 SentemaRBT-Sentema'!F16,'26.07 SentemaRBT-Sentema-24h'!F16,'27.07 SentemaRBT-Sentema-24h'!F16,'28.07 SentemaRBT-Sentema'!F16)</f>
        <v>9.7142857142857135</v>
      </c>
      <c r="G16" s="49">
        <f>AVERAGE('22.07 SentemaRBT-Sentema'!G16,'23.07 Sentema RBT-Sentema'!G16,'24.07 SentemaRBT-Sentema'!G16,'25.07 SentemaRBT-Sentema'!G16,'26.07 SentemaRBT-Sentema-24h'!G16,'27.07 SentemaRBT-Sentema-24h'!G16,'28.07 SentemaRBT-Sentema'!G16)</f>
        <v>0.14285714285714285</v>
      </c>
      <c r="H16" s="49">
        <f>AVERAGE('22.07 SentemaRBT-Sentema'!H16,'23.07 Sentema RBT-Sentema'!H16,'24.07 SentemaRBT-Sentema'!H16,'25.07 SentemaRBT-Sentema'!H16,'26.07 SentemaRBT-Sentema-24h'!H16,'27.07 SentemaRBT-Sentema-24h'!H16,'28.07 SentemaRBT-Sentema'!H16)</f>
        <v>0</v>
      </c>
      <c r="I16" s="49">
        <f>AVERAGE('22.07 SentemaRBT-Sentema'!I16,'23.07 Sentema RBT-Sentema'!I16,'24.07 SentemaRBT-Sentema'!I16,'25.07 SentemaRBT-Sentema'!I16,'26.07 SentemaRBT-Sentema-24h'!I16,'27.07 SentemaRBT-Sentema-24h'!I16,'28.07 SentemaRBT-Sentema'!I16)</f>
        <v>2.7142857142857144</v>
      </c>
      <c r="J16" s="49">
        <f>AVERAGE('22.07 SentemaRBT-Sentema'!J16,'23.07 Sentema RBT-Sentema'!J16,'24.07 SentemaRBT-Sentema'!J16,'25.07 SentemaRBT-Sentema'!J16,'26.07 SentemaRBT-Sentema-24h'!J16,'27.07 SentemaRBT-Sentema-24h'!J16,'28.07 SentemaRBT-Sentema'!J16)</f>
        <v>1.4285714285714286</v>
      </c>
      <c r="K16" s="49">
        <f>AVERAGE('22.07 SentemaRBT-Sentema'!K16,'23.07 Sentema RBT-Sentema'!K16,'24.07 SentemaRBT-Sentema'!K16,'25.07 SentemaRBT-Sentema'!K16,'26.07 SentemaRBT-Sentema-24h'!K16,'27.07 SentemaRBT-Sentema-24h'!K16,'28.07 SentemaRBT-Sentema'!K16)</f>
        <v>0.2857142857142857</v>
      </c>
      <c r="L16" s="49">
        <f>AVERAGE('22.07 SentemaRBT-Sentema'!L16,'23.07 Sentema RBT-Sentema'!L16,'24.07 SentemaRBT-Sentema'!L16,'25.07 SentemaRBT-Sentema'!L16,'26.07 SentemaRBT-Sentema-24h'!L16,'27.07 SentemaRBT-Sentema-24h'!L16,'28.07 SentemaRBT-Sentema'!L16)</f>
        <v>0</v>
      </c>
      <c r="M16" s="49">
        <f>AVERAGE('22.07 SentemaRBT-Sentema'!M16,'23.07 Sentema RBT-Sentema'!M16,'24.07 SentemaRBT-Sentema'!M16,'25.07 SentemaRBT-Sentema'!M16,'26.07 SentemaRBT-Sentema-24h'!M16,'27.07 SentemaRBT-Sentema-24h'!M16,'28.07 SentemaRBT-Sentema'!M16)</f>
        <v>46.857142857142854</v>
      </c>
      <c r="N16" s="49">
        <f>AVERAGE('22.07 SentemaRBT-Sentema'!N16,'23.07 Sentema RBT-Sentema'!N16,'24.07 SentemaRBT-Sentema'!N16,'25.07 SentemaRBT-Sentema'!N16,'26.07 SentemaRBT-Sentema-24h'!N16,'27.07 SentemaRBT-Sentema-24h'!N16,'28.07 SentemaRBT-Sentema'!N16)</f>
        <v>0</v>
      </c>
      <c r="O16" s="15">
        <f t="shared" si="0"/>
        <v>25.714285714285708</v>
      </c>
      <c r="P16" s="15">
        <f t="shared" si="1"/>
        <v>72.571428571428555</v>
      </c>
      <c r="R16" s="1" t="s">
        <v>12</v>
      </c>
      <c r="S16" s="17">
        <f t="shared" ref="S16:AF16" si="8">SUM(C34:C37)</f>
        <v>41.142857142857139</v>
      </c>
      <c r="T16" s="17">
        <f t="shared" si="8"/>
        <v>7.1428571428571441</v>
      </c>
      <c r="U16" s="17">
        <f t="shared" si="8"/>
        <v>8.2857142857142847</v>
      </c>
      <c r="V16" s="17">
        <f t="shared" si="8"/>
        <v>30.142857142857142</v>
      </c>
      <c r="W16" s="17">
        <f t="shared" si="8"/>
        <v>0.2857142857142857</v>
      </c>
      <c r="X16" s="17">
        <f t="shared" si="8"/>
        <v>0</v>
      </c>
      <c r="Y16" s="17">
        <f t="shared" si="8"/>
        <v>14.571428571428573</v>
      </c>
      <c r="Z16" s="17">
        <f t="shared" si="8"/>
        <v>4.1428571428571423</v>
      </c>
      <c r="AA16" s="17">
        <f t="shared" si="8"/>
        <v>2.4285714285714284</v>
      </c>
      <c r="AB16" s="17">
        <f t="shared" si="8"/>
        <v>1.5714285714285714</v>
      </c>
      <c r="AC16" s="17">
        <f t="shared" si="8"/>
        <v>162.85714285714283</v>
      </c>
      <c r="AD16" s="17">
        <f t="shared" si="8"/>
        <v>0</v>
      </c>
      <c r="AE16" s="31">
        <f t="shared" si="8"/>
        <v>109.71428571428571</v>
      </c>
      <c r="AF16" s="31">
        <f t="shared" si="8"/>
        <v>272.57142857142856</v>
      </c>
    </row>
    <row r="17" spans="2:32" ht="23.1" customHeight="1" x14ac:dyDescent="0.25">
      <c r="B17" s="23" t="s">
        <v>44</v>
      </c>
      <c r="C17" s="49">
        <f>AVERAGE('22.07 SentemaRBT-Sentema'!C17,'23.07 Sentema RBT-Sentema'!C17,'24.07 SentemaRBT-Sentema'!C17,'25.07 SentemaRBT-Sentema'!C17,'26.07 SentemaRBT-Sentema-24h'!C17,'27.07 SentemaRBT-Sentema-24h'!C17,'28.07 SentemaRBT-Sentema'!C17)</f>
        <v>7.5714285714285712</v>
      </c>
      <c r="D17" s="49">
        <f>AVERAGE('22.07 SentemaRBT-Sentema'!D17,'23.07 Sentema RBT-Sentema'!D17,'24.07 SentemaRBT-Sentema'!D17,'25.07 SentemaRBT-Sentema'!D17,'26.07 SentemaRBT-Sentema-24h'!D17,'27.07 SentemaRBT-Sentema-24h'!D17,'28.07 SentemaRBT-Sentema'!D17)</f>
        <v>1.4285714285714286</v>
      </c>
      <c r="E17" s="49">
        <f>AVERAGE('22.07 SentemaRBT-Sentema'!E17,'23.07 Sentema RBT-Sentema'!E17,'24.07 SentemaRBT-Sentema'!E17,'25.07 SentemaRBT-Sentema'!E17,'26.07 SentemaRBT-Sentema-24h'!E17,'27.07 SentemaRBT-Sentema-24h'!E17,'28.07 SentemaRBT-Sentema'!E17)</f>
        <v>0.42857142857142855</v>
      </c>
      <c r="F17" s="49">
        <f>AVERAGE('22.07 SentemaRBT-Sentema'!F17,'23.07 Sentema RBT-Sentema'!F17,'24.07 SentemaRBT-Sentema'!F17,'25.07 SentemaRBT-Sentema'!F17,'26.07 SentemaRBT-Sentema-24h'!F17,'27.07 SentemaRBT-Sentema-24h'!F17,'28.07 SentemaRBT-Sentema'!F17)</f>
        <v>10.714285714285714</v>
      </c>
      <c r="G17" s="49">
        <f>AVERAGE('22.07 SentemaRBT-Sentema'!G17,'23.07 Sentema RBT-Sentema'!G17,'24.07 SentemaRBT-Sentema'!G17,'25.07 SentemaRBT-Sentema'!G17,'26.07 SentemaRBT-Sentema-24h'!G17,'27.07 SentemaRBT-Sentema-24h'!G17,'28.07 SentemaRBT-Sentema'!G17)</f>
        <v>0.2857142857142857</v>
      </c>
      <c r="H17" s="49">
        <f>AVERAGE('22.07 SentemaRBT-Sentema'!H17,'23.07 Sentema RBT-Sentema'!H17,'24.07 SentemaRBT-Sentema'!H17,'25.07 SentemaRBT-Sentema'!H17,'26.07 SentemaRBT-Sentema-24h'!H17,'27.07 SentemaRBT-Sentema-24h'!H17,'28.07 SentemaRBT-Sentema'!H17)</f>
        <v>0.2857142857142857</v>
      </c>
      <c r="I17" s="49">
        <f>AVERAGE('22.07 SentemaRBT-Sentema'!I17,'23.07 Sentema RBT-Sentema'!I17,'24.07 SentemaRBT-Sentema'!I17,'25.07 SentemaRBT-Sentema'!I17,'26.07 SentemaRBT-Sentema-24h'!I17,'27.07 SentemaRBT-Sentema-24h'!I17,'28.07 SentemaRBT-Sentema'!I17)</f>
        <v>1.5714285714285714</v>
      </c>
      <c r="J17" s="49">
        <f>AVERAGE('22.07 SentemaRBT-Sentema'!J17,'23.07 Sentema RBT-Sentema'!J17,'24.07 SentemaRBT-Sentema'!J17,'25.07 SentemaRBT-Sentema'!J17,'26.07 SentemaRBT-Sentema-24h'!J17,'27.07 SentemaRBT-Sentema-24h'!J17,'28.07 SentemaRBT-Sentema'!J17)</f>
        <v>0.7142857142857143</v>
      </c>
      <c r="K17" s="49">
        <f>AVERAGE('22.07 SentemaRBT-Sentema'!K17,'23.07 Sentema RBT-Sentema'!K17,'24.07 SentemaRBT-Sentema'!K17,'25.07 SentemaRBT-Sentema'!K17,'26.07 SentemaRBT-Sentema-24h'!K17,'27.07 SentemaRBT-Sentema-24h'!K17,'28.07 SentemaRBT-Sentema'!K17)</f>
        <v>0.8571428571428571</v>
      </c>
      <c r="L17" s="49">
        <f>AVERAGE('22.07 SentemaRBT-Sentema'!L17,'23.07 Sentema RBT-Sentema'!L17,'24.07 SentemaRBT-Sentema'!L17,'25.07 SentemaRBT-Sentema'!L17,'26.07 SentemaRBT-Sentema-24h'!L17,'27.07 SentemaRBT-Sentema-24h'!L17,'28.07 SentemaRBT-Sentema'!L17)</f>
        <v>0.14285714285714285</v>
      </c>
      <c r="M17" s="49">
        <f>AVERAGE('22.07 SentemaRBT-Sentema'!M17,'23.07 Sentema RBT-Sentema'!M17,'24.07 SentemaRBT-Sentema'!M17,'25.07 SentemaRBT-Sentema'!M17,'26.07 SentemaRBT-Sentema-24h'!M17,'27.07 SentemaRBT-Sentema-24h'!M17,'28.07 SentemaRBT-Sentema'!M17)</f>
        <v>39.857142857142854</v>
      </c>
      <c r="N17" s="49">
        <f>AVERAGE('22.07 SentemaRBT-Sentema'!N17,'23.07 Sentema RBT-Sentema'!N17,'24.07 SentemaRBT-Sentema'!N17,'25.07 SentemaRBT-Sentema'!N17,'26.07 SentemaRBT-Sentema-24h'!N17,'27.07 SentemaRBT-Sentema-24h'!N17,'28.07 SentemaRBT-Sentema'!N17)</f>
        <v>0</v>
      </c>
      <c r="O17" s="15">
        <f t="shared" si="0"/>
        <v>24</v>
      </c>
      <c r="P17" s="15">
        <f t="shared" si="1"/>
        <v>63.857142857142854</v>
      </c>
      <c r="R17" s="1" t="s">
        <v>13</v>
      </c>
      <c r="S17" s="17">
        <f t="shared" ref="S17:AF17" si="9">SUM(C38:C41)</f>
        <v>47.142857142857153</v>
      </c>
      <c r="T17" s="17">
        <f t="shared" si="9"/>
        <v>6.8571428571428577</v>
      </c>
      <c r="U17" s="17">
        <f t="shared" si="9"/>
        <v>11.285714285714286</v>
      </c>
      <c r="V17" s="17">
        <f t="shared" si="9"/>
        <v>33.714285714285715</v>
      </c>
      <c r="W17" s="17">
        <f t="shared" si="9"/>
        <v>0.14285714285714285</v>
      </c>
      <c r="X17" s="17">
        <f t="shared" si="9"/>
        <v>0.42857142857142855</v>
      </c>
      <c r="Y17" s="17">
        <f t="shared" si="9"/>
        <v>13.428571428571427</v>
      </c>
      <c r="Z17" s="17">
        <f t="shared" si="9"/>
        <v>3.7142857142857144</v>
      </c>
      <c r="AA17" s="17">
        <f t="shared" si="9"/>
        <v>1.714285714285714</v>
      </c>
      <c r="AB17" s="17">
        <f t="shared" si="9"/>
        <v>0.14285714285714285</v>
      </c>
      <c r="AC17" s="17">
        <f t="shared" si="9"/>
        <v>169</v>
      </c>
      <c r="AD17" s="17">
        <f t="shared" si="9"/>
        <v>0</v>
      </c>
      <c r="AE17" s="31">
        <f t="shared" si="9"/>
        <v>118.57142857142856</v>
      </c>
      <c r="AF17" s="31">
        <f t="shared" si="9"/>
        <v>287.57142857142856</v>
      </c>
    </row>
    <row r="18" spans="2:32" ht="23.1" customHeight="1" x14ac:dyDescent="0.25">
      <c r="B18" s="23" t="s">
        <v>45</v>
      </c>
      <c r="C18" s="49">
        <f>AVERAGE('22.07 SentemaRBT-Sentema'!C18,'23.07 Sentema RBT-Sentema'!C18,'24.07 SentemaRBT-Sentema'!C18,'25.07 SentemaRBT-Sentema'!C18,'26.07 SentemaRBT-Sentema-24h'!C18,'27.07 SentemaRBT-Sentema-24h'!C18,'28.07 SentemaRBT-Sentema'!C18)</f>
        <v>9.5714285714285712</v>
      </c>
      <c r="D18" s="49">
        <f>AVERAGE('22.07 SentemaRBT-Sentema'!D18,'23.07 Sentema RBT-Sentema'!D18,'24.07 SentemaRBT-Sentema'!D18,'25.07 SentemaRBT-Sentema'!D18,'26.07 SentemaRBT-Sentema-24h'!D18,'27.07 SentemaRBT-Sentema-24h'!D18,'28.07 SentemaRBT-Sentema'!D18)</f>
        <v>1.8571428571428572</v>
      </c>
      <c r="E18" s="49">
        <f>AVERAGE('22.07 SentemaRBT-Sentema'!E18,'23.07 Sentema RBT-Sentema'!E18,'24.07 SentemaRBT-Sentema'!E18,'25.07 SentemaRBT-Sentema'!E18,'26.07 SentemaRBT-Sentema-24h'!E18,'27.07 SentemaRBT-Sentema-24h'!E18,'28.07 SentemaRBT-Sentema'!E18)</f>
        <v>1.8571428571428572</v>
      </c>
      <c r="F18" s="49">
        <f>AVERAGE('22.07 SentemaRBT-Sentema'!F18,'23.07 Sentema RBT-Sentema'!F18,'24.07 SentemaRBT-Sentema'!F18,'25.07 SentemaRBT-Sentema'!F18,'26.07 SentemaRBT-Sentema-24h'!F18,'27.07 SentemaRBT-Sentema-24h'!F18,'28.07 SentemaRBT-Sentema'!F18)</f>
        <v>14.714285714285714</v>
      </c>
      <c r="G18" s="49">
        <f>AVERAGE('22.07 SentemaRBT-Sentema'!G18,'23.07 Sentema RBT-Sentema'!G18,'24.07 SentemaRBT-Sentema'!G18,'25.07 SentemaRBT-Sentema'!G18,'26.07 SentemaRBT-Sentema-24h'!G18,'27.07 SentemaRBT-Sentema-24h'!G18,'28.07 SentemaRBT-Sentema'!G18)</f>
        <v>0</v>
      </c>
      <c r="H18" s="49">
        <f>AVERAGE('22.07 SentemaRBT-Sentema'!H18,'23.07 Sentema RBT-Sentema'!H18,'24.07 SentemaRBT-Sentema'!H18,'25.07 SentemaRBT-Sentema'!H18,'26.07 SentemaRBT-Sentema-24h'!H18,'27.07 SentemaRBT-Sentema-24h'!H18,'28.07 SentemaRBT-Sentema'!H18)</f>
        <v>0.42857142857142855</v>
      </c>
      <c r="I18" s="49">
        <f>AVERAGE('22.07 SentemaRBT-Sentema'!I18,'23.07 Sentema RBT-Sentema'!I18,'24.07 SentemaRBT-Sentema'!I18,'25.07 SentemaRBT-Sentema'!I18,'26.07 SentemaRBT-Sentema-24h'!I18,'27.07 SentemaRBT-Sentema-24h'!I18,'28.07 SentemaRBT-Sentema'!I18)</f>
        <v>2.7142857142857144</v>
      </c>
      <c r="J18" s="49">
        <f>AVERAGE('22.07 SentemaRBT-Sentema'!J18,'23.07 Sentema RBT-Sentema'!J18,'24.07 SentemaRBT-Sentema'!J18,'25.07 SentemaRBT-Sentema'!J18,'26.07 SentemaRBT-Sentema-24h'!J18,'27.07 SentemaRBT-Sentema-24h'!J18,'28.07 SentemaRBT-Sentema'!J18)</f>
        <v>1.1428571428571428</v>
      </c>
      <c r="K18" s="49">
        <f>AVERAGE('22.07 SentemaRBT-Sentema'!K18,'23.07 Sentema RBT-Sentema'!K18,'24.07 SentemaRBT-Sentema'!K18,'25.07 SentemaRBT-Sentema'!K18,'26.07 SentemaRBT-Sentema-24h'!K18,'27.07 SentemaRBT-Sentema-24h'!K18,'28.07 SentemaRBT-Sentema'!K18)</f>
        <v>0.14285714285714285</v>
      </c>
      <c r="L18" s="49">
        <f>AVERAGE('22.07 SentemaRBT-Sentema'!L18,'23.07 Sentema RBT-Sentema'!L18,'24.07 SentemaRBT-Sentema'!L18,'25.07 SentemaRBT-Sentema'!L18,'26.07 SentemaRBT-Sentema-24h'!L18,'27.07 SentemaRBT-Sentema-24h'!L18,'28.07 SentemaRBT-Sentema'!L18)</f>
        <v>0.14285714285714285</v>
      </c>
      <c r="M18" s="49">
        <f>AVERAGE('22.07 SentemaRBT-Sentema'!M18,'23.07 Sentema RBT-Sentema'!M18,'24.07 SentemaRBT-Sentema'!M18,'25.07 SentemaRBT-Sentema'!M18,'26.07 SentemaRBT-Sentema-24h'!M18,'27.07 SentemaRBT-Sentema-24h'!M18,'28.07 SentemaRBT-Sentema'!M18)</f>
        <v>47.285714285714285</v>
      </c>
      <c r="N18" s="49">
        <f>AVERAGE('22.07 SentemaRBT-Sentema'!N18,'23.07 Sentema RBT-Sentema'!N18,'24.07 SentemaRBT-Sentema'!N18,'25.07 SentemaRBT-Sentema'!N18,'26.07 SentemaRBT-Sentema-24h'!N18,'27.07 SentemaRBT-Sentema-24h'!N18,'28.07 SentemaRBT-Sentema'!N18)</f>
        <v>0</v>
      </c>
      <c r="O18" s="15">
        <f t="shared" si="0"/>
        <v>32.571428571428577</v>
      </c>
      <c r="P18" s="15">
        <f t="shared" si="1"/>
        <v>79.857142857142861</v>
      </c>
      <c r="R18" s="1" t="s">
        <v>14</v>
      </c>
      <c r="S18" s="17">
        <f t="shared" ref="S18:AF18" si="10">SUM(C42:C45)</f>
        <v>53.428571428571431</v>
      </c>
      <c r="T18" s="17">
        <f t="shared" si="10"/>
        <v>7.8571428571428577</v>
      </c>
      <c r="U18" s="17">
        <f t="shared" si="10"/>
        <v>10.428571428571429</v>
      </c>
      <c r="V18" s="17">
        <f t="shared" si="10"/>
        <v>33.285714285714285</v>
      </c>
      <c r="W18" s="17">
        <f t="shared" si="10"/>
        <v>0.2857142857142857</v>
      </c>
      <c r="X18" s="17">
        <f t="shared" si="10"/>
        <v>0.2857142857142857</v>
      </c>
      <c r="Y18" s="17">
        <f t="shared" si="10"/>
        <v>12.714285714285714</v>
      </c>
      <c r="Z18" s="17">
        <f t="shared" si="10"/>
        <v>3.4285714285714288</v>
      </c>
      <c r="AA18" s="17">
        <f t="shared" si="10"/>
        <v>1.8571428571428572</v>
      </c>
      <c r="AB18" s="17">
        <f t="shared" si="10"/>
        <v>0.14285714285714285</v>
      </c>
      <c r="AC18" s="17">
        <f t="shared" si="10"/>
        <v>160</v>
      </c>
      <c r="AD18" s="17">
        <f t="shared" si="10"/>
        <v>0</v>
      </c>
      <c r="AE18" s="31">
        <f t="shared" si="10"/>
        <v>123.71428571428569</v>
      </c>
      <c r="AF18" s="31">
        <f t="shared" si="10"/>
        <v>283.71428571428572</v>
      </c>
    </row>
    <row r="19" spans="2:32" ht="23.1" customHeight="1" x14ac:dyDescent="0.25">
      <c r="B19" s="23" t="s">
        <v>46</v>
      </c>
      <c r="C19" s="49">
        <f>AVERAGE('22.07 SentemaRBT-Sentema'!C19,'23.07 Sentema RBT-Sentema'!C19,'24.07 SentemaRBT-Sentema'!C19,'25.07 SentemaRBT-Sentema'!C19,'26.07 SentemaRBT-Sentema-24h'!C19,'27.07 SentemaRBT-Sentema-24h'!C19,'28.07 SentemaRBT-Sentema'!C19)</f>
        <v>10.142857142857142</v>
      </c>
      <c r="D19" s="49">
        <f>AVERAGE('22.07 SentemaRBT-Sentema'!D19,'23.07 Sentema RBT-Sentema'!D19,'24.07 SentemaRBT-Sentema'!D19,'25.07 SentemaRBT-Sentema'!D19,'26.07 SentemaRBT-Sentema-24h'!D19,'27.07 SentemaRBT-Sentema-24h'!D19,'28.07 SentemaRBT-Sentema'!D19)</f>
        <v>1.4285714285714286</v>
      </c>
      <c r="E19" s="49">
        <f>AVERAGE('22.07 SentemaRBT-Sentema'!E19,'23.07 Sentema RBT-Sentema'!E19,'24.07 SentemaRBT-Sentema'!E19,'25.07 SentemaRBT-Sentema'!E19,'26.07 SentemaRBT-Sentema-24h'!E19,'27.07 SentemaRBT-Sentema-24h'!E19,'28.07 SentemaRBT-Sentema'!E19)</f>
        <v>2.5714285714285716</v>
      </c>
      <c r="F19" s="49">
        <f>AVERAGE('22.07 SentemaRBT-Sentema'!F19,'23.07 Sentema RBT-Sentema'!F19,'24.07 SentemaRBT-Sentema'!F19,'25.07 SentemaRBT-Sentema'!F19,'26.07 SentemaRBT-Sentema-24h'!F19,'27.07 SentemaRBT-Sentema-24h'!F19,'28.07 SentemaRBT-Sentema'!F19)</f>
        <v>15.714285714285714</v>
      </c>
      <c r="G19" s="49">
        <f>AVERAGE('22.07 SentemaRBT-Sentema'!G19,'23.07 Sentema RBT-Sentema'!G19,'24.07 SentemaRBT-Sentema'!G19,'25.07 SentemaRBT-Sentema'!G19,'26.07 SentemaRBT-Sentema-24h'!G19,'27.07 SentemaRBT-Sentema-24h'!G19,'28.07 SentemaRBT-Sentema'!G19)</f>
        <v>0.14285714285714285</v>
      </c>
      <c r="H19" s="49">
        <f>AVERAGE('22.07 SentemaRBT-Sentema'!H19,'23.07 Sentema RBT-Sentema'!H19,'24.07 SentemaRBT-Sentema'!H19,'25.07 SentemaRBT-Sentema'!H19,'26.07 SentemaRBT-Sentema-24h'!H19,'27.07 SentemaRBT-Sentema-24h'!H19,'28.07 SentemaRBT-Sentema'!H19)</f>
        <v>0.42857142857142855</v>
      </c>
      <c r="I19" s="49">
        <f>AVERAGE('22.07 SentemaRBT-Sentema'!I19,'23.07 Sentema RBT-Sentema'!I19,'24.07 SentemaRBT-Sentema'!I19,'25.07 SentemaRBT-Sentema'!I19,'26.07 SentemaRBT-Sentema-24h'!I19,'27.07 SentemaRBT-Sentema-24h'!I19,'28.07 SentemaRBT-Sentema'!I19)</f>
        <v>5.1428571428571432</v>
      </c>
      <c r="J19" s="49">
        <f>AVERAGE('22.07 SentemaRBT-Sentema'!J19,'23.07 Sentema RBT-Sentema'!J19,'24.07 SentemaRBT-Sentema'!J19,'25.07 SentemaRBT-Sentema'!J19,'26.07 SentemaRBT-Sentema-24h'!J19,'27.07 SentemaRBT-Sentema-24h'!J19,'28.07 SentemaRBT-Sentema'!J19)</f>
        <v>1.4285714285714286</v>
      </c>
      <c r="K19" s="49">
        <f>AVERAGE('22.07 SentemaRBT-Sentema'!K19,'23.07 Sentema RBT-Sentema'!K19,'24.07 SentemaRBT-Sentema'!K19,'25.07 SentemaRBT-Sentema'!K19,'26.07 SentemaRBT-Sentema-24h'!K19,'27.07 SentemaRBT-Sentema-24h'!K19,'28.07 SentemaRBT-Sentema'!K19)</f>
        <v>0</v>
      </c>
      <c r="L19" s="49">
        <f>AVERAGE('22.07 SentemaRBT-Sentema'!L19,'23.07 Sentema RBT-Sentema'!L19,'24.07 SentemaRBT-Sentema'!L19,'25.07 SentemaRBT-Sentema'!L19,'26.07 SentemaRBT-Sentema-24h'!L19,'27.07 SentemaRBT-Sentema-24h'!L19,'28.07 SentemaRBT-Sentema'!L19)</f>
        <v>0.14285714285714285</v>
      </c>
      <c r="M19" s="49">
        <f>AVERAGE('22.07 SentemaRBT-Sentema'!M19,'23.07 Sentema RBT-Sentema'!M19,'24.07 SentemaRBT-Sentema'!M19,'25.07 SentemaRBT-Sentema'!M19,'26.07 SentemaRBT-Sentema-24h'!M19,'27.07 SentemaRBT-Sentema-24h'!M19,'28.07 SentemaRBT-Sentema'!M19)</f>
        <v>53.857142857142854</v>
      </c>
      <c r="N19" s="49">
        <f>AVERAGE('22.07 SentemaRBT-Sentema'!N19,'23.07 Sentema RBT-Sentema'!N19,'24.07 SentemaRBT-Sentema'!N19,'25.07 SentemaRBT-Sentema'!N19,'26.07 SentemaRBT-Sentema-24h'!N19,'27.07 SentemaRBT-Sentema-24h'!N19,'28.07 SentemaRBT-Sentema'!N19)</f>
        <v>0</v>
      </c>
      <c r="O19" s="15">
        <f t="shared" si="0"/>
        <v>37.142857142857146</v>
      </c>
      <c r="P19" s="15">
        <f t="shared" si="1"/>
        <v>91</v>
      </c>
      <c r="R19" s="1" t="s">
        <v>15</v>
      </c>
      <c r="S19" s="17">
        <f t="shared" ref="S19:AF19" si="11">SUM(C46:C49)</f>
        <v>56</v>
      </c>
      <c r="T19" s="17">
        <f t="shared" si="11"/>
        <v>10.428571428571429</v>
      </c>
      <c r="U19" s="17">
        <f t="shared" si="11"/>
        <v>8.8571428571428577</v>
      </c>
      <c r="V19" s="17">
        <f t="shared" si="11"/>
        <v>34.857142857142854</v>
      </c>
      <c r="W19" s="17">
        <f t="shared" si="11"/>
        <v>2.2857142857142856</v>
      </c>
      <c r="X19" s="17">
        <f t="shared" si="11"/>
        <v>0.14285714285714285</v>
      </c>
      <c r="Y19" s="17">
        <f t="shared" si="11"/>
        <v>11.714285714285715</v>
      </c>
      <c r="Z19" s="17">
        <f t="shared" si="11"/>
        <v>4.1428571428571423</v>
      </c>
      <c r="AA19" s="17">
        <f t="shared" si="11"/>
        <v>2.1428571428571423</v>
      </c>
      <c r="AB19" s="17">
        <f t="shared" si="11"/>
        <v>0.5714285714285714</v>
      </c>
      <c r="AC19" s="17">
        <f t="shared" si="11"/>
        <v>170</v>
      </c>
      <c r="AD19" s="17">
        <f t="shared" si="11"/>
        <v>0</v>
      </c>
      <c r="AE19" s="31">
        <f t="shared" si="11"/>
        <v>131.14285714285717</v>
      </c>
      <c r="AF19" s="31">
        <f t="shared" si="11"/>
        <v>301.14285714285711</v>
      </c>
    </row>
    <row r="20" spans="2:32" ht="23.1" customHeight="1" x14ac:dyDescent="0.25">
      <c r="B20" s="23" t="s">
        <v>47</v>
      </c>
      <c r="C20" s="49">
        <f>AVERAGE('22.07 SentemaRBT-Sentema'!C20,'23.07 Sentema RBT-Sentema'!C20,'24.07 SentemaRBT-Sentema'!C20,'25.07 SentemaRBT-Sentema'!C20,'26.07 SentemaRBT-Sentema-24h'!C20,'27.07 SentemaRBT-Sentema-24h'!C20,'28.07 SentemaRBT-Sentema'!C20)</f>
        <v>12.142857142857142</v>
      </c>
      <c r="D20" s="49">
        <f>AVERAGE('22.07 SentemaRBT-Sentema'!D20,'23.07 Sentema RBT-Sentema'!D20,'24.07 SentemaRBT-Sentema'!D20,'25.07 SentemaRBT-Sentema'!D20,'26.07 SentemaRBT-Sentema-24h'!D20,'27.07 SentemaRBT-Sentema-24h'!D20,'28.07 SentemaRBT-Sentema'!D20)</f>
        <v>2</v>
      </c>
      <c r="E20" s="49">
        <f>AVERAGE('22.07 SentemaRBT-Sentema'!E20,'23.07 Sentema RBT-Sentema'!E20,'24.07 SentemaRBT-Sentema'!E20,'25.07 SentemaRBT-Sentema'!E20,'26.07 SentemaRBT-Sentema-24h'!E20,'27.07 SentemaRBT-Sentema-24h'!E20,'28.07 SentemaRBT-Sentema'!E20)</f>
        <v>3</v>
      </c>
      <c r="F20" s="49">
        <f>AVERAGE('22.07 SentemaRBT-Sentema'!F20,'23.07 Sentema RBT-Sentema'!F20,'24.07 SentemaRBT-Sentema'!F20,'25.07 SentemaRBT-Sentema'!F20,'26.07 SentemaRBT-Sentema-24h'!F20,'27.07 SentemaRBT-Sentema-24h'!F20,'28.07 SentemaRBT-Sentema'!F20)</f>
        <v>12</v>
      </c>
      <c r="G20" s="49">
        <f>AVERAGE('22.07 SentemaRBT-Sentema'!G20,'23.07 Sentema RBT-Sentema'!G20,'24.07 SentemaRBT-Sentema'!G20,'25.07 SentemaRBT-Sentema'!G20,'26.07 SentemaRBT-Sentema-24h'!G20,'27.07 SentemaRBT-Sentema-24h'!G20,'28.07 SentemaRBT-Sentema'!G20)</f>
        <v>0</v>
      </c>
      <c r="H20" s="49">
        <f>AVERAGE('22.07 SentemaRBT-Sentema'!H20,'23.07 Sentema RBT-Sentema'!H20,'24.07 SentemaRBT-Sentema'!H20,'25.07 SentemaRBT-Sentema'!H20,'26.07 SentemaRBT-Sentema-24h'!H20,'27.07 SentemaRBT-Sentema-24h'!H20,'28.07 SentemaRBT-Sentema'!H20)</f>
        <v>0.2857142857142857</v>
      </c>
      <c r="I20" s="49">
        <f>AVERAGE('22.07 SentemaRBT-Sentema'!I20,'23.07 Sentema RBT-Sentema'!I20,'24.07 SentemaRBT-Sentema'!I20,'25.07 SentemaRBT-Sentema'!I20,'26.07 SentemaRBT-Sentema-24h'!I20,'27.07 SentemaRBT-Sentema-24h'!I20,'28.07 SentemaRBT-Sentema'!I20)</f>
        <v>3</v>
      </c>
      <c r="J20" s="49">
        <f>AVERAGE('22.07 SentemaRBT-Sentema'!J20,'23.07 Sentema RBT-Sentema'!J20,'24.07 SentemaRBT-Sentema'!J20,'25.07 SentemaRBT-Sentema'!J20,'26.07 SentemaRBT-Sentema-24h'!J20,'27.07 SentemaRBT-Sentema-24h'!J20,'28.07 SentemaRBT-Sentema'!J20)</f>
        <v>1.4285714285714286</v>
      </c>
      <c r="K20" s="49">
        <f>AVERAGE('22.07 SentemaRBT-Sentema'!K20,'23.07 Sentema RBT-Sentema'!K20,'24.07 SentemaRBT-Sentema'!K20,'25.07 SentemaRBT-Sentema'!K20,'26.07 SentemaRBT-Sentema-24h'!K20,'27.07 SentemaRBT-Sentema-24h'!K20,'28.07 SentemaRBT-Sentema'!K20)</f>
        <v>0</v>
      </c>
      <c r="L20" s="49">
        <f>AVERAGE('22.07 SentemaRBT-Sentema'!L20,'23.07 Sentema RBT-Sentema'!L20,'24.07 SentemaRBT-Sentema'!L20,'25.07 SentemaRBT-Sentema'!L20,'26.07 SentemaRBT-Sentema-24h'!L20,'27.07 SentemaRBT-Sentema-24h'!L20,'28.07 SentemaRBT-Sentema'!L20)</f>
        <v>0</v>
      </c>
      <c r="M20" s="49">
        <f>AVERAGE('22.07 SentemaRBT-Sentema'!M20,'23.07 Sentema RBT-Sentema'!M20,'24.07 SentemaRBT-Sentema'!M20,'25.07 SentemaRBT-Sentema'!M20,'26.07 SentemaRBT-Sentema-24h'!M20,'27.07 SentemaRBT-Sentema-24h'!M20,'28.07 SentemaRBT-Sentema'!M20)</f>
        <v>47.428571428571431</v>
      </c>
      <c r="N20" s="49">
        <f>AVERAGE('22.07 SentemaRBT-Sentema'!N20,'23.07 Sentema RBT-Sentema'!N20,'24.07 SentemaRBT-Sentema'!N20,'25.07 SentemaRBT-Sentema'!N20,'26.07 SentemaRBT-Sentema-24h'!N20,'27.07 SentemaRBT-Sentema-24h'!N20,'28.07 SentemaRBT-Sentema'!N20)</f>
        <v>0</v>
      </c>
      <c r="O20" s="15">
        <f t="shared" si="0"/>
        <v>33.857142857142861</v>
      </c>
      <c r="P20" s="15">
        <f t="shared" si="1"/>
        <v>81.285714285714292</v>
      </c>
      <c r="R20" s="1" t="s">
        <v>16</v>
      </c>
      <c r="S20" s="17">
        <f t="shared" ref="S20:AF20" si="12">SUM(C50:C53)</f>
        <v>83.571428571428569</v>
      </c>
      <c r="T20" s="17">
        <f t="shared" si="12"/>
        <v>16.571428571428569</v>
      </c>
      <c r="U20" s="17">
        <f t="shared" si="12"/>
        <v>8.7142857142857153</v>
      </c>
      <c r="V20" s="17">
        <f t="shared" si="12"/>
        <v>41</v>
      </c>
      <c r="W20" s="17">
        <f t="shared" si="12"/>
        <v>0.8571428571428571</v>
      </c>
      <c r="X20" s="17">
        <f t="shared" si="12"/>
        <v>0</v>
      </c>
      <c r="Y20" s="17">
        <f t="shared" si="12"/>
        <v>12.142857142857142</v>
      </c>
      <c r="Z20" s="17">
        <f t="shared" si="12"/>
        <v>4.1428571428571432</v>
      </c>
      <c r="AA20" s="17">
        <f t="shared" si="12"/>
        <v>0.85714285714285698</v>
      </c>
      <c r="AB20" s="17">
        <f t="shared" si="12"/>
        <v>0.5714285714285714</v>
      </c>
      <c r="AC20" s="17">
        <f t="shared" si="12"/>
        <v>196.42857142857144</v>
      </c>
      <c r="AD20" s="17">
        <f t="shared" si="12"/>
        <v>0</v>
      </c>
      <c r="AE20" s="31">
        <f t="shared" si="12"/>
        <v>168.42857142857142</v>
      </c>
      <c r="AF20" s="31">
        <f t="shared" si="12"/>
        <v>364.85714285714289</v>
      </c>
    </row>
    <row r="21" spans="2:32" ht="23.1" customHeight="1" x14ac:dyDescent="0.25">
      <c r="B21" s="23" t="s">
        <v>48</v>
      </c>
      <c r="C21" s="49">
        <f>AVERAGE('22.07 SentemaRBT-Sentema'!C21,'23.07 Sentema RBT-Sentema'!C21,'24.07 SentemaRBT-Sentema'!C21,'25.07 SentemaRBT-Sentema'!C21,'26.07 SentemaRBT-Sentema-24h'!C21,'27.07 SentemaRBT-Sentema-24h'!C21,'28.07 SentemaRBT-Sentema'!C21)</f>
        <v>7.7142857142857144</v>
      </c>
      <c r="D21" s="49">
        <f>AVERAGE('22.07 SentemaRBT-Sentema'!D21,'23.07 Sentema RBT-Sentema'!D21,'24.07 SentemaRBT-Sentema'!D21,'25.07 SentemaRBT-Sentema'!D21,'26.07 SentemaRBT-Sentema-24h'!D21,'27.07 SentemaRBT-Sentema-24h'!D21,'28.07 SentemaRBT-Sentema'!D21)</f>
        <v>1.8571428571428572</v>
      </c>
      <c r="E21" s="49">
        <f>AVERAGE('22.07 SentemaRBT-Sentema'!E21,'23.07 Sentema RBT-Sentema'!E21,'24.07 SentemaRBT-Sentema'!E21,'25.07 SentemaRBT-Sentema'!E21,'26.07 SentemaRBT-Sentema-24h'!E21,'27.07 SentemaRBT-Sentema-24h'!E21,'28.07 SentemaRBT-Sentema'!E21)</f>
        <v>3.1428571428571428</v>
      </c>
      <c r="F21" s="49">
        <f>AVERAGE('22.07 SentemaRBT-Sentema'!F21,'23.07 Sentema RBT-Sentema'!F21,'24.07 SentemaRBT-Sentema'!F21,'25.07 SentemaRBT-Sentema'!F21,'26.07 SentemaRBT-Sentema-24h'!F21,'27.07 SentemaRBT-Sentema-24h'!F21,'28.07 SentemaRBT-Sentema'!F21)</f>
        <v>13.142857142857142</v>
      </c>
      <c r="G21" s="49">
        <f>AVERAGE('22.07 SentemaRBT-Sentema'!G21,'23.07 Sentema RBT-Sentema'!G21,'24.07 SentemaRBT-Sentema'!G21,'25.07 SentemaRBT-Sentema'!G21,'26.07 SentemaRBT-Sentema-24h'!G21,'27.07 SentemaRBT-Sentema-24h'!G21,'28.07 SentemaRBT-Sentema'!G21)</f>
        <v>0</v>
      </c>
      <c r="H21" s="49">
        <f>AVERAGE('22.07 SentemaRBT-Sentema'!H21,'23.07 Sentema RBT-Sentema'!H21,'24.07 SentemaRBT-Sentema'!H21,'25.07 SentemaRBT-Sentema'!H21,'26.07 SentemaRBT-Sentema-24h'!H21,'27.07 SentemaRBT-Sentema-24h'!H21,'28.07 SentemaRBT-Sentema'!H21)</f>
        <v>0.42857142857142855</v>
      </c>
      <c r="I21" s="49">
        <f>AVERAGE('22.07 SentemaRBT-Sentema'!I21,'23.07 Sentema RBT-Sentema'!I21,'24.07 SentemaRBT-Sentema'!I21,'25.07 SentemaRBT-Sentema'!I21,'26.07 SentemaRBT-Sentema-24h'!I21,'27.07 SentemaRBT-Sentema-24h'!I21,'28.07 SentemaRBT-Sentema'!I21)</f>
        <v>2.8571428571428572</v>
      </c>
      <c r="J21" s="49">
        <f>AVERAGE('22.07 SentemaRBT-Sentema'!J21,'23.07 Sentema RBT-Sentema'!J21,'24.07 SentemaRBT-Sentema'!J21,'25.07 SentemaRBT-Sentema'!J21,'26.07 SentemaRBT-Sentema-24h'!J21,'27.07 SentemaRBT-Sentema-24h'!J21,'28.07 SentemaRBT-Sentema'!J21)</f>
        <v>1.1428571428571428</v>
      </c>
      <c r="K21" s="49">
        <f>AVERAGE('22.07 SentemaRBT-Sentema'!K21,'23.07 Sentema RBT-Sentema'!K21,'24.07 SentemaRBT-Sentema'!K21,'25.07 SentemaRBT-Sentema'!K21,'26.07 SentemaRBT-Sentema-24h'!K21,'27.07 SentemaRBT-Sentema-24h'!K21,'28.07 SentemaRBT-Sentema'!K21)</f>
        <v>0.14285714285714285</v>
      </c>
      <c r="L21" s="49">
        <f>AVERAGE('22.07 SentemaRBT-Sentema'!L21,'23.07 Sentema RBT-Sentema'!L21,'24.07 SentemaRBT-Sentema'!L21,'25.07 SentemaRBT-Sentema'!L21,'26.07 SentemaRBT-Sentema-24h'!L21,'27.07 SentemaRBT-Sentema-24h'!L21,'28.07 SentemaRBT-Sentema'!L21)</f>
        <v>0.2857142857142857</v>
      </c>
      <c r="M21" s="49">
        <f>AVERAGE('22.07 SentemaRBT-Sentema'!M21,'23.07 Sentema RBT-Sentema'!M21,'24.07 SentemaRBT-Sentema'!M21,'25.07 SentemaRBT-Sentema'!M21,'26.07 SentemaRBT-Sentema-24h'!M21,'27.07 SentemaRBT-Sentema-24h'!M21,'28.07 SentemaRBT-Sentema'!M21)</f>
        <v>44.857142857142854</v>
      </c>
      <c r="N21" s="49">
        <f>AVERAGE('22.07 SentemaRBT-Sentema'!N21,'23.07 Sentema RBT-Sentema'!N21,'24.07 SentemaRBT-Sentema'!N21,'25.07 SentemaRBT-Sentema'!N21,'26.07 SentemaRBT-Sentema-24h'!N21,'27.07 SentemaRBT-Sentema-24h'!N21,'28.07 SentemaRBT-Sentema'!N21)</f>
        <v>0</v>
      </c>
      <c r="O21" s="15">
        <f t="shared" si="0"/>
        <v>30.714285714285708</v>
      </c>
      <c r="P21" s="15">
        <f t="shared" si="1"/>
        <v>75.571428571428555</v>
      </c>
      <c r="R21" s="1" t="s">
        <v>20</v>
      </c>
      <c r="S21" s="34">
        <f t="shared" ref="S21:AF21" si="13">SUM(C54:C57)</f>
        <v>107.42857142857143</v>
      </c>
      <c r="T21" s="17">
        <f t="shared" si="13"/>
        <v>20.285714285714285</v>
      </c>
      <c r="U21" s="17">
        <f t="shared" si="13"/>
        <v>10.857142857142856</v>
      </c>
      <c r="V21" s="17">
        <f t="shared" si="13"/>
        <v>51.571428571428569</v>
      </c>
      <c r="W21" s="17">
        <f t="shared" si="13"/>
        <v>0.8571428571428571</v>
      </c>
      <c r="X21" s="17">
        <f t="shared" si="13"/>
        <v>0</v>
      </c>
      <c r="Y21" s="17">
        <f t="shared" si="13"/>
        <v>11.857142857142858</v>
      </c>
      <c r="Z21" s="17">
        <f t="shared" si="13"/>
        <v>3.2857142857142856</v>
      </c>
      <c r="AA21" s="17">
        <f t="shared" si="13"/>
        <v>3.2857142857142856</v>
      </c>
      <c r="AB21" s="17">
        <f t="shared" si="13"/>
        <v>0.2857142857142857</v>
      </c>
      <c r="AC21" s="17">
        <f t="shared" si="13"/>
        <v>212.14285714285714</v>
      </c>
      <c r="AD21" s="17">
        <f t="shared" si="13"/>
        <v>0.14285714285714285</v>
      </c>
      <c r="AE21" s="31">
        <f t="shared" si="13"/>
        <v>209.85714285714286</v>
      </c>
      <c r="AF21" s="31">
        <f t="shared" si="13"/>
        <v>422</v>
      </c>
    </row>
    <row r="22" spans="2:32" ht="23.1" customHeight="1" x14ac:dyDescent="0.25">
      <c r="B22" s="23" t="s">
        <v>49</v>
      </c>
      <c r="C22" s="49">
        <f>AVERAGE('22.07 SentemaRBT-Sentema'!C22,'23.07 Sentema RBT-Sentema'!C22,'24.07 SentemaRBT-Sentema'!C22,'25.07 SentemaRBT-Sentema'!C22,'26.07 SentemaRBT-Sentema-24h'!C22,'27.07 SentemaRBT-Sentema-24h'!C22,'28.07 SentemaRBT-Sentema'!C22)</f>
        <v>9.1428571428571423</v>
      </c>
      <c r="D22" s="49">
        <f>AVERAGE('22.07 SentemaRBT-Sentema'!D22,'23.07 Sentema RBT-Sentema'!D22,'24.07 SentemaRBT-Sentema'!D22,'25.07 SentemaRBT-Sentema'!D22,'26.07 SentemaRBT-Sentema-24h'!D22,'27.07 SentemaRBT-Sentema-24h'!D22,'28.07 SentemaRBT-Sentema'!D22)</f>
        <v>2.2857142857142856</v>
      </c>
      <c r="E22" s="49">
        <f>AVERAGE('22.07 SentemaRBT-Sentema'!E22,'23.07 Sentema RBT-Sentema'!E22,'24.07 SentemaRBT-Sentema'!E22,'25.07 SentemaRBT-Sentema'!E22,'26.07 SentemaRBT-Sentema-24h'!E22,'27.07 SentemaRBT-Sentema-24h'!E22,'28.07 SentemaRBT-Sentema'!E22)</f>
        <v>3</v>
      </c>
      <c r="F22" s="49">
        <f>AVERAGE('22.07 SentemaRBT-Sentema'!F22,'23.07 Sentema RBT-Sentema'!F22,'24.07 SentemaRBT-Sentema'!F22,'25.07 SentemaRBT-Sentema'!F22,'26.07 SentemaRBT-Sentema-24h'!F22,'27.07 SentemaRBT-Sentema-24h'!F22,'28.07 SentemaRBT-Sentema'!F22)</f>
        <v>13.285714285714286</v>
      </c>
      <c r="G22" s="49">
        <f>AVERAGE('22.07 SentemaRBT-Sentema'!G22,'23.07 Sentema RBT-Sentema'!G22,'24.07 SentemaRBT-Sentema'!G22,'25.07 SentemaRBT-Sentema'!G22,'26.07 SentemaRBT-Sentema-24h'!G22,'27.07 SentemaRBT-Sentema-24h'!G22,'28.07 SentemaRBT-Sentema'!G22)</f>
        <v>0.14285714285714285</v>
      </c>
      <c r="H22" s="49">
        <f>AVERAGE('22.07 SentemaRBT-Sentema'!H22,'23.07 Sentema RBT-Sentema'!H22,'24.07 SentemaRBT-Sentema'!H22,'25.07 SentemaRBT-Sentema'!H22,'26.07 SentemaRBT-Sentema-24h'!H22,'27.07 SentemaRBT-Sentema-24h'!H22,'28.07 SentemaRBT-Sentema'!H22)</f>
        <v>0.42857142857142855</v>
      </c>
      <c r="I22" s="49">
        <f>AVERAGE('22.07 SentemaRBT-Sentema'!I22,'23.07 Sentema RBT-Sentema'!I22,'24.07 SentemaRBT-Sentema'!I22,'25.07 SentemaRBT-Sentema'!I22,'26.07 SentemaRBT-Sentema-24h'!I22,'27.07 SentemaRBT-Sentema-24h'!I22,'28.07 SentemaRBT-Sentema'!I22)</f>
        <v>3.5714285714285716</v>
      </c>
      <c r="J22" s="49">
        <f>AVERAGE('22.07 SentemaRBT-Sentema'!J22,'23.07 Sentema RBT-Sentema'!J22,'24.07 SentemaRBT-Sentema'!J22,'25.07 SentemaRBT-Sentema'!J22,'26.07 SentemaRBT-Sentema-24h'!J22,'27.07 SentemaRBT-Sentema-24h'!J22,'28.07 SentemaRBT-Sentema'!J22)</f>
        <v>0.7142857142857143</v>
      </c>
      <c r="K22" s="49">
        <f>AVERAGE('22.07 SentemaRBT-Sentema'!K22,'23.07 Sentema RBT-Sentema'!K22,'24.07 SentemaRBT-Sentema'!K22,'25.07 SentemaRBT-Sentema'!K22,'26.07 SentemaRBT-Sentema-24h'!K22,'27.07 SentemaRBT-Sentema-24h'!K22,'28.07 SentemaRBT-Sentema'!K22)</f>
        <v>0.2857142857142857</v>
      </c>
      <c r="L22" s="49">
        <f>AVERAGE('22.07 SentemaRBT-Sentema'!L22,'23.07 Sentema RBT-Sentema'!L22,'24.07 SentemaRBT-Sentema'!L22,'25.07 SentemaRBT-Sentema'!L22,'26.07 SentemaRBT-Sentema-24h'!L22,'27.07 SentemaRBT-Sentema-24h'!L22,'28.07 SentemaRBT-Sentema'!L22)</f>
        <v>0.2857142857142857</v>
      </c>
      <c r="M22" s="49">
        <f>AVERAGE('22.07 SentemaRBT-Sentema'!M22,'23.07 Sentema RBT-Sentema'!M22,'24.07 SentemaRBT-Sentema'!M22,'25.07 SentemaRBT-Sentema'!M22,'26.07 SentemaRBT-Sentema-24h'!M22,'27.07 SentemaRBT-Sentema-24h'!M22,'28.07 SentemaRBT-Sentema'!M22)</f>
        <v>43.714285714285715</v>
      </c>
      <c r="N22" s="49">
        <f>AVERAGE('22.07 SentemaRBT-Sentema'!N22,'23.07 Sentema RBT-Sentema'!N22,'24.07 SentemaRBT-Sentema'!N22,'25.07 SentemaRBT-Sentema'!N22,'26.07 SentemaRBT-Sentema-24h'!N22,'27.07 SentemaRBT-Sentema-24h'!N22,'28.07 SentemaRBT-Sentema'!N22)</f>
        <v>0</v>
      </c>
      <c r="O22" s="15">
        <f t="shared" si="0"/>
        <v>33.142857142857139</v>
      </c>
      <c r="P22" s="15">
        <f t="shared" si="1"/>
        <v>76.857142857142861</v>
      </c>
      <c r="R22" s="1" t="s">
        <v>146</v>
      </c>
      <c r="S22" s="34">
        <f>SUM(C58:C61)</f>
        <v>84.5</v>
      </c>
      <c r="T22" s="34">
        <f t="shared" ref="T22:AF22" si="14">SUM(D58:D61)</f>
        <v>28.5</v>
      </c>
      <c r="U22" s="34">
        <f t="shared" si="14"/>
        <v>18</v>
      </c>
      <c r="V22" s="34">
        <f t="shared" si="14"/>
        <v>77.5</v>
      </c>
      <c r="W22" s="34">
        <f t="shared" si="14"/>
        <v>1.5</v>
      </c>
      <c r="X22" s="34">
        <f t="shared" si="14"/>
        <v>0.5</v>
      </c>
      <c r="Y22" s="34">
        <f t="shared" si="14"/>
        <v>13.5</v>
      </c>
      <c r="Z22" s="34">
        <f t="shared" si="14"/>
        <v>1.5</v>
      </c>
      <c r="AA22" s="34">
        <f t="shared" si="14"/>
        <v>0.5</v>
      </c>
      <c r="AB22" s="34">
        <f t="shared" si="14"/>
        <v>2</v>
      </c>
      <c r="AC22" s="34">
        <f t="shared" si="14"/>
        <v>194</v>
      </c>
      <c r="AD22" s="34">
        <f t="shared" si="14"/>
        <v>0</v>
      </c>
      <c r="AE22" s="31">
        <f t="shared" si="14"/>
        <v>228</v>
      </c>
      <c r="AF22" s="31">
        <f t="shared" si="14"/>
        <v>422</v>
      </c>
    </row>
    <row r="23" spans="2:32" ht="23.1" customHeight="1" x14ac:dyDescent="0.25">
      <c r="B23" s="23" t="s">
        <v>50</v>
      </c>
      <c r="C23" s="49">
        <f>AVERAGE('22.07 SentemaRBT-Sentema'!C23,'23.07 Sentema RBT-Sentema'!C23,'24.07 SentemaRBT-Sentema'!C23,'25.07 SentemaRBT-Sentema'!C23,'26.07 SentemaRBT-Sentema-24h'!C23,'27.07 SentemaRBT-Sentema-24h'!C23,'28.07 SentemaRBT-Sentema'!C23)</f>
        <v>12.428571428571429</v>
      </c>
      <c r="D23" s="49">
        <f>AVERAGE('22.07 SentemaRBT-Sentema'!D23,'23.07 Sentema RBT-Sentema'!D23,'24.07 SentemaRBT-Sentema'!D23,'25.07 SentemaRBT-Sentema'!D23,'26.07 SentemaRBT-Sentema-24h'!D23,'27.07 SentemaRBT-Sentema-24h'!D23,'28.07 SentemaRBT-Sentema'!D23)</f>
        <v>2.5714285714285716</v>
      </c>
      <c r="E23" s="49">
        <f>AVERAGE('22.07 SentemaRBT-Sentema'!E23,'23.07 Sentema RBT-Sentema'!E23,'24.07 SentemaRBT-Sentema'!E23,'25.07 SentemaRBT-Sentema'!E23,'26.07 SentemaRBT-Sentema-24h'!E23,'27.07 SentemaRBT-Sentema-24h'!E23,'28.07 SentemaRBT-Sentema'!E23)</f>
        <v>2.4285714285714284</v>
      </c>
      <c r="F23" s="49">
        <f>AVERAGE('22.07 SentemaRBT-Sentema'!F23,'23.07 Sentema RBT-Sentema'!F23,'24.07 SentemaRBT-Sentema'!F23,'25.07 SentemaRBT-Sentema'!F23,'26.07 SentemaRBT-Sentema-24h'!F23,'27.07 SentemaRBT-Sentema-24h'!F23,'28.07 SentemaRBT-Sentema'!F23)</f>
        <v>10.571428571428571</v>
      </c>
      <c r="G23" s="49">
        <f>AVERAGE('22.07 SentemaRBT-Sentema'!G23,'23.07 Sentema RBT-Sentema'!G23,'24.07 SentemaRBT-Sentema'!G23,'25.07 SentemaRBT-Sentema'!G23,'26.07 SentemaRBT-Sentema-24h'!G23,'27.07 SentemaRBT-Sentema-24h'!G23,'28.07 SentemaRBT-Sentema'!G23)</f>
        <v>0.14285714285714285</v>
      </c>
      <c r="H23" s="49">
        <f>AVERAGE('22.07 SentemaRBT-Sentema'!H23,'23.07 Sentema RBT-Sentema'!H23,'24.07 SentemaRBT-Sentema'!H23,'25.07 SentemaRBT-Sentema'!H23,'26.07 SentemaRBT-Sentema-24h'!H23,'27.07 SentemaRBT-Sentema-24h'!H23,'28.07 SentemaRBT-Sentema'!H23)</f>
        <v>0.14285714285714285</v>
      </c>
      <c r="I23" s="49">
        <f>AVERAGE('22.07 SentemaRBT-Sentema'!I23,'23.07 Sentema RBT-Sentema'!I23,'24.07 SentemaRBT-Sentema'!I23,'25.07 SentemaRBT-Sentema'!I23,'26.07 SentemaRBT-Sentema-24h'!I23,'27.07 SentemaRBT-Sentema-24h'!I23,'28.07 SentemaRBT-Sentema'!I23)</f>
        <v>3</v>
      </c>
      <c r="J23" s="49">
        <f>AVERAGE('22.07 SentemaRBT-Sentema'!J23,'23.07 Sentema RBT-Sentema'!J23,'24.07 SentemaRBT-Sentema'!J23,'25.07 SentemaRBT-Sentema'!J23,'26.07 SentemaRBT-Sentema-24h'!J23,'27.07 SentemaRBT-Sentema-24h'!J23,'28.07 SentemaRBT-Sentema'!J23)</f>
        <v>1</v>
      </c>
      <c r="K23" s="49">
        <f>AVERAGE('22.07 SentemaRBT-Sentema'!K23,'23.07 Sentema RBT-Sentema'!K23,'24.07 SentemaRBT-Sentema'!K23,'25.07 SentemaRBT-Sentema'!K23,'26.07 SentemaRBT-Sentema-24h'!K23,'27.07 SentemaRBT-Sentema-24h'!K23,'28.07 SentemaRBT-Sentema'!K23)</f>
        <v>0.14285714285714285</v>
      </c>
      <c r="L23" s="49">
        <f>AVERAGE('22.07 SentemaRBT-Sentema'!L23,'23.07 Sentema RBT-Sentema'!L23,'24.07 SentemaRBT-Sentema'!L23,'25.07 SentemaRBT-Sentema'!L23,'26.07 SentemaRBT-Sentema-24h'!L23,'27.07 SentemaRBT-Sentema-24h'!L23,'28.07 SentemaRBT-Sentema'!L23)</f>
        <v>0</v>
      </c>
      <c r="M23" s="49">
        <f>AVERAGE('22.07 SentemaRBT-Sentema'!M23,'23.07 Sentema RBT-Sentema'!M23,'24.07 SentemaRBT-Sentema'!M23,'25.07 SentemaRBT-Sentema'!M23,'26.07 SentemaRBT-Sentema-24h'!M23,'27.07 SentemaRBT-Sentema-24h'!M23,'28.07 SentemaRBT-Sentema'!M23)</f>
        <v>46.857142857142854</v>
      </c>
      <c r="N23" s="49">
        <f>AVERAGE('22.07 SentemaRBT-Sentema'!N23,'23.07 Sentema RBT-Sentema'!N23,'24.07 SentemaRBT-Sentema'!N23,'25.07 SentemaRBT-Sentema'!N23,'26.07 SentemaRBT-Sentema-24h'!N23,'27.07 SentemaRBT-Sentema-24h'!N23,'28.07 SentemaRBT-Sentema'!N23)</f>
        <v>0</v>
      </c>
      <c r="O23" s="15">
        <f t="shared" si="0"/>
        <v>32.428571428571431</v>
      </c>
      <c r="P23" s="15">
        <f t="shared" si="1"/>
        <v>79.285714285714278</v>
      </c>
      <c r="R23" s="1" t="s">
        <v>147</v>
      </c>
      <c r="S23" s="34">
        <f>SUM(C62:C65)</f>
        <v>109</v>
      </c>
      <c r="T23" s="34">
        <f t="shared" ref="T23:AF23" si="15">SUM(D62:D65)</f>
        <v>19</v>
      </c>
      <c r="U23" s="34">
        <f t="shared" si="15"/>
        <v>13.5</v>
      </c>
      <c r="V23" s="34">
        <f t="shared" si="15"/>
        <v>97</v>
      </c>
      <c r="W23" s="34">
        <f t="shared" si="15"/>
        <v>0.5</v>
      </c>
      <c r="X23" s="34">
        <f t="shared" si="15"/>
        <v>0</v>
      </c>
      <c r="Y23" s="34">
        <f t="shared" si="15"/>
        <v>9</v>
      </c>
      <c r="Z23" s="34">
        <f t="shared" si="15"/>
        <v>2</v>
      </c>
      <c r="AA23" s="34">
        <f t="shared" si="15"/>
        <v>1</v>
      </c>
      <c r="AB23" s="34">
        <f t="shared" si="15"/>
        <v>0.5</v>
      </c>
      <c r="AC23" s="34">
        <f t="shared" si="15"/>
        <v>226</v>
      </c>
      <c r="AD23" s="34">
        <f t="shared" si="15"/>
        <v>0</v>
      </c>
      <c r="AE23" s="31">
        <f t="shared" si="15"/>
        <v>251.5</v>
      </c>
      <c r="AF23" s="31">
        <f t="shared" si="15"/>
        <v>477.5</v>
      </c>
    </row>
    <row r="24" spans="2:32" ht="23.1" customHeight="1" x14ac:dyDescent="0.25">
      <c r="B24" s="23" t="s">
        <v>51</v>
      </c>
      <c r="C24" s="49">
        <f>AVERAGE('22.07 SentemaRBT-Sentema'!C24,'23.07 Sentema RBT-Sentema'!C24,'24.07 SentemaRBT-Sentema'!C24,'25.07 SentemaRBT-Sentema'!C24,'26.07 SentemaRBT-Sentema-24h'!C24,'27.07 SentemaRBT-Sentema-24h'!C24,'28.07 SentemaRBT-Sentema'!C24)</f>
        <v>10.428571428571429</v>
      </c>
      <c r="D24" s="49">
        <f>AVERAGE('22.07 SentemaRBT-Sentema'!D24,'23.07 Sentema RBT-Sentema'!D24,'24.07 SentemaRBT-Sentema'!D24,'25.07 SentemaRBT-Sentema'!D24,'26.07 SentemaRBT-Sentema-24h'!D24,'27.07 SentemaRBT-Sentema-24h'!D24,'28.07 SentemaRBT-Sentema'!D24)</f>
        <v>3</v>
      </c>
      <c r="E24" s="49">
        <f>AVERAGE('22.07 SentemaRBT-Sentema'!E24,'23.07 Sentema RBT-Sentema'!E24,'24.07 SentemaRBT-Sentema'!E24,'25.07 SentemaRBT-Sentema'!E24,'26.07 SentemaRBT-Sentema-24h'!E24,'27.07 SentemaRBT-Sentema-24h'!E24,'28.07 SentemaRBT-Sentema'!E24)</f>
        <v>2.7142857142857144</v>
      </c>
      <c r="F24" s="49">
        <f>AVERAGE('22.07 SentemaRBT-Sentema'!F24,'23.07 Sentema RBT-Sentema'!F24,'24.07 SentemaRBT-Sentema'!F24,'25.07 SentemaRBT-Sentema'!F24,'26.07 SentemaRBT-Sentema-24h'!F24,'27.07 SentemaRBT-Sentema-24h'!F24,'28.07 SentemaRBT-Sentema'!F24)</f>
        <v>11.571428571428571</v>
      </c>
      <c r="G24" s="49">
        <f>AVERAGE('22.07 SentemaRBT-Sentema'!G24,'23.07 Sentema RBT-Sentema'!G24,'24.07 SentemaRBT-Sentema'!G24,'25.07 SentemaRBT-Sentema'!G24,'26.07 SentemaRBT-Sentema-24h'!G24,'27.07 SentemaRBT-Sentema-24h'!G24,'28.07 SentemaRBT-Sentema'!G24)</f>
        <v>0</v>
      </c>
      <c r="H24" s="49">
        <f>AVERAGE('22.07 SentemaRBT-Sentema'!H24,'23.07 Sentema RBT-Sentema'!H24,'24.07 SentemaRBT-Sentema'!H24,'25.07 SentemaRBT-Sentema'!H24,'26.07 SentemaRBT-Sentema-24h'!H24,'27.07 SentemaRBT-Sentema-24h'!H24,'28.07 SentemaRBT-Sentema'!H24)</f>
        <v>0</v>
      </c>
      <c r="I24" s="49">
        <f>AVERAGE('22.07 SentemaRBT-Sentema'!I24,'23.07 Sentema RBT-Sentema'!I24,'24.07 SentemaRBT-Sentema'!I24,'25.07 SentemaRBT-Sentema'!I24,'26.07 SentemaRBT-Sentema-24h'!I24,'27.07 SentemaRBT-Sentema-24h'!I24,'28.07 SentemaRBT-Sentema'!I24)</f>
        <v>3.8571428571428572</v>
      </c>
      <c r="J24" s="49">
        <f>AVERAGE('22.07 SentemaRBT-Sentema'!J24,'23.07 Sentema RBT-Sentema'!J24,'24.07 SentemaRBT-Sentema'!J24,'25.07 SentemaRBT-Sentema'!J24,'26.07 SentemaRBT-Sentema-24h'!J24,'27.07 SentemaRBT-Sentema-24h'!J24,'28.07 SentemaRBT-Sentema'!J24)</f>
        <v>0.8571428571428571</v>
      </c>
      <c r="K24" s="49">
        <f>AVERAGE('22.07 SentemaRBT-Sentema'!K24,'23.07 Sentema RBT-Sentema'!K24,'24.07 SentemaRBT-Sentema'!K24,'25.07 SentemaRBT-Sentema'!K24,'26.07 SentemaRBT-Sentema-24h'!K24,'27.07 SentemaRBT-Sentema-24h'!K24,'28.07 SentemaRBT-Sentema'!K24)</f>
        <v>0.14285714285714285</v>
      </c>
      <c r="L24" s="49">
        <f>AVERAGE('22.07 SentemaRBT-Sentema'!L24,'23.07 Sentema RBT-Sentema'!L24,'24.07 SentemaRBT-Sentema'!L24,'25.07 SentemaRBT-Sentema'!L24,'26.07 SentemaRBT-Sentema-24h'!L24,'27.07 SentemaRBT-Sentema-24h'!L24,'28.07 SentemaRBT-Sentema'!L24)</f>
        <v>0.14285714285714285</v>
      </c>
      <c r="M24" s="49">
        <f>AVERAGE('22.07 SentemaRBT-Sentema'!M24,'23.07 Sentema RBT-Sentema'!M24,'24.07 SentemaRBT-Sentema'!M24,'25.07 SentemaRBT-Sentema'!M24,'26.07 SentemaRBT-Sentema-24h'!M24,'27.07 SentemaRBT-Sentema-24h'!M24,'28.07 SentemaRBT-Sentema'!M24)</f>
        <v>50.571428571428569</v>
      </c>
      <c r="N24" s="49">
        <f>AVERAGE('22.07 SentemaRBT-Sentema'!N24,'23.07 Sentema RBT-Sentema'!N24,'24.07 SentemaRBT-Sentema'!N24,'25.07 SentemaRBT-Sentema'!N24,'26.07 SentemaRBT-Sentema-24h'!N24,'27.07 SentemaRBT-Sentema-24h'!N24,'28.07 SentemaRBT-Sentema'!N24)</f>
        <v>0.14285714285714285</v>
      </c>
      <c r="O24" s="15">
        <f t="shared" si="0"/>
        <v>32.857142857142868</v>
      </c>
      <c r="P24" s="15">
        <f t="shared" si="1"/>
        <v>83.428571428571431</v>
      </c>
      <c r="R24" s="1" t="s">
        <v>148</v>
      </c>
      <c r="S24" s="34">
        <f>SUM(C66:C69)</f>
        <v>61</v>
      </c>
      <c r="T24" s="34">
        <f t="shared" ref="T24:AF24" si="16">SUM(D66:D69)</f>
        <v>11</v>
      </c>
      <c r="U24" s="34">
        <f t="shared" si="16"/>
        <v>7.5</v>
      </c>
      <c r="V24" s="34">
        <f t="shared" si="16"/>
        <v>41</v>
      </c>
      <c r="W24" s="34">
        <f t="shared" si="16"/>
        <v>2.5</v>
      </c>
      <c r="X24" s="34">
        <f t="shared" si="16"/>
        <v>0</v>
      </c>
      <c r="Y24" s="34">
        <f t="shared" si="16"/>
        <v>6.5</v>
      </c>
      <c r="Z24" s="34">
        <f t="shared" si="16"/>
        <v>1.5</v>
      </c>
      <c r="AA24" s="34">
        <f t="shared" si="16"/>
        <v>3</v>
      </c>
      <c r="AB24" s="34">
        <f t="shared" si="16"/>
        <v>0</v>
      </c>
      <c r="AC24" s="34">
        <f t="shared" si="16"/>
        <v>148</v>
      </c>
      <c r="AD24" s="34">
        <f t="shared" si="16"/>
        <v>0</v>
      </c>
      <c r="AE24" s="31">
        <f t="shared" si="16"/>
        <v>134</v>
      </c>
      <c r="AF24" s="31">
        <f t="shared" si="16"/>
        <v>282</v>
      </c>
    </row>
    <row r="25" spans="2:32" ht="23.1" customHeight="1" x14ac:dyDescent="0.25">
      <c r="B25" s="23" t="s">
        <v>52</v>
      </c>
      <c r="C25" s="49">
        <f>AVERAGE('22.07 SentemaRBT-Sentema'!C25,'23.07 Sentema RBT-Sentema'!C25,'24.07 SentemaRBT-Sentema'!C25,'25.07 SentemaRBT-Sentema'!C25,'26.07 SentemaRBT-Sentema-24h'!C25,'27.07 SentemaRBT-Sentema-24h'!C25,'28.07 SentemaRBT-Sentema'!C25)</f>
        <v>9.1428571428571423</v>
      </c>
      <c r="D25" s="49">
        <f>AVERAGE('22.07 SentemaRBT-Sentema'!D25,'23.07 Sentema RBT-Sentema'!D25,'24.07 SentemaRBT-Sentema'!D25,'25.07 SentemaRBT-Sentema'!D25,'26.07 SentemaRBT-Sentema-24h'!D25,'27.07 SentemaRBT-Sentema-24h'!D25,'28.07 SentemaRBT-Sentema'!D25)</f>
        <v>0.8571428571428571</v>
      </c>
      <c r="E25" s="49">
        <f>AVERAGE('22.07 SentemaRBT-Sentema'!E25,'23.07 Sentema RBT-Sentema'!E25,'24.07 SentemaRBT-Sentema'!E25,'25.07 SentemaRBT-Sentema'!E25,'26.07 SentemaRBT-Sentema-24h'!E25,'27.07 SentemaRBT-Sentema-24h'!E25,'28.07 SentemaRBT-Sentema'!E25)</f>
        <v>3.8571428571428572</v>
      </c>
      <c r="F25" s="49">
        <f>AVERAGE('22.07 SentemaRBT-Sentema'!F25,'23.07 Sentema RBT-Sentema'!F25,'24.07 SentemaRBT-Sentema'!F25,'25.07 SentemaRBT-Sentema'!F25,'26.07 SentemaRBT-Sentema-24h'!F25,'27.07 SentemaRBT-Sentema-24h'!F25,'28.07 SentemaRBT-Sentema'!F25)</f>
        <v>10.285714285714286</v>
      </c>
      <c r="G25" s="49">
        <f>AVERAGE('22.07 SentemaRBT-Sentema'!G25,'23.07 Sentema RBT-Sentema'!G25,'24.07 SentemaRBT-Sentema'!G25,'25.07 SentemaRBT-Sentema'!G25,'26.07 SentemaRBT-Sentema-24h'!G25,'27.07 SentemaRBT-Sentema-24h'!G25,'28.07 SentemaRBT-Sentema'!G25)</f>
        <v>0</v>
      </c>
      <c r="H25" s="49">
        <f>AVERAGE('22.07 SentemaRBT-Sentema'!H25,'23.07 Sentema RBT-Sentema'!H25,'24.07 SentemaRBT-Sentema'!H25,'25.07 SentemaRBT-Sentema'!H25,'26.07 SentemaRBT-Sentema-24h'!H25,'27.07 SentemaRBT-Sentema-24h'!H25,'28.07 SentemaRBT-Sentema'!H25)</f>
        <v>0</v>
      </c>
      <c r="I25" s="49">
        <f>AVERAGE('22.07 SentemaRBT-Sentema'!I25,'23.07 Sentema RBT-Sentema'!I25,'24.07 SentemaRBT-Sentema'!I25,'25.07 SentemaRBT-Sentema'!I25,'26.07 SentemaRBT-Sentema-24h'!I25,'27.07 SentemaRBT-Sentema-24h'!I25,'28.07 SentemaRBT-Sentema'!I25)</f>
        <v>4.5714285714285712</v>
      </c>
      <c r="J25" s="49">
        <f>AVERAGE('22.07 SentemaRBT-Sentema'!J25,'23.07 Sentema RBT-Sentema'!J25,'24.07 SentemaRBT-Sentema'!J25,'25.07 SentemaRBT-Sentema'!J25,'26.07 SentemaRBT-Sentema-24h'!J25,'27.07 SentemaRBT-Sentema-24h'!J25,'28.07 SentemaRBT-Sentema'!J25)</f>
        <v>1.2857142857142858</v>
      </c>
      <c r="K25" s="49">
        <f>AVERAGE('22.07 SentemaRBT-Sentema'!K25,'23.07 Sentema RBT-Sentema'!K25,'24.07 SentemaRBT-Sentema'!K25,'25.07 SentemaRBT-Sentema'!K25,'26.07 SentemaRBT-Sentema-24h'!K25,'27.07 SentemaRBT-Sentema-24h'!K25,'28.07 SentemaRBT-Sentema'!K25)</f>
        <v>0.5714285714285714</v>
      </c>
      <c r="L25" s="49">
        <f>AVERAGE('22.07 SentemaRBT-Sentema'!L25,'23.07 Sentema RBT-Sentema'!L25,'24.07 SentemaRBT-Sentema'!L25,'25.07 SentemaRBT-Sentema'!L25,'26.07 SentemaRBT-Sentema-24h'!L25,'27.07 SentemaRBT-Sentema-24h'!L25,'28.07 SentemaRBT-Sentema'!L25)</f>
        <v>0.14285714285714285</v>
      </c>
      <c r="M25" s="49">
        <f>AVERAGE('22.07 SentemaRBT-Sentema'!M25,'23.07 Sentema RBT-Sentema'!M25,'24.07 SentemaRBT-Sentema'!M25,'25.07 SentemaRBT-Sentema'!M25,'26.07 SentemaRBT-Sentema-24h'!M25,'27.07 SentemaRBT-Sentema-24h'!M25,'28.07 SentemaRBT-Sentema'!M25)</f>
        <v>42.714285714285715</v>
      </c>
      <c r="N25" s="49">
        <f>AVERAGE('22.07 SentemaRBT-Sentema'!N25,'23.07 Sentema RBT-Sentema'!N25,'24.07 SentemaRBT-Sentema'!N25,'25.07 SentemaRBT-Sentema'!N25,'26.07 SentemaRBT-Sentema-24h'!N25,'27.07 SentemaRBT-Sentema-24h'!N25,'28.07 SentemaRBT-Sentema'!N25)</f>
        <v>0</v>
      </c>
      <c r="O25" s="15">
        <f t="shared" si="0"/>
        <v>30.714285714285715</v>
      </c>
      <c r="P25" s="15">
        <f t="shared" si="1"/>
        <v>73.428571428571431</v>
      </c>
      <c r="R25" s="1" t="s">
        <v>149</v>
      </c>
      <c r="S25" s="34">
        <f>SUM(C70:C73)</f>
        <v>51</v>
      </c>
      <c r="T25" s="34">
        <f t="shared" ref="T25:AF25" si="17">SUM(D70:D73)</f>
        <v>7</v>
      </c>
      <c r="U25" s="34">
        <f t="shared" si="17"/>
        <v>3</v>
      </c>
      <c r="V25" s="34">
        <f t="shared" si="17"/>
        <v>25</v>
      </c>
      <c r="W25" s="34">
        <f t="shared" si="17"/>
        <v>0.5</v>
      </c>
      <c r="X25" s="34">
        <f t="shared" si="17"/>
        <v>0</v>
      </c>
      <c r="Y25" s="34">
        <f t="shared" si="17"/>
        <v>3.5</v>
      </c>
      <c r="Z25" s="34">
        <f t="shared" si="17"/>
        <v>1.5</v>
      </c>
      <c r="AA25" s="34">
        <f t="shared" si="17"/>
        <v>0.5</v>
      </c>
      <c r="AB25" s="34">
        <f t="shared" si="17"/>
        <v>0</v>
      </c>
      <c r="AC25" s="34">
        <f t="shared" si="17"/>
        <v>75.5</v>
      </c>
      <c r="AD25" s="34">
        <f t="shared" si="17"/>
        <v>0</v>
      </c>
      <c r="AE25" s="31">
        <f t="shared" si="17"/>
        <v>92</v>
      </c>
      <c r="AF25" s="31">
        <f t="shared" si="17"/>
        <v>167.5</v>
      </c>
    </row>
    <row r="26" spans="2:32" ht="23.1" customHeight="1" x14ac:dyDescent="0.25">
      <c r="B26" s="23" t="s">
        <v>53</v>
      </c>
      <c r="C26" s="49">
        <f>AVERAGE('22.07 SentemaRBT-Sentema'!C26,'23.07 Sentema RBT-Sentema'!C26,'24.07 SentemaRBT-Sentema'!C26,'25.07 SentemaRBT-Sentema'!C26,'26.07 SentemaRBT-Sentema-24h'!C26,'27.07 SentemaRBT-Sentema-24h'!C26,'28.07 SentemaRBT-Sentema'!C26)</f>
        <v>10</v>
      </c>
      <c r="D26" s="49">
        <f>AVERAGE('22.07 SentemaRBT-Sentema'!D26,'23.07 Sentema RBT-Sentema'!D26,'24.07 SentemaRBT-Sentema'!D26,'25.07 SentemaRBT-Sentema'!D26,'26.07 SentemaRBT-Sentema-24h'!D26,'27.07 SentemaRBT-Sentema-24h'!D26,'28.07 SentemaRBT-Sentema'!D26)</f>
        <v>3.1428571428571428</v>
      </c>
      <c r="E26" s="49">
        <f>AVERAGE('22.07 SentemaRBT-Sentema'!E26,'23.07 Sentema RBT-Sentema'!E26,'24.07 SentemaRBT-Sentema'!E26,'25.07 SentemaRBT-Sentema'!E26,'26.07 SentemaRBT-Sentema-24h'!E26,'27.07 SentemaRBT-Sentema-24h'!E26,'28.07 SentemaRBT-Sentema'!E26)</f>
        <v>2.1428571428571428</v>
      </c>
      <c r="F26" s="49">
        <f>AVERAGE('22.07 SentemaRBT-Sentema'!F26,'23.07 Sentema RBT-Sentema'!F26,'24.07 SentemaRBT-Sentema'!F26,'25.07 SentemaRBT-Sentema'!F26,'26.07 SentemaRBT-Sentema-24h'!F26,'27.07 SentemaRBT-Sentema-24h'!F26,'28.07 SentemaRBT-Sentema'!F26)</f>
        <v>9.5714285714285712</v>
      </c>
      <c r="G26" s="49">
        <f>AVERAGE('22.07 SentemaRBT-Sentema'!G26,'23.07 Sentema RBT-Sentema'!G26,'24.07 SentemaRBT-Sentema'!G26,'25.07 SentemaRBT-Sentema'!G26,'26.07 SentemaRBT-Sentema-24h'!G26,'27.07 SentemaRBT-Sentema-24h'!G26,'28.07 SentemaRBT-Sentema'!G26)</f>
        <v>0.14285714285714285</v>
      </c>
      <c r="H26" s="49">
        <f>AVERAGE('22.07 SentemaRBT-Sentema'!H26,'23.07 Sentema RBT-Sentema'!H26,'24.07 SentemaRBT-Sentema'!H26,'25.07 SentemaRBT-Sentema'!H26,'26.07 SentemaRBT-Sentema-24h'!H26,'27.07 SentemaRBT-Sentema-24h'!H26,'28.07 SentemaRBT-Sentema'!H26)</f>
        <v>0</v>
      </c>
      <c r="I26" s="49">
        <f>AVERAGE('22.07 SentemaRBT-Sentema'!I26,'23.07 Sentema RBT-Sentema'!I26,'24.07 SentemaRBT-Sentema'!I26,'25.07 SentemaRBT-Sentema'!I26,'26.07 SentemaRBT-Sentema-24h'!I26,'27.07 SentemaRBT-Sentema-24h'!I26,'28.07 SentemaRBT-Sentema'!I26)</f>
        <v>4</v>
      </c>
      <c r="J26" s="49">
        <f>AVERAGE('22.07 SentemaRBT-Sentema'!J26,'23.07 Sentema RBT-Sentema'!J26,'24.07 SentemaRBT-Sentema'!J26,'25.07 SentemaRBT-Sentema'!J26,'26.07 SentemaRBT-Sentema-24h'!J26,'27.07 SentemaRBT-Sentema-24h'!J26,'28.07 SentemaRBT-Sentema'!J26)</f>
        <v>1.4285714285714286</v>
      </c>
      <c r="K26" s="49">
        <f>AVERAGE('22.07 SentemaRBT-Sentema'!K26,'23.07 Sentema RBT-Sentema'!K26,'24.07 SentemaRBT-Sentema'!K26,'25.07 SentemaRBT-Sentema'!K26,'26.07 SentemaRBT-Sentema-24h'!K26,'27.07 SentemaRBT-Sentema-24h'!K26,'28.07 SentemaRBT-Sentema'!K26)</f>
        <v>0.7142857142857143</v>
      </c>
      <c r="L26" s="49">
        <f>AVERAGE('22.07 SentemaRBT-Sentema'!L26,'23.07 Sentema RBT-Sentema'!L26,'24.07 SentemaRBT-Sentema'!L26,'25.07 SentemaRBT-Sentema'!L26,'26.07 SentemaRBT-Sentema-24h'!L26,'27.07 SentemaRBT-Sentema-24h'!L26,'28.07 SentemaRBT-Sentema'!L26)</f>
        <v>0</v>
      </c>
      <c r="M26" s="49">
        <f>AVERAGE('22.07 SentemaRBT-Sentema'!M26,'23.07 Sentema RBT-Sentema'!M26,'24.07 SentemaRBT-Sentema'!M26,'25.07 SentemaRBT-Sentema'!M26,'26.07 SentemaRBT-Sentema-24h'!M26,'27.07 SentemaRBT-Sentema-24h'!M26,'28.07 SentemaRBT-Sentema'!M26)</f>
        <v>50.285714285714285</v>
      </c>
      <c r="N26" s="49">
        <f>AVERAGE('22.07 SentemaRBT-Sentema'!N26,'23.07 Sentema RBT-Sentema'!N26,'24.07 SentemaRBT-Sentema'!N26,'25.07 SentemaRBT-Sentema'!N26,'26.07 SentemaRBT-Sentema-24h'!N26,'27.07 SentemaRBT-Sentema-24h'!N26,'28.07 SentemaRBT-Sentema'!N26)</f>
        <v>0</v>
      </c>
      <c r="O26" s="15">
        <f t="shared" si="0"/>
        <v>31.142857142857139</v>
      </c>
      <c r="P26" s="15">
        <f t="shared" si="1"/>
        <v>81.428571428571416</v>
      </c>
      <c r="R26" s="1" t="s">
        <v>150</v>
      </c>
      <c r="S26" s="34">
        <f>SUM(C74:C77)</f>
        <v>29.5</v>
      </c>
      <c r="T26" s="34">
        <f t="shared" ref="T26:AF26" si="18">SUM(D74:D77)</f>
        <v>3.5</v>
      </c>
      <c r="U26" s="34">
        <f t="shared" si="18"/>
        <v>3</v>
      </c>
      <c r="V26" s="34">
        <f t="shared" si="18"/>
        <v>17.5</v>
      </c>
      <c r="W26" s="34">
        <f t="shared" si="18"/>
        <v>0.5</v>
      </c>
      <c r="X26" s="34">
        <f t="shared" si="18"/>
        <v>0</v>
      </c>
      <c r="Y26" s="34">
        <f t="shared" si="18"/>
        <v>2.5</v>
      </c>
      <c r="Z26" s="34">
        <f t="shared" si="18"/>
        <v>1</v>
      </c>
      <c r="AA26" s="34">
        <f t="shared" si="18"/>
        <v>0.5</v>
      </c>
      <c r="AB26" s="34">
        <f t="shared" si="18"/>
        <v>1</v>
      </c>
      <c r="AC26" s="34">
        <f t="shared" si="18"/>
        <v>46</v>
      </c>
      <c r="AD26" s="34">
        <f t="shared" si="18"/>
        <v>0</v>
      </c>
      <c r="AE26" s="31">
        <f t="shared" si="18"/>
        <v>59</v>
      </c>
      <c r="AF26" s="31">
        <f t="shared" si="18"/>
        <v>105</v>
      </c>
    </row>
    <row r="27" spans="2:32" ht="23.1" customHeight="1" x14ac:dyDescent="0.25">
      <c r="B27" s="23" t="s">
        <v>54</v>
      </c>
      <c r="C27" s="49">
        <f>AVERAGE('22.07 SentemaRBT-Sentema'!C27,'23.07 Sentema RBT-Sentema'!C27,'24.07 SentemaRBT-Sentema'!C27,'25.07 SentemaRBT-Sentema'!C27,'26.07 SentemaRBT-Sentema-24h'!C27,'27.07 SentemaRBT-Sentema-24h'!C27,'28.07 SentemaRBT-Sentema'!C27)</f>
        <v>17.857142857142858</v>
      </c>
      <c r="D27" s="49">
        <f>AVERAGE('22.07 SentemaRBT-Sentema'!D27,'23.07 Sentema RBT-Sentema'!D27,'24.07 SentemaRBT-Sentema'!D27,'25.07 SentemaRBT-Sentema'!D27,'26.07 SentemaRBT-Sentema-24h'!D27,'27.07 SentemaRBT-Sentema-24h'!D27,'28.07 SentemaRBT-Sentema'!D27)</f>
        <v>2.1428571428571428</v>
      </c>
      <c r="E27" s="49">
        <f>AVERAGE('22.07 SentemaRBT-Sentema'!E27,'23.07 Sentema RBT-Sentema'!E27,'24.07 SentemaRBT-Sentema'!E27,'25.07 SentemaRBT-Sentema'!E27,'26.07 SentemaRBT-Sentema-24h'!E27,'27.07 SentemaRBT-Sentema-24h'!E27,'28.07 SentemaRBT-Sentema'!E27)</f>
        <v>3.1428571428571428</v>
      </c>
      <c r="F27" s="49">
        <f>AVERAGE('22.07 SentemaRBT-Sentema'!F27,'23.07 Sentema RBT-Sentema'!F27,'24.07 SentemaRBT-Sentema'!F27,'25.07 SentemaRBT-Sentema'!F27,'26.07 SentemaRBT-Sentema-24h'!F27,'27.07 SentemaRBT-Sentema-24h'!F27,'28.07 SentemaRBT-Sentema'!F27)</f>
        <v>13.428571428571429</v>
      </c>
      <c r="G27" s="49">
        <f>AVERAGE('22.07 SentemaRBT-Sentema'!G27,'23.07 Sentema RBT-Sentema'!G27,'24.07 SentemaRBT-Sentema'!G27,'25.07 SentemaRBT-Sentema'!G27,'26.07 SentemaRBT-Sentema-24h'!G27,'27.07 SentemaRBT-Sentema-24h'!G27,'28.07 SentemaRBT-Sentema'!G27)</f>
        <v>0</v>
      </c>
      <c r="H27" s="49">
        <f>AVERAGE('22.07 SentemaRBT-Sentema'!H27,'23.07 Sentema RBT-Sentema'!H27,'24.07 SentemaRBT-Sentema'!H27,'25.07 SentemaRBT-Sentema'!H27,'26.07 SentemaRBT-Sentema-24h'!H27,'27.07 SentemaRBT-Sentema-24h'!H27,'28.07 SentemaRBT-Sentema'!H27)</f>
        <v>0.14285714285714285</v>
      </c>
      <c r="I27" s="49">
        <f>AVERAGE('22.07 SentemaRBT-Sentema'!I27,'23.07 Sentema RBT-Sentema'!I27,'24.07 SentemaRBT-Sentema'!I27,'25.07 SentemaRBT-Sentema'!I27,'26.07 SentemaRBT-Sentema-24h'!I27,'27.07 SentemaRBT-Sentema-24h'!I27,'28.07 SentemaRBT-Sentema'!I27)</f>
        <v>4.4285714285714288</v>
      </c>
      <c r="J27" s="49">
        <f>AVERAGE('22.07 SentemaRBT-Sentema'!J27,'23.07 Sentema RBT-Sentema'!J27,'24.07 SentemaRBT-Sentema'!J27,'25.07 SentemaRBT-Sentema'!J27,'26.07 SentemaRBT-Sentema-24h'!J27,'27.07 SentemaRBT-Sentema-24h'!J27,'28.07 SentemaRBT-Sentema'!J27)</f>
        <v>1</v>
      </c>
      <c r="K27" s="49">
        <f>AVERAGE('22.07 SentemaRBT-Sentema'!K27,'23.07 Sentema RBT-Sentema'!K27,'24.07 SentemaRBT-Sentema'!K27,'25.07 SentemaRBT-Sentema'!K27,'26.07 SentemaRBT-Sentema-24h'!K27,'27.07 SentemaRBT-Sentema-24h'!K27,'28.07 SentemaRBT-Sentema'!K27)</f>
        <v>0.14285714285714285</v>
      </c>
      <c r="L27" s="49">
        <f>AVERAGE('22.07 SentemaRBT-Sentema'!L27,'23.07 Sentema RBT-Sentema'!L27,'24.07 SentemaRBT-Sentema'!L27,'25.07 SentemaRBT-Sentema'!L27,'26.07 SentemaRBT-Sentema-24h'!L27,'27.07 SentemaRBT-Sentema-24h'!L27,'28.07 SentemaRBT-Sentema'!L27)</f>
        <v>0</v>
      </c>
      <c r="M27" s="49">
        <f>AVERAGE('22.07 SentemaRBT-Sentema'!M27,'23.07 Sentema RBT-Sentema'!M27,'24.07 SentemaRBT-Sentema'!M27,'25.07 SentemaRBT-Sentema'!M27,'26.07 SentemaRBT-Sentema-24h'!M27,'27.07 SentemaRBT-Sentema-24h'!M27,'28.07 SentemaRBT-Sentema'!M27)</f>
        <v>53.142857142857146</v>
      </c>
      <c r="N27" s="49">
        <f>AVERAGE('22.07 SentemaRBT-Sentema'!N27,'23.07 Sentema RBT-Sentema'!N27,'24.07 SentemaRBT-Sentema'!N27,'25.07 SentemaRBT-Sentema'!N27,'26.07 SentemaRBT-Sentema-24h'!N27,'27.07 SentemaRBT-Sentema-24h'!N27,'28.07 SentemaRBT-Sentema'!N27)</f>
        <v>0</v>
      </c>
      <c r="O27" s="15">
        <f t="shared" si="0"/>
        <v>42.285714285714292</v>
      </c>
      <c r="P27" s="15">
        <f t="shared" si="1"/>
        <v>95.428571428571445</v>
      </c>
      <c r="R27" s="1" t="s">
        <v>151</v>
      </c>
      <c r="S27" s="34">
        <f>SUM(C78:C81)</f>
        <v>12.5</v>
      </c>
      <c r="T27" s="34">
        <f t="shared" ref="T27:AF27" si="19">SUM(D78:D81)</f>
        <v>1</v>
      </c>
      <c r="U27" s="34">
        <f t="shared" si="19"/>
        <v>1</v>
      </c>
      <c r="V27" s="34">
        <f t="shared" si="19"/>
        <v>2.5</v>
      </c>
      <c r="W27" s="34">
        <f t="shared" si="19"/>
        <v>0</v>
      </c>
      <c r="X27" s="34">
        <f t="shared" si="19"/>
        <v>1.5</v>
      </c>
      <c r="Y27" s="34">
        <f t="shared" si="19"/>
        <v>2</v>
      </c>
      <c r="Z27" s="34">
        <f t="shared" si="19"/>
        <v>1.5</v>
      </c>
      <c r="AA27" s="34">
        <f t="shared" si="19"/>
        <v>0.5</v>
      </c>
      <c r="AB27" s="34">
        <f t="shared" si="19"/>
        <v>0.5</v>
      </c>
      <c r="AC27" s="34">
        <f t="shared" si="19"/>
        <v>20.5</v>
      </c>
      <c r="AD27" s="34">
        <f t="shared" si="19"/>
        <v>0</v>
      </c>
      <c r="AE27" s="31">
        <f t="shared" si="19"/>
        <v>23</v>
      </c>
      <c r="AF27" s="31">
        <f t="shared" si="19"/>
        <v>43.5</v>
      </c>
    </row>
    <row r="28" spans="2:32" ht="23.1" customHeight="1" x14ac:dyDescent="0.25">
      <c r="B28" s="23" t="s">
        <v>55</v>
      </c>
      <c r="C28" s="49">
        <f>AVERAGE('22.07 SentemaRBT-Sentema'!C28,'23.07 Sentema RBT-Sentema'!C28,'24.07 SentemaRBT-Sentema'!C28,'25.07 SentemaRBT-Sentema'!C28,'26.07 SentemaRBT-Sentema-24h'!C28,'27.07 SentemaRBT-Sentema-24h'!C28,'28.07 SentemaRBT-Sentema'!C28)</f>
        <v>11.857142857142858</v>
      </c>
      <c r="D28" s="49">
        <f>AVERAGE('22.07 SentemaRBT-Sentema'!D28,'23.07 Sentema RBT-Sentema'!D28,'24.07 SentemaRBT-Sentema'!D28,'25.07 SentemaRBT-Sentema'!D28,'26.07 SentemaRBT-Sentema-24h'!D28,'27.07 SentemaRBT-Sentema-24h'!D28,'28.07 SentemaRBT-Sentema'!D28)</f>
        <v>2.5714285714285716</v>
      </c>
      <c r="E28" s="49">
        <f>AVERAGE('22.07 SentemaRBT-Sentema'!E28,'23.07 Sentema RBT-Sentema'!E28,'24.07 SentemaRBT-Sentema'!E28,'25.07 SentemaRBT-Sentema'!E28,'26.07 SentemaRBT-Sentema-24h'!E28,'27.07 SentemaRBT-Sentema-24h'!E28,'28.07 SentemaRBT-Sentema'!E28)</f>
        <v>3.7142857142857144</v>
      </c>
      <c r="F28" s="49">
        <f>AVERAGE('22.07 SentemaRBT-Sentema'!F28,'23.07 Sentema RBT-Sentema'!F28,'24.07 SentemaRBT-Sentema'!F28,'25.07 SentemaRBT-Sentema'!F28,'26.07 SentemaRBT-Sentema-24h'!F28,'27.07 SentemaRBT-Sentema-24h'!F28,'28.07 SentemaRBT-Sentema'!F28)</f>
        <v>11.714285714285714</v>
      </c>
      <c r="G28" s="49">
        <f>AVERAGE('22.07 SentemaRBT-Sentema'!G28,'23.07 Sentema RBT-Sentema'!G28,'24.07 SentemaRBT-Sentema'!G28,'25.07 SentemaRBT-Sentema'!G28,'26.07 SentemaRBT-Sentema-24h'!G28,'27.07 SentemaRBT-Sentema-24h'!G28,'28.07 SentemaRBT-Sentema'!G28)</f>
        <v>0.14285714285714285</v>
      </c>
      <c r="H28" s="49">
        <f>AVERAGE('22.07 SentemaRBT-Sentema'!H28,'23.07 Sentema RBT-Sentema'!H28,'24.07 SentemaRBT-Sentema'!H28,'25.07 SentemaRBT-Sentema'!H28,'26.07 SentemaRBT-Sentema-24h'!H28,'27.07 SentemaRBT-Sentema-24h'!H28,'28.07 SentemaRBT-Sentema'!H28)</f>
        <v>0.14285714285714285</v>
      </c>
      <c r="I28" s="49">
        <f>AVERAGE('22.07 SentemaRBT-Sentema'!I28,'23.07 Sentema RBT-Sentema'!I28,'24.07 SentemaRBT-Sentema'!I28,'25.07 SentemaRBT-Sentema'!I28,'26.07 SentemaRBT-Sentema-24h'!I28,'27.07 SentemaRBT-Sentema-24h'!I28,'28.07 SentemaRBT-Sentema'!I28)</f>
        <v>6.4285714285714288</v>
      </c>
      <c r="J28" s="49">
        <f>AVERAGE('22.07 SentemaRBT-Sentema'!J28,'23.07 Sentema RBT-Sentema'!J28,'24.07 SentemaRBT-Sentema'!J28,'25.07 SentemaRBT-Sentema'!J28,'26.07 SentemaRBT-Sentema-24h'!J28,'27.07 SentemaRBT-Sentema-24h'!J28,'28.07 SentemaRBT-Sentema'!J28)</f>
        <v>0.7142857142857143</v>
      </c>
      <c r="K28" s="49">
        <f>AVERAGE('22.07 SentemaRBT-Sentema'!K28,'23.07 Sentema RBT-Sentema'!K28,'24.07 SentemaRBT-Sentema'!K28,'25.07 SentemaRBT-Sentema'!K28,'26.07 SentemaRBT-Sentema-24h'!K28,'27.07 SentemaRBT-Sentema-24h'!K28,'28.07 SentemaRBT-Sentema'!K28)</f>
        <v>0.2857142857142857</v>
      </c>
      <c r="L28" s="49">
        <f>AVERAGE('22.07 SentemaRBT-Sentema'!L28,'23.07 Sentema RBT-Sentema'!L28,'24.07 SentemaRBT-Sentema'!L28,'25.07 SentemaRBT-Sentema'!L28,'26.07 SentemaRBT-Sentema-24h'!L28,'27.07 SentemaRBT-Sentema-24h'!L28,'28.07 SentemaRBT-Sentema'!L28)</f>
        <v>0</v>
      </c>
      <c r="M28" s="49">
        <f>AVERAGE('22.07 SentemaRBT-Sentema'!M28,'23.07 Sentema RBT-Sentema'!M28,'24.07 SentemaRBT-Sentema'!M28,'25.07 SentemaRBT-Sentema'!M28,'26.07 SentemaRBT-Sentema-24h'!M28,'27.07 SentemaRBT-Sentema-24h'!M28,'28.07 SentemaRBT-Sentema'!M28)</f>
        <v>53.285714285714285</v>
      </c>
      <c r="N28" s="49">
        <f>AVERAGE('22.07 SentemaRBT-Sentema'!N28,'23.07 Sentema RBT-Sentema'!N28,'24.07 SentemaRBT-Sentema'!N28,'25.07 SentemaRBT-Sentema'!N28,'26.07 SentemaRBT-Sentema-24h'!N28,'27.07 SentemaRBT-Sentema-24h'!N28,'28.07 SentemaRBT-Sentema'!N28)</f>
        <v>0</v>
      </c>
      <c r="O28" s="15">
        <f t="shared" si="0"/>
        <v>37.571428571428569</v>
      </c>
      <c r="P28" s="15">
        <f t="shared" si="1"/>
        <v>90.857142857142861</v>
      </c>
      <c r="R28" s="1" t="s">
        <v>152</v>
      </c>
      <c r="S28" s="34">
        <f>SUM(C82:C85)</f>
        <v>3</v>
      </c>
      <c r="T28" s="34">
        <f t="shared" ref="T28:AF28" si="20">SUM(D82:D85)</f>
        <v>0.5</v>
      </c>
      <c r="U28" s="34">
        <f t="shared" si="20"/>
        <v>1.5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1</v>
      </c>
      <c r="AB28" s="34">
        <f t="shared" si="20"/>
        <v>0.5</v>
      </c>
      <c r="AC28" s="34">
        <f t="shared" si="20"/>
        <v>9.5</v>
      </c>
      <c r="AD28" s="34">
        <f t="shared" si="20"/>
        <v>0</v>
      </c>
      <c r="AE28" s="31">
        <f t="shared" si="20"/>
        <v>8.5</v>
      </c>
      <c r="AF28" s="31">
        <f t="shared" si="20"/>
        <v>18</v>
      </c>
    </row>
    <row r="29" spans="2:32" ht="23.1" customHeight="1" x14ac:dyDescent="0.25">
      <c r="B29" s="23" t="s">
        <v>56</v>
      </c>
      <c r="C29" s="49">
        <f>AVERAGE('22.07 SentemaRBT-Sentema'!C29,'23.07 Sentema RBT-Sentema'!C29,'24.07 SentemaRBT-Sentema'!C29,'25.07 SentemaRBT-Sentema'!C29,'26.07 SentemaRBT-Sentema-24h'!C29,'27.07 SentemaRBT-Sentema-24h'!C29,'28.07 SentemaRBT-Sentema'!C29)</f>
        <v>9.8571428571428577</v>
      </c>
      <c r="D29" s="49">
        <f>AVERAGE('22.07 SentemaRBT-Sentema'!D29,'23.07 Sentema RBT-Sentema'!D29,'24.07 SentemaRBT-Sentema'!D29,'25.07 SentemaRBT-Sentema'!D29,'26.07 SentemaRBT-Sentema-24h'!D29,'27.07 SentemaRBT-Sentema-24h'!D29,'28.07 SentemaRBT-Sentema'!D29)</f>
        <v>3.1428571428571428</v>
      </c>
      <c r="E29" s="49">
        <f>AVERAGE('22.07 SentemaRBT-Sentema'!E29,'23.07 Sentema RBT-Sentema'!E29,'24.07 SentemaRBT-Sentema'!E29,'25.07 SentemaRBT-Sentema'!E29,'26.07 SentemaRBT-Sentema-24h'!E29,'27.07 SentemaRBT-Sentema-24h'!E29,'28.07 SentemaRBT-Sentema'!E29)</f>
        <v>4</v>
      </c>
      <c r="F29" s="49">
        <f>AVERAGE('22.07 SentemaRBT-Sentema'!F29,'23.07 Sentema RBT-Sentema'!F29,'24.07 SentemaRBT-Sentema'!F29,'25.07 SentemaRBT-Sentema'!F29,'26.07 SentemaRBT-Sentema-24h'!F29,'27.07 SentemaRBT-Sentema-24h'!F29,'28.07 SentemaRBT-Sentema'!F29)</f>
        <v>10.285714285714286</v>
      </c>
      <c r="G29" s="49">
        <f>AVERAGE('22.07 SentemaRBT-Sentema'!G29,'23.07 Sentema RBT-Sentema'!G29,'24.07 SentemaRBT-Sentema'!G29,'25.07 SentemaRBT-Sentema'!G29,'26.07 SentemaRBT-Sentema-24h'!G29,'27.07 SentemaRBT-Sentema-24h'!G29,'28.07 SentemaRBT-Sentema'!G29)</f>
        <v>0</v>
      </c>
      <c r="H29" s="49">
        <f>AVERAGE('22.07 SentemaRBT-Sentema'!H29,'23.07 Sentema RBT-Sentema'!H29,'24.07 SentemaRBT-Sentema'!H29,'25.07 SentemaRBT-Sentema'!H29,'26.07 SentemaRBT-Sentema-24h'!H29,'27.07 SentemaRBT-Sentema-24h'!H29,'28.07 SentemaRBT-Sentema'!H29)</f>
        <v>0</v>
      </c>
      <c r="I29" s="49">
        <f>AVERAGE('22.07 SentemaRBT-Sentema'!I29,'23.07 Sentema RBT-Sentema'!I29,'24.07 SentemaRBT-Sentema'!I29,'25.07 SentemaRBT-Sentema'!I29,'26.07 SentemaRBT-Sentema-24h'!I29,'27.07 SentemaRBT-Sentema-24h'!I29,'28.07 SentemaRBT-Sentema'!I29)</f>
        <v>4</v>
      </c>
      <c r="J29" s="49">
        <f>AVERAGE('22.07 SentemaRBT-Sentema'!J29,'23.07 Sentema RBT-Sentema'!J29,'24.07 SentemaRBT-Sentema'!J29,'25.07 SentemaRBT-Sentema'!J29,'26.07 SentemaRBT-Sentema-24h'!J29,'27.07 SentemaRBT-Sentema-24h'!J29,'28.07 SentemaRBT-Sentema'!J29)</f>
        <v>1.5714285714285714</v>
      </c>
      <c r="K29" s="49">
        <f>AVERAGE('22.07 SentemaRBT-Sentema'!K29,'23.07 Sentema RBT-Sentema'!K29,'24.07 SentemaRBT-Sentema'!K29,'25.07 SentemaRBT-Sentema'!K29,'26.07 SentemaRBT-Sentema-24h'!K29,'27.07 SentemaRBT-Sentema-24h'!K29,'28.07 SentemaRBT-Sentema'!K29)</f>
        <v>0.7142857142857143</v>
      </c>
      <c r="L29" s="49">
        <f>AVERAGE('22.07 SentemaRBT-Sentema'!L29,'23.07 Sentema RBT-Sentema'!L29,'24.07 SentemaRBT-Sentema'!L29,'25.07 SentemaRBT-Sentema'!L29,'26.07 SentemaRBT-Sentema-24h'!L29,'27.07 SentemaRBT-Sentema-24h'!L29,'28.07 SentemaRBT-Sentema'!L29)</f>
        <v>0</v>
      </c>
      <c r="M29" s="49">
        <f>AVERAGE('22.07 SentemaRBT-Sentema'!M29,'23.07 Sentema RBT-Sentema'!M29,'24.07 SentemaRBT-Sentema'!M29,'25.07 SentemaRBT-Sentema'!M29,'26.07 SentemaRBT-Sentema-24h'!M29,'27.07 SentemaRBT-Sentema-24h'!M29,'28.07 SentemaRBT-Sentema'!M29)</f>
        <v>45.714285714285715</v>
      </c>
      <c r="N29" s="49">
        <f>AVERAGE('22.07 SentemaRBT-Sentema'!N29,'23.07 Sentema RBT-Sentema'!N29,'24.07 SentemaRBT-Sentema'!N29,'25.07 SentemaRBT-Sentema'!N29,'26.07 SentemaRBT-Sentema-24h'!N29,'27.07 SentemaRBT-Sentema-24h'!N29,'28.07 SentemaRBT-Sentema'!N29)</f>
        <v>0</v>
      </c>
      <c r="O29" s="15">
        <f t="shared" si="0"/>
        <v>33.571428571428569</v>
      </c>
      <c r="P29" s="15">
        <f t="shared" si="1"/>
        <v>79.285714285714278</v>
      </c>
      <c r="R29" s="1" t="s">
        <v>153</v>
      </c>
      <c r="S29" s="34">
        <f>SUM(C86:C89)</f>
        <v>4</v>
      </c>
      <c r="T29" s="34">
        <f t="shared" ref="T29:AF29" si="21">SUM(D86:D89)</f>
        <v>0</v>
      </c>
      <c r="U29" s="34">
        <f t="shared" si="21"/>
        <v>1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8.5</v>
      </c>
      <c r="AD29" s="34">
        <f t="shared" si="21"/>
        <v>0</v>
      </c>
      <c r="AE29" s="31">
        <f t="shared" si="21"/>
        <v>6.5</v>
      </c>
      <c r="AF29" s="31">
        <f t="shared" si="21"/>
        <v>15</v>
      </c>
    </row>
    <row r="30" spans="2:32" ht="23.1" customHeight="1" x14ac:dyDescent="0.25">
      <c r="B30" s="23" t="s">
        <v>57</v>
      </c>
      <c r="C30" s="49">
        <f>AVERAGE('22.07 SentemaRBT-Sentema'!C30,'23.07 Sentema RBT-Sentema'!C30,'24.07 SentemaRBT-Sentema'!C30,'25.07 SentemaRBT-Sentema'!C30,'26.07 SentemaRBT-Sentema-24h'!C30,'27.07 SentemaRBT-Sentema-24h'!C30,'28.07 SentemaRBT-Sentema'!C30)</f>
        <v>11.285714285714286</v>
      </c>
      <c r="D30" s="49">
        <f>AVERAGE('22.07 SentemaRBT-Sentema'!D30,'23.07 Sentema RBT-Sentema'!D30,'24.07 SentemaRBT-Sentema'!D30,'25.07 SentemaRBT-Sentema'!D30,'26.07 SentemaRBT-Sentema-24h'!D30,'27.07 SentemaRBT-Sentema-24h'!D30,'28.07 SentemaRBT-Sentema'!D30)</f>
        <v>2.2857142857142856</v>
      </c>
      <c r="E30" s="49">
        <f>AVERAGE('22.07 SentemaRBT-Sentema'!E30,'23.07 Sentema RBT-Sentema'!E30,'24.07 SentemaRBT-Sentema'!E30,'25.07 SentemaRBT-Sentema'!E30,'26.07 SentemaRBT-Sentema-24h'!E30,'27.07 SentemaRBT-Sentema-24h'!E30,'28.07 SentemaRBT-Sentema'!E30)</f>
        <v>5.5714285714285712</v>
      </c>
      <c r="F30" s="49">
        <f>AVERAGE('22.07 SentemaRBT-Sentema'!F30,'23.07 Sentema RBT-Sentema'!F30,'24.07 SentemaRBT-Sentema'!F30,'25.07 SentemaRBT-Sentema'!F30,'26.07 SentemaRBT-Sentema-24h'!F30,'27.07 SentemaRBT-Sentema-24h'!F30,'28.07 SentemaRBT-Sentema'!F30)</f>
        <v>11.142857142857142</v>
      </c>
      <c r="G30" s="49">
        <f>AVERAGE('22.07 SentemaRBT-Sentema'!G30,'23.07 Sentema RBT-Sentema'!G30,'24.07 SentemaRBT-Sentema'!G30,'25.07 SentemaRBT-Sentema'!G30,'26.07 SentemaRBT-Sentema-24h'!G30,'27.07 SentemaRBT-Sentema-24h'!G30,'28.07 SentemaRBT-Sentema'!G30)</f>
        <v>0.14285714285714285</v>
      </c>
      <c r="H30" s="49">
        <f>AVERAGE('22.07 SentemaRBT-Sentema'!H30,'23.07 Sentema RBT-Sentema'!H30,'24.07 SentemaRBT-Sentema'!H30,'25.07 SentemaRBT-Sentema'!H30,'26.07 SentemaRBT-Sentema-24h'!H30,'27.07 SentemaRBT-Sentema-24h'!H30,'28.07 SentemaRBT-Sentema'!H30)</f>
        <v>0</v>
      </c>
      <c r="I30" s="49">
        <f>AVERAGE('22.07 SentemaRBT-Sentema'!I30,'23.07 Sentema RBT-Sentema'!I30,'24.07 SentemaRBT-Sentema'!I30,'25.07 SentemaRBT-Sentema'!I30,'26.07 SentemaRBT-Sentema-24h'!I30,'27.07 SentemaRBT-Sentema-24h'!I30,'28.07 SentemaRBT-Sentema'!I30)</f>
        <v>4.2857142857142856</v>
      </c>
      <c r="J30" s="49">
        <f>AVERAGE('22.07 SentemaRBT-Sentema'!J30,'23.07 Sentema RBT-Sentema'!J30,'24.07 SentemaRBT-Sentema'!J30,'25.07 SentemaRBT-Sentema'!J30,'26.07 SentemaRBT-Sentema-24h'!J30,'27.07 SentemaRBT-Sentema-24h'!J30,'28.07 SentemaRBT-Sentema'!J30)</f>
        <v>0.7142857142857143</v>
      </c>
      <c r="K30" s="49">
        <f>AVERAGE('22.07 SentemaRBT-Sentema'!K30,'23.07 Sentema RBT-Sentema'!K30,'24.07 SentemaRBT-Sentema'!K30,'25.07 SentemaRBT-Sentema'!K30,'26.07 SentemaRBT-Sentema-24h'!K30,'27.07 SentemaRBT-Sentema-24h'!K30,'28.07 SentemaRBT-Sentema'!K30)</f>
        <v>1.4285714285714286</v>
      </c>
      <c r="L30" s="49">
        <f>AVERAGE('22.07 SentemaRBT-Sentema'!L30,'23.07 Sentema RBT-Sentema'!L30,'24.07 SentemaRBT-Sentema'!L30,'25.07 SentemaRBT-Sentema'!L30,'26.07 SentemaRBT-Sentema-24h'!L30,'27.07 SentemaRBT-Sentema-24h'!L30,'28.07 SentemaRBT-Sentema'!L30)</f>
        <v>0</v>
      </c>
      <c r="M30" s="49">
        <f>AVERAGE('22.07 SentemaRBT-Sentema'!M30,'23.07 Sentema RBT-Sentema'!M30,'24.07 SentemaRBT-Sentema'!M30,'25.07 SentemaRBT-Sentema'!M30,'26.07 SentemaRBT-Sentema-24h'!M30,'27.07 SentemaRBT-Sentema-24h'!M30,'28.07 SentemaRBT-Sentema'!M30)</f>
        <v>43.571428571428569</v>
      </c>
      <c r="N30" s="49">
        <f>AVERAGE('22.07 SentemaRBT-Sentema'!N30,'23.07 Sentema RBT-Sentema'!N30,'24.07 SentemaRBT-Sentema'!N30,'25.07 SentemaRBT-Sentema'!N30,'26.07 SentemaRBT-Sentema-24h'!N30,'27.07 SentemaRBT-Sentema-24h'!N30,'28.07 SentemaRBT-Sentema'!N30)</f>
        <v>0</v>
      </c>
      <c r="O30" s="15">
        <f t="shared" si="0"/>
        <v>36.857142857142861</v>
      </c>
      <c r="P30" s="15">
        <f t="shared" si="1"/>
        <v>80.428571428571431</v>
      </c>
      <c r="R30" s="1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1.5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1.5</v>
      </c>
      <c r="Z30" s="34">
        <f t="shared" si="22"/>
        <v>0.5</v>
      </c>
      <c r="AA30" s="34">
        <f t="shared" si="22"/>
        <v>2</v>
      </c>
      <c r="AB30" s="34">
        <f t="shared" si="22"/>
        <v>0</v>
      </c>
      <c r="AC30" s="34">
        <f t="shared" si="22"/>
        <v>5.5</v>
      </c>
      <c r="AD30" s="34">
        <f t="shared" si="22"/>
        <v>0</v>
      </c>
      <c r="AE30" s="31">
        <f t="shared" si="22"/>
        <v>8</v>
      </c>
      <c r="AF30" s="31">
        <f t="shared" si="22"/>
        <v>13.5</v>
      </c>
    </row>
    <row r="31" spans="2:32" ht="23.1" customHeight="1" x14ac:dyDescent="0.25">
      <c r="B31" s="24" t="s">
        <v>58</v>
      </c>
      <c r="C31" s="49">
        <f>AVERAGE('22.07 SentemaRBT-Sentema'!C31,'23.07 Sentema RBT-Sentema'!C31,'24.07 SentemaRBT-Sentema'!C31,'25.07 SentemaRBT-Sentema'!C31,'26.07 SentemaRBT-Sentema-24h'!C31,'27.07 SentemaRBT-Sentema-24h'!C31,'28.07 SentemaRBT-Sentema'!C31)</f>
        <v>9.4285714285714288</v>
      </c>
      <c r="D31" s="49">
        <f>AVERAGE('22.07 SentemaRBT-Sentema'!D31,'23.07 Sentema RBT-Sentema'!D31,'24.07 SentemaRBT-Sentema'!D31,'25.07 SentemaRBT-Sentema'!D31,'26.07 SentemaRBT-Sentema-24h'!D31,'27.07 SentemaRBT-Sentema-24h'!D31,'28.07 SentemaRBT-Sentema'!D31)</f>
        <v>2.8571428571428572</v>
      </c>
      <c r="E31" s="49">
        <f>AVERAGE('22.07 SentemaRBT-Sentema'!E31,'23.07 Sentema RBT-Sentema'!E31,'24.07 SentemaRBT-Sentema'!E31,'25.07 SentemaRBT-Sentema'!E31,'26.07 SentemaRBT-Sentema-24h'!E31,'27.07 SentemaRBT-Sentema-24h'!E31,'28.07 SentemaRBT-Sentema'!E31)</f>
        <v>3.7142857142857144</v>
      </c>
      <c r="F31" s="49">
        <f>AVERAGE('22.07 SentemaRBT-Sentema'!F31,'23.07 Sentema RBT-Sentema'!F31,'24.07 SentemaRBT-Sentema'!F31,'25.07 SentemaRBT-Sentema'!F31,'26.07 SentemaRBT-Sentema-24h'!F31,'27.07 SentemaRBT-Sentema-24h'!F31,'28.07 SentemaRBT-Sentema'!F31)</f>
        <v>9.1428571428571423</v>
      </c>
      <c r="G31" s="49">
        <f>AVERAGE('22.07 SentemaRBT-Sentema'!G31,'23.07 Sentema RBT-Sentema'!G31,'24.07 SentemaRBT-Sentema'!G31,'25.07 SentemaRBT-Sentema'!G31,'26.07 SentemaRBT-Sentema-24h'!G31,'27.07 SentemaRBT-Sentema-24h'!G31,'28.07 SentemaRBT-Sentema'!G31)</f>
        <v>1.5714285714285714</v>
      </c>
      <c r="H31" s="49">
        <f>AVERAGE('22.07 SentemaRBT-Sentema'!H31,'23.07 Sentema RBT-Sentema'!H31,'24.07 SentemaRBT-Sentema'!H31,'25.07 SentemaRBT-Sentema'!H31,'26.07 SentemaRBT-Sentema-24h'!H31,'27.07 SentemaRBT-Sentema-24h'!H31,'28.07 SentemaRBT-Sentema'!H31)</f>
        <v>0</v>
      </c>
      <c r="I31" s="49">
        <f>AVERAGE('22.07 SentemaRBT-Sentema'!I31,'23.07 Sentema RBT-Sentema'!I31,'24.07 SentemaRBT-Sentema'!I31,'25.07 SentemaRBT-Sentema'!I31,'26.07 SentemaRBT-Sentema-24h'!I31,'27.07 SentemaRBT-Sentema-24h'!I31,'28.07 SentemaRBT-Sentema'!I31)</f>
        <v>3.8571428571428572</v>
      </c>
      <c r="J31" s="49">
        <f>AVERAGE('22.07 SentemaRBT-Sentema'!J31,'23.07 Sentema RBT-Sentema'!J31,'24.07 SentemaRBT-Sentema'!J31,'25.07 SentemaRBT-Sentema'!J31,'26.07 SentemaRBT-Sentema-24h'!J31,'27.07 SentemaRBT-Sentema-24h'!J31,'28.07 SentemaRBT-Sentema'!J31)</f>
        <v>1.4285714285714286</v>
      </c>
      <c r="K31" s="49">
        <f>AVERAGE('22.07 SentemaRBT-Sentema'!K31,'23.07 Sentema RBT-Sentema'!K31,'24.07 SentemaRBT-Sentema'!K31,'25.07 SentemaRBT-Sentema'!K31,'26.07 SentemaRBT-Sentema-24h'!K31,'27.07 SentemaRBT-Sentema-24h'!K31,'28.07 SentemaRBT-Sentema'!K31)</f>
        <v>0.14285714285714285</v>
      </c>
      <c r="L31" s="49">
        <f>AVERAGE('22.07 SentemaRBT-Sentema'!L31,'23.07 Sentema RBT-Sentema'!L31,'24.07 SentemaRBT-Sentema'!L31,'25.07 SentemaRBT-Sentema'!L31,'26.07 SentemaRBT-Sentema-24h'!L31,'27.07 SentemaRBT-Sentema-24h'!L31,'28.07 SentemaRBT-Sentema'!L31)</f>
        <v>0</v>
      </c>
      <c r="M31" s="49">
        <f>AVERAGE('22.07 SentemaRBT-Sentema'!M31,'23.07 Sentema RBT-Sentema'!M31,'24.07 SentemaRBT-Sentema'!M31,'25.07 SentemaRBT-Sentema'!M31,'26.07 SentemaRBT-Sentema-24h'!M31,'27.07 SentemaRBT-Sentema-24h'!M31,'28.07 SentemaRBT-Sentema'!M31)</f>
        <v>48.714285714285715</v>
      </c>
      <c r="N31" s="49">
        <f>AVERAGE('22.07 SentemaRBT-Sentema'!N31,'23.07 Sentema RBT-Sentema'!N31,'24.07 SentemaRBT-Sentema'!N31,'25.07 SentemaRBT-Sentema'!N31,'26.07 SentemaRBT-Sentema-24h'!N31,'27.07 SentemaRBT-Sentema-24h'!N31,'28.07 SentemaRBT-Sentema'!N31)</f>
        <v>0</v>
      </c>
      <c r="O31" s="15">
        <f t="shared" si="0"/>
        <v>32.142857142857146</v>
      </c>
      <c r="P31" s="15">
        <f t="shared" si="1"/>
        <v>80.857142857142861</v>
      </c>
      <c r="R31" s="1" t="s">
        <v>155</v>
      </c>
      <c r="S31" s="34">
        <f>SUM(C94:C97)</f>
        <v>2</v>
      </c>
      <c r="T31" s="34">
        <f t="shared" ref="T31:AF31" si="23">SUM(D94:D97)</f>
        <v>0</v>
      </c>
      <c r="U31" s="34">
        <f t="shared" si="23"/>
        <v>0</v>
      </c>
      <c r="V31" s="34">
        <f t="shared" si="23"/>
        <v>0.5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4</v>
      </c>
      <c r="AD31" s="34">
        <f t="shared" si="23"/>
        <v>0</v>
      </c>
      <c r="AE31" s="31">
        <f t="shared" si="23"/>
        <v>3.5</v>
      </c>
      <c r="AF31" s="31">
        <f t="shared" si="23"/>
        <v>7.5</v>
      </c>
    </row>
    <row r="32" spans="2:32" ht="23.1" customHeight="1" x14ac:dyDescent="0.25">
      <c r="B32" s="24" t="s">
        <v>59</v>
      </c>
      <c r="C32" s="49">
        <f>AVERAGE('22.07 SentemaRBT-Sentema'!C32,'23.07 Sentema RBT-Sentema'!C32,'24.07 SentemaRBT-Sentema'!C32,'25.07 SentemaRBT-Sentema'!C32,'26.07 SentemaRBT-Sentema-24h'!C32,'27.07 SentemaRBT-Sentema-24h'!C32,'28.07 SentemaRBT-Sentema'!C32)</f>
        <v>12.428571428571429</v>
      </c>
      <c r="D32" s="49">
        <f>AVERAGE('22.07 SentemaRBT-Sentema'!D32,'23.07 Sentema RBT-Sentema'!D32,'24.07 SentemaRBT-Sentema'!D32,'25.07 SentemaRBT-Sentema'!D32,'26.07 SentemaRBT-Sentema-24h'!D32,'27.07 SentemaRBT-Sentema-24h'!D32,'28.07 SentemaRBT-Sentema'!D32)</f>
        <v>2.7142857142857144</v>
      </c>
      <c r="E32" s="49">
        <f>AVERAGE('22.07 SentemaRBT-Sentema'!E32,'23.07 Sentema RBT-Sentema'!E32,'24.07 SentemaRBT-Sentema'!E32,'25.07 SentemaRBT-Sentema'!E32,'26.07 SentemaRBT-Sentema-24h'!E32,'27.07 SentemaRBT-Sentema-24h'!E32,'28.07 SentemaRBT-Sentema'!E32)</f>
        <v>3.1428571428571428</v>
      </c>
      <c r="F32" s="49">
        <f>AVERAGE('22.07 SentemaRBT-Sentema'!F32,'23.07 Sentema RBT-Sentema'!F32,'24.07 SentemaRBT-Sentema'!F32,'25.07 SentemaRBT-Sentema'!F32,'26.07 SentemaRBT-Sentema-24h'!F32,'27.07 SentemaRBT-Sentema-24h'!F32,'28.07 SentemaRBT-Sentema'!F32)</f>
        <v>10</v>
      </c>
      <c r="G32" s="49">
        <f>AVERAGE('22.07 SentemaRBT-Sentema'!G32,'23.07 Sentema RBT-Sentema'!G32,'24.07 SentemaRBT-Sentema'!G32,'25.07 SentemaRBT-Sentema'!G32,'26.07 SentemaRBT-Sentema-24h'!G32,'27.07 SentemaRBT-Sentema-24h'!G32,'28.07 SentemaRBT-Sentema'!G32)</f>
        <v>0</v>
      </c>
      <c r="H32" s="49">
        <f>AVERAGE('22.07 SentemaRBT-Sentema'!H32,'23.07 Sentema RBT-Sentema'!H32,'24.07 SentemaRBT-Sentema'!H32,'25.07 SentemaRBT-Sentema'!H32,'26.07 SentemaRBT-Sentema-24h'!H32,'27.07 SentemaRBT-Sentema-24h'!H32,'28.07 SentemaRBT-Sentema'!H32)</f>
        <v>0</v>
      </c>
      <c r="I32" s="49">
        <f>AVERAGE('22.07 SentemaRBT-Sentema'!I32,'23.07 Sentema RBT-Sentema'!I32,'24.07 SentemaRBT-Sentema'!I32,'25.07 SentemaRBT-Sentema'!I32,'26.07 SentemaRBT-Sentema-24h'!I32,'27.07 SentemaRBT-Sentema-24h'!I32,'28.07 SentemaRBT-Sentema'!I32)</f>
        <v>4.1428571428571432</v>
      </c>
      <c r="J32" s="49">
        <f>AVERAGE('22.07 SentemaRBT-Sentema'!J32,'23.07 Sentema RBT-Sentema'!J32,'24.07 SentemaRBT-Sentema'!J32,'25.07 SentemaRBT-Sentema'!J32,'26.07 SentemaRBT-Sentema-24h'!J32,'27.07 SentemaRBT-Sentema-24h'!J32,'28.07 SentemaRBT-Sentema'!J32)</f>
        <v>1.2857142857142858</v>
      </c>
      <c r="K32" s="49">
        <f>AVERAGE('22.07 SentemaRBT-Sentema'!K32,'23.07 Sentema RBT-Sentema'!K32,'24.07 SentemaRBT-Sentema'!K32,'25.07 SentemaRBT-Sentema'!K32,'26.07 SentemaRBT-Sentema-24h'!K32,'27.07 SentemaRBT-Sentema-24h'!K32,'28.07 SentemaRBT-Sentema'!K32)</f>
        <v>0.14285714285714285</v>
      </c>
      <c r="L32" s="49">
        <f>AVERAGE('22.07 SentemaRBT-Sentema'!L32,'23.07 Sentema RBT-Sentema'!L32,'24.07 SentemaRBT-Sentema'!L32,'25.07 SentemaRBT-Sentema'!L32,'26.07 SentemaRBT-Sentema-24h'!L32,'27.07 SentemaRBT-Sentema-24h'!L32,'28.07 SentemaRBT-Sentema'!L32)</f>
        <v>0</v>
      </c>
      <c r="M32" s="49">
        <f>AVERAGE('22.07 SentemaRBT-Sentema'!M32,'23.07 Sentema RBT-Sentema'!M32,'24.07 SentemaRBT-Sentema'!M32,'25.07 SentemaRBT-Sentema'!M32,'26.07 SentemaRBT-Sentema-24h'!M32,'27.07 SentemaRBT-Sentema-24h'!M32,'28.07 SentemaRBT-Sentema'!M32)</f>
        <v>45.571428571428569</v>
      </c>
      <c r="N32" s="49">
        <f>AVERAGE('22.07 SentemaRBT-Sentema'!N32,'23.07 Sentema RBT-Sentema'!N32,'24.07 SentemaRBT-Sentema'!N32,'25.07 SentemaRBT-Sentema'!N32,'26.07 SentemaRBT-Sentema-24h'!N32,'27.07 SentemaRBT-Sentema-24h'!N32,'28.07 SentemaRBT-Sentema'!N32)</f>
        <v>0</v>
      </c>
      <c r="O32" s="15">
        <f t="shared" si="0"/>
        <v>33.857142857142861</v>
      </c>
      <c r="P32" s="15">
        <f t="shared" si="1"/>
        <v>79.428571428571431</v>
      </c>
      <c r="R32" s="1" t="s">
        <v>156</v>
      </c>
      <c r="S32" s="34">
        <f>SUM(C98:C101)</f>
        <v>14</v>
      </c>
      <c r="T32" s="34">
        <f t="shared" ref="T32:AF32" si="24">SUM(D98:D101)</f>
        <v>0.5</v>
      </c>
      <c r="U32" s="34">
        <f t="shared" si="24"/>
        <v>0</v>
      </c>
      <c r="V32" s="34">
        <f t="shared" si="24"/>
        <v>5</v>
      </c>
      <c r="W32" s="34">
        <f t="shared" si="24"/>
        <v>0</v>
      </c>
      <c r="X32" s="34">
        <f t="shared" si="24"/>
        <v>0</v>
      </c>
      <c r="Y32" s="34">
        <f t="shared" si="24"/>
        <v>2</v>
      </c>
      <c r="Z32" s="34">
        <f t="shared" si="24"/>
        <v>0.5</v>
      </c>
      <c r="AA32" s="34">
        <f t="shared" si="24"/>
        <v>4.5</v>
      </c>
      <c r="AB32" s="34">
        <f t="shared" si="24"/>
        <v>3.5</v>
      </c>
      <c r="AC32" s="34">
        <f t="shared" si="24"/>
        <v>17</v>
      </c>
      <c r="AD32" s="34">
        <f t="shared" si="24"/>
        <v>0</v>
      </c>
      <c r="AE32" s="31">
        <f t="shared" si="24"/>
        <v>30</v>
      </c>
      <c r="AF32" s="31">
        <f t="shared" si="24"/>
        <v>47</v>
      </c>
    </row>
    <row r="33" spans="2:32" ht="23.1" customHeight="1" x14ac:dyDescent="0.25">
      <c r="B33" s="23" t="s">
        <v>60</v>
      </c>
      <c r="C33" s="49">
        <f>AVERAGE('22.07 SentemaRBT-Sentema'!C33,'23.07 Sentema RBT-Sentema'!C33,'24.07 SentemaRBT-Sentema'!C33,'25.07 SentemaRBT-Sentema'!C33,'26.07 SentemaRBT-Sentema-24h'!C33,'27.07 SentemaRBT-Sentema-24h'!C33,'28.07 SentemaRBT-Sentema'!C33)</f>
        <v>8.5714285714285712</v>
      </c>
      <c r="D33" s="49">
        <f>AVERAGE('22.07 SentemaRBT-Sentema'!D33,'23.07 Sentema RBT-Sentema'!D33,'24.07 SentemaRBT-Sentema'!D33,'25.07 SentemaRBT-Sentema'!D33,'26.07 SentemaRBT-Sentema-24h'!D33,'27.07 SentemaRBT-Sentema-24h'!D33,'28.07 SentemaRBT-Sentema'!D33)</f>
        <v>2</v>
      </c>
      <c r="E33" s="49">
        <f>AVERAGE('22.07 SentemaRBT-Sentema'!E33,'23.07 Sentema RBT-Sentema'!E33,'24.07 SentemaRBT-Sentema'!E33,'25.07 SentemaRBT-Sentema'!E33,'26.07 SentemaRBT-Sentema-24h'!E33,'27.07 SentemaRBT-Sentema-24h'!E33,'28.07 SentemaRBT-Sentema'!E33)</f>
        <v>2.2857142857142856</v>
      </c>
      <c r="F33" s="49">
        <f>AVERAGE('22.07 SentemaRBT-Sentema'!F33,'23.07 Sentema RBT-Sentema'!F33,'24.07 SentemaRBT-Sentema'!F33,'25.07 SentemaRBT-Sentema'!F33,'26.07 SentemaRBT-Sentema-24h'!F33,'27.07 SentemaRBT-Sentema-24h'!F33,'28.07 SentemaRBT-Sentema'!F33)</f>
        <v>8.4285714285714288</v>
      </c>
      <c r="G33" s="49">
        <f>AVERAGE('22.07 SentemaRBT-Sentema'!G33,'23.07 Sentema RBT-Sentema'!G33,'24.07 SentemaRBT-Sentema'!G33,'25.07 SentemaRBT-Sentema'!G33,'26.07 SentemaRBT-Sentema-24h'!G33,'27.07 SentemaRBT-Sentema-24h'!G33,'28.07 SentemaRBT-Sentema'!G33)</f>
        <v>0.2857142857142857</v>
      </c>
      <c r="H33" s="49">
        <f>AVERAGE('22.07 SentemaRBT-Sentema'!H33,'23.07 Sentema RBT-Sentema'!H33,'24.07 SentemaRBT-Sentema'!H33,'25.07 SentemaRBT-Sentema'!H33,'26.07 SentemaRBT-Sentema-24h'!H33,'27.07 SentemaRBT-Sentema-24h'!H33,'28.07 SentemaRBT-Sentema'!H33)</f>
        <v>0</v>
      </c>
      <c r="I33" s="49">
        <f>AVERAGE('22.07 SentemaRBT-Sentema'!I33,'23.07 Sentema RBT-Sentema'!I33,'24.07 SentemaRBT-Sentema'!I33,'25.07 SentemaRBT-Sentema'!I33,'26.07 SentemaRBT-Sentema-24h'!I33,'27.07 SentemaRBT-Sentema-24h'!I33,'28.07 SentemaRBT-Sentema'!I33)</f>
        <v>3.1428571428571428</v>
      </c>
      <c r="J33" s="49">
        <f>AVERAGE('22.07 SentemaRBT-Sentema'!J33,'23.07 Sentema RBT-Sentema'!J33,'24.07 SentemaRBT-Sentema'!J33,'25.07 SentemaRBT-Sentema'!J33,'26.07 SentemaRBT-Sentema-24h'!J33,'27.07 SentemaRBT-Sentema-24h'!J33,'28.07 SentemaRBT-Sentema'!J33)</f>
        <v>1.8571428571428572</v>
      </c>
      <c r="K33" s="49">
        <f>AVERAGE('22.07 SentemaRBT-Sentema'!K33,'23.07 Sentema RBT-Sentema'!K33,'24.07 SentemaRBT-Sentema'!K33,'25.07 SentemaRBT-Sentema'!K33,'26.07 SentemaRBT-Sentema-24h'!K33,'27.07 SentemaRBT-Sentema-24h'!K33,'28.07 SentemaRBT-Sentema'!K33)</f>
        <v>0.14285714285714285</v>
      </c>
      <c r="L33" s="49">
        <f>AVERAGE('22.07 SentemaRBT-Sentema'!L33,'23.07 Sentema RBT-Sentema'!L33,'24.07 SentemaRBT-Sentema'!L33,'25.07 SentemaRBT-Sentema'!L33,'26.07 SentemaRBT-Sentema-24h'!L33,'27.07 SentemaRBT-Sentema-24h'!L33,'28.07 SentemaRBT-Sentema'!L33)</f>
        <v>0.14285714285714285</v>
      </c>
      <c r="M33" s="49">
        <f>AVERAGE('22.07 SentemaRBT-Sentema'!M33,'23.07 Sentema RBT-Sentema'!M33,'24.07 SentemaRBT-Sentema'!M33,'25.07 SentemaRBT-Sentema'!M33,'26.07 SentemaRBT-Sentema-24h'!M33,'27.07 SentemaRBT-Sentema-24h'!M33,'28.07 SentemaRBT-Sentema'!M33)</f>
        <v>48.428571428571431</v>
      </c>
      <c r="N33" s="49">
        <f>AVERAGE('22.07 SentemaRBT-Sentema'!N33,'23.07 Sentema RBT-Sentema'!N33,'24.07 SentemaRBT-Sentema'!N33,'25.07 SentemaRBT-Sentema'!N33,'26.07 SentemaRBT-Sentema-24h'!N33,'27.07 SentemaRBT-Sentema-24h'!N33,'28.07 SentemaRBT-Sentema'!N33)</f>
        <v>0.14285714285714285</v>
      </c>
      <c r="O33" s="15">
        <f t="shared" si="0"/>
        <v>26.999999999999996</v>
      </c>
      <c r="P33" s="15">
        <f t="shared" si="1"/>
        <v>75.428571428571416</v>
      </c>
      <c r="R33" s="1" t="s">
        <v>157</v>
      </c>
      <c r="S33" s="34">
        <f>SUM(C102:C105)</f>
        <v>11.5</v>
      </c>
      <c r="T33" s="34">
        <f t="shared" ref="T33:AF33" si="25">SUM(D102:D105)</f>
        <v>2.5</v>
      </c>
      <c r="U33" s="34">
        <f t="shared" si="25"/>
        <v>1.5</v>
      </c>
      <c r="V33" s="34">
        <f t="shared" si="25"/>
        <v>10</v>
      </c>
      <c r="W33" s="34">
        <f t="shared" si="25"/>
        <v>1</v>
      </c>
      <c r="X33" s="34">
        <f t="shared" si="25"/>
        <v>0.5</v>
      </c>
      <c r="Y33" s="34">
        <f t="shared" si="25"/>
        <v>6</v>
      </c>
      <c r="Z33" s="34">
        <f t="shared" si="25"/>
        <v>2</v>
      </c>
      <c r="AA33" s="34">
        <f t="shared" si="25"/>
        <v>2</v>
      </c>
      <c r="AB33" s="34">
        <f t="shared" si="25"/>
        <v>0</v>
      </c>
      <c r="AC33" s="34">
        <f t="shared" si="25"/>
        <v>38.5</v>
      </c>
      <c r="AD33" s="34">
        <f t="shared" si="25"/>
        <v>0</v>
      </c>
      <c r="AE33" s="31">
        <f t="shared" si="25"/>
        <v>37</v>
      </c>
      <c r="AF33" s="31">
        <f t="shared" si="25"/>
        <v>75.5</v>
      </c>
    </row>
    <row r="34" spans="2:32" ht="23.1" customHeight="1" x14ac:dyDescent="0.25">
      <c r="B34" s="24" t="s">
        <v>61</v>
      </c>
      <c r="C34" s="49">
        <f>AVERAGE('22.07 SentemaRBT-Sentema'!C34,'23.07 Sentema RBT-Sentema'!C34,'24.07 SentemaRBT-Sentema'!C34,'25.07 SentemaRBT-Sentema'!C34,'26.07 SentemaRBT-Sentema-24h'!C34,'27.07 SentemaRBT-Sentema-24h'!C34,'28.07 SentemaRBT-Sentema'!C34)</f>
        <v>11.142857142857142</v>
      </c>
      <c r="D34" s="49">
        <f>AVERAGE('22.07 SentemaRBT-Sentema'!D34,'23.07 Sentema RBT-Sentema'!D34,'24.07 SentemaRBT-Sentema'!D34,'25.07 SentemaRBT-Sentema'!D34,'26.07 SentemaRBT-Sentema-24h'!D34,'27.07 SentemaRBT-Sentema-24h'!D34,'28.07 SentemaRBT-Sentema'!D34)</f>
        <v>0.8571428571428571</v>
      </c>
      <c r="E34" s="49">
        <f>AVERAGE('22.07 SentemaRBT-Sentema'!E34,'23.07 Sentema RBT-Sentema'!E34,'24.07 SentemaRBT-Sentema'!E34,'25.07 SentemaRBT-Sentema'!E34,'26.07 SentemaRBT-Sentema-24h'!E34,'27.07 SentemaRBT-Sentema-24h'!E34,'28.07 SentemaRBT-Sentema'!E34)</f>
        <v>2.2857142857142856</v>
      </c>
      <c r="F34" s="49">
        <f>AVERAGE('22.07 SentemaRBT-Sentema'!F34,'23.07 Sentema RBT-Sentema'!F34,'24.07 SentemaRBT-Sentema'!F34,'25.07 SentemaRBT-Sentema'!F34,'26.07 SentemaRBT-Sentema-24h'!F34,'27.07 SentemaRBT-Sentema-24h'!F34,'28.07 SentemaRBT-Sentema'!F34)</f>
        <v>7.5714285714285712</v>
      </c>
      <c r="G34" s="49">
        <f>AVERAGE('22.07 SentemaRBT-Sentema'!G34,'23.07 Sentema RBT-Sentema'!G34,'24.07 SentemaRBT-Sentema'!G34,'25.07 SentemaRBT-Sentema'!G34,'26.07 SentemaRBT-Sentema-24h'!G34,'27.07 SentemaRBT-Sentema-24h'!G34,'28.07 SentemaRBT-Sentema'!G34)</f>
        <v>0</v>
      </c>
      <c r="H34" s="49">
        <f>AVERAGE('22.07 SentemaRBT-Sentema'!H34,'23.07 Sentema RBT-Sentema'!H34,'24.07 SentemaRBT-Sentema'!H34,'25.07 SentemaRBT-Sentema'!H34,'26.07 SentemaRBT-Sentema-24h'!H34,'27.07 SentemaRBT-Sentema-24h'!H34,'28.07 SentemaRBT-Sentema'!H34)</f>
        <v>0</v>
      </c>
      <c r="I34" s="49">
        <f>AVERAGE('22.07 SentemaRBT-Sentema'!I34,'23.07 Sentema RBT-Sentema'!I34,'24.07 SentemaRBT-Sentema'!I34,'25.07 SentemaRBT-Sentema'!I34,'26.07 SentemaRBT-Sentema-24h'!I34,'27.07 SentemaRBT-Sentema-24h'!I34,'28.07 SentemaRBT-Sentema'!I34)</f>
        <v>3.8571428571428572</v>
      </c>
      <c r="J34" s="49">
        <f>AVERAGE('22.07 SentemaRBT-Sentema'!J34,'23.07 Sentema RBT-Sentema'!J34,'24.07 SentemaRBT-Sentema'!J34,'25.07 SentemaRBT-Sentema'!J34,'26.07 SentemaRBT-Sentema-24h'!J34,'27.07 SentemaRBT-Sentema-24h'!J34,'28.07 SentemaRBT-Sentema'!J34)</f>
        <v>0.7142857142857143</v>
      </c>
      <c r="K34" s="49">
        <f>AVERAGE('22.07 SentemaRBT-Sentema'!K34,'23.07 Sentema RBT-Sentema'!K34,'24.07 SentemaRBT-Sentema'!K34,'25.07 SentemaRBT-Sentema'!K34,'26.07 SentemaRBT-Sentema-24h'!K34,'27.07 SentemaRBT-Sentema-24h'!K34,'28.07 SentemaRBT-Sentema'!K34)</f>
        <v>0.5714285714285714</v>
      </c>
      <c r="L34" s="49">
        <f>AVERAGE('22.07 SentemaRBT-Sentema'!L34,'23.07 Sentema RBT-Sentema'!L34,'24.07 SentemaRBT-Sentema'!L34,'25.07 SentemaRBT-Sentema'!L34,'26.07 SentemaRBT-Sentema-24h'!L34,'27.07 SentemaRBT-Sentema-24h'!L34,'28.07 SentemaRBT-Sentema'!L34)</f>
        <v>0.8571428571428571</v>
      </c>
      <c r="M34" s="49">
        <f>AVERAGE('22.07 SentemaRBT-Sentema'!M34,'23.07 Sentema RBT-Sentema'!M34,'24.07 SentemaRBT-Sentema'!M34,'25.07 SentemaRBT-Sentema'!M34,'26.07 SentemaRBT-Sentema-24h'!M34,'27.07 SentemaRBT-Sentema-24h'!M34,'28.07 SentemaRBT-Sentema'!M34)</f>
        <v>40.571428571428569</v>
      </c>
      <c r="N34" s="49">
        <f>AVERAGE('22.07 SentemaRBT-Sentema'!N34,'23.07 Sentema RBT-Sentema'!N34,'24.07 SentemaRBT-Sentema'!N34,'25.07 SentemaRBT-Sentema'!N34,'26.07 SentemaRBT-Sentema-24h'!N34,'27.07 SentemaRBT-Sentema-24h'!N34,'28.07 SentemaRBT-Sentema'!N34)</f>
        <v>0</v>
      </c>
      <c r="O34" s="15">
        <f t="shared" si="0"/>
        <v>27.857142857142858</v>
      </c>
      <c r="P34" s="15">
        <f t="shared" si="1"/>
        <v>68.428571428571431</v>
      </c>
      <c r="R34" s="51" t="s">
        <v>90</v>
      </c>
      <c r="S34" s="52">
        <f t="shared" ref="S34:AF34" si="26">MAX(S10:S12)</f>
        <v>39.571428571428569</v>
      </c>
      <c r="T34" s="52">
        <f t="shared" si="26"/>
        <v>7.5714285714285712</v>
      </c>
      <c r="U34" s="52">
        <f t="shared" si="26"/>
        <v>10.571428571428571</v>
      </c>
      <c r="V34" s="52">
        <f t="shared" si="26"/>
        <v>55.571428571428569</v>
      </c>
      <c r="W34" s="52">
        <f t="shared" si="26"/>
        <v>1.8571428571428572</v>
      </c>
      <c r="X34" s="52">
        <f t="shared" si="26"/>
        <v>1.5714285714285714</v>
      </c>
      <c r="Y34" s="52">
        <f t="shared" si="26"/>
        <v>13.714285714285715</v>
      </c>
      <c r="Z34" s="52">
        <f t="shared" si="26"/>
        <v>6.7142857142857135</v>
      </c>
      <c r="AA34" s="52">
        <f t="shared" si="26"/>
        <v>1.7142857142857142</v>
      </c>
      <c r="AB34" s="52">
        <f t="shared" si="26"/>
        <v>0.5714285714285714</v>
      </c>
      <c r="AC34" s="52">
        <f t="shared" si="26"/>
        <v>193.42857142857142</v>
      </c>
      <c r="AD34" s="52">
        <f t="shared" si="26"/>
        <v>0</v>
      </c>
      <c r="AE34" s="40">
        <f t="shared" si="26"/>
        <v>134.28571428571428</v>
      </c>
      <c r="AF34" s="40">
        <f t="shared" si="26"/>
        <v>327.71428571428572</v>
      </c>
    </row>
    <row r="35" spans="2:32" ht="23.1" customHeight="1" x14ac:dyDescent="0.25">
      <c r="B35" s="24" t="s">
        <v>62</v>
      </c>
      <c r="C35" s="49">
        <f>AVERAGE('22.07 SentemaRBT-Sentema'!C35,'23.07 Sentema RBT-Sentema'!C35,'24.07 SentemaRBT-Sentema'!C35,'25.07 SentemaRBT-Sentema'!C35,'26.07 SentemaRBT-Sentema-24h'!C35,'27.07 SentemaRBT-Sentema-24h'!C35,'28.07 SentemaRBT-Sentema'!C35)</f>
        <v>7.4285714285714288</v>
      </c>
      <c r="D35" s="49">
        <f>AVERAGE('22.07 SentemaRBT-Sentema'!D35,'23.07 Sentema RBT-Sentema'!D35,'24.07 SentemaRBT-Sentema'!D35,'25.07 SentemaRBT-Sentema'!D35,'26.07 SentemaRBT-Sentema-24h'!D35,'27.07 SentemaRBT-Sentema-24h'!D35,'28.07 SentemaRBT-Sentema'!D35)</f>
        <v>2.5714285714285716</v>
      </c>
      <c r="E35" s="49">
        <f>AVERAGE('22.07 SentemaRBT-Sentema'!E35,'23.07 Sentema RBT-Sentema'!E35,'24.07 SentemaRBT-Sentema'!E35,'25.07 SentemaRBT-Sentema'!E35,'26.07 SentemaRBT-Sentema-24h'!E35,'27.07 SentemaRBT-Sentema-24h'!E35,'28.07 SentemaRBT-Sentema'!E35)</f>
        <v>2.4285714285714284</v>
      </c>
      <c r="F35" s="49">
        <f>AVERAGE('22.07 SentemaRBT-Sentema'!F35,'23.07 Sentema RBT-Sentema'!F35,'24.07 SentemaRBT-Sentema'!F35,'25.07 SentemaRBT-Sentema'!F35,'26.07 SentemaRBT-Sentema-24h'!F35,'27.07 SentemaRBT-Sentema-24h'!F35,'28.07 SentemaRBT-Sentema'!F35)</f>
        <v>6.8571428571428568</v>
      </c>
      <c r="G35" s="49">
        <f>AVERAGE('22.07 SentemaRBT-Sentema'!G35,'23.07 Sentema RBT-Sentema'!G35,'24.07 SentemaRBT-Sentema'!G35,'25.07 SentemaRBT-Sentema'!G35,'26.07 SentemaRBT-Sentema-24h'!G35,'27.07 SentemaRBT-Sentema-24h'!G35,'28.07 SentemaRBT-Sentema'!G35)</f>
        <v>0.14285714285714285</v>
      </c>
      <c r="H35" s="49">
        <f>AVERAGE('22.07 SentemaRBT-Sentema'!H35,'23.07 Sentema RBT-Sentema'!H35,'24.07 SentemaRBT-Sentema'!H35,'25.07 SentemaRBT-Sentema'!H35,'26.07 SentemaRBT-Sentema-24h'!H35,'27.07 SentemaRBT-Sentema-24h'!H35,'28.07 SentemaRBT-Sentema'!H35)</f>
        <v>0</v>
      </c>
      <c r="I35" s="49">
        <f>AVERAGE('22.07 SentemaRBT-Sentema'!I35,'23.07 Sentema RBT-Sentema'!I35,'24.07 SentemaRBT-Sentema'!I35,'25.07 SentemaRBT-Sentema'!I35,'26.07 SentemaRBT-Sentema-24h'!I35,'27.07 SentemaRBT-Sentema-24h'!I35,'28.07 SentemaRBT-Sentema'!I35)</f>
        <v>3.8571428571428572</v>
      </c>
      <c r="J35" s="49">
        <f>AVERAGE('22.07 SentemaRBT-Sentema'!J35,'23.07 Sentema RBT-Sentema'!J35,'24.07 SentemaRBT-Sentema'!J35,'25.07 SentemaRBT-Sentema'!J35,'26.07 SentemaRBT-Sentema-24h'!J35,'27.07 SentemaRBT-Sentema-24h'!J35,'28.07 SentemaRBT-Sentema'!J35)</f>
        <v>1.7142857142857142</v>
      </c>
      <c r="K35" s="49">
        <f>AVERAGE('22.07 SentemaRBT-Sentema'!K35,'23.07 Sentema RBT-Sentema'!K35,'24.07 SentemaRBT-Sentema'!K35,'25.07 SentemaRBT-Sentema'!K35,'26.07 SentemaRBT-Sentema-24h'!K35,'27.07 SentemaRBT-Sentema-24h'!K35,'28.07 SentemaRBT-Sentema'!K35)</f>
        <v>0.2857142857142857</v>
      </c>
      <c r="L35" s="49">
        <f>AVERAGE('22.07 SentemaRBT-Sentema'!L35,'23.07 Sentema RBT-Sentema'!L35,'24.07 SentemaRBT-Sentema'!L35,'25.07 SentemaRBT-Sentema'!L35,'26.07 SentemaRBT-Sentema-24h'!L35,'27.07 SentemaRBT-Sentema-24h'!L35,'28.07 SentemaRBT-Sentema'!L35)</f>
        <v>0</v>
      </c>
      <c r="M35" s="49">
        <f>AVERAGE('22.07 SentemaRBT-Sentema'!M35,'23.07 Sentema RBT-Sentema'!M35,'24.07 SentemaRBT-Sentema'!M35,'25.07 SentemaRBT-Sentema'!M35,'26.07 SentemaRBT-Sentema-24h'!M35,'27.07 SentemaRBT-Sentema-24h'!M35,'28.07 SentemaRBT-Sentema'!M35)</f>
        <v>41.857142857142854</v>
      </c>
      <c r="N35" s="49">
        <f>AVERAGE('22.07 SentemaRBT-Sentema'!N35,'23.07 Sentema RBT-Sentema'!N35,'24.07 SentemaRBT-Sentema'!N35,'25.07 SentemaRBT-Sentema'!N35,'26.07 SentemaRBT-Sentema-24h'!N35,'27.07 SentemaRBT-Sentema-24h'!N35,'28.07 SentemaRBT-Sentema'!N35)</f>
        <v>0</v>
      </c>
      <c r="O35" s="15">
        <f t="shared" si="0"/>
        <v>25.285714285714285</v>
      </c>
      <c r="P35" s="15">
        <f t="shared" si="1"/>
        <v>67.142857142857139</v>
      </c>
      <c r="R35" s="51" t="s">
        <v>91</v>
      </c>
      <c r="S35" s="52">
        <f t="shared" ref="S35:AF35" si="27">MAX(S13:S18)</f>
        <v>53.428571428571431</v>
      </c>
      <c r="T35" s="52">
        <f t="shared" si="27"/>
        <v>11</v>
      </c>
      <c r="U35" s="52">
        <f t="shared" si="27"/>
        <v>14.714285714285712</v>
      </c>
      <c r="V35" s="52">
        <f t="shared" si="27"/>
        <v>45.714285714285715</v>
      </c>
      <c r="W35" s="52">
        <f t="shared" si="27"/>
        <v>2</v>
      </c>
      <c r="X35" s="52">
        <f t="shared" si="27"/>
        <v>0.5714285714285714</v>
      </c>
      <c r="Y35" s="52">
        <f t="shared" si="27"/>
        <v>18.857142857142858</v>
      </c>
      <c r="Z35" s="52">
        <f t="shared" si="27"/>
        <v>5.2857142857142865</v>
      </c>
      <c r="AA35" s="52">
        <f t="shared" si="27"/>
        <v>2.4285714285714284</v>
      </c>
      <c r="AB35" s="52">
        <f t="shared" si="27"/>
        <v>1.5714285714285714</v>
      </c>
      <c r="AC35" s="52">
        <f t="shared" si="27"/>
        <v>202.42857142857144</v>
      </c>
      <c r="AD35" s="52">
        <f t="shared" si="27"/>
        <v>0.14285714285714285</v>
      </c>
      <c r="AE35" s="40">
        <f t="shared" si="27"/>
        <v>144.57142857142856</v>
      </c>
      <c r="AF35" s="40">
        <f t="shared" si="27"/>
        <v>347</v>
      </c>
    </row>
    <row r="36" spans="2:32" ht="23.1" customHeight="1" x14ac:dyDescent="0.25">
      <c r="B36" s="24" t="s">
        <v>63</v>
      </c>
      <c r="C36" s="49">
        <f>AVERAGE('22.07 SentemaRBT-Sentema'!C36,'23.07 Sentema RBT-Sentema'!C36,'24.07 SentemaRBT-Sentema'!C36,'25.07 SentemaRBT-Sentema'!C36,'26.07 SentemaRBT-Sentema-24h'!C36,'27.07 SentemaRBT-Sentema-24h'!C36,'28.07 SentemaRBT-Sentema'!C36)</f>
        <v>11.142857142857142</v>
      </c>
      <c r="D36" s="49">
        <f>AVERAGE('22.07 SentemaRBT-Sentema'!D36,'23.07 Sentema RBT-Sentema'!D36,'24.07 SentemaRBT-Sentema'!D36,'25.07 SentemaRBT-Sentema'!D36,'26.07 SentemaRBT-Sentema-24h'!D36,'27.07 SentemaRBT-Sentema-24h'!D36,'28.07 SentemaRBT-Sentema'!D36)</f>
        <v>1.8571428571428572</v>
      </c>
      <c r="E36" s="49">
        <f>AVERAGE('22.07 SentemaRBT-Sentema'!E36,'23.07 Sentema RBT-Sentema'!E36,'24.07 SentemaRBT-Sentema'!E36,'25.07 SentemaRBT-Sentema'!E36,'26.07 SentemaRBT-Sentema-24h'!E36,'27.07 SentemaRBT-Sentema-24h'!E36,'28.07 SentemaRBT-Sentema'!E36)</f>
        <v>1.8571428571428572</v>
      </c>
      <c r="F36" s="49">
        <f>AVERAGE('22.07 SentemaRBT-Sentema'!F36,'23.07 Sentema RBT-Sentema'!F36,'24.07 SentemaRBT-Sentema'!F36,'25.07 SentemaRBT-Sentema'!F36,'26.07 SentemaRBT-Sentema-24h'!F36,'27.07 SentemaRBT-Sentema-24h'!F36,'28.07 SentemaRBT-Sentema'!F36)</f>
        <v>7.7142857142857144</v>
      </c>
      <c r="G36" s="49">
        <f>AVERAGE('22.07 SentemaRBT-Sentema'!G36,'23.07 Sentema RBT-Sentema'!G36,'24.07 SentemaRBT-Sentema'!G36,'25.07 SentemaRBT-Sentema'!G36,'26.07 SentemaRBT-Sentema-24h'!G36,'27.07 SentemaRBT-Sentema-24h'!G36,'28.07 SentemaRBT-Sentema'!G36)</f>
        <v>0.14285714285714285</v>
      </c>
      <c r="H36" s="49">
        <f>AVERAGE('22.07 SentemaRBT-Sentema'!H36,'23.07 Sentema RBT-Sentema'!H36,'24.07 SentemaRBT-Sentema'!H36,'25.07 SentemaRBT-Sentema'!H36,'26.07 SentemaRBT-Sentema-24h'!H36,'27.07 SentemaRBT-Sentema-24h'!H36,'28.07 SentemaRBT-Sentema'!H36)</f>
        <v>0</v>
      </c>
      <c r="I36" s="49">
        <f>AVERAGE('22.07 SentemaRBT-Sentema'!I36,'23.07 Sentema RBT-Sentema'!I36,'24.07 SentemaRBT-Sentema'!I36,'25.07 SentemaRBT-Sentema'!I36,'26.07 SentemaRBT-Sentema-24h'!I36,'27.07 SentemaRBT-Sentema-24h'!I36,'28.07 SentemaRBT-Sentema'!I36)</f>
        <v>3</v>
      </c>
      <c r="J36" s="49">
        <f>AVERAGE('22.07 SentemaRBT-Sentema'!J36,'23.07 Sentema RBT-Sentema'!J36,'24.07 SentemaRBT-Sentema'!J36,'25.07 SentemaRBT-Sentema'!J36,'26.07 SentemaRBT-Sentema-24h'!J36,'27.07 SentemaRBT-Sentema-24h'!J36,'28.07 SentemaRBT-Sentema'!J36)</f>
        <v>0.42857142857142855</v>
      </c>
      <c r="K36" s="49">
        <f>AVERAGE('22.07 SentemaRBT-Sentema'!K36,'23.07 Sentema RBT-Sentema'!K36,'24.07 SentemaRBT-Sentema'!K36,'25.07 SentemaRBT-Sentema'!K36,'26.07 SentemaRBT-Sentema-24h'!K36,'27.07 SentemaRBT-Sentema-24h'!K36,'28.07 SentemaRBT-Sentema'!K36)</f>
        <v>1.1428571428571428</v>
      </c>
      <c r="L36" s="49">
        <f>AVERAGE('22.07 SentemaRBT-Sentema'!L36,'23.07 Sentema RBT-Sentema'!L36,'24.07 SentemaRBT-Sentema'!L36,'25.07 SentemaRBT-Sentema'!L36,'26.07 SentemaRBT-Sentema-24h'!L36,'27.07 SentemaRBT-Sentema-24h'!L36,'28.07 SentemaRBT-Sentema'!L36)</f>
        <v>0.14285714285714285</v>
      </c>
      <c r="M36" s="49">
        <f>AVERAGE('22.07 SentemaRBT-Sentema'!M36,'23.07 Sentema RBT-Sentema'!M36,'24.07 SentemaRBT-Sentema'!M36,'25.07 SentemaRBT-Sentema'!M36,'26.07 SentemaRBT-Sentema-24h'!M36,'27.07 SentemaRBT-Sentema-24h'!M36,'28.07 SentemaRBT-Sentema'!M36)</f>
        <v>34.142857142857146</v>
      </c>
      <c r="N36" s="49">
        <f>AVERAGE('22.07 SentemaRBT-Sentema'!N36,'23.07 Sentema RBT-Sentema'!N36,'24.07 SentemaRBT-Sentema'!N36,'25.07 SentemaRBT-Sentema'!N36,'26.07 SentemaRBT-Sentema-24h'!N36,'27.07 SentemaRBT-Sentema-24h'!N36,'28.07 SentemaRBT-Sentema'!N36)</f>
        <v>0</v>
      </c>
      <c r="O36" s="15">
        <f t="shared" si="0"/>
        <v>27.428571428571427</v>
      </c>
      <c r="P36" s="15">
        <f t="shared" si="1"/>
        <v>61.571428571428569</v>
      </c>
      <c r="R36" s="51" t="s">
        <v>92</v>
      </c>
      <c r="S36" s="52">
        <f t="shared" ref="S36:AF36" si="28">MAX(S19:S21)</f>
        <v>107.42857142857143</v>
      </c>
      <c r="T36" s="52">
        <f t="shared" si="28"/>
        <v>20.285714285714285</v>
      </c>
      <c r="U36" s="52">
        <f t="shared" si="28"/>
        <v>10.857142857142856</v>
      </c>
      <c r="V36" s="52">
        <f t="shared" si="28"/>
        <v>51.571428571428569</v>
      </c>
      <c r="W36" s="52">
        <f t="shared" si="28"/>
        <v>2.2857142857142856</v>
      </c>
      <c r="X36" s="52">
        <f t="shared" si="28"/>
        <v>0.14285714285714285</v>
      </c>
      <c r="Y36" s="52">
        <f t="shared" si="28"/>
        <v>12.142857142857142</v>
      </c>
      <c r="Z36" s="52">
        <f t="shared" si="28"/>
        <v>4.1428571428571432</v>
      </c>
      <c r="AA36" s="52">
        <f t="shared" si="28"/>
        <v>3.2857142857142856</v>
      </c>
      <c r="AB36" s="52">
        <f t="shared" si="28"/>
        <v>0.5714285714285714</v>
      </c>
      <c r="AC36" s="52">
        <f t="shared" si="28"/>
        <v>212.14285714285714</v>
      </c>
      <c r="AD36" s="52">
        <f t="shared" si="28"/>
        <v>0.14285714285714285</v>
      </c>
      <c r="AE36" s="40">
        <f t="shared" si="28"/>
        <v>209.85714285714286</v>
      </c>
      <c r="AF36" s="40">
        <f t="shared" si="28"/>
        <v>422</v>
      </c>
    </row>
    <row r="37" spans="2:32" ht="23.1" customHeight="1" x14ac:dyDescent="0.25">
      <c r="B37" s="23" t="s">
        <v>64</v>
      </c>
      <c r="C37" s="49">
        <f>AVERAGE('22.07 SentemaRBT-Sentema'!C37,'23.07 Sentema RBT-Sentema'!C37,'24.07 SentemaRBT-Sentema'!C37,'25.07 SentemaRBT-Sentema'!C37,'26.07 SentemaRBT-Sentema-24h'!C37,'27.07 SentemaRBT-Sentema-24h'!C37,'28.07 SentemaRBT-Sentema'!C37)</f>
        <v>11.428571428571429</v>
      </c>
      <c r="D37" s="49">
        <f>AVERAGE('22.07 SentemaRBT-Sentema'!D37,'23.07 Sentema RBT-Sentema'!D37,'24.07 SentemaRBT-Sentema'!D37,'25.07 SentemaRBT-Sentema'!D37,'26.07 SentemaRBT-Sentema-24h'!D37,'27.07 SentemaRBT-Sentema-24h'!D37,'28.07 SentemaRBT-Sentema'!D37)</f>
        <v>1.8571428571428572</v>
      </c>
      <c r="E37" s="49">
        <f>AVERAGE('22.07 SentemaRBT-Sentema'!E37,'23.07 Sentema RBT-Sentema'!E37,'24.07 SentemaRBT-Sentema'!E37,'25.07 SentemaRBT-Sentema'!E37,'26.07 SentemaRBT-Sentema-24h'!E37,'27.07 SentemaRBT-Sentema-24h'!E37,'28.07 SentemaRBT-Sentema'!E37)</f>
        <v>1.7142857142857142</v>
      </c>
      <c r="F37" s="49">
        <f>AVERAGE('22.07 SentemaRBT-Sentema'!F37,'23.07 Sentema RBT-Sentema'!F37,'24.07 SentemaRBT-Sentema'!F37,'25.07 SentemaRBT-Sentema'!F37,'26.07 SentemaRBT-Sentema-24h'!F37,'27.07 SentemaRBT-Sentema-24h'!F37,'28.07 SentemaRBT-Sentema'!F37)</f>
        <v>8</v>
      </c>
      <c r="G37" s="49">
        <f>AVERAGE('22.07 SentemaRBT-Sentema'!G37,'23.07 Sentema RBT-Sentema'!G37,'24.07 SentemaRBT-Sentema'!G37,'25.07 SentemaRBT-Sentema'!G37,'26.07 SentemaRBT-Sentema-24h'!G37,'27.07 SentemaRBT-Sentema-24h'!G37,'28.07 SentemaRBT-Sentema'!G37)</f>
        <v>0</v>
      </c>
      <c r="H37" s="49">
        <f>AVERAGE('22.07 SentemaRBT-Sentema'!H37,'23.07 Sentema RBT-Sentema'!H37,'24.07 SentemaRBT-Sentema'!H37,'25.07 SentemaRBT-Sentema'!H37,'26.07 SentemaRBT-Sentema-24h'!H37,'27.07 SentemaRBT-Sentema-24h'!H37,'28.07 SentemaRBT-Sentema'!H37)</f>
        <v>0</v>
      </c>
      <c r="I37" s="49">
        <f>AVERAGE('22.07 SentemaRBT-Sentema'!I37,'23.07 Sentema RBT-Sentema'!I37,'24.07 SentemaRBT-Sentema'!I37,'25.07 SentemaRBT-Sentema'!I37,'26.07 SentemaRBT-Sentema-24h'!I37,'27.07 SentemaRBT-Sentema-24h'!I37,'28.07 SentemaRBT-Sentema'!I37)</f>
        <v>3.8571428571428572</v>
      </c>
      <c r="J37" s="49">
        <f>AVERAGE('22.07 SentemaRBT-Sentema'!J37,'23.07 Sentema RBT-Sentema'!J37,'24.07 SentemaRBT-Sentema'!J37,'25.07 SentemaRBT-Sentema'!J37,'26.07 SentemaRBT-Sentema-24h'!J37,'27.07 SentemaRBT-Sentema-24h'!J37,'28.07 SentemaRBT-Sentema'!J37)</f>
        <v>1.2857142857142858</v>
      </c>
      <c r="K37" s="49">
        <f>AVERAGE('22.07 SentemaRBT-Sentema'!K37,'23.07 Sentema RBT-Sentema'!K37,'24.07 SentemaRBT-Sentema'!K37,'25.07 SentemaRBT-Sentema'!K37,'26.07 SentemaRBT-Sentema-24h'!K37,'27.07 SentemaRBT-Sentema-24h'!K37,'28.07 SentemaRBT-Sentema'!K37)</f>
        <v>0.42857142857142855</v>
      </c>
      <c r="L37" s="49">
        <f>AVERAGE('22.07 SentemaRBT-Sentema'!L37,'23.07 Sentema RBT-Sentema'!L37,'24.07 SentemaRBT-Sentema'!L37,'25.07 SentemaRBT-Sentema'!L37,'26.07 SentemaRBT-Sentema-24h'!L37,'27.07 SentemaRBT-Sentema-24h'!L37,'28.07 SentemaRBT-Sentema'!L37)</f>
        <v>0.5714285714285714</v>
      </c>
      <c r="M37" s="49">
        <f>AVERAGE('22.07 SentemaRBT-Sentema'!M37,'23.07 Sentema RBT-Sentema'!M37,'24.07 SentemaRBT-Sentema'!M37,'25.07 SentemaRBT-Sentema'!M37,'26.07 SentemaRBT-Sentema-24h'!M37,'27.07 SentemaRBT-Sentema-24h'!M37,'28.07 SentemaRBT-Sentema'!M37)</f>
        <v>46.285714285714285</v>
      </c>
      <c r="N37" s="49">
        <f>AVERAGE('22.07 SentemaRBT-Sentema'!N37,'23.07 Sentema RBT-Sentema'!N37,'24.07 SentemaRBT-Sentema'!N37,'25.07 SentemaRBT-Sentema'!N37,'26.07 SentemaRBT-Sentema-24h'!N37,'27.07 SentemaRBT-Sentema-24h'!N37,'28.07 SentemaRBT-Sentema'!N37)</f>
        <v>0</v>
      </c>
      <c r="O37" s="15">
        <f t="shared" si="0"/>
        <v>29.142857142857142</v>
      </c>
      <c r="P37" s="15">
        <f t="shared" si="1"/>
        <v>75.428571428571431</v>
      </c>
      <c r="R37" s="37" t="s">
        <v>85</v>
      </c>
      <c r="S37" s="35">
        <f t="shared" ref="S37:AF37" si="29">SUM(S10:S12)</f>
        <v>96.571428571428569</v>
      </c>
      <c r="T37" s="16">
        <f t="shared" si="29"/>
        <v>19.142857142857142</v>
      </c>
      <c r="U37" s="16">
        <f t="shared" si="29"/>
        <v>18.285714285714285</v>
      </c>
      <c r="V37" s="16">
        <f t="shared" si="29"/>
        <v>132.57142857142856</v>
      </c>
      <c r="W37" s="16">
        <f t="shared" si="29"/>
        <v>3.4285714285714284</v>
      </c>
      <c r="X37" s="16">
        <f t="shared" si="29"/>
        <v>2.8571428571428568</v>
      </c>
      <c r="Y37" s="16">
        <f t="shared" si="29"/>
        <v>27.142857142857142</v>
      </c>
      <c r="Z37" s="16">
        <f t="shared" si="29"/>
        <v>15.857142857142856</v>
      </c>
      <c r="AA37" s="16">
        <f t="shared" si="29"/>
        <v>3</v>
      </c>
      <c r="AB37" s="16">
        <f t="shared" si="29"/>
        <v>1.2857142857142856</v>
      </c>
      <c r="AC37" s="16">
        <f t="shared" si="29"/>
        <v>482.42857142857144</v>
      </c>
      <c r="AD37" s="16">
        <f t="shared" si="29"/>
        <v>0</v>
      </c>
      <c r="AE37" s="32">
        <f t="shared" si="29"/>
        <v>320.14285714285711</v>
      </c>
      <c r="AF37" s="32">
        <f t="shared" si="29"/>
        <v>802.57142857142844</v>
      </c>
    </row>
    <row r="38" spans="2:32" ht="23.1" customHeight="1" x14ac:dyDescent="0.25">
      <c r="B38" s="24" t="s">
        <v>65</v>
      </c>
      <c r="C38" s="49">
        <f>AVERAGE('22.07 SentemaRBT-Sentema'!C38,'23.07 Sentema RBT-Sentema'!C38,'24.07 SentemaRBT-Sentema'!C38,'25.07 SentemaRBT-Sentema'!C38,'26.07 SentemaRBT-Sentema-24h'!C38,'27.07 SentemaRBT-Sentema-24h'!C38,'28.07 SentemaRBT-Sentema'!C38)</f>
        <v>14.571428571428571</v>
      </c>
      <c r="D38" s="49">
        <f>AVERAGE('22.07 SentemaRBT-Sentema'!D38,'23.07 Sentema RBT-Sentema'!D38,'24.07 SentemaRBT-Sentema'!D38,'25.07 SentemaRBT-Sentema'!D38,'26.07 SentemaRBT-Sentema-24h'!D38,'27.07 SentemaRBT-Sentema-24h'!D38,'28.07 SentemaRBT-Sentema'!D38)</f>
        <v>2</v>
      </c>
      <c r="E38" s="49">
        <f>AVERAGE('22.07 SentemaRBT-Sentema'!E38,'23.07 Sentema RBT-Sentema'!E38,'24.07 SentemaRBT-Sentema'!E38,'25.07 SentemaRBT-Sentema'!E38,'26.07 SentemaRBT-Sentema-24h'!E38,'27.07 SentemaRBT-Sentema-24h'!E38,'28.07 SentemaRBT-Sentema'!E38)</f>
        <v>3.7142857142857144</v>
      </c>
      <c r="F38" s="49">
        <f>AVERAGE('22.07 SentemaRBT-Sentema'!F38,'23.07 Sentema RBT-Sentema'!F38,'24.07 SentemaRBT-Sentema'!F38,'25.07 SentemaRBT-Sentema'!F38,'26.07 SentemaRBT-Sentema-24h'!F38,'27.07 SentemaRBT-Sentema-24h'!F38,'28.07 SentemaRBT-Sentema'!F38)</f>
        <v>9</v>
      </c>
      <c r="G38" s="49">
        <f>AVERAGE('22.07 SentemaRBT-Sentema'!G38,'23.07 Sentema RBT-Sentema'!G38,'24.07 SentemaRBT-Sentema'!G38,'25.07 SentemaRBT-Sentema'!G38,'26.07 SentemaRBT-Sentema-24h'!G38,'27.07 SentemaRBT-Sentema-24h'!G38,'28.07 SentemaRBT-Sentema'!G38)</f>
        <v>0.14285714285714285</v>
      </c>
      <c r="H38" s="49">
        <f>AVERAGE('22.07 SentemaRBT-Sentema'!H38,'23.07 Sentema RBT-Sentema'!H38,'24.07 SentemaRBT-Sentema'!H38,'25.07 SentemaRBT-Sentema'!H38,'26.07 SentemaRBT-Sentema-24h'!H38,'27.07 SentemaRBT-Sentema-24h'!H38,'28.07 SentemaRBT-Sentema'!H38)</f>
        <v>0.14285714285714285</v>
      </c>
      <c r="I38" s="49">
        <f>AVERAGE('22.07 SentemaRBT-Sentema'!I38,'23.07 Sentema RBT-Sentema'!I38,'24.07 SentemaRBT-Sentema'!I38,'25.07 SentemaRBT-Sentema'!I38,'26.07 SentemaRBT-Sentema-24h'!I38,'27.07 SentemaRBT-Sentema-24h'!I38,'28.07 SentemaRBT-Sentema'!I38)</f>
        <v>4</v>
      </c>
      <c r="J38" s="49">
        <f>AVERAGE('22.07 SentemaRBT-Sentema'!J38,'23.07 Sentema RBT-Sentema'!J38,'24.07 SentemaRBT-Sentema'!J38,'25.07 SentemaRBT-Sentema'!J38,'26.07 SentemaRBT-Sentema-24h'!J38,'27.07 SentemaRBT-Sentema-24h'!J38,'28.07 SentemaRBT-Sentema'!J38)</f>
        <v>1.2857142857142858</v>
      </c>
      <c r="K38" s="49">
        <f>AVERAGE('22.07 SentemaRBT-Sentema'!K38,'23.07 Sentema RBT-Sentema'!K38,'24.07 SentemaRBT-Sentema'!K38,'25.07 SentemaRBT-Sentema'!K38,'26.07 SentemaRBT-Sentema-24h'!K38,'27.07 SentemaRBT-Sentema-24h'!K38,'28.07 SentemaRBT-Sentema'!K38)</f>
        <v>1.1428571428571428</v>
      </c>
      <c r="L38" s="49">
        <f>AVERAGE('22.07 SentemaRBT-Sentema'!L38,'23.07 Sentema RBT-Sentema'!L38,'24.07 SentemaRBT-Sentema'!L38,'25.07 SentemaRBT-Sentema'!L38,'26.07 SentemaRBT-Sentema-24h'!L38,'27.07 SentemaRBT-Sentema-24h'!L38,'28.07 SentemaRBT-Sentema'!L38)</f>
        <v>0</v>
      </c>
      <c r="M38" s="49">
        <f>AVERAGE('22.07 SentemaRBT-Sentema'!M38,'23.07 Sentema RBT-Sentema'!M38,'24.07 SentemaRBT-Sentema'!M38,'25.07 SentemaRBT-Sentema'!M38,'26.07 SentemaRBT-Sentema-24h'!M38,'27.07 SentemaRBT-Sentema-24h'!M38,'28.07 SentemaRBT-Sentema'!M38)</f>
        <v>42.428571428571431</v>
      </c>
      <c r="N38" s="49">
        <f>AVERAGE('22.07 SentemaRBT-Sentema'!N38,'23.07 Sentema RBT-Sentema'!N38,'24.07 SentemaRBT-Sentema'!N38,'25.07 SentemaRBT-Sentema'!N38,'26.07 SentemaRBT-Sentema-24h'!N38,'27.07 SentemaRBT-Sentema-24h'!N38,'28.07 SentemaRBT-Sentema'!N38)</f>
        <v>0</v>
      </c>
      <c r="O38" s="15">
        <f t="shared" si="0"/>
        <v>36</v>
      </c>
      <c r="P38" s="15">
        <f t="shared" si="1"/>
        <v>78.428571428571431</v>
      </c>
      <c r="R38" s="28" t="s">
        <v>86</v>
      </c>
      <c r="S38" s="16">
        <f t="shared" ref="S38:AF38" si="30">SUM(S13:S18)</f>
        <v>274.14285714285717</v>
      </c>
      <c r="T38" s="16">
        <f t="shared" si="30"/>
        <v>51.428571428571431</v>
      </c>
      <c r="U38" s="16">
        <f t="shared" si="30"/>
        <v>69.714285714285708</v>
      </c>
      <c r="V38" s="16">
        <f t="shared" si="30"/>
        <v>226.57142857142858</v>
      </c>
      <c r="W38" s="16">
        <f t="shared" si="30"/>
        <v>3.2857142857142851</v>
      </c>
      <c r="X38" s="16">
        <f t="shared" si="30"/>
        <v>1.5714285714285712</v>
      </c>
      <c r="Y38" s="16">
        <f t="shared" si="30"/>
        <v>90</v>
      </c>
      <c r="Z38" s="16">
        <f t="shared" si="30"/>
        <v>25.142857142857146</v>
      </c>
      <c r="AA38" s="16">
        <f t="shared" si="30"/>
        <v>10.857142857142856</v>
      </c>
      <c r="AB38" s="16">
        <f t="shared" si="30"/>
        <v>2.5714285714285712</v>
      </c>
      <c r="AC38" s="16">
        <f t="shared" si="30"/>
        <v>1064.4285714285716</v>
      </c>
      <c r="AD38" s="16">
        <f t="shared" si="30"/>
        <v>0.2857142857142857</v>
      </c>
      <c r="AE38" s="32">
        <f t="shared" si="30"/>
        <v>755.57142857142844</v>
      </c>
      <c r="AF38" s="32">
        <f t="shared" si="30"/>
        <v>1820</v>
      </c>
    </row>
    <row r="39" spans="2:32" ht="23.1" customHeight="1" x14ac:dyDescent="0.25">
      <c r="B39" s="24" t="s">
        <v>66</v>
      </c>
      <c r="C39" s="49">
        <f>AVERAGE('22.07 SentemaRBT-Sentema'!C39,'23.07 Sentema RBT-Sentema'!C39,'24.07 SentemaRBT-Sentema'!C39,'25.07 SentemaRBT-Sentema'!C39,'26.07 SentemaRBT-Sentema-24h'!C39,'27.07 SentemaRBT-Sentema-24h'!C39,'28.07 SentemaRBT-Sentema'!C39)</f>
        <v>11.857142857142858</v>
      </c>
      <c r="D39" s="49">
        <f>AVERAGE('22.07 SentemaRBT-Sentema'!D39,'23.07 Sentema RBT-Sentema'!D39,'24.07 SentemaRBT-Sentema'!D39,'25.07 SentemaRBT-Sentema'!D39,'26.07 SentemaRBT-Sentema-24h'!D39,'27.07 SentemaRBT-Sentema-24h'!D39,'28.07 SentemaRBT-Sentema'!D39)</f>
        <v>1.5714285714285714</v>
      </c>
      <c r="E39" s="49">
        <f>AVERAGE('22.07 SentemaRBT-Sentema'!E39,'23.07 Sentema RBT-Sentema'!E39,'24.07 SentemaRBT-Sentema'!E39,'25.07 SentemaRBT-Sentema'!E39,'26.07 SentemaRBT-Sentema-24h'!E39,'27.07 SentemaRBT-Sentema-24h'!E39,'28.07 SentemaRBT-Sentema'!E39)</f>
        <v>2.7142857142857144</v>
      </c>
      <c r="F39" s="49">
        <f>AVERAGE('22.07 SentemaRBT-Sentema'!F39,'23.07 Sentema RBT-Sentema'!F39,'24.07 SentemaRBT-Sentema'!F39,'25.07 SentemaRBT-Sentema'!F39,'26.07 SentemaRBT-Sentema-24h'!F39,'27.07 SentemaRBT-Sentema-24h'!F39,'28.07 SentemaRBT-Sentema'!F39)</f>
        <v>7.7142857142857144</v>
      </c>
      <c r="G39" s="49">
        <f>AVERAGE('22.07 SentemaRBT-Sentema'!G39,'23.07 Sentema RBT-Sentema'!G39,'24.07 SentemaRBT-Sentema'!G39,'25.07 SentemaRBT-Sentema'!G39,'26.07 SentemaRBT-Sentema-24h'!G39,'27.07 SentemaRBT-Sentema-24h'!G39,'28.07 SentemaRBT-Sentema'!G39)</f>
        <v>0</v>
      </c>
      <c r="H39" s="49">
        <f>AVERAGE('22.07 SentemaRBT-Sentema'!H39,'23.07 Sentema RBT-Sentema'!H39,'24.07 SentemaRBT-Sentema'!H39,'25.07 SentemaRBT-Sentema'!H39,'26.07 SentemaRBT-Sentema-24h'!H39,'27.07 SentemaRBT-Sentema-24h'!H39,'28.07 SentemaRBT-Sentema'!H39)</f>
        <v>0</v>
      </c>
      <c r="I39" s="49">
        <f>AVERAGE('22.07 SentemaRBT-Sentema'!I39,'23.07 Sentema RBT-Sentema'!I39,'24.07 SentemaRBT-Sentema'!I39,'25.07 SentemaRBT-Sentema'!I39,'26.07 SentemaRBT-Sentema-24h'!I39,'27.07 SentemaRBT-Sentema-24h'!I39,'28.07 SentemaRBT-Sentema'!I39)</f>
        <v>3.2857142857142856</v>
      </c>
      <c r="J39" s="49">
        <f>AVERAGE('22.07 SentemaRBT-Sentema'!J39,'23.07 Sentema RBT-Sentema'!J39,'24.07 SentemaRBT-Sentema'!J39,'25.07 SentemaRBT-Sentema'!J39,'26.07 SentemaRBT-Sentema-24h'!J39,'27.07 SentemaRBT-Sentema-24h'!J39,'28.07 SentemaRBT-Sentema'!J39)</f>
        <v>0.42857142857142855</v>
      </c>
      <c r="K39" s="49">
        <f>AVERAGE('22.07 SentemaRBT-Sentema'!K39,'23.07 Sentema RBT-Sentema'!K39,'24.07 SentemaRBT-Sentema'!K39,'25.07 SentemaRBT-Sentema'!K39,'26.07 SentemaRBT-Sentema-24h'!K39,'27.07 SentemaRBT-Sentema-24h'!K39,'28.07 SentemaRBT-Sentema'!K39)</f>
        <v>0.2857142857142857</v>
      </c>
      <c r="L39" s="49">
        <f>AVERAGE('22.07 SentemaRBT-Sentema'!L39,'23.07 Sentema RBT-Sentema'!L39,'24.07 SentemaRBT-Sentema'!L39,'25.07 SentemaRBT-Sentema'!L39,'26.07 SentemaRBT-Sentema-24h'!L39,'27.07 SentemaRBT-Sentema-24h'!L39,'28.07 SentemaRBT-Sentema'!L39)</f>
        <v>0</v>
      </c>
      <c r="M39" s="49">
        <f>AVERAGE('22.07 SentemaRBT-Sentema'!M39,'23.07 Sentema RBT-Sentema'!M39,'24.07 SentemaRBT-Sentema'!M39,'25.07 SentemaRBT-Sentema'!M39,'26.07 SentemaRBT-Sentema-24h'!M39,'27.07 SentemaRBT-Sentema-24h'!M39,'28.07 SentemaRBT-Sentema'!M39)</f>
        <v>41.285714285714285</v>
      </c>
      <c r="N39" s="49">
        <f>AVERAGE('22.07 SentemaRBT-Sentema'!N39,'23.07 Sentema RBT-Sentema'!N39,'24.07 SentemaRBT-Sentema'!N39,'25.07 SentemaRBT-Sentema'!N39,'26.07 SentemaRBT-Sentema-24h'!N39,'27.07 SentemaRBT-Sentema-24h'!N39,'28.07 SentemaRBT-Sentema'!N39)</f>
        <v>0</v>
      </c>
      <c r="O39" s="15">
        <f t="shared" si="0"/>
        <v>27.857142857142854</v>
      </c>
      <c r="P39" s="15">
        <f t="shared" si="1"/>
        <v>69.142857142857139</v>
      </c>
      <c r="R39" s="29" t="s">
        <v>87</v>
      </c>
      <c r="S39" s="16">
        <f t="shared" ref="S39:AF39" si="31">SUM(S19:S21)</f>
        <v>247</v>
      </c>
      <c r="T39" s="16">
        <f t="shared" si="31"/>
        <v>47.285714285714285</v>
      </c>
      <c r="U39" s="16">
        <f t="shared" si="31"/>
        <v>28.428571428571431</v>
      </c>
      <c r="V39" s="16">
        <f t="shared" si="31"/>
        <v>127.42857142857143</v>
      </c>
      <c r="W39" s="16">
        <f t="shared" si="31"/>
        <v>4</v>
      </c>
      <c r="X39" s="16">
        <f t="shared" si="31"/>
        <v>0.14285714285714285</v>
      </c>
      <c r="Y39" s="16">
        <f t="shared" si="31"/>
        <v>35.714285714285715</v>
      </c>
      <c r="Z39" s="16">
        <f t="shared" si="31"/>
        <v>11.571428571428569</v>
      </c>
      <c r="AA39" s="16">
        <f t="shared" si="31"/>
        <v>6.2857142857142847</v>
      </c>
      <c r="AB39" s="16">
        <f t="shared" si="31"/>
        <v>1.4285714285714284</v>
      </c>
      <c r="AC39" s="16">
        <f t="shared" si="31"/>
        <v>578.57142857142856</v>
      </c>
      <c r="AD39" s="16">
        <f t="shared" si="31"/>
        <v>0.14285714285714285</v>
      </c>
      <c r="AE39" s="32">
        <f t="shared" si="31"/>
        <v>509.42857142857144</v>
      </c>
      <c r="AF39" s="32">
        <f t="shared" si="31"/>
        <v>1088</v>
      </c>
    </row>
    <row r="40" spans="2:32" ht="23.1" customHeight="1" x14ac:dyDescent="0.25">
      <c r="B40" s="24" t="s">
        <v>67</v>
      </c>
      <c r="C40" s="49">
        <f>AVERAGE('22.07 SentemaRBT-Sentema'!C40,'23.07 Sentema RBT-Sentema'!C40,'24.07 SentemaRBT-Sentema'!C40,'25.07 SentemaRBT-Sentema'!C40,'26.07 SentemaRBT-Sentema-24h'!C40,'27.07 SentemaRBT-Sentema-24h'!C40,'28.07 SentemaRBT-Sentema'!C40)</f>
        <v>10.857142857142858</v>
      </c>
      <c r="D40" s="49">
        <f>AVERAGE('22.07 SentemaRBT-Sentema'!D40,'23.07 Sentema RBT-Sentema'!D40,'24.07 SentemaRBT-Sentema'!D40,'25.07 SentemaRBT-Sentema'!D40,'26.07 SentemaRBT-Sentema-24h'!D40,'27.07 SentemaRBT-Sentema-24h'!D40,'28.07 SentemaRBT-Sentema'!D40)</f>
        <v>1.4285714285714286</v>
      </c>
      <c r="E40" s="49">
        <f>AVERAGE('22.07 SentemaRBT-Sentema'!E40,'23.07 Sentema RBT-Sentema'!E40,'24.07 SentemaRBT-Sentema'!E40,'25.07 SentemaRBT-Sentema'!E40,'26.07 SentemaRBT-Sentema-24h'!E40,'27.07 SentemaRBT-Sentema-24h'!E40,'28.07 SentemaRBT-Sentema'!E40)</f>
        <v>2</v>
      </c>
      <c r="F40" s="49">
        <f>AVERAGE('22.07 SentemaRBT-Sentema'!F40,'23.07 Sentema RBT-Sentema'!F40,'24.07 SentemaRBT-Sentema'!F40,'25.07 SentemaRBT-Sentema'!F40,'26.07 SentemaRBT-Sentema-24h'!F40,'27.07 SentemaRBT-Sentema-24h'!F40,'28.07 SentemaRBT-Sentema'!F40)</f>
        <v>8.5714285714285712</v>
      </c>
      <c r="G40" s="49">
        <f>AVERAGE('22.07 SentemaRBT-Sentema'!G40,'23.07 Sentema RBT-Sentema'!G40,'24.07 SentemaRBT-Sentema'!G40,'25.07 SentemaRBT-Sentema'!G40,'26.07 SentemaRBT-Sentema-24h'!G40,'27.07 SentemaRBT-Sentema-24h'!G40,'28.07 SentemaRBT-Sentema'!G40)</f>
        <v>0</v>
      </c>
      <c r="H40" s="49">
        <f>AVERAGE('22.07 SentemaRBT-Sentema'!H40,'23.07 Sentema RBT-Sentema'!H40,'24.07 SentemaRBT-Sentema'!H40,'25.07 SentemaRBT-Sentema'!H40,'26.07 SentemaRBT-Sentema-24h'!H40,'27.07 SentemaRBT-Sentema-24h'!H40,'28.07 SentemaRBT-Sentema'!H40)</f>
        <v>0.14285714285714285</v>
      </c>
      <c r="I40" s="49">
        <f>AVERAGE('22.07 SentemaRBT-Sentema'!I40,'23.07 Sentema RBT-Sentema'!I40,'24.07 SentemaRBT-Sentema'!I40,'25.07 SentemaRBT-Sentema'!I40,'26.07 SentemaRBT-Sentema-24h'!I40,'27.07 SentemaRBT-Sentema-24h'!I40,'28.07 SentemaRBT-Sentema'!I40)</f>
        <v>3</v>
      </c>
      <c r="J40" s="49">
        <f>AVERAGE('22.07 SentemaRBT-Sentema'!J40,'23.07 Sentema RBT-Sentema'!J40,'24.07 SentemaRBT-Sentema'!J40,'25.07 SentemaRBT-Sentema'!J40,'26.07 SentemaRBT-Sentema-24h'!J40,'27.07 SentemaRBT-Sentema-24h'!J40,'28.07 SentemaRBT-Sentema'!J40)</f>
        <v>0.8571428571428571</v>
      </c>
      <c r="K40" s="49">
        <f>AVERAGE('22.07 SentemaRBT-Sentema'!K40,'23.07 Sentema RBT-Sentema'!K40,'24.07 SentemaRBT-Sentema'!K40,'25.07 SentemaRBT-Sentema'!K40,'26.07 SentemaRBT-Sentema-24h'!K40,'27.07 SentemaRBT-Sentema-24h'!K40,'28.07 SentemaRBT-Sentema'!K40)</f>
        <v>0</v>
      </c>
      <c r="L40" s="49">
        <f>AVERAGE('22.07 SentemaRBT-Sentema'!L40,'23.07 Sentema RBT-Sentema'!L40,'24.07 SentemaRBT-Sentema'!L40,'25.07 SentemaRBT-Sentema'!L40,'26.07 SentemaRBT-Sentema-24h'!L40,'27.07 SentemaRBT-Sentema-24h'!L40,'28.07 SentemaRBT-Sentema'!L40)</f>
        <v>0</v>
      </c>
      <c r="M40" s="49">
        <f>AVERAGE('22.07 SentemaRBT-Sentema'!M40,'23.07 Sentema RBT-Sentema'!M40,'24.07 SentemaRBT-Sentema'!M40,'25.07 SentemaRBT-Sentema'!M40,'26.07 SentemaRBT-Sentema-24h'!M40,'27.07 SentemaRBT-Sentema-24h'!M40,'28.07 SentemaRBT-Sentema'!M40)</f>
        <v>41.428571428571431</v>
      </c>
      <c r="N40" s="49">
        <f>AVERAGE('22.07 SentemaRBT-Sentema'!N40,'23.07 Sentema RBT-Sentema'!N40,'24.07 SentemaRBT-Sentema'!N40,'25.07 SentemaRBT-Sentema'!N40,'26.07 SentemaRBT-Sentema-24h'!N40,'27.07 SentemaRBT-Sentema-24h'!N40,'28.07 SentemaRBT-Sentema'!N40)</f>
        <v>0</v>
      </c>
      <c r="O40" s="15">
        <f t="shared" si="0"/>
        <v>26.857142857142858</v>
      </c>
      <c r="P40" s="15">
        <f t="shared" si="1"/>
        <v>68.285714285714292</v>
      </c>
      <c r="R40" s="5" t="s">
        <v>17</v>
      </c>
      <c r="S40" s="16">
        <f t="shared" ref="S40:AF40" si="32">SUM(S10:S21)</f>
        <v>617.71428571428567</v>
      </c>
      <c r="T40" s="16">
        <f t="shared" si="32"/>
        <v>117.85714285714286</v>
      </c>
      <c r="U40" s="16">
        <f t="shared" si="32"/>
        <v>116.42857142857144</v>
      </c>
      <c r="V40" s="16">
        <f t="shared" si="32"/>
        <v>486.57142857142856</v>
      </c>
      <c r="W40" s="16">
        <f t="shared" si="32"/>
        <v>10.714285714285715</v>
      </c>
      <c r="X40" s="16">
        <f t="shared" si="32"/>
        <v>4.5714285714285712</v>
      </c>
      <c r="Y40" s="16">
        <f t="shared" si="32"/>
        <v>152.85714285714286</v>
      </c>
      <c r="Z40" s="16">
        <f t="shared" si="32"/>
        <v>52.571428571428584</v>
      </c>
      <c r="AA40" s="16">
        <f t="shared" si="32"/>
        <v>20.142857142857139</v>
      </c>
      <c r="AB40" s="16">
        <f t="shared" si="32"/>
        <v>5.2857142857142847</v>
      </c>
      <c r="AC40" s="16">
        <f t="shared" si="32"/>
        <v>2125.4285714285716</v>
      </c>
      <c r="AD40" s="16">
        <f t="shared" si="32"/>
        <v>0.42857142857142855</v>
      </c>
      <c r="AE40" s="32">
        <f t="shared" si="32"/>
        <v>1585.1428571428571</v>
      </c>
      <c r="AF40" s="32">
        <f t="shared" si="32"/>
        <v>3710.5714285714284</v>
      </c>
    </row>
    <row r="41" spans="2:32" ht="23.1" customHeight="1" x14ac:dyDescent="0.25">
      <c r="B41" s="23" t="s">
        <v>68</v>
      </c>
      <c r="C41" s="49">
        <f>AVERAGE('22.07 SentemaRBT-Sentema'!C41,'23.07 Sentema RBT-Sentema'!C41,'24.07 SentemaRBT-Sentema'!C41,'25.07 SentemaRBT-Sentema'!C41,'26.07 SentemaRBT-Sentema-24h'!C41,'27.07 SentemaRBT-Sentema-24h'!C41,'28.07 SentemaRBT-Sentema'!C41)</f>
        <v>9.8571428571428577</v>
      </c>
      <c r="D41" s="49">
        <f>AVERAGE('22.07 SentemaRBT-Sentema'!D41,'23.07 Sentema RBT-Sentema'!D41,'24.07 SentemaRBT-Sentema'!D41,'25.07 SentemaRBT-Sentema'!D41,'26.07 SentemaRBT-Sentema-24h'!D41,'27.07 SentemaRBT-Sentema-24h'!D41,'28.07 SentemaRBT-Sentema'!D41)</f>
        <v>1.8571428571428572</v>
      </c>
      <c r="E41" s="49">
        <f>AVERAGE('22.07 SentemaRBT-Sentema'!E41,'23.07 Sentema RBT-Sentema'!E41,'24.07 SentemaRBT-Sentema'!E41,'25.07 SentemaRBT-Sentema'!E41,'26.07 SentemaRBT-Sentema-24h'!E41,'27.07 SentemaRBT-Sentema-24h'!E41,'28.07 SentemaRBT-Sentema'!E41)</f>
        <v>2.8571428571428572</v>
      </c>
      <c r="F41" s="49">
        <f>AVERAGE('22.07 SentemaRBT-Sentema'!F41,'23.07 Sentema RBT-Sentema'!F41,'24.07 SentemaRBT-Sentema'!F41,'25.07 SentemaRBT-Sentema'!F41,'26.07 SentemaRBT-Sentema-24h'!F41,'27.07 SentemaRBT-Sentema-24h'!F41,'28.07 SentemaRBT-Sentema'!F41)</f>
        <v>8.4285714285714288</v>
      </c>
      <c r="G41" s="49">
        <f>AVERAGE('22.07 SentemaRBT-Sentema'!G41,'23.07 Sentema RBT-Sentema'!G41,'24.07 SentemaRBT-Sentema'!G41,'25.07 SentemaRBT-Sentema'!G41,'26.07 SentemaRBT-Sentema-24h'!G41,'27.07 SentemaRBT-Sentema-24h'!G41,'28.07 SentemaRBT-Sentema'!G41)</f>
        <v>0</v>
      </c>
      <c r="H41" s="49">
        <f>AVERAGE('22.07 SentemaRBT-Sentema'!H41,'23.07 Sentema RBT-Sentema'!H41,'24.07 SentemaRBT-Sentema'!H41,'25.07 SentemaRBT-Sentema'!H41,'26.07 SentemaRBT-Sentema-24h'!H41,'27.07 SentemaRBT-Sentema-24h'!H41,'28.07 SentemaRBT-Sentema'!H41)</f>
        <v>0.14285714285714285</v>
      </c>
      <c r="I41" s="49">
        <f>AVERAGE('22.07 SentemaRBT-Sentema'!I41,'23.07 Sentema RBT-Sentema'!I41,'24.07 SentemaRBT-Sentema'!I41,'25.07 SentemaRBT-Sentema'!I41,'26.07 SentemaRBT-Sentema-24h'!I41,'27.07 SentemaRBT-Sentema-24h'!I41,'28.07 SentemaRBT-Sentema'!I41)</f>
        <v>3.1428571428571428</v>
      </c>
      <c r="J41" s="49">
        <f>AVERAGE('22.07 SentemaRBT-Sentema'!J41,'23.07 Sentema RBT-Sentema'!J41,'24.07 SentemaRBT-Sentema'!J41,'25.07 SentemaRBT-Sentema'!J41,'26.07 SentemaRBT-Sentema-24h'!J41,'27.07 SentemaRBT-Sentema-24h'!J41,'28.07 SentemaRBT-Sentema'!J41)</f>
        <v>1.1428571428571428</v>
      </c>
      <c r="K41" s="49">
        <f>AVERAGE('22.07 SentemaRBT-Sentema'!K41,'23.07 Sentema RBT-Sentema'!K41,'24.07 SentemaRBT-Sentema'!K41,'25.07 SentemaRBT-Sentema'!K41,'26.07 SentemaRBT-Sentema-24h'!K41,'27.07 SentemaRBT-Sentema-24h'!K41,'28.07 SentemaRBT-Sentema'!K41)</f>
        <v>0.2857142857142857</v>
      </c>
      <c r="L41" s="49">
        <f>AVERAGE('22.07 SentemaRBT-Sentema'!L41,'23.07 Sentema RBT-Sentema'!L41,'24.07 SentemaRBT-Sentema'!L41,'25.07 SentemaRBT-Sentema'!L41,'26.07 SentemaRBT-Sentema-24h'!L41,'27.07 SentemaRBT-Sentema-24h'!L41,'28.07 SentemaRBT-Sentema'!L41)</f>
        <v>0.14285714285714285</v>
      </c>
      <c r="M41" s="49">
        <f>AVERAGE('22.07 SentemaRBT-Sentema'!M41,'23.07 Sentema RBT-Sentema'!M41,'24.07 SentemaRBT-Sentema'!M41,'25.07 SentemaRBT-Sentema'!M41,'26.07 SentemaRBT-Sentema-24h'!M41,'27.07 SentemaRBT-Sentema-24h'!M41,'28.07 SentemaRBT-Sentema'!M41)</f>
        <v>43.857142857142854</v>
      </c>
      <c r="N41" s="49">
        <f>AVERAGE('22.07 SentemaRBT-Sentema'!N41,'23.07 Sentema RBT-Sentema'!N41,'24.07 SentemaRBT-Sentema'!N41,'25.07 SentemaRBT-Sentema'!N41,'26.07 SentemaRBT-Sentema-24h'!N41,'27.07 SentemaRBT-Sentema-24h'!N41,'28.07 SentemaRBT-Sentema'!N41)</f>
        <v>0</v>
      </c>
      <c r="O41" s="15">
        <f t="shared" si="0"/>
        <v>27.857142857142854</v>
      </c>
      <c r="P41" s="15">
        <f t="shared" si="1"/>
        <v>71.714285714285708</v>
      </c>
      <c r="R41" s="5" t="s">
        <v>185</v>
      </c>
      <c r="S41" s="16">
        <f>SUM(S10:S33)</f>
        <v>1001.7142857142857</v>
      </c>
      <c r="T41" s="16">
        <f t="shared" ref="T41:AD41" si="33">SUM(T10:T33)</f>
        <v>191.35714285714286</v>
      </c>
      <c r="U41" s="16">
        <f t="shared" si="33"/>
        <v>167.92857142857144</v>
      </c>
      <c r="V41" s="16">
        <f t="shared" si="33"/>
        <v>763.07142857142856</v>
      </c>
      <c r="W41" s="16">
        <f t="shared" si="33"/>
        <v>17.214285714285715</v>
      </c>
      <c r="X41" s="16">
        <f t="shared" si="33"/>
        <v>7.0714285714285712</v>
      </c>
      <c r="Y41" s="16">
        <f t="shared" si="33"/>
        <v>202.85714285714286</v>
      </c>
      <c r="Z41" s="16">
        <f t="shared" si="33"/>
        <v>65.571428571428584</v>
      </c>
      <c r="AA41" s="16">
        <f t="shared" si="33"/>
        <v>35.642857142857139</v>
      </c>
      <c r="AB41" s="16">
        <f t="shared" si="33"/>
        <v>13.285714285714285</v>
      </c>
      <c r="AC41" s="16">
        <f t="shared" si="33"/>
        <v>2918.4285714285716</v>
      </c>
      <c r="AD41" s="16">
        <f t="shared" si="33"/>
        <v>0.42857142857142855</v>
      </c>
      <c r="AE41" s="32">
        <f>SUM(AE10:AE33)</f>
        <v>2466.1428571428569</v>
      </c>
      <c r="AF41" s="32">
        <f>SUM(AF10:AF33)</f>
        <v>5384.5714285714284</v>
      </c>
    </row>
    <row r="42" spans="2:32" ht="23.1" customHeight="1" x14ac:dyDescent="0.25">
      <c r="B42" s="24" t="s">
        <v>69</v>
      </c>
      <c r="C42" s="49">
        <f>AVERAGE('22.07 SentemaRBT-Sentema'!C42,'23.07 Sentema RBT-Sentema'!C42,'24.07 SentemaRBT-Sentema'!C42,'25.07 SentemaRBT-Sentema'!C42,'26.07 SentemaRBT-Sentema-24h'!C42,'27.07 SentemaRBT-Sentema-24h'!C42,'28.07 SentemaRBT-Sentema'!C42)</f>
        <v>13.142857142857142</v>
      </c>
      <c r="D42" s="49">
        <f>AVERAGE('22.07 SentemaRBT-Sentema'!D42,'23.07 Sentema RBT-Sentema'!D42,'24.07 SentemaRBT-Sentema'!D42,'25.07 SentemaRBT-Sentema'!D42,'26.07 SentemaRBT-Sentema-24h'!D42,'27.07 SentemaRBT-Sentema-24h'!D42,'28.07 SentemaRBT-Sentema'!D42)</f>
        <v>2.1428571428571428</v>
      </c>
      <c r="E42" s="49">
        <f>AVERAGE('22.07 SentemaRBT-Sentema'!E42,'23.07 Sentema RBT-Sentema'!E42,'24.07 SentemaRBT-Sentema'!E42,'25.07 SentemaRBT-Sentema'!E42,'26.07 SentemaRBT-Sentema-24h'!E42,'27.07 SentemaRBT-Sentema-24h'!E42,'28.07 SentemaRBT-Sentema'!E42)</f>
        <v>3.7142857142857144</v>
      </c>
      <c r="F42" s="49">
        <f>AVERAGE('22.07 SentemaRBT-Sentema'!F42,'23.07 Sentema RBT-Sentema'!F42,'24.07 SentemaRBT-Sentema'!F42,'25.07 SentemaRBT-Sentema'!F42,'26.07 SentemaRBT-Sentema-24h'!F42,'27.07 SentemaRBT-Sentema-24h'!F42,'28.07 SentemaRBT-Sentema'!F42)</f>
        <v>8.2857142857142865</v>
      </c>
      <c r="G42" s="49">
        <f>AVERAGE('22.07 SentemaRBT-Sentema'!G42,'23.07 Sentema RBT-Sentema'!G42,'24.07 SentemaRBT-Sentema'!G42,'25.07 SentemaRBT-Sentema'!G42,'26.07 SentemaRBT-Sentema-24h'!G42,'27.07 SentemaRBT-Sentema-24h'!G42,'28.07 SentemaRBT-Sentema'!G42)</f>
        <v>0</v>
      </c>
      <c r="H42" s="49">
        <f>AVERAGE('22.07 SentemaRBT-Sentema'!H42,'23.07 Sentema RBT-Sentema'!H42,'24.07 SentemaRBT-Sentema'!H42,'25.07 SentemaRBT-Sentema'!H42,'26.07 SentemaRBT-Sentema-24h'!H42,'27.07 SentemaRBT-Sentema-24h'!H42,'28.07 SentemaRBT-Sentema'!H42)</f>
        <v>0.2857142857142857</v>
      </c>
      <c r="I42" s="49">
        <f>AVERAGE('22.07 SentemaRBT-Sentema'!I42,'23.07 Sentema RBT-Sentema'!I42,'24.07 SentemaRBT-Sentema'!I42,'25.07 SentemaRBT-Sentema'!I42,'26.07 SentemaRBT-Sentema-24h'!I42,'27.07 SentemaRBT-Sentema-24h'!I42,'28.07 SentemaRBT-Sentema'!I42)</f>
        <v>2</v>
      </c>
      <c r="J42" s="49">
        <f>AVERAGE('22.07 SentemaRBT-Sentema'!J42,'23.07 Sentema RBT-Sentema'!J42,'24.07 SentemaRBT-Sentema'!J42,'25.07 SentemaRBT-Sentema'!J42,'26.07 SentemaRBT-Sentema-24h'!J42,'27.07 SentemaRBT-Sentema-24h'!J42,'28.07 SentemaRBT-Sentema'!J42)</f>
        <v>0.8571428571428571</v>
      </c>
      <c r="K42" s="49">
        <f>AVERAGE('22.07 SentemaRBT-Sentema'!K42,'23.07 Sentema RBT-Sentema'!K42,'24.07 SentemaRBT-Sentema'!K42,'25.07 SentemaRBT-Sentema'!K42,'26.07 SentemaRBT-Sentema-24h'!K42,'27.07 SentemaRBT-Sentema-24h'!K42,'28.07 SentemaRBT-Sentema'!K42)</f>
        <v>0.14285714285714285</v>
      </c>
      <c r="L42" s="49">
        <f>AVERAGE('22.07 SentemaRBT-Sentema'!L42,'23.07 Sentema RBT-Sentema'!L42,'24.07 SentemaRBT-Sentema'!L42,'25.07 SentemaRBT-Sentema'!L42,'26.07 SentemaRBT-Sentema-24h'!L42,'27.07 SentemaRBT-Sentema-24h'!L42,'28.07 SentemaRBT-Sentema'!L42)</f>
        <v>0</v>
      </c>
      <c r="M42" s="49">
        <f>AVERAGE('22.07 SentemaRBT-Sentema'!M42,'23.07 Sentema RBT-Sentema'!M42,'24.07 SentemaRBT-Sentema'!M42,'25.07 SentemaRBT-Sentema'!M42,'26.07 SentemaRBT-Sentema-24h'!M42,'27.07 SentemaRBT-Sentema-24h'!M42,'28.07 SentemaRBT-Sentema'!M42)</f>
        <v>38.428571428571431</v>
      </c>
      <c r="N42" s="49">
        <f>AVERAGE('22.07 SentemaRBT-Sentema'!N42,'23.07 Sentema RBT-Sentema'!N42,'24.07 SentemaRBT-Sentema'!N42,'25.07 SentemaRBT-Sentema'!N42,'26.07 SentemaRBT-Sentema-24h'!N42,'27.07 SentemaRBT-Sentema-24h'!N42,'28.07 SentemaRBT-Sentema'!N42)</f>
        <v>0</v>
      </c>
      <c r="O42" s="15">
        <f t="shared" si="0"/>
        <v>30.571428571428569</v>
      </c>
      <c r="P42" s="15">
        <f t="shared" si="1"/>
        <v>69</v>
      </c>
      <c r="R42" s="5" t="s">
        <v>160</v>
      </c>
      <c r="S42" s="48">
        <f>S41/S40</f>
        <v>1.6216466234967624</v>
      </c>
      <c r="T42" s="48">
        <f t="shared" ref="T42:AF42" si="34">T41/T40</f>
        <v>1.6236363636363635</v>
      </c>
      <c r="U42" s="48">
        <f t="shared" si="34"/>
        <v>1.4423312883435582</v>
      </c>
      <c r="V42" s="48">
        <f t="shared" si="34"/>
        <v>1.5682618907809747</v>
      </c>
      <c r="W42" s="48">
        <f t="shared" si="34"/>
        <v>1.6066666666666667</v>
      </c>
      <c r="X42" s="48">
        <f t="shared" si="34"/>
        <v>1.546875</v>
      </c>
      <c r="Y42" s="48">
        <f t="shared" si="34"/>
        <v>1.3271028037383177</v>
      </c>
      <c r="Z42" s="48">
        <f t="shared" si="34"/>
        <v>1.2472826086956521</v>
      </c>
      <c r="AA42" s="48">
        <f t="shared" si="34"/>
        <v>1.7695035460992909</v>
      </c>
      <c r="AB42" s="48">
        <f t="shared" si="34"/>
        <v>2.5135135135135136</v>
      </c>
      <c r="AC42" s="48">
        <f t="shared" si="34"/>
        <v>1.3731012232826993</v>
      </c>
      <c r="AD42" s="48">
        <f t="shared" si="34"/>
        <v>1</v>
      </c>
      <c r="AE42" s="53">
        <f t="shared" si="34"/>
        <v>1.5557858687815427</v>
      </c>
      <c r="AF42" s="53">
        <f t="shared" si="34"/>
        <v>1.4511434511434511</v>
      </c>
    </row>
    <row r="43" spans="2:32" ht="23.1" customHeight="1" x14ac:dyDescent="0.25">
      <c r="B43" s="23" t="s">
        <v>70</v>
      </c>
      <c r="C43" s="49">
        <f>AVERAGE('22.07 SentemaRBT-Sentema'!C43,'23.07 Sentema RBT-Sentema'!C43,'24.07 SentemaRBT-Sentema'!C43,'25.07 SentemaRBT-Sentema'!C43,'26.07 SentemaRBT-Sentema-24h'!C43,'27.07 SentemaRBT-Sentema-24h'!C43,'28.07 SentemaRBT-Sentema'!C43)</f>
        <v>14</v>
      </c>
      <c r="D43" s="49">
        <f>AVERAGE('22.07 SentemaRBT-Sentema'!D43,'23.07 Sentema RBT-Sentema'!D43,'24.07 SentemaRBT-Sentema'!D43,'25.07 SentemaRBT-Sentema'!D43,'26.07 SentemaRBT-Sentema-24h'!D43,'27.07 SentemaRBT-Sentema-24h'!D43,'28.07 SentemaRBT-Sentema'!D43)</f>
        <v>3.1428571428571428</v>
      </c>
      <c r="E43" s="49">
        <f>AVERAGE('22.07 SentemaRBT-Sentema'!E43,'23.07 Sentema RBT-Sentema'!E43,'24.07 SentemaRBT-Sentema'!E43,'25.07 SentemaRBT-Sentema'!E43,'26.07 SentemaRBT-Sentema-24h'!E43,'27.07 SentemaRBT-Sentema-24h'!E43,'28.07 SentemaRBT-Sentema'!E43)</f>
        <v>2.4285714285714284</v>
      </c>
      <c r="F43" s="49">
        <f>AVERAGE('22.07 SentemaRBT-Sentema'!F43,'23.07 Sentema RBT-Sentema'!F43,'24.07 SentemaRBT-Sentema'!F43,'25.07 SentemaRBT-Sentema'!F43,'26.07 SentemaRBT-Sentema-24h'!F43,'27.07 SentemaRBT-Sentema-24h'!F43,'28.07 SentemaRBT-Sentema'!F43)</f>
        <v>8.4285714285714288</v>
      </c>
      <c r="G43" s="49">
        <f>AVERAGE('22.07 SentemaRBT-Sentema'!G43,'23.07 Sentema RBT-Sentema'!G43,'24.07 SentemaRBT-Sentema'!G43,'25.07 SentemaRBT-Sentema'!G43,'26.07 SentemaRBT-Sentema-24h'!G43,'27.07 SentemaRBT-Sentema-24h'!G43,'28.07 SentemaRBT-Sentema'!G43)</f>
        <v>0</v>
      </c>
      <c r="H43" s="49">
        <f>AVERAGE('22.07 SentemaRBT-Sentema'!H43,'23.07 Sentema RBT-Sentema'!H43,'24.07 SentemaRBT-Sentema'!H43,'25.07 SentemaRBT-Sentema'!H43,'26.07 SentemaRBT-Sentema-24h'!H43,'27.07 SentemaRBT-Sentema-24h'!H43,'28.07 SentemaRBT-Sentema'!H43)</f>
        <v>0</v>
      </c>
      <c r="I43" s="49">
        <f>AVERAGE('22.07 SentemaRBT-Sentema'!I43,'23.07 Sentema RBT-Sentema'!I43,'24.07 SentemaRBT-Sentema'!I43,'25.07 SentemaRBT-Sentema'!I43,'26.07 SentemaRBT-Sentema-24h'!I43,'27.07 SentemaRBT-Sentema-24h'!I43,'28.07 SentemaRBT-Sentema'!I43)</f>
        <v>5.2857142857142856</v>
      </c>
      <c r="J43" s="49">
        <f>AVERAGE('22.07 SentemaRBT-Sentema'!J43,'23.07 Sentema RBT-Sentema'!J43,'24.07 SentemaRBT-Sentema'!J43,'25.07 SentemaRBT-Sentema'!J43,'26.07 SentemaRBT-Sentema-24h'!J43,'27.07 SentemaRBT-Sentema-24h'!J43,'28.07 SentemaRBT-Sentema'!J43)</f>
        <v>0.8571428571428571</v>
      </c>
      <c r="K43" s="49">
        <f>AVERAGE('22.07 SentemaRBT-Sentema'!K43,'23.07 Sentema RBT-Sentema'!K43,'24.07 SentemaRBT-Sentema'!K43,'25.07 SentemaRBT-Sentema'!K43,'26.07 SentemaRBT-Sentema-24h'!K43,'27.07 SentemaRBT-Sentema-24h'!K43,'28.07 SentemaRBT-Sentema'!K43)</f>
        <v>0.7142857142857143</v>
      </c>
      <c r="L43" s="49">
        <f>AVERAGE('22.07 SentemaRBT-Sentema'!L43,'23.07 Sentema RBT-Sentema'!L43,'24.07 SentemaRBT-Sentema'!L43,'25.07 SentemaRBT-Sentema'!L43,'26.07 SentemaRBT-Sentema-24h'!L43,'27.07 SentemaRBT-Sentema-24h'!L43,'28.07 SentemaRBT-Sentema'!L43)</f>
        <v>0.14285714285714285</v>
      </c>
      <c r="M43" s="49">
        <f>AVERAGE('22.07 SentemaRBT-Sentema'!M43,'23.07 Sentema RBT-Sentema'!M43,'24.07 SentemaRBT-Sentema'!M43,'25.07 SentemaRBT-Sentema'!M43,'26.07 SentemaRBT-Sentema-24h'!M43,'27.07 SentemaRBT-Sentema-24h'!M43,'28.07 SentemaRBT-Sentema'!M43)</f>
        <v>37.428571428571431</v>
      </c>
      <c r="N43" s="49">
        <f>AVERAGE('22.07 SentemaRBT-Sentema'!N43,'23.07 Sentema RBT-Sentema'!N43,'24.07 SentemaRBT-Sentema'!N43,'25.07 SentemaRBT-Sentema'!N43,'26.07 SentemaRBT-Sentema-24h'!N43,'27.07 SentemaRBT-Sentema-24h'!N43,'28.07 SentemaRBT-Sentema'!N43)</f>
        <v>0</v>
      </c>
      <c r="O43" s="15">
        <f t="shared" si="0"/>
        <v>35</v>
      </c>
      <c r="P43" s="15">
        <f t="shared" si="1"/>
        <v>72.428571428571431</v>
      </c>
    </row>
    <row r="44" spans="2:32" ht="23.1" customHeight="1" x14ac:dyDescent="0.25">
      <c r="B44" s="25" t="s">
        <v>71</v>
      </c>
      <c r="C44" s="49">
        <f>AVERAGE('22.07 SentemaRBT-Sentema'!C44,'23.07 Sentema RBT-Sentema'!C44,'24.07 SentemaRBT-Sentema'!C44,'25.07 SentemaRBT-Sentema'!C44,'26.07 SentemaRBT-Sentema-24h'!C44,'27.07 SentemaRBT-Sentema-24h'!C44,'28.07 SentemaRBT-Sentema'!C44)</f>
        <v>13.142857142857142</v>
      </c>
      <c r="D44" s="49">
        <f>AVERAGE('22.07 SentemaRBT-Sentema'!D44,'23.07 Sentema RBT-Sentema'!D44,'24.07 SentemaRBT-Sentema'!D44,'25.07 SentemaRBT-Sentema'!D44,'26.07 SentemaRBT-Sentema-24h'!D44,'27.07 SentemaRBT-Sentema-24h'!D44,'28.07 SentemaRBT-Sentema'!D44)</f>
        <v>1.4285714285714286</v>
      </c>
      <c r="E44" s="49">
        <f>AVERAGE('22.07 SentemaRBT-Sentema'!E44,'23.07 Sentema RBT-Sentema'!E44,'24.07 SentemaRBT-Sentema'!E44,'25.07 SentemaRBT-Sentema'!E44,'26.07 SentemaRBT-Sentema-24h'!E44,'27.07 SentemaRBT-Sentema-24h'!E44,'28.07 SentemaRBT-Sentema'!E44)</f>
        <v>1.8571428571428572</v>
      </c>
      <c r="F44" s="49">
        <f>AVERAGE('22.07 SentemaRBT-Sentema'!F44,'23.07 Sentema RBT-Sentema'!F44,'24.07 SentemaRBT-Sentema'!F44,'25.07 SentemaRBT-Sentema'!F44,'26.07 SentemaRBT-Sentema-24h'!F44,'27.07 SentemaRBT-Sentema-24h'!F44,'28.07 SentemaRBT-Sentema'!F44)</f>
        <v>7.5714285714285712</v>
      </c>
      <c r="G44" s="49">
        <f>AVERAGE('22.07 SentemaRBT-Sentema'!G44,'23.07 Sentema RBT-Sentema'!G44,'24.07 SentemaRBT-Sentema'!G44,'25.07 SentemaRBT-Sentema'!G44,'26.07 SentemaRBT-Sentema-24h'!G44,'27.07 SentemaRBT-Sentema-24h'!G44,'28.07 SentemaRBT-Sentema'!G44)</f>
        <v>0</v>
      </c>
      <c r="H44" s="49">
        <f>AVERAGE('22.07 SentemaRBT-Sentema'!H44,'23.07 Sentema RBT-Sentema'!H44,'24.07 SentemaRBT-Sentema'!H44,'25.07 SentemaRBT-Sentema'!H44,'26.07 SentemaRBT-Sentema-24h'!H44,'27.07 SentemaRBT-Sentema-24h'!H44,'28.07 SentemaRBT-Sentema'!H44)</f>
        <v>0</v>
      </c>
      <c r="I44" s="49">
        <f>AVERAGE('22.07 SentemaRBT-Sentema'!I44,'23.07 Sentema RBT-Sentema'!I44,'24.07 SentemaRBT-Sentema'!I44,'25.07 SentemaRBT-Sentema'!I44,'26.07 SentemaRBT-Sentema-24h'!I44,'27.07 SentemaRBT-Sentema-24h'!I44,'28.07 SentemaRBT-Sentema'!I44)</f>
        <v>3.4285714285714284</v>
      </c>
      <c r="J44" s="49">
        <f>AVERAGE('22.07 SentemaRBT-Sentema'!J44,'23.07 Sentema RBT-Sentema'!J44,'24.07 SentemaRBT-Sentema'!J44,'25.07 SentemaRBT-Sentema'!J44,'26.07 SentemaRBT-Sentema-24h'!J44,'27.07 SentemaRBT-Sentema-24h'!J44,'28.07 SentemaRBT-Sentema'!J44)</f>
        <v>1</v>
      </c>
      <c r="K44" s="49">
        <f>AVERAGE('22.07 SentemaRBT-Sentema'!K44,'23.07 Sentema RBT-Sentema'!K44,'24.07 SentemaRBT-Sentema'!K44,'25.07 SentemaRBT-Sentema'!K44,'26.07 SentemaRBT-Sentema-24h'!K44,'27.07 SentemaRBT-Sentema-24h'!K44,'28.07 SentemaRBT-Sentema'!K44)</f>
        <v>0.42857142857142855</v>
      </c>
      <c r="L44" s="49">
        <f>AVERAGE('22.07 SentemaRBT-Sentema'!L44,'23.07 Sentema RBT-Sentema'!L44,'24.07 SentemaRBT-Sentema'!L44,'25.07 SentemaRBT-Sentema'!L44,'26.07 SentemaRBT-Sentema-24h'!L44,'27.07 SentemaRBT-Sentema-24h'!L44,'28.07 SentemaRBT-Sentema'!L44)</f>
        <v>0</v>
      </c>
      <c r="M44" s="49">
        <f>AVERAGE('22.07 SentemaRBT-Sentema'!M44,'23.07 Sentema RBT-Sentema'!M44,'24.07 SentemaRBT-Sentema'!M44,'25.07 SentemaRBT-Sentema'!M44,'26.07 SentemaRBT-Sentema-24h'!M44,'27.07 SentemaRBT-Sentema-24h'!M44,'28.07 SentemaRBT-Sentema'!M44)</f>
        <v>47.428571428571431</v>
      </c>
      <c r="N44" s="49">
        <f>AVERAGE('22.07 SentemaRBT-Sentema'!N44,'23.07 Sentema RBT-Sentema'!N44,'24.07 SentemaRBT-Sentema'!N44,'25.07 SentemaRBT-Sentema'!N44,'26.07 SentemaRBT-Sentema-24h'!N44,'27.07 SentemaRBT-Sentema-24h'!N44,'28.07 SentemaRBT-Sentema'!N44)</f>
        <v>0</v>
      </c>
      <c r="O44" s="15">
        <f t="shared" si="0"/>
        <v>28.857142857142854</v>
      </c>
      <c r="P44" s="15">
        <f t="shared" si="1"/>
        <v>76.285714285714278</v>
      </c>
    </row>
    <row r="45" spans="2:32" ht="23.1" customHeight="1" x14ac:dyDescent="0.25">
      <c r="B45" s="23" t="s">
        <v>72</v>
      </c>
      <c r="C45" s="49">
        <f>AVERAGE('22.07 SentemaRBT-Sentema'!C45,'23.07 Sentema RBT-Sentema'!C45,'24.07 SentemaRBT-Sentema'!C45,'25.07 SentemaRBT-Sentema'!C45,'26.07 SentemaRBT-Sentema-24h'!C45,'27.07 SentemaRBT-Sentema-24h'!C45,'28.07 SentemaRBT-Sentema'!C45)</f>
        <v>13.142857142857142</v>
      </c>
      <c r="D45" s="49">
        <f>AVERAGE('22.07 SentemaRBT-Sentema'!D45,'23.07 Sentema RBT-Sentema'!D45,'24.07 SentemaRBT-Sentema'!D45,'25.07 SentemaRBT-Sentema'!D45,'26.07 SentemaRBT-Sentema-24h'!D45,'27.07 SentemaRBT-Sentema-24h'!D45,'28.07 SentemaRBT-Sentema'!D45)</f>
        <v>1.1428571428571428</v>
      </c>
      <c r="E45" s="49">
        <f>AVERAGE('22.07 SentemaRBT-Sentema'!E45,'23.07 Sentema RBT-Sentema'!E45,'24.07 SentemaRBT-Sentema'!E45,'25.07 SentemaRBT-Sentema'!E45,'26.07 SentemaRBT-Sentema-24h'!E45,'27.07 SentemaRBT-Sentema-24h'!E45,'28.07 SentemaRBT-Sentema'!E45)</f>
        <v>2.4285714285714284</v>
      </c>
      <c r="F45" s="49">
        <f>AVERAGE('22.07 SentemaRBT-Sentema'!F45,'23.07 Sentema RBT-Sentema'!F45,'24.07 SentemaRBT-Sentema'!F45,'25.07 SentemaRBT-Sentema'!F45,'26.07 SentemaRBT-Sentema-24h'!F45,'27.07 SentemaRBT-Sentema-24h'!F45,'28.07 SentemaRBT-Sentema'!F45)</f>
        <v>9</v>
      </c>
      <c r="G45" s="49">
        <f>AVERAGE('22.07 SentemaRBT-Sentema'!G45,'23.07 Sentema RBT-Sentema'!G45,'24.07 SentemaRBT-Sentema'!G45,'25.07 SentemaRBT-Sentema'!G45,'26.07 SentemaRBT-Sentema-24h'!G45,'27.07 SentemaRBT-Sentema-24h'!G45,'28.07 SentemaRBT-Sentema'!G45)</f>
        <v>0.2857142857142857</v>
      </c>
      <c r="H45" s="49">
        <f>AVERAGE('22.07 SentemaRBT-Sentema'!H45,'23.07 Sentema RBT-Sentema'!H45,'24.07 SentemaRBT-Sentema'!H45,'25.07 SentemaRBT-Sentema'!H45,'26.07 SentemaRBT-Sentema-24h'!H45,'27.07 SentemaRBT-Sentema-24h'!H45,'28.07 SentemaRBT-Sentema'!H45)</f>
        <v>0</v>
      </c>
      <c r="I45" s="49">
        <f>AVERAGE('22.07 SentemaRBT-Sentema'!I45,'23.07 Sentema RBT-Sentema'!I45,'24.07 SentemaRBT-Sentema'!I45,'25.07 SentemaRBT-Sentema'!I45,'26.07 SentemaRBT-Sentema-24h'!I45,'27.07 SentemaRBT-Sentema-24h'!I45,'28.07 SentemaRBT-Sentema'!I45)</f>
        <v>2</v>
      </c>
      <c r="J45" s="49">
        <f>AVERAGE('22.07 SentemaRBT-Sentema'!J45,'23.07 Sentema RBT-Sentema'!J45,'24.07 SentemaRBT-Sentema'!J45,'25.07 SentemaRBT-Sentema'!J45,'26.07 SentemaRBT-Sentema-24h'!J45,'27.07 SentemaRBT-Sentema-24h'!J45,'28.07 SentemaRBT-Sentema'!J45)</f>
        <v>0.7142857142857143</v>
      </c>
      <c r="K45" s="49">
        <f>AVERAGE('22.07 SentemaRBT-Sentema'!K45,'23.07 Sentema RBT-Sentema'!K45,'24.07 SentemaRBT-Sentema'!K45,'25.07 SentemaRBT-Sentema'!K45,'26.07 SentemaRBT-Sentema-24h'!K45,'27.07 SentemaRBT-Sentema-24h'!K45,'28.07 SentemaRBT-Sentema'!K45)</f>
        <v>0.5714285714285714</v>
      </c>
      <c r="L45" s="49">
        <f>AVERAGE('22.07 SentemaRBT-Sentema'!L45,'23.07 Sentema RBT-Sentema'!L45,'24.07 SentemaRBT-Sentema'!L45,'25.07 SentemaRBT-Sentema'!L45,'26.07 SentemaRBT-Sentema-24h'!L45,'27.07 SentemaRBT-Sentema-24h'!L45,'28.07 SentemaRBT-Sentema'!L45)</f>
        <v>0</v>
      </c>
      <c r="M45" s="49">
        <f>AVERAGE('22.07 SentemaRBT-Sentema'!M45,'23.07 Sentema RBT-Sentema'!M45,'24.07 SentemaRBT-Sentema'!M45,'25.07 SentemaRBT-Sentema'!M45,'26.07 SentemaRBT-Sentema-24h'!M45,'27.07 SentemaRBT-Sentema-24h'!M45,'28.07 SentemaRBT-Sentema'!M45)</f>
        <v>36.714285714285715</v>
      </c>
      <c r="N45" s="49">
        <f>AVERAGE('22.07 SentemaRBT-Sentema'!N45,'23.07 Sentema RBT-Sentema'!N45,'24.07 SentemaRBT-Sentema'!N45,'25.07 SentemaRBT-Sentema'!N45,'26.07 SentemaRBT-Sentema-24h'!N45,'27.07 SentemaRBT-Sentema-24h'!N45,'28.07 SentemaRBT-Sentema'!N45)</f>
        <v>0</v>
      </c>
      <c r="O45" s="15">
        <f t="shared" si="0"/>
        <v>29.285714285714285</v>
      </c>
      <c r="P45" s="15">
        <f t="shared" si="1"/>
        <v>66</v>
      </c>
    </row>
    <row r="46" spans="2:32" ht="23.1" customHeight="1" x14ac:dyDescent="0.25">
      <c r="B46" s="24" t="s">
        <v>73</v>
      </c>
      <c r="C46" s="49">
        <f>AVERAGE('22.07 SentemaRBT-Sentema'!C46,'23.07 Sentema RBT-Sentema'!C46,'24.07 SentemaRBT-Sentema'!C46,'25.07 SentemaRBT-Sentema'!C46,'26.07 SentemaRBT-Sentema-24h'!C46,'27.07 SentemaRBT-Sentema-24h'!C46,'28.07 SentemaRBT-Sentema'!C46)</f>
        <v>12.714285714285714</v>
      </c>
      <c r="D46" s="49">
        <f>AVERAGE('22.07 SentemaRBT-Sentema'!D46,'23.07 Sentema RBT-Sentema'!D46,'24.07 SentemaRBT-Sentema'!D46,'25.07 SentemaRBT-Sentema'!D46,'26.07 SentemaRBT-Sentema-24h'!D46,'27.07 SentemaRBT-Sentema-24h'!D46,'28.07 SentemaRBT-Sentema'!D46)</f>
        <v>1.1428571428571428</v>
      </c>
      <c r="E46" s="49">
        <f>AVERAGE('22.07 SentemaRBT-Sentema'!E46,'23.07 Sentema RBT-Sentema'!E46,'24.07 SentemaRBT-Sentema'!E46,'25.07 SentemaRBT-Sentema'!E46,'26.07 SentemaRBT-Sentema-24h'!E46,'27.07 SentemaRBT-Sentema-24h'!E46,'28.07 SentemaRBT-Sentema'!E46)</f>
        <v>1.4285714285714286</v>
      </c>
      <c r="F46" s="49">
        <f>AVERAGE('22.07 SentemaRBT-Sentema'!F46,'23.07 Sentema RBT-Sentema'!F46,'24.07 SentemaRBT-Sentema'!F46,'25.07 SentemaRBT-Sentema'!F46,'26.07 SentemaRBT-Sentema-24h'!F46,'27.07 SentemaRBT-Sentema-24h'!F46,'28.07 SentemaRBT-Sentema'!F46)</f>
        <v>8.5714285714285712</v>
      </c>
      <c r="G46" s="49">
        <f>AVERAGE('22.07 SentemaRBT-Sentema'!G46,'23.07 Sentema RBT-Sentema'!G46,'24.07 SentemaRBT-Sentema'!G46,'25.07 SentemaRBT-Sentema'!G46,'26.07 SentemaRBT-Sentema-24h'!G46,'27.07 SentemaRBT-Sentema-24h'!G46,'28.07 SentemaRBT-Sentema'!G46)</f>
        <v>0.5714285714285714</v>
      </c>
      <c r="H46" s="49">
        <f>AVERAGE('22.07 SentemaRBT-Sentema'!H46,'23.07 Sentema RBT-Sentema'!H46,'24.07 SentemaRBT-Sentema'!H46,'25.07 SentemaRBT-Sentema'!H46,'26.07 SentemaRBT-Sentema-24h'!H46,'27.07 SentemaRBT-Sentema-24h'!H46,'28.07 SentemaRBT-Sentema'!H46)</f>
        <v>0</v>
      </c>
      <c r="I46" s="49">
        <f>AVERAGE('22.07 SentemaRBT-Sentema'!I46,'23.07 Sentema RBT-Sentema'!I46,'24.07 SentemaRBT-Sentema'!I46,'25.07 SentemaRBT-Sentema'!I46,'26.07 SentemaRBT-Sentema-24h'!I46,'27.07 SentemaRBT-Sentema-24h'!I46,'28.07 SentemaRBT-Sentema'!I46)</f>
        <v>5</v>
      </c>
      <c r="J46" s="49">
        <f>AVERAGE('22.07 SentemaRBT-Sentema'!J46,'23.07 Sentema RBT-Sentema'!J46,'24.07 SentemaRBT-Sentema'!J46,'25.07 SentemaRBT-Sentema'!J46,'26.07 SentemaRBT-Sentema-24h'!J46,'27.07 SentemaRBT-Sentema-24h'!J46,'28.07 SentemaRBT-Sentema'!J46)</f>
        <v>1.2857142857142858</v>
      </c>
      <c r="K46" s="49">
        <f>AVERAGE('22.07 SentemaRBT-Sentema'!K46,'23.07 Sentema RBT-Sentema'!K46,'24.07 SentemaRBT-Sentema'!K46,'25.07 SentemaRBT-Sentema'!K46,'26.07 SentemaRBT-Sentema-24h'!K46,'27.07 SentemaRBT-Sentema-24h'!K46,'28.07 SentemaRBT-Sentema'!K46)</f>
        <v>0.2857142857142857</v>
      </c>
      <c r="L46" s="49">
        <f>AVERAGE('22.07 SentemaRBT-Sentema'!L46,'23.07 Sentema RBT-Sentema'!L46,'24.07 SentemaRBT-Sentema'!L46,'25.07 SentemaRBT-Sentema'!L46,'26.07 SentemaRBT-Sentema-24h'!L46,'27.07 SentemaRBT-Sentema-24h'!L46,'28.07 SentemaRBT-Sentema'!L46)</f>
        <v>0.5714285714285714</v>
      </c>
      <c r="M46" s="49">
        <f>AVERAGE('22.07 SentemaRBT-Sentema'!M46,'23.07 Sentema RBT-Sentema'!M46,'24.07 SentemaRBT-Sentema'!M46,'25.07 SentemaRBT-Sentema'!M46,'26.07 SentemaRBT-Sentema-24h'!M46,'27.07 SentemaRBT-Sentema-24h'!M46,'28.07 SentemaRBT-Sentema'!M46)</f>
        <v>40.571428571428569</v>
      </c>
      <c r="N46" s="49">
        <f>AVERAGE('22.07 SentemaRBT-Sentema'!N46,'23.07 Sentema RBT-Sentema'!N46,'24.07 SentemaRBT-Sentema'!N46,'25.07 SentemaRBT-Sentema'!N46,'26.07 SentemaRBT-Sentema-24h'!N46,'27.07 SentemaRBT-Sentema-24h'!N46,'28.07 SentemaRBT-Sentema'!N46)</f>
        <v>0</v>
      </c>
      <c r="O46" s="15">
        <f t="shared" si="0"/>
        <v>31.571428571428569</v>
      </c>
      <c r="P46" s="15">
        <f t="shared" si="1"/>
        <v>72.142857142857139</v>
      </c>
      <c r="R46" s="8"/>
      <c r="T46"/>
    </row>
    <row r="47" spans="2:32" ht="23.1" customHeight="1" x14ac:dyDescent="0.25">
      <c r="B47" s="24" t="s">
        <v>74</v>
      </c>
      <c r="C47" s="49">
        <f>AVERAGE('22.07 SentemaRBT-Sentema'!C47,'23.07 Sentema RBT-Sentema'!C47,'24.07 SentemaRBT-Sentema'!C47,'25.07 SentemaRBT-Sentema'!C47,'26.07 SentemaRBT-Sentema-24h'!C47,'27.07 SentemaRBT-Sentema-24h'!C47,'28.07 SentemaRBT-Sentema'!C47)</f>
        <v>14.571428571428571</v>
      </c>
      <c r="D47" s="49">
        <f>AVERAGE('22.07 SentemaRBT-Sentema'!D47,'23.07 Sentema RBT-Sentema'!D47,'24.07 SentemaRBT-Sentema'!D47,'25.07 SentemaRBT-Sentema'!D47,'26.07 SentemaRBT-Sentema-24h'!D47,'27.07 SentemaRBT-Sentema-24h'!D47,'28.07 SentemaRBT-Sentema'!D47)</f>
        <v>2.4285714285714284</v>
      </c>
      <c r="E47" s="49">
        <f>AVERAGE('22.07 SentemaRBT-Sentema'!E47,'23.07 Sentema RBT-Sentema'!E47,'24.07 SentemaRBT-Sentema'!E47,'25.07 SentemaRBT-Sentema'!E47,'26.07 SentemaRBT-Sentema-24h'!E47,'27.07 SentemaRBT-Sentema-24h'!E47,'28.07 SentemaRBT-Sentema'!E47)</f>
        <v>2.2857142857142856</v>
      </c>
      <c r="F47" s="49">
        <f>AVERAGE('22.07 SentemaRBT-Sentema'!F47,'23.07 Sentema RBT-Sentema'!F47,'24.07 SentemaRBT-Sentema'!F47,'25.07 SentemaRBT-Sentema'!F47,'26.07 SentemaRBT-Sentema-24h'!F47,'27.07 SentemaRBT-Sentema-24h'!F47,'28.07 SentemaRBT-Sentema'!F47)</f>
        <v>9</v>
      </c>
      <c r="G47" s="49">
        <f>AVERAGE('22.07 SentemaRBT-Sentema'!G47,'23.07 Sentema RBT-Sentema'!G47,'24.07 SentemaRBT-Sentema'!G47,'25.07 SentemaRBT-Sentema'!G47,'26.07 SentemaRBT-Sentema-24h'!G47,'27.07 SentemaRBT-Sentema-24h'!G47,'28.07 SentemaRBT-Sentema'!G47)</f>
        <v>0.2857142857142857</v>
      </c>
      <c r="H47" s="49">
        <f>AVERAGE('22.07 SentemaRBT-Sentema'!H47,'23.07 Sentema RBT-Sentema'!H47,'24.07 SentemaRBT-Sentema'!H47,'25.07 SentemaRBT-Sentema'!H47,'26.07 SentemaRBT-Sentema-24h'!H47,'27.07 SentemaRBT-Sentema-24h'!H47,'28.07 SentemaRBT-Sentema'!H47)</f>
        <v>0.14285714285714285</v>
      </c>
      <c r="I47" s="49">
        <f>AVERAGE('22.07 SentemaRBT-Sentema'!I47,'23.07 Sentema RBT-Sentema'!I47,'24.07 SentemaRBT-Sentema'!I47,'25.07 SentemaRBT-Sentema'!I47,'26.07 SentemaRBT-Sentema-24h'!I47,'27.07 SentemaRBT-Sentema-24h'!I47,'28.07 SentemaRBT-Sentema'!I47)</f>
        <v>2.5714285714285716</v>
      </c>
      <c r="J47" s="49">
        <f>AVERAGE('22.07 SentemaRBT-Sentema'!J47,'23.07 Sentema RBT-Sentema'!J47,'24.07 SentemaRBT-Sentema'!J47,'25.07 SentemaRBT-Sentema'!J47,'26.07 SentemaRBT-Sentema-24h'!J47,'27.07 SentemaRBT-Sentema-24h'!J47,'28.07 SentemaRBT-Sentema'!J47)</f>
        <v>1</v>
      </c>
      <c r="K47" s="49">
        <f>AVERAGE('22.07 SentemaRBT-Sentema'!K47,'23.07 Sentema RBT-Sentema'!K47,'24.07 SentemaRBT-Sentema'!K47,'25.07 SentemaRBT-Sentema'!K47,'26.07 SentemaRBT-Sentema-24h'!K47,'27.07 SentemaRBT-Sentema-24h'!K47,'28.07 SentemaRBT-Sentema'!K47)</f>
        <v>1</v>
      </c>
      <c r="L47" s="49">
        <f>AVERAGE('22.07 SentemaRBT-Sentema'!L47,'23.07 Sentema RBT-Sentema'!L47,'24.07 SentemaRBT-Sentema'!L47,'25.07 SentemaRBT-Sentema'!L47,'26.07 SentemaRBT-Sentema-24h'!L47,'27.07 SentemaRBT-Sentema-24h'!L47,'28.07 SentemaRBT-Sentema'!L47)</f>
        <v>0</v>
      </c>
      <c r="M47" s="49">
        <f>AVERAGE('22.07 SentemaRBT-Sentema'!M47,'23.07 Sentema RBT-Sentema'!M47,'24.07 SentemaRBT-Sentema'!M47,'25.07 SentemaRBT-Sentema'!M47,'26.07 SentemaRBT-Sentema-24h'!M47,'27.07 SentemaRBT-Sentema-24h'!M47,'28.07 SentemaRBT-Sentema'!M47)</f>
        <v>38.142857142857146</v>
      </c>
      <c r="N47" s="49">
        <f>AVERAGE('22.07 SentemaRBT-Sentema'!N47,'23.07 Sentema RBT-Sentema'!N47,'24.07 SentemaRBT-Sentema'!N47,'25.07 SentemaRBT-Sentema'!N47,'26.07 SentemaRBT-Sentema-24h'!N47,'27.07 SentemaRBT-Sentema-24h'!N47,'28.07 SentemaRBT-Sentema'!N47)</f>
        <v>0</v>
      </c>
      <c r="O47" s="15">
        <f t="shared" si="0"/>
        <v>33.285714285714285</v>
      </c>
      <c r="P47" s="15">
        <f t="shared" si="1"/>
        <v>71.428571428571431</v>
      </c>
      <c r="R47" s="8"/>
      <c r="T47"/>
    </row>
    <row r="48" spans="2:32" ht="23.1" customHeight="1" x14ac:dyDescent="0.25">
      <c r="B48" s="24" t="s">
        <v>75</v>
      </c>
      <c r="C48" s="49">
        <f>AVERAGE('22.07 SentemaRBT-Sentema'!C48,'23.07 Sentema RBT-Sentema'!C48,'24.07 SentemaRBT-Sentema'!C48,'25.07 SentemaRBT-Sentema'!C48,'26.07 SentemaRBT-Sentema-24h'!C48,'27.07 SentemaRBT-Sentema-24h'!C48,'28.07 SentemaRBT-Sentema'!C48)</f>
        <v>14.428571428571429</v>
      </c>
      <c r="D48" s="49">
        <f>AVERAGE('22.07 SentemaRBT-Sentema'!D48,'23.07 Sentema RBT-Sentema'!D48,'24.07 SentemaRBT-Sentema'!D48,'25.07 SentemaRBT-Sentema'!D48,'26.07 SentemaRBT-Sentema-24h'!D48,'27.07 SentemaRBT-Sentema-24h'!D48,'28.07 SentemaRBT-Sentema'!D48)</f>
        <v>2.7142857142857144</v>
      </c>
      <c r="E48" s="49">
        <f>AVERAGE('22.07 SentemaRBT-Sentema'!E48,'23.07 Sentema RBT-Sentema'!E48,'24.07 SentemaRBT-Sentema'!E48,'25.07 SentemaRBT-Sentema'!E48,'26.07 SentemaRBT-Sentema-24h'!E48,'27.07 SentemaRBT-Sentema-24h'!E48,'28.07 SentemaRBT-Sentema'!E48)</f>
        <v>3.2857142857142856</v>
      </c>
      <c r="F48" s="49">
        <f>AVERAGE('22.07 SentemaRBT-Sentema'!F48,'23.07 Sentema RBT-Sentema'!F48,'24.07 SentemaRBT-Sentema'!F48,'25.07 SentemaRBT-Sentema'!F48,'26.07 SentemaRBT-Sentema-24h'!F48,'27.07 SentemaRBT-Sentema-24h'!F48,'28.07 SentemaRBT-Sentema'!F48)</f>
        <v>9.5714285714285712</v>
      </c>
      <c r="G48" s="49">
        <f>AVERAGE('22.07 SentemaRBT-Sentema'!G48,'23.07 Sentema RBT-Sentema'!G48,'24.07 SentemaRBT-Sentema'!G48,'25.07 SentemaRBT-Sentema'!G48,'26.07 SentemaRBT-Sentema-24h'!G48,'27.07 SentemaRBT-Sentema-24h'!G48,'28.07 SentemaRBT-Sentema'!G48)</f>
        <v>0.5714285714285714</v>
      </c>
      <c r="H48" s="49">
        <f>AVERAGE('22.07 SentemaRBT-Sentema'!H48,'23.07 Sentema RBT-Sentema'!H48,'24.07 SentemaRBT-Sentema'!H48,'25.07 SentemaRBT-Sentema'!H48,'26.07 SentemaRBT-Sentema-24h'!H48,'27.07 SentemaRBT-Sentema-24h'!H48,'28.07 SentemaRBT-Sentema'!H48)</f>
        <v>0</v>
      </c>
      <c r="I48" s="49">
        <f>AVERAGE('22.07 SentemaRBT-Sentema'!I48,'23.07 Sentema RBT-Sentema'!I48,'24.07 SentemaRBT-Sentema'!I48,'25.07 SentemaRBT-Sentema'!I48,'26.07 SentemaRBT-Sentema-24h'!I48,'27.07 SentemaRBT-Sentema-24h'!I48,'28.07 SentemaRBT-Sentema'!I48)</f>
        <v>1.8571428571428572</v>
      </c>
      <c r="J48" s="49">
        <f>AVERAGE('22.07 SentemaRBT-Sentema'!J48,'23.07 Sentema RBT-Sentema'!J48,'24.07 SentemaRBT-Sentema'!J48,'25.07 SentemaRBT-Sentema'!J48,'26.07 SentemaRBT-Sentema-24h'!J48,'27.07 SentemaRBT-Sentema-24h'!J48,'28.07 SentemaRBT-Sentema'!J48)</f>
        <v>0.7142857142857143</v>
      </c>
      <c r="K48" s="49">
        <f>AVERAGE('22.07 SentemaRBT-Sentema'!K48,'23.07 Sentema RBT-Sentema'!K48,'24.07 SentemaRBT-Sentema'!K48,'25.07 SentemaRBT-Sentema'!K48,'26.07 SentemaRBT-Sentema-24h'!K48,'27.07 SentemaRBT-Sentema-24h'!K48,'28.07 SentemaRBT-Sentema'!K48)</f>
        <v>0.2857142857142857</v>
      </c>
      <c r="L48" s="49">
        <f>AVERAGE('22.07 SentemaRBT-Sentema'!L48,'23.07 Sentema RBT-Sentema'!L48,'24.07 SentemaRBT-Sentema'!L48,'25.07 SentemaRBT-Sentema'!L48,'26.07 SentemaRBT-Sentema-24h'!L48,'27.07 SentemaRBT-Sentema-24h'!L48,'28.07 SentemaRBT-Sentema'!L48)</f>
        <v>0</v>
      </c>
      <c r="M48" s="49">
        <f>AVERAGE('22.07 SentemaRBT-Sentema'!M48,'23.07 Sentema RBT-Sentema'!M48,'24.07 SentemaRBT-Sentema'!M48,'25.07 SentemaRBT-Sentema'!M48,'26.07 SentemaRBT-Sentema-24h'!M48,'27.07 SentemaRBT-Sentema-24h'!M48,'28.07 SentemaRBT-Sentema'!M48)</f>
        <v>46</v>
      </c>
      <c r="N48" s="49">
        <f>AVERAGE('22.07 SentemaRBT-Sentema'!N48,'23.07 Sentema RBT-Sentema'!N48,'24.07 SentemaRBT-Sentema'!N48,'25.07 SentemaRBT-Sentema'!N48,'26.07 SentemaRBT-Sentema-24h'!N48,'27.07 SentemaRBT-Sentema-24h'!N48,'28.07 SentemaRBT-Sentema'!N48)</f>
        <v>0</v>
      </c>
      <c r="O48" s="15">
        <f t="shared" si="0"/>
        <v>33.428571428571431</v>
      </c>
      <c r="P48" s="15">
        <f t="shared" si="1"/>
        <v>79.428571428571431</v>
      </c>
      <c r="R48" s="8"/>
      <c r="T48"/>
    </row>
    <row r="49" spans="2:20" ht="23.1" customHeight="1" x14ac:dyDescent="0.25">
      <c r="B49" s="23" t="s">
        <v>76</v>
      </c>
      <c r="C49" s="49">
        <f>AVERAGE('22.07 SentemaRBT-Sentema'!C49,'23.07 Sentema RBT-Sentema'!C49,'24.07 SentemaRBT-Sentema'!C49,'25.07 SentemaRBT-Sentema'!C49,'26.07 SentemaRBT-Sentema-24h'!C49,'27.07 SentemaRBT-Sentema-24h'!C49,'28.07 SentemaRBT-Sentema'!C49)</f>
        <v>14.285714285714286</v>
      </c>
      <c r="D49" s="49">
        <f>AVERAGE('22.07 SentemaRBT-Sentema'!D49,'23.07 Sentema RBT-Sentema'!D49,'24.07 SentemaRBT-Sentema'!D49,'25.07 SentemaRBT-Sentema'!D49,'26.07 SentemaRBT-Sentema-24h'!D49,'27.07 SentemaRBT-Sentema-24h'!D49,'28.07 SentemaRBT-Sentema'!D49)</f>
        <v>4.1428571428571432</v>
      </c>
      <c r="E49" s="49">
        <f>AVERAGE('22.07 SentemaRBT-Sentema'!E49,'23.07 Sentema RBT-Sentema'!E49,'24.07 SentemaRBT-Sentema'!E49,'25.07 SentemaRBT-Sentema'!E49,'26.07 SentemaRBT-Sentema-24h'!E49,'27.07 SentemaRBT-Sentema-24h'!E49,'28.07 SentemaRBT-Sentema'!E49)</f>
        <v>1.8571428571428572</v>
      </c>
      <c r="F49" s="49">
        <f>AVERAGE('22.07 SentemaRBT-Sentema'!F49,'23.07 Sentema RBT-Sentema'!F49,'24.07 SentemaRBT-Sentema'!F49,'25.07 SentemaRBT-Sentema'!F49,'26.07 SentemaRBT-Sentema-24h'!F49,'27.07 SentemaRBT-Sentema-24h'!F49,'28.07 SentemaRBT-Sentema'!F49)</f>
        <v>7.7142857142857144</v>
      </c>
      <c r="G49" s="49">
        <f>AVERAGE('22.07 SentemaRBT-Sentema'!G49,'23.07 Sentema RBT-Sentema'!G49,'24.07 SentemaRBT-Sentema'!G49,'25.07 SentemaRBT-Sentema'!G49,'26.07 SentemaRBT-Sentema-24h'!G49,'27.07 SentemaRBT-Sentema-24h'!G49,'28.07 SentemaRBT-Sentema'!G49)</f>
        <v>0.8571428571428571</v>
      </c>
      <c r="H49" s="49">
        <f>AVERAGE('22.07 SentemaRBT-Sentema'!H49,'23.07 Sentema RBT-Sentema'!H49,'24.07 SentemaRBT-Sentema'!H49,'25.07 SentemaRBT-Sentema'!H49,'26.07 SentemaRBT-Sentema-24h'!H49,'27.07 SentemaRBT-Sentema-24h'!H49,'28.07 SentemaRBT-Sentema'!H49)</f>
        <v>0</v>
      </c>
      <c r="I49" s="49">
        <f>AVERAGE('22.07 SentemaRBT-Sentema'!I49,'23.07 Sentema RBT-Sentema'!I49,'24.07 SentemaRBT-Sentema'!I49,'25.07 SentemaRBT-Sentema'!I49,'26.07 SentemaRBT-Sentema-24h'!I49,'27.07 SentemaRBT-Sentema-24h'!I49,'28.07 SentemaRBT-Sentema'!I49)</f>
        <v>2.2857142857142856</v>
      </c>
      <c r="J49" s="49">
        <f>AVERAGE('22.07 SentemaRBT-Sentema'!J49,'23.07 Sentema RBT-Sentema'!J49,'24.07 SentemaRBT-Sentema'!J49,'25.07 SentemaRBT-Sentema'!J49,'26.07 SentemaRBT-Sentema-24h'!J49,'27.07 SentemaRBT-Sentema-24h'!J49,'28.07 SentemaRBT-Sentema'!J49)</f>
        <v>1.1428571428571428</v>
      </c>
      <c r="K49" s="49">
        <f>AVERAGE('22.07 SentemaRBT-Sentema'!K49,'23.07 Sentema RBT-Sentema'!K49,'24.07 SentemaRBT-Sentema'!K49,'25.07 SentemaRBT-Sentema'!K49,'26.07 SentemaRBT-Sentema-24h'!K49,'27.07 SentemaRBT-Sentema-24h'!K49,'28.07 SentemaRBT-Sentema'!K49)</f>
        <v>0.5714285714285714</v>
      </c>
      <c r="L49" s="49">
        <f>AVERAGE('22.07 SentemaRBT-Sentema'!L49,'23.07 Sentema RBT-Sentema'!L49,'24.07 SentemaRBT-Sentema'!L49,'25.07 SentemaRBT-Sentema'!L49,'26.07 SentemaRBT-Sentema-24h'!L49,'27.07 SentemaRBT-Sentema-24h'!L49,'28.07 SentemaRBT-Sentema'!L49)</f>
        <v>0</v>
      </c>
      <c r="M49" s="49">
        <f>AVERAGE('22.07 SentemaRBT-Sentema'!M49,'23.07 Sentema RBT-Sentema'!M49,'24.07 SentemaRBT-Sentema'!M49,'25.07 SentemaRBT-Sentema'!M49,'26.07 SentemaRBT-Sentema-24h'!M49,'27.07 SentemaRBT-Sentema-24h'!M49,'28.07 SentemaRBT-Sentema'!M49)</f>
        <v>45.285714285714285</v>
      </c>
      <c r="N49" s="49">
        <f>AVERAGE('22.07 SentemaRBT-Sentema'!N49,'23.07 Sentema RBT-Sentema'!N49,'24.07 SentemaRBT-Sentema'!N49,'25.07 SentemaRBT-Sentema'!N49,'26.07 SentemaRBT-Sentema-24h'!N49,'27.07 SentemaRBT-Sentema-24h'!N49,'28.07 SentemaRBT-Sentema'!N49)</f>
        <v>0</v>
      </c>
      <c r="O49" s="15">
        <f t="shared" si="0"/>
        <v>32.857142857142861</v>
      </c>
      <c r="P49" s="15">
        <f t="shared" si="1"/>
        <v>78.142857142857139</v>
      </c>
      <c r="R49" s="8"/>
      <c r="T49"/>
    </row>
    <row r="50" spans="2:20" ht="23.1" customHeight="1" x14ac:dyDescent="0.25">
      <c r="B50" s="24" t="s">
        <v>77</v>
      </c>
      <c r="C50" s="49">
        <f>AVERAGE('22.07 SentemaRBT-Sentema'!C50,'23.07 Sentema RBT-Sentema'!C50,'24.07 SentemaRBT-Sentema'!C50,'25.07 SentemaRBT-Sentema'!C50,'26.07 SentemaRBT-Sentema-24h'!C50,'27.07 SentemaRBT-Sentema-24h'!C50,'28.07 SentemaRBT-Sentema'!C50)</f>
        <v>17.857142857142858</v>
      </c>
      <c r="D50" s="49">
        <f>AVERAGE('22.07 SentemaRBT-Sentema'!D50,'23.07 Sentema RBT-Sentema'!D50,'24.07 SentemaRBT-Sentema'!D50,'25.07 SentemaRBT-Sentema'!D50,'26.07 SentemaRBT-Sentema-24h'!D50,'27.07 SentemaRBT-Sentema-24h'!D50,'28.07 SentemaRBT-Sentema'!D50)</f>
        <v>5.1428571428571432</v>
      </c>
      <c r="E50" s="49">
        <f>AVERAGE('22.07 SentemaRBT-Sentema'!E50,'23.07 Sentema RBT-Sentema'!E50,'24.07 SentemaRBT-Sentema'!E50,'25.07 SentemaRBT-Sentema'!E50,'26.07 SentemaRBT-Sentema-24h'!E50,'27.07 SentemaRBT-Sentema-24h'!E50,'28.07 SentemaRBT-Sentema'!E50)</f>
        <v>2.7142857142857144</v>
      </c>
      <c r="F50" s="49">
        <f>AVERAGE('22.07 SentemaRBT-Sentema'!F50,'23.07 Sentema RBT-Sentema'!F50,'24.07 SentemaRBT-Sentema'!F50,'25.07 SentemaRBT-Sentema'!F50,'26.07 SentemaRBT-Sentema-24h'!F50,'27.07 SentemaRBT-Sentema-24h'!F50,'28.07 SentemaRBT-Sentema'!F50)</f>
        <v>9.4285714285714288</v>
      </c>
      <c r="G50" s="49">
        <f>AVERAGE('22.07 SentemaRBT-Sentema'!G50,'23.07 Sentema RBT-Sentema'!G50,'24.07 SentemaRBT-Sentema'!G50,'25.07 SentemaRBT-Sentema'!G50,'26.07 SentemaRBT-Sentema-24h'!G50,'27.07 SentemaRBT-Sentema-24h'!G50,'28.07 SentemaRBT-Sentema'!G50)</f>
        <v>0</v>
      </c>
      <c r="H50" s="49">
        <f>AVERAGE('22.07 SentemaRBT-Sentema'!H50,'23.07 Sentema RBT-Sentema'!H50,'24.07 SentemaRBT-Sentema'!H50,'25.07 SentemaRBT-Sentema'!H50,'26.07 SentemaRBT-Sentema-24h'!H50,'27.07 SentemaRBT-Sentema-24h'!H50,'28.07 SentemaRBT-Sentema'!H50)</f>
        <v>0</v>
      </c>
      <c r="I50" s="49">
        <f>AVERAGE('22.07 SentemaRBT-Sentema'!I50,'23.07 Sentema RBT-Sentema'!I50,'24.07 SentemaRBT-Sentema'!I50,'25.07 SentemaRBT-Sentema'!I50,'26.07 SentemaRBT-Sentema-24h'!I50,'27.07 SentemaRBT-Sentema-24h'!I50,'28.07 SentemaRBT-Sentema'!I50)</f>
        <v>2.8571428571428572</v>
      </c>
      <c r="J50" s="49">
        <f>AVERAGE('22.07 SentemaRBT-Sentema'!J50,'23.07 Sentema RBT-Sentema'!J50,'24.07 SentemaRBT-Sentema'!J50,'25.07 SentemaRBT-Sentema'!J50,'26.07 SentemaRBT-Sentema-24h'!J50,'27.07 SentemaRBT-Sentema-24h'!J50,'28.07 SentemaRBT-Sentema'!J50)</f>
        <v>1.2857142857142858</v>
      </c>
      <c r="K50" s="49">
        <f>AVERAGE('22.07 SentemaRBT-Sentema'!K50,'23.07 Sentema RBT-Sentema'!K50,'24.07 SentemaRBT-Sentema'!K50,'25.07 SentemaRBT-Sentema'!K50,'26.07 SentemaRBT-Sentema-24h'!K50,'27.07 SentemaRBT-Sentema-24h'!K50,'28.07 SentemaRBT-Sentema'!K50)</f>
        <v>0.2857142857142857</v>
      </c>
      <c r="L50" s="49">
        <f>AVERAGE('22.07 SentemaRBT-Sentema'!L50,'23.07 Sentema RBT-Sentema'!L50,'24.07 SentemaRBT-Sentema'!L50,'25.07 SentemaRBT-Sentema'!L50,'26.07 SentemaRBT-Sentema-24h'!L50,'27.07 SentemaRBT-Sentema-24h'!L50,'28.07 SentemaRBT-Sentema'!L50)</f>
        <v>0</v>
      </c>
      <c r="M50" s="49">
        <f>AVERAGE('22.07 SentemaRBT-Sentema'!M50,'23.07 Sentema RBT-Sentema'!M50,'24.07 SentemaRBT-Sentema'!M50,'25.07 SentemaRBT-Sentema'!M50,'26.07 SentemaRBT-Sentema-24h'!M50,'27.07 SentemaRBT-Sentema-24h'!M50,'28.07 SentemaRBT-Sentema'!M50)</f>
        <v>45</v>
      </c>
      <c r="N50" s="49">
        <f>AVERAGE('22.07 SentemaRBT-Sentema'!N50,'23.07 Sentema RBT-Sentema'!N50,'24.07 SentemaRBT-Sentema'!N50,'25.07 SentemaRBT-Sentema'!N50,'26.07 SentemaRBT-Sentema-24h'!N50,'27.07 SentemaRBT-Sentema-24h'!N50,'28.07 SentemaRBT-Sentema'!N50)</f>
        <v>0</v>
      </c>
      <c r="O50" s="15">
        <f t="shared" si="0"/>
        <v>39.571428571428569</v>
      </c>
      <c r="P50" s="15">
        <f t="shared" si="1"/>
        <v>84.571428571428569</v>
      </c>
      <c r="R50" s="8"/>
      <c r="T50"/>
    </row>
    <row r="51" spans="2:20" ht="23.1" customHeight="1" x14ac:dyDescent="0.25">
      <c r="B51" s="24" t="s">
        <v>78</v>
      </c>
      <c r="C51" s="49">
        <f>AVERAGE('22.07 SentemaRBT-Sentema'!C51,'23.07 Sentema RBT-Sentema'!C51,'24.07 SentemaRBT-Sentema'!C51,'25.07 SentemaRBT-Sentema'!C51,'26.07 SentemaRBT-Sentema-24h'!C51,'27.07 SentemaRBT-Sentema-24h'!C51,'28.07 SentemaRBT-Sentema'!C51)</f>
        <v>21.714285714285715</v>
      </c>
      <c r="D51" s="49">
        <f>AVERAGE('22.07 SentemaRBT-Sentema'!D51,'23.07 Sentema RBT-Sentema'!D51,'24.07 SentemaRBT-Sentema'!D51,'25.07 SentemaRBT-Sentema'!D51,'26.07 SentemaRBT-Sentema-24h'!D51,'27.07 SentemaRBT-Sentema-24h'!D51,'28.07 SentemaRBT-Sentema'!D51)</f>
        <v>2.8571428571428572</v>
      </c>
      <c r="E51" s="49">
        <f>AVERAGE('22.07 SentemaRBT-Sentema'!E51,'23.07 Sentema RBT-Sentema'!E51,'24.07 SentemaRBT-Sentema'!E51,'25.07 SentemaRBT-Sentema'!E51,'26.07 SentemaRBT-Sentema-24h'!E51,'27.07 SentemaRBT-Sentema-24h'!E51,'28.07 SentemaRBT-Sentema'!E51)</f>
        <v>0.8571428571428571</v>
      </c>
      <c r="F51" s="49">
        <f>AVERAGE('22.07 SentemaRBT-Sentema'!F51,'23.07 Sentema RBT-Sentema'!F51,'24.07 SentemaRBT-Sentema'!F51,'25.07 SentemaRBT-Sentema'!F51,'26.07 SentemaRBT-Sentema-24h'!F51,'27.07 SentemaRBT-Sentema-24h'!F51,'28.07 SentemaRBT-Sentema'!F51)</f>
        <v>8.5714285714285712</v>
      </c>
      <c r="G51" s="49">
        <f>AVERAGE('22.07 SentemaRBT-Sentema'!G51,'23.07 Sentema RBT-Sentema'!G51,'24.07 SentemaRBT-Sentema'!G51,'25.07 SentemaRBT-Sentema'!G51,'26.07 SentemaRBT-Sentema-24h'!G51,'27.07 SentemaRBT-Sentema-24h'!G51,'28.07 SentemaRBT-Sentema'!G51)</f>
        <v>0</v>
      </c>
      <c r="H51" s="49">
        <f>AVERAGE('22.07 SentemaRBT-Sentema'!H51,'23.07 Sentema RBT-Sentema'!H51,'24.07 SentemaRBT-Sentema'!H51,'25.07 SentemaRBT-Sentema'!H51,'26.07 SentemaRBT-Sentema-24h'!H51,'27.07 SentemaRBT-Sentema-24h'!H51,'28.07 SentemaRBT-Sentema'!H51)</f>
        <v>0</v>
      </c>
      <c r="I51" s="49">
        <f>AVERAGE('22.07 SentemaRBT-Sentema'!I51,'23.07 Sentema RBT-Sentema'!I51,'24.07 SentemaRBT-Sentema'!I51,'25.07 SentemaRBT-Sentema'!I51,'26.07 SentemaRBT-Sentema-24h'!I51,'27.07 SentemaRBT-Sentema-24h'!I51,'28.07 SentemaRBT-Sentema'!I51)</f>
        <v>2.7142857142857144</v>
      </c>
      <c r="J51" s="49">
        <f>AVERAGE('22.07 SentemaRBT-Sentema'!J51,'23.07 Sentema RBT-Sentema'!J51,'24.07 SentemaRBT-Sentema'!J51,'25.07 SentemaRBT-Sentema'!J51,'26.07 SentemaRBT-Sentema-24h'!J51,'27.07 SentemaRBT-Sentema-24h'!J51,'28.07 SentemaRBT-Sentema'!J51)</f>
        <v>1.5714285714285714</v>
      </c>
      <c r="K51" s="49">
        <f>AVERAGE('22.07 SentemaRBT-Sentema'!K51,'23.07 Sentema RBT-Sentema'!K51,'24.07 SentemaRBT-Sentema'!K51,'25.07 SentemaRBT-Sentema'!K51,'26.07 SentemaRBT-Sentema-24h'!K51,'27.07 SentemaRBT-Sentema-24h'!K51,'28.07 SentemaRBT-Sentema'!K51)</f>
        <v>0.14285714285714285</v>
      </c>
      <c r="L51" s="49">
        <f>AVERAGE('22.07 SentemaRBT-Sentema'!L51,'23.07 Sentema RBT-Sentema'!L51,'24.07 SentemaRBT-Sentema'!L51,'25.07 SentemaRBT-Sentema'!L51,'26.07 SentemaRBT-Sentema-24h'!L51,'27.07 SentemaRBT-Sentema-24h'!L51,'28.07 SentemaRBT-Sentema'!L51)</f>
        <v>0</v>
      </c>
      <c r="M51" s="49">
        <f>AVERAGE('22.07 SentemaRBT-Sentema'!M51,'23.07 Sentema RBT-Sentema'!M51,'24.07 SentemaRBT-Sentema'!M51,'25.07 SentemaRBT-Sentema'!M51,'26.07 SentemaRBT-Sentema-24h'!M51,'27.07 SentemaRBT-Sentema-24h'!M51,'28.07 SentemaRBT-Sentema'!M51)</f>
        <v>48.285714285714285</v>
      </c>
      <c r="N51" s="49">
        <f>AVERAGE('22.07 SentemaRBT-Sentema'!N51,'23.07 Sentema RBT-Sentema'!N51,'24.07 SentemaRBT-Sentema'!N51,'25.07 SentemaRBT-Sentema'!N51,'26.07 SentemaRBT-Sentema-24h'!N51,'27.07 SentemaRBT-Sentema-24h'!N51,'28.07 SentemaRBT-Sentema'!N51)</f>
        <v>0</v>
      </c>
      <c r="O51" s="15">
        <f t="shared" si="0"/>
        <v>38.428571428571431</v>
      </c>
      <c r="P51" s="15">
        <f t="shared" si="1"/>
        <v>86.714285714285722</v>
      </c>
      <c r="R51" s="8"/>
      <c r="T51"/>
    </row>
    <row r="52" spans="2:20" ht="23.1" customHeight="1" x14ac:dyDescent="0.25">
      <c r="B52" s="24" t="s">
        <v>79</v>
      </c>
      <c r="C52" s="49">
        <f>AVERAGE('22.07 SentemaRBT-Sentema'!C52,'23.07 Sentema RBT-Sentema'!C52,'24.07 SentemaRBT-Sentema'!C52,'25.07 SentemaRBT-Sentema'!C52,'26.07 SentemaRBT-Sentema-24h'!C52,'27.07 SentemaRBT-Sentema-24h'!C52,'28.07 SentemaRBT-Sentema'!C52)</f>
        <v>20.142857142857142</v>
      </c>
      <c r="D52" s="49">
        <f>AVERAGE('22.07 SentemaRBT-Sentema'!D52,'23.07 Sentema RBT-Sentema'!D52,'24.07 SentemaRBT-Sentema'!D52,'25.07 SentemaRBT-Sentema'!D52,'26.07 SentemaRBT-Sentema-24h'!D52,'27.07 SentemaRBT-Sentema-24h'!D52,'28.07 SentemaRBT-Sentema'!D52)</f>
        <v>3.1428571428571428</v>
      </c>
      <c r="E52" s="49">
        <f>AVERAGE('22.07 SentemaRBT-Sentema'!E52,'23.07 Sentema RBT-Sentema'!E52,'24.07 SentemaRBT-Sentema'!E52,'25.07 SentemaRBT-Sentema'!E52,'26.07 SentemaRBT-Sentema-24h'!E52,'27.07 SentemaRBT-Sentema-24h'!E52,'28.07 SentemaRBT-Sentema'!E52)</f>
        <v>2.5714285714285716</v>
      </c>
      <c r="F52" s="49">
        <f>AVERAGE('22.07 SentemaRBT-Sentema'!F52,'23.07 Sentema RBT-Sentema'!F52,'24.07 SentemaRBT-Sentema'!F52,'25.07 SentemaRBT-Sentema'!F52,'26.07 SentemaRBT-Sentema-24h'!F52,'27.07 SentemaRBT-Sentema-24h'!F52,'28.07 SentemaRBT-Sentema'!F52)</f>
        <v>10.142857142857142</v>
      </c>
      <c r="G52" s="49">
        <f>AVERAGE('22.07 SentemaRBT-Sentema'!G52,'23.07 Sentema RBT-Sentema'!G52,'24.07 SentemaRBT-Sentema'!G52,'25.07 SentemaRBT-Sentema'!G52,'26.07 SentemaRBT-Sentema-24h'!G52,'27.07 SentemaRBT-Sentema-24h'!G52,'28.07 SentemaRBT-Sentema'!G52)</f>
        <v>0.42857142857142855</v>
      </c>
      <c r="H52" s="49">
        <f>AVERAGE('22.07 SentemaRBT-Sentema'!H52,'23.07 Sentema RBT-Sentema'!H52,'24.07 SentemaRBT-Sentema'!H52,'25.07 SentemaRBT-Sentema'!H52,'26.07 SentemaRBT-Sentema-24h'!H52,'27.07 SentemaRBT-Sentema-24h'!H52,'28.07 SentemaRBT-Sentema'!H52)</f>
        <v>0</v>
      </c>
      <c r="I52" s="49">
        <f>AVERAGE('22.07 SentemaRBT-Sentema'!I52,'23.07 Sentema RBT-Sentema'!I52,'24.07 SentemaRBT-Sentema'!I52,'25.07 SentemaRBT-Sentema'!I52,'26.07 SentemaRBT-Sentema-24h'!I52,'27.07 SentemaRBT-Sentema-24h'!I52,'28.07 SentemaRBT-Sentema'!I52)</f>
        <v>1.8571428571428572</v>
      </c>
      <c r="J52" s="49">
        <f>AVERAGE('22.07 SentemaRBT-Sentema'!J52,'23.07 Sentema RBT-Sentema'!J52,'24.07 SentemaRBT-Sentema'!J52,'25.07 SentemaRBT-Sentema'!J52,'26.07 SentemaRBT-Sentema-24h'!J52,'27.07 SentemaRBT-Sentema-24h'!J52,'28.07 SentemaRBT-Sentema'!J52)</f>
        <v>0.7142857142857143</v>
      </c>
      <c r="K52" s="49">
        <f>AVERAGE('22.07 SentemaRBT-Sentema'!K52,'23.07 Sentema RBT-Sentema'!K52,'24.07 SentemaRBT-Sentema'!K52,'25.07 SentemaRBT-Sentema'!K52,'26.07 SentemaRBT-Sentema-24h'!K52,'27.07 SentemaRBT-Sentema-24h'!K52,'28.07 SentemaRBT-Sentema'!K52)</f>
        <v>0.2857142857142857</v>
      </c>
      <c r="L52" s="49">
        <f>AVERAGE('22.07 SentemaRBT-Sentema'!L52,'23.07 Sentema RBT-Sentema'!L52,'24.07 SentemaRBT-Sentema'!L52,'25.07 SentemaRBT-Sentema'!L52,'26.07 SentemaRBT-Sentema-24h'!L52,'27.07 SentemaRBT-Sentema-24h'!L52,'28.07 SentemaRBT-Sentema'!L52)</f>
        <v>0</v>
      </c>
      <c r="M52" s="49">
        <f>AVERAGE('22.07 SentemaRBT-Sentema'!M52,'23.07 Sentema RBT-Sentema'!M52,'24.07 SentemaRBT-Sentema'!M52,'25.07 SentemaRBT-Sentema'!M52,'26.07 SentemaRBT-Sentema-24h'!M52,'27.07 SentemaRBT-Sentema-24h'!M52,'28.07 SentemaRBT-Sentema'!M52)</f>
        <v>50.714285714285715</v>
      </c>
      <c r="N52" s="49">
        <f>AVERAGE('22.07 SentemaRBT-Sentema'!N52,'23.07 Sentema RBT-Sentema'!N52,'24.07 SentemaRBT-Sentema'!N52,'25.07 SentemaRBT-Sentema'!N52,'26.07 SentemaRBT-Sentema-24h'!N52,'27.07 SentemaRBT-Sentema-24h'!N52,'28.07 SentemaRBT-Sentema'!N52)</f>
        <v>0</v>
      </c>
      <c r="O52" s="15">
        <f t="shared" si="0"/>
        <v>39.285714285714285</v>
      </c>
      <c r="P52" s="15">
        <f t="shared" si="1"/>
        <v>90</v>
      </c>
      <c r="R52" s="8"/>
      <c r="T52"/>
    </row>
    <row r="53" spans="2:20" ht="23.1" customHeight="1" x14ac:dyDescent="0.25">
      <c r="B53" s="23" t="s">
        <v>80</v>
      </c>
      <c r="C53" s="49">
        <f>AVERAGE('22.07 SentemaRBT-Sentema'!C53,'23.07 Sentema RBT-Sentema'!C53,'24.07 SentemaRBT-Sentema'!C53,'25.07 SentemaRBT-Sentema'!C53,'26.07 SentemaRBT-Sentema-24h'!C53,'27.07 SentemaRBT-Sentema-24h'!C53,'28.07 SentemaRBT-Sentema'!C53)</f>
        <v>23.857142857142858</v>
      </c>
      <c r="D53" s="49">
        <f>AVERAGE('22.07 SentemaRBT-Sentema'!D53,'23.07 Sentema RBT-Sentema'!D53,'24.07 SentemaRBT-Sentema'!D53,'25.07 SentemaRBT-Sentema'!D53,'26.07 SentemaRBT-Sentema-24h'!D53,'27.07 SentemaRBT-Sentema-24h'!D53,'28.07 SentemaRBT-Sentema'!D53)</f>
        <v>5.4285714285714288</v>
      </c>
      <c r="E53" s="49">
        <f>AVERAGE('22.07 SentemaRBT-Sentema'!E53,'23.07 Sentema RBT-Sentema'!E53,'24.07 SentemaRBT-Sentema'!E53,'25.07 SentemaRBT-Sentema'!E53,'26.07 SentemaRBT-Sentema-24h'!E53,'27.07 SentemaRBT-Sentema-24h'!E53,'28.07 SentemaRBT-Sentema'!E53)</f>
        <v>2.5714285714285716</v>
      </c>
      <c r="F53" s="49">
        <f>AVERAGE('22.07 SentemaRBT-Sentema'!F53,'23.07 Sentema RBT-Sentema'!F53,'24.07 SentemaRBT-Sentema'!F53,'25.07 SentemaRBT-Sentema'!F53,'26.07 SentemaRBT-Sentema-24h'!F53,'27.07 SentemaRBT-Sentema-24h'!F53,'28.07 SentemaRBT-Sentema'!F53)</f>
        <v>12.857142857142858</v>
      </c>
      <c r="G53" s="49">
        <f>AVERAGE('22.07 SentemaRBT-Sentema'!G53,'23.07 Sentema RBT-Sentema'!G53,'24.07 SentemaRBT-Sentema'!G53,'25.07 SentemaRBT-Sentema'!G53,'26.07 SentemaRBT-Sentema-24h'!G53,'27.07 SentemaRBT-Sentema-24h'!G53,'28.07 SentemaRBT-Sentema'!G53)</f>
        <v>0.42857142857142855</v>
      </c>
      <c r="H53" s="49">
        <f>AVERAGE('22.07 SentemaRBT-Sentema'!H53,'23.07 Sentema RBT-Sentema'!H53,'24.07 SentemaRBT-Sentema'!H53,'25.07 SentemaRBT-Sentema'!H53,'26.07 SentemaRBT-Sentema-24h'!H53,'27.07 SentemaRBT-Sentema-24h'!H53,'28.07 SentemaRBT-Sentema'!H53)</f>
        <v>0</v>
      </c>
      <c r="I53" s="49">
        <f>AVERAGE('22.07 SentemaRBT-Sentema'!I53,'23.07 Sentema RBT-Sentema'!I53,'24.07 SentemaRBT-Sentema'!I53,'25.07 SentemaRBT-Sentema'!I53,'26.07 SentemaRBT-Sentema-24h'!I53,'27.07 SentemaRBT-Sentema-24h'!I53,'28.07 SentemaRBT-Sentema'!I53)</f>
        <v>4.7142857142857144</v>
      </c>
      <c r="J53" s="49">
        <f>AVERAGE('22.07 SentemaRBT-Sentema'!J53,'23.07 Sentema RBT-Sentema'!J53,'24.07 SentemaRBT-Sentema'!J53,'25.07 SentemaRBT-Sentema'!J53,'26.07 SentemaRBT-Sentema-24h'!J53,'27.07 SentemaRBT-Sentema-24h'!J53,'28.07 SentemaRBT-Sentema'!J53)</f>
        <v>0.5714285714285714</v>
      </c>
      <c r="K53" s="49">
        <f>AVERAGE('22.07 SentemaRBT-Sentema'!K53,'23.07 Sentema RBT-Sentema'!K53,'24.07 SentemaRBT-Sentema'!K53,'25.07 SentemaRBT-Sentema'!K53,'26.07 SentemaRBT-Sentema-24h'!K53,'27.07 SentemaRBT-Sentema-24h'!K53,'28.07 SentemaRBT-Sentema'!K53)</f>
        <v>0.14285714285714285</v>
      </c>
      <c r="L53" s="49">
        <f>AVERAGE('22.07 SentemaRBT-Sentema'!L53,'23.07 Sentema RBT-Sentema'!L53,'24.07 SentemaRBT-Sentema'!L53,'25.07 SentemaRBT-Sentema'!L53,'26.07 SentemaRBT-Sentema-24h'!L53,'27.07 SentemaRBT-Sentema-24h'!L53,'28.07 SentemaRBT-Sentema'!L53)</f>
        <v>0.5714285714285714</v>
      </c>
      <c r="M53" s="49">
        <f>AVERAGE('22.07 SentemaRBT-Sentema'!M53,'23.07 Sentema RBT-Sentema'!M53,'24.07 SentemaRBT-Sentema'!M53,'25.07 SentemaRBT-Sentema'!M53,'26.07 SentemaRBT-Sentema-24h'!M53,'27.07 SentemaRBT-Sentema-24h'!M53,'28.07 SentemaRBT-Sentema'!M53)</f>
        <v>52.428571428571431</v>
      </c>
      <c r="N53" s="49">
        <f>AVERAGE('22.07 SentemaRBT-Sentema'!N53,'23.07 Sentema RBT-Sentema'!N53,'24.07 SentemaRBT-Sentema'!N53,'25.07 SentemaRBT-Sentema'!N53,'26.07 SentemaRBT-Sentema-24h'!N53,'27.07 SentemaRBT-Sentema-24h'!N53,'28.07 SentemaRBT-Sentema'!N53)</f>
        <v>0</v>
      </c>
      <c r="O53" s="15">
        <f t="shared" si="0"/>
        <v>51.142857142857146</v>
      </c>
      <c r="P53" s="15">
        <f t="shared" si="1"/>
        <v>103.57142857142858</v>
      </c>
      <c r="R53" s="8"/>
      <c r="T53"/>
    </row>
    <row r="54" spans="2:20" ht="23.1" customHeight="1" x14ac:dyDescent="0.25">
      <c r="B54" s="23" t="s">
        <v>81</v>
      </c>
      <c r="C54" s="49">
        <f>AVERAGE('22.07 SentemaRBT-Sentema'!C54,'23.07 Sentema RBT-Sentema'!C54,'24.07 SentemaRBT-Sentema'!C54,'25.07 SentemaRBT-Sentema'!C54,'26.07 SentemaRBT-Sentema-24h'!C54,'27.07 SentemaRBT-Sentema-24h'!C54,'28.07 SentemaRBT-Sentema'!C54)</f>
        <v>27</v>
      </c>
      <c r="D54" s="49">
        <f>AVERAGE('22.07 SentemaRBT-Sentema'!D54,'23.07 Sentema RBT-Sentema'!D54,'24.07 SentemaRBT-Sentema'!D54,'25.07 SentemaRBT-Sentema'!D54,'26.07 SentemaRBT-Sentema-24h'!D54,'27.07 SentemaRBT-Sentema-24h'!D54,'28.07 SentemaRBT-Sentema'!D54)</f>
        <v>6</v>
      </c>
      <c r="E54" s="49">
        <f>AVERAGE('22.07 SentemaRBT-Sentema'!E54,'23.07 Sentema RBT-Sentema'!E54,'24.07 SentemaRBT-Sentema'!E54,'25.07 SentemaRBT-Sentema'!E54,'26.07 SentemaRBT-Sentema-24h'!E54,'27.07 SentemaRBT-Sentema-24h'!E54,'28.07 SentemaRBT-Sentema'!E54)</f>
        <v>2.5714285714285716</v>
      </c>
      <c r="F54" s="49">
        <f>AVERAGE('22.07 SentemaRBT-Sentema'!F54,'23.07 Sentema RBT-Sentema'!F54,'24.07 SentemaRBT-Sentema'!F54,'25.07 SentemaRBT-Sentema'!F54,'26.07 SentemaRBT-Sentema-24h'!F54,'27.07 SentemaRBT-Sentema-24h'!F54,'28.07 SentemaRBT-Sentema'!F54)</f>
        <v>11.571428571428571</v>
      </c>
      <c r="G54" s="49">
        <f>AVERAGE('22.07 SentemaRBT-Sentema'!G54,'23.07 Sentema RBT-Sentema'!G54,'24.07 SentemaRBT-Sentema'!G54,'25.07 SentemaRBT-Sentema'!G54,'26.07 SentemaRBT-Sentema-24h'!G54,'27.07 SentemaRBT-Sentema-24h'!G54,'28.07 SentemaRBT-Sentema'!G54)</f>
        <v>0</v>
      </c>
      <c r="H54" s="49">
        <f>AVERAGE('22.07 SentemaRBT-Sentema'!H54,'23.07 Sentema RBT-Sentema'!H54,'24.07 SentemaRBT-Sentema'!H54,'25.07 SentemaRBT-Sentema'!H54,'26.07 SentemaRBT-Sentema-24h'!H54,'27.07 SentemaRBT-Sentema-24h'!H54,'28.07 SentemaRBT-Sentema'!H54)</f>
        <v>0</v>
      </c>
      <c r="I54" s="49">
        <f>AVERAGE('22.07 SentemaRBT-Sentema'!I54,'23.07 Sentema RBT-Sentema'!I54,'24.07 SentemaRBT-Sentema'!I54,'25.07 SentemaRBT-Sentema'!I54,'26.07 SentemaRBT-Sentema-24h'!I54,'27.07 SentemaRBT-Sentema-24h'!I54,'28.07 SentemaRBT-Sentema'!I54)</f>
        <v>1.7142857142857142</v>
      </c>
      <c r="J54" s="49">
        <f>AVERAGE('22.07 SentemaRBT-Sentema'!J54,'23.07 Sentema RBT-Sentema'!J54,'24.07 SentemaRBT-Sentema'!J54,'25.07 SentemaRBT-Sentema'!J54,'26.07 SentemaRBT-Sentema-24h'!J54,'27.07 SentemaRBT-Sentema-24h'!J54,'28.07 SentemaRBT-Sentema'!J54)</f>
        <v>0.14285714285714285</v>
      </c>
      <c r="K54" s="49">
        <f>AVERAGE('22.07 SentemaRBT-Sentema'!K54,'23.07 Sentema RBT-Sentema'!K54,'24.07 SentemaRBT-Sentema'!K54,'25.07 SentemaRBT-Sentema'!K54,'26.07 SentemaRBT-Sentema-24h'!K54,'27.07 SentemaRBT-Sentema-24h'!K54,'28.07 SentemaRBT-Sentema'!K54)</f>
        <v>0.2857142857142857</v>
      </c>
      <c r="L54" s="49">
        <f>AVERAGE('22.07 SentemaRBT-Sentema'!L54,'23.07 Sentema RBT-Sentema'!L54,'24.07 SentemaRBT-Sentema'!L54,'25.07 SentemaRBT-Sentema'!L54,'26.07 SentemaRBT-Sentema-24h'!L54,'27.07 SentemaRBT-Sentema-24h'!L54,'28.07 SentemaRBT-Sentema'!L54)</f>
        <v>0</v>
      </c>
      <c r="M54" s="49">
        <f>AVERAGE('22.07 SentemaRBT-Sentema'!M54,'23.07 Sentema RBT-Sentema'!M54,'24.07 SentemaRBT-Sentema'!M54,'25.07 SentemaRBT-Sentema'!M54,'26.07 SentemaRBT-Sentema-24h'!M54,'27.07 SentemaRBT-Sentema-24h'!M54,'28.07 SentemaRBT-Sentema'!M54)</f>
        <v>50</v>
      </c>
      <c r="N54" s="49">
        <f>AVERAGE('22.07 SentemaRBT-Sentema'!N54,'23.07 Sentema RBT-Sentema'!N54,'24.07 SentemaRBT-Sentema'!N54,'25.07 SentemaRBT-Sentema'!N54,'26.07 SentemaRBT-Sentema-24h'!N54,'27.07 SentemaRBT-Sentema-24h'!N54,'28.07 SentemaRBT-Sentema'!N54)</f>
        <v>0</v>
      </c>
      <c r="O54" s="15">
        <f t="shared" si="0"/>
        <v>49.285714285714285</v>
      </c>
      <c r="P54" s="15">
        <f t="shared" si="1"/>
        <v>99.285714285714278</v>
      </c>
      <c r="R54" s="8"/>
      <c r="T54"/>
    </row>
    <row r="55" spans="2:20" ht="23.1" customHeight="1" x14ac:dyDescent="0.25">
      <c r="B55" s="23" t="s">
        <v>82</v>
      </c>
      <c r="C55" s="49">
        <f>AVERAGE('22.07 SentemaRBT-Sentema'!C55,'23.07 Sentema RBT-Sentema'!C55,'24.07 SentemaRBT-Sentema'!C55,'25.07 SentemaRBT-Sentema'!C55,'26.07 SentemaRBT-Sentema-24h'!C55,'27.07 SentemaRBT-Sentema-24h'!C55,'28.07 SentemaRBT-Sentema'!C55)</f>
        <v>28.714285714285715</v>
      </c>
      <c r="D55" s="49">
        <f>AVERAGE('22.07 SentemaRBT-Sentema'!D55,'23.07 Sentema RBT-Sentema'!D55,'24.07 SentemaRBT-Sentema'!D55,'25.07 SentemaRBT-Sentema'!D55,'26.07 SentemaRBT-Sentema-24h'!D55,'27.07 SentemaRBT-Sentema-24h'!D55,'28.07 SentemaRBT-Sentema'!D55)</f>
        <v>5</v>
      </c>
      <c r="E55" s="49">
        <f>AVERAGE('22.07 SentemaRBT-Sentema'!E55,'23.07 Sentema RBT-Sentema'!E55,'24.07 SentemaRBT-Sentema'!E55,'25.07 SentemaRBT-Sentema'!E55,'26.07 SentemaRBT-Sentema-24h'!E55,'27.07 SentemaRBT-Sentema-24h'!E55,'28.07 SentemaRBT-Sentema'!E55)</f>
        <v>3</v>
      </c>
      <c r="F55" s="49">
        <f>AVERAGE('22.07 SentemaRBT-Sentema'!F55,'23.07 Sentema RBT-Sentema'!F55,'24.07 SentemaRBT-Sentema'!F55,'25.07 SentemaRBT-Sentema'!F55,'26.07 SentemaRBT-Sentema-24h'!F55,'27.07 SentemaRBT-Sentema-24h'!F55,'28.07 SentemaRBT-Sentema'!F55)</f>
        <v>13</v>
      </c>
      <c r="G55" s="49">
        <f>AVERAGE('22.07 SentemaRBT-Sentema'!G55,'23.07 Sentema RBT-Sentema'!G55,'24.07 SentemaRBT-Sentema'!G55,'25.07 SentemaRBT-Sentema'!G55,'26.07 SentemaRBT-Sentema-24h'!G55,'27.07 SentemaRBT-Sentema-24h'!G55,'28.07 SentemaRBT-Sentema'!G55)</f>
        <v>0.14285714285714285</v>
      </c>
      <c r="H55" s="49">
        <f>AVERAGE('22.07 SentemaRBT-Sentema'!H55,'23.07 Sentema RBT-Sentema'!H55,'24.07 SentemaRBT-Sentema'!H55,'25.07 SentemaRBT-Sentema'!H55,'26.07 SentemaRBT-Sentema-24h'!H55,'27.07 SentemaRBT-Sentema-24h'!H55,'28.07 SentemaRBT-Sentema'!H55)</f>
        <v>0</v>
      </c>
      <c r="I55" s="49">
        <f>AVERAGE('22.07 SentemaRBT-Sentema'!I55,'23.07 Sentema RBT-Sentema'!I55,'24.07 SentemaRBT-Sentema'!I55,'25.07 SentemaRBT-Sentema'!I55,'26.07 SentemaRBT-Sentema-24h'!I55,'27.07 SentemaRBT-Sentema-24h'!I55,'28.07 SentemaRBT-Sentema'!I55)</f>
        <v>2.4285714285714284</v>
      </c>
      <c r="J55" s="49">
        <f>AVERAGE('22.07 SentemaRBT-Sentema'!J55,'23.07 Sentema RBT-Sentema'!J55,'24.07 SentemaRBT-Sentema'!J55,'25.07 SentemaRBT-Sentema'!J55,'26.07 SentemaRBT-Sentema-24h'!J55,'27.07 SentemaRBT-Sentema-24h'!J55,'28.07 SentemaRBT-Sentema'!J55)</f>
        <v>1.2857142857142858</v>
      </c>
      <c r="K55" s="49">
        <f>AVERAGE('22.07 SentemaRBT-Sentema'!K55,'23.07 Sentema RBT-Sentema'!K55,'24.07 SentemaRBT-Sentema'!K55,'25.07 SentemaRBT-Sentema'!K55,'26.07 SentemaRBT-Sentema-24h'!K55,'27.07 SentemaRBT-Sentema-24h'!K55,'28.07 SentemaRBT-Sentema'!K55)</f>
        <v>0.8571428571428571</v>
      </c>
      <c r="L55" s="49">
        <f>AVERAGE('22.07 SentemaRBT-Sentema'!L55,'23.07 Sentema RBT-Sentema'!L55,'24.07 SentemaRBT-Sentema'!L55,'25.07 SentemaRBT-Sentema'!L55,'26.07 SentemaRBT-Sentema-24h'!L55,'27.07 SentemaRBT-Sentema-24h'!L55,'28.07 SentemaRBT-Sentema'!L55)</f>
        <v>0.14285714285714285</v>
      </c>
      <c r="M55" s="49">
        <f>AVERAGE('22.07 SentemaRBT-Sentema'!M55,'23.07 Sentema RBT-Sentema'!M55,'24.07 SentemaRBT-Sentema'!M55,'25.07 SentemaRBT-Sentema'!M55,'26.07 SentemaRBT-Sentema-24h'!M55,'27.07 SentemaRBT-Sentema-24h'!M55,'28.07 SentemaRBT-Sentema'!M55)</f>
        <v>55.142857142857146</v>
      </c>
      <c r="N55" s="49">
        <f>AVERAGE('22.07 SentemaRBT-Sentema'!N55,'23.07 Sentema RBT-Sentema'!N55,'24.07 SentemaRBT-Sentema'!N55,'25.07 SentemaRBT-Sentema'!N55,'26.07 SentemaRBT-Sentema-24h'!N55,'27.07 SentemaRBT-Sentema-24h'!N55,'28.07 SentemaRBT-Sentema'!N55)</f>
        <v>0</v>
      </c>
      <c r="O55" s="15">
        <f t="shared" si="0"/>
        <v>54.571428571428577</v>
      </c>
      <c r="P55" s="15">
        <f t="shared" si="1"/>
        <v>109.71428571428572</v>
      </c>
      <c r="R55" s="8"/>
      <c r="T55"/>
    </row>
    <row r="56" spans="2:20" ht="23.1" customHeight="1" x14ac:dyDescent="0.25">
      <c r="B56" s="23" t="s">
        <v>83</v>
      </c>
      <c r="C56" s="49">
        <f>AVERAGE('22.07 SentemaRBT-Sentema'!C56,'23.07 Sentema RBT-Sentema'!C56,'24.07 SentemaRBT-Sentema'!C56,'25.07 SentemaRBT-Sentema'!C56,'26.07 SentemaRBT-Sentema-24h'!C56,'27.07 SentemaRBT-Sentema-24h'!C56,'28.07 SentemaRBT-Sentema'!C56)</f>
        <v>25.285714285714285</v>
      </c>
      <c r="D56" s="49">
        <f>AVERAGE('22.07 SentemaRBT-Sentema'!D56,'23.07 Sentema RBT-Sentema'!D56,'24.07 SentemaRBT-Sentema'!D56,'25.07 SentemaRBT-Sentema'!D56,'26.07 SentemaRBT-Sentema-24h'!D56,'27.07 SentemaRBT-Sentema-24h'!D56,'28.07 SentemaRBT-Sentema'!D56)</f>
        <v>5.8571428571428568</v>
      </c>
      <c r="E56" s="49">
        <f>AVERAGE('22.07 SentemaRBT-Sentema'!E56,'23.07 Sentema RBT-Sentema'!E56,'24.07 SentemaRBT-Sentema'!E56,'25.07 SentemaRBT-Sentema'!E56,'26.07 SentemaRBT-Sentema-24h'!E56,'27.07 SentemaRBT-Sentema-24h'!E56,'28.07 SentemaRBT-Sentema'!E56)</f>
        <v>3.1428571428571428</v>
      </c>
      <c r="F56" s="49">
        <f>AVERAGE('22.07 SentemaRBT-Sentema'!F56,'23.07 Sentema RBT-Sentema'!F56,'24.07 SentemaRBT-Sentema'!F56,'25.07 SentemaRBT-Sentema'!F56,'26.07 SentemaRBT-Sentema-24h'!F56,'27.07 SentemaRBT-Sentema-24h'!F56,'28.07 SentemaRBT-Sentema'!F56)</f>
        <v>14.142857142857142</v>
      </c>
      <c r="G56" s="49">
        <f>AVERAGE('22.07 SentemaRBT-Sentema'!G56,'23.07 Sentema RBT-Sentema'!G56,'24.07 SentemaRBT-Sentema'!G56,'25.07 SentemaRBT-Sentema'!G56,'26.07 SentemaRBT-Sentema-24h'!G56,'27.07 SentemaRBT-Sentema-24h'!G56,'28.07 SentemaRBT-Sentema'!G56)</f>
        <v>0.2857142857142857</v>
      </c>
      <c r="H56" s="49">
        <f>AVERAGE('22.07 SentemaRBT-Sentema'!H56,'23.07 Sentema RBT-Sentema'!H56,'24.07 SentemaRBT-Sentema'!H56,'25.07 SentemaRBT-Sentema'!H56,'26.07 SentemaRBT-Sentema-24h'!H56,'27.07 SentemaRBT-Sentema-24h'!H56,'28.07 SentemaRBT-Sentema'!H56)</f>
        <v>0</v>
      </c>
      <c r="I56" s="49">
        <f>AVERAGE('22.07 SentemaRBT-Sentema'!I56,'23.07 Sentema RBT-Sentema'!I56,'24.07 SentemaRBT-Sentema'!I56,'25.07 SentemaRBT-Sentema'!I56,'26.07 SentemaRBT-Sentema-24h'!I56,'27.07 SentemaRBT-Sentema-24h'!I56,'28.07 SentemaRBT-Sentema'!I56)</f>
        <v>3.8571428571428572</v>
      </c>
      <c r="J56" s="49">
        <f>AVERAGE('22.07 SentemaRBT-Sentema'!J56,'23.07 Sentema RBT-Sentema'!J56,'24.07 SentemaRBT-Sentema'!J56,'25.07 SentemaRBT-Sentema'!J56,'26.07 SentemaRBT-Sentema-24h'!J56,'27.07 SentemaRBT-Sentema-24h'!J56,'28.07 SentemaRBT-Sentema'!J56)</f>
        <v>0.7142857142857143</v>
      </c>
      <c r="K56" s="49">
        <f>AVERAGE('22.07 SentemaRBT-Sentema'!K56,'23.07 Sentema RBT-Sentema'!K56,'24.07 SentemaRBT-Sentema'!K56,'25.07 SentemaRBT-Sentema'!K56,'26.07 SentemaRBT-Sentema-24h'!K56,'27.07 SentemaRBT-Sentema-24h'!K56,'28.07 SentemaRBT-Sentema'!K56)</f>
        <v>1</v>
      </c>
      <c r="L56" s="49">
        <f>AVERAGE('22.07 SentemaRBT-Sentema'!L56,'23.07 Sentema RBT-Sentema'!L56,'24.07 SentemaRBT-Sentema'!L56,'25.07 SentemaRBT-Sentema'!L56,'26.07 SentemaRBT-Sentema-24h'!L56,'27.07 SentemaRBT-Sentema-24h'!L56,'28.07 SentemaRBT-Sentema'!L56)</f>
        <v>0.14285714285714285</v>
      </c>
      <c r="M56" s="49">
        <f>AVERAGE('22.07 SentemaRBT-Sentema'!M56,'23.07 Sentema RBT-Sentema'!M56,'24.07 SentemaRBT-Sentema'!M56,'25.07 SentemaRBT-Sentema'!M56,'26.07 SentemaRBT-Sentema-24h'!M56,'27.07 SentemaRBT-Sentema-24h'!M56,'28.07 SentemaRBT-Sentema'!M56)</f>
        <v>53.857142857142854</v>
      </c>
      <c r="N56" s="49">
        <f>AVERAGE('22.07 SentemaRBT-Sentema'!N56,'23.07 Sentema RBT-Sentema'!N56,'24.07 SentemaRBT-Sentema'!N56,'25.07 SentemaRBT-Sentema'!N56,'26.07 SentemaRBT-Sentema-24h'!N56,'27.07 SentemaRBT-Sentema-24h'!N56,'28.07 SentemaRBT-Sentema'!N56)</f>
        <v>0</v>
      </c>
      <c r="O56" s="15">
        <f t="shared" si="0"/>
        <v>54.428571428571431</v>
      </c>
      <c r="P56" s="15">
        <f t="shared" si="1"/>
        <v>108.28571428571428</v>
      </c>
      <c r="R56" s="8"/>
      <c r="T56"/>
    </row>
    <row r="57" spans="2:20" ht="23.1" customHeight="1" x14ac:dyDescent="0.25">
      <c r="B57" s="23" t="s">
        <v>84</v>
      </c>
      <c r="C57" s="49">
        <f>AVERAGE('22.07 SentemaRBT-Sentema'!C57,'23.07 Sentema RBT-Sentema'!C57,'24.07 SentemaRBT-Sentema'!C57,'25.07 SentemaRBT-Sentema'!C57,'26.07 SentemaRBT-Sentema-24h'!C57,'27.07 SentemaRBT-Sentema-24h'!C57,'28.07 SentemaRBT-Sentema'!C57)</f>
        <v>26.428571428571427</v>
      </c>
      <c r="D57" s="49">
        <f>AVERAGE('22.07 SentemaRBT-Sentema'!D57,'23.07 Sentema RBT-Sentema'!D57,'24.07 SentemaRBT-Sentema'!D57,'25.07 SentemaRBT-Sentema'!D57,'26.07 SentemaRBT-Sentema-24h'!D57,'27.07 SentemaRBT-Sentema-24h'!D57,'28.07 SentemaRBT-Sentema'!D57)</f>
        <v>3.4285714285714284</v>
      </c>
      <c r="E57" s="49">
        <f>AVERAGE('22.07 SentemaRBT-Sentema'!E57,'23.07 Sentema RBT-Sentema'!E57,'24.07 SentemaRBT-Sentema'!E57,'25.07 SentemaRBT-Sentema'!E57,'26.07 SentemaRBT-Sentema-24h'!E57,'27.07 SentemaRBT-Sentema-24h'!E57,'28.07 SentemaRBT-Sentema'!E57)</f>
        <v>2.1428571428571428</v>
      </c>
      <c r="F57" s="49">
        <f>AVERAGE('22.07 SentemaRBT-Sentema'!F57,'23.07 Sentema RBT-Sentema'!F57,'24.07 SentemaRBT-Sentema'!F57,'25.07 SentemaRBT-Sentema'!F57,'26.07 SentemaRBT-Sentema-24h'!F57,'27.07 SentemaRBT-Sentema-24h'!F57,'28.07 SentemaRBT-Sentema'!F57)</f>
        <v>12.857142857142858</v>
      </c>
      <c r="G57" s="49">
        <f>AVERAGE('22.07 SentemaRBT-Sentema'!G57,'23.07 Sentema RBT-Sentema'!G57,'24.07 SentemaRBT-Sentema'!G57,'25.07 SentemaRBT-Sentema'!G57,'26.07 SentemaRBT-Sentema-24h'!G57,'27.07 SentemaRBT-Sentema-24h'!G57,'28.07 SentemaRBT-Sentema'!G57)</f>
        <v>0.42857142857142855</v>
      </c>
      <c r="H57" s="49">
        <f>AVERAGE('22.07 SentemaRBT-Sentema'!H57,'23.07 Sentema RBT-Sentema'!H57,'24.07 SentemaRBT-Sentema'!H57,'25.07 SentemaRBT-Sentema'!H57,'26.07 SentemaRBT-Sentema-24h'!H57,'27.07 SentemaRBT-Sentema-24h'!H57,'28.07 SentemaRBT-Sentema'!H57)</f>
        <v>0</v>
      </c>
      <c r="I57" s="49">
        <f>AVERAGE('22.07 SentemaRBT-Sentema'!I57,'23.07 Sentema RBT-Sentema'!I57,'24.07 SentemaRBT-Sentema'!I57,'25.07 SentemaRBT-Sentema'!I57,'26.07 SentemaRBT-Sentema-24h'!I57,'27.07 SentemaRBT-Sentema-24h'!I57,'28.07 SentemaRBT-Sentema'!I57)</f>
        <v>3.8571428571428572</v>
      </c>
      <c r="J57" s="49">
        <f>AVERAGE('22.07 SentemaRBT-Sentema'!J57,'23.07 Sentema RBT-Sentema'!J57,'24.07 SentemaRBT-Sentema'!J57,'25.07 SentemaRBT-Sentema'!J57,'26.07 SentemaRBT-Sentema-24h'!J57,'27.07 SentemaRBT-Sentema-24h'!J57,'28.07 SentemaRBT-Sentema'!J57)</f>
        <v>1.1428571428571428</v>
      </c>
      <c r="K57" s="49">
        <f>AVERAGE('22.07 SentemaRBT-Sentema'!K57,'23.07 Sentema RBT-Sentema'!K57,'24.07 SentemaRBT-Sentema'!K57,'25.07 SentemaRBT-Sentema'!K57,'26.07 SentemaRBT-Sentema-24h'!K57,'27.07 SentemaRBT-Sentema-24h'!K57,'28.07 SentemaRBT-Sentema'!K57)</f>
        <v>1.1428571428571428</v>
      </c>
      <c r="L57" s="49">
        <f>AVERAGE('22.07 SentemaRBT-Sentema'!L57,'23.07 Sentema RBT-Sentema'!L57,'24.07 SentemaRBT-Sentema'!L57,'25.07 SentemaRBT-Sentema'!L57,'26.07 SentemaRBT-Sentema-24h'!L57,'27.07 SentemaRBT-Sentema-24h'!L57,'28.07 SentemaRBT-Sentema'!L57)</f>
        <v>0</v>
      </c>
      <c r="M57" s="49">
        <f>AVERAGE('22.07 SentemaRBT-Sentema'!M57,'23.07 Sentema RBT-Sentema'!M57,'24.07 SentemaRBT-Sentema'!M57,'25.07 SentemaRBT-Sentema'!M57,'26.07 SentemaRBT-Sentema-24h'!M57,'27.07 SentemaRBT-Sentema-24h'!M57,'28.07 SentemaRBT-Sentema'!M57)</f>
        <v>53.142857142857146</v>
      </c>
      <c r="N57" s="49">
        <f>AVERAGE('22.07 SentemaRBT-Sentema'!N57,'23.07 Sentema RBT-Sentema'!N57,'24.07 SentemaRBT-Sentema'!N57,'25.07 SentemaRBT-Sentema'!N57,'26.07 SentemaRBT-Sentema-24h'!N57,'27.07 SentemaRBT-Sentema-24h'!N57,'28.07 SentemaRBT-Sentema'!N57)</f>
        <v>0.14285714285714285</v>
      </c>
      <c r="O57" s="15">
        <f t="shared" si="0"/>
        <v>51.571428571428577</v>
      </c>
      <c r="P57" s="15">
        <f t="shared" si="1"/>
        <v>104.71428571428572</v>
      </c>
      <c r="R57" s="8"/>
      <c r="T57"/>
    </row>
    <row r="58" spans="2:20" ht="23.1" customHeight="1" x14ac:dyDescent="0.25">
      <c r="B58" s="23" t="s">
        <v>99</v>
      </c>
      <c r="C58" s="49">
        <f>AVERAGE('26.07 SentemaRBT-Sentema-24h'!C58,'27.07 SentemaRBT-Sentema-24h'!C58)</f>
        <v>20.5</v>
      </c>
      <c r="D58" s="49">
        <f>AVERAGE('26.07 SentemaRBT-Sentema-24h'!D58,'27.07 SentemaRBT-Sentema-24h'!D58)</f>
        <v>9</v>
      </c>
      <c r="E58" s="49">
        <f>AVERAGE('26.07 SentemaRBT-Sentema-24h'!E58,'27.07 SentemaRBT-Sentema-24h'!E58)</f>
        <v>5</v>
      </c>
      <c r="F58" s="49">
        <f>AVERAGE('26.07 SentemaRBT-Sentema-24h'!F58,'27.07 SentemaRBT-Sentema-24h'!F58)</f>
        <v>16</v>
      </c>
      <c r="G58" s="49">
        <f>AVERAGE('26.07 SentemaRBT-Sentema-24h'!G58,'27.07 SentemaRBT-Sentema-24h'!G58)</f>
        <v>0.5</v>
      </c>
      <c r="H58" s="49">
        <f>AVERAGE('26.07 SentemaRBT-Sentema-24h'!H58,'27.07 SentemaRBT-Sentema-24h'!H58)</f>
        <v>0</v>
      </c>
      <c r="I58" s="49">
        <f>AVERAGE('26.07 SentemaRBT-Sentema-24h'!I58,'27.07 SentemaRBT-Sentema-24h'!I58)</f>
        <v>2.5</v>
      </c>
      <c r="J58" s="49">
        <f>AVERAGE('26.07 SentemaRBT-Sentema-24h'!J58,'27.07 SentemaRBT-Sentema-24h'!J58)</f>
        <v>1.5</v>
      </c>
      <c r="K58" s="49">
        <f>AVERAGE('26.07 SentemaRBT-Sentema-24h'!K58,'27.07 SentemaRBT-Sentema-24h'!K58)</f>
        <v>0.5</v>
      </c>
      <c r="L58" s="49">
        <f>AVERAGE('26.07 SentemaRBT-Sentema-24h'!L58,'27.07 SentemaRBT-Sentema-24h'!L58)</f>
        <v>0</v>
      </c>
      <c r="M58" s="49">
        <f>AVERAGE('26.07 SentemaRBT-Sentema-24h'!M58,'27.07 SentemaRBT-Sentema-24h'!M58)</f>
        <v>46.5</v>
      </c>
      <c r="N58" s="49">
        <f>AVERAGE('26.07 SentemaRBT-Sentema-24h'!N58,'27.07 SentemaRBT-Sentema-24h'!N58)</f>
        <v>0</v>
      </c>
      <c r="O58" s="15">
        <f t="shared" si="0"/>
        <v>55.5</v>
      </c>
      <c r="P58" s="15">
        <f t="shared" si="1"/>
        <v>102</v>
      </c>
      <c r="R58" s="8"/>
      <c r="T58"/>
    </row>
    <row r="59" spans="2:20" ht="23.1" customHeight="1" x14ac:dyDescent="0.25">
      <c r="B59" s="23" t="s">
        <v>100</v>
      </c>
      <c r="C59" s="49">
        <f>AVERAGE('26.07 SentemaRBT-Sentema-24h'!C59,'27.07 SentemaRBT-Sentema-24h'!C59)</f>
        <v>20.5</v>
      </c>
      <c r="D59" s="49">
        <f>AVERAGE('26.07 SentemaRBT-Sentema-24h'!D59,'27.07 SentemaRBT-Sentema-24h'!D59)</f>
        <v>5.5</v>
      </c>
      <c r="E59" s="49">
        <f>AVERAGE('26.07 SentemaRBT-Sentema-24h'!E59,'27.07 SentemaRBT-Sentema-24h'!E59)</f>
        <v>5</v>
      </c>
      <c r="F59" s="49">
        <f>AVERAGE('26.07 SentemaRBT-Sentema-24h'!F59,'27.07 SentemaRBT-Sentema-24h'!F59)</f>
        <v>22</v>
      </c>
      <c r="G59" s="49">
        <f>AVERAGE('26.07 SentemaRBT-Sentema-24h'!G59,'27.07 SentemaRBT-Sentema-24h'!G59)</f>
        <v>1</v>
      </c>
      <c r="H59" s="49">
        <f>AVERAGE('26.07 SentemaRBT-Sentema-24h'!H59,'27.07 SentemaRBT-Sentema-24h'!H59)</f>
        <v>0.5</v>
      </c>
      <c r="I59" s="49">
        <f>AVERAGE('26.07 SentemaRBT-Sentema-24h'!I59,'27.07 SentemaRBT-Sentema-24h'!I59)</f>
        <v>2</v>
      </c>
      <c r="J59" s="49">
        <f>AVERAGE('26.07 SentemaRBT-Sentema-24h'!J59,'27.07 SentemaRBT-Sentema-24h'!J59)</f>
        <v>0</v>
      </c>
      <c r="K59" s="49">
        <f>AVERAGE('26.07 SentemaRBT-Sentema-24h'!K59,'27.07 SentemaRBT-Sentema-24h'!K59)</f>
        <v>0</v>
      </c>
      <c r="L59" s="49">
        <f>AVERAGE('26.07 SentemaRBT-Sentema-24h'!L59,'27.07 SentemaRBT-Sentema-24h'!L59)</f>
        <v>1</v>
      </c>
      <c r="M59" s="49">
        <f>AVERAGE('26.07 SentemaRBT-Sentema-24h'!M59,'27.07 SentemaRBT-Sentema-24h'!M59)</f>
        <v>62.5</v>
      </c>
      <c r="N59" s="49">
        <f>AVERAGE('26.07 SentemaRBT-Sentema-24h'!N59,'27.07 SentemaRBT-Sentema-24h'!N59)</f>
        <v>0</v>
      </c>
      <c r="O59" s="15">
        <f t="shared" si="0"/>
        <v>57.5</v>
      </c>
      <c r="P59" s="15">
        <f t="shared" si="1"/>
        <v>120</v>
      </c>
      <c r="R59" s="8"/>
      <c r="T59"/>
    </row>
    <row r="60" spans="2:20" ht="23.1" customHeight="1" x14ac:dyDescent="0.25">
      <c r="B60" s="23" t="s">
        <v>101</v>
      </c>
      <c r="C60" s="49">
        <f>AVERAGE('26.07 SentemaRBT-Sentema-24h'!C60,'27.07 SentemaRBT-Sentema-24h'!C60)</f>
        <v>22.5</v>
      </c>
      <c r="D60" s="49">
        <f>AVERAGE('26.07 SentemaRBT-Sentema-24h'!D60,'27.07 SentemaRBT-Sentema-24h'!D60)</f>
        <v>7.5</v>
      </c>
      <c r="E60" s="49">
        <f>AVERAGE('26.07 SentemaRBT-Sentema-24h'!E60,'27.07 SentemaRBT-Sentema-24h'!E60)</f>
        <v>3</v>
      </c>
      <c r="F60" s="49">
        <f>AVERAGE('26.07 SentemaRBT-Sentema-24h'!F60,'27.07 SentemaRBT-Sentema-24h'!F60)</f>
        <v>17.5</v>
      </c>
      <c r="G60" s="49">
        <f>AVERAGE('26.07 SentemaRBT-Sentema-24h'!G60,'27.07 SentemaRBT-Sentema-24h'!G60)</f>
        <v>0</v>
      </c>
      <c r="H60" s="49">
        <f>AVERAGE('26.07 SentemaRBT-Sentema-24h'!H60,'27.07 SentemaRBT-Sentema-24h'!H60)</f>
        <v>0</v>
      </c>
      <c r="I60" s="49">
        <f>AVERAGE('26.07 SentemaRBT-Sentema-24h'!I60,'27.07 SentemaRBT-Sentema-24h'!I60)</f>
        <v>5.5</v>
      </c>
      <c r="J60" s="49">
        <f>AVERAGE('26.07 SentemaRBT-Sentema-24h'!J60,'27.07 SentemaRBT-Sentema-24h'!J60)</f>
        <v>0</v>
      </c>
      <c r="K60" s="49">
        <f>AVERAGE('26.07 SentemaRBT-Sentema-24h'!K60,'27.07 SentemaRBT-Sentema-24h'!K60)</f>
        <v>0</v>
      </c>
      <c r="L60" s="49">
        <f>AVERAGE('26.07 SentemaRBT-Sentema-24h'!L60,'27.07 SentemaRBT-Sentema-24h'!L60)</f>
        <v>0</v>
      </c>
      <c r="M60" s="49">
        <f>AVERAGE('26.07 SentemaRBT-Sentema-24h'!M60,'27.07 SentemaRBT-Sentema-24h'!M60)</f>
        <v>52.5</v>
      </c>
      <c r="N60" s="49">
        <f>AVERAGE('26.07 SentemaRBT-Sentema-24h'!N60,'27.07 SentemaRBT-Sentema-24h'!N60)</f>
        <v>0</v>
      </c>
      <c r="O60" s="15">
        <f t="shared" si="0"/>
        <v>56</v>
      </c>
      <c r="P60" s="15">
        <f t="shared" si="1"/>
        <v>108.5</v>
      </c>
      <c r="R60" s="8"/>
      <c r="T60"/>
    </row>
    <row r="61" spans="2:20" ht="23.1" customHeight="1" x14ac:dyDescent="0.25">
      <c r="B61" s="23" t="s">
        <v>102</v>
      </c>
      <c r="C61" s="49">
        <f>AVERAGE('26.07 SentemaRBT-Sentema-24h'!C61,'27.07 SentemaRBT-Sentema-24h'!C61)</f>
        <v>21</v>
      </c>
      <c r="D61" s="49">
        <f>AVERAGE('26.07 SentemaRBT-Sentema-24h'!D61,'27.07 SentemaRBT-Sentema-24h'!D61)</f>
        <v>6.5</v>
      </c>
      <c r="E61" s="49">
        <f>AVERAGE('26.07 SentemaRBT-Sentema-24h'!E61,'27.07 SentemaRBT-Sentema-24h'!E61)</f>
        <v>5</v>
      </c>
      <c r="F61" s="49">
        <f>AVERAGE('26.07 SentemaRBT-Sentema-24h'!F61,'27.07 SentemaRBT-Sentema-24h'!F61)</f>
        <v>22</v>
      </c>
      <c r="G61" s="49">
        <f>AVERAGE('26.07 SentemaRBT-Sentema-24h'!G61,'27.07 SentemaRBT-Sentema-24h'!G61)</f>
        <v>0</v>
      </c>
      <c r="H61" s="49">
        <f>AVERAGE('26.07 SentemaRBT-Sentema-24h'!H61,'27.07 SentemaRBT-Sentema-24h'!H61)</f>
        <v>0</v>
      </c>
      <c r="I61" s="49">
        <f>AVERAGE('26.07 SentemaRBT-Sentema-24h'!I61,'27.07 SentemaRBT-Sentema-24h'!I61)</f>
        <v>3.5</v>
      </c>
      <c r="J61" s="49">
        <f>AVERAGE('26.07 SentemaRBT-Sentema-24h'!J61,'27.07 SentemaRBT-Sentema-24h'!J61)</f>
        <v>0</v>
      </c>
      <c r="K61" s="49">
        <f>AVERAGE('26.07 SentemaRBT-Sentema-24h'!K61,'27.07 SentemaRBT-Sentema-24h'!K61)</f>
        <v>0</v>
      </c>
      <c r="L61" s="49">
        <f>AVERAGE('26.07 SentemaRBT-Sentema-24h'!L61,'27.07 SentemaRBT-Sentema-24h'!L61)</f>
        <v>1</v>
      </c>
      <c r="M61" s="49">
        <f>AVERAGE('26.07 SentemaRBT-Sentema-24h'!M61,'27.07 SentemaRBT-Sentema-24h'!M61)</f>
        <v>32.5</v>
      </c>
      <c r="N61" s="49">
        <f>AVERAGE('26.07 SentemaRBT-Sentema-24h'!N61,'27.07 SentemaRBT-Sentema-24h'!N61)</f>
        <v>0</v>
      </c>
      <c r="O61" s="15">
        <f t="shared" si="0"/>
        <v>59</v>
      </c>
      <c r="P61" s="15">
        <f t="shared" si="1"/>
        <v>91.5</v>
      </c>
      <c r="R61" s="8"/>
      <c r="T61"/>
    </row>
    <row r="62" spans="2:20" ht="23.1" customHeight="1" x14ac:dyDescent="0.25">
      <c r="B62" s="23" t="s">
        <v>107</v>
      </c>
      <c r="C62" s="49">
        <f>AVERAGE('26.07 SentemaRBT-Sentema-24h'!C62,'27.07 SentemaRBT-Sentema-24h'!C62)</f>
        <v>20</v>
      </c>
      <c r="D62" s="49">
        <f>AVERAGE('26.07 SentemaRBT-Sentema-24h'!D62,'27.07 SentemaRBT-Sentema-24h'!D62)</f>
        <v>4</v>
      </c>
      <c r="E62" s="49">
        <f>AVERAGE('26.07 SentemaRBT-Sentema-24h'!E62,'27.07 SentemaRBT-Sentema-24h'!E62)</f>
        <v>4.5</v>
      </c>
      <c r="F62" s="49">
        <f>AVERAGE('26.07 SentemaRBT-Sentema-24h'!F62,'27.07 SentemaRBT-Sentema-24h'!F62)</f>
        <v>25</v>
      </c>
      <c r="G62" s="49">
        <f>AVERAGE('26.07 SentemaRBT-Sentema-24h'!G62,'27.07 SentemaRBT-Sentema-24h'!G62)</f>
        <v>0</v>
      </c>
      <c r="H62" s="49">
        <f>AVERAGE('26.07 SentemaRBT-Sentema-24h'!H62,'27.07 SentemaRBT-Sentema-24h'!H62)</f>
        <v>0</v>
      </c>
      <c r="I62" s="49">
        <f>AVERAGE('26.07 SentemaRBT-Sentema-24h'!I62,'27.07 SentemaRBT-Sentema-24h'!I62)</f>
        <v>0.5</v>
      </c>
      <c r="J62" s="49">
        <f>AVERAGE('26.07 SentemaRBT-Sentema-24h'!J62,'27.07 SentemaRBT-Sentema-24h'!J62)</f>
        <v>0.5</v>
      </c>
      <c r="K62" s="49">
        <f>AVERAGE('26.07 SentemaRBT-Sentema-24h'!K62,'27.07 SentemaRBT-Sentema-24h'!K62)</f>
        <v>0</v>
      </c>
      <c r="L62" s="49">
        <f>AVERAGE('26.07 SentemaRBT-Sentema-24h'!L62,'27.07 SentemaRBT-Sentema-24h'!L62)</f>
        <v>0</v>
      </c>
      <c r="M62" s="49">
        <f>AVERAGE('26.07 SentemaRBT-Sentema-24h'!M62,'27.07 SentemaRBT-Sentema-24h'!M62)</f>
        <v>26</v>
      </c>
      <c r="N62" s="49">
        <f>AVERAGE('26.07 SentemaRBT-Sentema-24h'!N62,'27.07 SentemaRBT-Sentema-24h'!N62)</f>
        <v>0</v>
      </c>
      <c r="O62" s="15">
        <f t="shared" si="0"/>
        <v>54.5</v>
      </c>
      <c r="P62" s="15">
        <f t="shared" si="1"/>
        <v>80.5</v>
      </c>
      <c r="R62" s="8"/>
      <c r="T62"/>
    </row>
    <row r="63" spans="2:20" ht="23.1" customHeight="1" x14ac:dyDescent="0.25">
      <c r="B63" s="23" t="s">
        <v>108</v>
      </c>
      <c r="C63" s="49">
        <f>AVERAGE('26.07 SentemaRBT-Sentema-24h'!C63,'27.07 SentemaRBT-Sentema-24h'!C63)</f>
        <v>18</v>
      </c>
      <c r="D63" s="49">
        <f>AVERAGE('26.07 SentemaRBT-Sentema-24h'!D63,'27.07 SentemaRBT-Sentema-24h'!D63)</f>
        <v>7</v>
      </c>
      <c r="E63" s="49">
        <f>AVERAGE('26.07 SentemaRBT-Sentema-24h'!E63,'27.07 SentemaRBT-Sentema-24h'!E63)</f>
        <v>2.5</v>
      </c>
      <c r="F63" s="49">
        <f>AVERAGE('26.07 SentemaRBT-Sentema-24h'!F63,'27.07 SentemaRBT-Sentema-24h'!F63)</f>
        <v>22</v>
      </c>
      <c r="G63" s="49">
        <f>AVERAGE('26.07 SentemaRBT-Sentema-24h'!G63,'27.07 SentemaRBT-Sentema-24h'!G63)</f>
        <v>0</v>
      </c>
      <c r="H63" s="49">
        <f>AVERAGE('26.07 SentemaRBT-Sentema-24h'!H63,'27.07 SentemaRBT-Sentema-24h'!H63)</f>
        <v>0</v>
      </c>
      <c r="I63" s="49">
        <f>AVERAGE('26.07 SentemaRBT-Sentema-24h'!I63,'27.07 SentemaRBT-Sentema-24h'!I63)</f>
        <v>4</v>
      </c>
      <c r="J63" s="49">
        <f>AVERAGE('26.07 SentemaRBT-Sentema-24h'!J63,'27.07 SentemaRBT-Sentema-24h'!J63)</f>
        <v>0</v>
      </c>
      <c r="K63" s="49">
        <f>AVERAGE('26.07 SentemaRBT-Sentema-24h'!K63,'27.07 SentemaRBT-Sentema-24h'!K63)</f>
        <v>0</v>
      </c>
      <c r="L63" s="49">
        <f>AVERAGE('26.07 SentemaRBT-Sentema-24h'!L63,'27.07 SentemaRBT-Sentema-24h'!L63)</f>
        <v>0.5</v>
      </c>
      <c r="M63" s="49">
        <f>AVERAGE('26.07 SentemaRBT-Sentema-24h'!M63,'27.07 SentemaRBT-Sentema-24h'!M63)</f>
        <v>57.5</v>
      </c>
      <c r="N63" s="49">
        <f>AVERAGE('26.07 SentemaRBT-Sentema-24h'!N63,'27.07 SentemaRBT-Sentema-24h'!N63)</f>
        <v>0</v>
      </c>
      <c r="O63" s="15">
        <f t="shared" ref="O63:O105" si="35">SUM(C63:L63,N63)</f>
        <v>54</v>
      </c>
      <c r="P63" s="15">
        <f t="shared" si="1"/>
        <v>111.5</v>
      </c>
      <c r="R63" s="8"/>
      <c r="T63"/>
    </row>
    <row r="64" spans="2:20" ht="23.1" customHeight="1" x14ac:dyDescent="0.25">
      <c r="B64" s="23" t="s">
        <v>109</v>
      </c>
      <c r="C64" s="49">
        <f>AVERAGE('26.07 SentemaRBT-Sentema-24h'!C64,'27.07 SentemaRBT-Sentema-24h'!C64)</f>
        <v>38.5</v>
      </c>
      <c r="D64" s="49">
        <f>AVERAGE('26.07 SentemaRBT-Sentema-24h'!D64,'27.07 SentemaRBT-Sentema-24h'!D64)</f>
        <v>5</v>
      </c>
      <c r="E64" s="49">
        <f>AVERAGE('26.07 SentemaRBT-Sentema-24h'!E64,'27.07 SentemaRBT-Sentema-24h'!E64)</f>
        <v>5</v>
      </c>
      <c r="F64" s="49">
        <f>AVERAGE('26.07 SentemaRBT-Sentema-24h'!F64,'27.07 SentemaRBT-Sentema-24h'!F64)</f>
        <v>26</v>
      </c>
      <c r="G64" s="49">
        <f>AVERAGE('26.07 SentemaRBT-Sentema-24h'!G64,'27.07 SentemaRBT-Sentema-24h'!G64)</f>
        <v>0.5</v>
      </c>
      <c r="H64" s="49">
        <f>AVERAGE('26.07 SentemaRBT-Sentema-24h'!H64,'27.07 SentemaRBT-Sentema-24h'!H64)</f>
        <v>0</v>
      </c>
      <c r="I64" s="49">
        <f>AVERAGE('26.07 SentemaRBT-Sentema-24h'!I64,'27.07 SentemaRBT-Sentema-24h'!I64)</f>
        <v>3</v>
      </c>
      <c r="J64" s="49">
        <f>AVERAGE('26.07 SentemaRBT-Sentema-24h'!J64,'27.07 SentemaRBT-Sentema-24h'!J64)</f>
        <v>0.5</v>
      </c>
      <c r="K64" s="49">
        <f>AVERAGE('26.07 SentemaRBT-Sentema-24h'!K64,'27.07 SentemaRBT-Sentema-24h'!K64)</f>
        <v>0</v>
      </c>
      <c r="L64" s="49">
        <f>AVERAGE('26.07 SentemaRBT-Sentema-24h'!L64,'27.07 SentemaRBT-Sentema-24h'!L64)</f>
        <v>0</v>
      </c>
      <c r="M64" s="49">
        <f>AVERAGE('26.07 SentemaRBT-Sentema-24h'!M64,'27.07 SentemaRBT-Sentema-24h'!M64)</f>
        <v>80</v>
      </c>
      <c r="N64" s="49">
        <f>AVERAGE('26.07 SentemaRBT-Sentema-24h'!N64,'27.07 SentemaRBT-Sentema-24h'!N64)</f>
        <v>0</v>
      </c>
      <c r="O64" s="15">
        <f t="shared" si="35"/>
        <v>78.5</v>
      </c>
      <c r="P64" s="15">
        <f t="shared" si="1"/>
        <v>158.5</v>
      </c>
      <c r="R64" s="8"/>
      <c r="T64"/>
    </row>
    <row r="65" spans="2:20" ht="23.1" customHeight="1" x14ac:dyDescent="0.25">
      <c r="B65" s="23" t="s">
        <v>158</v>
      </c>
      <c r="C65" s="49">
        <f>AVERAGE('26.07 SentemaRBT-Sentema-24h'!C65,'27.07 SentemaRBT-Sentema-24h'!C65)</f>
        <v>32.5</v>
      </c>
      <c r="D65" s="49">
        <f>AVERAGE('26.07 SentemaRBT-Sentema-24h'!D65,'27.07 SentemaRBT-Sentema-24h'!D65)</f>
        <v>3</v>
      </c>
      <c r="E65" s="49">
        <f>AVERAGE('26.07 SentemaRBT-Sentema-24h'!E65,'27.07 SentemaRBT-Sentema-24h'!E65)</f>
        <v>1.5</v>
      </c>
      <c r="F65" s="49">
        <f>AVERAGE('26.07 SentemaRBT-Sentema-24h'!F65,'27.07 SentemaRBT-Sentema-24h'!F65)</f>
        <v>24</v>
      </c>
      <c r="G65" s="49">
        <f>AVERAGE('26.07 SentemaRBT-Sentema-24h'!G65,'27.07 SentemaRBT-Sentema-24h'!G65)</f>
        <v>0</v>
      </c>
      <c r="H65" s="49">
        <f>AVERAGE('26.07 SentemaRBT-Sentema-24h'!H65,'27.07 SentemaRBT-Sentema-24h'!H65)</f>
        <v>0</v>
      </c>
      <c r="I65" s="49">
        <f>AVERAGE('26.07 SentemaRBT-Sentema-24h'!I65,'27.07 SentemaRBT-Sentema-24h'!I65)</f>
        <v>1.5</v>
      </c>
      <c r="J65" s="49">
        <f>AVERAGE('26.07 SentemaRBT-Sentema-24h'!J65,'27.07 SentemaRBT-Sentema-24h'!J65)</f>
        <v>1</v>
      </c>
      <c r="K65" s="49">
        <f>AVERAGE('26.07 SentemaRBT-Sentema-24h'!K65,'27.07 SentemaRBT-Sentema-24h'!K65)</f>
        <v>1</v>
      </c>
      <c r="L65" s="49">
        <f>AVERAGE('26.07 SentemaRBT-Sentema-24h'!L65,'27.07 SentemaRBT-Sentema-24h'!L65)</f>
        <v>0</v>
      </c>
      <c r="M65" s="49">
        <f>AVERAGE('26.07 SentemaRBT-Sentema-24h'!M65,'27.07 SentemaRBT-Sentema-24h'!M65)</f>
        <v>62.5</v>
      </c>
      <c r="N65" s="49">
        <f>AVERAGE('26.07 SentemaRBT-Sentema-24h'!N65,'27.07 SentemaRBT-Sentema-24h'!N65)</f>
        <v>0</v>
      </c>
      <c r="O65" s="15">
        <f t="shared" si="35"/>
        <v>64.5</v>
      </c>
      <c r="P65" s="15">
        <f t="shared" si="1"/>
        <v>127</v>
      </c>
      <c r="R65" s="8"/>
      <c r="T65"/>
    </row>
    <row r="66" spans="2:20" ht="23.1" customHeight="1" x14ac:dyDescent="0.25">
      <c r="B66" s="23" t="s">
        <v>103</v>
      </c>
      <c r="C66" s="49">
        <f>AVERAGE('26.07 SentemaRBT-Sentema-24h'!C66,'27.07 SentemaRBT-Sentema-24h'!C66)</f>
        <v>19</v>
      </c>
      <c r="D66" s="49">
        <f>AVERAGE('26.07 SentemaRBT-Sentema-24h'!D66,'27.07 SentemaRBT-Sentema-24h'!D66)</f>
        <v>4</v>
      </c>
      <c r="E66" s="49">
        <f>AVERAGE('26.07 SentemaRBT-Sentema-24h'!E66,'27.07 SentemaRBT-Sentema-24h'!E66)</f>
        <v>3</v>
      </c>
      <c r="F66" s="49">
        <f>AVERAGE('26.07 SentemaRBT-Sentema-24h'!F66,'27.07 SentemaRBT-Sentema-24h'!F66)</f>
        <v>16</v>
      </c>
      <c r="G66" s="49">
        <f>AVERAGE('26.07 SentemaRBT-Sentema-24h'!G66,'27.07 SentemaRBT-Sentema-24h'!G66)</f>
        <v>0.5</v>
      </c>
      <c r="H66" s="49">
        <f>AVERAGE('26.07 SentemaRBT-Sentema-24h'!H66,'27.07 SentemaRBT-Sentema-24h'!H66)</f>
        <v>0</v>
      </c>
      <c r="I66" s="49">
        <f>AVERAGE('26.07 SentemaRBT-Sentema-24h'!I66,'27.07 SentemaRBT-Sentema-24h'!I66)</f>
        <v>3</v>
      </c>
      <c r="J66" s="49">
        <f>AVERAGE('26.07 SentemaRBT-Sentema-24h'!J66,'27.07 SentemaRBT-Sentema-24h'!J66)</f>
        <v>0</v>
      </c>
      <c r="K66" s="49">
        <f>AVERAGE('26.07 SentemaRBT-Sentema-24h'!K66,'27.07 SentemaRBT-Sentema-24h'!K66)</f>
        <v>1.5</v>
      </c>
      <c r="L66" s="49">
        <f>AVERAGE('26.07 SentemaRBT-Sentema-24h'!L66,'27.07 SentemaRBT-Sentema-24h'!L66)</f>
        <v>0</v>
      </c>
      <c r="M66" s="49">
        <f>AVERAGE('26.07 SentemaRBT-Sentema-24h'!M66,'27.07 SentemaRBT-Sentema-24h'!M66)</f>
        <v>45.5</v>
      </c>
      <c r="N66" s="49">
        <f>AVERAGE('26.07 SentemaRBT-Sentema-24h'!N66,'27.07 SentemaRBT-Sentema-24h'!N66)</f>
        <v>0</v>
      </c>
      <c r="O66" s="15">
        <f t="shared" si="35"/>
        <v>47</v>
      </c>
      <c r="P66" s="15">
        <f t="shared" si="1"/>
        <v>92.5</v>
      </c>
      <c r="R66" s="8"/>
      <c r="T66"/>
    </row>
    <row r="67" spans="2:20" ht="23.1" customHeight="1" x14ac:dyDescent="0.25">
      <c r="B67" s="23" t="s">
        <v>104</v>
      </c>
      <c r="C67" s="49">
        <f>AVERAGE('26.07 SentemaRBT-Sentema-24h'!C67,'27.07 SentemaRBT-Sentema-24h'!C67)</f>
        <v>13.5</v>
      </c>
      <c r="D67" s="49">
        <f>AVERAGE('26.07 SentemaRBT-Sentema-24h'!D67,'27.07 SentemaRBT-Sentema-24h'!D67)</f>
        <v>3.5</v>
      </c>
      <c r="E67" s="49">
        <f>AVERAGE('26.07 SentemaRBT-Sentema-24h'!E67,'27.07 SentemaRBT-Sentema-24h'!E67)</f>
        <v>1</v>
      </c>
      <c r="F67" s="49">
        <f>AVERAGE('26.07 SentemaRBT-Sentema-24h'!F67,'27.07 SentemaRBT-Sentema-24h'!F67)</f>
        <v>10.5</v>
      </c>
      <c r="G67" s="49">
        <f>AVERAGE('26.07 SentemaRBT-Sentema-24h'!G67,'27.07 SentemaRBT-Sentema-24h'!G67)</f>
        <v>1</v>
      </c>
      <c r="H67" s="49">
        <f>AVERAGE('26.07 SentemaRBT-Sentema-24h'!H67,'27.07 SentemaRBT-Sentema-24h'!H67)</f>
        <v>0</v>
      </c>
      <c r="I67" s="49">
        <f>AVERAGE('26.07 SentemaRBT-Sentema-24h'!I67,'27.07 SentemaRBT-Sentema-24h'!I67)</f>
        <v>2.5</v>
      </c>
      <c r="J67" s="49">
        <f>AVERAGE('26.07 SentemaRBT-Sentema-24h'!J67,'27.07 SentemaRBT-Sentema-24h'!J67)</f>
        <v>0.5</v>
      </c>
      <c r="K67" s="49">
        <f>AVERAGE('26.07 SentemaRBT-Sentema-24h'!K67,'27.07 SentemaRBT-Sentema-24h'!K67)</f>
        <v>0.5</v>
      </c>
      <c r="L67" s="49">
        <f>AVERAGE('26.07 SentemaRBT-Sentema-24h'!L67,'27.07 SentemaRBT-Sentema-24h'!L67)</f>
        <v>0</v>
      </c>
      <c r="M67" s="49">
        <f>AVERAGE('26.07 SentemaRBT-Sentema-24h'!M67,'27.07 SentemaRBT-Sentema-24h'!M67)</f>
        <v>38</v>
      </c>
      <c r="N67" s="49">
        <f>AVERAGE('26.07 SentemaRBT-Sentema-24h'!N67,'27.07 SentemaRBT-Sentema-24h'!N67)</f>
        <v>0</v>
      </c>
      <c r="O67" s="15">
        <f t="shared" si="35"/>
        <v>33</v>
      </c>
      <c r="P67" s="15">
        <f t="shared" si="1"/>
        <v>71</v>
      </c>
      <c r="R67" s="8"/>
      <c r="T67"/>
    </row>
    <row r="68" spans="2:20" ht="23.1" customHeight="1" x14ac:dyDescent="0.25">
      <c r="B68" s="23" t="s">
        <v>105</v>
      </c>
      <c r="C68" s="49">
        <f>AVERAGE('26.07 SentemaRBT-Sentema-24h'!C68,'27.07 SentemaRBT-Sentema-24h'!C68)</f>
        <v>13</v>
      </c>
      <c r="D68" s="49">
        <f>AVERAGE('26.07 SentemaRBT-Sentema-24h'!D68,'27.07 SentemaRBT-Sentema-24h'!D68)</f>
        <v>1</v>
      </c>
      <c r="E68" s="49">
        <f>AVERAGE('26.07 SentemaRBT-Sentema-24h'!E68,'27.07 SentemaRBT-Sentema-24h'!E68)</f>
        <v>2.5</v>
      </c>
      <c r="F68" s="49">
        <f>AVERAGE('26.07 SentemaRBT-Sentema-24h'!F68,'27.07 SentemaRBT-Sentema-24h'!F68)</f>
        <v>8</v>
      </c>
      <c r="G68" s="49">
        <f>AVERAGE('26.07 SentemaRBT-Sentema-24h'!G68,'27.07 SentemaRBT-Sentema-24h'!G68)</f>
        <v>0.5</v>
      </c>
      <c r="H68" s="49">
        <f>AVERAGE('26.07 SentemaRBT-Sentema-24h'!H68,'27.07 SentemaRBT-Sentema-24h'!H68)</f>
        <v>0</v>
      </c>
      <c r="I68" s="49">
        <f>AVERAGE('26.07 SentemaRBT-Sentema-24h'!I68,'27.07 SentemaRBT-Sentema-24h'!I68)</f>
        <v>1</v>
      </c>
      <c r="J68" s="49">
        <f>AVERAGE('26.07 SentemaRBT-Sentema-24h'!J68,'27.07 SentemaRBT-Sentema-24h'!J68)</f>
        <v>0.5</v>
      </c>
      <c r="K68" s="49">
        <f>AVERAGE('26.07 SentemaRBT-Sentema-24h'!K68,'27.07 SentemaRBT-Sentema-24h'!K68)</f>
        <v>1</v>
      </c>
      <c r="L68" s="49">
        <f>AVERAGE('26.07 SentemaRBT-Sentema-24h'!L68,'27.07 SentemaRBT-Sentema-24h'!L68)</f>
        <v>0</v>
      </c>
      <c r="M68" s="49">
        <f>AVERAGE('26.07 SentemaRBT-Sentema-24h'!M68,'27.07 SentemaRBT-Sentema-24h'!M68)</f>
        <v>38.5</v>
      </c>
      <c r="N68" s="49">
        <f>AVERAGE('26.07 SentemaRBT-Sentema-24h'!N68,'27.07 SentemaRBT-Sentema-24h'!N68)</f>
        <v>0</v>
      </c>
      <c r="O68" s="15">
        <f t="shared" si="35"/>
        <v>27.5</v>
      </c>
      <c r="P68" s="15">
        <f t="shared" si="1"/>
        <v>66</v>
      </c>
      <c r="R68" s="8"/>
      <c r="T68"/>
    </row>
    <row r="69" spans="2:20" ht="23.1" customHeight="1" x14ac:dyDescent="0.25">
      <c r="B69" s="23" t="s">
        <v>106</v>
      </c>
      <c r="C69" s="49">
        <f>AVERAGE('26.07 SentemaRBT-Sentema-24h'!C69,'27.07 SentemaRBT-Sentema-24h'!C69)</f>
        <v>15.5</v>
      </c>
      <c r="D69" s="49">
        <f>AVERAGE('26.07 SentemaRBT-Sentema-24h'!D69,'27.07 SentemaRBT-Sentema-24h'!D69)</f>
        <v>2.5</v>
      </c>
      <c r="E69" s="49">
        <f>AVERAGE('26.07 SentemaRBT-Sentema-24h'!E69,'27.07 SentemaRBT-Sentema-24h'!E69)</f>
        <v>1</v>
      </c>
      <c r="F69" s="49">
        <f>AVERAGE('26.07 SentemaRBT-Sentema-24h'!F69,'27.07 SentemaRBT-Sentema-24h'!F69)</f>
        <v>6.5</v>
      </c>
      <c r="G69" s="49">
        <f>AVERAGE('26.07 SentemaRBT-Sentema-24h'!G69,'27.07 SentemaRBT-Sentema-24h'!G69)</f>
        <v>0.5</v>
      </c>
      <c r="H69" s="49">
        <f>AVERAGE('26.07 SentemaRBT-Sentema-24h'!H69,'27.07 SentemaRBT-Sentema-24h'!H69)</f>
        <v>0</v>
      </c>
      <c r="I69" s="49">
        <f>AVERAGE('26.07 SentemaRBT-Sentema-24h'!I69,'27.07 SentemaRBT-Sentema-24h'!I69)</f>
        <v>0</v>
      </c>
      <c r="J69" s="49">
        <f>AVERAGE('26.07 SentemaRBT-Sentema-24h'!J69,'27.07 SentemaRBT-Sentema-24h'!J69)</f>
        <v>0.5</v>
      </c>
      <c r="K69" s="49">
        <f>AVERAGE('26.07 SentemaRBT-Sentema-24h'!K69,'27.07 SentemaRBT-Sentema-24h'!K69)</f>
        <v>0</v>
      </c>
      <c r="L69" s="49">
        <f>AVERAGE('26.07 SentemaRBT-Sentema-24h'!L69,'27.07 SentemaRBT-Sentema-24h'!L69)</f>
        <v>0</v>
      </c>
      <c r="M69" s="49">
        <f>AVERAGE('26.07 SentemaRBT-Sentema-24h'!M69,'27.07 SentemaRBT-Sentema-24h'!M69)</f>
        <v>26</v>
      </c>
      <c r="N69" s="49">
        <f>AVERAGE('26.07 SentemaRBT-Sentema-24h'!N69,'27.07 SentemaRBT-Sentema-24h'!N69)</f>
        <v>0</v>
      </c>
      <c r="O69" s="15">
        <f t="shared" si="35"/>
        <v>26.5</v>
      </c>
      <c r="P69" s="15">
        <f t="shared" si="1"/>
        <v>52.5</v>
      </c>
      <c r="R69" s="8"/>
      <c r="T69"/>
    </row>
    <row r="70" spans="2:20" ht="23.1" customHeight="1" x14ac:dyDescent="0.25">
      <c r="B70" s="23" t="s">
        <v>110</v>
      </c>
      <c r="C70" s="49">
        <f>AVERAGE('26.07 SentemaRBT-Sentema-24h'!C70,'27.07 SentemaRBT-Sentema-24h'!C70)</f>
        <v>16.5</v>
      </c>
      <c r="D70" s="49">
        <f>AVERAGE('26.07 SentemaRBT-Sentema-24h'!D70,'27.07 SentemaRBT-Sentema-24h'!D70)</f>
        <v>2</v>
      </c>
      <c r="E70" s="49">
        <f>AVERAGE('26.07 SentemaRBT-Sentema-24h'!E70,'27.07 SentemaRBT-Sentema-24h'!E70)</f>
        <v>2.5</v>
      </c>
      <c r="F70" s="49">
        <f>AVERAGE('26.07 SentemaRBT-Sentema-24h'!F70,'27.07 SentemaRBT-Sentema-24h'!F70)</f>
        <v>9</v>
      </c>
      <c r="G70" s="49">
        <f>AVERAGE('26.07 SentemaRBT-Sentema-24h'!G70,'27.07 SentemaRBT-Sentema-24h'!G70)</f>
        <v>0</v>
      </c>
      <c r="H70" s="49">
        <f>AVERAGE('26.07 SentemaRBT-Sentema-24h'!H70,'27.07 SentemaRBT-Sentema-24h'!H70)</f>
        <v>0</v>
      </c>
      <c r="I70" s="49">
        <f>AVERAGE('26.07 SentemaRBT-Sentema-24h'!I70,'27.07 SentemaRBT-Sentema-24h'!I70)</f>
        <v>1</v>
      </c>
      <c r="J70" s="49">
        <f>AVERAGE('26.07 SentemaRBT-Sentema-24h'!J70,'27.07 SentemaRBT-Sentema-24h'!J70)</f>
        <v>0</v>
      </c>
      <c r="K70" s="49">
        <f>AVERAGE('26.07 SentemaRBT-Sentema-24h'!K70,'27.07 SentemaRBT-Sentema-24h'!K70)</f>
        <v>0.5</v>
      </c>
      <c r="L70" s="49">
        <f>AVERAGE('26.07 SentemaRBT-Sentema-24h'!L70,'27.07 SentemaRBT-Sentema-24h'!L70)</f>
        <v>0</v>
      </c>
      <c r="M70" s="49">
        <f>AVERAGE('26.07 SentemaRBT-Sentema-24h'!M70,'27.07 SentemaRBT-Sentema-24h'!M70)</f>
        <v>22</v>
      </c>
      <c r="N70" s="49">
        <f>AVERAGE('26.07 SentemaRBT-Sentema-24h'!N70,'27.07 SentemaRBT-Sentema-24h'!N70)</f>
        <v>0</v>
      </c>
      <c r="O70" s="15">
        <f t="shared" si="35"/>
        <v>31.5</v>
      </c>
      <c r="P70" s="15">
        <f t="shared" si="1"/>
        <v>53.5</v>
      </c>
      <c r="R70" s="8"/>
      <c r="T70"/>
    </row>
    <row r="71" spans="2:20" ht="23.1" customHeight="1" x14ac:dyDescent="0.25">
      <c r="B71" s="23" t="s">
        <v>111</v>
      </c>
      <c r="C71" s="49">
        <f>AVERAGE('26.07 SentemaRBT-Sentema-24h'!C71,'27.07 SentemaRBT-Sentema-24h'!C71)</f>
        <v>15.5</v>
      </c>
      <c r="D71" s="49">
        <f>AVERAGE('26.07 SentemaRBT-Sentema-24h'!D71,'27.07 SentemaRBT-Sentema-24h'!D71)</f>
        <v>1.5</v>
      </c>
      <c r="E71" s="49">
        <f>AVERAGE('26.07 SentemaRBT-Sentema-24h'!E71,'27.07 SentemaRBT-Sentema-24h'!E71)</f>
        <v>0.5</v>
      </c>
      <c r="F71" s="49">
        <f>AVERAGE('26.07 SentemaRBT-Sentema-24h'!F71,'27.07 SentemaRBT-Sentema-24h'!F71)</f>
        <v>4.5</v>
      </c>
      <c r="G71" s="49">
        <f>AVERAGE('26.07 SentemaRBT-Sentema-24h'!G71,'27.07 SentemaRBT-Sentema-24h'!G71)</f>
        <v>0.5</v>
      </c>
      <c r="H71" s="49">
        <f>AVERAGE('26.07 SentemaRBT-Sentema-24h'!H71,'27.07 SentemaRBT-Sentema-24h'!H71)</f>
        <v>0</v>
      </c>
      <c r="I71" s="49">
        <f>AVERAGE('26.07 SentemaRBT-Sentema-24h'!I71,'27.07 SentemaRBT-Sentema-24h'!I71)</f>
        <v>1</v>
      </c>
      <c r="J71" s="49">
        <f>AVERAGE('26.07 SentemaRBT-Sentema-24h'!J71,'27.07 SentemaRBT-Sentema-24h'!J71)</f>
        <v>0.5</v>
      </c>
      <c r="K71" s="49">
        <f>AVERAGE('26.07 SentemaRBT-Sentema-24h'!K71,'27.07 SentemaRBT-Sentema-24h'!K71)</f>
        <v>0</v>
      </c>
      <c r="L71" s="49">
        <f>AVERAGE('26.07 SentemaRBT-Sentema-24h'!L71,'27.07 SentemaRBT-Sentema-24h'!L71)</f>
        <v>0</v>
      </c>
      <c r="M71" s="49">
        <f>AVERAGE('26.07 SentemaRBT-Sentema-24h'!M71,'27.07 SentemaRBT-Sentema-24h'!M71)</f>
        <v>23</v>
      </c>
      <c r="N71" s="49">
        <f>AVERAGE('26.07 SentemaRBT-Sentema-24h'!N71,'27.07 SentemaRBT-Sentema-24h'!N71)</f>
        <v>0</v>
      </c>
      <c r="O71" s="15">
        <f t="shared" si="35"/>
        <v>24</v>
      </c>
      <c r="P71" s="15">
        <f t="shared" si="1"/>
        <v>47</v>
      </c>
      <c r="R71" s="8"/>
      <c r="T71"/>
    </row>
    <row r="72" spans="2:20" ht="23.1" customHeight="1" x14ac:dyDescent="0.25">
      <c r="B72" s="23" t="s">
        <v>112</v>
      </c>
      <c r="C72" s="49">
        <f>AVERAGE('26.07 SentemaRBT-Sentema-24h'!C72,'27.07 SentemaRBT-Sentema-24h'!C72)</f>
        <v>11.5</v>
      </c>
      <c r="D72" s="49">
        <f>AVERAGE('26.07 SentemaRBT-Sentema-24h'!D72,'27.07 SentemaRBT-Sentema-24h'!D72)</f>
        <v>1</v>
      </c>
      <c r="E72" s="49">
        <f>AVERAGE('26.07 SentemaRBT-Sentema-24h'!E72,'27.07 SentemaRBT-Sentema-24h'!E72)</f>
        <v>0</v>
      </c>
      <c r="F72" s="49">
        <f>AVERAGE('26.07 SentemaRBT-Sentema-24h'!F72,'27.07 SentemaRBT-Sentema-24h'!F72)</f>
        <v>9</v>
      </c>
      <c r="G72" s="49">
        <f>AVERAGE('26.07 SentemaRBT-Sentema-24h'!G72,'27.07 SentemaRBT-Sentema-24h'!G72)</f>
        <v>0</v>
      </c>
      <c r="H72" s="49">
        <f>AVERAGE('26.07 SentemaRBT-Sentema-24h'!H72,'27.07 SentemaRBT-Sentema-24h'!H72)</f>
        <v>0</v>
      </c>
      <c r="I72" s="49">
        <f>AVERAGE('26.07 SentemaRBT-Sentema-24h'!I72,'27.07 SentemaRBT-Sentema-24h'!I72)</f>
        <v>0</v>
      </c>
      <c r="J72" s="49">
        <f>AVERAGE('26.07 SentemaRBT-Sentema-24h'!J72,'27.07 SentemaRBT-Sentema-24h'!J72)</f>
        <v>0</v>
      </c>
      <c r="K72" s="49">
        <f>AVERAGE('26.07 SentemaRBT-Sentema-24h'!K72,'27.07 SentemaRBT-Sentema-24h'!K72)</f>
        <v>0</v>
      </c>
      <c r="L72" s="49">
        <f>AVERAGE('26.07 SentemaRBT-Sentema-24h'!L72,'27.07 SentemaRBT-Sentema-24h'!L72)</f>
        <v>0</v>
      </c>
      <c r="M72" s="49">
        <f>AVERAGE('26.07 SentemaRBT-Sentema-24h'!M72,'27.07 SentemaRBT-Sentema-24h'!M72)</f>
        <v>17</v>
      </c>
      <c r="N72" s="49">
        <f>AVERAGE('26.07 SentemaRBT-Sentema-24h'!N72,'27.07 SentemaRBT-Sentema-24h'!N72)</f>
        <v>0</v>
      </c>
      <c r="O72" s="15">
        <f t="shared" si="35"/>
        <v>21.5</v>
      </c>
      <c r="P72" s="15">
        <f t="shared" si="1"/>
        <v>38.5</v>
      </c>
      <c r="R72" s="8"/>
      <c r="T72"/>
    </row>
    <row r="73" spans="2:20" ht="23.1" customHeight="1" x14ac:dyDescent="0.25">
      <c r="B73" s="23" t="s">
        <v>113</v>
      </c>
      <c r="C73" s="49">
        <f>AVERAGE('26.07 SentemaRBT-Sentema-24h'!C73,'27.07 SentemaRBT-Sentema-24h'!C73)</f>
        <v>7.5</v>
      </c>
      <c r="D73" s="49">
        <f>AVERAGE('26.07 SentemaRBT-Sentema-24h'!D73,'27.07 SentemaRBT-Sentema-24h'!D73)</f>
        <v>2.5</v>
      </c>
      <c r="E73" s="49">
        <f>AVERAGE('26.07 SentemaRBT-Sentema-24h'!E73,'27.07 SentemaRBT-Sentema-24h'!E73)</f>
        <v>0</v>
      </c>
      <c r="F73" s="49">
        <f>AVERAGE('26.07 SentemaRBT-Sentema-24h'!F73,'27.07 SentemaRBT-Sentema-24h'!F73)</f>
        <v>2.5</v>
      </c>
      <c r="G73" s="49">
        <f>AVERAGE('26.07 SentemaRBT-Sentema-24h'!G73,'27.07 SentemaRBT-Sentema-24h'!G73)</f>
        <v>0</v>
      </c>
      <c r="H73" s="49">
        <f>AVERAGE('26.07 SentemaRBT-Sentema-24h'!H73,'27.07 SentemaRBT-Sentema-24h'!H73)</f>
        <v>0</v>
      </c>
      <c r="I73" s="49">
        <f>AVERAGE('26.07 SentemaRBT-Sentema-24h'!I73,'27.07 SentemaRBT-Sentema-24h'!I73)</f>
        <v>1.5</v>
      </c>
      <c r="J73" s="49">
        <f>AVERAGE('26.07 SentemaRBT-Sentema-24h'!J73,'27.07 SentemaRBT-Sentema-24h'!J73)</f>
        <v>1</v>
      </c>
      <c r="K73" s="49">
        <f>AVERAGE('26.07 SentemaRBT-Sentema-24h'!K73,'27.07 SentemaRBT-Sentema-24h'!K73)</f>
        <v>0</v>
      </c>
      <c r="L73" s="49">
        <f>AVERAGE('26.07 SentemaRBT-Sentema-24h'!L73,'27.07 SentemaRBT-Sentema-24h'!L73)</f>
        <v>0</v>
      </c>
      <c r="M73" s="49">
        <f>AVERAGE('26.07 SentemaRBT-Sentema-24h'!M73,'27.07 SentemaRBT-Sentema-24h'!M73)</f>
        <v>13.5</v>
      </c>
      <c r="N73" s="49">
        <f>AVERAGE('26.07 SentemaRBT-Sentema-24h'!N73,'27.07 SentemaRBT-Sentema-24h'!N73)</f>
        <v>0</v>
      </c>
      <c r="O73" s="15">
        <f t="shared" si="35"/>
        <v>15</v>
      </c>
      <c r="P73" s="15">
        <f t="shared" si="1"/>
        <v>28.5</v>
      </c>
      <c r="R73" s="8"/>
      <c r="T73"/>
    </row>
    <row r="74" spans="2:20" ht="23.1" customHeight="1" x14ac:dyDescent="0.25">
      <c r="B74" s="23" t="s">
        <v>114</v>
      </c>
      <c r="C74" s="49">
        <f>AVERAGE('26.07 SentemaRBT-Sentema-24h'!C74,'27.07 SentemaRBT-Sentema-24h'!C74)</f>
        <v>10</v>
      </c>
      <c r="D74" s="49">
        <f>AVERAGE('26.07 SentemaRBT-Sentema-24h'!D74,'27.07 SentemaRBT-Sentema-24h'!D74)</f>
        <v>1.5</v>
      </c>
      <c r="E74" s="49">
        <f>AVERAGE('26.07 SentemaRBT-Sentema-24h'!E74,'27.07 SentemaRBT-Sentema-24h'!E74)</f>
        <v>1</v>
      </c>
      <c r="F74" s="49">
        <f>AVERAGE('26.07 SentemaRBT-Sentema-24h'!F74,'27.07 SentemaRBT-Sentema-24h'!F74)</f>
        <v>8</v>
      </c>
      <c r="G74" s="49">
        <f>AVERAGE('26.07 SentemaRBT-Sentema-24h'!G74,'27.07 SentemaRBT-Sentema-24h'!G74)</f>
        <v>0.5</v>
      </c>
      <c r="H74" s="49">
        <f>AVERAGE('26.07 SentemaRBT-Sentema-24h'!H74,'27.07 SentemaRBT-Sentema-24h'!H74)</f>
        <v>0</v>
      </c>
      <c r="I74" s="49">
        <f>AVERAGE('26.07 SentemaRBT-Sentema-24h'!I74,'27.07 SentemaRBT-Sentema-24h'!I74)</f>
        <v>1</v>
      </c>
      <c r="J74" s="49">
        <f>AVERAGE('26.07 SentemaRBT-Sentema-24h'!J74,'27.07 SentemaRBT-Sentema-24h'!J74)</f>
        <v>0</v>
      </c>
      <c r="K74" s="49">
        <f>AVERAGE('26.07 SentemaRBT-Sentema-24h'!K74,'27.07 SentemaRBT-Sentema-24h'!K74)</f>
        <v>0</v>
      </c>
      <c r="L74" s="49">
        <f>AVERAGE('26.07 SentemaRBT-Sentema-24h'!L74,'27.07 SentemaRBT-Sentema-24h'!L74)</f>
        <v>0</v>
      </c>
      <c r="M74" s="49">
        <f>AVERAGE('26.07 SentemaRBT-Sentema-24h'!M74,'27.07 SentemaRBT-Sentema-24h'!M74)</f>
        <v>17.5</v>
      </c>
      <c r="N74" s="49">
        <f>AVERAGE('26.07 SentemaRBT-Sentema-24h'!N74,'27.07 SentemaRBT-Sentema-24h'!N74)</f>
        <v>0</v>
      </c>
      <c r="O74" s="15">
        <f t="shared" si="35"/>
        <v>22</v>
      </c>
      <c r="P74" s="15">
        <f t="shared" ref="P74:P105" si="36">SUM(C74:N74)</f>
        <v>39.5</v>
      </c>
      <c r="R74" s="8"/>
      <c r="T74"/>
    </row>
    <row r="75" spans="2:20" ht="23.1" customHeight="1" x14ac:dyDescent="0.25">
      <c r="B75" s="23" t="s">
        <v>115</v>
      </c>
      <c r="C75" s="49">
        <f>AVERAGE('26.07 SentemaRBT-Sentema-24h'!C75,'27.07 SentemaRBT-Sentema-24h'!C75)</f>
        <v>10</v>
      </c>
      <c r="D75" s="49">
        <f>AVERAGE('26.07 SentemaRBT-Sentema-24h'!D75,'27.07 SentemaRBT-Sentema-24h'!D75)</f>
        <v>2</v>
      </c>
      <c r="E75" s="49">
        <f>AVERAGE('26.07 SentemaRBT-Sentema-24h'!E75,'27.07 SentemaRBT-Sentema-24h'!E75)</f>
        <v>0</v>
      </c>
      <c r="F75" s="49">
        <f>AVERAGE('26.07 SentemaRBT-Sentema-24h'!F75,'27.07 SentemaRBT-Sentema-24h'!F75)</f>
        <v>3.5</v>
      </c>
      <c r="G75" s="49">
        <f>AVERAGE('26.07 SentemaRBT-Sentema-24h'!G75,'27.07 SentemaRBT-Sentema-24h'!G75)</f>
        <v>0</v>
      </c>
      <c r="H75" s="49">
        <f>AVERAGE('26.07 SentemaRBT-Sentema-24h'!H75,'27.07 SentemaRBT-Sentema-24h'!H75)</f>
        <v>0</v>
      </c>
      <c r="I75" s="49">
        <f>AVERAGE('26.07 SentemaRBT-Sentema-24h'!I75,'27.07 SentemaRBT-Sentema-24h'!I75)</f>
        <v>0</v>
      </c>
      <c r="J75" s="49">
        <f>AVERAGE('26.07 SentemaRBT-Sentema-24h'!J75,'27.07 SentemaRBT-Sentema-24h'!J75)</f>
        <v>0</v>
      </c>
      <c r="K75" s="49">
        <f>AVERAGE('26.07 SentemaRBT-Sentema-24h'!K75,'27.07 SentemaRBT-Sentema-24h'!K75)</f>
        <v>0</v>
      </c>
      <c r="L75" s="49">
        <f>AVERAGE('26.07 SentemaRBT-Sentema-24h'!L75,'27.07 SentemaRBT-Sentema-24h'!L75)</f>
        <v>1</v>
      </c>
      <c r="M75" s="49">
        <f>AVERAGE('26.07 SentemaRBT-Sentema-24h'!M75,'27.07 SentemaRBT-Sentema-24h'!M75)</f>
        <v>12</v>
      </c>
      <c r="N75" s="49">
        <f>AVERAGE('26.07 SentemaRBT-Sentema-24h'!N75,'27.07 SentemaRBT-Sentema-24h'!N75)</f>
        <v>0</v>
      </c>
      <c r="O75" s="15">
        <f t="shared" si="35"/>
        <v>16.5</v>
      </c>
      <c r="P75" s="15">
        <f t="shared" si="36"/>
        <v>28.5</v>
      </c>
      <c r="R75" s="8"/>
      <c r="T75"/>
    </row>
    <row r="76" spans="2:20" ht="23.1" customHeight="1" x14ac:dyDescent="0.25">
      <c r="B76" s="23" t="s">
        <v>116</v>
      </c>
      <c r="C76" s="49">
        <f>AVERAGE('26.07 SentemaRBT-Sentema-24h'!C76,'27.07 SentemaRBT-Sentema-24h'!C76)</f>
        <v>5</v>
      </c>
      <c r="D76" s="49">
        <f>AVERAGE('26.07 SentemaRBT-Sentema-24h'!D76,'27.07 SentemaRBT-Sentema-24h'!D76)</f>
        <v>0</v>
      </c>
      <c r="E76" s="49">
        <f>AVERAGE('26.07 SentemaRBT-Sentema-24h'!E76,'27.07 SentemaRBT-Sentema-24h'!E76)</f>
        <v>2</v>
      </c>
      <c r="F76" s="49">
        <f>AVERAGE('26.07 SentemaRBT-Sentema-24h'!F76,'27.07 SentemaRBT-Sentema-24h'!F76)</f>
        <v>2.5</v>
      </c>
      <c r="G76" s="49">
        <f>AVERAGE('26.07 SentemaRBT-Sentema-24h'!G76,'27.07 SentemaRBT-Sentema-24h'!G76)</f>
        <v>0</v>
      </c>
      <c r="H76" s="49">
        <f>AVERAGE('26.07 SentemaRBT-Sentema-24h'!H76,'27.07 SentemaRBT-Sentema-24h'!H76)</f>
        <v>0</v>
      </c>
      <c r="I76" s="49">
        <f>AVERAGE('26.07 SentemaRBT-Sentema-24h'!I76,'27.07 SentemaRBT-Sentema-24h'!I76)</f>
        <v>0.5</v>
      </c>
      <c r="J76" s="49">
        <f>AVERAGE('26.07 SentemaRBT-Sentema-24h'!J76,'27.07 SentemaRBT-Sentema-24h'!J76)</f>
        <v>0.5</v>
      </c>
      <c r="K76" s="49">
        <f>AVERAGE('26.07 SentemaRBT-Sentema-24h'!K76,'27.07 SentemaRBT-Sentema-24h'!K76)</f>
        <v>0</v>
      </c>
      <c r="L76" s="49">
        <f>AVERAGE('26.07 SentemaRBT-Sentema-24h'!L76,'27.07 SentemaRBT-Sentema-24h'!L76)</f>
        <v>0</v>
      </c>
      <c r="M76" s="49">
        <f>AVERAGE('26.07 SentemaRBT-Sentema-24h'!M76,'27.07 SentemaRBT-Sentema-24h'!M76)</f>
        <v>6</v>
      </c>
      <c r="N76" s="49">
        <f>AVERAGE('26.07 SentemaRBT-Sentema-24h'!N76,'27.07 SentemaRBT-Sentema-24h'!N76)</f>
        <v>0</v>
      </c>
      <c r="O76" s="15">
        <f t="shared" si="35"/>
        <v>10.5</v>
      </c>
      <c r="P76" s="15">
        <f t="shared" si="36"/>
        <v>16.5</v>
      </c>
      <c r="R76" s="8"/>
      <c r="T76"/>
    </row>
    <row r="77" spans="2:20" ht="23.1" customHeight="1" x14ac:dyDescent="0.25">
      <c r="B77" s="23" t="s">
        <v>117</v>
      </c>
      <c r="C77" s="49">
        <f>AVERAGE('26.07 SentemaRBT-Sentema-24h'!C77,'27.07 SentemaRBT-Sentema-24h'!C77)</f>
        <v>4.5</v>
      </c>
      <c r="D77" s="49">
        <f>AVERAGE('26.07 SentemaRBT-Sentema-24h'!D77,'27.07 SentemaRBT-Sentema-24h'!D77)</f>
        <v>0</v>
      </c>
      <c r="E77" s="49">
        <f>AVERAGE('26.07 SentemaRBT-Sentema-24h'!E77,'27.07 SentemaRBT-Sentema-24h'!E77)</f>
        <v>0</v>
      </c>
      <c r="F77" s="49">
        <f>AVERAGE('26.07 SentemaRBT-Sentema-24h'!F77,'27.07 SentemaRBT-Sentema-24h'!F77)</f>
        <v>3.5</v>
      </c>
      <c r="G77" s="49">
        <f>AVERAGE('26.07 SentemaRBT-Sentema-24h'!G77,'27.07 SentemaRBT-Sentema-24h'!G77)</f>
        <v>0</v>
      </c>
      <c r="H77" s="49">
        <f>AVERAGE('26.07 SentemaRBT-Sentema-24h'!H77,'27.07 SentemaRBT-Sentema-24h'!H77)</f>
        <v>0</v>
      </c>
      <c r="I77" s="49">
        <f>AVERAGE('26.07 SentemaRBT-Sentema-24h'!I77,'27.07 SentemaRBT-Sentema-24h'!I77)</f>
        <v>1</v>
      </c>
      <c r="J77" s="49">
        <f>AVERAGE('26.07 SentemaRBT-Sentema-24h'!J77,'27.07 SentemaRBT-Sentema-24h'!J77)</f>
        <v>0.5</v>
      </c>
      <c r="K77" s="49">
        <f>AVERAGE('26.07 SentemaRBT-Sentema-24h'!K77,'27.07 SentemaRBT-Sentema-24h'!K77)</f>
        <v>0.5</v>
      </c>
      <c r="L77" s="49">
        <f>AVERAGE('26.07 SentemaRBT-Sentema-24h'!L77,'27.07 SentemaRBT-Sentema-24h'!L77)</f>
        <v>0</v>
      </c>
      <c r="M77" s="49">
        <f>AVERAGE('26.07 SentemaRBT-Sentema-24h'!M77,'27.07 SentemaRBT-Sentema-24h'!M77)</f>
        <v>10.5</v>
      </c>
      <c r="N77" s="49">
        <f>AVERAGE('26.07 SentemaRBT-Sentema-24h'!N77,'27.07 SentemaRBT-Sentema-24h'!N77)</f>
        <v>0</v>
      </c>
      <c r="O77" s="15">
        <f t="shared" si="35"/>
        <v>10</v>
      </c>
      <c r="P77" s="15">
        <f t="shared" si="36"/>
        <v>20.5</v>
      </c>
      <c r="R77" s="8"/>
      <c r="T77"/>
    </row>
    <row r="78" spans="2:20" ht="23.1" customHeight="1" x14ac:dyDescent="0.25">
      <c r="B78" s="24" t="s">
        <v>118</v>
      </c>
      <c r="C78" s="49">
        <f>AVERAGE('26.07 SentemaRBT-Sentema-24h'!C78,'27.07 SentemaRBT-Sentema-24h'!C78)</f>
        <v>3.5</v>
      </c>
      <c r="D78" s="49">
        <f>AVERAGE('26.07 SentemaRBT-Sentema-24h'!D78,'27.07 SentemaRBT-Sentema-24h'!D78)</f>
        <v>1</v>
      </c>
      <c r="E78" s="49">
        <f>AVERAGE('26.07 SentemaRBT-Sentema-24h'!E78,'27.07 SentemaRBT-Sentema-24h'!E78)</f>
        <v>1</v>
      </c>
      <c r="F78" s="49">
        <f>AVERAGE('26.07 SentemaRBT-Sentema-24h'!F78,'27.07 SentemaRBT-Sentema-24h'!F78)</f>
        <v>1.5</v>
      </c>
      <c r="G78" s="49">
        <f>AVERAGE('26.07 SentemaRBT-Sentema-24h'!G78,'27.07 SentemaRBT-Sentema-24h'!G78)</f>
        <v>0</v>
      </c>
      <c r="H78" s="49">
        <f>AVERAGE('26.07 SentemaRBT-Sentema-24h'!H78,'27.07 SentemaRBT-Sentema-24h'!H78)</f>
        <v>0</v>
      </c>
      <c r="I78" s="49">
        <f>AVERAGE('26.07 SentemaRBT-Sentema-24h'!I78,'27.07 SentemaRBT-Sentema-24h'!I78)</f>
        <v>2</v>
      </c>
      <c r="J78" s="49">
        <f>AVERAGE('26.07 SentemaRBT-Sentema-24h'!J78,'27.07 SentemaRBT-Sentema-24h'!J78)</f>
        <v>0</v>
      </c>
      <c r="K78" s="49">
        <f>AVERAGE('26.07 SentemaRBT-Sentema-24h'!K78,'27.07 SentemaRBT-Sentema-24h'!K78)</f>
        <v>0</v>
      </c>
      <c r="L78" s="49">
        <f>AVERAGE('26.07 SentemaRBT-Sentema-24h'!L78,'27.07 SentemaRBT-Sentema-24h'!L78)</f>
        <v>0</v>
      </c>
      <c r="M78" s="49">
        <f>AVERAGE('26.07 SentemaRBT-Sentema-24h'!M78,'27.07 SentemaRBT-Sentema-24h'!M78)</f>
        <v>9</v>
      </c>
      <c r="N78" s="49">
        <f>AVERAGE('26.07 SentemaRBT-Sentema-24h'!N78,'27.07 SentemaRBT-Sentema-24h'!N78)</f>
        <v>0</v>
      </c>
      <c r="O78" s="15">
        <f t="shared" si="35"/>
        <v>9</v>
      </c>
      <c r="P78" s="15">
        <f t="shared" si="36"/>
        <v>18</v>
      </c>
      <c r="R78" s="8"/>
      <c r="T78"/>
    </row>
    <row r="79" spans="2:20" ht="23.1" customHeight="1" x14ac:dyDescent="0.25">
      <c r="B79" s="23" t="s">
        <v>119</v>
      </c>
      <c r="C79" s="49">
        <f>AVERAGE('26.07 SentemaRBT-Sentema-24h'!C79,'27.07 SentemaRBT-Sentema-24h'!C79)</f>
        <v>5</v>
      </c>
      <c r="D79" s="49">
        <f>AVERAGE('26.07 SentemaRBT-Sentema-24h'!D79,'27.07 SentemaRBT-Sentema-24h'!D79)</f>
        <v>0</v>
      </c>
      <c r="E79" s="49">
        <f>AVERAGE('26.07 SentemaRBT-Sentema-24h'!E79,'27.07 SentemaRBT-Sentema-24h'!E79)</f>
        <v>0</v>
      </c>
      <c r="F79" s="49">
        <f>AVERAGE('26.07 SentemaRBT-Sentema-24h'!F79,'27.07 SentemaRBT-Sentema-24h'!F79)</f>
        <v>0</v>
      </c>
      <c r="G79" s="49">
        <f>AVERAGE('26.07 SentemaRBT-Sentema-24h'!G79,'27.07 SentemaRBT-Sentema-24h'!G79)</f>
        <v>0</v>
      </c>
      <c r="H79" s="49">
        <f>AVERAGE('26.07 SentemaRBT-Sentema-24h'!H79,'27.07 SentemaRBT-Sentema-24h'!H79)</f>
        <v>1.5</v>
      </c>
      <c r="I79" s="49">
        <f>AVERAGE('26.07 SentemaRBT-Sentema-24h'!I79,'27.07 SentemaRBT-Sentema-24h'!I79)</f>
        <v>0</v>
      </c>
      <c r="J79" s="49">
        <f>AVERAGE('26.07 SentemaRBT-Sentema-24h'!J79,'27.07 SentemaRBT-Sentema-24h'!J79)</f>
        <v>1.5</v>
      </c>
      <c r="K79" s="49">
        <f>AVERAGE('26.07 SentemaRBT-Sentema-24h'!K79,'27.07 SentemaRBT-Sentema-24h'!K79)</f>
        <v>0</v>
      </c>
      <c r="L79" s="49">
        <f>AVERAGE('26.07 SentemaRBT-Sentema-24h'!L79,'27.07 SentemaRBT-Sentema-24h'!L79)</f>
        <v>0.5</v>
      </c>
      <c r="M79" s="49">
        <f>AVERAGE('26.07 SentemaRBT-Sentema-24h'!M79,'27.07 SentemaRBT-Sentema-24h'!M79)</f>
        <v>6</v>
      </c>
      <c r="N79" s="49">
        <f>AVERAGE('26.07 SentemaRBT-Sentema-24h'!N79,'27.07 SentemaRBT-Sentema-24h'!N79)</f>
        <v>0</v>
      </c>
      <c r="O79" s="15">
        <f t="shared" si="35"/>
        <v>8.5</v>
      </c>
      <c r="P79" s="15">
        <f t="shared" si="36"/>
        <v>14.5</v>
      </c>
      <c r="R79" s="8"/>
      <c r="T79"/>
    </row>
    <row r="80" spans="2:20" ht="23.1" customHeight="1" x14ac:dyDescent="0.25">
      <c r="B80" s="25" t="s">
        <v>120</v>
      </c>
      <c r="C80" s="49">
        <f>AVERAGE('26.07 SentemaRBT-Sentema-24h'!C80,'27.07 SentemaRBT-Sentema-24h'!C80)</f>
        <v>1.5</v>
      </c>
      <c r="D80" s="49">
        <f>AVERAGE('26.07 SentemaRBT-Sentema-24h'!D80,'27.07 SentemaRBT-Sentema-24h'!D80)</f>
        <v>0</v>
      </c>
      <c r="E80" s="49">
        <f>AVERAGE('26.07 SentemaRBT-Sentema-24h'!E80,'27.07 SentemaRBT-Sentema-24h'!E80)</f>
        <v>0</v>
      </c>
      <c r="F80" s="49">
        <f>AVERAGE('26.07 SentemaRBT-Sentema-24h'!F80,'27.07 SentemaRBT-Sentema-24h'!F80)</f>
        <v>1</v>
      </c>
      <c r="G80" s="49">
        <f>AVERAGE('26.07 SentemaRBT-Sentema-24h'!G80,'27.07 SentemaRBT-Sentema-24h'!G80)</f>
        <v>0</v>
      </c>
      <c r="H80" s="49">
        <f>AVERAGE('26.07 SentemaRBT-Sentema-24h'!H80,'27.07 SentemaRBT-Sentema-24h'!H80)</f>
        <v>0</v>
      </c>
      <c r="I80" s="49">
        <f>AVERAGE('26.07 SentemaRBT-Sentema-24h'!I80,'27.07 SentemaRBT-Sentema-24h'!I80)</f>
        <v>0</v>
      </c>
      <c r="J80" s="49">
        <f>AVERAGE('26.07 SentemaRBT-Sentema-24h'!J80,'27.07 SentemaRBT-Sentema-24h'!J80)</f>
        <v>0</v>
      </c>
      <c r="K80" s="49">
        <f>AVERAGE('26.07 SentemaRBT-Sentema-24h'!K80,'27.07 SentemaRBT-Sentema-24h'!K80)</f>
        <v>0</v>
      </c>
      <c r="L80" s="49">
        <f>AVERAGE('26.07 SentemaRBT-Sentema-24h'!L80,'27.07 SentemaRBT-Sentema-24h'!L80)</f>
        <v>0</v>
      </c>
      <c r="M80" s="49">
        <f>AVERAGE('26.07 SentemaRBT-Sentema-24h'!M80,'27.07 SentemaRBT-Sentema-24h'!M80)</f>
        <v>2</v>
      </c>
      <c r="N80" s="49">
        <f>AVERAGE('26.07 SentemaRBT-Sentema-24h'!N80,'27.07 SentemaRBT-Sentema-24h'!N80)</f>
        <v>0</v>
      </c>
      <c r="O80" s="15">
        <f t="shared" si="35"/>
        <v>2.5</v>
      </c>
      <c r="P80" s="15">
        <f t="shared" si="36"/>
        <v>4.5</v>
      </c>
      <c r="R80" s="8"/>
      <c r="T80"/>
    </row>
    <row r="81" spans="2:20" ht="23.1" customHeight="1" x14ac:dyDescent="0.25">
      <c r="B81" s="23" t="s">
        <v>121</v>
      </c>
      <c r="C81" s="49">
        <f>AVERAGE('26.07 SentemaRBT-Sentema-24h'!C81,'27.07 SentemaRBT-Sentema-24h'!C81)</f>
        <v>2.5</v>
      </c>
      <c r="D81" s="49">
        <f>AVERAGE('26.07 SentemaRBT-Sentema-24h'!D81,'27.07 SentemaRBT-Sentema-24h'!D81)</f>
        <v>0</v>
      </c>
      <c r="E81" s="49">
        <f>AVERAGE('26.07 SentemaRBT-Sentema-24h'!E81,'27.07 SentemaRBT-Sentema-24h'!E81)</f>
        <v>0</v>
      </c>
      <c r="F81" s="49">
        <f>AVERAGE('26.07 SentemaRBT-Sentema-24h'!F81,'27.07 SentemaRBT-Sentema-24h'!F81)</f>
        <v>0</v>
      </c>
      <c r="G81" s="49">
        <f>AVERAGE('26.07 SentemaRBT-Sentema-24h'!G81,'27.07 SentemaRBT-Sentema-24h'!G81)</f>
        <v>0</v>
      </c>
      <c r="H81" s="49">
        <f>AVERAGE('26.07 SentemaRBT-Sentema-24h'!H81,'27.07 SentemaRBT-Sentema-24h'!H81)</f>
        <v>0</v>
      </c>
      <c r="I81" s="49">
        <f>AVERAGE('26.07 SentemaRBT-Sentema-24h'!I81,'27.07 SentemaRBT-Sentema-24h'!I81)</f>
        <v>0</v>
      </c>
      <c r="J81" s="49">
        <f>AVERAGE('26.07 SentemaRBT-Sentema-24h'!J81,'27.07 SentemaRBT-Sentema-24h'!J81)</f>
        <v>0</v>
      </c>
      <c r="K81" s="49">
        <f>AVERAGE('26.07 SentemaRBT-Sentema-24h'!K81,'27.07 SentemaRBT-Sentema-24h'!K81)</f>
        <v>0.5</v>
      </c>
      <c r="L81" s="49">
        <f>AVERAGE('26.07 SentemaRBT-Sentema-24h'!L81,'27.07 SentemaRBT-Sentema-24h'!L81)</f>
        <v>0</v>
      </c>
      <c r="M81" s="49">
        <f>AVERAGE('26.07 SentemaRBT-Sentema-24h'!M81,'27.07 SentemaRBT-Sentema-24h'!M81)</f>
        <v>3.5</v>
      </c>
      <c r="N81" s="49">
        <f>AVERAGE('26.07 SentemaRBT-Sentema-24h'!N81,'27.07 SentemaRBT-Sentema-24h'!N81)</f>
        <v>0</v>
      </c>
      <c r="O81" s="15">
        <f t="shared" si="35"/>
        <v>3</v>
      </c>
      <c r="P81" s="15">
        <f t="shared" si="36"/>
        <v>6.5</v>
      </c>
      <c r="R81" s="8"/>
      <c r="T81"/>
    </row>
    <row r="82" spans="2:20" ht="23.1" customHeight="1" x14ac:dyDescent="0.25">
      <c r="B82" s="24" t="s">
        <v>122</v>
      </c>
      <c r="C82" s="49">
        <f>AVERAGE('26.07 SentemaRBT-Sentema-24h'!C82,'27.07 SentemaRBT-Sentema-24h'!C82)</f>
        <v>1</v>
      </c>
      <c r="D82" s="49">
        <f>AVERAGE('26.07 SentemaRBT-Sentema-24h'!D82,'27.07 SentemaRBT-Sentema-24h'!D82)</f>
        <v>0</v>
      </c>
      <c r="E82" s="49">
        <f>AVERAGE('26.07 SentemaRBT-Sentema-24h'!E82,'27.07 SentemaRBT-Sentema-24h'!E82)</f>
        <v>0</v>
      </c>
      <c r="F82" s="49">
        <f>AVERAGE('26.07 SentemaRBT-Sentema-24h'!F82,'27.07 SentemaRBT-Sentema-24h'!F82)</f>
        <v>0</v>
      </c>
      <c r="G82" s="49">
        <f>AVERAGE('26.07 SentemaRBT-Sentema-24h'!G82,'27.07 SentemaRBT-Sentema-24h'!G82)</f>
        <v>0</v>
      </c>
      <c r="H82" s="49">
        <f>AVERAGE('26.07 SentemaRBT-Sentema-24h'!H82,'27.07 SentemaRBT-Sentema-24h'!H82)</f>
        <v>0</v>
      </c>
      <c r="I82" s="49">
        <f>AVERAGE('26.07 SentemaRBT-Sentema-24h'!I82,'27.07 SentemaRBT-Sentema-24h'!I82)</f>
        <v>0</v>
      </c>
      <c r="J82" s="49">
        <f>AVERAGE('26.07 SentemaRBT-Sentema-24h'!J82,'27.07 SentemaRBT-Sentema-24h'!J82)</f>
        <v>0</v>
      </c>
      <c r="K82" s="49">
        <f>AVERAGE('26.07 SentemaRBT-Sentema-24h'!K82,'27.07 SentemaRBT-Sentema-24h'!K82)</f>
        <v>0</v>
      </c>
      <c r="L82" s="49">
        <f>AVERAGE('26.07 SentemaRBT-Sentema-24h'!L82,'27.07 SentemaRBT-Sentema-24h'!L82)</f>
        <v>0</v>
      </c>
      <c r="M82" s="49">
        <f>AVERAGE('26.07 SentemaRBT-Sentema-24h'!M82,'27.07 SentemaRBT-Sentema-24h'!M82)</f>
        <v>4</v>
      </c>
      <c r="N82" s="49">
        <f>AVERAGE('26.07 SentemaRBT-Sentema-24h'!N82,'27.07 SentemaRBT-Sentema-24h'!N82)</f>
        <v>0</v>
      </c>
      <c r="O82" s="15">
        <f t="shared" si="35"/>
        <v>1</v>
      </c>
      <c r="P82" s="15">
        <f t="shared" si="36"/>
        <v>5</v>
      </c>
      <c r="R82" s="8"/>
      <c r="T82"/>
    </row>
    <row r="83" spans="2:20" ht="23.1" customHeight="1" x14ac:dyDescent="0.25">
      <c r="B83" s="23" t="s">
        <v>123</v>
      </c>
      <c r="C83" s="49">
        <f>AVERAGE('26.07 SentemaRBT-Sentema-24h'!C83,'27.07 SentemaRBT-Sentema-24h'!C83)</f>
        <v>0</v>
      </c>
      <c r="D83" s="49">
        <f>AVERAGE('26.07 SentemaRBT-Sentema-24h'!D83,'27.07 SentemaRBT-Sentema-24h'!D83)</f>
        <v>0.5</v>
      </c>
      <c r="E83" s="49">
        <f>AVERAGE('26.07 SentemaRBT-Sentema-24h'!E83,'27.07 SentemaRBT-Sentema-24h'!E83)</f>
        <v>0</v>
      </c>
      <c r="F83" s="49">
        <f>AVERAGE('26.07 SentemaRBT-Sentema-24h'!F83,'27.07 SentemaRBT-Sentema-24h'!F83)</f>
        <v>0</v>
      </c>
      <c r="G83" s="49">
        <f>AVERAGE('26.07 SentemaRBT-Sentema-24h'!G83,'27.07 SentemaRBT-Sentema-24h'!G83)</f>
        <v>0</v>
      </c>
      <c r="H83" s="49">
        <f>AVERAGE('26.07 SentemaRBT-Sentema-24h'!H83,'27.07 SentemaRBT-Sentema-24h'!H83)</f>
        <v>0</v>
      </c>
      <c r="I83" s="49">
        <f>AVERAGE('26.07 SentemaRBT-Sentema-24h'!I83,'27.07 SentemaRBT-Sentema-24h'!I83)</f>
        <v>0</v>
      </c>
      <c r="J83" s="49">
        <f>AVERAGE('26.07 SentemaRBT-Sentema-24h'!J83,'27.07 SentemaRBT-Sentema-24h'!J83)</f>
        <v>0</v>
      </c>
      <c r="K83" s="49">
        <f>AVERAGE('26.07 SentemaRBT-Sentema-24h'!K83,'27.07 SentemaRBT-Sentema-24h'!K83)</f>
        <v>0</v>
      </c>
      <c r="L83" s="49">
        <f>AVERAGE('26.07 SentemaRBT-Sentema-24h'!L83,'27.07 SentemaRBT-Sentema-24h'!L83)</f>
        <v>0</v>
      </c>
      <c r="M83" s="49">
        <f>AVERAGE('26.07 SentemaRBT-Sentema-24h'!M83,'27.07 SentemaRBT-Sentema-24h'!M83)</f>
        <v>1.5</v>
      </c>
      <c r="N83" s="49">
        <f>AVERAGE('26.07 SentemaRBT-Sentema-24h'!N83,'27.07 SentemaRBT-Sentema-24h'!N83)</f>
        <v>0</v>
      </c>
      <c r="O83" s="15">
        <f t="shared" si="35"/>
        <v>0.5</v>
      </c>
      <c r="P83" s="15">
        <f t="shared" si="36"/>
        <v>2</v>
      </c>
      <c r="R83" s="8"/>
      <c r="T83"/>
    </row>
    <row r="84" spans="2:20" ht="23.1" customHeight="1" x14ac:dyDescent="0.25">
      <c r="B84" s="25" t="s">
        <v>124</v>
      </c>
      <c r="C84" s="49">
        <f>AVERAGE('26.07 SentemaRBT-Sentema-24h'!C84,'27.07 SentemaRBT-Sentema-24h'!C84)</f>
        <v>1.5</v>
      </c>
      <c r="D84" s="49">
        <f>AVERAGE('26.07 SentemaRBT-Sentema-24h'!D84,'27.07 SentemaRBT-Sentema-24h'!D84)</f>
        <v>0</v>
      </c>
      <c r="E84" s="49">
        <f>AVERAGE('26.07 SentemaRBT-Sentema-24h'!E84,'27.07 SentemaRBT-Sentema-24h'!E84)</f>
        <v>0</v>
      </c>
      <c r="F84" s="49">
        <f>AVERAGE('26.07 SentemaRBT-Sentema-24h'!F84,'27.07 SentemaRBT-Sentema-24h'!F84)</f>
        <v>0</v>
      </c>
      <c r="G84" s="49">
        <f>AVERAGE('26.07 SentemaRBT-Sentema-24h'!G84,'27.07 SentemaRBT-Sentema-24h'!G84)</f>
        <v>0</v>
      </c>
      <c r="H84" s="49">
        <f>AVERAGE('26.07 SentemaRBT-Sentema-24h'!H84,'27.07 SentemaRBT-Sentema-24h'!H84)</f>
        <v>0</v>
      </c>
      <c r="I84" s="49">
        <f>AVERAGE('26.07 SentemaRBT-Sentema-24h'!I84,'27.07 SentemaRBT-Sentema-24h'!I84)</f>
        <v>0</v>
      </c>
      <c r="J84" s="49">
        <f>AVERAGE('26.07 SentemaRBT-Sentema-24h'!J84,'27.07 SentemaRBT-Sentema-24h'!J84)</f>
        <v>0</v>
      </c>
      <c r="K84" s="49">
        <f>AVERAGE('26.07 SentemaRBT-Sentema-24h'!K84,'27.07 SentemaRBT-Sentema-24h'!K84)</f>
        <v>0</v>
      </c>
      <c r="L84" s="49">
        <f>AVERAGE('26.07 SentemaRBT-Sentema-24h'!L84,'27.07 SentemaRBT-Sentema-24h'!L84)</f>
        <v>0</v>
      </c>
      <c r="M84" s="49">
        <f>AVERAGE('26.07 SentemaRBT-Sentema-24h'!M84,'27.07 SentemaRBT-Sentema-24h'!M84)</f>
        <v>2.5</v>
      </c>
      <c r="N84" s="49">
        <f>AVERAGE('26.07 SentemaRBT-Sentema-24h'!N84,'27.07 SentemaRBT-Sentema-24h'!N84)</f>
        <v>0</v>
      </c>
      <c r="O84" s="15">
        <f t="shared" si="35"/>
        <v>1.5</v>
      </c>
      <c r="P84" s="15">
        <f t="shared" si="36"/>
        <v>4</v>
      </c>
      <c r="R84" s="8"/>
      <c r="T84"/>
    </row>
    <row r="85" spans="2:20" ht="23.1" customHeight="1" x14ac:dyDescent="0.25">
      <c r="B85" s="23" t="s">
        <v>125</v>
      </c>
      <c r="C85" s="49">
        <f>AVERAGE('26.07 SentemaRBT-Sentema-24h'!C85,'27.07 SentemaRBT-Sentema-24h'!C85)</f>
        <v>0.5</v>
      </c>
      <c r="D85" s="49">
        <f>AVERAGE('26.07 SentemaRBT-Sentema-24h'!D85,'27.07 SentemaRBT-Sentema-24h'!D85)</f>
        <v>0</v>
      </c>
      <c r="E85" s="49">
        <f>AVERAGE('26.07 SentemaRBT-Sentema-24h'!E85,'27.07 SentemaRBT-Sentema-24h'!E85)</f>
        <v>1.5</v>
      </c>
      <c r="F85" s="49">
        <f>AVERAGE('26.07 SentemaRBT-Sentema-24h'!F85,'27.07 SentemaRBT-Sentema-24h'!F85)</f>
        <v>0</v>
      </c>
      <c r="G85" s="49">
        <f>AVERAGE('26.07 SentemaRBT-Sentema-24h'!G85,'27.07 SentemaRBT-Sentema-24h'!G85)</f>
        <v>0</v>
      </c>
      <c r="H85" s="49">
        <f>AVERAGE('26.07 SentemaRBT-Sentema-24h'!H85,'27.07 SentemaRBT-Sentema-24h'!H85)</f>
        <v>0</v>
      </c>
      <c r="I85" s="49">
        <f>AVERAGE('26.07 SentemaRBT-Sentema-24h'!I85,'27.07 SentemaRBT-Sentema-24h'!I85)</f>
        <v>2</v>
      </c>
      <c r="J85" s="49">
        <f>AVERAGE('26.07 SentemaRBT-Sentema-24h'!J85,'27.07 SentemaRBT-Sentema-24h'!J85)</f>
        <v>0</v>
      </c>
      <c r="K85" s="49">
        <f>AVERAGE('26.07 SentemaRBT-Sentema-24h'!K85,'27.07 SentemaRBT-Sentema-24h'!K85)</f>
        <v>1</v>
      </c>
      <c r="L85" s="49">
        <f>AVERAGE('26.07 SentemaRBT-Sentema-24h'!L85,'27.07 SentemaRBT-Sentema-24h'!L85)</f>
        <v>0.5</v>
      </c>
      <c r="M85" s="49">
        <f>AVERAGE('26.07 SentemaRBT-Sentema-24h'!M85,'27.07 SentemaRBT-Sentema-24h'!M85)</f>
        <v>1.5</v>
      </c>
      <c r="N85" s="49">
        <f>AVERAGE('26.07 SentemaRBT-Sentema-24h'!N85,'27.07 SentemaRBT-Sentema-24h'!N85)</f>
        <v>0</v>
      </c>
      <c r="O85" s="15">
        <f t="shared" si="35"/>
        <v>5.5</v>
      </c>
      <c r="P85" s="15">
        <f t="shared" si="36"/>
        <v>7</v>
      </c>
      <c r="R85" s="8"/>
      <c r="T85"/>
    </row>
    <row r="86" spans="2:20" ht="23.1" customHeight="1" x14ac:dyDescent="0.25">
      <c r="B86" s="24" t="s">
        <v>126</v>
      </c>
      <c r="C86" s="49">
        <f>AVERAGE('26.07 SentemaRBT-Sentema-24h'!C86,'27.07 SentemaRBT-Sentema-24h'!C86)</f>
        <v>2</v>
      </c>
      <c r="D86" s="49">
        <f>AVERAGE('26.07 SentemaRBT-Sentema-24h'!D86,'27.07 SentemaRBT-Sentema-24h'!D86)</f>
        <v>0</v>
      </c>
      <c r="E86" s="49">
        <f>AVERAGE('26.07 SentemaRBT-Sentema-24h'!E86,'27.07 SentemaRBT-Sentema-24h'!E86)</f>
        <v>1</v>
      </c>
      <c r="F86" s="49">
        <f>AVERAGE('26.07 SentemaRBT-Sentema-24h'!F86,'27.07 SentemaRBT-Sentema-24h'!F86)</f>
        <v>0</v>
      </c>
      <c r="G86" s="49">
        <f>AVERAGE('26.07 SentemaRBT-Sentema-24h'!G86,'27.07 SentemaRBT-Sentema-24h'!G86)</f>
        <v>0</v>
      </c>
      <c r="H86" s="49">
        <f>AVERAGE('26.07 SentemaRBT-Sentema-24h'!H86,'27.07 SentemaRBT-Sentema-24h'!H86)</f>
        <v>0</v>
      </c>
      <c r="I86" s="49">
        <f>AVERAGE('26.07 SentemaRBT-Sentema-24h'!I86,'27.07 SentemaRBT-Sentema-24h'!I86)</f>
        <v>0.5</v>
      </c>
      <c r="J86" s="49">
        <f>AVERAGE('26.07 SentemaRBT-Sentema-24h'!J86,'27.07 SentemaRBT-Sentema-24h'!J86)</f>
        <v>0</v>
      </c>
      <c r="K86" s="49">
        <f>AVERAGE('26.07 SentemaRBT-Sentema-24h'!K86,'27.07 SentemaRBT-Sentema-24h'!K86)</f>
        <v>0</v>
      </c>
      <c r="L86" s="49">
        <f>AVERAGE('26.07 SentemaRBT-Sentema-24h'!L86,'27.07 SentemaRBT-Sentema-24h'!L86)</f>
        <v>0</v>
      </c>
      <c r="M86" s="49">
        <f>AVERAGE('26.07 SentemaRBT-Sentema-24h'!M86,'27.07 SentemaRBT-Sentema-24h'!M86)</f>
        <v>4</v>
      </c>
      <c r="N86" s="49">
        <f>AVERAGE('26.07 SentemaRBT-Sentema-24h'!N86,'27.07 SentemaRBT-Sentema-24h'!N86)</f>
        <v>0</v>
      </c>
      <c r="O86" s="15">
        <f t="shared" si="35"/>
        <v>3.5</v>
      </c>
      <c r="P86" s="15">
        <f t="shared" si="36"/>
        <v>7.5</v>
      </c>
      <c r="R86" s="8"/>
      <c r="T86"/>
    </row>
    <row r="87" spans="2:20" ht="23.1" customHeight="1" x14ac:dyDescent="0.25">
      <c r="B87" s="23" t="s">
        <v>127</v>
      </c>
      <c r="C87" s="49">
        <f>AVERAGE('26.07 SentemaRBT-Sentema-24h'!C87,'27.07 SentemaRBT-Sentema-24h'!C87)</f>
        <v>0</v>
      </c>
      <c r="D87" s="49">
        <f>AVERAGE('26.07 SentemaRBT-Sentema-24h'!D87,'27.07 SentemaRBT-Sentema-24h'!D87)</f>
        <v>0</v>
      </c>
      <c r="E87" s="49">
        <f>AVERAGE('26.07 SentemaRBT-Sentema-24h'!E87,'27.07 SentemaRBT-Sentema-24h'!E87)</f>
        <v>0</v>
      </c>
      <c r="F87" s="49">
        <f>AVERAGE('26.07 SentemaRBT-Sentema-24h'!F87,'27.07 SentemaRBT-Sentema-24h'!F87)</f>
        <v>0</v>
      </c>
      <c r="G87" s="49">
        <f>AVERAGE('26.07 SentemaRBT-Sentema-24h'!G87,'27.07 SentemaRBT-Sentema-24h'!G87)</f>
        <v>0</v>
      </c>
      <c r="H87" s="49">
        <f>AVERAGE('26.07 SentemaRBT-Sentema-24h'!H87,'27.07 SentemaRBT-Sentema-24h'!H87)</f>
        <v>0</v>
      </c>
      <c r="I87" s="49">
        <f>AVERAGE('26.07 SentemaRBT-Sentema-24h'!I87,'27.07 SentemaRBT-Sentema-24h'!I87)</f>
        <v>0</v>
      </c>
      <c r="J87" s="49">
        <f>AVERAGE('26.07 SentemaRBT-Sentema-24h'!J87,'27.07 SentemaRBT-Sentema-24h'!J87)</f>
        <v>0</v>
      </c>
      <c r="K87" s="49">
        <f>AVERAGE('26.07 SentemaRBT-Sentema-24h'!K87,'27.07 SentemaRBT-Sentema-24h'!K87)</f>
        <v>0</v>
      </c>
      <c r="L87" s="49">
        <f>AVERAGE('26.07 SentemaRBT-Sentema-24h'!L87,'27.07 SentemaRBT-Sentema-24h'!L87)</f>
        <v>0</v>
      </c>
      <c r="M87" s="49">
        <f>AVERAGE('26.07 SentemaRBT-Sentema-24h'!M87,'27.07 SentemaRBT-Sentema-24h'!M87)</f>
        <v>1.5</v>
      </c>
      <c r="N87" s="49">
        <f>AVERAGE('26.07 SentemaRBT-Sentema-24h'!N87,'27.07 SentemaRBT-Sentema-24h'!N87)</f>
        <v>0</v>
      </c>
      <c r="O87" s="15">
        <f t="shared" si="35"/>
        <v>0</v>
      </c>
      <c r="P87" s="15">
        <f t="shared" si="36"/>
        <v>1.5</v>
      </c>
      <c r="R87" s="8"/>
      <c r="T87"/>
    </row>
    <row r="88" spans="2:20" ht="23.1" customHeight="1" x14ac:dyDescent="0.25">
      <c r="B88" s="25" t="s">
        <v>128</v>
      </c>
      <c r="C88" s="49">
        <f>AVERAGE('26.07 SentemaRBT-Sentema-24h'!C88,'27.07 SentemaRBT-Sentema-24h'!C88)</f>
        <v>0.5</v>
      </c>
      <c r="D88" s="49">
        <f>AVERAGE('26.07 SentemaRBT-Sentema-24h'!D88,'27.07 SentemaRBT-Sentema-24h'!D88)</f>
        <v>0</v>
      </c>
      <c r="E88" s="49">
        <f>AVERAGE('26.07 SentemaRBT-Sentema-24h'!E88,'27.07 SentemaRBT-Sentema-24h'!E88)</f>
        <v>0</v>
      </c>
      <c r="F88" s="49">
        <f>AVERAGE('26.07 SentemaRBT-Sentema-24h'!F88,'27.07 SentemaRBT-Sentema-24h'!F88)</f>
        <v>0</v>
      </c>
      <c r="G88" s="49">
        <f>AVERAGE('26.07 SentemaRBT-Sentema-24h'!G88,'27.07 SentemaRBT-Sentema-24h'!G88)</f>
        <v>0</v>
      </c>
      <c r="H88" s="49">
        <f>AVERAGE('26.07 SentemaRBT-Sentema-24h'!H88,'27.07 SentemaRBT-Sentema-24h'!H88)</f>
        <v>0</v>
      </c>
      <c r="I88" s="49">
        <f>AVERAGE('26.07 SentemaRBT-Sentema-24h'!I88,'27.07 SentemaRBT-Sentema-24h'!I88)</f>
        <v>0</v>
      </c>
      <c r="J88" s="49">
        <f>AVERAGE('26.07 SentemaRBT-Sentema-24h'!J88,'27.07 SentemaRBT-Sentema-24h'!J88)</f>
        <v>0</v>
      </c>
      <c r="K88" s="49">
        <f>AVERAGE('26.07 SentemaRBT-Sentema-24h'!K88,'27.07 SentemaRBT-Sentema-24h'!K88)</f>
        <v>0</v>
      </c>
      <c r="L88" s="49">
        <f>AVERAGE('26.07 SentemaRBT-Sentema-24h'!L88,'27.07 SentemaRBT-Sentema-24h'!L88)</f>
        <v>0</v>
      </c>
      <c r="M88" s="49">
        <f>AVERAGE('26.07 SentemaRBT-Sentema-24h'!M88,'27.07 SentemaRBT-Sentema-24h'!M88)</f>
        <v>2</v>
      </c>
      <c r="N88" s="49">
        <f>AVERAGE('26.07 SentemaRBT-Sentema-24h'!N88,'27.07 SentemaRBT-Sentema-24h'!N88)</f>
        <v>0</v>
      </c>
      <c r="O88" s="15">
        <f t="shared" si="35"/>
        <v>0.5</v>
      </c>
      <c r="P88" s="15">
        <f t="shared" si="36"/>
        <v>2.5</v>
      </c>
      <c r="R88" s="8"/>
      <c r="T88"/>
    </row>
    <row r="89" spans="2:20" ht="23.1" customHeight="1" x14ac:dyDescent="0.25">
      <c r="B89" s="23" t="s">
        <v>129</v>
      </c>
      <c r="C89" s="49">
        <f>AVERAGE('26.07 SentemaRBT-Sentema-24h'!C89,'27.07 SentemaRBT-Sentema-24h'!C89)</f>
        <v>1.5</v>
      </c>
      <c r="D89" s="49">
        <f>AVERAGE('26.07 SentemaRBT-Sentema-24h'!D89,'27.07 SentemaRBT-Sentema-24h'!D89)</f>
        <v>0</v>
      </c>
      <c r="E89" s="49">
        <f>AVERAGE('26.07 SentemaRBT-Sentema-24h'!E89,'27.07 SentemaRBT-Sentema-24h'!E89)</f>
        <v>0</v>
      </c>
      <c r="F89" s="49">
        <f>AVERAGE('26.07 SentemaRBT-Sentema-24h'!F89,'27.07 SentemaRBT-Sentema-24h'!F89)</f>
        <v>0</v>
      </c>
      <c r="G89" s="49">
        <f>AVERAGE('26.07 SentemaRBT-Sentema-24h'!G89,'27.07 SentemaRBT-Sentema-24h'!G89)</f>
        <v>0</v>
      </c>
      <c r="H89" s="49">
        <f>AVERAGE('26.07 SentemaRBT-Sentema-24h'!H89,'27.07 SentemaRBT-Sentema-24h'!H89)</f>
        <v>0</v>
      </c>
      <c r="I89" s="49">
        <f>AVERAGE('26.07 SentemaRBT-Sentema-24h'!I89,'27.07 SentemaRBT-Sentema-24h'!I89)</f>
        <v>1</v>
      </c>
      <c r="J89" s="49">
        <f>AVERAGE('26.07 SentemaRBT-Sentema-24h'!J89,'27.07 SentemaRBT-Sentema-24h'!J89)</f>
        <v>0</v>
      </c>
      <c r="K89" s="49">
        <f>AVERAGE('26.07 SentemaRBT-Sentema-24h'!K89,'27.07 SentemaRBT-Sentema-24h'!K89)</f>
        <v>0</v>
      </c>
      <c r="L89" s="49">
        <f>AVERAGE('26.07 SentemaRBT-Sentema-24h'!L89,'27.07 SentemaRBT-Sentema-24h'!L89)</f>
        <v>0</v>
      </c>
      <c r="M89" s="49">
        <f>AVERAGE('26.07 SentemaRBT-Sentema-24h'!M89,'27.07 SentemaRBT-Sentema-24h'!M89)</f>
        <v>1</v>
      </c>
      <c r="N89" s="49">
        <f>AVERAGE('26.07 SentemaRBT-Sentema-24h'!N89,'27.07 SentemaRBT-Sentema-24h'!N89)</f>
        <v>0</v>
      </c>
      <c r="O89" s="15">
        <f t="shared" si="35"/>
        <v>2.5</v>
      </c>
      <c r="P89" s="15">
        <f t="shared" si="36"/>
        <v>3.5</v>
      </c>
      <c r="R89" s="8"/>
      <c r="T89"/>
    </row>
    <row r="90" spans="2:20" ht="23.1" customHeight="1" x14ac:dyDescent="0.25">
      <c r="B90" s="24" t="s">
        <v>130</v>
      </c>
      <c r="C90" s="49">
        <f>AVERAGE('26.07 SentemaRBT-Sentema-24h'!C90,'27.07 SentemaRBT-Sentema-24h'!C90)</f>
        <v>0.5</v>
      </c>
      <c r="D90" s="49">
        <f>AVERAGE('26.07 SentemaRBT-Sentema-24h'!D90,'27.07 SentemaRBT-Sentema-24h'!D90)</f>
        <v>0</v>
      </c>
      <c r="E90" s="49">
        <f>AVERAGE('26.07 SentemaRBT-Sentema-24h'!E90,'27.07 SentemaRBT-Sentema-24h'!E90)</f>
        <v>0</v>
      </c>
      <c r="F90" s="49">
        <f>AVERAGE('26.07 SentemaRBT-Sentema-24h'!F90,'27.07 SentemaRBT-Sentema-24h'!F90)</f>
        <v>0.5</v>
      </c>
      <c r="G90" s="49">
        <f>AVERAGE('26.07 SentemaRBT-Sentema-24h'!G90,'27.07 SentemaRBT-Sentema-24h'!G90)</f>
        <v>0</v>
      </c>
      <c r="H90" s="49">
        <f>AVERAGE('26.07 SentemaRBT-Sentema-24h'!H90,'27.07 SentemaRBT-Sentema-24h'!H90)</f>
        <v>0</v>
      </c>
      <c r="I90" s="49">
        <f>AVERAGE('26.07 SentemaRBT-Sentema-24h'!I90,'27.07 SentemaRBT-Sentema-24h'!I90)</f>
        <v>1.5</v>
      </c>
      <c r="J90" s="49">
        <f>AVERAGE('26.07 SentemaRBT-Sentema-24h'!J90,'27.07 SentemaRBT-Sentema-24h'!J90)</f>
        <v>0.5</v>
      </c>
      <c r="K90" s="49">
        <f>AVERAGE('26.07 SentemaRBT-Sentema-24h'!K90,'27.07 SentemaRBT-Sentema-24h'!K90)</f>
        <v>1.5</v>
      </c>
      <c r="L90" s="49">
        <f>AVERAGE('26.07 SentemaRBT-Sentema-24h'!L90,'27.07 SentemaRBT-Sentema-24h'!L90)</f>
        <v>0</v>
      </c>
      <c r="M90" s="49">
        <f>AVERAGE('26.07 SentemaRBT-Sentema-24h'!M90,'27.07 SentemaRBT-Sentema-24h'!M90)</f>
        <v>2.5</v>
      </c>
      <c r="N90" s="49">
        <f>AVERAGE('26.07 SentemaRBT-Sentema-24h'!N90,'27.07 SentemaRBT-Sentema-24h'!N90)</f>
        <v>0</v>
      </c>
      <c r="O90" s="15">
        <f t="shared" si="35"/>
        <v>4.5</v>
      </c>
      <c r="P90" s="15">
        <f t="shared" si="36"/>
        <v>7</v>
      </c>
      <c r="R90" s="8"/>
      <c r="T90"/>
    </row>
    <row r="91" spans="2:20" ht="23.1" customHeight="1" x14ac:dyDescent="0.25">
      <c r="B91" s="23" t="s">
        <v>131</v>
      </c>
      <c r="C91" s="49">
        <f>AVERAGE('26.07 SentemaRBT-Sentema-24h'!C91,'27.07 SentemaRBT-Sentema-24h'!C91)</f>
        <v>1</v>
      </c>
      <c r="D91" s="49">
        <f>AVERAGE('26.07 SentemaRBT-Sentema-24h'!D91,'27.07 SentemaRBT-Sentema-24h'!D91)</f>
        <v>0</v>
      </c>
      <c r="E91" s="49">
        <f>AVERAGE('26.07 SentemaRBT-Sentema-24h'!E91,'27.07 SentemaRBT-Sentema-24h'!E91)</f>
        <v>1</v>
      </c>
      <c r="F91" s="49">
        <f>AVERAGE('26.07 SentemaRBT-Sentema-24h'!F91,'27.07 SentemaRBT-Sentema-24h'!F91)</f>
        <v>0</v>
      </c>
      <c r="G91" s="49">
        <f>AVERAGE('26.07 SentemaRBT-Sentema-24h'!G91,'27.07 SentemaRBT-Sentema-24h'!G91)</f>
        <v>0</v>
      </c>
      <c r="H91" s="49">
        <f>AVERAGE('26.07 SentemaRBT-Sentema-24h'!H91,'27.07 SentemaRBT-Sentema-24h'!H91)</f>
        <v>0</v>
      </c>
      <c r="I91" s="49">
        <f>AVERAGE('26.07 SentemaRBT-Sentema-24h'!I91,'27.07 SentemaRBT-Sentema-24h'!I91)</f>
        <v>0</v>
      </c>
      <c r="J91" s="49">
        <f>AVERAGE('26.07 SentemaRBT-Sentema-24h'!J91,'27.07 SentemaRBT-Sentema-24h'!J91)</f>
        <v>0</v>
      </c>
      <c r="K91" s="49">
        <f>AVERAGE('26.07 SentemaRBT-Sentema-24h'!K91,'27.07 SentemaRBT-Sentema-24h'!K91)</f>
        <v>0.5</v>
      </c>
      <c r="L91" s="49">
        <f>AVERAGE('26.07 SentemaRBT-Sentema-24h'!L91,'27.07 SentemaRBT-Sentema-24h'!L91)</f>
        <v>0</v>
      </c>
      <c r="M91" s="49">
        <f>AVERAGE('26.07 SentemaRBT-Sentema-24h'!M91,'27.07 SentemaRBT-Sentema-24h'!M91)</f>
        <v>1.5</v>
      </c>
      <c r="N91" s="49">
        <f>AVERAGE('26.07 SentemaRBT-Sentema-24h'!N91,'27.07 SentemaRBT-Sentema-24h'!N91)</f>
        <v>0</v>
      </c>
      <c r="O91" s="15">
        <f t="shared" si="35"/>
        <v>2.5</v>
      </c>
      <c r="P91" s="15">
        <f t="shared" si="36"/>
        <v>4</v>
      </c>
      <c r="R91" s="8"/>
      <c r="T91"/>
    </row>
    <row r="92" spans="2:20" ht="23.1" customHeight="1" x14ac:dyDescent="0.25">
      <c r="B92" s="25" t="s">
        <v>132</v>
      </c>
      <c r="C92" s="49">
        <f>AVERAGE('26.07 SentemaRBT-Sentema-24h'!C92,'27.07 SentemaRBT-Sentema-24h'!C92)</f>
        <v>0.5</v>
      </c>
      <c r="D92" s="49">
        <f>AVERAGE('26.07 SentemaRBT-Sentema-24h'!D92,'27.07 SentemaRBT-Sentema-24h'!D92)</f>
        <v>0</v>
      </c>
      <c r="E92" s="49">
        <f>AVERAGE('26.07 SentemaRBT-Sentema-24h'!E92,'27.07 SentemaRBT-Sentema-24h'!E92)</f>
        <v>0.5</v>
      </c>
      <c r="F92" s="49">
        <f>AVERAGE('26.07 SentemaRBT-Sentema-24h'!F92,'27.07 SentemaRBT-Sentema-24h'!F92)</f>
        <v>0</v>
      </c>
      <c r="G92" s="49">
        <f>AVERAGE('26.07 SentemaRBT-Sentema-24h'!G92,'27.07 SentemaRBT-Sentema-24h'!G92)</f>
        <v>0</v>
      </c>
      <c r="H92" s="49">
        <f>AVERAGE('26.07 SentemaRBT-Sentema-24h'!H92,'27.07 SentemaRBT-Sentema-24h'!H92)</f>
        <v>0</v>
      </c>
      <c r="I92" s="49">
        <f>AVERAGE('26.07 SentemaRBT-Sentema-24h'!I92,'27.07 SentemaRBT-Sentema-24h'!I92)</f>
        <v>0</v>
      </c>
      <c r="J92" s="49">
        <f>AVERAGE('26.07 SentemaRBT-Sentema-24h'!J92,'27.07 SentemaRBT-Sentema-24h'!J92)</f>
        <v>0</v>
      </c>
      <c r="K92" s="49">
        <f>AVERAGE('26.07 SentemaRBT-Sentema-24h'!K92,'27.07 SentemaRBT-Sentema-24h'!K92)</f>
        <v>0</v>
      </c>
      <c r="L92" s="49">
        <f>AVERAGE('26.07 SentemaRBT-Sentema-24h'!L92,'27.07 SentemaRBT-Sentema-24h'!L92)</f>
        <v>0</v>
      </c>
      <c r="M92" s="49">
        <f>AVERAGE('26.07 SentemaRBT-Sentema-24h'!M92,'27.07 SentemaRBT-Sentema-24h'!M92)</f>
        <v>0.5</v>
      </c>
      <c r="N92" s="49">
        <f>AVERAGE('26.07 SentemaRBT-Sentema-24h'!N92,'27.07 SentemaRBT-Sentema-24h'!N92)</f>
        <v>0</v>
      </c>
      <c r="O92" s="15">
        <f t="shared" si="35"/>
        <v>1</v>
      </c>
      <c r="P92" s="15">
        <f t="shared" si="36"/>
        <v>1.5</v>
      </c>
      <c r="R92" s="8"/>
      <c r="T92"/>
    </row>
    <row r="93" spans="2:20" ht="23.1" customHeight="1" x14ac:dyDescent="0.25">
      <c r="B93" s="23" t="s">
        <v>133</v>
      </c>
      <c r="C93" s="49">
        <f>AVERAGE('26.07 SentemaRBT-Sentema-24h'!C93,'27.07 SentemaRBT-Sentema-24h'!C93)</f>
        <v>0</v>
      </c>
      <c r="D93" s="49">
        <f>AVERAGE('26.07 SentemaRBT-Sentema-24h'!D93,'27.07 SentemaRBT-Sentema-24h'!D93)</f>
        <v>0</v>
      </c>
      <c r="E93" s="49">
        <f>AVERAGE('26.07 SentemaRBT-Sentema-24h'!E93,'27.07 SentemaRBT-Sentema-24h'!E93)</f>
        <v>0</v>
      </c>
      <c r="F93" s="49">
        <f>AVERAGE('26.07 SentemaRBT-Sentema-24h'!F93,'27.07 SentemaRBT-Sentema-24h'!F93)</f>
        <v>0</v>
      </c>
      <c r="G93" s="49">
        <f>AVERAGE('26.07 SentemaRBT-Sentema-24h'!G93,'27.07 SentemaRBT-Sentema-24h'!G93)</f>
        <v>0</v>
      </c>
      <c r="H93" s="49">
        <f>AVERAGE('26.07 SentemaRBT-Sentema-24h'!H93,'27.07 SentemaRBT-Sentema-24h'!H93)</f>
        <v>0</v>
      </c>
      <c r="I93" s="49">
        <f>AVERAGE('26.07 SentemaRBT-Sentema-24h'!I93,'27.07 SentemaRBT-Sentema-24h'!I93)</f>
        <v>0</v>
      </c>
      <c r="J93" s="49">
        <f>AVERAGE('26.07 SentemaRBT-Sentema-24h'!J93,'27.07 SentemaRBT-Sentema-24h'!J93)</f>
        <v>0</v>
      </c>
      <c r="K93" s="49">
        <f>AVERAGE('26.07 SentemaRBT-Sentema-24h'!K93,'27.07 SentemaRBT-Sentema-24h'!K93)</f>
        <v>0</v>
      </c>
      <c r="L93" s="49">
        <f>AVERAGE('26.07 SentemaRBT-Sentema-24h'!L93,'27.07 SentemaRBT-Sentema-24h'!L93)</f>
        <v>0</v>
      </c>
      <c r="M93" s="49">
        <f>AVERAGE('26.07 SentemaRBT-Sentema-24h'!M93,'27.07 SentemaRBT-Sentema-24h'!M93)</f>
        <v>1</v>
      </c>
      <c r="N93" s="49">
        <f>AVERAGE('26.07 SentemaRBT-Sentema-24h'!N93,'27.07 SentemaRBT-Sentema-24h'!N93)</f>
        <v>0</v>
      </c>
      <c r="O93" s="15">
        <f t="shared" si="35"/>
        <v>0</v>
      </c>
      <c r="P93" s="15">
        <f t="shared" si="36"/>
        <v>1</v>
      </c>
      <c r="R93" s="8"/>
      <c r="T93"/>
    </row>
    <row r="94" spans="2:20" ht="23.1" customHeight="1" x14ac:dyDescent="0.25">
      <c r="B94" s="24" t="s">
        <v>134</v>
      </c>
      <c r="C94" s="49">
        <f>AVERAGE('26.07 SentemaRBT-Sentema-24h'!C94,'27.07 SentemaRBT-Sentema-24h'!C94)</f>
        <v>2</v>
      </c>
      <c r="D94" s="49">
        <f>AVERAGE('26.07 SentemaRBT-Sentema-24h'!D94,'27.07 SentemaRBT-Sentema-24h'!D94)</f>
        <v>0</v>
      </c>
      <c r="E94" s="49">
        <f>AVERAGE('26.07 SentemaRBT-Sentema-24h'!E94,'27.07 SentemaRBT-Sentema-24h'!E94)</f>
        <v>0</v>
      </c>
      <c r="F94" s="49">
        <f>AVERAGE('26.07 SentemaRBT-Sentema-24h'!F94,'27.07 SentemaRBT-Sentema-24h'!F94)</f>
        <v>0</v>
      </c>
      <c r="G94" s="49">
        <f>AVERAGE('26.07 SentemaRBT-Sentema-24h'!G94,'27.07 SentemaRBT-Sentema-24h'!G94)</f>
        <v>0</v>
      </c>
      <c r="H94" s="49">
        <f>AVERAGE('26.07 SentemaRBT-Sentema-24h'!H94,'27.07 SentemaRBT-Sentema-24h'!H94)</f>
        <v>0</v>
      </c>
      <c r="I94" s="49">
        <f>AVERAGE('26.07 SentemaRBT-Sentema-24h'!I94,'27.07 SentemaRBT-Sentema-24h'!I94)</f>
        <v>0</v>
      </c>
      <c r="J94" s="49">
        <f>AVERAGE('26.07 SentemaRBT-Sentema-24h'!J94,'27.07 SentemaRBT-Sentema-24h'!J94)</f>
        <v>0.5</v>
      </c>
      <c r="K94" s="49">
        <f>AVERAGE('26.07 SentemaRBT-Sentema-24h'!K94,'27.07 SentemaRBT-Sentema-24h'!K94)</f>
        <v>0</v>
      </c>
      <c r="L94" s="49">
        <f>AVERAGE('26.07 SentemaRBT-Sentema-24h'!L94,'27.07 SentemaRBT-Sentema-24h'!L94)</f>
        <v>0</v>
      </c>
      <c r="M94" s="49">
        <f>AVERAGE('26.07 SentemaRBT-Sentema-24h'!M94,'27.07 SentemaRBT-Sentema-24h'!M94)</f>
        <v>2.5</v>
      </c>
      <c r="N94" s="49">
        <f>AVERAGE('26.07 SentemaRBT-Sentema-24h'!N94,'27.07 SentemaRBT-Sentema-24h'!N94)</f>
        <v>0</v>
      </c>
      <c r="O94" s="15">
        <f t="shared" si="35"/>
        <v>2.5</v>
      </c>
      <c r="P94" s="15">
        <f t="shared" si="36"/>
        <v>5</v>
      </c>
      <c r="R94" s="8"/>
      <c r="T94"/>
    </row>
    <row r="95" spans="2:20" ht="23.1" customHeight="1" x14ac:dyDescent="0.25">
      <c r="B95" s="23" t="s">
        <v>135</v>
      </c>
      <c r="C95" s="49">
        <f>AVERAGE('26.07 SentemaRBT-Sentema-24h'!C95,'27.07 SentemaRBT-Sentema-24h'!C95)</f>
        <v>0</v>
      </c>
      <c r="D95" s="49">
        <f>AVERAGE('26.07 SentemaRBT-Sentema-24h'!D95,'27.07 SentemaRBT-Sentema-24h'!D95)</f>
        <v>0</v>
      </c>
      <c r="E95" s="49">
        <f>AVERAGE('26.07 SentemaRBT-Sentema-24h'!E95,'27.07 SentemaRBT-Sentema-24h'!E95)</f>
        <v>0</v>
      </c>
      <c r="F95" s="49">
        <f>AVERAGE('26.07 SentemaRBT-Sentema-24h'!F95,'27.07 SentemaRBT-Sentema-24h'!F95)</f>
        <v>0</v>
      </c>
      <c r="G95" s="49">
        <f>AVERAGE('26.07 SentemaRBT-Sentema-24h'!G95,'27.07 SentemaRBT-Sentema-24h'!G95)</f>
        <v>0</v>
      </c>
      <c r="H95" s="49">
        <f>AVERAGE('26.07 SentemaRBT-Sentema-24h'!H95,'27.07 SentemaRBT-Sentema-24h'!H95)</f>
        <v>0</v>
      </c>
      <c r="I95" s="49">
        <f>AVERAGE('26.07 SentemaRBT-Sentema-24h'!I95,'27.07 SentemaRBT-Sentema-24h'!I95)</f>
        <v>0</v>
      </c>
      <c r="J95" s="49">
        <f>AVERAGE('26.07 SentemaRBT-Sentema-24h'!J95,'27.07 SentemaRBT-Sentema-24h'!J95)</f>
        <v>0.5</v>
      </c>
      <c r="K95" s="49">
        <f>AVERAGE('26.07 SentemaRBT-Sentema-24h'!K95,'27.07 SentemaRBT-Sentema-24h'!K95)</f>
        <v>0</v>
      </c>
      <c r="L95" s="49">
        <f>AVERAGE('26.07 SentemaRBT-Sentema-24h'!L95,'27.07 SentemaRBT-Sentema-24h'!L95)</f>
        <v>0</v>
      </c>
      <c r="M95" s="49">
        <f>AVERAGE('26.07 SentemaRBT-Sentema-24h'!M95,'27.07 SentemaRBT-Sentema-24h'!M95)</f>
        <v>0.5</v>
      </c>
      <c r="N95" s="49">
        <f>AVERAGE('26.07 SentemaRBT-Sentema-24h'!N95,'27.07 SentemaRBT-Sentema-24h'!N95)</f>
        <v>0</v>
      </c>
      <c r="O95" s="15">
        <f t="shared" si="35"/>
        <v>0.5</v>
      </c>
      <c r="P95" s="15">
        <f t="shared" si="36"/>
        <v>1</v>
      </c>
      <c r="R95" s="8"/>
      <c r="T95"/>
    </row>
    <row r="96" spans="2:20" ht="23.1" customHeight="1" x14ac:dyDescent="0.25">
      <c r="B96" s="25" t="s">
        <v>136</v>
      </c>
      <c r="C96" s="49">
        <f>AVERAGE('26.07 SentemaRBT-Sentema-24h'!C96,'27.07 SentemaRBT-Sentema-24h'!C96)</f>
        <v>0</v>
      </c>
      <c r="D96" s="49">
        <f>AVERAGE('26.07 SentemaRBT-Sentema-24h'!D96,'27.07 SentemaRBT-Sentema-24h'!D96)</f>
        <v>0</v>
      </c>
      <c r="E96" s="49">
        <f>AVERAGE('26.07 SentemaRBT-Sentema-24h'!E96,'27.07 SentemaRBT-Sentema-24h'!E96)</f>
        <v>0</v>
      </c>
      <c r="F96" s="49">
        <f>AVERAGE('26.07 SentemaRBT-Sentema-24h'!F96,'27.07 SentemaRBT-Sentema-24h'!F96)</f>
        <v>0</v>
      </c>
      <c r="G96" s="49">
        <f>AVERAGE('26.07 SentemaRBT-Sentema-24h'!G96,'27.07 SentemaRBT-Sentema-24h'!G96)</f>
        <v>0</v>
      </c>
      <c r="H96" s="49">
        <f>AVERAGE('26.07 SentemaRBT-Sentema-24h'!H96,'27.07 SentemaRBT-Sentema-24h'!H96)</f>
        <v>0</v>
      </c>
      <c r="I96" s="49">
        <f>AVERAGE('26.07 SentemaRBT-Sentema-24h'!I96,'27.07 SentemaRBT-Sentema-24h'!I96)</f>
        <v>0</v>
      </c>
      <c r="J96" s="49">
        <f>AVERAGE('26.07 SentemaRBT-Sentema-24h'!J96,'27.07 SentemaRBT-Sentema-24h'!J96)</f>
        <v>0</v>
      </c>
      <c r="K96" s="49">
        <f>AVERAGE('26.07 SentemaRBT-Sentema-24h'!K96,'27.07 SentemaRBT-Sentema-24h'!K96)</f>
        <v>0</v>
      </c>
      <c r="L96" s="49">
        <f>AVERAGE('26.07 SentemaRBT-Sentema-24h'!L96,'27.07 SentemaRBT-Sentema-24h'!L96)</f>
        <v>0</v>
      </c>
      <c r="M96" s="49">
        <f>AVERAGE('26.07 SentemaRBT-Sentema-24h'!M96,'27.07 SentemaRBT-Sentema-24h'!M96)</f>
        <v>0</v>
      </c>
      <c r="N96" s="49">
        <f>AVERAGE('26.07 SentemaRBT-Sentema-24h'!N96,'27.07 SentemaRBT-Sentema-24h'!N96)</f>
        <v>0</v>
      </c>
      <c r="O96" s="15">
        <f t="shared" si="35"/>
        <v>0</v>
      </c>
      <c r="P96" s="15">
        <f t="shared" si="36"/>
        <v>0</v>
      </c>
      <c r="R96" s="8"/>
      <c r="T96"/>
    </row>
    <row r="97" spans="2:20" ht="23.1" customHeight="1" x14ac:dyDescent="0.25">
      <c r="B97" s="23" t="s">
        <v>137</v>
      </c>
      <c r="C97" s="49">
        <f>AVERAGE('26.07 SentemaRBT-Sentema-24h'!C97,'27.07 SentemaRBT-Sentema-24h'!C97)</f>
        <v>0</v>
      </c>
      <c r="D97" s="49">
        <f>AVERAGE('26.07 SentemaRBT-Sentema-24h'!D97,'27.07 SentemaRBT-Sentema-24h'!D97)</f>
        <v>0</v>
      </c>
      <c r="E97" s="49">
        <f>AVERAGE('26.07 SentemaRBT-Sentema-24h'!E97,'27.07 SentemaRBT-Sentema-24h'!E97)</f>
        <v>0</v>
      </c>
      <c r="F97" s="49">
        <f>AVERAGE('26.07 SentemaRBT-Sentema-24h'!F97,'27.07 SentemaRBT-Sentema-24h'!F97)</f>
        <v>0.5</v>
      </c>
      <c r="G97" s="49">
        <f>AVERAGE('26.07 SentemaRBT-Sentema-24h'!G97,'27.07 SentemaRBT-Sentema-24h'!G97)</f>
        <v>0</v>
      </c>
      <c r="H97" s="49">
        <f>AVERAGE('26.07 SentemaRBT-Sentema-24h'!H97,'27.07 SentemaRBT-Sentema-24h'!H97)</f>
        <v>0</v>
      </c>
      <c r="I97" s="49">
        <f>AVERAGE('26.07 SentemaRBT-Sentema-24h'!I97,'27.07 SentemaRBT-Sentema-24h'!I97)</f>
        <v>0</v>
      </c>
      <c r="J97" s="49">
        <f>AVERAGE('26.07 SentemaRBT-Sentema-24h'!J97,'27.07 SentemaRBT-Sentema-24h'!J97)</f>
        <v>0</v>
      </c>
      <c r="K97" s="49">
        <f>AVERAGE('26.07 SentemaRBT-Sentema-24h'!K97,'27.07 SentemaRBT-Sentema-24h'!K97)</f>
        <v>0</v>
      </c>
      <c r="L97" s="49">
        <f>AVERAGE('26.07 SentemaRBT-Sentema-24h'!L97,'27.07 SentemaRBT-Sentema-24h'!L97)</f>
        <v>0</v>
      </c>
      <c r="M97" s="49">
        <f>AVERAGE('26.07 SentemaRBT-Sentema-24h'!M97,'27.07 SentemaRBT-Sentema-24h'!M97)</f>
        <v>1</v>
      </c>
      <c r="N97" s="49">
        <f>AVERAGE('26.07 SentemaRBT-Sentema-24h'!N97,'27.07 SentemaRBT-Sentema-24h'!N97)</f>
        <v>0</v>
      </c>
      <c r="O97" s="15">
        <f t="shared" si="35"/>
        <v>0.5</v>
      </c>
      <c r="P97" s="15">
        <f t="shared" si="36"/>
        <v>1.5</v>
      </c>
      <c r="R97" s="8"/>
      <c r="T97"/>
    </row>
    <row r="98" spans="2:20" ht="23.1" customHeight="1" x14ac:dyDescent="0.25">
      <c r="B98" s="24" t="s">
        <v>138</v>
      </c>
      <c r="C98" s="49">
        <f>AVERAGE('26.07 SentemaRBT-Sentema-24h'!C98,'27.07 SentemaRBT-Sentema-24h'!C98)</f>
        <v>1</v>
      </c>
      <c r="D98" s="49">
        <f>AVERAGE('26.07 SentemaRBT-Sentema-24h'!D98,'27.07 SentemaRBT-Sentema-24h'!D98)</f>
        <v>0</v>
      </c>
      <c r="E98" s="49">
        <f>AVERAGE('26.07 SentemaRBT-Sentema-24h'!E98,'27.07 SentemaRBT-Sentema-24h'!E98)</f>
        <v>0</v>
      </c>
      <c r="F98" s="49">
        <f>AVERAGE('26.07 SentemaRBT-Sentema-24h'!F98,'27.07 SentemaRBT-Sentema-24h'!F98)</f>
        <v>1</v>
      </c>
      <c r="G98" s="49">
        <f>AVERAGE('26.07 SentemaRBT-Sentema-24h'!G98,'27.07 SentemaRBT-Sentema-24h'!G98)</f>
        <v>0</v>
      </c>
      <c r="H98" s="49">
        <f>AVERAGE('26.07 SentemaRBT-Sentema-24h'!H98,'27.07 SentemaRBT-Sentema-24h'!H98)</f>
        <v>0</v>
      </c>
      <c r="I98" s="49">
        <f>AVERAGE('26.07 SentemaRBT-Sentema-24h'!I98,'27.07 SentemaRBT-Sentema-24h'!I98)</f>
        <v>1</v>
      </c>
      <c r="J98" s="49">
        <f>AVERAGE('26.07 SentemaRBT-Sentema-24h'!J98,'27.07 SentemaRBT-Sentema-24h'!J98)</f>
        <v>0</v>
      </c>
      <c r="K98" s="49">
        <f>AVERAGE('26.07 SentemaRBT-Sentema-24h'!K98,'27.07 SentemaRBT-Sentema-24h'!K98)</f>
        <v>1.5</v>
      </c>
      <c r="L98" s="49">
        <f>AVERAGE('26.07 SentemaRBT-Sentema-24h'!L98,'27.07 SentemaRBT-Sentema-24h'!L98)</f>
        <v>0</v>
      </c>
      <c r="M98" s="49">
        <f>AVERAGE('26.07 SentemaRBT-Sentema-24h'!M98,'27.07 SentemaRBT-Sentema-24h'!M98)</f>
        <v>3</v>
      </c>
      <c r="N98" s="49">
        <f>AVERAGE('26.07 SentemaRBT-Sentema-24h'!N98,'27.07 SentemaRBT-Sentema-24h'!N98)</f>
        <v>0</v>
      </c>
      <c r="O98" s="15">
        <f t="shared" si="35"/>
        <v>4.5</v>
      </c>
      <c r="P98" s="15">
        <f t="shared" si="36"/>
        <v>7.5</v>
      </c>
      <c r="R98" s="8"/>
      <c r="T98"/>
    </row>
    <row r="99" spans="2:20" ht="23.1" customHeight="1" x14ac:dyDescent="0.25">
      <c r="B99" s="23" t="s">
        <v>139</v>
      </c>
      <c r="C99" s="49">
        <f>AVERAGE('26.07 SentemaRBT-Sentema-24h'!C99,'27.07 SentemaRBT-Sentema-24h'!C99)</f>
        <v>2.5</v>
      </c>
      <c r="D99" s="49">
        <f>AVERAGE('26.07 SentemaRBT-Sentema-24h'!D99,'27.07 SentemaRBT-Sentema-24h'!D99)</f>
        <v>0.5</v>
      </c>
      <c r="E99" s="49">
        <f>AVERAGE('26.07 SentemaRBT-Sentema-24h'!E99,'27.07 SentemaRBT-Sentema-24h'!E99)</f>
        <v>0</v>
      </c>
      <c r="F99" s="49">
        <f>AVERAGE('26.07 SentemaRBT-Sentema-24h'!F99,'27.07 SentemaRBT-Sentema-24h'!F99)</f>
        <v>1</v>
      </c>
      <c r="G99" s="49">
        <f>AVERAGE('26.07 SentemaRBT-Sentema-24h'!G99,'27.07 SentemaRBT-Sentema-24h'!G99)</f>
        <v>0</v>
      </c>
      <c r="H99" s="49">
        <f>AVERAGE('26.07 SentemaRBT-Sentema-24h'!H99,'27.07 SentemaRBT-Sentema-24h'!H99)</f>
        <v>0</v>
      </c>
      <c r="I99" s="49">
        <f>AVERAGE('26.07 SentemaRBT-Sentema-24h'!I99,'27.07 SentemaRBT-Sentema-24h'!I99)</f>
        <v>0.5</v>
      </c>
      <c r="J99" s="49">
        <f>AVERAGE('26.07 SentemaRBT-Sentema-24h'!J99,'27.07 SentemaRBT-Sentema-24h'!J99)</f>
        <v>0</v>
      </c>
      <c r="K99" s="49">
        <f>AVERAGE('26.07 SentemaRBT-Sentema-24h'!K99,'27.07 SentemaRBT-Sentema-24h'!K99)</f>
        <v>0.5</v>
      </c>
      <c r="L99" s="49">
        <f>AVERAGE('26.07 SentemaRBT-Sentema-24h'!L99,'27.07 SentemaRBT-Sentema-24h'!L99)</f>
        <v>0</v>
      </c>
      <c r="M99" s="49">
        <f>AVERAGE('26.07 SentemaRBT-Sentema-24h'!M99,'27.07 SentemaRBT-Sentema-24h'!M99)</f>
        <v>2</v>
      </c>
      <c r="N99" s="49">
        <f>AVERAGE('26.07 SentemaRBT-Sentema-24h'!N99,'27.07 SentemaRBT-Sentema-24h'!N99)</f>
        <v>0</v>
      </c>
      <c r="O99" s="15">
        <f t="shared" si="35"/>
        <v>5</v>
      </c>
      <c r="P99" s="15">
        <f t="shared" si="36"/>
        <v>7</v>
      </c>
      <c r="R99" s="8"/>
      <c r="T99"/>
    </row>
    <row r="100" spans="2:20" ht="23.1" customHeight="1" x14ac:dyDescent="0.25">
      <c r="B100" s="25" t="s">
        <v>140</v>
      </c>
      <c r="C100" s="49">
        <f>AVERAGE('26.07 SentemaRBT-Sentema-24h'!C100,'27.07 SentemaRBT-Sentema-24h'!C100)</f>
        <v>5</v>
      </c>
      <c r="D100" s="49">
        <f>AVERAGE('26.07 SentemaRBT-Sentema-24h'!D100,'27.07 SentemaRBT-Sentema-24h'!D100)</f>
        <v>0</v>
      </c>
      <c r="E100" s="49">
        <f>AVERAGE('26.07 SentemaRBT-Sentema-24h'!E100,'27.07 SentemaRBT-Sentema-24h'!E100)</f>
        <v>0</v>
      </c>
      <c r="F100" s="49">
        <f>AVERAGE('26.07 SentemaRBT-Sentema-24h'!F100,'27.07 SentemaRBT-Sentema-24h'!F100)</f>
        <v>1.5</v>
      </c>
      <c r="G100" s="49">
        <f>AVERAGE('26.07 SentemaRBT-Sentema-24h'!G100,'27.07 SentemaRBT-Sentema-24h'!G100)</f>
        <v>0</v>
      </c>
      <c r="H100" s="49">
        <f>AVERAGE('26.07 SentemaRBT-Sentema-24h'!H100,'27.07 SentemaRBT-Sentema-24h'!H100)</f>
        <v>0</v>
      </c>
      <c r="I100" s="49">
        <f>AVERAGE('26.07 SentemaRBT-Sentema-24h'!I100,'27.07 SentemaRBT-Sentema-24h'!I100)</f>
        <v>0.5</v>
      </c>
      <c r="J100" s="49">
        <f>AVERAGE('26.07 SentemaRBT-Sentema-24h'!J100,'27.07 SentemaRBT-Sentema-24h'!J100)</f>
        <v>0</v>
      </c>
      <c r="K100" s="49">
        <f>AVERAGE('26.07 SentemaRBT-Sentema-24h'!K100,'27.07 SentemaRBT-Sentema-24h'!K100)</f>
        <v>1</v>
      </c>
      <c r="L100" s="49">
        <f>AVERAGE('26.07 SentemaRBT-Sentema-24h'!L100,'27.07 SentemaRBT-Sentema-24h'!L100)</f>
        <v>3.5</v>
      </c>
      <c r="M100" s="49">
        <f>AVERAGE('26.07 SentemaRBT-Sentema-24h'!M100,'27.07 SentemaRBT-Sentema-24h'!M100)</f>
        <v>6.5</v>
      </c>
      <c r="N100" s="49">
        <f>AVERAGE('26.07 SentemaRBT-Sentema-24h'!N100,'27.07 SentemaRBT-Sentema-24h'!N100)</f>
        <v>0</v>
      </c>
      <c r="O100" s="15">
        <f t="shared" si="35"/>
        <v>11.5</v>
      </c>
      <c r="P100" s="15">
        <f t="shared" si="36"/>
        <v>18</v>
      </c>
      <c r="R100" s="8"/>
      <c r="T100"/>
    </row>
    <row r="101" spans="2:20" ht="23.1" customHeight="1" x14ac:dyDescent="0.25">
      <c r="B101" s="23" t="s">
        <v>141</v>
      </c>
      <c r="C101" s="49">
        <f>AVERAGE('26.07 SentemaRBT-Sentema-24h'!C101,'27.07 SentemaRBT-Sentema-24h'!C101)</f>
        <v>5.5</v>
      </c>
      <c r="D101" s="49">
        <f>AVERAGE('26.07 SentemaRBT-Sentema-24h'!D101,'27.07 SentemaRBT-Sentema-24h'!D101)</f>
        <v>0</v>
      </c>
      <c r="E101" s="49">
        <f>AVERAGE('26.07 SentemaRBT-Sentema-24h'!E101,'27.07 SentemaRBT-Sentema-24h'!E101)</f>
        <v>0</v>
      </c>
      <c r="F101" s="49">
        <f>AVERAGE('26.07 SentemaRBT-Sentema-24h'!F101,'27.07 SentemaRBT-Sentema-24h'!F101)</f>
        <v>1.5</v>
      </c>
      <c r="G101" s="49">
        <f>AVERAGE('26.07 SentemaRBT-Sentema-24h'!G101,'27.07 SentemaRBT-Sentema-24h'!G101)</f>
        <v>0</v>
      </c>
      <c r="H101" s="49">
        <f>AVERAGE('26.07 SentemaRBT-Sentema-24h'!H101,'27.07 SentemaRBT-Sentema-24h'!H101)</f>
        <v>0</v>
      </c>
      <c r="I101" s="49">
        <f>AVERAGE('26.07 SentemaRBT-Sentema-24h'!I101,'27.07 SentemaRBT-Sentema-24h'!I101)</f>
        <v>0</v>
      </c>
      <c r="J101" s="49">
        <f>AVERAGE('26.07 SentemaRBT-Sentema-24h'!J101,'27.07 SentemaRBT-Sentema-24h'!J101)</f>
        <v>0.5</v>
      </c>
      <c r="K101" s="49">
        <f>AVERAGE('26.07 SentemaRBT-Sentema-24h'!K101,'27.07 SentemaRBT-Sentema-24h'!K101)</f>
        <v>1.5</v>
      </c>
      <c r="L101" s="49">
        <f>AVERAGE('26.07 SentemaRBT-Sentema-24h'!L101,'27.07 SentemaRBT-Sentema-24h'!L101)</f>
        <v>0</v>
      </c>
      <c r="M101" s="49">
        <f>AVERAGE('26.07 SentemaRBT-Sentema-24h'!M101,'27.07 SentemaRBT-Sentema-24h'!M101)</f>
        <v>5.5</v>
      </c>
      <c r="N101" s="49">
        <f>AVERAGE('26.07 SentemaRBT-Sentema-24h'!N101,'27.07 SentemaRBT-Sentema-24h'!N101)</f>
        <v>0</v>
      </c>
      <c r="O101" s="15">
        <f t="shared" si="35"/>
        <v>9</v>
      </c>
      <c r="P101" s="15">
        <f t="shared" si="36"/>
        <v>14.5</v>
      </c>
      <c r="R101" s="8"/>
      <c r="T101"/>
    </row>
    <row r="102" spans="2:20" ht="23.1" customHeight="1" x14ac:dyDescent="0.25">
      <c r="B102" s="24" t="s">
        <v>142</v>
      </c>
      <c r="C102" s="49">
        <f>AVERAGE('26.07 SentemaRBT-Sentema-24h'!C102,'27.07 SentemaRBT-Sentema-24h'!C102)</f>
        <v>3.5</v>
      </c>
      <c r="D102" s="49">
        <f>AVERAGE('26.07 SentemaRBT-Sentema-24h'!D102,'27.07 SentemaRBT-Sentema-24h'!D102)</f>
        <v>0.5</v>
      </c>
      <c r="E102" s="49">
        <f>AVERAGE('26.07 SentemaRBT-Sentema-24h'!E102,'27.07 SentemaRBT-Sentema-24h'!E102)</f>
        <v>0</v>
      </c>
      <c r="F102" s="49">
        <f>AVERAGE('26.07 SentemaRBT-Sentema-24h'!F102,'27.07 SentemaRBT-Sentema-24h'!F102)</f>
        <v>1</v>
      </c>
      <c r="G102" s="49">
        <f>AVERAGE('26.07 SentemaRBT-Sentema-24h'!G102,'27.07 SentemaRBT-Sentema-24h'!G102)</f>
        <v>0</v>
      </c>
      <c r="H102" s="49">
        <f>AVERAGE('26.07 SentemaRBT-Sentema-24h'!H102,'27.07 SentemaRBT-Sentema-24h'!H102)</f>
        <v>0</v>
      </c>
      <c r="I102" s="49">
        <f>AVERAGE('26.07 SentemaRBT-Sentema-24h'!I102,'27.07 SentemaRBT-Sentema-24h'!I102)</f>
        <v>1.5</v>
      </c>
      <c r="J102" s="49">
        <f>AVERAGE('26.07 SentemaRBT-Sentema-24h'!J102,'27.07 SentemaRBT-Sentema-24h'!J102)</f>
        <v>0.5</v>
      </c>
      <c r="K102" s="49">
        <f>AVERAGE('26.07 SentemaRBT-Sentema-24h'!K102,'27.07 SentemaRBT-Sentema-24h'!K102)</f>
        <v>0</v>
      </c>
      <c r="L102" s="49">
        <f>AVERAGE('26.07 SentemaRBT-Sentema-24h'!L102,'27.07 SentemaRBT-Sentema-24h'!L102)</f>
        <v>0</v>
      </c>
      <c r="M102" s="49">
        <f>AVERAGE('26.07 SentemaRBT-Sentema-24h'!M102,'27.07 SentemaRBT-Sentema-24h'!M102)</f>
        <v>10</v>
      </c>
      <c r="N102" s="49">
        <f>AVERAGE('26.07 SentemaRBT-Sentema-24h'!N102,'27.07 SentemaRBT-Sentema-24h'!N102)</f>
        <v>0</v>
      </c>
      <c r="O102" s="15">
        <f t="shared" si="35"/>
        <v>7</v>
      </c>
      <c r="P102" s="15">
        <f t="shared" si="36"/>
        <v>17</v>
      </c>
      <c r="R102" s="8"/>
      <c r="T102"/>
    </row>
    <row r="103" spans="2:20" ht="23.1" customHeight="1" x14ac:dyDescent="0.25">
      <c r="B103" s="23" t="s">
        <v>143</v>
      </c>
      <c r="C103" s="49">
        <f>AVERAGE('26.07 SentemaRBT-Sentema-24h'!C103,'27.07 SentemaRBT-Sentema-24h'!C103)</f>
        <v>3.5</v>
      </c>
      <c r="D103" s="49">
        <f>AVERAGE('26.07 SentemaRBT-Sentema-24h'!D103,'27.07 SentemaRBT-Sentema-24h'!D103)</f>
        <v>0</v>
      </c>
      <c r="E103" s="49">
        <f>AVERAGE('26.07 SentemaRBT-Sentema-24h'!E103,'27.07 SentemaRBT-Sentema-24h'!E103)</f>
        <v>0</v>
      </c>
      <c r="F103" s="49">
        <f>AVERAGE('26.07 SentemaRBT-Sentema-24h'!F103,'27.07 SentemaRBT-Sentema-24h'!F103)</f>
        <v>4</v>
      </c>
      <c r="G103" s="49">
        <f>AVERAGE('26.07 SentemaRBT-Sentema-24h'!G103,'27.07 SentemaRBT-Sentema-24h'!G103)</f>
        <v>0</v>
      </c>
      <c r="H103" s="49">
        <f>AVERAGE('26.07 SentemaRBT-Sentema-24h'!H103,'27.07 SentemaRBT-Sentema-24h'!H103)</f>
        <v>0</v>
      </c>
      <c r="I103" s="49">
        <f>AVERAGE('26.07 SentemaRBT-Sentema-24h'!I103,'27.07 SentemaRBT-Sentema-24h'!I103)</f>
        <v>0.5</v>
      </c>
      <c r="J103" s="49">
        <f>AVERAGE('26.07 SentemaRBT-Sentema-24h'!J103,'27.07 SentemaRBT-Sentema-24h'!J103)</f>
        <v>0</v>
      </c>
      <c r="K103" s="49">
        <f>AVERAGE('26.07 SentemaRBT-Sentema-24h'!K103,'27.07 SentemaRBT-Sentema-24h'!K103)</f>
        <v>0</v>
      </c>
      <c r="L103" s="49">
        <f>AVERAGE('26.07 SentemaRBT-Sentema-24h'!L103,'27.07 SentemaRBT-Sentema-24h'!L103)</f>
        <v>0</v>
      </c>
      <c r="M103" s="49">
        <f>AVERAGE('26.07 SentemaRBT-Sentema-24h'!M103,'27.07 SentemaRBT-Sentema-24h'!M103)</f>
        <v>7.5</v>
      </c>
      <c r="N103" s="49">
        <f>AVERAGE('26.07 SentemaRBT-Sentema-24h'!N103,'27.07 SentemaRBT-Sentema-24h'!N103)</f>
        <v>0</v>
      </c>
      <c r="O103" s="15">
        <f t="shared" si="35"/>
        <v>8</v>
      </c>
      <c r="P103" s="15">
        <f t="shared" si="36"/>
        <v>15.5</v>
      </c>
      <c r="R103" s="8"/>
      <c r="T103"/>
    </row>
    <row r="104" spans="2:20" ht="23.1" customHeight="1" x14ac:dyDescent="0.25">
      <c r="B104" s="25" t="s">
        <v>144</v>
      </c>
      <c r="C104" s="49">
        <f>AVERAGE('26.07 SentemaRBT-Sentema-24h'!C104,'27.07 SentemaRBT-Sentema-24h'!C104)</f>
        <v>3.5</v>
      </c>
      <c r="D104" s="49">
        <f>AVERAGE('26.07 SentemaRBT-Sentema-24h'!D104,'27.07 SentemaRBT-Sentema-24h'!D104)</f>
        <v>1.5</v>
      </c>
      <c r="E104" s="49">
        <f>AVERAGE('26.07 SentemaRBT-Sentema-24h'!E104,'27.07 SentemaRBT-Sentema-24h'!E104)</f>
        <v>1.5</v>
      </c>
      <c r="F104" s="49">
        <f>AVERAGE('26.07 SentemaRBT-Sentema-24h'!F104,'27.07 SentemaRBT-Sentema-24h'!F104)</f>
        <v>3</v>
      </c>
      <c r="G104" s="49">
        <f>AVERAGE('26.07 SentemaRBT-Sentema-24h'!G104,'27.07 SentemaRBT-Sentema-24h'!G104)</f>
        <v>1</v>
      </c>
      <c r="H104" s="49">
        <f>AVERAGE('26.07 SentemaRBT-Sentema-24h'!H104,'27.07 SentemaRBT-Sentema-24h'!H104)</f>
        <v>0.5</v>
      </c>
      <c r="I104" s="49">
        <f>AVERAGE('26.07 SentemaRBT-Sentema-24h'!I104,'27.07 SentemaRBT-Sentema-24h'!I104)</f>
        <v>2</v>
      </c>
      <c r="J104" s="49">
        <f>AVERAGE('26.07 SentemaRBT-Sentema-24h'!J104,'27.07 SentemaRBT-Sentema-24h'!J104)</f>
        <v>1</v>
      </c>
      <c r="K104" s="49">
        <f>AVERAGE('26.07 SentemaRBT-Sentema-24h'!K104,'27.07 SentemaRBT-Sentema-24h'!K104)</f>
        <v>0.5</v>
      </c>
      <c r="L104" s="49">
        <f>AVERAGE('26.07 SentemaRBT-Sentema-24h'!L104,'27.07 SentemaRBT-Sentema-24h'!L104)</f>
        <v>0</v>
      </c>
      <c r="M104" s="49">
        <f>AVERAGE('26.07 SentemaRBT-Sentema-24h'!M104,'27.07 SentemaRBT-Sentema-24h'!M104)</f>
        <v>7.5</v>
      </c>
      <c r="N104" s="49">
        <f>AVERAGE('26.07 SentemaRBT-Sentema-24h'!N104,'27.07 SentemaRBT-Sentema-24h'!N104)</f>
        <v>0</v>
      </c>
      <c r="O104" s="15">
        <f t="shared" si="35"/>
        <v>14.5</v>
      </c>
      <c r="P104" s="15">
        <f t="shared" si="36"/>
        <v>22</v>
      </c>
      <c r="R104" s="8"/>
      <c r="T104"/>
    </row>
    <row r="105" spans="2:20" ht="23.1" customHeight="1" x14ac:dyDescent="0.25">
      <c r="B105" s="23" t="s">
        <v>145</v>
      </c>
      <c r="C105" s="49">
        <f>AVERAGE('26.07 SentemaRBT-Sentema-24h'!C105,'27.07 SentemaRBT-Sentema-24h'!C105)</f>
        <v>1</v>
      </c>
      <c r="D105" s="49">
        <f>AVERAGE('26.07 SentemaRBT-Sentema-24h'!D105,'27.07 SentemaRBT-Sentema-24h'!D105)</f>
        <v>0.5</v>
      </c>
      <c r="E105" s="49">
        <f>AVERAGE('26.07 SentemaRBT-Sentema-24h'!E105,'27.07 SentemaRBT-Sentema-24h'!E105)</f>
        <v>0</v>
      </c>
      <c r="F105" s="49">
        <f>AVERAGE('26.07 SentemaRBT-Sentema-24h'!F105,'27.07 SentemaRBT-Sentema-24h'!F105)</f>
        <v>2</v>
      </c>
      <c r="G105" s="49">
        <f>AVERAGE('26.07 SentemaRBT-Sentema-24h'!G105,'27.07 SentemaRBT-Sentema-24h'!G105)</f>
        <v>0</v>
      </c>
      <c r="H105" s="49">
        <f>AVERAGE('26.07 SentemaRBT-Sentema-24h'!H105,'27.07 SentemaRBT-Sentema-24h'!H105)</f>
        <v>0</v>
      </c>
      <c r="I105" s="49">
        <f>AVERAGE('26.07 SentemaRBT-Sentema-24h'!I105,'27.07 SentemaRBT-Sentema-24h'!I105)</f>
        <v>2</v>
      </c>
      <c r="J105" s="49">
        <f>AVERAGE('26.07 SentemaRBT-Sentema-24h'!J105,'27.07 SentemaRBT-Sentema-24h'!J105)</f>
        <v>0.5</v>
      </c>
      <c r="K105" s="49">
        <f>AVERAGE('26.07 SentemaRBT-Sentema-24h'!K105,'27.07 SentemaRBT-Sentema-24h'!K105)</f>
        <v>1.5</v>
      </c>
      <c r="L105" s="49">
        <f>AVERAGE('26.07 SentemaRBT-Sentema-24h'!L105,'27.07 SentemaRBT-Sentema-24h'!L105)</f>
        <v>0</v>
      </c>
      <c r="M105" s="49">
        <f>AVERAGE('26.07 SentemaRBT-Sentema-24h'!M105,'27.07 SentemaRBT-Sentema-24h'!M105)</f>
        <v>13.5</v>
      </c>
      <c r="N105" s="49">
        <f>AVERAGE('26.07 SentemaRBT-Sentema-24h'!N105,'27.07 SentemaRBT-Sentema-24h'!N105)</f>
        <v>0</v>
      </c>
      <c r="O105" s="15">
        <f t="shared" si="35"/>
        <v>7.5</v>
      </c>
      <c r="P105" s="15">
        <f t="shared" si="36"/>
        <v>21</v>
      </c>
      <c r="R105" s="8"/>
      <c r="T105"/>
    </row>
    <row r="106" spans="2:20" ht="23.1" customHeight="1" x14ac:dyDescent="0.25">
      <c r="B106" s="54" t="s">
        <v>18</v>
      </c>
      <c r="C106" s="16">
        <f>SUM(C10:C105)</f>
        <v>1001.7142857142857</v>
      </c>
      <c r="D106" s="16">
        <f t="shared" ref="D106:P106" si="37">SUM(D10:D105)</f>
        <v>191.35714285714283</v>
      </c>
      <c r="E106" s="16">
        <f t="shared" si="37"/>
        <v>167.92857142857144</v>
      </c>
      <c r="F106" s="16">
        <f t="shared" si="37"/>
        <v>763.07142857142844</v>
      </c>
      <c r="G106" s="16">
        <f t="shared" si="37"/>
        <v>17.214285714285715</v>
      </c>
      <c r="H106" s="16">
        <f t="shared" si="37"/>
        <v>7.0714285714285712</v>
      </c>
      <c r="I106" s="16">
        <f t="shared" si="37"/>
        <v>202.85714285714292</v>
      </c>
      <c r="J106" s="16">
        <f t="shared" si="37"/>
        <v>65.571428571428569</v>
      </c>
      <c r="K106" s="16">
        <f t="shared" si="37"/>
        <v>35.642857142857139</v>
      </c>
      <c r="L106" s="16">
        <f t="shared" si="37"/>
        <v>13.285714285714285</v>
      </c>
      <c r="M106" s="16">
        <f t="shared" si="37"/>
        <v>2918.4285714285706</v>
      </c>
      <c r="N106" s="16">
        <f t="shared" si="37"/>
        <v>0.42857142857142855</v>
      </c>
      <c r="O106" s="16">
        <f t="shared" si="37"/>
        <v>2466.1428571428573</v>
      </c>
      <c r="P106" s="16">
        <f t="shared" si="37"/>
        <v>5384.5714285714294</v>
      </c>
      <c r="R106" s="19"/>
      <c r="S106" s="19"/>
      <c r="T106"/>
    </row>
    <row r="107" spans="2:20" ht="23.1" customHeight="1" x14ac:dyDescent="0.25">
      <c r="B107" s="26" t="s">
        <v>93</v>
      </c>
      <c r="C107" s="43">
        <f t="shared" ref="C107:N107" si="38">C106/$P$106</f>
        <v>0.18603417170752412</v>
      </c>
      <c r="D107" s="43">
        <f t="shared" si="38"/>
        <v>3.5538045208532307E-2</v>
      </c>
      <c r="E107" s="43">
        <f t="shared" si="38"/>
        <v>3.1186989281545154E-2</v>
      </c>
      <c r="F107" s="43">
        <f t="shared" si="38"/>
        <v>0.14171442215854818</v>
      </c>
      <c r="G107" s="43">
        <f t="shared" si="38"/>
        <v>3.1969648731826378E-3</v>
      </c>
      <c r="H107" s="43">
        <f t="shared" si="38"/>
        <v>1.3132760267430751E-3</v>
      </c>
      <c r="I107" s="43">
        <f t="shared" si="38"/>
        <v>3.7673776928791258E-2</v>
      </c>
      <c r="J107" s="43">
        <f t="shared" si="38"/>
        <v>1.2177650429799425E-2</v>
      </c>
      <c r="K107" s="43">
        <f t="shared" si="38"/>
        <v>6.6194417913615607E-3</v>
      </c>
      <c r="L107" s="43">
        <f t="shared" si="38"/>
        <v>2.4673670805475958E-3</v>
      </c>
      <c r="M107" s="43">
        <f t="shared" si="38"/>
        <v>0.54199830202695509</v>
      </c>
      <c r="N107" s="43">
        <f t="shared" si="38"/>
        <v>7.9592486469277289E-5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0.40618664195099341</v>
      </c>
      <c r="D108" s="44">
        <f t="shared" ref="D108:N108" si="39">D106/$O$106</f>
        <v>7.7593697503330811E-2</v>
      </c>
      <c r="E108" s="44">
        <f t="shared" si="39"/>
        <v>6.8093610612292188E-2</v>
      </c>
      <c r="F108" s="44">
        <f t="shared" si="39"/>
        <v>0.30941898858831018</v>
      </c>
      <c r="G108" s="44">
        <f t="shared" si="39"/>
        <v>6.9802467705497306E-3</v>
      </c>
      <c r="H108" s="44">
        <f t="shared" si="39"/>
        <v>2.8674042750391005E-3</v>
      </c>
      <c r="I108" s="44">
        <f t="shared" si="39"/>
        <v>8.2256849910212607E-2</v>
      </c>
      <c r="J108" s="44">
        <f t="shared" si="39"/>
        <v>2.6588657823089841E-2</v>
      </c>
      <c r="K108" s="44">
        <f t="shared" si="39"/>
        <v>1.44528760933789E-2</v>
      </c>
      <c r="L108" s="44">
        <f t="shared" si="39"/>
        <v>5.3872443955280073E-3</v>
      </c>
      <c r="M108" s="44"/>
      <c r="N108" s="44">
        <f t="shared" si="39"/>
        <v>1.73782077275097E-4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F55" zoomScale="60" workbookViewId="0">
      <selection activeCell="Y77" sqref="Y7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'28.07 Sentema-SentemaRBT'!C3:G3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169</v>
      </c>
      <c r="E5" s="67"/>
      <c r="F5" s="41" t="s">
        <v>1</v>
      </c>
      <c r="G5" s="64" t="str">
        <f>'28.07 Sentema-SentemaRBT'!G5:H5</f>
        <v>Ku roofings</v>
      </c>
      <c r="H5" s="65"/>
      <c r="I5" s="14"/>
      <c r="J5" s="2" t="s">
        <v>5</v>
      </c>
      <c r="K5" s="64" t="str">
        <f>'28.07 Sentema-SentemaRBT'!K5:L5</f>
        <v>Nawaja Brenda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4" t="str">
        <f>'28.07 Sentema-SentemaRBT'!D6:E6</f>
        <v>Sentema</v>
      </c>
      <c r="E6" s="65"/>
      <c r="F6" s="2" t="s">
        <v>2</v>
      </c>
      <c r="G6" s="64" t="str">
        <f>'28.07 Sentema-SentemaRBT'!G6:H6</f>
        <v>Sentema RBT</v>
      </c>
      <c r="H6" s="65"/>
      <c r="J6" s="2" t="s">
        <v>21</v>
      </c>
      <c r="K6" s="64" t="str">
        <f>'28.07 Sentema-SentemaRBT'!K6:L6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AVERAGE('22.07 Sentema-Sentema RBT'!C10,'23.07 Sentema-Sentema RBT'!C10,'24.07 Sentema-SentemaRBT'!C10,'25.07 Sentema-SentemaRBT'!C10,'26.07 Sentema-Sentema RBT-24h'!C10,'27.07 Sentema-SentemaRBT-24h'!C10,'28.07 Sentema-SentemaRBT'!C10)</f>
        <v>42.285714285714285</v>
      </c>
      <c r="D10" s="49">
        <f>AVERAGE('22.07 Sentema-Sentema RBT'!D10,'23.07 Sentema-Sentema RBT'!D10,'24.07 Sentema-SentemaRBT'!D10,'25.07 Sentema-SentemaRBT'!D10,'26.07 Sentema-Sentema RBT-24h'!D10,'27.07 Sentema-SentemaRBT-24h'!D10,'28.07 Sentema-SentemaRBT'!D10)</f>
        <v>4.4285714285714288</v>
      </c>
      <c r="E10" s="49">
        <f>AVERAGE('22.07 Sentema-Sentema RBT'!E10,'23.07 Sentema-Sentema RBT'!E10,'24.07 Sentema-SentemaRBT'!E10,'25.07 Sentema-SentemaRBT'!E10,'26.07 Sentema-Sentema RBT-24h'!E10,'27.07 Sentema-SentemaRBT-24h'!E10,'28.07 Sentema-SentemaRBT'!E10)</f>
        <v>4.4285714285714288</v>
      </c>
      <c r="F10" s="49">
        <f>AVERAGE('22.07 Sentema-Sentema RBT'!F10,'23.07 Sentema-Sentema RBT'!F10,'24.07 Sentema-SentemaRBT'!F10,'25.07 Sentema-SentemaRBT'!F10,'26.07 Sentema-Sentema RBT-24h'!F10,'27.07 Sentema-SentemaRBT-24h'!F10,'28.07 Sentema-SentemaRBT'!F10)</f>
        <v>26.285714285714285</v>
      </c>
      <c r="G10" s="49">
        <f>AVERAGE('22.07 Sentema-Sentema RBT'!G10,'23.07 Sentema-Sentema RBT'!G10,'24.07 Sentema-SentemaRBT'!G10,'25.07 Sentema-SentemaRBT'!G10,'26.07 Sentema-Sentema RBT-24h'!G10,'27.07 Sentema-SentemaRBT-24h'!G10,'28.07 Sentema-SentemaRBT'!G10)</f>
        <v>0</v>
      </c>
      <c r="H10" s="49">
        <f>AVERAGE('22.07 Sentema-Sentema RBT'!H10,'23.07 Sentema-Sentema RBT'!H10,'24.07 Sentema-SentemaRBT'!H10,'25.07 Sentema-SentemaRBT'!H10,'26.07 Sentema-Sentema RBT-24h'!H10,'27.07 Sentema-SentemaRBT-24h'!H10,'28.07 Sentema-SentemaRBT'!H10)</f>
        <v>0.14285714285714285</v>
      </c>
      <c r="I10" s="49">
        <f>AVERAGE('22.07 Sentema-Sentema RBT'!I10,'23.07 Sentema-Sentema RBT'!I10,'24.07 Sentema-SentemaRBT'!I10,'25.07 Sentema-SentemaRBT'!I10,'26.07 Sentema-Sentema RBT-24h'!I10,'27.07 Sentema-SentemaRBT-24h'!I10,'28.07 Sentema-SentemaRBT'!I10)</f>
        <v>1.4285714285714286</v>
      </c>
      <c r="J10" s="49">
        <f>AVERAGE('22.07 Sentema-Sentema RBT'!J10,'23.07 Sentema-Sentema RBT'!J10,'24.07 Sentema-SentemaRBT'!J10,'25.07 Sentema-SentemaRBT'!J10,'26.07 Sentema-Sentema RBT-24h'!J10,'27.07 Sentema-SentemaRBT-24h'!J10,'28.07 Sentema-SentemaRBT'!J10)</f>
        <v>0.5714285714285714</v>
      </c>
      <c r="K10" s="49">
        <f>AVERAGE('22.07 Sentema-Sentema RBT'!K10,'23.07 Sentema-Sentema RBT'!K10,'24.07 Sentema-SentemaRBT'!K10,'25.07 Sentema-SentemaRBT'!K10,'26.07 Sentema-Sentema RBT-24h'!K10,'27.07 Sentema-SentemaRBT-24h'!K10,'28.07 Sentema-SentemaRBT'!K10)</f>
        <v>0.8571428571428571</v>
      </c>
      <c r="L10" s="49">
        <f>AVERAGE('22.07 Sentema-Sentema RBT'!L10,'23.07 Sentema-Sentema RBT'!L10,'24.07 Sentema-SentemaRBT'!L10,'25.07 Sentema-SentemaRBT'!L10,'26.07 Sentema-Sentema RBT-24h'!L10,'27.07 Sentema-SentemaRBT-24h'!L10,'28.07 Sentema-SentemaRBT'!L10)</f>
        <v>0.2857142857142857</v>
      </c>
      <c r="M10" s="49">
        <f>AVERAGE('22.07 Sentema-Sentema RBT'!M10,'23.07 Sentema-Sentema RBT'!M10,'24.07 Sentema-SentemaRBT'!M10,'25.07 Sentema-SentemaRBT'!M10,'26.07 Sentema-Sentema RBT-24h'!M10,'27.07 Sentema-SentemaRBT-24h'!M10,'28.07 Sentema-SentemaRBT'!M10)</f>
        <v>61</v>
      </c>
      <c r="N10" s="49">
        <f>AVERAGE('22.07 Sentema-Sentema RBT'!N10,'23.07 Sentema-Sentema RBT'!N10,'24.07 Sentema-SentemaRBT'!N10,'25.07 Sentema-SentemaRBT'!N10,'26.07 Sentema-Sentema RBT-24h'!N10,'27.07 Sentema-SentemaRBT-24h'!N10,'28.07 Sentema-SentemaRBT'!N10)</f>
        <v>0</v>
      </c>
      <c r="O10" s="15">
        <f t="shared" ref="O10:O73" si="0">SUM(C10:L10,N10)</f>
        <v>80.714285714285722</v>
      </c>
      <c r="P10" s="15">
        <f t="shared" ref="P10:P73" si="1">SUM(C10:N10)</f>
        <v>141.71428571428572</v>
      </c>
      <c r="R10" s="1" t="s">
        <v>6</v>
      </c>
      <c r="S10" s="17">
        <f t="shared" ref="S10:AF10" si="2">SUM(C10:C13)</f>
        <v>186.85714285714283</v>
      </c>
      <c r="T10" s="17">
        <f t="shared" si="2"/>
        <v>21.571428571428569</v>
      </c>
      <c r="U10" s="17">
        <f t="shared" si="2"/>
        <v>18.857142857142858</v>
      </c>
      <c r="V10" s="17">
        <f t="shared" si="2"/>
        <v>87.714285714285722</v>
      </c>
      <c r="W10" s="17">
        <f t="shared" si="2"/>
        <v>0.14285714285714285</v>
      </c>
      <c r="X10" s="17">
        <f t="shared" si="2"/>
        <v>0.14285714285714285</v>
      </c>
      <c r="Y10" s="17">
        <f t="shared" si="2"/>
        <v>7.8571428571428559</v>
      </c>
      <c r="Z10" s="17">
        <f t="shared" si="2"/>
        <v>1.8571428571428572</v>
      </c>
      <c r="AA10" s="17">
        <f t="shared" si="2"/>
        <v>1.4285714285714284</v>
      </c>
      <c r="AB10" s="17">
        <f t="shared" si="2"/>
        <v>0.71428571428571419</v>
      </c>
      <c r="AC10" s="17">
        <f t="shared" si="2"/>
        <v>285</v>
      </c>
      <c r="AD10" s="17">
        <f t="shared" si="2"/>
        <v>0</v>
      </c>
      <c r="AE10" s="31">
        <f t="shared" si="2"/>
        <v>327.14285714285711</v>
      </c>
      <c r="AF10" s="31">
        <f t="shared" si="2"/>
        <v>612.14285714285711</v>
      </c>
    </row>
    <row r="11" spans="2:32" s="6" customFormat="1" ht="23.1" customHeight="1" x14ac:dyDescent="0.25">
      <c r="B11" s="23" t="s">
        <v>38</v>
      </c>
      <c r="C11" s="49">
        <f>AVERAGE('22.07 Sentema-Sentema RBT'!C11,'23.07 Sentema-Sentema RBT'!C11,'24.07 Sentema-SentemaRBT'!C11,'25.07 Sentema-SentemaRBT'!C11,'26.07 Sentema-Sentema RBT-24h'!C11,'27.07 Sentema-SentemaRBT-24h'!C11,'28.07 Sentema-SentemaRBT'!C11)</f>
        <v>48.428571428571431</v>
      </c>
      <c r="D11" s="49">
        <f>AVERAGE('22.07 Sentema-Sentema RBT'!D11,'23.07 Sentema-Sentema RBT'!D11,'24.07 Sentema-SentemaRBT'!D11,'25.07 Sentema-SentemaRBT'!D11,'26.07 Sentema-Sentema RBT-24h'!D11,'27.07 Sentema-SentemaRBT-24h'!D11,'28.07 Sentema-SentemaRBT'!D11)</f>
        <v>3.2857142857142856</v>
      </c>
      <c r="E11" s="49">
        <f>AVERAGE('22.07 Sentema-Sentema RBT'!E11,'23.07 Sentema-Sentema RBT'!E11,'24.07 Sentema-SentemaRBT'!E11,'25.07 Sentema-SentemaRBT'!E11,'26.07 Sentema-Sentema RBT-24h'!E11,'27.07 Sentema-SentemaRBT-24h'!E11,'28.07 Sentema-SentemaRBT'!E11)</f>
        <v>4</v>
      </c>
      <c r="F11" s="49">
        <f>AVERAGE('22.07 Sentema-Sentema RBT'!F11,'23.07 Sentema-Sentema RBT'!F11,'24.07 Sentema-SentemaRBT'!F11,'25.07 Sentema-SentemaRBT'!F11,'26.07 Sentema-Sentema RBT-24h'!F11,'27.07 Sentema-SentemaRBT-24h'!F11,'28.07 Sentema-SentemaRBT'!F11)</f>
        <v>20.142857142857142</v>
      </c>
      <c r="G11" s="49">
        <f>AVERAGE('22.07 Sentema-Sentema RBT'!G11,'23.07 Sentema-Sentema RBT'!G11,'24.07 Sentema-SentemaRBT'!G11,'25.07 Sentema-SentemaRBT'!G11,'26.07 Sentema-Sentema RBT-24h'!G11,'27.07 Sentema-SentemaRBT-24h'!G11,'28.07 Sentema-SentemaRBT'!G11)</f>
        <v>0</v>
      </c>
      <c r="H11" s="49">
        <f>AVERAGE('22.07 Sentema-Sentema RBT'!H11,'23.07 Sentema-Sentema RBT'!H11,'24.07 Sentema-SentemaRBT'!H11,'25.07 Sentema-SentemaRBT'!H11,'26.07 Sentema-Sentema RBT-24h'!H11,'27.07 Sentema-SentemaRBT-24h'!H11,'28.07 Sentema-SentemaRBT'!H11)</f>
        <v>0</v>
      </c>
      <c r="I11" s="49">
        <f>AVERAGE('22.07 Sentema-Sentema RBT'!I11,'23.07 Sentema-Sentema RBT'!I11,'24.07 Sentema-SentemaRBT'!I11,'25.07 Sentema-SentemaRBT'!I11,'26.07 Sentema-Sentema RBT-24h'!I11,'27.07 Sentema-SentemaRBT-24h'!I11,'28.07 Sentema-SentemaRBT'!I11)</f>
        <v>2.4285714285714284</v>
      </c>
      <c r="J11" s="49">
        <f>AVERAGE('22.07 Sentema-Sentema RBT'!J11,'23.07 Sentema-Sentema RBT'!J11,'24.07 Sentema-SentemaRBT'!J11,'25.07 Sentema-SentemaRBT'!J11,'26.07 Sentema-Sentema RBT-24h'!J11,'27.07 Sentema-SentemaRBT-24h'!J11,'28.07 Sentema-SentemaRBT'!J11)</f>
        <v>0.14285714285714285</v>
      </c>
      <c r="K11" s="49">
        <f>AVERAGE('22.07 Sentema-Sentema RBT'!K11,'23.07 Sentema-Sentema RBT'!K11,'24.07 Sentema-SentemaRBT'!K11,'25.07 Sentema-SentemaRBT'!K11,'26.07 Sentema-Sentema RBT-24h'!K11,'27.07 Sentema-SentemaRBT-24h'!K11,'28.07 Sentema-SentemaRBT'!K11)</f>
        <v>0.2857142857142857</v>
      </c>
      <c r="L11" s="49">
        <f>AVERAGE('22.07 Sentema-Sentema RBT'!L11,'23.07 Sentema-Sentema RBT'!L11,'24.07 Sentema-SentemaRBT'!L11,'25.07 Sentema-SentemaRBT'!L11,'26.07 Sentema-Sentema RBT-24h'!L11,'27.07 Sentema-SentemaRBT-24h'!L11,'28.07 Sentema-SentemaRBT'!L11)</f>
        <v>0</v>
      </c>
      <c r="M11" s="49">
        <f>AVERAGE('22.07 Sentema-Sentema RBT'!M11,'23.07 Sentema-Sentema RBT'!M11,'24.07 Sentema-SentemaRBT'!M11,'25.07 Sentema-SentemaRBT'!M11,'26.07 Sentema-Sentema RBT-24h'!M11,'27.07 Sentema-SentemaRBT-24h'!M11,'28.07 Sentema-SentemaRBT'!M11)</f>
        <v>62.571428571428569</v>
      </c>
      <c r="N11" s="49">
        <f>AVERAGE('22.07 Sentema-Sentema RBT'!N11,'23.07 Sentema-Sentema RBT'!N11,'24.07 Sentema-SentemaRBT'!N11,'25.07 Sentema-SentemaRBT'!N11,'26.07 Sentema-Sentema RBT-24h'!N11,'27.07 Sentema-SentemaRBT-24h'!N11,'28.07 Sentema-SentemaRBT'!N11)</f>
        <v>0</v>
      </c>
      <c r="O11" s="15">
        <f t="shared" si="0"/>
        <v>78.714285714285722</v>
      </c>
      <c r="P11" s="15">
        <f t="shared" si="1"/>
        <v>141.28571428571428</v>
      </c>
      <c r="R11" s="1" t="s">
        <v>7</v>
      </c>
      <c r="S11" s="17">
        <f t="shared" ref="S11:AF11" si="3">SUM(C14:C17)</f>
        <v>140.71428571428572</v>
      </c>
      <c r="T11" s="17">
        <f t="shared" si="3"/>
        <v>21.142857142857146</v>
      </c>
      <c r="U11" s="17">
        <f t="shared" si="3"/>
        <v>14.142857142857142</v>
      </c>
      <c r="V11" s="17">
        <f t="shared" si="3"/>
        <v>76.285714285714292</v>
      </c>
      <c r="W11" s="17">
        <f t="shared" si="3"/>
        <v>0.42857142857142855</v>
      </c>
      <c r="X11" s="17">
        <f t="shared" si="3"/>
        <v>0</v>
      </c>
      <c r="Y11" s="17">
        <f t="shared" si="3"/>
        <v>11</v>
      </c>
      <c r="Z11" s="17">
        <f t="shared" si="3"/>
        <v>5.7142857142857144</v>
      </c>
      <c r="AA11" s="17">
        <f t="shared" si="3"/>
        <v>0.42857142857142855</v>
      </c>
      <c r="AB11" s="17">
        <f t="shared" si="3"/>
        <v>0.2857142857142857</v>
      </c>
      <c r="AC11" s="17">
        <f t="shared" si="3"/>
        <v>305.42857142857144</v>
      </c>
      <c r="AD11" s="17">
        <f t="shared" si="3"/>
        <v>0</v>
      </c>
      <c r="AE11" s="31">
        <f t="shared" si="3"/>
        <v>270.14285714285711</v>
      </c>
      <c r="AF11" s="31">
        <f t="shared" si="3"/>
        <v>575.57142857142856</v>
      </c>
    </row>
    <row r="12" spans="2:32" ht="23.1" customHeight="1" x14ac:dyDescent="0.25">
      <c r="B12" s="23" t="s">
        <v>39</v>
      </c>
      <c r="C12" s="49">
        <f>AVERAGE('22.07 Sentema-Sentema RBT'!C12,'23.07 Sentema-Sentema RBT'!C12,'24.07 Sentema-SentemaRBT'!C12,'25.07 Sentema-SentemaRBT'!C12,'26.07 Sentema-Sentema RBT-24h'!C12,'27.07 Sentema-SentemaRBT-24h'!C12,'28.07 Sentema-SentemaRBT'!C12)</f>
        <v>49.571428571428569</v>
      </c>
      <c r="D12" s="49">
        <f>AVERAGE('22.07 Sentema-Sentema RBT'!D12,'23.07 Sentema-Sentema RBT'!D12,'24.07 Sentema-SentemaRBT'!D12,'25.07 Sentema-SentemaRBT'!D12,'26.07 Sentema-Sentema RBT-24h'!D12,'27.07 Sentema-SentemaRBT-24h'!D12,'28.07 Sentema-SentemaRBT'!D12)</f>
        <v>5.5714285714285712</v>
      </c>
      <c r="E12" s="49">
        <f>AVERAGE('22.07 Sentema-Sentema RBT'!E12,'23.07 Sentema-Sentema RBT'!E12,'24.07 Sentema-SentemaRBT'!E12,'25.07 Sentema-SentemaRBT'!E12,'26.07 Sentema-Sentema RBT-24h'!E12,'27.07 Sentema-SentemaRBT-24h'!E12,'28.07 Sentema-SentemaRBT'!E12)</f>
        <v>3.8571428571428572</v>
      </c>
      <c r="F12" s="49">
        <f>AVERAGE('22.07 Sentema-Sentema RBT'!F12,'23.07 Sentema-Sentema RBT'!F12,'24.07 Sentema-SentemaRBT'!F12,'25.07 Sentema-SentemaRBT'!F12,'26.07 Sentema-Sentema RBT-24h'!F12,'27.07 Sentema-SentemaRBT-24h'!F12,'28.07 Sentema-SentemaRBT'!F12)</f>
        <v>23.285714285714285</v>
      </c>
      <c r="G12" s="49">
        <f>AVERAGE('22.07 Sentema-Sentema RBT'!G12,'23.07 Sentema-Sentema RBT'!G12,'24.07 Sentema-SentemaRBT'!G12,'25.07 Sentema-SentemaRBT'!G12,'26.07 Sentema-Sentema RBT-24h'!G12,'27.07 Sentema-SentemaRBT-24h'!G12,'28.07 Sentema-SentemaRBT'!G12)</f>
        <v>0.14285714285714285</v>
      </c>
      <c r="H12" s="49">
        <f>AVERAGE('22.07 Sentema-Sentema RBT'!H12,'23.07 Sentema-Sentema RBT'!H12,'24.07 Sentema-SentemaRBT'!H12,'25.07 Sentema-SentemaRBT'!H12,'26.07 Sentema-Sentema RBT-24h'!H12,'27.07 Sentema-SentemaRBT-24h'!H12,'28.07 Sentema-SentemaRBT'!H12)</f>
        <v>0</v>
      </c>
      <c r="I12" s="49">
        <f>AVERAGE('22.07 Sentema-Sentema RBT'!I12,'23.07 Sentema-Sentema RBT'!I12,'24.07 Sentema-SentemaRBT'!I12,'25.07 Sentema-SentemaRBT'!I12,'26.07 Sentema-Sentema RBT-24h'!I12,'27.07 Sentema-SentemaRBT-24h'!I12,'28.07 Sentema-SentemaRBT'!I12)</f>
        <v>1.5714285714285714</v>
      </c>
      <c r="J12" s="49">
        <f>AVERAGE('22.07 Sentema-Sentema RBT'!J12,'23.07 Sentema-Sentema RBT'!J12,'24.07 Sentema-SentemaRBT'!J12,'25.07 Sentema-SentemaRBT'!J12,'26.07 Sentema-Sentema RBT-24h'!J12,'27.07 Sentema-SentemaRBT-24h'!J12,'28.07 Sentema-SentemaRBT'!J12)</f>
        <v>0.42857142857142855</v>
      </c>
      <c r="K12" s="49">
        <f>AVERAGE('22.07 Sentema-Sentema RBT'!K12,'23.07 Sentema-Sentema RBT'!K12,'24.07 Sentema-SentemaRBT'!K12,'25.07 Sentema-SentemaRBT'!K12,'26.07 Sentema-Sentema RBT-24h'!K12,'27.07 Sentema-SentemaRBT-24h'!K12,'28.07 Sentema-SentemaRBT'!K12)</f>
        <v>0.14285714285714285</v>
      </c>
      <c r="L12" s="49">
        <f>AVERAGE('22.07 Sentema-Sentema RBT'!L12,'23.07 Sentema-Sentema RBT'!L12,'24.07 Sentema-SentemaRBT'!L12,'25.07 Sentema-SentemaRBT'!L12,'26.07 Sentema-Sentema RBT-24h'!L12,'27.07 Sentema-SentemaRBT-24h'!L12,'28.07 Sentema-SentemaRBT'!L12)</f>
        <v>0.14285714285714285</v>
      </c>
      <c r="M12" s="49">
        <f>AVERAGE('22.07 Sentema-Sentema RBT'!M12,'23.07 Sentema-Sentema RBT'!M12,'24.07 Sentema-SentemaRBT'!M12,'25.07 Sentema-SentemaRBT'!M12,'26.07 Sentema-Sentema RBT-24h'!M12,'27.07 Sentema-SentemaRBT-24h'!M12,'28.07 Sentema-SentemaRBT'!M12)</f>
        <v>81.857142857142861</v>
      </c>
      <c r="N12" s="49">
        <f>AVERAGE('22.07 Sentema-Sentema RBT'!N12,'23.07 Sentema-Sentema RBT'!N12,'24.07 Sentema-SentemaRBT'!N12,'25.07 Sentema-SentemaRBT'!N12,'26.07 Sentema-Sentema RBT-24h'!N12,'27.07 Sentema-SentemaRBT-24h'!N12,'28.07 Sentema-SentemaRBT'!N12)</f>
        <v>0</v>
      </c>
      <c r="O12" s="15">
        <f t="shared" si="0"/>
        <v>84.714285714285694</v>
      </c>
      <c r="P12" s="15">
        <f t="shared" si="1"/>
        <v>166.57142857142856</v>
      </c>
      <c r="R12" s="1" t="s">
        <v>8</v>
      </c>
      <c r="S12" s="17">
        <f t="shared" ref="S12:AF12" si="4">SUM(C18:C21)</f>
        <v>120.71428571428571</v>
      </c>
      <c r="T12" s="17">
        <f t="shared" si="4"/>
        <v>20.714285714285715</v>
      </c>
      <c r="U12" s="17">
        <f t="shared" si="4"/>
        <v>12.714285714285714</v>
      </c>
      <c r="V12" s="17">
        <f t="shared" si="4"/>
        <v>56</v>
      </c>
      <c r="W12" s="17">
        <f t="shared" si="4"/>
        <v>0.7142857142857143</v>
      </c>
      <c r="X12" s="17">
        <f t="shared" si="4"/>
        <v>0.14285714285714285</v>
      </c>
      <c r="Y12" s="17">
        <f t="shared" si="4"/>
        <v>12.428571428571427</v>
      </c>
      <c r="Z12" s="17">
        <f t="shared" si="4"/>
        <v>7.9999999999999991</v>
      </c>
      <c r="AA12" s="17">
        <f t="shared" si="4"/>
        <v>0.2857142857142857</v>
      </c>
      <c r="AB12" s="17">
        <f t="shared" si="4"/>
        <v>0.71428571428571419</v>
      </c>
      <c r="AC12" s="17">
        <f t="shared" si="4"/>
        <v>259.14285714285711</v>
      </c>
      <c r="AD12" s="17">
        <f t="shared" si="4"/>
        <v>0</v>
      </c>
      <c r="AE12" s="31">
        <f t="shared" si="4"/>
        <v>232.42857142857144</v>
      </c>
      <c r="AF12" s="31">
        <f t="shared" si="4"/>
        <v>491.57142857142861</v>
      </c>
    </row>
    <row r="13" spans="2:32" ht="23.1" customHeight="1" x14ac:dyDescent="0.25">
      <c r="B13" s="23" t="s">
        <v>40</v>
      </c>
      <c r="C13" s="49">
        <f>AVERAGE('22.07 Sentema-Sentema RBT'!C13,'23.07 Sentema-Sentema RBT'!C13,'24.07 Sentema-SentemaRBT'!C13,'25.07 Sentema-SentemaRBT'!C13,'26.07 Sentema-Sentema RBT-24h'!C13,'27.07 Sentema-SentemaRBT-24h'!C13,'28.07 Sentema-SentemaRBT'!C13)</f>
        <v>46.571428571428569</v>
      </c>
      <c r="D13" s="49">
        <f>AVERAGE('22.07 Sentema-Sentema RBT'!D13,'23.07 Sentema-Sentema RBT'!D13,'24.07 Sentema-SentemaRBT'!D13,'25.07 Sentema-SentemaRBT'!D13,'26.07 Sentema-Sentema RBT-24h'!D13,'27.07 Sentema-SentemaRBT-24h'!D13,'28.07 Sentema-SentemaRBT'!D13)</f>
        <v>8.2857142857142865</v>
      </c>
      <c r="E13" s="49">
        <f>AVERAGE('22.07 Sentema-Sentema RBT'!E13,'23.07 Sentema-Sentema RBT'!E13,'24.07 Sentema-SentemaRBT'!E13,'25.07 Sentema-SentemaRBT'!E13,'26.07 Sentema-Sentema RBT-24h'!E13,'27.07 Sentema-SentemaRBT-24h'!E13,'28.07 Sentema-SentemaRBT'!E13)</f>
        <v>6.5714285714285712</v>
      </c>
      <c r="F13" s="49">
        <f>AVERAGE('22.07 Sentema-Sentema RBT'!F13,'23.07 Sentema-Sentema RBT'!F13,'24.07 Sentema-SentemaRBT'!F13,'25.07 Sentema-SentemaRBT'!F13,'26.07 Sentema-Sentema RBT-24h'!F13,'27.07 Sentema-SentemaRBT-24h'!F13,'28.07 Sentema-SentemaRBT'!F13)</f>
        <v>18</v>
      </c>
      <c r="G13" s="49">
        <f>AVERAGE('22.07 Sentema-Sentema RBT'!G13,'23.07 Sentema-Sentema RBT'!G13,'24.07 Sentema-SentemaRBT'!G13,'25.07 Sentema-SentemaRBT'!G13,'26.07 Sentema-Sentema RBT-24h'!G13,'27.07 Sentema-SentemaRBT-24h'!G13,'28.07 Sentema-SentemaRBT'!G13)</f>
        <v>0</v>
      </c>
      <c r="H13" s="49">
        <f>AVERAGE('22.07 Sentema-Sentema RBT'!H13,'23.07 Sentema-Sentema RBT'!H13,'24.07 Sentema-SentemaRBT'!H13,'25.07 Sentema-SentemaRBT'!H13,'26.07 Sentema-Sentema RBT-24h'!H13,'27.07 Sentema-SentemaRBT-24h'!H13,'28.07 Sentema-SentemaRBT'!H13)</f>
        <v>0</v>
      </c>
      <c r="I13" s="49">
        <f>AVERAGE('22.07 Sentema-Sentema RBT'!I13,'23.07 Sentema-Sentema RBT'!I13,'24.07 Sentema-SentemaRBT'!I13,'25.07 Sentema-SentemaRBT'!I13,'26.07 Sentema-Sentema RBT-24h'!I13,'27.07 Sentema-SentemaRBT-24h'!I13,'28.07 Sentema-SentemaRBT'!I13)</f>
        <v>2.4285714285714284</v>
      </c>
      <c r="J13" s="49">
        <f>AVERAGE('22.07 Sentema-Sentema RBT'!J13,'23.07 Sentema-Sentema RBT'!J13,'24.07 Sentema-SentemaRBT'!J13,'25.07 Sentema-SentemaRBT'!J13,'26.07 Sentema-Sentema RBT-24h'!J13,'27.07 Sentema-SentemaRBT-24h'!J13,'28.07 Sentema-SentemaRBT'!J13)</f>
        <v>0.7142857142857143</v>
      </c>
      <c r="K13" s="49">
        <f>AVERAGE('22.07 Sentema-Sentema RBT'!K13,'23.07 Sentema-Sentema RBT'!K13,'24.07 Sentema-SentemaRBT'!K13,'25.07 Sentema-SentemaRBT'!K13,'26.07 Sentema-Sentema RBT-24h'!K13,'27.07 Sentema-SentemaRBT-24h'!K13,'28.07 Sentema-SentemaRBT'!K13)</f>
        <v>0.14285714285714285</v>
      </c>
      <c r="L13" s="49">
        <f>AVERAGE('22.07 Sentema-Sentema RBT'!L13,'23.07 Sentema-Sentema RBT'!L13,'24.07 Sentema-SentemaRBT'!L13,'25.07 Sentema-SentemaRBT'!L13,'26.07 Sentema-Sentema RBT-24h'!L13,'27.07 Sentema-SentemaRBT-24h'!L13,'28.07 Sentema-SentemaRBT'!L13)</f>
        <v>0.2857142857142857</v>
      </c>
      <c r="M13" s="49">
        <f>AVERAGE('22.07 Sentema-Sentema RBT'!M13,'23.07 Sentema-Sentema RBT'!M13,'24.07 Sentema-SentemaRBT'!M13,'25.07 Sentema-SentemaRBT'!M13,'26.07 Sentema-Sentema RBT-24h'!M13,'27.07 Sentema-SentemaRBT-24h'!M13,'28.07 Sentema-SentemaRBT'!M13)</f>
        <v>79.571428571428569</v>
      </c>
      <c r="N13" s="49">
        <f>AVERAGE('22.07 Sentema-Sentema RBT'!N13,'23.07 Sentema-Sentema RBT'!N13,'24.07 Sentema-SentemaRBT'!N13,'25.07 Sentema-SentemaRBT'!N13,'26.07 Sentema-Sentema RBT-24h'!N13,'27.07 Sentema-SentemaRBT-24h'!N13,'28.07 Sentema-SentemaRBT'!N13)</f>
        <v>0</v>
      </c>
      <c r="O13" s="15">
        <f t="shared" si="0"/>
        <v>82.999999999999986</v>
      </c>
      <c r="P13" s="15">
        <f t="shared" si="1"/>
        <v>162.57142857142856</v>
      </c>
      <c r="R13" s="1" t="s">
        <v>9</v>
      </c>
      <c r="S13" s="17">
        <f t="shared" ref="S13:AF13" si="5">SUM(C22:C25)</f>
        <v>89.857142857142861</v>
      </c>
      <c r="T13" s="17">
        <f t="shared" si="5"/>
        <v>21.714285714285715</v>
      </c>
      <c r="U13" s="17">
        <f t="shared" si="5"/>
        <v>12</v>
      </c>
      <c r="V13" s="17">
        <f t="shared" si="5"/>
        <v>45</v>
      </c>
      <c r="W13" s="17">
        <f t="shared" si="5"/>
        <v>0.85714285714285721</v>
      </c>
      <c r="X13" s="17">
        <f t="shared" si="5"/>
        <v>0.14285714285714285</v>
      </c>
      <c r="Y13" s="17">
        <f t="shared" si="5"/>
        <v>17</v>
      </c>
      <c r="Z13" s="17">
        <f t="shared" si="5"/>
        <v>8.5714285714285712</v>
      </c>
      <c r="AA13" s="17">
        <f t="shared" si="5"/>
        <v>0.99999999999999989</v>
      </c>
      <c r="AB13" s="17">
        <f t="shared" si="5"/>
        <v>6.8571428571428568</v>
      </c>
      <c r="AC13" s="17">
        <f t="shared" si="5"/>
        <v>215.57142857142861</v>
      </c>
      <c r="AD13" s="17">
        <f t="shared" si="5"/>
        <v>0</v>
      </c>
      <c r="AE13" s="31">
        <f t="shared" si="5"/>
        <v>203</v>
      </c>
      <c r="AF13" s="31">
        <f t="shared" si="5"/>
        <v>418.57142857142861</v>
      </c>
    </row>
    <row r="14" spans="2:32" ht="23.1" customHeight="1" x14ac:dyDescent="0.25">
      <c r="B14" s="23" t="s">
        <v>41</v>
      </c>
      <c r="C14" s="49">
        <f>AVERAGE('22.07 Sentema-Sentema RBT'!C14,'23.07 Sentema-Sentema RBT'!C14,'24.07 Sentema-SentemaRBT'!C14,'25.07 Sentema-SentemaRBT'!C14,'26.07 Sentema-Sentema RBT-24h'!C14,'27.07 Sentema-SentemaRBT-24h'!C14,'28.07 Sentema-SentemaRBT'!C14)</f>
        <v>51.142857142857146</v>
      </c>
      <c r="D14" s="49">
        <f>AVERAGE('22.07 Sentema-Sentema RBT'!D14,'23.07 Sentema-Sentema RBT'!D14,'24.07 Sentema-SentemaRBT'!D14,'25.07 Sentema-SentemaRBT'!D14,'26.07 Sentema-Sentema RBT-24h'!D14,'27.07 Sentema-SentemaRBT-24h'!D14,'28.07 Sentema-SentemaRBT'!D14)</f>
        <v>6.4285714285714288</v>
      </c>
      <c r="E14" s="49">
        <f>AVERAGE('22.07 Sentema-Sentema RBT'!E14,'23.07 Sentema-Sentema RBT'!E14,'24.07 Sentema-SentemaRBT'!E14,'25.07 Sentema-SentemaRBT'!E14,'26.07 Sentema-Sentema RBT-24h'!E14,'27.07 Sentema-SentemaRBT-24h'!E14,'28.07 Sentema-SentemaRBT'!E14)</f>
        <v>4.5714285714285712</v>
      </c>
      <c r="F14" s="49">
        <f>AVERAGE('22.07 Sentema-Sentema RBT'!F14,'23.07 Sentema-Sentema RBT'!F14,'24.07 Sentema-SentemaRBT'!F14,'25.07 Sentema-SentemaRBT'!F14,'26.07 Sentema-Sentema RBT-24h'!F14,'27.07 Sentema-SentemaRBT-24h'!F14,'28.07 Sentema-SentemaRBT'!F14)</f>
        <v>26.142857142857142</v>
      </c>
      <c r="G14" s="49">
        <f>AVERAGE('22.07 Sentema-Sentema RBT'!G14,'23.07 Sentema-Sentema RBT'!G14,'24.07 Sentema-SentemaRBT'!G14,'25.07 Sentema-SentemaRBT'!G14,'26.07 Sentema-Sentema RBT-24h'!G14,'27.07 Sentema-SentemaRBT-24h'!G14,'28.07 Sentema-SentemaRBT'!G14)</f>
        <v>0</v>
      </c>
      <c r="H14" s="49">
        <f>AVERAGE('22.07 Sentema-Sentema RBT'!H14,'23.07 Sentema-Sentema RBT'!H14,'24.07 Sentema-SentemaRBT'!H14,'25.07 Sentema-SentemaRBT'!H14,'26.07 Sentema-Sentema RBT-24h'!H14,'27.07 Sentema-SentemaRBT-24h'!H14,'28.07 Sentema-SentemaRBT'!H14)</f>
        <v>0</v>
      </c>
      <c r="I14" s="49">
        <f>AVERAGE('22.07 Sentema-Sentema RBT'!I14,'23.07 Sentema-Sentema RBT'!I14,'24.07 Sentema-SentemaRBT'!I14,'25.07 Sentema-SentemaRBT'!I14,'26.07 Sentema-Sentema RBT-24h'!I14,'27.07 Sentema-SentemaRBT-24h'!I14,'28.07 Sentema-SentemaRBT'!I14)</f>
        <v>4.1428571428571432</v>
      </c>
      <c r="J14" s="49">
        <f>AVERAGE('22.07 Sentema-Sentema RBT'!J14,'23.07 Sentema-Sentema RBT'!J14,'24.07 Sentema-SentemaRBT'!J14,'25.07 Sentema-SentemaRBT'!J14,'26.07 Sentema-Sentema RBT-24h'!J14,'27.07 Sentema-SentemaRBT-24h'!J14,'28.07 Sentema-SentemaRBT'!J14)</f>
        <v>2.4285714285714284</v>
      </c>
      <c r="K14" s="49">
        <f>AVERAGE('22.07 Sentema-Sentema RBT'!K14,'23.07 Sentema-Sentema RBT'!K14,'24.07 Sentema-SentemaRBT'!K14,'25.07 Sentema-SentemaRBT'!K14,'26.07 Sentema-Sentema RBT-24h'!K14,'27.07 Sentema-SentemaRBT-24h'!K14,'28.07 Sentema-SentemaRBT'!K14)</f>
        <v>0.14285714285714285</v>
      </c>
      <c r="L14" s="49">
        <f>AVERAGE('22.07 Sentema-Sentema RBT'!L14,'23.07 Sentema-Sentema RBT'!L14,'24.07 Sentema-SentemaRBT'!L14,'25.07 Sentema-SentemaRBT'!L14,'26.07 Sentema-Sentema RBT-24h'!L14,'27.07 Sentema-SentemaRBT-24h'!L14,'28.07 Sentema-SentemaRBT'!L14)</f>
        <v>0.14285714285714285</v>
      </c>
      <c r="M14" s="49">
        <f>AVERAGE('22.07 Sentema-Sentema RBT'!M14,'23.07 Sentema-Sentema RBT'!M14,'24.07 Sentema-SentemaRBT'!M14,'25.07 Sentema-SentemaRBT'!M14,'26.07 Sentema-Sentema RBT-24h'!M14,'27.07 Sentema-SentemaRBT-24h'!M14,'28.07 Sentema-SentemaRBT'!M14)</f>
        <v>86.428571428571431</v>
      </c>
      <c r="N14" s="49">
        <f>AVERAGE('22.07 Sentema-Sentema RBT'!N14,'23.07 Sentema-Sentema RBT'!N14,'24.07 Sentema-SentemaRBT'!N14,'25.07 Sentema-SentemaRBT'!N14,'26.07 Sentema-Sentema RBT-24h'!N14,'27.07 Sentema-SentemaRBT-24h'!N14,'28.07 Sentema-SentemaRBT'!N14)</f>
        <v>0</v>
      </c>
      <c r="O14" s="15">
        <f t="shared" si="0"/>
        <v>95.142857142857139</v>
      </c>
      <c r="P14" s="15">
        <f t="shared" si="1"/>
        <v>181.57142857142856</v>
      </c>
      <c r="R14" s="1" t="s">
        <v>10</v>
      </c>
      <c r="S14" s="17">
        <f t="shared" ref="S14:AF14" si="6">SUM(C26:C29)</f>
        <v>66.142857142857139</v>
      </c>
      <c r="T14" s="17">
        <f t="shared" si="6"/>
        <v>16.714285714285715</v>
      </c>
      <c r="U14" s="17">
        <f t="shared" si="6"/>
        <v>10.285714285714286</v>
      </c>
      <c r="V14" s="17">
        <f t="shared" si="6"/>
        <v>38.428571428571431</v>
      </c>
      <c r="W14" s="17">
        <f t="shared" si="6"/>
        <v>0.5714285714285714</v>
      </c>
      <c r="X14" s="17">
        <f t="shared" si="6"/>
        <v>1.2857142857142856</v>
      </c>
      <c r="Y14" s="17">
        <f t="shared" si="6"/>
        <v>12.428571428571429</v>
      </c>
      <c r="Z14" s="17">
        <f t="shared" si="6"/>
        <v>7.8571428571428577</v>
      </c>
      <c r="AA14" s="17">
        <f t="shared" si="6"/>
        <v>1.5714285714285712</v>
      </c>
      <c r="AB14" s="17">
        <f t="shared" si="6"/>
        <v>0.71428571428571419</v>
      </c>
      <c r="AC14" s="17">
        <f t="shared" si="6"/>
        <v>215.42857142857144</v>
      </c>
      <c r="AD14" s="17">
        <f t="shared" si="6"/>
        <v>0</v>
      </c>
      <c r="AE14" s="31">
        <f t="shared" si="6"/>
        <v>156</v>
      </c>
      <c r="AF14" s="31">
        <f t="shared" si="6"/>
        <v>371.42857142857144</v>
      </c>
    </row>
    <row r="15" spans="2:32" ht="23.1" customHeight="1" x14ac:dyDescent="0.25">
      <c r="B15" s="23" t="s">
        <v>42</v>
      </c>
      <c r="C15" s="49">
        <f>AVERAGE('22.07 Sentema-Sentema RBT'!C15,'23.07 Sentema-Sentema RBT'!C15,'24.07 Sentema-SentemaRBT'!C15,'25.07 Sentema-SentemaRBT'!C15,'26.07 Sentema-Sentema RBT-24h'!C15,'27.07 Sentema-SentemaRBT-24h'!C15,'28.07 Sentema-SentemaRBT'!C15)</f>
        <v>35</v>
      </c>
      <c r="D15" s="49">
        <f>AVERAGE('22.07 Sentema-Sentema RBT'!D15,'23.07 Sentema-Sentema RBT'!D15,'24.07 Sentema-SentemaRBT'!D15,'25.07 Sentema-SentemaRBT'!D15,'26.07 Sentema-Sentema RBT-24h'!D15,'27.07 Sentema-SentemaRBT-24h'!D15,'28.07 Sentema-SentemaRBT'!D15)</f>
        <v>5.4285714285714288</v>
      </c>
      <c r="E15" s="49">
        <f>AVERAGE('22.07 Sentema-Sentema RBT'!E15,'23.07 Sentema-Sentema RBT'!E15,'24.07 Sentema-SentemaRBT'!E15,'25.07 Sentema-SentemaRBT'!E15,'26.07 Sentema-Sentema RBT-24h'!E15,'27.07 Sentema-SentemaRBT-24h'!E15,'28.07 Sentema-SentemaRBT'!E15)</f>
        <v>3.5714285714285716</v>
      </c>
      <c r="F15" s="49">
        <f>AVERAGE('22.07 Sentema-Sentema RBT'!F15,'23.07 Sentema-Sentema RBT'!F15,'24.07 Sentema-SentemaRBT'!F15,'25.07 Sentema-SentemaRBT'!F15,'26.07 Sentema-Sentema RBT-24h'!F15,'27.07 Sentema-SentemaRBT-24h'!F15,'28.07 Sentema-SentemaRBT'!F15)</f>
        <v>23.142857142857142</v>
      </c>
      <c r="G15" s="49">
        <f>AVERAGE('22.07 Sentema-Sentema RBT'!G15,'23.07 Sentema-Sentema RBT'!G15,'24.07 Sentema-SentemaRBT'!G15,'25.07 Sentema-SentemaRBT'!G15,'26.07 Sentema-Sentema RBT-24h'!G15,'27.07 Sentema-SentemaRBT-24h'!G15,'28.07 Sentema-SentemaRBT'!G15)</f>
        <v>0.2857142857142857</v>
      </c>
      <c r="H15" s="49">
        <f>AVERAGE('22.07 Sentema-Sentema RBT'!H15,'23.07 Sentema-Sentema RBT'!H15,'24.07 Sentema-SentemaRBT'!H15,'25.07 Sentema-SentemaRBT'!H15,'26.07 Sentema-Sentema RBT-24h'!H15,'27.07 Sentema-SentemaRBT-24h'!H15,'28.07 Sentema-SentemaRBT'!H15)</f>
        <v>0</v>
      </c>
      <c r="I15" s="49">
        <f>AVERAGE('22.07 Sentema-Sentema RBT'!I15,'23.07 Sentema-Sentema RBT'!I15,'24.07 Sentema-SentemaRBT'!I15,'25.07 Sentema-SentemaRBT'!I15,'26.07 Sentema-Sentema RBT-24h'!I15,'27.07 Sentema-SentemaRBT-24h'!I15,'28.07 Sentema-SentemaRBT'!I15)</f>
        <v>2.2857142857142856</v>
      </c>
      <c r="J15" s="49">
        <f>AVERAGE('22.07 Sentema-Sentema RBT'!J15,'23.07 Sentema-Sentema RBT'!J15,'24.07 Sentema-SentemaRBT'!J15,'25.07 Sentema-SentemaRBT'!J15,'26.07 Sentema-Sentema RBT-24h'!J15,'27.07 Sentema-SentemaRBT-24h'!J15,'28.07 Sentema-SentemaRBT'!J15)</f>
        <v>1</v>
      </c>
      <c r="K15" s="49">
        <f>AVERAGE('22.07 Sentema-Sentema RBT'!K15,'23.07 Sentema-Sentema RBT'!K15,'24.07 Sentema-SentemaRBT'!K15,'25.07 Sentema-SentemaRBT'!K15,'26.07 Sentema-Sentema RBT-24h'!K15,'27.07 Sentema-SentemaRBT-24h'!K15,'28.07 Sentema-SentemaRBT'!K15)</f>
        <v>0</v>
      </c>
      <c r="L15" s="49">
        <f>AVERAGE('22.07 Sentema-Sentema RBT'!L15,'23.07 Sentema-Sentema RBT'!L15,'24.07 Sentema-SentemaRBT'!L15,'25.07 Sentema-SentemaRBT'!L15,'26.07 Sentema-Sentema RBT-24h'!L15,'27.07 Sentema-SentemaRBT-24h'!L15,'28.07 Sentema-SentemaRBT'!L15)</f>
        <v>0.14285714285714285</v>
      </c>
      <c r="M15" s="49">
        <f>AVERAGE('22.07 Sentema-Sentema RBT'!M15,'23.07 Sentema-Sentema RBT'!M15,'24.07 Sentema-SentemaRBT'!M15,'25.07 Sentema-SentemaRBT'!M15,'26.07 Sentema-Sentema RBT-24h'!M15,'27.07 Sentema-SentemaRBT-24h'!M15,'28.07 Sentema-SentemaRBT'!M15)</f>
        <v>83.571428571428569</v>
      </c>
      <c r="N15" s="49">
        <f>AVERAGE('22.07 Sentema-Sentema RBT'!N15,'23.07 Sentema-Sentema RBT'!N15,'24.07 Sentema-SentemaRBT'!N15,'25.07 Sentema-SentemaRBT'!N15,'26.07 Sentema-Sentema RBT-24h'!N15,'27.07 Sentema-SentemaRBT-24h'!N15,'28.07 Sentema-SentemaRBT'!N15)</f>
        <v>0</v>
      </c>
      <c r="O15" s="15">
        <f t="shared" si="0"/>
        <v>70.857142857142861</v>
      </c>
      <c r="P15" s="15">
        <f t="shared" si="1"/>
        <v>154.42857142857144</v>
      </c>
      <c r="R15" s="1" t="s">
        <v>11</v>
      </c>
      <c r="S15" s="17">
        <f t="shared" ref="S15:AF15" si="7">SUM(C30:C33)</f>
        <v>49.714285714285715</v>
      </c>
      <c r="T15" s="17">
        <f t="shared" si="7"/>
        <v>15</v>
      </c>
      <c r="U15" s="17">
        <f t="shared" si="7"/>
        <v>8.1428571428571423</v>
      </c>
      <c r="V15" s="17">
        <f t="shared" si="7"/>
        <v>28.142857142857139</v>
      </c>
      <c r="W15" s="17">
        <f t="shared" si="7"/>
        <v>0.42857142857142855</v>
      </c>
      <c r="X15" s="17">
        <f t="shared" si="7"/>
        <v>0.14285714285714285</v>
      </c>
      <c r="Y15" s="17">
        <f t="shared" si="7"/>
        <v>13</v>
      </c>
      <c r="Z15" s="17">
        <f t="shared" si="7"/>
        <v>7.2857142857142847</v>
      </c>
      <c r="AA15" s="17">
        <f t="shared" si="7"/>
        <v>1</v>
      </c>
      <c r="AB15" s="17">
        <f t="shared" si="7"/>
        <v>0.14285714285714285</v>
      </c>
      <c r="AC15" s="17">
        <f t="shared" si="7"/>
        <v>188.28571428571428</v>
      </c>
      <c r="AD15" s="17">
        <f t="shared" si="7"/>
        <v>0</v>
      </c>
      <c r="AE15" s="31">
        <f t="shared" si="7"/>
        <v>123</v>
      </c>
      <c r="AF15" s="31">
        <f t="shared" si="7"/>
        <v>311.28571428571433</v>
      </c>
    </row>
    <row r="16" spans="2:32" ht="23.1" customHeight="1" x14ac:dyDescent="0.25">
      <c r="B16" s="23" t="s">
        <v>43</v>
      </c>
      <c r="C16" s="49">
        <f>AVERAGE('22.07 Sentema-Sentema RBT'!C16,'23.07 Sentema-Sentema RBT'!C16,'24.07 Sentema-SentemaRBT'!C16,'25.07 Sentema-SentemaRBT'!C16,'26.07 Sentema-Sentema RBT-24h'!C16,'27.07 Sentema-SentemaRBT-24h'!C16,'28.07 Sentema-SentemaRBT'!C16)</f>
        <v>27.571428571428573</v>
      </c>
      <c r="D16" s="49">
        <f>AVERAGE('22.07 Sentema-Sentema RBT'!D16,'23.07 Sentema-Sentema RBT'!D16,'24.07 Sentema-SentemaRBT'!D16,'25.07 Sentema-SentemaRBT'!D16,'26.07 Sentema-Sentema RBT-24h'!D16,'27.07 Sentema-SentemaRBT-24h'!D16,'28.07 Sentema-SentemaRBT'!D16)</f>
        <v>3.7142857142857144</v>
      </c>
      <c r="E16" s="49">
        <f>AVERAGE('22.07 Sentema-Sentema RBT'!E16,'23.07 Sentema-Sentema RBT'!E16,'24.07 Sentema-SentemaRBT'!E16,'25.07 Sentema-SentemaRBT'!E16,'26.07 Sentema-Sentema RBT-24h'!E16,'27.07 Sentema-SentemaRBT-24h'!E16,'28.07 Sentema-SentemaRBT'!E16)</f>
        <v>3.5714285714285716</v>
      </c>
      <c r="F16" s="49">
        <f>AVERAGE('22.07 Sentema-Sentema RBT'!F16,'23.07 Sentema-Sentema RBT'!F16,'24.07 Sentema-SentemaRBT'!F16,'25.07 Sentema-SentemaRBT'!F16,'26.07 Sentema-Sentema RBT-24h'!F16,'27.07 Sentema-SentemaRBT-24h'!F16,'28.07 Sentema-SentemaRBT'!F16)</f>
        <v>13.428571428571429</v>
      </c>
      <c r="G16" s="49">
        <f>AVERAGE('22.07 Sentema-Sentema RBT'!G16,'23.07 Sentema-Sentema RBT'!G16,'24.07 Sentema-SentemaRBT'!G16,'25.07 Sentema-SentemaRBT'!G16,'26.07 Sentema-Sentema RBT-24h'!G16,'27.07 Sentema-SentemaRBT-24h'!G16,'28.07 Sentema-SentemaRBT'!G16)</f>
        <v>0</v>
      </c>
      <c r="H16" s="49">
        <f>AVERAGE('22.07 Sentema-Sentema RBT'!H16,'23.07 Sentema-Sentema RBT'!H16,'24.07 Sentema-SentemaRBT'!H16,'25.07 Sentema-SentemaRBT'!H16,'26.07 Sentema-Sentema RBT-24h'!H16,'27.07 Sentema-SentemaRBT-24h'!H16,'28.07 Sentema-SentemaRBT'!H16)</f>
        <v>0</v>
      </c>
      <c r="I16" s="49">
        <f>AVERAGE('22.07 Sentema-Sentema RBT'!I16,'23.07 Sentema-Sentema RBT'!I16,'24.07 Sentema-SentemaRBT'!I16,'25.07 Sentema-SentemaRBT'!I16,'26.07 Sentema-Sentema RBT-24h'!I16,'27.07 Sentema-SentemaRBT-24h'!I16,'28.07 Sentema-SentemaRBT'!I16)</f>
        <v>2.4285714285714284</v>
      </c>
      <c r="J16" s="49">
        <f>AVERAGE('22.07 Sentema-Sentema RBT'!J16,'23.07 Sentema-Sentema RBT'!J16,'24.07 Sentema-SentemaRBT'!J16,'25.07 Sentema-SentemaRBT'!J16,'26.07 Sentema-Sentema RBT-24h'!J16,'27.07 Sentema-SentemaRBT-24h'!J16,'28.07 Sentema-SentemaRBT'!J16)</f>
        <v>1.5714285714285714</v>
      </c>
      <c r="K16" s="49">
        <f>AVERAGE('22.07 Sentema-Sentema RBT'!K16,'23.07 Sentema-Sentema RBT'!K16,'24.07 Sentema-SentemaRBT'!K16,'25.07 Sentema-SentemaRBT'!K16,'26.07 Sentema-Sentema RBT-24h'!K16,'27.07 Sentema-SentemaRBT-24h'!K16,'28.07 Sentema-SentemaRBT'!K16)</f>
        <v>0</v>
      </c>
      <c r="L16" s="49">
        <f>AVERAGE('22.07 Sentema-Sentema RBT'!L16,'23.07 Sentema-Sentema RBT'!L16,'24.07 Sentema-SentemaRBT'!L16,'25.07 Sentema-SentemaRBT'!L16,'26.07 Sentema-Sentema RBT-24h'!L16,'27.07 Sentema-SentemaRBT-24h'!L16,'28.07 Sentema-SentemaRBT'!L16)</f>
        <v>0</v>
      </c>
      <c r="M16" s="49">
        <f>AVERAGE('22.07 Sentema-Sentema RBT'!M16,'23.07 Sentema-Sentema RBT'!M16,'24.07 Sentema-SentemaRBT'!M16,'25.07 Sentema-SentemaRBT'!M16,'26.07 Sentema-Sentema RBT-24h'!M16,'27.07 Sentema-SentemaRBT-24h'!M16,'28.07 Sentema-SentemaRBT'!M16)</f>
        <v>70.428571428571431</v>
      </c>
      <c r="N16" s="49">
        <f>AVERAGE('22.07 Sentema-Sentema RBT'!N16,'23.07 Sentema-Sentema RBT'!N16,'24.07 Sentema-SentemaRBT'!N16,'25.07 Sentema-SentemaRBT'!N16,'26.07 Sentema-Sentema RBT-24h'!N16,'27.07 Sentema-SentemaRBT-24h'!N16,'28.07 Sentema-SentemaRBT'!N16)</f>
        <v>0</v>
      </c>
      <c r="O16" s="15">
        <f t="shared" si="0"/>
        <v>52.285714285714292</v>
      </c>
      <c r="P16" s="15">
        <f t="shared" si="1"/>
        <v>122.71428571428572</v>
      </c>
      <c r="R16" s="1" t="s">
        <v>12</v>
      </c>
      <c r="S16" s="17">
        <f t="shared" ref="S16:AF16" si="8">SUM(C34:C37)</f>
        <v>38.571428571428569</v>
      </c>
      <c r="T16" s="17">
        <f t="shared" si="8"/>
        <v>12.142857142857142</v>
      </c>
      <c r="U16" s="17">
        <f t="shared" si="8"/>
        <v>7.1428571428571423</v>
      </c>
      <c r="V16" s="17">
        <f t="shared" si="8"/>
        <v>20.142857142857142</v>
      </c>
      <c r="W16" s="17">
        <f t="shared" si="8"/>
        <v>0.14285714285714285</v>
      </c>
      <c r="X16" s="17">
        <f t="shared" si="8"/>
        <v>0.14285714285714285</v>
      </c>
      <c r="Y16" s="17">
        <f t="shared" si="8"/>
        <v>11.571428571428573</v>
      </c>
      <c r="Z16" s="17">
        <f t="shared" si="8"/>
        <v>7.1428571428571432</v>
      </c>
      <c r="AA16" s="17">
        <f t="shared" si="8"/>
        <v>0.8571428571428571</v>
      </c>
      <c r="AB16" s="17">
        <f t="shared" si="8"/>
        <v>0.71428571428571419</v>
      </c>
      <c r="AC16" s="17">
        <f t="shared" si="8"/>
        <v>169.28571428571431</v>
      </c>
      <c r="AD16" s="17">
        <f t="shared" si="8"/>
        <v>0</v>
      </c>
      <c r="AE16" s="31">
        <f t="shared" si="8"/>
        <v>98.571428571428569</v>
      </c>
      <c r="AF16" s="31">
        <f t="shared" si="8"/>
        <v>267.85714285714289</v>
      </c>
    </row>
    <row r="17" spans="2:32" ht="23.1" customHeight="1" x14ac:dyDescent="0.25">
      <c r="B17" s="23" t="s">
        <v>44</v>
      </c>
      <c r="C17" s="49">
        <f>AVERAGE('22.07 Sentema-Sentema RBT'!C17,'23.07 Sentema-Sentema RBT'!C17,'24.07 Sentema-SentemaRBT'!C17,'25.07 Sentema-SentemaRBT'!C17,'26.07 Sentema-Sentema RBT-24h'!C17,'27.07 Sentema-SentemaRBT-24h'!C17,'28.07 Sentema-SentemaRBT'!C17)</f>
        <v>27</v>
      </c>
      <c r="D17" s="49">
        <f>AVERAGE('22.07 Sentema-Sentema RBT'!D17,'23.07 Sentema-Sentema RBT'!D17,'24.07 Sentema-SentemaRBT'!D17,'25.07 Sentema-SentemaRBT'!D17,'26.07 Sentema-Sentema RBT-24h'!D17,'27.07 Sentema-SentemaRBT-24h'!D17,'28.07 Sentema-SentemaRBT'!D17)</f>
        <v>5.5714285714285712</v>
      </c>
      <c r="E17" s="49">
        <f>AVERAGE('22.07 Sentema-Sentema RBT'!E17,'23.07 Sentema-Sentema RBT'!E17,'24.07 Sentema-SentemaRBT'!E17,'25.07 Sentema-SentemaRBT'!E17,'26.07 Sentema-Sentema RBT-24h'!E17,'27.07 Sentema-SentemaRBT-24h'!E17,'28.07 Sentema-SentemaRBT'!E17)</f>
        <v>2.4285714285714284</v>
      </c>
      <c r="F17" s="49">
        <f>AVERAGE('22.07 Sentema-Sentema RBT'!F17,'23.07 Sentema-Sentema RBT'!F17,'24.07 Sentema-SentemaRBT'!F17,'25.07 Sentema-SentemaRBT'!F17,'26.07 Sentema-Sentema RBT-24h'!F17,'27.07 Sentema-SentemaRBT-24h'!F17,'28.07 Sentema-SentemaRBT'!F17)</f>
        <v>13.571428571428571</v>
      </c>
      <c r="G17" s="49">
        <f>AVERAGE('22.07 Sentema-Sentema RBT'!G17,'23.07 Sentema-Sentema RBT'!G17,'24.07 Sentema-SentemaRBT'!G17,'25.07 Sentema-SentemaRBT'!G17,'26.07 Sentema-Sentema RBT-24h'!G17,'27.07 Sentema-SentemaRBT-24h'!G17,'28.07 Sentema-SentemaRBT'!G17)</f>
        <v>0.14285714285714285</v>
      </c>
      <c r="H17" s="49">
        <f>AVERAGE('22.07 Sentema-Sentema RBT'!H17,'23.07 Sentema-Sentema RBT'!H17,'24.07 Sentema-SentemaRBT'!H17,'25.07 Sentema-SentemaRBT'!H17,'26.07 Sentema-Sentema RBT-24h'!H17,'27.07 Sentema-SentemaRBT-24h'!H17,'28.07 Sentema-SentemaRBT'!H17)</f>
        <v>0</v>
      </c>
      <c r="I17" s="49">
        <f>AVERAGE('22.07 Sentema-Sentema RBT'!I17,'23.07 Sentema-Sentema RBT'!I17,'24.07 Sentema-SentemaRBT'!I17,'25.07 Sentema-SentemaRBT'!I17,'26.07 Sentema-Sentema RBT-24h'!I17,'27.07 Sentema-SentemaRBT-24h'!I17,'28.07 Sentema-SentemaRBT'!I17)</f>
        <v>2.1428571428571428</v>
      </c>
      <c r="J17" s="49">
        <f>AVERAGE('22.07 Sentema-Sentema RBT'!J17,'23.07 Sentema-Sentema RBT'!J17,'24.07 Sentema-SentemaRBT'!J17,'25.07 Sentema-SentemaRBT'!J17,'26.07 Sentema-Sentema RBT-24h'!J17,'27.07 Sentema-SentemaRBT-24h'!J17,'28.07 Sentema-SentemaRBT'!J17)</f>
        <v>0.7142857142857143</v>
      </c>
      <c r="K17" s="49">
        <f>AVERAGE('22.07 Sentema-Sentema RBT'!K17,'23.07 Sentema-Sentema RBT'!K17,'24.07 Sentema-SentemaRBT'!K17,'25.07 Sentema-SentemaRBT'!K17,'26.07 Sentema-Sentema RBT-24h'!K17,'27.07 Sentema-SentemaRBT-24h'!K17,'28.07 Sentema-SentemaRBT'!K17)</f>
        <v>0.2857142857142857</v>
      </c>
      <c r="L17" s="49">
        <f>AVERAGE('22.07 Sentema-Sentema RBT'!L17,'23.07 Sentema-Sentema RBT'!L17,'24.07 Sentema-SentemaRBT'!L17,'25.07 Sentema-SentemaRBT'!L17,'26.07 Sentema-Sentema RBT-24h'!L17,'27.07 Sentema-SentemaRBT-24h'!L17,'28.07 Sentema-SentemaRBT'!L17)</f>
        <v>0</v>
      </c>
      <c r="M17" s="49">
        <f>AVERAGE('22.07 Sentema-Sentema RBT'!M17,'23.07 Sentema-Sentema RBT'!M17,'24.07 Sentema-SentemaRBT'!M17,'25.07 Sentema-SentemaRBT'!M17,'26.07 Sentema-Sentema RBT-24h'!M17,'27.07 Sentema-SentemaRBT-24h'!M17,'28.07 Sentema-SentemaRBT'!M17)</f>
        <v>65</v>
      </c>
      <c r="N17" s="49">
        <f>AVERAGE('22.07 Sentema-Sentema RBT'!N17,'23.07 Sentema-Sentema RBT'!N17,'24.07 Sentema-SentemaRBT'!N17,'25.07 Sentema-SentemaRBT'!N17,'26.07 Sentema-Sentema RBT-24h'!N17,'27.07 Sentema-SentemaRBT-24h'!N17,'28.07 Sentema-SentemaRBT'!N17)</f>
        <v>0</v>
      </c>
      <c r="O17" s="15">
        <f t="shared" si="0"/>
        <v>51.857142857142861</v>
      </c>
      <c r="P17" s="15">
        <f t="shared" si="1"/>
        <v>116.85714285714286</v>
      </c>
      <c r="R17" s="1" t="s">
        <v>13</v>
      </c>
      <c r="S17" s="17">
        <f t="shared" ref="S17:AF17" si="9">SUM(C38:C41)</f>
        <v>42.285714285714285</v>
      </c>
      <c r="T17" s="17">
        <f t="shared" si="9"/>
        <v>13.714285714285715</v>
      </c>
      <c r="U17" s="17">
        <f t="shared" si="9"/>
        <v>9.8571428571428559</v>
      </c>
      <c r="V17" s="17">
        <f t="shared" si="9"/>
        <v>24.285714285714285</v>
      </c>
      <c r="W17" s="17">
        <f t="shared" si="9"/>
        <v>0.42857142857142855</v>
      </c>
      <c r="X17" s="17">
        <f t="shared" si="9"/>
        <v>0.42857142857142855</v>
      </c>
      <c r="Y17" s="17">
        <f t="shared" si="9"/>
        <v>9.8571428571428577</v>
      </c>
      <c r="Z17" s="17">
        <f t="shared" si="9"/>
        <v>4.7142857142857144</v>
      </c>
      <c r="AA17" s="17">
        <f t="shared" si="9"/>
        <v>1.2857142857142858</v>
      </c>
      <c r="AB17" s="17">
        <f t="shared" si="9"/>
        <v>0.5714285714285714</v>
      </c>
      <c r="AC17" s="17">
        <f t="shared" si="9"/>
        <v>174.14285714285714</v>
      </c>
      <c r="AD17" s="17">
        <f t="shared" si="9"/>
        <v>0</v>
      </c>
      <c r="AE17" s="31">
        <f t="shared" si="9"/>
        <v>107.42857142857142</v>
      </c>
      <c r="AF17" s="31">
        <f t="shared" si="9"/>
        <v>281.57142857142856</v>
      </c>
    </row>
    <row r="18" spans="2:32" ht="23.1" customHeight="1" x14ac:dyDescent="0.25">
      <c r="B18" s="23" t="s">
        <v>45</v>
      </c>
      <c r="C18" s="49">
        <f>AVERAGE('22.07 Sentema-Sentema RBT'!C18,'23.07 Sentema-Sentema RBT'!C18,'24.07 Sentema-SentemaRBT'!C18,'25.07 Sentema-SentemaRBT'!C18,'26.07 Sentema-Sentema RBT-24h'!C18,'27.07 Sentema-SentemaRBT-24h'!C18,'28.07 Sentema-SentemaRBT'!C18)</f>
        <v>37.428571428571431</v>
      </c>
      <c r="D18" s="49">
        <f>AVERAGE('22.07 Sentema-Sentema RBT'!D18,'23.07 Sentema-Sentema RBT'!D18,'24.07 Sentema-SentemaRBT'!D18,'25.07 Sentema-SentemaRBT'!D18,'26.07 Sentema-Sentema RBT-24h'!D18,'27.07 Sentema-SentemaRBT-24h'!D18,'28.07 Sentema-SentemaRBT'!D18)</f>
        <v>6.7142857142857144</v>
      </c>
      <c r="E18" s="49">
        <f>AVERAGE('22.07 Sentema-Sentema RBT'!E18,'23.07 Sentema-Sentema RBT'!E18,'24.07 Sentema-SentemaRBT'!E18,'25.07 Sentema-SentemaRBT'!E18,'26.07 Sentema-Sentema RBT-24h'!E18,'27.07 Sentema-SentemaRBT-24h'!E18,'28.07 Sentema-SentemaRBT'!E18)</f>
        <v>5</v>
      </c>
      <c r="F18" s="49">
        <f>AVERAGE('22.07 Sentema-Sentema RBT'!F18,'23.07 Sentema-Sentema RBT'!F18,'24.07 Sentema-SentemaRBT'!F18,'25.07 Sentema-SentemaRBT'!F18,'26.07 Sentema-Sentema RBT-24h'!F18,'27.07 Sentema-SentemaRBT-24h'!F18,'28.07 Sentema-SentemaRBT'!F18)</f>
        <v>19</v>
      </c>
      <c r="G18" s="49">
        <f>AVERAGE('22.07 Sentema-Sentema RBT'!G18,'23.07 Sentema-Sentema RBT'!G18,'24.07 Sentema-SentemaRBT'!G18,'25.07 Sentema-SentemaRBT'!G18,'26.07 Sentema-Sentema RBT-24h'!G18,'27.07 Sentema-SentemaRBT-24h'!G18,'28.07 Sentema-SentemaRBT'!G18)</f>
        <v>0.7142857142857143</v>
      </c>
      <c r="H18" s="49">
        <f>AVERAGE('22.07 Sentema-Sentema RBT'!H18,'23.07 Sentema-Sentema RBT'!H18,'24.07 Sentema-SentemaRBT'!H18,'25.07 Sentema-SentemaRBT'!H18,'26.07 Sentema-Sentema RBT-24h'!H18,'27.07 Sentema-SentemaRBT-24h'!H18,'28.07 Sentema-SentemaRBT'!H18)</f>
        <v>0.14285714285714285</v>
      </c>
      <c r="I18" s="49">
        <f>AVERAGE('22.07 Sentema-Sentema RBT'!I18,'23.07 Sentema-Sentema RBT'!I18,'24.07 Sentema-SentemaRBT'!I18,'25.07 Sentema-SentemaRBT'!I18,'26.07 Sentema-Sentema RBT-24h'!I18,'27.07 Sentema-SentemaRBT-24h'!I18,'28.07 Sentema-SentemaRBT'!I18)</f>
        <v>3.2857142857142856</v>
      </c>
      <c r="J18" s="49">
        <f>AVERAGE('22.07 Sentema-Sentema RBT'!J18,'23.07 Sentema-Sentema RBT'!J18,'24.07 Sentema-SentemaRBT'!J18,'25.07 Sentema-SentemaRBT'!J18,'26.07 Sentema-Sentema RBT-24h'!J18,'27.07 Sentema-SentemaRBT-24h'!J18,'28.07 Sentema-SentemaRBT'!J18)</f>
        <v>2.2857142857142856</v>
      </c>
      <c r="K18" s="49">
        <f>AVERAGE('22.07 Sentema-Sentema RBT'!K18,'23.07 Sentema-Sentema RBT'!K18,'24.07 Sentema-SentemaRBT'!K18,'25.07 Sentema-SentemaRBT'!K18,'26.07 Sentema-Sentema RBT-24h'!K18,'27.07 Sentema-SentemaRBT-24h'!K18,'28.07 Sentema-SentemaRBT'!K18)</f>
        <v>0</v>
      </c>
      <c r="L18" s="49">
        <f>AVERAGE('22.07 Sentema-Sentema RBT'!L18,'23.07 Sentema-Sentema RBT'!L18,'24.07 Sentema-SentemaRBT'!L18,'25.07 Sentema-SentemaRBT'!L18,'26.07 Sentema-Sentema RBT-24h'!L18,'27.07 Sentema-SentemaRBT-24h'!L18,'28.07 Sentema-SentemaRBT'!L18)</f>
        <v>0.14285714285714285</v>
      </c>
      <c r="M18" s="49">
        <f>AVERAGE('22.07 Sentema-Sentema RBT'!M18,'23.07 Sentema-Sentema RBT'!M18,'24.07 Sentema-SentemaRBT'!M18,'25.07 Sentema-SentemaRBT'!M18,'26.07 Sentema-Sentema RBT-24h'!M18,'27.07 Sentema-SentemaRBT-24h'!M18,'28.07 Sentema-SentemaRBT'!M18)</f>
        <v>78.857142857142861</v>
      </c>
      <c r="N18" s="49">
        <f>AVERAGE('22.07 Sentema-Sentema RBT'!N18,'23.07 Sentema-Sentema RBT'!N18,'24.07 Sentema-SentemaRBT'!N18,'25.07 Sentema-SentemaRBT'!N18,'26.07 Sentema-Sentema RBT-24h'!N18,'27.07 Sentema-SentemaRBT-24h'!N18,'28.07 Sentema-SentemaRBT'!N18)</f>
        <v>0</v>
      </c>
      <c r="O18" s="15">
        <f t="shared" si="0"/>
        <v>74.714285714285708</v>
      </c>
      <c r="P18" s="15">
        <f t="shared" si="1"/>
        <v>153.57142857142856</v>
      </c>
      <c r="R18" s="1" t="s">
        <v>14</v>
      </c>
      <c r="S18" s="17">
        <f t="shared" ref="S18:AF18" si="10">SUM(C42:C45)</f>
        <v>42.142857142857146</v>
      </c>
      <c r="T18" s="17">
        <f t="shared" si="10"/>
        <v>15.142857142857142</v>
      </c>
      <c r="U18" s="17">
        <f t="shared" si="10"/>
        <v>5.8571428571428568</v>
      </c>
      <c r="V18" s="17">
        <f t="shared" si="10"/>
        <v>22.714285714285712</v>
      </c>
      <c r="W18" s="17">
        <f t="shared" si="10"/>
        <v>0</v>
      </c>
      <c r="X18" s="17">
        <f t="shared" si="10"/>
        <v>0.14285714285714285</v>
      </c>
      <c r="Y18" s="17">
        <f t="shared" si="10"/>
        <v>13.571428571428573</v>
      </c>
      <c r="Z18" s="17">
        <f t="shared" si="10"/>
        <v>7.5714285714285712</v>
      </c>
      <c r="AA18" s="17">
        <f t="shared" si="10"/>
        <v>1.5714285714285712</v>
      </c>
      <c r="AB18" s="17">
        <f t="shared" si="10"/>
        <v>0.2857142857142857</v>
      </c>
      <c r="AC18" s="17">
        <f t="shared" si="10"/>
        <v>171.14285714285714</v>
      </c>
      <c r="AD18" s="17">
        <f t="shared" si="10"/>
        <v>0</v>
      </c>
      <c r="AE18" s="31">
        <f t="shared" si="10"/>
        <v>109</v>
      </c>
      <c r="AF18" s="31">
        <f t="shared" si="10"/>
        <v>280.14285714285717</v>
      </c>
    </row>
    <row r="19" spans="2:32" ht="23.1" customHeight="1" x14ac:dyDescent="0.25">
      <c r="B19" s="23" t="s">
        <v>46</v>
      </c>
      <c r="C19" s="49">
        <f>AVERAGE('22.07 Sentema-Sentema RBT'!C19,'23.07 Sentema-Sentema RBT'!C19,'24.07 Sentema-SentemaRBT'!C19,'25.07 Sentema-SentemaRBT'!C19,'26.07 Sentema-Sentema RBT-24h'!C19,'27.07 Sentema-SentemaRBT-24h'!C19,'28.07 Sentema-SentemaRBT'!C19)</f>
        <v>33.857142857142854</v>
      </c>
      <c r="D19" s="49">
        <f>AVERAGE('22.07 Sentema-Sentema RBT'!D19,'23.07 Sentema-Sentema RBT'!D19,'24.07 Sentema-SentemaRBT'!D19,'25.07 Sentema-SentemaRBT'!D19,'26.07 Sentema-Sentema RBT-24h'!D19,'27.07 Sentema-SentemaRBT-24h'!D19,'28.07 Sentema-SentemaRBT'!D19)</f>
        <v>4.7142857142857144</v>
      </c>
      <c r="E19" s="49">
        <f>AVERAGE('22.07 Sentema-Sentema RBT'!E19,'23.07 Sentema-Sentema RBT'!E19,'24.07 Sentema-SentemaRBT'!E19,'25.07 Sentema-SentemaRBT'!E19,'26.07 Sentema-Sentema RBT-24h'!E19,'27.07 Sentema-SentemaRBT-24h'!E19,'28.07 Sentema-SentemaRBT'!E19)</f>
        <v>2.8571428571428572</v>
      </c>
      <c r="F19" s="49">
        <f>AVERAGE('22.07 Sentema-Sentema RBT'!F19,'23.07 Sentema-Sentema RBT'!F19,'24.07 Sentema-SentemaRBT'!F19,'25.07 Sentema-SentemaRBT'!F19,'26.07 Sentema-Sentema RBT-24h'!F19,'27.07 Sentema-SentemaRBT-24h'!F19,'28.07 Sentema-SentemaRBT'!F19)</f>
        <v>14.714285714285714</v>
      </c>
      <c r="G19" s="49">
        <f>AVERAGE('22.07 Sentema-Sentema RBT'!G19,'23.07 Sentema-Sentema RBT'!G19,'24.07 Sentema-SentemaRBT'!G19,'25.07 Sentema-SentemaRBT'!G19,'26.07 Sentema-Sentema RBT-24h'!G19,'27.07 Sentema-SentemaRBT-24h'!G19,'28.07 Sentema-SentemaRBT'!G19)</f>
        <v>0</v>
      </c>
      <c r="H19" s="49">
        <f>AVERAGE('22.07 Sentema-Sentema RBT'!H19,'23.07 Sentema-Sentema RBT'!H19,'24.07 Sentema-SentemaRBT'!H19,'25.07 Sentema-SentemaRBT'!H19,'26.07 Sentema-Sentema RBT-24h'!H19,'27.07 Sentema-SentemaRBT-24h'!H19,'28.07 Sentema-SentemaRBT'!H19)</f>
        <v>0</v>
      </c>
      <c r="I19" s="49">
        <f>AVERAGE('22.07 Sentema-Sentema RBT'!I19,'23.07 Sentema-Sentema RBT'!I19,'24.07 Sentema-SentemaRBT'!I19,'25.07 Sentema-SentemaRBT'!I19,'26.07 Sentema-Sentema RBT-24h'!I19,'27.07 Sentema-SentemaRBT-24h'!I19,'28.07 Sentema-SentemaRBT'!I19)</f>
        <v>3.7142857142857144</v>
      </c>
      <c r="J19" s="49">
        <f>AVERAGE('22.07 Sentema-Sentema RBT'!J19,'23.07 Sentema-Sentema RBT'!J19,'24.07 Sentema-SentemaRBT'!J19,'25.07 Sentema-SentemaRBT'!J19,'26.07 Sentema-Sentema RBT-24h'!J19,'27.07 Sentema-SentemaRBT-24h'!J19,'28.07 Sentema-SentemaRBT'!J19)</f>
        <v>2.4285714285714284</v>
      </c>
      <c r="K19" s="49">
        <f>AVERAGE('22.07 Sentema-Sentema RBT'!K19,'23.07 Sentema-Sentema RBT'!K19,'24.07 Sentema-SentemaRBT'!K19,'25.07 Sentema-SentemaRBT'!K19,'26.07 Sentema-Sentema RBT-24h'!K19,'27.07 Sentema-SentemaRBT-24h'!K19,'28.07 Sentema-SentemaRBT'!K19)</f>
        <v>0</v>
      </c>
      <c r="L19" s="49">
        <f>AVERAGE('22.07 Sentema-Sentema RBT'!L19,'23.07 Sentema-Sentema RBT'!L19,'24.07 Sentema-SentemaRBT'!L19,'25.07 Sentema-SentemaRBT'!L19,'26.07 Sentema-Sentema RBT-24h'!L19,'27.07 Sentema-SentemaRBT-24h'!L19,'28.07 Sentema-SentemaRBT'!L19)</f>
        <v>0.14285714285714285</v>
      </c>
      <c r="M19" s="49">
        <f>AVERAGE('22.07 Sentema-Sentema RBT'!M19,'23.07 Sentema-Sentema RBT'!M19,'24.07 Sentema-SentemaRBT'!M19,'25.07 Sentema-SentemaRBT'!M19,'26.07 Sentema-Sentema RBT-24h'!M19,'27.07 Sentema-SentemaRBT-24h'!M19,'28.07 Sentema-SentemaRBT'!M19)</f>
        <v>69</v>
      </c>
      <c r="N19" s="49">
        <f>AVERAGE('22.07 Sentema-Sentema RBT'!N19,'23.07 Sentema-Sentema RBT'!N19,'24.07 Sentema-SentemaRBT'!N19,'25.07 Sentema-SentemaRBT'!N19,'26.07 Sentema-Sentema RBT-24h'!N19,'27.07 Sentema-SentemaRBT-24h'!N19,'28.07 Sentema-SentemaRBT'!N19)</f>
        <v>0</v>
      </c>
      <c r="O19" s="15">
        <f t="shared" si="0"/>
        <v>62.428571428571431</v>
      </c>
      <c r="P19" s="15">
        <f t="shared" si="1"/>
        <v>131.42857142857144</v>
      </c>
      <c r="R19" s="1" t="s">
        <v>15</v>
      </c>
      <c r="S19" s="17">
        <f t="shared" ref="S19:AF19" si="11">SUM(C46:C49)</f>
        <v>44.714285714285715</v>
      </c>
      <c r="T19" s="17">
        <f t="shared" si="11"/>
        <v>14.714285714285715</v>
      </c>
      <c r="U19" s="17">
        <f t="shared" si="11"/>
        <v>8.8571428571428577</v>
      </c>
      <c r="V19" s="17">
        <f t="shared" si="11"/>
        <v>22.142857142857142</v>
      </c>
      <c r="W19" s="17">
        <f t="shared" si="11"/>
        <v>0.71428571428571419</v>
      </c>
      <c r="X19" s="17">
        <f t="shared" si="11"/>
        <v>0.5714285714285714</v>
      </c>
      <c r="Y19" s="17">
        <f t="shared" si="11"/>
        <v>11.571428571428569</v>
      </c>
      <c r="Z19" s="17">
        <f t="shared" si="11"/>
        <v>5.7142857142857144</v>
      </c>
      <c r="AA19" s="17">
        <f t="shared" si="11"/>
        <v>0.2857142857142857</v>
      </c>
      <c r="AB19" s="17">
        <f t="shared" si="11"/>
        <v>0.2857142857142857</v>
      </c>
      <c r="AC19" s="17">
        <f t="shared" si="11"/>
        <v>202.85714285714286</v>
      </c>
      <c r="AD19" s="17">
        <f t="shared" si="11"/>
        <v>0</v>
      </c>
      <c r="AE19" s="31">
        <f t="shared" si="11"/>
        <v>109.57142857142856</v>
      </c>
      <c r="AF19" s="31">
        <f t="shared" si="11"/>
        <v>312.42857142857144</v>
      </c>
    </row>
    <row r="20" spans="2:32" ht="23.1" customHeight="1" x14ac:dyDescent="0.25">
      <c r="B20" s="23" t="s">
        <v>47</v>
      </c>
      <c r="C20" s="49">
        <f>AVERAGE('22.07 Sentema-Sentema RBT'!C20,'23.07 Sentema-Sentema RBT'!C20,'24.07 Sentema-SentemaRBT'!C20,'25.07 Sentema-SentemaRBT'!C20,'26.07 Sentema-Sentema RBT-24h'!C20,'27.07 Sentema-SentemaRBT-24h'!C20,'28.07 Sentema-SentemaRBT'!C20)</f>
        <v>25.428571428571427</v>
      </c>
      <c r="D20" s="49">
        <f>AVERAGE('22.07 Sentema-Sentema RBT'!D20,'23.07 Sentema-Sentema RBT'!D20,'24.07 Sentema-SentemaRBT'!D20,'25.07 Sentema-SentemaRBT'!D20,'26.07 Sentema-Sentema RBT-24h'!D20,'27.07 Sentema-SentemaRBT-24h'!D20,'28.07 Sentema-SentemaRBT'!D20)</f>
        <v>4.5714285714285712</v>
      </c>
      <c r="E20" s="49">
        <f>AVERAGE('22.07 Sentema-Sentema RBT'!E20,'23.07 Sentema-Sentema RBT'!E20,'24.07 Sentema-SentemaRBT'!E20,'25.07 Sentema-SentemaRBT'!E20,'26.07 Sentema-Sentema RBT-24h'!E20,'27.07 Sentema-SentemaRBT-24h'!E20,'28.07 Sentema-SentemaRBT'!E20)</f>
        <v>2.2857142857142856</v>
      </c>
      <c r="F20" s="49">
        <f>AVERAGE('22.07 Sentema-Sentema RBT'!F20,'23.07 Sentema-Sentema RBT'!F20,'24.07 Sentema-SentemaRBT'!F20,'25.07 Sentema-SentemaRBT'!F20,'26.07 Sentema-Sentema RBT-24h'!F20,'27.07 Sentema-SentemaRBT-24h'!F20,'28.07 Sentema-SentemaRBT'!F20)</f>
        <v>11.428571428571429</v>
      </c>
      <c r="G20" s="49">
        <f>AVERAGE('22.07 Sentema-Sentema RBT'!G20,'23.07 Sentema-Sentema RBT'!G20,'24.07 Sentema-SentemaRBT'!G20,'25.07 Sentema-SentemaRBT'!G20,'26.07 Sentema-Sentema RBT-24h'!G20,'27.07 Sentema-SentemaRBT-24h'!G20,'28.07 Sentema-SentemaRBT'!G20)</f>
        <v>0</v>
      </c>
      <c r="H20" s="49">
        <f>AVERAGE('22.07 Sentema-Sentema RBT'!H20,'23.07 Sentema-Sentema RBT'!H20,'24.07 Sentema-SentemaRBT'!H20,'25.07 Sentema-SentemaRBT'!H20,'26.07 Sentema-Sentema RBT-24h'!H20,'27.07 Sentema-SentemaRBT-24h'!H20,'28.07 Sentema-SentemaRBT'!H20)</f>
        <v>0</v>
      </c>
      <c r="I20" s="49">
        <f>AVERAGE('22.07 Sentema-Sentema RBT'!I20,'23.07 Sentema-Sentema RBT'!I20,'24.07 Sentema-SentemaRBT'!I20,'25.07 Sentema-SentemaRBT'!I20,'26.07 Sentema-Sentema RBT-24h'!I20,'27.07 Sentema-SentemaRBT-24h'!I20,'28.07 Sentema-SentemaRBT'!I20)</f>
        <v>2.1428571428571428</v>
      </c>
      <c r="J20" s="49">
        <f>AVERAGE('22.07 Sentema-Sentema RBT'!J20,'23.07 Sentema-Sentema RBT'!J20,'24.07 Sentema-SentemaRBT'!J20,'25.07 Sentema-SentemaRBT'!J20,'26.07 Sentema-Sentema RBT-24h'!J20,'27.07 Sentema-SentemaRBT-24h'!J20,'28.07 Sentema-SentemaRBT'!J20)</f>
        <v>1.2857142857142858</v>
      </c>
      <c r="K20" s="49">
        <f>AVERAGE('22.07 Sentema-Sentema RBT'!K20,'23.07 Sentema-Sentema RBT'!K20,'24.07 Sentema-SentemaRBT'!K20,'25.07 Sentema-SentemaRBT'!K20,'26.07 Sentema-Sentema RBT-24h'!K20,'27.07 Sentema-SentemaRBT-24h'!K20,'28.07 Sentema-SentemaRBT'!K20)</f>
        <v>0.14285714285714285</v>
      </c>
      <c r="L20" s="49">
        <f>AVERAGE('22.07 Sentema-Sentema RBT'!L20,'23.07 Sentema-Sentema RBT'!L20,'24.07 Sentema-SentemaRBT'!L20,'25.07 Sentema-SentemaRBT'!L20,'26.07 Sentema-Sentema RBT-24h'!L20,'27.07 Sentema-SentemaRBT-24h'!L20,'28.07 Sentema-SentemaRBT'!L20)</f>
        <v>0.42857142857142855</v>
      </c>
      <c r="M20" s="49">
        <f>AVERAGE('22.07 Sentema-Sentema RBT'!M20,'23.07 Sentema-Sentema RBT'!M20,'24.07 Sentema-SentemaRBT'!M20,'25.07 Sentema-SentemaRBT'!M20,'26.07 Sentema-Sentema RBT-24h'!M20,'27.07 Sentema-SentemaRBT-24h'!M20,'28.07 Sentema-SentemaRBT'!M20)</f>
        <v>56.428571428571431</v>
      </c>
      <c r="N20" s="49">
        <f>AVERAGE('22.07 Sentema-Sentema RBT'!N20,'23.07 Sentema-Sentema RBT'!N20,'24.07 Sentema-SentemaRBT'!N20,'25.07 Sentema-SentemaRBT'!N20,'26.07 Sentema-Sentema RBT-24h'!N20,'27.07 Sentema-SentemaRBT-24h'!N20,'28.07 Sentema-SentemaRBT'!N20)</f>
        <v>0</v>
      </c>
      <c r="O20" s="15">
        <f t="shared" si="0"/>
        <v>47.714285714285722</v>
      </c>
      <c r="P20" s="15">
        <f t="shared" si="1"/>
        <v>104.14285714285715</v>
      </c>
      <c r="R20" s="1" t="s">
        <v>16</v>
      </c>
      <c r="S20" s="17">
        <f t="shared" ref="S20:AF20" si="12">SUM(C50:C53)</f>
        <v>55.571428571428569</v>
      </c>
      <c r="T20" s="17">
        <f t="shared" si="12"/>
        <v>16.285714285714285</v>
      </c>
      <c r="U20" s="17">
        <f t="shared" si="12"/>
        <v>8.1428571428571423</v>
      </c>
      <c r="V20" s="17">
        <f t="shared" si="12"/>
        <v>30.285714285714285</v>
      </c>
      <c r="W20" s="17">
        <f t="shared" si="12"/>
        <v>1</v>
      </c>
      <c r="X20" s="17">
        <f t="shared" si="12"/>
        <v>0.42857142857142855</v>
      </c>
      <c r="Y20" s="17">
        <f t="shared" si="12"/>
        <v>9.2857142857142865</v>
      </c>
      <c r="Z20" s="17">
        <f t="shared" si="12"/>
        <v>3.8571428571428572</v>
      </c>
      <c r="AA20" s="17">
        <f t="shared" si="12"/>
        <v>0.2857142857142857</v>
      </c>
      <c r="AB20" s="17">
        <f t="shared" si="12"/>
        <v>0.2857142857142857</v>
      </c>
      <c r="AC20" s="17">
        <f t="shared" si="12"/>
        <v>213.28571428571428</v>
      </c>
      <c r="AD20" s="17">
        <f t="shared" si="12"/>
        <v>0.14285714285714285</v>
      </c>
      <c r="AE20" s="31">
        <f t="shared" si="12"/>
        <v>125.57142857142858</v>
      </c>
      <c r="AF20" s="31">
        <f t="shared" si="12"/>
        <v>338.85714285714289</v>
      </c>
    </row>
    <row r="21" spans="2:32" ht="23.1" customHeight="1" x14ac:dyDescent="0.25">
      <c r="B21" s="23" t="s">
        <v>48</v>
      </c>
      <c r="C21" s="49">
        <f>AVERAGE('22.07 Sentema-Sentema RBT'!C21,'23.07 Sentema-Sentema RBT'!C21,'24.07 Sentema-SentemaRBT'!C21,'25.07 Sentema-SentemaRBT'!C21,'26.07 Sentema-Sentema RBT-24h'!C21,'27.07 Sentema-SentemaRBT-24h'!C21,'28.07 Sentema-SentemaRBT'!C21)</f>
        <v>24</v>
      </c>
      <c r="D21" s="49">
        <f>AVERAGE('22.07 Sentema-Sentema RBT'!D21,'23.07 Sentema-Sentema RBT'!D21,'24.07 Sentema-SentemaRBT'!D21,'25.07 Sentema-SentemaRBT'!D21,'26.07 Sentema-Sentema RBT-24h'!D21,'27.07 Sentema-SentemaRBT-24h'!D21,'28.07 Sentema-SentemaRBT'!D21)</f>
        <v>4.7142857142857144</v>
      </c>
      <c r="E21" s="49">
        <f>AVERAGE('22.07 Sentema-Sentema RBT'!E21,'23.07 Sentema-Sentema RBT'!E21,'24.07 Sentema-SentemaRBT'!E21,'25.07 Sentema-SentemaRBT'!E21,'26.07 Sentema-Sentema RBT-24h'!E21,'27.07 Sentema-SentemaRBT-24h'!E21,'28.07 Sentema-SentemaRBT'!E21)</f>
        <v>2.5714285714285716</v>
      </c>
      <c r="F21" s="49">
        <f>AVERAGE('22.07 Sentema-Sentema RBT'!F21,'23.07 Sentema-Sentema RBT'!F21,'24.07 Sentema-SentemaRBT'!F21,'25.07 Sentema-SentemaRBT'!F21,'26.07 Sentema-Sentema RBT-24h'!F21,'27.07 Sentema-SentemaRBT-24h'!F21,'28.07 Sentema-SentemaRBT'!F21)</f>
        <v>10.857142857142858</v>
      </c>
      <c r="G21" s="49">
        <f>AVERAGE('22.07 Sentema-Sentema RBT'!G21,'23.07 Sentema-Sentema RBT'!G21,'24.07 Sentema-SentemaRBT'!G21,'25.07 Sentema-SentemaRBT'!G21,'26.07 Sentema-Sentema RBT-24h'!G21,'27.07 Sentema-SentemaRBT-24h'!G21,'28.07 Sentema-SentemaRBT'!G21)</f>
        <v>0</v>
      </c>
      <c r="H21" s="49">
        <f>AVERAGE('22.07 Sentema-Sentema RBT'!H21,'23.07 Sentema-Sentema RBT'!H21,'24.07 Sentema-SentemaRBT'!H21,'25.07 Sentema-SentemaRBT'!H21,'26.07 Sentema-Sentema RBT-24h'!H21,'27.07 Sentema-SentemaRBT-24h'!H21,'28.07 Sentema-SentemaRBT'!H21)</f>
        <v>0</v>
      </c>
      <c r="I21" s="49">
        <f>AVERAGE('22.07 Sentema-Sentema RBT'!I21,'23.07 Sentema-Sentema RBT'!I21,'24.07 Sentema-SentemaRBT'!I21,'25.07 Sentema-SentemaRBT'!I21,'26.07 Sentema-Sentema RBT-24h'!I21,'27.07 Sentema-SentemaRBT-24h'!I21,'28.07 Sentema-SentemaRBT'!I21)</f>
        <v>3.2857142857142856</v>
      </c>
      <c r="J21" s="49">
        <f>AVERAGE('22.07 Sentema-Sentema RBT'!J21,'23.07 Sentema-Sentema RBT'!J21,'24.07 Sentema-SentemaRBT'!J21,'25.07 Sentema-SentemaRBT'!J21,'26.07 Sentema-Sentema RBT-24h'!J21,'27.07 Sentema-SentemaRBT-24h'!J21,'28.07 Sentema-SentemaRBT'!J21)</f>
        <v>2</v>
      </c>
      <c r="K21" s="49">
        <f>AVERAGE('22.07 Sentema-Sentema RBT'!K21,'23.07 Sentema-Sentema RBT'!K21,'24.07 Sentema-SentemaRBT'!K21,'25.07 Sentema-SentemaRBT'!K21,'26.07 Sentema-Sentema RBT-24h'!K21,'27.07 Sentema-SentemaRBT-24h'!K21,'28.07 Sentema-SentemaRBT'!K21)</f>
        <v>0.14285714285714285</v>
      </c>
      <c r="L21" s="49">
        <f>AVERAGE('22.07 Sentema-Sentema RBT'!L21,'23.07 Sentema-Sentema RBT'!L21,'24.07 Sentema-SentemaRBT'!L21,'25.07 Sentema-SentemaRBT'!L21,'26.07 Sentema-Sentema RBT-24h'!L21,'27.07 Sentema-SentemaRBT-24h'!L21,'28.07 Sentema-SentemaRBT'!L21)</f>
        <v>0</v>
      </c>
      <c r="M21" s="49">
        <f>AVERAGE('22.07 Sentema-Sentema RBT'!M21,'23.07 Sentema-Sentema RBT'!M21,'24.07 Sentema-SentemaRBT'!M21,'25.07 Sentema-SentemaRBT'!M21,'26.07 Sentema-Sentema RBT-24h'!M21,'27.07 Sentema-SentemaRBT-24h'!M21,'28.07 Sentema-SentemaRBT'!M21)</f>
        <v>54.857142857142854</v>
      </c>
      <c r="N21" s="49">
        <f>AVERAGE('22.07 Sentema-Sentema RBT'!N21,'23.07 Sentema-Sentema RBT'!N21,'24.07 Sentema-SentemaRBT'!N21,'25.07 Sentema-SentemaRBT'!N21,'26.07 Sentema-Sentema RBT-24h'!N21,'27.07 Sentema-SentemaRBT-24h'!N21,'28.07 Sentema-SentemaRBT'!N21)</f>
        <v>0</v>
      </c>
      <c r="O21" s="15">
        <f t="shared" si="0"/>
        <v>47.571428571428577</v>
      </c>
      <c r="P21" s="15">
        <f t="shared" si="1"/>
        <v>102.42857142857143</v>
      </c>
      <c r="R21" s="1" t="s">
        <v>20</v>
      </c>
      <c r="S21" s="34">
        <f t="shared" ref="S21:AF21" si="13">SUM(C54:C57)</f>
        <v>43.285714285714292</v>
      </c>
      <c r="T21" s="17">
        <f t="shared" si="13"/>
        <v>16.714285714285715</v>
      </c>
      <c r="U21" s="17">
        <f t="shared" si="13"/>
        <v>6.8571428571428577</v>
      </c>
      <c r="V21" s="17">
        <f t="shared" si="13"/>
        <v>42.714285714285715</v>
      </c>
      <c r="W21" s="17">
        <f t="shared" si="13"/>
        <v>2.2857142857142856</v>
      </c>
      <c r="X21" s="17">
        <f t="shared" si="13"/>
        <v>0.71428571428571419</v>
      </c>
      <c r="Y21" s="17">
        <f t="shared" si="13"/>
        <v>10.571428571428571</v>
      </c>
      <c r="Z21" s="17">
        <f t="shared" si="13"/>
        <v>3.8571428571428568</v>
      </c>
      <c r="AA21" s="17">
        <f t="shared" si="13"/>
        <v>0.5714285714285714</v>
      </c>
      <c r="AB21" s="17">
        <f t="shared" si="13"/>
        <v>0.42857142857142855</v>
      </c>
      <c r="AC21" s="17">
        <f t="shared" si="13"/>
        <v>231.47619047619048</v>
      </c>
      <c r="AD21" s="17">
        <f t="shared" si="13"/>
        <v>0</v>
      </c>
      <c r="AE21" s="31">
        <f t="shared" si="13"/>
        <v>128</v>
      </c>
      <c r="AF21" s="31">
        <f t="shared" si="13"/>
        <v>359.47619047619048</v>
      </c>
    </row>
    <row r="22" spans="2:32" ht="23.1" customHeight="1" x14ac:dyDescent="0.25">
      <c r="B22" s="23" t="s">
        <v>49</v>
      </c>
      <c r="C22" s="49">
        <f>AVERAGE('22.07 Sentema-Sentema RBT'!C22,'23.07 Sentema-Sentema RBT'!C22,'24.07 Sentema-SentemaRBT'!C22,'25.07 Sentema-SentemaRBT'!C22,'26.07 Sentema-Sentema RBT-24h'!C22,'27.07 Sentema-SentemaRBT-24h'!C22,'28.07 Sentema-SentemaRBT'!C22)</f>
        <v>22.142857142857142</v>
      </c>
      <c r="D22" s="49">
        <f>AVERAGE('22.07 Sentema-Sentema RBT'!D22,'23.07 Sentema-Sentema RBT'!D22,'24.07 Sentema-SentemaRBT'!D22,'25.07 Sentema-SentemaRBT'!D22,'26.07 Sentema-Sentema RBT-24h'!D22,'27.07 Sentema-SentemaRBT-24h'!D22,'28.07 Sentema-SentemaRBT'!D22)</f>
        <v>6</v>
      </c>
      <c r="E22" s="49">
        <f>AVERAGE('22.07 Sentema-Sentema RBT'!E22,'23.07 Sentema-Sentema RBT'!E22,'24.07 Sentema-SentemaRBT'!E22,'25.07 Sentema-SentemaRBT'!E22,'26.07 Sentema-Sentema RBT-24h'!E22,'27.07 Sentema-SentemaRBT-24h'!E22,'28.07 Sentema-SentemaRBT'!E22)</f>
        <v>2.2857142857142856</v>
      </c>
      <c r="F22" s="49">
        <f>AVERAGE('22.07 Sentema-Sentema RBT'!F22,'23.07 Sentema-Sentema RBT'!F22,'24.07 Sentema-SentemaRBT'!F22,'25.07 Sentema-SentemaRBT'!F22,'26.07 Sentema-Sentema RBT-24h'!F22,'27.07 Sentema-SentemaRBT-24h'!F22,'28.07 Sentema-SentemaRBT'!F22)</f>
        <v>12.142857142857142</v>
      </c>
      <c r="G22" s="49">
        <f>AVERAGE('22.07 Sentema-Sentema RBT'!G22,'23.07 Sentema-Sentema RBT'!G22,'24.07 Sentema-SentemaRBT'!G22,'25.07 Sentema-SentemaRBT'!G22,'26.07 Sentema-Sentema RBT-24h'!G22,'27.07 Sentema-SentemaRBT-24h'!G22,'28.07 Sentema-SentemaRBT'!G22)</f>
        <v>0.7142857142857143</v>
      </c>
      <c r="H22" s="49">
        <f>AVERAGE('22.07 Sentema-Sentema RBT'!H22,'23.07 Sentema-Sentema RBT'!H22,'24.07 Sentema-SentemaRBT'!H22,'25.07 Sentema-SentemaRBT'!H22,'26.07 Sentema-Sentema RBT-24h'!H22,'27.07 Sentema-SentemaRBT-24h'!H22,'28.07 Sentema-SentemaRBT'!H22)</f>
        <v>0.14285714285714285</v>
      </c>
      <c r="I22" s="49">
        <f>AVERAGE('22.07 Sentema-Sentema RBT'!I22,'23.07 Sentema-Sentema RBT'!I22,'24.07 Sentema-SentemaRBT'!I22,'25.07 Sentema-SentemaRBT'!I22,'26.07 Sentema-Sentema RBT-24h'!I22,'27.07 Sentema-SentemaRBT-24h'!I22,'28.07 Sentema-SentemaRBT'!I22)</f>
        <v>5.5714285714285712</v>
      </c>
      <c r="J22" s="49">
        <f>AVERAGE('22.07 Sentema-Sentema RBT'!J22,'23.07 Sentema-Sentema RBT'!J22,'24.07 Sentema-SentemaRBT'!J22,'25.07 Sentema-SentemaRBT'!J22,'26.07 Sentema-Sentema RBT-24h'!J22,'27.07 Sentema-SentemaRBT-24h'!J22,'28.07 Sentema-SentemaRBT'!J22)</f>
        <v>2.4285714285714284</v>
      </c>
      <c r="K22" s="49">
        <f>AVERAGE('22.07 Sentema-Sentema RBT'!K22,'23.07 Sentema-Sentema RBT'!K22,'24.07 Sentema-SentemaRBT'!K22,'25.07 Sentema-SentemaRBT'!K22,'26.07 Sentema-Sentema RBT-24h'!K22,'27.07 Sentema-SentemaRBT-24h'!K22,'28.07 Sentema-SentemaRBT'!K22)</f>
        <v>0</v>
      </c>
      <c r="L22" s="49">
        <f>AVERAGE('22.07 Sentema-Sentema RBT'!L22,'23.07 Sentema-Sentema RBT'!L22,'24.07 Sentema-SentemaRBT'!L22,'25.07 Sentema-SentemaRBT'!L22,'26.07 Sentema-Sentema RBT-24h'!L22,'27.07 Sentema-SentemaRBT-24h'!L22,'28.07 Sentema-SentemaRBT'!L22)</f>
        <v>0</v>
      </c>
      <c r="M22" s="49">
        <f>AVERAGE('22.07 Sentema-Sentema RBT'!M22,'23.07 Sentema-Sentema RBT'!M22,'24.07 Sentema-SentemaRBT'!M22,'25.07 Sentema-SentemaRBT'!M22,'26.07 Sentema-Sentema RBT-24h'!M22,'27.07 Sentema-SentemaRBT-24h'!M22,'28.07 Sentema-SentemaRBT'!M22)</f>
        <v>60.428571428571431</v>
      </c>
      <c r="N22" s="49">
        <f>AVERAGE('22.07 Sentema-Sentema RBT'!N22,'23.07 Sentema-Sentema RBT'!N22,'24.07 Sentema-SentemaRBT'!N22,'25.07 Sentema-SentemaRBT'!N22,'26.07 Sentema-Sentema RBT-24h'!N22,'27.07 Sentema-SentemaRBT-24h'!N22,'28.07 Sentema-SentemaRBT'!N22)</f>
        <v>0</v>
      </c>
      <c r="O22" s="15">
        <f t="shared" si="0"/>
        <v>51.428571428571431</v>
      </c>
      <c r="P22" s="15">
        <f t="shared" si="1"/>
        <v>111.85714285714286</v>
      </c>
      <c r="R22" s="1" t="s">
        <v>146</v>
      </c>
      <c r="S22" s="34">
        <f>SUM(C58:C61)</f>
        <v>52</v>
      </c>
      <c r="T22" s="34">
        <f t="shared" ref="T22:AF22" si="14">SUM(D58:D61)</f>
        <v>10.5</v>
      </c>
      <c r="U22" s="34">
        <f t="shared" si="14"/>
        <v>5</v>
      </c>
      <c r="V22" s="34">
        <f t="shared" si="14"/>
        <v>35.5</v>
      </c>
      <c r="W22" s="34">
        <f t="shared" si="14"/>
        <v>1</v>
      </c>
      <c r="X22" s="34">
        <f t="shared" si="14"/>
        <v>1</v>
      </c>
      <c r="Y22" s="34">
        <f t="shared" si="14"/>
        <v>6</v>
      </c>
      <c r="Z22" s="34">
        <f t="shared" si="14"/>
        <v>3</v>
      </c>
      <c r="AA22" s="34">
        <f t="shared" si="14"/>
        <v>0.5</v>
      </c>
      <c r="AB22" s="34">
        <f t="shared" si="14"/>
        <v>0</v>
      </c>
      <c r="AC22" s="34">
        <f t="shared" si="14"/>
        <v>150.5</v>
      </c>
      <c r="AD22" s="34">
        <f t="shared" si="14"/>
        <v>0</v>
      </c>
      <c r="AE22" s="31">
        <f t="shared" si="14"/>
        <v>114.5</v>
      </c>
      <c r="AF22" s="31">
        <f t="shared" si="14"/>
        <v>265</v>
      </c>
    </row>
    <row r="23" spans="2:32" ht="23.1" customHeight="1" x14ac:dyDescent="0.25">
      <c r="B23" s="23" t="s">
        <v>50</v>
      </c>
      <c r="C23" s="49">
        <f>AVERAGE('22.07 Sentema-Sentema RBT'!C23,'23.07 Sentema-Sentema RBT'!C23,'24.07 Sentema-SentemaRBT'!C23,'25.07 Sentema-SentemaRBT'!C23,'26.07 Sentema-Sentema RBT-24h'!C23,'27.07 Sentema-SentemaRBT-24h'!C23,'28.07 Sentema-SentemaRBT'!C23)</f>
        <v>24.142857142857142</v>
      </c>
      <c r="D23" s="49">
        <f>AVERAGE('22.07 Sentema-Sentema RBT'!D23,'23.07 Sentema-Sentema RBT'!D23,'24.07 Sentema-SentemaRBT'!D23,'25.07 Sentema-SentemaRBT'!D23,'26.07 Sentema-Sentema RBT-24h'!D23,'27.07 Sentema-SentemaRBT-24h'!D23,'28.07 Sentema-SentemaRBT'!D23)</f>
        <v>5.2857142857142856</v>
      </c>
      <c r="E23" s="49">
        <f>AVERAGE('22.07 Sentema-Sentema RBT'!E23,'23.07 Sentema-Sentema RBT'!E23,'24.07 Sentema-SentemaRBT'!E23,'25.07 Sentema-SentemaRBT'!E23,'26.07 Sentema-Sentema RBT-24h'!E23,'27.07 Sentema-SentemaRBT-24h'!E23,'28.07 Sentema-SentemaRBT'!E23)</f>
        <v>4.2857142857142856</v>
      </c>
      <c r="F23" s="49">
        <f>AVERAGE('22.07 Sentema-Sentema RBT'!F23,'23.07 Sentema-Sentema RBT'!F23,'24.07 Sentema-SentemaRBT'!F23,'25.07 Sentema-SentemaRBT'!F23,'26.07 Sentema-Sentema RBT-24h'!F23,'27.07 Sentema-SentemaRBT-24h'!F23,'28.07 Sentema-SentemaRBT'!F23)</f>
        <v>13</v>
      </c>
      <c r="G23" s="49">
        <f>AVERAGE('22.07 Sentema-Sentema RBT'!G23,'23.07 Sentema-Sentema RBT'!G23,'24.07 Sentema-SentemaRBT'!G23,'25.07 Sentema-SentemaRBT'!G23,'26.07 Sentema-Sentema RBT-24h'!G23,'27.07 Sentema-SentemaRBT-24h'!G23,'28.07 Sentema-SentemaRBT'!G23)</f>
        <v>0</v>
      </c>
      <c r="H23" s="49">
        <f>AVERAGE('22.07 Sentema-Sentema RBT'!H23,'23.07 Sentema-Sentema RBT'!H23,'24.07 Sentema-SentemaRBT'!H23,'25.07 Sentema-SentemaRBT'!H23,'26.07 Sentema-Sentema RBT-24h'!H23,'27.07 Sentema-SentemaRBT-24h'!H23,'28.07 Sentema-SentemaRBT'!H23)</f>
        <v>0</v>
      </c>
      <c r="I23" s="49">
        <f>AVERAGE('22.07 Sentema-Sentema RBT'!I23,'23.07 Sentema-Sentema RBT'!I23,'24.07 Sentema-SentemaRBT'!I23,'25.07 Sentema-SentemaRBT'!I23,'26.07 Sentema-Sentema RBT-24h'!I23,'27.07 Sentema-SentemaRBT-24h'!I23,'28.07 Sentema-SentemaRBT'!I23)</f>
        <v>4.7142857142857144</v>
      </c>
      <c r="J23" s="49">
        <f>AVERAGE('22.07 Sentema-Sentema RBT'!J23,'23.07 Sentema-Sentema RBT'!J23,'24.07 Sentema-SentemaRBT'!J23,'25.07 Sentema-SentemaRBT'!J23,'26.07 Sentema-Sentema RBT-24h'!J23,'27.07 Sentema-SentemaRBT-24h'!J23,'28.07 Sentema-SentemaRBT'!J23)</f>
        <v>2.2857142857142856</v>
      </c>
      <c r="K23" s="49">
        <f>AVERAGE('22.07 Sentema-Sentema RBT'!K23,'23.07 Sentema-Sentema RBT'!K23,'24.07 Sentema-SentemaRBT'!K23,'25.07 Sentema-SentemaRBT'!K23,'26.07 Sentema-Sentema RBT-24h'!K23,'27.07 Sentema-SentemaRBT-24h'!K23,'28.07 Sentema-SentemaRBT'!K23)</f>
        <v>0.14285714285714285</v>
      </c>
      <c r="L23" s="49">
        <f>AVERAGE('22.07 Sentema-Sentema RBT'!L23,'23.07 Sentema-Sentema RBT'!L23,'24.07 Sentema-SentemaRBT'!L23,'25.07 Sentema-SentemaRBT'!L23,'26.07 Sentema-Sentema RBT-24h'!L23,'27.07 Sentema-SentemaRBT-24h'!L23,'28.07 Sentema-SentemaRBT'!L23)</f>
        <v>0.2857142857142857</v>
      </c>
      <c r="M23" s="49">
        <f>AVERAGE('22.07 Sentema-Sentema RBT'!M23,'23.07 Sentema-Sentema RBT'!M23,'24.07 Sentema-SentemaRBT'!M23,'25.07 Sentema-SentemaRBT'!M23,'26.07 Sentema-Sentema RBT-24h'!M23,'27.07 Sentema-SentemaRBT-24h'!M23,'28.07 Sentema-SentemaRBT'!M23)</f>
        <v>57.285714285714285</v>
      </c>
      <c r="N23" s="49">
        <f>AVERAGE('22.07 Sentema-Sentema RBT'!N23,'23.07 Sentema-Sentema RBT'!N23,'24.07 Sentema-SentemaRBT'!N23,'25.07 Sentema-SentemaRBT'!N23,'26.07 Sentema-Sentema RBT-24h'!N23,'27.07 Sentema-SentemaRBT-24h'!N23,'28.07 Sentema-SentemaRBT'!N23)</f>
        <v>0</v>
      </c>
      <c r="O23" s="15">
        <f t="shared" si="0"/>
        <v>54.142857142857146</v>
      </c>
      <c r="P23" s="15">
        <f t="shared" si="1"/>
        <v>111.42857142857143</v>
      </c>
      <c r="R23" s="1" t="s">
        <v>147</v>
      </c>
      <c r="S23" s="34">
        <f>SUM(C62:C65)</f>
        <v>50.5</v>
      </c>
      <c r="T23" s="34">
        <f t="shared" ref="T23:AF23" si="15">SUM(D62:D65)</f>
        <v>5.5</v>
      </c>
      <c r="U23" s="34">
        <f t="shared" si="15"/>
        <v>6</v>
      </c>
      <c r="V23" s="34">
        <f t="shared" si="15"/>
        <v>55</v>
      </c>
      <c r="W23" s="34">
        <f t="shared" si="15"/>
        <v>0.5</v>
      </c>
      <c r="X23" s="34">
        <f t="shared" si="15"/>
        <v>1</v>
      </c>
      <c r="Y23" s="34">
        <f t="shared" si="15"/>
        <v>6</v>
      </c>
      <c r="Z23" s="34">
        <f t="shared" si="15"/>
        <v>2.5</v>
      </c>
      <c r="AA23" s="34">
        <f t="shared" si="15"/>
        <v>0</v>
      </c>
      <c r="AB23" s="34">
        <f t="shared" si="15"/>
        <v>0</v>
      </c>
      <c r="AC23" s="34">
        <f t="shared" si="15"/>
        <v>115</v>
      </c>
      <c r="AD23" s="34">
        <f t="shared" si="15"/>
        <v>0</v>
      </c>
      <c r="AE23" s="31">
        <f t="shared" si="15"/>
        <v>127</v>
      </c>
      <c r="AF23" s="31">
        <f t="shared" si="15"/>
        <v>242</v>
      </c>
    </row>
    <row r="24" spans="2:32" ht="23.1" customHeight="1" x14ac:dyDescent="0.25">
      <c r="B24" s="23" t="s">
        <v>51</v>
      </c>
      <c r="C24" s="49">
        <f>AVERAGE('22.07 Sentema-Sentema RBT'!C24,'23.07 Sentema-Sentema RBT'!C24,'24.07 Sentema-SentemaRBT'!C24,'25.07 Sentema-SentemaRBT'!C24,'26.07 Sentema-Sentema RBT-24h'!C24,'27.07 Sentema-SentemaRBT-24h'!C24,'28.07 Sentema-SentemaRBT'!C24)</f>
        <v>19.714285714285715</v>
      </c>
      <c r="D24" s="49">
        <f>AVERAGE('22.07 Sentema-Sentema RBT'!D24,'23.07 Sentema-Sentema RBT'!D24,'24.07 Sentema-SentemaRBT'!D24,'25.07 Sentema-SentemaRBT'!D24,'26.07 Sentema-Sentema RBT-24h'!D24,'27.07 Sentema-SentemaRBT-24h'!D24,'28.07 Sentema-SentemaRBT'!D24)</f>
        <v>5.7142857142857144</v>
      </c>
      <c r="E24" s="49">
        <f>AVERAGE('22.07 Sentema-Sentema RBT'!E24,'23.07 Sentema-Sentema RBT'!E24,'24.07 Sentema-SentemaRBT'!E24,'25.07 Sentema-SentemaRBT'!E24,'26.07 Sentema-Sentema RBT-24h'!E24,'27.07 Sentema-SentemaRBT-24h'!E24,'28.07 Sentema-SentemaRBT'!E24)</f>
        <v>2.7142857142857144</v>
      </c>
      <c r="F24" s="49">
        <f>AVERAGE('22.07 Sentema-Sentema RBT'!F24,'23.07 Sentema-Sentema RBT'!F24,'24.07 Sentema-SentemaRBT'!F24,'25.07 Sentema-SentemaRBT'!F24,'26.07 Sentema-Sentema RBT-24h'!F24,'27.07 Sentema-SentemaRBT-24h'!F24,'28.07 Sentema-SentemaRBT'!F24)</f>
        <v>10</v>
      </c>
      <c r="G24" s="49">
        <f>AVERAGE('22.07 Sentema-Sentema RBT'!G24,'23.07 Sentema-Sentema RBT'!G24,'24.07 Sentema-SentemaRBT'!G24,'25.07 Sentema-SentemaRBT'!G24,'26.07 Sentema-Sentema RBT-24h'!G24,'27.07 Sentema-SentemaRBT-24h'!G24,'28.07 Sentema-SentemaRBT'!G24)</f>
        <v>0</v>
      </c>
      <c r="H24" s="49">
        <f>AVERAGE('22.07 Sentema-Sentema RBT'!H24,'23.07 Sentema-Sentema RBT'!H24,'24.07 Sentema-SentemaRBT'!H24,'25.07 Sentema-SentemaRBT'!H24,'26.07 Sentema-Sentema RBT-24h'!H24,'27.07 Sentema-SentemaRBT-24h'!H24,'28.07 Sentema-SentemaRBT'!H24)</f>
        <v>0</v>
      </c>
      <c r="I24" s="49">
        <f>AVERAGE('22.07 Sentema-Sentema RBT'!I24,'23.07 Sentema-Sentema RBT'!I24,'24.07 Sentema-SentemaRBT'!I24,'25.07 Sentema-SentemaRBT'!I24,'26.07 Sentema-Sentema RBT-24h'!I24,'27.07 Sentema-SentemaRBT-24h'!I24,'28.07 Sentema-SentemaRBT'!I24)</f>
        <v>3.1428571428571428</v>
      </c>
      <c r="J24" s="49">
        <f>AVERAGE('22.07 Sentema-Sentema RBT'!J24,'23.07 Sentema-Sentema RBT'!J24,'24.07 Sentema-SentemaRBT'!J24,'25.07 Sentema-SentemaRBT'!J24,'26.07 Sentema-Sentema RBT-24h'!J24,'27.07 Sentema-SentemaRBT-24h'!J24,'28.07 Sentema-SentemaRBT'!J24)</f>
        <v>1.7142857142857142</v>
      </c>
      <c r="K24" s="49">
        <f>AVERAGE('22.07 Sentema-Sentema RBT'!K24,'23.07 Sentema-Sentema RBT'!K24,'24.07 Sentema-SentemaRBT'!K24,'25.07 Sentema-SentemaRBT'!K24,'26.07 Sentema-Sentema RBT-24h'!K24,'27.07 Sentema-SentemaRBT-24h'!K24,'28.07 Sentema-SentemaRBT'!K24)</f>
        <v>0.5714285714285714</v>
      </c>
      <c r="L24" s="49">
        <f>AVERAGE('22.07 Sentema-Sentema RBT'!L24,'23.07 Sentema-Sentema RBT'!L24,'24.07 Sentema-SentemaRBT'!L24,'25.07 Sentema-SentemaRBT'!L24,'26.07 Sentema-Sentema RBT-24h'!L24,'27.07 Sentema-SentemaRBT-24h'!L24,'28.07 Sentema-SentemaRBT'!L24)</f>
        <v>0.5714285714285714</v>
      </c>
      <c r="M24" s="49">
        <f>AVERAGE('22.07 Sentema-Sentema RBT'!M24,'23.07 Sentema-Sentema RBT'!M24,'24.07 Sentema-SentemaRBT'!M24,'25.07 Sentema-SentemaRBT'!M24,'26.07 Sentema-Sentema RBT-24h'!M24,'27.07 Sentema-SentemaRBT-24h'!M24,'28.07 Sentema-SentemaRBT'!M24)</f>
        <v>55.428571428571431</v>
      </c>
      <c r="N24" s="49">
        <f>AVERAGE('22.07 Sentema-Sentema RBT'!N24,'23.07 Sentema-Sentema RBT'!N24,'24.07 Sentema-SentemaRBT'!N24,'25.07 Sentema-SentemaRBT'!N24,'26.07 Sentema-Sentema RBT-24h'!N24,'27.07 Sentema-SentemaRBT-24h'!N24,'28.07 Sentema-SentemaRBT'!N24)</f>
        <v>0</v>
      </c>
      <c r="O24" s="15">
        <f t="shared" si="0"/>
        <v>44.142857142857146</v>
      </c>
      <c r="P24" s="15">
        <f t="shared" si="1"/>
        <v>99.571428571428584</v>
      </c>
      <c r="R24" s="1" t="s">
        <v>148</v>
      </c>
      <c r="S24" s="34">
        <f>SUM(C66:C69)</f>
        <v>12.5</v>
      </c>
      <c r="T24" s="34">
        <f t="shared" ref="T24:AF24" si="16">SUM(D66:D69)</f>
        <v>1.5</v>
      </c>
      <c r="U24" s="34">
        <f t="shared" si="16"/>
        <v>2.5</v>
      </c>
      <c r="V24" s="34">
        <f t="shared" si="16"/>
        <v>7.5</v>
      </c>
      <c r="W24" s="34">
        <f t="shared" si="16"/>
        <v>0</v>
      </c>
      <c r="X24" s="34">
        <f t="shared" si="16"/>
        <v>0</v>
      </c>
      <c r="Y24" s="34">
        <f t="shared" si="16"/>
        <v>1</v>
      </c>
      <c r="Z24" s="34">
        <f t="shared" si="16"/>
        <v>0</v>
      </c>
      <c r="AA24" s="34">
        <f t="shared" si="16"/>
        <v>0.5</v>
      </c>
      <c r="AB24" s="34">
        <f t="shared" si="16"/>
        <v>0.5</v>
      </c>
      <c r="AC24" s="34">
        <f t="shared" si="16"/>
        <v>38.5</v>
      </c>
      <c r="AD24" s="34">
        <f t="shared" si="16"/>
        <v>0</v>
      </c>
      <c r="AE24" s="31">
        <f t="shared" si="16"/>
        <v>26</v>
      </c>
      <c r="AF24" s="31">
        <f t="shared" si="16"/>
        <v>64.5</v>
      </c>
    </row>
    <row r="25" spans="2:32" ht="23.1" customHeight="1" x14ac:dyDescent="0.25">
      <c r="B25" s="23" t="s">
        <v>52</v>
      </c>
      <c r="C25" s="49">
        <f>AVERAGE('22.07 Sentema-Sentema RBT'!C25,'23.07 Sentema-Sentema RBT'!C25,'24.07 Sentema-SentemaRBT'!C25,'25.07 Sentema-SentemaRBT'!C25,'26.07 Sentema-Sentema RBT-24h'!C25,'27.07 Sentema-SentemaRBT-24h'!C25,'28.07 Sentema-SentemaRBT'!C25)</f>
        <v>23.857142857142858</v>
      </c>
      <c r="D25" s="49">
        <f>AVERAGE('22.07 Sentema-Sentema RBT'!D25,'23.07 Sentema-Sentema RBT'!D25,'24.07 Sentema-SentemaRBT'!D25,'25.07 Sentema-SentemaRBT'!D25,'26.07 Sentema-Sentema RBT-24h'!D25,'27.07 Sentema-SentemaRBT-24h'!D25,'28.07 Sentema-SentemaRBT'!D25)</f>
        <v>4.7142857142857144</v>
      </c>
      <c r="E25" s="49">
        <f>AVERAGE('22.07 Sentema-Sentema RBT'!E25,'23.07 Sentema-Sentema RBT'!E25,'24.07 Sentema-SentemaRBT'!E25,'25.07 Sentema-SentemaRBT'!E25,'26.07 Sentema-Sentema RBT-24h'!E25,'27.07 Sentema-SentemaRBT-24h'!E25,'28.07 Sentema-SentemaRBT'!E25)</f>
        <v>2.7142857142857144</v>
      </c>
      <c r="F25" s="49">
        <f>AVERAGE('22.07 Sentema-Sentema RBT'!F25,'23.07 Sentema-Sentema RBT'!F25,'24.07 Sentema-SentemaRBT'!F25,'25.07 Sentema-SentemaRBT'!F25,'26.07 Sentema-Sentema RBT-24h'!F25,'27.07 Sentema-SentemaRBT-24h'!F25,'28.07 Sentema-SentemaRBT'!F25)</f>
        <v>9.8571428571428577</v>
      </c>
      <c r="G25" s="49">
        <f>AVERAGE('22.07 Sentema-Sentema RBT'!G25,'23.07 Sentema-Sentema RBT'!G25,'24.07 Sentema-SentemaRBT'!G25,'25.07 Sentema-SentemaRBT'!G25,'26.07 Sentema-Sentema RBT-24h'!G25,'27.07 Sentema-SentemaRBT-24h'!G25,'28.07 Sentema-SentemaRBT'!G25)</f>
        <v>0.14285714285714285</v>
      </c>
      <c r="H25" s="49">
        <f>AVERAGE('22.07 Sentema-Sentema RBT'!H25,'23.07 Sentema-Sentema RBT'!H25,'24.07 Sentema-SentemaRBT'!H25,'25.07 Sentema-SentemaRBT'!H25,'26.07 Sentema-Sentema RBT-24h'!H25,'27.07 Sentema-SentemaRBT-24h'!H25,'28.07 Sentema-SentemaRBT'!H25)</f>
        <v>0</v>
      </c>
      <c r="I25" s="49">
        <f>AVERAGE('22.07 Sentema-Sentema RBT'!I25,'23.07 Sentema-Sentema RBT'!I25,'24.07 Sentema-SentemaRBT'!I25,'25.07 Sentema-SentemaRBT'!I25,'26.07 Sentema-Sentema RBT-24h'!I25,'27.07 Sentema-SentemaRBT-24h'!I25,'28.07 Sentema-SentemaRBT'!I25)</f>
        <v>3.5714285714285716</v>
      </c>
      <c r="J25" s="49">
        <f>AVERAGE('22.07 Sentema-Sentema RBT'!J25,'23.07 Sentema-Sentema RBT'!J25,'24.07 Sentema-SentemaRBT'!J25,'25.07 Sentema-SentemaRBT'!J25,'26.07 Sentema-Sentema RBT-24h'!J25,'27.07 Sentema-SentemaRBT-24h'!J25,'28.07 Sentema-SentemaRBT'!J25)</f>
        <v>2.1428571428571428</v>
      </c>
      <c r="K25" s="49">
        <f>AVERAGE('22.07 Sentema-Sentema RBT'!K25,'23.07 Sentema-Sentema RBT'!K25,'24.07 Sentema-SentemaRBT'!K25,'25.07 Sentema-SentemaRBT'!K25,'26.07 Sentema-Sentema RBT-24h'!K25,'27.07 Sentema-SentemaRBT-24h'!K25,'28.07 Sentema-SentemaRBT'!K25)</f>
        <v>0.2857142857142857</v>
      </c>
      <c r="L25" s="49">
        <f>AVERAGE('22.07 Sentema-Sentema RBT'!L25,'23.07 Sentema-Sentema RBT'!L25,'24.07 Sentema-SentemaRBT'!L25,'25.07 Sentema-SentemaRBT'!L25,'26.07 Sentema-Sentema RBT-24h'!L25,'27.07 Sentema-SentemaRBT-24h'!L25,'28.07 Sentema-SentemaRBT'!L25)</f>
        <v>6</v>
      </c>
      <c r="M25" s="49">
        <f>AVERAGE('22.07 Sentema-Sentema RBT'!M25,'23.07 Sentema-Sentema RBT'!M25,'24.07 Sentema-SentemaRBT'!M25,'25.07 Sentema-SentemaRBT'!M25,'26.07 Sentema-Sentema RBT-24h'!M25,'27.07 Sentema-SentemaRBT-24h'!M25,'28.07 Sentema-SentemaRBT'!M25)</f>
        <v>42.428571428571431</v>
      </c>
      <c r="N25" s="49">
        <f>AVERAGE('22.07 Sentema-Sentema RBT'!N25,'23.07 Sentema-Sentema RBT'!N25,'24.07 Sentema-SentemaRBT'!N25,'25.07 Sentema-SentemaRBT'!N25,'26.07 Sentema-Sentema RBT-24h'!N25,'27.07 Sentema-SentemaRBT-24h'!N25,'28.07 Sentema-SentemaRBT'!N25)</f>
        <v>0</v>
      </c>
      <c r="O25" s="15">
        <f t="shared" si="0"/>
        <v>53.285714285714292</v>
      </c>
      <c r="P25" s="15">
        <f t="shared" si="1"/>
        <v>95.714285714285722</v>
      </c>
      <c r="R25" s="1" t="s">
        <v>149</v>
      </c>
      <c r="S25" s="34">
        <f>SUM(C70:C73)</f>
        <v>11</v>
      </c>
      <c r="T25" s="34">
        <f t="shared" ref="T25:AF25" si="17">SUM(D70:D73)</f>
        <v>0</v>
      </c>
      <c r="U25" s="34">
        <f t="shared" si="17"/>
        <v>0.5</v>
      </c>
      <c r="V25" s="34">
        <f t="shared" si="17"/>
        <v>4.5</v>
      </c>
      <c r="W25" s="34">
        <f t="shared" si="17"/>
        <v>0</v>
      </c>
      <c r="X25" s="34">
        <f t="shared" si="17"/>
        <v>0</v>
      </c>
      <c r="Y25" s="34">
        <f t="shared" si="17"/>
        <v>0.5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32.5</v>
      </c>
      <c r="AD25" s="34">
        <f t="shared" si="17"/>
        <v>0</v>
      </c>
      <c r="AE25" s="31">
        <f t="shared" si="17"/>
        <v>16.5</v>
      </c>
      <c r="AF25" s="31">
        <f t="shared" si="17"/>
        <v>49</v>
      </c>
    </row>
    <row r="26" spans="2:32" ht="23.1" customHeight="1" x14ac:dyDescent="0.25">
      <c r="B26" s="23" t="s">
        <v>53</v>
      </c>
      <c r="C26" s="49">
        <f>AVERAGE('22.07 Sentema-Sentema RBT'!C26,'23.07 Sentema-Sentema RBT'!C26,'24.07 Sentema-SentemaRBT'!C26,'25.07 Sentema-SentemaRBT'!C26,'26.07 Sentema-Sentema RBT-24h'!C26,'27.07 Sentema-SentemaRBT-24h'!C26,'28.07 Sentema-SentemaRBT'!C26)</f>
        <v>20.428571428571427</v>
      </c>
      <c r="D26" s="49">
        <f>AVERAGE('22.07 Sentema-Sentema RBT'!D26,'23.07 Sentema-Sentema RBT'!D26,'24.07 Sentema-SentemaRBT'!D26,'25.07 Sentema-SentemaRBT'!D26,'26.07 Sentema-Sentema RBT-24h'!D26,'27.07 Sentema-SentemaRBT-24h'!D26,'28.07 Sentema-SentemaRBT'!D26)</f>
        <v>4.5714285714285712</v>
      </c>
      <c r="E26" s="49">
        <f>AVERAGE('22.07 Sentema-Sentema RBT'!E26,'23.07 Sentema-Sentema RBT'!E26,'24.07 Sentema-SentemaRBT'!E26,'25.07 Sentema-SentemaRBT'!E26,'26.07 Sentema-Sentema RBT-24h'!E26,'27.07 Sentema-SentemaRBT-24h'!E26,'28.07 Sentema-SentemaRBT'!E26)</f>
        <v>2.1428571428571428</v>
      </c>
      <c r="F26" s="49">
        <f>AVERAGE('22.07 Sentema-Sentema RBT'!F26,'23.07 Sentema-Sentema RBT'!F26,'24.07 Sentema-SentemaRBT'!F26,'25.07 Sentema-SentemaRBT'!F26,'26.07 Sentema-Sentema RBT-24h'!F26,'27.07 Sentema-SentemaRBT-24h'!F26,'28.07 Sentema-SentemaRBT'!F26)</f>
        <v>8.1428571428571423</v>
      </c>
      <c r="G26" s="49">
        <f>AVERAGE('22.07 Sentema-Sentema RBT'!G26,'23.07 Sentema-Sentema RBT'!G26,'24.07 Sentema-SentemaRBT'!G26,'25.07 Sentema-SentemaRBT'!G26,'26.07 Sentema-Sentema RBT-24h'!G26,'27.07 Sentema-SentemaRBT-24h'!G26,'28.07 Sentema-SentemaRBT'!G26)</f>
        <v>0</v>
      </c>
      <c r="H26" s="49">
        <f>AVERAGE('22.07 Sentema-Sentema RBT'!H26,'23.07 Sentema-Sentema RBT'!H26,'24.07 Sentema-SentemaRBT'!H26,'25.07 Sentema-SentemaRBT'!H26,'26.07 Sentema-Sentema RBT-24h'!H26,'27.07 Sentema-SentemaRBT-24h'!H26,'28.07 Sentema-SentemaRBT'!H26)</f>
        <v>0.14285714285714285</v>
      </c>
      <c r="I26" s="49">
        <f>AVERAGE('22.07 Sentema-Sentema RBT'!I26,'23.07 Sentema-Sentema RBT'!I26,'24.07 Sentema-SentemaRBT'!I26,'25.07 Sentema-SentemaRBT'!I26,'26.07 Sentema-Sentema RBT-24h'!I26,'27.07 Sentema-SentemaRBT-24h'!I26,'28.07 Sentema-SentemaRBT'!I26)</f>
        <v>3</v>
      </c>
      <c r="J26" s="49">
        <f>AVERAGE('22.07 Sentema-Sentema RBT'!J26,'23.07 Sentema-Sentema RBT'!J26,'24.07 Sentema-SentemaRBT'!J26,'25.07 Sentema-SentemaRBT'!J26,'26.07 Sentema-Sentema RBT-24h'!J26,'27.07 Sentema-SentemaRBT-24h'!J26,'28.07 Sentema-SentemaRBT'!J26)</f>
        <v>2.2857142857142856</v>
      </c>
      <c r="K26" s="49">
        <f>AVERAGE('22.07 Sentema-Sentema RBT'!K26,'23.07 Sentema-Sentema RBT'!K26,'24.07 Sentema-SentemaRBT'!K26,'25.07 Sentema-SentemaRBT'!K26,'26.07 Sentema-Sentema RBT-24h'!K26,'27.07 Sentema-SentemaRBT-24h'!K26,'28.07 Sentema-SentemaRBT'!K26)</f>
        <v>0</v>
      </c>
      <c r="L26" s="49">
        <f>AVERAGE('22.07 Sentema-Sentema RBT'!L26,'23.07 Sentema-Sentema RBT'!L26,'24.07 Sentema-SentemaRBT'!L26,'25.07 Sentema-SentemaRBT'!L26,'26.07 Sentema-Sentema RBT-24h'!L26,'27.07 Sentema-SentemaRBT-24h'!L26,'28.07 Sentema-SentemaRBT'!L26)</f>
        <v>0.14285714285714285</v>
      </c>
      <c r="M26" s="49">
        <f>AVERAGE('22.07 Sentema-Sentema RBT'!M26,'23.07 Sentema-Sentema RBT'!M26,'24.07 Sentema-SentemaRBT'!M26,'25.07 Sentema-SentemaRBT'!M26,'26.07 Sentema-Sentema RBT-24h'!M26,'27.07 Sentema-SentemaRBT-24h'!M26,'28.07 Sentema-SentemaRBT'!M26)</f>
        <v>54.285714285714285</v>
      </c>
      <c r="N26" s="49">
        <f>AVERAGE('22.07 Sentema-Sentema RBT'!N26,'23.07 Sentema-Sentema RBT'!N26,'24.07 Sentema-SentemaRBT'!N26,'25.07 Sentema-SentemaRBT'!N26,'26.07 Sentema-Sentema RBT-24h'!N26,'27.07 Sentema-SentemaRBT-24h'!N26,'28.07 Sentema-SentemaRBT'!N26)</f>
        <v>0</v>
      </c>
      <c r="O26" s="15">
        <f t="shared" si="0"/>
        <v>40.857142857142861</v>
      </c>
      <c r="P26" s="15">
        <f t="shared" si="1"/>
        <v>95.142857142857139</v>
      </c>
      <c r="R26" s="1" t="s">
        <v>150</v>
      </c>
      <c r="S26" s="34">
        <f>SUM(C74:C77)</f>
        <v>19</v>
      </c>
      <c r="T26" s="34">
        <f t="shared" ref="T26:AF26" si="18">SUM(D74:D77)</f>
        <v>2</v>
      </c>
      <c r="U26" s="34">
        <f t="shared" si="18"/>
        <v>3</v>
      </c>
      <c r="V26" s="34">
        <f t="shared" si="18"/>
        <v>7.5</v>
      </c>
      <c r="W26" s="34">
        <f t="shared" si="18"/>
        <v>0</v>
      </c>
      <c r="X26" s="34">
        <f t="shared" si="18"/>
        <v>0</v>
      </c>
      <c r="Y26" s="34">
        <f t="shared" si="18"/>
        <v>0.5</v>
      </c>
      <c r="Z26" s="34">
        <f t="shared" si="18"/>
        <v>0.5</v>
      </c>
      <c r="AA26" s="34">
        <f t="shared" si="18"/>
        <v>0</v>
      </c>
      <c r="AB26" s="34">
        <f t="shared" si="18"/>
        <v>0</v>
      </c>
      <c r="AC26" s="34">
        <f t="shared" si="18"/>
        <v>41</v>
      </c>
      <c r="AD26" s="34">
        <f t="shared" si="18"/>
        <v>0</v>
      </c>
      <c r="AE26" s="31">
        <f t="shared" si="18"/>
        <v>32.5</v>
      </c>
      <c r="AF26" s="31">
        <f t="shared" si="18"/>
        <v>73.5</v>
      </c>
    </row>
    <row r="27" spans="2:32" ht="23.1" customHeight="1" x14ac:dyDescent="0.25">
      <c r="B27" s="23" t="s">
        <v>54</v>
      </c>
      <c r="C27" s="49">
        <f>AVERAGE('22.07 Sentema-Sentema RBT'!C27,'23.07 Sentema-Sentema RBT'!C27,'24.07 Sentema-SentemaRBT'!C27,'25.07 Sentema-SentemaRBT'!C27,'26.07 Sentema-Sentema RBT-24h'!C27,'27.07 Sentema-SentemaRBT-24h'!C27,'28.07 Sentema-SentemaRBT'!C27)</f>
        <v>19.428571428571427</v>
      </c>
      <c r="D27" s="49">
        <f>AVERAGE('22.07 Sentema-Sentema RBT'!D27,'23.07 Sentema-Sentema RBT'!D27,'24.07 Sentema-SentemaRBT'!D27,'25.07 Sentema-SentemaRBT'!D27,'26.07 Sentema-Sentema RBT-24h'!D27,'27.07 Sentema-SentemaRBT-24h'!D27,'28.07 Sentema-SentemaRBT'!D27)</f>
        <v>5.2857142857142856</v>
      </c>
      <c r="E27" s="49">
        <f>AVERAGE('22.07 Sentema-Sentema RBT'!E27,'23.07 Sentema-Sentema RBT'!E27,'24.07 Sentema-SentemaRBT'!E27,'25.07 Sentema-SentemaRBT'!E27,'26.07 Sentema-Sentema RBT-24h'!E27,'27.07 Sentema-SentemaRBT-24h'!E27,'28.07 Sentema-SentemaRBT'!E27)</f>
        <v>3.7142857142857144</v>
      </c>
      <c r="F27" s="49">
        <f>AVERAGE('22.07 Sentema-Sentema RBT'!F27,'23.07 Sentema-Sentema RBT'!F27,'24.07 Sentema-SentemaRBT'!F27,'25.07 Sentema-SentemaRBT'!F27,'26.07 Sentema-Sentema RBT-24h'!F27,'27.07 Sentema-SentemaRBT-24h'!F27,'28.07 Sentema-SentemaRBT'!F27)</f>
        <v>12.142857142857142</v>
      </c>
      <c r="G27" s="49">
        <f>AVERAGE('22.07 Sentema-Sentema RBT'!G27,'23.07 Sentema-Sentema RBT'!G27,'24.07 Sentema-SentemaRBT'!G27,'25.07 Sentema-SentemaRBT'!G27,'26.07 Sentema-Sentema RBT-24h'!G27,'27.07 Sentema-SentemaRBT-24h'!G27,'28.07 Sentema-SentemaRBT'!G27)</f>
        <v>0.2857142857142857</v>
      </c>
      <c r="H27" s="49">
        <f>AVERAGE('22.07 Sentema-Sentema RBT'!H27,'23.07 Sentema-Sentema RBT'!H27,'24.07 Sentema-SentemaRBT'!H27,'25.07 Sentema-SentemaRBT'!H27,'26.07 Sentema-Sentema RBT-24h'!H27,'27.07 Sentema-SentemaRBT-24h'!H27,'28.07 Sentema-SentemaRBT'!H27)</f>
        <v>0.14285714285714285</v>
      </c>
      <c r="I27" s="49">
        <f>AVERAGE('22.07 Sentema-Sentema RBT'!I27,'23.07 Sentema-Sentema RBT'!I27,'24.07 Sentema-SentemaRBT'!I27,'25.07 Sentema-SentemaRBT'!I27,'26.07 Sentema-Sentema RBT-24h'!I27,'27.07 Sentema-SentemaRBT-24h'!I27,'28.07 Sentema-SentemaRBT'!I27)</f>
        <v>4.1428571428571432</v>
      </c>
      <c r="J27" s="49">
        <f>AVERAGE('22.07 Sentema-Sentema RBT'!J27,'23.07 Sentema-Sentema RBT'!J27,'24.07 Sentema-SentemaRBT'!J27,'25.07 Sentema-SentemaRBT'!J27,'26.07 Sentema-Sentema RBT-24h'!J27,'27.07 Sentema-SentemaRBT-24h'!J27,'28.07 Sentema-SentemaRBT'!J27)</f>
        <v>2.1428571428571428</v>
      </c>
      <c r="K27" s="49">
        <f>AVERAGE('22.07 Sentema-Sentema RBT'!K27,'23.07 Sentema-Sentema RBT'!K27,'24.07 Sentema-SentemaRBT'!K27,'25.07 Sentema-SentemaRBT'!K27,'26.07 Sentema-Sentema RBT-24h'!K27,'27.07 Sentema-SentemaRBT-24h'!K27,'28.07 Sentema-SentemaRBT'!K27)</f>
        <v>0.7142857142857143</v>
      </c>
      <c r="L27" s="49">
        <f>AVERAGE('22.07 Sentema-Sentema RBT'!L27,'23.07 Sentema-Sentema RBT'!L27,'24.07 Sentema-SentemaRBT'!L27,'25.07 Sentema-SentemaRBT'!L27,'26.07 Sentema-Sentema RBT-24h'!L27,'27.07 Sentema-SentemaRBT-24h'!L27,'28.07 Sentema-SentemaRBT'!L27)</f>
        <v>0.2857142857142857</v>
      </c>
      <c r="M27" s="49">
        <f>AVERAGE('22.07 Sentema-Sentema RBT'!M27,'23.07 Sentema-Sentema RBT'!M27,'24.07 Sentema-SentemaRBT'!M27,'25.07 Sentema-SentemaRBT'!M27,'26.07 Sentema-Sentema RBT-24h'!M27,'27.07 Sentema-SentemaRBT-24h'!M27,'28.07 Sentema-SentemaRBT'!M27)</f>
        <v>55.285714285714285</v>
      </c>
      <c r="N27" s="49">
        <f>AVERAGE('22.07 Sentema-Sentema RBT'!N27,'23.07 Sentema-Sentema RBT'!N27,'24.07 Sentema-SentemaRBT'!N27,'25.07 Sentema-SentemaRBT'!N27,'26.07 Sentema-Sentema RBT-24h'!N27,'27.07 Sentema-SentemaRBT-24h'!N27,'28.07 Sentema-SentemaRBT'!N27)</f>
        <v>0</v>
      </c>
      <c r="O27" s="15">
        <f t="shared" si="0"/>
        <v>48.285714285714292</v>
      </c>
      <c r="P27" s="15">
        <f t="shared" si="1"/>
        <v>103.57142857142858</v>
      </c>
      <c r="R27" s="1" t="s">
        <v>151</v>
      </c>
      <c r="S27" s="34">
        <f>SUM(C78:C81)</f>
        <v>5</v>
      </c>
      <c r="T27" s="34">
        <f t="shared" ref="T27:AF27" si="19">SUM(D78:D81)</f>
        <v>1.5</v>
      </c>
      <c r="U27" s="34">
        <f t="shared" si="19"/>
        <v>1</v>
      </c>
      <c r="V27" s="34">
        <f t="shared" si="19"/>
        <v>0.5</v>
      </c>
      <c r="W27" s="34">
        <f t="shared" si="19"/>
        <v>0.5</v>
      </c>
      <c r="X27" s="34">
        <f t="shared" si="19"/>
        <v>0</v>
      </c>
      <c r="Y27" s="34">
        <f t="shared" si="19"/>
        <v>1</v>
      </c>
      <c r="Z27" s="34">
        <f t="shared" si="19"/>
        <v>0.5</v>
      </c>
      <c r="AA27" s="34">
        <f t="shared" si="19"/>
        <v>0</v>
      </c>
      <c r="AB27" s="34">
        <f t="shared" si="19"/>
        <v>0.5</v>
      </c>
      <c r="AC27" s="34">
        <f t="shared" si="19"/>
        <v>14</v>
      </c>
      <c r="AD27" s="34">
        <f t="shared" si="19"/>
        <v>0</v>
      </c>
      <c r="AE27" s="31">
        <f t="shared" si="19"/>
        <v>10.5</v>
      </c>
      <c r="AF27" s="31">
        <f t="shared" si="19"/>
        <v>24.5</v>
      </c>
    </row>
    <row r="28" spans="2:32" ht="23.1" customHeight="1" x14ac:dyDescent="0.25">
      <c r="B28" s="23" t="s">
        <v>55</v>
      </c>
      <c r="C28" s="49">
        <f>AVERAGE('22.07 Sentema-Sentema RBT'!C28,'23.07 Sentema-Sentema RBT'!C28,'24.07 Sentema-SentemaRBT'!C28,'25.07 Sentema-SentemaRBT'!C28,'26.07 Sentema-Sentema RBT-24h'!C28,'27.07 Sentema-SentemaRBT-24h'!C28,'28.07 Sentema-SentemaRBT'!C28)</f>
        <v>12.285714285714286</v>
      </c>
      <c r="D28" s="49">
        <f>AVERAGE('22.07 Sentema-Sentema RBT'!D28,'23.07 Sentema-Sentema RBT'!D28,'24.07 Sentema-SentemaRBT'!D28,'25.07 Sentema-SentemaRBT'!D28,'26.07 Sentema-Sentema RBT-24h'!D28,'27.07 Sentema-SentemaRBT-24h'!D28,'28.07 Sentema-SentemaRBT'!D28)</f>
        <v>2.4285714285714284</v>
      </c>
      <c r="E28" s="49">
        <f>AVERAGE('22.07 Sentema-Sentema RBT'!E28,'23.07 Sentema-Sentema RBT'!E28,'24.07 Sentema-SentemaRBT'!E28,'25.07 Sentema-SentemaRBT'!E28,'26.07 Sentema-Sentema RBT-24h'!E28,'27.07 Sentema-SentemaRBT-24h'!E28,'28.07 Sentema-SentemaRBT'!E28)</f>
        <v>2.4285714285714284</v>
      </c>
      <c r="F28" s="49">
        <f>AVERAGE('22.07 Sentema-Sentema RBT'!F28,'23.07 Sentema-Sentema RBT'!F28,'24.07 Sentema-SentemaRBT'!F28,'25.07 Sentema-SentemaRBT'!F28,'26.07 Sentema-Sentema RBT-24h'!F28,'27.07 Sentema-SentemaRBT-24h'!F28,'28.07 Sentema-SentemaRBT'!F28)</f>
        <v>7.4285714285714288</v>
      </c>
      <c r="G28" s="49">
        <f>AVERAGE('22.07 Sentema-Sentema RBT'!G28,'23.07 Sentema-Sentema RBT'!G28,'24.07 Sentema-SentemaRBT'!G28,'25.07 Sentema-SentemaRBT'!G28,'26.07 Sentema-Sentema RBT-24h'!G28,'27.07 Sentema-SentemaRBT-24h'!G28,'28.07 Sentema-SentemaRBT'!G28)</f>
        <v>0.14285714285714285</v>
      </c>
      <c r="H28" s="49">
        <f>AVERAGE('22.07 Sentema-Sentema RBT'!H28,'23.07 Sentema-Sentema RBT'!H28,'24.07 Sentema-SentemaRBT'!H28,'25.07 Sentema-SentemaRBT'!H28,'26.07 Sentema-Sentema RBT-24h'!H28,'27.07 Sentema-SentemaRBT-24h'!H28,'28.07 Sentema-SentemaRBT'!H28)</f>
        <v>0.2857142857142857</v>
      </c>
      <c r="I28" s="49">
        <f>AVERAGE('22.07 Sentema-Sentema RBT'!I28,'23.07 Sentema-Sentema RBT'!I28,'24.07 Sentema-SentemaRBT'!I28,'25.07 Sentema-SentemaRBT'!I28,'26.07 Sentema-Sentema RBT-24h'!I28,'27.07 Sentema-SentemaRBT-24h'!I28,'28.07 Sentema-SentemaRBT'!I28)</f>
        <v>2.1428571428571428</v>
      </c>
      <c r="J28" s="49">
        <f>AVERAGE('22.07 Sentema-Sentema RBT'!J28,'23.07 Sentema-Sentema RBT'!J28,'24.07 Sentema-SentemaRBT'!J28,'25.07 Sentema-SentemaRBT'!J28,'26.07 Sentema-Sentema RBT-24h'!J28,'27.07 Sentema-SentemaRBT-24h'!J28,'28.07 Sentema-SentemaRBT'!J28)</f>
        <v>1.7142857142857142</v>
      </c>
      <c r="K28" s="49">
        <f>AVERAGE('22.07 Sentema-Sentema RBT'!K28,'23.07 Sentema-Sentema RBT'!K28,'24.07 Sentema-SentemaRBT'!K28,'25.07 Sentema-SentemaRBT'!K28,'26.07 Sentema-Sentema RBT-24h'!K28,'27.07 Sentema-SentemaRBT-24h'!K28,'28.07 Sentema-SentemaRBT'!K28)</f>
        <v>0.5714285714285714</v>
      </c>
      <c r="L28" s="49">
        <f>AVERAGE('22.07 Sentema-Sentema RBT'!L28,'23.07 Sentema-Sentema RBT'!L28,'24.07 Sentema-SentemaRBT'!L28,'25.07 Sentema-SentemaRBT'!L28,'26.07 Sentema-Sentema RBT-24h'!L28,'27.07 Sentema-SentemaRBT-24h'!L28,'28.07 Sentema-SentemaRBT'!L28)</f>
        <v>0</v>
      </c>
      <c r="M28" s="49">
        <f>AVERAGE('22.07 Sentema-Sentema RBT'!M28,'23.07 Sentema-Sentema RBT'!M28,'24.07 Sentema-SentemaRBT'!M28,'25.07 Sentema-SentemaRBT'!M28,'26.07 Sentema-Sentema RBT-24h'!M28,'27.07 Sentema-SentemaRBT-24h'!M28,'28.07 Sentema-SentemaRBT'!M28)</f>
        <v>52.428571428571431</v>
      </c>
      <c r="N28" s="49">
        <f>AVERAGE('22.07 Sentema-Sentema RBT'!N28,'23.07 Sentema-Sentema RBT'!N28,'24.07 Sentema-SentemaRBT'!N28,'25.07 Sentema-SentemaRBT'!N28,'26.07 Sentema-Sentema RBT-24h'!N28,'27.07 Sentema-SentemaRBT-24h'!N28,'28.07 Sentema-SentemaRBT'!N28)</f>
        <v>0</v>
      </c>
      <c r="O28" s="15">
        <f t="shared" si="0"/>
        <v>29.428571428571427</v>
      </c>
      <c r="P28" s="15">
        <f t="shared" si="1"/>
        <v>81.857142857142861</v>
      </c>
      <c r="R28" s="1" t="s">
        <v>152</v>
      </c>
      <c r="S28" s="34">
        <f>SUM(C82:C85)</f>
        <v>3.5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0.5</v>
      </c>
      <c r="AA28" s="34">
        <f t="shared" si="20"/>
        <v>0.5</v>
      </c>
      <c r="AB28" s="34">
        <f t="shared" si="20"/>
        <v>0</v>
      </c>
      <c r="AC28" s="34">
        <f t="shared" si="20"/>
        <v>7</v>
      </c>
      <c r="AD28" s="34">
        <f t="shared" si="20"/>
        <v>0</v>
      </c>
      <c r="AE28" s="31">
        <f t="shared" si="20"/>
        <v>4.5</v>
      </c>
      <c r="AF28" s="31">
        <f t="shared" si="20"/>
        <v>11.5</v>
      </c>
    </row>
    <row r="29" spans="2:32" ht="23.1" customHeight="1" x14ac:dyDescent="0.25">
      <c r="B29" s="23" t="s">
        <v>56</v>
      </c>
      <c r="C29" s="49">
        <f>AVERAGE('22.07 Sentema-Sentema RBT'!C29,'23.07 Sentema-Sentema RBT'!C29,'24.07 Sentema-SentemaRBT'!C29,'25.07 Sentema-SentemaRBT'!C29,'26.07 Sentema-Sentema RBT-24h'!C29,'27.07 Sentema-SentemaRBT-24h'!C29,'28.07 Sentema-SentemaRBT'!C29)</f>
        <v>14</v>
      </c>
      <c r="D29" s="49">
        <f>AVERAGE('22.07 Sentema-Sentema RBT'!D29,'23.07 Sentema-Sentema RBT'!D29,'24.07 Sentema-SentemaRBT'!D29,'25.07 Sentema-SentemaRBT'!D29,'26.07 Sentema-Sentema RBT-24h'!D29,'27.07 Sentema-SentemaRBT-24h'!D29,'28.07 Sentema-SentemaRBT'!D29)</f>
        <v>4.4285714285714288</v>
      </c>
      <c r="E29" s="49">
        <f>AVERAGE('22.07 Sentema-Sentema RBT'!E29,'23.07 Sentema-Sentema RBT'!E29,'24.07 Sentema-SentemaRBT'!E29,'25.07 Sentema-SentemaRBT'!E29,'26.07 Sentema-Sentema RBT-24h'!E29,'27.07 Sentema-SentemaRBT-24h'!E29,'28.07 Sentema-SentemaRBT'!E29)</f>
        <v>2</v>
      </c>
      <c r="F29" s="49">
        <f>AVERAGE('22.07 Sentema-Sentema RBT'!F29,'23.07 Sentema-Sentema RBT'!F29,'24.07 Sentema-SentemaRBT'!F29,'25.07 Sentema-SentemaRBT'!F29,'26.07 Sentema-Sentema RBT-24h'!F29,'27.07 Sentema-SentemaRBT-24h'!F29,'28.07 Sentema-SentemaRBT'!F29)</f>
        <v>10.714285714285714</v>
      </c>
      <c r="G29" s="49">
        <f>AVERAGE('22.07 Sentema-Sentema RBT'!G29,'23.07 Sentema-Sentema RBT'!G29,'24.07 Sentema-SentemaRBT'!G29,'25.07 Sentema-SentemaRBT'!G29,'26.07 Sentema-Sentema RBT-24h'!G29,'27.07 Sentema-SentemaRBT-24h'!G29,'28.07 Sentema-SentemaRBT'!G29)</f>
        <v>0.14285714285714285</v>
      </c>
      <c r="H29" s="49">
        <f>AVERAGE('22.07 Sentema-Sentema RBT'!H29,'23.07 Sentema-Sentema RBT'!H29,'24.07 Sentema-SentemaRBT'!H29,'25.07 Sentema-SentemaRBT'!H29,'26.07 Sentema-Sentema RBT-24h'!H29,'27.07 Sentema-SentemaRBT-24h'!H29,'28.07 Sentema-SentemaRBT'!H29)</f>
        <v>0.7142857142857143</v>
      </c>
      <c r="I29" s="49">
        <f>AVERAGE('22.07 Sentema-Sentema RBT'!I29,'23.07 Sentema-Sentema RBT'!I29,'24.07 Sentema-SentemaRBT'!I29,'25.07 Sentema-SentemaRBT'!I29,'26.07 Sentema-Sentema RBT-24h'!I29,'27.07 Sentema-SentemaRBT-24h'!I29,'28.07 Sentema-SentemaRBT'!I29)</f>
        <v>3.1428571428571428</v>
      </c>
      <c r="J29" s="49">
        <f>AVERAGE('22.07 Sentema-Sentema RBT'!J29,'23.07 Sentema-Sentema RBT'!J29,'24.07 Sentema-SentemaRBT'!J29,'25.07 Sentema-SentemaRBT'!J29,'26.07 Sentema-Sentema RBT-24h'!J29,'27.07 Sentema-SentemaRBT-24h'!J29,'28.07 Sentema-SentemaRBT'!J29)</f>
        <v>1.7142857142857142</v>
      </c>
      <c r="K29" s="49">
        <f>AVERAGE('22.07 Sentema-Sentema RBT'!K29,'23.07 Sentema-Sentema RBT'!K29,'24.07 Sentema-SentemaRBT'!K29,'25.07 Sentema-SentemaRBT'!K29,'26.07 Sentema-Sentema RBT-24h'!K29,'27.07 Sentema-SentemaRBT-24h'!K29,'28.07 Sentema-SentemaRBT'!K29)</f>
        <v>0.2857142857142857</v>
      </c>
      <c r="L29" s="49">
        <f>AVERAGE('22.07 Sentema-Sentema RBT'!L29,'23.07 Sentema-Sentema RBT'!L29,'24.07 Sentema-SentemaRBT'!L29,'25.07 Sentema-SentemaRBT'!L29,'26.07 Sentema-Sentema RBT-24h'!L29,'27.07 Sentema-SentemaRBT-24h'!L29,'28.07 Sentema-SentemaRBT'!L29)</f>
        <v>0.2857142857142857</v>
      </c>
      <c r="M29" s="49">
        <f>AVERAGE('22.07 Sentema-Sentema RBT'!M29,'23.07 Sentema-Sentema RBT'!M29,'24.07 Sentema-SentemaRBT'!M29,'25.07 Sentema-SentemaRBT'!M29,'26.07 Sentema-Sentema RBT-24h'!M29,'27.07 Sentema-SentemaRBT-24h'!M29,'28.07 Sentema-SentemaRBT'!M29)</f>
        <v>53.428571428571431</v>
      </c>
      <c r="N29" s="49">
        <f>AVERAGE('22.07 Sentema-Sentema RBT'!N29,'23.07 Sentema-Sentema RBT'!N29,'24.07 Sentema-SentemaRBT'!N29,'25.07 Sentema-SentemaRBT'!N29,'26.07 Sentema-Sentema RBT-24h'!N29,'27.07 Sentema-SentemaRBT-24h'!N29,'28.07 Sentema-SentemaRBT'!N29)</f>
        <v>0</v>
      </c>
      <c r="O29" s="15">
        <f t="shared" si="0"/>
        <v>37.428571428571431</v>
      </c>
      <c r="P29" s="15">
        <f t="shared" si="1"/>
        <v>90.857142857142861</v>
      </c>
      <c r="R29" s="1" t="s">
        <v>153</v>
      </c>
      <c r="S29" s="34">
        <f>SUM(C86:C89)</f>
        <v>3.5</v>
      </c>
      <c r="T29" s="34">
        <f t="shared" ref="T29:AF29" si="21">SUM(D86:D89)</f>
        <v>0.5</v>
      </c>
      <c r="U29" s="34">
        <f t="shared" si="21"/>
        <v>0.5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10</v>
      </c>
      <c r="AD29" s="34">
        <f t="shared" si="21"/>
        <v>0</v>
      </c>
      <c r="AE29" s="31">
        <f t="shared" si="21"/>
        <v>5.5</v>
      </c>
      <c r="AF29" s="31">
        <f t="shared" si="21"/>
        <v>15.5</v>
      </c>
    </row>
    <row r="30" spans="2:32" ht="23.1" customHeight="1" x14ac:dyDescent="0.25">
      <c r="B30" s="23" t="s">
        <v>57</v>
      </c>
      <c r="C30" s="49">
        <f>AVERAGE('22.07 Sentema-Sentema RBT'!C30,'23.07 Sentema-Sentema RBT'!C30,'24.07 Sentema-SentemaRBT'!C30,'25.07 Sentema-SentemaRBT'!C30,'26.07 Sentema-Sentema RBT-24h'!C30,'27.07 Sentema-SentemaRBT-24h'!C30,'28.07 Sentema-SentemaRBT'!C30)</f>
        <v>16.857142857142858</v>
      </c>
      <c r="D30" s="49">
        <f>AVERAGE('22.07 Sentema-Sentema RBT'!D30,'23.07 Sentema-Sentema RBT'!D30,'24.07 Sentema-SentemaRBT'!D30,'25.07 Sentema-SentemaRBT'!D30,'26.07 Sentema-Sentema RBT-24h'!D30,'27.07 Sentema-SentemaRBT-24h'!D30,'28.07 Sentema-SentemaRBT'!D30)</f>
        <v>7.7142857142857144</v>
      </c>
      <c r="E30" s="49">
        <f>AVERAGE('22.07 Sentema-Sentema RBT'!E30,'23.07 Sentema-Sentema RBT'!E30,'24.07 Sentema-SentemaRBT'!E30,'25.07 Sentema-SentemaRBT'!E30,'26.07 Sentema-Sentema RBT-24h'!E30,'27.07 Sentema-SentemaRBT-24h'!E30,'28.07 Sentema-SentemaRBT'!E30)</f>
        <v>2.5714285714285716</v>
      </c>
      <c r="F30" s="49">
        <f>AVERAGE('22.07 Sentema-Sentema RBT'!F30,'23.07 Sentema-Sentema RBT'!F30,'24.07 Sentema-SentemaRBT'!F30,'25.07 Sentema-SentemaRBT'!F30,'26.07 Sentema-Sentema RBT-24h'!F30,'27.07 Sentema-SentemaRBT-24h'!F30,'28.07 Sentema-SentemaRBT'!F30)</f>
        <v>8.4285714285714288</v>
      </c>
      <c r="G30" s="49">
        <f>AVERAGE('22.07 Sentema-Sentema RBT'!G30,'23.07 Sentema-Sentema RBT'!G30,'24.07 Sentema-SentemaRBT'!G30,'25.07 Sentema-SentemaRBT'!G30,'26.07 Sentema-Sentema RBT-24h'!G30,'27.07 Sentema-SentemaRBT-24h'!G30,'28.07 Sentema-SentemaRBT'!G30)</f>
        <v>0.2857142857142857</v>
      </c>
      <c r="H30" s="49">
        <f>AVERAGE('22.07 Sentema-Sentema RBT'!H30,'23.07 Sentema-Sentema RBT'!H30,'24.07 Sentema-SentemaRBT'!H30,'25.07 Sentema-SentemaRBT'!H30,'26.07 Sentema-Sentema RBT-24h'!H30,'27.07 Sentema-SentemaRBT-24h'!H30,'28.07 Sentema-SentemaRBT'!H30)</f>
        <v>0</v>
      </c>
      <c r="I30" s="49">
        <f>AVERAGE('22.07 Sentema-Sentema RBT'!I30,'23.07 Sentema-Sentema RBT'!I30,'24.07 Sentema-SentemaRBT'!I30,'25.07 Sentema-SentemaRBT'!I30,'26.07 Sentema-Sentema RBT-24h'!I30,'27.07 Sentema-SentemaRBT-24h'!I30,'28.07 Sentema-SentemaRBT'!I30)</f>
        <v>3.8571428571428572</v>
      </c>
      <c r="J30" s="49">
        <f>AVERAGE('22.07 Sentema-Sentema RBT'!J30,'23.07 Sentema-Sentema RBT'!J30,'24.07 Sentema-SentemaRBT'!J30,'25.07 Sentema-SentemaRBT'!J30,'26.07 Sentema-Sentema RBT-24h'!J30,'27.07 Sentema-SentemaRBT-24h'!J30,'28.07 Sentema-SentemaRBT'!J30)</f>
        <v>2.4285714285714284</v>
      </c>
      <c r="K30" s="49">
        <f>AVERAGE('22.07 Sentema-Sentema RBT'!K30,'23.07 Sentema-Sentema RBT'!K30,'24.07 Sentema-SentemaRBT'!K30,'25.07 Sentema-SentemaRBT'!K30,'26.07 Sentema-Sentema RBT-24h'!K30,'27.07 Sentema-SentemaRBT-24h'!K30,'28.07 Sentema-SentemaRBT'!K30)</f>
        <v>0.7142857142857143</v>
      </c>
      <c r="L30" s="49">
        <f>AVERAGE('22.07 Sentema-Sentema RBT'!L30,'23.07 Sentema-Sentema RBT'!L30,'24.07 Sentema-SentemaRBT'!L30,'25.07 Sentema-SentemaRBT'!L30,'26.07 Sentema-Sentema RBT-24h'!L30,'27.07 Sentema-SentemaRBT-24h'!L30,'28.07 Sentema-SentemaRBT'!L30)</f>
        <v>0</v>
      </c>
      <c r="M30" s="49">
        <f>AVERAGE('22.07 Sentema-Sentema RBT'!M30,'23.07 Sentema-Sentema RBT'!M30,'24.07 Sentema-SentemaRBT'!M30,'25.07 Sentema-SentemaRBT'!M30,'26.07 Sentema-Sentema RBT-24h'!M30,'27.07 Sentema-SentemaRBT-24h'!M30,'28.07 Sentema-SentemaRBT'!M30)</f>
        <v>52.428571428571431</v>
      </c>
      <c r="N30" s="49">
        <f>AVERAGE('22.07 Sentema-Sentema RBT'!N30,'23.07 Sentema-Sentema RBT'!N30,'24.07 Sentema-SentemaRBT'!N30,'25.07 Sentema-SentemaRBT'!N30,'26.07 Sentema-Sentema RBT-24h'!N30,'27.07 Sentema-SentemaRBT-24h'!N30,'28.07 Sentema-SentemaRBT'!N30)</f>
        <v>0</v>
      </c>
      <c r="O30" s="15">
        <f t="shared" si="0"/>
        <v>42.857142857142861</v>
      </c>
      <c r="P30" s="15">
        <f t="shared" si="1"/>
        <v>95.285714285714292</v>
      </c>
      <c r="R30" s="1" t="s">
        <v>154</v>
      </c>
      <c r="S30" s="34">
        <f>SUM(C90:C93)</f>
        <v>2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1.5</v>
      </c>
      <c r="AA30" s="34">
        <f t="shared" si="22"/>
        <v>0</v>
      </c>
      <c r="AB30" s="34">
        <f t="shared" si="22"/>
        <v>0</v>
      </c>
      <c r="AC30" s="34">
        <f t="shared" si="22"/>
        <v>7</v>
      </c>
      <c r="AD30" s="34">
        <f t="shared" si="22"/>
        <v>0</v>
      </c>
      <c r="AE30" s="31">
        <f t="shared" si="22"/>
        <v>6</v>
      </c>
      <c r="AF30" s="31">
        <f t="shared" si="22"/>
        <v>13</v>
      </c>
    </row>
    <row r="31" spans="2:32" ht="23.1" customHeight="1" x14ac:dyDescent="0.25">
      <c r="B31" s="24" t="s">
        <v>58</v>
      </c>
      <c r="C31" s="49">
        <f>AVERAGE('22.07 Sentema-Sentema RBT'!C31,'23.07 Sentema-Sentema RBT'!C31,'24.07 Sentema-SentemaRBT'!C31,'25.07 Sentema-SentemaRBT'!C31,'26.07 Sentema-Sentema RBT-24h'!C31,'27.07 Sentema-SentemaRBT-24h'!C31,'28.07 Sentema-SentemaRBT'!C31)</f>
        <v>13.142857142857142</v>
      </c>
      <c r="D31" s="49">
        <f>AVERAGE('22.07 Sentema-Sentema RBT'!D31,'23.07 Sentema-Sentema RBT'!D31,'24.07 Sentema-SentemaRBT'!D31,'25.07 Sentema-SentemaRBT'!D31,'26.07 Sentema-Sentema RBT-24h'!D31,'27.07 Sentema-SentemaRBT-24h'!D31,'28.07 Sentema-SentemaRBT'!D31)</f>
        <v>2</v>
      </c>
      <c r="E31" s="49">
        <f>AVERAGE('22.07 Sentema-Sentema RBT'!E31,'23.07 Sentema-Sentema RBT'!E31,'24.07 Sentema-SentemaRBT'!E31,'25.07 Sentema-SentemaRBT'!E31,'26.07 Sentema-Sentema RBT-24h'!E31,'27.07 Sentema-SentemaRBT-24h'!E31,'28.07 Sentema-SentemaRBT'!E31)</f>
        <v>1</v>
      </c>
      <c r="F31" s="49">
        <f>AVERAGE('22.07 Sentema-Sentema RBT'!F31,'23.07 Sentema-Sentema RBT'!F31,'24.07 Sentema-SentemaRBT'!F31,'25.07 Sentema-SentemaRBT'!F31,'26.07 Sentema-Sentema RBT-24h'!F31,'27.07 Sentema-SentemaRBT-24h'!F31,'28.07 Sentema-SentemaRBT'!F31)</f>
        <v>8.1428571428571423</v>
      </c>
      <c r="G31" s="49">
        <f>AVERAGE('22.07 Sentema-Sentema RBT'!G31,'23.07 Sentema-Sentema RBT'!G31,'24.07 Sentema-SentemaRBT'!G31,'25.07 Sentema-SentemaRBT'!G31,'26.07 Sentema-Sentema RBT-24h'!G31,'27.07 Sentema-SentemaRBT-24h'!G31,'28.07 Sentema-SentemaRBT'!G31)</f>
        <v>0</v>
      </c>
      <c r="H31" s="49">
        <f>AVERAGE('22.07 Sentema-Sentema RBT'!H31,'23.07 Sentema-Sentema RBT'!H31,'24.07 Sentema-SentemaRBT'!H31,'25.07 Sentema-SentemaRBT'!H31,'26.07 Sentema-Sentema RBT-24h'!H31,'27.07 Sentema-SentemaRBT-24h'!H31,'28.07 Sentema-SentemaRBT'!H31)</f>
        <v>0</v>
      </c>
      <c r="I31" s="49">
        <f>AVERAGE('22.07 Sentema-Sentema RBT'!I31,'23.07 Sentema-Sentema RBT'!I31,'24.07 Sentema-SentemaRBT'!I31,'25.07 Sentema-SentemaRBT'!I31,'26.07 Sentema-Sentema RBT-24h'!I31,'27.07 Sentema-SentemaRBT-24h'!I31,'28.07 Sentema-SentemaRBT'!I31)</f>
        <v>2.8571428571428572</v>
      </c>
      <c r="J31" s="49">
        <f>AVERAGE('22.07 Sentema-Sentema RBT'!J31,'23.07 Sentema-Sentema RBT'!J31,'24.07 Sentema-SentemaRBT'!J31,'25.07 Sentema-SentemaRBT'!J31,'26.07 Sentema-Sentema RBT-24h'!J31,'27.07 Sentema-SentemaRBT-24h'!J31,'28.07 Sentema-SentemaRBT'!J31)</f>
        <v>1</v>
      </c>
      <c r="K31" s="49">
        <f>AVERAGE('22.07 Sentema-Sentema RBT'!K31,'23.07 Sentema-Sentema RBT'!K31,'24.07 Sentema-SentemaRBT'!K31,'25.07 Sentema-SentemaRBT'!K31,'26.07 Sentema-Sentema RBT-24h'!K31,'27.07 Sentema-SentemaRBT-24h'!K31,'28.07 Sentema-SentemaRBT'!K31)</f>
        <v>0.14285714285714285</v>
      </c>
      <c r="L31" s="49">
        <f>AVERAGE('22.07 Sentema-Sentema RBT'!L31,'23.07 Sentema-Sentema RBT'!L31,'24.07 Sentema-SentemaRBT'!L31,'25.07 Sentema-SentemaRBT'!L31,'26.07 Sentema-Sentema RBT-24h'!L31,'27.07 Sentema-SentemaRBT-24h'!L31,'28.07 Sentema-SentemaRBT'!L31)</f>
        <v>0.14285714285714285</v>
      </c>
      <c r="M31" s="49">
        <f>AVERAGE('22.07 Sentema-Sentema RBT'!M31,'23.07 Sentema-Sentema RBT'!M31,'24.07 Sentema-SentemaRBT'!M31,'25.07 Sentema-SentemaRBT'!M31,'26.07 Sentema-Sentema RBT-24h'!M31,'27.07 Sentema-SentemaRBT-24h'!M31,'28.07 Sentema-SentemaRBT'!M31)</f>
        <v>46</v>
      </c>
      <c r="N31" s="49">
        <f>AVERAGE('22.07 Sentema-Sentema RBT'!N31,'23.07 Sentema-Sentema RBT'!N31,'24.07 Sentema-SentemaRBT'!N31,'25.07 Sentema-SentemaRBT'!N31,'26.07 Sentema-Sentema RBT-24h'!N31,'27.07 Sentema-SentemaRBT-24h'!N31,'28.07 Sentema-SentemaRBT'!N31)</f>
        <v>0</v>
      </c>
      <c r="O31" s="15">
        <f t="shared" si="0"/>
        <v>28.428571428571427</v>
      </c>
      <c r="P31" s="15">
        <f t="shared" si="1"/>
        <v>74.428571428571431</v>
      </c>
      <c r="R31" s="1" t="s">
        <v>155</v>
      </c>
      <c r="S31" s="34">
        <f>SUM(C94:C97)</f>
        <v>1.5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3.5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2.5</v>
      </c>
      <c r="AD31" s="34">
        <f t="shared" si="23"/>
        <v>0</v>
      </c>
      <c r="AE31" s="31">
        <f t="shared" si="23"/>
        <v>5.5</v>
      </c>
      <c r="AF31" s="31">
        <f t="shared" si="23"/>
        <v>8</v>
      </c>
    </row>
    <row r="32" spans="2:32" ht="23.1" customHeight="1" x14ac:dyDescent="0.25">
      <c r="B32" s="24" t="s">
        <v>59</v>
      </c>
      <c r="C32" s="49">
        <f>AVERAGE('22.07 Sentema-Sentema RBT'!C32,'23.07 Sentema-Sentema RBT'!C32,'24.07 Sentema-SentemaRBT'!C32,'25.07 Sentema-SentemaRBT'!C32,'26.07 Sentema-Sentema RBT-24h'!C32,'27.07 Sentema-SentemaRBT-24h'!C32,'28.07 Sentema-SentemaRBT'!C32)</f>
        <v>10.285714285714286</v>
      </c>
      <c r="D32" s="49">
        <f>AVERAGE('22.07 Sentema-Sentema RBT'!D32,'23.07 Sentema-Sentema RBT'!D32,'24.07 Sentema-SentemaRBT'!D32,'25.07 Sentema-SentemaRBT'!D32,'26.07 Sentema-Sentema RBT-24h'!D32,'27.07 Sentema-SentemaRBT-24h'!D32,'28.07 Sentema-SentemaRBT'!D32)</f>
        <v>2.1428571428571428</v>
      </c>
      <c r="E32" s="49">
        <f>AVERAGE('22.07 Sentema-Sentema RBT'!E32,'23.07 Sentema-Sentema RBT'!E32,'24.07 Sentema-SentemaRBT'!E32,'25.07 Sentema-SentemaRBT'!E32,'26.07 Sentema-Sentema RBT-24h'!E32,'27.07 Sentema-SentemaRBT-24h'!E32,'28.07 Sentema-SentemaRBT'!E32)</f>
        <v>2.5714285714285716</v>
      </c>
      <c r="F32" s="49">
        <f>AVERAGE('22.07 Sentema-Sentema RBT'!F32,'23.07 Sentema-Sentema RBT'!F32,'24.07 Sentema-SentemaRBT'!F32,'25.07 Sentema-SentemaRBT'!F32,'26.07 Sentema-Sentema RBT-24h'!F32,'27.07 Sentema-SentemaRBT-24h'!F32,'28.07 Sentema-SentemaRBT'!F32)</f>
        <v>5.2857142857142856</v>
      </c>
      <c r="G32" s="49">
        <f>AVERAGE('22.07 Sentema-Sentema RBT'!G32,'23.07 Sentema-Sentema RBT'!G32,'24.07 Sentema-SentemaRBT'!G32,'25.07 Sentema-SentemaRBT'!G32,'26.07 Sentema-Sentema RBT-24h'!G32,'27.07 Sentema-SentemaRBT-24h'!G32,'28.07 Sentema-SentemaRBT'!G32)</f>
        <v>0</v>
      </c>
      <c r="H32" s="49">
        <f>AVERAGE('22.07 Sentema-Sentema RBT'!H32,'23.07 Sentema-Sentema RBT'!H32,'24.07 Sentema-SentemaRBT'!H32,'25.07 Sentema-SentemaRBT'!H32,'26.07 Sentema-Sentema RBT-24h'!H32,'27.07 Sentema-SentemaRBT-24h'!H32,'28.07 Sentema-SentemaRBT'!H32)</f>
        <v>0.14285714285714285</v>
      </c>
      <c r="I32" s="49">
        <f>AVERAGE('22.07 Sentema-Sentema RBT'!I32,'23.07 Sentema-Sentema RBT'!I32,'24.07 Sentema-SentemaRBT'!I32,'25.07 Sentema-SentemaRBT'!I32,'26.07 Sentema-Sentema RBT-24h'!I32,'27.07 Sentema-SentemaRBT-24h'!I32,'28.07 Sentema-SentemaRBT'!I32)</f>
        <v>3</v>
      </c>
      <c r="J32" s="49">
        <f>AVERAGE('22.07 Sentema-Sentema RBT'!J32,'23.07 Sentema-Sentema RBT'!J32,'24.07 Sentema-SentemaRBT'!J32,'25.07 Sentema-SentemaRBT'!J32,'26.07 Sentema-Sentema RBT-24h'!J32,'27.07 Sentema-SentemaRBT-24h'!J32,'28.07 Sentema-SentemaRBT'!J32)</f>
        <v>2.2857142857142856</v>
      </c>
      <c r="K32" s="49">
        <f>AVERAGE('22.07 Sentema-Sentema RBT'!K32,'23.07 Sentema-Sentema RBT'!K32,'24.07 Sentema-SentemaRBT'!K32,'25.07 Sentema-SentemaRBT'!K32,'26.07 Sentema-Sentema RBT-24h'!K32,'27.07 Sentema-SentemaRBT-24h'!K32,'28.07 Sentema-SentemaRBT'!K32)</f>
        <v>0.14285714285714285</v>
      </c>
      <c r="L32" s="49">
        <f>AVERAGE('22.07 Sentema-Sentema RBT'!L32,'23.07 Sentema-Sentema RBT'!L32,'24.07 Sentema-SentemaRBT'!L32,'25.07 Sentema-SentemaRBT'!L32,'26.07 Sentema-Sentema RBT-24h'!L32,'27.07 Sentema-SentemaRBT-24h'!L32,'28.07 Sentema-SentemaRBT'!L32)</f>
        <v>0</v>
      </c>
      <c r="M32" s="49">
        <f>AVERAGE('22.07 Sentema-Sentema RBT'!M32,'23.07 Sentema-Sentema RBT'!M32,'24.07 Sentema-SentemaRBT'!M32,'25.07 Sentema-SentemaRBT'!M32,'26.07 Sentema-Sentema RBT-24h'!M32,'27.07 Sentema-SentemaRBT-24h'!M32,'28.07 Sentema-SentemaRBT'!M32)</f>
        <v>44.857142857142854</v>
      </c>
      <c r="N32" s="49">
        <f>AVERAGE('22.07 Sentema-Sentema RBT'!N32,'23.07 Sentema-Sentema RBT'!N32,'24.07 Sentema-SentemaRBT'!N32,'25.07 Sentema-SentemaRBT'!N32,'26.07 Sentema-Sentema RBT-24h'!N32,'27.07 Sentema-SentemaRBT-24h'!N32,'28.07 Sentema-SentemaRBT'!N32)</f>
        <v>0</v>
      </c>
      <c r="O32" s="15">
        <f t="shared" si="0"/>
        <v>25.857142857142854</v>
      </c>
      <c r="P32" s="15">
        <f t="shared" si="1"/>
        <v>70.714285714285708</v>
      </c>
      <c r="R32" s="1" t="s">
        <v>156</v>
      </c>
      <c r="S32" s="34">
        <f>SUM(C98:C101)</f>
        <v>14</v>
      </c>
      <c r="T32" s="34">
        <f t="shared" ref="T32:AF32" si="24">SUM(D98:D101)</f>
        <v>0.5</v>
      </c>
      <c r="U32" s="34">
        <f t="shared" si="24"/>
        <v>1</v>
      </c>
      <c r="V32" s="34">
        <f t="shared" si="24"/>
        <v>19</v>
      </c>
      <c r="W32" s="34">
        <f t="shared" si="24"/>
        <v>2.5</v>
      </c>
      <c r="X32" s="34">
        <f t="shared" si="24"/>
        <v>0</v>
      </c>
      <c r="Y32" s="34">
        <f t="shared" si="24"/>
        <v>2</v>
      </c>
      <c r="Z32" s="34">
        <f t="shared" si="24"/>
        <v>0.5</v>
      </c>
      <c r="AA32" s="34">
        <f t="shared" si="24"/>
        <v>1</v>
      </c>
      <c r="AB32" s="34">
        <f t="shared" si="24"/>
        <v>0</v>
      </c>
      <c r="AC32" s="34">
        <f t="shared" si="24"/>
        <v>22</v>
      </c>
      <c r="AD32" s="34">
        <f t="shared" si="24"/>
        <v>0</v>
      </c>
      <c r="AE32" s="31">
        <f t="shared" si="24"/>
        <v>40.5</v>
      </c>
      <c r="AF32" s="31">
        <f t="shared" si="24"/>
        <v>62.5</v>
      </c>
    </row>
    <row r="33" spans="2:32" ht="23.1" customHeight="1" x14ac:dyDescent="0.25">
      <c r="B33" s="23" t="s">
        <v>60</v>
      </c>
      <c r="C33" s="49">
        <f>AVERAGE('22.07 Sentema-Sentema RBT'!C33,'23.07 Sentema-Sentema RBT'!C33,'24.07 Sentema-SentemaRBT'!C33,'25.07 Sentema-SentemaRBT'!C33,'26.07 Sentema-Sentema RBT-24h'!C33,'27.07 Sentema-SentemaRBT-24h'!C33,'28.07 Sentema-SentemaRBT'!C33)</f>
        <v>9.4285714285714288</v>
      </c>
      <c r="D33" s="49">
        <f>AVERAGE('22.07 Sentema-Sentema RBT'!D33,'23.07 Sentema-Sentema RBT'!D33,'24.07 Sentema-SentemaRBT'!D33,'25.07 Sentema-SentemaRBT'!D33,'26.07 Sentema-Sentema RBT-24h'!D33,'27.07 Sentema-SentemaRBT-24h'!D33,'28.07 Sentema-SentemaRBT'!D33)</f>
        <v>3.1428571428571428</v>
      </c>
      <c r="E33" s="49">
        <f>AVERAGE('22.07 Sentema-Sentema RBT'!E33,'23.07 Sentema-Sentema RBT'!E33,'24.07 Sentema-SentemaRBT'!E33,'25.07 Sentema-SentemaRBT'!E33,'26.07 Sentema-Sentema RBT-24h'!E33,'27.07 Sentema-SentemaRBT-24h'!E33,'28.07 Sentema-SentemaRBT'!E33)</f>
        <v>2</v>
      </c>
      <c r="F33" s="49">
        <f>AVERAGE('22.07 Sentema-Sentema RBT'!F33,'23.07 Sentema-Sentema RBT'!F33,'24.07 Sentema-SentemaRBT'!F33,'25.07 Sentema-SentemaRBT'!F33,'26.07 Sentema-Sentema RBT-24h'!F33,'27.07 Sentema-SentemaRBT-24h'!F33,'28.07 Sentema-SentemaRBT'!F33)</f>
        <v>6.2857142857142856</v>
      </c>
      <c r="G33" s="49">
        <f>AVERAGE('22.07 Sentema-Sentema RBT'!G33,'23.07 Sentema-Sentema RBT'!G33,'24.07 Sentema-SentemaRBT'!G33,'25.07 Sentema-SentemaRBT'!G33,'26.07 Sentema-Sentema RBT-24h'!G33,'27.07 Sentema-SentemaRBT-24h'!G33,'28.07 Sentema-SentemaRBT'!G33)</f>
        <v>0.14285714285714285</v>
      </c>
      <c r="H33" s="49">
        <f>AVERAGE('22.07 Sentema-Sentema RBT'!H33,'23.07 Sentema-Sentema RBT'!H33,'24.07 Sentema-SentemaRBT'!H33,'25.07 Sentema-SentemaRBT'!H33,'26.07 Sentema-Sentema RBT-24h'!H33,'27.07 Sentema-SentemaRBT-24h'!H33,'28.07 Sentema-SentemaRBT'!H33)</f>
        <v>0</v>
      </c>
      <c r="I33" s="49">
        <f>AVERAGE('22.07 Sentema-Sentema RBT'!I33,'23.07 Sentema-Sentema RBT'!I33,'24.07 Sentema-SentemaRBT'!I33,'25.07 Sentema-SentemaRBT'!I33,'26.07 Sentema-Sentema RBT-24h'!I33,'27.07 Sentema-SentemaRBT-24h'!I33,'28.07 Sentema-SentemaRBT'!I33)</f>
        <v>3.2857142857142856</v>
      </c>
      <c r="J33" s="49">
        <f>AVERAGE('22.07 Sentema-Sentema RBT'!J33,'23.07 Sentema-Sentema RBT'!J33,'24.07 Sentema-SentemaRBT'!J33,'25.07 Sentema-SentemaRBT'!J33,'26.07 Sentema-Sentema RBT-24h'!J33,'27.07 Sentema-SentemaRBT-24h'!J33,'28.07 Sentema-SentemaRBT'!J33)</f>
        <v>1.5714285714285714</v>
      </c>
      <c r="K33" s="49">
        <f>AVERAGE('22.07 Sentema-Sentema RBT'!K33,'23.07 Sentema-Sentema RBT'!K33,'24.07 Sentema-SentemaRBT'!K33,'25.07 Sentema-SentemaRBT'!K33,'26.07 Sentema-Sentema RBT-24h'!K33,'27.07 Sentema-SentemaRBT-24h'!K33,'28.07 Sentema-SentemaRBT'!K33)</f>
        <v>0</v>
      </c>
      <c r="L33" s="49">
        <f>AVERAGE('22.07 Sentema-Sentema RBT'!L33,'23.07 Sentema-Sentema RBT'!L33,'24.07 Sentema-SentemaRBT'!L33,'25.07 Sentema-SentemaRBT'!L33,'26.07 Sentema-Sentema RBT-24h'!L33,'27.07 Sentema-SentemaRBT-24h'!L33,'28.07 Sentema-SentemaRBT'!L33)</f>
        <v>0</v>
      </c>
      <c r="M33" s="49">
        <f>AVERAGE('22.07 Sentema-Sentema RBT'!M33,'23.07 Sentema-Sentema RBT'!M33,'24.07 Sentema-SentemaRBT'!M33,'25.07 Sentema-SentemaRBT'!M33,'26.07 Sentema-Sentema RBT-24h'!M33,'27.07 Sentema-SentemaRBT-24h'!M33,'28.07 Sentema-SentemaRBT'!M33)</f>
        <v>45</v>
      </c>
      <c r="N33" s="49">
        <f>AVERAGE('22.07 Sentema-Sentema RBT'!N33,'23.07 Sentema-Sentema RBT'!N33,'24.07 Sentema-SentemaRBT'!N33,'25.07 Sentema-SentemaRBT'!N33,'26.07 Sentema-Sentema RBT-24h'!N33,'27.07 Sentema-SentemaRBT-24h'!N33,'28.07 Sentema-SentemaRBT'!N33)</f>
        <v>0</v>
      </c>
      <c r="O33" s="15">
        <f t="shared" si="0"/>
        <v>25.857142857142858</v>
      </c>
      <c r="P33" s="15">
        <f t="shared" si="1"/>
        <v>70.857142857142861</v>
      </c>
      <c r="R33" s="1" t="s">
        <v>157</v>
      </c>
      <c r="S33" s="34">
        <f>SUM(C102:C105)</f>
        <v>28.5</v>
      </c>
      <c r="T33" s="34">
        <f t="shared" ref="T33:AF33" si="25">SUM(D102:D105)</f>
        <v>2</v>
      </c>
      <c r="U33" s="34">
        <f t="shared" si="25"/>
        <v>1.5</v>
      </c>
      <c r="V33" s="34">
        <f t="shared" si="25"/>
        <v>36</v>
      </c>
      <c r="W33" s="34">
        <f t="shared" si="25"/>
        <v>0.5</v>
      </c>
      <c r="X33" s="34">
        <f t="shared" si="25"/>
        <v>0</v>
      </c>
      <c r="Y33" s="34">
        <f t="shared" si="25"/>
        <v>3</v>
      </c>
      <c r="Z33" s="34">
        <f t="shared" si="25"/>
        <v>1.5</v>
      </c>
      <c r="AA33" s="34">
        <f t="shared" si="25"/>
        <v>0.5</v>
      </c>
      <c r="AB33" s="34">
        <f t="shared" si="25"/>
        <v>0</v>
      </c>
      <c r="AC33" s="34">
        <f t="shared" si="25"/>
        <v>65</v>
      </c>
      <c r="AD33" s="34">
        <f t="shared" si="25"/>
        <v>0</v>
      </c>
      <c r="AE33" s="31">
        <f t="shared" si="25"/>
        <v>73.5</v>
      </c>
      <c r="AF33" s="31">
        <f t="shared" si="25"/>
        <v>138.5</v>
      </c>
    </row>
    <row r="34" spans="2:32" ht="23.1" customHeight="1" x14ac:dyDescent="0.25">
      <c r="B34" s="24" t="s">
        <v>61</v>
      </c>
      <c r="C34" s="49">
        <f>AVERAGE('22.07 Sentema-Sentema RBT'!C34,'23.07 Sentema-Sentema RBT'!C34,'24.07 Sentema-SentemaRBT'!C34,'25.07 Sentema-SentemaRBT'!C34,'26.07 Sentema-Sentema RBT-24h'!C34,'27.07 Sentema-SentemaRBT-24h'!C34,'28.07 Sentema-SentemaRBT'!C34)</f>
        <v>9</v>
      </c>
      <c r="D34" s="49">
        <f>AVERAGE('22.07 Sentema-Sentema RBT'!D34,'23.07 Sentema-Sentema RBT'!D34,'24.07 Sentema-SentemaRBT'!D34,'25.07 Sentema-SentemaRBT'!D34,'26.07 Sentema-Sentema RBT-24h'!D34,'27.07 Sentema-SentemaRBT-24h'!D34,'28.07 Sentema-SentemaRBT'!D34)</f>
        <v>3.2857142857142856</v>
      </c>
      <c r="E34" s="49">
        <f>AVERAGE('22.07 Sentema-Sentema RBT'!E34,'23.07 Sentema-Sentema RBT'!E34,'24.07 Sentema-SentemaRBT'!E34,'25.07 Sentema-SentemaRBT'!E34,'26.07 Sentema-Sentema RBT-24h'!E34,'27.07 Sentema-SentemaRBT-24h'!E34,'28.07 Sentema-SentemaRBT'!E34)</f>
        <v>1.7142857142857142</v>
      </c>
      <c r="F34" s="49">
        <f>AVERAGE('22.07 Sentema-Sentema RBT'!F34,'23.07 Sentema-Sentema RBT'!F34,'24.07 Sentema-SentemaRBT'!F34,'25.07 Sentema-SentemaRBT'!F34,'26.07 Sentema-Sentema RBT-24h'!F34,'27.07 Sentema-SentemaRBT-24h'!F34,'28.07 Sentema-SentemaRBT'!F34)</f>
        <v>4.5714285714285712</v>
      </c>
      <c r="G34" s="49">
        <f>AVERAGE('22.07 Sentema-Sentema RBT'!G34,'23.07 Sentema-Sentema RBT'!G34,'24.07 Sentema-SentemaRBT'!G34,'25.07 Sentema-SentemaRBT'!G34,'26.07 Sentema-Sentema RBT-24h'!G34,'27.07 Sentema-SentemaRBT-24h'!G34,'28.07 Sentema-SentemaRBT'!G34)</f>
        <v>0</v>
      </c>
      <c r="H34" s="49">
        <f>AVERAGE('22.07 Sentema-Sentema RBT'!H34,'23.07 Sentema-Sentema RBT'!H34,'24.07 Sentema-SentemaRBT'!H34,'25.07 Sentema-SentemaRBT'!H34,'26.07 Sentema-Sentema RBT-24h'!H34,'27.07 Sentema-SentemaRBT-24h'!H34,'28.07 Sentema-SentemaRBT'!H34)</f>
        <v>0</v>
      </c>
      <c r="I34" s="49">
        <f>AVERAGE('22.07 Sentema-Sentema RBT'!I34,'23.07 Sentema-Sentema RBT'!I34,'24.07 Sentema-SentemaRBT'!I34,'25.07 Sentema-SentemaRBT'!I34,'26.07 Sentema-Sentema RBT-24h'!I34,'27.07 Sentema-SentemaRBT-24h'!I34,'28.07 Sentema-SentemaRBT'!I34)</f>
        <v>2.8571428571428572</v>
      </c>
      <c r="J34" s="49">
        <f>AVERAGE('22.07 Sentema-Sentema RBT'!J34,'23.07 Sentema-Sentema RBT'!J34,'24.07 Sentema-SentemaRBT'!J34,'25.07 Sentema-SentemaRBT'!J34,'26.07 Sentema-Sentema RBT-24h'!J34,'27.07 Sentema-SentemaRBT-24h'!J34,'28.07 Sentema-SentemaRBT'!J34)</f>
        <v>2.5714285714285716</v>
      </c>
      <c r="K34" s="49">
        <f>AVERAGE('22.07 Sentema-Sentema RBT'!K34,'23.07 Sentema-Sentema RBT'!K34,'24.07 Sentema-SentemaRBT'!K34,'25.07 Sentema-SentemaRBT'!K34,'26.07 Sentema-Sentema RBT-24h'!K34,'27.07 Sentema-SentemaRBT-24h'!K34,'28.07 Sentema-SentemaRBT'!K34)</f>
        <v>0.14285714285714285</v>
      </c>
      <c r="L34" s="49">
        <f>AVERAGE('22.07 Sentema-Sentema RBT'!L34,'23.07 Sentema-Sentema RBT'!L34,'24.07 Sentema-SentemaRBT'!L34,'25.07 Sentema-SentemaRBT'!L34,'26.07 Sentema-Sentema RBT-24h'!L34,'27.07 Sentema-SentemaRBT-24h'!L34,'28.07 Sentema-SentemaRBT'!L34)</f>
        <v>0</v>
      </c>
      <c r="M34" s="49">
        <f>AVERAGE('22.07 Sentema-Sentema RBT'!M34,'23.07 Sentema-Sentema RBT'!M34,'24.07 Sentema-SentemaRBT'!M34,'25.07 Sentema-SentemaRBT'!M34,'26.07 Sentema-Sentema RBT-24h'!M34,'27.07 Sentema-SentemaRBT-24h'!M34,'28.07 Sentema-SentemaRBT'!M34)</f>
        <v>46.857142857142854</v>
      </c>
      <c r="N34" s="49">
        <f>AVERAGE('22.07 Sentema-Sentema RBT'!N34,'23.07 Sentema-Sentema RBT'!N34,'24.07 Sentema-SentemaRBT'!N34,'25.07 Sentema-SentemaRBT'!N34,'26.07 Sentema-Sentema RBT-24h'!N34,'27.07 Sentema-SentemaRBT-24h'!N34,'28.07 Sentema-SentemaRBT'!N34)</f>
        <v>0</v>
      </c>
      <c r="O34" s="15">
        <f t="shared" si="0"/>
        <v>24.142857142857142</v>
      </c>
      <c r="P34" s="15">
        <f t="shared" si="1"/>
        <v>71</v>
      </c>
      <c r="R34" s="51" t="s">
        <v>90</v>
      </c>
      <c r="S34" s="52">
        <f t="shared" ref="S34:AF34" si="26">MAX(S10:S12)</f>
        <v>186.85714285714283</v>
      </c>
      <c r="T34" s="52">
        <f t="shared" si="26"/>
        <v>21.571428571428569</v>
      </c>
      <c r="U34" s="52">
        <f t="shared" si="26"/>
        <v>18.857142857142858</v>
      </c>
      <c r="V34" s="52">
        <f t="shared" si="26"/>
        <v>87.714285714285722</v>
      </c>
      <c r="W34" s="52">
        <f t="shared" si="26"/>
        <v>0.7142857142857143</v>
      </c>
      <c r="X34" s="52">
        <f t="shared" si="26"/>
        <v>0.14285714285714285</v>
      </c>
      <c r="Y34" s="52">
        <f t="shared" si="26"/>
        <v>12.428571428571427</v>
      </c>
      <c r="Z34" s="52">
        <f t="shared" si="26"/>
        <v>7.9999999999999991</v>
      </c>
      <c r="AA34" s="52">
        <f t="shared" si="26"/>
        <v>1.4285714285714284</v>
      </c>
      <c r="AB34" s="52">
        <f t="shared" si="26"/>
        <v>0.71428571428571419</v>
      </c>
      <c r="AC34" s="52">
        <f t="shared" si="26"/>
        <v>305.42857142857144</v>
      </c>
      <c r="AD34" s="52">
        <f t="shared" si="26"/>
        <v>0</v>
      </c>
      <c r="AE34" s="40">
        <f t="shared" si="26"/>
        <v>327.14285714285711</v>
      </c>
      <c r="AF34" s="40">
        <f t="shared" si="26"/>
        <v>612.14285714285711</v>
      </c>
    </row>
    <row r="35" spans="2:32" ht="23.1" customHeight="1" x14ac:dyDescent="0.25">
      <c r="B35" s="24" t="s">
        <v>62</v>
      </c>
      <c r="C35" s="49">
        <f>AVERAGE('22.07 Sentema-Sentema RBT'!C35,'23.07 Sentema-Sentema RBT'!C35,'24.07 Sentema-SentemaRBT'!C35,'25.07 Sentema-SentemaRBT'!C35,'26.07 Sentema-Sentema RBT-24h'!C35,'27.07 Sentema-SentemaRBT-24h'!C35,'28.07 Sentema-SentemaRBT'!C35)</f>
        <v>9</v>
      </c>
      <c r="D35" s="49">
        <f>AVERAGE('22.07 Sentema-Sentema RBT'!D35,'23.07 Sentema-Sentema RBT'!D35,'24.07 Sentema-SentemaRBT'!D35,'25.07 Sentema-SentemaRBT'!D35,'26.07 Sentema-Sentema RBT-24h'!D35,'27.07 Sentema-SentemaRBT-24h'!D35,'28.07 Sentema-SentemaRBT'!D35)</f>
        <v>3</v>
      </c>
      <c r="E35" s="49">
        <f>AVERAGE('22.07 Sentema-Sentema RBT'!E35,'23.07 Sentema-Sentema RBT'!E35,'24.07 Sentema-SentemaRBT'!E35,'25.07 Sentema-SentemaRBT'!E35,'26.07 Sentema-Sentema RBT-24h'!E35,'27.07 Sentema-SentemaRBT-24h'!E35,'28.07 Sentema-SentemaRBT'!E35)</f>
        <v>1.5714285714285714</v>
      </c>
      <c r="F35" s="49">
        <f>AVERAGE('22.07 Sentema-Sentema RBT'!F35,'23.07 Sentema-Sentema RBT'!F35,'24.07 Sentema-SentemaRBT'!F35,'25.07 Sentema-SentemaRBT'!F35,'26.07 Sentema-Sentema RBT-24h'!F35,'27.07 Sentema-SentemaRBT-24h'!F35,'28.07 Sentema-SentemaRBT'!F35)</f>
        <v>5.4285714285714288</v>
      </c>
      <c r="G35" s="49">
        <f>AVERAGE('22.07 Sentema-Sentema RBT'!G35,'23.07 Sentema-Sentema RBT'!G35,'24.07 Sentema-SentemaRBT'!G35,'25.07 Sentema-SentemaRBT'!G35,'26.07 Sentema-Sentema RBT-24h'!G35,'27.07 Sentema-SentemaRBT-24h'!G35,'28.07 Sentema-SentemaRBT'!G35)</f>
        <v>0</v>
      </c>
      <c r="H35" s="49">
        <f>AVERAGE('22.07 Sentema-Sentema RBT'!H35,'23.07 Sentema-Sentema RBT'!H35,'24.07 Sentema-SentemaRBT'!H35,'25.07 Sentema-SentemaRBT'!H35,'26.07 Sentema-Sentema RBT-24h'!H35,'27.07 Sentema-SentemaRBT-24h'!H35,'28.07 Sentema-SentemaRBT'!H35)</f>
        <v>0</v>
      </c>
      <c r="I35" s="49">
        <f>AVERAGE('22.07 Sentema-Sentema RBT'!I35,'23.07 Sentema-Sentema RBT'!I35,'24.07 Sentema-SentemaRBT'!I35,'25.07 Sentema-SentemaRBT'!I35,'26.07 Sentema-Sentema RBT-24h'!I35,'27.07 Sentema-SentemaRBT-24h'!I35,'28.07 Sentema-SentemaRBT'!I35)</f>
        <v>3.5714285714285716</v>
      </c>
      <c r="J35" s="49">
        <f>AVERAGE('22.07 Sentema-Sentema RBT'!J35,'23.07 Sentema-Sentema RBT'!J35,'24.07 Sentema-SentemaRBT'!J35,'25.07 Sentema-SentemaRBT'!J35,'26.07 Sentema-Sentema RBT-24h'!J35,'27.07 Sentema-SentemaRBT-24h'!J35,'28.07 Sentema-SentemaRBT'!J35)</f>
        <v>1.8571428571428572</v>
      </c>
      <c r="K35" s="49">
        <f>AVERAGE('22.07 Sentema-Sentema RBT'!K35,'23.07 Sentema-Sentema RBT'!K35,'24.07 Sentema-SentemaRBT'!K35,'25.07 Sentema-SentemaRBT'!K35,'26.07 Sentema-Sentema RBT-24h'!K35,'27.07 Sentema-SentemaRBT-24h'!K35,'28.07 Sentema-SentemaRBT'!K35)</f>
        <v>0</v>
      </c>
      <c r="L35" s="49">
        <f>AVERAGE('22.07 Sentema-Sentema RBT'!L35,'23.07 Sentema-Sentema RBT'!L35,'24.07 Sentema-SentemaRBT'!L35,'25.07 Sentema-SentemaRBT'!L35,'26.07 Sentema-Sentema RBT-24h'!L35,'27.07 Sentema-SentemaRBT-24h'!L35,'28.07 Sentema-SentemaRBT'!L35)</f>
        <v>0.2857142857142857</v>
      </c>
      <c r="M35" s="49">
        <f>AVERAGE('22.07 Sentema-Sentema RBT'!M35,'23.07 Sentema-Sentema RBT'!M35,'24.07 Sentema-SentemaRBT'!M35,'25.07 Sentema-SentemaRBT'!M35,'26.07 Sentema-Sentema RBT-24h'!M35,'27.07 Sentema-SentemaRBT-24h'!M35,'28.07 Sentema-SentemaRBT'!M35)</f>
        <v>44</v>
      </c>
      <c r="N35" s="49">
        <f>AVERAGE('22.07 Sentema-Sentema RBT'!N35,'23.07 Sentema-Sentema RBT'!N35,'24.07 Sentema-SentemaRBT'!N35,'25.07 Sentema-SentemaRBT'!N35,'26.07 Sentema-Sentema RBT-24h'!N35,'27.07 Sentema-SentemaRBT-24h'!N35,'28.07 Sentema-SentemaRBT'!N35)</f>
        <v>0</v>
      </c>
      <c r="O35" s="15">
        <f t="shared" si="0"/>
        <v>24.714285714285715</v>
      </c>
      <c r="P35" s="15">
        <f t="shared" si="1"/>
        <v>68.714285714285722</v>
      </c>
      <c r="R35" s="51" t="s">
        <v>91</v>
      </c>
      <c r="S35" s="52">
        <f t="shared" ref="S35:AF35" si="27">MAX(S13:S18)</f>
        <v>89.857142857142861</v>
      </c>
      <c r="T35" s="52">
        <f t="shared" si="27"/>
        <v>21.714285714285715</v>
      </c>
      <c r="U35" s="52">
        <f t="shared" si="27"/>
        <v>12</v>
      </c>
      <c r="V35" s="52">
        <f t="shared" si="27"/>
        <v>45</v>
      </c>
      <c r="W35" s="52">
        <f t="shared" si="27"/>
        <v>0.85714285714285721</v>
      </c>
      <c r="X35" s="52">
        <f t="shared" si="27"/>
        <v>1.2857142857142856</v>
      </c>
      <c r="Y35" s="52">
        <f t="shared" si="27"/>
        <v>17</v>
      </c>
      <c r="Z35" s="52">
        <f t="shared" si="27"/>
        <v>8.5714285714285712</v>
      </c>
      <c r="AA35" s="52">
        <f t="shared" si="27"/>
        <v>1.5714285714285712</v>
      </c>
      <c r="AB35" s="52">
        <f t="shared" si="27"/>
        <v>6.8571428571428568</v>
      </c>
      <c r="AC35" s="52">
        <f t="shared" si="27"/>
        <v>215.57142857142861</v>
      </c>
      <c r="AD35" s="52">
        <f t="shared" si="27"/>
        <v>0</v>
      </c>
      <c r="AE35" s="40">
        <f t="shared" si="27"/>
        <v>203</v>
      </c>
      <c r="AF35" s="40">
        <f t="shared" si="27"/>
        <v>418.57142857142861</v>
      </c>
    </row>
    <row r="36" spans="2:32" ht="23.1" customHeight="1" x14ac:dyDescent="0.25">
      <c r="B36" s="24" t="s">
        <v>63</v>
      </c>
      <c r="C36" s="49">
        <f>AVERAGE('22.07 Sentema-Sentema RBT'!C36,'23.07 Sentema-Sentema RBT'!C36,'24.07 Sentema-SentemaRBT'!C36,'25.07 Sentema-SentemaRBT'!C36,'26.07 Sentema-Sentema RBT-24h'!C36,'27.07 Sentema-SentemaRBT-24h'!C36,'28.07 Sentema-SentemaRBT'!C36)</f>
        <v>10</v>
      </c>
      <c r="D36" s="49">
        <f>AVERAGE('22.07 Sentema-Sentema RBT'!D36,'23.07 Sentema-Sentema RBT'!D36,'24.07 Sentema-SentemaRBT'!D36,'25.07 Sentema-SentemaRBT'!D36,'26.07 Sentema-Sentema RBT-24h'!D36,'27.07 Sentema-SentemaRBT-24h'!D36,'28.07 Sentema-SentemaRBT'!D36)</f>
        <v>3.8571428571428572</v>
      </c>
      <c r="E36" s="49">
        <f>AVERAGE('22.07 Sentema-Sentema RBT'!E36,'23.07 Sentema-Sentema RBT'!E36,'24.07 Sentema-SentemaRBT'!E36,'25.07 Sentema-SentemaRBT'!E36,'26.07 Sentema-Sentema RBT-24h'!E36,'27.07 Sentema-SentemaRBT-24h'!E36,'28.07 Sentema-SentemaRBT'!E36)</f>
        <v>2</v>
      </c>
      <c r="F36" s="49">
        <f>AVERAGE('22.07 Sentema-Sentema RBT'!F36,'23.07 Sentema-Sentema RBT'!F36,'24.07 Sentema-SentemaRBT'!F36,'25.07 Sentema-SentemaRBT'!F36,'26.07 Sentema-Sentema RBT-24h'!F36,'27.07 Sentema-SentemaRBT-24h'!F36,'28.07 Sentema-SentemaRBT'!F36)</f>
        <v>5.5714285714285712</v>
      </c>
      <c r="G36" s="49">
        <f>AVERAGE('22.07 Sentema-Sentema RBT'!G36,'23.07 Sentema-Sentema RBT'!G36,'24.07 Sentema-SentemaRBT'!G36,'25.07 Sentema-SentemaRBT'!G36,'26.07 Sentema-Sentema RBT-24h'!G36,'27.07 Sentema-SentemaRBT-24h'!G36,'28.07 Sentema-SentemaRBT'!G36)</f>
        <v>0</v>
      </c>
      <c r="H36" s="49">
        <f>AVERAGE('22.07 Sentema-Sentema RBT'!H36,'23.07 Sentema-Sentema RBT'!H36,'24.07 Sentema-SentemaRBT'!H36,'25.07 Sentema-SentemaRBT'!H36,'26.07 Sentema-Sentema RBT-24h'!H36,'27.07 Sentema-SentemaRBT-24h'!H36,'28.07 Sentema-SentemaRBT'!H36)</f>
        <v>0.14285714285714285</v>
      </c>
      <c r="I36" s="49">
        <f>AVERAGE('22.07 Sentema-Sentema RBT'!I36,'23.07 Sentema-Sentema RBT'!I36,'24.07 Sentema-SentemaRBT'!I36,'25.07 Sentema-SentemaRBT'!I36,'26.07 Sentema-Sentema RBT-24h'!I36,'27.07 Sentema-SentemaRBT-24h'!I36,'28.07 Sentema-SentemaRBT'!I36)</f>
        <v>2.2857142857142856</v>
      </c>
      <c r="J36" s="49">
        <f>AVERAGE('22.07 Sentema-Sentema RBT'!J36,'23.07 Sentema-Sentema RBT'!J36,'24.07 Sentema-SentemaRBT'!J36,'25.07 Sentema-SentemaRBT'!J36,'26.07 Sentema-Sentema RBT-24h'!J36,'27.07 Sentema-SentemaRBT-24h'!J36,'28.07 Sentema-SentemaRBT'!J36)</f>
        <v>0.7142857142857143</v>
      </c>
      <c r="K36" s="49">
        <f>AVERAGE('22.07 Sentema-Sentema RBT'!K36,'23.07 Sentema-Sentema RBT'!K36,'24.07 Sentema-SentemaRBT'!K36,'25.07 Sentema-SentemaRBT'!K36,'26.07 Sentema-Sentema RBT-24h'!K36,'27.07 Sentema-SentemaRBT-24h'!K36,'28.07 Sentema-SentemaRBT'!K36)</f>
        <v>0.42857142857142855</v>
      </c>
      <c r="L36" s="49">
        <f>AVERAGE('22.07 Sentema-Sentema RBT'!L36,'23.07 Sentema-Sentema RBT'!L36,'24.07 Sentema-SentemaRBT'!L36,'25.07 Sentema-SentemaRBT'!L36,'26.07 Sentema-Sentema RBT-24h'!L36,'27.07 Sentema-SentemaRBT-24h'!L36,'28.07 Sentema-SentemaRBT'!L36)</f>
        <v>0.14285714285714285</v>
      </c>
      <c r="M36" s="49">
        <f>AVERAGE('22.07 Sentema-Sentema RBT'!M36,'23.07 Sentema-Sentema RBT'!M36,'24.07 Sentema-SentemaRBT'!M36,'25.07 Sentema-SentemaRBT'!M36,'26.07 Sentema-Sentema RBT-24h'!M36,'27.07 Sentema-SentemaRBT-24h'!M36,'28.07 Sentema-SentemaRBT'!M36)</f>
        <v>42.571428571428569</v>
      </c>
      <c r="N36" s="49">
        <f>AVERAGE('22.07 Sentema-Sentema RBT'!N36,'23.07 Sentema-Sentema RBT'!N36,'24.07 Sentema-SentemaRBT'!N36,'25.07 Sentema-SentemaRBT'!N36,'26.07 Sentema-Sentema RBT-24h'!N36,'27.07 Sentema-SentemaRBT-24h'!N36,'28.07 Sentema-SentemaRBT'!N36)</f>
        <v>0</v>
      </c>
      <c r="O36" s="15">
        <f t="shared" si="0"/>
        <v>25.142857142857142</v>
      </c>
      <c r="P36" s="15">
        <f t="shared" si="1"/>
        <v>67.714285714285708</v>
      </c>
      <c r="R36" s="51" t="s">
        <v>92</v>
      </c>
      <c r="S36" s="52">
        <f t="shared" ref="S36:AF36" si="28">MAX(S19:S21)</f>
        <v>55.571428571428569</v>
      </c>
      <c r="T36" s="52">
        <f t="shared" si="28"/>
        <v>16.714285714285715</v>
      </c>
      <c r="U36" s="52">
        <f t="shared" si="28"/>
        <v>8.8571428571428577</v>
      </c>
      <c r="V36" s="52">
        <f t="shared" si="28"/>
        <v>42.714285714285715</v>
      </c>
      <c r="W36" s="52">
        <f t="shared" si="28"/>
        <v>2.2857142857142856</v>
      </c>
      <c r="X36" s="52">
        <f t="shared" si="28"/>
        <v>0.71428571428571419</v>
      </c>
      <c r="Y36" s="52">
        <f t="shared" si="28"/>
        <v>11.571428571428569</v>
      </c>
      <c r="Z36" s="52">
        <f t="shared" si="28"/>
        <v>5.7142857142857144</v>
      </c>
      <c r="AA36" s="52">
        <f t="shared" si="28"/>
        <v>0.5714285714285714</v>
      </c>
      <c r="AB36" s="52">
        <f t="shared" si="28"/>
        <v>0.42857142857142855</v>
      </c>
      <c r="AC36" s="52">
        <f t="shared" si="28"/>
        <v>231.47619047619048</v>
      </c>
      <c r="AD36" s="52">
        <f t="shared" si="28"/>
        <v>0.14285714285714285</v>
      </c>
      <c r="AE36" s="40">
        <f t="shared" si="28"/>
        <v>128</v>
      </c>
      <c r="AF36" s="40">
        <f t="shared" si="28"/>
        <v>359.47619047619048</v>
      </c>
    </row>
    <row r="37" spans="2:32" ht="23.1" customHeight="1" x14ac:dyDescent="0.25">
      <c r="B37" s="23" t="s">
        <v>64</v>
      </c>
      <c r="C37" s="49">
        <f>AVERAGE('22.07 Sentema-Sentema RBT'!C37,'23.07 Sentema-Sentema RBT'!C37,'24.07 Sentema-SentemaRBT'!C37,'25.07 Sentema-SentemaRBT'!C37,'26.07 Sentema-Sentema RBT-24h'!C37,'27.07 Sentema-SentemaRBT-24h'!C37,'28.07 Sentema-SentemaRBT'!C37)</f>
        <v>10.571428571428571</v>
      </c>
      <c r="D37" s="49">
        <f>AVERAGE('22.07 Sentema-Sentema RBT'!D37,'23.07 Sentema-Sentema RBT'!D37,'24.07 Sentema-SentemaRBT'!D37,'25.07 Sentema-SentemaRBT'!D37,'26.07 Sentema-Sentema RBT-24h'!D37,'27.07 Sentema-SentemaRBT-24h'!D37,'28.07 Sentema-SentemaRBT'!D37)</f>
        <v>2</v>
      </c>
      <c r="E37" s="49">
        <f>AVERAGE('22.07 Sentema-Sentema RBT'!E37,'23.07 Sentema-Sentema RBT'!E37,'24.07 Sentema-SentemaRBT'!E37,'25.07 Sentema-SentemaRBT'!E37,'26.07 Sentema-Sentema RBT-24h'!E37,'27.07 Sentema-SentemaRBT-24h'!E37,'28.07 Sentema-SentemaRBT'!E37)</f>
        <v>1.8571428571428572</v>
      </c>
      <c r="F37" s="49">
        <f>AVERAGE('22.07 Sentema-Sentema RBT'!F37,'23.07 Sentema-Sentema RBT'!F37,'24.07 Sentema-SentemaRBT'!F37,'25.07 Sentema-SentemaRBT'!F37,'26.07 Sentema-Sentema RBT-24h'!F37,'27.07 Sentema-SentemaRBT-24h'!F37,'28.07 Sentema-SentemaRBT'!F37)</f>
        <v>4.5714285714285712</v>
      </c>
      <c r="G37" s="49">
        <f>AVERAGE('22.07 Sentema-Sentema RBT'!G37,'23.07 Sentema-Sentema RBT'!G37,'24.07 Sentema-SentemaRBT'!G37,'25.07 Sentema-SentemaRBT'!G37,'26.07 Sentema-Sentema RBT-24h'!G37,'27.07 Sentema-SentemaRBT-24h'!G37,'28.07 Sentema-SentemaRBT'!G37)</f>
        <v>0.14285714285714285</v>
      </c>
      <c r="H37" s="49">
        <f>AVERAGE('22.07 Sentema-Sentema RBT'!H37,'23.07 Sentema-Sentema RBT'!H37,'24.07 Sentema-SentemaRBT'!H37,'25.07 Sentema-SentemaRBT'!H37,'26.07 Sentema-Sentema RBT-24h'!H37,'27.07 Sentema-SentemaRBT-24h'!H37,'28.07 Sentema-SentemaRBT'!H37)</f>
        <v>0</v>
      </c>
      <c r="I37" s="49">
        <f>AVERAGE('22.07 Sentema-Sentema RBT'!I37,'23.07 Sentema-Sentema RBT'!I37,'24.07 Sentema-SentemaRBT'!I37,'25.07 Sentema-SentemaRBT'!I37,'26.07 Sentema-Sentema RBT-24h'!I37,'27.07 Sentema-SentemaRBT-24h'!I37,'28.07 Sentema-SentemaRBT'!I37)</f>
        <v>2.8571428571428572</v>
      </c>
      <c r="J37" s="49">
        <f>AVERAGE('22.07 Sentema-Sentema RBT'!J37,'23.07 Sentema-Sentema RBT'!J37,'24.07 Sentema-SentemaRBT'!J37,'25.07 Sentema-SentemaRBT'!J37,'26.07 Sentema-Sentema RBT-24h'!J37,'27.07 Sentema-SentemaRBT-24h'!J37,'28.07 Sentema-SentemaRBT'!J37)</f>
        <v>2</v>
      </c>
      <c r="K37" s="49">
        <f>AVERAGE('22.07 Sentema-Sentema RBT'!K37,'23.07 Sentema-Sentema RBT'!K37,'24.07 Sentema-SentemaRBT'!K37,'25.07 Sentema-SentemaRBT'!K37,'26.07 Sentema-Sentema RBT-24h'!K37,'27.07 Sentema-SentemaRBT-24h'!K37,'28.07 Sentema-SentemaRBT'!K37)</f>
        <v>0.2857142857142857</v>
      </c>
      <c r="L37" s="49">
        <f>AVERAGE('22.07 Sentema-Sentema RBT'!L37,'23.07 Sentema-Sentema RBT'!L37,'24.07 Sentema-SentemaRBT'!L37,'25.07 Sentema-SentemaRBT'!L37,'26.07 Sentema-Sentema RBT-24h'!L37,'27.07 Sentema-SentemaRBT-24h'!L37,'28.07 Sentema-SentemaRBT'!L37)</f>
        <v>0.2857142857142857</v>
      </c>
      <c r="M37" s="49">
        <f>AVERAGE('22.07 Sentema-Sentema RBT'!M37,'23.07 Sentema-Sentema RBT'!M37,'24.07 Sentema-SentemaRBT'!M37,'25.07 Sentema-SentemaRBT'!M37,'26.07 Sentema-Sentema RBT-24h'!M37,'27.07 Sentema-SentemaRBT-24h'!M37,'28.07 Sentema-SentemaRBT'!M37)</f>
        <v>35.857142857142854</v>
      </c>
      <c r="N37" s="49">
        <f>AVERAGE('22.07 Sentema-Sentema RBT'!N37,'23.07 Sentema-Sentema RBT'!N37,'24.07 Sentema-SentemaRBT'!N37,'25.07 Sentema-SentemaRBT'!N37,'26.07 Sentema-Sentema RBT-24h'!N37,'27.07 Sentema-SentemaRBT-24h'!N37,'28.07 Sentema-SentemaRBT'!N37)</f>
        <v>0</v>
      </c>
      <c r="O37" s="15">
        <f t="shared" si="0"/>
        <v>24.571428571428569</v>
      </c>
      <c r="P37" s="15">
        <f t="shared" si="1"/>
        <v>60.428571428571423</v>
      </c>
      <c r="R37" s="37" t="s">
        <v>85</v>
      </c>
      <c r="S37" s="35">
        <f t="shared" ref="S37:AF37" si="29">SUM(S10:S12)</f>
        <v>448.28571428571428</v>
      </c>
      <c r="T37" s="16">
        <f t="shared" si="29"/>
        <v>63.428571428571431</v>
      </c>
      <c r="U37" s="16">
        <f t="shared" si="29"/>
        <v>45.714285714285715</v>
      </c>
      <c r="V37" s="16">
        <f t="shared" si="29"/>
        <v>220</v>
      </c>
      <c r="W37" s="16">
        <f t="shared" si="29"/>
        <v>1.2857142857142856</v>
      </c>
      <c r="X37" s="16">
        <f t="shared" si="29"/>
        <v>0.2857142857142857</v>
      </c>
      <c r="Y37" s="16">
        <f t="shared" si="29"/>
        <v>31.285714285714281</v>
      </c>
      <c r="Z37" s="16">
        <f t="shared" si="29"/>
        <v>15.571428571428569</v>
      </c>
      <c r="AA37" s="16">
        <f t="shared" si="29"/>
        <v>2.1428571428571428</v>
      </c>
      <c r="AB37" s="16">
        <f t="shared" si="29"/>
        <v>1.714285714285714</v>
      </c>
      <c r="AC37" s="16">
        <f t="shared" si="29"/>
        <v>849.57142857142856</v>
      </c>
      <c r="AD37" s="16">
        <f t="shared" si="29"/>
        <v>0</v>
      </c>
      <c r="AE37" s="32">
        <f t="shared" si="29"/>
        <v>829.71428571428567</v>
      </c>
      <c r="AF37" s="32">
        <f t="shared" si="29"/>
        <v>1679.2857142857144</v>
      </c>
    </row>
    <row r="38" spans="2:32" ht="23.1" customHeight="1" x14ac:dyDescent="0.25">
      <c r="B38" s="24" t="s">
        <v>65</v>
      </c>
      <c r="C38" s="49">
        <f>AVERAGE('22.07 Sentema-Sentema RBT'!C38,'23.07 Sentema-Sentema RBT'!C38,'24.07 Sentema-SentemaRBT'!C38,'25.07 Sentema-SentemaRBT'!C38,'26.07 Sentema-Sentema RBT-24h'!C38,'27.07 Sentema-SentemaRBT-24h'!C38,'28.07 Sentema-SentemaRBT'!C38)</f>
        <v>10.285714285714286</v>
      </c>
      <c r="D38" s="49">
        <f>AVERAGE('22.07 Sentema-Sentema RBT'!D38,'23.07 Sentema-Sentema RBT'!D38,'24.07 Sentema-SentemaRBT'!D38,'25.07 Sentema-SentemaRBT'!D38,'26.07 Sentema-Sentema RBT-24h'!D38,'27.07 Sentema-SentemaRBT-24h'!D38,'28.07 Sentema-SentemaRBT'!D38)</f>
        <v>4</v>
      </c>
      <c r="E38" s="49">
        <f>AVERAGE('22.07 Sentema-Sentema RBT'!E38,'23.07 Sentema-Sentema RBT'!E38,'24.07 Sentema-SentemaRBT'!E38,'25.07 Sentema-SentemaRBT'!E38,'26.07 Sentema-Sentema RBT-24h'!E38,'27.07 Sentema-SentemaRBT-24h'!E38,'28.07 Sentema-SentemaRBT'!E38)</f>
        <v>2.2857142857142856</v>
      </c>
      <c r="F38" s="49">
        <f>AVERAGE('22.07 Sentema-Sentema RBT'!F38,'23.07 Sentema-Sentema RBT'!F38,'24.07 Sentema-SentemaRBT'!F38,'25.07 Sentema-SentemaRBT'!F38,'26.07 Sentema-Sentema RBT-24h'!F38,'27.07 Sentema-SentemaRBT-24h'!F38,'28.07 Sentema-SentemaRBT'!F38)</f>
        <v>7</v>
      </c>
      <c r="G38" s="49">
        <f>AVERAGE('22.07 Sentema-Sentema RBT'!G38,'23.07 Sentema-Sentema RBT'!G38,'24.07 Sentema-SentemaRBT'!G38,'25.07 Sentema-SentemaRBT'!G38,'26.07 Sentema-Sentema RBT-24h'!G38,'27.07 Sentema-SentemaRBT-24h'!G38,'28.07 Sentema-SentemaRBT'!G38)</f>
        <v>0.2857142857142857</v>
      </c>
      <c r="H38" s="49">
        <f>AVERAGE('22.07 Sentema-Sentema RBT'!H38,'23.07 Sentema-Sentema RBT'!H38,'24.07 Sentema-SentemaRBT'!H38,'25.07 Sentema-SentemaRBT'!H38,'26.07 Sentema-Sentema RBT-24h'!H38,'27.07 Sentema-SentemaRBT-24h'!H38,'28.07 Sentema-SentemaRBT'!H38)</f>
        <v>0.14285714285714285</v>
      </c>
      <c r="I38" s="49">
        <f>AVERAGE('22.07 Sentema-Sentema RBT'!I38,'23.07 Sentema-Sentema RBT'!I38,'24.07 Sentema-SentemaRBT'!I38,'25.07 Sentema-SentemaRBT'!I38,'26.07 Sentema-Sentema RBT-24h'!I38,'27.07 Sentema-SentemaRBT-24h'!I38,'28.07 Sentema-SentemaRBT'!I38)</f>
        <v>2.4285714285714284</v>
      </c>
      <c r="J38" s="49">
        <f>AVERAGE('22.07 Sentema-Sentema RBT'!J38,'23.07 Sentema-Sentema RBT'!J38,'24.07 Sentema-SentemaRBT'!J38,'25.07 Sentema-SentemaRBT'!J38,'26.07 Sentema-Sentema RBT-24h'!J38,'27.07 Sentema-SentemaRBT-24h'!J38,'28.07 Sentema-SentemaRBT'!J38)</f>
        <v>0.8571428571428571</v>
      </c>
      <c r="K38" s="49">
        <f>AVERAGE('22.07 Sentema-Sentema RBT'!K38,'23.07 Sentema-Sentema RBT'!K38,'24.07 Sentema-SentemaRBT'!K38,'25.07 Sentema-SentemaRBT'!K38,'26.07 Sentema-Sentema RBT-24h'!K38,'27.07 Sentema-SentemaRBT-24h'!K38,'28.07 Sentema-SentemaRBT'!K38)</f>
        <v>0.14285714285714285</v>
      </c>
      <c r="L38" s="49">
        <f>AVERAGE('22.07 Sentema-Sentema RBT'!L38,'23.07 Sentema-Sentema RBT'!L38,'24.07 Sentema-SentemaRBT'!L38,'25.07 Sentema-SentemaRBT'!L38,'26.07 Sentema-Sentema RBT-24h'!L38,'27.07 Sentema-SentemaRBT-24h'!L38,'28.07 Sentema-SentemaRBT'!L38)</f>
        <v>0</v>
      </c>
      <c r="M38" s="49">
        <f>AVERAGE('22.07 Sentema-Sentema RBT'!M38,'23.07 Sentema-Sentema RBT'!M38,'24.07 Sentema-SentemaRBT'!M38,'25.07 Sentema-SentemaRBT'!M38,'26.07 Sentema-Sentema RBT-24h'!M38,'27.07 Sentema-SentemaRBT-24h'!M38,'28.07 Sentema-SentemaRBT'!M38)</f>
        <v>42.857142857142854</v>
      </c>
      <c r="N38" s="49">
        <f>AVERAGE('22.07 Sentema-Sentema RBT'!N38,'23.07 Sentema-Sentema RBT'!N38,'24.07 Sentema-SentemaRBT'!N38,'25.07 Sentema-SentemaRBT'!N38,'26.07 Sentema-Sentema RBT-24h'!N38,'27.07 Sentema-SentemaRBT-24h'!N38,'28.07 Sentema-SentemaRBT'!N38)</f>
        <v>0</v>
      </c>
      <c r="O38" s="15">
        <f t="shared" si="0"/>
        <v>27.428571428571427</v>
      </c>
      <c r="P38" s="15">
        <f t="shared" si="1"/>
        <v>70.285714285714278</v>
      </c>
      <c r="R38" s="28" t="s">
        <v>86</v>
      </c>
      <c r="S38" s="16">
        <f t="shared" ref="S38:AF38" si="30">SUM(S13:S18)</f>
        <v>328.71428571428572</v>
      </c>
      <c r="T38" s="16">
        <f t="shared" si="30"/>
        <v>94.428571428571416</v>
      </c>
      <c r="U38" s="16">
        <f t="shared" si="30"/>
        <v>53.285714285714278</v>
      </c>
      <c r="V38" s="16">
        <f t="shared" si="30"/>
        <v>178.71428571428572</v>
      </c>
      <c r="W38" s="16">
        <f t="shared" si="30"/>
        <v>2.4285714285714284</v>
      </c>
      <c r="X38" s="16">
        <f t="shared" si="30"/>
        <v>2.2857142857142851</v>
      </c>
      <c r="Y38" s="16">
        <f t="shared" si="30"/>
        <v>77.428571428571431</v>
      </c>
      <c r="Z38" s="16">
        <f t="shared" si="30"/>
        <v>43.142857142857139</v>
      </c>
      <c r="AA38" s="16">
        <f t="shared" si="30"/>
        <v>7.2857142857142847</v>
      </c>
      <c r="AB38" s="16">
        <f t="shared" si="30"/>
        <v>9.2857142857142865</v>
      </c>
      <c r="AC38" s="16">
        <f t="shared" si="30"/>
        <v>1133.8571428571429</v>
      </c>
      <c r="AD38" s="16">
        <f t="shared" si="30"/>
        <v>0</v>
      </c>
      <c r="AE38" s="32">
        <f t="shared" si="30"/>
        <v>797</v>
      </c>
      <c r="AF38" s="32">
        <f t="shared" si="30"/>
        <v>1930.8571428571429</v>
      </c>
    </row>
    <row r="39" spans="2:32" ht="23.1" customHeight="1" x14ac:dyDescent="0.25">
      <c r="B39" s="24" t="s">
        <v>66</v>
      </c>
      <c r="C39" s="49">
        <f>AVERAGE('22.07 Sentema-Sentema RBT'!C39,'23.07 Sentema-Sentema RBT'!C39,'24.07 Sentema-SentemaRBT'!C39,'25.07 Sentema-SentemaRBT'!C39,'26.07 Sentema-Sentema RBT-24h'!C39,'27.07 Sentema-SentemaRBT-24h'!C39,'28.07 Sentema-SentemaRBT'!C39)</f>
        <v>11.142857142857142</v>
      </c>
      <c r="D39" s="49">
        <f>AVERAGE('22.07 Sentema-Sentema RBT'!D39,'23.07 Sentema-Sentema RBT'!D39,'24.07 Sentema-SentemaRBT'!D39,'25.07 Sentema-SentemaRBT'!D39,'26.07 Sentema-Sentema RBT-24h'!D39,'27.07 Sentema-SentemaRBT-24h'!D39,'28.07 Sentema-SentemaRBT'!D39)</f>
        <v>2.4285714285714284</v>
      </c>
      <c r="E39" s="49">
        <f>AVERAGE('22.07 Sentema-Sentema RBT'!E39,'23.07 Sentema-Sentema RBT'!E39,'24.07 Sentema-SentemaRBT'!E39,'25.07 Sentema-SentemaRBT'!E39,'26.07 Sentema-Sentema RBT-24h'!E39,'27.07 Sentema-SentemaRBT-24h'!E39,'28.07 Sentema-SentemaRBT'!E39)</f>
        <v>2.2857142857142856</v>
      </c>
      <c r="F39" s="49">
        <f>AVERAGE('22.07 Sentema-Sentema RBT'!F39,'23.07 Sentema-Sentema RBT'!F39,'24.07 Sentema-SentemaRBT'!F39,'25.07 Sentema-SentemaRBT'!F39,'26.07 Sentema-Sentema RBT-24h'!F39,'27.07 Sentema-SentemaRBT-24h'!F39,'28.07 Sentema-SentemaRBT'!F39)</f>
        <v>5.2857142857142856</v>
      </c>
      <c r="G39" s="49">
        <f>AVERAGE('22.07 Sentema-Sentema RBT'!G39,'23.07 Sentema-Sentema RBT'!G39,'24.07 Sentema-SentemaRBT'!G39,'25.07 Sentema-SentemaRBT'!G39,'26.07 Sentema-Sentema RBT-24h'!G39,'27.07 Sentema-SentemaRBT-24h'!G39,'28.07 Sentema-SentemaRBT'!G39)</f>
        <v>0.14285714285714285</v>
      </c>
      <c r="H39" s="49">
        <f>AVERAGE('22.07 Sentema-Sentema RBT'!H39,'23.07 Sentema-Sentema RBT'!H39,'24.07 Sentema-SentemaRBT'!H39,'25.07 Sentema-SentemaRBT'!H39,'26.07 Sentema-Sentema RBT-24h'!H39,'27.07 Sentema-SentemaRBT-24h'!H39,'28.07 Sentema-SentemaRBT'!H39)</f>
        <v>0</v>
      </c>
      <c r="I39" s="49">
        <f>AVERAGE('22.07 Sentema-Sentema RBT'!I39,'23.07 Sentema-Sentema RBT'!I39,'24.07 Sentema-SentemaRBT'!I39,'25.07 Sentema-SentemaRBT'!I39,'26.07 Sentema-Sentema RBT-24h'!I39,'27.07 Sentema-SentemaRBT-24h'!I39,'28.07 Sentema-SentemaRBT'!I39)</f>
        <v>3</v>
      </c>
      <c r="J39" s="49">
        <f>AVERAGE('22.07 Sentema-Sentema RBT'!J39,'23.07 Sentema-Sentema RBT'!J39,'24.07 Sentema-SentemaRBT'!J39,'25.07 Sentema-SentemaRBT'!J39,'26.07 Sentema-Sentema RBT-24h'!J39,'27.07 Sentema-SentemaRBT-24h'!J39,'28.07 Sentema-SentemaRBT'!J39)</f>
        <v>1.1428571428571428</v>
      </c>
      <c r="K39" s="49">
        <f>AVERAGE('22.07 Sentema-Sentema RBT'!K39,'23.07 Sentema-Sentema RBT'!K39,'24.07 Sentema-SentemaRBT'!K39,'25.07 Sentema-SentemaRBT'!K39,'26.07 Sentema-Sentema RBT-24h'!K39,'27.07 Sentema-SentemaRBT-24h'!K39,'28.07 Sentema-SentemaRBT'!K39)</f>
        <v>0.7142857142857143</v>
      </c>
      <c r="L39" s="49">
        <f>AVERAGE('22.07 Sentema-Sentema RBT'!L39,'23.07 Sentema-Sentema RBT'!L39,'24.07 Sentema-SentemaRBT'!L39,'25.07 Sentema-SentemaRBT'!L39,'26.07 Sentema-Sentema RBT-24h'!L39,'27.07 Sentema-SentemaRBT-24h'!L39,'28.07 Sentema-SentemaRBT'!L39)</f>
        <v>0.14285714285714285</v>
      </c>
      <c r="M39" s="49">
        <f>AVERAGE('22.07 Sentema-Sentema RBT'!M39,'23.07 Sentema-Sentema RBT'!M39,'24.07 Sentema-SentemaRBT'!M39,'25.07 Sentema-SentemaRBT'!M39,'26.07 Sentema-Sentema RBT-24h'!M39,'27.07 Sentema-SentemaRBT-24h'!M39,'28.07 Sentema-SentemaRBT'!M39)</f>
        <v>43.285714285714285</v>
      </c>
      <c r="N39" s="49">
        <f>AVERAGE('22.07 Sentema-Sentema RBT'!N39,'23.07 Sentema-Sentema RBT'!N39,'24.07 Sentema-SentemaRBT'!N39,'25.07 Sentema-SentemaRBT'!N39,'26.07 Sentema-Sentema RBT-24h'!N39,'27.07 Sentema-SentemaRBT-24h'!N39,'28.07 Sentema-SentemaRBT'!N39)</f>
        <v>0</v>
      </c>
      <c r="O39" s="15">
        <f t="shared" si="0"/>
        <v>26.285714285714285</v>
      </c>
      <c r="P39" s="15">
        <f t="shared" si="1"/>
        <v>69.571428571428569</v>
      </c>
      <c r="R39" s="29" t="s">
        <v>87</v>
      </c>
      <c r="S39" s="16">
        <f t="shared" ref="S39:AF39" si="31">SUM(S19:S21)</f>
        <v>143.57142857142856</v>
      </c>
      <c r="T39" s="16">
        <f t="shared" si="31"/>
        <v>47.714285714285715</v>
      </c>
      <c r="U39" s="16">
        <f t="shared" si="31"/>
        <v>23.857142857142858</v>
      </c>
      <c r="V39" s="16">
        <f t="shared" si="31"/>
        <v>95.142857142857139</v>
      </c>
      <c r="W39" s="16">
        <f t="shared" si="31"/>
        <v>4</v>
      </c>
      <c r="X39" s="16">
        <f t="shared" si="31"/>
        <v>1.7142857142857142</v>
      </c>
      <c r="Y39" s="16">
        <f t="shared" si="31"/>
        <v>31.428571428571423</v>
      </c>
      <c r="Z39" s="16">
        <f t="shared" si="31"/>
        <v>13.428571428571427</v>
      </c>
      <c r="AA39" s="16">
        <f t="shared" si="31"/>
        <v>1.1428571428571428</v>
      </c>
      <c r="AB39" s="16">
        <f t="shared" si="31"/>
        <v>1</v>
      </c>
      <c r="AC39" s="16">
        <f t="shared" si="31"/>
        <v>647.61904761904759</v>
      </c>
      <c r="AD39" s="16">
        <f t="shared" si="31"/>
        <v>0.14285714285714285</v>
      </c>
      <c r="AE39" s="32">
        <f t="shared" si="31"/>
        <v>363.14285714285711</v>
      </c>
      <c r="AF39" s="32">
        <f t="shared" si="31"/>
        <v>1010.7619047619048</v>
      </c>
    </row>
    <row r="40" spans="2:32" ht="23.1" customHeight="1" x14ac:dyDescent="0.25">
      <c r="B40" s="24" t="s">
        <v>67</v>
      </c>
      <c r="C40" s="49">
        <f>AVERAGE('22.07 Sentema-Sentema RBT'!C40,'23.07 Sentema-Sentema RBT'!C40,'24.07 Sentema-SentemaRBT'!C40,'25.07 Sentema-SentemaRBT'!C40,'26.07 Sentema-Sentema RBT-24h'!C40,'27.07 Sentema-SentemaRBT-24h'!C40,'28.07 Sentema-SentemaRBT'!C40)</f>
        <v>11.571428571428571</v>
      </c>
      <c r="D40" s="49">
        <f>AVERAGE('22.07 Sentema-Sentema RBT'!D40,'23.07 Sentema-Sentema RBT'!D40,'24.07 Sentema-SentemaRBT'!D40,'25.07 Sentema-SentemaRBT'!D40,'26.07 Sentema-Sentema RBT-24h'!D40,'27.07 Sentema-SentemaRBT-24h'!D40,'28.07 Sentema-SentemaRBT'!D40)</f>
        <v>4.5714285714285712</v>
      </c>
      <c r="E40" s="49">
        <f>AVERAGE('22.07 Sentema-Sentema RBT'!E40,'23.07 Sentema-Sentema RBT'!E40,'24.07 Sentema-SentemaRBT'!E40,'25.07 Sentema-SentemaRBT'!E40,'26.07 Sentema-Sentema RBT-24h'!E40,'27.07 Sentema-SentemaRBT-24h'!E40,'28.07 Sentema-SentemaRBT'!E40)</f>
        <v>3.1428571428571428</v>
      </c>
      <c r="F40" s="49">
        <f>AVERAGE('22.07 Sentema-Sentema RBT'!F40,'23.07 Sentema-Sentema RBT'!F40,'24.07 Sentema-SentemaRBT'!F40,'25.07 Sentema-SentemaRBT'!F40,'26.07 Sentema-Sentema RBT-24h'!F40,'27.07 Sentema-SentemaRBT-24h'!F40,'28.07 Sentema-SentemaRBT'!F40)</f>
        <v>6.2857142857142856</v>
      </c>
      <c r="G40" s="49">
        <f>AVERAGE('22.07 Sentema-Sentema RBT'!G40,'23.07 Sentema-Sentema RBT'!G40,'24.07 Sentema-SentemaRBT'!G40,'25.07 Sentema-SentemaRBT'!G40,'26.07 Sentema-Sentema RBT-24h'!G40,'27.07 Sentema-SentemaRBT-24h'!G40,'28.07 Sentema-SentemaRBT'!G40)</f>
        <v>0</v>
      </c>
      <c r="H40" s="49">
        <f>AVERAGE('22.07 Sentema-Sentema RBT'!H40,'23.07 Sentema-Sentema RBT'!H40,'24.07 Sentema-SentemaRBT'!H40,'25.07 Sentema-SentemaRBT'!H40,'26.07 Sentema-Sentema RBT-24h'!H40,'27.07 Sentema-SentemaRBT-24h'!H40,'28.07 Sentema-SentemaRBT'!H40)</f>
        <v>0.14285714285714285</v>
      </c>
      <c r="I40" s="49">
        <f>AVERAGE('22.07 Sentema-Sentema RBT'!I40,'23.07 Sentema-Sentema RBT'!I40,'24.07 Sentema-SentemaRBT'!I40,'25.07 Sentema-SentemaRBT'!I40,'26.07 Sentema-Sentema RBT-24h'!I40,'27.07 Sentema-SentemaRBT-24h'!I40,'28.07 Sentema-SentemaRBT'!I40)</f>
        <v>2</v>
      </c>
      <c r="J40" s="49">
        <f>AVERAGE('22.07 Sentema-Sentema RBT'!J40,'23.07 Sentema-Sentema RBT'!J40,'24.07 Sentema-SentemaRBT'!J40,'25.07 Sentema-SentemaRBT'!J40,'26.07 Sentema-Sentema RBT-24h'!J40,'27.07 Sentema-SentemaRBT-24h'!J40,'28.07 Sentema-SentemaRBT'!J40)</f>
        <v>1.2857142857142858</v>
      </c>
      <c r="K40" s="49">
        <f>AVERAGE('22.07 Sentema-Sentema RBT'!K40,'23.07 Sentema-Sentema RBT'!K40,'24.07 Sentema-SentemaRBT'!K40,'25.07 Sentema-SentemaRBT'!K40,'26.07 Sentema-Sentema RBT-24h'!K40,'27.07 Sentema-SentemaRBT-24h'!K40,'28.07 Sentema-SentemaRBT'!K40)</f>
        <v>0</v>
      </c>
      <c r="L40" s="49">
        <f>AVERAGE('22.07 Sentema-Sentema RBT'!L40,'23.07 Sentema-Sentema RBT'!L40,'24.07 Sentema-SentemaRBT'!L40,'25.07 Sentema-SentemaRBT'!L40,'26.07 Sentema-Sentema RBT-24h'!L40,'27.07 Sentema-SentemaRBT-24h'!L40,'28.07 Sentema-SentemaRBT'!L40)</f>
        <v>0.42857142857142855</v>
      </c>
      <c r="M40" s="49">
        <f>AVERAGE('22.07 Sentema-Sentema RBT'!M40,'23.07 Sentema-Sentema RBT'!M40,'24.07 Sentema-SentemaRBT'!M40,'25.07 Sentema-SentemaRBT'!M40,'26.07 Sentema-Sentema RBT-24h'!M40,'27.07 Sentema-SentemaRBT-24h'!M40,'28.07 Sentema-SentemaRBT'!M40)</f>
        <v>44</v>
      </c>
      <c r="N40" s="49">
        <f>AVERAGE('22.07 Sentema-Sentema RBT'!N40,'23.07 Sentema-Sentema RBT'!N40,'24.07 Sentema-SentemaRBT'!N40,'25.07 Sentema-SentemaRBT'!N40,'26.07 Sentema-Sentema RBT-24h'!N40,'27.07 Sentema-SentemaRBT-24h'!N40,'28.07 Sentema-SentemaRBT'!N40)</f>
        <v>0</v>
      </c>
      <c r="O40" s="15">
        <f t="shared" si="0"/>
        <v>29.428571428571423</v>
      </c>
      <c r="P40" s="15">
        <f t="shared" si="1"/>
        <v>73.428571428571416</v>
      </c>
      <c r="R40" s="5" t="s">
        <v>17</v>
      </c>
      <c r="S40" s="16">
        <f t="shared" ref="S40:AF40" si="32">SUM(S10:S21)</f>
        <v>920.57142857142844</v>
      </c>
      <c r="T40" s="16">
        <f t="shared" si="32"/>
        <v>205.57142857142858</v>
      </c>
      <c r="U40" s="16">
        <f t="shared" si="32"/>
        <v>122.85714285714286</v>
      </c>
      <c r="V40" s="16">
        <f t="shared" si="32"/>
        <v>493.85714285714289</v>
      </c>
      <c r="W40" s="16">
        <f t="shared" si="32"/>
        <v>7.7142857142857135</v>
      </c>
      <c r="X40" s="16">
        <f t="shared" si="32"/>
        <v>4.2857142857142847</v>
      </c>
      <c r="Y40" s="16">
        <f t="shared" si="32"/>
        <v>140.14285714285714</v>
      </c>
      <c r="Z40" s="16">
        <f t="shared" si="32"/>
        <v>72.142857142857139</v>
      </c>
      <c r="AA40" s="16">
        <f t="shared" si="32"/>
        <v>10.571428571428571</v>
      </c>
      <c r="AB40" s="16">
        <f t="shared" si="32"/>
        <v>12</v>
      </c>
      <c r="AC40" s="16">
        <f t="shared" si="32"/>
        <v>2631.0476190476184</v>
      </c>
      <c r="AD40" s="16">
        <f t="shared" si="32"/>
        <v>0.14285714285714285</v>
      </c>
      <c r="AE40" s="32">
        <f t="shared" si="32"/>
        <v>1989.8571428571429</v>
      </c>
      <c r="AF40" s="32">
        <f t="shared" si="32"/>
        <v>4620.9047619047624</v>
      </c>
    </row>
    <row r="41" spans="2:32" ht="23.1" customHeight="1" x14ac:dyDescent="0.25">
      <c r="B41" s="23" t="s">
        <v>68</v>
      </c>
      <c r="C41" s="49">
        <f>AVERAGE('22.07 Sentema-Sentema RBT'!C41,'23.07 Sentema-Sentema RBT'!C41,'24.07 Sentema-SentemaRBT'!C41,'25.07 Sentema-SentemaRBT'!C41,'26.07 Sentema-Sentema RBT-24h'!C41,'27.07 Sentema-SentemaRBT-24h'!C41,'28.07 Sentema-SentemaRBT'!C41)</f>
        <v>9.2857142857142865</v>
      </c>
      <c r="D41" s="49">
        <f>AVERAGE('22.07 Sentema-Sentema RBT'!D41,'23.07 Sentema-Sentema RBT'!D41,'24.07 Sentema-SentemaRBT'!D41,'25.07 Sentema-SentemaRBT'!D41,'26.07 Sentema-Sentema RBT-24h'!D41,'27.07 Sentema-SentemaRBT-24h'!D41,'28.07 Sentema-SentemaRBT'!D41)</f>
        <v>2.7142857142857144</v>
      </c>
      <c r="E41" s="49">
        <f>AVERAGE('22.07 Sentema-Sentema RBT'!E41,'23.07 Sentema-Sentema RBT'!E41,'24.07 Sentema-SentemaRBT'!E41,'25.07 Sentema-SentemaRBT'!E41,'26.07 Sentema-Sentema RBT-24h'!E41,'27.07 Sentema-SentemaRBT-24h'!E41,'28.07 Sentema-SentemaRBT'!E41)</f>
        <v>2.1428571428571428</v>
      </c>
      <c r="F41" s="49">
        <f>AVERAGE('22.07 Sentema-Sentema RBT'!F41,'23.07 Sentema-Sentema RBT'!F41,'24.07 Sentema-SentemaRBT'!F41,'25.07 Sentema-SentemaRBT'!F41,'26.07 Sentema-Sentema RBT-24h'!F41,'27.07 Sentema-SentemaRBT-24h'!F41,'28.07 Sentema-SentemaRBT'!F41)</f>
        <v>5.7142857142857144</v>
      </c>
      <c r="G41" s="49">
        <f>AVERAGE('22.07 Sentema-Sentema RBT'!G41,'23.07 Sentema-Sentema RBT'!G41,'24.07 Sentema-SentemaRBT'!G41,'25.07 Sentema-SentemaRBT'!G41,'26.07 Sentema-Sentema RBT-24h'!G41,'27.07 Sentema-SentemaRBT-24h'!G41,'28.07 Sentema-SentemaRBT'!G41)</f>
        <v>0</v>
      </c>
      <c r="H41" s="49">
        <f>AVERAGE('22.07 Sentema-Sentema RBT'!H41,'23.07 Sentema-Sentema RBT'!H41,'24.07 Sentema-SentemaRBT'!H41,'25.07 Sentema-SentemaRBT'!H41,'26.07 Sentema-Sentema RBT-24h'!H41,'27.07 Sentema-SentemaRBT-24h'!H41,'28.07 Sentema-SentemaRBT'!H41)</f>
        <v>0.14285714285714285</v>
      </c>
      <c r="I41" s="49">
        <f>AVERAGE('22.07 Sentema-Sentema RBT'!I41,'23.07 Sentema-Sentema RBT'!I41,'24.07 Sentema-SentemaRBT'!I41,'25.07 Sentema-SentemaRBT'!I41,'26.07 Sentema-Sentema RBT-24h'!I41,'27.07 Sentema-SentemaRBT-24h'!I41,'28.07 Sentema-SentemaRBT'!I41)</f>
        <v>2.4285714285714284</v>
      </c>
      <c r="J41" s="49">
        <f>AVERAGE('22.07 Sentema-Sentema RBT'!J41,'23.07 Sentema-Sentema RBT'!J41,'24.07 Sentema-SentemaRBT'!J41,'25.07 Sentema-SentemaRBT'!J41,'26.07 Sentema-Sentema RBT-24h'!J41,'27.07 Sentema-SentemaRBT-24h'!J41,'28.07 Sentema-SentemaRBT'!J41)</f>
        <v>1.4285714285714286</v>
      </c>
      <c r="K41" s="49">
        <f>AVERAGE('22.07 Sentema-Sentema RBT'!K41,'23.07 Sentema-Sentema RBT'!K41,'24.07 Sentema-SentemaRBT'!K41,'25.07 Sentema-SentemaRBT'!K41,'26.07 Sentema-Sentema RBT-24h'!K41,'27.07 Sentema-SentemaRBT-24h'!K41,'28.07 Sentema-SentemaRBT'!K41)</f>
        <v>0.42857142857142855</v>
      </c>
      <c r="L41" s="49">
        <f>AVERAGE('22.07 Sentema-Sentema RBT'!L41,'23.07 Sentema-Sentema RBT'!L41,'24.07 Sentema-SentemaRBT'!L41,'25.07 Sentema-SentemaRBT'!L41,'26.07 Sentema-Sentema RBT-24h'!L41,'27.07 Sentema-SentemaRBT-24h'!L41,'28.07 Sentema-SentemaRBT'!L41)</f>
        <v>0</v>
      </c>
      <c r="M41" s="49">
        <f>AVERAGE('22.07 Sentema-Sentema RBT'!M41,'23.07 Sentema-Sentema RBT'!M41,'24.07 Sentema-SentemaRBT'!M41,'25.07 Sentema-SentemaRBT'!M41,'26.07 Sentema-Sentema RBT-24h'!M41,'27.07 Sentema-SentemaRBT-24h'!M41,'28.07 Sentema-SentemaRBT'!M41)</f>
        <v>44</v>
      </c>
      <c r="N41" s="49">
        <f>AVERAGE('22.07 Sentema-Sentema RBT'!N41,'23.07 Sentema-Sentema RBT'!N41,'24.07 Sentema-SentemaRBT'!N41,'25.07 Sentema-SentemaRBT'!N41,'26.07 Sentema-Sentema RBT-24h'!N41,'27.07 Sentema-SentemaRBT-24h'!N41,'28.07 Sentema-SentemaRBT'!N41)</f>
        <v>0</v>
      </c>
      <c r="O41" s="15">
        <f t="shared" si="0"/>
        <v>24.285714285714281</v>
      </c>
      <c r="P41" s="15">
        <f t="shared" si="1"/>
        <v>68.285714285714278</v>
      </c>
      <c r="R41" s="5" t="s">
        <v>185</v>
      </c>
      <c r="S41" s="16">
        <f>SUM(S10:S33)</f>
        <v>1123.5714285714284</v>
      </c>
      <c r="T41" s="16">
        <f t="shared" ref="T41:AD41" si="33">SUM(T10:T33)</f>
        <v>229.57142857142858</v>
      </c>
      <c r="U41" s="16">
        <f t="shared" si="33"/>
        <v>145.35714285714286</v>
      </c>
      <c r="V41" s="16">
        <f t="shared" si="33"/>
        <v>664.35714285714289</v>
      </c>
      <c r="W41" s="16">
        <f t="shared" si="33"/>
        <v>12.714285714285714</v>
      </c>
      <c r="X41" s="16">
        <f t="shared" si="33"/>
        <v>6.2857142857142847</v>
      </c>
      <c r="Y41" s="16">
        <f t="shared" si="33"/>
        <v>160.64285714285714</v>
      </c>
      <c r="Z41" s="16">
        <f t="shared" si="33"/>
        <v>83.142857142857139</v>
      </c>
      <c r="AA41" s="16">
        <f t="shared" si="33"/>
        <v>13.571428571428571</v>
      </c>
      <c r="AB41" s="16">
        <f t="shared" si="33"/>
        <v>13</v>
      </c>
      <c r="AC41" s="16">
        <f t="shared" si="33"/>
        <v>3136.0476190476184</v>
      </c>
      <c r="AD41" s="16">
        <f t="shared" si="33"/>
        <v>0.14285714285714285</v>
      </c>
      <c r="AE41" s="32">
        <f>SUM(AE10:AE33)</f>
        <v>2452.3571428571431</v>
      </c>
      <c r="AF41" s="32">
        <f>SUM(AF10:AF33)</f>
        <v>5588.4047619047624</v>
      </c>
    </row>
    <row r="42" spans="2:32" ht="23.1" customHeight="1" x14ac:dyDescent="0.25">
      <c r="B42" s="24" t="s">
        <v>69</v>
      </c>
      <c r="C42" s="49">
        <f>AVERAGE('22.07 Sentema-Sentema RBT'!C42,'23.07 Sentema-Sentema RBT'!C42,'24.07 Sentema-SentemaRBT'!C42,'25.07 Sentema-SentemaRBT'!C42,'26.07 Sentema-Sentema RBT-24h'!C42,'27.07 Sentema-SentemaRBT-24h'!C42,'28.07 Sentema-SentemaRBT'!C42)</f>
        <v>10</v>
      </c>
      <c r="D42" s="49">
        <f>AVERAGE('22.07 Sentema-Sentema RBT'!D42,'23.07 Sentema-Sentema RBT'!D42,'24.07 Sentema-SentemaRBT'!D42,'25.07 Sentema-SentemaRBT'!D42,'26.07 Sentema-Sentema RBT-24h'!D42,'27.07 Sentema-SentemaRBT-24h'!D42,'28.07 Sentema-SentemaRBT'!D42)</f>
        <v>3.4285714285714284</v>
      </c>
      <c r="E42" s="49">
        <f>AVERAGE('22.07 Sentema-Sentema RBT'!E42,'23.07 Sentema-Sentema RBT'!E42,'24.07 Sentema-SentemaRBT'!E42,'25.07 Sentema-SentemaRBT'!E42,'26.07 Sentema-Sentema RBT-24h'!E42,'27.07 Sentema-SentemaRBT-24h'!E42,'28.07 Sentema-SentemaRBT'!E42)</f>
        <v>2.2857142857142856</v>
      </c>
      <c r="F42" s="49">
        <f>AVERAGE('22.07 Sentema-Sentema RBT'!F42,'23.07 Sentema-Sentema RBT'!F42,'24.07 Sentema-SentemaRBT'!F42,'25.07 Sentema-SentemaRBT'!F42,'26.07 Sentema-Sentema RBT-24h'!F42,'27.07 Sentema-SentemaRBT-24h'!F42,'28.07 Sentema-SentemaRBT'!F42)</f>
        <v>5.8571428571428568</v>
      </c>
      <c r="G42" s="49">
        <f>AVERAGE('22.07 Sentema-Sentema RBT'!G42,'23.07 Sentema-Sentema RBT'!G42,'24.07 Sentema-SentemaRBT'!G42,'25.07 Sentema-SentemaRBT'!G42,'26.07 Sentema-Sentema RBT-24h'!G42,'27.07 Sentema-SentemaRBT-24h'!G42,'28.07 Sentema-SentemaRBT'!G42)</f>
        <v>0</v>
      </c>
      <c r="H42" s="49">
        <f>AVERAGE('22.07 Sentema-Sentema RBT'!H42,'23.07 Sentema-Sentema RBT'!H42,'24.07 Sentema-SentemaRBT'!H42,'25.07 Sentema-SentemaRBT'!H42,'26.07 Sentema-Sentema RBT-24h'!H42,'27.07 Sentema-SentemaRBT-24h'!H42,'28.07 Sentema-SentemaRBT'!H42)</f>
        <v>0</v>
      </c>
      <c r="I42" s="49">
        <f>AVERAGE('22.07 Sentema-Sentema RBT'!I42,'23.07 Sentema-Sentema RBT'!I42,'24.07 Sentema-SentemaRBT'!I42,'25.07 Sentema-SentemaRBT'!I42,'26.07 Sentema-Sentema RBT-24h'!I42,'27.07 Sentema-SentemaRBT-24h'!I42,'28.07 Sentema-SentemaRBT'!I42)</f>
        <v>3.8571428571428572</v>
      </c>
      <c r="J42" s="49">
        <f>AVERAGE('22.07 Sentema-Sentema RBT'!J42,'23.07 Sentema-Sentema RBT'!J42,'24.07 Sentema-SentemaRBT'!J42,'25.07 Sentema-SentemaRBT'!J42,'26.07 Sentema-Sentema RBT-24h'!J42,'27.07 Sentema-SentemaRBT-24h'!J42,'28.07 Sentema-SentemaRBT'!J42)</f>
        <v>1.2857142857142858</v>
      </c>
      <c r="K42" s="49">
        <f>AVERAGE('22.07 Sentema-Sentema RBT'!K42,'23.07 Sentema-Sentema RBT'!K42,'24.07 Sentema-SentemaRBT'!K42,'25.07 Sentema-SentemaRBT'!K42,'26.07 Sentema-Sentema RBT-24h'!K42,'27.07 Sentema-SentemaRBT-24h'!K42,'28.07 Sentema-SentemaRBT'!K42)</f>
        <v>0.2857142857142857</v>
      </c>
      <c r="L42" s="49">
        <f>AVERAGE('22.07 Sentema-Sentema RBT'!L42,'23.07 Sentema-Sentema RBT'!L42,'24.07 Sentema-SentemaRBT'!L42,'25.07 Sentema-SentemaRBT'!L42,'26.07 Sentema-Sentema RBT-24h'!L42,'27.07 Sentema-SentemaRBT-24h'!L42,'28.07 Sentema-SentemaRBT'!L42)</f>
        <v>0.14285714285714285</v>
      </c>
      <c r="M42" s="49">
        <f>AVERAGE('22.07 Sentema-Sentema RBT'!M42,'23.07 Sentema-Sentema RBT'!M42,'24.07 Sentema-SentemaRBT'!M42,'25.07 Sentema-SentemaRBT'!M42,'26.07 Sentema-Sentema RBT-24h'!M42,'27.07 Sentema-SentemaRBT-24h'!M42,'28.07 Sentema-SentemaRBT'!M42)</f>
        <v>42.857142857142854</v>
      </c>
      <c r="N42" s="49">
        <f>AVERAGE('22.07 Sentema-Sentema RBT'!N42,'23.07 Sentema-Sentema RBT'!N42,'24.07 Sentema-SentemaRBT'!N42,'25.07 Sentema-SentemaRBT'!N42,'26.07 Sentema-Sentema RBT-24h'!N42,'27.07 Sentema-SentemaRBT-24h'!N42,'28.07 Sentema-SentemaRBT'!N42)</f>
        <v>0</v>
      </c>
      <c r="O42" s="15">
        <f t="shared" si="0"/>
        <v>27.142857142857142</v>
      </c>
      <c r="P42" s="15">
        <f t="shared" si="1"/>
        <v>70</v>
      </c>
      <c r="R42" s="5" t="s">
        <v>160</v>
      </c>
      <c r="S42" s="48">
        <f>S41/S40</f>
        <v>1.2205152079453756</v>
      </c>
      <c r="T42" s="48">
        <f t="shared" ref="T42:AF42" si="34">T41/T40</f>
        <v>1.1167477414871438</v>
      </c>
      <c r="U42" s="48">
        <f t="shared" si="34"/>
        <v>1.183139534883721</v>
      </c>
      <c r="V42" s="48">
        <f t="shared" si="34"/>
        <v>1.3452415389065664</v>
      </c>
      <c r="W42" s="48">
        <f t="shared" si="34"/>
        <v>1.6481481481481481</v>
      </c>
      <c r="X42" s="48">
        <f t="shared" si="34"/>
        <v>1.4666666666666668</v>
      </c>
      <c r="Y42" s="48">
        <f t="shared" si="34"/>
        <v>1.1462793068297656</v>
      </c>
      <c r="Z42" s="48">
        <f t="shared" si="34"/>
        <v>1.1524752475247524</v>
      </c>
      <c r="AA42" s="48">
        <f t="shared" si="34"/>
        <v>1.2837837837837838</v>
      </c>
      <c r="AB42" s="48">
        <f t="shared" si="34"/>
        <v>1.0833333333333333</v>
      </c>
      <c r="AC42" s="48">
        <f t="shared" si="34"/>
        <v>1.1919387533482952</v>
      </c>
      <c r="AD42" s="48">
        <f t="shared" si="34"/>
        <v>1</v>
      </c>
      <c r="AE42" s="53">
        <f t="shared" si="34"/>
        <v>1.2324287457821812</v>
      </c>
      <c r="AF42" s="53">
        <f t="shared" si="34"/>
        <v>1.2093745813538885</v>
      </c>
    </row>
    <row r="43" spans="2:32" ht="23.1" customHeight="1" x14ac:dyDescent="0.25">
      <c r="B43" s="23" t="s">
        <v>70</v>
      </c>
      <c r="C43" s="49">
        <f>AVERAGE('22.07 Sentema-Sentema RBT'!C43,'23.07 Sentema-Sentema RBT'!C43,'24.07 Sentema-SentemaRBT'!C43,'25.07 Sentema-SentemaRBT'!C43,'26.07 Sentema-Sentema RBT-24h'!C43,'27.07 Sentema-SentemaRBT-24h'!C43,'28.07 Sentema-SentemaRBT'!C43)</f>
        <v>11.142857142857142</v>
      </c>
      <c r="D43" s="49">
        <f>AVERAGE('22.07 Sentema-Sentema RBT'!D43,'23.07 Sentema-Sentema RBT'!D43,'24.07 Sentema-SentemaRBT'!D43,'25.07 Sentema-SentemaRBT'!D43,'26.07 Sentema-Sentema RBT-24h'!D43,'27.07 Sentema-SentemaRBT-24h'!D43,'28.07 Sentema-SentemaRBT'!D43)</f>
        <v>3.8571428571428572</v>
      </c>
      <c r="E43" s="49">
        <f>AVERAGE('22.07 Sentema-Sentema RBT'!E43,'23.07 Sentema-Sentema RBT'!E43,'24.07 Sentema-SentemaRBT'!E43,'25.07 Sentema-SentemaRBT'!E43,'26.07 Sentema-Sentema RBT-24h'!E43,'27.07 Sentema-SentemaRBT-24h'!E43,'28.07 Sentema-SentemaRBT'!E43)</f>
        <v>0.5714285714285714</v>
      </c>
      <c r="F43" s="49">
        <f>AVERAGE('22.07 Sentema-Sentema RBT'!F43,'23.07 Sentema-Sentema RBT'!F43,'24.07 Sentema-SentemaRBT'!F43,'25.07 Sentema-SentemaRBT'!F43,'26.07 Sentema-Sentema RBT-24h'!F43,'27.07 Sentema-SentemaRBT-24h'!F43,'28.07 Sentema-SentemaRBT'!F43)</f>
        <v>6.5714285714285712</v>
      </c>
      <c r="G43" s="49">
        <f>AVERAGE('22.07 Sentema-Sentema RBT'!G43,'23.07 Sentema-Sentema RBT'!G43,'24.07 Sentema-SentemaRBT'!G43,'25.07 Sentema-SentemaRBT'!G43,'26.07 Sentema-Sentema RBT-24h'!G43,'27.07 Sentema-SentemaRBT-24h'!G43,'28.07 Sentema-SentemaRBT'!G43)</f>
        <v>0</v>
      </c>
      <c r="H43" s="49">
        <f>AVERAGE('22.07 Sentema-Sentema RBT'!H43,'23.07 Sentema-Sentema RBT'!H43,'24.07 Sentema-SentemaRBT'!H43,'25.07 Sentema-SentemaRBT'!H43,'26.07 Sentema-Sentema RBT-24h'!H43,'27.07 Sentema-SentemaRBT-24h'!H43,'28.07 Sentema-SentemaRBT'!H43)</f>
        <v>0</v>
      </c>
      <c r="I43" s="49">
        <f>AVERAGE('22.07 Sentema-Sentema RBT'!I43,'23.07 Sentema-Sentema RBT'!I43,'24.07 Sentema-SentemaRBT'!I43,'25.07 Sentema-SentemaRBT'!I43,'26.07 Sentema-Sentema RBT-24h'!I43,'27.07 Sentema-SentemaRBT-24h'!I43,'28.07 Sentema-SentemaRBT'!I43)</f>
        <v>3.2857142857142856</v>
      </c>
      <c r="J43" s="49">
        <f>AVERAGE('22.07 Sentema-Sentema RBT'!J43,'23.07 Sentema-Sentema RBT'!J43,'24.07 Sentema-SentemaRBT'!J43,'25.07 Sentema-SentemaRBT'!J43,'26.07 Sentema-Sentema RBT-24h'!J43,'27.07 Sentema-SentemaRBT-24h'!J43,'28.07 Sentema-SentemaRBT'!J43)</f>
        <v>2</v>
      </c>
      <c r="K43" s="49">
        <f>AVERAGE('22.07 Sentema-Sentema RBT'!K43,'23.07 Sentema-Sentema RBT'!K43,'24.07 Sentema-SentemaRBT'!K43,'25.07 Sentema-SentemaRBT'!K43,'26.07 Sentema-Sentema RBT-24h'!K43,'27.07 Sentema-SentemaRBT-24h'!K43,'28.07 Sentema-SentemaRBT'!K43)</f>
        <v>1</v>
      </c>
      <c r="L43" s="49">
        <f>AVERAGE('22.07 Sentema-Sentema RBT'!L43,'23.07 Sentema-Sentema RBT'!L43,'24.07 Sentema-SentemaRBT'!L43,'25.07 Sentema-SentemaRBT'!L43,'26.07 Sentema-Sentema RBT-24h'!L43,'27.07 Sentema-SentemaRBT-24h'!L43,'28.07 Sentema-SentemaRBT'!L43)</f>
        <v>0</v>
      </c>
      <c r="M43" s="49">
        <f>AVERAGE('22.07 Sentema-Sentema RBT'!M43,'23.07 Sentema-Sentema RBT'!M43,'24.07 Sentema-SentemaRBT'!M43,'25.07 Sentema-SentemaRBT'!M43,'26.07 Sentema-Sentema RBT-24h'!M43,'27.07 Sentema-SentemaRBT-24h'!M43,'28.07 Sentema-SentemaRBT'!M43)</f>
        <v>39.428571428571431</v>
      </c>
      <c r="N43" s="49">
        <f>AVERAGE('22.07 Sentema-Sentema RBT'!N43,'23.07 Sentema-Sentema RBT'!N43,'24.07 Sentema-SentemaRBT'!N43,'25.07 Sentema-SentemaRBT'!N43,'26.07 Sentema-Sentema RBT-24h'!N43,'27.07 Sentema-SentemaRBT-24h'!N43,'28.07 Sentema-SentemaRBT'!N43)</f>
        <v>0</v>
      </c>
      <c r="O43" s="15">
        <f t="shared" si="0"/>
        <v>28.428571428571427</v>
      </c>
      <c r="P43" s="15">
        <f t="shared" si="1"/>
        <v>67.857142857142861</v>
      </c>
    </row>
    <row r="44" spans="2:32" ht="23.1" customHeight="1" x14ac:dyDescent="0.25">
      <c r="B44" s="25" t="s">
        <v>71</v>
      </c>
      <c r="C44" s="49">
        <f>AVERAGE('22.07 Sentema-Sentema RBT'!C44,'23.07 Sentema-Sentema RBT'!C44,'24.07 Sentema-SentemaRBT'!C44,'25.07 Sentema-SentemaRBT'!C44,'26.07 Sentema-Sentema RBT-24h'!C44,'27.07 Sentema-SentemaRBT-24h'!C44,'28.07 Sentema-SentemaRBT'!C44)</f>
        <v>9.2857142857142865</v>
      </c>
      <c r="D44" s="49">
        <f>AVERAGE('22.07 Sentema-Sentema RBT'!D44,'23.07 Sentema-Sentema RBT'!D44,'24.07 Sentema-SentemaRBT'!D44,'25.07 Sentema-SentemaRBT'!D44,'26.07 Sentema-Sentema RBT-24h'!D44,'27.07 Sentema-SentemaRBT-24h'!D44,'28.07 Sentema-SentemaRBT'!D44)</f>
        <v>4</v>
      </c>
      <c r="E44" s="49">
        <f>AVERAGE('22.07 Sentema-Sentema RBT'!E44,'23.07 Sentema-Sentema RBT'!E44,'24.07 Sentema-SentemaRBT'!E44,'25.07 Sentema-SentemaRBT'!E44,'26.07 Sentema-Sentema RBT-24h'!E44,'27.07 Sentema-SentemaRBT-24h'!E44,'28.07 Sentema-SentemaRBT'!E44)</f>
        <v>1</v>
      </c>
      <c r="F44" s="49">
        <f>AVERAGE('22.07 Sentema-Sentema RBT'!F44,'23.07 Sentema-Sentema RBT'!F44,'24.07 Sentema-SentemaRBT'!F44,'25.07 Sentema-SentemaRBT'!F44,'26.07 Sentema-Sentema RBT-24h'!F44,'27.07 Sentema-SentemaRBT-24h'!F44,'28.07 Sentema-SentemaRBT'!F44)</f>
        <v>5</v>
      </c>
      <c r="G44" s="49">
        <f>AVERAGE('22.07 Sentema-Sentema RBT'!G44,'23.07 Sentema-Sentema RBT'!G44,'24.07 Sentema-SentemaRBT'!G44,'25.07 Sentema-SentemaRBT'!G44,'26.07 Sentema-Sentema RBT-24h'!G44,'27.07 Sentema-SentemaRBT-24h'!G44,'28.07 Sentema-SentemaRBT'!G44)</f>
        <v>0</v>
      </c>
      <c r="H44" s="49">
        <f>AVERAGE('22.07 Sentema-Sentema RBT'!H44,'23.07 Sentema-Sentema RBT'!H44,'24.07 Sentema-SentemaRBT'!H44,'25.07 Sentema-SentemaRBT'!H44,'26.07 Sentema-Sentema RBT-24h'!H44,'27.07 Sentema-SentemaRBT-24h'!H44,'28.07 Sentema-SentemaRBT'!H44)</f>
        <v>0</v>
      </c>
      <c r="I44" s="49">
        <f>AVERAGE('22.07 Sentema-Sentema RBT'!I44,'23.07 Sentema-Sentema RBT'!I44,'24.07 Sentema-SentemaRBT'!I44,'25.07 Sentema-SentemaRBT'!I44,'26.07 Sentema-Sentema RBT-24h'!I44,'27.07 Sentema-SentemaRBT-24h'!I44,'28.07 Sentema-SentemaRBT'!I44)</f>
        <v>3.7142857142857144</v>
      </c>
      <c r="J44" s="49">
        <f>AVERAGE('22.07 Sentema-Sentema RBT'!J44,'23.07 Sentema-Sentema RBT'!J44,'24.07 Sentema-SentemaRBT'!J44,'25.07 Sentema-SentemaRBT'!J44,'26.07 Sentema-Sentema RBT-24h'!J44,'27.07 Sentema-SentemaRBT-24h'!J44,'28.07 Sentema-SentemaRBT'!J44)</f>
        <v>2.7142857142857144</v>
      </c>
      <c r="K44" s="49">
        <f>AVERAGE('22.07 Sentema-Sentema RBT'!K44,'23.07 Sentema-Sentema RBT'!K44,'24.07 Sentema-SentemaRBT'!K44,'25.07 Sentema-SentemaRBT'!K44,'26.07 Sentema-Sentema RBT-24h'!K44,'27.07 Sentema-SentemaRBT-24h'!K44,'28.07 Sentema-SentemaRBT'!K44)</f>
        <v>0.2857142857142857</v>
      </c>
      <c r="L44" s="49">
        <f>AVERAGE('22.07 Sentema-Sentema RBT'!L44,'23.07 Sentema-Sentema RBT'!L44,'24.07 Sentema-SentemaRBT'!L44,'25.07 Sentema-SentemaRBT'!L44,'26.07 Sentema-Sentema RBT-24h'!L44,'27.07 Sentema-SentemaRBT-24h'!L44,'28.07 Sentema-SentemaRBT'!L44)</f>
        <v>0</v>
      </c>
      <c r="M44" s="49">
        <f>AVERAGE('22.07 Sentema-Sentema RBT'!M44,'23.07 Sentema-Sentema RBT'!M44,'24.07 Sentema-SentemaRBT'!M44,'25.07 Sentema-SentemaRBT'!M44,'26.07 Sentema-Sentema RBT-24h'!M44,'27.07 Sentema-SentemaRBT-24h'!M44,'28.07 Sentema-SentemaRBT'!M44)</f>
        <v>44.714285714285715</v>
      </c>
      <c r="N44" s="49">
        <f>AVERAGE('22.07 Sentema-Sentema RBT'!N44,'23.07 Sentema-Sentema RBT'!N44,'24.07 Sentema-SentemaRBT'!N44,'25.07 Sentema-SentemaRBT'!N44,'26.07 Sentema-Sentema RBT-24h'!N44,'27.07 Sentema-SentemaRBT-24h'!N44,'28.07 Sentema-SentemaRBT'!N44)</f>
        <v>0</v>
      </c>
      <c r="O44" s="15">
        <f t="shared" si="0"/>
        <v>26</v>
      </c>
      <c r="P44" s="15">
        <f t="shared" si="1"/>
        <v>70.714285714285722</v>
      </c>
    </row>
    <row r="45" spans="2:32" ht="23.1" customHeight="1" x14ac:dyDescent="0.25">
      <c r="B45" s="23" t="s">
        <v>72</v>
      </c>
      <c r="C45" s="49">
        <f>AVERAGE('22.07 Sentema-Sentema RBT'!C45,'23.07 Sentema-Sentema RBT'!C45,'24.07 Sentema-SentemaRBT'!C45,'25.07 Sentema-SentemaRBT'!C45,'26.07 Sentema-Sentema RBT-24h'!C45,'27.07 Sentema-SentemaRBT-24h'!C45,'28.07 Sentema-SentemaRBT'!C45)</f>
        <v>11.714285714285714</v>
      </c>
      <c r="D45" s="49">
        <f>AVERAGE('22.07 Sentema-Sentema RBT'!D45,'23.07 Sentema-Sentema RBT'!D45,'24.07 Sentema-SentemaRBT'!D45,'25.07 Sentema-SentemaRBT'!D45,'26.07 Sentema-Sentema RBT-24h'!D45,'27.07 Sentema-SentemaRBT-24h'!D45,'28.07 Sentema-SentemaRBT'!D45)</f>
        <v>3.8571428571428572</v>
      </c>
      <c r="E45" s="49">
        <f>AVERAGE('22.07 Sentema-Sentema RBT'!E45,'23.07 Sentema-Sentema RBT'!E45,'24.07 Sentema-SentemaRBT'!E45,'25.07 Sentema-SentemaRBT'!E45,'26.07 Sentema-Sentema RBT-24h'!E45,'27.07 Sentema-SentemaRBT-24h'!E45,'28.07 Sentema-SentemaRBT'!E45)</f>
        <v>2</v>
      </c>
      <c r="F45" s="49">
        <f>AVERAGE('22.07 Sentema-Sentema RBT'!F45,'23.07 Sentema-Sentema RBT'!F45,'24.07 Sentema-SentemaRBT'!F45,'25.07 Sentema-SentemaRBT'!F45,'26.07 Sentema-Sentema RBT-24h'!F45,'27.07 Sentema-SentemaRBT-24h'!F45,'28.07 Sentema-SentemaRBT'!F45)</f>
        <v>5.2857142857142856</v>
      </c>
      <c r="G45" s="49">
        <f>AVERAGE('22.07 Sentema-Sentema RBT'!G45,'23.07 Sentema-Sentema RBT'!G45,'24.07 Sentema-SentemaRBT'!G45,'25.07 Sentema-SentemaRBT'!G45,'26.07 Sentema-Sentema RBT-24h'!G45,'27.07 Sentema-SentemaRBT-24h'!G45,'28.07 Sentema-SentemaRBT'!G45)</f>
        <v>0</v>
      </c>
      <c r="H45" s="49">
        <f>AVERAGE('22.07 Sentema-Sentema RBT'!H45,'23.07 Sentema-Sentema RBT'!H45,'24.07 Sentema-SentemaRBT'!H45,'25.07 Sentema-SentemaRBT'!H45,'26.07 Sentema-Sentema RBT-24h'!H45,'27.07 Sentema-SentemaRBT-24h'!H45,'28.07 Sentema-SentemaRBT'!H45)</f>
        <v>0.14285714285714285</v>
      </c>
      <c r="I45" s="49">
        <f>AVERAGE('22.07 Sentema-Sentema RBT'!I45,'23.07 Sentema-Sentema RBT'!I45,'24.07 Sentema-SentemaRBT'!I45,'25.07 Sentema-SentemaRBT'!I45,'26.07 Sentema-Sentema RBT-24h'!I45,'27.07 Sentema-SentemaRBT-24h'!I45,'28.07 Sentema-SentemaRBT'!I45)</f>
        <v>2.7142857142857144</v>
      </c>
      <c r="J45" s="49">
        <f>AVERAGE('22.07 Sentema-Sentema RBT'!J45,'23.07 Sentema-Sentema RBT'!J45,'24.07 Sentema-SentemaRBT'!J45,'25.07 Sentema-SentemaRBT'!J45,'26.07 Sentema-Sentema RBT-24h'!J45,'27.07 Sentema-SentemaRBT-24h'!J45,'28.07 Sentema-SentemaRBT'!J45)</f>
        <v>1.5714285714285714</v>
      </c>
      <c r="K45" s="49">
        <f>AVERAGE('22.07 Sentema-Sentema RBT'!K45,'23.07 Sentema-Sentema RBT'!K45,'24.07 Sentema-SentemaRBT'!K45,'25.07 Sentema-SentemaRBT'!K45,'26.07 Sentema-Sentema RBT-24h'!K45,'27.07 Sentema-SentemaRBT-24h'!K45,'28.07 Sentema-SentemaRBT'!K45)</f>
        <v>0</v>
      </c>
      <c r="L45" s="49">
        <f>AVERAGE('22.07 Sentema-Sentema RBT'!L45,'23.07 Sentema-Sentema RBT'!L45,'24.07 Sentema-SentemaRBT'!L45,'25.07 Sentema-SentemaRBT'!L45,'26.07 Sentema-Sentema RBT-24h'!L45,'27.07 Sentema-SentemaRBT-24h'!L45,'28.07 Sentema-SentemaRBT'!L45)</f>
        <v>0.14285714285714285</v>
      </c>
      <c r="M45" s="49">
        <f>AVERAGE('22.07 Sentema-Sentema RBT'!M45,'23.07 Sentema-Sentema RBT'!M45,'24.07 Sentema-SentemaRBT'!M45,'25.07 Sentema-SentemaRBT'!M45,'26.07 Sentema-Sentema RBT-24h'!M45,'27.07 Sentema-SentemaRBT-24h'!M45,'28.07 Sentema-SentemaRBT'!M45)</f>
        <v>44.142857142857146</v>
      </c>
      <c r="N45" s="49">
        <f>AVERAGE('22.07 Sentema-Sentema RBT'!N45,'23.07 Sentema-Sentema RBT'!N45,'24.07 Sentema-SentemaRBT'!N45,'25.07 Sentema-SentemaRBT'!N45,'26.07 Sentema-Sentema RBT-24h'!N45,'27.07 Sentema-SentemaRBT-24h'!N45,'28.07 Sentema-SentemaRBT'!N45)</f>
        <v>0</v>
      </c>
      <c r="O45" s="15">
        <f t="shared" si="0"/>
        <v>27.428571428571427</v>
      </c>
      <c r="P45" s="15">
        <f t="shared" si="1"/>
        <v>71.571428571428569</v>
      </c>
    </row>
    <row r="46" spans="2:32" ht="23.1" customHeight="1" x14ac:dyDescent="0.25">
      <c r="B46" s="24" t="s">
        <v>73</v>
      </c>
      <c r="C46" s="49">
        <f>AVERAGE('22.07 Sentema-Sentema RBT'!C46,'23.07 Sentema-Sentema RBT'!C46,'24.07 Sentema-SentemaRBT'!C46,'25.07 Sentema-SentemaRBT'!C46,'26.07 Sentema-Sentema RBT-24h'!C46,'27.07 Sentema-SentemaRBT-24h'!C46,'28.07 Sentema-SentemaRBT'!C46)</f>
        <v>8.4285714285714288</v>
      </c>
      <c r="D46" s="49">
        <f>AVERAGE('22.07 Sentema-Sentema RBT'!D46,'23.07 Sentema-Sentema RBT'!D46,'24.07 Sentema-SentemaRBT'!D46,'25.07 Sentema-SentemaRBT'!D46,'26.07 Sentema-Sentema RBT-24h'!D46,'27.07 Sentema-SentemaRBT-24h'!D46,'28.07 Sentema-SentemaRBT'!D46)</f>
        <v>4</v>
      </c>
      <c r="E46" s="49">
        <f>AVERAGE('22.07 Sentema-Sentema RBT'!E46,'23.07 Sentema-Sentema RBT'!E46,'24.07 Sentema-SentemaRBT'!E46,'25.07 Sentema-SentemaRBT'!E46,'26.07 Sentema-Sentema RBT-24h'!E46,'27.07 Sentema-SentemaRBT-24h'!E46,'28.07 Sentema-SentemaRBT'!E46)</f>
        <v>1.7142857142857142</v>
      </c>
      <c r="F46" s="49">
        <f>AVERAGE('22.07 Sentema-Sentema RBT'!F46,'23.07 Sentema-Sentema RBT'!F46,'24.07 Sentema-SentemaRBT'!F46,'25.07 Sentema-SentemaRBT'!F46,'26.07 Sentema-Sentema RBT-24h'!F46,'27.07 Sentema-SentemaRBT-24h'!F46,'28.07 Sentema-SentemaRBT'!F46)</f>
        <v>4.2857142857142856</v>
      </c>
      <c r="G46" s="49">
        <f>AVERAGE('22.07 Sentema-Sentema RBT'!G46,'23.07 Sentema-Sentema RBT'!G46,'24.07 Sentema-SentemaRBT'!G46,'25.07 Sentema-SentemaRBT'!G46,'26.07 Sentema-Sentema RBT-24h'!G46,'27.07 Sentema-SentemaRBT-24h'!G46,'28.07 Sentema-SentemaRBT'!G46)</f>
        <v>0</v>
      </c>
      <c r="H46" s="49">
        <f>AVERAGE('22.07 Sentema-Sentema RBT'!H46,'23.07 Sentema-Sentema RBT'!H46,'24.07 Sentema-SentemaRBT'!H46,'25.07 Sentema-SentemaRBT'!H46,'26.07 Sentema-Sentema RBT-24h'!H46,'27.07 Sentema-SentemaRBT-24h'!H46,'28.07 Sentema-SentemaRBT'!H46)</f>
        <v>0.14285714285714285</v>
      </c>
      <c r="I46" s="49">
        <f>AVERAGE('22.07 Sentema-Sentema RBT'!I46,'23.07 Sentema-Sentema RBT'!I46,'24.07 Sentema-SentemaRBT'!I46,'25.07 Sentema-SentemaRBT'!I46,'26.07 Sentema-Sentema RBT-24h'!I46,'27.07 Sentema-SentemaRBT-24h'!I46,'28.07 Sentema-SentemaRBT'!I46)</f>
        <v>3.5714285714285716</v>
      </c>
      <c r="J46" s="49">
        <f>AVERAGE('22.07 Sentema-Sentema RBT'!J46,'23.07 Sentema-Sentema RBT'!J46,'24.07 Sentema-SentemaRBT'!J46,'25.07 Sentema-SentemaRBT'!J46,'26.07 Sentema-Sentema RBT-24h'!J46,'27.07 Sentema-SentemaRBT-24h'!J46,'28.07 Sentema-SentemaRBT'!J46)</f>
        <v>1.7142857142857142</v>
      </c>
      <c r="K46" s="49">
        <f>AVERAGE('22.07 Sentema-Sentema RBT'!K46,'23.07 Sentema-Sentema RBT'!K46,'24.07 Sentema-SentemaRBT'!K46,'25.07 Sentema-SentemaRBT'!K46,'26.07 Sentema-Sentema RBT-24h'!K46,'27.07 Sentema-SentemaRBT-24h'!K46,'28.07 Sentema-SentemaRBT'!K46)</f>
        <v>0</v>
      </c>
      <c r="L46" s="49">
        <f>AVERAGE('22.07 Sentema-Sentema RBT'!L46,'23.07 Sentema-Sentema RBT'!L46,'24.07 Sentema-SentemaRBT'!L46,'25.07 Sentema-SentemaRBT'!L46,'26.07 Sentema-Sentema RBT-24h'!L46,'27.07 Sentema-SentemaRBT-24h'!L46,'28.07 Sentema-SentemaRBT'!L46)</f>
        <v>0</v>
      </c>
      <c r="M46" s="49">
        <f>AVERAGE('22.07 Sentema-Sentema RBT'!M46,'23.07 Sentema-Sentema RBT'!M46,'24.07 Sentema-SentemaRBT'!M46,'25.07 Sentema-SentemaRBT'!M46,'26.07 Sentema-Sentema RBT-24h'!M46,'27.07 Sentema-SentemaRBT-24h'!M46,'28.07 Sentema-SentemaRBT'!M46)</f>
        <v>43</v>
      </c>
      <c r="N46" s="49">
        <f>AVERAGE('22.07 Sentema-Sentema RBT'!N46,'23.07 Sentema-Sentema RBT'!N46,'24.07 Sentema-SentemaRBT'!N46,'25.07 Sentema-SentemaRBT'!N46,'26.07 Sentema-Sentema RBT-24h'!N46,'27.07 Sentema-SentemaRBT-24h'!N46,'28.07 Sentema-SentemaRBT'!N46)</f>
        <v>0</v>
      </c>
      <c r="O46" s="15">
        <f t="shared" si="0"/>
        <v>23.857142857142858</v>
      </c>
      <c r="P46" s="15">
        <f t="shared" si="1"/>
        <v>66.857142857142861</v>
      </c>
      <c r="R46" s="8"/>
      <c r="T46"/>
    </row>
    <row r="47" spans="2:32" ht="23.1" customHeight="1" x14ac:dyDescent="0.25">
      <c r="B47" s="24" t="s">
        <v>74</v>
      </c>
      <c r="C47" s="49">
        <f>AVERAGE('22.07 Sentema-Sentema RBT'!C47,'23.07 Sentema-Sentema RBT'!C47,'24.07 Sentema-SentemaRBT'!C47,'25.07 Sentema-SentemaRBT'!C47,'26.07 Sentema-Sentema RBT-24h'!C47,'27.07 Sentema-SentemaRBT-24h'!C47,'28.07 Sentema-SentemaRBT'!C47)</f>
        <v>12.857142857142858</v>
      </c>
      <c r="D47" s="49">
        <f>AVERAGE('22.07 Sentema-Sentema RBT'!D47,'23.07 Sentema-Sentema RBT'!D47,'24.07 Sentema-SentemaRBT'!D47,'25.07 Sentema-SentemaRBT'!D47,'26.07 Sentema-Sentema RBT-24h'!D47,'27.07 Sentema-SentemaRBT-24h'!D47,'28.07 Sentema-SentemaRBT'!D47)</f>
        <v>3.7142857142857144</v>
      </c>
      <c r="E47" s="49">
        <f>AVERAGE('22.07 Sentema-Sentema RBT'!E47,'23.07 Sentema-Sentema RBT'!E47,'24.07 Sentema-SentemaRBT'!E47,'25.07 Sentema-SentemaRBT'!E47,'26.07 Sentema-Sentema RBT-24h'!E47,'27.07 Sentema-SentemaRBT-24h'!E47,'28.07 Sentema-SentemaRBT'!E47)</f>
        <v>2.5714285714285716</v>
      </c>
      <c r="F47" s="49">
        <f>AVERAGE('22.07 Sentema-Sentema RBT'!F47,'23.07 Sentema-Sentema RBT'!F47,'24.07 Sentema-SentemaRBT'!F47,'25.07 Sentema-SentemaRBT'!F47,'26.07 Sentema-Sentema RBT-24h'!F47,'27.07 Sentema-SentemaRBT-24h'!F47,'28.07 Sentema-SentemaRBT'!F47)</f>
        <v>5</v>
      </c>
      <c r="G47" s="49">
        <f>AVERAGE('22.07 Sentema-Sentema RBT'!G47,'23.07 Sentema-Sentema RBT'!G47,'24.07 Sentema-SentemaRBT'!G47,'25.07 Sentema-SentemaRBT'!G47,'26.07 Sentema-Sentema RBT-24h'!G47,'27.07 Sentema-SentemaRBT-24h'!G47,'28.07 Sentema-SentemaRBT'!G47)</f>
        <v>0</v>
      </c>
      <c r="H47" s="49">
        <f>AVERAGE('22.07 Sentema-Sentema RBT'!H47,'23.07 Sentema-Sentema RBT'!H47,'24.07 Sentema-SentemaRBT'!H47,'25.07 Sentema-SentemaRBT'!H47,'26.07 Sentema-Sentema RBT-24h'!H47,'27.07 Sentema-SentemaRBT-24h'!H47,'28.07 Sentema-SentemaRBT'!H47)</f>
        <v>0.14285714285714285</v>
      </c>
      <c r="I47" s="49">
        <f>AVERAGE('22.07 Sentema-Sentema RBT'!I47,'23.07 Sentema-Sentema RBT'!I47,'24.07 Sentema-SentemaRBT'!I47,'25.07 Sentema-SentemaRBT'!I47,'26.07 Sentema-Sentema RBT-24h'!I47,'27.07 Sentema-SentemaRBT-24h'!I47,'28.07 Sentema-SentemaRBT'!I47)</f>
        <v>3.4285714285714284</v>
      </c>
      <c r="J47" s="49">
        <f>AVERAGE('22.07 Sentema-Sentema RBT'!J47,'23.07 Sentema-Sentema RBT'!J47,'24.07 Sentema-SentemaRBT'!J47,'25.07 Sentema-SentemaRBT'!J47,'26.07 Sentema-Sentema RBT-24h'!J47,'27.07 Sentema-SentemaRBT-24h'!J47,'28.07 Sentema-SentemaRBT'!J47)</f>
        <v>1.4285714285714286</v>
      </c>
      <c r="K47" s="49">
        <f>AVERAGE('22.07 Sentema-Sentema RBT'!K47,'23.07 Sentema-Sentema RBT'!K47,'24.07 Sentema-SentemaRBT'!K47,'25.07 Sentema-SentemaRBT'!K47,'26.07 Sentema-Sentema RBT-24h'!K47,'27.07 Sentema-SentemaRBT-24h'!K47,'28.07 Sentema-SentemaRBT'!K47)</f>
        <v>0.14285714285714285</v>
      </c>
      <c r="L47" s="49">
        <f>AVERAGE('22.07 Sentema-Sentema RBT'!L47,'23.07 Sentema-Sentema RBT'!L47,'24.07 Sentema-SentemaRBT'!L47,'25.07 Sentema-SentemaRBT'!L47,'26.07 Sentema-Sentema RBT-24h'!L47,'27.07 Sentema-SentemaRBT-24h'!L47,'28.07 Sentema-SentemaRBT'!L47)</f>
        <v>0</v>
      </c>
      <c r="M47" s="49">
        <f>AVERAGE('22.07 Sentema-Sentema RBT'!M47,'23.07 Sentema-Sentema RBT'!M47,'24.07 Sentema-SentemaRBT'!M47,'25.07 Sentema-SentemaRBT'!M47,'26.07 Sentema-Sentema RBT-24h'!M47,'27.07 Sentema-SentemaRBT-24h'!M47,'28.07 Sentema-SentemaRBT'!M47)</f>
        <v>48.285714285714285</v>
      </c>
      <c r="N47" s="49">
        <f>AVERAGE('22.07 Sentema-Sentema RBT'!N47,'23.07 Sentema-Sentema RBT'!N47,'24.07 Sentema-SentemaRBT'!N47,'25.07 Sentema-SentemaRBT'!N47,'26.07 Sentema-Sentema RBT-24h'!N47,'27.07 Sentema-SentemaRBT-24h'!N47,'28.07 Sentema-SentemaRBT'!N47)</f>
        <v>0</v>
      </c>
      <c r="O47" s="15">
        <f t="shared" si="0"/>
        <v>29.285714285714285</v>
      </c>
      <c r="P47" s="15">
        <f t="shared" si="1"/>
        <v>77.571428571428569</v>
      </c>
      <c r="R47" s="8"/>
      <c r="T47"/>
    </row>
    <row r="48" spans="2:32" ht="23.1" customHeight="1" x14ac:dyDescent="0.25">
      <c r="B48" s="24" t="s">
        <v>75</v>
      </c>
      <c r="C48" s="49">
        <f>AVERAGE('22.07 Sentema-Sentema RBT'!C48,'23.07 Sentema-Sentema RBT'!C48,'24.07 Sentema-SentemaRBT'!C48,'25.07 Sentema-SentemaRBT'!C48,'26.07 Sentema-Sentema RBT-24h'!C48,'27.07 Sentema-SentemaRBT-24h'!C48,'28.07 Sentema-SentemaRBT'!C48)</f>
        <v>11.714285714285714</v>
      </c>
      <c r="D48" s="49">
        <f>AVERAGE('22.07 Sentema-Sentema RBT'!D48,'23.07 Sentema-Sentema RBT'!D48,'24.07 Sentema-SentemaRBT'!D48,'25.07 Sentema-SentemaRBT'!D48,'26.07 Sentema-Sentema RBT-24h'!D48,'27.07 Sentema-SentemaRBT-24h'!D48,'28.07 Sentema-SentemaRBT'!D48)</f>
        <v>3.2857142857142856</v>
      </c>
      <c r="E48" s="49">
        <f>AVERAGE('22.07 Sentema-Sentema RBT'!E48,'23.07 Sentema-Sentema RBT'!E48,'24.07 Sentema-SentemaRBT'!E48,'25.07 Sentema-SentemaRBT'!E48,'26.07 Sentema-Sentema RBT-24h'!E48,'27.07 Sentema-SentemaRBT-24h'!E48,'28.07 Sentema-SentemaRBT'!E48)</f>
        <v>2.2857142857142856</v>
      </c>
      <c r="F48" s="49">
        <f>AVERAGE('22.07 Sentema-Sentema RBT'!F48,'23.07 Sentema-Sentema RBT'!F48,'24.07 Sentema-SentemaRBT'!F48,'25.07 Sentema-SentemaRBT'!F48,'26.07 Sentema-Sentema RBT-24h'!F48,'27.07 Sentema-SentemaRBT-24h'!F48,'28.07 Sentema-SentemaRBT'!F48)</f>
        <v>5.1428571428571432</v>
      </c>
      <c r="G48" s="49">
        <f>AVERAGE('22.07 Sentema-Sentema RBT'!G48,'23.07 Sentema-Sentema RBT'!G48,'24.07 Sentema-SentemaRBT'!G48,'25.07 Sentema-SentemaRBT'!G48,'26.07 Sentema-Sentema RBT-24h'!G48,'27.07 Sentema-SentemaRBT-24h'!G48,'28.07 Sentema-SentemaRBT'!G48)</f>
        <v>0.14285714285714285</v>
      </c>
      <c r="H48" s="49">
        <f>AVERAGE('22.07 Sentema-Sentema RBT'!H48,'23.07 Sentema-Sentema RBT'!H48,'24.07 Sentema-SentemaRBT'!H48,'25.07 Sentema-SentemaRBT'!H48,'26.07 Sentema-Sentema RBT-24h'!H48,'27.07 Sentema-SentemaRBT-24h'!H48,'28.07 Sentema-SentemaRBT'!H48)</f>
        <v>0.14285714285714285</v>
      </c>
      <c r="I48" s="49">
        <f>AVERAGE('22.07 Sentema-Sentema RBT'!I48,'23.07 Sentema-Sentema RBT'!I48,'24.07 Sentema-SentemaRBT'!I48,'25.07 Sentema-SentemaRBT'!I48,'26.07 Sentema-Sentema RBT-24h'!I48,'27.07 Sentema-SentemaRBT-24h'!I48,'28.07 Sentema-SentemaRBT'!I48)</f>
        <v>2.2857142857142856</v>
      </c>
      <c r="J48" s="49">
        <f>AVERAGE('22.07 Sentema-Sentema RBT'!J48,'23.07 Sentema-Sentema RBT'!J48,'24.07 Sentema-SentemaRBT'!J48,'25.07 Sentema-SentemaRBT'!J48,'26.07 Sentema-Sentema RBT-24h'!J48,'27.07 Sentema-SentemaRBT-24h'!J48,'28.07 Sentema-SentemaRBT'!J48)</f>
        <v>1.1428571428571428</v>
      </c>
      <c r="K48" s="49">
        <f>AVERAGE('22.07 Sentema-Sentema RBT'!K48,'23.07 Sentema-Sentema RBT'!K48,'24.07 Sentema-SentemaRBT'!K48,'25.07 Sentema-SentemaRBT'!K48,'26.07 Sentema-Sentema RBT-24h'!K48,'27.07 Sentema-SentemaRBT-24h'!K48,'28.07 Sentema-SentemaRBT'!K48)</f>
        <v>0.14285714285714285</v>
      </c>
      <c r="L48" s="49">
        <f>AVERAGE('22.07 Sentema-Sentema RBT'!L48,'23.07 Sentema-Sentema RBT'!L48,'24.07 Sentema-SentemaRBT'!L48,'25.07 Sentema-SentemaRBT'!L48,'26.07 Sentema-Sentema RBT-24h'!L48,'27.07 Sentema-SentemaRBT-24h'!L48,'28.07 Sentema-SentemaRBT'!L48)</f>
        <v>0.14285714285714285</v>
      </c>
      <c r="M48" s="49">
        <f>AVERAGE('22.07 Sentema-Sentema RBT'!M48,'23.07 Sentema-Sentema RBT'!M48,'24.07 Sentema-SentemaRBT'!M48,'25.07 Sentema-SentemaRBT'!M48,'26.07 Sentema-Sentema RBT-24h'!M48,'27.07 Sentema-SentemaRBT-24h'!M48,'28.07 Sentema-SentemaRBT'!M48)</f>
        <v>54.428571428571431</v>
      </c>
      <c r="N48" s="49">
        <f>AVERAGE('22.07 Sentema-Sentema RBT'!N48,'23.07 Sentema-Sentema RBT'!N48,'24.07 Sentema-SentemaRBT'!N48,'25.07 Sentema-SentemaRBT'!N48,'26.07 Sentema-Sentema RBT-24h'!N48,'27.07 Sentema-SentemaRBT-24h'!N48,'28.07 Sentema-SentemaRBT'!N48)</f>
        <v>0</v>
      </c>
      <c r="O48" s="15">
        <f t="shared" si="0"/>
        <v>26.428571428571423</v>
      </c>
      <c r="P48" s="15">
        <f t="shared" si="1"/>
        <v>80.857142857142861</v>
      </c>
      <c r="R48" s="8"/>
      <c r="T48"/>
    </row>
    <row r="49" spans="2:20" ht="23.1" customHeight="1" x14ac:dyDescent="0.25">
      <c r="B49" s="23" t="s">
        <v>76</v>
      </c>
      <c r="C49" s="49">
        <f>AVERAGE('22.07 Sentema-Sentema RBT'!C49,'23.07 Sentema-Sentema RBT'!C49,'24.07 Sentema-SentemaRBT'!C49,'25.07 Sentema-SentemaRBT'!C49,'26.07 Sentema-Sentema RBT-24h'!C49,'27.07 Sentema-SentemaRBT-24h'!C49,'28.07 Sentema-SentemaRBT'!C49)</f>
        <v>11.714285714285714</v>
      </c>
      <c r="D49" s="49">
        <f>AVERAGE('22.07 Sentema-Sentema RBT'!D49,'23.07 Sentema-Sentema RBT'!D49,'24.07 Sentema-SentemaRBT'!D49,'25.07 Sentema-SentemaRBT'!D49,'26.07 Sentema-Sentema RBT-24h'!D49,'27.07 Sentema-SentemaRBT-24h'!D49,'28.07 Sentema-SentemaRBT'!D49)</f>
        <v>3.7142857142857144</v>
      </c>
      <c r="E49" s="49">
        <f>AVERAGE('22.07 Sentema-Sentema RBT'!E49,'23.07 Sentema-Sentema RBT'!E49,'24.07 Sentema-SentemaRBT'!E49,'25.07 Sentema-SentemaRBT'!E49,'26.07 Sentema-Sentema RBT-24h'!E49,'27.07 Sentema-SentemaRBT-24h'!E49,'28.07 Sentema-SentemaRBT'!E49)</f>
        <v>2.2857142857142856</v>
      </c>
      <c r="F49" s="49">
        <f>AVERAGE('22.07 Sentema-Sentema RBT'!F49,'23.07 Sentema-Sentema RBT'!F49,'24.07 Sentema-SentemaRBT'!F49,'25.07 Sentema-SentemaRBT'!F49,'26.07 Sentema-Sentema RBT-24h'!F49,'27.07 Sentema-SentemaRBT-24h'!F49,'28.07 Sentema-SentemaRBT'!F49)</f>
        <v>7.7142857142857144</v>
      </c>
      <c r="G49" s="49">
        <f>AVERAGE('22.07 Sentema-Sentema RBT'!G49,'23.07 Sentema-Sentema RBT'!G49,'24.07 Sentema-SentemaRBT'!G49,'25.07 Sentema-SentemaRBT'!G49,'26.07 Sentema-Sentema RBT-24h'!G49,'27.07 Sentema-SentemaRBT-24h'!G49,'28.07 Sentema-SentemaRBT'!G49)</f>
        <v>0.5714285714285714</v>
      </c>
      <c r="H49" s="49">
        <f>AVERAGE('22.07 Sentema-Sentema RBT'!H49,'23.07 Sentema-Sentema RBT'!H49,'24.07 Sentema-SentemaRBT'!H49,'25.07 Sentema-SentemaRBT'!H49,'26.07 Sentema-Sentema RBT-24h'!H49,'27.07 Sentema-SentemaRBT-24h'!H49,'28.07 Sentema-SentemaRBT'!H49)</f>
        <v>0.14285714285714285</v>
      </c>
      <c r="I49" s="49">
        <f>AVERAGE('22.07 Sentema-Sentema RBT'!I49,'23.07 Sentema-Sentema RBT'!I49,'24.07 Sentema-SentemaRBT'!I49,'25.07 Sentema-SentemaRBT'!I49,'26.07 Sentema-Sentema RBT-24h'!I49,'27.07 Sentema-SentemaRBT-24h'!I49,'28.07 Sentema-SentemaRBT'!I49)</f>
        <v>2.2857142857142856</v>
      </c>
      <c r="J49" s="49">
        <f>AVERAGE('22.07 Sentema-Sentema RBT'!J49,'23.07 Sentema-Sentema RBT'!J49,'24.07 Sentema-SentemaRBT'!J49,'25.07 Sentema-SentemaRBT'!J49,'26.07 Sentema-Sentema RBT-24h'!J49,'27.07 Sentema-SentemaRBT-24h'!J49,'28.07 Sentema-SentemaRBT'!J49)</f>
        <v>1.4285714285714286</v>
      </c>
      <c r="K49" s="49">
        <f>AVERAGE('22.07 Sentema-Sentema RBT'!K49,'23.07 Sentema-Sentema RBT'!K49,'24.07 Sentema-SentemaRBT'!K49,'25.07 Sentema-SentemaRBT'!K49,'26.07 Sentema-Sentema RBT-24h'!K49,'27.07 Sentema-SentemaRBT-24h'!K49,'28.07 Sentema-SentemaRBT'!K49)</f>
        <v>0</v>
      </c>
      <c r="L49" s="49">
        <f>AVERAGE('22.07 Sentema-Sentema RBT'!L49,'23.07 Sentema-Sentema RBT'!L49,'24.07 Sentema-SentemaRBT'!L49,'25.07 Sentema-SentemaRBT'!L49,'26.07 Sentema-Sentema RBT-24h'!L49,'27.07 Sentema-SentemaRBT-24h'!L49,'28.07 Sentema-SentemaRBT'!L49)</f>
        <v>0.14285714285714285</v>
      </c>
      <c r="M49" s="49">
        <f>AVERAGE('22.07 Sentema-Sentema RBT'!M49,'23.07 Sentema-Sentema RBT'!M49,'24.07 Sentema-SentemaRBT'!M49,'25.07 Sentema-SentemaRBT'!M49,'26.07 Sentema-Sentema RBT-24h'!M49,'27.07 Sentema-SentemaRBT-24h'!M49,'28.07 Sentema-SentemaRBT'!M49)</f>
        <v>57.142857142857146</v>
      </c>
      <c r="N49" s="49">
        <f>AVERAGE('22.07 Sentema-Sentema RBT'!N49,'23.07 Sentema-Sentema RBT'!N49,'24.07 Sentema-SentemaRBT'!N49,'25.07 Sentema-SentemaRBT'!N49,'26.07 Sentema-Sentema RBT-24h'!N49,'27.07 Sentema-SentemaRBT-24h'!N49,'28.07 Sentema-SentemaRBT'!N49)</f>
        <v>0</v>
      </c>
      <c r="O49" s="15">
        <f t="shared" si="0"/>
        <v>29.999999999999996</v>
      </c>
      <c r="P49" s="15">
        <f t="shared" si="1"/>
        <v>87.142857142857139</v>
      </c>
      <c r="R49" s="8"/>
      <c r="T49"/>
    </row>
    <row r="50" spans="2:20" ht="23.1" customHeight="1" x14ac:dyDescent="0.25">
      <c r="B50" s="24" t="s">
        <v>77</v>
      </c>
      <c r="C50" s="49">
        <f>AVERAGE('22.07 Sentema-Sentema RBT'!C50,'23.07 Sentema-Sentema RBT'!C50,'24.07 Sentema-SentemaRBT'!C50,'25.07 Sentema-SentemaRBT'!C50,'26.07 Sentema-Sentema RBT-24h'!C50,'27.07 Sentema-SentemaRBT-24h'!C50,'28.07 Sentema-SentemaRBT'!C50)</f>
        <v>11.428571428571429</v>
      </c>
      <c r="D50" s="49">
        <f>AVERAGE('22.07 Sentema-Sentema RBT'!D50,'23.07 Sentema-Sentema RBT'!D50,'24.07 Sentema-SentemaRBT'!D50,'25.07 Sentema-SentemaRBT'!D50,'26.07 Sentema-Sentema RBT-24h'!D50,'27.07 Sentema-SentemaRBT-24h'!D50,'28.07 Sentema-SentemaRBT'!D50)</f>
        <v>2.7142857142857144</v>
      </c>
      <c r="E50" s="49">
        <f>AVERAGE('22.07 Sentema-Sentema RBT'!E50,'23.07 Sentema-Sentema RBT'!E50,'24.07 Sentema-SentemaRBT'!E50,'25.07 Sentema-SentemaRBT'!E50,'26.07 Sentema-Sentema RBT-24h'!E50,'27.07 Sentema-SentemaRBT-24h'!E50,'28.07 Sentema-SentemaRBT'!E50)</f>
        <v>1.5714285714285714</v>
      </c>
      <c r="F50" s="49">
        <f>AVERAGE('22.07 Sentema-Sentema RBT'!F50,'23.07 Sentema-Sentema RBT'!F50,'24.07 Sentema-SentemaRBT'!F50,'25.07 Sentema-SentemaRBT'!F50,'26.07 Sentema-Sentema RBT-24h'!F50,'27.07 Sentema-SentemaRBT-24h'!F50,'28.07 Sentema-SentemaRBT'!F50)</f>
        <v>5.5714285714285712</v>
      </c>
      <c r="G50" s="49">
        <f>AVERAGE('22.07 Sentema-Sentema RBT'!G50,'23.07 Sentema-Sentema RBT'!G50,'24.07 Sentema-SentemaRBT'!G50,'25.07 Sentema-SentemaRBT'!G50,'26.07 Sentema-Sentema RBT-24h'!G50,'27.07 Sentema-SentemaRBT-24h'!G50,'28.07 Sentema-SentemaRBT'!G50)</f>
        <v>0.5714285714285714</v>
      </c>
      <c r="H50" s="49">
        <f>AVERAGE('22.07 Sentema-Sentema RBT'!H50,'23.07 Sentema-Sentema RBT'!H50,'24.07 Sentema-SentemaRBT'!H50,'25.07 Sentema-SentemaRBT'!H50,'26.07 Sentema-Sentema RBT-24h'!H50,'27.07 Sentema-SentemaRBT-24h'!H50,'28.07 Sentema-SentemaRBT'!H50)</f>
        <v>0</v>
      </c>
      <c r="I50" s="49">
        <f>AVERAGE('22.07 Sentema-Sentema RBT'!I50,'23.07 Sentema-Sentema RBT'!I50,'24.07 Sentema-SentemaRBT'!I50,'25.07 Sentema-SentemaRBT'!I50,'26.07 Sentema-Sentema RBT-24h'!I50,'27.07 Sentema-SentemaRBT-24h'!I50,'28.07 Sentema-SentemaRBT'!I50)</f>
        <v>2.1428571428571428</v>
      </c>
      <c r="J50" s="49">
        <f>AVERAGE('22.07 Sentema-Sentema RBT'!J50,'23.07 Sentema-Sentema RBT'!J50,'24.07 Sentema-SentemaRBT'!J50,'25.07 Sentema-SentemaRBT'!J50,'26.07 Sentema-Sentema RBT-24h'!J50,'27.07 Sentema-SentemaRBT-24h'!J50,'28.07 Sentema-SentemaRBT'!J50)</f>
        <v>1.2857142857142858</v>
      </c>
      <c r="K50" s="49">
        <f>AVERAGE('22.07 Sentema-Sentema RBT'!K50,'23.07 Sentema-Sentema RBT'!K50,'24.07 Sentema-SentemaRBT'!K50,'25.07 Sentema-SentemaRBT'!K50,'26.07 Sentema-Sentema RBT-24h'!K50,'27.07 Sentema-SentemaRBT-24h'!K50,'28.07 Sentema-SentemaRBT'!K50)</f>
        <v>0</v>
      </c>
      <c r="L50" s="49">
        <f>AVERAGE('22.07 Sentema-Sentema RBT'!L50,'23.07 Sentema-Sentema RBT'!L50,'24.07 Sentema-SentemaRBT'!L50,'25.07 Sentema-SentemaRBT'!L50,'26.07 Sentema-Sentema RBT-24h'!L50,'27.07 Sentema-SentemaRBT-24h'!L50,'28.07 Sentema-SentemaRBT'!L50)</f>
        <v>0</v>
      </c>
      <c r="M50" s="49">
        <f>AVERAGE('22.07 Sentema-Sentema RBT'!M50,'23.07 Sentema-Sentema RBT'!M50,'24.07 Sentema-SentemaRBT'!M50,'25.07 Sentema-SentemaRBT'!M50,'26.07 Sentema-Sentema RBT-24h'!M50,'27.07 Sentema-SentemaRBT-24h'!M50,'28.07 Sentema-SentemaRBT'!M50)</f>
        <v>50.857142857142854</v>
      </c>
      <c r="N50" s="49">
        <f>AVERAGE('22.07 Sentema-Sentema RBT'!N50,'23.07 Sentema-Sentema RBT'!N50,'24.07 Sentema-SentemaRBT'!N50,'25.07 Sentema-SentemaRBT'!N50,'26.07 Sentema-Sentema RBT-24h'!N50,'27.07 Sentema-SentemaRBT-24h'!N50,'28.07 Sentema-SentemaRBT'!N50)</f>
        <v>0</v>
      </c>
      <c r="O50" s="15">
        <f t="shared" si="0"/>
        <v>25.285714285714285</v>
      </c>
      <c r="P50" s="15">
        <f t="shared" si="1"/>
        <v>76.142857142857139</v>
      </c>
      <c r="R50" s="8"/>
      <c r="T50"/>
    </row>
    <row r="51" spans="2:20" ht="23.1" customHeight="1" x14ac:dyDescent="0.25">
      <c r="B51" s="24" t="s">
        <v>78</v>
      </c>
      <c r="C51" s="49">
        <f>AVERAGE('22.07 Sentema-Sentema RBT'!C51,'23.07 Sentema-Sentema RBT'!C51,'24.07 Sentema-SentemaRBT'!C51,'25.07 Sentema-SentemaRBT'!C51,'26.07 Sentema-Sentema RBT-24h'!C51,'27.07 Sentema-SentemaRBT-24h'!C51,'28.07 Sentema-SentemaRBT'!C51)</f>
        <v>14.142857142857142</v>
      </c>
      <c r="D51" s="49">
        <f>AVERAGE('22.07 Sentema-Sentema RBT'!D51,'23.07 Sentema-Sentema RBT'!D51,'24.07 Sentema-SentemaRBT'!D51,'25.07 Sentema-SentemaRBT'!D51,'26.07 Sentema-Sentema RBT-24h'!D51,'27.07 Sentema-SentemaRBT-24h'!D51,'28.07 Sentema-SentemaRBT'!D51)</f>
        <v>4.2857142857142856</v>
      </c>
      <c r="E51" s="49">
        <f>AVERAGE('22.07 Sentema-Sentema RBT'!E51,'23.07 Sentema-Sentema RBT'!E51,'24.07 Sentema-SentemaRBT'!E51,'25.07 Sentema-SentemaRBT'!E51,'26.07 Sentema-Sentema RBT-24h'!E51,'27.07 Sentema-SentemaRBT-24h'!E51,'28.07 Sentema-SentemaRBT'!E51)</f>
        <v>2</v>
      </c>
      <c r="F51" s="49">
        <f>AVERAGE('22.07 Sentema-Sentema RBT'!F51,'23.07 Sentema-Sentema RBT'!F51,'24.07 Sentema-SentemaRBT'!F51,'25.07 Sentema-SentemaRBT'!F51,'26.07 Sentema-Sentema RBT-24h'!F51,'27.07 Sentema-SentemaRBT-24h'!F51,'28.07 Sentema-SentemaRBT'!F51)</f>
        <v>6.7142857142857144</v>
      </c>
      <c r="G51" s="49">
        <f>AVERAGE('22.07 Sentema-Sentema RBT'!G51,'23.07 Sentema-Sentema RBT'!G51,'24.07 Sentema-SentemaRBT'!G51,'25.07 Sentema-SentemaRBT'!G51,'26.07 Sentema-Sentema RBT-24h'!G51,'27.07 Sentema-SentemaRBT-24h'!G51,'28.07 Sentema-SentemaRBT'!G51)</f>
        <v>0.2857142857142857</v>
      </c>
      <c r="H51" s="49">
        <f>AVERAGE('22.07 Sentema-Sentema RBT'!H51,'23.07 Sentema-Sentema RBT'!H51,'24.07 Sentema-SentemaRBT'!H51,'25.07 Sentema-SentemaRBT'!H51,'26.07 Sentema-Sentema RBT-24h'!H51,'27.07 Sentema-SentemaRBT-24h'!H51,'28.07 Sentema-SentemaRBT'!H51)</f>
        <v>0.14285714285714285</v>
      </c>
      <c r="I51" s="49">
        <f>AVERAGE('22.07 Sentema-Sentema RBT'!I51,'23.07 Sentema-Sentema RBT'!I51,'24.07 Sentema-SentemaRBT'!I51,'25.07 Sentema-SentemaRBT'!I51,'26.07 Sentema-Sentema RBT-24h'!I51,'27.07 Sentema-SentemaRBT-24h'!I51,'28.07 Sentema-SentemaRBT'!I51)</f>
        <v>2.7142857142857144</v>
      </c>
      <c r="J51" s="49">
        <f>AVERAGE('22.07 Sentema-Sentema RBT'!J51,'23.07 Sentema-Sentema RBT'!J51,'24.07 Sentema-SentemaRBT'!J51,'25.07 Sentema-SentemaRBT'!J51,'26.07 Sentema-Sentema RBT-24h'!J51,'27.07 Sentema-SentemaRBT-24h'!J51,'28.07 Sentema-SentemaRBT'!J51)</f>
        <v>0.5714285714285714</v>
      </c>
      <c r="K51" s="49">
        <f>AVERAGE('22.07 Sentema-Sentema RBT'!K51,'23.07 Sentema-Sentema RBT'!K51,'24.07 Sentema-SentemaRBT'!K51,'25.07 Sentema-SentemaRBT'!K51,'26.07 Sentema-Sentema RBT-24h'!K51,'27.07 Sentema-SentemaRBT-24h'!K51,'28.07 Sentema-SentemaRBT'!K51)</f>
        <v>0</v>
      </c>
      <c r="L51" s="49">
        <f>AVERAGE('22.07 Sentema-Sentema RBT'!L51,'23.07 Sentema-Sentema RBT'!L51,'24.07 Sentema-SentemaRBT'!L51,'25.07 Sentema-SentemaRBT'!L51,'26.07 Sentema-Sentema RBT-24h'!L51,'27.07 Sentema-SentemaRBT-24h'!L51,'28.07 Sentema-SentemaRBT'!L51)</f>
        <v>0.14285714285714285</v>
      </c>
      <c r="M51" s="49">
        <f>AVERAGE('22.07 Sentema-Sentema RBT'!M51,'23.07 Sentema-Sentema RBT'!M51,'24.07 Sentema-SentemaRBT'!M51,'25.07 Sentema-SentemaRBT'!M51,'26.07 Sentema-Sentema RBT-24h'!M51,'27.07 Sentema-SentemaRBT-24h'!M51,'28.07 Sentema-SentemaRBT'!M51)</f>
        <v>50.285714285714285</v>
      </c>
      <c r="N51" s="49">
        <f>AVERAGE('22.07 Sentema-Sentema RBT'!N51,'23.07 Sentema-Sentema RBT'!N51,'24.07 Sentema-SentemaRBT'!N51,'25.07 Sentema-SentemaRBT'!N51,'26.07 Sentema-Sentema RBT-24h'!N51,'27.07 Sentema-SentemaRBT-24h'!N51,'28.07 Sentema-SentemaRBT'!N51)</f>
        <v>0</v>
      </c>
      <c r="O51" s="15">
        <f t="shared" si="0"/>
        <v>31</v>
      </c>
      <c r="P51" s="15">
        <f t="shared" si="1"/>
        <v>81.285714285714278</v>
      </c>
      <c r="R51" s="8"/>
      <c r="T51"/>
    </row>
    <row r="52" spans="2:20" ht="23.1" customHeight="1" x14ac:dyDescent="0.25">
      <c r="B52" s="24" t="s">
        <v>79</v>
      </c>
      <c r="C52" s="49">
        <f>AVERAGE('22.07 Sentema-Sentema RBT'!C52,'23.07 Sentema-Sentema RBT'!C52,'24.07 Sentema-SentemaRBT'!C52,'25.07 Sentema-SentemaRBT'!C52,'26.07 Sentema-Sentema RBT-24h'!C52,'27.07 Sentema-SentemaRBT-24h'!C52,'28.07 Sentema-SentemaRBT'!C52)</f>
        <v>13.142857142857142</v>
      </c>
      <c r="D52" s="49">
        <f>AVERAGE('22.07 Sentema-Sentema RBT'!D52,'23.07 Sentema-Sentema RBT'!D52,'24.07 Sentema-SentemaRBT'!D52,'25.07 Sentema-SentemaRBT'!D52,'26.07 Sentema-Sentema RBT-24h'!D52,'27.07 Sentema-SentemaRBT-24h'!D52,'28.07 Sentema-SentemaRBT'!D52)</f>
        <v>4</v>
      </c>
      <c r="E52" s="49">
        <f>AVERAGE('22.07 Sentema-Sentema RBT'!E52,'23.07 Sentema-Sentema RBT'!E52,'24.07 Sentema-SentemaRBT'!E52,'25.07 Sentema-SentemaRBT'!E52,'26.07 Sentema-Sentema RBT-24h'!E52,'27.07 Sentema-SentemaRBT-24h'!E52,'28.07 Sentema-SentemaRBT'!E52)</f>
        <v>2.2857142857142856</v>
      </c>
      <c r="F52" s="49">
        <f>AVERAGE('22.07 Sentema-Sentema RBT'!F52,'23.07 Sentema-Sentema RBT'!F52,'24.07 Sentema-SentemaRBT'!F52,'25.07 Sentema-SentemaRBT'!F52,'26.07 Sentema-Sentema RBT-24h'!F52,'27.07 Sentema-SentemaRBT-24h'!F52,'28.07 Sentema-SentemaRBT'!F52)</f>
        <v>9.2857142857142865</v>
      </c>
      <c r="G52" s="49">
        <f>AVERAGE('22.07 Sentema-Sentema RBT'!G52,'23.07 Sentema-Sentema RBT'!G52,'24.07 Sentema-SentemaRBT'!G52,'25.07 Sentema-SentemaRBT'!G52,'26.07 Sentema-Sentema RBT-24h'!G52,'27.07 Sentema-SentemaRBT-24h'!G52,'28.07 Sentema-SentemaRBT'!G52)</f>
        <v>0</v>
      </c>
      <c r="H52" s="49">
        <f>AVERAGE('22.07 Sentema-Sentema RBT'!H52,'23.07 Sentema-Sentema RBT'!H52,'24.07 Sentema-SentemaRBT'!H52,'25.07 Sentema-SentemaRBT'!H52,'26.07 Sentema-Sentema RBT-24h'!H52,'27.07 Sentema-SentemaRBT-24h'!H52,'28.07 Sentema-SentemaRBT'!H52)</f>
        <v>0.2857142857142857</v>
      </c>
      <c r="I52" s="49">
        <f>AVERAGE('22.07 Sentema-Sentema RBT'!I52,'23.07 Sentema-Sentema RBT'!I52,'24.07 Sentema-SentemaRBT'!I52,'25.07 Sentema-SentemaRBT'!I52,'26.07 Sentema-Sentema RBT-24h'!I52,'27.07 Sentema-SentemaRBT-24h'!I52,'28.07 Sentema-SentemaRBT'!I52)</f>
        <v>2.2857142857142856</v>
      </c>
      <c r="J52" s="49">
        <f>AVERAGE('22.07 Sentema-Sentema RBT'!J52,'23.07 Sentema-Sentema RBT'!J52,'24.07 Sentema-SentemaRBT'!J52,'25.07 Sentema-SentemaRBT'!J52,'26.07 Sentema-Sentema RBT-24h'!J52,'27.07 Sentema-SentemaRBT-24h'!J52,'28.07 Sentema-SentemaRBT'!J52)</f>
        <v>0.8571428571428571</v>
      </c>
      <c r="K52" s="49">
        <f>AVERAGE('22.07 Sentema-Sentema RBT'!K52,'23.07 Sentema-Sentema RBT'!K52,'24.07 Sentema-SentemaRBT'!K52,'25.07 Sentema-SentemaRBT'!K52,'26.07 Sentema-Sentema RBT-24h'!K52,'27.07 Sentema-SentemaRBT-24h'!K52,'28.07 Sentema-SentemaRBT'!K52)</f>
        <v>0</v>
      </c>
      <c r="L52" s="49">
        <f>AVERAGE('22.07 Sentema-Sentema RBT'!L52,'23.07 Sentema-Sentema RBT'!L52,'24.07 Sentema-SentemaRBT'!L52,'25.07 Sentema-SentemaRBT'!L52,'26.07 Sentema-Sentema RBT-24h'!L52,'27.07 Sentema-SentemaRBT-24h'!L52,'28.07 Sentema-SentemaRBT'!L52)</f>
        <v>0.14285714285714285</v>
      </c>
      <c r="M52" s="49">
        <f>AVERAGE('22.07 Sentema-Sentema RBT'!M52,'23.07 Sentema-Sentema RBT'!M52,'24.07 Sentema-SentemaRBT'!M52,'25.07 Sentema-SentemaRBT'!M52,'26.07 Sentema-Sentema RBT-24h'!M52,'27.07 Sentema-SentemaRBT-24h'!M52,'28.07 Sentema-SentemaRBT'!M52)</f>
        <v>60.428571428571431</v>
      </c>
      <c r="N52" s="49">
        <f>AVERAGE('22.07 Sentema-Sentema RBT'!N52,'23.07 Sentema-Sentema RBT'!N52,'24.07 Sentema-SentemaRBT'!N52,'25.07 Sentema-SentemaRBT'!N52,'26.07 Sentema-Sentema RBT-24h'!N52,'27.07 Sentema-SentemaRBT-24h'!N52,'28.07 Sentema-SentemaRBT'!N52)</f>
        <v>0</v>
      </c>
      <c r="O52" s="15">
        <f t="shared" si="0"/>
        <v>32.285714285714285</v>
      </c>
      <c r="P52" s="15">
        <f t="shared" si="1"/>
        <v>92.714285714285722</v>
      </c>
      <c r="R52" s="8"/>
      <c r="T52"/>
    </row>
    <row r="53" spans="2:20" ht="23.1" customHeight="1" x14ac:dyDescent="0.25">
      <c r="B53" s="23" t="s">
        <v>80</v>
      </c>
      <c r="C53" s="49">
        <f>AVERAGE('22.07 Sentema-Sentema RBT'!C53,'23.07 Sentema-Sentema RBT'!C53,'24.07 Sentema-SentemaRBT'!C53,'25.07 Sentema-SentemaRBT'!C53,'26.07 Sentema-Sentema RBT-24h'!C53,'27.07 Sentema-SentemaRBT-24h'!C53,'28.07 Sentema-SentemaRBT'!C53)</f>
        <v>16.857142857142858</v>
      </c>
      <c r="D53" s="49">
        <f>AVERAGE('22.07 Sentema-Sentema RBT'!D53,'23.07 Sentema-Sentema RBT'!D53,'24.07 Sentema-SentemaRBT'!D53,'25.07 Sentema-SentemaRBT'!D53,'26.07 Sentema-Sentema RBT-24h'!D53,'27.07 Sentema-SentemaRBT-24h'!D53,'28.07 Sentema-SentemaRBT'!D53)</f>
        <v>5.2857142857142856</v>
      </c>
      <c r="E53" s="49">
        <f>AVERAGE('22.07 Sentema-Sentema RBT'!E53,'23.07 Sentema-Sentema RBT'!E53,'24.07 Sentema-SentemaRBT'!E53,'25.07 Sentema-SentemaRBT'!E53,'26.07 Sentema-Sentema RBT-24h'!E53,'27.07 Sentema-SentemaRBT-24h'!E53,'28.07 Sentema-SentemaRBT'!E53)</f>
        <v>2.2857142857142856</v>
      </c>
      <c r="F53" s="49">
        <f>AVERAGE('22.07 Sentema-Sentema RBT'!F53,'23.07 Sentema-Sentema RBT'!F53,'24.07 Sentema-SentemaRBT'!F53,'25.07 Sentema-SentemaRBT'!F53,'26.07 Sentema-Sentema RBT-24h'!F53,'27.07 Sentema-SentemaRBT-24h'!F53,'28.07 Sentema-SentemaRBT'!F53)</f>
        <v>8.7142857142857135</v>
      </c>
      <c r="G53" s="49">
        <f>AVERAGE('22.07 Sentema-Sentema RBT'!G53,'23.07 Sentema-Sentema RBT'!G53,'24.07 Sentema-SentemaRBT'!G53,'25.07 Sentema-SentemaRBT'!G53,'26.07 Sentema-Sentema RBT-24h'!G53,'27.07 Sentema-SentemaRBT-24h'!G53,'28.07 Sentema-SentemaRBT'!G53)</f>
        <v>0.14285714285714285</v>
      </c>
      <c r="H53" s="49">
        <f>AVERAGE('22.07 Sentema-Sentema RBT'!H53,'23.07 Sentema-Sentema RBT'!H53,'24.07 Sentema-SentemaRBT'!H53,'25.07 Sentema-SentemaRBT'!H53,'26.07 Sentema-Sentema RBT-24h'!H53,'27.07 Sentema-SentemaRBT-24h'!H53,'28.07 Sentema-SentemaRBT'!H53)</f>
        <v>0</v>
      </c>
      <c r="I53" s="49">
        <f>AVERAGE('22.07 Sentema-Sentema RBT'!I53,'23.07 Sentema-Sentema RBT'!I53,'24.07 Sentema-SentemaRBT'!I53,'25.07 Sentema-SentemaRBT'!I53,'26.07 Sentema-Sentema RBT-24h'!I53,'27.07 Sentema-SentemaRBT-24h'!I53,'28.07 Sentema-SentemaRBT'!I53)</f>
        <v>2.1428571428571428</v>
      </c>
      <c r="J53" s="49">
        <f>AVERAGE('22.07 Sentema-Sentema RBT'!J53,'23.07 Sentema-Sentema RBT'!J53,'24.07 Sentema-SentemaRBT'!J53,'25.07 Sentema-SentemaRBT'!J53,'26.07 Sentema-Sentema RBT-24h'!J53,'27.07 Sentema-SentemaRBT-24h'!J53,'28.07 Sentema-SentemaRBT'!J53)</f>
        <v>1.1428571428571428</v>
      </c>
      <c r="K53" s="49">
        <f>AVERAGE('22.07 Sentema-Sentema RBT'!K53,'23.07 Sentema-Sentema RBT'!K53,'24.07 Sentema-SentemaRBT'!K53,'25.07 Sentema-SentemaRBT'!K53,'26.07 Sentema-Sentema RBT-24h'!K53,'27.07 Sentema-SentemaRBT-24h'!K53,'28.07 Sentema-SentemaRBT'!K53)</f>
        <v>0.2857142857142857</v>
      </c>
      <c r="L53" s="49">
        <f>AVERAGE('22.07 Sentema-Sentema RBT'!L53,'23.07 Sentema-Sentema RBT'!L53,'24.07 Sentema-SentemaRBT'!L53,'25.07 Sentema-SentemaRBT'!L53,'26.07 Sentema-Sentema RBT-24h'!L53,'27.07 Sentema-SentemaRBT-24h'!L53,'28.07 Sentema-SentemaRBT'!L53)</f>
        <v>0</v>
      </c>
      <c r="M53" s="49">
        <f>AVERAGE('22.07 Sentema-Sentema RBT'!M53,'23.07 Sentema-Sentema RBT'!M53,'24.07 Sentema-SentemaRBT'!M53,'25.07 Sentema-SentemaRBT'!M53,'26.07 Sentema-Sentema RBT-24h'!M53,'27.07 Sentema-SentemaRBT-24h'!M53,'28.07 Sentema-SentemaRBT'!M53)</f>
        <v>51.714285714285715</v>
      </c>
      <c r="N53" s="49">
        <f>AVERAGE('22.07 Sentema-Sentema RBT'!N53,'23.07 Sentema-Sentema RBT'!N53,'24.07 Sentema-SentemaRBT'!N53,'25.07 Sentema-SentemaRBT'!N53,'26.07 Sentema-Sentema RBT-24h'!N53,'27.07 Sentema-SentemaRBT-24h'!N53,'28.07 Sentema-SentemaRBT'!N53)</f>
        <v>0.14285714285714285</v>
      </c>
      <c r="O53" s="15">
        <f t="shared" si="0"/>
        <v>37.000000000000007</v>
      </c>
      <c r="P53" s="15">
        <f t="shared" si="1"/>
        <v>88.714285714285722</v>
      </c>
      <c r="R53" s="8"/>
      <c r="T53"/>
    </row>
    <row r="54" spans="2:20" ht="23.1" customHeight="1" x14ac:dyDescent="0.25">
      <c r="B54" s="23" t="s">
        <v>81</v>
      </c>
      <c r="C54" s="49">
        <f>AVERAGE('22.07 Sentema-Sentema RBT'!C54,'23.07 Sentema-Sentema RBT'!C54,'24.07 Sentema-SentemaRBT'!C54,'25.07 Sentema-SentemaRBT'!C54,'26.07 Sentema-Sentema RBT-24h'!C54,'27.07 Sentema-SentemaRBT-24h'!C54,'28.07 Sentema-SentemaRBT'!C54)</f>
        <v>12.571428571428571</v>
      </c>
      <c r="D54" s="49">
        <f>AVERAGE('22.07 Sentema-Sentema RBT'!D54,'23.07 Sentema-Sentema RBT'!D54,'24.07 Sentema-SentemaRBT'!D54,'25.07 Sentema-SentemaRBT'!D54,'26.07 Sentema-Sentema RBT-24h'!D54,'27.07 Sentema-SentemaRBT-24h'!D54,'28.07 Sentema-SentemaRBT'!D54)</f>
        <v>5.1428571428571432</v>
      </c>
      <c r="E54" s="49">
        <f>AVERAGE('22.07 Sentema-Sentema RBT'!E54,'23.07 Sentema-Sentema RBT'!E54,'24.07 Sentema-SentemaRBT'!E54,'25.07 Sentema-SentemaRBT'!E54,'26.07 Sentema-Sentema RBT-24h'!E54,'27.07 Sentema-SentemaRBT-24h'!E54,'28.07 Sentema-SentemaRBT'!E54)</f>
        <v>2</v>
      </c>
      <c r="F54" s="49">
        <f>AVERAGE('22.07 Sentema-Sentema RBT'!F54,'23.07 Sentema-Sentema RBT'!F54,'24.07 Sentema-SentemaRBT'!F54,'25.07 Sentema-SentemaRBT'!F54,'26.07 Sentema-Sentema RBT-24h'!F54,'27.07 Sentema-SentemaRBT-24h'!F54,'28.07 Sentema-SentemaRBT'!F54)</f>
        <v>9.5714285714285712</v>
      </c>
      <c r="G54" s="49">
        <f>AVERAGE('22.07 Sentema-Sentema RBT'!G54,'23.07 Sentema-Sentema RBT'!G54,'24.07 Sentema-SentemaRBT'!G54,'25.07 Sentema-SentemaRBT'!G54,'26.07 Sentema-Sentema RBT-24h'!G54,'27.07 Sentema-SentemaRBT-24h'!G54,'28.07 Sentema-SentemaRBT'!G54)</f>
        <v>0.2857142857142857</v>
      </c>
      <c r="H54" s="49">
        <f>AVERAGE('22.07 Sentema-Sentema RBT'!H54,'23.07 Sentema-Sentema RBT'!H54,'24.07 Sentema-SentemaRBT'!H54,'25.07 Sentema-SentemaRBT'!H54,'26.07 Sentema-Sentema RBT-24h'!H54,'27.07 Sentema-SentemaRBT-24h'!H54,'28.07 Sentema-SentemaRBT'!H54)</f>
        <v>0.2857142857142857</v>
      </c>
      <c r="I54" s="49">
        <f>AVERAGE('22.07 Sentema-Sentema RBT'!I54,'23.07 Sentema-Sentema RBT'!I54,'24.07 Sentema-SentemaRBT'!I54,'25.07 Sentema-SentemaRBT'!I54,'26.07 Sentema-Sentema RBT-24h'!I54,'27.07 Sentema-SentemaRBT-24h'!I54,'28.07 Sentema-SentemaRBT'!I54)</f>
        <v>3.4285714285714284</v>
      </c>
      <c r="J54" s="49">
        <f>AVERAGE('22.07 Sentema-Sentema RBT'!J54,'23.07 Sentema-Sentema RBT'!J54,'24.07 Sentema-SentemaRBT'!J54,'25.07 Sentema-SentemaRBT'!J54,'26.07 Sentema-Sentema RBT-24h'!J54,'27.07 Sentema-SentemaRBT-24h'!J54,'28.07 Sentema-SentemaRBT'!J54)</f>
        <v>1</v>
      </c>
      <c r="K54" s="49">
        <f>AVERAGE('22.07 Sentema-Sentema RBT'!K54,'23.07 Sentema-Sentema RBT'!K54,'24.07 Sentema-SentemaRBT'!K54,'25.07 Sentema-SentemaRBT'!K54,'26.07 Sentema-Sentema RBT-24h'!K54,'27.07 Sentema-SentemaRBT-24h'!K54,'28.07 Sentema-SentemaRBT'!K54)</f>
        <v>0</v>
      </c>
      <c r="L54" s="49">
        <f>AVERAGE('22.07 Sentema-Sentema RBT'!L54,'23.07 Sentema-Sentema RBT'!L54,'24.07 Sentema-SentemaRBT'!L54,'25.07 Sentema-SentemaRBT'!L54,'26.07 Sentema-Sentema RBT-24h'!L54,'27.07 Sentema-SentemaRBT-24h'!L54,'28.07 Sentema-SentemaRBT'!L54)</f>
        <v>0</v>
      </c>
      <c r="M54" s="49">
        <f>AVERAGE('22.07 Sentema-Sentema RBT'!M54,'23.07 Sentema-Sentema RBT'!M54,'24.07 Sentema-SentemaRBT'!M54,'25.07 Sentema-SentemaRBT'!M54,'26.07 Sentema-Sentema RBT-24h'!M54,'27.07 Sentema-SentemaRBT-24h'!M54,'28.07 Sentema-SentemaRBT'!M54)</f>
        <v>60.285714285714285</v>
      </c>
      <c r="N54" s="49">
        <f>AVERAGE('22.07 Sentema-Sentema RBT'!N54,'23.07 Sentema-Sentema RBT'!N54,'24.07 Sentema-SentemaRBT'!N54,'25.07 Sentema-SentemaRBT'!N54,'26.07 Sentema-Sentema RBT-24h'!N54,'27.07 Sentema-SentemaRBT-24h'!N54,'28.07 Sentema-SentemaRBT'!N54)</f>
        <v>0</v>
      </c>
      <c r="O54" s="15">
        <f t="shared" si="0"/>
        <v>34.285714285714285</v>
      </c>
      <c r="P54" s="15">
        <f t="shared" si="1"/>
        <v>94.571428571428569</v>
      </c>
      <c r="R54" s="8"/>
      <c r="T54"/>
    </row>
    <row r="55" spans="2:20" ht="23.1" customHeight="1" x14ac:dyDescent="0.25">
      <c r="B55" s="23" t="s">
        <v>82</v>
      </c>
      <c r="C55" s="49">
        <f>AVERAGE('22.07 Sentema-Sentema RBT'!C55,'23.07 Sentema-Sentema RBT'!C55,'24.07 Sentema-SentemaRBT'!C55,'25.07 Sentema-SentemaRBT'!C55,'26.07 Sentema-Sentema RBT-24h'!C55,'27.07 Sentema-SentemaRBT-24h'!C55,'28.07 Sentema-SentemaRBT'!C55)</f>
        <v>10.285714285714286</v>
      </c>
      <c r="D55" s="49">
        <f>AVERAGE('22.07 Sentema-Sentema RBT'!D55,'23.07 Sentema-Sentema RBT'!D55,'24.07 Sentema-SentemaRBT'!D55,'25.07 Sentema-SentemaRBT'!D55,'26.07 Sentema-Sentema RBT-24h'!D55,'27.07 Sentema-SentemaRBT-24h'!D55,'28.07 Sentema-SentemaRBT'!D55)</f>
        <v>3.1428571428571428</v>
      </c>
      <c r="E55" s="49">
        <f>AVERAGE('22.07 Sentema-Sentema RBT'!E55,'23.07 Sentema-Sentema RBT'!E55,'24.07 Sentema-SentemaRBT'!E55,'25.07 Sentema-SentemaRBT'!E55,'26.07 Sentema-Sentema RBT-24h'!E55,'27.07 Sentema-SentemaRBT-24h'!E55,'28.07 Sentema-SentemaRBT'!E55)</f>
        <v>1.4285714285714286</v>
      </c>
      <c r="F55" s="49">
        <f>AVERAGE('22.07 Sentema-Sentema RBT'!F55,'23.07 Sentema-Sentema RBT'!F55,'24.07 Sentema-SentemaRBT'!F55,'25.07 Sentema-SentemaRBT'!F55,'26.07 Sentema-Sentema RBT-24h'!F55,'27.07 Sentema-SentemaRBT-24h'!F55,'28.07 Sentema-SentemaRBT'!F55)</f>
        <v>9.8571428571428577</v>
      </c>
      <c r="G55" s="49">
        <f>AVERAGE('22.07 Sentema-Sentema RBT'!G55,'23.07 Sentema-Sentema RBT'!G55,'24.07 Sentema-SentemaRBT'!G55,'25.07 Sentema-SentemaRBT'!G55,'26.07 Sentema-Sentema RBT-24h'!G55,'27.07 Sentema-SentemaRBT-24h'!G55,'28.07 Sentema-SentemaRBT'!G55)</f>
        <v>0.14285714285714285</v>
      </c>
      <c r="H55" s="49">
        <f>AVERAGE('22.07 Sentema-Sentema RBT'!H55,'23.07 Sentema-Sentema RBT'!H55,'24.07 Sentema-SentemaRBT'!H55,'25.07 Sentema-SentemaRBT'!H55,'26.07 Sentema-Sentema RBT-24h'!H55,'27.07 Sentema-SentemaRBT-24h'!H55,'28.07 Sentema-SentemaRBT'!H55)</f>
        <v>0.2857142857142857</v>
      </c>
      <c r="I55" s="49">
        <f>AVERAGE('22.07 Sentema-Sentema RBT'!I55,'23.07 Sentema-Sentema RBT'!I55,'24.07 Sentema-SentemaRBT'!I55,'25.07 Sentema-SentemaRBT'!I55,'26.07 Sentema-Sentema RBT-24h'!I55,'27.07 Sentema-SentemaRBT-24h'!I55,'28.07 Sentema-SentemaRBT'!I55)</f>
        <v>2.1428571428571428</v>
      </c>
      <c r="J55" s="49">
        <f>AVERAGE('22.07 Sentema-Sentema RBT'!J55,'23.07 Sentema-Sentema RBT'!J55,'24.07 Sentema-SentemaRBT'!J55,'25.07 Sentema-SentemaRBT'!J55,'26.07 Sentema-Sentema RBT-24h'!J55,'27.07 Sentema-SentemaRBT-24h'!J55,'28.07 Sentema-SentemaRBT'!J55)</f>
        <v>1.1428571428571428</v>
      </c>
      <c r="K55" s="49">
        <f>AVERAGE('22.07 Sentema-Sentema RBT'!K55,'23.07 Sentema-Sentema RBT'!K55,'24.07 Sentema-SentemaRBT'!K55,'25.07 Sentema-SentemaRBT'!K55,'26.07 Sentema-Sentema RBT-24h'!K55,'27.07 Sentema-SentemaRBT-24h'!K55,'28.07 Sentema-SentemaRBT'!K55)</f>
        <v>0.14285714285714285</v>
      </c>
      <c r="L55" s="49">
        <f>AVERAGE('22.07 Sentema-Sentema RBT'!L55,'23.07 Sentema-Sentema RBT'!L55,'24.07 Sentema-SentemaRBT'!L55,'25.07 Sentema-SentemaRBT'!L55,'26.07 Sentema-Sentema RBT-24h'!L55,'27.07 Sentema-SentemaRBT-24h'!L55,'28.07 Sentema-SentemaRBT'!L55)</f>
        <v>0.14285714285714285</v>
      </c>
      <c r="M55" s="49">
        <f>AVERAGE('22.07 Sentema-Sentema RBT'!M55,'23.07 Sentema-Sentema RBT'!M55,'24.07 Sentema-SentemaRBT'!M55,'25.07 Sentema-SentemaRBT'!M55,'26.07 Sentema-Sentema RBT-24h'!M55,'27.07 Sentema-SentemaRBT-24h'!M55,'28.07 Sentema-SentemaRBT'!M55)</f>
        <v>53</v>
      </c>
      <c r="N55" s="49">
        <f>AVERAGE('22.07 Sentema-Sentema RBT'!N55,'23.07 Sentema-Sentema RBT'!N55,'24.07 Sentema-SentemaRBT'!N55,'25.07 Sentema-SentemaRBT'!N55,'26.07 Sentema-Sentema RBT-24h'!N55,'27.07 Sentema-SentemaRBT-24h'!N55,'28.07 Sentema-SentemaRBT'!N55)</f>
        <v>0</v>
      </c>
      <c r="O55" s="15">
        <f t="shared" si="0"/>
        <v>28.714285714285712</v>
      </c>
      <c r="P55" s="15">
        <f t="shared" si="1"/>
        <v>81.714285714285708</v>
      </c>
      <c r="R55" s="8"/>
      <c r="T55"/>
    </row>
    <row r="56" spans="2:20" ht="23.1" customHeight="1" x14ac:dyDescent="0.25">
      <c r="B56" s="23" t="s">
        <v>83</v>
      </c>
      <c r="C56" s="49">
        <f>AVERAGE('22.07 Sentema-Sentema RBT'!C56,'23.07 Sentema-Sentema RBT'!C56,'24.07 Sentema-SentemaRBT'!C56,'25.07 Sentema-SentemaRBT'!C56,'26.07 Sentema-Sentema RBT-24h'!C56,'27.07 Sentema-SentemaRBT-24h'!C56,'28.07 Sentema-SentemaRBT'!C56)</f>
        <v>8.5714285714285712</v>
      </c>
      <c r="D56" s="49">
        <f>AVERAGE('22.07 Sentema-Sentema RBT'!D56,'23.07 Sentema-Sentema RBT'!D56,'24.07 Sentema-SentemaRBT'!D56,'25.07 Sentema-SentemaRBT'!D56,'26.07 Sentema-Sentema RBT-24h'!D56,'27.07 Sentema-SentemaRBT-24h'!D56,'28.07 Sentema-SentemaRBT'!D56)</f>
        <v>4.1428571428571432</v>
      </c>
      <c r="E56" s="49">
        <f>AVERAGE('22.07 Sentema-Sentema RBT'!E56,'23.07 Sentema-Sentema RBT'!E56,'24.07 Sentema-SentemaRBT'!E56,'25.07 Sentema-SentemaRBT'!E56,'26.07 Sentema-Sentema RBT-24h'!E56,'27.07 Sentema-SentemaRBT-24h'!E56,'28.07 Sentema-SentemaRBT'!E56)</f>
        <v>1.2857142857142858</v>
      </c>
      <c r="F56" s="49">
        <f>AVERAGE('22.07 Sentema-Sentema RBT'!F56,'23.07 Sentema-Sentema RBT'!F56,'24.07 Sentema-SentemaRBT'!F56,'25.07 Sentema-SentemaRBT'!F56,'26.07 Sentema-Sentema RBT-24h'!F56,'27.07 Sentema-SentemaRBT-24h'!F56,'28.07 Sentema-SentemaRBT'!F56)</f>
        <v>12.142857142857142</v>
      </c>
      <c r="G56" s="49">
        <f>AVERAGE('22.07 Sentema-Sentema RBT'!G56,'23.07 Sentema-Sentema RBT'!G56,'24.07 Sentema-SentemaRBT'!G56,'25.07 Sentema-SentemaRBT'!G56,'26.07 Sentema-Sentema RBT-24h'!G56,'27.07 Sentema-SentemaRBT-24h'!G56,'28.07 Sentema-SentemaRBT'!G56)</f>
        <v>0</v>
      </c>
      <c r="H56" s="49">
        <f>AVERAGE('22.07 Sentema-Sentema RBT'!H56,'23.07 Sentema-Sentema RBT'!H56,'24.07 Sentema-SentemaRBT'!H56,'25.07 Sentema-SentemaRBT'!H56,'26.07 Sentema-Sentema RBT-24h'!H56,'27.07 Sentema-SentemaRBT-24h'!H56,'28.07 Sentema-SentemaRBT'!H56)</f>
        <v>0.14285714285714285</v>
      </c>
      <c r="I56" s="49">
        <f>AVERAGE('22.07 Sentema-Sentema RBT'!I56,'23.07 Sentema-Sentema RBT'!I56,'24.07 Sentema-SentemaRBT'!I56,'25.07 Sentema-SentemaRBT'!I56,'26.07 Sentema-Sentema RBT-24h'!I56,'27.07 Sentema-SentemaRBT-24h'!I56,'28.07 Sentema-SentemaRBT'!I56)</f>
        <v>3.1428571428571428</v>
      </c>
      <c r="J56" s="49">
        <f>AVERAGE('22.07 Sentema-Sentema RBT'!J56,'23.07 Sentema-Sentema RBT'!J56,'24.07 Sentema-SentemaRBT'!J56,'25.07 Sentema-SentemaRBT'!J56,'26.07 Sentema-Sentema RBT-24h'!J56,'27.07 Sentema-SentemaRBT-24h'!J56,'28.07 Sentema-SentemaRBT'!J56)</f>
        <v>1.1428571428571428</v>
      </c>
      <c r="K56" s="49">
        <f>AVERAGE('22.07 Sentema-Sentema RBT'!K56,'23.07 Sentema-Sentema RBT'!K56,'24.07 Sentema-SentemaRBT'!K56,'25.07 Sentema-SentemaRBT'!K56,'26.07 Sentema-Sentema RBT-24h'!K56,'27.07 Sentema-SentemaRBT-24h'!K56,'28.07 Sentema-SentemaRBT'!K56)</f>
        <v>0.2857142857142857</v>
      </c>
      <c r="L56" s="49">
        <f>AVERAGE('22.07 Sentema-Sentema RBT'!L56,'23.07 Sentema-Sentema RBT'!L56,'24.07 Sentema-SentemaRBT'!L56,'25.07 Sentema-SentemaRBT'!L56,'26.07 Sentema-Sentema RBT-24h'!L56,'27.07 Sentema-SentemaRBT-24h'!L56,'28.07 Sentema-SentemaRBT'!L56)</f>
        <v>0.2857142857142857</v>
      </c>
      <c r="M56" s="49">
        <f>AVERAGE('22.07 Sentema-Sentema RBT'!M56,'23.07 Sentema-Sentema RBT'!M56,'24.07 Sentema-SentemaRBT'!M56,'25.07 Sentema-SentemaRBT'!M56,'26.07 Sentema-Sentema RBT-24h'!M56,'27.07 Sentema-SentemaRBT-24h'!M56,'28.07 Sentema-SentemaRBT'!M56)</f>
        <v>61.857142857142854</v>
      </c>
      <c r="N56" s="49">
        <f>AVERAGE('22.07 Sentema-Sentema RBT'!N56,'23.07 Sentema-Sentema RBT'!N56,'24.07 Sentema-SentemaRBT'!N56,'25.07 Sentema-SentemaRBT'!N56,'26.07 Sentema-Sentema RBT-24h'!N56,'27.07 Sentema-SentemaRBT-24h'!N56,'28.07 Sentema-SentemaRBT'!N56)</f>
        <v>0</v>
      </c>
      <c r="O56" s="15">
        <f t="shared" si="0"/>
        <v>31.142857142857142</v>
      </c>
      <c r="P56" s="15">
        <f t="shared" si="1"/>
        <v>93</v>
      </c>
      <c r="R56" s="8"/>
      <c r="T56"/>
    </row>
    <row r="57" spans="2:20" ht="23.1" customHeight="1" x14ac:dyDescent="0.25">
      <c r="B57" s="23" t="s">
        <v>84</v>
      </c>
      <c r="C57" s="49">
        <f>AVERAGE('22.07 Sentema-Sentema RBT'!C57,'23.07 Sentema-Sentema RBT'!C57,'24.07 Sentema-SentemaRBT'!C57,'25.07 Sentema-SentemaRBT'!C57,'26.07 Sentema-Sentema RBT-24h'!C57,'27.07 Sentema-SentemaRBT-24h'!C57,'28.07 Sentema-SentemaRBT'!C57)</f>
        <v>11.857142857142858</v>
      </c>
      <c r="D57" s="49">
        <f>AVERAGE('22.07 Sentema-Sentema RBT'!D57,'23.07 Sentema-Sentema RBT'!D57,'24.07 Sentema-SentemaRBT'!D57,'25.07 Sentema-SentemaRBT'!D57,'26.07 Sentema-Sentema RBT-24h'!D57,'27.07 Sentema-SentemaRBT-24h'!D57,'28.07 Sentema-SentemaRBT'!D57)</f>
        <v>4.2857142857142856</v>
      </c>
      <c r="E57" s="49">
        <f>AVERAGE('22.07 Sentema-Sentema RBT'!E57,'23.07 Sentema-Sentema RBT'!E57,'24.07 Sentema-SentemaRBT'!E57,'25.07 Sentema-SentemaRBT'!E57,'26.07 Sentema-Sentema RBT-24h'!E57,'27.07 Sentema-SentemaRBT-24h'!E57,'28.07 Sentema-SentemaRBT'!E57)</f>
        <v>2.1428571428571428</v>
      </c>
      <c r="F57" s="49">
        <f>AVERAGE('22.07 Sentema-Sentema RBT'!F57,'23.07 Sentema-Sentema RBT'!F57,'24.07 Sentema-SentemaRBT'!F57,'25.07 Sentema-SentemaRBT'!F57,'26.07 Sentema-Sentema RBT-24h'!F57,'27.07 Sentema-SentemaRBT-24h'!F57,'28.07 Sentema-SentemaRBT'!F57)</f>
        <v>11.142857142857142</v>
      </c>
      <c r="G57" s="49">
        <f>AVERAGE('22.07 Sentema-Sentema RBT'!G57,'23.07 Sentema-Sentema RBT'!G57,'24.07 Sentema-SentemaRBT'!G57,'25.07 Sentema-SentemaRBT'!G57,'26.07 Sentema-Sentema RBT-24h'!G57,'27.07 Sentema-SentemaRBT-24h'!G57,'28.07 Sentema-SentemaRBT'!G57)</f>
        <v>1.8571428571428572</v>
      </c>
      <c r="H57" s="49">
        <f>AVERAGE('22.07 Sentema-Sentema RBT'!H57,'23.07 Sentema-Sentema RBT'!H57,'24.07 Sentema-SentemaRBT'!H57,'25.07 Sentema-SentemaRBT'!H57,'26.07 Sentema-Sentema RBT-24h'!H57,'27.07 Sentema-SentemaRBT-24h'!H57,'28.07 Sentema-SentemaRBT'!H57)</f>
        <v>0</v>
      </c>
      <c r="I57" s="49">
        <f>AVERAGE('22.07 Sentema-Sentema RBT'!I57,'23.07 Sentema-Sentema RBT'!I57,'24.07 Sentema-SentemaRBT'!I57,'25.07 Sentema-SentemaRBT'!I57,'26.07 Sentema-Sentema RBT-24h'!I57,'27.07 Sentema-SentemaRBT-24h'!I57,'28.07 Sentema-SentemaRBT'!I57)</f>
        <v>1.8571428571428572</v>
      </c>
      <c r="J57" s="49">
        <f>AVERAGE('22.07 Sentema-Sentema RBT'!J57,'23.07 Sentema-Sentema RBT'!J57,'24.07 Sentema-SentemaRBT'!J57,'25.07 Sentema-SentemaRBT'!J57,'26.07 Sentema-Sentema RBT-24h'!J57,'27.07 Sentema-SentemaRBT-24h'!J57,'28.07 Sentema-SentemaRBT'!J57)</f>
        <v>0.5714285714285714</v>
      </c>
      <c r="K57" s="49">
        <f>AVERAGE('22.07 Sentema-Sentema RBT'!K57,'23.07 Sentema-Sentema RBT'!K57,'24.07 Sentema-SentemaRBT'!K57,'25.07 Sentema-SentemaRBT'!K57,'26.07 Sentema-Sentema RBT-24h'!K57,'27.07 Sentema-SentemaRBT-24h'!K57,'28.07 Sentema-SentemaRBT'!K57)</f>
        <v>0.14285714285714285</v>
      </c>
      <c r="L57" s="49">
        <f>AVERAGE('22.07 Sentema-Sentema RBT'!L57,'23.07 Sentema-Sentema RBT'!L57,'24.07 Sentema-SentemaRBT'!L57,'25.07 Sentema-SentemaRBT'!L57,'26.07 Sentema-Sentema RBT-24h'!L57,'27.07 Sentema-SentemaRBT-24h'!L57,'28.07 Sentema-SentemaRBT'!L57)</f>
        <v>0</v>
      </c>
      <c r="M57" s="49">
        <f>AVERAGE('22.07 Sentema-Sentema RBT'!M57,'23.07 Sentema-Sentema RBT'!M57,'24.07 Sentema-SentemaRBT'!M57,'25.07 Sentema-SentemaRBT'!M57,'26.07 Sentema-Sentema RBT-24h'!M57,'27.07 Sentema-SentemaRBT-24h'!M57,'28.07 Sentema-SentemaRBT'!M57)</f>
        <v>56.333333333333336</v>
      </c>
      <c r="N57" s="49">
        <f>AVERAGE('22.07 Sentema-Sentema RBT'!N57,'23.07 Sentema-Sentema RBT'!N57,'24.07 Sentema-SentemaRBT'!N57,'25.07 Sentema-SentemaRBT'!N57,'26.07 Sentema-Sentema RBT-24h'!N57,'27.07 Sentema-SentemaRBT-24h'!N57,'28.07 Sentema-SentemaRBT'!N57)</f>
        <v>0</v>
      </c>
      <c r="O57" s="15">
        <f t="shared" si="0"/>
        <v>33.857142857142854</v>
      </c>
      <c r="P57" s="15">
        <f t="shared" si="1"/>
        <v>90.19047619047619</v>
      </c>
      <c r="R57" s="8"/>
      <c r="T57"/>
    </row>
    <row r="58" spans="2:20" ht="23.1" customHeight="1" x14ac:dyDescent="0.25">
      <c r="B58" s="23" t="s">
        <v>99</v>
      </c>
      <c r="C58" s="49">
        <f>AVERAGE('26.07 Sentema-Sentema RBT-24h'!C58,'27.07 Sentema-SentemaRBT-24h'!C58)</f>
        <v>10</v>
      </c>
      <c r="D58" s="49">
        <f>AVERAGE('26.07 Sentema-Sentema RBT-24h'!D58,'27.07 Sentema-SentemaRBT-24h'!D58)</f>
        <v>3.5</v>
      </c>
      <c r="E58" s="49">
        <f>AVERAGE('26.07 Sentema-Sentema RBT-24h'!E58,'27.07 Sentema-SentemaRBT-24h'!E58)</f>
        <v>2</v>
      </c>
      <c r="F58" s="49">
        <f>AVERAGE('26.07 Sentema-Sentema RBT-24h'!F58,'27.07 Sentema-SentemaRBT-24h'!F58)</f>
        <v>7</v>
      </c>
      <c r="G58" s="49">
        <f>AVERAGE('26.07 Sentema-Sentema RBT-24h'!G58,'27.07 Sentema-SentemaRBT-24h'!G58)</f>
        <v>0.5</v>
      </c>
      <c r="H58" s="49">
        <f>AVERAGE('26.07 Sentema-Sentema RBT-24h'!H58,'27.07 Sentema-SentemaRBT-24h'!H58)</f>
        <v>0</v>
      </c>
      <c r="I58" s="49">
        <f>AVERAGE('26.07 Sentema-Sentema RBT-24h'!I58,'27.07 Sentema-SentemaRBT-24h'!I58)</f>
        <v>2.5</v>
      </c>
      <c r="J58" s="49">
        <f>AVERAGE('26.07 Sentema-Sentema RBT-24h'!J58,'27.07 Sentema-SentemaRBT-24h'!J58)</f>
        <v>1</v>
      </c>
      <c r="K58" s="49">
        <f>AVERAGE('26.07 Sentema-Sentema RBT-24h'!K58,'27.07 Sentema-SentemaRBT-24h'!K58)</f>
        <v>0.5</v>
      </c>
      <c r="L58" s="49">
        <f>AVERAGE('26.07 Sentema-Sentema RBT-24h'!L58,'27.07 Sentema-SentemaRBT-24h'!L58)</f>
        <v>0</v>
      </c>
      <c r="M58" s="49">
        <f>AVERAGE('26.07 Sentema-Sentema RBT-24h'!M58,'27.07 Sentema-SentemaRBT-24h'!M58)</f>
        <v>44.5</v>
      </c>
      <c r="N58" s="49">
        <f>AVERAGE('26.07 Sentema-Sentema RBT-24h'!N58,'27.07 Sentema-SentemaRBT-24h'!N58)</f>
        <v>0</v>
      </c>
      <c r="O58" s="15">
        <f t="shared" si="0"/>
        <v>27</v>
      </c>
      <c r="P58" s="15">
        <f t="shared" si="1"/>
        <v>71.5</v>
      </c>
      <c r="R58" s="8"/>
      <c r="T58"/>
    </row>
    <row r="59" spans="2:20" ht="23.1" customHeight="1" x14ac:dyDescent="0.25">
      <c r="B59" s="23" t="s">
        <v>100</v>
      </c>
      <c r="C59" s="49">
        <f>AVERAGE('26.07 Sentema-Sentema RBT-24h'!C59,'27.07 Sentema-SentemaRBT-24h'!C59)</f>
        <v>11.5</v>
      </c>
      <c r="D59" s="49">
        <f>AVERAGE('26.07 Sentema-Sentema RBT-24h'!D59,'27.07 Sentema-SentemaRBT-24h'!D59)</f>
        <v>3.5</v>
      </c>
      <c r="E59" s="49">
        <f>AVERAGE('26.07 Sentema-Sentema RBT-24h'!E59,'27.07 Sentema-SentemaRBT-24h'!E59)</f>
        <v>1</v>
      </c>
      <c r="F59" s="49">
        <f>AVERAGE('26.07 Sentema-Sentema RBT-24h'!F59,'27.07 Sentema-SentemaRBT-24h'!F59)</f>
        <v>8</v>
      </c>
      <c r="G59" s="49">
        <f>AVERAGE('26.07 Sentema-Sentema RBT-24h'!G59,'27.07 Sentema-SentemaRBT-24h'!G59)</f>
        <v>0</v>
      </c>
      <c r="H59" s="49">
        <f>AVERAGE('26.07 Sentema-Sentema RBT-24h'!H59,'27.07 Sentema-SentemaRBT-24h'!H59)</f>
        <v>0.5</v>
      </c>
      <c r="I59" s="49">
        <f>AVERAGE('26.07 Sentema-Sentema RBT-24h'!I59,'27.07 Sentema-SentemaRBT-24h'!I59)</f>
        <v>1.5</v>
      </c>
      <c r="J59" s="49">
        <f>AVERAGE('26.07 Sentema-Sentema RBT-24h'!J59,'27.07 Sentema-SentemaRBT-24h'!J59)</f>
        <v>0.5</v>
      </c>
      <c r="K59" s="49">
        <f>AVERAGE('26.07 Sentema-Sentema RBT-24h'!K59,'27.07 Sentema-SentemaRBT-24h'!K59)</f>
        <v>0</v>
      </c>
      <c r="L59" s="49">
        <f>AVERAGE('26.07 Sentema-Sentema RBT-24h'!L59,'27.07 Sentema-SentemaRBT-24h'!L59)</f>
        <v>0</v>
      </c>
      <c r="M59" s="49">
        <f>AVERAGE('26.07 Sentema-Sentema RBT-24h'!M59,'27.07 Sentema-SentemaRBT-24h'!M59)</f>
        <v>49</v>
      </c>
      <c r="N59" s="49">
        <f>AVERAGE('26.07 Sentema-Sentema RBT-24h'!N59,'27.07 Sentema-SentemaRBT-24h'!N59)</f>
        <v>0</v>
      </c>
      <c r="O59" s="15">
        <f t="shared" si="0"/>
        <v>26.5</v>
      </c>
      <c r="P59" s="15">
        <f t="shared" si="1"/>
        <v>75.5</v>
      </c>
      <c r="R59" s="8"/>
      <c r="T59"/>
    </row>
    <row r="60" spans="2:20" ht="23.1" customHeight="1" x14ac:dyDescent="0.25">
      <c r="B60" s="23" t="s">
        <v>101</v>
      </c>
      <c r="C60" s="49">
        <f>AVERAGE('26.07 Sentema-Sentema RBT-24h'!C60,'27.07 Sentema-SentemaRBT-24h'!C60)</f>
        <v>11</v>
      </c>
      <c r="D60" s="49">
        <f>AVERAGE('26.07 Sentema-Sentema RBT-24h'!D60,'27.07 Sentema-SentemaRBT-24h'!D60)</f>
        <v>3</v>
      </c>
      <c r="E60" s="49">
        <f>AVERAGE('26.07 Sentema-Sentema RBT-24h'!E60,'27.07 Sentema-SentemaRBT-24h'!E60)</f>
        <v>1</v>
      </c>
      <c r="F60" s="49">
        <f>AVERAGE('26.07 Sentema-Sentema RBT-24h'!F60,'27.07 Sentema-SentemaRBT-24h'!F60)</f>
        <v>9.5</v>
      </c>
      <c r="G60" s="49">
        <f>AVERAGE('26.07 Sentema-Sentema RBT-24h'!G60,'27.07 Sentema-SentemaRBT-24h'!G60)</f>
        <v>0</v>
      </c>
      <c r="H60" s="49">
        <f>AVERAGE('26.07 Sentema-Sentema RBT-24h'!H60,'27.07 Sentema-SentemaRBT-24h'!H60)</f>
        <v>0</v>
      </c>
      <c r="I60" s="49">
        <f>AVERAGE('26.07 Sentema-Sentema RBT-24h'!I60,'27.07 Sentema-SentemaRBT-24h'!I60)</f>
        <v>0</v>
      </c>
      <c r="J60" s="49">
        <f>AVERAGE('26.07 Sentema-Sentema RBT-24h'!J60,'27.07 Sentema-SentemaRBT-24h'!J60)</f>
        <v>1</v>
      </c>
      <c r="K60" s="49">
        <f>AVERAGE('26.07 Sentema-Sentema RBT-24h'!K60,'27.07 Sentema-SentemaRBT-24h'!K60)</f>
        <v>0</v>
      </c>
      <c r="L60" s="49">
        <f>AVERAGE('26.07 Sentema-Sentema RBT-24h'!L60,'27.07 Sentema-SentemaRBT-24h'!L60)</f>
        <v>0</v>
      </c>
      <c r="M60" s="49">
        <f>AVERAGE('26.07 Sentema-Sentema RBT-24h'!M60,'27.07 Sentema-SentemaRBT-24h'!M60)</f>
        <v>25.5</v>
      </c>
      <c r="N60" s="49">
        <f>AVERAGE('26.07 Sentema-Sentema RBT-24h'!N60,'27.07 Sentema-SentemaRBT-24h'!N60)</f>
        <v>0</v>
      </c>
      <c r="O60" s="15">
        <f t="shared" si="0"/>
        <v>25.5</v>
      </c>
      <c r="P60" s="15">
        <f t="shared" si="1"/>
        <v>51</v>
      </c>
      <c r="R60" s="8"/>
      <c r="T60"/>
    </row>
    <row r="61" spans="2:20" ht="23.1" customHeight="1" x14ac:dyDescent="0.25">
      <c r="B61" s="23" t="s">
        <v>102</v>
      </c>
      <c r="C61" s="49">
        <f>AVERAGE('26.07 Sentema-Sentema RBT-24h'!C61,'27.07 Sentema-SentemaRBT-24h'!C61)</f>
        <v>19.5</v>
      </c>
      <c r="D61" s="49">
        <f>AVERAGE('26.07 Sentema-Sentema RBT-24h'!D61,'27.07 Sentema-SentemaRBT-24h'!D61)</f>
        <v>0.5</v>
      </c>
      <c r="E61" s="49">
        <f>AVERAGE('26.07 Sentema-Sentema RBT-24h'!E61,'27.07 Sentema-SentemaRBT-24h'!E61)</f>
        <v>1</v>
      </c>
      <c r="F61" s="49">
        <f>AVERAGE('26.07 Sentema-Sentema RBT-24h'!F61,'27.07 Sentema-SentemaRBT-24h'!F61)</f>
        <v>11</v>
      </c>
      <c r="G61" s="49">
        <f>AVERAGE('26.07 Sentema-Sentema RBT-24h'!G61,'27.07 Sentema-SentemaRBT-24h'!G61)</f>
        <v>0.5</v>
      </c>
      <c r="H61" s="49">
        <f>AVERAGE('26.07 Sentema-Sentema RBT-24h'!H61,'27.07 Sentema-SentemaRBT-24h'!H61)</f>
        <v>0.5</v>
      </c>
      <c r="I61" s="49">
        <f>AVERAGE('26.07 Sentema-Sentema RBT-24h'!I61,'27.07 Sentema-SentemaRBT-24h'!I61)</f>
        <v>2</v>
      </c>
      <c r="J61" s="49">
        <f>AVERAGE('26.07 Sentema-Sentema RBT-24h'!J61,'27.07 Sentema-SentemaRBT-24h'!J61)</f>
        <v>0.5</v>
      </c>
      <c r="K61" s="49">
        <f>AVERAGE('26.07 Sentema-Sentema RBT-24h'!K61,'27.07 Sentema-SentemaRBT-24h'!K61)</f>
        <v>0</v>
      </c>
      <c r="L61" s="49">
        <f>AVERAGE('26.07 Sentema-Sentema RBT-24h'!L61,'27.07 Sentema-SentemaRBT-24h'!L61)</f>
        <v>0</v>
      </c>
      <c r="M61" s="49">
        <f>AVERAGE('26.07 Sentema-Sentema RBT-24h'!M61,'27.07 Sentema-SentemaRBT-24h'!M61)</f>
        <v>31.5</v>
      </c>
      <c r="N61" s="49">
        <f>AVERAGE('26.07 Sentema-Sentema RBT-24h'!N61,'27.07 Sentema-SentemaRBT-24h'!N61)</f>
        <v>0</v>
      </c>
      <c r="O61" s="15">
        <f t="shared" si="0"/>
        <v>35.5</v>
      </c>
      <c r="P61" s="15">
        <f t="shared" si="1"/>
        <v>67</v>
      </c>
      <c r="R61" s="8"/>
      <c r="T61"/>
    </row>
    <row r="62" spans="2:20" ht="23.1" customHeight="1" x14ac:dyDescent="0.25">
      <c r="B62" s="23" t="s">
        <v>107</v>
      </c>
      <c r="C62" s="49">
        <f>AVERAGE('26.07 Sentema-Sentema RBT-24h'!C62,'27.07 Sentema-SentemaRBT-24h'!C62)</f>
        <v>16</v>
      </c>
      <c r="D62" s="49">
        <f>AVERAGE('26.07 Sentema-Sentema RBT-24h'!D62,'27.07 Sentema-SentemaRBT-24h'!D62)</f>
        <v>0</v>
      </c>
      <c r="E62" s="49">
        <f>AVERAGE('26.07 Sentema-Sentema RBT-24h'!E62,'27.07 Sentema-SentemaRBT-24h'!E62)</f>
        <v>1.5</v>
      </c>
      <c r="F62" s="49">
        <f>AVERAGE('26.07 Sentema-Sentema RBT-24h'!F62,'27.07 Sentema-SentemaRBT-24h'!F62)</f>
        <v>11.5</v>
      </c>
      <c r="G62" s="49">
        <f>AVERAGE('26.07 Sentema-Sentema RBT-24h'!G62,'27.07 Sentema-SentemaRBT-24h'!G62)</f>
        <v>0.5</v>
      </c>
      <c r="H62" s="49">
        <f>AVERAGE('26.07 Sentema-Sentema RBT-24h'!H62,'27.07 Sentema-SentemaRBT-24h'!H62)</f>
        <v>1</v>
      </c>
      <c r="I62" s="49">
        <f>AVERAGE('26.07 Sentema-Sentema RBT-24h'!I62,'27.07 Sentema-SentemaRBT-24h'!I62)</f>
        <v>1</v>
      </c>
      <c r="J62" s="49">
        <f>AVERAGE('26.07 Sentema-Sentema RBT-24h'!J62,'27.07 Sentema-SentemaRBT-24h'!J62)</f>
        <v>0</v>
      </c>
      <c r="K62" s="49">
        <f>AVERAGE('26.07 Sentema-Sentema RBT-24h'!K62,'27.07 Sentema-SentemaRBT-24h'!K62)</f>
        <v>0</v>
      </c>
      <c r="L62" s="49">
        <f>AVERAGE('26.07 Sentema-Sentema RBT-24h'!L62,'27.07 Sentema-SentemaRBT-24h'!L62)</f>
        <v>0</v>
      </c>
      <c r="M62" s="49">
        <f>AVERAGE('26.07 Sentema-Sentema RBT-24h'!M62,'27.07 Sentema-SentemaRBT-24h'!M62)</f>
        <v>36</v>
      </c>
      <c r="N62" s="49">
        <f>AVERAGE('26.07 Sentema-Sentema RBT-24h'!N62,'27.07 Sentema-SentemaRBT-24h'!N62)</f>
        <v>0</v>
      </c>
      <c r="O62" s="15">
        <f t="shared" si="0"/>
        <v>31.5</v>
      </c>
      <c r="P62" s="15">
        <f t="shared" si="1"/>
        <v>67.5</v>
      </c>
      <c r="R62" s="8"/>
      <c r="T62"/>
    </row>
    <row r="63" spans="2:20" ht="23.1" customHeight="1" x14ac:dyDescent="0.25">
      <c r="B63" s="23" t="s">
        <v>108</v>
      </c>
      <c r="C63" s="49">
        <f>AVERAGE('26.07 Sentema-Sentema RBT-24h'!C63,'27.07 Sentema-SentemaRBT-24h'!C63)</f>
        <v>13.5</v>
      </c>
      <c r="D63" s="49">
        <f>AVERAGE('26.07 Sentema-Sentema RBT-24h'!D63,'27.07 Sentema-SentemaRBT-24h'!D63)</f>
        <v>2.5</v>
      </c>
      <c r="E63" s="49">
        <f>AVERAGE('26.07 Sentema-Sentema RBT-24h'!E63,'27.07 Sentema-SentemaRBT-24h'!E63)</f>
        <v>1</v>
      </c>
      <c r="F63" s="49">
        <f>AVERAGE('26.07 Sentema-Sentema RBT-24h'!F63,'27.07 Sentema-SentemaRBT-24h'!F63)</f>
        <v>15</v>
      </c>
      <c r="G63" s="49">
        <f>AVERAGE('26.07 Sentema-Sentema RBT-24h'!G63,'27.07 Sentema-SentemaRBT-24h'!G63)</f>
        <v>0</v>
      </c>
      <c r="H63" s="49">
        <f>AVERAGE('26.07 Sentema-Sentema RBT-24h'!H63,'27.07 Sentema-SentemaRBT-24h'!H63)</f>
        <v>0</v>
      </c>
      <c r="I63" s="49">
        <f>AVERAGE('26.07 Sentema-Sentema RBT-24h'!I63,'27.07 Sentema-SentemaRBT-24h'!I63)</f>
        <v>2</v>
      </c>
      <c r="J63" s="49">
        <f>AVERAGE('26.07 Sentema-Sentema RBT-24h'!J63,'27.07 Sentema-SentemaRBT-24h'!J63)</f>
        <v>1</v>
      </c>
      <c r="K63" s="49">
        <f>AVERAGE('26.07 Sentema-Sentema RBT-24h'!K63,'27.07 Sentema-SentemaRBT-24h'!K63)</f>
        <v>0</v>
      </c>
      <c r="L63" s="49">
        <f>AVERAGE('26.07 Sentema-Sentema RBT-24h'!L63,'27.07 Sentema-SentemaRBT-24h'!L63)</f>
        <v>0</v>
      </c>
      <c r="M63" s="49">
        <f>AVERAGE('26.07 Sentema-Sentema RBT-24h'!M63,'27.07 Sentema-SentemaRBT-24h'!M63)</f>
        <v>35</v>
      </c>
      <c r="N63" s="49">
        <f>AVERAGE('26.07 Sentema-Sentema RBT-24h'!N63,'27.07 Sentema-SentemaRBT-24h'!N63)</f>
        <v>0</v>
      </c>
      <c r="O63" s="15">
        <f t="shared" si="0"/>
        <v>35</v>
      </c>
      <c r="P63" s="15">
        <f t="shared" si="1"/>
        <v>70</v>
      </c>
      <c r="R63" s="8"/>
      <c r="T63"/>
    </row>
    <row r="64" spans="2:20" ht="23.1" customHeight="1" x14ac:dyDescent="0.25">
      <c r="B64" s="23" t="s">
        <v>109</v>
      </c>
      <c r="C64" s="49">
        <f>AVERAGE('26.07 Sentema-Sentema RBT-24h'!C64,'27.07 Sentema-SentemaRBT-24h'!C64)</f>
        <v>9</v>
      </c>
      <c r="D64" s="49">
        <f>AVERAGE('26.07 Sentema-Sentema RBT-24h'!D64,'27.07 Sentema-SentemaRBT-24h'!D64)</f>
        <v>0.5</v>
      </c>
      <c r="E64" s="49">
        <f>AVERAGE('26.07 Sentema-Sentema RBT-24h'!E64,'27.07 Sentema-SentemaRBT-24h'!E64)</f>
        <v>2</v>
      </c>
      <c r="F64" s="49">
        <f>AVERAGE('26.07 Sentema-Sentema RBT-24h'!F64,'27.07 Sentema-SentemaRBT-24h'!F64)</f>
        <v>13</v>
      </c>
      <c r="G64" s="49">
        <f>AVERAGE('26.07 Sentema-Sentema RBT-24h'!G64,'27.07 Sentema-SentemaRBT-24h'!G64)</f>
        <v>0</v>
      </c>
      <c r="H64" s="49">
        <f>AVERAGE('26.07 Sentema-Sentema RBT-24h'!H64,'27.07 Sentema-SentemaRBT-24h'!H64)</f>
        <v>0</v>
      </c>
      <c r="I64" s="49">
        <f>AVERAGE('26.07 Sentema-Sentema RBT-24h'!I64,'27.07 Sentema-SentemaRBT-24h'!I64)</f>
        <v>0</v>
      </c>
      <c r="J64" s="49">
        <f>AVERAGE('26.07 Sentema-Sentema RBT-24h'!J64,'27.07 Sentema-SentemaRBT-24h'!J64)</f>
        <v>0</v>
      </c>
      <c r="K64" s="49">
        <f>AVERAGE('26.07 Sentema-Sentema RBT-24h'!K64,'27.07 Sentema-SentemaRBT-24h'!K64)</f>
        <v>0</v>
      </c>
      <c r="L64" s="49">
        <f>AVERAGE('26.07 Sentema-Sentema RBT-24h'!L64,'27.07 Sentema-SentemaRBT-24h'!L64)</f>
        <v>0</v>
      </c>
      <c r="M64" s="49">
        <f>AVERAGE('26.07 Sentema-Sentema RBT-24h'!M64,'27.07 Sentema-SentemaRBT-24h'!M64)</f>
        <v>20</v>
      </c>
      <c r="N64" s="49">
        <f>AVERAGE('26.07 Sentema-Sentema RBT-24h'!N64,'27.07 Sentema-SentemaRBT-24h'!N64)</f>
        <v>0</v>
      </c>
      <c r="O64" s="15">
        <f t="shared" si="0"/>
        <v>24.5</v>
      </c>
      <c r="P64" s="15">
        <f t="shared" si="1"/>
        <v>44.5</v>
      </c>
      <c r="R64" s="8"/>
      <c r="T64"/>
    </row>
    <row r="65" spans="2:20" ht="23.1" customHeight="1" x14ac:dyDescent="0.25">
      <c r="B65" s="23" t="s">
        <v>158</v>
      </c>
      <c r="C65" s="49">
        <f>AVERAGE('26.07 Sentema-Sentema RBT-24h'!C65,'27.07 Sentema-SentemaRBT-24h'!C65)</f>
        <v>12</v>
      </c>
      <c r="D65" s="49">
        <f>AVERAGE('26.07 Sentema-Sentema RBT-24h'!D65,'27.07 Sentema-SentemaRBT-24h'!D65)</f>
        <v>2.5</v>
      </c>
      <c r="E65" s="49">
        <f>AVERAGE('26.07 Sentema-Sentema RBT-24h'!E65,'27.07 Sentema-SentemaRBT-24h'!E65)</f>
        <v>1.5</v>
      </c>
      <c r="F65" s="49">
        <f>AVERAGE('26.07 Sentema-Sentema RBT-24h'!F65,'27.07 Sentema-SentemaRBT-24h'!F65)</f>
        <v>15.5</v>
      </c>
      <c r="G65" s="49">
        <f>AVERAGE('26.07 Sentema-Sentema RBT-24h'!G65,'27.07 Sentema-SentemaRBT-24h'!G65)</f>
        <v>0</v>
      </c>
      <c r="H65" s="49">
        <f>AVERAGE('26.07 Sentema-Sentema RBT-24h'!H65,'27.07 Sentema-SentemaRBT-24h'!H65)</f>
        <v>0</v>
      </c>
      <c r="I65" s="49">
        <f>AVERAGE('26.07 Sentema-Sentema RBT-24h'!I65,'27.07 Sentema-SentemaRBT-24h'!I65)</f>
        <v>3</v>
      </c>
      <c r="J65" s="49">
        <f>AVERAGE('26.07 Sentema-Sentema RBT-24h'!J65,'27.07 Sentema-SentemaRBT-24h'!J65)</f>
        <v>1.5</v>
      </c>
      <c r="K65" s="49">
        <f>AVERAGE('26.07 Sentema-Sentema RBT-24h'!K65,'27.07 Sentema-SentemaRBT-24h'!K65)</f>
        <v>0</v>
      </c>
      <c r="L65" s="49">
        <f>AVERAGE('26.07 Sentema-Sentema RBT-24h'!L65,'27.07 Sentema-SentemaRBT-24h'!L65)</f>
        <v>0</v>
      </c>
      <c r="M65" s="49">
        <f>AVERAGE('26.07 Sentema-Sentema RBT-24h'!M65,'27.07 Sentema-SentemaRBT-24h'!M65)</f>
        <v>24</v>
      </c>
      <c r="N65" s="49">
        <f>AVERAGE('26.07 Sentema-Sentema RBT-24h'!N65,'27.07 Sentema-SentemaRBT-24h'!N65)</f>
        <v>0</v>
      </c>
      <c r="O65" s="15">
        <f t="shared" si="0"/>
        <v>36</v>
      </c>
      <c r="P65" s="15">
        <f t="shared" si="1"/>
        <v>60</v>
      </c>
      <c r="R65" s="8"/>
      <c r="T65"/>
    </row>
    <row r="66" spans="2:20" ht="23.1" customHeight="1" x14ac:dyDescent="0.25">
      <c r="B66" s="23" t="s">
        <v>103</v>
      </c>
      <c r="C66" s="49">
        <f>AVERAGE('26.07 Sentema-Sentema RBT-24h'!C66,'27.07 Sentema-SentemaRBT-24h'!C66)</f>
        <v>4.5</v>
      </c>
      <c r="D66" s="49">
        <f>AVERAGE('26.07 Sentema-Sentema RBT-24h'!D66,'27.07 Sentema-SentemaRBT-24h'!D66)</f>
        <v>0</v>
      </c>
      <c r="E66" s="49">
        <f>AVERAGE('26.07 Sentema-Sentema RBT-24h'!E66,'27.07 Sentema-SentemaRBT-24h'!E66)</f>
        <v>2</v>
      </c>
      <c r="F66" s="49">
        <f>AVERAGE('26.07 Sentema-Sentema RBT-24h'!F66,'27.07 Sentema-SentemaRBT-24h'!F66)</f>
        <v>2</v>
      </c>
      <c r="G66" s="49">
        <f>AVERAGE('26.07 Sentema-Sentema RBT-24h'!G66,'27.07 Sentema-SentemaRBT-24h'!G66)</f>
        <v>0</v>
      </c>
      <c r="H66" s="49">
        <f>AVERAGE('26.07 Sentema-Sentema RBT-24h'!H66,'27.07 Sentema-SentemaRBT-24h'!H66)</f>
        <v>0</v>
      </c>
      <c r="I66" s="49">
        <f>AVERAGE('26.07 Sentema-Sentema RBT-24h'!I66,'27.07 Sentema-SentemaRBT-24h'!I66)</f>
        <v>0</v>
      </c>
      <c r="J66" s="49">
        <f>AVERAGE('26.07 Sentema-Sentema RBT-24h'!J66,'27.07 Sentema-SentemaRBT-24h'!J66)</f>
        <v>0</v>
      </c>
      <c r="K66" s="49">
        <f>AVERAGE('26.07 Sentema-Sentema RBT-24h'!K66,'27.07 Sentema-SentemaRBT-24h'!K66)</f>
        <v>0.5</v>
      </c>
      <c r="L66" s="49">
        <f>AVERAGE('26.07 Sentema-Sentema RBT-24h'!L66,'27.07 Sentema-SentemaRBT-24h'!L66)</f>
        <v>0</v>
      </c>
      <c r="M66" s="49">
        <f>AVERAGE('26.07 Sentema-Sentema RBT-24h'!M66,'27.07 Sentema-SentemaRBT-24h'!M66)</f>
        <v>7.5</v>
      </c>
      <c r="N66" s="49">
        <f>AVERAGE('26.07 Sentema-Sentema RBT-24h'!N66,'27.07 Sentema-SentemaRBT-24h'!N66)</f>
        <v>0</v>
      </c>
      <c r="O66" s="15">
        <f t="shared" si="0"/>
        <v>9</v>
      </c>
      <c r="P66" s="15">
        <f t="shared" si="1"/>
        <v>16.5</v>
      </c>
      <c r="R66" s="8"/>
      <c r="T66"/>
    </row>
    <row r="67" spans="2:20" ht="23.1" customHeight="1" x14ac:dyDescent="0.25">
      <c r="B67" s="23" t="s">
        <v>104</v>
      </c>
      <c r="C67" s="49">
        <f>AVERAGE('26.07 Sentema-Sentema RBT-24h'!C67,'27.07 Sentema-SentemaRBT-24h'!C67)</f>
        <v>2.5</v>
      </c>
      <c r="D67" s="49">
        <f>AVERAGE('26.07 Sentema-Sentema RBT-24h'!D67,'27.07 Sentema-SentemaRBT-24h'!D67)</f>
        <v>1</v>
      </c>
      <c r="E67" s="49">
        <f>AVERAGE('26.07 Sentema-Sentema RBT-24h'!E67,'27.07 Sentema-SentemaRBT-24h'!E67)</f>
        <v>0.5</v>
      </c>
      <c r="F67" s="49">
        <f>AVERAGE('26.07 Sentema-Sentema RBT-24h'!F67,'27.07 Sentema-SentemaRBT-24h'!F67)</f>
        <v>2</v>
      </c>
      <c r="G67" s="49">
        <f>AVERAGE('26.07 Sentema-Sentema RBT-24h'!G67,'27.07 Sentema-SentemaRBT-24h'!G67)</f>
        <v>0</v>
      </c>
      <c r="H67" s="49">
        <f>AVERAGE('26.07 Sentema-Sentema RBT-24h'!H67,'27.07 Sentema-SentemaRBT-24h'!H67)</f>
        <v>0</v>
      </c>
      <c r="I67" s="49">
        <f>AVERAGE('26.07 Sentema-Sentema RBT-24h'!I67,'27.07 Sentema-SentemaRBT-24h'!I67)</f>
        <v>1</v>
      </c>
      <c r="J67" s="49">
        <f>AVERAGE('26.07 Sentema-Sentema RBT-24h'!J67,'27.07 Sentema-SentemaRBT-24h'!J67)</f>
        <v>0</v>
      </c>
      <c r="K67" s="49">
        <f>AVERAGE('26.07 Sentema-Sentema RBT-24h'!K67,'27.07 Sentema-SentemaRBT-24h'!K67)</f>
        <v>0</v>
      </c>
      <c r="L67" s="49">
        <f>AVERAGE('26.07 Sentema-Sentema RBT-24h'!L67,'27.07 Sentema-SentemaRBT-24h'!L67)</f>
        <v>0</v>
      </c>
      <c r="M67" s="49">
        <f>AVERAGE('26.07 Sentema-Sentema RBT-24h'!M67,'27.07 Sentema-SentemaRBT-24h'!M67)</f>
        <v>10</v>
      </c>
      <c r="N67" s="49">
        <f>AVERAGE('26.07 Sentema-Sentema RBT-24h'!N67,'27.07 Sentema-SentemaRBT-24h'!N67)</f>
        <v>0</v>
      </c>
      <c r="O67" s="15">
        <f t="shared" si="0"/>
        <v>7</v>
      </c>
      <c r="P67" s="15">
        <f t="shared" si="1"/>
        <v>17</v>
      </c>
      <c r="R67" s="8"/>
      <c r="T67"/>
    </row>
    <row r="68" spans="2:20" ht="23.1" customHeight="1" x14ac:dyDescent="0.25">
      <c r="B68" s="23" t="s">
        <v>105</v>
      </c>
      <c r="C68" s="49">
        <f>AVERAGE('26.07 Sentema-Sentema RBT-24h'!C68,'27.07 Sentema-SentemaRBT-24h'!C68)</f>
        <v>3</v>
      </c>
      <c r="D68" s="49">
        <f>AVERAGE('26.07 Sentema-Sentema RBT-24h'!D68,'27.07 Sentema-SentemaRBT-24h'!D68)</f>
        <v>0</v>
      </c>
      <c r="E68" s="49">
        <f>AVERAGE('26.07 Sentema-Sentema RBT-24h'!E68,'27.07 Sentema-SentemaRBT-24h'!E68)</f>
        <v>0</v>
      </c>
      <c r="F68" s="49">
        <f>AVERAGE('26.07 Sentema-Sentema RBT-24h'!F68,'27.07 Sentema-SentemaRBT-24h'!F68)</f>
        <v>1</v>
      </c>
      <c r="G68" s="49">
        <f>AVERAGE('26.07 Sentema-Sentema RBT-24h'!G68,'27.07 Sentema-SentemaRBT-24h'!G68)</f>
        <v>0</v>
      </c>
      <c r="H68" s="49">
        <f>AVERAGE('26.07 Sentema-Sentema RBT-24h'!H68,'27.07 Sentema-SentemaRBT-24h'!H68)</f>
        <v>0</v>
      </c>
      <c r="I68" s="49">
        <f>AVERAGE('26.07 Sentema-Sentema RBT-24h'!I68,'27.07 Sentema-SentemaRBT-24h'!I68)</f>
        <v>0</v>
      </c>
      <c r="J68" s="49">
        <f>AVERAGE('26.07 Sentema-Sentema RBT-24h'!J68,'27.07 Sentema-SentemaRBT-24h'!J68)</f>
        <v>0</v>
      </c>
      <c r="K68" s="49">
        <f>AVERAGE('26.07 Sentema-Sentema RBT-24h'!K68,'27.07 Sentema-SentemaRBT-24h'!K68)</f>
        <v>0</v>
      </c>
      <c r="L68" s="49">
        <f>AVERAGE('26.07 Sentema-Sentema RBT-24h'!L68,'27.07 Sentema-SentemaRBT-24h'!L68)</f>
        <v>0</v>
      </c>
      <c r="M68" s="49">
        <f>AVERAGE('26.07 Sentema-Sentema RBT-24h'!M68,'27.07 Sentema-SentemaRBT-24h'!M68)</f>
        <v>8</v>
      </c>
      <c r="N68" s="49">
        <f>AVERAGE('26.07 Sentema-Sentema RBT-24h'!N68,'27.07 Sentema-SentemaRBT-24h'!N68)</f>
        <v>0</v>
      </c>
      <c r="O68" s="15">
        <f t="shared" si="0"/>
        <v>4</v>
      </c>
      <c r="P68" s="15">
        <f t="shared" si="1"/>
        <v>12</v>
      </c>
      <c r="R68" s="8"/>
      <c r="T68"/>
    </row>
    <row r="69" spans="2:20" ht="23.1" customHeight="1" x14ac:dyDescent="0.25">
      <c r="B69" s="23" t="s">
        <v>106</v>
      </c>
      <c r="C69" s="49">
        <f>AVERAGE('26.07 Sentema-Sentema RBT-24h'!C69,'27.07 Sentema-SentemaRBT-24h'!C69)</f>
        <v>2.5</v>
      </c>
      <c r="D69" s="49">
        <f>AVERAGE('26.07 Sentema-Sentema RBT-24h'!D69,'27.07 Sentema-SentemaRBT-24h'!D69)</f>
        <v>0.5</v>
      </c>
      <c r="E69" s="49">
        <f>AVERAGE('26.07 Sentema-Sentema RBT-24h'!E69,'27.07 Sentema-SentemaRBT-24h'!E69)</f>
        <v>0</v>
      </c>
      <c r="F69" s="49">
        <f>AVERAGE('26.07 Sentema-Sentema RBT-24h'!F69,'27.07 Sentema-SentemaRBT-24h'!F69)</f>
        <v>2.5</v>
      </c>
      <c r="G69" s="49">
        <f>AVERAGE('26.07 Sentema-Sentema RBT-24h'!G69,'27.07 Sentema-SentemaRBT-24h'!G69)</f>
        <v>0</v>
      </c>
      <c r="H69" s="49">
        <f>AVERAGE('26.07 Sentema-Sentema RBT-24h'!H69,'27.07 Sentema-SentemaRBT-24h'!H69)</f>
        <v>0</v>
      </c>
      <c r="I69" s="49">
        <f>AVERAGE('26.07 Sentema-Sentema RBT-24h'!I69,'27.07 Sentema-SentemaRBT-24h'!I69)</f>
        <v>0</v>
      </c>
      <c r="J69" s="49">
        <f>AVERAGE('26.07 Sentema-Sentema RBT-24h'!J69,'27.07 Sentema-SentemaRBT-24h'!J69)</f>
        <v>0</v>
      </c>
      <c r="K69" s="49">
        <f>AVERAGE('26.07 Sentema-Sentema RBT-24h'!K69,'27.07 Sentema-SentemaRBT-24h'!K69)</f>
        <v>0</v>
      </c>
      <c r="L69" s="49">
        <f>AVERAGE('26.07 Sentema-Sentema RBT-24h'!L69,'27.07 Sentema-SentemaRBT-24h'!L69)</f>
        <v>0.5</v>
      </c>
      <c r="M69" s="49">
        <f>AVERAGE('26.07 Sentema-Sentema RBT-24h'!M69,'27.07 Sentema-SentemaRBT-24h'!M69)</f>
        <v>13</v>
      </c>
      <c r="N69" s="49">
        <f>AVERAGE('26.07 Sentema-Sentema RBT-24h'!N69,'27.07 Sentema-SentemaRBT-24h'!N69)</f>
        <v>0</v>
      </c>
      <c r="O69" s="15">
        <f t="shared" si="0"/>
        <v>6</v>
      </c>
      <c r="P69" s="15">
        <f t="shared" si="1"/>
        <v>19</v>
      </c>
      <c r="R69" s="8"/>
      <c r="T69"/>
    </row>
    <row r="70" spans="2:20" ht="23.1" customHeight="1" x14ac:dyDescent="0.25">
      <c r="B70" s="23" t="s">
        <v>110</v>
      </c>
      <c r="C70" s="49">
        <f>AVERAGE('26.07 Sentema-Sentema RBT-24h'!C70,'27.07 Sentema-SentemaRBT-24h'!C70)</f>
        <v>1.5</v>
      </c>
      <c r="D70" s="49">
        <f>AVERAGE('26.07 Sentema-Sentema RBT-24h'!D70,'27.07 Sentema-SentemaRBT-24h'!D70)</f>
        <v>0</v>
      </c>
      <c r="E70" s="49">
        <f>AVERAGE('26.07 Sentema-Sentema RBT-24h'!E70,'27.07 Sentema-SentemaRBT-24h'!E70)</f>
        <v>0</v>
      </c>
      <c r="F70" s="49">
        <f>AVERAGE('26.07 Sentema-Sentema RBT-24h'!F70,'27.07 Sentema-SentemaRBT-24h'!F70)</f>
        <v>2</v>
      </c>
      <c r="G70" s="49">
        <f>AVERAGE('26.07 Sentema-Sentema RBT-24h'!G70,'27.07 Sentema-SentemaRBT-24h'!G70)</f>
        <v>0</v>
      </c>
      <c r="H70" s="49">
        <f>AVERAGE('26.07 Sentema-Sentema RBT-24h'!H70,'27.07 Sentema-SentemaRBT-24h'!H70)</f>
        <v>0</v>
      </c>
      <c r="I70" s="49">
        <f>AVERAGE('26.07 Sentema-Sentema RBT-24h'!I70,'27.07 Sentema-SentemaRBT-24h'!I70)</f>
        <v>0</v>
      </c>
      <c r="J70" s="49">
        <f>AVERAGE('26.07 Sentema-Sentema RBT-24h'!J70,'27.07 Sentema-SentemaRBT-24h'!J70)</f>
        <v>0</v>
      </c>
      <c r="K70" s="49">
        <f>AVERAGE('26.07 Sentema-Sentema RBT-24h'!K70,'27.07 Sentema-SentemaRBT-24h'!K70)</f>
        <v>0</v>
      </c>
      <c r="L70" s="49">
        <f>AVERAGE('26.07 Sentema-Sentema RBT-24h'!L70,'27.07 Sentema-SentemaRBT-24h'!L70)</f>
        <v>0</v>
      </c>
      <c r="M70" s="49">
        <f>AVERAGE('26.07 Sentema-Sentema RBT-24h'!M70,'27.07 Sentema-SentemaRBT-24h'!M70)</f>
        <v>8.5</v>
      </c>
      <c r="N70" s="49">
        <f>AVERAGE('26.07 Sentema-Sentema RBT-24h'!N70,'27.07 Sentema-SentemaRBT-24h'!N70)</f>
        <v>0</v>
      </c>
      <c r="O70" s="15">
        <f t="shared" si="0"/>
        <v>3.5</v>
      </c>
      <c r="P70" s="15">
        <f t="shared" si="1"/>
        <v>12</v>
      </c>
      <c r="R70" s="8"/>
      <c r="T70"/>
    </row>
    <row r="71" spans="2:20" ht="23.1" customHeight="1" x14ac:dyDescent="0.25">
      <c r="B71" s="23" t="s">
        <v>111</v>
      </c>
      <c r="C71" s="49">
        <f>AVERAGE('26.07 Sentema-Sentema RBT-24h'!C71,'27.07 Sentema-SentemaRBT-24h'!C71)</f>
        <v>3.5</v>
      </c>
      <c r="D71" s="49">
        <f>AVERAGE('26.07 Sentema-Sentema RBT-24h'!D71,'27.07 Sentema-SentemaRBT-24h'!D71)</f>
        <v>0</v>
      </c>
      <c r="E71" s="49">
        <f>AVERAGE('26.07 Sentema-Sentema RBT-24h'!E71,'27.07 Sentema-SentemaRBT-24h'!E71)</f>
        <v>0</v>
      </c>
      <c r="F71" s="49">
        <f>AVERAGE('26.07 Sentema-Sentema RBT-24h'!F71,'27.07 Sentema-SentemaRBT-24h'!F71)</f>
        <v>1.5</v>
      </c>
      <c r="G71" s="49">
        <f>AVERAGE('26.07 Sentema-Sentema RBT-24h'!G71,'27.07 Sentema-SentemaRBT-24h'!G71)</f>
        <v>0</v>
      </c>
      <c r="H71" s="49">
        <f>AVERAGE('26.07 Sentema-Sentema RBT-24h'!H71,'27.07 Sentema-SentemaRBT-24h'!H71)</f>
        <v>0</v>
      </c>
      <c r="I71" s="49">
        <f>AVERAGE('26.07 Sentema-Sentema RBT-24h'!I71,'27.07 Sentema-SentemaRBT-24h'!I71)</f>
        <v>0</v>
      </c>
      <c r="J71" s="49">
        <f>AVERAGE('26.07 Sentema-Sentema RBT-24h'!J71,'27.07 Sentema-SentemaRBT-24h'!J71)</f>
        <v>0</v>
      </c>
      <c r="K71" s="49">
        <f>AVERAGE('26.07 Sentema-Sentema RBT-24h'!K71,'27.07 Sentema-SentemaRBT-24h'!K71)</f>
        <v>0</v>
      </c>
      <c r="L71" s="49">
        <f>AVERAGE('26.07 Sentema-Sentema RBT-24h'!L71,'27.07 Sentema-SentemaRBT-24h'!L71)</f>
        <v>0</v>
      </c>
      <c r="M71" s="49">
        <f>AVERAGE('26.07 Sentema-Sentema RBT-24h'!M71,'27.07 Sentema-SentemaRBT-24h'!M71)</f>
        <v>10</v>
      </c>
      <c r="N71" s="49">
        <f>AVERAGE('26.07 Sentema-Sentema RBT-24h'!N71,'27.07 Sentema-SentemaRBT-24h'!N71)</f>
        <v>0</v>
      </c>
      <c r="O71" s="15">
        <f t="shared" si="0"/>
        <v>5</v>
      </c>
      <c r="P71" s="15">
        <f t="shared" si="1"/>
        <v>15</v>
      </c>
      <c r="R71" s="8"/>
      <c r="T71"/>
    </row>
    <row r="72" spans="2:20" ht="23.1" customHeight="1" x14ac:dyDescent="0.25">
      <c r="B72" s="23" t="s">
        <v>112</v>
      </c>
      <c r="C72" s="49">
        <f>AVERAGE('26.07 Sentema-Sentema RBT-24h'!C72,'27.07 Sentema-SentemaRBT-24h'!C72)</f>
        <v>4.5</v>
      </c>
      <c r="D72" s="49">
        <f>AVERAGE('26.07 Sentema-Sentema RBT-24h'!D72,'27.07 Sentema-SentemaRBT-24h'!D72)</f>
        <v>0</v>
      </c>
      <c r="E72" s="49">
        <f>AVERAGE('26.07 Sentema-Sentema RBT-24h'!E72,'27.07 Sentema-SentemaRBT-24h'!E72)</f>
        <v>0.5</v>
      </c>
      <c r="F72" s="49">
        <f>AVERAGE('26.07 Sentema-Sentema RBT-24h'!F72,'27.07 Sentema-SentemaRBT-24h'!F72)</f>
        <v>1</v>
      </c>
      <c r="G72" s="49">
        <f>AVERAGE('26.07 Sentema-Sentema RBT-24h'!G72,'27.07 Sentema-SentemaRBT-24h'!G72)</f>
        <v>0</v>
      </c>
      <c r="H72" s="49">
        <f>AVERAGE('26.07 Sentema-Sentema RBT-24h'!H72,'27.07 Sentema-SentemaRBT-24h'!H72)</f>
        <v>0</v>
      </c>
      <c r="I72" s="49">
        <f>AVERAGE('26.07 Sentema-Sentema RBT-24h'!I72,'27.07 Sentema-SentemaRBT-24h'!I72)</f>
        <v>0.5</v>
      </c>
      <c r="J72" s="49">
        <f>AVERAGE('26.07 Sentema-Sentema RBT-24h'!J72,'27.07 Sentema-SentemaRBT-24h'!J72)</f>
        <v>0</v>
      </c>
      <c r="K72" s="49">
        <f>AVERAGE('26.07 Sentema-Sentema RBT-24h'!K72,'27.07 Sentema-SentemaRBT-24h'!K72)</f>
        <v>0</v>
      </c>
      <c r="L72" s="49">
        <f>AVERAGE('26.07 Sentema-Sentema RBT-24h'!L72,'27.07 Sentema-SentemaRBT-24h'!L72)</f>
        <v>0</v>
      </c>
      <c r="M72" s="49">
        <f>AVERAGE('26.07 Sentema-Sentema RBT-24h'!M72,'27.07 Sentema-SentemaRBT-24h'!M72)</f>
        <v>9</v>
      </c>
      <c r="N72" s="49">
        <f>AVERAGE('26.07 Sentema-Sentema RBT-24h'!N72,'27.07 Sentema-SentemaRBT-24h'!N72)</f>
        <v>0</v>
      </c>
      <c r="O72" s="15">
        <f t="shared" si="0"/>
        <v>6.5</v>
      </c>
      <c r="P72" s="15">
        <f t="shared" si="1"/>
        <v>15.5</v>
      </c>
      <c r="R72" s="8"/>
      <c r="T72"/>
    </row>
    <row r="73" spans="2:20" ht="23.1" customHeight="1" x14ac:dyDescent="0.25">
      <c r="B73" s="23" t="s">
        <v>113</v>
      </c>
      <c r="C73" s="49">
        <f>AVERAGE('26.07 Sentema-Sentema RBT-24h'!C73,'27.07 Sentema-SentemaRBT-24h'!C73)</f>
        <v>1.5</v>
      </c>
      <c r="D73" s="49">
        <f>AVERAGE('26.07 Sentema-Sentema RBT-24h'!D73,'27.07 Sentema-SentemaRBT-24h'!D73)</f>
        <v>0</v>
      </c>
      <c r="E73" s="49">
        <f>AVERAGE('26.07 Sentema-Sentema RBT-24h'!E73,'27.07 Sentema-SentemaRBT-24h'!E73)</f>
        <v>0</v>
      </c>
      <c r="F73" s="49">
        <f>AVERAGE('26.07 Sentema-Sentema RBT-24h'!F73,'27.07 Sentema-SentemaRBT-24h'!F73)</f>
        <v>0</v>
      </c>
      <c r="G73" s="49">
        <f>AVERAGE('26.07 Sentema-Sentema RBT-24h'!G73,'27.07 Sentema-SentemaRBT-24h'!G73)</f>
        <v>0</v>
      </c>
      <c r="H73" s="49">
        <f>AVERAGE('26.07 Sentema-Sentema RBT-24h'!H73,'27.07 Sentema-SentemaRBT-24h'!H73)</f>
        <v>0</v>
      </c>
      <c r="I73" s="49">
        <f>AVERAGE('26.07 Sentema-Sentema RBT-24h'!I73,'27.07 Sentema-SentemaRBT-24h'!I73)</f>
        <v>0</v>
      </c>
      <c r="J73" s="49">
        <f>AVERAGE('26.07 Sentema-Sentema RBT-24h'!J73,'27.07 Sentema-SentemaRBT-24h'!J73)</f>
        <v>0</v>
      </c>
      <c r="K73" s="49">
        <f>AVERAGE('26.07 Sentema-Sentema RBT-24h'!K73,'27.07 Sentema-SentemaRBT-24h'!K73)</f>
        <v>0</v>
      </c>
      <c r="L73" s="49">
        <f>AVERAGE('26.07 Sentema-Sentema RBT-24h'!L73,'27.07 Sentema-SentemaRBT-24h'!L73)</f>
        <v>0</v>
      </c>
      <c r="M73" s="49">
        <f>AVERAGE('26.07 Sentema-Sentema RBT-24h'!M73,'27.07 Sentema-SentemaRBT-24h'!M73)</f>
        <v>5</v>
      </c>
      <c r="N73" s="49">
        <f>AVERAGE('26.07 Sentema-Sentema RBT-24h'!N73,'27.07 Sentema-SentemaRBT-24h'!N73)</f>
        <v>0</v>
      </c>
      <c r="O73" s="15">
        <f t="shared" si="0"/>
        <v>1.5</v>
      </c>
      <c r="P73" s="15">
        <f t="shared" si="1"/>
        <v>6.5</v>
      </c>
      <c r="R73" s="8"/>
      <c r="T73"/>
    </row>
    <row r="74" spans="2:20" ht="23.1" customHeight="1" x14ac:dyDescent="0.25">
      <c r="B74" s="23" t="s">
        <v>114</v>
      </c>
      <c r="C74" s="49">
        <f>AVERAGE('26.07 Sentema-Sentema RBT-24h'!C74,'27.07 Sentema-SentemaRBT-24h'!C74)</f>
        <v>6.5</v>
      </c>
      <c r="D74" s="49">
        <f>AVERAGE('26.07 Sentema-Sentema RBT-24h'!D74,'27.07 Sentema-SentemaRBT-24h'!D74)</f>
        <v>0</v>
      </c>
      <c r="E74" s="49">
        <f>AVERAGE('26.07 Sentema-Sentema RBT-24h'!E74,'27.07 Sentema-SentemaRBT-24h'!E74)</f>
        <v>1</v>
      </c>
      <c r="F74" s="49">
        <f>AVERAGE('26.07 Sentema-Sentema RBT-24h'!F74,'27.07 Sentema-SentemaRBT-24h'!F74)</f>
        <v>3</v>
      </c>
      <c r="G74" s="49">
        <f>AVERAGE('26.07 Sentema-Sentema RBT-24h'!G74,'27.07 Sentema-SentemaRBT-24h'!G74)</f>
        <v>0</v>
      </c>
      <c r="H74" s="49">
        <f>AVERAGE('26.07 Sentema-Sentema RBT-24h'!H74,'27.07 Sentema-SentemaRBT-24h'!H74)</f>
        <v>0</v>
      </c>
      <c r="I74" s="49">
        <f>AVERAGE('26.07 Sentema-Sentema RBT-24h'!I74,'27.07 Sentema-SentemaRBT-24h'!I74)</f>
        <v>0</v>
      </c>
      <c r="J74" s="49">
        <f>AVERAGE('26.07 Sentema-Sentema RBT-24h'!J74,'27.07 Sentema-SentemaRBT-24h'!J74)</f>
        <v>0</v>
      </c>
      <c r="K74" s="49">
        <f>AVERAGE('26.07 Sentema-Sentema RBT-24h'!K74,'27.07 Sentema-SentemaRBT-24h'!K74)</f>
        <v>0</v>
      </c>
      <c r="L74" s="49">
        <f>AVERAGE('26.07 Sentema-Sentema RBT-24h'!L74,'27.07 Sentema-SentemaRBT-24h'!L74)</f>
        <v>0</v>
      </c>
      <c r="M74" s="49">
        <f>AVERAGE('26.07 Sentema-Sentema RBT-24h'!M74,'27.07 Sentema-SentemaRBT-24h'!M74)</f>
        <v>7.5</v>
      </c>
      <c r="N74" s="49">
        <f>AVERAGE('26.07 Sentema-Sentema RBT-24h'!N74,'27.07 Sentema-SentemaRBT-24h'!N74)</f>
        <v>0</v>
      </c>
      <c r="O74" s="15">
        <f t="shared" ref="O74:O105" si="35">SUM(C74:L74,N74)</f>
        <v>10.5</v>
      </c>
      <c r="P74" s="15">
        <f t="shared" ref="P74:P105" si="36">SUM(C74:N74)</f>
        <v>18</v>
      </c>
      <c r="R74" s="8"/>
      <c r="T74"/>
    </row>
    <row r="75" spans="2:20" ht="23.1" customHeight="1" x14ac:dyDescent="0.25">
      <c r="B75" s="23" t="s">
        <v>115</v>
      </c>
      <c r="C75" s="49">
        <f>AVERAGE('26.07 Sentema-Sentema RBT-24h'!C75,'27.07 Sentema-SentemaRBT-24h'!C75)</f>
        <v>6.5</v>
      </c>
      <c r="D75" s="49">
        <f>AVERAGE('26.07 Sentema-Sentema RBT-24h'!D75,'27.07 Sentema-SentemaRBT-24h'!D75)</f>
        <v>1</v>
      </c>
      <c r="E75" s="49">
        <f>AVERAGE('26.07 Sentema-Sentema RBT-24h'!E75,'27.07 Sentema-SentemaRBT-24h'!E75)</f>
        <v>0</v>
      </c>
      <c r="F75" s="49">
        <f>AVERAGE('26.07 Sentema-Sentema RBT-24h'!F75,'27.07 Sentema-SentemaRBT-24h'!F75)</f>
        <v>2</v>
      </c>
      <c r="G75" s="49">
        <f>AVERAGE('26.07 Sentema-Sentema RBT-24h'!G75,'27.07 Sentema-SentemaRBT-24h'!G75)</f>
        <v>0</v>
      </c>
      <c r="H75" s="49">
        <f>AVERAGE('26.07 Sentema-Sentema RBT-24h'!H75,'27.07 Sentema-SentemaRBT-24h'!H75)</f>
        <v>0</v>
      </c>
      <c r="I75" s="49">
        <f>AVERAGE('26.07 Sentema-Sentema RBT-24h'!I75,'27.07 Sentema-SentemaRBT-24h'!I75)</f>
        <v>0</v>
      </c>
      <c r="J75" s="49">
        <f>AVERAGE('26.07 Sentema-Sentema RBT-24h'!J75,'27.07 Sentema-SentemaRBT-24h'!J75)</f>
        <v>0</v>
      </c>
      <c r="K75" s="49">
        <f>AVERAGE('26.07 Sentema-Sentema RBT-24h'!K75,'27.07 Sentema-SentemaRBT-24h'!K75)</f>
        <v>0</v>
      </c>
      <c r="L75" s="49">
        <f>AVERAGE('26.07 Sentema-Sentema RBT-24h'!L75,'27.07 Sentema-SentemaRBT-24h'!L75)</f>
        <v>0</v>
      </c>
      <c r="M75" s="49">
        <f>AVERAGE('26.07 Sentema-Sentema RBT-24h'!M75,'27.07 Sentema-SentemaRBT-24h'!M75)</f>
        <v>19</v>
      </c>
      <c r="N75" s="49">
        <f>AVERAGE('26.07 Sentema-Sentema RBT-24h'!N75,'27.07 Sentema-SentemaRBT-24h'!N75)</f>
        <v>0</v>
      </c>
      <c r="O75" s="15">
        <f t="shared" si="35"/>
        <v>9.5</v>
      </c>
      <c r="P75" s="15">
        <f t="shared" si="36"/>
        <v>28.5</v>
      </c>
      <c r="R75" s="8"/>
      <c r="T75"/>
    </row>
    <row r="76" spans="2:20" ht="23.1" customHeight="1" x14ac:dyDescent="0.25">
      <c r="B76" s="23" t="s">
        <v>116</v>
      </c>
      <c r="C76" s="49">
        <f>AVERAGE('26.07 Sentema-Sentema RBT-24h'!C76,'27.07 Sentema-SentemaRBT-24h'!C76)</f>
        <v>2</v>
      </c>
      <c r="D76" s="49">
        <f>AVERAGE('26.07 Sentema-Sentema RBT-24h'!D76,'27.07 Sentema-SentemaRBT-24h'!D76)</f>
        <v>0</v>
      </c>
      <c r="E76" s="49">
        <f>AVERAGE('26.07 Sentema-Sentema RBT-24h'!E76,'27.07 Sentema-SentemaRBT-24h'!E76)</f>
        <v>1.5</v>
      </c>
      <c r="F76" s="49">
        <f>AVERAGE('26.07 Sentema-Sentema RBT-24h'!F76,'27.07 Sentema-SentemaRBT-24h'!F76)</f>
        <v>1</v>
      </c>
      <c r="G76" s="49">
        <f>AVERAGE('26.07 Sentema-Sentema RBT-24h'!G76,'27.07 Sentema-SentemaRBT-24h'!G76)</f>
        <v>0</v>
      </c>
      <c r="H76" s="49">
        <f>AVERAGE('26.07 Sentema-Sentema RBT-24h'!H76,'27.07 Sentema-SentemaRBT-24h'!H76)</f>
        <v>0</v>
      </c>
      <c r="I76" s="49">
        <f>AVERAGE('26.07 Sentema-Sentema RBT-24h'!I76,'27.07 Sentema-SentemaRBT-24h'!I76)</f>
        <v>0</v>
      </c>
      <c r="J76" s="49">
        <f>AVERAGE('26.07 Sentema-Sentema RBT-24h'!J76,'27.07 Sentema-SentemaRBT-24h'!J76)</f>
        <v>0</v>
      </c>
      <c r="K76" s="49">
        <f>AVERAGE('26.07 Sentema-Sentema RBT-24h'!K76,'27.07 Sentema-SentemaRBT-24h'!K76)</f>
        <v>0</v>
      </c>
      <c r="L76" s="49">
        <f>AVERAGE('26.07 Sentema-Sentema RBT-24h'!L76,'27.07 Sentema-SentemaRBT-24h'!L76)</f>
        <v>0</v>
      </c>
      <c r="M76" s="49">
        <f>AVERAGE('26.07 Sentema-Sentema RBT-24h'!M76,'27.07 Sentema-SentemaRBT-24h'!M76)</f>
        <v>6</v>
      </c>
      <c r="N76" s="49">
        <f>AVERAGE('26.07 Sentema-Sentema RBT-24h'!N76,'27.07 Sentema-SentemaRBT-24h'!N76)</f>
        <v>0</v>
      </c>
      <c r="O76" s="15">
        <f t="shared" si="35"/>
        <v>4.5</v>
      </c>
      <c r="P76" s="15">
        <f t="shared" si="36"/>
        <v>10.5</v>
      </c>
      <c r="R76" s="8"/>
      <c r="T76"/>
    </row>
    <row r="77" spans="2:20" ht="23.1" customHeight="1" x14ac:dyDescent="0.25">
      <c r="B77" s="23" t="s">
        <v>117</v>
      </c>
      <c r="C77" s="49">
        <f>AVERAGE('26.07 Sentema-Sentema RBT-24h'!C77,'27.07 Sentema-SentemaRBT-24h'!C77)</f>
        <v>4</v>
      </c>
      <c r="D77" s="49">
        <f>AVERAGE('26.07 Sentema-Sentema RBT-24h'!D77,'27.07 Sentema-SentemaRBT-24h'!D77)</f>
        <v>1</v>
      </c>
      <c r="E77" s="49">
        <f>AVERAGE('26.07 Sentema-Sentema RBT-24h'!E77,'27.07 Sentema-SentemaRBT-24h'!E77)</f>
        <v>0.5</v>
      </c>
      <c r="F77" s="49">
        <f>AVERAGE('26.07 Sentema-Sentema RBT-24h'!F77,'27.07 Sentema-SentemaRBT-24h'!F77)</f>
        <v>1.5</v>
      </c>
      <c r="G77" s="49">
        <f>AVERAGE('26.07 Sentema-Sentema RBT-24h'!G77,'27.07 Sentema-SentemaRBT-24h'!G77)</f>
        <v>0</v>
      </c>
      <c r="H77" s="49">
        <f>AVERAGE('26.07 Sentema-Sentema RBT-24h'!H77,'27.07 Sentema-SentemaRBT-24h'!H77)</f>
        <v>0</v>
      </c>
      <c r="I77" s="49">
        <f>AVERAGE('26.07 Sentema-Sentema RBT-24h'!I77,'27.07 Sentema-SentemaRBT-24h'!I77)</f>
        <v>0.5</v>
      </c>
      <c r="J77" s="49">
        <f>AVERAGE('26.07 Sentema-Sentema RBT-24h'!J77,'27.07 Sentema-SentemaRBT-24h'!J77)</f>
        <v>0.5</v>
      </c>
      <c r="K77" s="49">
        <f>AVERAGE('26.07 Sentema-Sentema RBT-24h'!K77,'27.07 Sentema-SentemaRBT-24h'!K77)</f>
        <v>0</v>
      </c>
      <c r="L77" s="49">
        <f>AVERAGE('26.07 Sentema-Sentema RBT-24h'!L77,'27.07 Sentema-SentemaRBT-24h'!L77)</f>
        <v>0</v>
      </c>
      <c r="M77" s="49">
        <f>AVERAGE('26.07 Sentema-Sentema RBT-24h'!M77,'27.07 Sentema-SentemaRBT-24h'!M77)</f>
        <v>8.5</v>
      </c>
      <c r="N77" s="49">
        <f>AVERAGE('26.07 Sentema-Sentema RBT-24h'!N77,'27.07 Sentema-SentemaRBT-24h'!N77)</f>
        <v>0</v>
      </c>
      <c r="O77" s="15">
        <f t="shared" si="35"/>
        <v>8</v>
      </c>
      <c r="P77" s="15">
        <f t="shared" si="36"/>
        <v>16.5</v>
      </c>
      <c r="R77" s="8"/>
      <c r="T77"/>
    </row>
    <row r="78" spans="2:20" ht="23.1" customHeight="1" x14ac:dyDescent="0.25">
      <c r="B78" s="24" t="s">
        <v>118</v>
      </c>
      <c r="C78" s="49">
        <f>AVERAGE('26.07 Sentema-Sentema RBT-24h'!C78,'27.07 Sentema-SentemaRBT-24h'!C78)</f>
        <v>2</v>
      </c>
      <c r="D78" s="49">
        <f>AVERAGE('26.07 Sentema-Sentema RBT-24h'!D78,'27.07 Sentema-SentemaRBT-24h'!D78)</f>
        <v>0</v>
      </c>
      <c r="E78" s="49">
        <f>AVERAGE('26.07 Sentema-Sentema RBT-24h'!E78,'27.07 Sentema-SentemaRBT-24h'!E78)</f>
        <v>1</v>
      </c>
      <c r="F78" s="49">
        <f>AVERAGE('26.07 Sentema-Sentema RBT-24h'!F78,'27.07 Sentema-SentemaRBT-24h'!F78)</f>
        <v>0.5</v>
      </c>
      <c r="G78" s="49">
        <f>AVERAGE('26.07 Sentema-Sentema RBT-24h'!G78,'27.07 Sentema-SentemaRBT-24h'!G78)</f>
        <v>0</v>
      </c>
      <c r="H78" s="49">
        <f>AVERAGE('26.07 Sentema-Sentema RBT-24h'!H78,'27.07 Sentema-SentemaRBT-24h'!H78)</f>
        <v>0</v>
      </c>
      <c r="I78" s="49">
        <f>AVERAGE('26.07 Sentema-Sentema RBT-24h'!I78,'27.07 Sentema-SentemaRBT-24h'!I78)</f>
        <v>0</v>
      </c>
      <c r="J78" s="49">
        <f>AVERAGE('26.07 Sentema-Sentema RBT-24h'!J78,'27.07 Sentema-SentemaRBT-24h'!J78)</f>
        <v>0</v>
      </c>
      <c r="K78" s="49">
        <f>AVERAGE('26.07 Sentema-Sentema RBT-24h'!K78,'27.07 Sentema-SentemaRBT-24h'!K78)</f>
        <v>0</v>
      </c>
      <c r="L78" s="49">
        <f>AVERAGE('26.07 Sentema-Sentema RBT-24h'!L78,'27.07 Sentema-SentemaRBT-24h'!L78)</f>
        <v>0</v>
      </c>
      <c r="M78" s="49">
        <f>AVERAGE('26.07 Sentema-Sentema RBT-24h'!M78,'27.07 Sentema-SentemaRBT-24h'!M78)</f>
        <v>6.5</v>
      </c>
      <c r="N78" s="49">
        <f>AVERAGE('26.07 Sentema-Sentema RBT-24h'!N78,'27.07 Sentema-SentemaRBT-24h'!N78)</f>
        <v>0</v>
      </c>
      <c r="O78" s="15">
        <f t="shared" si="35"/>
        <v>3.5</v>
      </c>
      <c r="P78" s="15">
        <f t="shared" si="36"/>
        <v>10</v>
      </c>
      <c r="R78" s="8"/>
      <c r="T78"/>
    </row>
    <row r="79" spans="2:20" ht="23.1" customHeight="1" x14ac:dyDescent="0.25">
      <c r="B79" s="23" t="s">
        <v>119</v>
      </c>
      <c r="C79" s="49">
        <f>AVERAGE('26.07 Sentema-Sentema RBT-24h'!C79,'27.07 Sentema-SentemaRBT-24h'!C79)</f>
        <v>2.5</v>
      </c>
      <c r="D79" s="49">
        <f>AVERAGE('26.07 Sentema-Sentema RBT-24h'!D79,'27.07 Sentema-SentemaRBT-24h'!D79)</f>
        <v>1.5</v>
      </c>
      <c r="E79" s="49">
        <f>AVERAGE('26.07 Sentema-Sentema RBT-24h'!E79,'27.07 Sentema-SentemaRBT-24h'!E79)</f>
        <v>0</v>
      </c>
      <c r="F79" s="49">
        <f>AVERAGE('26.07 Sentema-Sentema RBT-24h'!F79,'27.07 Sentema-SentemaRBT-24h'!F79)</f>
        <v>0</v>
      </c>
      <c r="G79" s="49">
        <f>AVERAGE('26.07 Sentema-Sentema RBT-24h'!G79,'27.07 Sentema-SentemaRBT-24h'!G79)</f>
        <v>0</v>
      </c>
      <c r="H79" s="49">
        <f>AVERAGE('26.07 Sentema-Sentema RBT-24h'!H79,'27.07 Sentema-SentemaRBT-24h'!H79)</f>
        <v>0</v>
      </c>
      <c r="I79" s="49">
        <f>AVERAGE('26.07 Sentema-Sentema RBT-24h'!I79,'27.07 Sentema-SentemaRBT-24h'!I79)</f>
        <v>0.5</v>
      </c>
      <c r="J79" s="49">
        <f>AVERAGE('26.07 Sentema-Sentema RBT-24h'!J79,'27.07 Sentema-SentemaRBT-24h'!J79)</f>
        <v>0</v>
      </c>
      <c r="K79" s="49">
        <f>AVERAGE('26.07 Sentema-Sentema RBT-24h'!K79,'27.07 Sentema-SentemaRBT-24h'!K79)</f>
        <v>0</v>
      </c>
      <c r="L79" s="49">
        <f>AVERAGE('26.07 Sentema-Sentema RBT-24h'!L79,'27.07 Sentema-SentemaRBT-24h'!L79)</f>
        <v>0</v>
      </c>
      <c r="M79" s="49">
        <f>AVERAGE('26.07 Sentema-Sentema RBT-24h'!M79,'27.07 Sentema-SentemaRBT-24h'!M79)</f>
        <v>6</v>
      </c>
      <c r="N79" s="49">
        <f>AVERAGE('26.07 Sentema-Sentema RBT-24h'!N79,'27.07 Sentema-SentemaRBT-24h'!N79)</f>
        <v>0</v>
      </c>
      <c r="O79" s="15">
        <f t="shared" si="35"/>
        <v>4.5</v>
      </c>
      <c r="P79" s="15">
        <f t="shared" si="36"/>
        <v>10.5</v>
      </c>
      <c r="R79" s="8"/>
      <c r="T79"/>
    </row>
    <row r="80" spans="2:20" ht="23.1" customHeight="1" x14ac:dyDescent="0.25">
      <c r="B80" s="25" t="s">
        <v>120</v>
      </c>
      <c r="C80" s="49">
        <f>AVERAGE('26.07 Sentema-Sentema RBT-24h'!C80,'27.07 Sentema-SentemaRBT-24h'!C80)</f>
        <v>0</v>
      </c>
      <c r="D80" s="49">
        <f>AVERAGE('26.07 Sentema-Sentema RBT-24h'!D80,'27.07 Sentema-SentemaRBT-24h'!D80)</f>
        <v>0</v>
      </c>
      <c r="E80" s="49">
        <f>AVERAGE('26.07 Sentema-Sentema RBT-24h'!E80,'27.07 Sentema-SentemaRBT-24h'!E80)</f>
        <v>0</v>
      </c>
      <c r="F80" s="49">
        <f>AVERAGE('26.07 Sentema-Sentema RBT-24h'!F80,'27.07 Sentema-SentemaRBT-24h'!F80)</f>
        <v>0</v>
      </c>
      <c r="G80" s="49">
        <f>AVERAGE('26.07 Sentema-Sentema RBT-24h'!G80,'27.07 Sentema-SentemaRBT-24h'!G80)</f>
        <v>0.5</v>
      </c>
      <c r="H80" s="49">
        <f>AVERAGE('26.07 Sentema-Sentema RBT-24h'!H80,'27.07 Sentema-SentemaRBT-24h'!H80)</f>
        <v>0</v>
      </c>
      <c r="I80" s="49">
        <f>AVERAGE('26.07 Sentema-Sentema RBT-24h'!I80,'27.07 Sentema-SentemaRBT-24h'!I80)</f>
        <v>0</v>
      </c>
      <c r="J80" s="49">
        <f>AVERAGE('26.07 Sentema-Sentema RBT-24h'!J80,'27.07 Sentema-SentemaRBT-24h'!J80)</f>
        <v>0</v>
      </c>
      <c r="K80" s="49">
        <f>AVERAGE('26.07 Sentema-Sentema RBT-24h'!K80,'27.07 Sentema-SentemaRBT-24h'!K80)</f>
        <v>0</v>
      </c>
      <c r="L80" s="49">
        <f>AVERAGE('26.07 Sentema-Sentema RBT-24h'!L80,'27.07 Sentema-SentemaRBT-24h'!L80)</f>
        <v>0</v>
      </c>
      <c r="M80" s="49">
        <f>AVERAGE('26.07 Sentema-Sentema RBT-24h'!M80,'27.07 Sentema-SentemaRBT-24h'!M80)</f>
        <v>1</v>
      </c>
      <c r="N80" s="49">
        <f>AVERAGE('26.07 Sentema-Sentema RBT-24h'!N80,'27.07 Sentema-SentemaRBT-24h'!N80)</f>
        <v>0</v>
      </c>
      <c r="O80" s="15">
        <f t="shared" si="35"/>
        <v>0.5</v>
      </c>
      <c r="P80" s="15">
        <f t="shared" si="36"/>
        <v>1.5</v>
      </c>
      <c r="R80" s="8"/>
      <c r="T80"/>
    </row>
    <row r="81" spans="2:20" ht="23.1" customHeight="1" x14ac:dyDescent="0.25">
      <c r="B81" s="23" t="s">
        <v>121</v>
      </c>
      <c r="C81" s="49">
        <f>AVERAGE('26.07 Sentema-Sentema RBT-24h'!C81,'27.07 Sentema-SentemaRBT-24h'!C81)</f>
        <v>0.5</v>
      </c>
      <c r="D81" s="49">
        <f>AVERAGE('26.07 Sentema-Sentema RBT-24h'!D81,'27.07 Sentema-SentemaRBT-24h'!D81)</f>
        <v>0</v>
      </c>
      <c r="E81" s="49">
        <f>AVERAGE('26.07 Sentema-Sentema RBT-24h'!E81,'27.07 Sentema-SentemaRBT-24h'!E81)</f>
        <v>0</v>
      </c>
      <c r="F81" s="49">
        <f>AVERAGE('26.07 Sentema-Sentema RBT-24h'!F81,'27.07 Sentema-SentemaRBT-24h'!F81)</f>
        <v>0</v>
      </c>
      <c r="G81" s="49">
        <f>AVERAGE('26.07 Sentema-Sentema RBT-24h'!G81,'27.07 Sentema-SentemaRBT-24h'!G81)</f>
        <v>0</v>
      </c>
      <c r="H81" s="49">
        <f>AVERAGE('26.07 Sentema-Sentema RBT-24h'!H81,'27.07 Sentema-SentemaRBT-24h'!H81)</f>
        <v>0</v>
      </c>
      <c r="I81" s="49">
        <f>AVERAGE('26.07 Sentema-Sentema RBT-24h'!I81,'27.07 Sentema-SentemaRBT-24h'!I81)</f>
        <v>0.5</v>
      </c>
      <c r="J81" s="49">
        <f>AVERAGE('26.07 Sentema-Sentema RBT-24h'!J81,'27.07 Sentema-SentemaRBT-24h'!J81)</f>
        <v>0.5</v>
      </c>
      <c r="K81" s="49">
        <f>AVERAGE('26.07 Sentema-Sentema RBT-24h'!K81,'27.07 Sentema-SentemaRBT-24h'!K81)</f>
        <v>0</v>
      </c>
      <c r="L81" s="49">
        <f>AVERAGE('26.07 Sentema-Sentema RBT-24h'!L81,'27.07 Sentema-SentemaRBT-24h'!L81)</f>
        <v>0.5</v>
      </c>
      <c r="M81" s="49">
        <f>AVERAGE('26.07 Sentema-Sentema RBT-24h'!M81,'27.07 Sentema-SentemaRBT-24h'!M81)</f>
        <v>0.5</v>
      </c>
      <c r="N81" s="49">
        <f>AVERAGE('26.07 Sentema-Sentema RBT-24h'!N81,'27.07 Sentema-SentemaRBT-24h'!N81)</f>
        <v>0</v>
      </c>
      <c r="O81" s="15">
        <f t="shared" si="35"/>
        <v>2</v>
      </c>
      <c r="P81" s="15">
        <f t="shared" si="36"/>
        <v>2.5</v>
      </c>
      <c r="R81" s="8"/>
      <c r="T81"/>
    </row>
    <row r="82" spans="2:20" ht="23.1" customHeight="1" x14ac:dyDescent="0.25">
      <c r="B82" s="24" t="s">
        <v>122</v>
      </c>
      <c r="C82" s="49">
        <f>AVERAGE('26.07 Sentema-Sentema RBT-24h'!C82,'27.07 Sentema-SentemaRBT-24h'!C82)</f>
        <v>1</v>
      </c>
      <c r="D82" s="49">
        <f>AVERAGE('26.07 Sentema-Sentema RBT-24h'!D82,'27.07 Sentema-SentemaRBT-24h'!D82)</f>
        <v>0</v>
      </c>
      <c r="E82" s="49">
        <f>AVERAGE('26.07 Sentema-Sentema RBT-24h'!E82,'27.07 Sentema-SentemaRBT-24h'!E82)</f>
        <v>0</v>
      </c>
      <c r="F82" s="49">
        <f>AVERAGE('26.07 Sentema-Sentema RBT-24h'!F82,'27.07 Sentema-SentemaRBT-24h'!F82)</f>
        <v>0</v>
      </c>
      <c r="G82" s="49">
        <f>AVERAGE('26.07 Sentema-Sentema RBT-24h'!G82,'27.07 Sentema-SentemaRBT-24h'!G82)</f>
        <v>0</v>
      </c>
      <c r="H82" s="49">
        <f>AVERAGE('26.07 Sentema-Sentema RBT-24h'!H82,'27.07 Sentema-SentemaRBT-24h'!H82)</f>
        <v>0</v>
      </c>
      <c r="I82" s="49">
        <f>AVERAGE('26.07 Sentema-Sentema RBT-24h'!I82,'27.07 Sentema-SentemaRBT-24h'!I82)</f>
        <v>0</v>
      </c>
      <c r="J82" s="49">
        <f>AVERAGE('26.07 Sentema-Sentema RBT-24h'!J82,'27.07 Sentema-SentemaRBT-24h'!J82)</f>
        <v>0</v>
      </c>
      <c r="K82" s="49">
        <f>AVERAGE('26.07 Sentema-Sentema RBT-24h'!K82,'27.07 Sentema-SentemaRBT-24h'!K82)</f>
        <v>0</v>
      </c>
      <c r="L82" s="49">
        <f>AVERAGE('26.07 Sentema-Sentema RBT-24h'!L82,'27.07 Sentema-SentemaRBT-24h'!L82)</f>
        <v>0</v>
      </c>
      <c r="M82" s="49">
        <f>AVERAGE('26.07 Sentema-Sentema RBT-24h'!M82,'27.07 Sentema-SentemaRBT-24h'!M82)</f>
        <v>2.5</v>
      </c>
      <c r="N82" s="49">
        <f>AVERAGE('26.07 Sentema-Sentema RBT-24h'!N82,'27.07 Sentema-SentemaRBT-24h'!N82)</f>
        <v>0</v>
      </c>
      <c r="O82" s="15">
        <f t="shared" si="35"/>
        <v>1</v>
      </c>
      <c r="P82" s="15">
        <f t="shared" si="36"/>
        <v>3.5</v>
      </c>
      <c r="R82" s="8"/>
      <c r="T82"/>
    </row>
    <row r="83" spans="2:20" ht="23.1" customHeight="1" x14ac:dyDescent="0.25">
      <c r="B83" s="23" t="s">
        <v>123</v>
      </c>
      <c r="C83" s="49">
        <f>AVERAGE('26.07 Sentema-Sentema RBT-24h'!C83,'27.07 Sentema-SentemaRBT-24h'!C83)</f>
        <v>1</v>
      </c>
      <c r="D83" s="49">
        <f>AVERAGE('26.07 Sentema-Sentema RBT-24h'!D83,'27.07 Sentema-SentemaRBT-24h'!D83)</f>
        <v>0</v>
      </c>
      <c r="E83" s="49">
        <f>AVERAGE('26.07 Sentema-Sentema RBT-24h'!E83,'27.07 Sentema-SentemaRBT-24h'!E83)</f>
        <v>0</v>
      </c>
      <c r="F83" s="49">
        <f>AVERAGE('26.07 Sentema-Sentema RBT-24h'!F83,'27.07 Sentema-SentemaRBT-24h'!F83)</f>
        <v>0</v>
      </c>
      <c r="G83" s="49">
        <f>AVERAGE('26.07 Sentema-Sentema RBT-24h'!G83,'27.07 Sentema-SentemaRBT-24h'!G83)</f>
        <v>0</v>
      </c>
      <c r="H83" s="49">
        <f>AVERAGE('26.07 Sentema-Sentema RBT-24h'!H83,'27.07 Sentema-SentemaRBT-24h'!H83)</f>
        <v>0</v>
      </c>
      <c r="I83" s="49">
        <f>AVERAGE('26.07 Sentema-Sentema RBT-24h'!I83,'27.07 Sentema-SentemaRBT-24h'!I83)</f>
        <v>0</v>
      </c>
      <c r="J83" s="49">
        <f>AVERAGE('26.07 Sentema-Sentema RBT-24h'!J83,'27.07 Sentema-SentemaRBT-24h'!J83)</f>
        <v>0</v>
      </c>
      <c r="K83" s="49">
        <f>AVERAGE('26.07 Sentema-Sentema RBT-24h'!K83,'27.07 Sentema-SentemaRBT-24h'!K83)</f>
        <v>0</v>
      </c>
      <c r="L83" s="49">
        <f>AVERAGE('26.07 Sentema-Sentema RBT-24h'!L83,'27.07 Sentema-SentemaRBT-24h'!L83)</f>
        <v>0</v>
      </c>
      <c r="M83" s="49">
        <f>AVERAGE('26.07 Sentema-Sentema RBT-24h'!M83,'27.07 Sentema-SentemaRBT-24h'!M83)</f>
        <v>1.5</v>
      </c>
      <c r="N83" s="49">
        <f>AVERAGE('26.07 Sentema-Sentema RBT-24h'!N83,'27.07 Sentema-SentemaRBT-24h'!N83)</f>
        <v>0</v>
      </c>
      <c r="O83" s="15">
        <f t="shared" si="35"/>
        <v>1</v>
      </c>
      <c r="P83" s="15">
        <f t="shared" si="36"/>
        <v>2.5</v>
      </c>
      <c r="R83" s="8"/>
      <c r="T83"/>
    </row>
    <row r="84" spans="2:20" ht="23.1" customHeight="1" x14ac:dyDescent="0.25">
      <c r="B84" s="25" t="s">
        <v>124</v>
      </c>
      <c r="C84" s="49">
        <f>AVERAGE('26.07 Sentema-Sentema RBT-24h'!C84,'27.07 Sentema-SentemaRBT-24h'!C84)</f>
        <v>1</v>
      </c>
      <c r="D84" s="49">
        <f>AVERAGE('26.07 Sentema-Sentema RBT-24h'!D84,'27.07 Sentema-SentemaRBT-24h'!D84)</f>
        <v>0</v>
      </c>
      <c r="E84" s="49">
        <f>AVERAGE('26.07 Sentema-Sentema RBT-24h'!E84,'27.07 Sentema-SentemaRBT-24h'!E84)</f>
        <v>0</v>
      </c>
      <c r="F84" s="49">
        <f>AVERAGE('26.07 Sentema-Sentema RBT-24h'!F84,'27.07 Sentema-SentemaRBT-24h'!F84)</f>
        <v>0</v>
      </c>
      <c r="G84" s="49">
        <f>AVERAGE('26.07 Sentema-Sentema RBT-24h'!G84,'27.07 Sentema-SentemaRBT-24h'!G84)</f>
        <v>0</v>
      </c>
      <c r="H84" s="49">
        <f>AVERAGE('26.07 Sentema-Sentema RBT-24h'!H84,'27.07 Sentema-SentemaRBT-24h'!H84)</f>
        <v>0</v>
      </c>
      <c r="I84" s="49">
        <f>AVERAGE('26.07 Sentema-Sentema RBT-24h'!I84,'27.07 Sentema-SentemaRBT-24h'!I84)</f>
        <v>0</v>
      </c>
      <c r="J84" s="49">
        <f>AVERAGE('26.07 Sentema-Sentema RBT-24h'!J84,'27.07 Sentema-SentemaRBT-24h'!J84)</f>
        <v>0</v>
      </c>
      <c r="K84" s="49">
        <f>AVERAGE('26.07 Sentema-Sentema RBT-24h'!K84,'27.07 Sentema-SentemaRBT-24h'!K84)</f>
        <v>0.5</v>
      </c>
      <c r="L84" s="49">
        <f>AVERAGE('26.07 Sentema-Sentema RBT-24h'!L84,'27.07 Sentema-SentemaRBT-24h'!L84)</f>
        <v>0</v>
      </c>
      <c r="M84" s="49">
        <f>AVERAGE('26.07 Sentema-Sentema RBT-24h'!M84,'27.07 Sentema-SentemaRBT-24h'!M84)</f>
        <v>2.5</v>
      </c>
      <c r="N84" s="49">
        <f>AVERAGE('26.07 Sentema-Sentema RBT-24h'!N84,'27.07 Sentema-SentemaRBT-24h'!N84)</f>
        <v>0</v>
      </c>
      <c r="O84" s="15">
        <f t="shared" si="35"/>
        <v>1.5</v>
      </c>
      <c r="P84" s="15">
        <f t="shared" si="36"/>
        <v>4</v>
      </c>
      <c r="R84" s="8"/>
      <c r="T84"/>
    </row>
    <row r="85" spans="2:20" ht="23.1" customHeight="1" x14ac:dyDescent="0.25">
      <c r="B85" s="23" t="s">
        <v>125</v>
      </c>
      <c r="C85" s="49">
        <f>AVERAGE('26.07 Sentema-Sentema RBT-24h'!C85,'27.07 Sentema-SentemaRBT-24h'!C85)</f>
        <v>0.5</v>
      </c>
      <c r="D85" s="49">
        <f>AVERAGE('26.07 Sentema-Sentema RBT-24h'!D85,'27.07 Sentema-SentemaRBT-24h'!D85)</f>
        <v>0</v>
      </c>
      <c r="E85" s="49">
        <f>AVERAGE('26.07 Sentema-Sentema RBT-24h'!E85,'27.07 Sentema-SentemaRBT-24h'!E85)</f>
        <v>0</v>
      </c>
      <c r="F85" s="49">
        <f>AVERAGE('26.07 Sentema-Sentema RBT-24h'!F85,'27.07 Sentema-SentemaRBT-24h'!F85)</f>
        <v>0</v>
      </c>
      <c r="G85" s="49">
        <f>AVERAGE('26.07 Sentema-Sentema RBT-24h'!G85,'27.07 Sentema-SentemaRBT-24h'!G85)</f>
        <v>0</v>
      </c>
      <c r="H85" s="49">
        <f>AVERAGE('26.07 Sentema-Sentema RBT-24h'!H85,'27.07 Sentema-SentemaRBT-24h'!H85)</f>
        <v>0</v>
      </c>
      <c r="I85" s="49">
        <f>AVERAGE('26.07 Sentema-Sentema RBT-24h'!I85,'27.07 Sentema-SentemaRBT-24h'!I85)</f>
        <v>0</v>
      </c>
      <c r="J85" s="49">
        <f>AVERAGE('26.07 Sentema-Sentema RBT-24h'!J85,'27.07 Sentema-SentemaRBT-24h'!J85)</f>
        <v>0.5</v>
      </c>
      <c r="K85" s="49">
        <f>AVERAGE('26.07 Sentema-Sentema RBT-24h'!K85,'27.07 Sentema-SentemaRBT-24h'!K85)</f>
        <v>0</v>
      </c>
      <c r="L85" s="49">
        <f>AVERAGE('26.07 Sentema-Sentema RBT-24h'!L85,'27.07 Sentema-SentemaRBT-24h'!L85)</f>
        <v>0</v>
      </c>
      <c r="M85" s="49">
        <f>AVERAGE('26.07 Sentema-Sentema RBT-24h'!M85,'27.07 Sentema-SentemaRBT-24h'!M85)</f>
        <v>0.5</v>
      </c>
      <c r="N85" s="49">
        <f>AVERAGE('26.07 Sentema-Sentema RBT-24h'!N85,'27.07 Sentema-SentemaRBT-24h'!N85)</f>
        <v>0</v>
      </c>
      <c r="O85" s="15">
        <f t="shared" si="35"/>
        <v>1</v>
      </c>
      <c r="P85" s="15">
        <f t="shared" si="36"/>
        <v>1.5</v>
      </c>
      <c r="R85" s="8"/>
      <c r="T85"/>
    </row>
    <row r="86" spans="2:20" ht="23.1" customHeight="1" x14ac:dyDescent="0.25">
      <c r="B86" s="24" t="s">
        <v>126</v>
      </c>
      <c r="C86" s="49">
        <f>AVERAGE('26.07 Sentema-Sentema RBT-24h'!C86,'27.07 Sentema-SentemaRBT-24h'!C86)</f>
        <v>2.5</v>
      </c>
      <c r="D86" s="49">
        <f>AVERAGE('26.07 Sentema-Sentema RBT-24h'!D86,'27.07 Sentema-SentemaRBT-24h'!D86)</f>
        <v>0</v>
      </c>
      <c r="E86" s="49">
        <f>AVERAGE('26.07 Sentema-Sentema RBT-24h'!E86,'27.07 Sentema-SentemaRBT-24h'!E86)</f>
        <v>0.5</v>
      </c>
      <c r="F86" s="49">
        <f>AVERAGE('26.07 Sentema-Sentema RBT-24h'!F86,'27.07 Sentema-SentemaRBT-24h'!F86)</f>
        <v>0.5</v>
      </c>
      <c r="G86" s="49">
        <f>AVERAGE('26.07 Sentema-Sentema RBT-24h'!G86,'27.07 Sentema-SentemaRBT-24h'!G86)</f>
        <v>0</v>
      </c>
      <c r="H86" s="49">
        <f>AVERAGE('26.07 Sentema-Sentema RBT-24h'!H86,'27.07 Sentema-SentemaRBT-24h'!H86)</f>
        <v>0</v>
      </c>
      <c r="I86" s="49">
        <f>AVERAGE('26.07 Sentema-Sentema RBT-24h'!I86,'27.07 Sentema-SentemaRBT-24h'!I86)</f>
        <v>0</v>
      </c>
      <c r="J86" s="49">
        <f>AVERAGE('26.07 Sentema-Sentema RBT-24h'!J86,'27.07 Sentema-SentemaRBT-24h'!J86)</f>
        <v>0</v>
      </c>
      <c r="K86" s="49">
        <f>AVERAGE('26.07 Sentema-Sentema RBT-24h'!K86,'27.07 Sentema-SentemaRBT-24h'!K86)</f>
        <v>0</v>
      </c>
      <c r="L86" s="49">
        <f>AVERAGE('26.07 Sentema-Sentema RBT-24h'!L86,'27.07 Sentema-SentemaRBT-24h'!L86)</f>
        <v>0</v>
      </c>
      <c r="M86" s="49">
        <f>AVERAGE('26.07 Sentema-Sentema RBT-24h'!M86,'27.07 Sentema-SentemaRBT-24h'!M86)</f>
        <v>3.5</v>
      </c>
      <c r="N86" s="49">
        <f>AVERAGE('26.07 Sentema-Sentema RBT-24h'!N86,'27.07 Sentema-SentemaRBT-24h'!N86)</f>
        <v>0</v>
      </c>
      <c r="O86" s="15">
        <f t="shared" si="35"/>
        <v>3.5</v>
      </c>
      <c r="P86" s="15">
        <f t="shared" si="36"/>
        <v>7</v>
      </c>
      <c r="R86" s="8"/>
      <c r="T86"/>
    </row>
    <row r="87" spans="2:20" ht="23.1" customHeight="1" x14ac:dyDescent="0.25">
      <c r="B87" s="23" t="s">
        <v>127</v>
      </c>
      <c r="C87" s="49">
        <f>AVERAGE('26.07 Sentema-Sentema RBT-24h'!C87,'27.07 Sentema-SentemaRBT-24h'!C87)</f>
        <v>0</v>
      </c>
      <c r="D87" s="49">
        <f>AVERAGE('26.07 Sentema-Sentema RBT-24h'!D87,'27.07 Sentema-SentemaRBT-24h'!D87)</f>
        <v>0</v>
      </c>
      <c r="E87" s="49">
        <f>AVERAGE('26.07 Sentema-Sentema RBT-24h'!E87,'27.07 Sentema-SentemaRBT-24h'!E87)</f>
        <v>0</v>
      </c>
      <c r="F87" s="49">
        <f>AVERAGE('26.07 Sentema-Sentema RBT-24h'!F87,'27.07 Sentema-SentemaRBT-24h'!F87)</f>
        <v>0</v>
      </c>
      <c r="G87" s="49">
        <f>AVERAGE('26.07 Sentema-Sentema RBT-24h'!G87,'27.07 Sentema-SentemaRBT-24h'!G87)</f>
        <v>0</v>
      </c>
      <c r="H87" s="49">
        <f>AVERAGE('26.07 Sentema-Sentema RBT-24h'!H87,'27.07 Sentema-SentemaRBT-24h'!H87)</f>
        <v>0</v>
      </c>
      <c r="I87" s="49">
        <f>AVERAGE('26.07 Sentema-Sentema RBT-24h'!I87,'27.07 Sentema-SentemaRBT-24h'!I87)</f>
        <v>0</v>
      </c>
      <c r="J87" s="49">
        <f>AVERAGE('26.07 Sentema-Sentema RBT-24h'!J87,'27.07 Sentema-SentemaRBT-24h'!J87)</f>
        <v>0.5</v>
      </c>
      <c r="K87" s="49">
        <f>AVERAGE('26.07 Sentema-Sentema RBT-24h'!K87,'27.07 Sentema-SentemaRBT-24h'!K87)</f>
        <v>0</v>
      </c>
      <c r="L87" s="49">
        <f>AVERAGE('26.07 Sentema-Sentema RBT-24h'!L87,'27.07 Sentema-SentemaRBT-24h'!L87)</f>
        <v>0</v>
      </c>
      <c r="M87" s="49">
        <f>AVERAGE('26.07 Sentema-Sentema RBT-24h'!M87,'27.07 Sentema-SentemaRBT-24h'!M87)</f>
        <v>1</v>
      </c>
      <c r="N87" s="49">
        <f>AVERAGE('26.07 Sentema-Sentema RBT-24h'!N87,'27.07 Sentema-SentemaRBT-24h'!N87)</f>
        <v>0</v>
      </c>
      <c r="O87" s="15">
        <f t="shared" si="35"/>
        <v>0.5</v>
      </c>
      <c r="P87" s="15">
        <f t="shared" si="36"/>
        <v>1.5</v>
      </c>
      <c r="R87" s="8"/>
      <c r="T87"/>
    </row>
    <row r="88" spans="2:20" ht="23.1" customHeight="1" x14ac:dyDescent="0.25">
      <c r="B88" s="25" t="s">
        <v>128</v>
      </c>
      <c r="C88" s="49">
        <f>AVERAGE('26.07 Sentema-Sentema RBT-24h'!C88,'27.07 Sentema-SentemaRBT-24h'!C88)</f>
        <v>0</v>
      </c>
      <c r="D88" s="49">
        <f>AVERAGE('26.07 Sentema-Sentema RBT-24h'!D88,'27.07 Sentema-SentemaRBT-24h'!D88)</f>
        <v>0</v>
      </c>
      <c r="E88" s="49">
        <f>AVERAGE('26.07 Sentema-Sentema RBT-24h'!E88,'27.07 Sentema-SentemaRBT-24h'!E88)</f>
        <v>0</v>
      </c>
      <c r="F88" s="49">
        <f>AVERAGE('26.07 Sentema-Sentema RBT-24h'!F88,'27.07 Sentema-SentemaRBT-24h'!F88)</f>
        <v>0</v>
      </c>
      <c r="G88" s="49">
        <f>AVERAGE('26.07 Sentema-Sentema RBT-24h'!G88,'27.07 Sentema-SentemaRBT-24h'!G88)</f>
        <v>0</v>
      </c>
      <c r="H88" s="49">
        <f>AVERAGE('26.07 Sentema-Sentema RBT-24h'!H88,'27.07 Sentema-SentemaRBT-24h'!H88)</f>
        <v>0</v>
      </c>
      <c r="I88" s="49">
        <f>AVERAGE('26.07 Sentema-Sentema RBT-24h'!I88,'27.07 Sentema-SentemaRBT-24h'!I88)</f>
        <v>0</v>
      </c>
      <c r="J88" s="49">
        <f>AVERAGE('26.07 Sentema-Sentema RBT-24h'!J88,'27.07 Sentema-SentemaRBT-24h'!J88)</f>
        <v>0</v>
      </c>
      <c r="K88" s="49">
        <f>AVERAGE('26.07 Sentema-Sentema RBT-24h'!K88,'27.07 Sentema-SentemaRBT-24h'!K88)</f>
        <v>0</v>
      </c>
      <c r="L88" s="49">
        <f>AVERAGE('26.07 Sentema-Sentema RBT-24h'!L88,'27.07 Sentema-SentemaRBT-24h'!L88)</f>
        <v>0</v>
      </c>
      <c r="M88" s="49">
        <f>AVERAGE('26.07 Sentema-Sentema RBT-24h'!M88,'27.07 Sentema-SentemaRBT-24h'!M88)</f>
        <v>2.5</v>
      </c>
      <c r="N88" s="49">
        <f>AVERAGE('26.07 Sentema-Sentema RBT-24h'!N88,'27.07 Sentema-SentemaRBT-24h'!N88)</f>
        <v>0</v>
      </c>
      <c r="O88" s="15">
        <f t="shared" si="35"/>
        <v>0</v>
      </c>
      <c r="P88" s="15">
        <f t="shared" si="36"/>
        <v>2.5</v>
      </c>
      <c r="R88" s="8"/>
      <c r="T88"/>
    </row>
    <row r="89" spans="2:20" ht="23.1" customHeight="1" x14ac:dyDescent="0.25">
      <c r="B89" s="23" t="s">
        <v>129</v>
      </c>
      <c r="C89" s="49">
        <f>AVERAGE('26.07 Sentema-Sentema RBT-24h'!C89,'27.07 Sentema-SentemaRBT-24h'!C89)</f>
        <v>1</v>
      </c>
      <c r="D89" s="49">
        <f>AVERAGE('26.07 Sentema-Sentema RBT-24h'!D89,'27.07 Sentema-SentemaRBT-24h'!D89)</f>
        <v>0.5</v>
      </c>
      <c r="E89" s="49">
        <f>AVERAGE('26.07 Sentema-Sentema RBT-24h'!E89,'27.07 Sentema-SentemaRBT-24h'!E89)</f>
        <v>0</v>
      </c>
      <c r="F89" s="49">
        <f>AVERAGE('26.07 Sentema-Sentema RBT-24h'!F89,'27.07 Sentema-SentemaRBT-24h'!F89)</f>
        <v>0</v>
      </c>
      <c r="G89" s="49">
        <f>AVERAGE('26.07 Sentema-Sentema RBT-24h'!G89,'27.07 Sentema-SentemaRBT-24h'!G89)</f>
        <v>0</v>
      </c>
      <c r="H89" s="49">
        <f>AVERAGE('26.07 Sentema-Sentema RBT-24h'!H89,'27.07 Sentema-SentemaRBT-24h'!H89)</f>
        <v>0</v>
      </c>
      <c r="I89" s="49">
        <f>AVERAGE('26.07 Sentema-Sentema RBT-24h'!I89,'27.07 Sentema-SentemaRBT-24h'!I89)</f>
        <v>0</v>
      </c>
      <c r="J89" s="49">
        <f>AVERAGE('26.07 Sentema-Sentema RBT-24h'!J89,'27.07 Sentema-SentemaRBT-24h'!J89)</f>
        <v>0</v>
      </c>
      <c r="K89" s="49">
        <f>AVERAGE('26.07 Sentema-Sentema RBT-24h'!K89,'27.07 Sentema-SentemaRBT-24h'!K89)</f>
        <v>0</v>
      </c>
      <c r="L89" s="49">
        <f>AVERAGE('26.07 Sentema-Sentema RBT-24h'!L89,'27.07 Sentema-SentemaRBT-24h'!L89)</f>
        <v>0</v>
      </c>
      <c r="M89" s="49">
        <f>AVERAGE('26.07 Sentema-Sentema RBT-24h'!M89,'27.07 Sentema-SentemaRBT-24h'!M89)</f>
        <v>3</v>
      </c>
      <c r="N89" s="49">
        <f>AVERAGE('26.07 Sentema-Sentema RBT-24h'!N89,'27.07 Sentema-SentemaRBT-24h'!N89)</f>
        <v>0</v>
      </c>
      <c r="O89" s="15">
        <f t="shared" si="35"/>
        <v>1.5</v>
      </c>
      <c r="P89" s="15">
        <f t="shared" si="36"/>
        <v>4.5</v>
      </c>
      <c r="R89" s="8"/>
      <c r="T89"/>
    </row>
    <row r="90" spans="2:20" ht="23.1" customHeight="1" x14ac:dyDescent="0.25">
      <c r="B90" s="24" t="s">
        <v>130</v>
      </c>
      <c r="C90" s="49">
        <f>AVERAGE('26.07 Sentema-Sentema RBT-24h'!C90,'27.07 Sentema-SentemaRBT-24h'!C90)</f>
        <v>0.5</v>
      </c>
      <c r="D90" s="49">
        <f>AVERAGE('26.07 Sentema-Sentema RBT-24h'!D90,'27.07 Sentema-SentemaRBT-24h'!D90)</f>
        <v>0</v>
      </c>
      <c r="E90" s="49">
        <f>AVERAGE('26.07 Sentema-Sentema RBT-24h'!E90,'27.07 Sentema-SentemaRBT-24h'!E90)</f>
        <v>1</v>
      </c>
      <c r="F90" s="49">
        <f>AVERAGE('26.07 Sentema-Sentema RBT-24h'!F90,'27.07 Sentema-SentemaRBT-24h'!F90)</f>
        <v>0.5</v>
      </c>
      <c r="G90" s="49">
        <f>AVERAGE('26.07 Sentema-Sentema RBT-24h'!G90,'27.07 Sentema-SentemaRBT-24h'!G90)</f>
        <v>0</v>
      </c>
      <c r="H90" s="49">
        <f>AVERAGE('26.07 Sentema-Sentema RBT-24h'!H90,'27.07 Sentema-SentemaRBT-24h'!H90)</f>
        <v>0</v>
      </c>
      <c r="I90" s="49">
        <f>AVERAGE('26.07 Sentema-Sentema RBT-24h'!I90,'27.07 Sentema-SentemaRBT-24h'!I90)</f>
        <v>0.5</v>
      </c>
      <c r="J90" s="49">
        <f>AVERAGE('26.07 Sentema-Sentema RBT-24h'!J90,'27.07 Sentema-SentemaRBT-24h'!J90)</f>
        <v>0</v>
      </c>
      <c r="K90" s="49">
        <f>AVERAGE('26.07 Sentema-Sentema RBT-24h'!K90,'27.07 Sentema-SentemaRBT-24h'!K90)</f>
        <v>0</v>
      </c>
      <c r="L90" s="49">
        <f>AVERAGE('26.07 Sentema-Sentema RBT-24h'!L90,'27.07 Sentema-SentemaRBT-24h'!L90)</f>
        <v>0</v>
      </c>
      <c r="M90" s="49">
        <f>AVERAGE('26.07 Sentema-Sentema RBT-24h'!M90,'27.07 Sentema-SentemaRBT-24h'!M90)</f>
        <v>1.5</v>
      </c>
      <c r="N90" s="49">
        <f>AVERAGE('26.07 Sentema-Sentema RBT-24h'!N90,'27.07 Sentema-SentemaRBT-24h'!N90)</f>
        <v>0</v>
      </c>
      <c r="O90" s="15">
        <f t="shared" si="35"/>
        <v>2.5</v>
      </c>
      <c r="P90" s="15">
        <f t="shared" si="36"/>
        <v>4</v>
      </c>
      <c r="R90" s="8"/>
      <c r="T90"/>
    </row>
    <row r="91" spans="2:20" ht="23.1" customHeight="1" x14ac:dyDescent="0.25">
      <c r="B91" s="23" t="s">
        <v>131</v>
      </c>
      <c r="C91" s="49">
        <f>AVERAGE('26.07 Sentema-Sentema RBT-24h'!C91,'27.07 Sentema-SentemaRBT-24h'!C91)</f>
        <v>0</v>
      </c>
      <c r="D91" s="49">
        <f>AVERAGE('26.07 Sentema-Sentema RBT-24h'!D91,'27.07 Sentema-SentemaRBT-24h'!D91)</f>
        <v>0</v>
      </c>
      <c r="E91" s="49">
        <f>AVERAGE('26.07 Sentema-Sentema RBT-24h'!E91,'27.07 Sentema-SentemaRBT-24h'!E91)</f>
        <v>0</v>
      </c>
      <c r="F91" s="49">
        <f>AVERAGE('26.07 Sentema-Sentema RBT-24h'!F91,'27.07 Sentema-SentemaRBT-24h'!F91)</f>
        <v>0</v>
      </c>
      <c r="G91" s="49">
        <f>AVERAGE('26.07 Sentema-Sentema RBT-24h'!G91,'27.07 Sentema-SentemaRBT-24h'!G91)</f>
        <v>0</v>
      </c>
      <c r="H91" s="49">
        <f>AVERAGE('26.07 Sentema-Sentema RBT-24h'!H91,'27.07 Sentema-SentemaRBT-24h'!H91)</f>
        <v>0</v>
      </c>
      <c r="I91" s="49">
        <f>AVERAGE('26.07 Sentema-Sentema RBT-24h'!I91,'27.07 Sentema-SentemaRBT-24h'!I91)</f>
        <v>0</v>
      </c>
      <c r="J91" s="49">
        <f>AVERAGE('26.07 Sentema-Sentema RBT-24h'!J91,'27.07 Sentema-SentemaRBT-24h'!J91)</f>
        <v>0.5</v>
      </c>
      <c r="K91" s="49">
        <f>AVERAGE('26.07 Sentema-Sentema RBT-24h'!K91,'27.07 Sentema-SentemaRBT-24h'!K91)</f>
        <v>0</v>
      </c>
      <c r="L91" s="49">
        <f>AVERAGE('26.07 Sentema-Sentema RBT-24h'!L91,'27.07 Sentema-SentemaRBT-24h'!L91)</f>
        <v>0</v>
      </c>
      <c r="M91" s="49">
        <f>AVERAGE('26.07 Sentema-Sentema RBT-24h'!M91,'27.07 Sentema-SentemaRBT-24h'!M91)</f>
        <v>2.5</v>
      </c>
      <c r="N91" s="49">
        <f>AVERAGE('26.07 Sentema-Sentema RBT-24h'!N91,'27.07 Sentema-SentemaRBT-24h'!N91)</f>
        <v>0</v>
      </c>
      <c r="O91" s="15">
        <f t="shared" si="35"/>
        <v>0.5</v>
      </c>
      <c r="P91" s="15">
        <f t="shared" si="36"/>
        <v>3</v>
      </c>
      <c r="R91" s="8"/>
      <c r="T91"/>
    </row>
    <row r="92" spans="2:20" ht="23.1" customHeight="1" x14ac:dyDescent="0.25">
      <c r="B92" s="25" t="s">
        <v>132</v>
      </c>
      <c r="C92" s="49">
        <f>AVERAGE('26.07 Sentema-Sentema RBT-24h'!C92,'27.07 Sentema-SentemaRBT-24h'!C92)</f>
        <v>1</v>
      </c>
      <c r="D92" s="49">
        <f>AVERAGE('26.07 Sentema-Sentema RBT-24h'!D92,'27.07 Sentema-SentemaRBT-24h'!D92)</f>
        <v>0</v>
      </c>
      <c r="E92" s="49">
        <f>AVERAGE('26.07 Sentema-Sentema RBT-24h'!E92,'27.07 Sentema-SentemaRBT-24h'!E92)</f>
        <v>0</v>
      </c>
      <c r="F92" s="49">
        <f>AVERAGE('26.07 Sentema-Sentema RBT-24h'!F92,'27.07 Sentema-SentemaRBT-24h'!F92)</f>
        <v>0</v>
      </c>
      <c r="G92" s="49">
        <f>AVERAGE('26.07 Sentema-Sentema RBT-24h'!G92,'27.07 Sentema-SentemaRBT-24h'!G92)</f>
        <v>0</v>
      </c>
      <c r="H92" s="49">
        <f>AVERAGE('26.07 Sentema-Sentema RBT-24h'!H92,'27.07 Sentema-SentemaRBT-24h'!H92)</f>
        <v>0</v>
      </c>
      <c r="I92" s="49">
        <f>AVERAGE('26.07 Sentema-Sentema RBT-24h'!I92,'27.07 Sentema-SentemaRBT-24h'!I92)</f>
        <v>0</v>
      </c>
      <c r="J92" s="49">
        <f>AVERAGE('26.07 Sentema-Sentema RBT-24h'!J92,'27.07 Sentema-SentemaRBT-24h'!J92)</f>
        <v>1</v>
      </c>
      <c r="K92" s="49">
        <f>AVERAGE('26.07 Sentema-Sentema RBT-24h'!K92,'27.07 Sentema-SentemaRBT-24h'!K92)</f>
        <v>0</v>
      </c>
      <c r="L92" s="49">
        <f>AVERAGE('26.07 Sentema-Sentema RBT-24h'!L92,'27.07 Sentema-SentemaRBT-24h'!L92)</f>
        <v>0</v>
      </c>
      <c r="M92" s="49">
        <f>AVERAGE('26.07 Sentema-Sentema RBT-24h'!M92,'27.07 Sentema-SentemaRBT-24h'!M92)</f>
        <v>0.5</v>
      </c>
      <c r="N92" s="49">
        <f>AVERAGE('26.07 Sentema-Sentema RBT-24h'!N92,'27.07 Sentema-SentemaRBT-24h'!N92)</f>
        <v>0</v>
      </c>
      <c r="O92" s="15">
        <f t="shared" si="35"/>
        <v>2</v>
      </c>
      <c r="P92" s="15">
        <f t="shared" si="36"/>
        <v>2.5</v>
      </c>
      <c r="R92" s="8"/>
      <c r="T92"/>
    </row>
    <row r="93" spans="2:20" ht="23.1" customHeight="1" x14ac:dyDescent="0.25">
      <c r="B93" s="23" t="s">
        <v>133</v>
      </c>
      <c r="C93" s="49">
        <f>AVERAGE('26.07 Sentema-Sentema RBT-24h'!C93,'27.07 Sentema-SentemaRBT-24h'!C93)</f>
        <v>0.5</v>
      </c>
      <c r="D93" s="49">
        <f>AVERAGE('26.07 Sentema-Sentema RBT-24h'!D93,'27.07 Sentema-SentemaRBT-24h'!D93)</f>
        <v>0</v>
      </c>
      <c r="E93" s="49">
        <f>AVERAGE('26.07 Sentema-Sentema RBT-24h'!E93,'27.07 Sentema-SentemaRBT-24h'!E93)</f>
        <v>0</v>
      </c>
      <c r="F93" s="49">
        <f>AVERAGE('26.07 Sentema-Sentema RBT-24h'!F93,'27.07 Sentema-SentemaRBT-24h'!F93)</f>
        <v>0.5</v>
      </c>
      <c r="G93" s="49">
        <f>AVERAGE('26.07 Sentema-Sentema RBT-24h'!G93,'27.07 Sentema-SentemaRBT-24h'!G93)</f>
        <v>0</v>
      </c>
      <c r="H93" s="49">
        <f>AVERAGE('26.07 Sentema-Sentema RBT-24h'!H93,'27.07 Sentema-SentemaRBT-24h'!H93)</f>
        <v>0</v>
      </c>
      <c r="I93" s="49">
        <f>AVERAGE('26.07 Sentema-Sentema RBT-24h'!I93,'27.07 Sentema-SentemaRBT-24h'!I93)</f>
        <v>0</v>
      </c>
      <c r="J93" s="49">
        <f>AVERAGE('26.07 Sentema-Sentema RBT-24h'!J93,'27.07 Sentema-SentemaRBT-24h'!J93)</f>
        <v>0</v>
      </c>
      <c r="K93" s="49">
        <f>AVERAGE('26.07 Sentema-Sentema RBT-24h'!K93,'27.07 Sentema-SentemaRBT-24h'!K93)</f>
        <v>0</v>
      </c>
      <c r="L93" s="49">
        <f>AVERAGE('26.07 Sentema-Sentema RBT-24h'!L93,'27.07 Sentema-SentemaRBT-24h'!L93)</f>
        <v>0</v>
      </c>
      <c r="M93" s="49">
        <f>AVERAGE('26.07 Sentema-Sentema RBT-24h'!M93,'27.07 Sentema-SentemaRBT-24h'!M93)</f>
        <v>2.5</v>
      </c>
      <c r="N93" s="49">
        <f>AVERAGE('26.07 Sentema-Sentema RBT-24h'!N93,'27.07 Sentema-SentemaRBT-24h'!N93)</f>
        <v>0</v>
      </c>
      <c r="O93" s="15">
        <f t="shared" si="35"/>
        <v>1</v>
      </c>
      <c r="P93" s="15">
        <f t="shared" si="36"/>
        <v>3.5</v>
      </c>
      <c r="R93" s="8"/>
      <c r="T93"/>
    </row>
    <row r="94" spans="2:20" ht="23.1" customHeight="1" x14ac:dyDescent="0.25">
      <c r="B94" s="24" t="s">
        <v>134</v>
      </c>
      <c r="C94" s="49">
        <f>AVERAGE('26.07 Sentema-Sentema RBT-24h'!C94,'27.07 Sentema-SentemaRBT-24h'!C94)</f>
        <v>0</v>
      </c>
      <c r="D94" s="49">
        <f>AVERAGE('26.07 Sentema-Sentema RBT-24h'!D94,'27.07 Sentema-SentemaRBT-24h'!D94)</f>
        <v>0</v>
      </c>
      <c r="E94" s="49">
        <f>AVERAGE('26.07 Sentema-Sentema RBT-24h'!E94,'27.07 Sentema-SentemaRBT-24h'!E94)</f>
        <v>0.5</v>
      </c>
      <c r="F94" s="49">
        <f>AVERAGE('26.07 Sentema-Sentema RBT-24h'!F94,'27.07 Sentema-SentemaRBT-24h'!F94)</f>
        <v>1</v>
      </c>
      <c r="G94" s="49">
        <f>AVERAGE('26.07 Sentema-Sentema RBT-24h'!G94,'27.07 Sentema-SentemaRBT-24h'!G94)</f>
        <v>0</v>
      </c>
      <c r="H94" s="49">
        <f>AVERAGE('26.07 Sentema-Sentema RBT-24h'!H94,'27.07 Sentema-SentemaRBT-24h'!H94)</f>
        <v>0</v>
      </c>
      <c r="I94" s="49">
        <f>AVERAGE('26.07 Sentema-Sentema RBT-24h'!I94,'27.07 Sentema-SentemaRBT-24h'!I94)</f>
        <v>0</v>
      </c>
      <c r="J94" s="49">
        <f>AVERAGE('26.07 Sentema-Sentema RBT-24h'!J94,'27.07 Sentema-SentemaRBT-24h'!J94)</f>
        <v>0</v>
      </c>
      <c r="K94" s="49">
        <f>AVERAGE('26.07 Sentema-Sentema RBT-24h'!K94,'27.07 Sentema-SentemaRBT-24h'!K94)</f>
        <v>0</v>
      </c>
      <c r="L94" s="49">
        <f>AVERAGE('26.07 Sentema-Sentema RBT-24h'!L94,'27.07 Sentema-SentemaRBT-24h'!L94)</f>
        <v>0</v>
      </c>
      <c r="M94" s="49">
        <f>AVERAGE('26.07 Sentema-Sentema RBT-24h'!M94,'27.07 Sentema-SentemaRBT-24h'!M94)</f>
        <v>0.5</v>
      </c>
      <c r="N94" s="49">
        <f>AVERAGE('26.07 Sentema-Sentema RBT-24h'!N94,'27.07 Sentema-SentemaRBT-24h'!N94)</f>
        <v>0</v>
      </c>
      <c r="O94" s="15">
        <f t="shared" si="35"/>
        <v>1.5</v>
      </c>
      <c r="P94" s="15">
        <f t="shared" si="36"/>
        <v>2</v>
      </c>
      <c r="R94" s="8"/>
      <c r="T94"/>
    </row>
    <row r="95" spans="2:20" ht="23.1" customHeight="1" x14ac:dyDescent="0.25">
      <c r="B95" s="23" t="s">
        <v>135</v>
      </c>
      <c r="C95" s="49">
        <f>AVERAGE('26.07 Sentema-Sentema RBT-24h'!C95,'27.07 Sentema-SentemaRBT-24h'!C95)</f>
        <v>0.5</v>
      </c>
      <c r="D95" s="49">
        <f>AVERAGE('26.07 Sentema-Sentema RBT-24h'!D95,'27.07 Sentema-SentemaRBT-24h'!D95)</f>
        <v>0</v>
      </c>
      <c r="E95" s="49">
        <f>AVERAGE('26.07 Sentema-Sentema RBT-24h'!E95,'27.07 Sentema-SentemaRBT-24h'!E95)</f>
        <v>0</v>
      </c>
      <c r="F95" s="49">
        <f>AVERAGE('26.07 Sentema-Sentema RBT-24h'!F95,'27.07 Sentema-SentemaRBT-24h'!F95)</f>
        <v>0.5</v>
      </c>
      <c r="G95" s="49">
        <f>AVERAGE('26.07 Sentema-Sentema RBT-24h'!G95,'27.07 Sentema-SentemaRBT-24h'!G95)</f>
        <v>0</v>
      </c>
      <c r="H95" s="49">
        <f>AVERAGE('26.07 Sentema-Sentema RBT-24h'!H95,'27.07 Sentema-SentemaRBT-24h'!H95)</f>
        <v>0</v>
      </c>
      <c r="I95" s="49">
        <f>AVERAGE('26.07 Sentema-Sentema RBT-24h'!I95,'27.07 Sentema-SentemaRBT-24h'!I95)</f>
        <v>0</v>
      </c>
      <c r="J95" s="49">
        <f>AVERAGE('26.07 Sentema-Sentema RBT-24h'!J95,'27.07 Sentema-SentemaRBT-24h'!J95)</f>
        <v>0</v>
      </c>
      <c r="K95" s="49">
        <f>AVERAGE('26.07 Sentema-Sentema RBT-24h'!K95,'27.07 Sentema-SentemaRBT-24h'!K95)</f>
        <v>0</v>
      </c>
      <c r="L95" s="49">
        <f>AVERAGE('26.07 Sentema-Sentema RBT-24h'!L95,'27.07 Sentema-SentemaRBT-24h'!L95)</f>
        <v>0</v>
      </c>
      <c r="M95" s="49">
        <f>AVERAGE('26.07 Sentema-Sentema RBT-24h'!M95,'27.07 Sentema-SentemaRBT-24h'!M95)</f>
        <v>0.5</v>
      </c>
      <c r="N95" s="49">
        <f>AVERAGE('26.07 Sentema-Sentema RBT-24h'!N95,'27.07 Sentema-SentemaRBT-24h'!N95)</f>
        <v>0</v>
      </c>
      <c r="O95" s="15">
        <f t="shared" si="35"/>
        <v>1</v>
      </c>
      <c r="P95" s="15">
        <f t="shared" si="36"/>
        <v>1.5</v>
      </c>
      <c r="R95" s="8"/>
      <c r="T95"/>
    </row>
    <row r="96" spans="2:20" ht="23.1" customHeight="1" x14ac:dyDescent="0.25">
      <c r="B96" s="25" t="s">
        <v>136</v>
      </c>
      <c r="C96" s="49">
        <f>AVERAGE('26.07 Sentema-Sentema RBT-24h'!C96,'27.07 Sentema-SentemaRBT-24h'!C96)</f>
        <v>1</v>
      </c>
      <c r="D96" s="49">
        <f>AVERAGE('26.07 Sentema-Sentema RBT-24h'!D96,'27.07 Sentema-SentemaRBT-24h'!D96)</f>
        <v>0</v>
      </c>
      <c r="E96" s="49">
        <f>AVERAGE('26.07 Sentema-Sentema RBT-24h'!E96,'27.07 Sentema-SentemaRBT-24h'!E96)</f>
        <v>0</v>
      </c>
      <c r="F96" s="49">
        <f>AVERAGE('26.07 Sentema-Sentema RBT-24h'!F96,'27.07 Sentema-SentemaRBT-24h'!F96)</f>
        <v>1</v>
      </c>
      <c r="G96" s="49">
        <f>AVERAGE('26.07 Sentema-Sentema RBT-24h'!G96,'27.07 Sentema-SentemaRBT-24h'!G96)</f>
        <v>0</v>
      </c>
      <c r="H96" s="49">
        <f>AVERAGE('26.07 Sentema-Sentema RBT-24h'!H96,'27.07 Sentema-SentemaRBT-24h'!H96)</f>
        <v>0</v>
      </c>
      <c r="I96" s="49">
        <f>AVERAGE('26.07 Sentema-Sentema RBT-24h'!I96,'27.07 Sentema-SentemaRBT-24h'!I96)</f>
        <v>0</v>
      </c>
      <c r="J96" s="49">
        <f>AVERAGE('26.07 Sentema-Sentema RBT-24h'!J96,'27.07 Sentema-SentemaRBT-24h'!J96)</f>
        <v>0</v>
      </c>
      <c r="K96" s="49">
        <f>AVERAGE('26.07 Sentema-Sentema RBT-24h'!K96,'27.07 Sentema-SentemaRBT-24h'!K96)</f>
        <v>0</v>
      </c>
      <c r="L96" s="49">
        <f>AVERAGE('26.07 Sentema-Sentema RBT-24h'!L96,'27.07 Sentema-SentemaRBT-24h'!L96)</f>
        <v>0</v>
      </c>
      <c r="M96" s="49">
        <f>AVERAGE('26.07 Sentema-Sentema RBT-24h'!M96,'27.07 Sentema-SentemaRBT-24h'!M96)</f>
        <v>0.5</v>
      </c>
      <c r="N96" s="49">
        <f>AVERAGE('26.07 Sentema-Sentema RBT-24h'!N96,'27.07 Sentema-SentemaRBT-24h'!N96)</f>
        <v>0</v>
      </c>
      <c r="O96" s="15">
        <f t="shared" si="35"/>
        <v>2</v>
      </c>
      <c r="P96" s="15">
        <f t="shared" si="36"/>
        <v>2.5</v>
      </c>
      <c r="R96" s="8"/>
      <c r="T96"/>
    </row>
    <row r="97" spans="2:20" ht="23.1" customHeight="1" x14ac:dyDescent="0.25">
      <c r="B97" s="23" t="s">
        <v>137</v>
      </c>
      <c r="C97" s="49">
        <f>AVERAGE('26.07 Sentema-Sentema RBT-24h'!C97,'27.07 Sentema-SentemaRBT-24h'!C97)</f>
        <v>0</v>
      </c>
      <c r="D97" s="49">
        <f>AVERAGE('26.07 Sentema-Sentema RBT-24h'!D97,'27.07 Sentema-SentemaRBT-24h'!D97)</f>
        <v>0</v>
      </c>
      <c r="E97" s="49">
        <f>AVERAGE('26.07 Sentema-Sentema RBT-24h'!E97,'27.07 Sentema-SentemaRBT-24h'!E97)</f>
        <v>0</v>
      </c>
      <c r="F97" s="49">
        <f>AVERAGE('26.07 Sentema-Sentema RBT-24h'!F97,'27.07 Sentema-SentemaRBT-24h'!F97)</f>
        <v>1</v>
      </c>
      <c r="G97" s="49">
        <f>AVERAGE('26.07 Sentema-Sentema RBT-24h'!G97,'27.07 Sentema-SentemaRBT-24h'!G97)</f>
        <v>0</v>
      </c>
      <c r="H97" s="49">
        <f>AVERAGE('26.07 Sentema-Sentema RBT-24h'!H97,'27.07 Sentema-SentemaRBT-24h'!H97)</f>
        <v>0</v>
      </c>
      <c r="I97" s="49">
        <f>AVERAGE('26.07 Sentema-Sentema RBT-24h'!I97,'27.07 Sentema-SentemaRBT-24h'!I97)</f>
        <v>0</v>
      </c>
      <c r="J97" s="49">
        <f>AVERAGE('26.07 Sentema-Sentema RBT-24h'!J97,'27.07 Sentema-SentemaRBT-24h'!J97)</f>
        <v>0</v>
      </c>
      <c r="K97" s="49">
        <f>AVERAGE('26.07 Sentema-Sentema RBT-24h'!K97,'27.07 Sentema-SentemaRBT-24h'!K97)</f>
        <v>0</v>
      </c>
      <c r="L97" s="49">
        <f>AVERAGE('26.07 Sentema-Sentema RBT-24h'!L97,'27.07 Sentema-SentemaRBT-24h'!L97)</f>
        <v>0</v>
      </c>
      <c r="M97" s="49">
        <f>AVERAGE('26.07 Sentema-Sentema RBT-24h'!M97,'27.07 Sentema-SentemaRBT-24h'!M97)</f>
        <v>1</v>
      </c>
      <c r="N97" s="49">
        <f>AVERAGE('26.07 Sentema-Sentema RBT-24h'!N97,'27.07 Sentema-SentemaRBT-24h'!N97)</f>
        <v>0</v>
      </c>
      <c r="O97" s="15">
        <f t="shared" si="35"/>
        <v>1</v>
      </c>
      <c r="P97" s="15">
        <f t="shared" si="36"/>
        <v>2</v>
      </c>
      <c r="R97" s="8"/>
      <c r="T97"/>
    </row>
    <row r="98" spans="2:20" ht="23.1" customHeight="1" x14ac:dyDescent="0.25">
      <c r="B98" s="24" t="s">
        <v>138</v>
      </c>
      <c r="C98" s="49">
        <f>AVERAGE('26.07 Sentema-Sentema RBT-24h'!C98,'27.07 Sentema-SentemaRBT-24h'!C98)</f>
        <v>2</v>
      </c>
      <c r="D98" s="49">
        <f>AVERAGE('26.07 Sentema-Sentema RBT-24h'!D98,'27.07 Sentema-SentemaRBT-24h'!D98)</f>
        <v>0</v>
      </c>
      <c r="E98" s="49">
        <f>AVERAGE('26.07 Sentema-Sentema RBT-24h'!E98,'27.07 Sentema-SentemaRBT-24h'!E98)</f>
        <v>0</v>
      </c>
      <c r="F98" s="49">
        <f>AVERAGE('26.07 Sentema-Sentema RBT-24h'!F98,'27.07 Sentema-SentemaRBT-24h'!F98)</f>
        <v>1.5</v>
      </c>
      <c r="G98" s="49">
        <f>AVERAGE('26.07 Sentema-Sentema RBT-24h'!G98,'27.07 Sentema-SentemaRBT-24h'!G98)</f>
        <v>0</v>
      </c>
      <c r="H98" s="49">
        <f>AVERAGE('26.07 Sentema-Sentema RBT-24h'!H98,'27.07 Sentema-SentemaRBT-24h'!H98)</f>
        <v>0</v>
      </c>
      <c r="I98" s="49">
        <f>AVERAGE('26.07 Sentema-Sentema RBT-24h'!I98,'27.07 Sentema-SentemaRBT-24h'!I98)</f>
        <v>0</v>
      </c>
      <c r="J98" s="49">
        <f>AVERAGE('26.07 Sentema-Sentema RBT-24h'!J98,'27.07 Sentema-SentemaRBT-24h'!J98)</f>
        <v>0.5</v>
      </c>
      <c r="K98" s="49">
        <f>AVERAGE('26.07 Sentema-Sentema RBT-24h'!K98,'27.07 Sentema-SentemaRBT-24h'!K98)</f>
        <v>0.5</v>
      </c>
      <c r="L98" s="49">
        <f>AVERAGE('26.07 Sentema-Sentema RBT-24h'!L98,'27.07 Sentema-SentemaRBT-24h'!L98)</f>
        <v>0</v>
      </c>
      <c r="M98" s="49">
        <f>AVERAGE('26.07 Sentema-Sentema RBT-24h'!M98,'27.07 Sentema-SentemaRBT-24h'!M98)</f>
        <v>2</v>
      </c>
      <c r="N98" s="49">
        <f>AVERAGE('26.07 Sentema-Sentema RBT-24h'!N98,'27.07 Sentema-SentemaRBT-24h'!N98)</f>
        <v>0</v>
      </c>
      <c r="O98" s="15">
        <f t="shared" si="35"/>
        <v>4.5</v>
      </c>
      <c r="P98" s="15">
        <f t="shared" si="36"/>
        <v>6.5</v>
      </c>
      <c r="R98" s="8"/>
      <c r="T98"/>
    </row>
    <row r="99" spans="2:20" ht="23.1" customHeight="1" x14ac:dyDescent="0.25">
      <c r="B99" s="23" t="s">
        <v>139</v>
      </c>
      <c r="C99" s="49">
        <f>AVERAGE('26.07 Sentema-Sentema RBT-24h'!C99,'27.07 Sentema-SentemaRBT-24h'!C99)</f>
        <v>2</v>
      </c>
      <c r="D99" s="49">
        <f>AVERAGE('26.07 Sentema-Sentema RBT-24h'!D99,'27.07 Sentema-SentemaRBT-24h'!D99)</f>
        <v>0.5</v>
      </c>
      <c r="E99" s="49">
        <f>AVERAGE('26.07 Sentema-Sentema RBT-24h'!E99,'27.07 Sentema-SentemaRBT-24h'!E99)</f>
        <v>0</v>
      </c>
      <c r="F99" s="49">
        <f>AVERAGE('26.07 Sentema-Sentema RBT-24h'!F99,'27.07 Sentema-SentemaRBT-24h'!F99)</f>
        <v>3.5</v>
      </c>
      <c r="G99" s="49">
        <f>AVERAGE('26.07 Sentema-Sentema RBT-24h'!G99,'27.07 Sentema-SentemaRBT-24h'!G99)</f>
        <v>2.5</v>
      </c>
      <c r="H99" s="49">
        <f>AVERAGE('26.07 Sentema-Sentema RBT-24h'!H99,'27.07 Sentema-SentemaRBT-24h'!H99)</f>
        <v>0</v>
      </c>
      <c r="I99" s="49">
        <f>AVERAGE('26.07 Sentema-Sentema RBT-24h'!I99,'27.07 Sentema-SentemaRBT-24h'!I99)</f>
        <v>0</v>
      </c>
      <c r="J99" s="49">
        <f>AVERAGE('26.07 Sentema-Sentema RBT-24h'!J99,'27.07 Sentema-SentemaRBT-24h'!J99)</f>
        <v>0</v>
      </c>
      <c r="K99" s="49">
        <f>AVERAGE('26.07 Sentema-Sentema RBT-24h'!K99,'27.07 Sentema-SentemaRBT-24h'!K99)</f>
        <v>0.5</v>
      </c>
      <c r="L99" s="49">
        <f>AVERAGE('26.07 Sentema-Sentema RBT-24h'!L99,'27.07 Sentema-SentemaRBT-24h'!L99)</f>
        <v>0</v>
      </c>
      <c r="M99" s="49">
        <f>AVERAGE('26.07 Sentema-Sentema RBT-24h'!M99,'27.07 Sentema-SentemaRBT-24h'!M99)</f>
        <v>2.5</v>
      </c>
      <c r="N99" s="49">
        <f>AVERAGE('26.07 Sentema-Sentema RBT-24h'!N99,'27.07 Sentema-SentemaRBT-24h'!N99)</f>
        <v>0</v>
      </c>
      <c r="O99" s="15">
        <f t="shared" si="35"/>
        <v>9</v>
      </c>
      <c r="P99" s="15">
        <f t="shared" si="36"/>
        <v>11.5</v>
      </c>
      <c r="R99" s="8"/>
      <c r="T99"/>
    </row>
    <row r="100" spans="2:20" ht="23.1" customHeight="1" x14ac:dyDescent="0.25">
      <c r="B100" s="25" t="s">
        <v>140</v>
      </c>
      <c r="C100" s="49">
        <f>AVERAGE('26.07 Sentema-Sentema RBT-24h'!C100,'27.07 Sentema-SentemaRBT-24h'!C100)</f>
        <v>3</v>
      </c>
      <c r="D100" s="49">
        <f>AVERAGE('26.07 Sentema-Sentema RBT-24h'!D100,'27.07 Sentema-SentemaRBT-24h'!D100)</f>
        <v>0</v>
      </c>
      <c r="E100" s="49">
        <f>AVERAGE('26.07 Sentema-Sentema RBT-24h'!E100,'27.07 Sentema-SentemaRBT-24h'!E100)</f>
        <v>0</v>
      </c>
      <c r="F100" s="49">
        <f>AVERAGE('26.07 Sentema-Sentema RBT-24h'!F100,'27.07 Sentema-SentemaRBT-24h'!F100)</f>
        <v>5.5</v>
      </c>
      <c r="G100" s="49">
        <f>AVERAGE('26.07 Sentema-Sentema RBT-24h'!G100,'27.07 Sentema-SentemaRBT-24h'!G100)</f>
        <v>0</v>
      </c>
      <c r="H100" s="49">
        <f>AVERAGE('26.07 Sentema-Sentema RBT-24h'!H100,'27.07 Sentema-SentemaRBT-24h'!H100)</f>
        <v>0</v>
      </c>
      <c r="I100" s="49">
        <f>AVERAGE('26.07 Sentema-Sentema RBT-24h'!I100,'27.07 Sentema-SentemaRBT-24h'!I100)</f>
        <v>1</v>
      </c>
      <c r="J100" s="49">
        <f>AVERAGE('26.07 Sentema-Sentema RBT-24h'!J100,'27.07 Sentema-SentemaRBT-24h'!J100)</f>
        <v>0</v>
      </c>
      <c r="K100" s="49">
        <f>AVERAGE('26.07 Sentema-Sentema RBT-24h'!K100,'27.07 Sentema-SentemaRBT-24h'!K100)</f>
        <v>0</v>
      </c>
      <c r="L100" s="49">
        <f>AVERAGE('26.07 Sentema-Sentema RBT-24h'!L100,'27.07 Sentema-SentemaRBT-24h'!L100)</f>
        <v>0</v>
      </c>
      <c r="M100" s="49">
        <f>AVERAGE('26.07 Sentema-Sentema RBT-24h'!M100,'27.07 Sentema-SentemaRBT-24h'!M100)</f>
        <v>5</v>
      </c>
      <c r="N100" s="49">
        <f>AVERAGE('26.07 Sentema-Sentema RBT-24h'!N100,'27.07 Sentema-SentemaRBT-24h'!N100)</f>
        <v>0</v>
      </c>
      <c r="O100" s="15">
        <f t="shared" si="35"/>
        <v>9.5</v>
      </c>
      <c r="P100" s="15">
        <f t="shared" si="36"/>
        <v>14.5</v>
      </c>
      <c r="R100" s="8"/>
      <c r="T100"/>
    </row>
    <row r="101" spans="2:20" ht="23.1" customHeight="1" x14ac:dyDescent="0.25">
      <c r="B101" s="23" t="s">
        <v>141</v>
      </c>
      <c r="C101" s="49">
        <f>AVERAGE('26.07 Sentema-Sentema RBT-24h'!C101,'27.07 Sentema-SentemaRBT-24h'!C101)</f>
        <v>7</v>
      </c>
      <c r="D101" s="49">
        <f>AVERAGE('26.07 Sentema-Sentema RBT-24h'!D101,'27.07 Sentema-SentemaRBT-24h'!D101)</f>
        <v>0</v>
      </c>
      <c r="E101" s="49">
        <f>AVERAGE('26.07 Sentema-Sentema RBT-24h'!E101,'27.07 Sentema-SentemaRBT-24h'!E101)</f>
        <v>1</v>
      </c>
      <c r="F101" s="49">
        <f>AVERAGE('26.07 Sentema-Sentema RBT-24h'!F101,'27.07 Sentema-SentemaRBT-24h'!F101)</f>
        <v>8.5</v>
      </c>
      <c r="G101" s="49">
        <f>AVERAGE('26.07 Sentema-Sentema RBT-24h'!G101,'27.07 Sentema-SentemaRBT-24h'!G101)</f>
        <v>0</v>
      </c>
      <c r="H101" s="49">
        <f>AVERAGE('26.07 Sentema-Sentema RBT-24h'!H101,'27.07 Sentema-SentemaRBT-24h'!H101)</f>
        <v>0</v>
      </c>
      <c r="I101" s="49">
        <f>AVERAGE('26.07 Sentema-Sentema RBT-24h'!I101,'27.07 Sentema-SentemaRBT-24h'!I101)</f>
        <v>1</v>
      </c>
      <c r="J101" s="49">
        <f>AVERAGE('26.07 Sentema-Sentema RBT-24h'!J101,'27.07 Sentema-SentemaRBT-24h'!J101)</f>
        <v>0</v>
      </c>
      <c r="K101" s="49">
        <f>AVERAGE('26.07 Sentema-Sentema RBT-24h'!K101,'27.07 Sentema-SentemaRBT-24h'!K101)</f>
        <v>0</v>
      </c>
      <c r="L101" s="49">
        <f>AVERAGE('26.07 Sentema-Sentema RBT-24h'!L101,'27.07 Sentema-SentemaRBT-24h'!L101)</f>
        <v>0</v>
      </c>
      <c r="M101" s="49">
        <f>AVERAGE('26.07 Sentema-Sentema RBT-24h'!M101,'27.07 Sentema-SentemaRBT-24h'!M101)</f>
        <v>12.5</v>
      </c>
      <c r="N101" s="49">
        <f>AVERAGE('26.07 Sentema-Sentema RBT-24h'!N101,'27.07 Sentema-SentemaRBT-24h'!N101)</f>
        <v>0</v>
      </c>
      <c r="O101" s="15">
        <f t="shared" si="35"/>
        <v>17.5</v>
      </c>
      <c r="P101" s="15">
        <f t="shared" si="36"/>
        <v>30</v>
      </c>
      <c r="R101" s="8"/>
      <c r="T101"/>
    </row>
    <row r="102" spans="2:20" ht="23.1" customHeight="1" x14ac:dyDescent="0.25">
      <c r="B102" s="24" t="s">
        <v>142</v>
      </c>
      <c r="C102" s="49">
        <f>AVERAGE('26.07 Sentema-Sentema RBT-24h'!C102,'27.07 Sentema-SentemaRBT-24h'!C102)</f>
        <v>2</v>
      </c>
      <c r="D102" s="49">
        <f>AVERAGE('26.07 Sentema-Sentema RBT-24h'!D102,'27.07 Sentema-SentemaRBT-24h'!D102)</f>
        <v>0.5</v>
      </c>
      <c r="E102" s="49">
        <f>AVERAGE('26.07 Sentema-Sentema RBT-24h'!E102,'27.07 Sentema-SentemaRBT-24h'!E102)</f>
        <v>1</v>
      </c>
      <c r="F102" s="49">
        <f>AVERAGE('26.07 Sentema-Sentema RBT-24h'!F102,'27.07 Sentema-SentemaRBT-24h'!F102)</f>
        <v>6</v>
      </c>
      <c r="G102" s="49">
        <f>AVERAGE('26.07 Sentema-Sentema RBT-24h'!G102,'27.07 Sentema-SentemaRBT-24h'!G102)</f>
        <v>0.5</v>
      </c>
      <c r="H102" s="49">
        <f>AVERAGE('26.07 Sentema-Sentema RBT-24h'!H102,'27.07 Sentema-SentemaRBT-24h'!H102)</f>
        <v>0</v>
      </c>
      <c r="I102" s="49">
        <f>AVERAGE('26.07 Sentema-Sentema RBT-24h'!I102,'27.07 Sentema-SentemaRBT-24h'!I102)</f>
        <v>1</v>
      </c>
      <c r="J102" s="49">
        <f>AVERAGE('26.07 Sentema-Sentema RBT-24h'!J102,'27.07 Sentema-SentemaRBT-24h'!J102)</f>
        <v>0</v>
      </c>
      <c r="K102" s="49">
        <f>AVERAGE('26.07 Sentema-Sentema RBT-24h'!K102,'27.07 Sentema-SentemaRBT-24h'!K102)</f>
        <v>0.5</v>
      </c>
      <c r="L102" s="49">
        <f>AVERAGE('26.07 Sentema-Sentema RBT-24h'!L102,'27.07 Sentema-SentemaRBT-24h'!L102)</f>
        <v>0</v>
      </c>
      <c r="M102" s="49">
        <f>AVERAGE('26.07 Sentema-Sentema RBT-24h'!M102,'27.07 Sentema-SentemaRBT-24h'!M102)</f>
        <v>16.5</v>
      </c>
      <c r="N102" s="49">
        <f>AVERAGE('26.07 Sentema-Sentema RBT-24h'!N102,'27.07 Sentema-SentemaRBT-24h'!N102)</f>
        <v>0</v>
      </c>
      <c r="O102" s="15">
        <f t="shared" si="35"/>
        <v>11.5</v>
      </c>
      <c r="P102" s="15">
        <f t="shared" si="36"/>
        <v>28</v>
      </c>
      <c r="R102" s="8"/>
      <c r="T102"/>
    </row>
    <row r="103" spans="2:20" ht="23.1" customHeight="1" x14ac:dyDescent="0.25">
      <c r="B103" s="23" t="s">
        <v>143</v>
      </c>
      <c r="C103" s="49">
        <f>AVERAGE('26.07 Sentema-Sentema RBT-24h'!C103,'27.07 Sentema-SentemaRBT-24h'!C103)</f>
        <v>9</v>
      </c>
      <c r="D103" s="49">
        <f>AVERAGE('26.07 Sentema-Sentema RBT-24h'!D103,'27.07 Sentema-SentemaRBT-24h'!D103)</f>
        <v>1.5</v>
      </c>
      <c r="E103" s="49">
        <f>AVERAGE('26.07 Sentema-Sentema RBT-24h'!E103,'27.07 Sentema-SentemaRBT-24h'!E103)</f>
        <v>0.5</v>
      </c>
      <c r="F103" s="49">
        <f>AVERAGE('26.07 Sentema-Sentema RBT-24h'!F103,'27.07 Sentema-SentemaRBT-24h'!F103)</f>
        <v>8.5</v>
      </c>
      <c r="G103" s="49">
        <f>AVERAGE('26.07 Sentema-Sentema RBT-24h'!G103,'27.07 Sentema-SentemaRBT-24h'!G103)</f>
        <v>0</v>
      </c>
      <c r="H103" s="49">
        <f>AVERAGE('26.07 Sentema-Sentema RBT-24h'!H103,'27.07 Sentema-SentemaRBT-24h'!H103)</f>
        <v>0</v>
      </c>
      <c r="I103" s="49">
        <f>AVERAGE('26.07 Sentema-Sentema RBT-24h'!I103,'27.07 Sentema-SentemaRBT-24h'!I103)</f>
        <v>0.5</v>
      </c>
      <c r="J103" s="49">
        <f>AVERAGE('26.07 Sentema-Sentema RBT-24h'!J103,'27.07 Sentema-SentemaRBT-24h'!J103)</f>
        <v>1</v>
      </c>
      <c r="K103" s="49">
        <f>AVERAGE('26.07 Sentema-Sentema RBT-24h'!K103,'27.07 Sentema-SentemaRBT-24h'!K103)</f>
        <v>0</v>
      </c>
      <c r="L103" s="49">
        <f>AVERAGE('26.07 Sentema-Sentema RBT-24h'!L103,'27.07 Sentema-SentemaRBT-24h'!L103)</f>
        <v>0</v>
      </c>
      <c r="M103" s="49">
        <f>AVERAGE('26.07 Sentema-Sentema RBT-24h'!M103,'27.07 Sentema-SentemaRBT-24h'!M103)</f>
        <v>13.5</v>
      </c>
      <c r="N103" s="49">
        <f>AVERAGE('26.07 Sentema-Sentema RBT-24h'!N103,'27.07 Sentema-SentemaRBT-24h'!N103)</f>
        <v>0</v>
      </c>
      <c r="O103" s="15">
        <f t="shared" si="35"/>
        <v>21</v>
      </c>
      <c r="P103" s="15">
        <f t="shared" si="36"/>
        <v>34.5</v>
      </c>
      <c r="R103" s="8"/>
      <c r="T103"/>
    </row>
    <row r="104" spans="2:20" ht="23.1" customHeight="1" x14ac:dyDescent="0.25">
      <c r="B104" s="25" t="s">
        <v>144</v>
      </c>
      <c r="C104" s="49">
        <f>AVERAGE('26.07 Sentema-Sentema RBT-24h'!C104,'27.07 Sentema-SentemaRBT-24h'!C104)</f>
        <v>9</v>
      </c>
      <c r="D104" s="49">
        <f>AVERAGE('26.07 Sentema-Sentema RBT-24h'!D104,'27.07 Sentema-SentemaRBT-24h'!D104)</f>
        <v>0</v>
      </c>
      <c r="E104" s="49">
        <f>AVERAGE('26.07 Sentema-Sentema RBT-24h'!E104,'27.07 Sentema-SentemaRBT-24h'!E104)</f>
        <v>0</v>
      </c>
      <c r="F104" s="49">
        <f>AVERAGE('26.07 Sentema-Sentema RBT-24h'!F104,'27.07 Sentema-SentemaRBT-24h'!F104)</f>
        <v>14</v>
      </c>
      <c r="G104" s="49">
        <f>AVERAGE('26.07 Sentema-Sentema RBT-24h'!G104,'27.07 Sentema-SentemaRBT-24h'!G104)</f>
        <v>0</v>
      </c>
      <c r="H104" s="49">
        <f>AVERAGE('26.07 Sentema-Sentema RBT-24h'!H104,'27.07 Sentema-SentemaRBT-24h'!H104)</f>
        <v>0</v>
      </c>
      <c r="I104" s="49">
        <f>AVERAGE('26.07 Sentema-Sentema RBT-24h'!I104,'27.07 Sentema-SentemaRBT-24h'!I104)</f>
        <v>1</v>
      </c>
      <c r="J104" s="49">
        <f>AVERAGE('26.07 Sentema-Sentema RBT-24h'!J104,'27.07 Sentema-SentemaRBT-24h'!J104)</f>
        <v>0.5</v>
      </c>
      <c r="K104" s="49">
        <f>AVERAGE('26.07 Sentema-Sentema RBT-24h'!K104,'27.07 Sentema-SentemaRBT-24h'!K104)</f>
        <v>0</v>
      </c>
      <c r="L104" s="49">
        <f>AVERAGE('26.07 Sentema-Sentema RBT-24h'!L104,'27.07 Sentema-SentemaRBT-24h'!L104)</f>
        <v>0</v>
      </c>
      <c r="M104" s="49">
        <f>AVERAGE('26.07 Sentema-Sentema RBT-24h'!M104,'27.07 Sentema-SentemaRBT-24h'!M104)</f>
        <v>10.5</v>
      </c>
      <c r="N104" s="49">
        <f>AVERAGE('26.07 Sentema-Sentema RBT-24h'!N104,'27.07 Sentema-SentemaRBT-24h'!N104)</f>
        <v>0</v>
      </c>
      <c r="O104" s="15">
        <f t="shared" si="35"/>
        <v>24.5</v>
      </c>
      <c r="P104" s="15">
        <f t="shared" si="36"/>
        <v>35</v>
      </c>
      <c r="R104" s="8"/>
      <c r="T104"/>
    </row>
    <row r="105" spans="2:20" ht="23.1" customHeight="1" x14ac:dyDescent="0.25">
      <c r="B105" s="23" t="s">
        <v>145</v>
      </c>
      <c r="C105" s="49">
        <f>AVERAGE('26.07 Sentema-Sentema RBT-24h'!C105,'27.07 Sentema-SentemaRBT-24h'!C105)</f>
        <v>8.5</v>
      </c>
      <c r="D105" s="49">
        <f>AVERAGE('26.07 Sentema-Sentema RBT-24h'!D105,'27.07 Sentema-SentemaRBT-24h'!D105)</f>
        <v>0</v>
      </c>
      <c r="E105" s="49">
        <f>AVERAGE('26.07 Sentema-Sentema RBT-24h'!E105,'27.07 Sentema-SentemaRBT-24h'!E105)</f>
        <v>0</v>
      </c>
      <c r="F105" s="49">
        <f>AVERAGE('26.07 Sentema-Sentema RBT-24h'!F105,'27.07 Sentema-SentemaRBT-24h'!F105)</f>
        <v>7.5</v>
      </c>
      <c r="G105" s="49">
        <f>AVERAGE('26.07 Sentema-Sentema RBT-24h'!G105,'27.07 Sentema-SentemaRBT-24h'!G105)</f>
        <v>0</v>
      </c>
      <c r="H105" s="49">
        <f>AVERAGE('26.07 Sentema-Sentema RBT-24h'!H105,'27.07 Sentema-SentemaRBT-24h'!H105)</f>
        <v>0</v>
      </c>
      <c r="I105" s="49">
        <f>AVERAGE('26.07 Sentema-Sentema RBT-24h'!I105,'27.07 Sentema-SentemaRBT-24h'!I105)</f>
        <v>0.5</v>
      </c>
      <c r="J105" s="49">
        <f>AVERAGE('26.07 Sentema-Sentema RBT-24h'!J105,'27.07 Sentema-SentemaRBT-24h'!J105)</f>
        <v>0</v>
      </c>
      <c r="K105" s="49">
        <f>AVERAGE('26.07 Sentema-Sentema RBT-24h'!K105,'27.07 Sentema-SentemaRBT-24h'!K105)</f>
        <v>0</v>
      </c>
      <c r="L105" s="49">
        <f>AVERAGE('26.07 Sentema-Sentema RBT-24h'!L105,'27.07 Sentema-SentemaRBT-24h'!L105)</f>
        <v>0</v>
      </c>
      <c r="M105" s="49">
        <f>AVERAGE('26.07 Sentema-Sentema RBT-24h'!M105,'27.07 Sentema-SentemaRBT-24h'!M105)</f>
        <v>24.5</v>
      </c>
      <c r="N105" s="49">
        <f>AVERAGE('26.07 Sentema-Sentema RBT-24h'!N105,'27.07 Sentema-SentemaRBT-24h'!N105)</f>
        <v>0</v>
      </c>
      <c r="O105" s="15">
        <f t="shared" si="35"/>
        <v>16.5</v>
      </c>
      <c r="P105" s="15">
        <f t="shared" si="36"/>
        <v>41</v>
      </c>
      <c r="R105" s="8"/>
      <c r="T105"/>
    </row>
    <row r="106" spans="2:20" ht="23.1" customHeight="1" x14ac:dyDescent="0.25">
      <c r="B106" s="54" t="s">
        <v>18</v>
      </c>
      <c r="C106" s="16">
        <f>SUM(C10:C105)</f>
        <v>1123.5714285714289</v>
      </c>
      <c r="D106" s="16">
        <f t="shared" ref="D106:P106" si="37">SUM(D10:D105)</f>
        <v>229.57142857142856</v>
      </c>
      <c r="E106" s="16">
        <f t="shared" si="37"/>
        <v>145.35714285714289</v>
      </c>
      <c r="F106" s="16">
        <f t="shared" si="37"/>
        <v>664.35714285714289</v>
      </c>
      <c r="G106" s="16">
        <f t="shared" si="37"/>
        <v>12.714285714285714</v>
      </c>
      <c r="H106" s="16">
        <f t="shared" si="37"/>
        <v>6.2857142857142856</v>
      </c>
      <c r="I106" s="16">
        <f t="shared" si="37"/>
        <v>160.64285714285717</v>
      </c>
      <c r="J106" s="16">
        <f t="shared" si="37"/>
        <v>83.142857142857139</v>
      </c>
      <c r="K106" s="16">
        <f t="shared" si="37"/>
        <v>13.571428571428573</v>
      </c>
      <c r="L106" s="16">
        <f t="shared" si="37"/>
        <v>12.999999999999998</v>
      </c>
      <c r="M106" s="16">
        <f t="shared" si="37"/>
        <v>3136.0476190476193</v>
      </c>
      <c r="N106" s="16">
        <f t="shared" si="37"/>
        <v>0.14285714285714285</v>
      </c>
      <c r="O106" s="16">
        <f t="shared" si="37"/>
        <v>2452.3571428571418</v>
      </c>
      <c r="P106" s="16">
        <f t="shared" si="37"/>
        <v>5588.4047619047597</v>
      </c>
      <c r="R106" s="19"/>
      <c r="S106" s="19"/>
      <c r="T106"/>
    </row>
    <row r="107" spans="2:20" ht="23.1" customHeight="1" x14ac:dyDescent="0.25">
      <c r="B107" s="26" t="s">
        <v>93</v>
      </c>
      <c r="C107" s="43">
        <f t="shared" ref="C107:N107" si="38">C106/$P$106</f>
        <v>0.2010540532480094</v>
      </c>
      <c r="D107" s="43">
        <f t="shared" si="38"/>
        <v>4.1079957224354861E-2</v>
      </c>
      <c r="E107" s="43">
        <f t="shared" si="38"/>
        <v>2.6010489406211007E-2</v>
      </c>
      <c r="F107" s="43">
        <f t="shared" si="38"/>
        <v>0.11888135723202384</v>
      </c>
      <c r="G107" s="43">
        <f t="shared" si="38"/>
        <v>2.2751189750887264E-3</v>
      </c>
      <c r="H107" s="43">
        <f t="shared" si="38"/>
        <v>1.1247779202685838E-3</v>
      </c>
      <c r="I107" s="43">
        <f t="shared" si="38"/>
        <v>2.8745744803227787E-2</v>
      </c>
      <c r="J107" s="43">
        <f t="shared" si="38"/>
        <v>1.4877744309007176E-2</v>
      </c>
      <c r="K107" s="43">
        <f t="shared" si="38"/>
        <v>2.428497782398079E-3</v>
      </c>
      <c r="L107" s="43">
        <f t="shared" si="38"/>
        <v>2.3262452441918436E-3</v>
      </c>
      <c r="M107" s="43">
        <f t="shared" si="38"/>
        <v>0.56117045072066762</v>
      </c>
      <c r="N107" s="43">
        <f t="shared" si="38"/>
        <v>2.556313455155872E-5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0.45815978795910672</v>
      </c>
      <c r="D108" s="44">
        <f t="shared" ref="D108:N108" si="39">D106/$O$106</f>
        <v>9.3612559345236393E-2</v>
      </c>
      <c r="E108" s="44">
        <f t="shared" si="39"/>
        <v>5.9272420120583737E-2</v>
      </c>
      <c r="F108" s="44">
        <f t="shared" si="39"/>
        <v>0.27090554277226003</v>
      </c>
      <c r="G108" s="44">
        <f t="shared" si="39"/>
        <v>5.1845163545277155E-3</v>
      </c>
      <c r="H108" s="44">
        <f t="shared" si="39"/>
        <v>2.5631316808901066E-3</v>
      </c>
      <c r="I108" s="44">
        <f t="shared" si="39"/>
        <v>6.5505490344566486E-2</v>
      </c>
      <c r="J108" s="44">
        <f t="shared" si="39"/>
        <v>3.3903241779046411E-2</v>
      </c>
      <c r="K108" s="44">
        <f t="shared" si="39"/>
        <v>5.5340343110127314E-3</v>
      </c>
      <c r="L108" s="44">
        <f t="shared" si="39"/>
        <v>5.3010223400227199E-3</v>
      </c>
      <c r="M108" s="44"/>
      <c r="N108" s="44">
        <f t="shared" si="39"/>
        <v>5.8252992747502426E-5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G46" zoomScale="60" workbookViewId="0">
      <selection activeCell="Z91" sqref="Z9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8" t="s">
        <v>23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</row>
    <row r="2" spans="2:32" ht="20.100000000000001" customHeight="1" x14ac:dyDescent="0.25">
      <c r="B2" s="59" t="s">
        <v>95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</row>
    <row r="3" spans="2:32" ht="20.100000000000001" customHeight="1" x14ac:dyDescent="0.25">
      <c r="B3" s="22" t="s">
        <v>96</v>
      </c>
      <c r="C3" s="63" t="str">
        <f>'28.07 Sentema-SentemaRBT'!C3:G3</f>
        <v>MCC - C1 - STN15 - SENTEMA ROAD</v>
      </c>
      <c r="D3" s="63"/>
      <c r="E3" s="63"/>
      <c r="F3" s="63"/>
      <c r="G3" s="63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6" t="s">
        <v>169</v>
      </c>
      <c r="E5" s="67"/>
      <c r="F5" s="41" t="s">
        <v>1</v>
      </c>
      <c r="G5" s="64" t="str">
        <f>'Avg Week Sentema-SentemaRBT'!G5:H5</f>
        <v>Ku roofings</v>
      </c>
      <c r="H5" s="65"/>
      <c r="I5" s="14"/>
      <c r="J5" s="2" t="s">
        <v>5</v>
      </c>
      <c r="K5" s="64" t="str">
        <f>'Avg Week Sentema-SentemaRBT'!K5:L5</f>
        <v>Nawaja Brenda</v>
      </c>
      <c r="L5" s="65"/>
      <c r="M5" s="10"/>
      <c r="N5" s="10"/>
      <c r="O5" s="3"/>
      <c r="P5" s="3"/>
    </row>
    <row r="6" spans="2:32" ht="23.25" customHeight="1" x14ac:dyDescent="0.25">
      <c r="C6" s="2" t="s">
        <v>4</v>
      </c>
      <c r="D6" s="68" t="s">
        <v>161</v>
      </c>
      <c r="E6" s="69"/>
      <c r="F6" s="2" t="s">
        <v>2</v>
      </c>
      <c r="G6" s="68" t="s">
        <v>161</v>
      </c>
      <c r="H6" s="69"/>
      <c r="J6" s="2" t="s">
        <v>21</v>
      </c>
      <c r="K6" s="64" t="str">
        <f>'Avg Week Sentema-SentemaRBT'!K6:L6</f>
        <v>Isaac</v>
      </c>
      <c r="L6" s="6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7" t="s">
        <v>88</v>
      </c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SentemaRBT-Sentema'!C10+'Avg Week Sentema-SentemaRBT'!C10</f>
        <v>49.285714285714285</v>
      </c>
      <c r="D10" s="49">
        <f>'Avg Week SentemaRBT-Sentema'!D10+'Avg Week Sentema-SentemaRBT'!D10</f>
        <v>4.8571428571428577</v>
      </c>
      <c r="E10" s="49">
        <f>'Avg Week SentemaRBT-Sentema'!E10+'Avg Week Sentema-SentemaRBT'!E10</f>
        <v>5.4285714285714288</v>
      </c>
      <c r="F10" s="49">
        <f>'Avg Week SentemaRBT-Sentema'!F10+'Avg Week Sentema-SentemaRBT'!F10</f>
        <v>29.142857142857142</v>
      </c>
      <c r="G10" s="49">
        <f>'Avg Week SentemaRBT-Sentema'!G10+'Avg Week Sentema-SentemaRBT'!G10</f>
        <v>1.5714285714285714</v>
      </c>
      <c r="H10" s="49">
        <f>'Avg Week SentemaRBT-Sentema'!H10+'Avg Week Sentema-SentemaRBT'!H10</f>
        <v>0.2857142857142857</v>
      </c>
      <c r="I10" s="49">
        <f>'Avg Week SentemaRBT-Sentema'!I10+'Avg Week Sentema-SentemaRBT'!I10</f>
        <v>2.7142857142857144</v>
      </c>
      <c r="J10" s="49">
        <f>'Avg Week SentemaRBT-Sentema'!J10+'Avg Week Sentema-SentemaRBT'!J10</f>
        <v>1.8571428571428572</v>
      </c>
      <c r="K10" s="49">
        <f>'Avg Week SentemaRBT-Sentema'!K10+'Avg Week Sentema-SentemaRBT'!K10</f>
        <v>1.2857142857142856</v>
      </c>
      <c r="L10" s="49">
        <f>'Avg Week SentemaRBT-Sentema'!L10+'Avg Week Sentema-SentemaRBT'!L10</f>
        <v>0.42857142857142855</v>
      </c>
      <c r="M10" s="49">
        <f>'Avg Week SentemaRBT-Sentema'!M10+'Avg Week Sentema-SentemaRBT'!M10</f>
        <v>83.428571428571431</v>
      </c>
      <c r="N10" s="49">
        <f>'Avg Week SentemaRBT-Sentema'!N10+'Avg Week Sentema-SentemaRBT'!N10</f>
        <v>0</v>
      </c>
      <c r="O10" s="15">
        <f t="shared" ref="O10:O73" si="0">SUM(C10:L10,N10)</f>
        <v>96.857142857142861</v>
      </c>
      <c r="P10" s="15">
        <f t="shared" ref="P10:P73" si="1">SUM(C10:N10)</f>
        <v>180.28571428571428</v>
      </c>
      <c r="R10" s="1" t="s">
        <v>6</v>
      </c>
      <c r="S10" s="17">
        <f t="shared" ref="S10:AF10" si="2">SUM(C10:C13)</f>
        <v>216.42857142857144</v>
      </c>
      <c r="T10" s="17">
        <f t="shared" si="2"/>
        <v>26</v>
      </c>
      <c r="U10" s="17">
        <f t="shared" si="2"/>
        <v>22.571428571428573</v>
      </c>
      <c r="V10" s="17">
        <f t="shared" si="2"/>
        <v>119.85714285714286</v>
      </c>
      <c r="W10" s="17">
        <f t="shared" si="2"/>
        <v>2</v>
      </c>
      <c r="X10" s="17">
        <f t="shared" si="2"/>
        <v>0.42857142857142855</v>
      </c>
      <c r="Y10" s="17">
        <f t="shared" si="2"/>
        <v>13.571428571428573</v>
      </c>
      <c r="Z10" s="17">
        <f t="shared" si="2"/>
        <v>8.5714285714285712</v>
      </c>
      <c r="AA10" s="17">
        <f t="shared" si="2"/>
        <v>2.4285714285714279</v>
      </c>
      <c r="AB10" s="17">
        <f t="shared" si="2"/>
        <v>1</v>
      </c>
      <c r="AC10" s="17">
        <f t="shared" si="2"/>
        <v>411.42857142857144</v>
      </c>
      <c r="AD10" s="17">
        <f t="shared" si="2"/>
        <v>0</v>
      </c>
      <c r="AE10" s="31">
        <f t="shared" si="2"/>
        <v>412.85714285714289</v>
      </c>
      <c r="AF10" s="31">
        <f t="shared" si="2"/>
        <v>824.28571428571422</v>
      </c>
    </row>
    <row r="11" spans="2:32" s="6" customFormat="1" ht="23.1" customHeight="1" x14ac:dyDescent="0.25">
      <c r="B11" s="23" t="s">
        <v>38</v>
      </c>
      <c r="C11" s="49">
        <f>'Avg Week SentemaRBT-Sentema'!C11+'Avg Week Sentema-SentemaRBT'!C11</f>
        <v>56.714285714285715</v>
      </c>
      <c r="D11" s="49">
        <f>'Avg Week SentemaRBT-Sentema'!D11+'Avg Week Sentema-SentemaRBT'!D11</f>
        <v>4.8571428571428568</v>
      </c>
      <c r="E11" s="49">
        <f>'Avg Week SentemaRBT-Sentema'!E11+'Avg Week Sentema-SentemaRBT'!E11</f>
        <v>4.1428571428571432</v>
      </c>
      <c r="F11" s="49">
        <f>'Avg Week SentemaRBT-Sentema'!F11+'Avg Week Sentema-SentemaRBT'!F11</f>
        <v>28.714285714285715</v>
      </c>
      <c r="G11" s="49">
        <f>'Avg Week SentemaRBT-Sentema'!G11+'Avg Week Sentema-SentemaRBT'!G11</f>
        <v>0.2857142857142857</v>
      </c>
      <c r="H11" s="49">
        <f>'Avg Week SentemaRBT-Sentema'!H11+'Avg Week Sentema-SentemaRBT'!H11</f>
        <v>0</v>
      </c>
      <c r="I11" s="49">
        <f>'Avg Week SentemaRBT-Sentema'!I11+'Avg Week Sentema-SentemaRBT'!I11</f>
        <v>3.1428571428571428</v>
      </c>
      <c r="J11" s="49">
        <f>'Avg Week SentemaRBT-Sentema'!J11+'Avg Week Sentema-SentemaRBT'!J11</f>
        <v>1.7142857142857142</v>
      </c>
      <c r="K11" s="49">
        <f>'Avg Week SentemaRBT-Sentema'!K11+'Avg Week Sentema-SentemaRBT'!K11</f>
        <v>0.2857142857142857</v>
      </c>
      <c r="L11" s="49">
        <f>'Avg Week SentemaRBT-Sentema'!L11+'Avg Week Sentema-SentemaRBT'!L11</f>
        <v>0</v>
      </c>
      <c r="M11" s="49">
        <f>'Avg Week SentemaRBT-Sentema'!M11+'Avg Week Sentema-SentemaRBT'!M11</f>
        <v>90.428571428571431</v>
      </c>
      <c r="N11" s="49">
        <f>'Avg Week SentemaRBT-Sentema'!N11+'Avg Week Sentema-SentemaRBT'!N11</f>
        <v>0</v>
      </c>
      <c r="O11" s="15">
        <f t="shared" si="0"/>
        <v>99.857142857142847</v>
      </c>
      <c r="P11" s="15">
        <f t="shared" si="1"/>
        <v>190.28571428571428</v>
      </c>
      <c r="R11" s="1" t="s">
        <v>7</v>
      </c>
      <c r="S11" s="17">
        <f t="shared" ref="S11:AF11" si="3">SUM(C14:C17)</f>
        <v>168.14285714285711</v>
      </c>
      <c r="T11" s="17">
        <f t="shared" si="3"/>
        <v>28.714285714285715</v>
      </c>
      <c r="U11" s="17">
        <f t="shared" si="3"/>
        <v>18.142857142857142</v>
      </c>
      <c r="V11" s="17">
        <f t="shared" si="3"/>
        <v>121.14285714285714</v>
      </c>
      <c r="W11" s="17">
        <f t="shared" si="3"/>
        <v>1.857142857142857</v>
      </c>
      <c r="X11" s="17">
        <f t="shared" si="3"/>
        <v>0.99999999999999989</v>
      </c>
      <c r="Y11" s="17">
        <f t="shared" si="3"/>
        <v>18.714285714285715</v>
      </c>
      <c r="Z11" s="17">
        <f t="shared" si="3"/>
        <v>9.7142857142857135</v>
      </c>
      <c r="AA11" s="17">
        <f t="shared" si="3"/>
        <v>2.1428571428571428</v>
      </c>
      <c r="AB11" s="17">
        <f t="shared" si="3"/>
        <v>0.71428571428571419</v>
      </c>
      <c r="AC11" s="17">
        <f t="shared" si="3"/>
        <v>468</v>
      </c>
      <c r="AD11" s="17">
        <f t="shared" si="3"/>
        <v>0</v>
      </c>
      <c r="AE11" s="31">
        <f t="shared" si="3"/>
        <v>370.28571428571422</v>
      </c>
      <c r="AF11" s="31">
        <f t="shared" si="3"/>
        <v>838.28571428571422</v>
      </c>
    </row>
    <row r="12" spans="2:32" ht="23.1" customHeight="1" x14ac:dyDescent="0.25">
      <c r="B12" s="23" t="s">
        <v>39</v>
      </c>
      <c r="C12" s="49">
        <f>'Avg Week SentemaRBT-Sentema'!C12+'Avg Week Sentema-SentemaRBT'!C12</f>
        <v>55.714285714285715</v>
      </c>
      <c r="D12" s="49">
        <f>'Avg Week SentemaRBT-Sentema'!D12+'Avg Week Sentema-SentemaRBT'!D12</f>
        <v>6</v>
      </c>
      <c r="E12" s="49">
        <f>'Avg Week SentemaRBT-Sentema'!E12+'Avg Week Sentema-SentemaRBT'!E12</f>
        <v>5.1428571428571432</v>
      </c>
      <c r="F12" s="49">
        <f>'Avg Week SentemaRBT-Sentema'!F12+'Avg Week Sentema-SentemaRBT'!F12</f>
        <v>31</v>
      </c>
      <c r="G12" s="49">
        <f>'Avg Week SentemaRBT-Sentema'!G12+'Avg Week Sentema-SentemaRBT'!G12</f>
        <v>0.14285714285714285</v>
      </c>
      <c r="H12" s="49">
        <f>'Avg Week SentemaRBT-Sentema'!H12+'Avg Week Sentema-SentemaRBT'!H12</f>
        <v>0</v>
      </c>
      <c r="I12" s="49">
        <f>'Avg Week SentemaRBT-Sentema'!I12+'Avg Week Sentema-SentemaRBT'!I12</f>
        <v>2.8571428571428572</v>
      </c>
      <c r="J12" s="49">
        <f>'Avg Week SentemaRBT-Sentema'!J12+'Avg Week Sentema-SentemaRBT'!J12</f>
        <v>1.8571428571428572</v>
      </c>
      <c r="K12" s="49">
        <f>'Avg Week SentemaRBT-Sentema'!K12+'Avg Week Sentema-SentemaRBT'!K12</f>
        <v>0.2857142857142857</v>
      </c>
      <c r="L12" s="49">
        <f>'Avg Week SentemaRBT-Sentema'!L12+'Avg Week Sentema-SentemaRBT'!L12</f>
        <v>0.14285714285714285</v>
      </c>
      <c r="M12" s="49">
        <f>'Avg Week SentemaRBT-Sentema'!M12+'Avg Week Sentema-SentemaRBT'!M12</f>
        <v>116.85714285714286</v>
      </c>
      <c r="N12" s="49">
        <f>'Avg Week SentemaRBT-Sentema'!N12+'Avg Week Sentema-SentemaRBT'!N12</f>
        <v>0</v>
      </c>
      <c r="O12" s="15">
        <f t="shared" si="0"/>
        <v>103.14285714285715</v>
      </c>
      <c r="P12" s="15">
        <f t="shared" si="1"/>
        <v>220</v>
      </c>
      <c r="R12" s="1" t="s">
        <v>8</v>
      </c>
      <c r="S12" s="17">
        <f t="shared" ref="S12:AF12" si="4">SUM(C18:C21)</f>
        <v>160.28571428571428</v>
      </c>
      <c r="T12" s="17">
        <f t="shared" si="4"/>
        <v>27.857142857142854</v>
      </c>
      <c r="U12" s="17">
        <f t="shared" si="4"/>
        <v>23.285714285714288</v>
      </c>
      <c r="V12" s="17">
        <f t="shared" si="4"/>
        <v>111.57142857142857</v>
      </c>
      <c r="W12" s="17">
        <f t="shared" si="4"/>
        <v>0.85714285714285721</v>
      </c>
      <c r="X12" s="17">
        <f t="shared" si="4"/>
        <v>1.7142857142857142</v>
      </c>
      <c r="Y12" s="17">
        <f t="shared" si="4"/>
        <v>26.142857142857142</v>
      </c>
      <c r="Z12" s="17">
        <f t="shared" si="4"/>
        <v>13.142857142857142</v>
      </c>
      <c r="AA12" s="17">
        <f t="shared" si="4"/>
        <v>0.5714285714285714</v>
      </c>
      <c r="AB12" s="17">
        <f t="shared" si="4"/>
        <v>1.2857142857142856</v>
      </c>
      <c r="AC12" s="17">
        <f t="shared" si="4"/>
        <v>452.57142857142861</v>
      </c>
      <c r="AD12" s="17">
        <f t="shared" si="4"/>
        <v>0</v>
      </c>
      <c r="AE12" s="31">
        <f t="shared" si="4"/>
        <v>366.71428571428572</v>
      </c>
      <c r="AF12" s="31">
        <f t="shared" si="4"/>
        <v>819.28571428571433</v>
      </c>
    </row>
    <row r="13" spans="2:32" ht="23.1" customHeight="1" x14ac:dyDescent="0.25">
      <c r="B13" s="23" t="s">
        <v>40</v>
      </c>
      <c r="C13" s="49">
        <f>'Avg Week SentemaRBT-Sentema'!C13+'Avg Week Sentema-SentemaRBT'!C13</f>
        <v>54.714285714285708</v>
      </c>
      <c r="D13" s="49">
        <f>'Avg Week SentemaRBT-Sentema'!D13+'Avg Week Sentema-SentemaRBT'!D13</f>
        <v>10.285714285714286</v>
      </c>
      <c r="E13" s="49">
        <f>'Avg Week SentemaRBT-Sentema'!E13+'Avg Week Sentema-SentemaRBT'!E13</f>
        <v>7.8571428571428568</v>
      </c>
      <c r="F13" s="49">
        <f>'Avg Week SentemaRBT-Sentema'!F13+'Avg Week Sentema-SentemaRBT'!F13</f>
        <v>31</v>
      </c>
      <c r="G13" s="49">
        <f>'Avg Week SentemaRBT-Sentema'!G13+'Avg Week Sentema-SentemaRBT'!G13</f>
        <v>0</v>
      </c>
      <c r="H13" s="49">
        <f>'Avg Week SentemaRBT-Sentema'!H13+'Avg Week Sentema-SentemaRBT'!H13</f>
        <v>0.14285714285714285</v>
      </c>
      <c r="I13" s="49">
        <f>'Avg Week SentemaRBT-Sentema'!I13+'Avg Week Sentema-SentemaRBT'!I13</f>
        <v>4.8571428571428568</v>
      </c>
      <c r="J13" s="49">
        <f>'Avg Week SentemaRBT-Sentema'!J13+'Avg Week Sentema-SentemaRBT'!J13</f>
        <v>3.1428571428571428</v>
      </c>
      <c r="K13" s="49">
        <f>'Avg Week SentemaRBT-Sentema'!K13+'Avg Week Sentema-SentemaRBT'!K13</f>
        <v>0.5714285714285714</v>
      </c>
      <c r="L13" s="49">
        <f>'Avg Week SentemaRBT-Sentema'!L13+'Avg Week Sentema-SentemaRBT'!L13</f>
        <v>0.42857142857142855</v>
      </c>
      <c r="M13" s="49">
        <f>'Avg Week SentemaRBT-Sentema'!M13+'Avg Week Sentema-SentemaRBT'!M13</f>
        <v>120.71428571428572</v>
      </c>
      <c r="N13" s="49">
        <f>'Avg Week SentemaRBT-Sentema'!N13+'Avg Week Sentema-SentemaRBT'!N13</f>
        <v>0</v>
      </c>
      <c r="O13" s="15">
        <f t="shared" si="0"/>
        <v>113</v>
      </c>
      <c r="P13" s="15">
        <f t="shared" si="1"/>
        <v>233.71428571428572</v>
      </c>
      <c r="R13" s="1" t="s">
        <v>9</v>
      </c>
      <c r="S13" s="17">
        <f t="shared" ref="S13:AF13" si="5">SUM(C22:C25)</f>
        <v>131</v>
      </c>
      <c r="T13" s="17">
        <f t="shared" si="5"/>
        <v>30.428571428571431</v>
      </c>
      <c r="U13" s="17">
        <f t="shared" si="5"/>
        <v>24</v>
      </c>
      <c r="V13" s="17">
        <f t="shared" si="5"/>
        <v>90.714285714285722</v>
      </c>
      <c r="W13" s="17">
        <f t="shared" si="5"/>
        <v>1.1428571428571428</v>
      </c>
      <c r="X13" s="17">
        <f t="shared" si="5"/>
        <v>0.71428571428571419</v>
      </c>
      <c r="Y13" s="17">
        <f t="shared" si="5"/>
        <v>32</v>
      </c>
      <c r="Z13" s="17">
        <f t="shared" si="5"/>
        <v>12.428571428571429</v>
      </c>
      <c r="AA13" s="17">
        <f t="shared" si="5"/>
        <v>2.1428571428571428</v>
      </c>
      <c r="AB13" s="17">
        <f t="shared" si="5"/>
        <v>7.4285714285714288</v>
      </c>
      <c r="AC13" s="17">
        <f t="shared" si="5"/>
        <v>399.42857142857144</v>
      </c>
      <c r="AD13" s="17">
        <f t="shared" si="5"/>
        <v>0.14285714285714285</v>
      </c>
      <c r="AE13" s="31">
        <f t="shared" si="5"/>
        <v>332.14285714285717</v>
      </c>
      <c r="AF13" s="31">
        <f t="shared" si="5"/>
        <v>731.57142857142856</v>
      </c>
    </row>
    <row r="14" spans="2:32" ht="23.1" customHeight="1" x14ac:dyDescent="0.25">
      <c r="B14" s="23" t="s">
        <v>41</v>
      </c>
      <c r="C14" s="49">
        <f>'Avg Week SentemaRBT-Sentema'!C14+'Avg Week Sentema-SentemaRBT'!C14</f>
        <v>56.714285714285715</v>
      </c>
      <c r="D14" s="49">
        <f>'Avg Week SentemaRBT-Sentema'!D14+'Avg Week Sentema-SentemaRBT'!D14</f>
        <v>8.2857142857142865</v>
      </c>
      <c r="E14" s="49">
        <f>'Avg Week SentemaRBT-Sentema'!E14+'Avg Week Sentema-SentemaRBT'!E14</f>
        <v>5.5714285714285712</v>
      </c>
      <c r="F14" s="49">
        <f>'Avg Week SentemaRBT-Sentema'!F14+'Avg Week Sentema-SentemaRBT'!F14</f>
        <v>37.142857142857139</v>
      </c>
      <c r="G14" s="49">
        <f>'Avg Week SentemaRBT-Sentema'!G14+'Avg Week Sentema-SentemaRBT'!G14</f>
        <v>0.14285714285714285</v>
      </c>
      <c r="H14" s="49">
        <f>'Avg Week SentemaRBT-Sentema'!H14+'Avg Week Sentema-SentemaRBT'!H14</f>
        <v>0.14285714285714285</v>
      </c>
      <c r="I14" s="49">
        <f>'Avg Week SentemaRBT-Sentema'!I14+'Avg Week Sentema-SentemaRBT'!I14</f>
        <v>5.7142857142857144</v>
      </c>
      <c r="J14" s="49">
        <f>'Avg Week SentemaRBT-Sentema'!J14+'Avg Week Sentema-SentemaRBT'!J14</f>
        <v>3.7142857142857144</v>
      </c>
      <c r="K14" s="49">
        <f>'Avg Week SentemaRBT-Sentema'!K14+'Avg Week Sentema-SentemaRBT'!K14</f>
        <v>0.14285714285714285</v>
      </c>
      <c r="L14" s="49">
        <f>'Avg Week SentemaRBT-Sentema'!L14+'Avg Week Sentema-SentemaRBT'!L14</f>
        <v>0.14285714285714285</v>
      </c>
      <c r="M14" s="49">
        <f>'Avg Week SentemaRBT-Sentema'!M14+'Avg Week Sentema-SentemaRBT'!M14</f>
        <v>117.28571428571429</v>
      </c>
      <c r="N14" s="49">
        <f>'Avg Week SentemaRBT-Sentema'!N14+'Avg Week Sentema-SentemaRBT'!N14</f>
        <v>0</v>
      </c>
      <c r="O14" s="15">
        <f t="shared" si="0"/>
        <v>117.71428571428568</v>
      </c>
      <c r="P14" s="15">
        <f t="shared" si="1"/>
        <v>234.99999999999997</v>
      </c>
      <c r="R14" s="1" t="s">
        <v>10</v>
      </c>
      <c r="S14" s="17">
        <f t="shared" ref="S14:AF14" si="6">SUM(C26:C29)</f>
        <v>115.71428571428572</v>
      </c>
      <c r="T14" s="17">
        <f t="shared" si="6"/>
        <v>27.714285714285715</v>
      </c>
      <c r="U14" s="17">
        <f t="shared" si="6"/>
        <v>23.285714285714285</v>
      </c>
      <c r="V14" s="17">
        <f t="shared" si="6"/>
        <v>83.428571428571431</v>
      </c>
      <c r="W14" s="17">
        <f t="shared" si="6"/>
        <v>0.85714285714285698</v>
      </c>
      <c r="X14" s="17">
        <f t="shared" si="6"/>
        <v>1.5714285714285714</v>
      </c>
      <c r="Y14" s="17">
        <f t="shared" si="6"/>
        <v>31.285714285714288</v>
      </c>
      <c r="Z14" s="17">
        <f t="shared" si="6"/>
        <v>12.571428571428573</v>
      </c>
      <c r="AA14" s="17">
        <f t="shared" si="6"/>
        <v>3.4285714285714288</v>
      </c>
      <c r="AB14" s="17">
        <f t="shared" si="6"/>
        <v>0.71428571428571419</v>
      </c>
      <c r="AC14" s="17">
        <f t="shared" si="6"/>
        <v>417.85714285714289</v>
      </c>
      <c r="AD14" s="17">
        <f t="shared" si="6"/>
        <v>0</v>
      </c>
      <c r="AE14" s="31">
        <f t="shared" si="6"/>
        <v>300.57142857142856</v>
      </c>
      <c r="AF14" s="31">
        <f t="shared" si="6"/>
        <v>718.42857142857133</v>
      </c>
    </row>
    <row r="15" spans="2:32" ht="23.1" customHeight="1" x14ac:dyDescent="0.25">
      <c r="B15" s="23" t="s">
        <v>42</v>
      </c>
      <c r="C15" s="49">
        <f>'Avg Week SentemaRBT-Sentema'!C15+'Avg Week Sentema-SentemaRBT'!C15</f>
        <v>42.428571428571431</v>
      </c>
      <c r="D15" s="49">
        <f>'Avg Week SentemaRBT-Sentema'!D15+'Avg Week Sentema-SentemaRBT'!D15</f>
        <v>6.8571428571428577</v>
      </c>
      <c r="E15" s="49">
        <f>'Avg Week SentemaRBT-Sentema'!E15+'Avg Week Sentema-SentemaRBT'!E15</f>
        <v>4.4285714285714288</v>
      </c>
      <c r="F15" s="49">
        <f>'Avg Week SentemaRBT-Sentema'!F15+'Avg Week Sentema-SentemaRBT'!F15</f>
        <v>36.571428571428569</v>
      </c>
      <c r="G15" s="49">
        <f>'Avg Week SentemaRBT-Sentema'!G15+'Avg Week Sentema-SentemaRBT'!G15</f>
        <v>1.1428571428571428</v>
      </c>
      <c r="H15" s="49">
        <f>'Avg Week SentemaRBT-Sentema'!H15+'Avg Week Sentema-SentemaRBT'!H15</f>
        <v>0.5714285714285714</v>
      </c>
      <c r="I15" s="49">
        <f>'Avg Week SentemaRBT-Sentema'!I15+'Avg Week Sentema-SentemaRBT'!I15</f>
        <v>4.1428571428571423</v>
      </c>
      <c r="J15" s="49">
        <f>'Avg Week SentemaRBT-Sentema'!J15+'Avg Week Sentema-SentemaRBT'!J15</f>
        <v>1.5714285714285714</v>
      </c>
      <c r="K15" s="49">
        <f>'Avg Week SentemaRBT-Sentema'!K15+'Avg Week Sentema-SentemaRBT'!K15</f>
        <v>0.5714285714285714</v>
      </c>
      <c r="L15" s="49">
        <f>'Avg Week SentemaRBT-Sentema'!L15+'Avg Week Sentema-SentemaRBT'!L15</f>
        <v>0.42857142857142855</v>
      </c>
      <c r="M15" s="49">
        <f>'Avg Week SentemaRBT-Sentema'!M15+'Avg Week Sentema-SentemaRBT'!M15</f>
        <v>128.57142857142856</v>
      </c>
      <c r="N15" s="49">
        <f>'Avg Week SentemaRBT-Sentema'!N15+'Avg Week Sentema-SentemaRBT'!N15</f>
        <v>0</v>
      </c>
      <c r="O15" s="15">
        <f t="shared" si="0"/>
        <v>98.714285714285708</v>
      </c>
      <c r="P15" s="15">
        <f t="shared" si="1"/>
        <v>227.28571428571428</v>
      </c>
      <c r="R15" s="1" t="s">
        <v>11</v>
      </c>
      <c r="S15" s="17">
        <f t="shared" ref="S15:AF15" si="7">SUM(C30:C33)</f>
        <v>91.428571428571431</v>
      </c>
      <c r="T15" s="17">
        <f t="shared" si="7"/>
        <v>24.857142857142858</v>
      </c>
      <c r="U15" s="17">
        <f t="shared" si="7"/>
        <v>22.857142857142858</v>
      </c>
      <c r="V15" s="17">
        <f t="shared" si="7"/>
        <v>66.857142857142861</v>
      </c>
      <c r="W15" s="17">
        <f t="shared" si="7"/>
        <v>2.4285714285714284</v>
      </c>
      <c r="X15" s="17">
        <f t="shared" si="7"/>
        <v>0.14285714285714285</v>
      </c>
      <c r="Y15" s="17">
        <f t="shared" si="7"/>
        <v>28.428571428571431</v>
      </c>
      <c r="Z15" s="17">
        <f t="shared" si="7"/>
        <v>12.571428571428571</v>
      </c>
      <c r="AA15" s="17">
        <f t="shared" si="7"/>
        <v>2.8571428571428568</v>
      </c>
      <c r="AB15" s="17">
        <f t="shared" si="7"/>
        <v>0.2857142857142857</v>
      </c>
      <c r="AC15" s="17">
        <f t="shared" si="7"/>
        <v>374.57142857142856</v>
      </c>
      <c r="AD15" s="17">
        <f t="shared" si="7"/>
        <v>0.14285714285714285</v>
      </c>
      <c r="AE15" s="31">
        <f t="shared" si="7"/>
        <v>252.85714285714286</v>
      </c>
      <c r="AF15" s="31">
        <f t="shared" si="7"/>
        <v>627.42857142857144</v>
      </c>
    </row>
    <row r="16" spans="2:32" ht="23.1" customHeight="1" x14ac:dyDescent="0.25">
      <c r="B16" s="23" t="s">
        <v>43</v>
      </c>
      <c r="C16" s="49">
        <f>'Avg Week SentemaRBT-Sentema'!C16+'Avg Week Sentema-SentemaRBT'!C16</f>
        <v>34.428571428571431</v>
      </c>
      <c r="D16" s="49">
        <f>'Avg Week SentemaRBT-Sentema'!D16+'Avg Week Sentema-SentemaRBT'!D16</f>
        <v>6.5714285714285712</v>
      </c>
      <c r="E16" s="49">
        <f>'Avg Week SentemaRBT-Sentema'!E16+'Avg Week Sentema-SentemaRBT'!E16</f>
        <v>5.2857142857142856</v>
      </c>
      <c r="F16" s="49">
        <f>'Avg Week SentemaRBT-Sentema'!F16+'Avg Week Sentema-SentemaRBT'!F16</f>
        <v>23.142857142857142</v>
      </c>
      <c r="G16" s="49">
        <f>'Avg Week SentemaRBT-Sentema'!G16+'Avg Week Sentema-SentemaRBT'!G16</f>
        <v>0.14285714285714285</v>
      </c>
      <c r="H16" s="49">
        <f>'Avg Week SentemaRBT-Sentema'!H16+'Avg Week Sentema-SentemaRBT'!H16</f>
        <v>0</v>
      </c>
      <c r="I16" s="49">
        <f>'Avg Week SentemaRBT-Sentema'!I16+'Avg Week Sentema-SentemaRBT'!I16</f>
        <v>5.1428571428571423</v>
      </c>
      <c r="J16" s="49">
        <f>'Avg Week SentemaRBT-Sentema'!J16+'Avg Week Sentema-SentemaRBT'!J16</f>
        <v>3</v>
      </c>
      <c r="K16" s="49">
        <f>'Avg Week SentemaRBT-Sentema'!K16+'Avg Week Sentema-SentemaRBT'!K16</f>
        <v>0.2857142857142857</v>
      </c>
      <c r="L16" s="49">
        <f>'Avg Week SentemaRBT-Sentema'!L16+'Avg Week Sentema-SentemaRBT'!L16</f>
        <v>0</v>
      </c>
      <c r="M16" s="49">
        <f>'Avg Week SentemaRBT-Sentema'!M16+'Avg Week Sentema-SentemaRBT'!M16</f>
        <v>117.28571428571428</v>
      </c>
      <c r="N16" s="49">
        <f>'Avg Week SentemaRBT-Sentema'!N16+'Avg Week Sentema-SentemaRBT'!N16</f>
        <v>0</v>
      </c>
      <c r="O16" s="15">
        <f t="shared" si="0"/>
        <v>78</v>
      </c>
      <c r="P16" s="15">
        <f t="shared" si="1"/>
        <v>195.28571428571428</v>
      </c>
      <c r="R16" s="1" t="s">
        <v>12</v>
      </c>
      <c r="S16" s="17">
        <f t="shared" ref="S16:AF16" si="8">SUM(C34:C37)</f>
        <v>79.714285714285708</v>
      </c>
      <c r="T16" s="17">
        <f t="shared" si="8"/>
        <v>19.285714285714285</v>
      </c>
      <c r="U16" s="17">
        <f t="shared" si="8"/>
        <v>15.428571428571429</v>
      </c>
      <c r="V16" s="17">
        <f t="shared" si="8"/>
        <v>50.285714285714278</v>
      </c>
      <c r="W16" s="17">
        <f t="shared" si="8"/>
        <v>0.42857142857142855</v>
      </c>
      <c r="X16" s="17">
        <f t="shared" si="8"/>
        <v>0.14285714285714285</v>
      </c>
      <c r="Y16" s="17">
        <f t="shared" si="8"/>
        <v>26.142857142857142</v>
      </c>
      <c r="Z16" s="17">
        <f t="shared" si="8"/>
        <v>11.285714285714285</v>
      </c>
      <c r="AA16" s="17">
        <f t="shared" si="8"/>
        <v>3.2857142857142856</v>
      </c>
      <c r="AB16" s="17">
        <f t="shared" si="8"/>
        <v>2.2857142857142856</v>
      </c>
      <c r="AC16" s="17">
        <f t="shared" si="8"/>
        <v>332.14285714285711</v>
      </c>
      <c r="AD16" s="17">
        <f t="shared" si="8"/>
        <v>0</v>
      </c>
      <c r="AE16" s="31">
        <f t="shared" si="8"/>
        <v>208.28571428571431</v>
      </c>
      <c r="AF16" s="31">
        <f t="shared" si="8"/>
        <v>540.42857142857144</v>
      </c>
    </row>
    <row r="17" spans="2:32" ht="23.1" customHeight="1" x14ac:dyDescent="0.25">
      <c r="B17" s="23" t="s">
        <v>44</v>
      </c>
      <c r="C17" s="49">
        <f>'Avg Week SentemaRBT-Sentema'!C17+'Avg Week Sentema-SentemaRBT'!C17</f>
        <v>34.571428571428569</v>
      </c>
      <c r="D17" s="49">
        <f>'Avg Week SentemaRBT-Sentema'!D17+'Avg Week Sentema-SentemaRBT'!D17</f>
        <v>7</v>
      </c>
      <c r="E17" s="49">
        <f>'Avg Week SentemaRBT-Sentema'!E17+'Avg Week Sentema-SentemaRBT'!E17</f>
        <v>2.8571428571428568</v>
      </c>
      <c r="F17" s="49">
        <f>'Avg Week SentemaRBT-Sentema'!F17+'Avg Week Sentema-SentemaRBT'!F17</f>
        <v>24.285714285714285</v>
      </c>
      <c r="G17" s="49">
        <f>'Avg Week SentemaRBT-Sentema'!G17+'Avg Week Sentema-SentemaRBT'!G17</f>
        <v>0.42857142857142855</v>
      </c>
      <c r="H17" s="49">
        <f>'Avg Week SentemaRBT-Sentema'!H17+'Avg Week Sentema-SentemaRBT'!H17</f>
        <v>0.2857142857142857</v>
      </c>
      <c r="I17" s="49">
        <f>'Avg Week SentemaRBT-Sentema'!I17+'Avg Week Sentema-SentemaRBT'!I17</f>
        <v>3.7142857142857144</v>
      </c>
      <c r="J17" s="49">
        <f>'Avg Week SentemaRBT-Sentema'!J17+'Avg Week Sentema-SentemaRBT'!J17</f>
        <v>1.4285714285714286</v>
      </c>
      <c r="K17" s="49">
        <f>'Avg Week SentemaRBT-Sentema'!K17+'Avg Week Sentema-SentemaRBT'!K17</f>
        <v>1.1428571428571428</v>
      </c>
      <c r="L17" s="49">
        <f>'Avg Week SentemaRBT-Sentema'!L17+'Avg Week Sentema-SentemaRBT'!L17</f>
        <v>0.14285714285714285</v>
      </c>
      <c r="M17" s="49">
        <f>'Avg Week SentemaRBT-Sentema'!M17+'Avg Week Sentema-SentemaRBT'!M17</f>
        <v>104.85714285714286</v>
      </c>
      <c r="N17" s="49">
        <f>'Avg Week SentemaRBT-Sentema'!N17+'Avg Week Sentema-SentemaRBT'!N17</f>
        <v>0</v>
      </c>
      <c r="O17" s="15">
        <f t="shared" si="0"/>
        <v>75.857142857142847</v>
      </c>
      <c r="P17" s="15">
        <f t="shared" si="1"/>
        <v>180.71428571428572</v>
      </c>
      <c r="R17" s="1" t="s">
        <v>13</v>
      </c>
      <c r="S17" s="17">
        <f t="shared" ref="S17:AF17" si="9">SUM(C38:C41)</f>
        <v>89.428571428571445</v>
      </c>
      <c r="T17" s="17">
        <f t="shared" si="9"/>
        <v>20.571428571428569</v>
      </c>
      <c r="U17" s="17">
        <f t="shared" si="9"/>
        <v>21.142857142857142</v>
      </c>
      <c r="V17" s="17">
        <f t="shared" si="9"/>
        <v>58</v>
      </c>
      <c r="W17" s="17">
        <f t="shared" si="9"/>
        <v>0.5714285714285714</v>
      </c>
      <c r="X17" s="17">
        <f t="shared" si="9"/>
        <v>0.8571428571428571</v>
      </c>
      <c r="Y17" s="17">
        <f t="shared" si="9"/>
        <v>23.285714285714285</v>
      </c>
      <c r="Z17" s="17">
        <f t="shared" si="9"/>
        <v>8.4285714285714288</v>
      </c>
      <c r="AA17" s="17">
        <f t="shared" si="9"/>
        <v>3</v>
      </c>
      <c r="AB17" s="17">
        <f t="shared" si="9"/>
        <v>0.71428571428571419</v>
      </c>
      <c r="AC17" s="17">
        <f t="shared" si="9"/>
        <v>343.14285714285711</v>
      </c>
      <c r="AD17" s="17">
        <f t="shared" si="9"/>
        <v>0</v>
      </c>
      <c r="AE17" s="31">
        <f t="shared" si="9"/>
        <v>226.00000000000003</v>
      </c>
      <c r="AF17" s="31">
        <f t="shared" si="9"/>
        <v>569.14285714285711</v>
      </c>
    </row>
    <row r="18" spans="2:32" ht="23.1" customHeight="1" x14ac:dyDescent="0.25">
      <c r="B18" s="23" t="s">
        <v>45</v>
      </c>
      <c r="C18" s="49">
        <f>'Avg Week SentemaRBT-Sentema'!C18+'Avg Week Sentema-SentemaRBT'!C18</f>
        <v>47</v>
      </c>
      <c r="D18" s="49">
        <f>'Avg Week SentemaRBT-Sentema'!D18+'Avg Week Sentema-SentemaRBT'!D18</f>
        <v>8.5714285714285712</v>
      </c>
      <c r="E18" s="49">
        <f>'Avg Week SentemaRBT-Sentema'!E18+'Avg Week Sentema-SentemaRBT'!E18</f>
        <v>6.8571428571428577</v>
      </c>
      <c r="F18" s="49">
        <f>'Avg Week SentemaRBT-Sentema'!F18+'Avg Week Sentema-SentemaRBT'!F18</f>
        <v>33.714285714285715</v>
      </c>
      <c r="G18" s="49">
        <f>'Avg Week SentemaRBT-Sentema'!G18+'Avg Week Sentema-SentemaRBT'!G18</f>
        <v>0.7142857142857143</v>
      </c>
      <c r="H18" s="49">
        <f>'Avg Week SentemaRBT-Sentema'!H18+'Avg Week Sentema-SentemaRBT'!H18</f>
        <v>0.5714285714285714</v>
      </c>
      <c r="I18" s="49">
        <f>'Avg Week SentemaRBT-Sentema'!I18+'Avg Week Sentema-SentemaRBT'!I18</f>
        <v>6</v>
      </c>
      <c r="J18" s="49">
        <f>'Avg Week SentemaRBT-Sentema'!J18+'Avg Week Sentema-SentemaRBT'!J18</f>
        <v>3.4285714285714284</v>
      </c>
      <c r="K18" s="49">
        <f>'Avg Week SentemaRBT-Sentema'!K18+'Avg Week Sentema-SentemaRBT'!K18</f>
        <v>0.14285714285714285</v>
      </c>
      <c r="L18" s="49">
        <f>'Avg Week SentemaRBT-Sentema'!L18+'Avg Week Sentema-SentemaRBT'!L18</f>
        <v>0.2857142857142857</v>
      </c>
      <c r="M18" s="49">
        <f>'Avg Week SentemaRBT-Sentema'!M18+'Avg Week Sentema-SentemaRBT'!M18</f>
        <v>126.14285714285714</v>
      </c>
      <c r="N18" s="49">
        <f>'Avg Week SentemaRBT-Sentema'!N18+'Avg Week Sentema-SentemaRBT'!N18</f>
        <v>0</v>
      </c>
      <c r="O18" s="15">
        <f t="shared" si="0"/>
        <v>107.28571428571428</v>
      </c>
      <c r="P18" s="15">
        <f t="shared" si="1"/>
        <v>233.42857142857142</v>
      </c>
      <c r="R18" s="1" t="s">
        <v>14</v>
      </c>
      <c r="S18" s="17">
        <f t="shared" ref="S18:AF18" si="10">SUM(C42:C45)</f>
        <v>95.571428571428584</v>
      </c>
      <c r="T18" s="17">
        <f t="shared" si="10"/>
        <v>23</v>
      </c>
      <c r="U18" s="17">
        <f t="shared" si="10"/>
        <v>16.285714285714285</v>
      </c>
      <c r="V18" s="17">
        <f t="shared" si="10"/>
        <v>56</v>
      </c>
      <c r="W18" s="17">
        <f t="shared" si="10"/>
        <v>0.2857142857142857</v>
      </c>
      <c r="X18" s="17">
        <f t="shared" si="10"/>
        <v>0.42857142857142855</v>
      </c>
      <c r="Y18" s="17">
        <f t="shared" si="10"/>
        <v>26.285714285714285</v>
      </c>
      <c r="Z18" s="17">
        <f t="shared" si="10"/>
        <v>11</v>
      </c>
      <c r="AA18" s="17">
        <f t="shared" si="10"/>
        <v>3.4285714285714279</v>
      </c>
      <c r="AB18" s="17">
        <f t="shared" si="10"/>
        <v>0.42857142857142855</v>
      </c>
      <c r="AC18" s="17">
        <f t="shared" si="10"/>
        <v>331.14285714285711</v>
      </c>
      <c r="AD18" s="17">
        <f t="shared" si="10"/>
        <v>0</v>
      </c>
      <c r="AE18" s="31">
        <f t="shared" si="10"/>
        <v>232.71428571428572</v>
      </c>
      <c r="AF18" s="31">
        <f t="shared" si="10"/>
        <v>563.85714285714289</v>
      </c>
    </row>
    <row r="19" spans="2:32" ht="23.1" customHeight="1" x14ac:dyDescent="0.25">
      <c r="B19" s="23" t="s">
        <v>46</v>
      </c>
      <c r="C19" s="49">
        <f>'Avg Week SentemaRBT-Sentema'!C19+'Avg Week Sentema-SentemaRBT'!C19</f>
        <v>44</v>
      </c>
      <c r="D19" s="49">
        <f>'Avg Week SentemaRBT-Sentema'!D19+'Avg Week Sentema-SentemaRBT'!D19</f>
        <v>6.1428571428571432</v>
      </c>
      <c r="E19" s="49">
        <f>'Avg Week SentemaRBT-Sentema'!E19+'Avg Week Sentema-SentemaRBT'!E19</f>
        <v>5.4285714285714288</v>
      </c>
      <c r="F19" s="49">
        <f>'Avg Week SentemaRBT-Sentema'!F19+'Avg Week Sentema-SentemaRBT'!F19</f>
        <v>30.428571428571427</v>
      </c>
      <c r="G19" s="49">
        <f>'Avg Week SentemaRBT-Sentema'!G19+'Avg Week Sentema-SentemaRBT'!G19</f>
        <v>0.14285714285714285</v>
      </c>
      <c r="H19" s="49">
        <f>'Avg Week SentemaRBT-Sentema'!H19+'Avg Week Sentema-SentemaRBT'!H19</f>
        <v>0.42857142857142855</v>
      </c>
      <c r="I19" s="49">
        <f>'Avg Week SentemaRBT-Sentema'!I19+'Avg Week Sentema-SentemaRBT'!I19</f>
        <v>8.8571428571428577</v>
      </c>
      <c r="J19" s="49">
        <f>'Avg Week SentemaRBT-Sentema'!J19+'Avg Week Sentema-SentemaRBT'!J19</f>
        <v>3.8571428571428568</v>
      </c>
      <c r="K19" s="49">
        <f>'Avg Week SentemaRBT-Sentema'!K19+'Avg Week Sentema-SentemaRBT'!K19</f>
        <v>0</v>
      </c>
      <c r="L19" s="49">
        <f>'Avg Week SentemaRBT-Sentema'!L19+'Avg Week Sentema-SentemaRBT'!L19</f>
        <v>0.2857142857142857</v>
      </c>
      <c r="M19" s="49">
        <f>'Avg Week SentemaRBT-Sentema'!M19+'Avg Week Sentema-SentemaRBT'!M19</f>
        <v>122.85714285714286</v>
      </c>
      <c r="N19" s="49">
        <f>'Avg Week SentemaRBT-Sentema'!N19+'Avg Week Sentema-SentemaRBT'!N19</f>
        <v>0</v>
      </c>
      <c r="O19" s="15">
        <f t="shared" si="0"/>
        <v>99.571428571428584</v>
      </c>
      <c r="P19" s="15">
        <f t="shared" si="1"/>
        <v>222.42857142857144</v>
      </c>
      <c r="R19" s="1" t="s">
        <v>15</v>
      </c>
      <c r="S19" s="17">
        <f t="shared" ref="S19:AF19" si="11">SUM(C46:C49)</f>
        <v>100.71428571428571</v>
      </c>
      <c r="T19" s="17">
        <f t="shared" si="11"/>
        <v>25.142857142857142</v>
      </c>
      <c r="U19" s="17">
        <f t="shared" si="11"/>
        <v>17.714285714285715</v>
      </c>
      <c r="V19" s="17">
        <f t="shared" si="11"/>
        <v>57</v>
      </c>
      <c r="W19" s="17">
        <f t="shared" si="11"/>
        <v>2.9999999999999996</v>
      </c>
      <c r="X19" s="17">
        <f t="shared" si="11"/>
        <v>0.71428571428571419</v>
      </c>
      <c r="Y19" s="17">
        <f t="shared" si="11"/>
        <v>23.285714285714285</v>
      </c>
      <c r="Z19" s="17">
        <f t="shared" si="11"/>
        <v>9.8571428571428577</v>
      </c>
      <c r="AA19" s="17">
        <f t="shared" si="11"/>
        <v>2.4285714285714284</v>
      </c>
      <c r="AB19" s="17">
        <f t="shared" si="11"/>
        <v>0.85714285714285698</v>
      </c>
      <c r="AC19" s="17">
        <f t="shared" si="11"/>
        <v>372.85714285714289</v>
      </c>
      <c r="AD19" s="17">
        <f t="shared" si="11"/>
        <v>0</v>
      </c>
      <c r="AE19" s="31">
        <f t="shared" si="11"/>
        <v>240.71428571428572</v>
      </c>
      <c r="AF19" s="31">
        <f t="shared" si="11"/>
        <v>613.57142857142856</v>
      </c>
    </row>
    <row r="20" spans="2:32" ht="23.1" customHeight="1" x14ac:dyDescent="0.25">
      <c r="B20" s="23" t="s">
        <v>47</v>
      </c>
      <c r="C20" s="49">
        <f>'Avg Week SentemaRBT-Sentema'!C20+'Avg Week Sentema-SentemaRBT'!C20</f>
        <v>37.571428571428569</v>
      </c>
      <c r="D20" s="49">
        <f>'Avg Week SentemaRBT-Sentema'!D20+'Avg Week Sentema-SentemaRBT'!D20</f>
        <v>6.5714285714285712</v>
      </c>
      <c r="E20" s="49">
        <f>'Avg Week SentemaRBT-Sentema'!E20+'Avg Week Sentema-SentemaRBT'!E20</f>
        <v>5.2857142857142856</v>
      </c>
      <c r="F20" s="49">
        <f>'Avg Week SentemaRBT-Sentema'!F20+'Avg Week Sentema-SentemaRBT'!F20</f>
        <v>23.428571428571431</v>
      </c>
      <c r="G20" s="49">
        <f>'Avg Week SentemaRBT-Sentema'!G20+'Avg Week Sentema-SentemaRBT'!G20</f>
        <v>0</v>
      </c>
      <c r="H20" s="49">
        <f>'Avg Week SentemaRBT-Sentema'!H20+'Avg Week Sentema-SentemaRBT'!H20</f>
        <v>0.2857142857142857</v>
      </c>
      <c r="I20" s="49">
        <f>'Avg Week SentemaRBT-Sentema'!I20+'Avg Week Sentema-SentemaRBT'!I20</f>
        <v>5.1428571428571423</v>
      </c>
      <c r="J20" s="49">
        <f>'Avg Week SentemaRBT-Sentema'!J20+'Avg Week Sentema-SentemaRBT'!J20</f>
        <v>2.7142857142857144</v>
      </c>
      <c r="K20" s="49">
        <f>'Avg Week SentemaRBT-Sentema'!K20+'Avg Week Sentema-SentemaRBT'!K20</f>
        <v>0.14285714285714285</v>
      </c>
      <c r="L20" s="49">
        <f>'Avg Week SentemaRBT-Sentema'!L20+'Avg Week Sentema-SentemaRBT'!L20</f>
        <v>0.42857142857142855</v>
      </c>
      <c r="M20" s="49">
        <f>'Avg Week SentemaRBT-Sentema'!M20+'Avg Week Sentema-SentemaRBT'!M20</f>
        <v>103.85714285714286</v>
      </c>
      <c r="N20" s="49">
        <f>'Avg Week SentemaRBT-Sentema'!N20+'Avg Week Sentema-SentemaRBT'!N20</f>
        <v>0</v>
      </c>
      <c r="O20" s="15">
        <f t="shared" si="0"/>
        <v>81.571428571428569</v>
      </c>
      <c r="P20" s="15">
        <f t="shared" si="1"/>
        <v>185.42857142857144</v>
      </c>
      <c r="R20" s="1" t="s">
        <v>16</v>
      </c>
      <c r="S20" s="17">
        <f t="shared" ref="S20:AF20" si="12">SUM(C50:C53)</f>
        <v>139.14285714285714</v>
      </c>
      <c r="T20" s="17">
        <f t="shared" si="12"/>
        <v>32.857142857142861</v>
      </c>
      <c r="U20" s="17">
        <f t="shared" si="12"/>
        <v>16.857142857142858</v>
      </c>
      <c r="V20" s="17">
        <f t="shared" si="12"/>
        <v>71.285714285714278</v>
      </c>
      <c r="W20" s="17">
        <f t="shared" si="12"/>
        <v>1.857142857142857</v>
      </c>
      <c r="X20" s="17">
        <f t="shared" si="12"/>
        <v>0.42857142857142855</v>
      </c>
      <c r="Y20" s="17">
        <f t="shared" si="12"/>
        <v>21.428571428571431</v>
      </c>
      <c r="Z20" s="17">
        <f t="shared" si="12"/>
        <v>8</v>
      </c>
      <c r="AA20" s="17">
        <f t="shared" si="12"/>
        <v>1.1428571428571428</v>
      </c>
      <c r="AB20" s="17">
        <f t="shared" si="12"/>
        <v>0.8571428571428571</v>
      </c>
      <c r="AC20" s="17">
        <f t="shared" si="12"/>
        <v>409.71428571428567</v>
      </c>
      <c r="AD20" s="17">
        <f t="shared" si="12"/>
        <v>0.14285714285714285</v>
      </c>
      <c r="AE20" s="31">
        <f t="shared" si="12"/>
        <v>294</v>
      </c>
      <c r="AF20" s="31">
        <f t="shared" si="12"/>
        <v>703.71428571428578</v>
      </c>
    </row>
    <row r="21" spans="2:32" ht="23.1" customHeight="1" x14ac:dyDescent="0.25">
      <c r="B21" s="23" t="s">
        <v>48</v>
      </c>
      <c r="C21" s="49">
        <f>'Avg Week SentemaRBT-Sentema'!C21+'Avg Week Sentema-SentemaRBT'!C21</f>
        <v>31.714285714285715</v>
      </c>
      <c r="D21" s="49">
        <f>'Avg Week SentemaRBT-Sentema'!D21+'Avg Week Sentema-SentemaRBT'!D21</f>
        <v>6.5714285714285712</v>
      </c>
      <c r="E21" s="49">
        <f>'Avg Week SentemaRBT-Sentema'!E21+'Avg Week Sentema-SentemaRBT'!E21</f>
        <v>5.7142857142857144</v>
      </c>
      <c r="F21" s="49">
        <f>'Avg Week SentemaRBT-Sentema'!F21+'Avg Week Sentema-SentemaRBT'!F21</f>
        <v>24</v>
      </c>
      <c r="G21" s="49">
        <f>'Avg Week SentemaRBT-Sentema'!G21+'Avg Week Sentema-SentemaRBT'!G21</f>
        <v>0</v>
      </c>
      <c r="H21" s="49">
        <f>'Avg Week SentemaRBT-Sentema'!H21+'Avg Week Sentema-SentemaRBT'!H21</f>
        <v>0.42857142857142855</v>
      </c>
      <c r="I21" s="49">
        <f>'Avg Week SentemaRBT-Sentema'!I21+'Avg Week Sentema-SentemaRBT'!I21</f>
        <v>6.1428571428571423</v>
      </c>
      <c r="J21" s="49">
        <f>'Avg Week SentemaRBT-Sentema'!J21+'Avg Week Sentema-SentemaRBT'!J21</f>
        <v>3.1428571428571428</v>
      </c>
      <c r="K21" s="49">
        <f>'Avg Week SentemaRBT-Sentema'!K21+'Avg Week Sentema-SentemaRBT'!K21</f>
        <v>0.2857142857142857</v>
      </c>
      <c r="L21" s="49">
        <f>'Avg Week SentemaRBT-Sentema'!L21+'Avg Week Sentema-SentemaRBT'!L21</f>
        <v>0.2857142857142857</v>
      </c>
      <c r="M21" s="49">
        <f>'Avg Week SentemaRBT-Sentema'!M21+'Avg Week Sentema-SentemaRBT'!M21</f>
        <v>99.714285714285708</v>
      </c>
      <c r="N21" s="49">
        <f>'Avg Week SentemaRBT-Sentema'!N21+'Avg Week Sentema-SentemaRBT'!N21</f>
        <v>0</v>
      </c>
      <c r="O21" s="15">
        <f t="shared" si="0"/>
        <v>78.285714285714292</v>
      </c>
      <c r="P21" s="15">
        <f t="shared" si="1"/>
        <v>178</v>
      </c>
      <c r="R21" s="1" t="s">
        <v>20</v>
      </c>
      <c r="S21" s="34">
        <f t="shared" ref="S21:AF21" si="13">SUM(C54:C57)</f>
        <v>150.71428571428569</v>
      </c>
      <c r="T21" s="17">
        <f t="shared" si="13"/>
        <v>37</v>
      </c>
      <c r="U21" s="17">
        <f t="shared" si="13"/>
        <v>17.714285714285715</v>
      </c>
      <c r="V21" s="17">
        <f t="shared" si="13"/>
        <v>94.285714285714278</v>
      </c>
      <c r="W21" s="17">
        <f t="shared" si="13"/>
        <v>3.1428571428571428</v>
      </c>
      <c r="X21" s="17">
        <f t="shared" si="13"/>
        <v>0.71428571428571419</v>
      </c>
      <c r="Y21" s="17">
        <f t="shared" si="13"/>
        <v>22.428571428571431</v>
      </c>
      <c r="Z21" s="17">
        <f t="shared" si="13"/>
        <v>7.1428571428571432</v>
      </c>
      <c r="AA21" s="17">
        <f t="shared" si="13"/>
        <v>3.8571428571428568</v>
      </c>
      <c r="AB21" s="17">
        <f t="shared" si="13"/>
        <v>0.71428571428571419</v>
      </c>
      <c r="AC21" s="17">
        <f t="shared" si="13"/>
        <v>443.61904761904759</v>
      </c>
      <c r="AD21" s="17">
        <f t="shared" si="13"/>
        <v>0.14285714285714285</v>
      </c>
      <c r="AE21" s="31">
        <f t="shared" si="13"/>
        <v>337.85714285714289</v>
      </c>
      <c r="AF21" s="31">
        <f t="shared" si="13"/>
        <v>781.47619047619048</v>
      </c>
    </row>
    <row r="22" spans="2:32" ht="23.1" customHeight="1" x14ac:dyDescent="0.25">
      <c r="B22" s="23" t="s">
        <v>49</v>
      </c>
      <c r="C22" s="49">
        <f>'Avg Week SentemaRBT-Sentema'!C22+'Avg Week Sentema-SentemaRBT'!C22</f>
        <v>31.285714285714285</v>
      </c>
      <c r="D22" s="49">
        <f>'Avg Week SentemaRBT-Sentema'!D22+'Avg Week Sentema-SentemaRBT'!D22</f>
        <v>8.2857142857142847</v>
      </c>
      <c r="E22" s="49">
        <f>'Avg Week SentemaRBT-Sentema'!E22+'Avg Week Sentema-SentemaRBT'!E22</f>
        <v>5.2857142857142856</v>
      </c>
      <c r="F22" s="49">
        <f>'Avg Week SentemaRBT-Sentema'!F22+'Avg Week Sentema-SentemaRBT'!F22</f>
        <v>25.428571428571431</v>
      </c>
      <c r="G22" s="49">
        <f>'Avg Week SentemaRBT-Sentema'!G22+'Avg Week Sentema-SentemaRBT'!G22</f>
        <v>0.85714285714285721</v>
      </c>
      <c r="H22" s="49">
        <f>'Avg Week SentemaRBT-Sentema'!H22+'Avg Week Sentema-SentemaRBT'!H22</f>
        <v>0.5714285714285714</v>
      </c>
      <c r="I22" s="49">
        <f>'Avg Week SentemaRBT-Sentema'!I22+'Avg Week Sentema-SentemaRBT'!I22</f>
        <v>9.1428571428571423</v>
      </c>
      <c r="J22" s="49">
        <f>'Avg Week SentemaRBT-Sentema'!J22+'Avg Week Sentema-SentemaRBT'!J22</f>
        <v>3.1428571428571428</v>
      </c>
      <c r="K22" s="49">
        <f>'Avg Week SentemaRBT-Sentema'!K22+'Avg Week Sentema-SentemaRBT'!K22</f>
        <v>0.2857142857142857</v>
      </c>
      <c r="L22" s="49">
        <f>'Avg Week SentemaRBT-Sentema'!L22+'Avg Week Sentema-SentemaRBT'!L22</f>
        <v>0.2857142857142857</v>
      </c>
      <c r="M22" s="49">
        <f>'Avg Week SentemaRBT-Sentema'!M22+'Avg Week Sentema-SentemaRBT'!M22</f>
        <v>104.14285714285714</v>
      </c>
      <c r="N22" s="49">
        <f>'Avg Week SentemaRBT-Sentema'!N22+'Avg Week Sentema-SentemaRBT'!N22</f>
        <v>0</v>
      </c>
      <c r="O22" s="15">
        <f t="shared" si="0"/>
        <v>84.571428571428569</v>
      </c>
      <c r="P22" s="15">
        <f t="shared" si="1"/>
        <v>188.71428571428572</v>
      </c>
      <c r="R22" s="1" t="s">
        <v>146</v>
      </c>
      <c r="S22" s="34">
        <f>SUM(C58:C61)</f>
        <v>136.5</v>
      </c>
      <c r="T22" s="34">
        <f t="shared" ref="T22:AF22" si="14">SUM(D58:D61)</f>
        <v>39</v>
      </c>
      <c r="U22" s="34">
        <f t="shared" si="14"/>
        <v>23</v>
      </c>
      <c r="V22" s="34">
        <f t="shared" si="14"/>
        <v>113</v>
      </c>
      <c r="W22" s="34">
        <f t="shared" si="14"/>
        <v>2.5</v>
      </c>
      <c r="X22" s="34">
        <f t="shared" si="14"/>
        <v>1.5</v>
      </c>
      <c r="Y22" s="34">
        <f t="shared" si="14"/>
        <v>19.5</v>
      </c>
      <c r="Z22" s="34">
        <f t="shared" si="14"/>
        <v>4.5</v>
      </c>
      <c r="AA22" s="34">
        <f t="shared" si="14"/>
        <v>1</v>
      </c>
      <c r="AB22" s="34">
        <f t="shared" si="14"/>
        <v>2</v>
      </c>
      <c r="AC22" s="34">
        <f t="shared" si="14"/>
        <v>344.5</v>
      </c>
      <c r="AD22" s="34">
        <f t="shared" si="14"/>
        <v>0</v>
      </c>
      <c r="AE22" s="31">
        <f t="shared" si="14"/>
        <v>342.5</v>
      </c>
      <c r="AF22" s="31">
        <f t="shared" si="14"/>
        <v>687</v>
      </c>
    </row>
    <row r="23" spans="2:32" ht="23.1" customHeight="1" x14ac:dyDescent="0.25">
      <c r="B23" s="23" t="s">
        <v>50</v>
      </c>
      <c r="C23" s="49">
        <f>'Avg Week SentemaRBT-Sentema'!C23+'Avg Week Sentema-SentemaRBT'!C23</f>
        <v>36.571428571428569</v>
      </c>
      <c r="D23" s="49">
        <f>'Avg Week SentemaRBT-Sentema'!D23+'Avg Week Sentema-SentemaRBT'!D23</f>
        <v>7.8571428571428577</v>
      </c>
      <c r="E23" s="49">
        <f>'Avg Week SentemaRBT-Sentema'!E23+'Avg Week Sentema-SentemaRBT'!E23</f>
        <v>6.7142857142857135</v>
      </c>
      <c r="F23" s="49">
        <f>'Avg Week SentemaRBT-Sentema'!F23+'Avg Week Sentema-SentemaRBT'!F23</f>
        <v>23.571428571428569</v>
      </c>
      <c r="G23" s="49">
        <f>'Avg Week SentemaRBT-Sentema'!G23+'Avg Week Sentema-SentemaRBT'!G23</f>
        <v>0.14285714285714285</v>
      </c>
      <c r="H23" s="49">
        <f>'Avg Week SentemaRBT-Sentema'!H23+'Avg Week Sentema-SentemaRBT'!H23</f>
        <v>0.14285714285714285</v>
      </c>
      <c r="I23" s="49">
        <f>'Avg Week SentemaRBT-Sentema'!I23+'Avg Week Sentema-SentemaRBT'!I23</f>
        <v>7.7142857142857144</v>
      </c>
      <c r="J23" s="49">
        <f>'Avg Week SentemaRBT-Sentema'!J23+'Avg Week Sentema-SentemaRBT'!J23</f>
        <v>3.2857142857142856</v>
      </c>
      <c r="K23" s="49">
        <f>'Avg Week SentemaRBT-Sentema'!K23+'Avg Week Sentema-SentemaRBT'!K23</f>
        <v>0.2857142857142857</v>
      </c>
      <c r="L23" s="49">
        <f>'Avg Week SentemaRBT-Sentema'!L23+'Avg Week Sentema-SentemaRBT'!L23</f>
        <v>0.2857142857142857</v>
      </c>
      <c r="M23" s="49">
        <f>'Avg Week SentemaRBT-Sentema'!M23+'Avg Week Sentema-SentemaRBT'!M23</f>
        <v>104.14285714285714</v>
      </c>
      <c r="N23" s="49">
        <f>'Avg Week SentemaRBT-Sentema'!N23+'Avg Week Sentema-SentemaRBT'!N23</f>
        <v>0</v>
      </c>
      <c r="O23" s="15">
        <f t="shared" si="0"/>
        <v>86.571428571428584</v>
      </c>
      <c r="P23" s="15">
        <f t="shared" si="1"/>
        <v>190.71428571428572</v>
      </c>
      <c r="R23" s="1" t="s">
        <v>147</v>
      </c>
      <c r="S23" s="34">
        <f>SUM(C62:C65)</f>
        <v>159.5</v>
      </c>
      <c r="T23" s="34">
        <f t="shared" ref="T23:AF23" si="15">SUM(D62:D65)</f>
        <v>24.5</v>
      </c>
      <c r="U23" s="34">
        <f t="shared" si="15"/>
        <v>19.5</v>
      </c>
      <c r="V23" s="34">
        <f t="shared" si="15"/>
        <v>152</v>
      </c>
      <c r="W23" s="34">
        <f t="shared" si="15"/>
        <v>1</v>
      </c>
      <c r="X23" s="34">
        <f t="shared" si="15"/>
        <v>1</v>
      </c>
      <c r="Y23" s="34">
        <f t="shared" si="15"/>
        <v>15</v>
      </c>
      <c r="Z23" s="34">
        <f t="shared" si="15"/>
        <v>4.5</v>
      </c>
      <c r="AA23" s="34">
        <f t="shared" si="15"/>
        <v>1</v>
      </c>
      <c r="AB23" s="34">
        <f t="shared" si="15"/>
        <v>0.5</v>
      </c>
      <c r="AC23" s="34">
        <f t="shared" si="15"/>
        <v>341</v>
      </c>
      <c r="AD23" s="34">
        <f t="shared" si="15"/>
        <v>0</v>
      </c>
      <c r="AE23" s="31">
        <f t="shared" si="15"/>
        <v>378.5</v>
      </c>
      <c r="AF23" s="31">
        <f t="shared" si="15"/>
        <v>719.5</v>
      </c>
    </row>
    <row r="24" spans="2:32" ht="23.1" customHeight="1" x14ac:dyDescent="0.25">
      <c r="B24" s="23" t="s">
        <v>51</v>
      </c>
      <c r="C24" s="49">
        <f>'Avg Week SentemaRBT-Sentema'!C24+'Avg Week Sentema-SentemaRBT'!C24</f>
        <v>30.142857142857146</v>
      </c>
      <c r="D24" s="49">
        <f>'Avg Week SentemaRBT-Sentema'!D24+'Avg Week Sentema-SentemaRBT'!D24</f>
        <v>8.7142857142857153</v>
      </c>
      <c r="E24" s="49">
        <f>'Avg Week SentemaRBT-Sentema'!E24+'Avg Week Sentema-SentemaRBT'!E24</f>
        <v>5.4285714285714288</v>
      </c>
      <c r="F24" s="49">
        <f>'Avg Week SentemaRBT-Sentema'!F24+'Avg Week Sentema-SentemaRBT'!F24</f>
        <v>21.571428571428569</v>
      </c>
      <c r="G24" s="49">
        <f>'Avg Week SentemaRBT-Sentema'!G24+'Avg Week Sentema-SentemaRBT'!G24</f>
        <v>0</v>
      </c>
      <c r="H24" s="49">
        <f>'Avg Week SentemaRBT-Sentema'!H24+'Avg Week Sentema-SentemaRBT'!H24</f>
        <v>0</v>
      </c>
      <c r="I24" s="49">
        <f>'Avg Week SentemaRBT-Sentema'!I24+'Avg Week Sentema-SentemaRBT'!I24</f>
        <v>7</v>
      </c>
      <c r="J24" s="49">
        <f>'Avg Week SentemaRBT-Sentema'!J24+'Avg Week Sentema-SentemaRBT'!J24</f>
        <v>2.5714285714285712</v>
      </c>
      <c r="K24" s="49">
        <f>'Avg Week SentemaRBT-Sentema'!K24+'Avg Week Sentema-SentemaRBT'!K24</f>
        <v>0.71428571428571419</v>
      </c>
      <c r="L24" s="49">
        <f>'Avg Week SentemaRBT-Sentema'!L24+'Avg Week Sentema-SentemaRBT'!L24</f>
        <v>0.71428571428571419</v>
      </c>
      <c r="M24" s="49">
        <f>'Avg Week SentemaRBT-Sentema'!M24+'Avg Week Sentema-SentemaRBT'!M24</f>
        <v>106</v>
      </c>
      <c r="N24" s="49">
        <f>'Avg Week SentemaRBT-Sentema'!N24+'Avg Week Sentema-SentemaRBT'!N24</f>
        <v>0.14285714285714285</v>
      </c>
      <c r="O24" s="15">
        <f t="shared" si="0"/>
        <v>76.999999999999986</v>
      </c>
      <c r="P24" s="15">
        <f t="shared" si="1"/>
        <v>182.99999999999997</v>
      </c>
      <c r="R24" s="1" t="s">
        <v>148</v>
      </c>
      <c r="S24" s="34">
        <f>SUM(C66:C69)</f>
        <v>73.5</v>
      </c>
      <c r="T24" s="34">
        <f t="shared" ref="T24:AF24" si="16">SUM(D66:D69)</f>
        <v>12.5</v>
      </c>
      <c r="U24" s="34">
        <f t="shared" si="16"/>
        <v>10</v>
      </c>
      <c r="V24" s="34">
        <f t="shared" si="16"/>
        <v>48.5</v>
      </c>
      <c r="W24" s="34">
        <f t="shared" si="16"/>
        <v>2.5</v>
      </c>
      <c r="X24" s="34">
        <f t="shared" si="16"/>
        <v>0</v>
      </c>
      <c r="Y24" s="34">
        <f t="shared" si="16"/>
        <v>7.5</v>
      </c>
      <c r="Z24" s="34">
        <f t="shared" si="16"/>
        <v>1.5</v>
      </c>
      <c r="AA24" s="34">
        <f t="shared" si="16"/>
        <v>3.5</v>
      </c>
      <c r="AB24" s="34">
        <f t="shared" si="16"/>
        <v>0.5</v>
      </c>
      <c r="AC24" s="34">
        <f t="shared" si="16"/>
        <v>186.5</v>
      </c>
      <c r="AD24" s="34">
        <f t="shared" si="16"/>
        <v>0</v>
      </c>
      <c r="AE24" s="31">
        <f t="shared" si="16"/>
        <v>160</v>
      </c>
      <c r="AF24" s="31">
        <f t="shared" si="16"/>
        <v>346.5</v>
      </c>
    </row>
    <row r="25" spans="2:32" ht="23.1" customHeight="1" x14ac:dyDescent="0.25">
      <c r="B25" s="23" t="s">
        <v>52</v>
      </c>
      <c r="C25" s="49">
        <f>'Avg Week SentemaRBT-Sentema'!C25+'Avg Week Sentema-SentemaRBT'!C25</f>
        <v>33</v>
      </c>
      <c r="D25" s="49">
        <f>'Avg Week SentemaRBT-Sentema'!D25+'Avg Week Sentema-SentemaRBT'!D25</f>
        <v>5.5714285714285712</v>
      </c>
      <c r="E25" s="49">
        <f>'Avg Week SentemaRBT-Sentema'!E25+'Avg Week Sentema-SentemaRBT'!E25</f>
        <v>6.5714285714285712</v>
      </c>
      <c r="F25" s="49">
        <f>'Avg Week SentemaRBT-Sentema'!F25+'Avg Week Sentema-SentemaRBT'!F25</f>
        <v>20.142857142857146</v>
      </c>
      <c r="G25" s="49">
        <f>'Avg Week SentemaRBT-Sentema'!G25+'Avg Week Sentema-SentemaRBT'!G25</f>
        <v>0.14285714285714285</v>
      </c>
      <c r="H25" s="49">
        <f>'Avg Week SentemaRBT-Sentema'!H25+'Avg Week Sentema-SentemaRBT'!H25</f>
        <v>0</v>
      </c>
      <c r="I25" s="49">
        <f>'Avg Week SentemaRBT-Sentema'!I25+'Avg Week Sentema-SentemaRBT'!I25</f>
        <v>8.1428571428571423</v>
      </c>
      <c r="J25" s="49">
        <f>'Avg Week SentemaRBT-Sentema'!J25+'Avg Week Sentema-SentemaRBT'!J25</f>
        <v>3.4285714285714288</v>
      </c>
      <c r="K25" s="49">
        <f>'Avg Week SentemaRBT-Sentema'!K25+'Avg Week Sentema-SentemaRBT'!K25</f>
        <v>0.8571428571428571</v>
      </c>
      <c r="L25" s="49">
        <f>'Avg Week SentemaRBT-Sentema'!L25+'Avg Week Sentema-SentemaRBT'!L25</f>
        <v>6.1428571428571432</v>
      </c>
      <c r="M25" s="49">
        <f>'Avg Week SentemaRBT-Sentema'!M25+'Avg Week Sentema-SentemaRBT'!M25</f>
        <v>85.142857142857139</v>
      </c>
      <c r="N25" s="49">
        <f>'Avg Week SentemaRBT-Sentema'!N25+'Avg Week Sentema-SentemaRBT'!N25</f>
        <v>0</v>
      </c>
      <c r="O25" s="15">
        <f t="shared" si="0"/>
        <v>83.999999999999986</v>
      </c>
      <c r="P25" s="15">
        <f t="shared" si="1"/>
        <v>169.14285714285711</v>
      </c>
      <c r="R25" s="1" t="s">
        <v>149</v>
      </c>
      <c r="S25" s="34">
        <f>SUM(C70:C73)</f>
        <v>62</v>
      </c>
      <c r="T25" s="34">
        <f t="shared" ref="T25:AF25" si="17">SUM(D70:D73)</f>
        <v>7</v>
      </c>
      <c r="U25" s="34">
        <f t="shared" si="17"/>
        <v>3.5</v>
      </c>
      <c r="V25" s="34">
        <f t="shared" si="17"/>
        <v>29.5</v>
      </c>
      <c r="W25" s="34">
        <f t="shared" si="17"/>
        <v>0.5</v>
      </c>
      <c r="X25" s="34">
        <f t="shared" si="17"/>
        <v>0</v>
      </c>
      <c r="Y25" s="34">
        <f t="shared" si="17"/>
        <v>4</v>
      </c>
      <c r="Z25" s="34">
        <f t="shared" si="17"/>
        <v>1.5</v>
      </c>
      <c r="AA25" s="34">
        <f t="shared" si="17"/>
        <v>0.5</v>
      </c>
      <c r="AB25" s="34">
        <f t="shared" si="17"/>
        <v>0</v>
      </c>
      <c r="AC25" s="34">
        <f t="shared" si="17"/>
        <v>108</v>
      </c>
      <c r="AD25" s="34">
        <f t="shared" si="17"/>
        <v>0</v>
      </c>
      <c r="AE25" s="31">
        <f t="shared" si="17"/>
        <v>108.5</v>
      </c>
      <c r="AF25" s="31">
        <f t="shared" si="17"/>
        <v>216.5</v>
      </c>
    </row>
    <row r="26" spans="2:32" ht="23.1" customHeight="1" x14ac:dyDescent="0.25">
      <c r="B26" s="23" t="s">
        <v>53</v>
      </c>
      <c r="C26" s="49">
        <f>'Avg Week SentemaRBT-Sentema'!C26+'Avg Week Sentema-SentemaRBT'!C26</f>
        <v>30.428571428571427</v>
      </c>
      <c r="D26" s="49">
        <f>'Avg Week SentemaRBT-Sentema'!D26+'Avg Week Sentema-SentemaRBT'!D26</f>
        <v>7.7142857142857135</v>
      </c>
      <c r="E26" s="49">
        <f>'Avg Week SentemaRBT-Sentema'!E26+'Avg Week Sentema-SentemaRBT'!E26</f>
        <v>4.2857142857142856</v>
      </c>
      <c r="F26" s="49">
        <f>'Avg Week SentemaRBT-Sentema'!F26+'Avg Week Sentema-SentemaRBT'!F26</f>
        <v>17.714285714285715</v>
      </c>
      <c r="G26" s="49">
        <f>'Avg Week SentemaRBT-Sentema'!G26+'Avg Week Sentema-SentemaRBT'!G26</f>
        <v>0.14285714285714285</v>
      </c>
      <c r="H26" s="49">
        <f>'Avg Week SentemaRBT-Sentema'!H26+'Avg Week Sentema-SentemaRBT'!H26</f>
        <v>0.14285714285714285</v>
      </c>
      <c r="I26" s="49">
        <f>'Avg Week SentemaRBT-Sentema'!I26+'Avg Week Sentema-SentemaRBT'!I26</f>
        <v>7</v>
      </c>
      <c r="J26" s="49">
        <f>'Avg Week SentemaRBT-Sentema'!J26+'Avg Week Sentema-SentemaRBT'!J26</f>
        <v>3.7142857142857144</v>
      </c>
      <c r="K26" s="49">
        <f>'Avg Week SentemaRBT-Sentema'!K26+'Avg Week Sentema-SentemaRBT'!K26</f>
        <v>0.7142857142857143</v>
      </c>
      <c r="L26" s="49">
        <f>'Avg Week SentemaRBT-Sentema'!L26+'Avg Week Sentema-SentemaRBT'!L26</f>
        <v>0.14285714285714285</v>
      </c>
      <c r="M26" s="49">
        <f>'Avg Week SentemaRBT-Sentema'!M26+'Avg Week Sentema-SentemaRBT'!M26</f>
        <v>104.57142857142857</v>
      </c>
      <c r="N26" s="49">
        <f>'Avg Week SentemaRBT-Sentema'!N26+'Avg Week Sentema-SentemaRBT'!N26</f>
        <v>0</v>
      </c>
      <c r="O26" s="15">
        <f t="shared" si="0"/>
        <v>71.999999999999986</v>
      </c>
      <c r="P26" s="15">
        <f t="shared" si="1"/>
        <v>176.57142857142856</v>
      </c>
      <c r="R26" s="1" t="s">
        <v>150</v>
      </c>
      <c r="S26" s="34">
        <f>SUM(C74:C77)</f>
        <v>48.5</v>
      </c>
      <c r="T26" s="34">
        <f t="shared" ref="T26:AF26" si="18">SUM(D74:D77)</f>
        <v>5.5</v>
      </c>
      <c r="U26" s="34">
        <f t="shared" si="18"/>
        <v>6</v>
      </c>
      <c r="V26" s="34">
        <f t="shared" si="18"/>
        <v>25</v>
      </c>
      <c r="W26" s="34">
        <f t="shared" si="18"/>
        <v>0.5</v>
      </c>
      <c r="X26" s="34">
        <f t="shared" si="18"/>
        <v>0</v>
      </c>
      <c r="Y26" s="34">
        <f t="shared" si="18"/>
        <v>3</v>
      </c>
      <c r="Z26" s="34">
        <f t="shared" si="18"/>
        <v>1.5</v>
      </c>
      <c r="AA26" s="34">
        <f t="shared" si="18"/>
        <v>0.5</v>
      </c>
      <c r="AB26" s="34">
        <f t="shared" si="18"/>
        <v>1</v>
      </c>
      <c r="AC26" s="34">
        <f t="shared" si="18"/>
        <v>87</v>
      </c>
      <c r="AD26" s="34">
        <f t="shared" si="18"/>
        <v>0</v>
      </c>
      <c r="AE26" s="31">
        <f t="shared" si="18"/>
        <v>91.5</v>
      </c>
      <c r="AF26" s="31">
        <f t="shared" si="18"/>
        <v>178.5</v>
      </c>
    </row>
    <row r="27" spans="2:32" ht="23.1" customHeight="1" x14ac:dyDescent="0.25">
      <c r="B27" s="23" t="s">
        <v>54</v>
      </c>
      <c r="C27" s="49">
        <f>'Avg Week SentemaRBT-Sentema'!C27+'Avg Week Sentema-SentemaRBT'!C27</f>
        <v>37.285714285714285</v>
      </c>
      <c r="D27" s="49">
        <f>'Avg Week SentemaRBT-Sentema'!D27+'Avg Week Sentema-SentemaRBT'!D27</f>
        <v>7.4285714285714288</v>
      </c>
      <c r="E27" s="49">
        <f>'Avg Week SentemaRBT-Sentema'!E27+'Avg Week Sentema-SentemaRBT'!E27</f>
        <v>6.8571428571428577</v>
      </c>
      <c r="F27" s="49">
        <f>'Avg Week SentemaRBT-Sentema'!F27+'Avg Week Sentema-SentemaRBT'!F27</f>
        <v>25.571428571428569</v>
      </c>
      <c r="G27" s="49">
        <f>'Avg Week SentemaRBT-Sentema'!G27+'Avg Week Sentema-SentemaRBT'!G27</f>
        <v>0.2857142857142857</v>
      </c>
      <c r="H27" s="49">
        <f>'Avg Week SentemaRBT-Sentema'!H27+'Avg Week Sentema-SentemaRBT'!H27</f>
        <v>0.2857142857142857</v>
      </c>
      <c r="I27" s="49">
        <f>'Avg Week SentemaRBT-Sentema'!I27+'Avg Week Sentema-SentemaRBT'!I27</f>
        <v>8.571428571428573</v>
      </c>
      <c r="J27" s="49">
        <f>'Avg Week SentemaRBT-Sentema'!J27+'Avg Week Sentema-SentemaRBT'!J27</f>
        <v>3.1428571428571428</v>
      </c>
      <c r="K27" s="49">
        <f>'Avg Week SentemaRBT-Sentema'!K27+'Avg Week Sentema-SentemaRBT'!K27</f>
        <v>0.85714285714285721</v>
      </c>
      <c r="L27" s="49">
        <f>'Avg Week SentemaRBT-Sentema'!L27+'Avg Week Sentema-SentemaRBT'!L27</f>
        <v>0.2857142857142857</v>
      </c>
      <c r="M27" s="49">
        <f>'Avg Week SentemaRBT-Sentema'!M27+'Avg Week Sentema-SentemaRBT'!M27</f>
        <v>108.42857142857143</v>
      </c>
      <c r="N27" s="49">
        <f>'Avg Week SentemaRBT-Sentema'!N27+'Avg Week Sentema-SentemaRBT'!N27</f>
        <v>0</v>
      </c>
      <c r="O27" s="15">
        <f t="shared" si="0"/>
        <v>90.571428571428584</v>
      </c>
      <c r="P27" s="15">
        <f t="shared" si="1"/>
        <v>199</v>
      </c>
      <c r="R27" s="1" t="s">
        <v>151</v>
      </c>
      <c r="S27" s="34">
        <f>SUM(C78:C81)</f>
        <v>17.5</v>
      </c>
      <c r="T27" s="34">
        <f t="shared" ref="T27:AF27" si="19">SUM(D78:D81)</f>
        <v>2.5</v>
      </c>
      <c r="U27" s="34">
        <f t="shared" si="19"/>
        <v>2</v>
      </c>
      <c r="V27" s="34">
        <f t="shared" si="19"/>
        <v>3</v>
      </c>
      <c r="W27" s="34">
        <f t="shared" si="19"/>
        <v>0.5</v>
      </c>
      <c r="X27" s="34">
        <f t="shared" si="19"/>
        <v>1.5</v>
      </c>
      <c r="Y27" s="34">
        <f t="shared" si="19"/>
        <v>3</v>
      </c>
      <c r="Z27" s="34">
        <f t="shared" si="19"/>
        <v>2</v>
      </c>
      <c r="AA27" s="34">
        <f t="shared" si="19"/>
        <v>0.5</v>
      </c>
      <c r="AB27" s="34">
        <f t="shared" si="19"/>
        <v>1</v>
      </c>
      <c r="AC27" s="34">
        <f t="shared" si="19"/>
        <v>34.5</v>
      </c>
      <c r="AD27" s="34">
        <f t="shared" si="19"/>
        <v>0</v>
      </c>
      <c r="AE27" s="31">
        <f t="shared" si="19"/>
        <v>33.5</v>
      </c>
      <c r="AF27" s="31">
        <f t="shared" si="19"/>
        <v>68</v>
      </c>
    </row>
    <row r="28" spans="2:32" ht="23.1" customHeight="1" x14ac:dyDescent="0.25">
      <c r="B28" s="23" t="s">
        <v>55</v>
      </c>
      <c r="C28" s="49">
        <f>'Avg Week SentemaRBT-Sentema'!C28+'Avg Week Sentema-SentemaRBT'!C28</f>
        <v>24.142857142857146</v>
      </c>
      <c r="D28" s="49">
        <f>'Avg Week SentemaRBT-Sentema'!D28+'Avg Week Sentema-SentemaRBT'!D28</f>
        <v>5</v>
      </c>
      <c r="E28" s="49">
        <f>'Avg Week SentemaRBT-Sentema'!E28+'Avg Week Sentema-SentemaRBT'!E28</f>
        <v>6.1428571428571423</v>
      </c>
      <c r="F28" s="49">
        <f>'Avg Week SentemaRBT-Sentema'!F28+'Avg Week Sentema-SentemaRBT'!F28</f>
        <v>19.142857142857142</v>
      </c>
      <c r="G28" s="49">
        <f>'Avg Week SentemaRBT-Sentema'!G28+'Avg Week Sentema-SentemaRBT'!G28</f>
        <v>0.2857142857142857</v>
      </c>
      <c r="H28" s="49">
        <f>'Avg Week SentemaRBT-Sentema'!H28+'Avg Week Sentema-SentemaRBT'!H28</f>
        <v>0.42857142857142855</v>
      </c>
      <c r="I28" s="49">
        <f>'Avg Week SentemaRBT-Sentema'!I28+'Avg Week Sentema-SentemaRBT'!I28</f>
        <v>8.5714285714285712</v>
      </c>
      <c r="J28" s="49">
        <f>'Avg Week SentemaRBT-Sentema'!J28+'Avg Week Sentema-SentemaRBT'!J28</f>
        <v>2.4285714285714284</v>
      </c>
      <c r="K28" s="49">
        <f>'Avg Week SentemaRBT-Sentema'!K28+'Avg Week Sentema-SentemaRBT'!K28</f>
        <v>0.8571428571428571</v>
      </c>
      <c r="L28" s="49">
        <f>'Avg Week SentemaRBT-Sentema'!L28+'Avg Week Sentema-SentemaRBT'!L28</f>
        <v>0</v>
      </c>
      <c r="M28" s="49">
        <f>'Avg Week SentemaRBT-Sentema'!M28+'Avg Week Sentema-SentemaRBT'!M28</f>
        <v>105.71428571428572</v>
      </c>
      <c r="N28" s="49">
        <f>'Avg Week SentemaRBT-Sentema'!N28+'Avg Week Sentema-SentemaRBT'!N28</f>
        <v>0</v>
      </c>
      <c r="O28" s="15">
        <f t="shared" si="0"/>
        <v>67</v>
      </c>
      <c r="P28" s="15">
        <f t="shared" si="1"/>
        <v>172.71428571428572</v>
      </c>
      <c r="R28" s="1" t="s">
        <v>152</v>
      </c>
      <c r="S28" s="34">
        <f>SUM(C82:C85)</f>
        <v>6.5</v>
      </c>
      <c r="T28" s="34">
        <f t="shared" ref="T28:AF28" si="20">SUM(D82:D85)</f>
        <v>0.5</v>
      </c>
      <c r="U28" s="34">
        <f t="shared" si="20"/>
        <v>1.5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0.5</v>
      </c>
      <c r="AA28" s="34">
        <f t="shared" si="20"/>
        <v>1.5</v>
      </c>
      <c r="AB28" s="34">
        <f t="shared" si="20"/>
        <v>0.5</v>
      </c>
      <c r="AC28" s="34">
        <f t="shared" si="20"/>
        <v>16.5</v>
      </c>
      <c r="AD28" s="34">
        <f t="shared" si="20"/>
        <v>0</v>
      </c>
      <c r="AE28" s="31">
        <f t="shared" si="20"/>
        <v>13</v>
      </c>
      <c r="AF28" s="31">
        <f t="shared" si="20"/>
        <v>29.5</v>
      </c>
    </row>
    <row r="29" spans="2:32" ht="23.1" customHeight="1" x14ac:dyDescent="0.25">
      <c r="B29" s="23" t="s">
        <v>56</v>
      </c>
      <c r="C29" s="49">
        <f>'Avg Week SentemaRBT-Sentema'!C29+'Avg Week Sentema-SentemaRBT'!C29</f>
        <v>23.857142857142858</v>
      </c>
      <c r="D29" s="49">
        <f>'Avg Week SentemaRBT-Sentema'!D29+'Avg Week Sentema-SentemaRBT'!D29</f>
        <v>7.5714285714285712</v>
      </c>
      <c r="E29" s="49">
        <f>'Avg Week SentemaRBT-Sentema'!E29+'Avg Week Sentema-SentemaRBT'!E29</f>
        <v>6</v>
      </c>
      <c r="F29" s="49">
        <f>'Avg Week SentemaRBT-Sentema'!F29+'Avg Week Sentema-SentemaRBT'!F29</f>
        <v>21</v>
      </c>
      <c r="G29" s="49">
        <f>'Avg Week SentemaRBT-Sentema'!G29+'Avg Week Sentema-SentemaRBT'!G29</f>
        <v>0.14285714285714285</v>
      </c>
      <c r="H29" s="49">
        <f>'Avg Week SentemaRBT-Sentema'!H29+'Avg Week Sentema-SentemaRBT'!H29</f>
        <v>0.7142857142857143</v>
      </c>
      <c r="I29" s="49">
        <f>'Avg Week SentemaRBT-Sentema'!I29+'Avg Week Sentema-SentemaRBT'!I29</f>
        <v>7.1428571428571423</v>
      </c>
      <c r="J29" s="49">
        <f>'Avg Week SentemaRBT-Sentema'!J29+'Avg Week Sentema-SentemaRBT'!J29</f>
        <v>3.2857142857142856</v>
      </c>
      <c r="K29" s="49">
        <f>'Avg Week SentemaRBT-Sentema'!K29+'Avg Week Sentema-SentemaRBT'!K29</f>
        <v>1</v>
      </c>
      <c r="L29" s="49">
        <f>'Avg Week SentemaRBT-Sentema'!L29+'Avg Week Sentema-SentemaRBT'!L29</f>
        <v>0.2857142857142857</v>
      </c>
      <c r="M29" s="49">
        <f>'Avg Week SentemaRBT-Sentema'!M29+'Avg Week Sentema-SentemaRBT'!M29</f>
        <v>99.142857142857139</v>
      </c>
      <c r="N29" s="49">
        <f>'Avg Week SentemaRBT-Sentema'!N29+'Avg Week Sentema-SentemaRBT'!N29</f>
        <v>0</v>
      </c>
      <c r="O29" s="15">
        <f t="shared" si="0"/>
        <v>71.000000000000014</v>
      </c>
      <c r="P29" s="15">
        <f t="shared" si="1"/>
        <v>170.14285714285717</v>
      </c>
      <c r="R29" s="1" t="s">
        <v>153</v>
      </c>
      <c r="S29" s="34">
        <f>SUM(C86:C89)</f>
        <v>7.5</v>
      </c>
      <c r="T29" s="34">
        <f t="shared" ref="T29:AF29" si="21">SUM(D86:D89)</f>
        <v>0.5</v>
      </c>
      <c r="U29" s="34">
        <f t="shared" si="21"/>
        <v>1.5</v>
      </c>
      <c r="V29" s="34">
        <f t="shared" si="21"/>
        <v>0.5</v>
      </c>
      <c r="W29" s="34">
        <f t="shared" si="21"/>
        <v>0</v>
      </c>
      <c r="X29" s="34">
        <f t="shared" si="21"/>
        <v>0</v>
      </c>
      <c r="Y29" s="34">
        <f t="shared" si="21"/>
        <v>1.5</v>
      </c>
      <c r="Z29" s="34">
        <f t="shared" si="21"/>
        <v>0.5</v>
      </c>
      <c r="AA29" s="34">
        <f t="shared" si="21"/>
        <v>0</v>
      </c>
      <c r="AB29" s="34">
        <f t="shared" si="21"/>
        <v>0</v>
      </c>
      <c r="AC29" s="34">
        <f t="shared" si="21"/>
        <v>18.5</v>
      </c>
      <c r="AD29" s="34">
        <f t="shared" si="21"/>
        <v>0</v>
      </c>
      <c r="AE29" s="31">
        <f t="shared" si="21"/>
        <v>12</v>
      </c>
      <c r="AF29" s="31">
        <f t="shared" si="21"/>
        <v>30.5</v>
      </c>
    </row>
    <row r="30" spans="2:32" ht="23.1" customHeight="1" x14ac:dyDescent="0.25">
      <c r="B30" s="23" t="s">
        <v>57</v>
      </c>
      <c r="C30" s="49">
        <f>'Avg Week SentemaRBT-Sentema'!C30+'Avg Week Sentema-SentemaRBT'!C30</f>
        <v>28.142857142857146</v>
      </c>
      <c r="D30" s="49">
        <f>'Avg Week SentemaRBT-Sentema'!D30+'Avg Week Sentema-SentemaRBT'!D30</f>
        <v>10</v>
      </c>
      <c r="E30" s="49">
        <f>'Avg Week SentemaRBT-Sentema'!E30+'Avg Week Sentema-SentemaRBT'!E30</f>
        <v>8.1428571428571423</v>
      </c>
      <c r="F30" s="49">
        <f>'Avg Week SentemaRBT-Sentema'!F30+'Avg Week Sentema-SentemaRBT'!F30</f>
        <v>19.571428571428569</v>
      </c>
      <c r="G30" s="49">
        <f>'Avg Week SentemaRBT-Sentema'!G30+'Avg Week Sentema-SentemaRBT'!G30</f>
        <v>0.42857142857142855</v>
      </c>
      <c r="H30" s="49">
        <f>'Avg Week SentemaRBT-Sentema'!H30+'Avg Week Sentema-SentemaRBT'!H30</f>
        <v>0</v>
      </c>
      <c r="I30" s="49">
        <f>'Avg Week SentemaRBT-Sentema'!I30+'Avg Week Sentema-SentemaRBT'!I30</f>
        <v>8.1428571428571423</v>
      </c>
      <c r="J30" s="49">
        <f>'Avg Week SentemaRBT-Sentema'!J30+'Avg Week Sentema-SentemaRBT'!J30</f>
        <v>3.1428571428571428</v>
      </c>
      <c r="K30" s="49">
        <f>'Avg Week SentemaRBT-Sentema'!K30+'Avg Week Sentema-SentemaRBT'!K30</f>
        <v>2.1428571428571428</v>
      </c>
      <c r="L30" s="49">
        <f>'Avg Week SentemaRBT-Sentema'!L30+'Avg Week Sentema-SentemaRBT'!L30</f>
        <v>0</v>
      </c>
      <c r="M30" s="49">
        <f>'Avg Week SentemaRBT-Sentema'!M30+'Avg Week Sentema-SentemaRBT'!M30</f>
        <v>96</v>
      </c>
      <c r="N30" s="49">
        <f>'Avg Week SentemaRBT-Sentema'!N30+'Avg Week Sentema-SentemaRBT'!N30</f>
        <v>0</v>
      </c>
      <c r="O30" s="15">
        <f t="shared" si="0"/>
        <v>79.714285714285708</v>
      </c>
      <c r="P30" s="15">
        <f t="shared" si="1"/>
        <v>175.71428571428572</v>
      </c>
      <c r="R30" s="1" t="s">
        <v>154</v>
      </c>
      <c r="S30" s="34">
        <f>SUM(C90:C93)</f>
        <v>4</v>
      </c>
      <c r="T30" s="34">
        <f t="shared" ref="T30:AF30" si="22">SUM(D90:D93)</f>
        <v>0</v>
      </c>
      <c r="U30" s="34">
        <f t="shared" si="22"/>
        <v>2.5</v>
      </c>
      <c r="V30" s="34">
        <f t="shared" si="22"/>
        <v>1.5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2</v>
      </c>
      <c r="AA30" s="34">
        <f t="shared" si="22"/>
        <v>2</v>
      </c>
      <c r="AB30" s="34">
        <f t="shared" si="22"/>
        <v>0</v>
      </c>
      <c r="AC30" s="34">
        <f t="shared" si="22"/>
        <v>12.5</v>
      </c>
      <c r="AD30" s="34">
        <f t="shared" si="22"/>
        <v>0</v>
      </c>
      <c r="AE30" s="31">
        <f t="shared" si="22"/>
        <v>14</v>
      </c>
      <c r="AF30" s="31">
        <f t="shared" si="22"/>
        <v>26.5</v>
      </c>
    </row>
    <row r="31" spans="2:32" ht="23.1" customHeight="1" x14ac:dyDescent="0.25">
      <c r="B31" s="24" t="s">
        <v>58</v>
      </c>
      <c r="C31" s="49">
        <f>'Avg Week SentemaRBT-Sentema'!C31+'Avg Week Sentema-SentemaRBT'!C31</f>
        <v>22.571428571428569</v>
      </c>
      <c r="D31" s="49">
        <f>'Avg Week SentemaRBT-Sentema'!D31+'Avg Week Sentema-SentemaRBT'!D31</f>
        <v>4.8571428571428577</v>
      </c>
      <c r="E31" s="49">
        <f>'Avg Week SentemaRBT-Sentema'!E31+'Avg Week Sentema-SentemaRBT'!E31</f>
        <v>4.7142857142857144</v>
      </c>
      <c r="F31" s="49">
        <f>'Avg Week SentemaRBT-Sentema'!F31+'Avg Week Sentema-SentemaRBT'!F31</f>
        <v>17.285714285714285</v>
      </c>
      <c r="G31" s="49">
        <f>'Avg Week SentemaRBT-Sentema'!G31+'Avg Week Sentema-SentemaRBT'!G31</f>
        <v>1.5714285714285714</v>
      </c>
      <c r="H31" s="49">
        <f>'Avg Week SentemaRBT-Sentema'!H31+'Avg Week Sentema-SentemaRBT'!H31</f>
        <v>0</v>
      </c>
      <c r="I31" s="49">
        <f>'Avg Week SentemaRBT-Sentema'!I31+'Avg Week Sentema-SentemaRBT'!I31</f>
        <v>6.7142857142857144</v>
      </c>
      <c r="J31" s="49">
        <f>'Avg Week SentemaRBT-Sentema'!J31+'Avg Week Sentema-SentemaRBT'!J31</f>
        <v>2.4285714285714288</v>
      </c>
      <c r="K31" s="49">
        <f>'Avg Week SentemaRBT-Sentema'!K31+'Avg Week Sentema-SentemaRBT'!K31</f>
        <v>0.2857142857142857</v>
      </c>
      <c r="L31" s="49">
        <f>'Avg Week SentemaRBT-Sentema'!L31+'Avg Week Sentema-SentemaRBT'!L31</f>
        <v>0.14285714285714285</v>
      </c>
      <c r="M31" s="49">
        <f>'Avg Week SentemaRBT-Sentema'!M31+'Avg Week Sentema-SentemaRBT'!M31</f>
        <v>94.714285714285722</v>
      </c>
      <c r="N31" s="49">
        <f>'Avg Week SentemaRBT-Sentema'!N31+'Avg Week Sentema-SentemaRBT'!N31</f>
        <v>0</v>
      </c>
      <c r="O31" s="15">
        <f t="shared" si="0"/>
        <v>60.571428571428569</v>
      </c>
      <c r="P31" s="15">
        <f t="shared" si="1"/>
        <v>155.28571428571428</v>
      </c>
      <c r="R31" s="1" t="s">
        <v>155</v>
      </c>
      <c r="S31" s="34">
        <f>SUM(C94:C97)</f>
        <v>3.5</v>
      </c>
      <c r="T31" s="34">
        <f t="shared" ref="T31:AF31" si="23">SUM(D94:D97)</f>
        <v>0</v>
      </c>
      <c r="U31" s="34">
        <f t="shared" si="23"/>
        <v>0.5</v>
      </c>
      <c r="V31" s="34">
        <f t="shared" si="23"/>
        <v>4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6.5</v>
      </c>
      <c r="AD31" s="34">
        <f t="shared" si="23"/>
        <v>0</v>
      </c>
      <c r="AE31" s="31">
        <f t="shared" si="23"/>
        <v>9</v>
      </c>
      <c r="AF31" s="31">
        <f t="shared" si="23"/>
        <v>15.5</v>
      </c>
    </row>
    <row r="32" spans="2:32" ht="23.1" customHeight="1" x14ac:dyDescent="0.25">
      <c r="B32" s="24" t="s">
        <v>59</v>
      </c>
      <c r="C32" s="49">
        <f>'Avg Week SentemaRBT-Sentema'!C32+'Avg Week Sentema-SentemaRBT'!C32</f>
        <v>22.714285714285715</v>
      </c>
      <c r="D32" s="49">
        <f>'Avg Week SentemaRBT-Sentema'!D32+'Avg Week Sentema-SentemaRBT'!D32</f>
        <v>4.8571428571428577</v>
      </c>
      <c r="E32" s="49">
        <f>'Avg Week SentemaRBT-Sentema'!E32+'Avg Week Sentema-SentemaRBT'!E32</f>
        <v>5.7142857142857144</v>
      </c>
      <c r="F32" s="49">
        <f>'Avg Week SentemaRBT-Sentema'!F32+'Avg Week Sentema-SentemaRBT'!F32</f>
        <v>15.285714285714285</v>
      </c>
      <c r="G32" s="49">
        <f>'Avg Week SentemaRBT-Sentema'!G32+'Avg Week Sentema-SentemaRBT'!G32</f>
        <v>0</v>
      </c>
      <c r="H32" s="49">
        <f>'Avg Week SentemaRBT-Sentema'!H32+'Avg Week Sentema-SentemaRBT'!H32</f>
        <v>0.14285714285714285</v>
      </c>
      <c r="I32" s="49">
        <f>'Avg Week SentemaRBT-Sentema'!I32+'Avg Week Sentema-SentemaRBT'!I32</f>
        <v>7.1428571428571432</v>
      </c>
      <c r="J32" s="49">
        <f>'Avg Week SentemaRBT-Sentema'!J32+'Avg Week Sentema-SentemaRBT'!J32</f>
        <v>3.5714285714285712</v>
      </c>
      <c r="K32" s="49">
        <f>'Avg Week SentemaRBT-Sentema'!K32+'Avg Week Sentema-SentemaRBT'!K32</f>
        <v>0.2857142857142857</v>
      </c>
      <c r="L32" s="49">
        <f>'Avg Week SentemaRBT-Sentema'!L32+'Avg Week Sentema-SentemaRBT'!L32</f>
        <v>0</v>
      </c>
      <c r="M32" s="49">
        <f>'Avg Week SentemaRBT-Sentema'!M32+'Avg Week Sentema-SentemaRBT'!M32</f>
        <v>90.428571428571416</v>
      </c>
      <c r="N32" s="49">
        <f>'Avg Week SentemaRBT-Sentema'!N32+'Avg Week Sentema-SentemaRBT'!N32</f>
        <v>0</v>
      </c>
      <c r="O32" s="15">
        <f t="shared" si="0"/>
        <v>59.714285714285715</v>
      </c>
      <c r="P32" s="15">
        <f t="shared" si="1"/>
        <v>150.14285714285714</v>
      </c>
      <c r="R32" s="1" t="s">
        <v>156</v>
      </c>
      <c r="S32" s="34">
        <f>SUM(C98:C101)</f>
        <v>28</v>
      </c>
      <c r="T32" s="34">
        <f t="shared" ref="T32:AF32" si="24">SUM(D98:D101)</f>
        <v>1</v>
      </c>
      <c r="U32" s="34">
        <f t="shared" si="24"/>
        <v>1</v>
      </c>
      <c r="V32" s="34">
        <f t="shared" si="24"/>
        <v>24</v>
      </c>
      <c r="W32" s="34">
        <f t="shared" si="24"/>
        <v>2.5</v>
      </c>
      <c r="X32" s="34">
        <f t="shared" si="24"/>
        <v>0</v>
      </c>
      <c r="Y32" s="34">
        <f t="shared" si="24"/>
        <v>4</v>
      </c>
      <c r="Z32" s="34">
        <f t="shared" si="24"/>
        <v>1</v>
      </c>
      <c r="AA32" s="34">
        <f t="shared" si="24"/>
        <v>5.5</v>
      </c>
      <c r="AB32" s="34">
        <f t="shared" si="24"/>
        <v>3.5</v>
      </c>
      <c r="AC32" s="34">
        <f t="shared" si="24"/>
        <v>39</v>
      </c>
      <c r="AD32" s="34">
        <f t="shared" si="24"/>
        <v>0</v>
      </c>
      <c r="AE32" s="31">
        <f t="shared" si="24"/>
        <v>70.5</v>
      </c>
      <c r="AF32" s="31">
        <f t="shared" si="24"/>
        <v>109.5</v>
      </c>
    </row>
    <row r="33" spans="2:32" ht="23.1" customHeight="1" x14ac:dyDescent="0.25">
      <c r="B33" s="23" t="s">
        <v>60</v>
      </c>
      <c r="C33" s="49">
        <f>'Avg Week SentemaRBT-Sentema'!C33+'Avg Week Sentema-SentemaRBT'!C33</f>
        <v>18</v>
      </c>
      <c r="D33" s="49">
        <f>'Avg Week SentemaRBT-Sentema'!D33+'Avg Week Sentema-SentemaRBT'!D33</f>
        <v>5.1428571428571423</v>
      </c>
      <c r="E33" s="49">
        <f>'Avg Week SentemaRBT-Sentema'!E33+'Avg Week Sentema-SentemaRBT'!E33</f>
        <v>4.2857142857142856</v>
      </c>
      <c r="F33" s="49">
        <f>'Avg Week SentemaRBT-Sentema'!F33+'Avg Week Sentema-SentemaRBT'!F33</f>
        <v>14.714285714285715</v>
      </c>
      <c r="G33" s="49">
        <f>'Avg Week SentemaRBT-Sentema'!G33+'Avg Week Sentema-SentemaRBT'!G33</f>
        <v>0.42857142857142855</v>
      </c>
      <c r="H33" s="49">
        <f>'Avg Week SentemaRBT-Sentema'!H33+'Avg Week Sentema-SentemaRBT'!H33</f>
        <v>0</v>
      </c>
      <c r="I33" s="49">
        <f>'Avg Week SentemaRBT-Sentema'!I33+'Avg Week Sentema-SentemaRBT'!I33</f>
        <v>6.4285714285714288</v>
      </c>
      <c r="J33" s="49">
        <f>'Avg Week SentemaRBT-Sentema'!J33+'Avg Week Sentema-SentemaRBT'!J33</f>
        <v>3.4285714285714288</v>
      </c>
      <c r="K33" s="49">
        <f>'Avg Week SentemaRBT-Sentema'!K33+'Avg Week Sentema-SentemaRBT'!K33</f>
        <v>0.14285714285714285</v>
      </c>
      <c r="L33" s="49">
        <f>'Avg Week SentemaRBT-Sentema'!L33+'Avg Week Sentema-SentemaRBT'!L33</f>
        <v>0.14285714285714285</v>
      </c>
      <c r="M33" s="49">
        <f>'Avg Week SentemaRBT-Sentema'!M33+'Avg Week Sentema-SentemaRBT'!M33</f>
        <v>93.428571428571431</v>
      </c>
      <c r="N33" s="49">
        <f>'Avg Week SentemaRBT-Sentema'!N33+'Avg Week Sentema-SentemaRBT'!N33</f>
        <v>0.14285714285714285</v>
      </c>
      <c r="O33" s="15">
        <f t="shared" si="0"/>
        <v>52.857142857142868</v>
      </c>
      <c r="P33" s="15">
        <f t="shared" si="1"/>
        <v>146.28571428571431</v>
      </c>
      <c r="R33" s="1" t="s">
        <v>157</v>
      </c>
      <c r="S33" s="34">
        <f>SUM(C102:C105)</f>
        <v>40</v>
      </c>
      <c r="T33" s="34">
        <f t="shared" ref="T33:AF33" si="25">SUM(D102:D105)</f>
        <v>4.5</v>
      </c>
      <c r="U33" s="34">
        <f t="shared" si="25"/>
        <v>3</v>
      </c>
      <c r="V33" s="34">
        <f t="shared" si="25"/>
        <v>46</v>
      </c>
      <c r="W33" s="34">
        <f t="shared" si="25"/>
        <v>1.5</v>
      </c>
      <c r="X33" s="34">
        <f t="shared" si="25"/>
        <v>0.5</v>
      </c>
      <c r="Y33" s="34">
        <f t="shared" si="25"/>
        <v>9</v>
      </c>
      <c r="Z33" s="34">
        <f t="shared" si="25"/>
        <v>3.5</v>
      </c>
      <c r="AA33" s="34">
        <f t="shared" si="25"/>
        <v>2.5</v>
      </c>
      <c r="AB33" s="34">
        <f t="shared" si="25"/>
        <v>0</v>
      </c>
      <c r="AC33" s="34">
        <f t="shared" si="25"/>
        <v>103.5</v>
      </c>
      <c r="AD33" s="34">
        <f t="shared" si="25"/>
        <v>0</v>
      </c>
      <c r="AE33" s="31">
        <f t="shared" si="25"/>
        <v>110.5</v>
      </c>
      <c r="AF33" s="31">
        <f t="shared" si="25"/>
        <v>214</v>
      </c>
    </row>
    <row r="34" spans="2:32" ht="23.1" customHeight="1" x14ac:dyDescent="0.25">
      <c r="B34" s="24" t="s">
        <v>61</v>
      </c>
      <c r="C34" s="49">
        <f>'Avg Week SentemaRBT-Sentema'!C34+'Avg Week Sentema-SentemaRBT'!C34</f>
        <v>20.142857142857142</v>
      </c>
      <c r="D34" s="49">
        <f>'Avg Week SentemaRBT-Sentema'!D34+'Avg Week Sentema-SentemaRBT'!D34</f>
        <v>4.1428571428571423</v>
      </c>
      <c r="E34" s="49">
        <f>'Avg Week SentemaRBT-Sentema'!E34+'Avg Week Sentema-SentemaRBT'!E34</f>
        <v>4</v>
      </c>
      <c r="F34" s="49">
        <f>'Avg Week SentemaRBT-Sentema'!F34+'Avg Week Sentema-SentemaRBT'!F34</f>
        <v>12.142857142857142</v>
      </c>
      <c r="G34" s="49">
        <f>'Avg Week SentemaRBT-Sentema'!G34+'Avg Week Sentema-SentemaRBT'!G34</f>
        <v>0</v>
      </c>
      <c r="H34" s="49">
        <f>'Avg Week SentemaRBT-Sentema'!H34+'Avg Week Sentema-SentemaRBT'!H34</f>
        <v>0</v>
      </c>
      <c r="I34" s="49">
        <f>'Avg Week SentemaRBT-Sentema'!I34+'Avg Week Sentema-SentemaRBT'!I34</f>
        <v>6.7142857142857144</v>
      </c>
      <c r="J34" s="49">
        <f>'Avg Week SentemaRBT-Sentema'!J34+'Avg Week Sentema-SentemaRBT'!J34</f>
        <v>3.285714285714286</v>
      </c>
      <c r="K34" s="49">
        <f>'Avg Week SentemaRBT-Sentema'!K34+'Avg Week Sentema-SentemaRBT'!K34</f>
        <v>0.71428571428571419</v>
      </c>
      <c r="L34" s="49">
        <f>'Avg Week SentemaRBT-Sentema'!L34+'Avg Week Sentema-SentemaRBT'!L34</f>
        <v>0.8571428571428571</v>
      </c>
      <c r="M34" s="49">
        <f>'Avg Week SentemaRBT-Sentema'!M34+'Avg Week Sentema-SentemaRBT'!M34</f>
        <v>87.428571428571416</v>
      </c>
      <c r="N34" s="49">
        <f>'Avg Week SentemaRBT-Sentema'!N34+'Avg Week Sentema-SentemaRBT'!N34</f>
        <v>0</v>
      </c>
      <c r="O34" s="15">
        <f t="shared" si="0"/>
        <v>52</v>
      </c>
      <c r="P34" s="15">
        <f t="shared" si="1"/>
        <v>139.42857142857142</v>
      </c>
      <c r="R34" s="51" t="s">
        <v>90</v>
      </c>
      <c r="S34" s="52">
        <f t="shared" ref="S34:AF34" si="26">MAX(S10:S12)</f>
        <v>216.42857142857144</v>
      </c>
      <c r="T34" s="52">
        <f t="shared" si="26"/>
        <v>28.714285714285715</v>
      </c>
      <c r="U34" s="52">
        <f t="shared" si="26"/>
        <v>23.285714285714288</v>
      </c>
      <c r="V34" s="52">
        <f t="shared" si="26"/>
        <v>121.14285714285714</v>
      </c>
      <c r="W34" s="52">
        <f t="shared" si="26"/>
        <v>2</v>
      </c>
      <c r="X34" s="52">
        <f t="shared" si="26"/>
        <v>1.7142857142857142</v>
      </c>
      <c r="Y34" s="52">
        <f t="shared" si="26"/>
        <v>26.142857142857142</v>
      </c>
      <c r="Z34" s="52">
        <f t="shared" si="26"/>
        <v>13.142857142857142</v>
      </c>
      <c r="AA34" s="52">
        <f t="shared" si="26"/>
        <v>2.4285714285714279</v>
      </c>
      <c r="AB34" s="52">
        <f t="shared" si="26"/>
        <v>1.2857142857142856</v>
      </c>
      <c r="AC34" s="52">
        <f t="shared" si="26"/>
        <v>468</v>
      </c>
      <c r="AD34" s="52">
        <f t="shared" si="26"/>
        <v>0</v>
      </c>
      <c r="AE34" s="40">
        <f t="shared" si="26"/>
        <v>412.85714285714289</v>
      </c>
      <c r="AF34" s="40">
        <f t="shared" si="26"/>
        <v>838.28571428571422</v>
      </c>
    </row>
    <row r="35" spans="2:32" ht="23.1" customHeight="1" x14ac:dyDescent="0.25">
      <c r="B35" s="24" t="s">
        <v>62</v>
      </c>
      <c r="C35" s="49">
        <f>'Avg Week SentemaRBT-Sentema'!C35+'Avg Week Sentema-SentemaRBT'!C35</f>
        <v>16.428571428571431</v>
      </c>
      <c r="D35" s="49">
        <f>'Avg Week SentemaRBT-Sentema'!D35+'Avg Week Sentema-SentemaRBT'!D35</f>
        <v>5.5714285714285712</v>
      </c>
      <c r="E35" s="49">
        <f>'Avg Week SentemaRBT-Sentema'!E35+'Avg Week Sentema-SentemaRBT'!E35</f>
        <v>4</v>
      </c>
      <c r="F35" s="49">
        <f>'Avg Week SentemaRBT-Sentema'!F35+'Avg Week Sentema-SentemaRBT'!F35</f>
        <v>12.285714285714285</v>
      </c>
      <c r="G35" s="49">
        <f>'Avg Week SentemaRBT-Sentema'!G35+'Avg Week Sentema-SentemaRBT'!G35</f>
        <v>0.14285714285714285</v>
      </c>
      <c r="H35" s="49">
        <f>'Avg Week SentemaRBT-Sentema'!H35+'Avg Week Sentema-SentemaRBT'!H35</f>
        <v>0</v>
      </c>
      <c r="I35" s="49">
        <f>'Avg Week SentemaRBT-Sentema'!I35+'Avg Week Sentema-SentemaRBT'!I35</f>
        <v>7.4285714285714288</v>
      </c>
      <c r="J35" s="49">
        <f>'Avg Week SentemaRBT-Sentema'!J35+'Avg Week Sentema-SentemaRBT'!J35</f>
        <v>3.5714285714285712</v>
      </c>
      <c r="K35" s="49">
        <f>'Avg Week SentemaRBT-Sentema'!K35+'Avg Week Sentema-SentemaRBT'!K35</f>
        <v>0.2857142857142857</v>
      </c>
      <c r="L35" s="49">
        <f>'Avg Week SentemaRBT-Sentema'!L35+'Avg Week Sentema-SentemaRBT'!L35</f>
        <v>0.2857142857142857</v>
      </c>
      <c r="M35" s="49">
        <f>'Avg Week SentemaRBT-Sentema'!M35+'Avg Week Sentema-SentemaRBT'!M35</f>
        <v>85.857142857142861</v>
      </c>
      <c r="N35" s="49">
        <f>'Avg Week SentemaRBT-Sentema'!N35+'Avg Week Sentema-SentemaRBT'!N35</f>
        <v>0</v>
      </c>
      <c r="O35" s="15">
        <f t="shared" si="0"/>
        <v>50</v>
      </c>
      <c r="P35" s="15">
        <f t="shared" si="1"/>
        <v>135.85714285714286</v>
      </c>
      <c r="R35" s="51" t="s">
        <v>91</v>
      </c>
      <c r="S35" s="52">
        <f t="shared" ref="S35:AF35" si="27">MAX(S13:S18)</f>
        <v>131</v>
      </c>
      <c r="T35" s="52">
        <f t="shared" si="27"/>
        <v>30.428571428571431</v>
      </c>
      <c r="U35" s="52">
        <f t="shared" si="27"/>
        <v>24</v>
      </c>
      <c r="V35" s="52">
        <f t="shared" si="27"/>
        <v>90.714285714285722</v>
      </c>
      <c r="W35" s="52">
        <f t="shared" si="27"/>
        <v>2.4285714285714284</v>
      </c>
      <c r="X35" s="52">
        <f t="shared" si="27"/>
        <v>1.5714285714285714</v>
      </c>
      <c r="Y35" s="52">
        <f t="shared" si="27"/>
        <v>32</v>
      </c>
      <c r="Z35" s="52">
        <f t="shared" si="27"/>
        <v>12.571428571428573</v>
      </c>
      <c r="AA35" s="52">
        <f t="shared" si="27"/>
        <v>3.4285714285714288</v>
      </c>
      <c r="AB35" s="52">
        <f t="shared" si="27"/>
        <v>7.4285714285714288</v>
      </c>
      <c r="AC35" s="52">
        <f t="shared" si="27"/>
        <v>417.85714285714289</v>
      </c>
      <c r="AD35" s="52">
        <f t="shared" si="27"/>
        <v>0.14285714285714285</v>
      </c>
      <c r="AE35" s="40">
        <f t="shared" si="27"/>
        <v>332.14285714285717</v>
      </c>
      <c r="AF35" s="40">
        <f t="shared" si="27"/>
        <v>731.57142857142856</v>
      </c>
    </row>
    <row r="36" spans="2:32" ht="23.1" customHeight="1" x14ac:dyDescent="0.25">
      <c r="B36" s="24" t="s">
        <v>63</v>
      </c>
      <c r="C36" s="49">
        <f>'Avg Week SentemaRBT-Sentema'!C36+'Avg Week Sentema-SentemaRBT'!C36</f>
        <v>21.142857142857142</v>
      </c>
      <c r="D36" s="49">
        <f>'Avg Week SentemaRBT-Sentema'!D36+'Avg Week Sentema-SentemaRBT'!D36</f>
        <v>5.7142857142857144</v>
      </c>
      <c r="E36" s="49">
        <f>'Avg Week SentemaRBT-Sentema'!E36+'Avg Week Sentema-SentemaRBT'!E36</f>
        <v>3.8571428571428572</v>
      </c>
      <c r="F36" s="49">
        <f>'Avg Week SentemaRBT-Sentema'!F36+'Avg Week Sentema-SentemaRBT'!F36</f>
        <v>13.285714285714285</v>
      </c>
      <c r="G36" s="49">
        <f>'Avg Week SentemaRBT-Sentema'!G36+'Avg Week Sentema-SentemaRBT'!G36</f>
        <v>0.14285714285714285</v>
      </c>
      <c r="H36" s="49">
        <f>'Avg Week SentemaRBT-Sentema'!H36+'Avg Week Sentema-SentemaRBT'!H36</f>
        <v>0.14285714285714285</v>
      </c>
      <c r="I36" s="49">
        <f>'Avg Week SentemaRBT-Sentema'!I36+'Avg Week Sentema-SentemaRBT'!I36</f>
        <v>5.2857142857142856</v>
      </c>
      <c r="J36" s="49">
        <f>'Avg Week SentemaRBT-Sentema'!J36+'Avg Week Sentema-SentemaRBT'!J36</f>
        <v>1.1428571428571428</v>
      </c>
      <c r="K36" s="49">
        <f>'Avg Week SentemaRBT-Sentema'!K36+'Avg Week Sentema-SentemaRBT'!K36</f>
        <v>1.5714285714285714</v>
      </c>
      <c r="L36" s="49">
        <f>'Avg Week SentemaRBT-Sentema'!L36+'Avg Week Sentema-SentemaRBT'!L36</f>
        <v>0.2857142857142857</v>
      </c>
      <c r="M36" s="49">
        <f>'Avg Week SentemaRBT-Sentema'!M36+'Avg Week Sentema-SentemaRBT'!M36</f>
        <v>76.714285714285722</v>
      </c>
      <c r="N36" s="49">
        <f>'Avg Week SentemaRBT-Sentema'!N36+'Avg Week Sentema-SentemaRBT'!N36</f>
        <v>0</v>
      </c>
      <c r="O36" s="15">
        <f t="shared" si="0"/>
        <v>52.571428571428577</v>
      </c>
      <c r="P36" s="15">
        <f t="shared" si="1"/>
        <v>129.28571428571431</v>
      </c>
      <c r="R36" s="51" t="s">
        <v>92</v>
      </c>
      <c r="S36" s="52">
        <f t="shared" ref="S36:AF36" si="28">MAX(S19:S21)</f>
        <v>150.71428571428569</v>
      </c>
      <c r="T36" s="52">
        <f t="shared" si="28"/>
        <v>37</v>
      </c>
      <c r="U36" s="52">
        <f t="shared" si="28"/>
        <v>17.714285714285715</v>
      </c>
      <c r="V36" s="52">
        <f t="shared" si="28"/>
        <v>94.285714285714278</v>
      </c>
      <c r="W36" s="52">
        <f t="shared" si="28"/>
        <v>3.1428571428571428</v>
      </c>
      <c r="X36" s="52">
        <f t="shared" si="28"/>
        <v>0.71428571428571419</v>
      </c>
      <c r="Y36" s="52">
        <f t="shared" si="28"/>
        <v>23.285714285714285</v>
      </c>
      <c r="Z36" s="52">
        <f t="shared" si="28"/>
        <v>9.8571428571428577</v>
      </c>
      <c r="AA36" s="52">
        <f t="shared" si="28"/>
        <v>3.8571428571428568</v>
      </c>
      <c r="AB36" s="52">
        <f t="shared" si="28"/>
        <v>0.8571428571428571</v>
      </c>
      <c r="AC36" s="52">
        <f t="shared" si="28"/>
        <v>443.61904761904759</v>
      </c>
      <c r="AD36" s="52">
        <f t="shared" si="28"/>
        <v>0.14285714285714285</v>
      </c>
      <c r="AE36" s="40">
        <f t="shared" si="28"/>
        <v>337.85714285714289</v>
      </c>
      <c r="AF36" s="40">
        <f t="shared" si="28"/>
        <v>781.47619047619048</v>
      </c>
    </row>
    <row r="37" spans="2:32" ht="23.1" customHeight="1" x14ac:dyDescent="0.25">
      <c r="B37" s="23" t="s">
        <v>64</v>
      </c>
      <c r="C37" s="49">
        <f>'Avg Week SentemaRBT-Sentema'!C37+'Avg Week Sentema-SentemaRBT'!C37</f>
        <v>22</v>
      </c>
      <c r="D37" s="49">
        <f>'Avg Week SentemaRBT-Sentema'!D37+'Avg Week Sentema-SentemaRBT'!D37</f>
        <v>3.8571428571428572</v>
      </c>
      <c r="E37" s="49">
        <f>'Avg Week SentemaRBT-Sentema'!E37+'Avg Week Sentema-SentemaRBT'!E37</f>
        <v>3.5714285714285712</v>
      </c>
      <c r="F37" s="49">
        <f>'Avg Week SentemaRBT-Sentema'!F37+'Avg Week Sentema-SentemaRBT'!F37</f>
        <v>12.571428571428571</v>
      </c>
      <c r="G37" s="49">
        <f>'Avg Week SentemaRBT-Sentema'!G37+'Avg Week Sentema-SentemaRBT'!G37</f>
        <v>0.14285714285714285</v>
      </c>
      <c r="H37" s="49">
        <f>'Avg Week SentemaRBT-Sentema'!H37+'Avg Week Sentema-SentemaRBT'!H37</f>
        <v>0</v>
      </c>
      <c r="I37" s="49">
        <f>'Avg Week SentemaRBT-Sentema'!I37+'Avg Week Sentema-SentemaRBT'!I37</f>
        <v>6.7142857142857144</v>
      </c>
      <c r="J37" s="49">
        <f>'Avg Week SentemaRBT-Sentema'!J37+'Avg Week Sentema-SentemaRBT'!J37</f>
        <v>3.2857142857142856</v>
      </c>
      <c r="K37" s="49">
        <f>'Avg Week SentemaRBT-Sentema'!K37+'Avg Week Sentema-SentemaRBT'!K37</f>
        <v>0.71428571428571419</v>
      </c>
      <c r="L37" s="49">
        <f>'Avg Week SentemaRBT-Sentema'!L37+'Avg Week Sentema-SentemaRBT'!L37</f>
        <v>0.8571428571428571</v>
      </c>
      <c r="M37" s="49">
        <f>'Avg Week SentemaRBT-Sentema'!M37+'Avg Week Sentema-SentemaRBT'!M37</f>
        <v>82.142857142857139</v>
      </c>
      <c r="N37" s="49">
        <f>'Avg Week SentemaRBT-Sentema'!N37+'Avg Week Sentema-SentemaRBT'!N37</f>
        <v>0</v>
      </c>
      <c r="O37" s="15">
        <f t="shared" si="0"/>
        <v>53.714285714285715</v>
      </c>
      <c r="P37" s="15">
        <f t="shared" si="1"/>
        <v>135.85714285714286</v>
      </c>
      <c r="R37" s="37" t="s">
        <v>85</v>
      </c>
      <c r="S37" s="35">
        <f t="shared" ref="S37:AF37" si="29">SUM(S10:S12)</f>
        <v>544.85714285714289</v>
      </c>
      <c r="T37" s="16">
        <f t="shared" si="29"/>
        <v>82.571428571428569</v>
      </c>
      <c r="U37" s="16">
        <f t="shared" si="29"/>
        <v>64</v>
      </c>
      <c r="V37" s="16">
        <f t="shared" si="29"/>
        <v>352.57142857142856</v>
      </c>
      <c r="W37" s="16">
        <f t="shared" si="29"/>
        <v>4.7142857142857135</v>
      </c>
      <c r="X37" s="16">
        <f t="shared" si="29"/>
        <v>3.1428571428571423</v>
      </c>
      <c r="Y37" s="16">
        <f t="shared" si="29"/>
        <v>58.428571428571431</v>
      </c>
      <c r="Z37" s="16">
        <f t="shared" si="29"/>
        <v>31.428571428571427</v>
      </c>
      <c r="AA37" s="16">
        <f t="shared" si="29"/>
        <v>5.1428571428571423</v>
      </c>
      <c r="AB37" s="16">
        <f t="shared" si="29"/>
        <v>3</v>
      </c>
      <c r="AC37" s="16">
        <f t="shared" si="29"/>
        <v>1332</v>
      </c>
      <c r="AD37" s="16">
        <f t="shared" si="29"/>
        <v>0</v>
      </c>
      <c r="AE37" s="32">
        <f t="shared" si="29"/>
        <v>1149.8571428571429</v>
      </c>
      <c r="AF37" s="32">
        <f t="shared" si="29"/>
        <v>2481.8571428571427</v>
      </c>
    </row>
    <row r="38" spans="2:32" ht="23.1" customHeight="1" x14ac:dyDescent="0.25">
      <c r="B38" s="24" t="s">
        <v>65</v>
      </c>
      <c r="C38" s="49">
        <f>'Avg Week SentemaRBT-Sentema'!C38+'Avg Week Sentema-SentemaRBT'!C38</f>
        <v>24.857142857142858</v>
      </c>
      <c r="D38" s="49">
        <f>'Avg Week SentemaRBT-Sentema'!D38+'Avg Week Sentema-SentemaRBT'!D38</f>
        <v>6</v>
      </c>
      <c r="E38" s="49">
        <f>'Avg Week SentemaRBT-Sentema'!E38+'Avg Week Sentema-SentemaRBT'!E38</f>
        <v>6</v>
      </c>
      <c r="F38" s="49">
        <f>'Avg Week SentemaRBT-Sentema'!F38+'Avg Week Sentema-SentemaRBT'!F38</f>
        <v>16</v>
      </c>
      <c r="G38" s="49">
        <f>'Avg Week SentemaRBT-Sentema'!G38+'Avg Week Sentema-SentemaRBT'!G38</f>
        <v>0.42857142857142855</v>
      </c>
      <c r="H38" s="49">
        <f>'Avg Week SentemaRBT-Sentema'!H38+'Avg Week Sentema-SentemaRBT'!H38</f>
        <v>0.2857142857142857</v>
      </c>
      <c r="I38" s="49">
        <f>'Avg Week SentemaRBT-Sentema'!I38+'Avg Week Sentema-SentemaRBT'!I38</f>
        <v>6.4285714285714288</v>
      </c>
      <c r="J38" s="49">
        <f>'Avg Week SentemaRBT-Sentema'!J38+'Avg Week Sentema-SentemaRBT'!J38</f>
        <v>2.1428571428571428</v>
      </c>
      <c r="K38" s="49">
        <f>'Avg Week SentemaRBT-Sentema'!K38+'Avg Week Sentema-SentemaRBT'!K38</f>
        <v>1.2857142857142856</v>
      </c>
      <c r="L38" s="49">
        <f>'Avg Week SentemaRBT-Sentema'!L38+'Avg Week Sentema-SentemaRBT'!L38</f>
        <v>0</v>
      </c>
      <c r="M38" s="49">
        <f>'Avg Week SentemaRBT-Sentema'!M38+'Avg Week Sentema-SentemaRBT'!M38</f>
        <v>85.285714285714278</v>
      </c>
      <c r="N38" s="49">
        <f>'Avg Week SentemaRBT-Sentema'!N38+'Avg Week Sentema-SentemaRBT'!N38</f>
        <v>0</v>
      </c>
      <c r="O38" s="15">
        <f t="shared" si="0"/>
        <v>63.428571428571438</v>
      </c>
      <c r="P38" s="15">
        <f t="shared" si="1"/>
        <v>148.71428571428572</v>
      </c>
      <c r="R38" s="28" t="s">
        <v>86</v>
      </c>
      <c r="S38" s="16">
        <f t="shared" ref="S38:AF38" si="30">SUM(S13:S18)</f>
        <v>602.85714285714289</v>
      </c>
      <c r="T38" s="16">
        <f t="shared" si="30"/>
        <v>145.85714285714283</v>
      </c>
      <c r="U38" s="16">
        <f t="shared" si="30"/>
        <v>123</v>
      </c>
      <c r="V38" s="16">
        <f t="shared" si="30"/>
        <v>405.28571428571433</v>
      </c>
      <c r="W38" s="16">
        <f t="shared" si="30"/>
        <v>5.7142857142857135</v>
      </c>
      <c r="X38" s="16">
        <f t="shared" si="30"/>
        <v>3.8571428571428568</v>
      </c>
      <c r="Y38" s="16">
        <f t="shared" si="30"/>
        <v>167.42857142857142</v>
      </c>
      <c r="Z38" s="16">
        <f t="shared" si="30"/>
        <v>68.285714285714278</v>
      </c>
      <c r="AA38" s="16">
        <f t="shared" si="30"/>
        <v>18.142857142857139</v>
      </c>
      <c r="AB38" s="16">
        <f t="shared" si="30"/>
        <v>11.857142857142858</v>
      </c>
      <c r="AC38" s="16">
        <f t="shared" si="30"/>
        <v>2198.2857142857142</v>
      </c>
      <c r="AD38" s="16">
        <f t="shared" si="30"/>
        <v>0.2857142857142857</v>
      </c>
      <c r="AE38" s="32">
        <f t="shared" si="30"/>
        <v>1552.5714285714287</v>
      </c>
      <c r="AF38" s="32">
        <f t="shared" si="30"/>
        <v>3750.8571428571431</v>
      </c>
    </row>
    <row r="39" spans="2:32" ht="23.1" customHeight="1" x14ac:dyDescent="0.25">
      <c r="B39" s="24" t="s">
        <v>66</v>
      </c>
      <c r="C39" s="49">
        <f>'Avg Week SentemaRBT-Sentema'!C39+'Avg Week Sentema-SentemaRBT'!C39</f>
        <v>23</v>
      </c>
      <c r="D39" s="49">
        <f>'Avg Week SentemaRBT-Sentema'!D39+'Avg Week Sentema-SentemaRBT'!D39</f>
        <v>4</v>
      </c>
      <c r="E39" s="49">
        <f>'Avg Week SentemaRBT-Sentema'!E39+'Avg Week Sentema-SentemaRBT'!E39</f>
        <v>5</v>
      </c>
      <c r="F39" s="49">
        <f>'Avg Week SentemaRBT-Sentema'!F39+'Avg Week Sentema-SentemaRBT'!F39</f>
        <v>13</v>
      </c>
      <c r="G39" s="49">
        <f>'Avg Week SentemaRBT-Sentema'!G39+'Avg Week Sentema-SentemaRBT'!G39</f>
        <v>0.14285714285714285</v>
      </c>
      <c r="H39" s="49">
        <f>'Avg Week SentemaRBT-Sentema'!H39+'Avg Week Sentema-SentemaRBT'!H39</f>
        <v>0</v>
      </c>
      <c r="I39" s="49">
        <f>'Avg Week SentemaRBT-Sentema'!I39+'Avg Week Sentema-SentemaRBT'!I39</f>
        <v>6.2857142857142856</v>
      </c>
      <c r="J39" s="49">
        <f>'Avg Week SentemaRBT-Sentema'!J39+'Avg Week Sentema-SentemaRBT'!J39</f>
        <v>1.5714285714285714</v>
      </c>
      <c r="K39" s="49">
        <f>'Avg Week SentemaRBT-Sentema'!K39+'Avg Week Sentema-SentemaRBT'!K39</f>
        <v>1</v>
      </c>
      <c r="L39" s="49">
        <f>'Avg Week SentemaRBT-Sentema'!L39+'Avg Week Sentema-SentemaRBT'!L39</f>
        <v>0.14285714285714285</v>
      </c>
      <c r="M39" s="49">
        <f>'Avg Week SentemaRBT-Sentema'!M39+'Avg Week Sentema-SentemaRBT'!M39</f>
        <v>84.571428571428569</v>
      </c>
      <c r="N39" s="49">
        <f>'Avg Week SentemaRBT-Sentema'!N39+'Avg Week Sentema-SentemaRBT'!N39</f>
        <v>0</v>
      </c>
      <c r="O39" s="15">
        <f t="shared" si="0"/>
        <v>54.142857142857146</v>
      </c>
      <c r="P39" s="15">
        <f t="shared" si="1"/>
        <v>138.71428571428572</v>
      </c>
      <c r="R39" s="29" t="s">
        <v>87</v>
      </c>
      <c r="S39" s="16">
        <f t="shared" ref="S39:AF39" si="31">SUM(S19:S21)</f>
        <v>390.57142857142856</v>
      </c>
      <c r="T39" s="16">
        <f t="shared" si="31"/>
        <v>95</v>
      </c>
      <c r="U39" s="16">
        <f t="shared" si="31"/>
        <v>52.285714285714285</v>
      </c>
      <c r="V39" s="16">
        <f t="shared" si="31"/>
        <v>222.57142857142856</v>
      </c>
      <c r="W39" s="16">
        <f t="shared" si="31"/>
        <v>8</v>
      </c>
      <c r="X39" s="16">
        <f t="shared" si="31"/>
        <v>1.857142857142857</v>
      </c>
      <c r="Y39" s="16">
        <f t="shared" si="31"/>
        <v>67.142857142857139</v>
      </c>
      <c r="Z39" s="16">
        <f t="shared" si="31"/>
        <v>25</v>
      </c>
      <c r="AA39" s="16">
        <f t="shared" si="31"/>
        <v>7.4285714285714279</v>
      </c>
      <c r="AB39" s="16">
        <f t="shared" si="31"/>
        <v>2.4285714285714279</v>
      </c>
      <c r="AC39" s="16">
        <f t="shared" si="31"/>
        <v>1226.1904761904761</v>
      </c>
      <c r="AD39" s="16">
        <f t="shared" si="31"/>
        <v>0.2857142857142857</v>
      </c>
      <c r="AE39" s="32">
        <f t="shared" si="31"/>
        <v>872.57142857142867</v>
      </c>
      <c r="AF39" s="32">
        <f t="shared" si="31"/>
        <v>2098.7619047619046</v>
      </c>
    </row>
    <row r="40" spans="2:32" ht="23.1" customHeight="1" x14ac:dyDescent="0.25">
      <c r="B40" s="24" t="s">
        <v>67</v>
      </c>
      <c r="C40" s="49">
        <f>'Avg Week SentemaRBT-Sentema'!C40+'Avg Week Sentema-SentemaRBT'!C40</f>
        <v>22.428571428571431</v>
      </c>
      <c r="D40" s="49">
        <f>'Avg Week SentemaRBT-Sentema'!D40+'Avg Week Sentema-SentemaRBT'!D40</f>
        <v>6</v>
      </c>
      <c r="E40" s="49">
        <f>'Avg Week SentemaRBT-Sentema'!E40+'Avg Week Sentema-SentemaRBT'!E40</f>
        <v>5.1428571428571423</v>
      </c>
      <c r="F40" s="49">
        <f>'Avg Week SentemaRBT-Sentema'!F40+'Avg Week Sentema-SentemaRBT'!F40</f>
        <v>14.857142857142858</v>
      </c>
      <c r="G40" s="49">
        <f>'Avg Week SentemaRBT-Sentema'!G40+'Avg Week Sentema-SentemaRBT'!G40</f>
        <v>0</v>
      </c>
      <c r="H40" s="49">
        <f>'Avg Week SentemaRBT-Sentema'!H40+'Avg Week Sentema-SentemaRBT'!H40</f>
        <v>0.2857142857142857</v>
      </c>
      <c r="I40" s="49">
        <f>'Avg Week SentemaRBT-Sentema'!I40+'Avg Week Sentema-SentemaRBT'!I40</f>
        <v>5</v>
      </c>
      <c r="J40" s="49">
        <f>'Avg Week SentemaRBT-Sentema'!J40+'Avg Week Sentema-SentemaRBT'!J40</f>
        <v>2.1428571428571428</v>
      </c>
      <c r="K40" s="49">
        <f>'Avg Week SentemaRBT-Sentema'!K40+'Avg Week Sentema-SentemaRBT'!K40</f>
        <v>0</v>
      </c>
      <c r="L40" s="49">
        <f>'Avg Week SentemaRBT-Sentema'!L40+'Avg Week Sentema-SentemaRBT'!L40</f>
        <v>0.42857142857142855</v>
      </c>
      <c r="M40" s="49">
        <f>'Avg Week SentemaRBT-Sentema'!M40+'Avg Week Sentema-SentemaRBT'!M40</f>
        <v>85.428571428571431</v>
      </c>
      <c r="N40" s="49">
        <f>'Avg Week SentemaRBT-Sentema'!N40+'Avg Week Sentema-SentemaRBT'!N40</f>
        <v>0</v>
      </c>
      <c r="O40" s="15">
        <f t="shared" si="0"/>
        <v>56.285714285714292</v>
      </c>
      <c r="P40" s="15">
        <f t="shared" si="1"/>
        <v>141.71428571428572</v>
      </c>
      <c r="R40" s="5" t="s">
        <v>17</v>
      </c>
      <c r="S40" s="16">
        <f t="shared" ref="S40:AF40" si="32">SUM(S10:S21)</f>
        <v>1538.2857142857147</v>
      </c>
      <c r="T40" s="16">
        <f t="shared" si="32"/>
        <v>323.42857142857144</v>
      </c>
      <c r="U40" s="16">
        <f t="shared" si="32"/>
        <v>239.28571428571428</v>
      </c>
      <c r="V40" s="16">
        <f t="shared" si="32"/>
        <v>980.42857142857133</v>
      </c>
      <c r="W40" s="16">
        <f t="shared" si="32"/>
        <v>18.428571428571427</v>
      </c>
      <c r="X40" s="16">
        <f t="shared" si="32"/>
        <v>8.8571428571428559</v>
      </c>
      <c r="Y40" s="16">
        <f t="shared" si="32"/>
        <v>293</v>
      </c>
      <c r="Z40" s="16">
        <f t="shared" si="32"/>
        <v>124.71428571428571</v>
      </c>
      <c r="AA40" s="16">
        <f t="shared" si="32"/>
        <v>30.714285714285708</v>
      </c>
      <c r="AB40" s="16">
        <f t="shared" si="32"/>
        <v>17.285714285714288</v>
      </c>
      <c r="AC40" s="16">
        <f t="shared" si="32"/>
        <v>4756.4761904761899</v>
      </c>
      <c r="AD40" s="16">
        <f t="shared" si="32"/>
        <v>0.5714285714285714</v>
      </c>
      <c r="AE40" s="32">
        <f t="shared" si="32"/>
        <v>3575</v>
      </c>
      <c r="AF40" s="32">
        <f t="shared" si="32"/>
        <v>8331.4761904761908</v>
      </c>
    </row>
    <row r="41" spans="2:32" ht="23.1" customHeight="1" x14ac:dyDescent="0.25">
      <c r="B41" s="23" t="s">
        <v>68</v>
      </c>
      <c r="C41" s="49">
        <f>'Avg Week SentemaRBT-Sentema'!C41+'Avg Week Sentema-SentemaRBT'!C41</f>
        <v>19.142857142857146</v>
      </c>
      <c r="D41" s="49">
        <f>'Avg Week SentemaRBT-Sentema'!D41+'Avg Week Sentema-SentemaRBT'!D41</f>
        <v>4.5714285714285712</v>
      </c>
      <c r="E41" s="49">
        <f>'Avg Week SentemaRBT-Sentema'!E41+'Avg Week Sentema-SentemaRBT'!E41</f>
        <v>5</v>
      </c>
      <c r="F41" s="49">
        <f>'Avg Week SentemaRBT-Sentema'!F41+'Avg Week Sentema-SentemaRBT'!F41</f>
        <v>14.142857142857142</v>
      </c>
      <c r="G41" s="49">
        <f>'Avg Week SentemaRBT-Sentema'!G41+'Avg Week Sentema-SentemaRBT'!G41</f>
        <v>0</v>
      </c>
      <c r="H41" s="49">
        <f>'Avg Week SentemaRBT-Sentema'!H41+'Avg Week Sentema-SentemaRBT'!H41</f>
        <v>0.2857142857142857</v>
      </c>
      <c r="I41" s="49">
        <f>'Avg Week SentemaRBT-Sentema'!I41+'Avg Week Sentema-SentemaRBT'!I41</f>
        <v>5.5714285714285712</v>
      </c>
      <c r="J41" s="49">
        <f>'Avg Week SentemaRBT-Sentema'!J41+'Avg Week Sentema-SentemaRBT'!J41</f>
        <v>2.5714285714285712</v>
      </c>
      <c r="K41" s="49">
        <f>'Avg Week SentemaRBT-Sentema'!K41+'Avg Week Sentema-SentemaRBT'!K41</f>
        <v>0.71428571428571419</v>
      </c>
      <c r="L41" s="49">
        <f>'Avg Week SentemaRBT-Sentema'!L41+'Avg Week Sentema-SentemaRBT'!L41</f>
        <v>0.14285714285714285</v>
      </c>
      <c r="M41" s="49">
        <f>'Avg Week SentemaRBT-Sentema'!M41+'Avg Week Sentema-SentemaRBT'!M41</f>
        <v>87.857142857142861</v>
      </c>
      <c r="N41" s="49">
        <f>'Avg Week SentemaRBT-Sentema'!N41+'Avg Week Sentema-SentemaRBT'!N41</f>
        <v>0</v>
      </c>
      <c r="O41" s="15">
        <f t="shared" si="0"/>
        <v>52.142857142857146</v>
      </c>
      <c r="P41" s="15">
        <f t="shared" si="1"/>
        <v>140</v>
      </c>
      <c r="R41" s="5" t="s">
        <v>185</v>
      </c>
      <c r="S41" s="16">
        <f>SUM(S10:S33)</f>
        <v>2125.2857142857147</v>
      </c>
      <c r="T41" s="16">
        <f t="shared" ref="T41:AD41" si="33">SUM(T10:T33)</f>
        <v>420.92857142857144</v>
      </c>
      <c r="U41" s="16">
        <f t="shared" si="33"/>
        <v>313.28571428571428</v>
      </c>
      <c r="V41" s="16">
        <f t="shared" si="33"/>
        <v>1427.4285714285713</v>
      </c>
      <c r="W41" s="16">
        <f t="shared" si="33"/>
        <v>29.928571428571427</v>
      </c>
      <c r="X41" s="16">
        <f t="shared" si="33"/>
        <v>13.357142857142856</v>
      </c>
      <c r="Y41" s="16">
        <f t="shared" si="33"/>
        <v>363.5</v>
      </c>
      <c r="Z41" s="16">
        <f t="shared" si="33"/>
        <v>148.71428571428572</v>
      </c>
      <c r="AA41" s="16">
        <f t="shared" si="33"/>
        <v>49.214285714285708</v>
      </c>
      <c r="AB41" s="16">
        <f t="shared" si="33"/>
        <v>26.285714285714288</v>
      </c>
      <c r="AC41" s="16">
        <f t="shared" si="33"/>
        <v>6054.4761904761899</v>
      </c>
      <c r="AD41" s="16">
        <f t="shared" si="33"/>
        <v>0.5714285714285714</v>
      </c>
      <c r="AE41" s="32">
        <f>SUM(AE10:AE33)</f>
        <v>4918.5</v>
      </c>
      <c r="AF41" s="32">
        <f>SUM(AF10:AF33)</f>
        <v>10972.976190476191</v>
      </c>
    </row>
    <row r="42" spans="2:32" ht="23.1" customHeight="1" x14ac:dyDescent="0.25">
      <c r="B42" s="24" t="s">
        <v>69</v>
      </c>
      <c r="C42" s="49">
        <f>'Avg Week SentemaRBT-Sentema'!C42+'Avg Week Sentema-SentemaRBT'!C42</f>
        <v>23.142857142857142</v>
      </c>
      <c r="D42" s="49">
        <f>'Avg Week SentemaRBT-Sentema'!D42+'Avg Week Sentema-SentemaRBT'!D42</f>
        <v>5.5714285714285712</v>
      </c>
      <c r="E42" s="49">
        <f>'Avg Week SentemaRBT-Sentema'!E42+'Avg Week Sentema-SentemaRBT'!E42</f>
        <v>6</v>
      </c>
      <c r="F42" s="49">
        <f>'Avg Week SentemaRBT-Sentema'!F42+'Avg Week Sentema-SentemaRBT'!F42</f>
        <v>14.142857142857142</v>
      </c>
      <c r="G42" s="49">
        <f>'Avg Week SentemaRBT-Sentema'!G42+'Avg Week Sentema-SentemaRBT'!G42</f>
        <v>0</v>
      </c>
      <c r="H42" s="49">
        <f>'Avg Week SentemaRBT-Sentema'!H42+'Avg Week Sentema-SentemaRBT'!H42</f>
        <v>0.2857142857142857</v>
      </c>
      <c r="I42" s="49">
        <f>'Avg Week SentemaRBT-Sentema'!I42+'Avg Week Sentema-SentemaRBT'!I42</f>
        <v>5.8571428571428577</v>
      </c>
      <c r="J42" s="49">
        <f>'Avg Week SentemaRBT-Sentema'!J42+'Avg Week Sentema-SentemaRBT'!J42</f>
        <v>2.1428571428571428</v>
      </c>
      <c r="K42" s="49">
        <f>'Avg Week SentemaRBT-Sentema'!K42+'Avg Week Sentema-SentemaRBT'!K42</f>
        <v>0.42857142857142855</v>
      </c>
      <c r="L42" s="49">
        <f>'Avg Week SentemaRBT-Sentema'!L42+'Avg Week Sentema-SentemaRBT'!L42</f>
        <v>0.14285714285714285</v>
      </c>
      <c r="M42" s="49">
        <f>'Avg Week SentemaRBT-Sentema'!M42+'Avg Week Sentema-SentemaRBT'!M42</f>
        <v>81.285714285714278</v>
      </c>
      <c r="N42" s="49">
        <f>'Avg Week SentemaRBT-Sentema'!N42+'Avg Week Sentema-SentemaRBT'!N42</f>
        <v>0</v>
      </c>
      <c r="O42" s="15">
        <f t="shared" si="0"/>
        <v>57.714285714285722</v>
      </c>
      <c r="P42" s="15">
        <f t="shared" si="1"/>
        <v>139</v>
      </c>
      <c r="R42" s="5" t="s">
        <v>160</v>
      </c>
      <c r="S42" s="48">
        <f>S41/S40</f>
        <v>1.3815936106983655</v>
      </c>
      <c r="T42" s="48">
        <f t="shared" ref="T42:AF42" si="34">T41/T40</f>
        <v>1.3014575971731448</v>
      </c>
      <c r="U42" s="48">
        <f t="shared" si="34"/>
        <v>1.3092537313432835</v>
      </c>
      <c r="V42" s="48">
        <f t="shared" si="34"/>
        <v>1.455923065714702</v>
      </c>
      <c r="W42" s="48">
        <f t="shared" si="34"/>
        <v>1.624031007751938</v>
      </c>
      <c r="X42" s="48">
        <f t="shared" si="34"/>
        <v>1.5080645161290323</v>
      </c>
      <c r="Y42" s="48">
        <f t="shared" si="34"/>
        <v>1.2406143344709897</v>
      </c>
      <c r="Z42" s="48">
        <f t="shared" si="34"/>
        <v>1.1924398625429555</v>
      </c>
      <c r="AA42" s="48">
        <f t="shared" si="34"/>
        <v>1.602325581395349</v>
      </c>
      <c r="AB42" s="48">
        <f t="shared" si="34"/>
        <v>1.5206611570247932</v>
      </c>
      <c r="AC42" s="48">
        <f t="shared" si="34"/>
        <v>1.2728910958492683</v>
      </c>
      <c r="AD42" s="48">
        <f t="shared" si="34"/>
        <v>1</v>
      </c>
      <c r="AE42" s="53">
        <f t="shared" si="34"/>
        <v>1.3758041958041958</v>
      </c>
      <c r="AF42" s="53">
        <f t="shared" si="34"/>
        <v>1.3170506570035607</v>
      </c>
    </row>
    <row r="43" spans="2:32" ht="23.1" customHeight="1" x14ac:dyDescent="0.25">
      <c r="B43" s="23" t="s">
        <v>70</v>
      </c>
      <c r="C43" s="49">
        <f>'Avg Week SentemaRBT-Sentema'!C43+'Avg Week Sentema-SentemaRBT'!C43</f>
        <v>25.142857142857142</v>
      </c>
      <c r="D43" s="49">
        <f>'Avg Week SentemaRBT-Sentema'!D43+'Avg Week Sentema-SentemaRBT'!D43</f>
        <v>7</v>
      </c>
      <c r="E43" s="49">
        <f>'Avg Week SentemaRBT-Sentema'!E43+'Avg Week Sentema-SentemaRBT'!E43</f>
        <v>3</v>
      </c>
      <c r="F43" s="49">
        <f>'Avg Week SentemaRBT-Sentema'!F43+'Avg Week Sentema-SentemaRBT'!F43</f>
        <v>15</v>
      </c>
      <c r="G43" s="49">
        <f>'Avg Week SentemaRBT-Sentema'!G43+'Avg Week Sentema-SentemaRBT'!G43</f>
        <v>0</v>
      </c>
      <c r="H43" s="49">
        <f>'Avg Week SentemaRBT-Sentema'!H43+'Avg Week Sentema-SentemaRBT'!H43</f>
        <v>0</v>
      </c>
      <c r="I43" s="49">
        <f>'Avg Week SentemaRBT-Sentema'!I43+'Avg Week Sentema-SentemaRBT'!I43</f>
        <v>8.5714285714285712</v>
      </c>
      <c r="J43" s="49">
        <f>'Avg Week SentemaRBT-Sentema'!J43+'Avg Week Sentema-SentemaRBT'!J43</f>
        <v>2.8571428571428572</v>
      </c>
      <c r="K43" s="49">
        <f>'Avg Week SentemaRBT-Sentema'!K43+'Avg Week Sentema-SentemaRBT'!K43</f>
        <v>1.7142857142857144</v>
      </c>
      <c r="L43" s="49">
        <f>'Avg Week SentemaRBT-Sentema'!L43+'Avg Week Sentema-SentemaRBT'!L43</f>
        <v>0.14285714285714285</v>
      </c>
      <c r="M43" s="49">
        <f>'Avg Week SentemaRBT-Sentema'!M43+'Avg Week Sentema-SentemaRBT'!M43</f>
        <v>76.857142857142861</v>
      </c>
      <c r="N43" s="49">
        <f>'Avg Week SentemaRBT-Sentema'!N43+'Avg Week Sentema-SentemaRBT'!N43</f>
        <v>0</v>
      </c>
      <c r="O43" s="15">
        <f t="shared" si="0"/>
        <v>63.428571428571423</v>
      </c>
      <c r="P43" s="15">
        <f t="shared" si="1"/>
        <v>140.28571428571428</v>
      </c>
    </row>
    <row r="44" spans="2:32" ht="23.1" customHeight="1" x14ac:dyDescent="0.25">
      <c r="B44" s="25" t="s">
        <v>71</v>
      </c>
      <c r="C44" s="49">
        <f>'Avg Week SentemaRBT-Sentema'!C44+'Avg Week Sentema-SentemaRBT'!C44</f>
        <v>22.428571428571431</v>
      </c>
      <c r="D44" s="49">
        <f>'Avg Week SentemaRBT-Sentema'!D44+'Avg Week Sentema-SentemaRBT'!D44</f>
        <v>5.4285714285714288</v>
      </c>
      <c r="E44" s="49">
        <f>'Avg Week SentemaRBT-Sentema'!E44+'Avg Week Sentema-SentemaRBT'!E44</f>
        <v>2.8571428571428572</v>
      </c>
      <c r="F44" s="49">
        <f>'Avg Week SentemaRBT-Sentema'!F44+'Avg Week Sentema-SentemaRBT'!F44</f>
        <v>12.571428571428571</v>
      </c>
      <c r="G44" s="49">
        <f>'Avg Week SentemaRBT-Sentema'!G44+'Avg Week Sentema-SentemaRBT'!G44</f>
        <v>0</v>
      </c>
      <c r="H44" s="49">
        <f>'Avg Week SentemaRBT-Sentema'!H44+'Avg Week Sentema-SentemaRBT'!H44</f>
        <v>0</v>
      </c>
      <c r="I44" s="49">
        <f>'Avg Week SentemaRBT-Sentema'!I44+'Avg Week Sentema-SentemaRBT'!I44</f>
        <v>7.1428571428571423</v>
      </c>
      <c r="J44" s="49">
        <f>'Avg Week SentemaRBT-Sentema'!J44+'Avg Week Sentema-SentemaRBT'!J44</f>
        <v>3.7142857142857144</v>
      </c>
      <c r="K44" s="49">
        <f>'Avg Week SentemaRBT-Sentema'!K44+'Avg Week Sentema-SentemaRBT'!K44</f>
        <v>0.71428571428571419</v>
      </c>
      <c r="L44" s="49">
        <f>'Avg Week SentemaRBT-Sentema'!L44+'Avg Week Sentema-SentemaRBT'!L44</f>
        <v>0</v>
      </c>
      <c r="M44" s="49">
        <f>'Avg Week SentemaRBT-Sentema'!M44+'Avg Week Sentema-SentemaRBT'!M44</f>
        <v>92.142857142857139</v>
      </c>
      <c r="N44" s="49">
        <f>'Avg Week SentemaRBT-Sentema'!N44+'Avg Week Sentema-SentemaRBT'!N44</f>
        <v>0</v>
      </c>
      <c r="O44" s="15">
        <f t="shared" si="0"/>
        <v>54.857142857142861</v>
      </c>
      <c r="P44" s="15">
        <f t="shared" si="1"/>
        <v>147</v>
      </c>
    </row>
    <row r="45" spans="2:32" ht="23.1" customHeight="1" x14ac:dyDescent="0.25">
      <c r="B45" s="23" t="s">
        <v>72</v>
      </c>
      <c r="C45" s="49">
        <f>'Avg Week SentemaRBT-Sentema'!C45+'Avg Week Sentema-SentemaRBT'!C45</f>
        <v>24.857142857142854</v>
      </c>
      <c r="D45" s="49">
        <f>'Avg Week SentemaRBT-Sentema'!D45+'Avg Week Sentema-SentemaRBT'!D45</f>
        <v>5</v>
      </c>
      <c r="E45" s="49">
        <f>'Avg Week SentemaRBT-Sentema'!E45+'Avg Week Sentema-SentemaRBT'!E45</f>
        <v>4.4285714285714288</v>
      </c>
      <c r="F45" s="49">
        <f>'Avg Week SentemaRBT-Sentema'!F45+'Avg Week Sentema-SentemaRBT'!F45</f>
        <v>14.285714285714285</v>
      </c>
      <c r="G45" s="49">
        <f>'Avg Week SentemaRBT-Sentema'!G45+'Avg Week Sentema-SentemaRBT'!G45</f>
        <v>0.2857142857142857</v>
      </c>
      <c r="H45" s="49">
        <f>'Avg Week SentemaRBT-Sentema'!H45+'Avg Week Sentema-SentemaRBT'!H45</f>
        <v>0.14285714285714285</v>
      </c>
      <c r="I45" s="49">
        <f>'Avg Week SentemaRBT-Sentema'!I45+'Avg Week Sentema-SentemaRBT'!I45</f>
        <v>4.7142857142857144</v>
      </c>
      <c r="J45" s="49">
        <f>'Avg Week SentemaRBT-Sentema'!J45+'Avg Week Sentema-SentemaRBT'!J45</f>
        <v>2.2857142857142856</v>
      </c>
      <c r="K45" s="49">
        <f>'Avg Week SentemaRBT-Sentema'!K45+'Avg Week Sentema-SentemaRBT'!K45</f>
        <v>0.5714285714285714</v>
      </c>
      <c r="L45" s="49">
        <f>'Avg Week SentemaRBT-Sentema'!L45+'Avg Week Sentema-SentemaRBT'!L45</f>
        <v>0.14285714285714285</v>
      </c>
      <c r="M45" s="49">
        <f>'Avg Week SentemaRBT-Sentema'!M45+'Avg Week Sentema-SentemaRBT'!M45</f>
        <v>80.857142857142861</v>
      </c>
      <c r="N45" s="49">
        <f>'Avg Week SentemaRBT-Sentema'!N45+'Avg Week Sentema-SentemaRBT'!N45</f>
        <v>0</v>
      </c>
      <c r="O45" s="15">
        <f t="shared" si="0"/>
        <v>56.714285714285715</v>
      </c>
      <c r="P45" s="15">
        <f t="shared" si="1"/>
        <v>137.57142857142858</v>
      </c>
    </row>
    <row r="46" spans="2:32" ht="23.1" customHeight="1" x14ac:dyDescent="0.25">
      <c r="B46" s="24" t="s">
        <v>73</v>
      </c>
      <c r="C46" s="49">
        <f>'Avg Week SentemaRBT-Sentema'!C46+'Avg Week Sentema-SentemaRBT'!C46</f>
        <v>21.142857142857142</v>
      </c>
      <c r="D46" s="49">
        <f>'Avg Week SentemaRBT-Sentema'!D46+'Avg Week Sentema-SentemaRBT'!D46</f>
        <v>5.1428571428571423</v>
      </c>
      <c r="E46" s="49">
        <f>'Avg Week SentemaRBT-Sentema'!E46+'Avg Week Sentema-SentemaRBT'!E46</f>
        <v>3.1428571428571428</v>
      </c>
      <c r="F46" s="49">
        <f>'Avg Week SentemaRBT-Sentema'!F46+'Avg Week Sentema-SentemaRBT'!F46</f>
        <v>12.857142857142858</v>
      </c>
      <c r="G46" s="49">
        <f>'Avg Week SentemaRBT-Sentema'!G46+'Avg Week Sentema-SentemaRBT'!G46</f>
        <v>0.5714285714285714</v>
      </c>
      <c r="H46" s="49">
        <f>'Avg Week SentemaRBT-Sentema'!H46+'Avg Week Sentema-SentemaRBT'!H46</f>
        <v>0.14285714285714285</v>
      </c>
      <c r="I46" s="49">
        <f>'Avg Week SentemaRBT-Sentema'!I46+'Avg Week Sentema-SentemaRBT'!I46</f>
        <v>8.5714285714285712</v>
      </c>
      <c r="J46" s="49">
        <f>'Avg Week SentemaRBT-Sentema'!J46+'Avg Week Sentema-SentemaRBT'!J46</f>
        <v>3</v>
      </c>
      <c r="K46" s="49">
        <f>'Avg Week SentemaRBT-Sentema'!K46+'Avg Week Sentema-SentemaRBT'!K46</f>
        <v>0.2857142857142857</v>
      </c>
      <c r="L46" s="49">
        <f>'Avg Week SentemaRBT-Sentema'!L46+'Avg Week Sentema-SentemaRBT'!L46</f>
        <v>0.5714285714285714</v>
      </c>
      <c r="M46" s="49">
        <f>'Avg Week SentemaRBT-Sentema'!M46+'Avg Week Sentema-SentemaRBT'!M46</f>
        <v>83.571428571428569</v>
      </c>
      <c r="N46" s="49">
        <f>'Avg Week SentemaRBT-Sentema'!N46+'Avg Week Sentema-SentemaRBT'!N46</f>
        <v>0</v>
      </c>
      <c r="O46" s="15">
        <f t="shared" si="0"/>
        <v>55.428571428571423</v>
      </c>
      <c r="P46" s="15">
        <f t="shared" si="1"/>
        <v>139</v>
      </c>
      <c r="R46" s="8"/>
      <c r="T46"/>
    </row>
    <row r="47" spans="2:32" ht="23.1" customHeight="1" x14ac:dyDescent="0.25">
      <c r="B47" s="24" t="s">
        <v>74</v>
      </c>
      <c r="C47" s="49">
        <f>'Avg Week SentemaRBT-Sentema'!C47+'Avg Week Sentema-SentemaRBT'!C47</f>
        <v>27.428571428571431</v>
      </c>
      <c r="D47" s="49">
        <f>'Avg Week SentemaRBT-Sentema'!D47+'Avg Week Sentema-SentemaRBT'!D47</f>
        <v>6.1428571428571423</v>
      </c>
      <c r="E47" s="49">
        <f>'Avg Week SentemaRBT-Sentema'!E47+'Avg Week Sentema-SentemaRBT'!E47</f>
        <v>4.8571428571428577</v>
      </c>
      <c r="F47" s="49">
        <f>'Avg Week SentemaRBT-Sentema'!F47+'Avg Week Sentema-SentemaRBT'!F47</f>
        <v>14</v>
      </c>
      <c r="G47" s="49">
        <f>'Avg Week SentemaRBT-Sentema'!G47+'Avg Week Sentema-SentemaRBT'!G47</f>
        <v>0.2857142857142857</v>
      </c>
      <c r="H47" s="49">
        <f>'Avg Week SentemaRBT-Sentema'!H47+'Avg Week Sentema-SentemaRBT'!H47</f>
        <v>0.2857142857142857</v>
      </c>
      <c r="I47" s="49">
        <f>'Avg Week SentemaRBT-Sentema'!I47+'Avg Week Sentema-SentemaRBT'!I47</f>
        <v>6</v>
      </c>
      <c r="J47" s="49">
        <f>'Avg Week SentemaRBT-Sentema'!J47+'Avg Week Sentema-SentemaRBT'!J47</f>
        <v>2.4285714285714288</v>
      </c>
      <c r="K47" s="49">
        <f>'Avg Week SentemaRBT-Sentema'!K47+'Avg Week Sentema-SentemaRBT'!K47</f>
        <v>1.1428571428571428</v>
      </c>
      <c r="L47" s="49">
        <f>'Avg Week SentemaRBT-Sentema'!L47+'Avg Week Sentema-SentemaRBT'!L47</f>
        <v>0</v>
      </c>
      <c r="M47" s="49">
        <f>'Avg Week SentemaRBT-Sentema'!M47+'Avg Week Sentema-SentemaRBT'!M47</f>
        <v>86.428571428571431</v>
      </c>
      <c r="N47" s="49">
        <f>'Avg Week SentemaRBT-Sentema'!N47+'Avg Week Sentema-SentemaRBT'!N47</f>
        <v>0</v>
      </c>
      <c r="O47" s="15">
        <f t="shared" si="0"/>
        <v>62.571428571428577</v>
      </c>
      <c r="P47" s="15">
        <f t="shared" si="1"/>
        <v>149</v>
      </c>
      <c r="R47" s="8"/>
      <c r="T47"/>
    </row>
    <row r="48" spans="2:32" ht="23.1" customHeight="1" x14ac:dyDescent="0.25">
      <c r="B48" s="24" t="s">
        <v>75</v>
      </c>
      <c r="C48" s="49">
        <f>'Avg Week SentemaRBT-Sentema'!C48+'Avg Week Sentema-SentemaRBT'!C48</f>
        <v>26.142857142857142</v>
      </c>
      <c r="D48" s="49">
        <f>'Avg Week SentemaRBT-Sentema'!D48+'Avg Week Sentema-SentemaRBT'!D48</f>
        <v>6</v>
      </c>
      <c r="E48" s="49">
        <f>'Avg Week SentemaRBT-Sentema'!E48+'Avg Week Sentema-SentemaRBT'!E48</f>
        <v>5.5714285714285712</v>
      </c>
      <c r="F48" s="49">
        <f>'Avg Week SentemaRBT-Sentema'!F48+'Avg Week Sentema-SentemaRBT'!F48</f>
        <v>14.714285714285715</v>
      </c>
      <c r="G48" s="49">
        <f>'Avg Week SentemaRBT-Sentema'!G48+'Avg Week Sentema-SentemaRBT'!G48</f>
        <v>0.71428571428571419</v>
      </c>
      <c r="H48" s="49">
        <f>'Avg Week SentemaRBT-Sentema'!H48+'Avg Week Sentema-SentemaRBT'!H48</f>
        <v>0.14285714285714285</v>
      </c>
      <c r="I48" s="49">
        <f>'Avg Week SentemaRBT-Sentema'!I48+'Avg Week Sentema-SentemaRBT'!I48</f>
        <v>4.1428571428571423</v>
      </c>
      <c r="J48" s="49">
        <f>'Avg Week SentemaRBT-Sentema'!J48+'Avg Week Sentema-SentemaRBT'!J48</f>
        <v>1.8571428571428572</v>
      </c>
      <c r="K48" s="49">
        <f>'Avg Week SentemaRBT-Sentema'!K48+'Avg Week Sentema-SentemaRBT'!K48</f>
        <v>0.42857142857142855</v>
      </c>
      <c r="L48" s="49">
        <f>'Avg Week SentemaRBT-Sentema'!L48+'Avg Week Sentema-SentemaRBT'!L48</f>
        <v>0.14285714285714285</v>
      </c>
      <c r="M48" s="49">
        <f>'Avg Week SentemaRBT-Sentema'!M48+'Avg Week Sentema-SentemaRBT'!M48</f>
        <v>100.42857142857143</v>
      </c>
      <c r="N48" s="49">
        <f>'Avg Week SentemaRBT-Sentema'!N48+'Avg Week Sentema-SentemaRBT'!N48</f>
        <v>0</v>
      </c>
      <c r="O48" s="15">
        <f t="shared" si="0"/>
        <v>59.857142857142861</v>
      </c>
      <c r="P48" s="15">
        <f t="shared" si="1"/>
        <v>160.28571428571428</v>
      </c>
      <c r="R48" s="8"/>
      <c r="T48"/>
    </row>
    <row r="49" spans="2:20" ht="23.1" customHeight="1" x14ac:dyDescent="0.25">
      <c r="B49" s="23" t="s">
        <v>76</v>
      </c>
      <c r="C49" s="49">
        <f>'Avg Week SentemaRBT-Sentema'!C49+'Avg Week Sentema-SentemaRBT'!C49</f>
        <v>26</v>
      </c>
      <c r="D49" s="49">
        <f>'Avg Week SentemaRBT-Sentema'!D49+'Avg Week Sentema-SentemaRBT'!D49</f>
        <v>7.8571428571428577</v>
      </c>
      <c r="E49" s="49">
        <f>'Avg Week SentemaRBT-Sentema'!E49+'Avg Week Sentema-SentemaRBT'!E49</f>
        <v>4.1428571428571423</v>
      </c>
      <c r="F49" s="49">
        <f>'Avg Week SentemaRBT-Sentema'!F49+'Avg Week Sentema-SentemaRBT'!F49</f>
        <v>15.428571428571429</v>
      </c>
      <c r="G49" s="49">
        <f>'Avg Week SentemaRBT-Sentema'!G49+'Avg Week Sentema-SentemaRBT'!G49</f>
        <v>1.4285714285714284</v>
      </c>
      <c r="H49" s="49">
        <f>'Avg Week SentemaRBT-Sentema'!H49+'Avg Week Sentema-SentemaRBT'!H49</f>
        <v>0.14285714285714285</v>
      </c>
      <c r="I49" s="49">
        <f>'Avg Week SentemaRBT-Sentema'!I49+'Avg Week Sentema-SentemaRBT'!I49</f>
        <v>4.5714285714285712</v>
      </c>
      <c r="J49" s="49">
        <f>'Avg Week SentemaRBT-Sentema'!J49+'Avg Week Sentema-SentemaRBT'!J49</f>
        <v>2.5714285714285712</v>
      </c>
      <c r="K49" s="49">
        <f>'Avg Week SentemaRBT-Sentema'!K49+'Avg Week Sentema-SentemaRBT'!K49</f>
        <v>0.5714285714285714</v>
      </c>
      <c r="L49" s="49">
        <f>'Avg Week SentemaRBT-Sentema'!L49+'Avg Week Sentema-SentemaRBT'!L49</f>
        <v>0.14285714285714285</v>
      </c>
      <c r="M49" s="49">
        <f>'Avg Week SentemaRBT-Sentema'!M49+'Avg Week Sentema-SentemaRBT'!M49</f>
        <v>102.42857142857143</v>
      </c>
      <c r="N49" s="49">
        <f>'Avg Week SentemaRBT-Sentema'!N49+'Avg Week Sentema-SentemaRBT'!N49</f>
        <v>0</v>
      </c>
      <c r="O49" s="15">
        <f t="shared" si="0"/>
        <v>62.857142857142861</v>
      </c>
      <c r="P49" s="15">
        <f t="shared" si="1"/>
        <v>165.28571428571428</v>
      </c>
      <c r="R49" s="8"/>
      <c r="T49"/>
    </row>
    <row r="50" spans="2:20" ht="23.1" customHeight="1" x14ac:dyDescent="0.25">
      <c r="B50" s="24" t="s">
        <v>77</v>
      </c>
      <c r="C50" s="49">
        <f>'Avg Week SentemaRBT-Sentema'!C50+'Avg Week Sentema-SentemaRBT'!C50</f>
        <v>29.285714285714285</v>
      </c>
      <c r="D50" s="49">
        <f>'Avg Week SentemaRBT-Sentema'!D50+'Avg Week Sentema-SentemaRBT'!D50</f>
        <v>7.8571428571428577</v>
      </c>
      <c r="E50" s="49">
        <f>'Avg Week SentemaRBT-Sentema'!E50+'Avg Week Sentema-SentemaRBT'!E50</f>
        <v>4.2857142857142856</v>
      </c>
      <c r="F50" s="49">
        <f>'Avg Week SentemaRBT-Sentema'!F50+'Avg Week Sentema-SentemaRBT'!F50</f>
        <v>15</v>
      </c>
      <c r="G50" s="49">
        <f>'Avg Week SentemaRBT-Sentema'!G50+'Avg Week Sentema-SentemaRBT'!G50</f>
        <v>0.5714285714285714</v>
      </c>
      <c r="H50" s="49">
        <f>'Avg Week SentemaRBT-Sentema'!H50+'Avg Week Sentema-SentemaRBT'!H50</f>
        <v>0</v>
      </c>
      <c r="I50" s="49">
        <f>'Avg Week SentemaRBT-Sentema'!I50+'Avg Week Sentema-SentemaRBT'!I50</f>
        <v>5</v>
      </c>
      <c r="J50" s="49">
        <f>'Avg Week SentemaRBT-Sentema'!J50+'Avg Week Sentema-SentemaRBT'!J50</f>
        <v>2.5714285714285716</v>
      </c>
      <c r="K50" s="49">
        <f>'Avg Week SentemaRBT-Sentema'!K50+'Avg Week Sentema-SentemaRBT'!K50</f>
        <v>0.2857142857142857</v>
      </c>
      <c r="L50" s="49">
        <f>'Avg Week SentemaRBT-Sentema'!L50+'Avg Week Sentema-SentemaRBT'!L50</f>
        <v>0</v>
      </c>
      <c r="M50" s="49">
        <f>'Avg Week SentemaRBT-Sentema'!M50+'Avg Week Sentema-SentemaRBT'!M50</f>
        <v>95.857142857142861</v>
      </c>
      <c r="N50" s="49">
        <f>'Avg Week SentemaRBT-Sentema'!N50+'Avg Week Sentema-SentemaRBT'!N50</f>
        <v>0</v>
      </c>
      <c r="O50" s="15">
        <f t="shared" si="0"/>
        <v>64.857142857142861</v>
      </c>
      <c r="P50" s="15">
        <f t="shared" si="1"/>
        <v>160.71428571428572</v>
      </c>
      <c r="R50" s="8"/>
      <c r="T50"/>
    </row>
    <row r="51" spans="2:20" ht="23.1" customHeight="1" x14ac:dyDescent="0.25">
      <c r="B51" s="24" t="s">
        <v>78</v>
      </c>
      <c r="C51" s="49">
        <f>'Avg Week SentemaRBT-Sentema'!C51+'Avg Week Sentema-SentemaRBT'!C51</f>
        <v>35.857142857142861</v>
      </c>
      <c r="D51" s="49">
        <f>'Avg Week SentemaRBT-Sentema'!D51+'Avg Week Sentema-SentemaRBT'!D51</f>
        <v>7.1428571428571423</v>
      </c>
      <c r="E51" s="49">
        <f>'Avg Week SentemaRBT-Sentema'!E51+'Avg Week Sentema-SentemaRBT'!E51</f>
        <v>2.8571428571428572</v>
      </c>
      <c r="F51" s="49">
        <f>'Avg Week SentemaRBT-Sentema'!F51+'Avg Week Sentema-SentemaRBT'!F51</f>
        <v>15.285714285714285</v>
      </c>
      <c r="G51" s="49">
        <f>'Avg Week SentemaRBT-Sentema'!G51+'Avg Week Sentema-SentemaRBT'!G51</f>
        <v>0.2857142857142857</v>
      </c>
      <c r="H51" s="49">
        <f>'Avg Week SentemaRBT-Sentema'!H51+'Avg Week Sentema-SentemaRBT'!H51</f>
        <v>0.14285714285714285</v>
      </c>
      <c r="I51" s="49">
        <f>'Avg Week SentemaRBT-Sentema'!I51+'Avg Week Sentema-SentemaRBT'!I51</f>
        <v>5.4285714285714288</v>
      </c>
      <c r="J51" s="49">
        <f>'Avg Week SentemaRBT-Sentema'!J51+'Avg Week Sentema-SentemaRBT'!J51</f>
        <v>2.1428571428571428</v>
      </c>
      <c r="K51" s="49">
        <f>'Avg Week SentemaRBT-Sentema'!K51+'Avg Week Sentema-SentemaRBT'!K51</f>
        <v>0.14285714285714285</v>
      </c>
      <c r="L51" s="49">
        <f>'Avg Week SentemaRBT-Sentema'!L51+'Avg Week Sentema-SentemaRBT'!L51</f>
        <v>0.14285714285714285</v>
      </c>
      <c r="M51" s="49">
        <f>'Avg Week SentemaRBT-Sentema'!M51+'Avg Week Sentema-SentemaRBT'!M51</f>
        <v>98.571428571428569</v>
      </c>
      <c r="N51" s="49">
        <f>'Avg Week SentemaRBT-Sentema'!N51+'Avg Week Sentema-SentemaRBT'!N51</f>
        <v>0</v>
      </c>
      <c r="O51" s="15">
        <f t="shared" si="0"/>
        <v>69.428571428571416</v>
      </c>
      <c r="P51" s="15">
        <f t="shared" si="1"/>
        <v>168</v>
      </c>
      <c r="R51" s="8"/>
      <c r="T51"/>
    </row>
    <row r="52" spans="2:20" ht="23.1" customHeight="1" x14ac:dyDescent="0.25">
      <c r="B52" s="24" t="s">
        <v>79</v>
      </c>
      <c r="C52" s="49">
        <f>'Avg Week SentemaRBT-Sentema'!C52+'Avg Week Sentema-SentemaRBT'!C52</f>
        <v>33.285714285714285</v>
      </c>
      <c r="D52" s="49">
        <f>'Avg Week SentemaRBT-Sentema'!D52+'Avg Week Sentema-SentemaRBT'!D52</f>
        <v>7.1428571428571423</v>
      </c>
      <c r="E52" s="49">
        <f>'Avg Week SentemaRBT-Sentema'!E52+'Avg Week Sentema-SentemaRBT'!E52</f>
        <v>4.8571428571428577</v>
      </c>
      <c r="F52" s="49">
        <f>'Avg Week SentemaRBT-Sentema'!F52+'Avg Week Sentema-SentemaRBT'!F52</f>
        <v>19.428571428571431</v>
      </c>
      <c r="G52" s="49">
        <f>'Avg Week SentemaRBT-Sentema'!G52+'Avg Week Sentema-SentemaRBT'!G52</f>
        <v>0.42857142857142855</v>
      </c>
      <c r="H52" s="49">
        <f>'Avg Week SentemaRBT-Sentema'!H52+'Avg Week Sentema-SentemaRBT'!H52</f>
        <v>0.2857142857142857</v>
      </c>
      <c r="I52" s="49">
        <f>'Avg Week SentemaRBT-Sentema'!I52+'Avg Week Sentema-SentemaRBT'!I52</f>
        <v>4.1428571428571423</v>
      </c>
      <c r="J52" s="49">
        <f>'Avg Week SentemaRBT-Sentema'!J52+'Avg Week Sentema-SentemaRBT'!J52</f>
        <v>1.5714285714285714</v>
      </c>
      <c r="K52" s="49">
        <f>'Avg Week SentemaRBT-Sentema'!K52+'Avg Week Sentema-SentemaRBT'!K52</f>
        <v>0.2857142857142857</v>
      </c>
      <c r="L52" s="49">
        <f>'Avg Week SentemaRBT-Sentema'!L52+'Avg Week Sentema-SentemaRBT'!L52</f>
        <v>0.14285714285714285</v>
      </c>
      <c r="M52" s="49">
        <f>'Avg Week SentemaRBT-Sentema'!M52+'Avg Week Sentema-SentemaRBT'!M52</f>
        <v>111.14285714285714</v>
      </c>
      <c r="N52" s="49">
        <f>'Avg Week SentemaRBT-Sentema'!N52+'Avg Week Sentema-SentemaRBT'!N52</f>
        <v>0</v>
      </c>
      <c r="O52" s="15">
        <f t="shared" si="0"/>
        <v>71.571428571428584</v>
      </c>
      <c r="P52" s="15">
        <f t="shared" si="1"/>
        <v>182.71428571428572</v>
      </c>
      <c r="R52" s="8"/>
      <c r="T52"/>
    </row>
    <row r="53" spans="2:20" ht="23.1" customHeight="1" x14ac:dyDescent="0.25">
      <c r="B53" s="23" t="s">
        <v>80</v>
      </c>
      <c r="C53" s="49">
        <f>'Avg Week SentemaRBT-Sentema'!C53+'Avg Week Sentema-SentemaRBT'!C53</f>
        <v>40.714285714285715</v>
      </c>
      <c r="D53" s="49">
        <f>'Avg Week SentemaRBT-Sentema'!D53+'Avg Week Sentema-SentemaRBT'!D53</f>
        <v>10.714285714285715</v>
      </c>
      <c r="E53" s="49">
        <f>'Avg Week SentemaRBT-Sentema'!E53+'Avg Week Sentema-SentemaRBT'!E53</f>
        <v>4.8571428571428577</v>
      </c>
      <c r="F53" s="49">
        <f>'Avg Week SentemaRBT-Sentema'!F53+'Avg Week Sentema-SentemaRBT'!F53</f>
        <v>21.571428571428569</v>
      </c>
      <c r="G53" s="49">
        <f>'Avg Week SentemaRBT-Sentema'!G53+'Avg Week Sentema-SentemaRBT'!G53</f>
        <v>0.5714285714285714</v>
      </c>
      <c r="H53" s="49">
        <f>'Avg Week SentemaRBT-Sentema'!H53+'Avg Week Sentema-SentemaRBT'!H53</f>
        <v>0</v>
      </c>
      <c r="I53" s="49">
        <f>'Avg Week SentemaRBT-Sentema'!I53+'Avg Week Sentema-SentemaRBT'!I53</f>
        <v>6.8571428571428577</v>
      </c>
      <c r="J53" s="49">
        <f>'Avg Week SentemaRBT-Sentema'!J53+'Avg Week Sentema-SentemaRBT'!J53</f>
        <v>1.7142857142857142</v>
      </c>
      <c r="K53" s="49">
        <f>'Avg Week SentemaRBT-Sentema'!K53+'Avg Week Sentema-SentemaRBT'!K53</f>
        <v>0.42857142857142855</v>
      </c>
      <c r="L53" s="49">
        <f>'Avg Week SentemaRBT-Sentema'!L53+'Avg Week Sentema-SentemaRBT'!L53</f>
        <v>0.5714285714285714</v>
      </c>
      <c r="M53" s="49">
        <f>'Avg Week SentemaRBT-Sentema'!M53+'Avg Week Sentema-SentemaRBT'!M53</f>
        <v>104.14285714285714</v>
      </c>
      <c r="N53" s="49">
        <f>'Avg Week SentemaRBT-Sentema'!N53+'Avg Week Sentema-SentemaRBT'!N53</f>
        <v>0.14285714285714285</v>
      </c>
      <c r="O53" s="15">
        <f t="shared" si="0"/>
        <v>88.142857142857139</v>
      </c>
      <c r="P53" s="15">
        <f t="shared" si="1"/>
        <v>192.28571428571428</v>
      </c>
      <c r="R53" s="8"/>
      <c r="T53"/>
    </row>
    <row r="54" spans="2:20" ht="23.1" customHeight="1" x14ac:dyDescent="0.25">
      <c r="B54" s="23" t="s">
        <v>81</v>
      </c>
      <c r="C54" s="49">
        <f>'Avg Week SentemaRBT-Sentema'!C54+'Avg Week Sentema-SentemaRBT'!C54</f>
        <v>39.571428571428569</v>
      </c>
      <c r="D54" s="49">
        <f>'Avg Week SentemaRBT-Sentema'!D54+'Avg Week Sentema-SentemaRBT'!D54</f>
        <v>11.142857142857142</v>
      </c>
      <c r="E54" s="49">
        <f>'Avg Week SentemaRBT-Sentema'!E54+'Avg Week Sentema-SentemaRBT'!E54</f>
        <v>4.5714285714285712</v>
      </c>
      <c r="F54" s="49">
        <f>'Avg Week SentemaRBT-Sentema'!F54+'Avg Week Sentema-SentemaRBT'!F54</f>
        <v>21.142857142857142</v>
      </c>
      <c r="G54" s="49">
        <f>'Avg Week SentemaRBT-Sentema'!G54+'Avg Week Sentema-SentemaRBT'!G54</f>
        <v>0.2857142857142857</v>
      </c>
      <c r="H54" s="49">
        <f>'Avg Week SentemaRBT-Sentema'!H54+'Avg Week Sentema-SentemaRBT'!H54</f>
        <v>0.2857142857142857</v>
      </c>
      <c r="I54" s="49">
        <f>'Avg Week SentemaRBT-Sentema'!I54+'Avg Week Sentema-SentemaRBT'!I54</f>
        <v>5.1428571428571423</v>
      </c>
      <c r="J54" s="49">
        <f>'Avg Week SentemaRBT-Sentema'!J54+'Avg Week Sentema-SentemaRBT'!J54</f>
        <v>1.1428571428571428</v>
      </c>
      <c r="K54" s="49">
        <f>'Avg Week SentemaRBT-Sentema'!K54+'Avg Week Sentema-SentemaRBT'!K54</f>
        <v>0.2857142857142857</v>
      </c>
      <c r="L54" s="49">
        <f>'Avg Week SentemaRBT-Sentema'!L54+'Avg Week Sentema-SentemaRBT'!L54</f>
        <v>0</v>
      </c>
      <c r="M54" s="49">
        <f>'Avg Week SentemaRBT-Sentema'!M54+'Avg Week Sentema-SentemaRBT'!M54</f>
        <v>110.28571428571428</v>
      </c>
      <c r="N54" s="49">
        <f>'Avg Week SentemaRBT-Sentema'!N54+'Avg Week Sentema-SentemaRBT'!N54</f>
        <v>0</v>
      </c>
      <c r="O54" s="15">
        <f t="shared" si="0"/>
        <v>83.571428571428569</v>
      </c>
      <c r="P54" s="15">
        <f t="shared" si="1"/>
        <v>193.85714285714283</v>
      </c>
      <c r="R54" s="8"/>
      <c r="T54"/>
    </row>
    <row r="55" spans="2:20" ht="23.1" customHeight="1" x14ac:dyDescent="0.25">
      <c r="B55" s="23" t="s">
        <v>82</v>
      </c>
      <c r="C55" s="49">
        <f>'Avg Week SentemaRBT-Sentema'!C55+'Avg Week Sentema-SentemaRBT'!C55</f>
        <v>39</v>
      </c>
      <c r="D55" s="49">
        <f>'Avg Week SentemaRBT-Sentema'!D55+'Avg Week Sentema-SentemaRBT'!D55</f>
        <v>8.1428571428571423</v>
      </c>
      <c r="E55" s="49">
        <f>'Avg Week SentemaRBT-Sentema'!E55+'Avg Week Sentema-SentemaRBT'!E55</f>
        <v>4.4285714285714288</v>
      </c>
      <c r="F55" s="49">
        <f>'Avg Week SentemaRBT-Sentema'!F55+'Avg Week Sentema-SentemaRBT'!F55</f>
        <v>22.857142857142858</v>
      </c>
      <c r="G55" s="49">
        <f>'Avg Week SentemaRBT-Sentema'!G55+'Avg Week Sentema-SentemaRBT'!G55</f>
        <v>0.2857142857142857</v>
      </c>
      <c r="H55" s="49">
        <f>'Avg Week SentemaRBT-Sentema'!H55+'Avg Week Sentema-SentemaRBT'!H55</f>
        <v>0.2857142857142857</v>
      </c>
      <c r="I55" s="49">
        <f>'Avg Week SentemaRBT-Sentema'!I55+'Avg Week Sentema-SentemaRBT'!I55</f>
        <v>4.5714285714285712</v>
      </c>
      <c r="J55" s="49">
        <f>'Avg Week SentemaRBT-Sentema'!J55+'Avg Week Sentema-SentemaRBT'!J55</f>
        <v>2.4285714285714288</v>
      </c>
      <c r="K55" s="49">
        <f>'Avg Week SentemaRBT-Sentema'!K55+'Avg Week Sentema-SentemaRBT'!K55</f>
        <v>1</v>
      </c>
      <c r="L55" s="49">
        <f>'Avg Week SentemaRBT-Sentema'!L55+'Avg Week Sentema-SentemaRBT'!L55</f>
        <v>0.2857142857142857</v>
      </c>
      <c r="M55" s="49">
        <f>'Avg Week SentemaRBT-Sentema'!M55+'Avg Week Sentema-SentemaRBT'!M55</f>
        <v>108.14285714285714</v>
      </c>
      <c r="N55" s="49">
        <f>'Avg Week SentemaRBT-Sentema'!N55+'Avg Week Sentema-SentemaRBT'!N55</f>
        <v>0</v>
      </c>
      <c r="O55" s="15">
        <f t="shared" si="0"/>
        <v>83.285714285714306</v>
      </c>
      <c r="P55" s="15">
        <f t="shared" si="1"/>
        <v>191.42857142857144</v>
      </c>
      <c r="R55" s="8"/>
      <c r="T55"/>
    </row>
    <row r="56" spans="2:20" ht="23.1" customHeight="1" x14ac:dyDescent="0.25">
      <c r="B56" s="23" t="s">
        <v>83</v>
      </c>
      <c r="C56" s="49">
        <f>'Avg Week SentemaRBT-Sentema'!C56+'Avg Week Sentema-SentemaRBT'!C56</f>
        <v>33.857142857142854</v>
      </c>
      <c r="D56" s="49">
        <f>'Avg Week SentemaRBT-Sentema'!D56+'Avg Week Sentema-SentemaRBT'!D56</f>
        <v>10</v>
      </c>
      <c r="E56" s="49">
        <f>'Avg Week SentemaRBT-Sentema'!E56+'Avg Week Sentema-SentemaRBT'!E56</f>
        <v>4.4285714285714288</v>
      </c>
      <c r="F56" s="49">
        <f>'Avg Week SentemaRBT-Sentema'!F56+'Avg Week Sentema-SentemaRBT'!F56</f>
        <v>26.285714285714285</v>
      </c>
      <c r="G56" s="49">
        <f>'Avg Week SentemaRBT-Sentema'!G56+'Avg Week Sentema-SentemaRBT'!G56</f>
        <v>0.2857142857142857</v>
      </c>
      <c r="H56" s="49">
        <f>'Avg Week SentemaRBT-Sentema'!H56+'Avg Week Sentema-SentemaRBT'!H56</f>
        <v>0.14285714285714285</v>
      </c>
      <c r="I56" s="49">
        <f>'Avg Week SentemaRBT-Sentema'!I56+'Avg Week Sentema-SentemaRBT'!I56</f>
        <v>7</v>
      </c>
      <c r="J56" s="49">
        <f>'Avg Week SentemaRBT-Sentema'!J56+'Avg Week Sentema-SentemaRBT'!J56</f>
        <v>1.8571428571428572</v>
      </c>
      <c r="K56" s="49">
        <f>'Avg Week SentemaRBT-Sentema'!K56+'Avg Week Sentema-SentemaRBT'!K56</f>
        <v>1.2857142857142856</v>
      </c>
      <c r="L56" s="49">
        <f>'Avg Week SentemaRBT-Sentema'!L56+'Avg Week Sentema-SentemaRBT'!L56</f>
        <v>0.42857142857142855</v>
      </c>
      <c r="M56" s="49">
        <f>'Avg Week SentemaRBT-Sentema'!M56+'Avg Week Sentema-SentemaRBT'!M56</f>
        <v>115.71428571428571</v>
      </c>
      <c r="N56" s="49">
        <f>'Avg Week SentemaRBT-Sentema'!N56+'Avg Week Sentema-SentemaRBT'!N56</f>
        <v>0</v>
      </c>
      <c r="O56" s="15">
        <f t="shared" si="0"/>
        <v>85.571428571428584</v>
      </c>
      <c r="P56" s="15">
        <f t="shared" si="1"/>
        <v>201.28571428571428</v>
      </c>
      <c r="R56" s="8"/>
      <c r="T56"/>
    </row>
    <row r="57" spans="2:20" ht="23.1" customHeight="1" x14ac:dyDescent="0.25">
      <c r="B57" s="23" t="s">
        <v>84</v>
      </c>
      <c r="C57" s="49">
        <f>'Avg Week SentemaRBT-Sentema'!C57+'Avg Week Sentema-SentemaRBT'!C57</f>
        <v>38.285714285714285</v>
      </c>
      <c r="D57" s="49">
        <f>'Avg Week SentemaRBT-Sentema'!D57+'Avg Week Sentema-SentemaRBT'!D57</f>
        <v>7.7142857142857135</v>
      </c>
      <c r="E57" s="49">
        <f>'Avg Week SentemaRBT-Sentema'!E57+'Avg Week Sentema-SentemaRBT'!E57</f>
        <v>4.2857142857142856</v>
      </c>
      <c r="F57" s="49">
        <f>'Avg Week SentemaRBT-Sentema'!F57+'Avg Week Sentema-SentemaRBT'!F57</f>
        <v>24</v>
      </c>
      <c r="G57" s="49">
        <f>'Avg Week SentemaRBT-Sentema'!G57+'Avg Week Sentema-SentemaRBT'!G57</f>
        <v>2.2857142857142856</v>
      </c>
      <c r="H57" s="49">
        <f>'Avg Week SentemaRBT-Sentema'!H57+'Avg Week Sentema-SentemaRBT'!H57</f>
        <v>0</v>
      </c>
      <c r="I57" s="49">
        <f>'Avg Week SentemaRBT-Sentema'!I57+'Avg Week Sentema-SentemaRBT'!I57</f>
        <v>5.7142857142857144</v>
      </c>
      <c r="J57" s="49">
        <f>'Avg Week SentemaRBT-Sentema'!J57+'Avg Week Sentema-SentemaRBT'!J57</f>
        <v>1.7142857142857142</v>
      </c>
      <c r="K57" s="49">
        <f>'Avg Week SentemaRBT-Sentema'!K57+'Avg Week Sentema-SentemaRBT'!K57</f>
        <v>1.2857142857142856</v>
      </c>
      <c r="L57" s="49">
        <f>'Avg Week SentemaRBT-Sentema'!L57+'Avg Week Sentema-SentemaRBT'!L57</f>
        <v>0</v>
      </c>
      <c r="M57" s="49">
        <f>'Avg Week SentemaRBT-Sentema'!M57+'Avg Week Sentema-SentemaRBT'!M57</f>
        <v>109.47619047619048</v>
      </c>
      <c r="N57" s="49">
        <f>'Avg Week SentemaRBT-Sentema'!N57+'Avg Week Sentema-SentemaRBT'!N57</f>
        <v>0.14285714285714285</v>
      </c>
      <c r="O57" s="15">
        <f t="shared" si="0"/>
        <v>85.428571428571416</v>
      </c>
      <c r="P57" s="15">
        <f t="shared" si="1"/>
        <v>194.9047619047619</v>
      </c>
      <c r="R57" s="8"/>
      <c r="T57"/>
    </row>
    <row r="58" spans="2:20" ht="23.1" customHeight="1" x14ac:dyDescent="0.25">
      <c r="B58" s="23" t="s">
        <v>99</v>
      </c>
      <c r="C58" s="49">
        <f>'Avg Week SentemaRBT-Sentema'!C58+'Avg Week Sentema-SentemaRBT'!C58</f>
        <v>30.5</v>
      </c>
      <c r="D58" s="49">
        <f>'Avg Week SentemaRBT-Sentema'!D58+'Avg Week Sentema-SentemaRBT'!D58</f>
        <v>12.5</v>
      </c>
      <c r="E58" s="49">
        <f>'Avg Week SentemaRBT-Sentema'!E58+'Avg Week Sentema-SentemaRBT'!E58</f>
        <v>7</v>
      </c>
      <c r="F58" s="49">
        <f>'Avg Week SentemaRBT-Sentema'!F58+'Avg Week Sentema-SentemaRBT'!F58</f>
        <v>23</v>
      </c>
      <c r="G58" s="49">
        <f>'Avg Week SentemaRBT-Sentema'!G58+'Avg Week Sentema-SentemaRBT'!G58</f>
        <v>1</v>
      </c>
      <c r="H58" s="49">
        <f>'Avg Week SentemaRBT-Sentema'!H58+'Avg Week Sentema-SentemaRBT'!H58</f>
        <v>0</v>
      </c>
      <c r="I58" s="49">
        <f>'Avg Week SentemaRBT-Sentema'!I58+'Avg Week Sentema-SentemaRBT'!I58</f>
        <v>5</v>
      </c>
      <c r="J58" s="49">
        <f>'Avg Week SentemaRBT-Sentema'!J58+'Avg Week Sentema-SentemaRBT'!J58</f>
        <v>2.5</v>
      </c>
      <c r="K58" s="49">
        <f>'Avg Week SentemaRBT-Sentema'!K58+'Avg Week Sentema-SentemaRBT'!K58</f>
        <v>1</v>
      </c>
      <c r="L58" s="49">
        <f>'Avg Week SentemaRBT-Sentema'!L58+'Avg Week Sentema-SentemaRBT'!L58</f>
        <v>0</v>
      </c>
      <c r="M58" s="49">
        <f>'Avg Week SentemaRBT-Sentema'!M58+'Avg Week Sentema-SentemaRBT'!M58</f>
        <v>91</v>
      </c>
      <c r="N58" s="49">
        <f>'Avg Week SentemaRBT-Sentema'!N58+'Avg Week Sentema-SentemaRBT'!N58</f>
        <v>0</v>
      </c>
      <c r="O58" s="15">
        <f t="shared" si="0"/>
        <v>82.5</v>
      </c>
      <c r="P58" s="15">
        <f t="shared" si="1"/>
        <v>173.5</v>
      </c>
      <c r="R58" s="8"/>
      <c r="T58"/>
    </row>
    <row r="59" spans="2:20" ht="23.1" customHeight="1" x14ac:dyDescent="0.25">
      <c r="B59" s="23" t="s">
        <v>100</v>
      </c>
      <c r="C59" s="49">
        <f>'Avg Week SentemaRBT-Sentema'!C59+'Avg Week Sentema-SentemaRBT'!C59</f>
        <v>32</v>
      </c>
      <c r="D59" s="49">
        <f>'Avg Week SentemaRBT-Sentema'!D59+'Avg Week Sentema-SentemaRBT'!D59</f>
        <v>9</v>
      </c>
      <c r="E59" s="49">
        <f>'Avg Week SentemaRBT-Sentema'!E59+'Avg Week Sentema-SentemaRBT'!E59</f>
        <v>6</v>
      </c>
      <c r="F59" s="49">
        <f>'Avg Week SentemaRBT-Sentema'!F59+'Avg Week Sentema-SentemaRBT'!F59</f>
        <v>30</v>
      </c>
      <c r="G59" s="49">
        <f>'Avg Week SentemaRBT-Sentema'!G59+'Avg Week Sentema-SentemaRBT'!G59</f>
        <v>1</v>
      </c>
      <c r="H59" s="49">
        <f>'Avg Week SentemaRBT-Sentema'!H59+'Avg Week Sentema-SentemaRBT'!H59</f>
        <v>1</v>
      </c>
      <c r="I59" s="49">
        <f>'Avg Week SentemaRBT-Sentema'!I59+'Avg Week Sentema-SentemaRBT'!I59</f>
        <v>3.5</v>
      </c>
      <c r="J59" s="49">
        <f>'Avg Week SentemaRBT-Sentema'!J59+'Avg Week Sentema-SentemaRBT'!J59</f>
        <v>0.5</v>
      </c>
      <c r="K59" s="49">
        <f>'Avg Week SentemaRBT-Sentema'!K59+'Avg Week Sentema-SentemaRBT'!K59</f>
        <v>0</v>
      </c>
      <c r="L59" s="49">
        <f>'Avg Week SentemaRBT-Sentema'!L59+'Avg Week Sentema-SentemaRBT'!L59</f>
        <v>1</v>
      </c>
      <c r="M59" s="49">
        <f>'Avg Week SentemaRBT-Sentema'!M59+'Avg Week Sentema-SentemaRBT'!M59</f>
        <v>111.5</v>
      </c>
      <c r="N59" s="49">
        <f>'Avg Week SentemaRBT-Sentema'!N59+'Avg Week Sentema-SentemaRBT'!N59</f>
        <v>0</v>
      </c>
      <c r="O59" s="15">
        <f t="shared" si="0"/>
        <v>84</v>
      </c>
      <c r="P59" s="15">
        <f t="shared" si="1"/>
        <v>195.5</v>
      </c>
      <c r="R59" s="8"/>
      <c r="T59"/>
    </row>
    <row r="60" spans="2:20" ht="23.1" customHeight="1" x14ac:dyDescent="0.25">
      <c r="B60" s="23" t="s">
        <v>101</v>
      </c>
      <c r="C60" s="49">
        <f>'Avg Week SentemaRBT-Sentema'!C60+'Avg Week Sentema-SentemaRBT'!C60</f>
        <v>33.5</v>
      </c>
      <c r="D60" s="49">
        <f>'Avg Week SentemaRBT-Sentema'!D60+'Avg Week Sentema-SentemaRBT'!D60</f>
        <v>10.5</v>
      </c>
      <c r="E60" s="49">
        <f>'Avg Week SentemaRBT-Sentema'!E60+'Avg Week Sentema-SentemaRBT'!E60</f>
        <v>4</v>
      </c>
      <c r="F60" s="49">
        <f>'Avg Week SentemaRBT-Sentema'!F60+'Avg Week Sentema-SentemaRBT'!F60</f>
        <v>27</v>
      </c>
      <c r="G60" s="49">
        <f>'Avg Week SentemaRBT-Sentema'!G60+'Avg Week Sentema-SentemaRBT'!G60</f>
        <v>0</v>
      </c>
      <c r="H60" s="49">
        <f>'Avg Week SentemaRBT-Sentema'!H60+'Avg Week Sentema-SentemaRBT'!H60</f>
        <v>0</v>
      </c>
      <c r="I60" s="49">
        <f>'Avg Week SentemaRBT-Sentema'!I60+'Avg Week Sentema-SentemaRBT'!I60</f>
        <v>5.5</v>
      </c>
      <c r="J60" s="49">
        <f>'Avg Week SentemaRBT-Sentema'!J60+'Avg Week Sentema-SentemaRBT'!J60</f>
        <v>1</v>
      </c>
      <c r="K60" s="49">
        <f>'Avg Week SentemaRBT-Sentema'!K60+'Avg Week Sentema-SentemaRBT'!K60</f>
        <v>0</v>
      </c>
      <c r="L60" s="49">
        <f>'Avg Week SentemaRBT-Sentema'!L60+'Avg Week Sentema-SentemaRBT'!L60</f>
        <v>0</v>
      </c>
      <c r="M60" s="49">
        <f>'Avg Week SentemaRBT-Sentema'!M60+'Avg Week Sentema-SentemaRBT'!M60</f>
        <v>78</v>
      </c>
      <c r="N60" s="49">
        <f>'Avg Week SentemaRBT-Sentema'!N60+'Avg Week Sentema-SentemaRBT'!N60</f>
        <v>0</v>
      </c>
      <c r="O60" s="15">
        <f t="shared" si="0"/>
        <v>81.5</v>
      </c>
      <c r="P60" s="15">
        <f t="shared" si="1"/>
        <v>159.5</v>
      </c>
      <c r="R60" s="8"/>
      <c r="T60"/>
    </row>
    <row r="61" spans="2:20" ht="23.1" customHeight="1" x14ac:dyDescent="0.25">
      <c r="B61" s="23" t="s">
        <v>102</v>
      </c>
      <c r="C61" s="49">
        <f>'Avg Week SentemaRBT-Sentema'!C61+'Avg Week Sentema-SentemaRBT'!C61</f>
        <v>40.5</v>
      </c>
      <c r="D61" s="49">
        <f>'Avg Week SentemaRBT-Sentema'!D61+'Avg Week Sentema-SentemaRBT'!D61</f>
        <v>7</v>
      </c>
      <c r="E61" s="49">
        <f>'Avg Week SentemaRBT-Sentema'!E61+'Avg Week Sentema-SentemaRBT'!E61</f>
        <v>6</v>
      </c>
      <c r="F61" s="49">
        <f>'Avg Week SentemaRBT-Sentema'!F61+'Avg Week Sentema-SentemaRBT'!F61</f>
        <v>33</v>
      </c>
      <c r="G61" s="49">
        <f>'Avg Week SentemaRBT-Sentema'!G61+'Avg Week Sentema-SentemaRBT'!G61</f>
        <v>0.5</v>
      </c>
      <c r="H61" s="49">
        <f>'Avg Week SentemaRBT-Sentema'!H61+'Avg Week Sentema-SentemaRBT'!H61</f>
        <v>0.5</v>
      </c>
      <c r="I61" s="49">
        <f>'Avg Week SentemaRBT-Sentema'!I61+'Avg Week Sentema-SentemaRBT'!I61</f>
        <v>5.5</v>
      </c>
      <c r="J61" s="49">
        <f>'Avg Week SentemaRBT-Sentema'!J61+'Avg Week Sentema-SentemaRBT'!J61</f>
        <v>0.5</v>
      </c>
      <c r="K61" s="49">
        <f>'Avg Week SentemaRBT-Sentema'!K61+'Avg Week Sentema-SentemaRBT'!K61</f>
        <v>0</v>
      </c>
      <c r="L61" s="49">
        <f>'Avg Week SentemaRBT-Sentema'!L61+'Avg Week Sentema-SentemaRBT'!L61</f>
        <v>1</v>
      </c>
      <c r="M61" s="49">
        <f>'Avg Week SentemaRBT-Sentema'!M61+'Avg Week Sentema-SentemaRBT'!M61</f>
        <v>64</v>
      </c>
      <c r="N61" s="49">
        <f>'Avg Week SentemaRBT-Sentema'!N61+'Avg Week Sentema-SentemaRBT'!N61</f>
        <v>0</v>
      </c>
      <c r="O61" s="15">
        <f t="shared" si="0"/>
        <v>94.5</v>
      </c>
      <c r="P61" s="15">
        <f t="shared" si="1"/>
        <v>158.5</v>
      </c>
      <c r="R61" s="8"/>
      <c r="T61"/>
    </row>
    <row r="62" spans="2:20" ht="23.1" customHeight="1" x14ac:dyDescent="0.25">
      <c r="B62" s="23" t="s">
        <v>107</v>
      </c>
      <c r="C62" s="49">
        <f>'Avg Week SentemaRBT-Sentema'!C62+'Avg Week Sentema-SentemaRBT'!C62</f>
        <v>36</v>
      </c>
      <c r="D62" s="49">
        <f>'Avg Week SentemaRBT-Sentema'!D62+'Avg Week Sentema-SentemaRBT'!D62</f>
        <v>4</v>
      </c>
      <c r="E62" s="49">
        <f>'Avg Week SentemaRBT-Sentema'!E62+'Avg Week Sentema-SentemaRBT'!E62</f>
        <v>6</v>
      </c>
      <c r="F62" s="49">
        <f>'Avg Week SentemaRBT-Sentema'!F62+'Avg Week Sentema-SentemaRBT'!F62</f>
        <v>36.5</v>
      </c>
      <c r="G62" s="49">
        <f>'Avg Week SentemaRBT-Sentema'!G62+'Avg Week Sentema-SentemaRBT'!G62</f>
        <v>0.5</v>
      </c>
      <c r="H62" s="49">
        <f>'Avg Week SentemaRBT-Sentema'!H62+'Avg Week Sentema-SentemaRBT'!H62</f>
        <v>1</v>
      </c>
      <c r="I62" s="49">
        <f>'Avg Week SentemaRBT-Sentema'!I62+'Avg Week Sentema-SentemaRBT'!I62</f>
        <v>1.5</v>
      </c>
      <c r="J62" s="49">
        <f>'Avg Week SentemaRBT-Sentema'!J62+'Avg Week Sentema-SentemaRBT'!J62</f>
        <v>0.5</v>
      </c>
      <c r="K62" s="49">
        <f>'Avg Week SentemaRBT-Sentema'!K62+'Avg Week Sentema-SentemaRBT'!K62</f>
        <v>0</v>
      </c>
      <c r="L62" s="49">
        <f>'Avg Week SentemaRBT-Sentema'!L62+'Avg Week Sentema-SentemaRBT'!L62</f>
        <v>0</v>
      </c>
      <c r="M62" s="49">
        <f>'Avg Week SentemaRBT-Sentema'!M62+'Avg Week Sentema-SentemaRBT'!M62</f>
        <v>62</v>
      </c>
      <c r="N62" s="49">
        <f>'Avg Week SentemaRBT-Sentema'!N62+'Avg Week Sentema-SentemaRBT'!N62</f>
        <v>0</v>
      </c>
      <c r="O62" s="15">
        <f t="shared" si="0"/>
        <v>86</v>
      </c>
      <c r="P62" s="15">
        <f t="shared" si="1"/>
        <v>148</v>
      </c>
      <c r="R62" s="8"/>
      <c r="T62"/>
    </row>
    <row r="63" spans="2:20" ht="23.1" customHeight="1" x14ac:dyDescent="0.25">
      <c r="B63" s="23" t="s">
        <v>108</v>
      </c>
      <c r="C63" s="49">
        <f>'Avg Week SentemaRBT-Sentema'!C63+'Avg Week Sentema-SentemaRBT'!C63</f>
        <v>31.5</v>
      </c>
      <c r="D63" s="49">
        <f>'Avg Week SentemaRBT-Sentema'!D63+'Avg Week Sentema-SentemaRBT'!D63</f>
        <v>9.5</v>
      </c>
      <c r="E63" s="49">
        <f>'Avg Week SentemaRBT-Sentema'!E63+'Avg Week Sentema-SentemaRBT'!E63</f>
        <v>3.5</v>
      </c>
      <c r="F63" s="49">
        <f>'Avg Week SentemaRBT-Sentema'!F63+'Avg Week Sentema-SentemaRBT'!F63</f>
        <v>37</v>
      </c>
      <c r="G63" s="49">
        <f>'Avg Week SentemaRBT-Sentema'!G63+'Avg Week Sentema-SentemaRBT'!G63</f>
        <v>0</v>
      </c>
      <c r="H63" s="49">
        <f>'Avg Week SentemaRBT-Sentema'!H63+'Avg Week Sentema-SentemaRBT'!H63</f>
        <v>0</v>
      </c>
      <c r="I63" s="49">
        <f>'Avg Week SentemaRBT-Sentema'!I63+'Avg Week Sentema-SentemaRBT'!I63</f>
        <v>6</v>
      </c>
      <c r="J63" s="49">
        <f>'Avg Week SentemaRBT-Sentema'!J63+'Avg Week Sentema-SentemaRBT'!J63</f>
        <v>1</v>
      </c>
      <c r="K63" s="49">
        <f>'Avg Week SentemaRBT-Sentema'!K63+'Avg Week Sentema-SentemaRBT'!K63</f>
        <v>0</v>
      </c>
      <c r="L63" s="49">
        <f>'Avg Week SentemaRBT-Sentema'!L63+'Avg Week Sentema-SentemaRBT'!L63</f>
        <v>0.5</v>
      </c>
      <c r="M63" s="49">
        <f>'Avg Week SentemaRBT-Sentema'!M63+'Avg Week Sentema-SentemaRBT'!M63</f>
        <v>92.5</v>
      </c>
      <c r="N63" s="49">
        <f>'Avg Week SentemaRBT-Sentema'!N63+'Avg Week Sentema-SentemaRBT'!N63</f>
        <v>0</v>
      </c>
      <c r="O63" s="15">
        <f t="shared" si="0"/>
        <v>89</v>
      </c>
      <c r="P63" s="15">
        <f t="shared" si="1"/>
        <v>181.5</v>
      </c>
      <c r="R63" s="8"/>
      <c r="T63"/>
    </row>
    <row r="64" spans="2:20" ht="23.1" customHeight="1" x14ac:dyDescent="0.25">
      <c r="B64" s="23" t="s">
        <v>109</v>
      </c>
      <c r="C64" s="49">
        <f>'Avg Week SentemaRBT-Sentema'!C64+'Avg Week Sentema-SentemaRBT'!C64</f>
        <v>47.5</v>
      </c>
      <c r="D64" s="49">
        <f>'Avg Week SentemaRBT-Sentema'!D64+'Avg Week Sentema-SentemaRBT'!D64</f>
        <v>5.5</v>
      </c>
      <c r="E64" s="49">
        <f>'Avg Week SentemaRBT-Sentema'!E64+'Avg Week Sentema-SentemaRBT'!E64</f>
        <v>7</v>
      </c>
      <c r="F64" s="49">
        <f>'Avg Week SentemaRBT-Sentema'!F64+'Avg Week Sentema-SentemaRBT'!F64</f>
        <v>39</v>
      </c>
      <c r="G64" s="49">
        <f>'Avg Week SentemaRBT-Sentema'!G64+'Avg Week Sentema-SentemaRBT'!G64</f>
        <v>0.5</v>
      </c>
      <c r="H64" s="49">
        <f>'Avg Week SentemaRBT-Sentema'!H64+'Avg Week Sentema-SentemaRBT'!H64</f>
        <v>0</v>
      </c>
      <c r="I64" s="49">
        <f>'Avg Week SentemaRBT-Sentema'!I64+'Avg Week Sentema-SentemaRBT'!I64</f>
        <v>3</v>
      </c>
      <c r="J64" s="49">
        <f>'Avg Week SentemaRBT-Sentema'!J64+'Avg Week Sentema-SentemaRBT'!J64</f>
        <v>0.5</v>
      </c>
      <c r="K64" s="49">
        <f>'Avg Week SentemaRBT-Sentema'!K64+'Avg Week Sentema-SentemaRBT'!K64</f>
        <v>0</v>
      </c>
      <c r="L64" s="49">
        <f>'Avg Week SentemaRBT-Sentema'!L64+'Avg Week Sentema-SentemaRBT'!L64</f>
        <v>0</v>
      </c>
      <c r="M64" s="49">
        <f>'Avg Week SentemaRBT-Sentema'!M64+'Avg Week Sentema-SentemaRBT'!M64</f>
        <v>100</v>
      </c>
      <c r="N64" s="49">
        <f>'Avg Week SentemaRBT-Sentema'!N64+'Avg Week Sentema-SentemaRBT'!N64</f>
        <v>0</v>
      </c>
      <c r="O64" s="15">
        <f t="shared" si="0"/>
        <v>103</v>
      </c>
      <c r="P64" s="15">
        <f t="shared" si="1"/>
        <v>203</v>
      </c>
      <c r="R64" s="8"/>
      <c r="T64"/>
    </row>
    <row r="65" spans="2:20" ht="23.1" customHeight="1" x14ac:dyDescent="0.25">
      <c r="B65" s="23" t="s">
        <v>158</v>
      </c>
      <c r="C65" s="49">
        <f>'Avg Week SentemaRBT-Sentema'!C65+'Avg Week Sentema-SentemaRBT'!C65</f>
        <v>44.5</v>
      </c>
      <c r="D65" s="49">
        <f>'Avg Week SentemaRBT-Sentema'!D65+'Avg Week Sentema-SentemaRBT'!D65</f>
        <v>5.5</v>
      </c>
      <c r="E65" s="49">
        <f>'Avg Week SentemaRBT-Sentema'!E65+'Avg Week Sentema-SentemaRBT'!E65</f>
        <v>3</v>
      </c>
      <c r="F65" s="49">
        <f>'Avg Week SentemaRBT-Sentema'!F65+'Avg Week Sentema-SentemaRBT'!F65</f>
        <v>39.5</v>
      </c>
      <c r="G65" s="49">
        <f>'Avg Week SentemaRBT-Sentema'!G65+'Avg Week Sentema-SentemaRBT'!G65</f>
        <v>0</v>
      </c>
      <c r="H65" s="49">
        <f>'Avg Week SentemaRBT-Sentema'!H65+'Avg Week Sentema-SentemaRBT'!H65</f>
        <v>0</v>
      </c>
      <c r="I65" s="49">
        <f>'Avg Week SentemaRBT-Sentema'!I65+'Avg Week Sentema-SentemaRBT'!I65</f>
        <v>4.5</v>
      </c>
      <c r="J65" s="49">
        <f>'Avg Week SentemaRBT-Sentema'!J65+'Avg Week Sentema-SentemaRBT'!J65</f>
        <v>2.5</v>
      </c>
      <c r="K65" s="49">
        <f>'Avg Week SentemaRBT-Sentema'!K65+'Avg Week Sentema-SentemaRBT'!K65</f>
        <v>1</v>
      </c>
      <c r="L65" s="49">
        <f>'Avg Week SentemaRBT-Sentema'!L65+'Avg Week Sentema-SentemaRBT'!L65</f>
        <v>0</v>
      </c>
      <c r="M65" s="49">
        <f>'Avg Week SentemaRBT-Sentema'!M65+'Avg Week Sentema-SentemaRBT'!M65</f>
        <v>86.5</v>
      </c>
      <c r="N65" s="49">
        <f>'Avg Week SentemaRBT-Sentema'!N65+'Avg Week Sentema-SentemaRBT'!N65</f>
        <v>0</v>
      </c>
      <c r="O65" s="15">
        <f t="shared" si="0"/>
        <v>100.5</v>
      </c>
      <c r="P65" s="15">
        <f t="shared" si="1"/>
        <v>187</v>
      </c>
      <c r="R65" s="8"/>
      <c r="T65"/>
    </row>
    <row r="66" spans="2:20" ht="23.1" customHeight="1" x14ac:dyDescent="0.25">
      <c r="B66" s="23" t="s">
        <v>103</v>
      </c>
      <c r="C66" s="49">
        <f>'Avg Week SentemaRBT-Sentema'!C66+'Avg Week Sentema-SentemaRBT'!C66</f>
        <v>23.5</v>
      </c>
      <c r="D66" s="49">
        <f>'Avg Week SentemaRBT-Sentema'!D66+'Avg Week Sentema-SentemaRBT'!D66</f>
        <v>4</v>
      </c>
      <c r="E66" s="49">
        <f>'Avg Week SentemaRBT-Sentema'!E66+'Avg Week Sentema-SentemaRBT'!E66</f>
        <v>5</v>
      </c>
      <c r="F66" s="49">
        <f>'Avg Week SentemaRBT-Sentema'!F66+'Avg Week Sentema-SentemaRBT'!F66</f>
        <v>18</v>
      </c>
      <c r="G66" s="49">
        <f>'Avg Week SentemaRBT-Sentema'!G66+'Avg Week Sentema-SentemaRBT'!G66</f>
        <v>0.5</v>
      </c>
      <c r="H66" s="49">
        <f>'Avg Week SentemaRBT-Sentema'!H66+'Avg Week Sentema-SentemaRBT'!H66</f>
        <v>0</v>
      </c>
      <c r="I66" s="49">
        <f>'Avg Week SentemaRBT-Sentema'!I66+'Avg Week Sentema-SentemaRBT'!I66</f>
        <v>3</v>
      </c>
      <c r="J66" s="49">
        <f>'Avg Week SentemaRBT-Sentema'!J66+'Avg Week Sentema-SentemaRBT'!J66</f>
        <v>0</v>
      </c>
      <c r="K66" s="49">
        <f>'Avg Week SentemaRBT-Sentema'!K66+'Avg Week Sentema-SentemaRBT'!K66</f>
        <v>2</v>
      </c>
      <c r="L66" s="49">
        <f>'Avg Week SentemaRBT-Sentema'!L66+'Avg Week Sentema-SentemaRBT'!L66</f>
        <v>0</v>
      </c>
      <c r="M66" s="49">
        <f>'Avg Week SentemaRBT-Sentema'!M66+'Avg Week Sentema-SentemaRBT'!M66</f>
        <v>53</v>
      </c>
      <c r="N66" s="49">
        <f>'Avg Week SentemaRBT-Sentema'!N66+'Avg Week Sentema-SentemaRBT'!N66</f>
        <v>0</v>
      </c>
      <c r="O66" s="15">
        <f t="shared" si="0"/>
        <v>56</v>
      </c>
      <c r="P66" s="15">
        <f t="shared" si="1"/>
        <v>109</v>
      </c>
      <c r="R66" s="8"/>
      <c r="T66"/>
    </row>
    <row r="67" spans="2:20" ht="23.1" customHeight="1" x14ac:dyDescent="0.25">
      <c r="B67" s="23" t="s">
        <v>104</v>
      </c>
      <c r="C67" s="49">
        <f>'Avg Week SentemaRBT-Sentema'!C67+'Avg Week Sentema-SentemaRBT'!C67</f>
        <v>16</v>
      </c>
      <c r="D67" s="49">
        <f>'Avg Week SentemaRBT-Sentema'!D67+'Avg Week Sentema-SentemaRBT'!D67</f>
        <v>4.5</v>
      </c>
      <c r="E67" s="49">
        <f>'Avg Week SentemaRBT-Sentema'!E67+'Avg Week Sentema-SentemaRBT'!E67</f>
        <v>1.5</v>
      </c>
      <c r="F67" s="49">
        <f>'Avg Week SentemaRBT-Sentema'!F67+'Avg Week Sentema-SentemaRBT'!F67</f>
        <v>12.5</v>
      </c>
      <c r="G67" s="49">
        <f>'Avg Week SentemaRBT-Sentema'!G67+'Avg Week Sentema-SentemaRBT'!G67</f>
        <v>1</v>
      </c>
      <c r="H67" s="49">
        <f>'Avg Week SentemaRBT-Sentema'!H67+'Avg Week Sentema-SentemaRBT'!H67</f>
        <v>0</v>
      </c>
      <c r="I67" s="49">
        <f>'Avg Week SentemaRBT-Sentema'!I67+'Avg Week Sentema-SentemaRBT'!I67</f>
        <v>3.5</v>
      </c>
      <c r="J67" s="49">
        <f>'Avg Week SentemaRBT-Sentema'!J67+'Avg Week Sentema-SentemaRBT'!J67</f>
        <v>0.5</v>
      </c>
      <c r="K67" s="49">
        <f>'Avg Week SentemaRBT-Sentema'!K67+'Avg Week Sentema-SentemaRBT'!K67</f>
        <v>0.5</v>
      </c>
      <c r="L67" s="49">
        <f>'Avg Week SentemaRBT-Sentema'!L67+'Avg Week Sentema-SentemaRBT'!L67</f>
        <v>0</v>
      </c>
      <c r="M67" s="49">
        <f>'Avg Week SentemaRBT-Sentema'!M67+'Avg Week Sentema-SentemaRBT'!M67</f>
        <v>48</v>
      </c>
      <c r="N67" s="49">
        <f>'Avg Week SentemaRBT-Sentema'!N67+'Avg Week Sentema-SentemaRBT'!N67</f>
        <v>0</v>
      </c>
      <c r="O67" s="15">
        <f t="shared" si="0"/>
        <v>40</v>
      </c>
      <c r="P67" s="15">
        <f t="shared" si="1"/>
        <v>88</v>
      </c>
      <c r="R67" s="8"/>
      <c r="T67"/>
    </row>
    <row r="68" spans="2:20" ht="23.1" customHeight="1" x14ac:dyDescent="0.25">
      <c r="B68" s="23" t="s">
        <v>105</v>
      </c>
      <c r="C68" s="49">
        <f>'Avg Week SentemaRBT-Sentema'!C68+'Avg Week Sentema-SentemaRBT'!C68</f>
        <v>16</v>
      </c>
      <c r="D68" s="49">
        <f>'Avg Week SentemaRBT-Sentema'!D68+'Avg Week Sentema-SentemaRBT'!D68</f>
        <v>1</v>
      </c>
      <c r="E68" s="49">
        <f>'Avg Week SentemaRBT-Sentema'!E68+'Avg Week Sentema-SentemaRBT'!E68</f>
        <v>2.5</v>
      </c>
      <c r="F68" s="49">
        <f>'Avg Week SentemaRBT-Sentema'!F68+'Avg Week Sentema-SentemaRBT'!F68</f>
        <v>9</v>
      </c>
      <c r="G68" s="49">
        <f>'Avg Week SentemaRBT-Sentema'!G68+'Avg Week Sentema-SentemaRBT'!G68</f>
        <v>0.5</v>
      </c>
      <c r="H68" s="49">
        <f>'Avg Week SentemaRBT-Sentema'!H68+'Avg Week Sentema-SentemaRBT'!H68</f>
        <v>0</v>
      </c>
      <c r="I68" s="49">
        <f>'Avg Week SentemaRBT-Sentema'!I68+'Avg Week Sentema-SentemaRBT'!I68</f>
        <v>1</v>
      </c>
      <c r="J68" s="49">
        <f>'Avg Week SentemaRBT-Sentema'!J68+'Avg Week Sentema-SentemaRBT'!J68</f>
        <v>0.5</v>
      </c>
      <c r="K68" s="49">
        <f>'Avg Week SentemaRBT-Sentema'!K68+'Avg Week Sentema-SentemaRBT'!K68</f>
        <v>1</v>
      </c>
      <c r="L68" s="49">
        <f>'Avg Week SentemaRBT-Sentema'!L68+'Avg Week Sentema-SentemaRBT'!L68</f>
        <v>0</v>
      </c>
      <c r="M68" s="49">
        <f>'Avg Week SentemaRBT-Sentema'!M68+'Avg Week Sentema-SentemaRBT'!M68</f>
        <v>46.5</v>
      </c>
      <c r="N68" s="49">
        <f>'Avg Week SentemaRBT-Sentema'!N68+'Avg Week Sentema-SentemaRBT'!N68</f>
        <v>0</v>
      </c>
      <c r="O68" s="15">
        <f t="shared" si="0"/>
        <v>31.5</v>
      </c>
      <c r="P68" s="15">
        <f t="shared" si="1"/>
        <v>78</v>
      </c>
      <c r="R68" s="8"/>
      <c r="T68"/>
    </row>
    <row r="69" spans="2:20" ht="23.1" customHeight="1" x14ac:dyDescent="0.25">
      <c r="B69" s="23" t="s">
        <v>106</v>
      </c>
      <c r="C69" s="49">
        <f>'Avg Week SentemaRBT-Sentema'!C69+'Avg Week Sentema-SentemaRBT'!C69</f>
        <v>18</v>
      </c>
      <c r="D69" s="49">
        <f>'Avg Week SentemaRBT-Sentema'!D69+'Avg Week Sentema-SentemaRBT'!D69</f>
        <v>3</v>
      </c>
      <c r="E69" s="49">
        <f>'Avg Week SentemaRBT-Sentema'!E69+'Avg Week Sentema-SentemaRBT'!E69</f>
        <v>1</v>
      </c>
      <c r="F69" s="49">
        <f>'Avg Week SentemaRBT-Sentema'!F69+'Avg Week Sentema-SentemaRBT'!F69</f>
        <v>9</v>
      </c>
      <c r="G69" s="49">
        <f>'Avg Week SentemaRBT-Sentema'!G69+'Avg Week Sentema-SentemaRBT'!G69</f>
        <v>0.5</v>
      </c>
      <c r="H69" s="49">
        <f>'Avg Week SentemaRBT-Sentema'!H69+'Avg Week Sentema-SentemaRBT'!H69</f>
        <v>0</v>
      </c>
      <c r="I69" s="49">
        <f>'Avg Week SentemaRBT-Sentema'!I69+'Avg Week Sentema-SentemaRBT'!I69</f>
        <v>0</v>
      </c>
      <c r="J69" s="49">
        <f>'Avg Week SentemaRBT-Sentema'!J69+'Avg Week Sentema-SentemaRBT'!J69</f>
        <v>0.5</v>
      </c>
      <c r="K69" s="49">
        <f>'Avg Week SentemaRBT-Sentema'!K69+'Avg Week Sentema-SentemaRBT'!K69</f>
        <v>0</v>
      </c>
      <c r="L69" s="49">
        <f>'Avg Week SentemaRBT-Sentema'!L69+'Avg Week Sentema-SentemaRBT'!L69</f>
        <v>0.5</v>
      </c>
      <c r="M69" s="49">
        <f>'Avg Week SentemaRBT-Sentema'!M69+'Avg Week Sentema-SentemaRBT'!M69</f>
        <v>39</v>
      </c>
      <c r="N69" s="49">
        <f>'Avg Week SentemaRBT-Sentema'!N69+'Avg Week Sentema-SentemaRBT'!N69</f>
        <v>0</v>
      </c>
      <c r="O69" s="15">
        <f t="shared" si="0"/>
        <v>32.5</v>
      </c>
      <c r="P69" s="15">
        <f t="shared" si="1"/>
        <v>71.5</v>
      </c>
      <c r="R69" s="8"/>
      <c r="T69"/>
    </row>
    <row r="70" spans="2:20" ht="23.1" customHeight="1" x14ac:dyDescent="0.25">
      <c r="B70" s="23" t="s">
        <v>110</v>
      </c>
      <c r="C70" s="49">
        <f>'Avg Week SentemaRBT-Sentema'!C70+'Avg Week Sentema-SentemaRBT'!C70</f>
        <v>18</v>
      </c>
      <c r="D70" s="49">
        <f>'Avg Week SentemaRBT-Sentema'!D70+'Avg Week Sentema-SentemaRBT'!D70</f>
        <v>2</v>
      </c>
      <c r="E70" s="49">
        <f>'Avg Week SentemaRBT-Sentema'!E70+'Avg Week Sentema-SentemaRBT'!E70</f>
        <v>2.5</v>
      </c>
      <c r="F70" s="49">
        <f>'Avg Week SentemaRBT-Sentema'!F70+'Avg Week Sentema-SentemaRBT'!F70</f>
        <v>11</v>
      </c>
      <c r="G70" s="49">
        <f>'Avg Week SentemaRBT-Sentema'!G70+'Avg Week Sentema-SentemaRBT'!G70</f>
        <v>0</v>
      </c>
      <c r="H70" s="49">
        <f>'Avg Week SentemaRBT-Sentema'!H70+'Avg Week Sentema-SentemaRBT'!H70</f>
        <v>0</v>
      </c>
      <c r="I70" s="49">
        <f>'Avg Week SentemaRBT-Sentema'!I70+'Avg Week Sentema-SentemaRBT'!I70</f>
        <v>1</v>
      </c>
      <c r="J70" s="49">
        <f>'Avg Week SentemaRBT-Sentema'!J70+'Avg Week Sentema-SentemaRBT'!J70</f>
        <v>0</v>
      </c>
      <c r="K70" s="49">
        <f>'Avg Week SentemaRBT-Sentema'!K70+'Avg Week Sentema-SentemaRBT'!K70</f>
        <v>0.5</v>
      </c>
      <c r="L70" s="49">
        <f>'Avg Week SentemaRBT-Sentema'!L70+'Avg Week Sentema-SentemaRBT'!L70</f>
        <v>0</v>
      </c>
      <c r="M70" s="49">
        <f>'Avg Week SentemaRBT-Sentema'!M70+'Avg Week Sentema-SentemaRBT'!M70</f>
        <v>30.5</v>
      </c>
      <c r="N70" s="49">
        <f>'Avg Week SentemaRBT-Sentema'!N70+'Avg Week Sentema-SentemaRBT'!N70</f>
        <v>0</v>
      </c>
      <c r="O70" s="15">
        <f t="shared" si="0"/>
        <v>35</v>
      </c>
      <c r="P70" s="15">
        <f t="shared" si="1"/>
        <v>65.5</v>
      </c>
      <c r="R70" s="8"/>
      <c r="T70"/>
    </row>
    <row r="71" spans="2:20" ht="23.1" customHeight="1" x14ac:dyDescent="0.25">
      <c r="B71" s="23" t="s">
        <v>111</v>
      </c>
      <c r="C71" s="49">
        <f>'Avg Week SentemaRBT-Sentema'!C71+'Avg Week Sentema-SentemaRBT'!C71</f>
        <v>19</v>
      </c>
      <c r="D71" s="49">
        <f>'Avg Week SentemaRBT-Sentema'!D71+'Avg Week Sentema-SentemaRBT'!D71</f>
        <v>1.5</v>
      </c>
      <c r="E71" s="49">
        <f>'Avg Week SentemaRBT-Sentema'!E71+'Avg Week Sentema-SentemaRBT'!E71</f>
        <v>0.5</v>
      </c>
      <c r="F71" s="49">
        <f>'Avg Week SentemaRBT-Sentema'!F71+'Avg Week Sentema-SentemaRBT'!F71</f>
        <v>6</v>
      </c>
      <c r="G71" s="49">
        <f>'Avg Week SentemaRBT-Sentema'!G71+'Avg Week Sentema-SentemaRBT'!G71</f>
        <v>0.5</v>
      </c>
      <c r="H71" s="49">
        <f>'Avg Week SentemaRBT-Sentema'!H71+'Avg Week Sentema-SentemaRBT'!H71</f>
        <v>0</v>
      </c>
      <c r="I71" s="49">
        <f>'Avg Week SentemaRBT-Sentema'!I71+'Avg Week Sentema-SentemaRBT'!I71</f>
        <v>1</v>
      </c>
      <c r="J71" s="49">
        <f>'Avg Week SentemaRBT-Sentema'!J71+'Avg Week Sentema-SentemaRBT'!J71</f>
        <v>0.5</v>
      </c>
      <c r="K71" s="49">
        <f>'Avg Week SentemaRBT-Sentema'!K71+'Avg Week Sentema-SentemaRBT'!K71</f>
        <v>0</v>
      </c>
      <c r="L71" s="49">
        <f>'Avg Week SentemaRBT-Sentema'!L71+'Avg Week Sentema-SentemaRBT'!L71</f>
        <v>0</v>
      </c>
      <c r="M71" s="49">
        <f>'Avg Week SentemaRBT-Sentema'!M71+'Avg Week Sentema-SentemaRBT'!M71</f>
        <v>33</v>
      </c>
      <c r="N71" s="49">
        <f>'Avg Week SentemaRBT-Sentema'!N71+'Avg Week Sentema-SentemaRBT'!N71</f>
        <v>0</v>
      </c>
      <c r="O71" s="15">
        <f t="shared" si="0"/>
        <v>29</v>
      </c>
      <c r="P71" s="15">
        <f t="shared" si="1"/>
        <v>62</v>
      </c>
      <c r="R71" s="8"/>
      <c r="T71"/>
    </row>
    <row r="72" spans="2:20" ht="23.1" customHeight="1" x14ac:dyDescent="0.25">
      <c r="B72" s="23" t="s">
        <v>112</v>
      </c>
      <c r="C72" s="49">
        <f>'Avg Week SentemaRBT-Sentema'!C72+'Avg Week Sentema-SentemaRBT'!C72</f>
        <v>16</v>
      </c>
      <c r="D72" s="49">
        <f>'Avg Week SentemaRBT-Sentema'!D72+'Avg Week Sentema-SentemaRBT'!D72</f>
        <v>1</v>
      </c>
      <c r="E72" s="49">
        <f>'Avg Week SentemaRBT-Sentema'!E72+'Avg Week Sentema-SentemaRBT'!E72</f>
        <v>0.5</v>
      </c>
      <c r="F72" s="49">
        <f>'Avg Week SentemaRBT-Sentema'!F72+'Avg Week Sentema-SentemaRBT'!F72</f>
        <v>10</v>
      </c>
      <c r="G72" s="49">
        <f>'Avg Week SentemaRBT-Sentema'!G72+'Avg Week Sentema-SentemaRBT'!G72</f>
        <v>0</v>
      </c>
      <c r="H72" s="49">
        <f>'Avg Week SentemaRBT-Sentema'!H72+'Avg Week Sentema-SentemaRBT'!H72</f>
        <v>0</v>
      </c>
      <c r="I72" s="49">
        <f>'Avg Week SentemaRBT-Sentema'!I72+'Avg Week Sentema-SentemaRBT'!I72</f>
        <v>0.5</v>
      </c>
      <c r="J72" s="49">
        <f>'Avg Week SentemaRBT-Sentema'!J72+'Avg Week Sentema-SentemaRBT'!J72</f>
        <v>0</v>
      </c>
      <c r="K72" s="49">
        <f>'Avg Week SentemaRBT-Sentema'!K72+'Avg Week Sentema-SentemaRBT'!K72</f>
        <v>0</v>
      </c>
      <c r="L72" s="49">
        <f>'Avg Week SentemaRBT-Sentema'!L72+'Avg Week Sentema-SentemaRBT'!L72</f>
        <v>0</v>
      </c>
      <c r="M72" s="49">
        <f>'Avg Week SentemaRBT-Sentema'!M72+'Avg Week Sentema-SentemaRBT'!M72</f>
        <v>26</v>
      </c>
      <c r="N72" s="49">
        <f>'Avg Week SentemaRBT-Sentema'!N72+'Avg Week Sentema-SentemaRBT'!N72</f>
        <v>0</v>
      </c>
      <c r="O72" s="15">
        <f t="shared" si="0"/>
        <v>28</v>
      </c>
      <c r="P72" s="15">
        <f t="shared" si="1"/>
        <v>54</v>
      </c>
      <c r="R72" s="8"/>
      <c r="T72"/>
    </row>
    <row r="73" spans="2:20" ht="23.1" customHeight="1" x14ac:dyDescent="0.25">
      <c r="B73" s="23" t="s">
        <v>113</v>
      </c>
      <c r="C73" s="49">
        <f>'Avg Week SentemaRBT-Sentema'!C73+'Avg Week Sentema-SentemaRBT'!C73</f>
        <v>9</v>
      </c>
      <c r="D73" s="49">
        <f>'Avg Week SentemaRBT-Sentema'!D73+'Avg Week Sentema-SentemaRBT'!D73</f>
        <v>2.5</v>
      </c>
      <c r="E73" s="49">
        <f>'Avg Week SentemaRBT-Sentema'!E73+'Avg Week Sentema-SentemaRBT'!E73</f>
        <v>0</v>
      </c>
      <c r="F73" s="49">
        <f>'Avg Week SentemaRBT-Sentema'!F73+'Avg Week Sentema-SentemaRBT'!F73</f>
        <v>2.5</v>
      </c>
      <c r="G73" s="49">
        <f>'Avg Week SentemaRBT-Sentema'!G73+'Avg Week Sentema-SentemaRBT'!G73</f>
        <v>0</v>
      </c>
      <c r="H73" s="49">
        <f>'Avg Week SentemaRBT-Sentema'!H73+'Avg Week Sentema-SentemaRBT'!H73</f>
        <v>0</v>
      </c>
      <c r="I73" s="49">
        <f>'Avg Week SentemaRBT-Sentema'!I73+'Avg Week Sentema-SentemaRBT'!I73</f>
        <v>1.5</v>
      </c>
      <c r="J73" s="49">
        <f>'Avg Week SentemaRBT-Sentema'!J73+'Avg Week Sentema-SentemaRBT'!J73</f>
        <v>1</v>
      </c>
      <c r="K73" s="49">
        <f>'Avg Week SentemaRBT-Sentema'!K73+'Avg Week Sentema-SentemaRBT'!K73</f>
        <v>0</v>
      </c>
      <c r="L73" s="49">
        <f>'Avg Week SentemaRBT-Sentema'!L73+'Avg Week Sentema-SentemaRBT'!L73</f>
        <v>0</v>
      </c>
      <c r="M73" s="49">
        <f>'Avg Week SentemaRBT-Sentema'!M73+'Avg Week Sentema-SentemaRBT'!M73</f>
        <v>18.5</v>
      </c>
      <c r="N73" s="49">
        <f>'Avg Week SentemaRBT-Sentema'!N73+'Avg Week Sentema-SentemaRBT'!N73</f>
        <v>0</v>
      </c>
      <c r="O73" s="15">
        <f t="shared" si="0"/>
        <v>16.5</v>
      </c>
      <c r="P73" s="15">
        <f t="shared" si="1"/>
        <v>35</v>
      </c>
      <c r="R73" s="8"/>
      <c r="T73"/>
    </row>
    <row r="74" spans="2:20" ht="23.1" customHeight="1" x14ac:dyDescent="0.25">
      <c r="B74" s="23" t="s">
        <v>114</v>
      </c>
      <c r="C74" s="49">
        <f>'Avg Week SentemaRBT-Sentema'!C74+'Avg Week Sentema-SentemaRBT'!C74</f>
        <v>16.5</v>
      </c>
      <c r="D74" s="49">
        <f>'Avg Week SentemaRBT-Sentema'!D74+'Avg Week Sentema-SentemaRBT'!D74</f>
        <v>1.5</v>
      </c>
      <c r="E74" s="49">
        <f>'Avg Week SentemaRBT-Sentema'!E74+'Avg Week Sentema-SentemaRBT'!E74</f>
        <v>2</v>
      </c>
      <c r="F74" s="49">
        <f>'Avg Week SentemaRBT-Sentema'!F74+'Avg Week Sentema-SentemaRBT'!F74</f>
        <v>11</v>
      </c>
      <c r="G74" s="49">
        <f>'Avg Week SentemaRBT-Sentema'!G74+'Avg Week Sentema-SentemaRBT'!G74</f>
        <v>0.5</v>
      </c>
      <c r="H74" s="49">
        <f>'Avg Week SentemaRBT-Sentema'!H74+'Avg Week Sentema-SentemaRBT'!H74</f>
        <v>0</v>
      </c>
      <c r="I74" s="49">
        <f>'Avg Week SentemaRBT-Sentema'!I74+'Avg Week Sentema-SentemaRBT'!I74</f>
        <v>1</v>
      </c>
      <c r="J74" s="49">
        <f>'Avg Week SentemaRBT-Sentema'!J74+'Avg Week Sentema-SentemaRBT'!J74</f>
        <v>0</v>
      </c>
      <c r="K74" s="49">
        <f>'Avg Week SentemaRBT-Sentema'!K74+'Avg Week Sentema-SentemaRBT'!K74</f>
        <v>0</v>
      </c>
      <c r="L74" s="49">
        <f>'Avg Week SentemaRBT-Sentema'!L74+'Avg Week Sentema-SentemaRBT'!L74</f>
        <v>0</v>
      </c>
      <c r="M74" s="49">
        <f>'Avg Week SentemaRBT-Sentema'!M74+'Avg Week Sentema-SentemaRBT'!M74</f>
        <v>25</v>
      </c>
      <c r="N74" s="49">
        <f>'Avg Week SentemaRBT-Sentema'!N74+'Avg Week Sentema-SentemaRBT'!N74</f>
        <v>0</v>
      </c>
      <c r="O74" s="15">
        <f t="shared" ref="O74:O105" si="35">SUM(C74:L74,N74)</f>
        <v>32.5</v>
      </c>
      <c r="P74" s="15">
        <f t="shared" ref="P74:P105" si="36">SUM(C74:N74)</f>
        <v>57.5</v>
      </c>
      <c r="R74" s="8"/>
      <c r="T74"/>
    </row>
    <row r="75" spans="2:20" ht="23.1" customHeight="1" x14ac:dyDescent="0.25">
      <c r="B75" s="23" t="s">
        <v>115</v>
      </c>
      <c r="C75" s="49">
        <f>'Avg Week SentemaRBT-Sentema'!C75+'Avg Week Sentema-SentemaRBT'!C75</f>
        <v>16.5</v>
      </c>
      <c r="D75" s="49">
        <f>'Avg Week SentemaRBT-Sentema'!D75+'Avg Week Sentema-SentemaRBT'!D75</f>
        <v>3</v>
      </c>
      <c r="E75" s="49">
        <f>'Avg Week SentemaRBT-Sentema'!E75+'Avg Week Sentema-SentemaRBT'!E75</f>
        <v>0</v>
      </c>
      <c r="F75" s="49">
        <f>'Avg Week SentemaRBT-Sentema'!F75+'Avg Week Sentema-SentemaRBT'!F75</f>
        <v>5.5</v>
      </c>
      <c r="G75" s="49">
        <f>'Avg Week SentemaRBT-Sentema'!G75+'Avg Week Sentema-SentemaRBT'!G75</f>
        <v>0</v>
      </c>
      <c r="H75" s="49">
        <f>'Avg Week SentemaRBT-Sentema'!H75+'Avg Week Sentema-SentemaRBT'!H75</f>
        <v>0</v>
      </c>
      <c r="I75" s="49">
        <f>'Avg Week SentemaRBT-Sentema'!I75+'Avg Week Sentema-SentemaRBT'!I75</f>
        <v>0</v>
      </c>
      <c r="J75" s="49">
        <f>'Avg Week SentemaRBT-Sentema'!J75+'Avg Week Sentema-SentemaRBT'!J75</f>
        <v>0</v>
      </c>
      <c r="K75" s="49">
        <f>'Avg Week SentemaRBT-Sentema'!K75+'Avg Week Sentema-SentemaRBT'!K75</f>
        <v>0</v>
      </c>
      <c r="L75" s="49">
        <f>'Avg Week SentemaRBT-Sentema'!L75+'Avg Week Sentema-SentemaRBT'!L75</f>
        <v>1</v>
      </c>
      <c r="M75" s="49">
        <f>'Avg Week SentemaRBT-Sentema'!M75+'Avg Week Sentema-SentemaRBT'!M75</f>
        <v>31</v>
      </c>
      <c r="N75" s="49">
        <f>'Avg Week SentemaRBT-Sentema'!N75+'Avg Week Sentema-SentemaRBT'!N75</f>
        <v>0</v>
      </c>
      <c r="O75" s="15">
        <f t="shared" si="35"/>
        <v>26</v>
      </c>
      <c r="P75" s="15">
        <f t="shared" si="36"/>
        <v>57</v>
      </c>
      <c r="R75" s="8"/>
      <c r="T75"/>
    </row>
    <row r="76" spans="2:20" ht="23.1" customHeight="1" x14ac:dyDescent="0.25">
      <c r="B76" s="23" t="s">
        <v>116</v>
      </c>
      <c r="C76" s="49">
        <f>'Avg Week SentemaRBT-Sentema'!C76+'Avg Week Sentema-SentemaRBT'!C76</f>
        <v>7</v>
      </c>
      <c r="D76" s="49">
        <f>'Avg Week SentemaRBT-Sentema'!D76+'Avg Week Sentema-SentemaRBT'!D76</f>
        <v>0</v>
      </c>
      <c r="E76" s="49">
        <f>'Avg Week SentemaRBT-Sentema'!E76+'Avg Week Sentema-SentemaRBT'!E76</f>
        <v>3.5</v>
      </c>
      <c r="F76" s="49">
        <f>'Avg Week SentemaRBT-Sentema'!F76+'Avg Week Sentema-SentemaRBT'!F76</f>
        <v>3.5</v>
      </c>
      <c r="G76" s="49">
        <f>'Avg Week SentemaRBT-Sentema'!G76+'Avg Week Sentema-SentemaRBT'!G76</f>
        <v>0</v>
      </c>
      <c r="H76" s="49">
        <f>'Avg Week SentemaRBT-Sentema'!H76+'Avg Week Sentema-SentemaRBT'!H76</f>
        <v>0</v>
      </c>
      <c r="I76" s="49">
        <f>'Avg Week SentemaRBT-Sentema'!I76+'Avg Week Sentema-SentemaRBT'!I76</f>
        <v>0.5</v>
      </c>
      <c r="J76" s="49">
        <f>'Avg Week SentemaRBT-Sentema'!J76+'Avg Week Sentema-SentemaRBT'!J76</f>
        <v>0.5</v>
      </c>
      <c r="K76" s="49">
        <f>'Avg Week SentemaRBT-Sentema'!K76+'Avg Week Sentema-SentemaRBT'!K76</f>
        <v>0</v>
      </c>
      <c r="L76" s="49">
        <f>'Avg Week SentemaRBT-Sentema'!L76+'Avg Week Sentema-SentemaRBT'!L76</f>
        <v>0</v>
      </c>
      <c r="M76" s="49">
        <f>'Avg Week SentemaRBT-Sentema'!M76+'Avg Week Sentema-SentemaRBT'!M76</f>
        <v>12</v>
      </c>
      <c r="N76" s="49">
        <f>'Avg Week SentemaRBT-Sentema'!N76+'Avg Week Sentema-SentemaRBT'!N76</f>
        <v>0</v>
      </c>
      <c r="O76" s="15">
        <f t="shared" si="35"/>
        <v>15</v>
      </c>
      <c r="P76" s="15">
        <f t="shared" si="36"/>
        <v>27</v>
      </c>
      <c r="R76" s="8"/>
      <c r="T76"/>
    </row>
    <row r="77" spans="2:20" ht="23.1" customHeight="1" x14ac:dyDescent="0.25">
      <c r="B77" s="23" t="s">
        <v>117</v>
      </c>
      <c r="C77" s="49">
        <f>'Avg Week SentemaRBT-Sentema'!C77+'Avg Week Sentema-SentemaRBT'!C77</f>
        <v>8.5</v>
      </c>
      <c r="D77" s="49">
        <f>'Avg Week SentemaRBT-Sentema'!D77+'Avg Week Sentema-SentemaRBT'!D77</f>
        <v>1</v>
      </c>
      <c r="E77" s="49">
        <f>'Avg Week SentemaRBT-Sentema'!E77+'Avg Week Sentema-SentemaRBT'!E77</f>
        <v>0.5</v>
      </c>
      <c r="F77" s="49">
        <f>'Avg Week SentemaRBT-Sentema'!F77+'Avg Week Sentema-SentemaRBT'!F77</f>
        <v>5</v>
      </c>
      <c r="G77" s="49">
        <f>'Avg Week SentemaRBT-Sentema'!G77+'Avg Week Sentema-SentemaRBT'!G77</f>
        <v>0</v>
      </c>
      <c r="H77" s="49">
        <f>'Avg Week SentemaRBT-Sentema'!H77+'Avg Week Sentema-SentemaRBT'!H77</f>
        <v>0</v>
      </c>
      <c r="I77" s="49">
        <f>'Avg Week SentemaRBT-Sentema'!I77+'Avg Week Sentema-SentemaRBT'!I77</f>
        <v>1.5</v>
      </c>
      <c r="J77" s="49">
        <f>'Avg Week SentemaRBT-Sentema'!J77+'Avg Week Sentema-SentemaRBT'!J77</f>
        <v>1</v>
      </c>
      <c r="K77" s="49">
        <f>'Avg Week SentemaRBT-Sentema'!K77+'Avg Week Sentema-SentemaRBT'!K77</f>
        <v>0.5</v>
      </c>
      <c r="L77" s="49">
        <f>'Avg Week SentemaRBT-Sentema'!L77+'Avg Week Sentema-SentemaRBT'!L77</f>
        <v>0</v>
      </c>
      <c r="M77" s="49">
        <f>'Avg Week SentemaRBT-Sentema'!M77+'Avg Week Sentema-SentemaRBT'!M77</f>
        <v>19</v>
      </c>
      <c r="N77" s="49">
        <f>'Avg Week SentemaRBT-Sentema'!N77+'Avg Week Sentema-SentemaRBT'!N77</f>
        <v>0</v>
      </c>
      <c r="O77" s="15">
        <f t="shared" si="35"/>
        <v>18</v>
      </c>
      <c r="P77" s="15">
        <f t="shared" si="36"/>
        <v>37</v>
      </c>
      <c r="R77" s="8"/>
      <c r="T77"/>
    </row>
    <row r="78" spans="2:20" ht="23.1" customHeight="1" x14ac:dyDescent="0.25">
      <c r="B78" s="24" t="s">
        <v>118</v>
      </c>
      <c r="C78" s="49">
        <f>'Avg Week SentemaRBT-Sentema'!C78+'Avg Week Sentema-SentemaRBT'!C78</f>
        <v>5.5</v>
      </c>
      <c r="D78" s="49">
        <f>'Avg Week SentemaRBT-Sentema'!D78+'Avg Week Sentema-SentemaRBT'!D78</f>
        <v>1</v>
      </c>
      <c r="E78" s="49">
        <f>'Avg Week SentemaRBT-Sentema'!E78+'Avg Week Sentema-SentemaRBT'!E78</f>
        <v>2</v>
      </c>
      <c r="F78" s="49">
        <f>'Avg Week SentemaRBT-Sentema'!F78+'Avg Week Sentema-SentemaRBT'!F78</f>
        <v>2</v>
      </c>
      <c r="G78" s="49">
        <f>'Avg Week SentemaRBT-Sentema'!G78+'Avg Week Sentema-SentemaRBT'!G78</f>
        <v>0</v>
      </c>
      <c r="H78" s="49">
        <f>'Avg Week SentemaRBT-Sentema'!H78+'Avg Week Sentema-SentemaRBT'!H78</f>
        <v>0</v>
      </c>
      <c r="I78" s="49">
        <f>'Avg Week SentemaRBT-Sentema'!I78+'Avg Week Sentema-SentemaRBT'!I78</f>
        <v>2</v>
      </c>
      <c r="J78" s="49">
        <f>'Avg Week SentemaRBT-Sentema'!J78+'Avg Week Sentema-SentemaRBT'!J78</f>
        <v>0</v>
      </c>
      <c r="K78" s="49">
        <f>'Avg Week SentemaRBT-Sentema'!K78+'Avg Week Sentema-SentemaRBT'!K78</f>
        <v>0</v>
      </c>
      <c r="L78" s="49">
        <f>'Avg Week SentemaRBT-Sentema'!L78+'Avg Week Sentema-SentemaRBT'!L78</f>
        <v>0</v>
      </c>
      <c r="M78" s="49">
        <f>'Avg Week SentemaRBT-Sentema'!M78+'Avg Week Sentema-SentemaRBT'!M78</f>
        <v>15.5</v>
      </c>
      <c r="N78" s="49">
        <f>'Avg Week SentemaRBT-Sentema'!N78+'Avg Week Sentema-SentemaRBT'!N78</f>
        <v>0</v>
      </c>
      <c r="O78" s="15">
        <f t="shared" si="35"/>
        <v>12.5</v>
      </c>
      <c r="P78" s="15">
        <f t="shared" si="36"/>
        <v>28</v>
      </c>
      <c r="R78" s="8"/>
      <c r="T78"/>
    </row>
    <row r="79" spans="2:20" ht="23.1" customHeight="1" x14ac:dyDescent="0.25">
      <c r="B79" s="23" t="s">
        <v>119</v>
      </c>
      <c r="C79" s="49">
        <f>'Avg Week SentemaRBT-Sentema'!C79+'Avg Week Sentema-SentemaRBT'!C79</f>
        <v>7.5</v>
      </c>
      <c r="D79" s="49">
        <f>'Avg Week SentemaRBT-Sentema'!D79+'Avg Week Sentema-SentemaRBT'!D79</f>
        <v>1.5</v>
      </c>
      <c r="E79" s="49">
        <f>'Avg Week SentemaRBT-Sentema'!E79+'Avg Week Sentema-SentemaRBT'!E79</f>
        <v>0</v>
      </c>
      <c r="F79" s="49">
        <f>'Avg Week SentemaRBT-Sentema'!F79+'Avg Week Sentema-SentemaRBT'!F79</f>
        <v>0</v>
      </c>
      <c r="G79" s="49">
        <f>'Avg Week SentemaRBT-Sentema'!G79+'Avg Week Sentema-SentemaRBT'!G79</f>
        <v>0</v>
      </c>
      <c r="H79" s="49">
        <f>'Avg Week SentemaRBT-Sentema'!H79+'Avg Week Sentema-SentemaRBT'!H79</f>
        <v>1.5</v>
      </c>
      <c r="I79" s="49">
        <f>'Avg Week SentemaRBT-Sentema'!I79+'Avg Week Sentema-SentemaRBT'!I79</f>
        <v>0.5</v>
      </c>
      <c r="J79" s="49">
        <f>'Avg Week SentemaRBT-Sentema'!J79+'Avg Week Sentema-SentemaRBT'!J79</f>
        <v>1.5</v>
      </c>
      <c r="K79" s="49">
        <f>'Avg Week SentemaRBT-Sentema'!K79+'Avg Week Sentema-SentemaRBT'!K79</f>
        <v>0</v>
      </c>
      <c r="L79" s="49">
        <f>'Avg Week SentemaRBT-Sentema'!L79+'Avg Week Sentema-SentemaRBT'!L79</f>
        <v>0.5</v>
      </c>
      <c r="M79" s="49">
        <f>'Avg Week SentemaRBT-Sentema'!M79+'Avg Week Sentema-SentemaRBT'!M79</f>
        <v>12</v>
      </c>
      <c r="N79" s="49">
        <f>'Avg Week SentemaRBT-Sentema'!N79+'Avg Week Sentema-SentemaRBT'!N79</f>
        <v>0</v>
      </c>
      <c r="O79" s="15">
        <f t="shared" si="35"/>
        <v>13</v>
      </c>
      <c r="P79" s="15">
        <f t="shared" si="36"/>
        <v>25</v>
      </c>
      <c r="R79" s="8"/>
      <c r="T79"/>
    </row>
    <row r="80" spans="2:20" ht="23.1" customHeight="1" x14ac:dyDescent="0.25">
      <c r="B80" s="25" t="s">
        <v>120</v>
      </c>
      <c r="C80" s="49">
        <f>'Avg Week SentemaRBT-Sentema'!C80+'Avg Week Sentema-SentemaRBT'!C80</f>
        <v>1.5</v>
      </c>
      <c r="D80" s="49">
        <f>'Avg Week SentemaRBT-Sentema'!D80+'Avg Week Sentema-SentemaRBT'!D80</f>
        <v>0</v>
      </c>
      <c r="E80" s="49">
        <f>'Avg Week SentemaRBT-Sentema'!E80+'Avg Week Sentema-SentemaRBT'!E80</f>
        <v>0</v>
      </c>
      <c r="F80" s="49">
        <f>'Avg Week SentemaRBT-Sentema'!F80+'Avg Week Sentema-SentemaRBT'!F80</f>
        <v>1</v>
      </c>
      <c r="G80" s="49">
        <f>'Avg Week SentemaRBT-Sentema'!G80+'Avg Week Sentema-SentemaRBT'!G80</f>
        <v>0.5</v>
      </c>
      <c r="H80" s="49">
        <f>'Avg Week SentemaRBT-Sentema'!H80+'Avg Week Sentema-SentemaRBT'!H80</f>
        <v>0</v>
      </c>
      <c r="I80" s="49">
        <f>'Avg Week SentemaRBT-Sentema'!I80+'Avg Week Sentema-SentemaRBT'!I80</f>
        <v>0</v>
      </c>
      <c r="J80" s="49">
        <f>'Avg Week SentemaRBT-Sentema'!J80+'Avg Week Sentema-SentemaRBT'!J80</f>
        <v>0</v>
      </c>
      <c r="K80" s="49">
        <f>'Avg Week SentemaRBT-Sentema'!K80+'Avg Week Sentema-SentemaRBT'!K80</f>
        <v>0</v>
      </c>
      <c r="L80" s="49">
        <f>'Avg Week SentemaRBT-Sentema'!L80+'Avg Week Sentema-SentemaRBT'!L80</f>
        <v>0</v>
      </c>
      <c r="M80" s="49">
        <f>'Avg Week SentemaRBT-Sentema'!M80+'Avg Week Sentema-SentemaRBT'!M80</f>
        <v>3</v>
      </c>
      <c r="N80" s="49">
        <f>'Avg Week SentemaRBT-Sentema'!N80+'Avg Week Sentema-SentemaRBT'!N80</f>
        <v>0</v>
      </c>
      <c r="O80" s="15">
        <f t="shared" si="35"/>
        <v>3</v>
      </c>
      <c r="P80" s="15">
        <f t="shared" si="36"/>
        <v>6</v>
      </c>
      <c r="R80" s="8"/>
      <c r="T80"/>
    </row>
    <row r="81" spans="2:20" ht="23.1" customHeight="1" x14ac:dyDescent="0.25">
      <c r="B81" s="23" t="s">
        <v>121</v>
      </c>
      <c r="C81" s="49">
        <f>'Avg Week SentemaRBT-Sentema'!C81+'Avg Week Sentema-SentemaRBT'!C81</f>
        <v>3</v>
      </c>
      <c r="D81" s="49">
        <f>'Avg Week SentemaRBT-Sentema'!D81+'Avg Week Sentema-SentemaRBT'!D81</f>
        <v>0</v>
      </c>
      <c r="E81" s="49">
        <f>'Avg Week SentemaRBT-Sentema'!E81+'Avg Week Sentema-SentemaRBT'!E81</f>
        <v>0</v>
      </c>
      <c r="F81" s="49">
        <f>'Avg Week SentemaRBT-Sentema'!F81+'Avg Week Sentema-SentemaRBT'!F81</f>
        <v>0</v>
      </c>
      <c r="G81" s="49">
        <f>'Avg Week SentemaRBT-Sentema'!G81+'Avg Week Sentema-SentemaRBT'!G81</f>
        <v>0</v>
      </c>
      <c r="H81" s="49">
        <f>'Avg Week SentemaRBT-Sentema'!H81+'Avg Week Sentema-SentemaRBT'!H81</f>
        <v>0</v>
      </c>
      <c r="I81" s="49">
        <f>'Avg Week SentemaRBT-Sentema'!I81+'Avg Week Sentema-SentemaRBT'!I81</f>
        <v>0.5</v>
      </c>
      <c r="J81" s="49">
        <f>'Avg Week SentemaRBT-Sentema'!J81+'Avg Week Sentema-SentemaRBT'!J81</f>
        <v>0.5</v>
      </c>
      <c r="K81" s="49">
        <f>'Avg Week SentemaRBT-Sentema'!K81+'Avg Week Sentema-SentemaRBT'!K81</f>
        <v>0.5</v>
      </c>
      <c r="L81" s="49">
        <f>'Avg Week SentemaRBT-Sentema'!L81+'Avg Week Sentema-SentemaRBT'!L81</f>
        <v>0.5</v>
      </c>
      <c r="M81" s="49">
        <f>'Avg Week SentemaRBT-Sentema'!M81+'Avg Week Sentema-SentemaRBT'!M81</f>
        <v>4</v>
      </c>
      <c r="N81" s="49">
        <f>'Avg Week SentemaRBT-Sentema'!N81+'Avg Week Sentema-SentemaRBT'!N81</f>
        <v>0</v>
      </c>
      <c r="O81" s="15">
        <f t="shared" si="35"/>
        <v>5</v>
      </c>
      <c r="P81" s="15">
        <f t="shared" si="36"/>
        <v>9</v>
      </c>
      <c r="R81" s="8"/>
      <c r="T81"/>
    </row>
    <row r="82" spans="2:20" ht="23.1" customHeight="1" x14ac:dyDescent="0.25">
      <c r="B82" s="24" t="s">
        <v>122</v>
      </c>
      <c r="C82" s="49">
        <f>'Avg Week SentemaRBT-Sentema'!C82+'Avg Week Sentema-SentemaRBT'!C82</f>
        <v>2</v>
      </c>
      <c r="D82" s="49">
        <f>'Avg Week SentemaRBT-Sentema'!D82+'Avg Week Sentema-SentemaRBT'!D82</f>
        <v>0</v>
      </c>
      <c r="E82" s="49">
        <f>'Avg Week SentemaRBT-Sentema'!E82+'Avg Week Sentema-SentemaRBT'!E82</f>
        <v>0</v>
      </c>
      <c r="F82" s="49">
        <f>'Avg Week SentemaRBT-Sentema'!F82+'Avg Week Sentema-SentemaRBT'!F82</f>
        <v>0</v>
      </c>
      <c r="G82" s="49">
        <f>'Avg Week SentemaRBT-Sentema'!G82+'Avg Week Sentema-SentemaRBT'!G82</f>
        <v>0</v>
      </c>
      <c r="H82" s="49">
        <f>'Avg Week SentemaRBT-Sentema'!H82+'Avg Week Sentema-SentemaRBT'!H82</f>
        <v>0</v>
      </c>
      <c r="I82" s="49">
        <f>'Avg Week SentemaRBT-Sentema'!I82+'Avg Week Sentema-SentemaRBT'!I82</f>
        <v>0</v>
      </c>
      <c r="J82" s="49">
        <f>'Avg Week SentemaRBT-Sentema'!J82+'Avg Week Sentema-SentemaRBT'!J82</f>
        <v>0</v>
      </c>
      <c r="K82" s="49">
        <f>'Avg Week SentemaRBT-Sentema'!K82+'Avg Week Sentema-SentemaRBT'!K82</f>
        <v>0</v>
      </c>
      <c r="L82" s="49">
        <f>'Avg Week SentemaRBT-Sentema'!L82+'Avg Week Sentema-SentemaRBT'!L82</f>
        <v>0</v>
      </c>
      <c r="M82" s="49">
        <f>'Avg Week SentemaRBT-Sentema'!M82+'Avg Week Sentema-SentemaRBT'!M82</f>
        <v>6.5</v>
      </c>
      <c r="N82" s="49">
        <f>'Avg Week SentemaRBT-Sentema'!N82+'Avg Week Sentema-SentemaRBT'!N82</f>
        <v>0</v>
      </c>
      <c r="O82" s="15">
        <f t="shared" si="35"/>
        <v>2</v>
      </c>
      <c r="P82" s="15">
        <f t="shared" si="36"/>
        <v>8.5</v>
      </c>
      <c r="R82" s="8"/>
      <c r="T82"/>
    </row>
    <row r="83" spans="2:20" ht="23.1" customHeight="1" x14ac:dyDescent="0.25">
      <c r="B83" s="23" t="s">
        <v>123</v>
      </c>
      <c r="C83" s="49">
        <f>'Avg Week SentemaRBT-Sentema'!C83+'Avg Week Sentema-SentemaRBT'!C83</f>
        <v>1</v>
      </c>
      <c r="D83" s="49">
        <f>'Avg Week SentemaRBT-Sentema'!D83+'Avg Week Sentema-SentemaRBT'!D83</f>
        <v>0.5</v>
      </c>
      <c r="E83" s="49">
        <f>'Avg Week SentemaRBT-Sentema'!E83+'Avg Week Sentema-SentemaRBT'!E83</f>
        <v>0</v>
      </c>
      <c r="F83" s="49">
        <f>'Avg Week SentemaRBT-Sentema'!F83+'Avg Week Sentema-SentemaRBT'!F83</f>
        <v>0</v>
      </c>
      <c r="G83" s="49">
        <f>'Avg Week SentemaRBT-Sentema'!G83+'Avg Week Sentema-SentemaRBT'!G83</f>
        <v>0</v>
      </c>
      <c r="H83" s="49">
        <f>'Avg Week SentemaRBT-Sentema'!H83+'Avg Week Sentema-SentemaRBT'!H83</f>
        <v>0</v>
      </c>
      <c r="I83" s="49">
        <f>'Avg Week SentemaRBT-Sentema'!I83+'Avg Week Sentema-SentemaRBT'!I83</f>
        <v>0</v>
      </c>
      <c r="J83" s="49">
        <f>'Avg Week SentemaRBT-Sentema'!J83+'Avg Week Sentema-SentemaRBT'!J83</f>
        <v>0</v>
      </c>
      <c r="K83" s="49">
        <f>'Avg Week SentemaRBT-Sentema'!K83+'Avg Week Sentema-SentemaRBT'!K83</f>
        <v>0</v>
      </c>
      <c r="L83" s="49">
        <f>'Avg Week SentemaRBT-Sentema'!L83+'Avg Week Sentema-SentemaRBT'!L83</f>
        <v>0</v>
      </c>
      <c r="M83" s="49">
        <f>'Avg Week SentemaRBT-Sentema'!M83+'Avg Week Sentema-SentemaRBT'!M83</f>
        <v>3</v>
      </c>
      <c r="N83" s="49">
        <f>'Avg Week SentemaRBT-Sentema'!N83+'Avg Week Sentema-SentemaRBT'!N83</f>
        <v>0</v>
      </c>
      <c r="O83" s="15">
        <f t="shared" si="35"/>
        <v>1.5</v>
      </c>
      <c r="P83" s="15">
        <f t="shared" si="36"/>
        <v>4.5</v>
      </c>
      <c r="R83" s="8"/>
      <c r="T83"/>
    </row>
    <row r="84" spans="2:20" ht="23.1" customHeight="1" x14ac:dyDescent="0.25">
      <c r="B84" s="25" t="s">
        <v>124</v>
      </c>
      <c r="C84" s="49">
        <f>'Avg Week SentemaRBT-Sentema'!C84+'Avg Week Sentema-SentemaRBT'!C84</f>
        <v>2.5</v>
      </c>
      <c r="D84" s="49">
        <f>'Avg Week SentemaRBT-Sentema'!D84+'Avg Week Sentema-SentemaRBT'!D84</f>
        <v>0</v>
      </c>
      <c r="E84" s="49">
        <f>'Avg Week SentemaRBT-Sentema'!E84+'Avg Week Sentema-SentemaRBT'!E84</f>
        <v>0</v>
      </c>
      <c r="F84" s="49">
        <f>'Avg Week SentemaRBT-Sentema'!F84+'Avg Week Sentema-SentemaRBT'!F84</f>
        <v>0</v>
      </c>
      <c r="G84" s="49">
        <f>'Avg Week SentemaRBT-Sentema'!G84+'Avg Week Sentema-SentemaRBT'!G84</f>
        <v>0</v>
      </c>
      <c r="H84" s="49">
        <f>'Avg Week SentemaRBT-Sentema'!H84+'Avg Week Sentema-SentemaRBT'!H84</f>
        <v>0</v>
      </c>
      <c r="I84" s="49">
        <f>'Avg Week SentemaRBT-Sentema'!I84+'Avg Week Sentema-SentemaRBT'!I84</f>
        <v>0</v>
      </c>
      <c r="J84" s="49">
        <f>'Avg Week SentemaRBT-Sentema'!J84+'Avg Week Sentema-SentemaRBT'!J84</f>
        <v>0</v>
      </c>
      <c r="K84" s="49">
        <f>'Avg Week SentemaRBT-Sentema'!K84+'Avg Week Sentema-SentemaRBT'!K84</f>
        <v>0.5</v>
      </c>
      <c r="L84" s="49">
        <f>'Avg Week SentemaRBT-Sentema'!L84+'Avg Week Sentema-SentemaRBT'!L84</f>
        <v>0</v>
      </c>
      <c r="M84" s="49">
        <f>'Avg Week SentemaRBT-Sentema'!M84+'Avg Week Sentema-SentemaRBT'!M84</f>
        <v>5</v>
      </c>
      <c r="N84" s="49">
        <f>'Avg Week SentemaRBT-Sentema'!N84+'Avg Week Sentema-SentemaRBT'!N84</f>
        <v>0</v>
      </c>
      <c r="O84" s="15">
        <f t="shared" si="35"/>
        <v>3</v>
      </c>
      <c r="P84" s="15">
        <f t="shared" si="36"/>
        <v>8</v>
      </c>
      <c r="R84" s="8"/>
      <c r="T84"/>
    </row>
    <row r="85" spans="2:20" ht="23.1" customHeight="1" x14ac:dyDescent="0.25">
      <c r="B85" s="23" t="s">
        <v>125</v>
      </c>
      <c r="C85" s="49">
        <f>'Avg Week SentemaRBT-Sentema'!C85+'Avg Week Sentema-SentemaRBT'!C85</f>
        <v>1</v>
      </c>
      <c r="D85" s="49">
        <f>'Avg Week SentemaRBT-Sentema'!D85+'Avg Week Sentema-SentemaRBT'!D85</f>
        <v>0</v>
      </c>
      <c r="E85" s="49">
        <f>'Avg Week SentemaRBT-Sentema'!E85+'Avg Week Sentema-SentemaRBT'!E85</f>
        <v>1.5</v>
      </c>
      <c r="F85" s="49">
        <f>'Avg Week SentemaRBT-Sentema'!F85+'Avg Week Sentema-SentemaRBT'!F85</f>
        <v>0</v>
      </c>
      <c r="G85" s="49">
        <f>'Avg Week SentemaRBT-Sentema'!G85+'Avg Week Sentema-SentemaRBT'!G85</f>
        <v>0</v>
      </c>
      <c r="H85" s="49">
        <f>'Avg Week SentemaRBT-Sentema'!H85+'Avg Week Sentema-SentemaRBT'!H85</f>
        <v>0</v>
      </c>
      <c r="I85" s="49">
        <f>'Avg Week SentemaRBT-Sentema'!I85+'Avg Week Sentema-SentemaRBT'!I85</f>
        <v>2</v>
      </c>
      <c r="J85" s="49">
        <f>'Avg Week SentemaRBT-Sentema'!J85+'Avg Week Sentema-SentemaRBT'!J85</f>
        <v>0.5</v>
      </c>
      <c r="K85" s="49">
        <f>'Avg Week SentemaRBT-Sentema'!K85+'Avg Week Sentema-SentemaRBT'!K85</f>
        <v>1</v>
      </c>
      <c r="L85" s="49">
        <f>'Avg Week SentemaRBT-Sentema'!L85+'Avg Week Sentema-SentemaRBT'!L85</f>
        <v>0.5</v>
      </c>
      <c r="M85" s="49">
        <f>'Avg Week SentemaRBT-Sentema'!M85+'Avg Week Sentema-SentemaRBT'!M85</f>
        <v>2</v>
      </c>
      <c r="N85" s="49">
        <f>'Avg Week SentemaRBT-Sentema'!N85+'Avg Week Sentema-SentemaRBT'!N85</f>
        <v>0</v>
      </c>
      <c r="O85" s="15">
        <f t="shared" si="35"/>
        <v>6.5</v>
      </c>
      <c r="P85" s="15">
        <f t="shared" si="36"/>
        <v>8.5</v>
      </c>
      <c r="R85" s="8"/>
      <c r="T85"/>
    </row>
    <row r="86" spans="2:20" ht="23.1" customHeight="1" x14ac:dyDescent="0.25">
      <c r="B86" s="24" t="s">
        <v>126</v>
      </c>
      <c r="C86" s="49">
        <f>'Avg Week SentemaRBT-Sentema'!C86+'Avg Week Sentema-SentemaRBT'!C86</f>
        <v>4.5</v>
      </c>
      <c r="D86" s="49">
        <f>'Avg Week SentemaRBT-Sentema'!D86+'Avg Week Sentema-SentemaRBT'!D86</f>
        <v>0</v>
      </c>
      <c r="E86" s="49">
        <f>'Avg Week SentemaRBT-Sentema'!E86+'Avg Week Sentema-SentemaRBT'!E86</f>
        <v>1.5</v>
      </c>
      <c r="F86" s="49">
        <f>'Avg Week SentemaRBT-Sentema'!F86+'Avg Week Sentema-SentemaRBT'!F86</f>
        <v>0.5</v>
      </c>
      <c r="G86" s="49">
        <f>'Avg Week SentemaRBT-Sentema'!G86+'Avg Week Sentema-SentemaRBT'!G86</f>
        <v>0</v>
      </c>
      <c r="H86" s="49">
        <f>'Avg Week SentemaRBT-Sentema'!H86+'Avg Week Sentema-SentemaRBT'!H86</f>
        <v>0</v>
      </c>
      <c r="I86" s="49">
        <f>'Avg Week SentemaRBT-Sentema'!I86+'Avg Week Sentema-SentemaRBT'!I86</f>
        <v>0.5</v>
      </c>
      <c r="J86" s="49">
        <f>'Avg Week SentemaRBT-Sentema'!J86+'Avg Week Sentema-SentemaRBT'!J86</f>
        <v>0</v>
      </c>
      <c r="K86" s="49">
        <f>'Avg Week SentemaRBT-Sentema'!K86+'Avg Week Sentema-SentemaRBT'!K86</f>
        <v>0</v>
      </c>
      <c r="L86" s="49">
        <f>'Avg Week SentemaRBT-Sentema'!L86+'Avg Week Sentema-SentemaRBT'!L86</f>
        <v>0</v>
      </c>
      <c r="M86" s="49">
        <f>'Avg Week SentemaRBT-Sentema'!M86+'Avg Week Sentema-SentemaRBT'!M86</f>
        <v>7.5</v>
      </c>
      <c r="N86" s="49">
        <f>'Avg Week SentemaRBT-Sentema'!N86+'Avg Week Sentema-SentemaRBT'!N86</f>
        <v>0</v>
      </c>
      <c r="O86" s="15">
        <f t="shared" si="35"/>
        <v>7</v>
      </c>
      <c r="P86" s="15">
        <f t="shared" si="36"/>
        <v>14.5</v>
      </c>
      <c r="R86" s="8"/>
      <c r="T86"/>
    </row>
    <row r="87" spans="2:20" ht="23.1" customHeight="1" x14ac:dyDescent="0.25">
      <c r="B87" s="23" t="s">
        <v>127</v>
      </c>
      <c r="C87" s="49">
        <f>'Avg Week SentemaRBT-Sentema'!C87+'Avg Week Sentema-SentemaRBT'!C87</f>
        <v>0</v>
      </c>
      <c r="D87" s="49">
        <f>'Avg Week SentemaRBT-Sentema'!D87+'Avg Week Sentema-SentemaRBT'!D87</f>
        <v>0</v>
      </c>
      <c r="E87" s="49">
        <f>'Avg Week SentemaRBT-Sentema'!E87+'Avg Week Sentema-SentemaRBT'!E87</f>
        <v>0</v>
      </c>
      <c r="F87" s="49">
        <f>'Avg Week SentemaRBT-Sentema'!F87+'Avg Week Sentema-SentemaRBT'!F87</f>
        <v>0</v>
      </c>
      <c r="G87" s="49">
        <f>'Avg Week SentemaRBT-Sentema'!G87+'Avg Week Sentema-SentemaRBT'!G87</f>
        <v>0</v>
      </c>
      <c r="H87" s="49">
        <f>'Avg Week SentemaRBT-Sentema'!H87+'Avg Week Sentema-SentemaRBT'!H87</f>
        <v>0</v>
      </c>
      <c r="I87" s="49">
        <f>'Avg Week SentemaRBT-Sentema'!I87+'Avg Week Sentema-SentemaRBT'!I87</f>
        <v>0</v>
      </c>
      <c r="J87" s="49">
        <f>'Avg Week SentemaRBT-Sentema'!J87+'Avg Week Sentema-SentemaRBT'!J87</f>
        <v>0.5</v>
      </c>
      <c r="K87" s="49">
        <f>'Avg Week SentemaRBT-Sentema'!K87+'Avg Week Sentema-SentemaRBT'!K87</f>
        <v>0</v>
      </c>
      <c r="L87" s="49">
        <f>'Avg Week SentemaRBT-Sentema'!L87+'Avg Week Sentema-SentemaRBT'!L87</f>
        <v>0</v>
      </c>
      <c r="M87" s="49">
        <f>'Avg Week SentemaRBT-Sentema'!M87+'Avg Week Sentema-SentemaRBT'!M87</f>
        <v>2.5</v>
      </c>
      <c r="N87" s="49">
        <f>'Avg Week SentemaRBT-Sentema'!N87+'Avg Week Sentema-SentemaRBT'!N87</f>
        <v>0</v>
      </c>
      <c r="O87" s="15">
        <f t="shared" si="35"/>
        <v>0.5</v>
      </c>
      <c r="P87" s="15">
        <f t="shared" si="36"/>
        <v>3</v>
      </c>
      <c r="R87" s="8"/>
      <c r="T87"/>
    </row>
    <row r="88" spans="2:20" ht="23.1" customHeight="1" x14ac:dyDescent="0.25">
      <c r="B88" s="25" t="s">
        <v>128</v>
      </c>
      <c r="C88" s="49">
        <f>'Avg Week SentemaRBT-Sentema'!C88+'Avg Week Sentema-SentemaRBT'!C88</f>
        <v>0.5</v>
      </c>
      <c r="D88" s="49">
        <f>'Avg Week SentemaRBT-Sentema'!D88+'Avg Week Sentema-SentemaRBT'!D88</f>
        <v>0</v>
      </c>
      <c r="E88" s="49">
        <f>'Avg Week SentemaRBT-Sentema'!E88+'Avg Week Sentema-SentemaRBT'!E88</f>
        <v>0</v>
      </c>
      <c r="F88" s="49">
        <f>'Avg Week SentemaRBT-Sentema'!F88+'Avg Week Sentema-SentemaRBT'!F88</f>
        <v>0</v>
      </c>
      <c r="G88" s="49">
        <f>'Avg Week SentemaRBT-Sentema'!G88+'Avg Week Sentema-SentemaRBT'!G88</f>
        <v>0</v>
      </c>
      <c r="H88" s="49">
        <f>'Avg Week SentemaRBT-Sentema'!H88+'Avg Week Sentema-SentemaRBT'!H88</f>
        <v>0</v>
      </c>
      <c r="I88" s="49">
        <f>'Avg Week SentemaRBT-Sentema'!I88+'Avg Week Sentema-SentemaRBT'!I88</f>
        <v>0</v>
      </c>
      <c r="J88" s="49">
        <f>'Avg Week SentemaRBT-Sentema'!J88+'Avg Week Sentema-SentemaRBT'!J88</f>
        <v>0</v>
      </c>
      <c r="K88" s="49">
        <f>'Avg Week SentemaRBT-Sentema'!K88+'Avg Week Sentema-SentemaRBT'!K88</f>
        <v>0</v>
      </c>
      <c r="L88" s="49">
        <f>'Avg Week SentemaRBT-Sentema'!L88+'Avg Week Sentema-SentemaRBT'!L88</f>
        <v>0</v>
      </c>
      <c r="M88" s="49">
        <f>'Avg Week SentemaRBT-Sentema'!M88+'Avg Week Sentema-SentemaRBT'!M88</f>
        <v>4.5</v>
      </c>
      <c r="N88" s="49">
        <f>'Avg Week SentemaRBT-Sentema'!N88+'Avg Week Sentema-SentemaRBT'!N88</f>
        <v>0</v>
      </c>
      <c r="O88" s="15">
        <f t="shared" si="35"/>
        <v>0.5</v>
      </c>
      <c r="P88" s="15">
        <f t="shared" si="36"/>
        <v>5</v>
      </c>
      <c r="R88" s="8"/>
      <c r="T88"/>
    </row>
    <row r="89" spans="2:20" ht="23.1" customHeight="1" x14ac:dyDescent="0.25">
      <c r="B89" s="23" t="s">
        <v>129</v>
      </c>
      <c r="C89" s="49">
        <f>'Avg Week SentemaRBT-Sentema'!C89+'Avg Week Sentema-SentemaRBT'!C89</f>
        <v>2.5</v>
      </c>
      <c r="D89" s="49">
        <f>'Avg Week SentemaRBT-Sentema'!D89+'Avg Week Sentema-SentemaRBT'!D89</f>
        <v>0.5</v>
      </c>
      <c r="E89" s="49">
        <f>'Avg Week SentemaRBT-Sentema'!E89+'Avg Week Sentema-SentemaRBT'!E89</f>
        <v>0</v>
      </c>
      <c r="F89" s="49">
        <f>'Avg Week SentemaRBT-Sentema'!F89+'Avg Week Sentema-SentemaRBT'!F89</f>
        <v>0</v>
      </c>
      <c r="G89" s="49">
        <f>'Avg Week SentemaRBT-Sentema'!G89+'Avg Week Sentema-SentemaRBT'!G89</f>
        <v>0</v>
      </c>
      <c r="H89" s="49">
        <f>'Avg Week SentemaRBT-Sentema'!H89+'Avg Week Sentema-SentemaRBT'!H89</f>
        <v>0</v>
      </c>
      <c r="I89" s="49">
        <f>'Avg Week SentemaRBT-Sentema'!I89+'Avg Week Sentema-SentemaRBT'!I89</f>
        <v>1</v>
      </c>
      <c r="J89" s="49">
        <f>'Avg Week SentemaRBT-Sentema'!J89+'Avg Week Sentema-SentemaRBT'!J89</f>
        <v>0</v>
      </c>
      <c r="K89" s="49">
        <f>'Avg Week SentemaRBT-Sentema'!K89+'Avg Week Sentema-SentemaRBT'!K89</f>
        <v>0</v>
      </c>
      <c r="L89" s="49">
        <f>'Avg Week SentemaRBT-Sentema'!L89+'Avg Week Sentema-SentemaRBT'!L89</f>
        <v>0</v>
      </c>
      <c r="M89" s="49">
        <f>'Avg Week SentemaRBT-Sentema'!M89+'Avg Week Sentema-SentemaRBT'!M89</f>
        <v>4</v>
      </c>
      <c r="N89" s="49">
        <f>'Avg Week SentemaRBT-Sentema'!N89+'Avg Week Sentema-SentemaRBT'!N89</f>
        <v>0</v>
      </c>
      <c r="O89" s="15">
        <f t="shared" si="35"/>
        <v>4</v>
      </c>
      <c r="P89" s="15">
        <f t="shared" si="36"/>
        <v>8</v>
      </c>
      <c r="R89" s="8"/>
      <c r="T89"/>
    </row>
    <row r="90" spans="2:20" ht="23.1" customHeight="1" x14ac:dyDescent="0.25">
      <c r="B90" s="24" t="s">
        <v>130</v>
      </c>
      <c r="C90" s="49">
        <f>'Avg Week SentemaRBT-Sentema'!C90+'Avg Week Sentema-SentemaRBT'!C90</f>
        <v>1</v>
      </c>
      <c r="D90" s="49">
        <f>'Avg Week SentemaRBT-Sentema'!D90+'Avg Week Sentema-SentemaRBT'!D90</f>
        <v>0</v>
      </c>
      <c r="E90" s="49">
        <f>'Avg Week SentemaRBT-Sentema'!E90+'Avg Week Sentema-SentemaRBT'!E90</f>
        <v>1</v>
      </c>
      <c r="F90" s="49">
        <f>'Avg Week SentemaRBT-Sentema'!F90+'Avg Week Sentema-SentemaRBT'!F90</f>
        <v>1</v>
      </c>
      <c r="G90" s="49">
        <f>'Avg Week SentemaRBT-Sentema'!G90+'Avg Week Sentema-SentemaRBT'!G90</f>
        <v>0</v>
      </c>
      <c r="H90" s="49">
        <f>'Avg Week SentemaRBT-Sentema'!H90+'Avg Week Sentema-SentemaRBT'!H90</f>
        <v>0</v>
      </c>
      <c r="I90" s="49">
        <f>'Avg Week SentemaRBT-Sentema'!I90+'Avg Week Sentema-SentemaRBT'!I90</f>
        <v>2</v>
      </c>
      <c r="J90" s="49">
        <f>'Avg Week SentemaRBT-Sentema'!J90+'Avg Week Sentema-SentemaRBT'!J90</f>
        <v>0.5</v>
      </c>
      <c r="K90" s="49">
        <f>'Avg Week SentemaRBT-Sentema'!K90+'Avg Week Sentema-SentemaRBT'!K90</f>
        <v>1.5</v>
      </c>
      <c r="L90" s="49">
        <f>'Avg Week SentemaRBT-Sentema'!L90+'Avg Week Sentema-SentemaRBT'!L90</f>
        <v>0</v>
      </c>
      <c r="M90" s="49">
        <f>'Avg Week SentemaRBT-Sentema'!M90+'Avg Week Sentema-SentemaRBT'!M90</f>
        <v>4</v>
      </c>
      <c r="N90" s="49">
        <f>'Avg Week SentemaRBT-Sentema'!N90+'Avg Week Sentema-SentemaRBT'!N90</f>
        <v>0</v>
      </c>
      <c r="O90" s="15">
        <f t="shared" si="35"/>
        <v>7</v>
      </c>
      <c r="P90" s="15">
        <f t="shared" si="36"/>
        <v>11</v>
      </c>
      <c r="R90" s="8"/>
      <c r="T90"/>
    </row>
    <row r="91" spans="2:20" ht="23.1" customHeight="1" x14ac:dyDescent="0.25">
      <c r="B91" s="23" t="s">
        <v>131</v>
      </c>
      <c r="C91" s="49">
        <f>'Avg Week SentemaRBT-Sentema'!C91+'Avg Week Sentema-SentemaRBT'!C91</f>
        <v>1</v>
      </c>
      <c r="D91" s="49">
        <f>'Avg Week SentemaRBT-Sentema'!D91+'Avg Week Sentema-SentemaRBT'!D91</f>
        <v>0</v>
      </c>
      <c r="E91" s="49">
        <f>'Avg Week SentemaRBT-Sentema'!E91+'Avg Week Sentema-SentemaRBT'!E91</f>
        <v>1</v>
      </c>
      <c r="F91" s="49">
        <f>'Avg Week SentemaRBT-Sentema'!F91+'Avg Week Sentema-SentemaRBT'!F91</f>
        <v>0</v>
      </c>
      <c r="G91" s="49">
        <f>'Avg Week SentemaRBT-Sentema'!G91+'Avg Week Sentema-SentemaRBT'!G91</f>
        <v>0</v>
      </c>
      <c r="H91" s="49">
        <f>'Avg Week SentemaRBT-Sentema'!H91+'Avg Week Sentema-SentemaRBT'!H91</f>
        <v>0</v>
      </c>
      <c r="I91" s="49">
        <f>'Avg Week SentemaRBT-Sentema'!I91+'Avg Week Sentema-SentemaRBT'!I91</f>
        <v>0</v>
      </c>
      <c r="J91" s="49">
        <f>'Avg Week SentemaRBT-Sentema'!J91+'Avg Week Sentema-SentemaRBT'!J91</f>
        <v>0.5</v>
      </c>
      <c r="K91" s="49">
        <f>'Avg Week SentemaRBT-Sentema'!K91+'Avg Week Sentema-SentemaRBT'!K91</f>
        <v>0.5</v>
      </c>
      <c r="L91" s="49">
        <f>'Avg Week SentemaRBT-Sentema'!L91+'Avg Week Sentema-SentemaRBT'!L91</f>
        <v>0</v>
      </c>
      <c r="M91" s="49">
        <f>'Avg Week SentemaRBT-Sentema'!M91+'Avg Week Sentema-SentemaRBT'!M91</f>
        <v>4</v>
      </c>
      <c r="N91" s="49">
        <f>'Avg Week SentemaRBT-Sentema'!N91+'Avg Week Sentema-SentemaRBT'!N91</f>
        <v>0</v>
      </c>
      <c r="O91" s="15">
        <f t="shared" si="35"/>
        <v>3</v>
      </c>
      <c r="P91" s="15">
        <f t="shared" si="36"/>
        <v>7</v>
      </c>
      <c r="R91" s="8"/>
      <c r="T91"/>
    </row>
    <row r="92" spans="2:20" ht="23.1" customHeight="1" x14ac:dyDescent="0.25">
      <c r="B92" s="25" t="s">
        <v>132</v>
      </c>
      <c r="C92" s="49">
        <f>'Avg Week SentemaRBT-Sentema'!C92+'Avg Week Sentema-SentemaRBT'!C92</f>
        <v>1.5</v>
      </c>
      <c r="D92" s="49">
        <f>'Avg Week SentemaRBT-Sentema'!D92+'Avg Week Sentema-SentemaRBT'!D92</f>
        <v>0</v>
      </c>
      <c r="E92" s="49">
        <f>'Avg Week SentemaRBT-Sentema'!E92+'Avg Week Sentema-SentemaRBT'!E92</f>
        <v>0.5</v>
      </c>
      <c r="F92" s="49">
        <f>'Avg Week SentemaRBT-Sentema'!F92+'Avg Week Sentema-SentemaRBT'!F92</f>
        <v>0</v>
      </c>
      <c r="G92" s="49">
        <f>'Avg Week SentemaRBT-Sentema'!G92+'Avg Week Sentema-SentemaRBT'!G92</f>
        <v>0</v>
      </c>
      <c r="H92" s="49">
        <f>'Avg Week SentemaRBT-Sentema'!H92+'Avg Week Sentema-SentemaRBT'!H92</f>
        <v>0</v>
      </c>
      <c r="I92" s="49">
        <f>'Avg Week SentemaRBT-Sentema'!I92+'Avg Week Sentema-SentemaRBT'!I92</f>
        <v>0</v>
      </c>
      <c r="J92" s="49">
        <f>'Avg Week SentemaRBT-Sentema'!J92+'Avg Week Sentema-SentemaRBT'!J92</f>
        <v>1</v>
      </c>
      <c r="K92" s="49">
        <f>'Avg Week SentemaRBT-Sentema'!K92+'Avg Week Sentema-SentemaRBT'!K92</f>
        <v>0</v>
      </c>
      <c r="L92" s="49">
        <f>'Avg Week SentemaRBT-Sentema'!L92+'Avg Week Sentema-SentemaRBT'!L92</f>
        <v>0</v>
      </c>
      <c r="M92" s="49">
        <f>'Avg Week SentemaRBT-Sentema'!M92+'Avg Week Sentema-SentemaRBT'!M92</f>
        <v>1</v>
      </c>
      <c r="N92" s="49">
        <f>'Avg Week SentemaRBT-Sentema'!N92+'Avg Week Sentema-SentemaRBT'!N92</f>
        <v>0</v>
      </c>
      <c r="O92" s="15">
        <f t="shared" si="35"/>
        <v>3</v>
      </c>
      <c r="P92" s="15">
        <f t="shared" si="36"/>
        <v>4</v>
      </c>
      <c r="R92" s="8"/>
      <c r="T92"/>
    </row>
    <row r="93" spans="2:20" ht="23.1" customHeight="1" x14ac:dyDescent="0.25">
      <c r="B93" s="23" t="s">
        <v>133</v>
      </c>
      <c r="C93" s="49">
        <f>'Avg Week SentemaRBT-Sentema'!C93+'Avg Week Sentema-SentemaRBT'!C93</f>
        <v>0.5</v>
      </c>
      <c r="D93" s="49">
        <f>'Avg Week SentemaRBT-Sentema'!D93+'Avg Week Sentema-SentemaRBT'!D93</f>
        <v>0</v>
      </c>
      <c r="E93" s="49">
        <f>'Avg Week SentemaRBT-Sentema'!E93+'Avg Week Sentema-SentemaRBT'!E93</f>
        <v>0</v>
      </c>
      <c r="F93" s="49">
        <f>'Avg Week SentemaRBT-Sentema'!F93+'Avg Week Sentema-SentemaRBT'!F93</f>
        <v>0.5</v>
      </c>
      <c r="G93" s="49">
        <f>'Avg Week SentemaRBT-Sentema'!G93+'Avg Week Sentema-SentemaRBT'!G93</f>
        <v>0</v>
      </c>
      <c r="H93" s="49">
        <f>'Avg Week SentemaRBT-Sentema'!H93+'Avg Week Sentema-SentemaRBT'!H93</f>
        <v>0</v>
      </c>
      <c r="I93" s="49">
        <f>'Avg Week SentemaRBT-Sentema'!I93+'Avg Week Sentema-SentemaRBT'!I93</f>
        <v>0</v>
      </c>
      <c r="J93" s="49">
        <f>'Avg Week SentemaRBT-Sentema'!J93+'Avg Week Sentema-SentemaRBT'!J93</f>
        <v>0</v>
      </c>
      <c r="K93" s="49">
        <f>'Avg Week SentemaRBT-Sentema'!K93+'Avg Week Sentema-SentemaRBT'!K93</f>
        <v>0</v>
      </c>
      <c r="L93" s="49">
        <f>'Avg Week SentemaRBT-Sentema'!L93+'Avg Week Sentema-SentemaRBT'!L93</f>
        <v>0</v>
      </c>
      <c r="M93" s="49">
        <f>'Avg Week SentemaRBT-Sentema'!M93+'Avg Week Sentema-SentemaRBT'!M93</f>
        <v>3.5</v>
      </c>
      <c r="N93" s="49">
        <f>'Avg Week SentemaRBT-Sentema'!N93+'Avg Week Sentema-SentemaRBT'!N93</f>
        <v>0</v>
      </c>
      <c r="O93" s="15">
        <f t="shared" si="35"/>
        <v>1</v>
      </c>
      <c r="P93" s="15">
        <f t="shared" si="36"/>
        <v>4.5</v>
      </c>
      <c r="R93" s="8"/>
      <c r="T93"/>
    </row>
    <row r="94" spans="2:20" ht="23.1" customHeight="1" x14ac:dyDescent="0.25">
      <c r="B94" s="24" t="s">
        <v>134</v>
      </c>
      <c r="C94" s="49">
        <f>'Avg Week SentemaRBT-Sentema'!C94+'Avg Week Sentema-SentemaRBT'!C94</f>
        <v>2</v>
      </c>
      <c r="D94" s="49">
        <f>'Avg Week SentemaRBT-Sentema'!D94+'Avg Week Sentema-SentemaRBT'!D94</f>
        <v>0</v>
      </c>
      <c r="E94" s="49">
        <f>'Avg Week SentemaRBT-Sentema'!E94+'Avg Week Sentema-SentemaRBT'!E94</f>
        <v>0.5</v>
      </c>
      <c r="F94" s="49">
        <f>'Avg Week SentemaRBT-Sentema'!F94+'Avg Week Sentema-SentemaRBT'!F94</f>
        <v>1</v>
      </c>
      <c r="G94" s="49">
        <f>'Avg Week SentemaRBT-Sentema'!G94+'Avg Week Sentema-SentemaRBT'!G94</f>
        <v>0</v>
      </c>
      <c r="H94" s="49">
        <f>'Avg Week SentemaRBT-Sentema'!H94+'Avg Week Sentema-SentemaRBT'!H94</f>
        <v>0</v>
      </c>
      <c r="I94" s="49">
        <f>'Avg Week SentemaRBT-Sentema'!I94+'Avg Week Sentema-SentemaRBT'!I94</f>
        <v>0</v>
      </c>
      <c r="J94" s="49">
        <f>'Avg Week SentemaRBT-Sentema'!J94+'Avg Week Sentema-SentemaRBT'!J94</f>
        <v>0.5</v>
      </c>
      <c r="K94" s="49">
        <f>'Avg Week SentemaRBT-Sentema'!K94+'Avg Week Sentema-SentemaRBT'!K94</f>
        <v>0</v>
      </c>
      <c r="L94" s="49">
        <f>'Avg Week SentemaRBT-Sentema'!L94+'Avg Week Sentema-SentemaRBT'!L94</f>
        <v>0</v>
      </c>
      <c r="M94" s="49">
        <f>'Avg Week SentemaRBT-Sentema'!M94+'Avg Week Sentema-SentemaRBT'!M94</f>
        <v>3</v>
      </c>
      <c r="N94" s="49">
        <f>'Avg Week SentemaRBT-Sentema'!N94+'Avg Week Sentema-SentemaRBT'!N94</f>
        <v>0</v>
      </c>
      <c r="O94" s="15">
        <f t="shared" si="35"/>
        <v>4</v>
      </c>
      <c r="P94" s="15">
        <f t="shared" si="36"/>
        <v>7</v>
      </c>
      <c r="R94" s="8"/>
      <c r="T94"/>
    </row>
    <row r="95" spans="2:20" ht="23.1" customHeight="1" x14ac:dyDescent="0.25">
      <c r="B95" s="23" t="s">
        <v>135</v>
      </c>
      <c r="C95" s="49">
        <f>'Avg Week SentemaRBT-Sentema'!C95+'Avg Week Sentema-SentemaRBT'!C95</f>
        <v>0.5</v>
      </c>
      <c r="D95" s="49">
        <f>'Avg Week SentemaRBT-Sentema'!D95+'Avg Week Sentema-SentemaRBT'!D95</f>
        <v>0</v>
      </c>
      <c r="E95" s="49">
        <f>'Avg Week SentemaRBT-Sentema'!E95+'Avg Week Sentema-SentemaRBT'!E95</f>
        <v>0</v>
      </c>
      <c r="F95" s="49">
        <f>'Avg Week SentemaRBT-Sentema'!F95+'Avg Week Sentema-SentemaRBT'!F95</f>
        <v>0.5</v>
      </c>
      <c r="G95" s="49">
        <f>'Avg Week SentemaRBT-Sentema'!G95+'Avg Week Sentema-SentemaRBT'!G95</f>
        <v>0</v>
      </c>
      <c r="H95" s="49">
        <f>'Avg Week SentemaRBT-Sentema'!H95+'Avg Week Sentema-SentemaRBT'!H95</f>
        <v>0</v>
      </c>
      <c r="I95" s="49">
        <f>'Avg Week SentemaRBT-Sentema'!I95+'Avg Week Sentema-SentemaRBT'!I95</f>
        <v>0</v>
      </c>
      <c r="J95" s="49">
        <f>'Avg Week SentemaRBT-Sentema'!J95+'Avg Week Sentema-SentemaRBT'!J95</f>
        <v>0.5</v>
      </c>
      <c r="K95" s="49">
        <f>'Avg Week SentemaRBT-Sentema'!K95+'Avg Week Sentema-SentemaRBT'!K95</f>
        <v>0</v>
      </c>
      <c r="L95" s="49">
        <f>'Avg Week SentemaRBT-Sentema'!L95+'Avg Week Sentema-SentemaRBT'!L95</f>
        <v>0</v>
      </c>
      <c r="M95" s="49">
        <f>'Avg Week SentemaRBT-Sentema'!M95+'Avg Week Sentema-SentemaRBT'!M95</f>
        <v>1</v>
      </c>
      <c r="N95" s="49">
        <f>'Avg Week SentemaRBT-Sentema'!N95+'Avg Week Sentema-SentemaRBT'!N95</f>
        <v>0</v>
      </c>
      <c r="O95" s="15">
        <f t="shared" si="35"/>
        <v>1.5</v>
      </c>
      <c r="P95" s="15">
        <f t="shared" si="36"/>
        <v>2.5</v>
      </c>
      <c r="R95" s="8"/>
      <c r="T95"/>
    </row>
    <row r="96" spans="2:20" ht="23.1" customHeight="1" x14ac:dyDescent="0.25">
      <c r="B96" s="25" t="s">
        <v>136</v>
      </c>
      <c r="C96" s="49">
        <f>'Avg Week SentemaRBT-Sentema'!C96+'Avg Week Sentema-SentemaRBT'!C96</f>
        <v>1</v>
      </c>
      <c r="D96" s="49">
        <f>'Avg Week SentemaRBT-Sentema'!D96+'Avg Week Sentema-SentemaRBT'!D96</f>
        <v>0</v>
      </c>
      <c r="E96" s="49">
        <f>'Avg Week SentemaRBT-Sentema'!E96+'Avg Week Sentema-SentemaRBT'!E96</f>
        <v>0</v>
      </c>
      <c r="F96" s="49">
        <f>'Avg Week SentemaRBT-Sentema'!F96+'Avg Week Sentema-SentemaRBT'!F96</f>
        <v>1</v>
      </c>
      <c r="G96" s="49">
        <f>'Avg Week SentemaRBT-Sentema'!G96+'Avg Week Sentema-SentemaRBT'!G96</f>
        <v>0</v>
      </c>
      <c r="H96" s="49">
        <f>'Avg Week SentemaRBT-Sentema'!H96+'Avg Week Sentema-SentemaRBT'!H96</f>
        <v>0</v>
      </c>
      <c r="I96" s="49">
        <f>'Avg Week SentemaRBT-Sentema'!I96+'Avg Week Sentema-SentemaRBT'!I96</f>
        <v>0</v>
      </c>
      <c r="J96" s="49">
        <f>'Avg Week SentemaRBT-Sentema'!J96+'Avg Week Sentema-SentemaRBT'!J96</f>
        <v>0</v>
      </c>
      <c r="K96" s="49">
        <f>'Avg Week SentemaRBT-Sentema'!K96+'Avg Week Sentema-SentemaRBT'!K96</f>
        <v>0</v>
      </c>
      <c r="L96" s="49">
        <f>'Avg Week SentemaRBT-Sentema'!L96+'Avg Week Sentema-SentemaRBT'!L96</f>
        <v>0</v>
      </c>
      <c r="M96" s="49">
        <f>'Avg Week SentemaRBT-Sentema'!M96+'Avg Week Sentema-SentemaRBT'!M96</f>
        <v>0.5</v>
      </c>
      <c r="N96" s="49">
        <f>'Avg Week SentemaRBT-Sentema'!N96+'Avg Week Sentema-SentemaRBT'!N96</f>
        <v>0</v>
      </c>
      <c r="O96" s="15">
        <f t="shared" si="35"/>
        <v>2</v>
      </c>
      <c r="P96" s="15">
        <f t="shared" si="36"/>
        <v>2.5</v>
      </c>
      <c r="R96" s="8"/>
      <c r="T96"/>
    </row>
    <row r="97" spans="2:20" ht="23.1" customHeight="1" x14ac:dyDescent="0.25">
      <c r="B97" s="23" t="s">
        <v>137</v>
      </c>
      <c r="C97" s="49">
        <f>'Avg Week SentemaRBT-Sentema'!C97+'Avg Week Sentema-SentemaRBT'!C97</f>
        <v>0</v>
      </c>
      <c r="D97" s="49">
        <f>'Avg Week SentemaRBT-Sentema'!D97+'Avg Week Sentema-SentemaRBT'!D97</f>
        <v>0</v>
      </c>
      <c r="E97" s="49">
        <f>'Avg Week SentemaRBT-Sentema'!E97+'Avg Week Sentema-SentemaRBT'!E97</f>
        <v>0</v>
      </c>
      <c r="F97" s="49">
        <f>'Avg Week SentemaRBT-Sentema'!F97+'Avg Week Sentema-SentemaRBT'!F97</f>
        <v>1.5</v>
      </c>
      <c r="G97" s="49">
        <f>'Avg Week SentemaRBT-Sentema'!G97+'Avg Week Sentema-SentemaRBT'!G97</f>
        <v>0</v>
      </c>
      <c r="H97" s="49">
        <f>'Avg Week SentemaRBT-Sentema'!H97+'Avg Week Sentema-SentemaRBT'!H97</f>
        <v>0</v>
      </c>
      <c r="I97" s="49">
        <f>'Avg Week SentemaRBT-Sentema'!I97+'Avg Week Sentema-SentemaRBT'!I97</f>
        <v>0</v>
      </c>
      <c r="J97" s="49">
        <f>'Avg Week SentemaRBT-Sentema'!J97+'Avg Week Sentema-SentemaRBT'!J97</f>
        <v>0</v>
      </c>
      <c r="K97" s="49">
        <f>'Avg Week SentemaRBT-Sentema'!K97+'Avg Week Sentema-SentemaRBT'!K97</f>
        <v>0</v>
      </c>
      <c r="L97" s="49">
        <f>'Avg Week SentemaRBT-Sentema'!L97+'Avg Week Sentema-SentemaRBT'!L97</f>
        <v>0</v>
      </c>
      <c r="M97" s="49">
        <f>'Avg Week SentemaRBT-Sentema'!M97+'Avg Week Sentema-SentemaRBT'!M97</f>
        <v>2</v>
      </c>
      <c r="N97" s="49">
        <f>'Avg Week SentemaRBT-Sentema'!N97+'Avg Week Sentema-SentemaRBT'!N97</f>
        <v>0</v>
      </c>
      <c r="O97" s="15">
        <f t="shared" si="35"/>
        <v>1.5</v>
      </c>
      <c r="P97" s="15">
        <f t="shared" si="36"/>
        <v>3.5</v>
      </c>
      <c r="R97" s="8"/>
      <c r="T97"/>
    </row>
    <row r="98" spans="2:20" ht="23.1" customHeight="1" x14ac:dyDescent="0.25">
      <c r="B98" s="24" t="s">
        <v>138</v>
      </c>
      <c r="C98" s="49">
        <f>'Avg Week SentemaRBT-Sentema'!C98+'Avg Week Sentema-SentemaRBT'!C98</f>
        <v>3</v>
      </c>
      <c r="D98" s="49">
        <f>'Avg Week SentemaRBT-Sentema'!D98+'Avg Week Sentema-SentemaRBT'!D98</f>
        <v>0</v>
      </c>
      <c r="E98" s="49">
        <f>'Avg Week SentemaRBT-Sentema'!E98+'Avg Week Sentema-SentemaRBT'!E98</f>
        <v>0</v>
      </c>
      <c r="F98" s="49">
        <f>'Avg Week SentemaRBT-Sentema'!F98+'Avg Week Sentema-SentemaRBT'!F98</f>
        <v>2.5</v>
      </c>
      <c r="G98" s="49">
        <f>'Avg Week SentemaRBT-Sentema'!G98+'Avg Week Sentema-SentemaRBT'!G98</f>
        <v>0</v>
      </c>
      <c r="H98" s="49">
        <f>'Avg Week SentemaRBT-Sentema'!H98+'Avg Week Sentema-SentemaRBT'!H98</f>
        <v>0</v>
      </c>
      <c r="I98" s="49">
        <f>'Avg Week SentemaRBT-Sentema'!I98+'Avg Week Sentema-SentemaRBT'!I98</f>
        <v>1</v>
      </c>
      <c r="J98" s="49">
        <f>'Avg Week SentemaRBT-Sentema'!J98+'Avg Week Sentema-SentemaRBT'!J98</f>
        <v>0.5</v>
      </c>
      <c r="K98" s="49">
        <f>'Avg Week SentemaRBT-Sentema'!K98+'Avg Week Sentema-SentemaRBT'!K98</f>
        <v>2</v>
      </c>
      <c r="L98" s="49">
        <f>'Avg Week SentemaRBT-Sentema'!L98+'Avg Week Sentema-SentemaRBT'!L98</f>
        <v>0</v>
      </c>
      <c r="M98" s="49">
        <f>'Avg Week SentemaRBT-Sentema'!M98+'Avg Week Sentema-SentemaRBT'!M98</f>
        <v>5</v>
      </c>
      <c r="N98" s="49">
        <f>'Avg Week SentemaRBT-Sentema'!N98+'Avg Week Sentema-SentemaRBT'!N98</f>
        <v>0</v>
      </c>
      <c r="O98" s="15">
        <f t="shared" si="35"/>
        <v>9</v>
      </c>
      <c r="P98" s="15">
        <f t="shared" si="36"/>
        <v>14</v>
      </c>
      <c r="R98" s="8"/>
      <c r="T98"/>
    </row>
    <row r="99" spans="2:20" ht="23.1" customHeight="1" x14ac:dyDescent="0.25">
      <c r="B99" s="23" t="s">
        <v>139</v>
      </c>
      <c r="C99" s="49">
        <f>'Avg Week SentemaRBT-Sentema'!C99+'Avg Week Sentema-SentemaRBT'!C99</f>
        <v>4.5</v>
      </c>
      <c r="D99" s="49">
        <f>'Avg Week SentemaRBT-Sentema'!D99+'Avg Week Sentema-SentemaRBT'!D99</f>
        <v>1</v>
      </c>
      <c r="E99" s="49">
        <f>'Avg Week SentemaRBT-Sentema'!E99+'Avg Week Sentema-SentemaRBT'!E99</f>
        <v>0</v>
      </c>
      <c r="F99" s="49">
        <f>'Avg Week SentemaRBT-Sentema'!F99+'Avg Week Sentema-SentemaRBT'!F99</f>
        <v>4.5</v>
      </c>
      <c r="G99" s="49">
        <f>'Avg Week SentemaRBT-Sentema'!G99+'Avg Week Sentema-SentemaRBT'!G99</f>
        <v>2.5</v>
      </c>
      <c r="H99" s="49">
        <f>'Avg Week SentemaRBT-Sentema'!H99+'Avg Week Sentema-SentemaRBT'!H99</f>
        <v>0</v>
      </c>
      <c r="I99" s="49">
        <f>'Avg Week SentemaRBT-Sentema'!I99+'Avg Week Sentema-SentemaRBT'!I99</f>
        <v>0.5</v>
      </c>
      <c r="J99" s="49">
        <f>'Avg Week SentemaRBT-Sentema'!J99+'Avg Week Sentema-SentemaRBT'!J99</f>
        <v>0</v>
      </c>
      <c r="K99" s="49">
        <f>'Avg Week SentemaRBT-Sentema'!K99+'Avg Week Sentema-SentemaRBT'!K99</f>
        <v>1</v>
      </c>
      <c r="L99" s="49">
        <f>'Avg Week SentemaRBT-Sentema'!L99+'Avg Week Sentema-SentemaRBT'!L99</f>
        <v>0</v>
      </c>
      <c r="M99" s="49">
        <f>'Avg Week SentemaRBT-Sentema'!M99+'Avg Week Sentema-SentemaRBT'!M99</f>
        <v>4.5</v>
      </c>
      <c r="N99" s="49">
        <f>'Avg Week SentemaRBT-Sentema'!N99+'Avg Week Sentema-SentemaRBT'!N99</f>
        <v>0</v>
      </c>
      <c r="O99" s="15">
        <f t="shared" si="35"/>
        <v>14</v>
      </c>
      <c r="P99" s="15">
        <f t="shared" si="36"/>
        <v>18.5</v>
      </c>
      <c r="R99" s="8"/>
      <c r="T99"/>
    </row>
    <row r="100" spans="2:20" ht="23.1" customHeight="1" x14ac:dyDescent="0.25">
      <c r="B100" s="25" t="s">
        <v>140</v>
      </c>
      <c r="C100" s="49">
        <f>'Avg Week SentemaRBT-Sentema'!C100+'Avg Week Sentema-SentemaRBT'!C100</f>
        <v>8</v>
      </c>
      <c r="D100" s="49">
        <f>'Avg Week SentemaRBT-Sentema'!D100+'Avg Week Sentema-SentemaRBT'!D100</f>
        <v>0</v>
      </c>
      <c r="E100" s="49">
        <f>'Avg Week SentemaRBT-Sentema'!E100+'Avg Week Sentema-SentemaRBT'!E100</f>
        <v>0</v>
      </c>
      <c r="F100" s="49">
        <f>'Avg Week SentemaRBT-Sentema'!F100+'Avg Week Sentema-SentemaRBT'!F100</f>
        <v>7</v>
      </c>
      <c r="G100" s="49">
        <f>'Avg Week SentemaRBT-Sentema'!G100+'Avg Week Sentema-SentemaRBT'!G100</f>
        <v>0</v>
      </c>
      <c r="H100" s="49">
        <f>'Avg Week SentemaRBT-Sentema'!H100+'Avg Week Sentema-SentemaRBT'!H100</f>
        <v>0</v>
      </c>
      <c r="I100" s="49">
        <f>'Avg Week SentemaRBT-Sentema'!I100+'Avg Week Sentema-SentemaRBT'!I100</f>
        <v>1.5</v>
      </c>
      <c r="J100" s="49">
        <f>'Avg Week SentemaRBT-Sentema'!J100+'Avg Week Sentema-SentemaRBT'!J100</f>
        <v>0</v>
      </c>
      <c r="K100" s="49">
        <f>'Avg Week SentemaRBT-Sentema'!K100+'Avg Week Sentema-SentemaRBT'!K100</f>
        <v>1</v>
      </c>
      <c r="L100" s="49">
        <f>'Avg Week SentemaRBT-Sentema'!L100+'Avg Week Sentema-SentemaRBT'!L100</f>
        <v>3.5</v>
      </c>
      <c r="M100" s="49">
        <f>'Avg Week SentemaRBT-Sentema'!M100+'Avg Week Sentema-SentemaRBT'!M100</f>
        <v>11.5</v>
      </c>
      <c r="N100" s="49">
        <f>'Avg Week SentemaRBT-Sentema'!N100+'Avg Week Sentema-SentemaRBT'!N100</f>
        <v>0</v>
      </c>
      <c r="O100" s="15">
        <f t="shared" si="35"/>
        <v>21</v>
      </c>
      <c r="P100" s="15">
        <f t="shared" si="36"/>
        <v>32.5</v>
      </c>
      <c r="R100" s="8"/>
      <c r="T100"/>
    </row>
    <row r="101" spans="2:20" ht="23.1" customHeight="1" x14ac:dyDescent="0.25">
      <c r="B101" s="23" t="s">
        <v>141</v>
      </c>
      <c r="C101" s="49">
        <f>'Avg Week SentemaRBT-Sentema'!C101+'Avg Week Sentema-SentemaRBT'!C101</f>
        <v>12.5</v>
      </c>
      <c r="D101" s="49">
        <f>'Avg Week SentemaRBT-Sentema'!D101+'Avg Week Sentema-SentemaRBT'!D101</f>
        <v>0</v>
      </c>
      <c r="E101" s="49">
        <f>'Avg Week SentemaRBT-Sentema'!E101+'Avg Week Sentema-SentemaRBT'!E101</f>
        <v>1</v>
      </c>
      <c r="F101" s="49">
        <f>'Avg Week SentemaRBT-Sentema'!F101+'Avg Week Sentema-SentemaRBT'!F101</f>
        <v>10</v>
      </c>
      <c r="G101" s="49">
        <f>'Avg Week SentemaRBT-Sentema'!G101+'Avg Week Sentema-SentemaRBT'!G101</f>
        <v>0</v>
      </c>
      <c r="H101" s="49">
        <f>'Avg Week SentemaRBT-Sentema'!H101+'Avg Week Sentema-SentemaRBT'!H101</f>
        <v>0</v>
      </c>
      <c r="I101" s="49">
        <f>'Avg Week SentemaRBT-Sentema'!I101+'Avg Week Sentema-SentemaRBT'!I101</f>
        <v>1</v>
      </c>
      <c r="J101" s="49">
        <f>'Avg Week SentemaRBT-Sentema'!J101+'Avg Week Sentema-SentemaRBT'!J101</f>
        <v>0.5</v>
      </c>
      <c r="K101" s="49">
        <f>'Avg Week SentemaRBT-Sentema'!K101+'Avg Week Sentema-SentemaRBT'!K101</f>
        <v>1.5</v>
      </c>
      <c r="L101" s="49">
        <f>'Avg Week SentemaRBT-Sentema'!L101+'Avg Week Sentema-SentemaRBT'!L101</f>
        <v>0</v>
      </c>
      <c r="M101" s="49">
        <f>'Avg Week SentemaRBT-Sentema'!M101+'Avg Week Sentema-SentemaRBT'!M101</f>
        <v>18</v>
      </c>
      <c r="N101" s="49">
        <f>'Avg Week SentemaRBT-Sentema'!N101+'Avg Week Sentema-SentemaRBT'!N101</f>
        <v>0</v>
      </c>
      <c r="O101" s="15">
        <f t="shared" si="35"/>
        <v>26.5</v>
      </c>
      <c r="P101" s="15">
        <f t="shared" si="36"/>
        <v>44.5</v>
      </c>
      <c r="R101" s="8"/>
      <c r="T101"/>
    </row>
    <row r="102" spans="2:20" ht="23.1" customHeight="1" x14ac:dyDescent="0.25">
      <c r="B102" s="24" t="s">
        <v>142</v>
      </c>
      <c r="C102" s="49">
        <f>'Avg Week SentemaRBT-Sentema'!C102+'Avg Week Sentema-SentemaRBT'!C102</f>
        <v>5.5</v>
      </c>
      <c r="D102" s="49">
        <f>'Avg Week SentemaRBT-Sentema'!D102+'Avg Week Sentema-SentemaRBT'!D102</f>
        <v>1</v>
      </c>
      <c r="E102" s="49">
        <f>'Avg Week SentemaRBT-Sentema'!E102+'Avg Week Sentema-SentemaRBT'!E102</f>
        <v>1</v>
      </c>
      <c r="F102" s="49">
        <f>'Avg Week SentemaRBT-Sentema'!F102+'Avg Week Sentema-SentemaRBT'!F102</f>
        <v>7</v>
      </c>
      <c r="G102" s="49">
        <f>'Avg Week SentemaRBT-Sentema'!G102+'Avg Week Sentema-SentemaRBT'!G102</f>
        <v>0.5</v>
      </c>
      <c r="H102" s="49">
        <f>'Avg Week SentemaRBT-Sentema'!H102+'Avg Week Sentema-SentemaRBT'!H102</f>
        <v>0</v>
      </c>
      <c r="I102" s="49">
        <f>'Avg Week SentemaRBT-Sentema'!I102+'Avg Week Sentema-SentemaRBT'!I102</f>
        <v>2.5</v>
      </c>
      <c r="J102" s="49">
        <f>'Avg Week SentemaRBT-Sentema'!J102+'Avg Week Sentema-SentemaRBT'!J102</f>
        <v>0.5</v>
      </c>
      <c r="K102" s="49">
        <f>'Avg Week SentemaRBT-Sentema'!K102+'Avg Week Sentema-SentemaRBT'!K102</f>
        <v>0.5</v>
      </c>
      <c r="L102" s="49">
        <f>'Avg Week SentemaRBT-Sentema'!L102+'Avg Week Sentema-SentemaRBT'!L102</f>
        <v>0</v>
      </c>
      <c r="M102" s="49">
        <f>'Avg Week SentemaRBT-Sentema'!M102+'Avg Week Sentema-SentemaRBT'!M102</f>
        <v>26.5</v>
      </c>
      <c r="N102" s="49">
        <f>'Avg Week SentemaRBT-Sentema'!N102+'Avg Week Sentema-SentemaRBT'!N102</f>
        <v>0</v>
      </c>
      <c r="O102" s="15">
        <f t="shared" si="35"/>
        <v>18.5</v>
      </c>
      <c r="P102" s="15">
        <f t="shared" si="36"/>
        <v>45</v>
      </c>
      <c r="R102" s="8"/>
      <c r="T102"/>
    </row>
    <row r="103" spans="2:20" ht="23.1" customHeight="1" x14ac:dyDescent="0.25">
      <c r="B103" s="23" t="s">
        <v>143</v>
      </c>
      <c r="C103" s="49">
        <f>'Avg Week SentemaRBT-Sentema'!C103+'Avg Week Sentema-SentemaRBT'!C103</f>
        <v>12.5</v>
      </c>
      <c r="D103" s="49">
        <f>'Avg Week SentemaRBT-Sentema'!D103+'Avg Week Sentema-SentemaRBT'!D103</f>
        <v>1.5</v>
      </c>
      <c r="E103" s="49">
        <f>'Avg Week SentemaRBT-Sentema'!E103+'Avg Week Sentema-SentemaRBT'!E103</f>
        <v>0.5</v>
      </c>
      <c r="F103" s="49">
        <f>'Avg Week SentemaRBT-Sentema'!F103+'Avg Week Sentema-SentemaRBT'!F103</f>
        <v>12.5</v>
      </c>
      <c r="G103" s="49">
        <f>'Avg Week SentemaRBT-Sentema'!G103+'Avg Week Sentema-SentemaRBT'!G103</f>
        <v>0</v>
      </c>
      <c r="H103" s="49">
        <f>'Avg Week SentemaRBT-Sentema'!H103+'Avg Week Sentema-SentemaRBT'!H103</f>
        <v>0</v>
      </c>
      <c r="I103" s="49">
        <f>'Avg Week SentemaRBT-Sentema'!I103+'Avg Week Sentema-SentemaRBT'!I103</f>
        <v>1</v>
      </c>
      <c r="J103" s="49">
        <f>'Avg Week SentemaRBT-Sentema'!J103+'Avg Week Sentema-SentemaRBT'!J103</f>
        <v>1</v>
      </c>
      <c r="K103" s="49">
        <f>'Avg Week SentemaRBT-Sentema'!K103+'Avg Week Sentema-SentemaRBT'!K103</f>
        <v>0</v>
      </c>
      <c r="L103" s="49">
        <f>'Avg Week SentemaRBT-Sentema'!L103+'Avg Week Sentema-SentemaRBT'!L103</f>
        <v>0</v>
      </c>
      <c r="M103" s="49">
        <f>'Avg Week SentemaRBT-Sentema'!M103+'Avg Week Sentema-SentemaRBT'!M103</f>
        <v>21</v>
      </c>
      <c r="N103" s="49">
        <f>'Avg Week SentemaRBT-Sentema'!N103+'Avg Week Sentema-SentemaRBT'!N103</f>
        <v>0</v>
      </c>
      <c r="O103" s="15">
        <f t="shared" si="35"/>
        <v>29</v>
      </c>
      <c r="P103" s="15">
        <f t="shared" si="36"/>
        <v>50</v>
      </c>
      <c r="R103" s="8"/>
      <c r="T103"/>
    </row>
    <row r="104" spans="2:20" ht="23.1" customHeight="1" x14ac:dyDescent="0.25">
      <c r="B104" s="25" t="s">
        <v>144</v>
      </c>
      <c r="C104" s="49">
        <f>'Avg Week SentemaRBT-Sentema'!C104+'Avg Week Sentema-SentemaRBT'!C104</f>
        <v>12.5</v>
      </c>
      <c r="D104" s="49">
        <f>'Avg Week SentemaRBT-Sentema'!D104+'Avg Week Sentema-SentemaRBT'!D104</f>
        <v>1.5</v>
      </c>
      <c r="E104" s="49">
        <f>'Avg Week SentemaRBT-Sentema'!E104+'Avg Week Sentema-SentemaRBT'!E104</f>
        <v>1.5</v>
      </c>
      <c r="F104" s="49">
        <f>'Avg Week SentemaRBT-Sentema'!F104+'Avg Week Sentema-SentemaRBT'!F104</f>
        <v>17</v>
      </c>
      <c r="G104" s="49">
        <f>'Avg Week SentemaRBT-Sentema'!G104+'Avg Week Sentema-SentemaRBT'!G104</f>
        <v>1</v>
      </c>
      <c r="H104" s="49">
        <f>'Avg Week SentemaRBT-Sentema'!H104+'Avg Week Sentema-SentemaRBT'!H104</f>
        <v>0.5</v>
      </c>
      <c r="I104" s="49">
        <f>'Avg Week SentemaRBT-Sentema'!I104+'Avg Week Sentema-SentemaRBT'!I104</f>
        <v>3</v>
      </c>
      <c r="J104" s="49">
        <f>'Avg Week SentemaRBT-Sentema'!J104+'Avg Week Sentema-SentemaRBT'!J104</f>
        <v>1.5</v>
      </c>
      <c r="K104" s="49">
        <f>'Avg Week SentemaRBT-Sentema'!K104+'Avg Week Sentema-SentemaRBT'!K104</f>
        <v>0.5</v>
      </c>
      <c r="L104" s="49">
        <f>'Avg Week SentemaRBT-Sentema'!L104+'Avg Week Sentema-SentemaRBT'!L104</f>
        <v>0</v>
      </c>
      <c r="M104" s="49">
        <f>'Avg Week SentemaRBT-Sentema'!M104+'Avg Week Sentema-SentemaRBT'!M104</f>
        <v>18</v>
      </c>
      <c r="N104" s="49">
        <f>'Avg Week SentemaRBT-Sentema'!N104+'Avg Week Sentema-SentemaRBT'!N104</f>
        <v>0</v>
      </c>
      <c r="O104" s="15">
        <f t="shared" si="35"/>
        <v>39</v>
      </c>
      <c r="P104" s="15">
        <f t="shared" si="36"/>
        <v>57</v>
      </c>
      <c r="R104" s="8"/>
      <c r="T104"/>
    </row>
    <row r="105" spans="2:20" ht="23.1" customHeight="1" x14ac:dyDescent="0.25">
      <c r="B105" s="23" t="s">
        <v>145</v>
      </c>
      <c r="C105" s="49">
        <f>'Avg Week SentemaRBT-Sentema'!C105+'Avg Week Sentema-SentemaRBT'!C105</f>
        <v>9.5</v>
      </c>
      <c r="D105" s="49">
        <f>'Avg Week SentemaRBT-Sentema'!D105+'Avg Week Sentema-SentemaRBT'!D105</f>
        <v>0.5</v>
      </c>
      <c r="E105" s="49">
        <f>'Avg Week SentemaRBT-Sentema'!E105+'Avg Week Sentema-SentemaRBT'!E105</f>
        <v>0</v>
      </c>
      <c r="F105" s="49">
        <f>'Avg Week SentemaRBT-Sentema'!F105+'Avg Week Sentema-SentemaRBT'!F105</f>
        <v>9.5</v>
      </c>
      <c r="G105" s="49">
        <f>'Avg Week SentemaRBT-Sentema'!G105+'Avg Week Sentema-SentemaRBT'!G105</f>
        <v>0</v>
      </c>
      <c r="H105" s="49">
        <f>'Avg Week SentemaRBT-Sentema'!H105+'Avg Week Sentema-SentemaRBT'!H105</f>
        <v>0</v>
      </c>
      <c r="I105" s="49">
        <f>'Avg Week SentemaRBT-Sentema'!I105+'Avg Week Sentema-SentemaRBT'!I105</f>
        <v>2.5</v>
      </c>
      <c r="J105" s="49">
        <f>'Avg Week SentemaRBT-Sentema'!J105+'Avg Week Sentema-SentemaRBT'!J105</f>
        <v>0.5</v>
      </c>
      <c r="K105" s="49">
        <f>'Avg Week SentemaRBT-Sentema'!K105+'Avg Week Sentema-SentemaRBT'!K105</f>
        <v>1.5</v>
      </c>
      <c r="L105" s="49">
        <f>'Avg Week SentemaRBT-Sentema'!L105+'Avg Week Sentema-SentemaRBT'!L105</f>
        <v>0</v>
      </c>
      <c r="M105" s="49">
        <f>'Avg Week SentemaRBT-Sentema'!M105+'Avg Week Sentema-SentemaRBT'!M105</f>
        <v>38</v>
      </c>
      <c r="N105" s="49">
        <f>'Avg Week SentemaRBT-Sentema'!N105+'Avg Week Sentema-SentemaRBT'!N105</f>
        <v>0</v>
      </c>
      <c r="O105" s="15">
        <f t="shared" si="35"/>
        <v>24</v>
      </c>
      <c r="P105" s="15">
        <f t="shared" si="36"/>
        <v>62</v>
      </c>
      <c r="R105" s="8"/>
      <c r="T105"/>
    </row>
    <row r="106" spans="2:20" ht="23.1" customHeight="1" x14ac:dyDescent="0.25">
      <c r="B106" s="54" t="s">
        <v>18</v>
      </c>
      <c r="C106" s="16">
        <f>SUM(C10:C105)</f>
        <v>2125.2857142857138</v>
      </c>
      <c r="D106" s="16">
        <f t="shared" ref="D106:P106" si="37">SUM(D10:D105)</f>
        <v>420.92857142857156</v>
      </c>
      <c r="E106" s="16">
        <f t="shared" si="37"/>
        <v>313.28571428571428</v>
      </c>
      <c r="F106" s="16">
        <f t="shared" si="37"/>
        <v>1427.4285714285716</v>
      </c>
      <c r="G106" s="16">
        <f t="shared" si="37"/>
        <v>29.928571428571431</v>
      </c>
      <c r="H106" s="16">
        <f t="shared" si="37"/>
        <v>13.357142857142859</v>
      </c>
      <c r="I106" s="16">
        <f t="shared" si="37"/>
        <v>363.5</v>
      </c>
      <c r="J106" s="16">
        <f t="shared" si="37"/>
        <v>148.71428571428572</v>
      </c>
      <c r="K106" s="16">
        <f t="shared" si="37"/>
        <v>49.214285714285708</v>
      </c>
      <c r="L106" s="16">
        <f t="shared" si="37"/>
        <v>26.285714285714281</v>
      </c>
      <c r="M106" s="16">
        <f t="shared" si="37"/>
        <v>6054.4761904761908</v>
      </c>
      <c r="N106" s="16">
        <f t="shared" si="37"/>
        <v>0.5714285714285714</v>
      </c>
      <c r="O106" s="16">
        <f t="shared" si="37"/>
        <v>4918.5</v>
      </c>
      <c r="P106" s="16">
        <f t="shared" si="37"/>
        <v>10972.976190476193</v>
      </c>
      <c r="R106" s="19"/>
      <c r="S106" s="19"/>
      <c r="T106"/>
    </row>
    <row r="107" spans="2:20" ht="23.1" customHeight="1" x14ac:dyDescent="0.25">
      <c r="B107" s="26" t="s">
        <v>93</v>
      </c>
      <c r="C107" s="43">
        <f t="shared" ref="C107:N107" si="38">C106/$P$106</f>
        <v>0.19368361667733491</v>
      </c>
      <c r="D107" s="43">
        <f t="shared" si="38"/>
        <v>3.8360474325453225E-2</v>
      </c>
      <c r="E107" s="43">
        <f t="shared" si="38"/>
        <v>2.8550660171633768E-2</v>
      </c>
      <c r="F107" s="43">
        <f t="shared" si="38"/>
        <v>0.13008581688780879</v>
      </c>
      <c r="G107" s="43">
        <f t="shared" si="38"/>
        <v>2.7274798476777363E-3</v>
      </c>
      <c r="H107" s="43">
        <f t="shared" si="38"/>
        <v>1.2172762088681066E-3</v>
      </c>
      <c r="I107" s="43">
        <f t="shared" si="38"/>
        <v>3.3126837577164669E-2</v>
      </c>
      <c r="J107" s="43">
        <f t="shared" si="38"/>
        <v>1.3552775758627796E-2</v>
      </c>
      <c r="K107" s="43">
        <f t="shared" si="38"/>
        <v>4.4850444273268732E-3</v>
      </c>
      <c r="L107" s="43">
        <f t="shared" si="38"/>
        <v>2.3954954270773428E-3</v>
      </c>
      <c r="M107" s="43">
        <f t="shared" si="38"/>
        <v>0.5517624467034814</v>
      </c>
      <c r="N107" s="43">
        <f t="shared" si="38"/>
        <v>5.2075987545159633E-5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0.43210037903542009</v>
      </c>
      <c r="D108" s="44">
        <f t="shared" ref="D108:N108" si="39">D106/$O$106</f>
        <v>8.5580679359270426E-2</v>
      </c>
      <c r="E108" s="44">
        <f t="shared" si="39"/>
        <v>6.369537751056506E-2</v>
      </c>
      <c r="F108" s="44">
        <f t="shared" si="39"/>
        <v>0.29021623898110632</v>
      </c>
      <c r="G108" s="44">
        <f t="shared" si="39"/>
        <v>6.084898125154301E-3</v>
      </c>
      <c r="H108" s="44">
        <f t="shared" si="39"/>
        <v>2.7156943899853329E-3</v>
      </c>
      <c r="I108" s="44">
        <f t="shared" si="39"/>
        <v>7.3904645725322765E-2</v>
      </c>
      <c r="J108" s="44">
        <f t="shared" si="39"/>
        <v>3.0235699037162899E-2</v>
      </c>
      <c r="K108" s="44">
        <f t="shared" si="39"/>
        <v>1.0005954196256116E-2</v>
      </c>
      <c r="L108" s="44">
        <f t="shared" si="39"/>
        <v>5.3442542006128455E-3</v>
      </c>
      <c r="M108" s="44"/>
      <c r="N108" s="44">
        <f t="shared" si="39"/>
        <v>1.1617943914375753E-4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22.07 SentemaRBT-Sentema</vt:lpstr>
      <vt:lpstr>22.07 Sentema-Sentema RBT</vt:lpstr>
      <vt:lpstr>23.07 Sentema RBT-Sentema</vt:lpstr>
      <vt:lpstr>23.07 Sentema-Sentema RBT</vt:lpstr>
      <vt:lpstr>24.07 SentemaRBT-Sentema</vt:lpstr>
      <vt:lpstr>24.07 Sentema-SentemaRBT</vt:lpstr>
      <vt:lpstr>25.07 SentemaRBT-Sentema</vt:lpstr>
      <vt:lpstr>25.07 Sentema-SentemaRBT</vt:lpstr>
      <vt:lpstr>26.07 SentemaRBT-Sentema-24h</vt:lpstr>
      <vt:lpstr>26.07 Sentema-Sentema RBT-24h</vt:lpstr>
      <vt:lpstr>27.07 SentemaRBT-Sentema-24h</vt:lpstr>
      <vt:lpstr>27.07 Sentema-SentemaRBT-24h</vt:lpstr>
      <vt:lpstr>28.07 SentemaRBT-Sentema</vt:lpstr>
      <vt:lpstr>28.07 Sentema-SentemaRBT</vt:lpstr>
      <vt:lpstr>Avg Week SentemaRBT-Sentema</vt:lpstr>
      <vt:lpstr>Avg Week Sentema-SentemaRBT</vt:lpstr>
      <vt:lpstr>Avg Week SenteRBT-Sentema-2Dir</vt:lpstr>
      <vt:lpstr>'22.07 SentemaRBT-Sentema'!Print_Area</vt:lpstr>
      <vt:lpstr>'22.07 Sentema-Sentema RBT'!Print_Area</vt:lpstr>
      <vt:lpstr>'23.07 Sentema RBT-Sentema'!Print_Area</vt:lpstr>
      <vt:lpstr>'23.07 Sentema-Sentema RBT'!Print_Area</vt:lpstr>
      <vt:lpstr>'24.07 SentemaRBT-Sentema'!Print_Area</vt:lpstr>
      <vt:lpstr>'24.07 Sentema-SentemaRBT'!Print_Area</vt:lpstr>
      <vt:lpstr>'25.07 SentemaRBT-Sentema'!Print_Area</vt:lpstr>
      <vt:lpstr>'25.07 Sentema-SentemaRBT'!Print_Area</vt:lpstr>
      <vt:lpstr>'26.07 SentemaRBT-Sentema-24h'!Print_Area</vt:lpstr>
      <vt:lpstr>'26.07 Sentema-Sentema RBT-24h'!Print_Area</vt:lpstr>
      <vt:lpstr>'27.07 SentemaRBT-Sentema-24h'!Print_Area</vt:lpstr>
      <vt:lpstr>'27.07 Sentema-SentemaRBT-24h'!Print_Area</vt:lpstr>
      <vt:lpstr>'28.07 SentemaRBT-Sentema'!Print_Area</vt:lpstr>
      <vt:lpstr>'28.07 Sentema-SentemaRBT'!Print_Area</vt:lpstr>
      <vt:lpstr>'Avg Week SentemaRBT-Sentema'!Print_Area</vt:lpstr>
      <vt:lpstr>'Avg Week Sentema-SentemaRBT'!Print_Area</vt:lpstr>
      <vt:lpstr>'Avg Week SenteRBT-Sentema-2Dir'!Print_Area</vt:lpstr>
      <vt:lpstr>'22.07 SentemaRBT-Sentema'!Print_Titles</vt:lpstr>
      <vt:lpstr>'22.07 Sentema-Sentema RBT'!Print_Titles</vt:lpstr>
      <vt:lpstr>'23.07 Sentema RBT-Sentema'!Print_Titles</vt:lpstr>
      <vt:lpstr>'23.07 Sentema-Sentema RBT'!Print_Titles</vt:lpstr>
      <vt:lpstr>'24.07 SentemaRBT-Sentema'!Print_Titles</vt:lpstr>
      <vt:lpstr>'24.07 Sentema-SentemaRBT'!Print_Titles</vt:lpstr>
      <vt:lpstr>'25.07 SentemaRBT-Sentema'!Print_Titles</vt:lpstr>
      <vt:lpstr>'25.07 Sentema-SentemaRBT'!Print_Titles</vt:lpstr>
      <vt:lpstr>'26.07 SentemaRBT-Sentema-24h'!Print_Titles</vt:lpstr>
      <vt:lpstr>'26.07 Sentema-Sentema RBT-24h'!Print_Titles</vt:lpstr>
      <vt:lpstr>'27.07 SentemaRBT-Sentema-24h'!Print_Titles</vt:lpstr>
      <vt:lpstr>'27.07 Sentema-SentemaRBT-24h'!Print_Titles</vt:lpstr>
      <vt:lpstr>'28.07 SentemaRBT-Sentema'!Print_Titles</vt:lpstr>
      <vt:lpstr>'28.07 Sentema-SentemaRBT'!Print_Titles</vt:lpstr>
      <vt:lpstr>'Avg Week SentemaRBT-Sentema'!Print_Titles</vt:lpstr>
      <vt:lpstr>'Avg Week Sentema-SentemaRBT'!Print_Titles</vt:lpstr>
      <vt:lpstr>'Avg Week SenteRBT-Sentema-2Dir'!Print_Titles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2020-01-15T20:31:28Z</dcterms:modified>
</cp:coreProperties>
</file>